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3A3255D-D2BB-4E41-8772-EEAD8CFFC7B2}" xr6:coauthVersionLast="47" xr6:coauthVersionMax="47" xr10:uidLastSave="{00000000-0000-0000-0000-000000000000}"/>
  <bookViews>
    <workbookView xWindow="-120" yWindow="-12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6" l="1"/>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<sst xmlns="http://schemas.openxmlformats.org/spreadsheetml/2006/main" count="1877" uniqueCount="750">
  <si>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</si>
  <si>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</si>
  <si>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</si>
  <si>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</si>
  <si>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</si>
  <si>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</si>
  <si>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</si>
  <si>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</si>
  <si>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</si>
  <si>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</si>
  <si>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</si>
  <si>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</si>
  <si>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</si>
  <si>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</si>
  <si>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</si>
  <si>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</si>
  <si>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</si>
  <si>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</si>
  <si>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</si>
  <si>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</si>
  <si>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</si>
  <si>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</si>
  <si>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</si>
  <si>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</si>
  <si>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</si>
  <si>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</si>
  <si>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</si>
  <si>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</si>
  <si>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</si>
  <si>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</si>
  <si>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</si>
  <si>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</si>
  <si>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</si>
  <si>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</si>
  <si>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</si>
  <si>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</si>
  <si>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</si>
  <si>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</si>
  <si>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</si>
  <si>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</si>
  <si>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</si>
  <si>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</si>
  <si>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</si>
  <si>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</si>
  <si>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</si>
  <si>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</si>
  <si>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</si>
  <si>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</si>
  <si>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</si>
  <si>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</si>
  <si>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</si>
  <si>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</si>
  <si>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</si>
  <si>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</si>
  <si>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</si>
  <si>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</si>
  <si>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</si>
  <si>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</si>
  <si>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</si>
  <si>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</si>
  <si>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</si>
  <si>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</si>
  <si>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</si>
  <si>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</si>
  <si>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</si>
  <si>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</si>
  <si>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</si>
  <si>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</si>
  <si>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</si>
  <si>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</si>
  <si>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</si>
  <si>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</si>
  <si>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</si>
  <si>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</si>
  <si>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</si>
  <si>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</si>
  <si>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</si>
  <si>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</si>
  <si>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</si>
  <si>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</si>
  <si>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</si>
  <si>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</si>
  <si>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</si>
  <si>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</si>
  <si>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</si>
  <si>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</si>
  <si>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</si>
  <si>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</si>
  <si>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</si>
  <si>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</si>
  <si>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</si>
  <si>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</si>
  <si>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</si>
  <si>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</si>
  <si>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</si>
  <si>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</si>
  <si>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</si>
  <si>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</si>
  <si>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</si>
  <si>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</si>
  <si>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</si>
  <si>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</si>
  <si>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</si>
  <si>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</si>
  <si>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</si>
  <si>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</si>
  <si>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</si>
  <si>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</si>
  <si>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</si>
  <si>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</si>
  <si>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</si>
  <si>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</si>
  <si>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</si>
  <si>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</si>
  <si>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</si>
  <si>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</si>
  <si>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</si>
  <si>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</si>
  <si>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</si>
  <si>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</si>
  <si>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</si>
  <si>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</si>
  <si>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</si>
  <si>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</si>
  <si>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</si>
  <si>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</si>
  <si>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</si>
  <si>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</si>
  <si>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</si>
  <si>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</si>
  <si>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</si>
  <si>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</si>
  <si>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</si>
  <si>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</si>
  <si>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</si>
  <si>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</si>
  <si>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</si>
  <si>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</si>
  <si>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</si>
  <si>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</si>
  <si>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</si>
  <si>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</si>
  <si>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</si>
  <si>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</si>
  <si>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</si>
  <si>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</si>
  <si>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</si>
  <si>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</si>
  <si>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</si>
  <si>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</si>
  <si>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</si>
  <si>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</si>
  <si>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</si>
  <si>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</si>
  <si>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</si>
  <si>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</si>
  <si>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</si>
  <si>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</si>
  <si>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</si>
  <si>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</si>
  <si>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</si>
  <si>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</si>
  <si>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</si>
  <si>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</si>
  <si>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</si>
  <si>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</si>
  <si>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</si>
  <si>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</si>
  <si>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</si>
  <si>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</si>
  <si>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</si>
  <si>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</si>
  <si>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</si>
  <si>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</si>
  <si>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</si>
  <si>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</si>
  <si>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</si>
  <si>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</si>
  <si>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</si>
  <si>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</si>
  <si>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</si>
  <si>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</si>
  <si>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</si>
  <si>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</si>
  <si>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</si>
  <si>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</si>
  <si>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</si>
  <si>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</si>
  <si>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</si>
  <si>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</si>
  <si>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</si>
  <si>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</si>
  <si>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</si>
  <si>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</si>
  <si>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</si>
  <si>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</si>
  <si>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</si>
  <si>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</si>
  <si>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</si>
  <si>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</si>
  <si>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</si>
  <si>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</si>
  <si>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</si>
  <si>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</si>
  <si>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</si>
  <si>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</si>
  <si>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</si>
  <si>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</si>
  <si>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</si>
  <si>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</si>
  <si>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</si>
  <si>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</si>
  <si>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</si>
  <si>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</si>
  <si>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</si>
  <si>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</si>
  <si>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</si>
  <si>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</si>
  <si>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</si>
  <si>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</si>
  <si>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</si>
  <si>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</si>
  <si>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</si>
  <si>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</si>
  <si>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</si>
  <si>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</si>
  <si>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</si>
  <si>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</si>
  <si>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</si>
  <si>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</si>
  <si>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</si>
  <si>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</si>
  <si>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</si>
  <si>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</si>
  <si>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</si>
  <si>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</si>
  <si>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</si>
  <si>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</si>
  <si>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</si>
  <si>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</si>
  <si>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</si>
  <si>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</si>
  <si>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</si>
  <si>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</si>
  <si>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</si>
  <si>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</si>
  <si>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</si>
  <si>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</si>
  <si>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</si>
  <si>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</si>
  <si>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</si>
  <si>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</si>
  <si>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</si>
  <si>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</si>
  <si>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</si>
  <si>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</si>
  <si>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</si>
  <si>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</si>
  <si>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</si>
  <si>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</si>
  <si>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</si>
  <si>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</si>
  <si>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</si>
  <si>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</si>
  <si>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</si>
  <si>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</si>
  <si>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</si>
  <si>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</si>
  <si>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</si>
  <si>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</si>
  <si>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</si>
  <si>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</si>
  <si>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</si>
  <si>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</si>
  <si>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</si>
  <si>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</si>
  <si>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</si>
  <si>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</si>
  <si>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</si>
  <si>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</si>
  <si>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</si>
  <si>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</si>
  <si>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</si>
  <si>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</si>
  <si>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</si>
  <si>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</si>
  <si>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</si>
  <si>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</si>
  <si>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</si>
  <si>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</si>
  <si>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</si>
  <si>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</si>
  <si>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</si>
  <si>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</si>
  <si>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</si>
  <si>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</si>
  <si>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</si>
  <si>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</si>
  <si>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</si>
  <si>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</si>
  <si>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</si>
  <si>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</si>
  <si>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</si>
  <si>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</si>
  <si>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</si>
  <si>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</si>
  <si>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</si>
  <si>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</si>
  <si>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</si>
  <si>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</si>
  <si>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</si>
  <si>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</si>
  <si>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</si>
  <si>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</si>
  <si>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</si>
  <si>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</si>
  <si>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</si>
  <si>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</si>
  <si>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</si>
  <si>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</si>
  <si>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</si>
  <si>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</si>
  <si>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</si>
  <si>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</si>
  <si>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</si>
  <si>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</si>
  <si>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</si>
  <si>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</si>
  <si>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</si>
  <si>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</si>
  <si>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</si>
  <si>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</si>
  <si>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</si>
  <si>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</si>
  <si>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</si>
  <si>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</si>
  <si>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</si>
  <si>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</si>
  <si>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</si>
  <si>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</si>
  <si>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</si>
  <si>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</si>
  <si>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</si>
  <si>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</si>
  <si>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</si>
  <si>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</si>
  <si>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</si>
  <si>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</si>
  <si>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</si>
  <si>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</si>
  <si>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</si>
  <si>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</si>
  <si>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</si>
  <si>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</si>
  <si>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</si>
  <si>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</si>
  <si>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</si>
  <si>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</si>
  <si>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</si>
  <si>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</si>
  <si>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</si>
  <si>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</si>
  <si>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</si>
  <si>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</si>
  <si>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</si>
  <si>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</si>
  <si>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</si>
  <si>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</si>
  <si>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</si>
  <si>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</si>
  <si>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</si>
  <si>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</si>
  <si>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</si>
  <si>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</si>
  <si>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</si>
  <si>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</si>
  <si>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</si>
  <si>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</si>
  <si>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</si>
  <si>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</si>
  <si>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</si>
  <si>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</si>
  <si>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</si>
  <si>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</si>
  <si>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</si>
  <si>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</si>
  <si>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</si>
  <si>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</si>
  <si>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</si>
  <si>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</si>
  <si>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</si>
  <si>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</si>
  <si>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</si>
  <si>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</si>
  <si>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</si>
  <si>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</si>
  <si>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</si>
  <si>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</si>
  <si>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</si>
  <si>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</si>
  <si>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</si>
  <si>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</si>
  <si>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</si>
  <si>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</si>
  <si>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</si>
  <si>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</si>
  <si>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</si>
  <si>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</si>
  <si>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config1</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</si>
  <si>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</si>
  <si>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</si>
  <si>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</si>
  <si>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</si>
  <si>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</si>
  <si>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</si>
  <si>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</si>
  <si>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</si>
  <si>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</si>
  <si>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</si>
  <si>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</si>
  <si>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</si>
  <si>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</si>
  <si>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</si>
  <si>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</si>
  <si>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</si>
  <si>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</si>
  <si>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</si>
  <si>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</si>
  <si>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</si>
  <si>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</si>
  <si>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</si>
  <si>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</si>
  <si>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</si>
  <si>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</si>
  <si>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</si>
  <si>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</si>
  <si>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</si>
  <si>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</si>
  <si>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</si>
  <si>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</si>
  <si>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</si>
  <si>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</si>
  <si>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</si>
  <si>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</si>
  <si>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</si>
  <si>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</si>
  <si>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</si>
  <si>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</si>
  <si>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</si>
  <si>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</si>
  <si>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</si>
  <si>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</si>
  <si>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</si>
  <si>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</si>
  <si>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</si>
  <si>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</si>
  <si>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</si>
  <si>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</si>
  <si>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</si>
  <si>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</si>
  <si>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</si>
  <si>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</si>
  <si>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</si>
  <si>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</si>
  <si>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</si>
  <si>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</si>
  <si>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</si>
  <si>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</si>
  <si>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</si>
  <si>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</si>
  <si>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</si>
  <si>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</si>
  <si>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</si>
  <si>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</si>
  <si>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</si>
  <si>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</si>
  <si>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</si>
  <si>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</si>
  <si>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</si>
  <si>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</si>
  <si>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</si>
  <si>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</si>
  <si>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</si>
  <si>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</si>
  <si>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</si>
  <si>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</si>
  <si>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</si>
  <si>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</si>
  <si>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</si>
  <si>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</si>
  <si>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</si>
  <si>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</si>
  <si>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</si>
  <si>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</si>
  <si>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</si>
  <si>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</si>
  <si>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</si>
  <si>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</si>
  <si>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</si>
  <si>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</si>
  <si>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</si>
  <si>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</si>
  <si>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</si>
  <si>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</si>
  <si>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</si>
  <si>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</si>
  <si>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</si>
  <si>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</si>
  <si>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</si>
  <si>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</si>
  <si>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</si>
  <si>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</si>
  <si>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</si>
  <si>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</si>
  <si>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</si>
  <si>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</si>
  <si>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</si>
  <si>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</si>
  <si>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</si>
  <si>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</si>
  <si>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</si>
  <si>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</si>
  <si>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</si>
  <si>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</si>
  <si>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</si>
  <si>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</si>
  <si>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</si>
  <si>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</si>
  <si>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</si>
  <si>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</si>
  <si>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</si>
  <si>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</si>
  <si>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</si>
  <si>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</si>
  <si>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</si>
  <si>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</si>
  <si>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</si>
  <si>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</si>
  <si>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</si>
  <si>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</si>
  <si>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</si>
  <si>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</si>
  <si>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</si>
  <si>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</si>
  <si>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</si>
  <si>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</si>
  <si>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</si>
  <si>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</si>
  <si>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</si>
  <si>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</si>
  <si>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</si>
  <si>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</si>
  <si>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</si>
  <si>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</si>
  <si>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</si>
  <si>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</si>
  <si>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</si>
  <si>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</si>
  <si>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</si>
  <si>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</si>
  <si>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</si>
  <si>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</si>
  <si>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</si>
  <si>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</si>
  <si>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</si>
  <si>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</si>
  <si>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</si>
  <si>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</si>
  <si>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</si>
  <si>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</si>
  <si>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</si>
  <si>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</si>
  <si>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</si>
  <si>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</si>
  <si>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</si>
  <si>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</si>
  <si>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</si>
  <si>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</si>
  <si>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</si>
  <si>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</si>
  <si>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</si>
  <si>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</si>
  <si>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</si>
  <si>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</si>
  <si>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</si>
  <si>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</si>
  <si>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</si>
  <si>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</si>
  <si>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</si>
  <si>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</si>
  <si>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</si>
  <si>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</si>
  <si>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</si>
  <si>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</si>
  <si>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</si>
  <si>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</si>
  <si>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</si>
  <si>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</si>
  <si>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</si>
  <si>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</si>
  <si>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</si>
  <si>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</si>
  <si>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</si>
  <si>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</si>
  <si>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</si>
  <si>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</si>
  <si>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</si>
  <si>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</si>
  <si>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</si>
  <si>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</si>
  <si>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</si>
  <si>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</si>
  <si>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</si>
  <si>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</si>
  <si>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</si>
  <si>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</si>
  <si>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</si>
  <si>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</si>
  <si>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</si>
  <si>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</si>
  <si>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</si>
  <si>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</si>
  <si>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</si>
  <si>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</si>
  <si>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</si>
  <si>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</si>
  <si>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</si>
  <si>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</si>
  <si>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</si>
  <si>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</si>
  <si>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</si>
  <si>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</si>
  <si>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</si>
  <si>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Bolting Platform: 5000.0kg , Upper ladder: 453.23 kg, Upper ladder: 453.23 kg</t>
  </si>
  <si>
    <t>Upper ladder: 1246.37 kg, Upper ladder: 1246.37 kg</t>
  </si>
  <si>
    <t>Junction Box Platform: 5000.0kg , Upper ladder: 906.45 kg, Upper ladder: 906.45 kg</t>
  </si>
  <si>
    <t>Upper ladder: 573.33 kg, Upper ladder: 573.33 kg</t>
  </si>
  <si>
    <t>Upper ladder: 566.53 kg, Upper ladder: 566.53 kg, Resting platform: 897.44 kg</t>
  </si>
  <si>
    <t>dummy to have same number of nodes as 22 MW MP: 1.0kg , Upper ladder: 287.80 kg, Upper ladder: 287.80 kg, Resting platform: 2425.00 kg</t>
  </si>
  <si>
    <t>Upper ladder: 181.29 kg, Upper ladder: 181.29 kg, Resting platform: 1527.56 kg, Lower ladder: 15.61 kg, Lower ladder: 15.61 kg</t>
  </si>
  <si>
    <t>RNA Inertia</t>
  </si>
  <si>
    <t xml:space="preserve">type side-side or fore-aft to choose </t>
  </si>
  <si>
    <t>C:\Users\aaron.lange\Desktop\Projekte\Geometrie_Converter\JBOOST_test\SN1</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</si>
  <si>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</si>
  <si>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</si>
  <si>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</si>
  <si>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</si>
  <si>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</si>
  <si>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</si>
  <si>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</si>
  <si>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</si>
  <si>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</si>
  <si>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</si>
  <si>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</si>
  <si>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</si>
  <si>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</si>
  <si>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</si>
  <si>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</si>
  <si>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</si>
  <si>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</si>
  <si>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</si>
  <si>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</si>
  <si>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</si>
  <si>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</si>
  <si>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</si>
  <si>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</si>
  <si>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</si>
  <si>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</si>
  <si>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</si>
  <si>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</si>
  <si>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</si>
  <si>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</si>
  <si>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</si>
  <si>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</si>
  <si>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</si>
  <si>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</si>
  <si>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</si>
  <si>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</si>
  <si>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</si>
  <si>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</si>
  <si>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</si>
  <si>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</si>
  <si>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Lower ladder: 109.28 kg, Lower ladder: 109.28 kg, Fender: 104.89 kg, Fender: 104.89 kg</t>
  </si>
  <si>
    <t>Lower ladder: 702.50 kg, Lower ladder: 702.50 kg, Fender: 786.70 kg, Fender: 786.70 kg</t>
  </si>
  <si>
    <t>Lower ladder: 1233.28 kg, Lower ladder: 999.11 kg, Fender: 1118.87 kg, Fender: 1118.87 kg</t>
  </si>
  <si>
    <t>Lower ladder(MaGr): 161.09 kg, Lower ladder: 624.44 kg, Lower ladder(MaGr): 161.09 kg, Fender: 699.29 kg, Fender(MaGr): 267.86 kg, Fender: 699.29 kg, Fender(MaGr): 267.86 kg</t>
  </si>
  <si>
    <t>Lower ladder: 1233.28 kg, Lower ladder(MaGr): 579.93 kg, Lower ladder: 843.00 kg, Lower ladder(MaGr): 579.93 kg, Fender: 944.04 kg, Fender(MaGr): 964.31 kg, Fender: 944.04 kg, Fender(MaGr): 964.31 kg</t>
  </si>
  <si>
    <t>Lower ladder: 764.94 kg, Lower ladder(MaGr): 526.24 kg, Lower ladder: 764.94 kg, Lower ladder(MaGr): 526.24 kg, Fender: 856.63 kg, Fender(MaGr): 875.02 kg, Fender: 856.63 kg, Fender(MaGr): 875.02 kg</t>
  </si>
  <si>
    <t>Lower ladder: 156.11 kg, Lower ladder(MaGr): 107.40 kg, Lower ladder: 156.11 kg, Lower ladder(MaGr): 107.40 kg, Fender: 297.20 kg, Fender(MaGr): 303.58 kg, Fender: 297.20 kg, Fender(MaGr): 303.58 kg</t>
  </si>
  <si>
    <t>Fender: 122.38 kg, Fender(MaGr): 125.00 kg, Fender: 122.38 kg, Fender(MaGr): 125.00 kg</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</si>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</sst>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5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7">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6"/>
      <tableStyleElement type="headerRow" dxfId="425"/>
      <tableStyleElement type="firstRowStripe" dxfId="424"/>
      <tableStyleElement type="secondRowStripe" dxfId="423"/>
    </tableStyle>
    <tableStyle name="MySqlDefault" pivot="0" table="0" count="2" xr9:uid="{D5D904E1-2A2C-42D4-AF54-2F4144BE2919}">
      <tableStyleElement type="wholeTable" dxfId="422"/>
      <tableStyleElement type="headerRow" dxfId="42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419100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781050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47625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1952625</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97</xdr:col>
      <xdr:colOff>1354837</xdr:colOff>
      <xdr:row>23</xdr:row>
      <xdr:rowOff>208418</xdr:rowOff>
    </xdr:to>
    <xdr:pic>
      <xdr:nvPicPr>
        <xdr:cNvPr id="5" name="Fig_TOWER_plot">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87</xdr:col>
      <xdr:colOff>439436</xdr:colOff>
      <xdr:row>23</xdr:row>
      <xdr:rowOff>77734</xdr:rowOff>
    </xdr:to>
    <xdr:pic>
      <xdr:nvPicPr>
        <xdr:cNvPr id="23" name="Fig_MP_plot" hidden="1">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86</xdr:col>
      <xdr:colOff>949434</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19050</xdr:colOff>
          <xdr:row>4</xdr:row>
          <xdr:rowOff>19050</xdr:rowOff>
        </xdr:from>
        <xdr:to>
          <xdr:col>40</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xdr:colOff>
          <xdr:row>6</xdr:row>
          <xdr:rowOff>19050</xdr:rowOff>
        </xdr:from>
        <xdr:to>
          <xdr:col>40</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28575</xdr:rowOff>
        </xdr:from>
        <xdr:to>
          <xdr:col>4</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5</xdr:row>
          <xdr:rowOff>219075</xdr:rowOff>
        </xdr:from>
        <xdr:to>
          <xdr:col>4</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47625</xdr:rowOff>
        </xdr:from>
        <xdr:to>
          <xdr:col>5</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57150</xdr:colOff>
          <xdr:row>4</xdr:row>
          <xdr:rowOff>85725</xdr:rowOff>
        </xdr:from>
        <xdr:to>
          <xdr:col>20</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47625</xdr:colOff>
          <xdr:row>72</xdr:row>
          <xdr:rowOff>219075</xdr:rowOff>
        </xdr:from>
        <xdr:to>
          <xdr:col>40</xdr:col>
          <xdr:colOff>2724150</xdr:colOff>
          <xdr:row>75</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171450</xdr:rowOff>
        </xdr:from>
        <xdr:to>
          <xdr:col>40</xdr:col>
          <xdr:colOff>2695575</xdr:colOff>
          <xdr:row>26</xdr:row>
          <xdr:rowOff>171450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21</xdr:col>
      <xdr:colOff>85725</xdr:colOff>
      <xdr:row>4</xdr:row>
      <xdr:rowOff>85725</xdr:rowOff>
    </xdr:from>
    <xdr:to>
      <xdr:col>24</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40</xdr:col>
          <xdr:colOff>9525</xdr:colOff>
          <xdr:row>8</xdr:row>
          <xdr:rowOff>19050</xdr:rowOff>
        </xdr:from>
        <xdr:to>
          <xdr:col>40</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xdr:twoCellAnchor editAs="oneCell">
    <xdr:from>
      <xdr:col>4</xdr:col>
      <xdr:colOff>0</xdr:colOff>
      <xdr:row>76</xdr:row>
      <xdr:rowOff>190498</xdr:rowOff>
    </xdr:from>
    <xdr:to>
      <xdr:col>24</xdr:col>
      <xdr:colOff>5437177</xdr:colOff>
      <xdr:row>114</xdr:row>
      <xdr:rowOff>175272</xdr:rowOff>
    </xdr:to>
    <xdr:pic>
      <xdr:nvPicPr>
        <xdr:cNvPr id="26" name="Fig_FIG_JBOOST_MODESHAPES" hidden="1">
          <a:extLst>
            <a:ext uri="{FF2B5EF4-FFF2-40B4-BE49-F238E27FC236}">
              <a16:creationId xmlns:a16="http://schemas.microsoft.com/office/drawing/2014/main" id="{FD0AE504-0229-8088-C3F2-8B37EDF53F0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29375" y="17459323"/>
          <a:ext cx="16295677" cy="722377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3" dataDxfId="382">
  <autoFilter ref="E13:K14" xr:uid="{51AF5F9E-A6E5-4BA1-83BE-2546351DAE06}"/>
  <tableColumns count="7">
    <tableColumn id="1" xr3:uid="{8004DE55-01A0-4AB5-A007-D379F8ED184F}" name="Identifier" dataDxfId="381"/>
    <tableColumn id="2" xr3:uid="{73AEE22B-B9CF-4401-B31E-64902257C6A9}" name="Project ID" dataDxfId="380"/>
    <tableColumn id="3" xr3:uid="{6CD7BEF9-707B-4F7D-A334-46DB51B6F454}" name="Phase" dataDxfId="379"/>
    <tableColumn id="4" xr3:uid="{5572AB9F-884A-4001-85E7-5E708A2DFC71}" name="Structure ID" dataDxfId="378"/>
    <tableColumn id="5" xr3:uid="{AFCB5F1D-C5C1-4D21-A7C0-310C0D52F9E4}" name="Water Depth [m]" dataDxfId="377"/>
    <tableColumn id="6" xr3:uid="{149EEBB8-62A5-42C4-97FD-484848DB0825}" name="Height Reference" dataDxfId="376"/>
    <tableColumn id="7" xr3:uid="{82ECC3EB-0382-490B-8CE7-963B13E4D1A1}" name="Comments" dataDxfId="37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4" dataDxfId="373">
  <autoFilter ref="E18:K19" xr:uid="{58117B73-5FCA-4002-A528-31B3F83BDE75}"/>
  <tableColumns count="7">
    <tableColumn id="1" xr3:uid="{5C484AAB-AA0F-4FBD-9543-28D80EB7F84D}" name="Identifier" dataDxfId="372"/>
    <tableColumn id="2" xr3:uid="{87603448-795E-499B-8754-D6455D5FF52F}" name="Project ID" dataDxfId="371"/>
    <tableColumn id="3" xr3:uid="{51EA6487-4EF3-43A9-B440-34893EEEEAB2}" name="Phase" dataDxfId="370"/>
    <tableColumn id="4" xr3:uid="{4AC48BB5-6D2E-492F-89B1-5662010991A8}" name="Structure ID" dataDxfId="369"/>
    <tableColumn id="5" xr3:uid="{2AE3ED2D-7CAB-45B8-AA43-6197A5DBB9C2}" name="Water Depth [m]" dataDxfId="368"/>
    <tableColumn id="6" xr3:uid="{BC0E3E2E-DE67-4FD9-94E9-5C112B52D3FD}" name="Height Reference" dataDxfId="367"/>
    <tableColumn id="7" xr3:uid="{16928D7F-3DB7-43BD-BCF5-5C279A3E16F5}" name="Comments" dataDxfId="36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5" dataDxfId="364">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3"/>
    <tableColumn id="2" xr3:uid="{01B5124C-F6E1-40D2-9236-F2D6BE941DD3}" name="Top [m]" dataDxfId="362"/>
    <tableColumn id="3" xr3:uid="{0537C90E-D320-4AC4-8392-2A7C45CE31A1}" name="Bottom [m]" dataDxfId="361"/>
    <tableColumn id="4" xr3:uid="{3F0DC3DB-26F8-4D70-A358-70EF5E1596F5}" name="D, top [m]" dataDxfId="360"/>
    <tableColumn id="5" xr3:uid="{25F6B1D8-AC49-468F-BDCD-72AC07BB3CD0}" name="D, bottom [m]" dataDxfId="359"/>
    <tableColumn id="6" xr3:uid="{3ED99EE5-BCA8-4244-A3E5-81C6F22A9AB2}" name="t [mm]" dataDxfId="35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7" dataDxfId="356">
  <autoFilter ref="Y12:AE13" xr:uid="{F46B677D-4D25-4464-BE0D-6A1E644518C5}"/>
  <tableColumns count="7">
    <tableColumn id="1" xr3:uid="{ECD0389F-015D-412B-9FF1-D5BEAAD27FC1}" name="Identifier" dataDxfId="355"/>
    <tableColumn id="2" xr3:uid="{90794316-AE1E-4D40-A728-B5B995A9CF65}" name="Project ID" dataDxfId="354"/>
    <tableColumn id="3" xr3:uid="{B8C9242D-AC32-4E57-A861-DB7E615D6A1C}" name="Phase" dataDxfId="353"/>
    <tableColumn id="4" xr3:uid="{1EEB510B-3010-431D-B8C6-870D9180A629}" name="Structure ID" dataDxfId="352"/>
    <tableColumn id="5" xr3:uid="{B6F5C20C-83C1-4B16-B4D3-933D066BB6A0}" name="Water Depth [m]" dataDxfId="351"/>
    <tableColumn id="6" xr3:uid="{26EA3A2D-14E0-4809-9795-74592B4984AD}" name="Height Reference" dataDxfId="350"/>
    <tableColumn id="7" xr3:uid="{9AC62F3C-D12C-40A1-8AF4-F7C9B043F1FB}" name="Comments" dataDxfId="3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48" dataDxfId="347">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6"/>
    <tableColumn id="2" xr3:uid="{D0F6ECD2-6414-48B2-9B47-1C3B8BAC860B}" name="Top [m]" dataDxfId="345"/>
    <tableColumn id="3" xr3:uid="{575FC20A-0259-4081-83F8-71040557AEA8}" name="Bottom [m]" dataDxfId="344"/>
    <tableColumn id="4" xr3:uid="{529E5CD0-69F2-4E59-86A7-A3E6F1B39E96}" name="D, top [m]" dataDxfId="343"/>
    <tableColumn id="5" xr3:uid="{7F90AAFA-52D7-47DB-A99D-3E3E0AEE6541}" name="D, bottom [m]" dataDxfId="342"/>
    <tableColumn id="6" xr3:uid="{1B01547B-4485-4B79-8DB3-FCEA1C806B60}" name="t [mm]" dataDxfId="34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40" dataDxfId="339">
  <autoFilter ref="P112:X115" xr:uid="{C2F2D263-B298-4967-B7BA-2043D2636A28}"/>
  <tableColumns count="9">
    <tableColumn id="9" xr3:uid="{983AA3EE-D554-4611-9143-CB18ADA5BC06}" name="Name" dataDxfId="338"/>
    <tableColumn id="2" xr3:uid="{365B74CD-D14D-4F75-ABA6-B5CBD126E6F2}" name="Top [m]" dataDxfId="337"/>
    <tableColumn id="12" xr3:uid="{3CC0B321-8A95-4AEE-8DFB-77DAE8FAB528}" name="Bottom [m]" dataDxfId="336"/>
    <tableColumn id="3" xr3:uid="{29EF80FE-079C-4A10-9ADB-03D595E35311}" name="Mass [kg]" dataDxfId="335"/>
    <tableColumn id="1" xr3:uid="{EB762DF5-D84F-4ED6-9E32-E1B37FE9C38D}" name="Diameter [m]" dataDxfId="334"/>
    <tableColumn id="4" xr3:uid="{7D3C052F-35A7-4A8C-B722-8A6311D56BDC}" name="Orientation [°]" dataDxfId="333"/>
    <tableColumn id="5" xr3:uid="{A094AF7B-AEFB-4B58-9377-0B3B7C131ADC}" name="Distance Axis to Axis" dataDxfId="332"/>
    <tableColumn id="6" xr3:uid="{E15A8DE3-D9C1-4684-A605-26B6F2B8779C}" name="Gap between surfaces" dataDxfId="331"/>
    <tableColumn id="7" xr3:uid="{026563CA-A00A-4D48-9BC2-1AF2FA6C6586}" name="Surface roughness [m]" dataDxfId="33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9">
  <autoFilter ref="AF18:AN21" xr:uid="{BDE973CA-C8D2-4A67-ACE1-6BE97A1FF0C7}"/>
  <tableColumns count="9">
    <tableColumn id="9" xr3:uid="{55BF990C-941A-438C-86DE-D99A5424D8A4}" name="Name" dataDxfId="328"/>
    <tableColumn id="2" xr3:uid="{D2CC7DEA-1AC5-4558-B6A8-7A00324F8731}" name="Top [m]" dataDxfId="327"/>
    <tableColumn id="12" xr3:uid="{63B7643C-B71B-4F75-B941-E84BE173CC9A}" name="Bottom [m]" dataDxfId="326"/>
    <tableColumn id="3" xr3:uid="{74DA4B22-9428-450B-B8ED-D23057E6EF7A}" name="Mass [kg]" dataDxfId="325"/>
    <tableColumn id="1" xr3:uid="{45265052-CB7D-44E4-B950-26F73BB47B9B}" name="Diameter [m]" dataDxfId="324"/>
    <tableColumn id="4" xr3:uid="{E80A5184-2DFE-4036-BD65-B61B96122334}" name="Orientation [°]" dataDxfId="323"/>
    <tableColumn id="5" xr3:uid="{F8C744AA-AA7B-4562-BFA1-0E7C53B53FF4}" name="Distance Axis to Axis" dataDxfId="322"/>
    <tableColumn id="6" xr3:uid="{A8D74212-5B24-4FC1-A938-5DFC386726CB}" name="Gap between surfaces" dataDxfId="321"/>
    <tableColumn id="7" xr3:uid="{9576E46D-F632-4BD0-8B5D-9B663892335B}" name="Surface roughness [m]"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19" dataDxfId="318">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17"/>
    <tableColumn id="2" xr3:uid="{75FB6F15-9784-4F9D-9947-41C8E7DD1CC9}" name="Project ID" dataDxfId="316"/>
    <tableColumn id="3" xr3:uid="{DF3379D9-9371-4EDE-B715-A6A40C072275}" name="Phase" dataDxfId="315"/>
    <tableColumn id="4" xr3:uid="{B2F66CA1-64D8-49D4-A1DA-28FD14EC75C2}" name="Structure ID" dataDxfId="314"/>
    <tableColumn id="5" xr3:uid="{E0EC4989-22E7-49A3-8DAC-034A87568E19}" name="Water Depth [m]" dataDxfId="313"/>
    <tableColumn id="6" xr3:uid="{9873A46F-D488-4AA7-BC64-C1E65C65D808}" name="Height Reference" dataDxfId="312"/>
    <tableColumn id="7" xr3:uid="{CD60E691-17C5-40B2-9E26-571B6CB0C11D}" name="Comments" dataDxfId="31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0" dataDxfId="309">
  <autoFilter ref="AP13:AV14" xr:uid="{4C688CB2-0B79-4AE2-B2DC-6850E0999F22}"/>
  <tableColumns count="7">
    <tableColumn id="1" xr3:uid="{4F627CE6-59C4-4523-A98C-81FD64443B88}" name="Identifier" dataDxfId="308"/>
    <tableColumn id="2" xr3:uid="{19921618-20B3-46FF-937E-24E6775D797E}" name="Project ID" dataDxfId="307"/>
    <tableColumn id="3" xr3:uid="{B1F7CCA9-A1BD-4F05-9237-B6284F3056E5}" name="Phase" dataDxfId="306"/>
    <tableColumn id="4" xr3:uid="{D5F33D5B-370E-46F7-BB6A-B74EC6139333}" name="Structure ID" dataDxfId="305"/>
    <tableColumn id="5" xr3:uid="{A7DF7C25-D9CF-4ABB-B7CD-68DC60608B9A}" name="Water Depth [m]" dataDxfId="304"/>
    <tableColumn id="6" xr3:uid="{A1DB5BD8-96E9-4ECB-89FE-50CF6529DD7E}" name="Height Reference" dataDxfId="303"/>
    <tableColumn id="7" xr3:uid="{2B99DBD7-0B0D-4BA1-87CB-C7AC621E6F3F}" name="Comments" dataDxfId="30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1" dataDxfId="300">
  <autoFilter ref="AP18:AV19" xr:uid="{82B2E050-F7C0-4103-ACF7-1508C2548380}"/>
  <tableColumns count="7">
    <tableColumn id="1" xr3:uid="{74379588-884B-4B92-99E3-2D8263DA35A7}" name="Identifier" dataDxfId="299"/>
    <tableColumn id="2" xr3:uid="{4D521BF5-BEDD-467B-BCA6-F197DD205F5D}" name="Project ID" dataDxfId="298"/>
    <tableColumn id="3" xr3:uid="{0D0764F3-2EB6-4AFD-8BBF-4B2A213694FB}" name="Phase" dataDxfId="297"/>
    <tableColumn id="4" xr3:uid="{F735A36B-0E53-4B21-98AF-8098D165B7A4}" name="Structure ID" dataDxfId="296"/>
    <tableColumn id="5" xr3:uid="{DD6C5343-9FF0-4988-B7AD-68A2B196AE75}" name="Water Depth [m]" dataDxfId="295"/>
    <tableColumn id="6" xr3:uid="{593B4864-FEBF-42DA-A98D-9BD5E874FDA3}" name="Height Reference" dataDxfId="294"/>
    <tableColumn id="7" xr3:uid="{AD918F6B-4A01-4D99-AEC7-AC9BF6550DE3}" name="Comments" dataDxfId="29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2" dataDxfId="29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290"/>
    <tableColumn id="2" xr3:uid="{AA39DD39-8C8E-4F66-AA28-5EB59746565D}" name="Top [m]" dataDxfId="289"/>
    <tableColumn id="3" xr3:uid="{E2F479E9-17D9-4C2D-BF7C-2640F78B84E4}" name="Bottom [m]" dataDxfId="288"/>
    <tableColumn id="4" xr3:uid="{C69849FB-2BB9-4BF6-8192-78ED7173DD46}" name="D, top [m]" dataDxfId="287"/>
    <tableColumn id="5" xr3:uid="{837623EF-EE9F-47D2-AAAD-D903281C1D0A}" name="D, bottom [m]" dataDxfId="286"/>
    <tableColumn id="6" xr3:uid="{FDE46510-9BFE-418F-AE03-598BF29FF831}" name="t [mm]" dataDxfId="28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84" dataDxfId="283">
  <autoFilter ref="BA112:BI118" xr:uid="{E1532FB8-4FA8-44E8-9D28-3535D0247613}"/>
  <tableColumns count="9">
    <tableColumn id="9" xr3:uid="{DDF4C359-0ED4-4157-B9B0-FFEC4F20A42C}" name="Name" dataDxfId="282"/>
    <tableColumn id="2" xr3:uid="{19BE9D85-AB85-4478-869F-084DC21BFD73}" name="Top [m]" dataDxfId="281"/>
    <tableColumn id="12" xr3:uid="{60D0BC20-AB8D-45D9-B128-1553A1D96305}" name="Bottom [m]" dataDxfId="280"/>
    <tableColumn id="3" xr3:uid="{662A2295-30AD-4A23-9CB2-ED339894A5E3}" name="Mass [kg]" dataDxfId="279"/>
    <tableColumn id="1" xr3:uid="{7BB91480-5314-4B92-B955-96A05520598B}" name="Diameter [m]" dataDxfId="278"/>
    <tableColumn id="4" xr3:uid="{288140B8-5B54-4E75-9449-01E8BB0785E7}" name="Orientation [°]" dataDxfId="277"/>
    <tableColumn id="5" xr3:uid="{04DC00AE-32C9-416C-ACBC-DEF2672988E5}" name="Distance Axis to Axis" dataDxfId="276"/>
    <tableColumn id="6" xr3:uid="{55C6527D-0D27-4523-B175-D1F63F0DDCEC}" name="Gap between surfaces" dataDxfId="275"/>
    <tableColumn id="7" xr3:uid="{0BEC8B77-AA74-4444-96C4-C6CFE771E16C}" name="Surface roughness [m]" dataDxfId="27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273" dataDxfId="272">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271"/>
    <tableColumn id="2" xr3:uid="{EC6A5746-7A0B-4DAB-8EBD-EDC20D766606}" name="Project ID" dataDxfId="270"/>
    <tableColumn id="3" xr3:uid="{2A15135F-98D6-4FBD-AE84-5EF0B52672ED}" name="Phase" dataDxfId="269"/>
    <tableColumn id="4" xr3:uid="{A7219BBA-68F7-4990-95D5-9B5A4EC218AA}" name="Structure ID" dataDxfId="268"/>
    <tableColumn id="5" xr3:uid="{ACC137C5-3CF1-40F4-952F-3B5BEC9A8ED2}" name="Water Depth [m]" dataDxfId="267"/>
    <tableColumn id="6" xr3:uid="{28B9B9E9-3ACF-4467-8F04-662CFC688071}" name="Height Reference" dataDxfId="266"/>
    <tableColumn id="7" xr3:uid="{352B6A31-2237-4251-83A7-8BBEBAA34145}" name="Comments" dataDxfId="2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64" dataDxfId="263">
  <autoFilter ref="BJ12:BP13" xr:uid="{95B9336E-C6A5-4C93-9BED-34E5AF05FA6C}"/>
  <tableColumns count="7">
    <tableColumn id="1" xr3:uid="{BFA931EE-6FF8-44FC-AD54-32A5CF9115A2}" name="Identifier" dataDxfId="262"/>
    <tableColumn id="2" xr3:uid="{890F5896-05F5-47DB-B9DE-92FEF30867DB}" name="Project ID" dataDxfId="261"/>
    <tableColumn id="3" xr3:uid="{B37A2062-3A26-4ECC-B4E4-991B88E82CB2}" name="Phase" dataDxfId="260"/>
    <tableColumn id="4" xr3:uid="{C64DA219-F7AA-44CC-BC3D-62956AF84B2E}" name="Structure ID" dataDxfId="259"/>
    <tableColumn id="5" xr3:uid="{47235A3E-EBF6-486D-8ADC-74E88BA72554}" name="Water Depth [m]" dataDxfId="258"/>
    <tableColumn id="6" xr3:uid="{6F9496C9-78A5-48EB-ADDB-1E499513D04A}" name="Height Reference" dataDxfId="257"/>
    <tableColumn id="7" xr3:uid="{377B6EFB-A6E2-452C-9D74-166D22A947E2}" name="Comments" dataDxfId="25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55" dataDxfId="25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53"/>
    <tableColumn id="2" xr3:uid="{E8281684-BC71-4E35-8AE4-31AC648F4A83}" name="Top [m]" dataDxfId="252"/>
    <tableColumn id="3" xr3:uid="{6B784D87-E7E2-4CF9-935B-9C0C8FC2DBC2}" name="Bottom [m]" dataDxfId="251"/>
    <tableColumn id="4" xr3:uid="{96A3790F-0CF8-4CB5-8340-C0A20382D4FC}" name="D, top [m]" dataDxfId="250"/>
    <tableColumn id="5" xr3:uid="{222474F9-E0FB-441A-81D5-07306740C4B2}" name="D, bottom [m]" dataDxfId="249"/>
    <tableColumn id="6" xr3:uid="{541ECBE1-3529-43CA-B9AD-3DE9306D1235}" name="t [mm]" dataDxfId="24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47">
  <autoFilter ref="BQ18:BY24" xr:uid="{6CC2DE03-626B-408F-BF0C-226561799664}"/>
  <tableColumns count="9">
    <tableColumn id="9" xr3:uid="{C4C238D0-5357-48AB-969A-BE97844E5B70}" name="Name" dataDxfId="246"/>
    <tableColumn id="2" xr3:uid="{75F4D18E-F4BE-42B7-BB68-BF337C8DBA12}" name="Top [m]" dataDxfId="245"/>
    <tableColumn id="12" xr3:uid="{7C08C228-C676-4F90-9088-C9A3D6E72EB7}" name="Bottom [m]" dataDxfId="244"/>
    <tableColumn id="3" xr3:uid="{935DDAA6-49E6-45F6-B4AC-FCE8DF0B0A4D}" name="Mass [kg]" dataDxfId="243"/>
    <tableColumn id="1" xr3:uid="{E1D9BE0D-D944-4F2C-BAFF-1BA4FBB69ECE}" name="Diameter [m]" dataDxfId="242"/>
    <tableColumn id="4" xr3:uid="{A5E1EAFC-3DD4-4294-8717-665AE71BEDA8}" name="Orientation [°]" dataDxfId="241"/>
    <tableColumn id="5" xr3:uid="{5CE5C6CE-44B0-4B32-B390-246BAF490F6A}" name="Distance Axis to Axis" dataDxfId="240"/>
    <tableColumn id="6" xr3:uid="{CBE21F9B-8BA2-4737-8F56-34AD78C68BC3}" name="Gap between surfaces" dataDxfId="239"/>
    <tableColumn id="7" xr3:uid="{18326CB3-EF8F-4E97-ADA5-82B71868B5B1}" name="Surface roughness [m]" dataDxfId="2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37">
  <autoFilter ref="DY12:EG15" xr:uid="{6273375F-28C8-4A14-A545-8B988B5C9E65}"/>
  <tableColumns count="9">
    <tableColumn id="1" xr3:uid="{C3AE8FB7-66D2-47E1-8AA6-F0260BDFFCB8}" name="Identifier" dataDxfId="236"/>
    <tableColumn id="2" xr3:uid="{5F848737-A14E-44D6-9231-85AB48A55526}" name="Power [MW]" dataDxfId="235"/>
    <tableColumn id="3" xr3:uid="{2C93533D-1E27-4EB2-B7E6-3A19FEC55632}" name="Rotor Diameter [m]" dataDxfId="234"/>
    <tableColumn id="4" xr3:uid="{9D1780E5-E668-4D12-AF46-0A1DF433FA8A}" name="Mass of RNA [kg]" dataDxfId="233"/>
    <tableColumn id="5" xr3:uid="{1CA8A517-990E-4959-826C-118C5EC0C261}" name="Inertia of RNA fore-aft @COG [kg m^2]" dataDxfId="232"/>
    <tableColumn id="6" xr3:uid="{9FFE4A1F-E32A-49E7-8031-A24CF653CD8C}" name="Inertia of RNA side-side @COG [kg m^2]" dataDxfId="231"/>
    <tableColumn id="8" xr3:uid="{C481EB76-DD37-4979-8B5D-F3C81E38423E}" name="vertical offset TT to HH [m] " dataDxfId="230"/>
    <tableColumn id="7" xr3:uid="{3BD257A8-5786-4E03-8F1F-6116921828A3}" name="vertical offset TT_COG [m]" dataDxfId="229"/>
    <tableColumn id="9" xr3:uid="{A74BD603-BB70-4B62-BE72-E692B1275ED2}" name="comment" dataDxfId="22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27" dataDxfId="226">
  <autoFilter ref="CB13:CH14" xr:uid="{5E76A910-DF84-4E36-A4A6-B43198F7A96D}"/>
  <tableColumns count="7">
    <tableColumn id="1" xr3:uid="{49BDBE95-80B3-4FD9-8ACC-4B929435AD88}" name="Identifier" dataDxfId="225"/>
    <tableColumn id="2" xr3:uid="{32637689-6006-48B4-8929-BF421BC82099}" name="Project ID" dataDxfId="224"/>
    <tableColumn id="3" xr3:uid="{58EC6A59-D9AB-4639-AE2E-4066805ECCC7}" name="Phase" dataDxfId="223"/>
    <tableColumn id="4" xr3:uid="{D5F3B7B3-BCC6-430C-9377-613CFCF29F12}" name="Structure ID" dataDxfId="222"/>
    <tableColumn id="5" xr3:uid="{92A37342-D675-4C58-9EBE-68B176E8C4F0}" name="Water Depth [m]" dataDxfId="221"/>
    <tableColumn id="6" xr3:uid="{5F11FEBE-52FC-4092-8F48-847726252247}" name="Height Reference" dataDxfId="220"/>
    <tableColumn id="7" xr3:uid="{6517C9F8-12CA-4024-AE0A-4D2B27375CE4}" name="Comments" dataDxfId="21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18" dataDxfId="217">
  <autoFilter ref="CB18:CH19" xr:uid="{025EB930-F6B9-4BC7-B40C-AB7D77CEB229}"/>
  <tableColumns count="7">
    <tableColumn id="1" xr3:uid="{03FCE140-AA4A-46F2-BC6F-D0614EC2E9FE}" name="Identifier" dataDxfId="216"/>
    <tableColumn id="2" xr3:uid="{8FBF53CD-1458-4120-89FB-5F133EE7EBC4}" name="Project ID" dataDxfId="215"/>
    <tableColumn id="3" xr3:uid="{6DB63014-4AF3-4811-AA2F-6F13926398DB}" name="Phase" dataDxfId="214"/>
    <tableColumn id="4" xr3:uid="{87B1B81D-346F-4544-A6A4-9DDE8CD110B3}" name="Structure ID" dataDxfId="213"/>
    <tableColumn id="5" xr3:uid="{340DEA9D-D07C-4CB2-B2CA-37ABBF463E27}" name="Water Depth [m]" dataDxfId="212"/>
    <tableColumn id="6" xr3:uid="{878704E1-3839-422C-897E-097E9E7D609E}" name="Height Reference" dataDxfId="211"/>
    <tableColumn id="7" xr3:uid="{58108BE0-55DB-4266-A1B3-00D35B62F1A1}" name="Comments" dataDxfId="21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09" dataDxfId="208">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07"/>
    <tableColumn id="2" xr3:uid="{AF3B0F66-A97E-469B-BB2C-92E08B9852BC}" name="Top [m]" dataDxfId="206"/>
    <tableColumn id="3" xr3:uid="{EC9C8893-C993-4BCE-BD9D-E7180486ABFE}" name="Bottom [m]" dataDxfId="205"/>
    <tableColumn id="4" xr3:uid="{ED8DD31F-6E20-4C5F-BC92-0B6DB7A1B362}" name="D, top [m]" dataDxfId="204"/>
    <tableColumn id="5" xr3:uid="{2B890B63-A561-40A7-9FBB-7B8D47FD2656}" name="D, bottom [m]" dataDxfId="203"/>
    <tableColumn id="6" xr3:uid="{F255FA0B-5DF3-4FA4-A7BD-E6FEACC8E738}" name="t [mm]" dataDxfId="20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01" dataDxfId="200">
  <autoFilter ref="CM112:CU161" xr:uid="{053322B7-F3E5-4935-832F-DFBC92EF3AA2}"/>
  <tableColumns count="9">
    <tableColumn id="9" xr3:uid="{AB7A3BD0-E047-4B9B-B321-179F40ECC452}" name="Name" dataDxfId="199"/>
    <tableColumn id="2" xr3:uid="{3AED4E5F-8B5F-4607-A3FD-EEAB134CA7C8}" name="Top [m]" dataDxfId="198"/>
    <tableColumn id="12" xr3:uid="{84257648-6597-4C8A-AD5A-3D3D0B07220D}" name="Bottom [m]" dataDxfId="197"/>
    <tableColumn id="3" xr3:uid="{20FDA9C3-BF70-4D85-A870-C8B7ADD0F944}" name="Mass [kg]" dataDxfId="196"/>
    <tableColumn id="1" xr3:uid="{A1DA6B57-09C6-4BA3-8C6D-34B4DE0BC8C4}" name="Diameter [m]" dataDxfId="195"/>
    <tableColumn id="4" xr3:uid="{7B401936-3842-4626-8801-F37D73E9C6DF}" name="Orientation [°]" dataDxfId="194"/>
    <tableColumn id="5" xr3:uid="{3E808003-5E60-482F-ABF1-D2D73158ED75}" name="Distance Axis to Axis" dataDxfId="193"/>
    <tableColumn id="6" xr3:uid="{AA2B16CF-21CA-4B65-91DB-2046C745D885}" name="Gap between surfaces" dataDxfId="192"/>
    <tableColumn id="7" xr3:uid="{269E9AEB-7728-4497-93C0-92D0DDE32F7B}" name="Surface roughness [m]" dataDxfId="19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190" dataDxfId="189">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188"/>
    <tableColumn id="2" xr3:uid="{B126DBC5-55C1-442E-B96B-933B020A9CD4}" name="Project ID" dataDxfId="187"/>
    <tableColumn id="3" xr3:uid="{348D5BC0-8868-4781-8DF0-2E04B537B73E}" name="Phase" dataDxfId="186"/>
    <tableColumn id="4" xr3:uid="{056B06E5-26E8-494B-83AF-1C87FB2162FC}" name="Structure ID" dataDxfId="185"/>
    <tableColumn id="5" xr3:uid="{EF179F4C-6CE0-4E71-9486-F0E6D0E71C4C}" name="Water Depth [m]" dataDxfId="184"/>
    <tableColumn id="6" xr3:uid="{2FDCFB50-700F-4830-AD68-13F9C0B1CC31}" name="Height Reference" dataDxfId="183"/>
    <tableColumn id="7" xr3:uid="{DE9B320D-8967-4FD8-BAE1-C291FB3ED005}" name="Comments" dataDxfId="18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181" dataDxfId="180">
  <autoFilter ref="CV12:DB13" xr:uid="{636DA4FD-EDFB-4F12-A89B-84FBA35E7AC5}"/>
  <tableColumns count="7">
    <tableColumn id="1" xr3:uid="{E34E574E-744D-4554-AD98-E3D18572D674}" name="Identifier" dataDxfId="179"/>
    <tableColumn id="2" xr3:uid="{E411370A-1A97-44E5-BD18-89879F80115C}" name="Project ID" dataDxfId="178"/>
    <tableColumn id="3" xr3:uid="{F8DB145A-5EEF-4C6B-8F9D-B588A17D3C5D}" name="Phase" dataDxfId="177"/>
    <tableColumn id="4" xr3:uid="{43BB9CC2-4974-4122-BCFD-6271174F98E0}" name="Structure ID" dataDxfId="176"/>
    <tableColumn id="5" xr3:uid="{1E3D4F3B-C73C-4C7A-9F63-2C7CEB367AA8}" name="Water Depth [m]" dataDxfId="175"/>
    <tableColumn id="6" xr3:uid="{CF6F63D6-FC41-4D2D-B310-0191259847FF}" name="Height Reference" dataDxfId="174"/>
    <tableColumn id="7" xr3:uid="{50321489-A2C4-4A01-B8EA-6B294362F8E1}" name="Comments" dataDxfId="1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172" dataDxfId="171">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70"/>
    <tableColumn id="2" xr3:uid="{BB1ACF23-16B7-4C47-80B0-893A33C698A9}" name="Top [m]" dataDxfId="169"/>
    <tableColumn id="3" xr3:uid="{D5324E74-51EE-432A-847E-5AE29B7CA4D7}" name="Bottom [m]" dataDxfId="168"/>
    <tableColumn id="4" xr3:uid="{FFBDC83C-AA98-41F1-91F3-EE469D2DD36A}" name="D, top [m]" dataDxfId="167"/>
    <tableColumn id="5" xr3:uid="{B936FF01-5C34-41FB-BD9D-F28D153F9BDF}" name="D, bottom [m]" dataDxfId="166"/>
    <tableColumn id="6" xr3:uid="{19D1010E-9125-43B6-B42C-67FA9586EDA8}" name="t [mm]" dataDxfId="16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164">
  <autoFilter ref="DC18:DK67" xr:uid="{12F79D89-930A-4420-97C7-60370F1121DC}"/>
  <tableColumns count="9">
    <tableColumn id="9" xr3:uid="{5BB60229-57C8-489B-8AD5-280AB6D93E54}" name="Name" dataDxfId="163"/>
    <tableColumn id="2" xr3:uid="{EAC19ED0-15BB-4F2F-B297-347769AEDA92}" name="Top [m]" dataDxfId="162"/>
    <tableColumn id="12" xr3:uid="{47A7AF06-EC9F-427D-8F50-53F82DB050A6}" name="Bottom [m]" dataDxfId="161"/>
    <tableColumn id="3" xr3:uid="{50700484-30B3-4605-8578-AD4FBA12A5B2}" name="Mass [kg]" dataDxfId="160"/>
    <tableColumn id="1" xr3:uid="{E557ADD3-D28A-4C96-B6FA-AF6D98691265}" name="Diameter [m]" dataDxfId="159"/>
    <tableColumn id="4" xr3:uid="{E8468086-16DA-4063-B0B5-DAC02A29244C}" name="Orientation [°]" dataDxfId="158"/>
    <tableColumn id="5" xr3:uid="{62B06F09-4543-4DBA-8F55-1F54D6CC331B}" name="Distance Axis to Axis" dataDxfId="157"/>
    <tableColumn id="6" xr3:uid="{FC078448-A491-4E57-AF88-7DC574214818}" name="Gap between surfaces" dataDxfId="156"/>
    <tableColumn id="7" xr3:uid="{C7E82548-94F1-43F3-BD70-20A3E76E01FF}" name="Surface roughness [m]" dataDxfId="15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154" dataDxfId="152" headerRowBorderDxfId="153" tableBorderDxfId="151">
  <autoFilter ref="DN111:DV114" xr:uid="{25902508-4CE0-4A3E-B393-EABB076E5067}"/>
  <tableColumns count="9">
    <tableColumn id="1" xr3:uid="{9AAE1BAC-6413-45AA-8F9A-CA13CBCAD201}" name="Identifier" dataDxfId="150"/>
    <tableColumn id="2" xr3:uid="{3752FAA6-8F43-4A1F-BDEE-07A53859F1E7}" name="Power [MW]" dataDxfId="149"/>
    <tableColumn id="10" xr3:uid="{458667F5-0408-492D-B92E-A3D3C270519C}" name="Rotor Diameter [m]" dataDxfId="148"/>
    <tableColumn id="3" xr3:uid="{7DB2ACAF-6D53-482F-8CEF-8073695D2184}" name="Mass of RNA [kg]" dataDxfId="147"/>
    <tableColumn id="4" xr3:uid="{AD0550DD-2078-47BE-8718-A80100547BC6}" name="Inertia of RNA fore-aft @COG [kg m^2]" dataDxfId="146"/>
    <tableColumn id="5" xr3:uid="{FE2F1CB5-7238-43D1-BD0E-870267602329}" name="Inertia of RNA side-side @COG [kg m^2]" dataDxfId="145"/>
    <tableColumn id="6" xr3:uid="{A8B68FE9-4E32-421F-B38A-D43A617ACB98}" name="Vertical Offset TT to HH [m] " dataDxfId="144"/>
    <tableColumn id="7" xr3:uid="{37A681FC-3A2A-4D32-AA7F-00F65FE7DB9F}" name="Vertical Offset TT_COG [m]" dataDxfId="143"/>
    <tableColumn id="8" xr3:uid="{F94ECCEB-31E8-4416-B7C7-95B8A86CF8EF}" name="comment" dataDxfId="14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41" dataDxfId="140">
  <autoFilter ref="D6:K98" xr:uid="{6964430C-2D65-45C4-817F-08653037EDFC}"/>
  <tableColumns count="8">
    <tableColumn id="1" xr3:uid="{1C924510-54DB-4186-8521-598E5FD7BF93}" name="Section" totalsRowLabel="Ergebnis" dataDxfId="139" totalsRowDxfId="138"/>
    <tableColumn id="2" xr3:uid="{29F8F207-72DF-4027-A39E-C3D956F79382}" name="Affiliation" dataDxfId="137" totalsRowDxfId="136"/>
    <tableColumn id="3" xr3:uid="{F1A86E12-282B-4FE8-A989-9056549BE251}" name="local Section" dataDxfId="135" totalsRowDxfId="134"/>
    <tableColumn id="4" xr3:uid="{1F0B5480-90D3-4DBF-AAEC-010EB8A46507}" name="Top [m]" dataDxfId="133" totalsRowDxfId="132"/>
    <tableColumn id="5" xr3:uid="{2F9EEEB1-AE18-4058-A215-9A6EAD23E6F0}" name="Bottom [m]" dataDxfId="131" totalsRowDxfId="130"/>
    <tableColumn id="6" xr3:uid="{CAF3E9FD-22BF-4C53-97D3-15DEA70C9DE2}" name="D, top [m]" dataDxfId="129" totalsRowDxfId="128"/>
    <tableColumn id="7" xr3:uid="{EE4449DD-273C-4967-8180-25E33E65F937}" name="D, bottom [m]" dataDxfId="127" totalsRowDxfId="126"/>
    <tableColumn id="8" xr3:uid="{9E0DB1B2-CFCB-4381-92CD-ECD40BB596EB}" name="t [mm]" dataDxfId="125" totalsRowDxfId="12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23" dataDxfId="122">
  <autoFilter ref="Q6:Z64" xr:uid="{99775F4D-8879-4247-BCBB-9E55004F5FE5}"/>
  <tableColumns count="10">
    <tableColumn id="8" xr3:uid="{4222E379-EA2F-436F-A27E-F66347A2B7A2}" name="Affiliation" dataDxfId="121"/>
    <tableColumn id="1" xr3:uid="{00244646-90F3-4DDD-AB6B-0373781AFF60}" name="Name" dataDxfId="120"/>
    <tableColumn id="2" xr3:uid="{6305BA78-EC7F-4D5E-A143-DF4E3CB9A56C}" name="Top [m]" dataDxfId="119"/>
    <tableColumn id="3" xr3:uid="{156C5A02-52CD-48BE-87D5-E9BF8F935E99}" name="Bottom [m]" dataDxfId="118"/>
    <tableColumn id="4" xr3:uid="{BA986155-703C-4151-964B-7F7638569588}" name="Mass [kg]" dataDxfId="117"/>
    <tableColumn id="5" xr3:uid="{5FB39ED9-35A0-4964-ADC5-B9008F43FCB7}" name="Diameter [m]" dataDxfId="116"/>
    <tableColumn id="6" xr3:uid="{094B0EAF-8736-4B85-A464-028FE0E10FAC}" name="Orientation [°]" dataDxfId="115"/>
    <tableColumn id="7" xr3:uid="{F864D980-FF18-446E-8D28-70D3CBCA43E9}" name="Distance Axis to Axis [m]" dataDxfId="114"/>
    <tableColumn id="9" xr3:uid="{FD2E8D1C-F275-49BC-BD8B-D63D6205E6DF}" name="Gap between surfaces [m]" dataDxfId="113"/>
    <tableColumn id="10" xr3:uid="{DFEB932C-31A8-42AF-A99C-78CC47E5676D}" name="Surface roughness [m]" dataDxfId="11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11" dataDxfId="109" headerRowBorderDxfId="110" tableBorderDxfId="108" totalsRowBorderDxfId="107">
  <autoFilter ref="AB31:AG35" xr:uid="{A1E86920-59C8-4A34-A4FA-D52D35DC047E}"/>
  <tableColumns count="6">
    <tableColumn id="1" xr3:uid="{D7BA5792-F27A-42AB-84A6-1A5C5073E624}" name="Affiliation" dataDxfId="106"/>
    <tableColumn id="3" xr3:uid="{F299E913-54CD-48A0-BB41-0880A93754FE}" name="Top [m]" dataDxfId="105"/>
    <tableColumn id="4" xr3:uid="{3FE7280C-AE16-43A5-98C5-AC81567063F8}" name="Bottom [m]" dataDxfId="104"/>
    <tableColumn id="5" xr3:uid="{494E1F17-E9F7-4B30-BF2F-0D837AD6C9EB}" name="D, top [m]" dataDxfId="103"/>
    <tableColumn id="6" xr3:uid="{9D18588B-23C1-495C-A81D-3BA5AF2F1DDD}" name="D, bottom [m]" dataDxfId="102"/>
    <tableColumn id="7" xr3:uid="{C3BA2567-9ACF-4834-A3FA-9599A0D98796}" name="t [mm]" dataDxfId="10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00" dataDxfId="98" headerRowBorderDxfId="99" tableBorderDxfId="97">
  <autoFilter ref="AB27:AE28" xr:uid="{CD52EECF-AB78-4C57-8765-66AA1058C0CF}"/>
  <tableColumns count="4">
    <tableColumn id="1" xr3:uid="{035BC3C9-B7CD-47B5-94D2-F8D64A04FD6C}" name="Affiliation" dataDxfId="96"/>
    <tableColumn id="2" xr3:uid="{9093341A-644E-4005-A4B0-0B05612EE421}" name="Elevation [m]" dataDxfId="95"/>
    <tableColumn id="3" xr3:uid="{71FE16E7-7251-4F14-B28B-4C6055F6AED1}" name="Mass [t]" dataDxfId="94"/>
    <tableColumn id="4" xr3:uid="{87F4221A-61DF-4C79-A116-8098A7C6FAAE}" name="comment" dataDxfId="9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92" dataDxfId="91">
  <autoFilter ref="AB14:AF18" xr:uid="{8D334D84-754D-4685-9A4A-6A66B2E4FFB9}"/>
  <tableColumns count="5">
    <tableColumn id="1" xr3:uid="{DB673771-BB6D-4B68-81A2-B0DFC2758DC6}" name="Bottom [m]" dataDxfId="90"/>
    <tableColumn id="2" xr3:uid="{88DBAEFE-0CE9-43B7-BBD5-30E29A54DD0E}" name="Top [m]" dataDxfId="89"/>
    <tableColumn id="3" xr3:uid="{88F4E89D-F5DC-463C-AE91-5C5F8B82A591}" name="Marine Growth [mm]" dataDxfId="88"/>
    <tableColumn id="4" xr3:uid="{ABEE5949-3D04-400D-9A95-F3EBF7837C0E}" name="Density  [kg/m^3]" dataDxfId="87"/>
    <tableColumn id="5" xr3:uid="{F538BE21-E07F-43DA-9EA7-D7658B55572F}" name="Surface Roughness [m]" dataDxfId="8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85" dataDxfId="84">
  <autoFilter ref="AB22:AE24" xr:uid="{87B4A03F-1005-4720-8887-A14737394284}"/>
  <tableColumns count="4">
    <tableColumn id="1" xr3:uid="{79B3039B-DCB3-4DB5-9657-9170C1A7D7A1}" name="Bottom [m]" dataDxfId="83"/>
    <tableColumn id="2" xr3:uid="{798BD679-C372-4555-9ABA-DF12AF1BEB7B}" name="Top [m]" dataDxfId="82"/>
    <tableColumn id="3" xr3:uid="{C28B4B73-F57A-4DF1-B531-CD436CEA398C}" name="cd" dataDxfId="81"/>
    <tableColumn id="4" xr3:uid="{B75141CC-AB54-4904-90B7-845CA3D69A1B}" name="cm" dataDxfId="8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79" dataDxfId="77" headerRowBorderDxfId="78" tableBorderDxfId="76" totalsRowBorderDxfId="75">
  <autoFilter ref="AB8:AJ9" xr:uid="{72CE8A2A-6760-4548-BB1E-BCA204D8C1BA}"/>
  <tableColumns count="9">
    <tableColumn id="1" xr3:uid="{46A5A21B-3002-456C-8AD9-5ECB42AC421F}" name="Identifier" dataDxfId="74"/>
    <tableColumn id="2" xr3:uid="{F5B4AC32-29FD-42F7-91EC-62CC42FCE0D7}" name="Power [MW]" dataDxfId="73"/>
    <tableColumn id="3" xr3:uid="{F6A77E93-EA0B-4A7B-91D9-D14361BC8B1A}" name="Rotor Diameter [m]" dataDxfId="72"/>
    <tableColumn id="4" xr3:uid="{324F57B3-0BB2-4A0A-864F-C4E295BA1417}" name="Mass of RNA [kg]" dataDxfId="71"/>
    <tableColumn id="5" xr3:uid="{498958C1-FF10-460A-950F-D28B6D477E67}" name="Inertia of RNA fore-aft @COG [kg m^2]" dataDxfId="70"/>
    <tableColumn id="8" xr3:uid="{234964DC-3BFC-4170-9D6A-7B3DBC67A11F}" name="Inertia of RNA side-side @COG [kg m^2]" dataDxfId="69"/>
    <tableColumn id="6" xr3:uid="{9A250389-A125-48C0-9709-4FC870698E51}" name="Vertical Offset TT to HH [m]" dataDxfId="68"/>
    <tableColumn id="7" xr3:uid="{7481D65D-D15B-4189-850C-213AFF247093}" name="Vertical Offset TT_COG [m]" dataDxfId="67"/>
    <tableColumn id="9" xr3:uid="{DC025F26-D4D4-42D6-A0AC-A10FD5B08484}" name="comment" dataDxfId="6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65" dataDxfId="64">
  <autoFilter ref="A5:C9" xr:uid="{C35E7AB2-603F-4F8E-A683-CC2DB9E03260}"/>
  <tableColumns count="3">
    <tableColumn id="1" xr3:uid="{249E4AC0-B025-41CE-B64B-B1C47A8B108A}" name="Parameter" dataDxfId="63" totalsRowDxfId="62"/>
    <tableColumn id="2" xr3:uid="{96957327-E448-409A-A132-2F66C10F1B05}" name="Value" dataDxfId="61" totalsRowDxfId="60"/>
    <tableColumn id="3" xr3:uid="{9BA3C973-0D4E-4458-9364-B9F23256E516}" name="Unit" dataDxfId="59" totalsRowDxfId="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57"/>
    <tableColumn id="3" xr3:uid="{7B4AFB51-C380-4E40-AA9A-07A3C0BB6BB2}" name="Unit" dataDxfId="5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2" totalsRowShown="0" dataDxfId="55">
  <autoFilter ref="AO14:AR22" xr:uid="{D00F4F6D-0F31-4182-BC4A-31C745F7BBA9}"/>
  <tableColumns count="4">
    <tableColumn id="1" xr3:uid="{3E7E42D1-2471-409C-AC2F-75B5A8095375}" name="Parameter" dataDxfId="54"/>
    <tableColumn id="4" xr3:uid="{99EC9FE1-9CC9-4583-9D9D-230249F64D0F}" name="comment" dataDxfId="53"/>
    <tableColumn id="3" xr3:uid="{871A325F-4286-41C3-A6A6-BD4642988E4A}" name="Unit" dataDxfId="52"/>
    <tableColumn id="2" xr3:uid="{6C705FCB-5D10-4250-9912-E9DAC119643B}" name="Value" dataDxfId="5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50">
  <autoFilter ref="AO29:AS69" xr:uid="{DD5BEA98-0119-401B-967D-E2418A69409F}"/>
  <tableColumns count="5">
    <tableColumn id="1" xr3:uid="{373D6BEE-FFC8-4F84-AEB7-6AD21690094C}" name="Project Settings" dataDxfId="49"/>
    <tableColumn id="2" xr3:uid="{33D3D4C7-7196-494B-A318-0963B6F65C4E}" name="comment"/>
    <tableColumn id="3" xr3:uid="{593BEF57-F850-45F6-8F98-C26629403E22}" name="unit" dataDxfId="48"/>
    <tableColumn id="4" xr3:uid="{E0487E44-0EED-4BFD-B57A-C884FB22266C}" name="default" dataDxfId="47"/>
    <tableColumn id="5" xr3:uid="{725E765C-418F-4C6D-AA24-7B508BA05BFD}" name="config1" dataDxfId="4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45" dataDxfId="43" headerRowBorderDxfId="44">
  <autoFilter ref="E13:O22" xr:uid="{71E9ED97-D6B3-4021-B4A0-767262A463AF}"/>
  <tableColumns count="11">
    <tableColumn id="3" xr3:uid="{FEC1B86F-C35E-46DA-A7B6-958218640B32}" name="Use For" dataDxfId="42"/>
    <tableColumn id="12" xr3:uid="{C2A89023-9057-4005-B5BC-7177CA0916E4}" name="Affiliation" dataDxfId="41"/>
    <tableColumn id="8" xr3:uid="{DA5288F4-A6D2-4654-91EF-5216E3A5D06D}" name="Name" dataDxfId="40"/>
    <tableColumn id="1" xr3:uid="{BCF04A15-F7A1-4B02-B968-2B77E93E65C8}" name="Top [m]" dataDxfId="39"/>
    <tableColumn id="2" xr3:uid="{7285DDF2-50C0-437F-A508-26E337365FD6}" name="Bottom [m]" dataDxfId="38"/>
    <tableColumn id="6" xr3:uid="{FF72EB0E-B8A4-4A02-BB1C-1EDDA8FDE8B6}" name="Mass [kg]" dataDxfId="37"/>
    <tableColumn id="4" xr3:uid="{C529D6EA-DB28-489B-9417-E4E43DA45BC2}" name="Diameter [m]" dataDxfId="36"/>
    <tableColumn id="7" xr3:uid="{187EAF26-0053-462C-A746-F4CFDD4FEA26}" name="Orientation [°]" dataDxfId="35"/>
    <tableColumn id="9" xr3:uid="{083E9AAE-21E0-4DD4-92EE-C339CE2D1002}" name="Distance Axis to Axis [m]" dataDxfId="34"/>
    <tableColumn id="13" xr3:uid="{21BE8926-C21A-4E38-9100-554AFA0FA93B}" name="Gap between surfaces [m]" dataDxfId="33"/>
    <tableColumn id="10" xr3:uid="{5E743F44-ADBC-4FED-9125-954BB70B4AA2}" name="Surface roughness [m]" dataDxfId="3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42" totalsRowShown="0" headerRowDxfId="31" dataDxfId="30">
  <autoFilter ref="S24:Y142" xr:uid="{FE356BDF-F7DD-4DF8-8A03-F552C7434686}"/>
  <tableColumns count="7">
    <tableColumn id="1" xr3:uid="{6D2CD887-573B-48AA-98AD-9996FADDC923}" name="Node [-]" dataDxfId="29"/>
    <tableColumn id="2" xr3:uid="{EC70247F-3373-4C15-8E7F-4D2A86B1DE62}" name="Elevation [m]" dataDxfId="28"/>
    <tableColumn id="3" xr3:uid="{083E87E4-CECB-495A-A83F-130B2C844AFE}" name="Local x [m]" dataDxfId="27"/>
    <tableColumn id="4" xr3:uid="{7C868A91-68C1-4A51-B109-53217D6E2AA3}" name="Local y [m]" dataDxfId="26"/>
    <tableColumn id="5" xr3:uid="{86FF08B6-8D4D-4CCD-919D-2EE5F2A56883}" name="Point mass [m]" dataDxfId="25"/>
    <tableColumn id="6" xr3:uid="{6C286BEE-E8E7-481A-94E7-8A10C03F2B0D}" name="New Node?" dataDxfId="24"/>
    <tableColumn id="7" xr3:uid="{6F09390B-5897-4502-BE0F-57B6FE441D6D}" name="comment" dataDxfId="2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46" totalsRowShown="0" headerRowDxfId="22" dataDxfId="21">
  <autoFilter ref="AB24:AK246" xr:uid="{08A0827C-AEB7-4AC5-AC1C-3A9EEE71E512}"/>
  <tableColumns count="10">
    <tableColumn id="1" xr3:uid="{EE8CEEDE-C7F8-49BC-B1C1-62256D68B1F7}" name="Affiliation" dataDxfId="20"/>
    <tableColumn id="2" xr3:uid="{B5C9A065-2A24-4663-A78E-AB359C1B07B6}" name="Member [-]" dataDxfId="19"/>
    <tableColumn id="3" xr3:uid="{6737F7E4-75EA-4406-A7BA-6FC70240743C}" name="Node [-]" dataDxfId="18"/>
    <tableColumn id="4" xr3:uid="{89E5BBF6-3045-4D1E-BBF3-FCAE237AEF1F}" name="Diameter [m]" dataDxfId="17"/>
    <tableColumn id="5" xr3:uid="{6F3CFA72-85FE-4FA1-98D1-C26E66E5227F}" name="Wall thickness [mm]" dataDxfId="16"/>
    <tableColumn id="6" xr3:uid="{6F8DAE76-3BDE-41F7-B41C-569866CCAC01}" name="cd [-]" dataDxfId="15"/>
    <tableColumn id="7" xr3:uid="{38F26F02-A7D4-4714-AB52-DE027CA3C685}" name="cm [-]" dataDxfId="14"/>
    <tableColumn id="8" xr3:uid="{AF03C275-EBB0-4E9C-B3AD-4A9D80A81FED}" name="Marine growth [mm]" dataDxfId="13"/>
    <tableColumn id="9" xr3:uid="{05F492D6-D126-434F-93C6-A121F0788998}" name="Density [kg*m^-3]" dataDxfId="12"/>
    <tableColumn id="10" xr3:uid="{0530F484-7CF4-4A9A-9354-6550550F5D09}" name="Material [-]" dataDxfId="1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0" dataDxfId="9">
  <autoFilter ref="S19:V20" xr:uid="{75D83FCB-684E-49B9-8C8E-EEC425D5900E}"/>
  <tableColumns count="4">
    <tableColumn id="1" xr3:uid="{CB78C727-D5DC-4CA2-BA49-B008160D7D1F}" name="Material" dataDxfId="8"/>
    <tableColumn id="2" xr3:uid="{065FA7D2-18F9-4AC6-BB89-D8104A6F0927}" name="Density" dataDxfId="7"/>
    <tableColumn id="3" xr3:uid="{5D3B327E-2F90-44C2-802D-F2908776C407}" name="Young's Mod. [Pa]" dataDxfId="6"/>
    <tableColumn id="4" xr3:uid="{4882E81A-F94D-4030-BB50-4BFCD860A46F}" name="Shear Mod [Pa]" dataDxfId="5"/>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4" dataDxfId="3">
  <autoFilter ref="S13:U14" xr:uid="{9AD5B26A-0D09-403C-8B9E-50F7200A653D}"/>
  <tableColumns count="3">
    <tableColumn id="1" xr3:uid="{C235FE96-286A-42FA-8098-E93B2B3C8E5E}" name="Parameter" dataDxfId="2"/>
    <tableColumn id="2" xr3:uid="{BD11FF44-1500-4157-941D-41DC78A2A481}" name="Value" dataDxfId="1"/>
    <tableColumn id="3" xr3:uid="{7E4FAC9B-4485-4A2B-BEC6-3BC57CC7FF8C}" name="comment"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table" Target="../tables/table42.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table" Target="../tables/table37.xml"/><Relationship Id="rId20"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19" Type="http://schemas.openxmlformats.org/officeDocument/2006/relationships/table" Target="../tables/table4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tabSelected="1" zoomScale="85" zoomScaleNormal="85" workbookViewId="0">
      <selection activeCell="D17" sqref="D17"/>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245</v>
      </c>
    </row>
    <row r="3" spans="2:5" ht="15.75" thickBot="1"/>
    <row r="4" spans="2:5" ht="18.75">
      <c r="B4" s="328" t="s">
        <v>247</v>
      </c>
      <c r="C4" s="330" t="s">
        <v>248</v>
      </c>
      <c r="D4" s="331" t="s">
        <v>246</v>
      </c>
      <c r="E4" s="62"/>
    </row>
    <row r="5" spans="2:5" ht="18.75">
      <c r="B5" s="338" t="s">
        <v>342</v>
      </c>
      <c r="C5" s="68" t="s">
        <v>744</v>
      </c>
      <c r="D5" s="339" t="s">
        <v>343</v>
      </c>
      <c r="E5" s="55"/>
    </row>
    <row r="6" spans="2:5" ht="18.75">
      <c r="B6" s="338" t="s">
        <v>743</v>
      </c>
      <c r="C6" s="68" t="s">
        <v>745</v>
      </c>
      <c r="D6" s="339" t="s">
        <v>746</v>
      </c>
      <c r="E6" s="55"/>
    </row>
    <row r="7" spans="2:5" ht="18.75">
      <c r="B7" s="329" t="s">
        <v>747</v>
      </c>
      <c r="C7" s="66" t="s">
        <v>748</v>
      </c>
      <c r="D7" s="332" t="s">
        <v>749</v>
      </c>
      <c r="E7" s="55"/>
    </row>
    <row r="8" spans="2:5">
      <c r="B8" s="290"/>
      <c r="D8" s="292"/>
      <c r="E8" s="55"/>
    </row>
    <row r="9" spans="2:5">
      <c r="B9" s="290"/>
      <c r="D9" s="292"/>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75" thickBot="1">
      <c r="B20" s="291"/>
      <c r="C20" s="64"/>
      <c r="D20" s="293"/>
      <c r="E20" s="65"/>
    </row>
    <row r="23" spans="2:5" ht="15.6" customHeight="1">
      <c r="B23" s="85" t="s">
        <v>207</v>
      </c>
    </row>
    <row r="24" spans="2:5" ht="15.75" thickBot="1"/>
    <row r="25" spans="2:5" ht="18.75">
      <c r="B25" s="223" t="s">
        <v>182</v>
      </c>
      <c r="C25" s="221" t="s">
        <v>170</v>
      </c>
      <c r="D25" s="225" t="s">
        <v>174</v>
      </c>
      <c r="E25" s="62"/>
    </row>
    <row r="26" spans="2:5" ht="15.75" thickBot="1">
      <c r="B26" s="224"/>
      <c r="C26" s="54"/>
      <c r="E26" s="55"/>
    </row>
    <row r="27" spans="2:5" ht="18.75">
      <c r="B27" s="223" t="s">
        <v>178</v>
      </c>
      <c r="C27" s="221" t="s">
        <v>171</v>
      </c>
      <c r="D27" s="225" t="s">
        <v>175</v>
      </c>
      <c r="E27" s="62"/>
    </row>
    <row r="28" spans="2:5">
      <c r="B28" s="67"/>
      <c r="C28" s="187" t="s">
        <v>179</v>
      </c>
      <c r="E28" s="55"/>
    </row>
    <row r="29" spans="2:5">
      <c r="B29" s="67"/>
      <c r="C29" s="222" t="s">
        <v>172</v>
      </c>
      <c r="D29" s="56" t="s">
        <v>176</v>
      </c>
      <c r="E29" s="55"/>
    </row>
    <row r="30" spans="2:5" ht="12" customHeight="1">
      <c r="B30" s="67"/>
      <c r="C30" s="54"/>
      <c r="E30" s="55"/>
    </row>
    <row r="31" spans="2:5" ht="15.75" thickBot="1">
      <c r="B31" s="67"/>
      <c r="C31" s="54"/>
      <c r="D31" t="s">
        <v>181</v>
      </c>
      <c r="E31" s="55"/>
    </row>
    <row r="32" spans="2:5" ht="18.75">
      <c r="B32" s="223" t="s">
        <v>227</v>
      </c>
      <c r="C32" s="221" t="s">
        <v>218</v>
      </c>
      <c r="D32" s="61" t="b">
        <v>1</v>
      </c>
      <c r="E32" s="62" t="s">
        <v>219</v>
      </c>
    </row>
    <row r="33" spans="2:5">
      <c r="B33" s="67"/>
      <c r="C33" s="222" t="s">
        <v>177</v>
      </c>
      <c r="D33" s="226" t="s">
        <v>352</v>
      </c>
      <c r="E33" s="55" t="s">
        <v>230</v>
      </c>
    </row>
    <row r="34" spans="2:5" ht="15.75" thickBot="1">
      <c r="B34" s="224"/>
      <c r="C34" s="232" t="s">
        <v>216</v>
      </c>
      <c r="D34" s="227" t="s">
        <v>344</v>
      </c>
      <c r="E34" s="65" t="s">
        <v>288</v>
      </c>
    </row>
    <row r="35" spans="2:5" ht="18.75">
      <c r="B35" s="223" t="s">
        <v>173</v>
      </c>
      <c r="C35" s="60"/>
      <c r="D35" s="61" t="s">
        <v>221</v>
      </c>
      <c r="E35" s="62"/>
    </row>
    <row r="36" spans="2:5">
      <c r="B36" s="67"/>
      <c r="C36" s="54"/>
      <c r="E36" s="55"/>
    </row>
    <row r="37" spans="2:5">
      <c r="B37" s="67"/>
      <c r="C37" s="54"/>
      <c r="D37" t="s">
        <v>222</v>
      </c>
      <c r="E37" s="55"/>
    </row>
    <row r="38" spans="2:5">
      <c r="B38" s="67"/>
      <c r="C38" s="54"/>
      <c r="D38" t="s">
        <v>223</v>
      </c>
      <c r="E38" s="55"/>
    </row>
    <row r="39" spans="2:5">
      <c r="B39" s="67"/>
      <c r="C39" s="54"/>
      <c r="D39" t="s">
        <v>224</v>
      </c>
      <c r="E39" s="55"/>
    </row>
    <row r="40" spans="2:5">
      <c r="B40" s="67"/>
      <c r="C40" s="54"/>
      <c r="D40" t="s">
        <v>405</v>
      </c>
      <c r="E40" s="55"/>
    </row>
    <row r="41" spans="2:5">
      <c r="B41" s="67"/>
      <c r="C41" s="54"/>
      <c r="D41" t="s">
        <v>225</v>
      </c>
      <c r="E41" s="55"/>
    </row>
    <row r="42" spans="2:5">
      <c r="B42" s="67"/>
      <c r="C42" s="54"/>
      <c r="D42" t="s">
        <v>406</v>
      </c>
      <c r="E42" s="55"/>
    </row>
    <row r="43" spans="2:5">
      <c r="B43" s="67"/>
      <c r="C43" s="54"/>
      <c r="D43" t="s">
        <v>407</v>
      </c>
      <c r="E43" s="55"/>
    </row>
    <row r="44" spans="2:5">
      <c r="B44" s="67"/>
      <c r="C44" s="54"/>
      <c r="D44" t="s">
        <v>226</v>
      </c>
      <c r="E44" s="55"/>
    </row>
    <row r="45" spans="2:5" ht="15.75" thickBot="1">
      <c r="B45" s="224"/>
      <c r="C45" s="54"/>
      <c r="E45" s="55"/>
    </row>
    <row r="46" spans="2:5" ht="18.75">
      <c r="B46" s="223" t="s">
        <v>228</v>
      </c>
      <c r="C46" s="221"/>
      <c r="D46" s="61" t="s">
        <v>229</v>
      </c>
      <c r="E46" s="62"/>
    </row>
    <row r="47" spans="2:5" ht="191.45" customHeight="1">
      <c r="B47" s="67"/>
      <c r="C47" s="222"/>
      <c r="E47" s="55"/>
    </row>
    <row r="48" spans="2:5" ht="15.75" thickBot="1">
      <c r="B48" s="224"/>
      <c r="C48" s="232"/>
      <c r="D48" s="64"/>
      <c r="E48" s="65"/>
    </row>
    <row r="52" spans="2:5" ht="21">
      <c r="B52" s="85" t="s">
        <v>217</v>
      </c>
    </row>
    <row r="53" spans="2:5" ht="15.75" thickBot="1"/>
    <row r="54" spans="2:5" ht="217.15" customHeight="1" thickBot="1">
      <c r="B54" s="233" t="s">
        <v>220</v>
      </c>
      <c r="C54" s="60"/>
      <c r="D54" s="61"/>
      <c r="E54" s="62"/>
    </row>
    <row r="55" spans="2:5" ht="18.75">
      <c r="B55" s="103" t="s">
        <v>208</v>
      </c>
      <c r="C55" s="60"/>
      <c r="D55" s="61"/>
      <c r="E55" s="62"/>
    </row>
    <row r="56" spans="2:5">
      <c r="B56" s="104"/>
      <c r="C56" s="228" t="s">
        <v>202</v>
      </c>
      <c r="E56" s="55"/>
    </row>
    <row r="57" spans="2:5">
      <c r="B57" s="104"/>
      <c r="C57" s="229" t="s">
        <v>202</v>
      </c>
      <c r="E57" s="55"/>
    </row>
    <row r="58" spans="2:5">
      <c r="B58" s="104"/>
      <c r="C58" s="230" t="s">
        <v>203</v>
      </c>
      <c r="E58" s="55"/>
    </row>
    <row r="59" spans="2:5">
      <c r="B59" s="104"/>
      <c r="C59" s="229" t="s">
        <v>203</v>
      </c>
      <c r="E59" s="55"/>
    </row>
    <row r="60" spans="2:5">
      <c r="B60" s="104"/>
      <c r="C60" s="229"/>
      <c r="E60" s="55"/>
    </row>
    <row r="61" spans="2:5">
      <c r="B61" s="104"/>
      <c r="C61" s="231" t="s">
        <v>212</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43" t="s">
        <v>42</v>
      </c>
      <c r="C4" s="344"/>
      <c r="D4" s="345"/>
      <c r="E4" s="40"/>
      <c r="F4" s="346" t="s">
        <v>26</v>
      </c>
      <c r="G4" s="347"/>
      <c r="H4" s="347"/>
      <c r="I4" s="348"/>
      <c r="J4" s="40"/>
      <c r="K4" s="349" t="s">
        <v>43</v>
      </c>
      <c r="L4" s="350"/>
      <c r="M4" s="35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180</v>
      </c>
      <c r="D22" s="1" t="s">
        <v>180</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0" zoomScale="85" zoomScaleNormal="85" workbookViewId="0">
      <selection activeCell="CC24" sqref="CC24"/>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9"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22.7109375" style="181" customWidth="1"/>
    <col min="87" max="87" width="15.7109375" style="49" customWidth="1"/>
    <col min="88" max="88" width="14" style="49" customWidth="1"/>
    <col min="89" max="89" width="9.7109375" style="184"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8" hidden="1" customWidth="1"/>
    <col min="123" max="123" width="49.140625" style="158"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9" t="s">
        <v>232</v>
      </c>
      <c r="K1"/>
      <c r="N1"/>
      <c r="AP1" s="120" t="s">
        <v>231</v>
      </c>
      <c r="AV1"/>
      <c r="AY1"/>
      <c r="CB1" s="112" t="s">
        <v>233</v>
      </c>
      <c r="CH1" s="49"/>
      <c r="CK1" s="49"/>
      <c r="DN1" s="121" t="s">
        <v>234</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147</v>
      </c>
      <c r="F5" s="66"/>
      <c r="G5" s="66"/>
      <c r="H5" s="66"/>
      <c r="I5" s="66"/>
      <c r="J5"/>
      <c r="K5"/>
      <c r="L5" s="54"/>
      <c r="N5"/>
      <c r="AP5" s="256" t="s">
        <v>147</v>
      </c>
      <c r="AQ5" s="66"/>
      <c r="AR5" s="66"/>
      <c r="AS5" s="66"/>
      <c r="AT5" s="66"/>
      <c r="AU5"/>
      <c r="AV5"/>
      <c r="AW5" s="54"/>
      <c r="AY5"/>
      <c r="CB5" s="83" t="s">
        <v>147</v>
      </c>
      <c r="CC5" s="66"/>
      <c r="CD5" s="66"/>
      <c r="CE5" s="66"/>
      <c r="CF5" s="66"/>
      <c r="CG5"/>
      <c r="CH5" s="49"/>
      <c r="CI5" s="77"/>
      <c r="CK5" s="49"/>
      <c r="DN5" s="83" t="s">
        <v>147</v>
      </c>
      <c r="DO5" s="66"/>
      <c r="DP5" s="66"/>
      <c r="DQ5" s="66"/>
      <c r="DR5" s="161"/>
      <c r="DS5" s="161"/>
    </row>
    <row r="6" spans="1:137" ht="18" customHeight="1">
      <c r="A6" s="106"/>
      <c r="B6" s="107"/>
      <c r="C6" s="107"/>
      <c r="D6" s="146"/>
      <c r="E6" s="154"/>
      <c r="F6" s="322" t="s">
        <v>147</v>
      </c>
      <c r="G6" s="72"/>
      <c r="H6" s="72"/>
      <c r="I6" s="72"/>
      <c r="J6" s="72"/>
      <c r="K6" s="72"/>
      <c r="L6" s="54"/>
      <c r="N6" s="68"/>
      <c r="AP6" s="257"/>
      <c r="AQ6" s="210" t="s">
        <v>144</v>
      </c>
      <c r="AR6" s="211"/>
      <c r="AS6" s="211"/>
      <c r="AT6" s="211"/>
      <c r="AU6" s="211"/>
      <c r="AV6" s="212"/>
      <c r="AY6" s="68"/>
      <c r="CB6" s="151"/>
      <c r="CC6" s="76" t="s">
        <v>144</v>
      </c>
      <c r="CD6" s="72"/>
      <c r="CE6" s="72"/>
      <c r="CF6" s="72"/>
      <c r="CG6" s="72"/>
      <c r="CH6" s="287"/>
      <c r="CI6" s="77"/>
      <c r="CK6" s="182"/>
      <c r="DN6" s="151"/>
      <c r="DO6" s="76" t="s">
        <v>144</v>
      </c>
      <c r="DP6" s="76"/>
      <c r="DQ6" s="72"/>
      <c r="DR6" s="162"/>
      <c r="DS6" s="162"/>
      <c r="DT6" s="72"/>
      <c r="DU6" s="92"/>
    </row>
    <row r="7" spans="1:137" ht="18" customHeight="1" thickBot="1">
      <c r="A7" s="106"/>
      <c r="B7" s="107"/>
      <c r="C7" s="107"/>
      <c r="D7" s="146"/>
      <c r="E7" s="251"/>
      <c r="F7" s="321" t="s">
        <v>347</v>
      </c>
      <c r="G7" s="165"/>
      <c r="H7" s="165"/>
      <c r="I7" s="165"/>
      <c r="J7" s="165"/>
      <c r="K7" s="165"/>
      <c r="L7" s="54"/>
      <c r="N7"/>
      <c r="AP7" s="258"/>
      <c r="AQ7" s="323" t="s">
        <v>353</v>
      </c>
      <c r="AR7" s="206"/>
      <c r="AS7" s="206"/>
      <c r="AT7" s="206"/>
      <c r="AU7" s="206"/>
      <c r="AV7" s="213"/>
      <c r="AY7"/>
      <c r="CB7" s="152"/>
      <c r="CC7" s="326" t="s">
        <v>349</v>
      </c>
      <c r="CD7" s="165"/>
      <c r="CE7" s="165"/>
      <c r="CF7" s="165"/>
      <c r="CG7" s="165"/>
      <c r="CH7" s="288"/>
      <c r="CI7" s="77"/>
      <c r="CK7" s="49"/>
      <c r="DN7" s="153"/>
      <c r="DO7" s="327" t="s">
        <v>401</v>
      </c>
      <c r="DP7" s="169"/>
      <c r="DQ7" s="170"/>
      <c r="DR7" s="171"/>
      <c r="DS7" s="171"/>
      <c r="DT7" s="170"/>
      <c r="DU7" s="172"/>
    </row>
    <row r="8" spans="1:137" ht="18" customHeight="1">
      <c r="A8" s="106"/>
      <c r="B8" s="107"/>
      <c r="C8" s="107"/>
      <c r="D8" s="146"/>
      <c r="E8" s="354" t="s">
        <v>196</v>
      </c>
      <c r="F8" s="73" t="s">
        <v>335</v>
      </c>
      <c r="G8" s="73"/>
      <c r="H8" s="73"/>
      <c r="I8" s="73"/>
      <c r="J8" s="73"/>
      <c r="K8" s="73"/>
      <c r="L8" s="54"/>
      <c r="N8"/>
      <c r="AP8" s="352" t="s">
        <v>196</v>
      </c>
      <c r="AQ8" s="324" t="s">
        <v>336</v>
      </c>
      <c r="AR8" s="73"/>
      <c r="AS8" s="73"/>
      <c r="AT8" s="73"/>
      <c r="AU8" s="73"/>
      <c r="AV8" s="214"/>
      <c r="AY8"/>
      <c r="CB8" s="356" t="s">
        <v>196</v>
      </c>
      <c r="CC8" s="73"/>
      <c r="CD8" s="73"/>
      <c r="CE8" s="73"/>
      <c r="CF8" s="73"/>
      <c r="CG8" s="73"/>
      <c r="CH8" s="283"/>
      <c r="CI8" s="77"/>
      <c r="CK8" s="49"/>
      <c r="DO8" s="73"/>
      <c r="DP8" s="73"/>
      <c r="DQ8" s="73"/>
      <c r="DR8" s="168"/>
      <c r="DS8" s="168"/>
      <c r="DT8" s="73"/>
      <c r="DU8" s="73"/>
    </row>
    <row r="9" spans="1:137" ht="18" customHeight="1" thickBot="1">
      <c r="A9" s="106"/>
      <c r="B9" s="107"/>
      <c r="C9" s="107"/>
      <c r="D9" s="146"/>
      <c r="E9" s="355"/>
      <c r="F9" s="74"/>
      <c r="G9" s="74"/>
      <c r="H9" s="74"/>
      <c r="I9" s="74"/>
      <c r="J9" s="74"/>
      <c r="K9" s="74"/>
      <c r="L9" s="54"/>
      <c r="N9"/>
      <c r="AP9" s="353"/>
      <c r="AQ9" s="215"/>
      <c r="AR9" s="215"/>
      <c r="AS9" s="215"/>
      <c r="AT9" s="215"/>
      <c r="AU9" s="215"/>
      <c r="AV9" s="216"/>
      <c r="AY9"/>
      <c r="CB9" s="357"/>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5"/>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148</v>
      </c>
      <c r="F12"/>
      <c r="H12"/>
      <c r="I12"/>
      <c r="J12"/>
      <c r="K12"/>
      <c r="L12" s="54"/>
      <c r="N12"/>
      <c r="Y12" t="s">
        <v>55</v>
      </c>
      <c r="Z12" t="s">
        <v>56</v>
      </c>
      <c r="AA12" t="s">
        <v>54</v>
      </c>
      <c r="AB12" t="s">
        <v>57</v>
      </c>
      <c r="AC12" t="s">
        <v>96</v>
      </c>
      <c r="AD12" t="s">
        <v>92</v>
      </c>
      <c r="AE12" t="s">
        <v>97</v>
      </c>
      <c r="AP12" s="256" t="s">
        <v>148</v>
      </c>
      <c r="AQ12"/>
      <c r="AR12"/>
      <c r="AS12"/>
      <c r="AT12"/>
      <c r="AU12"/>
      <c r="AV12"/>
      <c r="AW12" s="54"/>
      <c r="AY12"/>
      <c r="BJ12" t="s">
        <v>55</v>
      </c>
      <c r="BK12" t="s">
        <v>56</v>
      </c>
      <c r="BL12" t="s">
        <v>54</v>
      </c>
      <c r="BM12" t="s">
        <v>57</v>
      </c>
      <c r="BN12" t="s">
        <v>96</v>
      </c>
      <c r="BO12" t="s">
        <v>92</v>
      </c>
      <c r="BP12" t="s">
        <v>97</v>
      </c>
      <c r="CB12" s="83" t="s">
        <v>148</v>
      </c>
      <c r="CC12"/>
      <c r="CD12"/>
      <c r="CE12"/>
      <c r="CF12"/>
      <c r="CG12"/>
      <c r="CH12" s="49"/>
      <c r="CI12" s="77"/>
      <c r="CK12" s="49"/>
      <c r="CV12" t="s">
        <v>55</v>
      </c>
      <c r="CW12" t="s">
        <v>56</v>
      </c>
      <c r="CX12" t="s">
        <v>54</v>
      </c>
      <c r="CY12" t="s">
        <v>57</v>
      </c>
      <c r="CZ12" t="s">
        <v>96</v>
      </c>
      <c r="DA12" t="s">
        <v>92</v>
      </c>
      <c r="DB12" t="s">
        <v>97</v>
      </c>
      <c r="DY12" t="s">
        <v>55</v>
      </c>
      <c r="DZ12" t="s">
        <v>100</v>
      </c>
      <c r="EA12" t="s">
        <v>101</v>
      </c>
      <c r="EB12" t="s">
        <v>115</v>
      </c>
      <c r="EC12" t="s">
        <v>121</v>
      </c>
      <c r="ED12" t="s">
        <v>122</v>
      </c>
      <c r="EE12" t="s">
        <v>116</v>
      </c>
      <c r="EF12" t="s">
        <v>117</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348</v>
      </c>
      <c r="Z13" t="s">
        <v>140</v>
      </c>
      <c r="AA13" t="s">
        <v>345</v>
      </c>
      <c r="AB13" t="s">
        <v>249</v>
      </c>
      <c r="AC13">
        <v>43.5</v>
      </c>
      <c r="AD13" t="s">
        <v>49</v>
      </c>
      <c r="AE13" t="s">
        <v>204</v>
      </c>
      <c r="AP13" s="96" t="s">
        <v>55</v>
      </c>
      <c r="AQ13" s="49" t="s">
        <v>56</v>
      </c>
      <c r="AR13" s="49" t="s">
        <v>54</v>
      </c>
      <c r="AS13" s="49" t="s">
        <v>57</v>
      </c>
      <c r="AT13" s="49" t="s">
        <v>96</v>
      </c>
      <c r="AU13" s="49" t="s">
        <v>92</v>
      </c>
      <c r="AV13" s="49" t="s">
        <v>97</v>
      </c>
      <c r="AW13" s="54"/>
      <c r="AY13"/>
      <c r="BJ13" t="s">
        <v>348</v>
      </c>
      <c r="BK13" t="s">
        <v>140</v>
      </c>
      <c r="BL13" t="s">
        <v>345</v>
      </c>
      <c r="BM13" t="s">
        <v>249</v>
      </c>
      <c r="BN13">
        <v>43.5</v>
      </c>
      <c r="BO13" t="s">
        <v>49</v>
      </c>
      <c r="BP13" t="s">
        <v>204</v>
      </c>
      <c r="CB13" s="96" t="s">
        <v>55</v>
      </c>
      <c r="CC13" s="49" t="s">
        <v>56</v>
      </c>
      <c r="CD13" s="49" t="s">
        <v>54</v>
      </c>
      <c r="CE13" s="49" t="s">
        <v>57</v>
      </c>
      <c r="CF13" s="49" t="s">
        <v>96</v>
      </c>
      <c r="CG13" s="49" t="s">
        <v>92</v>
      </c>
      <c r="CH13" s="49" t="s">
        <v>97</v>
      </c>
      <c r="CI13" s="77"/>
      <c r="CK13" s="49"/>
      <c r="CV13" t="s">
        <v>266</v>
      </c>
      <c r="CW13" t="s">
        <v>140</v>
      </c>
      <c r="CX13" t="s">
        <v>58</v>
      </c>
      <c r="CY13" t="s">
        <v>267</v>
      </c>
      <c r="CZ13" t="s">
        <v>268</v>
      </c>
      <c r="DA13" t="s">
        <v>49</v>
      </c>
      <c r="DB13" t="s">
        <v>269</v>
      </c>
      <c r="DY13" s="49" t="s">
        <v>402</v>
      </c>
      <c r="DZ13" s="49">
        <v>15</v>
      </c>
      <c r="EA13">
        <v>236</v>
      </c>
      <c r="EB13">
        <v>819000</v>
      </c>
      <c r="EC13" s="49">
        <v>323200000</v>
      </c>
      <c r="ED13" s="49">
        <v>323200000</v>
      </c>
      <c r="EE13" s="49">
        <v>5.17</v>
      </c>
      <c r="EF13">
        <v>4.62</v>
      </c>
      <c r="EG13" t="s">
        <v>403</v>
      </c>
    </row>
    <row r="14" spans="1:137" ht="18" customHeight="1">
      <c r="A14" s="106"/>
      <c r="B14" s="107"/>
      <c r="C14" s="107"/>
      <c r="D14" s="146"/>
      <c r="E14" s="337" t="s">
        <v>348</v>
      </c>
      <c r="F14" s="333" t="s">
        <v>140</v>
      </c>
      <c r="G14" s="333" t="s">
        <v>345</v>
      </c>
      <c r="H14" s="333" t="s">
        <v>249</v>
      </c>
      <c r="I14" s="333">
        <v>43.5</v>
      </c>
      <c r="J14" s="333" t="s">
        <v>49</v>
      </c>
      <c r="K14" s="333" t="s">
        <v>204</v>
      </c>
      <c r="N14"/>
      <c r="Y14" s="58"/>
      <c r="Z14" s="58"/>
      <c r="AA14" s="58"/>
      <c r="AB14" s="58"/>
      <c r="AC14" s="58"/>
      <c r="AD14" s="58"/>
      <c r="AP14" s="335" t="s">
        <v>348</v>
      </c>
      <c r="AQ14" s="49" t="s">
        <v>140</v>
      </c>
      <c r="AR14" s="49" t="s">
        <v>345</v>
      </c>
      <c r="AS14" s="49" t="s">
        <v>249</v>
      </c>
      <c r="AT14" s="49">
        <v>43.5</v>
      </c>
      <c r="AU14" s="49" t="s">
        <v>49</v>
      </c>
      <c r="AV14" s="49" t="s">
        <v>204</v>
      </c>
      <c r="AW14" s="54"/>
      <c r="AY14"/>
      <c r="BJ14" s="58"/>
      <c r="BK14" s="58"/>
      <c r="BL14" s="58"/>
      <c r="BM14" s="58"/>
      <c r="BN14" s="58"/>
      <c r="BO14" s="58"/>
      <c r="CB14" s="335" t="s">
        <v>266</v>
      </c>
      <c r="CC14" s="49" t="s">
        <v>140</v>
      </c>
      <c r="CD14" s="49" t="s">
        <v>58</v>
      </c>
      <c r="CE14" s="49" t="s">
        <v>267</v>
      </c>
      <c r="CF14" s="49" t="s">
        <v>268</v>
      </c>
      <c r="CG14" s="49" t="s">
        <v>49</v>
      </c>
      <c r="CH14" s="49" t="s">
        <v>269</v>
      </c>
      <c r="CI14" s="77"/>
      <c r="CK14" s="49"/>
      <c r="CV14" s="58"/>
      <c r="CW14" s="58"/>
      <c r="CX14" s="58"/>
      <c r="CY14" s="58"/>
      <c r="CZ14" s="58"/>
      <c r="DA14" s="58"/>
      <c r="DY14" s="49" t="s">
        <v>280</v>
      </c>
      <c r="DZ14" s="49">
        <v>15</v>
      </c>
      <c r="EA14">
        <v>236</v>
      </c>
      <c r="EB14">
        <v>829000</v>
      </c>
      <c r="EC14" s="49">
        <v>210000000</v>
      </c>
      <c r="ED14" s="49">
        <v>370000000</v>
      </c>
      <c r="EE14" s="49">
        <v>3.7</v>
      </c>
      <c r="EF14">
        <v>3.5</v>
      </c>
      <c r="EG14" t="s">
        <v>281</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404</v>
      </c>
      <c r="DZ15" s="49">
        <v>22</v>
      </c>
      <c r="EA15">
        <v>276</v>
      </c>
      <c r="EB15">
        <v>1394000</v>
      </c>
      <c r="EC15" s="49">
        <v>380000000</v>
      </c>
      <c r="ED15" s="49">
        <v>640000000</v>
      </c>
      <c r="EE15" s="49">
        <v>6.46</v>
      </c>
      <c r="EF15">
        <v>5.74</v>
      </c>
      <c r="EG15" t="s">
        <v>204</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214</v>
      </c>
      <c r="F17"/>
      <c r="G17"/>
      <c r="H17"/>
      <c r="I17"/>
      <c r="J17"/>
      <c r="K17"/>
      <c r="L17" s="54"/>
      <c r="N17"/>
      <c r="AP17" s="256" t="s">
        <v>149</v>
      </c>
      <c r="AQ17"/>
      <c r="AR17"/>
      <c r="AS17"/>
      <c r="AT17"/>
      <c r="AU17"/>
      <c r="AV17"/>
      <c r="AW17" s="54"/>
      <c r="AY17"/>
      <c r="CB17" s="83" t="s">
        <v>149</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141</v>
      </c>
      <c r="AG18" t="s">
        <v>70</v>
      </c>
      <c r="AH18" t="s">
        <v>69</v>
      </c>
      <c r="AI18" t="s">
        <v>67</v>
      </c>
      <c r="AJ18" t="s">
        <v>132</v>
      </c>
      <c r="AK18" t="s">
        <v>133</v>
      </c>
      <c r="AL18" t="s">
        <v>134</v>
      </c>
      <c r="AM18" t="s">
        <v>136</v>
      </c>
      <c r="AN18" t="s">
        <v>135</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141</v>
      </c>
      <c r="BR18" t="s">
        <v>70</v>
      </c>
      <c r="BS18" t="s">
        <v>69</v>
      </c>
      <c r="BT18" t="s">
        <v>67</v>
      </c>
      <c r="BU18" t="s">
        <v>132</v>
      </c>
      <c r="BV18" t="s">
        <v>133</v>
      </c>
      <c r="BW18" t="s">
        <v>134</v>
      </c>
      <c r="BX18" t="s">
        <v>136</v>
      </c>
      <c r="BY18" t="s">
        <v>135</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141</v>
      </c>
      <c r="DD18" t="s">
        <v>70</v>
      </c>
      <c r="DE18" t="s">
        <v>69</v>
      </c>
      <c r="DF18" t="s">
        <v>67</v>
      </c>
      <c r="DG18" t="s">
        <v>132</v>
      </c>
      <c r="DH18" t="s">
        <v>133</v>
      </c>
      <c r="DI18" t="s">
        <v>134</v>
      </c>
      <c r="DJ18" t="s">
        <v>136</v>
      </c>
      <c r="DK18" t="s">
        <v>135</v>
      </c>
      <c r="DY18" s="49"/>
      <c r="DZ18" s="49"/>
      <c r="EC18" s="49"/>
      <c r="ED18" s="49"/>
      <c r="EE18" s="49"/>
    </row>
    <row r="19" spans="1:144" ht="18" customHeight="1">
      <c r="A19" s="78"/>
      <c r="B19" s="79"/>
      <c r="C19" s="78"/>
      <c r="D19" s="108"/>
      <c r="E19" s="280"/>
      <c r="F19" s="333"/>
      <c r="G19" s="333"/>
      <c r="H19" s="333"/>
      <c r="I19" s="333"/>
      <c r="J19" s="333"/>
      <c r="K19" s="333"/>
      <c r="N19"/>
      <c r="Y19" s="318">
        <v>1</v>
      </c>
      <c r="Z19" s="90">
        <v>5.6</v>
      </c>
      <c r="AA19" s="90">
        <v>1.6</v>
      </c>
      <c r="AB19" s="90">
        <v>7.5</v>
      </c>
      <c r="AC19" s="90">
        <v>7.5</v>
      </c>
      <c r="AD19" s="91">
        <v>108</v>
      </c>
      <c r="AF19" t="s">
        <v>282</v>
      </c>
      <c r="AG19">
        <v>5.6</v>
      </c>
      <c r="AH19">
        <v>5.6</v>
      </c>
      <c r="AI19">
        <v>60000</v>
      </c>
      <c r="AP19" s="281"/>
      <c r="AQ19" s="73"/>
      <c r="AR19" s="73"/>
      <c r="AS19" s="73"/>
      <c r="AT19" s="73"/>
      <c r="AU19" s="73"/>
      <c r="AV19" s="73"/>
      <c r="AW19" s="54"/>
      <c r="AY19"/>
      <c r="BJ19">
        <v>1</v>
      </c>
      <c r="BK19">
        <v>20.9</v>
      </c>
      <c r="BL19">
        <v>17.5</v>
      </c>
      <c r="BM19">
        <v>7.5</v>
      </c>
      <c r="BN19">
        <v>7.5</v>
      </c>
      <c r="BO19">
        <v>86</v>
      </c>
      <c r="BQ19" t="s">
        <v>283</v>
      </c>
      <c r="BR19">
        <v>20.100000000000001</v>
      </c>
      <c r="BS19">
        <v>20.100000000000001</v>
      </c>
      <c r="BT19">
        <v>20000</v>
      </c>
      <c r="CB19" s="281"/>
      <c r="CC19" s="73"/>
      <c r="CD19" s="73"/>
      <c r="CE19" s="73"/>
      <c r="CF19" s="73"/>
      <c r="CG19" s="73"/>
      <c r="CH19" s="178"/>
      <c r="CI19" s="77"/>
      <c r="CK19" s="49"/>
      <c r="CV19">
        <v>1</v>
      </c>
      <c r="CW19">
        <v>161.47</v>
      </c>
      <c r="CX19">
        <v>161.21</v>
      </c>
      <c r="CY19">
        <v>6.5</v>
      </c>
      <c r="CZ19">
        <v>6.5</v>
      </c>
      <c r="DA19">
        <v>46</v>
      </c>
      <c r="DC19" t="s">
        <v>354</v>
      </c>
      <c r="DD19">
        <v>161.34</v>
      </c>
      <c r="DE19">
        <v>161.34</v>
      </c>
      <c r="DF19">
        <v>6061</v>
      </c>
      <c r="DY19" s="49"/>
      <c r="DZ19" s="49"/>
      <c r="EC19" s="49"/>
      <c r="ED19" s="49"/>
    </row>
    <row r="20" spans="1:144" ht="18" customHeight="1">
      <c r="C20" s="67"/>
      <c r="K20"/>
      <c r="L20" s="54"/>
      <c r="N20"/>
      <c r="Y20" s="318">
        <v>2</v>
      </c>
      <c r="Z20" s="90">
        <v>1.6</v>
      </c>
      <c r="AA20" s="90">
        <v>-2.2999999999999998</v>
      </c>
      <c r="AB20" s="90">
        <v>7.5</v>
      </c>
      <c r="AC20" s="90">
        <v>7.5</v>
      </c>
      <c r="AD20" s="91">
        <v>100</v>
      </c>
      <c r="AF20" t="s">
        <v>213</v>
      </c>
      <c r="AG20">
        <v>4.2</v>
      </c>
      <c r="AH20">
        <v>4.2</v>
      </c>
      <c r="AI20">
        <v>9000</v>
      </c>
      <c r="AV20"/>
      <c r="AW20" s="54"/>
      <c r="AY20"/>
      <c r="BJ20">
        <v>2</v>
      </c>
      <c r="BK20" s="94">
        <v>17.5</v>
      </c>
      <c r="BL20" s="94">
        <v>13.5</v>
      </c>
      <c r="BM20">
        <v>7.5</v>
      </c>
      <c r="BN20">
        <v>7.5</v>
      </c>
      <c r="BO20">
        <v>86</v>
      </c>
      <c r="BQ20" t="s">
        <v>284</v>
      </c>
      <c r="BR20">
        <v>19.5</v>
      </c>
      <c r="BS20">
        <v>19.5</v>
      </c>
      <c r="BT20">
        <v>5000</v>
      </c>
      <c r="CH20" s="49"/>
      <c r="CI20" s="77"/>
      <c r="CK20" s="49"/>
      <c r="CV20">
        <v>2</v>
      </c>
      <c r="CW20" s="94">
        <v>161.21</v>
      </c>
      <c r="CX20" s="94">
        <v>158.31</v>
      </c>
      <c r="CY20">
        <v>6.5</v>
      </c>
      <c r="CZ20">
        <v>6.5</v>
      </c>
      <c r="DA20">
        <v>46</v>
      </c>
      <c r="DC20" t="s">
        <v>355</v>
      </c>
      <c r="DD20">
        <v>160.22999999999999</v>
      </c>
      <c r="DE20">
        <v>160.22999999999999</v>
      </c>
      <c r="DF20">
        <v>1428</v>
      </c>
      <c r="DY20" s="49"/>
      <c r="DZ20" s="49"/>
      <c r="EC20" s="49"/>
      <c r="ED20" s="49"/>
    </row>
    <row r="21" spans="1:144" ht="18" customHeight="1">
      <c r="A21" s="286"/>
      <c r="C21" s="67"/>
      <c r="K21"/>
      <c r="L21" s="54"/>
      <c r="N21"/>
      <c r="Y21" s="318">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285</v>
      </c>
      <c r="BR21">
        <v>14</v>
      </c>
      <c r="BS21">
        <v>14</v>
      </c>
      <c r="BT21">
        <v>5000</v>
      </c>
      <c r="CH21" s="49"/>
      <c r="CI21" s="77"/>
      <c r="CK21" s="49"/>
      <c r="CV21">
        <v>3</v>
      </c>
      <c r="CW21" s="94">
        <v>158.31</v>
      </c>
      <c r="CX21" s="94">
        <v>157.01</v>
      </c>
      <c r="CY21">
        <v>6.5</v>
      </c>
      <c r="CZ21">
        <v>6.5</v>
      </c>
      <c r="DA21">
        <v>46</v>
      </c>
      <c r="DC21" t="s">
        <v>356</v>
      </c>
      <c r="DD21">
        <v>159.51</v>
      </c>
      <c r="DE21">
        <v>159.51</v>
      </c>
      <c r="DF21">
        <v>12008</v>
      </c>
      <c r="DY21" s="49"/>
      <c r="DZ21" s="49"/>
      <c r="EC21" s="49"/>
      <c r="ED21" s="49"/>
    </row>
    <row r="22" spans="1:144" ht="18" customHeight="1" thickBot="1">
      <c r="C22" s="67"/>
      <c r="E22" s="85" t="s">
        <v>150</v>
      </c>
      <c r="F22"/>
      <c r="G22"/>
      <c r="H22" s="71"/>
      <c r="I22"/>
      <c r="J22"/>
      <c r="K22"/>
      <c r="L22" s="54"/>
      <c r="N22"/>
      <c r="Y22" s="318">
        <v>4</v>
      </c>
      <c r="Z22" s="90">
        <v>-6.2</v>
      </c>
      <c r="AA22" s="90">
        <v>-10.1</v>
      </c>
      <c r="AB22" s="90">
        <v>7.5</v>
      </c>
      <c r="AC22" s="90">
        <v>7.8282999999999996</v>
      </c>
      <c r="AD22" s="91">
        <v>98</v>
      </c>
      <c r="AP22" s="256" t="s">
        <v>150</v>
      </c>
      <c r="AQ22"/>
      <c r="AR22"/>
      <c r="AS22" s="71"/>
      <c r="AT22"/>
      <c r="AU22"/>
      <c r="AV22"/>
      <c r="AW22" s="54"/>
      <c r="AY22"/>
      <c r="BJ22">
        <v>4</v>
      </c>
      <c r="BK22" s="94">
        <v>9.5</v>
      </c>
      <c r="BL22" s="94">
        <v>5.6</v>
      </c>
      <c r="BM22">
        <v>7.5</v>
      </c>
      <c r="BN22">
        <v>7.5</v>
      </c>
      <c r="BO22">
        <v>100</v>
      </c>
      <c r="BQ22" t="s">
        <v>286</v>
      </c>
      <c r="BR22">
        <v>11</v>
      </c>
      <c r="BS22">
        <v>11</v>
      </c>
      <c r="BT22">
        <v>1</v>
      </c>
      <c r="CB22" s="83" t="s">
        <v>150</v>
      </c>
      <c r="CC22"/>
      <c r="CD22"/>
      <c r="CE22" s="71"/>
      <c r="CF22"/>
      <c r="CG22"/>
      <c r="CH22" s="49"/>
      <c r="CI22" s="77"/>
      <c r="CK22" s="49"/>
      <c r="CV22">
        <v>4</v>
      </c>
      <c r="CW22" s="94">
        <v>157.01</v>
      </c>
      <c r="CX22" s="94">
        <v>154.07</v>
      </c>
      <c r="CY22">
        <v>6.5</v>
      </c>
      <c r="CZ22">
        <v>6.5</v>
      </c>
      <c r="DA22">
        <v>46</v>
      </c>
      <c r="DC22" t="s">
        <v>357</v>
      </c>
      <c r="DD22">
        <v>159.16</v>
      </c>
      <c r="DE22">
        <v>159.16</v>
      </c>
      <c r="DF22">
        <v>17996</v>
      </c>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18">
        <v>5</v>
      </c>
      <c r="Z23" s="90">
        <v>-10.1</v>
      </c>
      <c r="AA23" s="90">
        <v>-14</v>
      </c>
      <c r="AB23" s="90">
        <v>7.8282999999999996</v>
      </c>
      <c r="AC23" s="90">
        <v>8.1565999999999992</v>
      </c>
      <c r="AD23" s="91">
        <v>104</v>
      </c>
      <c r="AP23" s="260"/>
      <c r="AQ23" s="208" t="s">
        <v>145</v>
      </c>
      <c r="AR23"/>
      <c r="AS23"/>
      <c r="AT23"/>
      <c r="AU23"/>
      <c r="AV23"/>
      <c r="AW23" s="54"/>
      <c r="AY23"/>
      <c r="AZ23" t="str">
        <f>IFERROR((TP_DATA[[#This Row],[D, bottom '[m']]]+#REF!)/(2*#REF!/1000),"")</f>
        <v/>
      </c>
      <c r="BK23" s="94"/>
      <c r="BL23" s="94"/>
      <c r="BQ23" t="s">
        <v>287</v>
      </c>
      <c r="BR23">
        <v>6.1</v>
      </c>
      <c r="BS23">
        <v>6.1</v>
      </c>
      <c r="BT23">
        <v>200</v>
      </c>
      <c r="CB23" s="60"/>
      <c r="CC23" s="88" t="s">
        <v>145</v>
      </c>
      <c r="CD23"/>
      <c r="CE23"/>
      <c r="CF23"/>
      <c r="CG23"/>
      <c r="CH23" s="49"/>
      <c r="CI23" s="77"/>
      <c r="CK23" s="49"/>
      <c r="CL23" t="str">
        <f>IFERROR((TOWER_DATA[[#This Row],[D, bottom '[m']]]+#REF!)/(2*#REF!/1000),"")</f>
        <v/>
      </c>
      <c r="CV23">
        <v>5</v>
      </c>
      <c r="CW23" s="94">
        <v>154.07</v>
      </c>
      <c r="CX23" s="94">
        <v>151.13</v>
      </c>
      <c r="CY23">
        <v>6.49</v>
      </c>
      <c r="CZ23">
        <v>6.49</v>
      </c>
      <c r="DA23">
        <v>32</v>
      </c>
      <c r="DC23" t="s">
        <v>356</v>
      </c>
      <c r="DD23">
        <v>155.87</v>
      </c>
      <c r="DE23">
        <v>155.87</v>
      </c>
      <c r="DF23">
        <v>12209</v>
      </c>
      <c r="DN23" s="83" t="s">
        <v>194</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18">
        <v>6</v>
      </c>
      <c r="Z24" s="90">
        <v>-14</v>
      </c>
      <c r="AA24" s="90">
        <v>-17.899999999999999</v>
      </c>
      <c r="AB24" s="90">
        <v>8.1565999999999992</v>
      </c>
      <c r="AC24" s="90">
        <v>8.4847999999999999</v>
      </c>
      <c r="AD24" s="91">
        <v>98</v>
      </c>
      <c r="AP24" s="261"/>
      <c r="AQ24" s="209"/>
      <c r="AR24"/>
      <c r="AS24"/>
      <c r="AT24"/>
      <c r="AU24"/>
      <c r="AV24"/>
      <c r="AW24" s="54"/>
      <c r="AY24"/>
      <c r="AZ24" t="str">
        <f>IFERROR((TP_DATA[[#This Row],[D, bottom '[m']]]+#REF!)/(2*#REF!/1000),"")</f>
        <v/>
      </c>
      <c r="BK24" s="94"/>
      <c r="BL24" s="94"/>
      <c r="BQ24" t="s">
        <v>282</v>
      </c>
      <c r="BR24">
        <v>5.6</v>
      </c>
      <c r="BS24">
        <v>5.6</v>
      </c>
      <c r="BT24">
        <v>60000</v>
      </c>
      <c r="CB24" s="63"/>
      <c r="CC24" s="167"/>
      <c r="CD24"/>
      <c r="CE24"/>
      <c r="CF24"/>
      <c r="CG24"/>
      <c r="CH24" s="49"/>
      <c r="CI24" s="77"/>
      <c r="CK24" s="49"/>
      <c r="CL24" t="str">
        <f>IFERROR((TOWER_DATA[[#This Row],[D, bottom '[m']]]+#REF!)/(2*#REF!/1000),"")</f>
        <v/>
      </c>
      <c r="CV24">
        <v>6</v>
      </c>
      <c r="CW24" s="94">
        <v>151.13</v>
      </c>
      <c r="CX24" s="94">
        <v>148.57</v>
      </c>
      <c r="CY24">
        <v>6.48</v>
      </c>
      <c r="CZ24">
        <v>6.48</v>
      </c>
      <c r="DA24">
        <v>24</v>
      </c>
      <c r="DC24" t="s">
        <v>357</v>
      </c>
      <c r="DD24">
        <v>155.52000000000001</v>
      </c>
      <c r="DE24">
        <v>155.52000000000001</v>
      </c>
      <c r="DF24">
        <v>17996</v>
      </c>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18">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358</v>
      </c>
      <c r="DD25">
        <v>153.22</v>
      </c>
      <c r="DE25">
        <v>153.22</v>
      </c>
      <c r="DF25">
        <v>1440</v>
      </c>
      <c r="DY25" s="279"/>
      <c r="DZ25" s="279"/>
      <c r="EA25" s="58"/>
      <c r="EB25" s="58"/>
      <c r="EC25" s="279"/>
      <c r="ED25" s="279"/>
      <c r="EE25" s="58"/>
      <c r="EF25" s="58"/>
      <c r="EG25" s="58"/>
    </row>
    <row r="26" spans="1:144" ht="26.25" customHeight="1" thickBot="1">
      <c r="A26" s="276"/>
      <c r="B26" s="277"/>
      <c r="C26" s="224"/>
      <c r="D26" s="238"/>
      <c r="E26" s="252" t="s">
        <v>243</v>
      </c>
      <c r="K26"/>
      <c r="L26" s="63"/>
      <c r="M26" s="64"/>
      <c r="N26" s="64"/>
      <c r="O26" s="64" t="str">
        <f>IFERROR((MP_DATA[[#This Row],[D, bottom '[m']]]+#REF!)/(2*#REF!/1000),"")</f>
        <v/>
      </c>
      <c r="P26" s="64"/>
      <c r="Q26" s="64"/>
      <c r="R26" s="64"/>
      <c r="S26" s="64"/>
      <c r="T26" s="64"/>
      <c r="U26" s="64"/>
      <c r="V26" s="64"/>
      <c r="W26" s="64"/>
      <c r="X26" s="65"/>
      <c r="Y26" s="318">
        <v>8</v>
      </c>
      <c r="Z26" s="90">
        <v>-21.8</v>
      </c>
      <c r="AA26" s="90">
        <v>-25.7</v>
      </c>
      <c r="AB26" s="90">
        <v>8.8131000000000004</v>
      </c>
      <c r="AC26" s="90">
        <v>9.1414000000000009</v>
      </c>
      <c r="AD26" s="91">
        <v>92</v>
      </c>
      <c r="AP26" s="84" t="s">
        <v>151</v>
      </c>
      <c r="AV26"/>
      <c r="AW26" s="63"/>
      <c r="AX26" s="64"/>
      <c r="AY26" s="64"/>
      <c r="AZ26" s="64" t="str">
        <f>IFERROR((TP_DATA[[#This Row],[D, bottom '[m']]]+#REF!)/(2*#REF!/1000),"")</f>
        <v/>
      </c>
      <c r="BA26" s="64"/>
      <c r="BB26" s="64"/>
      <c r="BC26" s="64"/>
      <c r="BD26" s="64"/>
      <c r="BE26" s="64"/>
      <c r="BF26" s="64"/>
      <c r="BG26" s="64"/>
      <c r="BH26" s="64"/>
      <c r="BI26" s="65"/>
      <c r="BK26" s="94"/>
      <c r="BL26" s="94"/>
      <c r="CB26" s="84" t="s">
        <v>151</v>
      </c>
      <c r="CH26" s="49"/>
      <c r="CI26" s="179"/>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359</v>
      </c>
      <c r="DD26">
        <v>152.37</v>
      </c>
      <c r="DE26">
        <v>152.37</v>
      </c>
      <c r="DF26">
        <v>2836</v>
      </c>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18">
        <v>9</v>
      </c>
      <c r="Z27" s="90">
        <v>-25.7</v>
      </c>
      <c r="AA27" s="90">
        <v>-29.6</v>
      </c>
      <c r="AB27" s="90">
        <v>9.1414000000000009</v>
      </c>
      <c r="AC27" s="90">
        <v>9.4696999999999996</v>
      </c>
      <c r="AD27" s="91">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267">
        <v>9</v>
      </c>
      <c r="CW27" s="269">
        <v>143.41999999999999</v>
      </c>
      <c r="CX27" s="269">
        <v>143.27000000000001</v>
      </c>
      <c r="CY27" s="267">
        <v>6.5</v>
      </c>
      <c r="CZ27" s="267">
        <v>6.5</v>
      </c>
      <c r="DA27" s="267">
        <v>32</v>
      </c>
      <c r="DC27" s="267" t="s">
        <v>360</v>
      </c>
      <c r="DD27" s="267">
        <v>152.37</v>
      </c>
      <c r="DE27" s="267">
        <v>152.37</v>
      </c>
      <c r="DF27" s="267">
        <v>773</v>
      </c>
      <c r="DN27" s="262"/>
      <c r="DR27" s="270"/>
      <c r="DS27" s="270"/>
      <c r="DX27" s="268"/>
      <c r="DY27" s="49"/>
      <c r="DZ27" s="49"/>
      <c r="EC27" s="49"/>
      <c r="ED27" s="49"/>
      <c r="EN27" s="268"/>
    </row>
    <row r="28" spans="1:144" s="267" customFormat="1" ht="18" hidden="1" customHeight="1" outlineLevel="1">
      <c r="A28" s="264"/>
      <c r="B28" s="265"/>
      <c r="C28" s="265"/>
      <c r="D28" s="266"/>
      <c r="E28" s="267" t="s">
        <v>348</v>
      </c>
      <c r="F28" s="234" t="s">
        <v>140</v>
      </c>
      <c r="G28" s="267" t="s">
        <v>345</v>
      </c>
      <c r="H28" s="267" t="s">
        <v>249</v>
      </c>
      <c r="I28" s="267">
        <v>43.5</v>
      </c>
      <c r="J28" s="267" t="s">
        <v>49</v>
      </c>
      <c r="K28" s="267" t="s">
        <v>204</v>
      </c>
      <c r="O28" s="267" t="str">
        <f>IFERROR((MP_DATA[[#This Row],[D, bottom '[m']]]+#REF!)/(2*#REF!/1000),"")</f>
        <v/>
      </c>
      <c r="X28" s="268"/>
      <c r="Y28" s="318">
        <v>10</v>
      </c>
      <c r="Z28" s="90">
        <v>-29.6</v>
      </c>
      <c r="AA28" s="90">
        <v>-33.5</v>
      </c>
      <c r="AB28" s="90">
        <v>9.4696999999999996</v>
      </c>
      <c r="AC28" s="90">
        <v>9.8000000000000007</v>
      </c>
      <c r="AD28" s="91">
        <v>90</v>
      </c>
      <c r="AP28" s="262" t="s">
        <v>348</v>
      </c>
      <c r="AQ28" s="267" t="s">
        <v>140</v>
      </c>
      <c r="AR28" s="267" t="s">
        <v>345</v>
      </c>
      <c r="AS28" s="267" t="s">
        <v>249</v>
      </c>
      <c r="AT28" s="267">
        <v>43.5</v>
      </c>
      <c r="AU28" s="267" t="s">
        <v>49</v>
      </c>
      <c r="AV28" s="267" t="s">
        <v>204</v>
      </c>
      <c r="AZ28" s="267" t="str">
        <f>IFERROR((TP_DATA[[#This Row],[D, bottom '[m']]]+#REF!)/(2*#REF!/1000),"")</f>
        <v/>
      </c>
      <c r="BI28" s="268"/>
      <c r="BK28" s="269"/>
      <c r="BL28" s="269"/>
      <c r="BZ28" s="271"/>
      <c r="CB28" s="262" t="s">
        <v>266</v>
      </c>
      <c r="CC28" s="267" t="s">
        <v>140</v>
      </c>
      <c r="CD28" s="267" t="s">
        <v>58</v>
      </c>
      <c r="CE28" s="267" t="s">
        <v>267</v>
      </c>
      <c r="CF28" s="267" t="s">
        <v>268</v>
      </c>
      <c r="CG28" s="267" t="s">
        <v>49</v>
      </c>
      <c r="CH28" s="267" t="s">
        <v>269</v>
      </c>
      <c r="CL28" s="267" t="str">
        <f>IFERROR((TOWER_DATA[[#This Row],[D, bottom '[m']]]+#REF!)/(2*#REF!/1000),"")</f>
        <v/>
      </c>
      <c r="CU28" s="268"/>
      <c r="CV28" s="267">
        <v>10</v>
      </c>
      <c r="CW28" s="269">
        <v>143.27000000000001</v>
      </c>
      <c r="CX28" s="269">
        <v>143.13</v>
      </c>
      <c r="CY28" s="267">
        <v>6.5</v>
      </c>
      <c r="CZ28" s="267">
        <v>6.5</v>
      </c>
      <c r="DA28" s="267">
        <v>32</v>
      </c>
      <c r="DC28" s="267" t="s">
        <v>361</v>
      </c>
      <c r="DD28" s="267">
        <v>152.37</v>
      </c>
      <c r="DE28" s="267">
        <v>152.37</v>
      </c>
      <c r="DF28" s="267">
        <v>2104</v>
      </c>
      <c r="DL28" s="271"/>
      <c r="DN28" s="262"/>
      <c r="DR28" s="270"/>
      <c r="DS28" s="270"/>
      <c r="DX28" s="268"/>
      <c r="DY28" s="267" t="s">
        <v>242</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346</v>
      </c>
      <c r="F29" s="234" t="s">
        <v>140</v>
      </c>
      <c r="G29" s="267" t="s">
        <v>345</v>
      </c>
      <c r="H29" s="267" t="s">
        <v>250</v>
      </c>
      <c r="I29" s="267">
        <v>45.43</v>
      </c>
      <c r="J29" s="267" t="s">
        <v>49</v>
      </c>
      <c r="K29" s="267" t="s">
        <v>204</v>
      </c>
      <c r="O29" s="267" t="str">
        <f>IFERROR((MP_DATA[[#This Row],[D, bottom '[m']]]+#REF!)/(2*#REF!/1000),"")</f>
        <v/>
      </c>
      <c r="X29" s="268"/>
      <c r="Y29" s="318">
        <v>11</v>
      </c>
      <c r="Z29" s="90">
        <v>-33.5</v>
      </c>
      <c r="AA29" s="90">
        <v>-36.799999999999997</v>
      </c>
      <c r="AB29" s="90">
        <v>9.8000000000000007</v>
      </c>
      <c r="AC29" s="90">
        <v>9.8000000000000007</v>
      </c>
      <c r="AD29" s="91">
        <v>90</v>
      </c>
      <c r="AP29" s="262" t="s">
        <v>346</v>
      </c>
      <c r="AQ29" s="267" t="s">
        <v>140</v>
      </c>
      <c r="AR29" s="267" t="s">
        <v>345</v>
      </c>
      <c r="AS29" s="267" t="s">
        <v>250</v>
      </c>
      <c r="AT29" s="267">
        <v>45.43</v>
      </c>
      <c r="AU29" s="267" t="s">
        <v>49</v>
      </c>
      <c r="AV29" s="267" t="s">
        <v>204</v>
      </c>
      <c r="AZ29" s="267" t="str">
        <f>IFERROR((TP_DATA[[#This Row],[D, bottom '[m']]]+#REF!)/(2*#REF!/1000),"")</f>
        <v/>
      </c>
      <c r="BI29" s="268"/>
      <c r="BK29" s="269"/>
      <c r="BL29" s="269"/>
      <c r="BZ29" s="271"/>
      <c r="CB29" s="262" t="s">
        <v>270</v>
      </c>
      <c r="CC29" s="267" t="s">
        <v>140</v>
      </c>
      <c r="CD29" s="267" t="s">
        <v>58</v>
      </c>
      <c r="CE29" s="267" t="s">
        <v>271</v>
      </c>
      <c r="CF29" s="267" t="s">
        <v>268</v>
      </c>
      <c r="CG29" s="267" t="s">
        <v>49</v>
      </c>
      <c r="CH29" s="267" t="s">
        <v>272</v>
      </c>
      <c r="CL29" s="267" t="str">
        <f>IFERROR((TOWER_DATA[[#This Row],[D, bottom '[m']]]+#REF!)/(2*#REF!/1000),"")</f>
        <v/>
      </c>
      <c r="CU29" s="268"/>
      <c r="CV29" s="267">
        <v>11</v>
      </c>
      <c r="CW29" s="269">
        <v>143.13</v>
      </c>
      <c r="CX29" s="269">
        <v>140.79</v>
      </c>
      <c r="CY29" s="267">
        <v>6.5</v>
      </c>
      <c r="CZ29" s="267">
        <v>6.63</v>
      </c>
      <c r="DA29" s="267">
        <v>32</v>
      </c>
      <c r="DC29" s="267" t="s">
        <v>362</v>
      </c>
      <c r="DD29" s="267">
        <v>152.22999999999999</v>
      </c>
      <c r="DE29" s="267">
        <v>152.22999999999999</v>
      </c>
      <c r="DF29" s="267">
        <v>910</v>
      </c>
      <c r="DL29" s="271"/>
      <c r="DN29" s="262"/>
      <c r="DR29" s="270"/>
      <c r="DS29" s="270"/>
      <c r="DX29" s="268"/>
      <c r="DY29" s="267" t="s">
        <v>240</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692</v>
      </c>
      <c r="F30" s="234" t="s">
        <v>140</v>
      </c>
      <c r="G30" s="267" t="s">
        <v>693</v>
      </c>
      <c r="H30" s="267" t="s">
        <v>694</v>
      </c>
      <c r="I30" s="267">
        <v>43.5</v>
      </c>
      <c r="J30" s="267" t="s">
        <v>49</v>
      </c>
      <c r="K30" s="267" t="s">
        <v>695</v>
      </c>
      <c r="O30" s="267" t="str">
        <f>IFERROR((MP_DATA[[#This Row],[D, bottom '[m']]]+#REF!)/(2*#REF!/1000),"")</f>
        <v/>
      </c>
      <c r="X30" s="268"/>
      <c r="Y30" s="318">
        <v>12</v>
      </c>
      <c r="Z30" s="90">
        <v>-36.799999999999997</v>
      </c>
      <c r="AA30" s="90">
        <v>-40.200000000000003</v>
      </c>
      <c r="AB30" s="90">
        <v>9.8000000000000007</v>
      </c>
      <c r="AC30" s="90">
        <v>9.8000000000000007</v>
      </c>
      <c r="AD30" s="91">
        <v>98</v>
      </c>
      <c r="AP30" s="262" t="s">
        <v>692</v>
      </c>
      <c r="AQ30" s="267" t="s">
        <v>140</v>
      </c>
      <c r="AR30" s="267" t="s">
        <v>693</v>
      </c>
      <c r="AS30" s="267" t="s">
        <v>694</v>
      </c>
      <c r="AT30" s="267">
        <v>43.5</v>
      </c>
      <c r="AU30" s="267" t="s">
        <v>49</v>
      </c>
      <c r="AV30" s="267" t="s">
        <v>695</v>
      </c>
      <c r="AZ30" s="267" t="str">
        <f>IFERROR((TP_DATA[[#This Row],[D, bottom '[m']]]+#REF!)/(2*#REF!/1000),"")</f>
        <v/>
      </c>
      <c r="BI30" s="268"/>
      <c r="BK30" s="269"/>
      <c r="BL30" s="269"/>
      <c r="BZ30" s="271"/>
      <c r="CB30" s="262" t="s">
        <v>350</v>
      </c>
      <c r="CC30" s="267" t="s">
        <v>338</v>
      </c>
      <c r="CD30" s="267" t="s">
        <v>339</v>
      </c>
      <c r="CE30" s="267" t="s">
        <v>351</v>
      </c>
      <c r="CF30" s="267">
        <v>42.26</v>
      </c>
      <c r="CG30" s="267" t="s">
        <v>49</v>
      </c>
      <c r="CH30" s="267" t="s">
        <v>341</v>
      </c>
      <c r="CL30" s="267" t="str">
        <f>IFERROR((TOWER_DATA[[#This Row],[D, bottom '[m']]]+#REF!)/(2*#REF!/1000),"")</f>
        <v/>
      </c>
      <c r="CU30" s="268"/>
      <c r="CV30" s="267">
        <v>12</v>
      </c>
      <c r="CW30" s="269">
        <v>140.79</v>
      </c>
      <c r="CX30" s="269">
        <v>138.49</v>
      </c>
      <c r="CY30" s="267">
        <v>6.62</v>
      </c>
      <c r="CZ30" s="267">
        <v>6.75</v>
      </c>
      <c r="DA30" s="267">
        <v>28</v>
      </c>
      <c r="DC30" s="267" t="s">
        <v>363</v>
      </c>
      <c r="DD30" s="267">
        <v>151.08000000000001</v>
      </c>
      <c r="DE30" s="267">
        <v>151.08000000000001</v>
      </c>
      <c r="DF30" s="267">
        <v>5000</v>
      </c>
      <c r="DL30" s="271"/>
      <c r="DN30" s="262"/>
      <c r="DR30" s="270"/>
      <c r="DS30" s="270"/>
      <c r="DX30" s="268"/>
      <c r="DY30" s="267" t="s">
        <v>241</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337</v>
      </c>
      <c r="F31" s="234" t="s">
        <v>338</v>
      </c>
      <c r="G31" s="267" t="s">
        <v>339</v>
      </c>
      <c r="H31" s="267" t="s">
        <v>340</v>
      </c>
      <c r="I31" s="267">
        <v>42.26</v>
      </c>
      <c r="J31" s="267" t="s">
        <v>49</v>
      </c>
      <c r="K31" s="267" t="s">
        <v>341</v>
      </c>
      <c r="O31" s="267" t="str">
        <f>IFERROR((MP_DATA[[#This Row],[D, bottom '[m']]]+#REF!)/(2*#REF!/1000),"")</f>
        <v/>
      </c>
      <c r="X31" s="268"/>
      <c r="Y31" s="318">
        <v>13</v>
      </c>
      <c r="Z31" s="90">
        <v>-40.200000000000003</v>
      </c>
      <c r="AA31" s="90">
        <v>-43.8</v>
      </c>
      <c r="AB31" s="90">
        <v>9.8000000000000007</v>
      </c>
      <c r="AC31" s="90">
        <v>9.8000000000000007</v>
      </c>
      <c r="AD31" s="91">
        <v>88</v>
      </c>
      <c r="AP31" s="262" t="s">
        <v>337</v>
      </c>
      <c r="AQ31" s="267" t="s">
        <v>338</v>
      </c>
      <c r="AR31" s="267" t="s">
        <v>339</v>
      </c>
      <c r="AS31" s="267" t="s">
        <v>340</v>
      </c>
      <c r="AT31" s="267">
        <v>42.26</v>
      </c>
      <c r="AU31" s="267" t="s">
        <v>49</v>
      </c>
      <c r="AV31" s="267" t="s">
        <v>341</v>
      </c>
      <c r="AZ31" s="267" t="str">
        <f>IFERROR((TP_DATA[[#This Row],[D, bottom '[m']]]+#REF!)/(2*#REF!/1000),"")</f>
        <v/>
      </c>
      <c r="BI31" s="268"/>
      <c r="BK31" s="269"/>
      <c r="BL31" s="269"/>
      <c r="BZ31" s="271"/>
      <c r="CB31" s="262" t="s">
        <v>273</v>
      </c>
      <c r="CC31" s="267" t="s">
        <v>252</v>
      </c>
      <c r="CD31" s="267" t="s">
        <v>253</v>
      </c>
      <c r="CE31" s="267" t="s">
        <v>274</v>
      </c>
      <c r="CF31" s="267" t="s">
        <v>275</v>
      </c>
      <c r="CG31" s="267" t="s">
        <v>49</v>
      </c>
      <c r="CH31" s="267" t="s">
        <v>276</v>
      </c>
      <c r="CL31" s="267" t="str">
        <f>IFERROR((TOWER_DATA[[#This Row],[D, bottom '[m']]]+#REF!)/(2*#REF!/1000),"")</f>
        <v/>
      </c>
      <c r="CU31" s="268"/>
      <c r="CV31" s="267">
        <v>13</v>
      </c>
      <c r="CW31" s="269">
        <v>138.49</v>
      </c>
      <c r="CX31" s="269">
        <v>136.19</v>
      </c>
      <c r="CY31" s="267">
        <v>6.75</v>
      </c>
      <c r="CZ31" s="267">
        <v>6.87</v>
      </c>
      <c r="DA31" s="267">
        <v>28</v>
      </c>
      <c r="DC31" s="267" t="s">
        <v>364</v>
      </c>
      <c r="DD31" s="267">
        <v>148.27000000000001</v>
      </c>
      <c r="DE31" s="267">
        <v>148.27000000000001</v>
      </c>
      <c r="DF31" s="267">
        <v>455</v>
      </c>
      <c r="DL31" s="271"/>
      <c r="DN31" s="262"/>
      <c r="DR31" s="270"/>
      <c r="DS31" s="270"/>
      <c r="DX31" s="268"/>
      <c r="EN31" s="268"/>
    </row>
    <row r="32" spans="1:144" s="267" customFormat="1" ht="18" hidden="1" customHeight="1" outlineLevel="1">
      <c r="A32" s="264"/>
      <c r="B32" s="265"/>
      <c r="C32" s="265"/>
      <c r="D32" s="266"/>
      <c r="E32" s="267" t="s">
        <v>251</v>
      </c>
      <c r="F32" s="234" t="s">
        <v>252</v>
      </c>
      <c r="G32" s="267" t="s">
        <v>253</v>
      </c>
      <c r="H32" s="267" t="s">
        <v>254</v>
      </c>
      <c r="I32" s="267">
        <v>39.94</v>
      </c>
      <c r="J32" s="267" t="s">
        <v>49</v>
      </c>
      <c r="K32" s="267" t="s">
        <v>255</v>
      </c>
      <c r="O32" s="267" t="str">
        <f>IFERROR((MP_DATA[[#This Row],[D, bottom '[m']]]+#REF!)/(2*#REF!/1000),"")</f>
        <v/>
      </c>
      <c r="X32" s="268"/>
      <c r="Y32" s="318">
        <v>14</v>
      </c>
      <c r="Z32" s="90">
        <v>-43.8</v>
      </c>
      <c r="AA32" s="90">
        <v>-47.8</v>
      </c>
      <c r="AB32" s="90">
        <v>9.8000000000000007</v>
      </c>
      <c r="AC32" s="90">
        <v>9.8000000000000007</v>
      </c>
      <c r="AD32" s="91">
        <v>88</v>
      </c>
      <c r="AP32" s="262"/>
      <c r="AZ32" s="267" t="str">
        <f>IFERROR((TP_DATA[[#This Row],[D, bottom '[m']]]+#REF!)/(2*#REF!/1000),"")</f>
        <v/>
      </c>
      <c r="BI32" s="268"/>
      <c r="BK32" s="269"/>
      <c r="BL32" s="269"/>
      <c r="BZ32" s="271"/>
      <c r="CB32" s="262" t="s">
        <v>277</v>
      </c>
      <c r="CC32" s="267" t="s">
        <v>252</v>
      </c>
      <c r="CD32" s="267" t="s">
        <v>253</v>
      </c>
      <c r="CE32" s="267" t="s">
        <v>278</v>
      </c>
      <c r="CF32" s="267" t="s">
        <v>279</v>
      </c>
      <c r="CG32" s="267" t="s">
        <v>49</v>
      </c>
      <c r="CH32" s="267" t="s">
        <v>255</v>
      </c>
      <c r="CL32" s="267" t="str">
        <f>IFERROR((TOWER_DATA[[#This Row],[D, bottom '[m']]]+#REF!)/(2*#REF!/1000),"")</f>
        <v/>
      </c>
      <c r="CU32" s="268"/>
      <c r="CV32" s="267">
        <v>14</v>
      </c>
      <c r="CW32" s="269">
        <v>136.19</v>
      </c>
      <c r="CX32" s="269">
        <v>133.88</v>
      </c>
      <c r="CY32" s="267">
        <v>6.87</v>
      </c>
      <c r="CZ32" s="267">
        <v>7</v>
      </c>
      <c r="DA32" s="267">
        <v>28</v>
      </c>
      <c r="DC32" s="267" t="s">
        <v>365</v>
      </c>
      <c r="DD32" s="267">
        <v>146.19</v>
      </c>
      <c r="DE32" s="267">
        <v>146.19</v>
      </c>
      <c r="DF32" s="267">
        <v>7201</v>
      </c>
      <c r="DL32" s="271"/>
      <c r="DN32" s="262"/>
      <c r="DR32" s="270"/>
      <c r="DS32" s="270"/>
      <c r="DX32" s="268"/>
      <c r="EN32" s="268"/>
    </row>
    <row r="33" spans="1:144" s="267" customFormat="1" ht="18" hidden="1" customHeight="1" outlineLevel="1">
      <c r="A33" s="264"/>
      <c r="B33" s="265"/>
      <c r="C33" s="265"/>
      <c r="D33" s="266"/>
      <c r="E33" s="270" t="s">
        <v>256</v>
      </c>
      <c r="F33" s="334" t="s">
        <v>252</v>
      </c>
      <c r="G33" s="269" t="s">
        <v>253</v>
      </c>
      <c r="H33" s="269" t="s">
        <v>257</v>
      </c>
      <c r="I33" s="269">
        <v>39.94</v>
      </c>
      <c r="J33" s="270" t="s">
        <v>49</v>
      </c>
      <c r="K33" s="267" t="s">
        <v>255</v>
      </c>
      <c r="O33" s="272" t="str">
        <f>IFERROR((MP_DATA[[#This Row],[D, bottom '[m']]]+#REF!)/(2*#REF!/1000),"")</f>
        <v/>
      </c>
      <c r="X33" s="268"/>
      <c r="Y33" s="318">
        <v>15</v>
      </c>
      <c r="Z33" s="90">
        <v>-47.8</v>
      </c>
      <c r="AA33" s="90">
        <v>-51.8</v>
      </c>
      <c r="AB33" s="90">
        <v>9.8000000000000007</v>
      </c>
      <c r="AC33" s="90">
        <v>9.8000000000000007</v>
      </c>
      <c r="AD33" s="91">
        <v>88</v>
      </c>
      <c r="AP33" s="263"/>
      <c r="AQ33" s="269"/>
      <c r="AR33" s="269"/>
      <c r="AS33" s="269"/>
      <c r="AT33" s="269"/>
      <c r="AU33" s="270"/>
      <c r="AZ33" s="272" t="str">
        <f>IFERROR((TP_DATA[[#This Row],[D, bottom '[m']]]+#REF!)/(2*#REF!/1000),"")</f>
        <v/>
      </c>
      <c r="BI33" s="268"/>
      <c r="BK33" s="269"/>
      <c r="BL33" s="269"/>
      <c r="BZ33" s="271"/>
      <c r="CB33" s="263"/>
      <c r="CC33" s="269"/>
      <c r="CD33" s="269"/>
      <c r="CE33" s="269"/>
      <c r="CF33" s="269"/>
      <c r="CG33" s="270"/>
      <c r="CL33" s="272" t="str">
        <f>IFERROR((TOWER_DATA[[#This Row],[D, bottom '[m']]]+#REF!)/(2*#REF!/1000),"")</f>
        <v/>
      </c>
      <c r="CU33" s="268"/>
      <c r="CV33" s="267">
        <v>15</v>
      </c>
      <c r="CW33" s="269">
        <v>133.88</v>
      </c>
      <c r="CX33" s="269">
        <v>131.58000000000001</v>
      </c>
      <c r="CY33" s="267">
        <v>7</v>
      </c>
      <c r="CZ33" s="267">
        <v>7.12</v>
      </c>
      <c r="DA33" s="267">
        <v>28</v>
      </c>
      <c r="DC33" s="267" t="s">
        <v>366</v>
      </c>
      <c r="DD33" s="267">
        <v>143.34</v>
      </c>
      <c r="DE33" s="267">
        <v>143.34</v>
      </c>
      <c r="DF33" s="267">
        <v>4525</v>
      </c>
      <c r="DL33" s="271"/>
      <c r="DN33" s="262"/>
      <c r="DR33" s="270"/>
      <c r="DS33" s="270"/>
      <c r="DX33" s="268"/>
      <c r="EN33" s="268"/>
    </row>
    <row r="34" spans="1:144" s="267" customFormat="1" ht="18" hidden="1" customHeight="1" outlineLevel="1">
      <c r="A34" s="264"/>
      <c r="B34" s="265"/>
      <c r="C34" s="265"/>
      <c r="D34" s="266"/>
      <c r="E34" s="270" t="s">
        <v>258</v>
      </c>
      <c r="F34" s="334" t="s">
        <v>252</v>
      </c>
      <c r="G34" s="269" t="s">
        <v>253</v>
      </c>
      <c r="H34" s="269" t="s">
        <v>259</v>
      </c>
      <c r="I34" s="269">
        <v>41.34</v>
      </c>
      <c r="J34" s="270" t="s">
        <v>49</v>
      </c>
      <c r="K34" s="267" t="s">
        <v>255</v>
      </c>
      <c r="O34" s="272" t="str">
        <f>IFERROR((MP_DATA[[#This Row],[D, bottom '[m']]]+#REF!)/(2*#REF!/1000),"")</f>
        <v/>
      </c>
      <c r="X34" s="268"/>
      <c r="Y34" s="318">
        <v>16</v>
      </c>
      <c r="Z34" s="90">
        <v>-51.8</v>
      </c>
      <c r="AA34" s="90">
        <v>-55.8</v>
      </c>
      <c r="AB34" s="90">
        <v>9.8000000000000007</v>
      </c>
      <c r="AC34" s="90">
        <v>9.8000000000000007</v>
      </c>
      <c r="AD34" s="91">
        <v>81</v>
      </c>
      <c r="AP34" s="263"/>
      <c r="AQ34" s="269"/>
      <c r="AR34" s="269"/>
      <c r="AS34" s="269"/>
      <c r="AT34" s="269"/>
      <c r="AU34" s="270"/>
      <c r="AZ34" s="272" t="str">
        <f>IFERROR((TP_DATA[[#This Row],[D, bottom '[m']]]+#REF!)/(2*#REF!/1000),"")</f>
        <v/>
      </c>
      <c r="BI34" s="268"/>
      <c r="BK34" s="269"/>
      <c r="BL34" s="269"/>
      <c r="BZ34" s="271"/>
      <c r="CB34" s="263"/>
      <c r="CC34" s="269"/>
      <c r="CD34" s="269"/>
      <c r="CE34" s="269"/>
      <c r="CF34" s="269"/>
      <c r="CG34" s="270"/>
      <c r="CL34" s="272" t="str">
        <f>IFERROR((TOWER_DATA[[#This Row],[D, bottom '[m']]]+#REF!)/(2*#REF!/1000),"")</f>
        <v/>
      </c>
      <c r="CU34" s="268"/>
      <c r="CV34" s="267">
        <v>16</v>
      </c>
      <c r="CW34" s="269">
        <v>131.58000000000001</v>
      </c>
      <c r="CX34" s="269">
        <v>129.28</v>
      </c>
      <c r="CY34" s="267">
        <v>7.12</v>
      </c>
      <c r="CZ34" s="267">
        <v>7.24</v>
      </c>
      <c r="DA34" s="267">
        <v>29</v>
      </c>
      <c r="DC34" s="267" t="s">
        <v>367</v>
      </c>
      <c r="DD34" s="267">
        <v>143.19999999999999</v>
      </c>
      <c r="DE34" s="267">
        <v>143.19999999999999</v>
      </c>
      <c r="DF34" s="267">
        <v>4525</v>
      </c>
      <c r="DL34" s="271"/>
      <c r="DN34" s="262"/>
      <c r="DR34" s="270"/>
      <c r="DS34" s="270"/>
      <c r="DX34" s="268"/>
      <c r="EN34" s="268"/>
    </row>
    <row r="35" spans="1:144" s="267" customFormat="1" ht="18" hidden="1" customHeight="1" outlineLevel="1">
      <c r="A35" s="264"/>
      <c r="B35" s="265"/>
      <c r="C35" s="265"/>
      <c r="D35" s="266"/>
      <c r="E35" s="270" t="s">
        <v>260</v>
      </c>
      <c r="F35" s="334" t="s">
        <v>252</v>
      </c>
      <c r="G35" s="269" t="s">
        <v>253</v>
      </c>
      <c r="H35" s="269" t="s">
        <v>261</v>
      </c>
      <c r="I35" s="269">
        <v>41.34</v>
      </c>
      <c r="J35" s="270" t="s">
        <v>49</v>
      </c>
      <c r="K35" s="267" t="s">
        <v>255</v>
      </c>
      <c r="O35" s="272" t="str">
        <f>IFERROR((MP_DATA[[#This Row],[D, bottom '[m']]]+#REF!)/(2*#REF!/1000),"")</f>
        <v/>
      </c>
      <c r="X35" s="268"/>
      <c r="Y35" s="318">
        <v>17</v>
      </c>
      <c r="Z35" s="90">
        <v>-55.8</v>
      </c>
      <c r="AA35" s="90">
        <v>-59.8</v>
      </c>
      <c r="AB35" s="90">
        <v>9.8000000000000007</v>
      </c>
      <c r="AC35" s="90">
        <v>9.8000000000000007</v>
      </c>
      <c r="AD35" s="91">
        <v>81</v>
      </c>
      <c r="AP35" s="263"/>
      <c r="AQ35" s="269"/>
      <c r="AR35" s="269"/>
      <c r="AS35" s="269"/>
      <c r="AT35" s="269"/>
      <c r="AU35" s="270"/>
      <c r="AZ35" s="272" t="str">
        <f>IFERROR((TP_DATA[[#This Row],[D, bottom '[m']]]+#REF!)/(2*#REF!/1000),"")</f>
        <v/>
      </c>
      <c r="BI35" s="268"/>
      <c r="BK35" s="269"/>
      <c r="BL35" s="269"/>
      <c r="CB35" s="263"/>
      <c r="CC35" s="269"/>
      <c r="CD35" s="269"/>
      <c r="CE35" s="269"/>
      <c r="CF35" s="269"/>
      <c r="CG35" s="270"/>
      <c r="CL35" s="272" t="str">
        <f>IFERROR((TOWER_DATA[[#This Row],[D, bottom '[m']]]+#REF!)/(2*#REF!/1000),"")</f>
        <v/>
      </c>
      <c r="CU35" s="268"/>
      <c r="CV35" s="267">
        <v>17</v>
      </c>
      <c r="CW35" s="269">
        <v>129.28</v>
      </c>
      <c r="CX35" s="269">
        <v>126.98</v>
      </c>
      <c r="CY35" s="267">
        <v>7.24</v>
      </c>
      <c r="CZ35" s="267">
        <v>7.37</v>
      </c>
      <c r="DA35" s="267">
        <v>29</v>
      </c>
      <c r="DC35" s="267" t="s">
        <v>368</v>
      </c>
      <c r="DD35" s="267">
        <v>141.87</v>
      </c>
      <c r="DE35" s="267">
        <v>141.87</v>
      </c>
      <c r="DF35" s="267">
        <v>5941</v>
      </c>
      <c r="DN35" s="262"/>
      <c r="DR35" s="270"/>
      <c r="DS35" s="270"/>
      <c r="DX35" s="268"/>
      <c r="EN35" s="268"/>
    </row>
    <row r="36" spans="1:144" s="267" customFormat="1" ht="18" hidden="1" customHeight="1" outlineLevel="1">
      <c r="A36" s="264"/>
      <c r="B36" s="265"/>
      <c r="C36" s="265"/>
      <c r="D36" s="266"/>
      <c r="E36" s="270" t="s">
        <v>262</v>
      </c>
      <c r="F36" s="334" t="s">
        <v>252</v>
      </c>
      <c r="G36" s="269" t="s">
        <v>253</v>
      </c>
      <c r="H36" s="269" t="s">
        <v>263</v>
      </c>
      <c r="I36" s="269">
        <v>42.7</v>
      </c>
      <c r="J36" s="270" t="s">
        <v>49</v>
      </c>
      <c r="K36" s="267" t="s">
        <v>255</v>
      </c>
      <c r="O36" s="272" t="str">
        <f>IFERROR((MP_DATA[[#This Row],[D, bottom '[m']]]+#REF!)/(2*#REF!/1000),"")</f>
        <v/>
      </c>
      <c r="X36" s="268"/>
      <c r="Y36" s="318">
        <v>18</v>
      </c>
      <c r="Z36" s="90">
        <v>-59.8</v>
      </c>
      <c r="AA36" s="90">
        <v>-63.8</v>
      </c>
      <c r="AB36" s="90">
        <v>9.8000000000000007</v>
      </c>
      <c r="AC36" s="90">
        <v>9.8000000000000007</v>
      </c>
      <c r="AD36" s="91">
        <v>81</v>
      </c>
      <c r="AP36" s="263"/>
      <c r="AQ36" s="269"/>
      <c r="AR36" s="269"/>
      <c r="AS36" s="269"/>
      <c r="AT36" s="269"/>
      <c r="AU36" s="270"/>
      <c r="AZ36" s="272" t="str">
        <f>IFERROR((TP_DATA[[#This Row],[D, bottom '[m']]]+#REF!)/(2*#REF!/1000),"")</f>
        <v/>
      </c>
      <c r="BI36" s="268"/>
      <c r="BK36" s="269"/>
      <c r="BL36" s="269"/>
      <c r="CB36" s="263"/>
      <c r="CC36" s="269"/>
      <c r="CD36" s="269"/>
      <c r="CE36" s="269"/>
      <c r="CF36" s="269"/>
      <c r="CG36" s="270"/>
      <c r="CL36" s="272" t="str">
        <f>IFERROR((TOWER_DATA[[#This Row],[D, bottom '[m']]]+#REF!)/(2*#REF!/1000),"")</f>
        <v/>
      </c>
      <c r="CU36" s="268"/>
      <c r="CV36" s="267">
        <v>18</v>
      </c>
      <c r="CW36" s="269">
        <v>126.98</v>
      </c>
      <c r="CX36" s="269">
        <v>124.68</v>
      </c>
      <c r="CY36" s="267">
        <v>7.37</v>
      </c>
      <c r="CZ36" s="267">
        <v>7.49</v>
      </c>
      <c r="DA36" s="267">
        <v>29</v>
      </c>
      <c r="DC36" s="267" t="s">
        <v>369</v>
      </c>
      <c r="DD36" s="267">
        <v>129.27000000000001</v>
      </c>
      <c r="DE36" s="267">
        <v>129.27000000000001</v>
      </c>
      <c r="DF36" s="267">
        <v>1327</v>
      </c>
      <c r="DN36" s="262"/>
      <c r="DR36" s="270"/>
      <c r="DS36" s="270"/>
      <c r="DX36" s="268"/>
      <c r="EN36" s="268"/>
    </row>
    <row r="37" spans="1:144" s="267" customFormat="1" ht="18" hidden="1" customHeight="1" outlineLevel="1">
      <c r="A37" s="264"/>
      <c r="B37" s="265"/>
      <c r="C37" s="265"/>
      <c r="D37" s="266"/>
      <c r="E37" s="270" t="s">
        <v>264</v>
      </c>
      <c r="F37" s="334" t="s">
        <v>252</v>
      </c>
      <c r="G37" s="269" t="s">
        <v>253</v>
      </c>
      <c r="H37" s="269" t="s">
        <v>265</v>
      </c>
      <c r="I37" s="269">
        <v>42.7</v>
      </c>
      <c r="J37" s="270" t="s">
        <v>49</v>
      </c>
      <c r="K37" s="267" t="s">
        <v>255</v>
      </c>
      <c r="O37" s="272" t="str">
        <f>IFERROR((MP_DATA[[#This Row],[D, bottom '[m']]]+#REF!)/(2*#REF!/1000),"")</f>
        <v/>
      </c>
      <c r="X37" s="268"/>
      <c r="Y37" s="318">
        <v>19</v>
      </c>
      <c r="Z37" s="90">
        <v>-63.8</v>
      </c>
      <c r="AA37" s="90">
        <v>-67.599999999999994</v>
      </c>
      <c r="AB37" s="90">
        <v>9.8000000000000007</v>
      </c>
      <c r="AC37" s="90">
        <v>9.8000000000000007</v>
      </c>
      <c r="AD37" s="91">
        <v>81</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267">
        <v>19</v>
      </c>
      <c r="CW37" s="269">
        <v>124.68</v>
      </c>
      <c r="CX37" s="269">
        <v>122.38</v>
      </c>
      <c r="CY37" s="267">
        <v>7.49</v>
      </c>
      <c r="CZ37" s="267">
        <v>7.62</v>
      </c>
      <c r="DA37" s="267">
        <v>30</v>
      </c>
      <c r="DC37" s="267" t="s">
        <v>370</v>
      </c>
      <c r="DD37" s="267">
        <v>129.27000000000001</v>
      </c>
      <c r="DE37" s="267">
        <v>129.27000000000001</v>
      </c>
      <c r="DF37" s="267">
        <v>1008</v>
      </c>
      <c r="DN37" s="262"/>
      <c r="DR37" s="270"/>
      <c r="DS37" s="270"/>
      <c r="DX37" s="268"/>
      <c r="EN37" s="268"/>
    </row>
    <row r="38" spans="1:144" s="267" customFormat="1" ht="18" hidden="1" customHeight="1" outlineLevel="1">
      <c r="A38" s="264"/>
      <c r="B38" s="265"/>
      <c r="C38" s="265"/>
      <c r="D38" s="266"/>
      <c r="E38" s="270"/>
      <c r="F38" s="334"/>
      <c r="G38" s="269"/>
      <c r="H38" s="269"/>
      <c r="I38" s="269"/>
      <c r="J38" s="270"/>
      <c r="X38" s="268"/>
      <c r="Y38" s="318">
        <v>20</v>
      </c>
      <c r="Z38" s="90">
        <v>-67.599999999999994</v>
      </c>
      <c r="AA38" s="90">
        <v>-70.7</v>
      </c>
      <c r="AB38" s="90">
        <v>9.8000000000000007</v>
      </c>
      <c r="AC38" s="90">
        <v>9.8000000000000007</v>
      </c>
      <c r="AD38" s="91">
        <v>81</v>
      </c>
      <c r="AP38" s="263"/>
      <c r="AQ38" s="269"/>
      <c r="AR38" s="269"/>
      <c r="AS38" s="269"/>
      <c r="AT38" s="269"/>
      <c r="AU38" s="270"/>
      <c r="BI38" s="268"/>
      <c r="BK38" s="269"/>
      <c r="BL38" s="269"/>
      <c r="CB38" s="263"/>
      <c r="CC38" s="269"/>
      <c r="CD38" s="269"/>
      <c r="CE38" s="269"/>
      <c r="CF38" s="269"/>
      <c r="CG38" s="270"/>
      <c r="CU38" s="268"/>
      <c r="CV38" s="267">
        <v>20</v>
      </c>
      <c r="CW38" s="269">
        <v>122.38</v>
      </c>
      <c r="CX38" s="269">
        <v>120.07</v>
      </c>
      <c r="CY38" s="267">
        <v>7.62</v>
      </c>
      <c r="CZ38" s="267">
        <v>7.74</v>
      </c>
      <c r="DA38" s="267">
        <v>30</v>
      </c>
      <c r="DC38" s="267" t="s">
        <v>371</v>
      </c>
      <c r="DD38" s="267">
        <v>129.27000000000001</v>
      </c>
      <c r="DE38" s="267">
        <v>129.27000000000001</v>
      </c>
      <c r="DF38" s="267">
        <v>6854</v>
      </c>
      <c r="DN38" s="262"/>
      <c r="DR38" s="270"/>
      <c r="DS38" s="270"/>
      <c r="DX38" s="268"/>
      <c r="EN38" s="268"/>
    </row>
    <row r="39" spans="1:144" s="267" customFormat="1" ht="18" hidden="1" customHeight="1" outlineLevel="1">
      <c r="A39" s="264"/>
      <c r="B39" s="265"/>
      <c r="C39" s="265"/>
      <c r="D39" s="266"/>
      <c r="E39" s="270"/>
      <c r="F39" s="334"/>
      <c r="G39" s="269"/>
      <c r="H39" s="269"/>
      <c r="I39" s="269"/>
      <c r="J39" s="270"/>
      <c r="X39" s="268"/>
      <c r="Y39" s="318">
        <v>21</v>
      </c>
      <c r="Z39" s="90">
        <v>-70.7</v>
      </c>
      <c r="AA39" s="90">
        <v>-73.7</v>
      </c>
      <c r="AB39" s="90">
        <v>9.8000000000000007</v>
      </c>
      <c r="AC39" s="90">
        <v>9.8000000000000007</v>
      </c>
      <c r="AD39" s="91">
        <v>87</v>
      </c>
      <c r="AP39" s="263"/>
      <c r="AQ39" s="269"/>
      <c r="AR39" s="269"/>
      <c r="AS39" s="269"/>
      <c r="AT39" s="269"/>
      <c r="AU39" s="270"/>
      <c r="BI39" s="268"/>
      <c r="BK39" s="269"/>
      <c r="BL39" s="269"/>
      <c r="CB39" s="263"/>
      <c r="CC39" s="269"/>
      <c r="CD39" s="269"/>
      <c r="CE39" s="269"/>
      <c r="CF39" s="269"/>
      <c r="CG39" s="270"/>
      <c r="CU39" s="268"/>
      <c r="CV39" s="267">
        <v>21</v>
      </c>
      <c r="CW39" s="269">
        <v>120.07</v>
      </c>
      <c r="CX39" s="269">
        <v>117.77</v>
      </c>
      <c r="CY39" s="267">
        <v>7.74</v>
      </c>
      <c r="CZ39" s="267">
        <v>7.87</v>
      </c>
      <c r="DA39" s="267">
        <v>30</v>
      </c>
      <c r="DC39" s="267" t="s">
        <v>372</v>
      </c>
      <c r="DD39" s="267">
        <v>115.34</v>
      </c>
      <c r="DE39" s="267">
        <v>115.34</v>
      </c>
      <c r="DF39" s="267">
        <v>6660</v>
      </c>
      <c r="DN39" s="262"/>
      <c r="DR39" s="270"/>
      <c r="DS39" s="270"/>
      <c r="DX39" s="268"/>
      <c r="EN39" s="268"/>
    </row>
    <row r="40" spans="1:144" s="267" customFormat="1" ht="18" hidden="1" customHeight="1" outlineLevel="1">
      <c r="A40" s="264"/>
      <c r="B40" s="265"/>
      <c r="C40" s="265"/>
      <c r="D40" s="266"/>
      <c r="E40" s="270"/>
      <c r="F40" s="334"/>
      <c r="G40" s="269"/>
      <c r="H40" s="269"/>
      <c r="I40" s="269"/>
      <c r="J40" s="270"/>
      <c r="X40" s="268"/>
      <c r="Y40" s="318">
        <v>22</v>
      </c>
      <c r="Z40" s="90">
        <v>-73.7</v>
      </c>
      <c r="AA40" s="90">
        <v>-76.8</v>
      </c>
      <c r="AB40" s="90">
        <v>9.8000000000000007</v>
      </c>
      <c r="AC40" s="90">
        <v>9.8000000000000007</v>
      </c>
      <c r="AD40" s="91">
        <v>95</v>
      </c>
      <c r="AP40" s="263"/>
      <c r="AQ40" s="269"/>
      <c r="AR40" s="269"/>
      <c r="AS40" s="269"/>
      <c r="AT40" s="269"/>
      <c r="AU40" s="270"/>
      <c r="BI40" s="268"/>
      <c r="BK40" s="269"/>
      <c r="BL40" s="269"/>
      <c r="CB40" s="263"/>
      <c r="CC40" s="269"/>
      <c r="CD40" s="269"/>
      <c r="CE40" s="269"/>
      <c r="CF40" s="269"/>
      <c r="CG40" s="270"/>
      <c r="CU40" s="268"/>
      <c r="CV40" s="267">
        <v>22</v>
      </c>
      <c r="CW40" s="269">
        <v>117.77</v>
      </c>
      <c r="CX40" s="269">
        <v>115.42</v>
      </c>
      <c r="CY40" s="267">
        <v>7.87</v>
      </c>
      <c r="CZ40" s="267">
        <v>8</v>
      </c>
      <c r="DA40" s="267">
        <v>36</v>
      </c>
      <c r="DC40" s="267" t="s">
        <v>373</v>
      </c>
      <c r="DD40" s="267">
        <v>115.2</v>
      </c>
      <c r="DE40" s="267">
        <v>115.2</v>
      </c>
      <c r="DF40" s="267">
        <v>6660</v>
      </c>
      <c r="DN40" s="262"/>
      <c r="DR40" s="270"/>
      <c r="DS40" s="270"/>
      <c r="DX40" s="268"/>
      <c r="EN40" s="268"/>
    </row>
    <row r="41" spans="1:144" s="267" customFormat="1" ht="18" hidden="1" customHeight="1" outlineLevel="1">
      <c r="A41" s="264"/>
      <c r="B41" s="265"/>
      <c r="C41" s="265"/>
      <c r="D41" s="266"/>
      <c r="E41" s="270"/>
      <c r="F41" s="334"/>
      <c r="G41" s="269"/>
      <c r="H41" s="269"/>
      <c r="I41" s="269"/>
      <c r="J41" s="270"/>
      <c r="X41" s="268"/>
      <c r="Y41" s="318">
        <v>23</v>
      </c>
      <c r="Z41" s="90">
        <v>-76.8</v>
      </c>
      <c r="AA41" s="90">
        <v>-79.8</v>
      </c>
      <c r="AB41" s="90">
        <v>9.8000000000000007</v>
      </c>
      <c r="AC41" s="90">
        <v>9.8000000000000007</v>
      </c>
      <c r="AD41" s="91">
        <v>105</v>
      </c>
      <c r="AP41" s="263"/>
      <c r="AQ41" s="269"/>
      <c r="AR41" s="269"/>
      <c r="AS41" s="269"/>
      <c r="AT41" s="269"/>
      <c r="AU41" s="270"/>
      <c r="BI41" s="268"/>
      <c r="BJ41" s="271"/>
      <c r="BK41" s="273"/>
      <c r="BL41" s="273"/>
      <c r="BM41" s="271"/>
      <c r="BN41" s="271"/>
      <c r="BO41" s="271"/>
      <c r="CB41" s="263"/>
      <c r="CC41" s="269"/>
      <c r="CD41" s="269"/>
      <c r="CE41" s="269"/>
      <c r="CF41" s="269"/>
      <c r="CG41" s="270"/>
      <c r="CU41" s="268"/>
      <c r="CV41" s="267">
        <v>23</v>
      </c>
      <c r="CW41" s="269">
        <v>115.42</v>
      </c>
      <c r="CX41" s="269">
        <v>115.27</v>
      </c>
      <c r="CY41" s="267">
        <v>8</v>
      </c>
      <c r="CZ41" s="267">
        <v>8</v>
      </c>
      <c r="DA41" s="267">
        <v>36</v>
      </c>
      <c r="DC41" s="267" t="s">
        <v>374</v>
      </c>
      <c r="DD41" s="267">
        <v>113.87</v>
      </c>
      <c r="DE41" s="267">
        <v>113.87</v>
      </c>
      <c r="DF41" s="267">
        <v>9000</v>
      </c>
      <c r="DN41" s="262"/>
      <c r="DR41" s="270"/>
      <c r="DS41" s="270"/>
      <c r="DX41" s="268"/>
      <c r="EN41" s="268"/>
    </row>
    <row r="42" spans="1:144" s="267" customFormat="1" ht="18" hidden="1" customHeight="1" outlineLevel="1">
      <c r="A42" s="264"/>
      <c r="B42" s="265"/>
      <c r="C42" s="265"/>
      <c r="D42" s="266"/>
      <c r="E42" s="270"/>
      <c r="F42" s="334"/>
      <c r="G42" s="269"/>
      <c r="H42" s="269"/>
      <c r="I42" s="269"/>
      <c r="J42" s="270"/>
      <c r="O42" s="272" t="str">
        <f>IFERROR((MP_DATA[[#This Row],[D, bottom '[m']]]+#REF!)/(2*#REF!/1000),"")</f>
        <v/>
      </c>
      <c r="X42" s="268"/>
      <c r="Y42" s="318"/>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267">
        <v>24</v>
      </c>
      <c r="CW42" s="269">
        <v>115.27</v>
      </c>
      <c r="CX42" s="269">
        <v>115.12</v>
      </c>
      <c r="CY42" s="267">
        <v>8</v>
      </c>
      <c r="CZ42" s="267">
        <v>8</v>
      </c>
      <c r="DA42" s="267">
        <v>36</v>
      </c>
      <c r="DC42" s="267" t="s">
        <v>375</v>
      </c>
      <c r="DD42" s="267">
        <v>99.31</v>
      </c>
      <c r="DE42" s="267">
        <v>99.31</v>
      </c>
      <c r="DF42" s="267">
        <v>1669</v>
      </c>
      <c r="DN42" s="262"/>
      <c r="DR42" s="270"/>
      <c r="DS42" s="270"/>
      <c r="DX42" s="268"/>
      <c r="EN42" s="268"/>
    </row>
    <row r="43" spans="1:144" s="267" customFormat="1" ht="18" hidden="1" customHeight="1" outlineLevel="1">
      <c r="A43" s="264"/>
      <c r="B43" s="265"/>
      <c r="C43" s="265"/>
      <c r="D43" s="266"/>
      <c r="E43" s="270"/>
      <c r="F43" s="334"/>
      <c r="G43" s="269"/>
      <c r="H43" s="269"/>
      <c r="I43" s="269"/>
      <c r="J43" s="270"/>
      <c r="O43" s="272" t="str">
        <f>IFERROR((MP_DATA[[#This Row],[D, bottom '[m']]]+#REF!)/(2*#REF!/1000),"")</f>
        <v/>
      </c>
      <c r="X43" s="268"/>
      <c r="Y43" s="318"/>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267">
        <v>25</v>
      </c>
      <c r="CW43" s="269">
        <v>115.12</v>
      </c>
      <c r="CX43" s="269">
        <v>112.21</v>
      </c>
      <c r="CY43" s="267">
        <v>8</v>
      </c>
      <c r="CZ43" s="267">
        <v>8</v>
      </c>
      <c r="DA43" s="267">
        <v>36</v>
      </c>
      <c r="DC43" s="267" t="s">
        <v>376</v>
      </c>
      <c r="DD43" s="267">
        <v>99.31</v>
      </c>
      <c r="DE43" s="267">
        <v>99.31</v>
      </c>
      <c r="DF43" s="267">
        <v>1149</v>
      </c>
      <c r="DN43" s="262"/>
      <c r="DR43" s="270"/>
      <c r="DS43" s="270"/>
      <c r="DX43" s="268"/>
      <c r="EN43" s="268"/>
    </row>
    <row r="44" spans="1:144" s="267" customFormat="1" ht="18" hidden="1" customHeight="1" outlineLevel="1">
      <c r="A44" s="264"/>
      <c r="B44" s="265"/>
      <c r="C44" s="265"/>
      <c r="D44" s="266"/>
      <c r="E44" s="270"/>
      <c r="F44" s="334"/>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267">
        <v>26</v>
      </c>
      <c r="CW44" s="269">
        <v>112.21</v>
      </c>
      <c r="CX44" s="269">
        <v>109.34</v>
      </c>
      <c r="CY44" s="267">
        <v>8</v>
      </c>
      <c r="CZ44" s="267">
        <v>8</v>
      </c>
      <c r="DA44" s="267">
        <v>33</v>
      </c>
      <c r="DC44" s="267" t="s">
        <v>377</v>
      </c>
      <c r="DD44" s="267">
        <v>99.31</v>
      </c>
      <c r="DE44" s="267">
        <v>99.31</v>
      </c>
      <c r="DF44" s="267">
        <v>7814</v>
      </c>
      <c r="DN44" s="262"/>
      <c r="DR44" s="270"/>
      <c r="DS44" s="270"/>
      <c r="DX44" s="268"/>
      <c r="EN44" s="268"/>
    </row>
    <row r="45" spans="1:144" s="267" customFormat="1" ht="18" hidden="1" customHeight="1" outlineLevel="1">
      <c r="A45" s="264"/>
      <c r="B45" s="265"/>
      <c r="C45" s="265"/>
      <c r="D45" s="266"/>
      <c r="E45" s="270"/>
      <c r="F45" s="334"/>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267">
        <v>27</v>
      </c>
      <c r="CW45" s="269">
        <v>109.34</v>
      </c>
      <c r="CX45" s="269">
        <v>106.47</v>
      </c>
      <c r="CY45" s="267">
        <v>8</v>
      </c>
      <c r="CZ45" s="267">
        <v>8</v>
      </c>
      <c r="DA45" s="267">
        <v>34</v>
      </c>
      <c r="DC45" s="267" t="s">
        <v>378</v>
      </c>
      <c r="DD45" s="267">
        <v>83.45</v>
      </c>
      <c r="DE45" s="267">
        <v>83.45</v>
      </c>
      <c r="DF45" s="267">
        <v>11206</v>
      </c>
      <c r="DN45" s="262"/>
      <c r="DR45" s="270"/>
      <c r="DS45" s="270"/>
      <c r="DX45" s="268"/>
      <c r="EN45" s="268"/>
    </row>
    <row r="46" spans="1:144" s="267" customFormat="1" ht="18" hidden="1" customHeight="1" outlineLevel="1">
      <c r="A46" s="264"/>
      <c r="B46" s="265"/>
      <c r="C46" s="265"/>
      <c r="D46" s="266"/>
      <c r="E46" s="270"/>
      <c r="F46" s="334"/>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267">
        <v>28</v>
      </c>
      <c r="CW46" s="269">
        <v>106.47</v>
      </c>
      <c r="CX46" s="269">
        <v>103.61</v>
      </c>
      <c r="CY46" s="267">
        <v>8</v>
      </c>
      <c r="CZ46" s="267">
        <v>8</v>
      </c>
      <c r="DA46" s="267">
        <v>35</v>
      </c>
      <c r="DC46" s="267" t="s">
        <v>379</v>
      </c>
      <c r="DD46" s="267">
        <v>83.25</v>
      </c>
      <c r="DE46" s="267">
        <v>83.25</v>
      </c>
      <c r="DF46" s="267">
        <v>11206</v>
      </c>
      <c r="DN46" s="262"/>
      <c r="DR46" s="270"/>
      <c r="DS46" s="270"/>
      <c r="DX46" s="268"/>
      <c r="EN46" s="268"/>
    </row>
    <row r="47" spans="1:144" s="267" customFormat="1" ht="18" hidden="1" customHeight="1" outlineLevel="1">
      <c r="A47" s="264"/>
      <c r="B47" s="265"/>
      <c r="C47" s="265"/>
      <c r="D47" s="266"/>
      <c r="E47" s="270"/>
      <c r="F47" s="334"/>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267">
        <v>29</v>
      </c>
      <c r="CW47" s="269">
        <v>103.61</v>
      </c>
      <c r="CX47" s="269">
        <v>100.74</v>
      </c>
      <c r="CY47" s="267">
        <v>8</v>
      </c>
      <c r="CZ47" s="267">
        <v>8</v>
      </c>
      <c r="DA47" s="267">
        <v>36</v>
      </c>
      <c r="DC47" s="267" t="s">
        <v>380</v>
      </c>
      <c r="DD47" s="267">
        <v>81.95</v>
      </c>
      <c r="DE47" s="267">
        <v>81.95</v>
      </c>
      <c r="DF47" s="267">
        <v>9000</v>
      </c>
      <c r="DN47" s="262"/>
      <c r="DR47" s="270"/>
      <c r="DS47" s="270"/>
      <c r="DX47" s="268"/>
      <c r="EN47" s="268"/>
    </row>
    <row r="48" spans="1:144" s="267" customFormat="1" ht="18" hidden="1" customHeight="1" outlineLevel="1">
      <c r="A48" s="264"/>
      <c r="B48" s="265"/>
      <c r="C48" s="265"/>
      <c r="D48" s="266"/>
      <c r="E48" s="270"/>
      <c r="F48" s="334"/>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267">
        <v>30</v>
      </c>
      <c r="CW48" s="269">
        <v>100.74</v>
      </c>
      <c r="CX48" s="269">
        <v>97.88</v>
      </c>
      <c r="CY48" s="267">
        <v>8</v>
      </c>
      <c r="CZ48" s="267">
        <v>8</v>
      </c>
      <c r="DA48" s="267">
        <v>37</v>
      </c>
      <c r="DC48" s="267" t="s">
        <v>381</v>
      </c>
      <c r="DD48" s="267">
        <v>69.349999999999994</v>
      </c>
      <c r="DE48" s="267">
        <v>69.349999999999994</v>
      </c>
      <c r="DF48" s="267">
        <v>1464</v>
      </c>
      <c r="DN48" s="262"/>
      <c r="DR48" s="270"/>
      <c r="DS48" s="270"/>
      <c r="DX48" s="268"/>
      <c r="EN48" s="268"/>
    </row>
    <row r="49" spans="1:144" s="267" customFormat="1" ht="18" hidden="1" customHeight="1" outlineLevel="1">
      <c r="A49" s="264"/>
      <c r="B49" s="265"/>
      <c r="C49" s="265"/>
      <c r="D49" s="266"/>
      <c r="E49" s="270"/>
      <c r="F49" s="334"/>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267">
        <v>31</v>
      </c>
      <c r="CW49" s="269">
        <v>97.88</v>
      </c>
      <c r="CX49" s="269">
        <v>95.01</v>
      </c>
      <c r="CY49" s="267">
        <v>8</v>
      </c>
      <c r="CZ49" s="267">
        <v>8</v>
      </c>
      <c r="DA49" s="267">
        <v>38</v>
      </c>
      <c r="DC49" s="267" t="s">
        <v>382</v>
      </c>
      <c r="DD49" s="267">
        <v>69.349999999999994</v>
      </c>
      <c r="DE49" s="267">
        <v>69.349999999999994</v>
      </c>
      <c r="DF49" s="267">
        <v>1008</v>
      </c>
      <c r="DN49" s="262"/>
      <c r="DR49" s="270"/>
      <c r="DS49" s="270"/>
      <c r="DX49" s="268"/>
      <c r="EN49" s="268"/>
    </row>
    <row r="50" spans="1:144" s="267" customFormat="1" ht="18" hidden="1" customHeight="1" outlineLevel="1">
      <c r="A50" s="264"/>
      <c r="B50" s="265"/>
      <c r="C50" s="265"/>
      <c r="D50" s="266"/>
      <c r="E50" s="270"/>
      <c r="F50" s="334"/>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267">
        <v>32</v>
      </c>
      <c r="CW50" s="269">
        <v>95.01</v>
      </c>
      <c r="CX50" s="269">
        <v>92.15</v>
      </c>
      <c r="CY50" s="267">
        <v>8</v>
      </c>
      <c r="CZ50" s="267">
        <v>8</v>
      </c>
      <c r="DA50" s="267">
        <v>39</v>
      </c>
      <c r="DC50" s="267" t="s">
        <v>383</v>
      </c>
      <c r="DD50" s="267">
        <v>69.349999999999994</v>
      </c>
      <c r="DE50" s="267">
        <v>69.349999999999994</v>
      </c>
      <c r="DF50" s="267">
        <v>6854</v>
      </c>
      <c r="DN50" s="262"/>
      <c r="DR50" s="270"/>
      <c r="DS50" s="270"/>
      <c r="DX50" s="268"/>
      <c r="EN50" s="268"/>
    </row>
    <row r="51" spans="1:144" s="267" customFormat="1" ht="18" hidden="1" customHeight="1" outlineLevel="1">
      <c r="A51" s="264"/>
      <c r="B51" s="265"/>
      <c r="C51" s="265"/>
      <c r="D51" s="266"/>
      <c r="E51" s="270"/>
      <c r="F51" s="334"/>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267">
        <v>33</v>
      </c>
      <c r="CW51" s="269">
        <v>92.15</v>
      </c>
      <c r="CX51" s="269">
        <v>89.28</v>
      </c>
      <c r="CY51" s="267">
        <v>8</v>
      </c>
      <c r="CZ51" s="267">
        <v>8</v>
      </c>
      <c r="DA51" s="267">
        <v>40</v>
      </c>
      <c r="DC51" s="267" t="s">
        <v>384</v>
      </c>
      <c r="DD51" s="267">
        <v>55.49</v>
      </c>
      <c r="DE51" s="267">
        <v>55.49</v>
      </c>
      <c r="DF51" s="267">
        <v>19789</v>
      </c>
      <c r="DN51" s="262"/>
      <c r="DR51" s="270"/>
      <c r="DS51" s="270"/>
      <c r="DX51" s="268"/>
      <c r="EN51" s="268"/>
    </row>
    <row r="52" spans="1:144" s="267" customFormat="1" ht="18" hidden="1" customHeight="1" outlineLevel="1">
      <c r="A52" s="264"/>
      <c r="B52" s="265"/>
      <c r="C52" s="265"/>
      <c r="D52" s="266"/>
      <c r="E52" s="270"/>
      <c r="F52" s="334"/>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267">
        <v>34</v>
      </c>
      <c r="CW52" s="269">
        <v>89.28</v>
      </c>
      <c r="CX52" s="269">
        <v>86.42</v>
      </c>
      <c r="CY52" s="267">
        <v>8.01</v>
      </c>
      <c r="CZ52" s="267">
        <v>8.01</v>
      </c>
      <c r="DA52" s="267">
        <v>42</v>
      </c>
      <c r="DC52" s="267" t="s">
        <v>385</v>
      </c>
      <c r="DD52" s="267">
        <v>55.21</v>
      </c>
      <c r="DE52" s="267">
        <v>55.21</v>
      </c>
      <c r="DF52" s="267">
        <v>19789</v>
      </c>
      <c r="DN52" s="262"/>
      <c r="DR52" s="270"/>
      <c r="DS52" s="270"/>
      <c r="DX52" s="268"/>
      <c r="EN52" s="268"/>
    </row>
    <row r="53" spans="1:144" s="267" customFormat="1" ht="18" hidden="1" customHeight="1" outlineLevel="1">
      <c r="A53" s="264"/>
      <c r="B53" s="265"/>
      <c r="C53" s="265"/>
      <c r="D53" s="266"/>
      <c r="E53" s="270"/>
      <c r="F53" s="334"/>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267">
        <v>35</v>
      </c>
      <c r="CW53" s="269">
        <v>86.42</v>
      </c>
      <c r="CX53" s="269">
        <v>83.56</v>
      </c>
      <c r="CY53" s="267">
        <v>8.02</v>
      </c>
      <c r="CZ53" s="267">
        <v>8</v>
      </c>
      <c r="DA53" s="267">
        <v>54</v>
      </c>
      <c r="DC53" s="267" t="s">
        <v>386</v>
      </c>
      <c r="DD53" s="267">
        <v>53.95</v>
      </c>
      <c r="DE53" s="267">
        <v>53.95</v>
      </c>
      <c r="DF53" s="267">
        <v>9000</v>
      </c>
      <c r="DN53" s="262"/>
      <c r="DR53" s="270"/>
      <c r="DS53" s="270"/>
      <c r="DX53" s="268"/>
      <c r="EN53" s="268"/>
    </row>
    <row r="54" spans="1:144" s="267" customFormat="1" ht="18" hidden="1" customHeight="1" outlineLevel="1">
      <c r="A54" s="264"/>
      <c r="B54" s="265"/>
      <c r="C54" s="265"/>
      <c r="D54" s="266"/>
      <c r="E54" s="270"/>
      <c r="F54" s="334"/>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267">
        <v>36</v>
      </c>
      <c r="CW54" s="269">
        <v>83.56</v>
      </c>
      <c r="CX54" s="269">
        <v>83.35</v>
      </c>
      <c r="CY54" s="267">
        <v>8</v>
      </c>
      <c r="CZ54" s="267">
        <v>8</v>
      </c>
      <c r="DA54" s="267">
        <v>54</v>
      </c>
      <c r="DC54" s="267" t="s">
        <v>387</v>
      </c>
      <c r="DD54" s="267">
        <v>45.97</v>
      </c>
      <c r="DE54" s="267">
        <v>45.97</v>
      </c>
      <c r="DF54" s="267">
        <v>981</v>
      </c>
      <c r="DN54" s="262"/>
      <c r="DR54" s="270"/>
      <c r="DS54" s="270"/>
      <c r="DX54" s="268"/>
      <c r="EN54" s="268"/>
    </row>
    <row r="55" spans="1:144" s="267" customFormat="1" ht="18" hidden="1" customHeight="1" outlineLevel="1">
      <c r="A55" s="264"/>
      <c r="B55" s="265"/>
      <c r="C55" s="265"/>
      <c r="D55" s="266"/>
      <c r="E55" s="270"/>
      <c r="F55" s="334"/>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267">
        <v>37</v>
      </c>
      <c r="CW55" s="269">
        <v>83.35</v>
      </c>
      <c r="CX55" s="269">
        <v>83.14</v>
      </c>
      <c r="CY55" s="267">
        <v>8</v>
      </c>
      <c r="CZ55" s="267">
        <v>8</v>
      </c>
      <c r="DA55" s="267">
        <v>54</v>
      </c>
      <c r="DC55" s="267" t="s">
        <v>388</v>
      </c>
      <c r="DD55" s="267">
        <v>45.97</v>
      </c>
      <c r="DE55" s="267">
        <v>45.97</v>
      </c>
      <c r="DF55" s="267">
        <v>675</v>
      </c>
      <c r="DN55" s="262"/>
      <c r="DR55" s="270"/>
      <c r="DS55" s="270"/>
      <c r="DX55" s="268"/>
      <c r="EN55" s="268"/>
    </row>
    <row r="56" spans="1:144" s="267" customFormat="1" ht="18" hidden="1" customHeight="1" outlineLevel="1">
      <c r="A56" s="264"/>
      <c r="B56" s="265"/>
      <c r="C56" s="265"/>
      <c r="D56" s="266"/>
      <c r="E56" s="270"/>
      <c r="F56" s="334"/>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267">
        <v>38</v>
      </c>
      <c r="CW56" s="269">
        <v>83.14</v>
      </c>
      <c r="CX56" s="269">
        <v>80.39</v>
      </c>
      <c r="CY56" s="267">
        <v>8</v>
      </c>
      <c r="CZ56" s="267">
        <v>8</v>
      </c>
      <c r="DA56" s="267">
        <v>54</v>
      </c>
      <c r="DC56" s="267" t="s">
        <v>389</v>
      </c>
      <c r="DD56" s="267">
        <v>45.97</v>
      </c>
      <c r="DE56" s="267">
        <v>45.97</v>
      </c>
      <c r="DF56" s="267">
        <v>4592</v>
      </c>
      <c r="DN56" s="262"/>
      <c r="DR56" s="270"/>
      <c r="DS56" s="270"/>
      <c r="DX56" s="268"/>
      <c r="EN56" s="268"/>
    </row>
    <row r="57" spans="1:144" s="267" customFormat="1" ht="18" hidden="1" customHeight="1" outlineLevel="1">
      <c r="A57" s="264"/>
      <c r="B57" s="265"/>
      <c r="C57" s="265"/>
      <c r="D57" s="266"/>
      <c r="E57" s="270"/>
      <c r="F57" s="334"/>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267">
        <v>39</v>
      </c>
      <c r="CW57" s="269">
        <v>80.39</v>
      </c>
      <c r="CX57" s="269">
        <v>77.63</v>
      </c>
      <c r="CY57" s="267">
        <v>7.99</v>
      </c>
      <c r="CZ57" s="267">
        <v>7.99</v>
      </c>
      <c r="DA57" s="267">
        <v>45</v>
      </c>
      <c r="DC57" s="267" t="s">
        <v>390</v>
      </c>
      <c r="DD57" s="267">
        <v>36.69</v>
      </c>
      <c r="DE57" s="267">
        <v>36.69</v>
      </c>
      <c r="DF57" s="267">
        <v>33576</v>
      </c>
      <c r="DN57" s="262"/>
      <c r="DR57" s="270"/>
      <c r="DS57" s="270"/>
      <c r="DX57" s="268"/>
      <c r="EN57" s="268"/>
    </row>
    <row r="58" spans="1:144" s="267" customFormat="1" ht="18" hidden="1" customHeight="1" outlineLevel="1">
      <c r="A58" s="264"/>
      <c r="B58" s="265"/>
      <c r="C58" s="265"/>
      <c r="D58" s="266"/>
      <c r="E58" s="270"/>
      <c r="F58" s="334"/>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267">
        <v>40</v>
      </c>
      <c r="CW58" s="269">
        <v>77.63</v>
      </c>
      <c r="CX58" s="269">
        <v>74.87</v>
      </c>
      <c r="CY58" s="267">
        <v>7.99</v>
      </c>
      <c r="CZ58" s="267">
        <v>7.99</v>
      </c>
      <c r="DA58" s="267">
        <v>46</v>
      </c>
      <c r="DC58" s="267" t="s">
        <v>391</v>
      </c>
      <c r="DD58" s="267">
        <v>36.28</v>
      </c>
      <c r="DE58" s="267">
        <v>36.28</v>
      </c>
      <c r="DF58" s="267">
        <v>24324</v>
      </c>
      <c r="DN58" s="262"/>
      <c r="DR58" s="270"/>
      <c r="DS58" s="270"/>
      <c r="DX58" s="268"/>
      <c r="EN58" s="268"/>
    </row>
    <row r="59" spans="1:144" s="267" customFormat="1" ht="18" hidden="1" customHeight="1" outlineLevel="1">
      <c r="A59" s="264"/>
      <c r="B59" s="265"/>
      <c r="C59" s="265"/>
      <c r="D59" s="266"/>
      <c r="E59" s="270"/>
      <c r="F59" s="334"/>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267">
        <v>41</v>
      </c>
      <c r="CW59" s="269">
        <v>74.87</v>
      </c>
      <c r="CX59" s="269">
        <v>72.11</v>
      </c>
      <c r="CY59" s="267">
        <v>7.99</v>
      </c>
      <c r="CZ59" s="267">
        <v>7.99</v>
      </c>
      <c r="DA59" s="267">
        <v>47</v>
      </c>
      <c r="DC59" s="267" t="s">
        <v>392</v>
      </c>
      <c r="DD59" s="267">
        <v>35.35</v>
      </c>
      <c r="DE59" s="267">
        <v>35.35</v>
      </c>
      <c r="DF59" s="267">
        <v>9000</v>
      </c>
      <c r="DN59" s="262"/>
      <c r="DR59" s="270"/>
      <c r="DS59" s="270"/>
      <c r="DX59" s="268"/>
      <c r="EN59" s="268"/>
    </row>
    <row r="60" spans="1:144" s="267" customFormat="1" ht="18" hidden="1" customHeight="1" outlineLevel="1">
      <c r="A60" s="264"/>
      <c r="B60" s="265"/>
      <c r="C60" s="265"/>
      <c r="D60" s="266"/>
      <c r="E60" s="270"/>
      <c r="F60" s="334"/>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267">
        <v>42</v>
      </c>
      <c r="CW60" s="269">
        <v>72.11</v>
      </c>
      <c r="CX60" s="269">
        <v>69.349999999999994</v>
      </c>
      <c r="CY60" s="267">
        <v>7.99</v>
      </c>
      <c r="CZ60" s="267">
        <v>7.99</v>
      </c>
      <c r="DA60" s="267">
        <v>48</v>
      </c>
      <c r="DC60" s="267" t="s">
        <v>393</v>
      </c>
      <c r="DD60" s="267">
        <v>35.35</v>
      </c>
      <c r="DE60" s="267">
        <v>35.35</v>
      </c>
      <c r="DF60" s="267">
        <v>4950</v>
      </c>
      <c r="DN60" s="262"/>
      <c r="DR60" s="270"/>
      <c r="DS60" s="270"/>
      <c r="DX60" s="268"/>
      <c r="EN60" s="268"/>
    </row>
    <row r="61" spans="1:144" s="267" customFormat="1" ht="18" hidden="1" customHeight="1" outlineLevel="1">
      <c r="A61" s="264"/>
      <c r="B61" s="265"/>
      <c r="C61" s="265"/>
      <c r="D61" s="266"/>
      <c r="E61" s="270"/>
      <c r="F61" s="334"/>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267">
        <v>43</v>
      </c>
      <c r="CW61" s="269">
        <v>69.349999999999994</v>
      </c>
      <c r="CX61" s="269">
        <v>66.59</v>
      </c>
      <c r="CY61" s="267">
        <v>8</v>
      </c>
      <c r="CZ61" s="267">
        <v>8</v>
      </c>
      <c r="DA61" s="267">
        <v>49</v>
      </c>
      <c r="DC61" s="267" t="s">
        <v>394</v>
      </c>
      <c r="DD61" s="267">
        <v>29.03</v>
      </c>
      <c r="DE61" s="267">
        <v>29.03</v>
      </c>
      <c r="DF61" s="267">
        <v>790</v>
      </c>
      <c r="DN61" s="262"/>
      <c r="DR61" s="270"/>
      <c r="DS61" s="270"/>
      <c r="DX61" s="268"/>
      <c r="EN61" s="268"/>
    </row>
    <row r="62" spans="1:144" s="267" customFormat="1" ht="18" hidden="1" customHeight="1" outlineLevel="1">
      <c r="A62" s="264"/>
      <c r="B62" s="265"/>
      <c r="C62" s="265"/>
      <c r="D62" s="266"/>
      <c r="E62" s="270"/>
      <c r="F62" s="334"/>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267">
        <v>44</v>
      </c>
      <c r="CW62" s="269">
        <v>66.59</v>
      </c>
      <c r="CX62" s="269">
        <v>63.83</v>
      </c>
      <c r="CY62" s="267">
        <v>8</v>
      </c>
      <c r="CZ62" s="267">
        <v>8</v>
      </c>
      <c r="DA62" s="267">
        <v>50</v>
      </c>
      <c r="DC62" s="267" t="s">
        <v>395</v>
      </c>
      <c r="DD62" s="267">
        <v>29.03</v>
      </c>
      <c r="DE62" s="267">
        <v>29.03</v>
      </c>
      <c r="DF62" s="267">
        <v>544</v>
      </c>
      <c r="DN62" s="262"/>
      <c r="DR62" s="270"/>
      <c r="DS62" s="270"/>
      <c r="DX62" s="268"/>
      <c r="EN62" s="268"/>
    </row>
    <row r="63" spans="1:144" s="267" customFormat="1" ht="18" hidden="1" customHeight="1" outlineLevel="1">
      <c r="A63" s="264"/>
      <c r="B63" s="265"/>
      <c r="C63" s="265"/>
      <c r="D63" s="266"/>
      <c r="E63" s="270"/>
      <c r="F63" s="334"/>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267">
        <v>45</v>
      </c>
      <c r="CW63" s="269">
        <v>63.83</v>
      </c>
      <c r="CX63" s="269">
        <v>61.07</v>
      </c>
      <c r="CY63" s="267">
        <v>8</v>
      </c>
      <c r="CZ63" s="267">
        <v>8</v>
      </c>
      <c r="DA63" s="267">
        <v>51</v>
      </c>
      <c r="DC63" s="267" t="s">
        <v>396</v>
      </c>
      <c r="DD63" s="267">
        <v>29.03</v>
      </c>
      <c r="DE63" s="267">
        <v>29.03</v>
      </c>
      <c r="DF63" s="267">
        <v>5170</v>
      </c>
      <c r="DN63" s="262"/>
      <c r="DR63" s="270"/>
      <c r="DS63" s="270"/>
      <c r="DX63" s="268"/>
      <c r="EN63" s="268"/>
    </row>
    <row r="64" spans="1:144" s="267" customFormat="1" ht="18" hidden="1" customHeight="1" outlineLevel="1">
      <c r="A64" s="264"/>
      <c r="B64" s="265"/>
      <c r="C64" s="265"/>
      <c r="D64" s="266"/>
      <c r="E64" s="270"/>
      <c r="F64" s="334"/>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267">
        <v>46</v>
      </c>
      <c r="CW64" s="269">
        <v>61.07</v>
      </c>
      <c r="CX64" s="269">
        <v>58.31</v>
      </c>
      <c r="CY64" s="267">
        <v>8</v>
      </c>
      <c r="CZ64" s="267">
        <v>8</v>
      </c>
      <c r="DA64" s="267">
        <v>58</v>
      </c>
      <c r="DC64" s="267" t="s">
        <v>397</v>
      </c>
      <c r="DD64" s="267">
        <v>24.87</v>
      </c>
      <c r="DE64" s="267">
        <v>24.87</v>
      </c>
      <c r="DF64" s="267">
        <v>3000</v>
      </c>
      <c r="DN64" s="262"/>
      <c r="DR64" s="270"/>
      <c r="DS64" s="270"/>
      <c r="DX64" s="268"/>
      <c r="EN64" s="268"/>
    </row>
    <row r="65" spans="1:144" s="267" customFormat="1" ht="18" hidden="1" customHeight="1" outlineLevel="1">
      <c r="A65" s="264"/>
      <c r="B65" s="265"/>
      <c r="C65" s="265"/>
      <c r="D65" s="266"/>
      <c r="E65" s="270"/>
      <c r="F65" s="334"/>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267">
        <v>47</v>
      </c>
      <c r="CW65" s="269">
        <v>58.31</v>
      </c>
      <c r="CX65" s="269">
        <v>55.63</v>
      </c>
      <c r="CY65" s="267">
        <v>8.02</v>
      </c>
      <c r="CZ65" s="267">
        <v>8</v>
      </c>
      <c r="DA65" s="267">
        <v>72</v>
      </c>
      <c r="DC65" s="267" t="s">
        <v>398</v>
      </c>
      <c r="DD65" s="267">
        <v>23.4</v>
      </c>
      <c r="DE65" s="267">
        <v>23.4</v>
      </c>
      <c r="DF65" s="267">
        <v>12598</v>
      </c>
      <c r="DN65" s="262"/>
      <c r="DR65" s="270"/>
      <c r="DS65" s="270"/>
      <c r="DX65" s="268"/>
      <c r="EN65" s="268"/>
    </row>
    <row r="66" spans="1:144" s="267" customFormat="1" ht="18" hidden="1" customHeight="1" outlineLevel="1">
      <c r="A66" s="264"/>
      <c r="B66" s="265"/>
      <c r="C66" s="265"/>
      <c r="D66" s="266"/>
      <c r="E66" s="270"/>
      <c r="F66" s="334"/>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267">
        <v>48</v>
      </c>
      <c r="CW66" s="269">
        <v>55.63</v>
      </c>
      <c r="CX66" s="269">
        <v>55.35</v>
      </c>
      <c r="CY66" s="267">
        <v>8</v>
      </c>
      <c r="CZ66" s="267">
        <v>8</v>
      </c>
      <c r="DA66" s="267">
        <v>72</v>
      </c>
      <c r="DC66" s="267" t="s">
        <v>399</v>
      </c>
      <c r="DD66" s="267">
        <v>21.59</v>
      </c>
      <c r="DE66" s="267">
        <v>21.59</v>
      </c>
      <c r="DF66" s="267">
        <v>40072</v>
      </c>
      <c r="DN66" s="262"/>
      <c r="DR66" s="270"/>
      <c r="DS66" s="270"/>
      <c r="DX66" s="268"/>
      <c r="EN66" s="268"/>
    </row>
    <row r="67" spans="1:144" s="267" customFormat="1" ht="18" hidden="1" customHeight="1" outlineLevel="1">
      <c r="A67" s="264"/>
      <c r="B67" s="265"/>
      <c r="C67" s="265"/>
      <c r="D67" s="266"/>
      <c r="E67" s="270"/>
      <c r="F67" s="334"/>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267">
        <v>49</v>
      </c>
      <c r="CW67" s="269">
        <v>55.35</v>
      </c>
      <c r="CX67" s="269">
        <v>55.07</v>
      </c>
      <c r="CY67" s="267">
        <v>8</v>
      </c>
      <c r="CZ67" s="267">
        <v>8</v>
      </c>
      <c r="DA67" s="267">
        <v>72</v>
      </c>
      <c r="DC67" s="267" t="s">
        <v>400</v>
      </c>
      <c r="DD67" s="267">
        <v>21.47</v>
      </c>
      <c r="DE67" s="267">
        <v>21.47</v>
      </c>
      <c r="DF67" s="267">
        <v>30000</v>
      </c>
      <c r="DN67" s="262"/>
      <c r="DR67" s="270"/>
      <c r="DS67" s="270"/>
      <c r="DX67" s="268"/>
      <c r="EN67" s="268"/>
    </row>
    <row r="68" spans="1:144" s="267" customFormat="1" ht="18" hidden="1" customHeight="1" outlineLevel="1">
      <c r="A68" s="264"/>
      <c r="B68" s="265"/>
      <c r="C68" s="265"/>
      <c r="D68" s="266"/>
      <c r="E68" s="270"/>
      <c r="F68" s="334"/>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267">
        <v>50</v>
      </c>
      <c r="CW68" s="269">
        <v>55.07</v>
      </c>
      <c r="CX68" s="269">
        <v>52.54</v>
      </c>
      <c r="CY68" s="267">
        <v>8</v>
      </c>
      <c r="CZ68" s="267">
        <v>8</v>
      </c>
      <c r="DA68" s="267">
        <v>72</v>
      </c>
      <c r="DN68" s="262"/>
      <c r="DR68" s="270"/>
      <c r="DS68" s="270"/>
      <c r="DX68" s="268"/>
      <c r="EN68" s="268"/>
    </row>
    <row r="69" spans="1:144" s="267" customFormat="1" ht="18" hidden="1" customHeight="1" outlineLevel="1">
      <c r="A69" s="264"/>
      <c r="B69" s="265"/>
      <c r="C69" s="265"/>
      <c r="D69" s="266"/>
      <c r="E69" s="270"/>
      <c r="F69" s="334"/>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267">
        <v>51</v>
      </c>
      <c r="CW69" s="269">
        <v>52.54</v>
      </c>
      <c r="CX69" s="269">
        <v>49.93</v>
      </c>
      <c r="CY69" s="267">
        <v>7.99</v>
      </c>
      <c r="CZ69" s="267">
        <v>7.99</v>
      </c>
      <c r="DA69" s="267">
        <v>58</v>
      </c>
      <c r="DN69" s="262"/>
      <c r="DR69" s="270"/>
      <c r="DS69" s="270"/>
      <c r="DX69" s="268"/>
      <c r="EN69" s="268"/>
    </row>
    <row r="70" spans="1:144" s="267" customFormat="1" ht="18" hidden="1" customHeight="1" outlineLevel="1">
      <c r="A70" s="264"/>
      <c r="B70" s="265"/>
      <c r="C70" s="265"/>
      <c r="D70" s="266"/>
      <c r="E70" s="270"/>
      <c r="F70" s="334"/>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267">
        <v>52</v>
      </c>
      <c r="CW70" s="269">
        <v>49.93</v>
      </c>
      <c r="CX70" s="269">
        <v>47.32</v>
      </c>
      <c r="CY70" s="267">
        <v>7.99</v>
      </c>
      <c r="CZ70" s="267">
        <v>7.99</v>
      </c>
      <c r="DA70" s="267">
        <v>59</v>
      </c>
      <c r="DN70" s="262"/>
      <c r="DR70" s="270"/>
      <c r="DS70" s="270"/>
      <c r="DX70" s="268"/>
      <c r="EN70" s="268"/>
    </row>
    <row r="71" spans="1:144" s="267" customFormat="1" ht="18" hidden="1" customHeight="1" outlineLevel="1">
      <c r="A71" s="264"/>
      <c r="B71" s="265"/>
      <c r="C71" s="265"/>
      <c r="D71" s="266"/>
      <c r="E71" s="270"/>
      <c r="F71" s="334"/>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267">
        <v>53</v>
      </c>
      <c r="CW71" s="269">
        <v>47.32</v>
      </c>
      <c r="CX71" s="269">
        <v>44.72</v>
      </c>
      <c r="CY71" s="267">
        <v>7.99</v>
      </c>
      <c r="CZ71" s="267">
        <v>7.99</v>
      </c>
      <c r="DA71" s="267">
        <v>60</v>
      </c>
      <c r="DN71" s="262"/>
      <c r="DR71" s="270"/>
      <c r="DS71" s="270"/>
      <c r="DX71" s="268"/>
      <c r="EN71" s="268"/>
    </row>
    <row r="72" spans="1:144" s="267" customFormat="1" ht="18" hidden="1" customHeight="1" outlineLevel="1">
      <c r="A72" s="264"/>
      <c r="B72" s="265"/>
      <c r="C72" s="265"/>
      <c r="D72" s="266"/>
      <c r="E72" s="270"/>
      <c r="F72" s="334"/>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267">
        <v>54</v>
      </c>
      <c r="CW72" s="269">
        <v>44.72</v>
      </c>
      <c r="CX72" s="269">
        <v>42.11</v>
      </c>
      <c r="CY72" s="267">
        <v>7.99</v>
      </c>
      <c r="CZ72" s="267">
        <v>7.99</v>
      </c>
      <c r="DA72" s="267">
        <v>62</v>
      </c>
      <c r="DN72" s="262"/>
      <c r="DR72" s="270"/>
      <c r="DS72" s="270"/>
      <c r="DX72" s="268"/>
      <c r="EN72" s="268"/>
    </row>
    <row r="73" spans="1:144" s="267" customFormat="1" ht="18" hidden="1" customHeight="1" outlineLevel="1">
      <c r="A73" s="264"/>
      <c r="B73" s="265"/>
      <c r="C73" s="265"/>
      <c r="D73" s="266"/>
      <c r="E73" s="270"/>
      <c r="F73" s="334"/>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267">
        <v>55</v>
      </c>
      <c r="CW73" s="269">
        <v>42.11</v>
      </c>
      <c r="CX73" s="269">
        <v>39.5</v>
      </c>
      <c r="CY73" s="267">
        <v>8</v>
      </c>
      <c r="CZ73" s="267">
        <v>8</v>
      </c>
      <c r="DA73" s="267">
        <v>70</v>
      </c>
      <c r="DN73" s="262"/>
      <c r="DR73" s="270"/>
      <c r="DS73" s="270"/>
      <c r="DX73" s="268"/>
      <c r="EN73" s="268"/>
    </row>
    <row r="74" spans="1:144" s="267" customFormat="1" ht="18" hidden="1" customHeight="1" outlineLevel="1">
      <c r="A74" s="264"/>
      <c r="B74" s="265"/>
      <c r="C74" s="265"/>
      <c r="D74" s="266"/>
      <c r="E74" s="270"/>
      <c r="F74" s="334"/>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V74" s="267">
        <v>56</v>
      </c>
      <c r="CW74" s="269">
        <v>39.5</v>
      </c>
      <c r="CX74" s="269">
        <v>36.79</v>
      </c>
      <c r="CY74" s="267">
        <v>8.01</v>
      </c>
      <c r="CZ74" s="267">
        <v>8</v>
      </c>
      <c r="DA74" s="267">
        <v>84</v>
      </c>
      <c r="DN74" s="262"/>
      <c r="DR74" s="270"/>
      <c r="DS74" s="270"/>
      <c r="DX74" s="268"/>
      <c r="EN74" s="268"/>
    </row>
    <row r="75" spans="1:144" s="267" customFormat="1" ht="18" hidden="1" customHeight="1" outlineLevel="1">
      <c r="A75" s="264"/>
      <c r="B75" s="265"/>
      <c r="C75" s="265"/>
      <c r="D75" s="266"/>
      <c r="E75" s="270"/>
      <c r="F75" s="334"/>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V75" s="267">
        <v>57</v>
      </c>
      <c r="CW75" s="269">
        <v>36.79</v>
      </c>
      <c r="CX75" s="269">
        <v>36.590000000000003</v>
      </c>
      <c r="CY75" s="267">
        <v>8</v>
      </c>
      <c r="CZ75" s="267">
        <v>8</v>
      </c>
      <c r="DA75" s="267">
        <v>84</v>
      </c>
      <c r="DN75" s="262"/>
      <c r="DR75" s="270"/>
      <c r="DS75" s="270"/>
      <c r="DX75" s="268"/>
      <c r="EN75" s="268"/>
    </row>
    <row r="76" spans="1:144" s="267" customFormat="1" ht="18" hidden="1" customHeight="1" outlineLevel="1">
      <c r="A76" s="264"/>
      <c r="B76" s="265"/>
      <c r="C76" s="265"/>
      <c r="D76" s="266"/>
      <c r="E76" s="270"/>
      <c r="F76" s="334"/>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V76" s="267">
        <v>58</v>
      </c>
      <c r="CW76" s="269">
        <v>36.590000000000003</v>
      </c>
      <c r="CX76" s="269">
        <v>35.979999999999997</v>
      </c>
      <c r="CY76" s="267">
        <v>8</v>
      </c>
      <c r="CZ76" s="267">
        <v>8</v>
      </c>
      <c r="DA76" s="267">
        <v>84</v>
      </c>
      <c r="DN76" s="262"/>
      <c r="DR76" s="270"/>
      <c r="DS76" s="270"/>
      <c r="DX76" s="268"/>
      <c r="EN76" s="268"/>
    </row>
    <row r="77" spans="1:144" s="267" customFormat="1" ht="18" hidden="1" customHeight="1" outlineLevel="1">
      <c r="A77" s="264"/>
      <c r="B77" s="265"/>
      <c r="C77" s="265"/>
      <c r="D77" s="266"/>
      <c r="E77" s="270"/>
      <c r="F77" s="334"/>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V77" s="267">
        <v>59</v>
      </c>
      <c r="CW77" s="269">
        <v>35.979999999999997</v>
      </c>
      <c r="CX77" s="269">
        <v>33.36</v>
      </c>
      <c r="CY77" s="267">
        <v>8</v>
      </c>
      <c r="CZ77" s="267">
        <v>8</v>
      </c>
      <c r="DA77" s="267">
        <v>84</v>
      </c>
      <c r="DN77" s="262"/>
      <c r="DR77" s="270"/>
      <c r="DS77" s="270"/>
      <c r="DX77" s="268"/>
      <c r="EN77" s="268"/>
    </row>
    <row r="78" spans="1:144" s="267" customFormat="1" ht="18" hidden="1" customHeight="1" outlineLevel="1">
      <c r="A78" s="264"/>
      <c r="B78" s="265"/>
      <c r="C78" s="265"/>
      <c r="D78" s="266"/>
      <c r="E78" s="270"/>
      <c r="F78" s="334"/>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V78" s="267">
        <v>60</v>
      </c>
      <c r="CW78" s="269">
        <v>33.36</v>
      </c>
      <c r="CX78" s="269">
        <v>30.43</v>
      </c>
      <c r="CY78" s="267">
        <v>8</v>
      </c>
      <c r="CZ78" s="267">
        <v>8</v>
      </c>
      <c r="DA78" s="267">
        <v>88</v>
      </c>
      <c r="DN78" s="262"/>
      <c r="DR78" s="270"/>
      <c r="DS78" s="270"/>
      <c r="DX78" s="268"/>
      <c r="EN78" s="268"/>
    </row>
    <row r="79" spans="1:144" s="267" customFormat="1" ht="18" hidden="1" customHeight="1" outlineLevel="1">
      <c r="A79" s="264"/>
      <c r="B79" s="265"/>
      <c r="C79" s="265"/>
      <c r="D79" s="266"/>
      <c r="E79" s="270"/>
      <c r="F79" s="334"/>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V79" s="267">
        <v>61</v>
      </c>
      <c r="CW79" s="269">
        <v>30.43</v>
      </c>
      <c r="CX79" s="269">
        <v>27.5</v>
      </c>
      <c r="CY79" s="267">
        <v>8.02</v>
      </c>
      <c r="CZ79" s="267">
        <v>7.99</v>
      </c>
      <c r="DA79" s="267">
        <v>102</v>
      </c>
      <c r="DN79" s="262"/>
      <c r="DR79" s="270"/>
      <c r="DS79" s="270"/>
      <c r="DX79" s="268"/>
      <c r="EN79" s="268"/>
    </row>
    <row r="80" spans="1:144" s="267" customFormat="1" ht="18" hidden="1" customHeight="1" outlineLevel="1">
      <c r="A80" s="264"/>
      <c r="B80" s="265"/>
      <c r="C80" s="265"/>
      <c r="D80" s="266"/>
      <c r="E80" s="270"/>
      <c r="F80" s="334"/>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V80" s="267">
        <v>62</v>
      </c>
      <c r="CW80" s="269">
        <v>27.5</v>
      </c>
      <c r="CX80" s="269">
        <v>25.92</v>
      </c>
      <c r="CY80" s="267">
        <v>8</v>
      </c>
      <c r="CZ80" s="267">
        <v>8</v>
      </c>
      <c r="DA80" s="267">
        <v>116</v>
      </c>
      <c r="DN80" s="262"/>
      <c r="DR80" s="270"/>
      <c r="DS80" s="270"/>
      <c r="DX80" s="268"/>
      <c r="EN80" s="268"/>
    </row>
    <row r="81" spans="1:144" s="267" customFormat="1" ht="18" hidden="1" customHeight="1" outlineLevel="1">
      <c r="A81" s="264"/>
      <c r="B81" s="265"/>
      <c r="C81" s="265"/>
      <c r="D81" s="266"/>
      <c r="E81" s="270"/>
      <c r="F81" s="334"/>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V81" s="267">
        <v>63</v>
      </c>
      <c r="CW81" s="269">
        <v>25.92</v>
      </c>
      <c r="CX81" s="269">
        <v>22.96</v>
      </c>
      <c r="CY81" s="267">
        <v>8</v>
      </c>
      <c r="CZ81" s="267">
        <v>8</v>
      </c>
      <c r="DA81" s="267">
        <v>116</v>
      </c>
      <c r="DN81" s="262"/>
      <c r="DR81" s="270"/>
      <c r="DS81" s="270"/>
      <c r="DX81" s="268"/>
      <c r="EN81" s="268"/>
    </row>
    <row r="82" spans="1:144" s="267" customFormat="1" ht="18" hidden="1" customHeight="1" outlineLevel="1">
      <c r="A82" s="264"/>
      <c r="B82" s="265"/>
      <c r="C82" s="265"/>
      <c r="D82" s="266"/>
      <c r="E82" s="270"/>
      <c r="F82" s="334"/>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2" t="str">
        <f>IFERROR((TOWER_DATA[[#This Row],[D, bottom '[m']]]+TOWER_DATA[[#This Row],[D, top '[m']]])/(2*TOWER_DATA[[#This Row],[t '[mm']]]/1000),"")</f>
        <v/>
      </c>
      <c r="CL82" s="272" t="str">
        <f>IFERROR((TOWER_DATA[[#This Row],[D, bottom '[m']]]+#REF!)/(2*#REF!/1000),"")</f>
        <v/>
      </c>
      <c r="CU82" s="268"/>
      <c r="CV82" s="267">
        <v>64</v>
      </c>
      <c r="CW82" s="269">
        <v>22.96</v>
      </c>
      <c r="CX82" s="269">
        <v>21.71</v>
      </c>
      <c r="CY82" s="267">
        <v>8</v>
      </c>
      <c r="CZ82" s="267">
        <v>8</v>
      </c>
      <c r="DA82" s="267">
        <v>116</v>
      </c>
      <c r="DN82" s="262"/>
      <c r="DR82" s="270"/>
      <c r="DS82" s="270"/>
      <c r="DX82" s="268"/>
      <c r="EN82" s="268"/>
    </row>
    <row r="83" spans="1:144" s="267" customFormat="1" ht="18" hidden="1" customHeight="1" outlineLevel="1">
      <c r="A83" s="264"/>
      <c r="B83" s="265"/>
      <c r="C83" s="265"/>
      <c r="D83" s="266"/>
      <c r="E83" s="270"/>
      <c r="F83" s="334"/>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20.780883246524791</v>
      </c>
      <c r="CK83" s="272" t="str">
        <f>IFERROR((TOWER_DATA[[#This Row],[D, bottom '[m']]]+TOWER_DATA[[#This Row],[D, top '[m']]])/(2*TOWER_DATA[[#This Row],[t '[mm']]]/1000),"")</f>
        <v/>
      </c>
      <c r="CL83" s="272" t="str">
        <f>IFERROR((TOWER_DATA[[#This Row],[D, bottom '[m']]]+#REF!)/(2*#REF!/1000),"")</f>
        <v/>
      </c>
      <c r="CU83" s="268"/>
      <c r="CV83" s="267">
        <v>65</v>
      </c>
      <c r="CW83" s="269">
        <v>21.71</v>
      </c>
      <c r="CX83" s="269">
        <v>21.47</v>
      </c>
      <c r="CY83" s="267">
        <v>8</v>
      </c>
      <c r="CZ83" s="267">
        <v>8</v>
      </c>
      <c r="DA83" s="267">
        <v>116</v>
      </c>
      <c r="DN83" s="262"/>
      <c r="DR83" s="270"/>
      <c r="DS83" s="270"/>
      <c r="DX83" s="268"/>
      <c r="EN83" s="268"/>
    </row>
    <row r="84" spans="1:144" s="267" customFormat="1" ht="18" hidden="1" customHeight="1" outlineLevel="1">
      <c r="A84" s="264"/>
      <c r="B84" s="265"/>
      <c r="C84" s="265"/>
      <c r="D84" s="266"/>
      <c r="E84" s="270"/>
      <c r="F84" s="334"/>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21.41446338259237</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34"/>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34"/>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34"/>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34"/>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34"/>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34"/>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34"/>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34"/>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34"/>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34"/>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34"/>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34"/>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34"/>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34"/>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34"/>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34"/>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34"/>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34"/>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34"/>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195</v>
      </c>
      <c r="E111" s="85" t="s">
        <v>244</v>
      </c>
      <c r="F111"/>
      <c r="G111"/>
      <c r="H111"/>
      <c r="I111"/>
      <c r="J111"/>
      <c r="K111" s="69" t="s">
        <v>146</v>
      </c>
      <c r="N111"/>
      <c r="O111" t="str">
        <f>IFERROR((MP_DATA[[#This Row],[D, bottom '[m']]]+#REF!)/(2*#REF!/1000),"")</f>
        <v/>
      </c>
      <c r="P111" s="85" t="s">
        <v>209</v>
      </c>
      <c r="AP111" s="256" t="s">
        <v>152</v>
      </c>
      <c r="AQ111"/>
      <c r="AR111"/>
      <c r="AS111"/>
      <c r="AT111"/>
      <c r="AU111"/>
      <c r="AV111" s="69" t="s">
        <v>146</v>
      </c>
      <c r="AY111"/>
      <c r="AZ111" t="str">
        <f>IFERROR((TP_DATA[[#This Row],[D, bottom '[m']]]+#REF!)/(2*#REF!/1000),"")</f>
        <v/>
      </c>
      <c r="BA111" s="85" t="s">
        <v>210</v>
      </c>
      <c r="CB111" s="83" t="s">
        <v>152</v>
      </c>
      <c r="CC111"/>
      <c r="CD111"/>
      <c r="CE111"/>
      <c r="CF111"/>
      <c r="CG111"/>
      <c r="CH111" s="220" t="s">
        <v>146</v>
      </c>
      <c r="CK111" s="49"/>
      <c r="CL111" t="str">
        <f>IFERROR((TOWER_DATA[[#This Row],[D, bottom '[m']]]+#REF!)/(2*#REF!/1000),"")</f>
        <v/>
      </c>
      <c r="CM111" s="85" t="s">
        <v>211</v>
      </c>
      <c r="DN111" s="157" t="s">
        <v>55</v>
      </c>
      <c r="DO111" s="156" t="s">
        <v>100</v>
      </c>
      <c r="DP111" s="156" t="s">
        <v>101</v>
      </c>
      <c r="DQ111" s="163" t="s">
        <v>115</v>
      </c>
      <c r="DR111" s="163" t="s">
        <v>121</v>
      </c>
      <c r="DS111" s="156" t="s">
        <v>122</v>
      </c>
      <c r="DT111" s="156" t="s">
        <v>128</v>
      </c>
      <c r="DU111" s="156" t="s">
        <v>129</v>
      </c>
      <c r="DV111" s="156" t="s">
        <v>19</v>
      </c>
    </row>
    <row r="112" spans="1:144" ht="18" customHeight="1">
      <c r="A112" s="237" t="s">
        <v>183</v>
      </c>
      <c r="E112" s="49" t="s">
        <v>1</v>
      </c>
      <c r="F112" s="49" t="s">
        <v>70</v>
      </c>
      <c r="G112" s="49" t="s">
        <v>69</v>
      </c>
      <c r="H112" s="49" t="s">
        <v>60</v>
      </c>
      <c r="I112" s="49" t="s">
        <v>61</v>
      </c>
      <c r="J112" s="49" t="s">
        <v>62</v>
      </c>
      <c r="K112" s="185" t="s">
        <v>153</v>
      </c>
      <c r="L112" s="185" t="s">
        <v>142</v>
      </c>
      <c r="M112" s="185" t="s">
        <v>65</v>
      </c>
      <c r="N112" s="190" t="s">
        <v>143</v>
      </c>
      <c r="O112" t="str">
        <f>IFERROR((MP_DATA[[#This Row],[D, bottom '[m']]]+#REF!)/(2*#REF!/1000),"")</f>
        <v/>
      </c>
      <c r="P112" s="86" t="s">
        <v>141</v>
      </c>
      <c r="Q112" s="49" t="s">
        <v>70</v>
      </c>
      <c r="R112" s="49" t="s">
        <v>69</v>
      </c>
      <c r="S112" s="49" t="s">
        <v>67</v>
      </c>
      <c r="T112" s="49" t="s">
        <v>132</v>
      </c>
      <c r="U112" s="49" t="s">
        <v>133</v>
      </c>
      <c r="V112" s="49" t="s">
        <v>134</v>
      </c>
      <c r="W112" s="49" t="s">
        <v>136</v>
      </c>
      <c r="X112" s="87" t="s">
        <v>135</v>
      </c>
      <c r="AO112" s="49"/>
      <c r="AP112" s="77" t="s">
        <v>1</v>
      </c>
      <c r="AQ112" s="49" t="s">
        <v>70</v>
      </c>
      <c r="AR112" s="49" t="s">
        <v>69</v>
      </c>
      <c r="AS112" s="49" t="s">
        <v>60</v>
      </c>
      <c r="AT112" s="49" t="s">
        <v>61</v>
      </c>
      <c r="AU112" s="49" t="s">
        <v>62</v>
      </c>
      <c r="AV112" s="93" t="s">
        <v>153</v>
      </c>
      <c r="AW112" s="185" t="s">
        <v>142</v>
      </c>
      <c r="AX112" s="185" t="s">
        <v>65</v>
      </c>
      <c r="AY112" s="190" t="s">
        <v>143</v>
      </c>
      <c r="AZ112" t="str">
        <f>IFERROR((TP_DATA[[#This Row],[D, bottom '[m']]]+#REF!)/(2*#REF!/1000),"")</f>
        <v/>
      </c>
      <c r="BA112" s="86" t="s">
        <v>141</v>
      </c>
      <c r="BB112" s="49" t="s">
        <v>70</v>
      </c>
      <c r="BC112" s="49" t="s">
        <v>69</v>
      </c>
      <c r="BD112" s="49" t="s">
        <v>67</v>
      </c>
      <c r="BE112" s="49" t="s">
        <v>132</v>
      </c>
      <c r="BF112" s="49" t="s">
        <v>133</v>
      </c>
      <c r="BG112" s="49" t="s">
        <v>134</v>
      </c>
      <c r="BH112" s="49" t="s">
        <v>136</v>
      </c>
      <c r="BI112" s="87" t="s">
        <v>135</v>
      </c>
      <c r="CA112" s="49"/>
      <c r="CB112" s="77" t="s">
        <v>1</v>
      </c>
      <c r="CC112" s="49" t="s">
        <v>70</v>
      </c>
      <c r="CD112" s="49" t="s">
        <v>69</v>
      </c>
      <c r="CE112" s="49" t="s">
        <v>60</v>
      </c>
      <c r="CF112" s="49" t="s">
        <v>61</v>
      </c>
      <c r="CG112" s="49" t="s">
        <v>62</v>
      </c>
      <c r="CH112" s="93" t="s">
        <v>153</v>
      </c>
      <c r="CI112" s="185" t="s">
        <v>142</v>
      </c>
      <c r="CJ112" s="185" t="s">
        <v>65</v>
      </c>
      <c r="CK112" s="190" t="s">
        <v>143</v>
      </c>
      <c r="CL112" t="str">
        <f>IFERROR((TOWER_DATA[[#This Row],[D, bottom '[m']]]+#REF!)/(2*#REF!/1000),"")</f>
        <v/>
      </c>
      <c r="CM112" s="86" t="s">
        <v>141</v>
      </c>
      <c r="CN112" s="49" t="s">
        <v>70</v>
      </c>
      <c r="CO112" s="49" t="s">
        <v>69</v>
      </c>
      <c r="CP112" s="49" t="s">
        <v>67</v>
      </c>
      <c r="CQ112" s="49" t="s">
        <v>132</v>
      </c>
      <c r="CR112" s="49" t="s">
        <v>133</v>
      </c>
      <c r="CS112" s="49" t="s">
        <v>134</v>
      </c>
      <c r="CT112" s="49" t="s">
        <v>136</v>
      </c>
      <c r="CU112" s="87" t="s">
        <v>135</v>
      </c>
      <c r="DN112" s="284" t="s">
        <v>402</v>
      </c>
      <c r="DO112" s="125">
        <v>15</v>
      </c>
      <c r="DP112" s="125">
        <v>236</v>
      </c>
      <c r="DQ112" s="50">
        <v>819000</v>
      </c>
      <c r="DR112" s="50">
        <v>323200000</v>
      </c>
      <c r="DS112" s="50">
        <v>323200000</v>
      </c>
      <c r="DT112" s="51">
        <v>5.17</v>
      </c>
      <c r="DU112" s="51">
        <v>4.62</v>
      </c>
      <c r="DV112" s="51" t="s">
        <v>403</v>
      </c>
      <c r="DW112" s="51"/>
    </row>
    <row r="113" spans="5:127" ht="18" customHeight="1">
      <c r="E113" s="319">
        <v>1</v>
      </c>
      <c r="F113" s="90">
        <v>5.6</v>
      </c>
      <c r="G113" s="90">
        <v>1.6</v>
      </c>
      <c r="H113" s="90">
        <v>7.5</v>
      </c>
      <c r="I113" s="90">
        <v>7.5</v>
      </c>
      <c r="J113" s="91">
        <v>108</v>
      </c>
      <c r="K113" s="51">
        <f>IFERROR(MP_DATA[[#This Row],[Top '[m']]]-MP_DATA[[#This Row],[Bottom '[m']]], "")</f>
        <v>3.9999999999999996</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6">
        <f>IFERROR((MP_DATA[[#This Row],[D, bottom '[m']]]+MP_DATA[[#This Row],[D, top '[m']]])/(2*MP_DATA[[#This Row],[t '[mm']]]/1000),"")</f>
        <v>69.444444444444443</v>
      </c>
      <c r="P113" s="53" t="s">
        <v>282</v>
      </c>
      <c r="Q113" s="125">
        <v>5.6</v>
      </c>
      <c r="R113" s="125">
        <v>5.6</v>
      </c>
      <c r="S113" s="50">
        <v>60000</v>
      </c>
      <c r="T113" s="49"/>
      <c r="U113" s="49"/>
      <c r="V113" s="49"/>
      <c r="W113" s="49"/>
      <c r="X113" s="49"/>
      <c r="AO113" s="49"/>
      <c r="AP113" s="319">
        <v>1</v>
      </c>
      <c r="AQ113" s="90">
        <v>20.9</v>
      </c>
      <c r="AR113" s="90">
        <v>17.5</v>
      </c>
      <c r="AS113" s="90">
        <v>7.5</v>
      </c>
      <c r="AT113" s="90">
        <v>7.5</v>
      </c>
      <c r="AU113" s="91">
        <v>86</v>
      </c>
      <c r="AV113" s="207">
        <f>IFERROR(TP_DATA[[#This Row],[Top '[m']]]-TP_DATA[[#This Row],[Bottom '[m']]], "")</f>
        <v>3.3999999999999986</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4">
        <f>IFERROR((TP_DATA[[#This Row],[D, bottom '[m']]]+TP_DATA[[#This Row],[D, top '[m']]])/(2*TP_DATA[[#This Row],[t '[mm']]]/1000),"")</f>
        <v>87.209302325581405</v>
      </c>
      <c r="BA113" s="53" t="s">
        <v>283</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1">
        <f>IFERROR(TOWER_DATA[[#This Row],[Top '[m']]]-TOWER_DATA[[#This Row],[Bottom '[m']]], "")</f>
        <v>0.25999999999999091</v>
      </c>
      <c r="CI113" s="192">
        <f>IFERROR(-(TOWER_DATA[[#This Row],[D, bottom '[m']]]-TOWER_DATA[[#This Row],[D, top '[m']]])/(TOWER_DATA[[#This Row],[Bottom '[m']]]-TOWER_DATA[[#This Row],[Top '[m']]]),"")</f>
        <v>0</v>
      </c>
      <c r="CJ113" s="193">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4">
        <f>IFERROR((TOWER_DATA[[#This Row],[D, bottom '[m']]]+TOWER_DATA[[#This Row],[D, top '[m']]])/(2*TOWER_DATA[[#This Row],[t '[mm']]]/1000),"")</f>
        <v>141.30434782608697</v>
      </c>
      <c r="CM113" s="49" t="s">
        <v>354</v>
      </c>
      <c r="CN113" s="49">
        <v>161.34</v>
      </c>
      <c r="CO113" s="49">
        <v>161.34</v>
      </c>
      <c r="CP113" s="49">
        <v>6061</v>
      </c>
      <c r="CQ113" s="49"/>
      <c r="CR113" s="49"/>
      <c r="CS113" s="49"/>
      <c r="CT113" s="49"/>
      <c r="CU113" s="87"/>
      <c r="DN113" s="284" t="s">
        <v>280</v>
      </c>
      <c r="DO113" s="125">
        <v>15</v>
      </c>
      <c r="DP113" s="125">
        <v>236</v>
      </c>
      <c r="DQ113" s="50">
        <v>829000</v>
      </c>
      <c r="DR113" s="50">
        <v>210000000</v>
      </c>
      <c r="DS113" s="50">
        <v>370000000</v>
      </c>
      <c r="DT113" s="51">
        <v>3.7</v>
      </c>
      <c r="DU113" s="51">
        <v>3.5</v>
      </c>
      <c r="DV113" s="51" t="s">
        <v>281</v>
      </c>
      <c r="DW113" s="51"/>
    </row>
    <row r="114" spans="5:127" ht="18" customHeight="1">
      <c r="E114" s="319">
        <v>2</v>
      </c>
      <c r="F114" s="90">
        <v>1.6</v>
      </c>
      <c r="G114" s="90">
        <v>-2.2999999999999998</v>
      </c>
      <c r="H114" s="90">
        <v>7.5</v>
      </c>
      <c r="I114" s="90">
        <v>7.5</v>
      </c>
      <c r="J114" s="91">
        <v>100</v>
      </c>
      <c r="K114" s="51">
        <f>IFERROR(MP_DATA[[#This Row],[Top '[m']]]-MP_DATA[[#This Row],[Bottom '[m']]], "")</f>
        <v>3.9</v>
      </c>
      <c r="L114" s="180">
        <f>IFERROR(-(MP_DATA[[#This Row],[D, bottom '[m']]]-MP_DATA[[#This Row],[D, top '[m']]])/(MP_DATA[[#This Row],[Bottom '[m']]]-MP_DATA[[#This Row],[Top '[m']]]),"")</f>
        <v>0</v>
      </c>
      <c r="M114" s="125">
        <f t="shared" si="4"/>
        <v>71.173095726342183</v>
      </c>
      <c r="N114" s="196">
        <f>IFERROR((MP_DATA[[#This Row],[D, bottom '[m']]]+MP_DATA[[#This Row],[D, top '[m']]])/(2*MP_DATA[[#This Row],[t '[mm']]]/1000),"")</f>
        <v>75</v>
      </c>
      <c r="P114" s="53" t="s">
        <v>213</v>
      </c>
      <c r="Q114" s="125">
        <v>4.2</v>
      </c>
      <c r="R114" s="125">
        <v>4.2</v>
      </c>
      <c r="S114" s="50">
        <v>9000</v>
      </c>
      <c r="T114" s="49"/>
      <c r="U114" s="49"/>
      <c r="V114" s="49"/>
      <c r="W114" s="49"/>
      <c r="X114" s="49"/>
      <c r="AO114" s="49"/>
      <c r="AP114" s="319">
        <v>2</v>
      </c>
      <c r="AQ114" s="90">
        <v>17.5</v>
      </c>
      <c r="AR114" s="90">
        <v>13.5</v>
      </c>
      <c r="AS114" s="90">
        <v>7.5</v>
      </c>
      <c r="AT114" s="90">
        <v>7.5</v>
      </c>
      <c r="AU114" s="91">
        <v>86</v>
      </c>
      <c r="AV114" s="51">
        <f>IFERROR(TP_DATA[[#This Row],[Top '[m']]]-TP_DATA[[#This Row],[Bottom '[m']]], "")</f>
        <v>4</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6">
        <f>IFERROR((TP_DATA[[#This Row],[D, bottom '[m']]]+TP_DATA[[#This Row],[D, top '[m']]])/(2*TP_DATA[[#This Row],[t '[mm']]]/1000),"")</f>
        <v>87.209302325581405</v>
      </c>
      <c r="BA114" s="53" t="s">
        <v>284</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5">
        <f>IFERROR(TOWER_DATA[[#This Row],[Top '[m']]]-TOWER_DATA[[#This Row],[Bottom '[m']]], "")</f>
        <v>2.9000000000000057</v>
      </c>
      <c r="CI114" s="180">
        <f>IFERROR(-(TOWER_DATA[[#This Row],[D, bottom '[m']]]-TOWER_DATA[[#This Row],[D, top '[m']]])/(TOWER_DATA[[#This Row],[Bottom '[m']]]-TOWER_DATA[[#This Row],[Top '[m']]]),"")</f>
        <v>0</v>
      </c>
      <c r="CJ114" s="125">
        <f t="shared" si="5"/>
        <v>21.232655828030474</v>
      </c>
      <c r="CK114" s="196">
        <f>IFERROR((TOWER_DATA[[#This Row],[D, bottom '[m']]]+TOWER_DATA[[#This Row],[D, top '[m']]])/(2*TOWER_DATA[[#This Row],[t '[mm']]]/1000),"")</f>
        <v>141.30434782608697</v>
      </c>
      <c r="CM114" s="49" t="s">
        <v>355</v>
      </c>
      <c r="CN114" s="49">
        <v>160.22999999999999</v>
      </c>
      <c r="CO114" s="49">
        <v>160.22999999999999</v>
      </c>
      <c r="CP114" s="49">
        <v>1428</v>
      </c>
      <c r="CQ114" s="49"/>
      <c r="CR114" s="49"/>
      <c r="CS114" s="49"/>
      <c r="CT114" s="49"/>
      <c r="CU114" s="87"/>
      <c r="DN114" s="284" t="s">
        <v>404</v>
      </c>
      <c r="DO114" s="125">
        <v>22</v>
      </c>
      <c r="DP114" s="125">
        <v>276</v>
      </c>
      <c r="DQ114" s="50">
        <v>1394000</v>
      </c>
      <c r="DR114" s="50">
        <v>380000000</v>
      </c>
      <c r="DS114" s="50">
        <v>640000000</v>
      </c>
      <c r="DT114" s="51">
        <v>6.46</v>
      </c>
      <c r="DU114" s="51">
        <v>5.74</v>
      </c>
      <c r="DV114" s="51" t="s">
        <v>204</v>
      </c>
      <c r="DW114" s="51"/>
    </row>
    <row r="115" spans="5:127" ht="18" customHeight="1">
      <c r="E115" s="319">
        <v>3</v>
      </c>
      <c r="F115" s="90">
        <v>-2.2999999999999998</v>
      </c>
      <c r="G115" s="90">
        <v>-6.2</v>
      </c>
      <c r="H115" s="90">
        <v>7.5</v>
      </c>
      <c r="I115" s="90">
        <v>7.5</v>
      </c>
      <c r="J115" s="91">
        <v>98</v>
      </c>
      <c r="K115" s="51">
        <f>IFERROR(MP_DATA[[#This Row],[Top '[m']]]-MP_DATA[[#This Row],[Bottom '[m']]], "")</f>
        <v>3.9000000000000004</v>
      </c>
      <c r="L115" s="180">
        <f>IFERROR(-(MP_DATA[[#This Row],[D, bottom '[m']]]-MP_DATA[[#This Row],[D, top '[m']]])/(MP_DATA[[#This Row],[Bottom '[m']]]-MP_DATA[[#This Row],[Top '[m']]]),"")</f>
        <v>0</v>
      </c>
      <c r="M115" s="125">
        <f t="shared" si="4"/>
        <v>69.768485064196611</v>
      </c>
      <c r="N115" s="196">
        <f>IFERROR((MP_DATA[[#This Row],[D, bottom '[m']]]+MP_DATA[[#This Row],[D, top '[m']]])/(2*MP_DATA[[#This Row],[t '[mm']]]/1000),"")</f>
        <v>76.530612244897952</v>
      </c>
      <c r="P115" s="53" t="s">
        <v>68</v>
      </c>
      <c r="Q115" s="125">
        <v>2</v>
      </c>
      <c r="R115" s="125">
        <v>2</v>
      </c>
      <c r="S115" s="50">
        <v>80000</v>
      </c>
      <c r="T115" s="49"/>
      <c r="U115" s="49"/>
      <c r="V115" s="49"/>
      <c r="W115" s="49"/>
      <c r="X115" s="87"/>
      <c r="AO115" s="49"/>
      <c r="AP115" s="319">
        <v>3</v>
      </c>
      <c r="AQ115" s="90">
        <v>13.5</v>
      </c>
      <c r="AR115" s="90">
        <v>9.5</v>
      </c>
      <c r="AS115" s="90">
        <v>7.5</v>
      </c>
      <c r="AT115" s="90">
        <v>7.5</v>
      </c>
      <c r="AU115" s="91">
        <v>93</v>
      </c>
      <c r="AV115" s="51">
        <f>IFERROR(TP_DATA[[#This Row],[Top '[m']]]-TP_DATA[[#This Row],[Bottom '[m']]], "")</f>
        <v>4</v>
      </c>
      <c r="AW115" s="180">
        <f>IFERROR(-(TP_DATA[[#This Row],[D, bottom '[m']]]-TP_DATA[[#This Row],[D, top '[m']]])/(TP_DATA[[#This Row],[Bottom '[m']]]-TP_DATA[[#This Row],[Top '[m']]]),"")</f>
        <v>0</v>
      </c>
      <c r="AX115" s="125">
        <f t="shared" si="6"/>
        <v>67.952402167964607</v>
      </c>
      <c r="AY115" s="196">
        <f>IFERROR((TP_DATA[[#This Row],[D, bottom '[m']]]+TP_DATA[[#This Row],[D, top '[m']]])/(2*TP_DATA[[#This Row],[t '[mm']]]/1000),"")</f>
        <v>80.645161290322577</v>
      </c>
      <c r="BA115" s="53" t="s">
        <v>285</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5">
        <f>IFERROR(TOWER_DATA[[#This Row],[Top '[m']]]-TOWER_DATA[[#This Row],[Bottom '[m']]], "")</f>
        <v>1.3000000000000114</v>
      </c>
      <c r="CI115" s="180">
        <f>IFERROR(-(TOWER_DATA[[#This Row],[D, bottom '[m']]]-TOWER_DATA[[#This Row],[D, top '[m']]])/(TOWER_DATA[[#This Row],[Bottom '[m']]]-TOWER_DATA[[#This Row],[Top '[m']]]),"")</f>
        <v>0</v>
      </c>
      <c r="CJ115" s="125">
        <f t="shared" si="5"/>
        <v>9.5180870953240699</v>
      </c>
      <c r="CK115" s="196">
        <f>IFERROR((TOWER_DATA[[#This Row],[D, bottom '[m']]]+TOWER_DATA[[#This Row],[D, top '[m']]])/(2*TOWER_DATA[[#This Row],[t '[mm']]]/1000),"")</f>
        <v>141.30434782608697</v>
      </c>
      <c r="CM115" s="49" t="s">
        <v>356</v>
      </c>
      <c r="CN115" s="49">
        <v>159.51</v>
      </c>
      <c r="CO115" s="49">
        <v>159.51</v>
      </c>
      <c r="CP115" s="49">
        <v>12008</v>
      </c>
      <c r="CQ115" s="49"/>
      <c r="CR115" s="49"/>
      <c r="CS115" s="49"/>
      <c r="CT115" s="49"/>
      <c r="CU115" s="87"/>
      <c r="DN115" s="284"/>
      <c r="DO115" s="125"/>
      <c r="DP115" s="125"/>
      <c r="DQ115" s="50"/>
      <c r="DR115" s="50"/>
      <c r="DS115" s="50"/>
      <c r="DT115" s="51"/>
      <c r="DU115" s="51"/>
      <c r="DV115" s="51"/>
      <c r="DW115" s="51"/>
    </row>
    <row r="116" spans="5:127" ht="18" customHeight="1">
      <c r="E116" s="319">
        <v>4</v>
      </c>
      <c r="F116" s="90">
        <v>-6.2</v>
      </c>
      <c r="G116" s="90">
        <v>-10.1</v>
      </c>
      <c r="H116" s="90">
        <v>7.5</v>
      </c>
      <c r="I116" s="90">
        <v>7.8282999999999996</v>
      </c>
      <c r="J116" s="91">
        <v>98</v>
      </c>
      <c r="K116" s="51">
        <f>IFERROR(MP_DATA[[#This Row],[Top '[m']]]-MP_DATA[[#This Row],[Bottom '[m']]], "")</f>
        <v>3.8999999999999995</v>
      </c>
      <c r="L116" s="180">
        <f>IFERROR(-(MP_DATA[[#This Row],[D, bottom '[m']]]-MP_DATA[[#This Row],[D, top '[m']]])/(MP_DATA[[#This Row],[Bottom '[m']]]-MP_DATA[[#This Row],[Top '[m']]]),"")</f>
        <v>8.4179487179487089E-2</v>
      </c>
      <c r="M116" s="125">
        <f t="shared" si="4"/>
        <v>71.315701603414155</v>
      </c>
      <c r="N116" s="196">
        <f>IFERROR((MP_DATA[[#This Row],[D, bottom '[m']]]+MP_DATA[[#This Row],[D, top '[m']]])/(2*MP_DATA[[#This Row],[t '[mm']]]/1000),"")</f>
        <v>78.205612244897949</v>
      </c>
      <c r="P116" s="53"/>
      <c r="Q116" s="125"/>
      <c r="R116" s="125"/>
      <c r="S116" s="50"/>
      <c r="T116" s="49"/>
      <c r="U116" s="49"/>
      <c r="V116" s="49"/>
      <c r="W116" s="49"/>
      <c r="X116" s="87"/>
      <c r="AO116" s="49"/>
      <c r="AP116" s="319">
        <v>4</v>
      </c>
      <c r="AQ116" s="90">
        <v>9.5</v>
      </c>
      <c r="AR116" s="90">
        <v>5.6</v>
      </c>
      <c r="AS116" s="90">
        <v>7.5</v>
      </c>
      <c r="AT116" s="90">
        <v>7.5</v>
      </c>
      <c r="AU116" s="91">
        <v>100</v>
      </c>
      <c r="AV116" s="51">
        <f>IFERROR(TP_DATA[[#This Row],[Top '[m']]]-TP_DATA[[#This Row],[Bottom '[m']]], "")</f>
        <v>3.9000000000000004</v>
      </c>
      <c r="AW116" s="180">
        <f>IFERROR(-(TP_DATA[[#This Row],[D, bottom '[m']]]-TP_DATA[[#This Row],[D, top '[m']]])/(TP_DATA[[#This Row],[Bottom '[m']]]-TP_DATA[[#This Row],[Top '[m']]]),"")</f>
        <v>0</v>
      </c>
      <c r="AX116" s="125">
        <f t="shared" si="6"/>
        <v>71.173095726342197</v>
      </c>
      <c r="AY116" s="196">
        <f>IFERROR((TP_DATA[[#This Row],[D, bottom '[m']]]+TP_DATA[[#This Row],[D, top '[m']]])/(2*TP_DATA[[#This Row],[t '[mm']]]/1000),"")</f>
        <v>75</v>
      </c>
      <c r="BA116" s="53" t="s">
        <v>286</v>
      </c>
      <c r="BB116" s="51">
        <v>11</v>
      </c>
      <c r="BC116" s="51">
        <v>11</v>
      </c>
      <c r="BD116" s="50">
        <v>1</v>
      </c>
      <c r="BE116" s="49"/>
      <c r="BF116" s="49"/>
      <c r="BG116" s="49"/>
      <c r="BH116" s="49"/>
      <c r="BI116" s="87"/>
      <c r="CA116" s="49"/>
      <c r="CB116" s="89">
        <v>4</v>
      </c>
      <c r="CC116" s="90">
        <v>157.01</v>
      </c>
      <c r="CD116" s="90">
        <v>154.07</v>
      </c>
      <c r="CE116" s="90">
        <v>6.5</v>
      </c>
      <c r="CF116" s="90">
        <v>6.5</v>
      </c>
      <c r="CG116" s="91">
        <v>46</v>
      </c>
      <c r="CH116" s="195">
        <f>IFERROR(TOWER_DATA[[#This Row],[Top '[m']]]-TOWER_DATA[[#This Row],[Bottom '[m']]], "")</f>
        <v>2.9399999999999977</v>
      </c>
      <c r="CI116" s="180">
        <f>IFERROR(-(TOWER_DATA[[#This Row],[D, bottom '[m']]]-TOWER_DATA[[#This Row],[D, top '[m']]])/(TOWER_DATA[[#This Row],[Bottom '[m']]]-TOWER_DATA[[#This Row],[Top '[m']]]),"")</f>
        <v>0</v>
      </c>
      <c r="CJ116" s="125">
        <f t="shared" si="5"/>
        <v>21.525520046348078</v>
      </c>
      <c r="CK116" s="196">
        <f>IFERROR((TOWER_DATA[[#This Row],[D, bottom '[m']]]+TOWER_DATA[[#This Row],[D, top '[m']]])/(2*TOWER_DATA[[#This Row],[t '[mm']]]/1000),"")</f>
        <v>141.30434782608697</v>
      </c>
      <c r="CM116" s="49" t="s">
        <v>357</v>
      </c>
      <c r="CN116" s="49">
        <v>159.16</v>
      </c>
      <c r="CO116" s="49">
        <v>159.16</v>
      </c>
      <c r="CP116" s="49">
        <v>17996</v>
      </c>
      <c r="CQ116" s="49"/>
      <c r="CR116" s="49"/>
      <c r="CS116" s="49"/>
      <c r="CT116" s="49"/>
      <c r="CU116" s="87"/>
      <c r="DN116" s="284"/>
      <c r="DO116" s="125"/>
      <c r="DP116" s="125"/>
      <c r="DQ116" s="50"/>
      <c r="DR116" s="50"/>
      <c r="DS116" s="50"/>
      <c r="DT116" s="51"/>
      <c r="DU116" s="51"/>
      <c r="DV116" s="51"/>
      <c r="DW116" s="51"/>
    </row>
    <row r="117" spans="5:127" ht="18" customHeight="1">
      <c r="E117" s="319">
        <v>5</v>
      </c>
      <c r="F117" s="90">
        <v>-10.1</v>
      </c>
      <c r="G117" s="90">
        <v>-14</v>
      </c>
      <c r="H117" s="90">
        <v>7.8282999999999996</v>
      </c>
      <c r="I117" s="90">
        <v>8.1565999999999992</v>
      </c>
      <c r="J117" s="91">
        <v>104</v>
      </c>
      <c r="K117" s="51">
        <f>IFERROR(MP_DATA[[#This Row],[Top '[m']]]-MP_DATA[[#This Row],[Bottom '[m']]], "")</f>
        <v>3.9000000000000004</v>
      </c>
      <c r="L117" s="180">
        <f>IFERROR(-(MP_DATA[[#This Row],[D, bottom '[m']]]-MP_DATA[[#This Row],[D, top '[m']]])/(MP_DATA[[#This Row],[Bottom '[m']]]-MP_DATA[[#This Row],[Top '[m']]]),"")</f>
        <v>8.4179487179487061E-2</v>
      </c>
      <c r="M117" s="125">
        <f t="shared" si="4"/>
        <v>78.905840981319429</v>
      </c>
      <c r="N117" s="196">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53" t="s">
        <v>287</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5">
        <f>IFERROR(TOWER_DATA[[#This Row],[Top '[m']]]-TOWER_DATA[[#This Row],[Bottom '[m']]], "")</f>
        <v>2.9399999999999977</v>
      </c>
      <c r="CI117" s="180">
        <f>IFERROR(-(TOWER_DATA[[#This Row],[D, bottom '[m']]]-TOWER_DATA[[#This Row],[D, top '[m']]])/(TOWER_DATA[[#This Row],[Bottom '[m']]]-TOWER_DATA[[#This Row],[Top '[m']]]),"")</f>
        <v>0</v>
      </c>
      <c r="CJ117" s="125">
        <f t="shared" si="5"/>
        <v>14.983555431407904</v>
      </c>
      <c r="CK117" s="196">
        <f>IFERROR((TOWER_DATA[[#This Row],[D, bottom '[m']]]+TOWER_DATA[[#This Row],[D, top '[m']]])/(2*TOWER_DATA[[#This Row],[t '[mm']]]/1000),"")</f>
        <v>202.8125</v>
      </c>
      <c r="CM117" s="49" t="s">
        <v>356</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19">
        <v>6</v>
      </c>
      <c r="F118" s="90">
        <v>-14</v>
      </c>
      <c r="G118" s="90">
        <v>-17.899999999999999</v>
      </c>
      <c r="H118" s="90">
        <v>8.1565999999999992</v>
      </c>
      <c r="I118" s="90">
        <v>8.4847999999999999</v>
      </c>
      <c r="J118" s="91">
        <v>98</v>
      </c>
      <c r="K118" s="51">
        <f>IFERROR(MP_DATA[[#This Row],[Top '[m']]]-MP_DATA[[#This Row],[Bottom '[m']]], "")</f>
        <v>3.8999999999999986</v>
      </c>
      <c r="L118" s="180">
        <f>IFERROR(-(MP_DATA[[#This Row],[D, bottom '[m']]]-MP_DATA[[#This Row],[D, top '[m']]])/(MP_DATA[[#This Row],[Bottom '[m']]]-MP_DATA[[#This Row],[Top '[m']]]),"")</f>
        <v>8.4153846153846371E-2</v>
      </c>
      <c r="M118" s="125">
        <f t="shared" si="4"/>
        <v>77.504096478974631</v>
      </c>
      <c r="N118" s="196">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53" t="s">
        <v>282</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5">
        <f>IFERROR(TOWER_DATA[[#This Row],[Top '[m']]]-TOWER_DATA[[#This Row],[Bottom '[m']]], "")</f>
        <v>2.5600000000000023</v>
      </c>
      <c r="CI118" s="180">
        <f>IFERROR(-(TOWER_DATA[[#This Row],[D, bottom '[m']]]-TOWER_DATA[[#This Row],[D, top '[m']]])/(TOWER_DATA[[#This Row],[Bottom '[m']]]-TOWER_DATA[[#This Row],[Top '[m']]]),"")</f>
        <v>0</v>
      </c>
      <c r="CJ118" s="125">
        <f t="shared" si="5"/>
        <v>9.7821486518396821</v>
      </c>
      <c r="CK118" s="196">
        <f>IFERROR((TOWER_DATA[[#This Row],[D, bottom '[m']]]+TOWER_DATA[[#This Row],[D, top '[m']]])/(2*TOWER_DATA[[#This Row],[t '[mm']]]/1000),"")</f>
        <v>270</v>
      </c>
      <c r="CM118" s="49" t="s">
        <v>357</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19">
        <v>7</v>
      </c>
      <c r="F119" s="90">
        <v>-17.899999999999999</v>
      </c>
      <c r="G119" s="90">
        <v>-21.8</v>
      </c>
      <c r="H119" s="90">
        <v>8.4847999999999999</v>
      </c>
      <c r="I119" s="90">
        <v>8.8131000000000004</v>
      </c>
      <c r="J119" s="91">
        <v>94</v>
      </c>
      <c r="K119" s="51">
        <f>IFERROR(MP_DATA[[#This Row],[Top '[m']]]-MP_DATA[[#This Row],[Bottom '[m']]], "")</f>
        <v>3.9000000000000021</v>
      </c>
      <c r="L119" s="180">
        <f>IFERROR(-(MP_DATA[[#This Row],[D, bottom '[m']]]-MP_DATA[[#This Row],[D, top '[m']]])/(MP_DATA[[#This Row],[Bottom '[m']]]-MP_DATA[[#This Row],[Top '[m']]]),"")</f>
        <v>8.4179487179487256E-2</v>
      </c>
      <c r="M119" s="125">
        <f t="shared" si="4"/>
        <v>77.34450523878759</v>
      </c>
      <c r="N119" s="196">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53"/>
      <c r="BB119" s="51"/>
      <c r="BC119" s="51"/>
      <c r="BD119" s="50"/>
      <c r="BE119" s="49"/>
      <c r="BF119" s="49"/>
      <c r="BG119" s="49"/>
      <c r="BH119" s="49"/>
      <c r="BI119" s="87"/>
      <c r="CB119" s="89">
        <v>7</v>
      </c>
      <c r="CC119" s="90">
        <v>148.57</v>
      </c>
      <c r="CD119" s="90">
        <v>146.01</v>
      </c>
      <c r="CE119" s="90">
        <v>6.48</v>
      </c>
      <c r="CF119" s="90">
        <v>6.48</v>
      </c>
      <c r="CG119" s="91">
        <v>30</v>
      </c>
      <c r="CH119" s="195">
        <f>IFERROR(TOWER_DATA[[#This Row],[Top '[m']]]-TOWER_DATA[[#This Row],[Bottom '[m']]], "")</f>
        <v>2.5600000000000023</v>
      </c>
      <c r="CI119" s="180">
        <f>IFERROR(-(TOWER_DATA[[#This Row],[D, bottom '[m']]]-TOWER_DATA[[#This Row],[D, top '[m']]])/(TOWER_DATA[[#This Row],[Bottom '[m']]]-TOWER_DATA[[#This Row],[Top '[m']]]),"")</f>
        <v>0</v>
      </c>
      <c r="CJ119" s="125">
        <f t="shared" si="5"/>
        <v>12.216321794525607</v>
      </c>
      <c r="CK119" s="196">
        <f>IFERROR((TOWER_DATA[[#This Row],[D, bottom '[m']]]+TOWER_DATA[[#This Row],[D, top '[m']]])/(2*TOWER_DATA[[#This Row],[t '[mm']]]/1000),"")</f>
        <v>216.00000000000003</v>
      </c>
      <c r="CM119" s="49" t="s">
        <v>358</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19">
        <v>8</v>
      </c>
      <c r="F120" s="90">
        <v>-21.8</v>
      </c>
      <c r="G120" s="90">
        <v>-25.7</v>
      </c>
      <c r="H120" s="90">
        <v>8.8131000000000004</v>
      </c>
      <c r="I120" s="90">
        <v>9.1414000000000009</v>
      </c>
      <c r="J120" s="91">
        <v>92</v>
      </c>
      <c r="K120" s="51">
        <f>IFERROR(MP_DATA[[#This Row],[Top '[m']]]-MP_DATA[[#This Row],[Bottom '[m']]], "")</f>
        <v>3.8999999999999986</v>
      </c>
      <c r="L120" s="180">
        <f>IFERROR(-(MP_DATA[[#This Row],[D, bottom '[m']]]-MP_DATA[[#This Row],[D, top '[m']]])/(MP_DATA[[#This Row],[Bottom '[m']]]-MP_DATA[[#This Row],[Top '[m']]]),"")</f>
        <v>8.4179487179487339E-2</v>
      </c>
      <c r="M120" s="125">
        <f t="shared" si="4"/>
        <v>78.621552553821701</v>
      </c>
      <c r="N120" s="196">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53"/>
      <c r="BB120" s="51"/>
      <c r="BC120" s="51"/>
      <c r="BD120" s="50"/>
      <c r="BE120" s="49"/>
      <c r="BF120" s="49"/>
      <c r="BG120" s="49"/>
      <c r="BH120" s="49"/>
      <c r="BI120" s="87"/>
      <c r="CB120" s="89">
        <v>8</v>
      </c>
      <c r="CC120" s="90">
        <v>146.01</v>
      </c>
      <c r="CD120" s="90">
        <v>143.41999999999999</v>
      </c>
      <c r="CE120" s="90">
        <v>6.49</v>
      </c>
      <c r="CF120" s="90">
        <v>6.5</v>
      </c>
      <c r="CG120" s="91">
        <v>32</v>
      </c>
      <c r="CH120" s="195">
        <f>IFERROR(TOWER_DATA[[#This Row],[Top '[m']]]-TOWER_DATA[[#This Row],[Bottom '[m']]], "")</f>
        <v>2.5900000000000034</v>
      </c>
      <c r="CI120" s="180">
        <f>IFERROR(-(TOWER_DATA[[#This Row],[D, bottom '[m']]]-TOWER_DATA[[#This Row],[D, top '[m']]])/(TOWER_DATA[[#This Row],[Bottom '[m']]]-TOWER_DATA[[#This Row],[Top '[m']]]),"")</f>
        <v>3.8610038610037735E-3</v>
      </c>
      <c r="CJ120" s="125">
        <f t="shared" si="5"/>
        <v>13.210018558996776</v>
      </c>
      <c r="CK120" s="196">
        <f>IFERROR((TOWER_DATA[[#This Row],[D, bottom '[m']]]+TOWER_DATA[[#This Row],[D, top '[m']]])/(2*TOWER_DATA[[#This Row],[t '[mm']]]/1000),"")</f>
        <v>202.96875</v>
      </c>
      <c r="CM120" s="49" t="s">
        <v>359</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19">
        <v>9</v>
      </c>
      <c r="F121" s="90">
        <v>-25.7</v>
      </c>
      <c r="G121" s="90">
        <v>-29.6</v>
      </c>
      <c r="H121" s="90">
        <v>9.1414000000000009</v>
      </c>
      <c r="I121" s="90">
        <v>9.4696999999999996</v>
      </c>
      <c r="J121" s="91">
        <v>90</v>
      </c>
      <c r="K121" s="51">
        <f>IFERROR(MP_DATA[[#This Row],[Top '[m']]]-MP_DATA[[#This Row],[Bottom '[m']]], "")</f>
        <v>3.9000000000000021</v>
      </c>
      <c r="L121" s="180">
        <f>IFERROR(-(MP_DATA[[#This Row],[D, bottom '[m']]]-MP_DATA[[#This Row],[D, top '[m']]])/(MP_DATA[[#This Row],[Bottom '[m']]]-MP_DATA[[#This Row],[Top '[m']]]),"")</f>
        <v>8.4179487179486798E-2</v>
      </c>
      <c r="M121" s="125">
        <f t="shared" si="4"/>
        <v>79.771527039027319</v>
      </c>
      <c r="N121" s="196">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89">
        <v>9</v>
      </c>
      <c r="CC121" s="90">
        <v>143.41999999999999</v>
      </c>
      <c r="CD121" s="90">
        <v>143.27000000000001</v>
      </c>
      <c r="CE121" s="90">
        <v>6.5</v>
      </c>
      <c r="CF121" s="90">
        <v>6.5</v>
      </c>
      <c r="CG121" s="91">
        <v>32</v>
      </c>
      <c r="CH121" s="195">
        <f>IFERROR(TOWER_DATA[[#This Row],[Top '[m']]]-TOWER_DATA[[#This Row],[Bottom '[m']]], "")</f>
        <v>0.14999999999997726</v>
      </c>
      <c r="CI121" s="180">
        <f>IFERROR(-(TOWER_DATA[[#This Row],[D, bottom '[m']]]-TOWER_DATA[[#This Row],[D, top '[m']]])/(TOWER_DATA[[#This Row],[Bottom '[m']]]-TOWER_DATA[[#This Row],[Top '[m']]]),"")</f>
        <v>0</v>
      </c>
      <c r="CJ121" s="125">
        <f t="shared" si="5"/>
        <v>0.76565086595910703</v>
      </c>
      <c r="CK121" s="196">
        <f>IFERROR((TOWER_DATA[[#This Row],[D, bottom '[m']]]+TOWER_DATA[[#This Row],[D, top '[m']]])/(2*TOWER_DATA[[#This Row],[t '[mm']]]/1000),"")</f>
        <v>203.125</v>
      </c>
      <c r="CM121" s="49" t="s">
        <v>360</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19">
        <v>10</v>
      </c>
      <c r="F122" s="90">
        <v>-29.6</v>
      </c>
      <c r="G122" s="90">
        <v>-33.5</v>
      </c>
      <c r="H122" s="90">
        <v>9.4696999999999996</v>
      </c>
      <c r="I122" s="90">
        <v>9.8000000000000007</v>
      </c>
      <c r="J122" s="91">
        <v>90</v>
      </c>
      <c r="K122" s="51">
        <f>IFERROR(MP_DATA[[#This Row],[Top '[m']]]-MP_DATA[[#This Row],[Bottom '[m']]], "")</f>
        <v>3.8999999999999986</v>
      </c>
      <c r="L122" s="180">
        <f>IFERROR(-(MP_DATA[[#This Row],[D, bottom '[m']]]-MP_DATA[[#This Row],[D, top '[m']]])/(MP_DATA[[#This Row],[Bottom '[m']]]-MP_DATA[[#This Row],[Top '[m']]]),"")</f>
        <v>8.4692307692308011E-2</v>
      </c>
      <c r="M122" s="125">
        <f t="shared" si="4"/>
        <v>82.622009522867344</v>
      </c>
      <c r="N122" s="196">
        <f>IFERROR((MP_DATA[[#This Row],[D, bottom '[m']]]+MP_DATA[[#This Row],[D, top '[m']]])/(2*MP_DATA[[#This Row],[t '[mm']]]/1000),"")</f>
        <v>107.05388888888889</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5">
        <f>IFERROR(TOWER_DATA[[#This Row],[Top '[m']]]-TOWER_DATA[[#This Row],[Bottom '[m']]], "")</f>
        <v>0.14000000000001478</v>
      </c>
      <c r="CI122" s="180">
        <f>IFERROR(-(TOWER_DATA[[#This Row],[D, bottom '[m']]]-TOWER_DATA[[#This Row],[D, top '[m']]])/(TOWER_DATA[[#This Row],[Bottom '[m']]]-TOWER_DATA[[#This Row],[Top '[m']]]),"")</f>
        <v>0</v>
      </c>
      <c r="CJ122" s="125">
        <f t="shared" si="5"/>
        <v>0.71460747489535037</v>
      </c>
      <c r="CK122" s="196">
        <f>IFERROR((TOWER_DATA[[#This Row],[D, bottom '[m']]]+TOWER_DATA[[#This Row],[D, top '[m']]])/(2*TOWER_DATA[[#This Row],[t '[mm']]]/1000),"")</f>
        <v>203.125</v>
      </c>
      <c r="CM122" s="49" t="s">
        <v>361</v>
      </c>
      <c r="CN122" s="49">
        <v>152.37</v>
      </c>
      <c r="CO122" s="49">
        <v>152.37</v>
      </c>
      <c r="CP122" s="49">
        <v>2104</v>
      </c>
      <c r="CQ122" s="49"/>
      <c r="CR122" s="49"/>
      <c r="CS122" s="49"/>
      <c r="CT122" s="49"/>
      <c r="CU122" s="87"/>
      <c r="DN122" s="245"/>
      <c r="DO122" s="242"/>
      <c r="DP122" s="242"/>
      <c r="DQ122" s="243"/>
      <c r="DR122" s="243"/>
      <c r="DS122" s="243"/>
      <c r="DT122" s="244"/>
      <c r="DU122" s="244"/>
      <c r="DV122" s="178"/>
      <c r="DW122" s="49"/>
    </row>
    <row r="123" spans="5:127" ht="18" customHeight="1">
      <c r="E123" s="319">
        <v>11</v>
      </c>
      <c r="F123" s="90">
        <v>-33.5</v>
      </c>
      <c r="G123" s="90">
        <v>-36.799999999999997</v>
      </c>
      <c r="H123" s="90">
        <v>9.8000000000000007</v>
      </c>
      <c r="I123" s="90">
        <v>9.8000000000000007</v>
      </c>
      <c r="J123" s="91">
        <v>90</v>
      </c>
      <c r="K123" s="51">
        <f>IFERROR(MP_DATA[[#This Row],[Top '[m']]]-MP_DATA[[#This Row],[Bottom '[m']]], "")</f>
        <v>3.2999999999999972</v>
      </c>
      <c r="L123" s="180">
        <f>IFERROR(-(MP_DATA[[#This Row],[D, bottom '[m']]]-MP_DATA[[#This Row],[D, top '[m']]])/(MP_DATA[[#This Row],[Bottom '[m']]]-MP_DATA[[#This Row],[Top '[m']]]),"")</f>
        <v>0</v>
      </c>
      <c r="M123" s="125">
        <f t="shared" si="4"/>
        <v>71.120566726377618</v>
      </c>
      <c r="N123" s="196">
        <f>IFERROR((MP_DATA[[#This Row],[D, bottom '[m']]]+MP_DATA[[#This Row],[D, top '[m']]])/(2*MP_DATA[[#This Row],[t '[mm']]]/1000),"")</f>
        <v>108.8888888888889</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5">
        <f>IFERROR(TOWER_DATA[[#This Row],[Top '[m']]]-TOWER_DATA[[#This Row],[Bottom '[m']]], "")</f>
        <v>2.3400000000000034</v>
      </c>
      <c r="CI123" s="180">
        <f>IFERROR(-(TOWER_DATA[[#This Row],[D, bottom '[m']]]-TOWER_DATA[[#This Row],[D, top '[m']]])/(TOWER_DATA[[#This Row],[Bottom '[m']]]-TOWER_DATA[[#This Row],[Top '[m']]]),"")</f>
        <v>5.5555555555555428E-2</v>
      </c>
      <c r="CJ123" s="125">
        <f t="shared" si="5"/>
        <v>12.064185973107714</v>
      </c>
      <c r="CK123" s="196">
        <f>IFERROR((TOWER_DATA[[#This Row],[D, bottom '[m']]]+TOWER_DATA[[#This Row],[D, top '[m']]])/(2*TOWER_DATA[[#This Row],[t '[mm']]]/1000),"")</f>
        <v>205.15624999999997</v>
      </c>
      <c r="CM123" s="49" t="s">
        <v>362</v>
      </c>
      <c r="CN123" s="49">
        <v>152.22999999999999</v>
      </c>
      <c r="CO123" s="49">
        <v>152.22999999999999</v>
      </c>
      <c r="CP123" s="49">
        <v>910</v>
      </c>
      <c r="CQ123" s="49"/>
      <c r="CR123" s="49"/>
      <c r="CS123" s="49"/>
      <c r="CT123" s="49"/>
      <c r="CU123" s="87"/>
      <c r="DN123" s="245"/>
      <c r="DO123" s="242"/>
      <c r="DP123" s="242"/>
      <c r="DQ123" s="243"/>
      <c r="DR123" s="243"/>
      <c r="DS123" s="243"/>
      <c r="DT123" s="244"/>
      <c r="DU123" s="244"/>
      <c r="DV123" s="246"/>
      <c r="DW123" s="49"/>
    </row>
    <row r="124" spans="5:127" ht="18" customHeight="1">
      <c r="E124" s="319">
        <v>12</v>
      </c>
      <c r="F124" s="90">
        <v>-36.799999999999997</v>
      </c>
      <c r="G124" s="90">
        <v>-40.200000000000003</v>
      </c>
      <c r="H124" s="90">
        <v>9.8000000000000007</v>
      </c>
      <c r="I124" s="90">
        <v>9.8000000000000007</v>
      </c>
      <c r="J124" s="91">
        <v>98</v>
      </c>
      <c r="K124" s="51">
        <f>IFERROR(MP_DATA[[#This Row],[Top '[m']]]-MP_DATA[[#This Row],[Bottom '[m']]], "")</f>
        <v>3.4000000000000057</v>
      </c>
      <c r="L124" s="180">
        <f>IFERROR(-(MP_DATA[[#This Row],[D, bottom '[m']]]-MP_DATA[[#This Row],[D, top '[m']]])/(MP_DATA[[#This Row],[Bottom '[m']]]-MP_DATA[[#This Row],[Top '[m']]]),"")</f>
        <v>0</v>
      </c>
      <c r="M124" s="125">
        <f t="shared" si="4"/>
        <v>79.723396418003802</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5">
        <f>IFERROR(TOWER_DATA[[#This Row],[Top '[m']]]-TOWER_DATA[[#This Row],[Bottom '[m']]], "")</f>
        <v>2.2999999999999829</v>
      </c>
      <c r="CI124" s="180">
        <f>IFERROR(-(TOWER_DATA[[#This Row],[D, bottom '[m']]]-TOWER_DATA[[#This Row],[D, top '[m']]])/(TOWER_DATA[[#This Row],[Bottom '[m']]]-TOWER_DATA[[#This Row],[Top '[m']]]),"")</f>
        <v>5.6521739130435157E-2</v>
      </c>
      <c r="CJ124" s="125">
        <f t="shared" si="5"/>
        <v>10.572652393387566</v>
      </c>
      <c r="CK124" s="196">
        <f>IFERROR((TOWER_DATA[[#This Row],[D, bottom '[m']]]+TOWER_DATA[[#This Row],[D, top '[m']]])/(2*TOWER_DATA[[#This Row],[t '[mm']]]/1000),"")</f>
        <v>238.75</v>
      </c>
      <c r="CM124" s="49" t="s">
        <v>363</v>
      </c>
      <c r="CN124" s="49">
        <v>151.08000000000001</v>
      </c>
      <c r="CO124" s="49">
        <v>151.08000000000001</v>
      </c>
      <c r="CP124" s="49">
        <v>5000</v>
      </c>
      <c r="CQ124" s="49"/>
      <c r="CR124" s="49"/>
      <c r="CS124" s="49"/>
      <c r="CT124" s="49"/>
      <c r="CU124" s="87"/>
      <c r="DN124" s="245"/>
      <c r="DO124" s="242"/>
      <c r="DP124" s="242"/>
      <c r="DQ124" s="243"/>
      <c r="DR124" s="243"/>
      <c r="DS124" s="243"/>
      <c r="DT124" s="244"/>
      <c r="DU124" s="244"/>
      <c r="DV124" s="246"/>
      <c r="DW124" s="52"/>
    </row>
    <row r="125" spans="5:127" ht="18" customHeight="1">
      <c r="E125" s="319">
        <v>13</v>
      </c>
      <c r="F125" s="90">
        <v>-40.200000000000003</v>
      </c>
      <c r="G125" s="90">
        <v>-43.8</v>
      </c>
      <c r="H125" s="90">
        <v>9.8000000000000007</v>
      </c>
      <c r="I125" s="90">
        <v>9.8000000000000007</v>
      </c>
      <c r="J125" s="91">
        <v>88</v>
      </c>
      <c r="K125" s="51">
        <f>IFERROR(MP_DATA[[#This Row],[Top '[m']]]-MP_DATA[[#This Row],[Bottom '[m']]], "")</f>
        <v>3.5999999999999943</v>
      </c>
      <c r="L125" s="180">
        <f>IFERROR(-(MP_DATA[[#This Row],[D, bottom '[m']]]-MP_DATA[[#This Row],[D, top '[m']]])/(MP_DATA[[#This Row],[Bottom '[m']]]-MP_DATA[[#This Row],[Top '[m']]]),"")</f>
        <v>0</v>
      </c>
      <c r="M125" s="125">
        <f t="shared" si="4"/>
        <v>75.87756336934649</v>
      </c>
      <c r="N125" s="196">
        <f>IFERROR((MP_DATA[[#This Row],[D, bottom '[m']]]+MP_DATA[[#This Row],[D, top '[m']]])/(2*MP_DATA[[#This Row],[t '[mm']]]/1000),"")</f>
        <v>111.36363636363637</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5">
        <f>IFERROR(TOWER_DATA[[#This Row],[Top '[m']]]-TOWER_DATA[[#This Row],[Bottom '[m']]], "")</f>
        <v>2.3000000000000114</v>
      </c>
      <c r="CI125" s="180">
        <f>IFERROR(-(TOWER_DATA[[#This Row],[D, bottom '[m']]]-TOWER_DATA[[#This Row],[D, top '[m']]])/(TOWER_DATA[[#This Row],[Bottom '[m']]]-TOWER_DATA[[#This Row],[Top '[m']]]),"")</f>
        <v>5.217391304347805E-2</v>
      </c>
      <c r="CJ125" s="125">
        <f t="shared" si="5"/>
        <v>10.771177487149679</v>
      </c>
      <c r="CK125" s="196">
        <f>IFERROR((TOWER_DATA[[#This Row],[D, bottom '[m']]]+TOWER_DATA[[#This Row],[D, top '[m']]])/(2*TOWER_DATA[[#This Row],[t '[mm']]]/1000),"")</f>
        <v>243.21428571428572</v>
      </c>
      <c r="CM125" s="49" t="s">
        <v>364</v>
      </c>
      <c r="CN125" s="49">
        <v>148.27000000000001</v>
      </c>
      <c r="CO125" s="49">
        <v>148.27000000000001</v>
      </c>
      <c r="CP125" s="49">
        <v>455</v>
      </c>
      <c r="CQ125" s="49"/>
      <c r="CR125" s="49"/>
      <c r="CS125" s="49"/>
      <c r="CT125" s="49"/>
      <c r="CU125" s="87"/>
      <c r="DN125" s="245"/>
      <c r="DO125" s="242"/>
      <c r="DP125" s="242"/>
      <c r="DQ125" s="243"/>
      <c r="DR125" s="243"/>
      <c r="DS125" s="243"/>
      <c r="DT125" s="244"/>
      <c r="DU125" s="244"/>
      <c r="DV125" s="246"/>
      <c r="DW125" s="52"/>
    </row>
    <row r="126" spans="5:127" ht="18" customHeight="1">
      <c r="E126" s="319">
        <v>14</v>
      </c>
      <c r="F126" s="90">
        <v>-43.8</v>
      </c>
      <c r="G126" s="90">
        <v>-47.8</v>
      </c>
      <c r="H126" s="90">
        <v>9.8000000000000007</v>
      </c>
      <c r="I126" s="90">
        <v>9.8000000000000007</v>
      </c>
      <c r="J126" s="91">
        <v>88</v>
      </c>
      <c r="K126" s="51">
        <f>IFERROR(MP_DATA[[#This Row],[Top '[m']]]-MP_DATA[[#This Row],[Bottom '[m']]], "")</f>
        <v>4</v>
      </c>
      <c r="L126" s="180">
        <f>IFERROR(-(MP_DATA[[#This Row],[D, bottom '[m']]]-MP_DATA[[#This Row],[D, top '[m']]])/(MP_DATA[[#This Row],[Bottom '[m']]]-MP_DATA[[#This Row],[Top '[m']]]),"")</f>
        <v>0</v>
      </c>
      <c r="M126" s="125">
        <f t="shared" si="4"/>
        <v>84.308403743718472</v>
      </c>
      <c r="N126" s="196">
        <f>IFERROR((MP_DATA[[#This Row],[D, bottom '[m']]]+MP_DATA[[#This Row],[D, top '[m']]])/(2*MP_DATA[[#This Row],[t '[mm']]]/1000),"")</f>
        <v>111.36363636363637</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5">
        <f>IFERROR(TOWER_DATA[[#This Row],[Top '[m']]]-TOWER_DATA[[#This Row],[Bottom '[m']]], "")</f>
        <v>2.3100000000000023</v>
      </c>
      <c r="CI126" s="180">
        <f>IFERROR(-(TOWER_DATA[[#This Row],[D, bottom '[m']]]-TOWER_DATA[[#This Row],[D, top '[m']]])/(TOWER_DATA[[#This Row],[Bottom '[m']]]-TOWER_DATA[[#This Row],[Top '[m']]]),"")</f>
        <v>5.6277056277056176E-2</v>
      </c>
      <c r="CJ126" s="125">
        <f t="shared" si="5"/>
        <v>11.017396939959024</v>
      </c>
      <c r="CK126" s="196">
        <f>IFERROR((TOWER_DATA[[#This Row],[D, bottom '[m']]]+TOWER_DATA[[#This Row],[D, top '[m']]])/(2*TOWER_DATA[[#This Row],[t '[mm']]]/1000),"")</f>
        <v>247.67857142857144</v>
      </c>
      <c r="CM126" s="49" t="s">
        <v>365</v>
      </c>
      <c r="CN126" s="49">
        <v>146.19</v>
      </c>
      <c r="CO126" s="49">
        <v>146.19</v>
      </c>
      <c r="CP126" s="49">
        <v>7201</v>
      </c>
      <c r="CQ126" s="49"/>
      <c r="CR126" s="49"/>
      <c r="CS126" s="49"/>
      <c r="CT126" s="49"/>
      <c r="CU126" s="87"/>
      <c r="DN126" s="284"/>
      <c r="DO126" s="125"/>
      <c r="DP126" s="125"/>
      <c r="DQ126" s="50"/>
      <c r="DR126" s="50"/>
      <c r="DS126" s="50"/>
      <c r="DT126" s="51"/>
      <c r="DU126" s="51"/>
      <c r="DV126" s="51"/>
      <c r="DW126" s="70"/>
    </row>
    <row r="127" spans="5:127" ht="18" customHeight="1">
      <c r="E127" s="319">
        <v>15</v>
      </c>
      <c r="F127" s="90">
        <v>-47.8</v>
      </c>
      <c r="G127" s="90">
        <v>-51.8</v>
      </c>
      <c r="H127" s="90">
        <v>9.8000000000000007</v>
      </c>
      <c r="I127" s="90">
        <v>9.8000000000000007</v>
      </c>
      <c r="J127" s="91">
        <v>88</v>
      </c>
      <c r="K127" s="51">
        <f>IFERROR(MP_DATA[[#This Row],[Top '[m']]]-MP_DATA[[#This Row],[Bottom '[m']]], "")</f>
        <v>4</v>
      </c>
      <c r="L127" s="180">
        <f>IFERROR(-(MP_DATA[[#This Row],[D, bottom '[m']]]-MP_DATA[[#This Row],[D, top '[m']]])/(MP_DATA[[#This Row],[Bottom '[m']]]-MP_DATA[[#This Row],[Top '[m']]]),"")</f>
        <v>0</v>
      </c>
      <c r="M127" s="125">
        <f t="shared" si="4"/>
        <v>84.308403743718472</v>
      </c>
      <c r="N127" s="196">
        <f>IFERROR((MP_DATA[[#This Row],[D, bottom '[m']]]+MP_DATA[[#This Row],[D, top '[m']]])/(2*MP_DATA[[#This Row],[t '[mm']]]/1000),"")</f>
        <v>111.36363636363637</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5">
        <f>IFERROR(TOWER_DATA[[#This Row],[Top '[m']]]-TOWER_DATA[[#This Row],[Bottom '[m']]], "")</f>
        <v>2.2999999999999829</v>
      </c>
      <c r="CI127" s="180">
        <f>IFERROR(-(TOWER_DATA[[#This Row],[D, bottom '[m']]]-TOWER_DATA[[#This Row],[D, top '[m']]])/(TOWER_DATA[[#This Row],[Bottom '[m']]]-TOWER_DATA[[#This Row],[Top '[m']]]),"")</f>
        <v>5.2173913043478695E-2</v>
      </c>
      <c r="CJ127" s="125">
        <f t="shared" si="5"/>
        <v>11.168227674673536</v>
      </c>
      <c r="CK127" s="196">
        <f>IFERROR((TOWER_DATA[[#This Row],[D, bottom '[m']]]+TOWER_DATA[[#This Row],[D, top '[m']]])/(2*TOWER_DATA[[#This Row],[t '[mm']]]/1000),"")</f>
        <v>252.14285714285717</v>
      </c>
      <c r="CM127" s="49" t="s">
        <v>366</v>
      </c>
      <c r="CN127" s="49">
        <v>143.34</v>
      </c>
      <c r="CO127" s="49">
        <v>143.34</v>
      </c>
      <c r="CP127" s="49">
        <v>4525</v>
      </c>
      <c r="CQ127" s="49"/>
      <c r="CR127" s="49"/>
      <c r="CS127" s="49"/>
      <c r="CT127" s="49"/>
      <c r="CU127" s="87"/>
      <c r="DN127" s="245"/>
      <c r="DO127" s="242"/>
      <c r="DP127" s="242"/>
      <c r="DQ127" s="243"/>
      <c r="DR127" s="243"/>
      <c r="DS127" s="243"/>
      <c r="DT127" s="244"/>
      <c r="DU127" s="244"/>
      <c r="DV127" s="246"/>
      <c r="DW127" s="70"/>
    </row>
    <row r="128" spans="5:127" ht="18" customHeight="1">
      <c r="E128" s="319">
        <v>16</v>
      </c>
      <c r="F128" s="90">
        <v>-51.8</v>
      </c>
      <c r="G128" s="90">
        <v>-55.8</v>
      </c>
      <c r="H128" s="90">
        <v>9.8000000000000007</v>
      </c>
      <c r="I128" s="90">
        <v>9.8000000000000007</v>
      </c>
      <c r="J128" s="91">
        <v>81</v>
      </c>
      <c r="K128" s="51">
        <f>IFERROR(MP_DATA[[#This Row],[Top '[m']]]-MP_DATA[[#This Row],[Bottom '[m']]], "")</f>
        <v>4</v>
      </c>
      <c r="L128" s="180">
        <f>IFERROR(-(MP_DATA[[#This Row],[D, bottom '[m']]]-MP_DATA[[#This Row],[D, top '[m']]])/(MP_DATA[[#This Row],[Bottom '[m']]]-MP_DATA[[#This Row],[Top '[m']]]),"")</f>
        <v>0</v>
      </c>
      <c r="M128" s="125">
        <f t="shared" si="4"/>
        <v>77.657985733209031</v>
      </c>
      <c r="N128" s="196">
        <f>IFERROR((MP_DATA[[#This Row],[D, bottom '[m']]]+MP_DATA[[#This Row],[D, top '[m']]])/(2*MP_DATA[[#This Row],[t '[mm']]]/1000),"")</f>
        <v>120.98765432098766</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5">
        <f>IFERROR(TOWER_DATA[[#This Row],[Top '[m']]]-TOWER_DATA[[#This Row],[Bottom '[m']]], "")</f>
        <v>2.3000000000000114</v>
      </c>
      <c r="CI128" s="180">
        <f>IFERROR(-(TOWER_DATA[[#This Row],[D, bottom '[m']]]-TOWER_DATA[[#This Row],[D, top '[m']]])/(TOWER_DATA[[#This Row],[Bottom '[m']]]-TOWER_DATA[[#This Row],[Top '[m']]]),"")</f>
        <v>5.217391304347805E-2</v>
      </c>
      <c r="CJ128" s="125">
        <f t="shared" si="5"/>
        <v>11.762838691218306</v>
      </c>
      <c r="CK128" s="196">
        <f>IFERROR((TOWER_DATA[[#This Row],[D, bottom '[m']]]+TOWER_DATA[[#This Row],[D, top '[m']]])/(2*TOWER_DATA[[#This Row],[t '[mm']]]/1000),"")</f>
        <v>247.58620689655172</v>
      </c>
      <c r="CM128" s="49" t="s">
        <v>367</v>
      </c>
      <c r="CN128" s="49">
        <v>143.19999999999999</v>
      </c>
      <c r="CO128" s="49">
        <v>143.19999999999999</v>
      </c>
      <c r="CP128" s="49">
        <v>4525</v>
      </c>
      <c r="CQ128" s="49"/>
      <c r="CR128" s="49"/>
      <c r="CS128" s="49"/>
      <c r="CT128" s="49"/>
      <c r="CU128" s="87"/>
      <c r="DN128" s="245"/>
      <c r="DO128" s="242"/>
      <c r="DP128" s="242"/>
      <c r="DQ128" s="243"/>
      <c r="DR128" s="243"/>
      <c r="DS128" s="243"/>
      <c r="DT128" s="244"/>
      <c r="DU128" s="244"/>
      <c r="DV128" s="246"/>
      <c r="DW128" s="70"/>
    </row>
    <row r="129" spans="5:127" ht="18" customHeight="1">
      <c r="E129" s="319">
        <v>17</v>
      </c>
      <c r="F129" s="90">
        <v>-55.8</v>
      </c>
      <c r="G129" s="90">
        <v>-59.8</v>
      </c>
      <c r="H129" s="90">
        <v>9.8000000000000007</v>
      </c>
      <c r="I129" s="90">
        <v>9.8000000000000007</v>
      </c>
      <c r="J129" s="91">
        <v>81</v>
      </c>
      <c r="K129" s="51">
        <f>IFERROR(MP_DATA[[#This Row],[Top '[m']]]-MP_DATA[[#This Row],[Bottom '[m']]], "")</f>
        <v>4</v>
      </c>
      <c r="L129" s="180">
        <f>IFERROR(-(MP_DATA[[#This Row],[D, bottom '[m']]]-MP_DATA[[#This Row],[D, top '[m']]])/(MP_DATA[[#This Row],[Bottom '[m']]]-MP_DATA[[#This Row],[Top '[m']]]),"")</f>
        <v>0</v>
      </c>
      <c r="M129" s="125">
        <f t="shared" si="4"/>
        <v>77.657985733209031</v>
      </c>
      <c r="N129" s="196">
        <f>IFERROR((MP_DATA[[#This Row],[D, bottom '[m']]]+MP_DATA[[#This Row],[D, top '[m']]])/(2*MP_DATA[[#This Row],[t '[mm']]]/1000),"")</f>
        <v>120.98765432098766</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5">
        <f>IFERROR(TOWER_DATA[[#This Row],[Top '[m']]]-TOWER_DATA[[#This Row],[Bottom '[m']]], "")</f>
        <v>2.2999999999999972</v>
      </c>
      <c r="CI129" s="180">
        <f>IFERROR(-(TOWER_DATA[[#This Row],[D, bottom '[m']]]-TOWER_DATA[[#This Row],[D, top '[m']]])/(TOWER_DATA[[#This Row],[Bottom '[m']]]-TOWER_DATA[[#This Row],[Top '[m']]]),"")</f>
        <v>5.6521739130434803E-2</v>
      </c>
      <c r="CJ129" s="125">
        <f t="shared" si="5"/>
        <v>11.968453966900316</v>
      </c>
      <c r="CK129" s="196">
        <f>IFERROR((TOWER_DATA[[#This Row],[D, bottom '[m']]]+TOWER_DATA[[#This Row],[D, top '[m']]])/(2*TOWER_DATA[[#This Row],[t '[mm']]]/1000),"")</f>
        <v>251.89655172413791</v>
      </c>
      <c r="CM129" s="49" t="s">
        <v>368</v>
      </c>
      <c r="CN129" s="49">
        <v>141.87</v>
      </c>
      <c r="CO129" s="49">
        <v>141.87</v>
      </c>
      <c r="CP129" s="49">
        <v>5941</v>
      </c>
      <c r="CQ129" s="49"/>
      <c r="CR129" s="49"/>
      <c r="CS129" s="49"/>
      <c r="CT129" s="49"/>
      <c r="CU129" s="87"/>
      <c r="DN129" s="245"/>
      <c r="DO129" s="242"/>
      <c r="DP129" s="242"/>
      <c r="DQ129" s="243"/>
      <c r="DR129" s="243"/>
      <c r="DS129" s="243"/>
      <c r="DT129" s="244"/>
      <c r="DU129" s="244"/>
      <c r="DV129" s="246"/>
      <c r="DW129" s="70"/>
    </row>
    <row r="130" spans="5:127" ht="18" customHeight="1">
      <c r="E130" s="319">
        <v>18</v>
      </c>
      <c r="F130" s="90">
        <v>-59.8</v>
      </c>
      <c r="G130" s="90">
        <v>-63.8</v>
      </c>
      <c r="H130" s="90">
        <v>9.8000000000000007</v>
      </c>
      <c r="I130" s="90">
        <v>9.8000000000000007</v>
      </c>
      <c r="J130" s="91">
        <v>81</v>
      </c>
      <c r="K130" s="51">
        <f>IFERROR(MP_DATA[[#This Row],[Top '[m']]]-MP_DATA[[#This Row],[Bottom '[m']]], "")</f>
        <v>4</v>
      </c>
      <c r="L130" s="180">
        <f>IFERROR(-(MP_DATA[[#This Row],[D, bottom '[m']]]-MP_DATA[[#This Row],[D, top '[m']]])/(MP_DATA[[#This Row],[Bottom '[m']]]-MP_DATA[[#This Row],[Top '[m']]]),"")</f>
        <v>0</v>
      </c>
      <c r="M130" s="125">
        <f t="shared" si="4"/>
        <v>77.657985733209031</v>
      </c>
      <c r="N130" s="196">
        <f>IFERROR((MP_DATA[[#This Row],[D, bottom '[m']]]+MP_DATA[[#This Row],[D, top '[m']]])/(2*MP_DATA[[#This Row],[t '[mm']]]/1000),"")</f>
        <v>120.98765432098766</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5">
        <f>IFERROR(TOWER_DATA[[#This Row],[Top '[m']]]-TOWER_DATA[[#This Row],[Bottom '[m']]], "")</f>
        <v>2.2999999999999972</v>
      </c>
      <c r="CI130" s="180">
        <f>IFERROR(-(TOWER_DATA[[#This Row],[D, bottom '[m']]]-TOWER_DATA[[#This Row],[D, top '[m']]])/(TOWER_DATA[[#This Row],[Bottom '[m']]]-TOWER_DATA[[#This Row],[Top '[m']]]),"")</f>
        <v>5.2173913043478369E-2</v>
      </c>
      <c r="CJ130" s="125">
        <f t="shared" si="5"/>
        <v>12.174069242582402</v>
      </c>
      <c r="CK130" s="196">
        <f>IFERROR((TOWER_DATA[[#This Row],[D, bottom '[m']]]+TOWER_DATA[[#This Row],[D, top '[m']]])/(2*TOWER_DATA[[#This Row],[t '[mm']]]/1000),"")</f>
        <v>256.20689655172413</v>
      </c>
      <c r="CM130" s="49" t="s">
        <v>369</v>
      </c>
      <c r="CN130" s="49">
        <v>129.27000000000001</v>
      </c>
      <c r="CO130" s="49">
        <v>129.27000000000001</v>
      </c>
      <c r="CP130" s="49">
        <v>1327</v>
      </c>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9">
        <v>19</v>
      </c>
      <c r="F131" s="90">
        <v>-63.8</v>
      </c>
      <c r="G131" s="90">
        <v>-67.599999999999994</v>
      </c>
      <c r="H131" s="90">
        <v>9.8000000000000007</v>
      </c>
      <c r="I131" s="90">
        <v>9.8000000000000007</v>
      </c>
      <c r="J131" s="91">
        <v>81</v>
      </c>
      <c r="K131" s="51">
        <f>IFERROR(MP_DATA[[#This Row],[Top '[m']]]-MP_DATA[[#This Row],[Bottom '[m']]], "")</f>
        <v>3.7999999999999972</v>
      </c>
      <c r="L131" s="180">
        <f>IFERROR(-(MP_DATA[[#This Row],[D, bottom '[m']]]-MP_DATA[[#This Row],[D, top '[m']]])/(MP_DATA[[#This Row],[Bottom '[m']]]-MP_DATA[[#This Row],[Top '[m']]]),"")</f>
        <v>0</v>
      </c>
      <c r="M131" s="125">
        <f t="shared" si="4"/>
        <v>73.775086446548514</v>
      </c>
      <c r="N131" s="196">
        <f>IFERROR((MP_DATA[[#This Row],[D, bottom '[m']]]+MP_DATA[[#This Row],[D, top '[m']]])/(2*MP_DATA[[#This Row],[t '[mm']]]/1000),"")</f>
        <v>120.98765432098766</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89">
        <v>19</v>
      </c>
      <c r="CC131" s="90">
        <v>124.68</v>
      </c>
      <c r="CD131" s="90">
        <v>122.38</v>
      </c>
      <c r="CE131" s="90">
        <v>7.49</v>
      </c>
      <c r="CF131" s="90">
        <v>7.62</v>
      </c>
      <c r="CG131" s="91">
        <v>30</v>
      </c>
      <c r="CH131" s="195">
        <f>IFERROR(TOWER_DATA[[#This Row],[Top '[m']]]-TOWER_DATA[[#This Row],[Bottom '[m']]], "")</f>
        <v>2.3000000000000114</v>
      </c>
      <c r="CI131" s="180">
        <f>IFERROR(-(TOWER_DATA[[#This Row],[D, bottom '[m']]]-TOWER_DATA[[#This Row],[D, top '[m']]])/(TOWER_DATA[[#This Row],[Bottom '[m']]]-TOWER_DATA[[#This Row],[Top '[m']]]),"")</f>
        <v>5.6521739130434456E-2</v>
      </c>
      <c r="CJ131" s="125">
        <f t="shared" si="5"/>
        <v>12.804868547647267</v>
      </c>
      <c r="CK131" s="196">
        <f>IFERROR((TOWER_DATA[[#This Row],[D, bottom '[m']]]+TOWER_DATA[[#This Row],[D, top '[m']]])/(2*TOWER_DATA[[#This Row],[t '[mm']]]/1000),"")</f>
        <v>251.83333333333334</v>
      </c>
      <c r="CM131" s="49" t="s">
        <v>370</v>
      </c>
      <c r="CN131" s="49">
        <v>129.27000000000001</v>
      </c>
      <c r="CO131" s="49">
        <v>129.27000000000001</v>
      </c>
      <c r="CP131" s="49">
        <v>1008</v>
      </c>
      <c r="CQ131" s="49"/>
      <c r="CR131" s="49"/>
      <c r="CS131" s="49"/>
      <c r="CT131" s="49"/>
      <c r="CU131" s="87"/>
      <c r="DO131" s="174"/>
      <c r="DP131" s="174"/>
      <c r="DQ131" s="158"/>
      <c r="DT131" s="94"/>
      <c r="DU131" s="94"/>
      <c r="DV131" s="70" t="str">
        <f t="shared" si="7"/>
        <v/>
      </c>
      <c r="DW131" s="70"/>
    </row>
    <row r="132" spans="5:127" ht="18" customHeight="1">
      <c r="E132" s="319">
        <v>20</v>
      </c>
      <c r="F132" s="90">
        <v>-67.599999999999994</v>
      </c>
      <c r="G132" s="90">
        <v>-70.7</v>
      </c>
      <c r="H132" s="90">
        <v>9.8000000000000007</v>
      </c>
      <c r="I132" s="90">
        <v>9.8000000000000007</v>
      </c>
      <c r="J132" s="91">
        <v>81</v>
      </c>
      <c r="K132" s="51">
        <f>IFERROR(MP_DATA[[#This Row],[Top '[m']]]-MP_DATA[[#This Row],[Bottom '[m']]], "")</f>
        <v>3.1000000000000085</v>
      </c>
      <c r="L132" s="180">
        <f>IFERROR(-(MP_DATA[[#This Row],[D, bottom '[m']]]-MP_DATA[[#This Row],[D, top '[m']]])/(MP_DATA[[#This Row],[Bottom '[m']]]-MP_DATA[[#This Row],[Top '[m']]]),"")</f>
        <v>0</v>
      </c>
      <c r="M132" s="125">
        <f t="shared" si="4"/>
        <v>60.184938943237157</v>
      </c>
      <c r="N132" s="196">
        <f>IFERROR((MP_DATA[[#This Row],[D, bottom '[m']]]+MP_DATA[[#This Row],[D, top '[m']]])/(2*MP_DATA[[#This Row],[t '[mm']]]/1000),"")</f>
        <v>120.98765432098766</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89">
        <v>20</v>
      </c>
      <c r="CC132" s="90">
        <v>122.38</v>
      </c>
      <c r="CD132" s="90">
        <v>120.07</v>
      </c>
      <c r="CE132" s="90">
        <v>7.62</v>
      </c>
      <c r="CF132" s="90">
        <v>7.74</v>
      </c>
      <c r="CG132" s="91">
        <v>30</v>
      </c>
      <c r="CH132" s="195">
        <f>IFERROR(TOWER_DATA[[#This Row],[Top '[m']]]-TOWER_DATA[[#This Row],[Bottom '[m']]], "")</f>
        <v>2.3100000000000023</v>
      </c>
      <c r="CI132" s="180">
        <f>IFERROR(-(TOWER_DATA[[#This Row],[D, bottom '[m']]]-TOWER_DATA[[#This Row],[D, top '[m']]])/(TOWER_DATA[[#This Row],[Bottom '[m']]]-TOWER_DATA[[#This Row],[Top '[m']]]),"")</f>
        <v>5.1948051948051945E-2</v>
      </c>
      <c r="CJ132" s="125">
        <f t="shared" si="5"/>
        <v>13.074172153098214</v>
      </c>
      <c r="CK132" s="196">
        <f>IFERROR((TOWER_DATA[[#This Row],[D, bottom '[m']]]+TOWER_DATA[[#This Row],[D, top '[m']]])/(2*TOWER_DATA[[#This Row],[t '[mm']]]/1000),"")</f>
        <v>256</v>
      </c>
      <c r="CM132" s="49" t="s">
        <v>371</v>
      </c>
      <c r="CN132" s="49">
        <v>129.27000000000001</v>
      </c>
      <c r="CO132" s="49">
        <v>129.27000000000001</v>
      </c>
      <c r="CP132" s="49">
        <v>6854</v>
      </c>
      <c r="CQ132" s="49"/>
      <c r="CR132" s="49"/>
      <c r="CS132" s="49"/>
      <c r="CT132" s="49"/>
      <c r="CU132" s="87"/>
      <c r="DO132" s="174"/>
      <c r="DP132" s="174"/>
      <c r="DQ132" s="158"/>
      <c r="DT132" s="94"/>
      <c r="DU132" s="94"/>
      <c r="DV132" s="70" t="str">
        <f t="shared" si="7"/>
        <v/>
      </c>
      <c r="DW132" s="70"/>
    </row>
    <row r="133" spans="5:127" ht="18" customHeight="1">
      <c r="E133" s="319">
        <v>21</v>
      </c>
      <c r="F133" s="90">
        <v>-70.7</v>
      </c>
      <c r="G133" s="90">
        <v>-73.7</v>
      </c>
      <c r="H133" s="90">
        <v>9.8000000000000007</v>
      </c>
      <c r="I133" s="90">
        <v>9.8000000000000007</v>
      </c>
      <c r="J133" s="91">
        <v>87</v>
      </c>
      <c r="K133" s="51">
        <f>IFERROR(MP_DATA[[#This Row],[Top '[m']]]-MP_DATA[[#This Row],[Bottom '[m']]], "")</f>
        <v>3</v>
      </c>
      <c r="L133" s="180">
        <f>IFERROR(-(MP_DATA[[#This Row],[D, bottom '[m']]]-MP_DATA[[#This Row],[D, top '[m']]])/(MP_DATA[[#This Row],[Bottom '[m']]]-MP_DATA[[#This Row],[Top '[m']]]),"")</f>
        <v>0</v>
      </c>
      <c r="M133" s="125">
        <f t="shared" si="4"/>
        <v>62.519201927990139</v>
      </c>
      <c r="N133" s="196">
        <f>IFERROR((MP_DATA[[#This Row],[D, bottom '[m']]]+MP_DATA[[#This Row],[D, top '[m']]])/(2*MP_DATA[[#This Row],[t '[mm']]]/1000),"")</f>
        <v>112.64367816091955</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89">
        <v>21</v>
      </c>
      <c r="CC133" s="90">
        <v>120.07</v>
      </c>
      <c r="CD133" s="90">
        <v>117.77</v>
      </c>
      <c r="CE133" s="90">
        <v>7.74</v>
      </c>
      <c r="CF133" s="90">
        <v>7.87</v>
      </c>
      <c r="CG133" s="91">
        <v>30</v>
      </c>
      <c r="CH133" s="195">
        <f>IFERROR(TOWER_DATA[[#This Row],[Top '[m']]]-TOWER_DATA[[#This Row],[Bottom '[m']]], "")</f>
        <v>2.2999999999999972</v>
      </c>
      <c r="CI133" s="180">
        <f>IFERROR(-(TOWER_DATA[[#This Row],[D, bottom '[m']]]-TOWER_DATA[[#This Row],[D, top '[m']]])/(TOWER_DATA[[#This Row],[Bottom '[m']]]-TOWER_DATA[[#This Row],[Top '[m']]]),"")</f>
        <v>5.6521739130434803E-2</v>
      </c>
      <c r="CJ133" s="125">
        <f t="shared" si="5"/>
        <v>13.230279462851431</v>
      </c>
      <c r="CK133" s="196">
        <f>IFERROR((TOWER_DATA[[#This Row],[D, bottom '[m']]]+TOWER_DATA[[#This Row],[D, top '[m']]])/(2*TOWER_DATA[[#This Row],[t '[mm']]]/1000),"")</f>
        <v>260.16666666666669</v>
      </c>
      <c r="CM133" s="49" t="s">
        <v>372</v>
      </c>
      <c r="CN133" s="49">
        <v>115.34</v>
      </c>
      <c r="CO133" s="49">
        <v>115.34</v>
      </c>
      <c r="CP133" s="49">
        <v>6660</v>
      </c>
      <c r="CQ133" s="49"/>
      <c r="CR133" s="49"/>
      <c r="CS133" s="49"/>
      <c r="CT133" s="49"/>
      <c r="CU133" s="87"/>
      <c r="DO133" s="174"/>
      <c r="DP133" s="174"/>
      <c r="DQ133" s="158"/>
      <c r="DT133" s="94"/>
      <c r="DU133" s="94"/>
      <c r="DV133" s="70" t="str">
        <f t="shared" si="7"/>
        <v/>
      </c>
      <c r="DW133" s="70"/>
    </row>
    <row r="134" spans="5:127" ht="18" customHeight="1">
      <c r="E134" s="319">
        <v>22</v>
      </c>
      <c r="F134" s="90">
        <v>-73.7</v>
      </c>
      <c r="G134" s="90">
        <v>-76.8</v>
      </c>
      <c r="H134" s="90">
        <v>9.8000000000000007</v>
      </c>
      <c r="I134" s="90">
        <v>9.8000000000000007</v>
      </c>
      <c r="J134" s="91">
        <v>95</v>
      </c>
      <c r="K134" s="51">
        <f>IFERROR(MP_DATA[[#This Row],[Top '[m']]]-MP_DATA[[#This Row],[Bottom '[m']]], "")</f>
        <v>3.0999999999999943</v>
      </c>
      <c r="L134" s="180">
        <f>IFERROR(-(MP_DATA[[#This Row],[D, bottom '[m']]]-MP_DATA[[#This Row],[D, top '[m']]])/(MP_DATA[[#This Row],[Bottom '[m']]]-MP_DATA[[#This Row],[Top '[m']]]),"")</f>
        <v>0</v>
      </c>
      <c r="M134" s="125">
        <f t="shared" si="4"/>
        <v>70.485594695118522</v>
      </c>
      <c r="N134" s="196">
        <f>IFERROR((MP_DATA[[#This Row],[D, bottom '[m']]]+MP_DATA[[#This Row],[D, top '[m']]])/(2*MP_DATA[[#This Row],[t '[mm']]]/1000),"")</f>
        <v>103.15789473684211</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89">
        <v>22</v>
      </c>
      <c r="CC134" s="90">
        <v>117.77</v>
      </c>
      <c r="CD134" s="90">
        <v>115.42</v>
      </c>
      <c r="CE134" s="90">
        <v>7.87</v>
      </c>
      <c r="CF134" s="90">
        <v>8</v>
      </c>
      <c r="CG134" s="91">
        <v>36</v>
      </c>
      <c r="CH134" s="195">
        <f>IFERROR(TOWER_DATA[[#This Row],[Top '[m']]]-TOWER_DATA[[#This Row],[Bottom '[m']]], "")</f>
        <v>2.3499999999999943</v>
      </c>
      <c r="CI134" s="180">
        <f>IFERROR(-(TOWER_DATA[[#This Row],[D, bottom '[m']]]-TOWER_DATA[[#This Row],[D, top '[m']]])/(TOWER_DATA[[#This Row],[Bottom '[m']]]-TOWER_DATA[[#This Row],[Top '[m']]]),"")</f>
        <v>5.53191489361703E-2</v>
      </c>
      <c r="CJ134" s="125">
        <f t="shared" si="5"/>
        <v>16.480182104589442</v>
      </c>
      <c r="CK134" s="196">
        <f>IFERROR((TOWER_DATA[[#This Row],[D, bottom '[m']]]+TOWER_DATA[[#This Row],[D, top '[m']]])/(2*TOWER_DATA[[#This Row],[t '[mm']]]/1000),"")</f>
        <v>220.41666666666669</v>
      </c>
      <c r="CM134" s="49" t="s">
        <v>373</v>
      </c>
      <c r="CN134" s="49">
        <v>115.2</v>
      </c>
      <c r="CO134" s="49">
        <v>115.2</v>
      </c>
      <c r="CP134" s="49">
        <v>6660</v>
      </c>
      <c r="CQ134" s="49"/>
      <c r="CR134" s="49"/>
      <c r="CS134" s="49"/>
      <c r="CT134" s="49"/>
      <c r="CU134" s="87"/>
      <c r="DO134" s="174"/>
      <c r="DP134" s="174"/>
      <c r="DQ134" s="158"/>
      <c r="DT134" s="94"/>
      <c r="DU134" s="94"/>
      <c r="DV134" s="70" t="str">
        <f t="shared" si="7"/>
        <v/>
      </c>
      <c r="DW134" s="70"/>
    </row>
    <row r="135" spans="5:127" ht="18" customHeight="1">
      <c r="E135" s="319">
        <v>23</v>
      </c>
      <c r="F135" s="90">
        <v>-76.8</v>
      </c>
      <c r="G135" s="90">
        <v>-79.8</v>
      </c>
      <c r="H135" s="90">
        <v>9.8000000000000007</v>
      </c>
      <c r="I135" s="90">
        <v>9.8000000000000007</v>
      </c>
      <c r="J135" s="91">
        <v>105</v>
      </c>
      <c r="K135" s="51">
        <f>IFERROR(MP_DATA[[#This Row],[Top '[m']]]-MP_DATA[[#This Row],[Bottom '[m']]], "")</f>
        <v>3</v>
      </c>
      <c r="L135" s="180">
        <f>IFERROR(-(MP_DATA[[#This Row],[D, bottom '[m']]]-MP_DATA[[#This Row],[D, top '[m']]])/(MP_DATA[[#This Row],[Bottom '[m']]]-MP_DATA[[#This Row],[Top '[m']]]),"")</f>
        <v>0</v>
      </c>
      <c r="M135" s="125">
        <f t="shared" si="4"/>
        <v>75.314378505222052</v>
      </c>
      <c r="N135" s="196">
        <f>IFERROR((MP_DATA[[#This Row],[D, bottom '[m']]]+MP_DATA[[#This Row],[D, top '[m']]])/(2*MP_DATA[[#This Row],[t '[mm']]]/1000),"")</f>
        <v>93.333333333333343</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89">
        <v>23</v>
      </c>
      <c r="CC135" s="90">
        <v>115.42</v>
      </c>
      <c r="CD135" s="90">
        <v>115.27</v>
      </c>
      <c r="CE135" s="90">
        <v>8</v>
      </c>
      <c r="CF135" s="90">
        <v>8</v>
      </c>
      <c r="CG135" s="91">
        <v>36</v>
      </c>
      <c r="CH135" s="195">
        <f>IFERROR(TOWER_DATA[[#This Row],[Top '[m']]]-TOWER_DATA[[#This Row],[Bottom '[m']]], "")</f>
        <v>0.15000000000000568</v>
      </c>
      <c r="CI135" s="180">
        <f>IFERROR(-(TOWER_DATA[[#This Row],[D, bottom '[m']]]-TOWER_DATA[[#This Row],[D, top '[m']]])/(TOWER_DATA[[#This Row],[Bottom '[m']]]-TOWER_DATA[[#This Row],[Top '[m']]]),"")</f>
        <v>0</v>
      </c>
      <c r="CJ135" s="125">
        <f t="shared" si="5"/>
        <v>1.0605827046323275</v>
      </c>
      <c r="CK135" s="196">
        <f>IFERROR((TOWER_DATA[[#This Row],[D, bottom '[m']]]+TOWER_DATA[[#This Row],[D, top '[m']]])/(2*TOWER_DATA[[#This Row],[t '[mm']]]/1000),"")</f>
        <v>222.22222222222223</v>
      </c>
      <c r="CM135" s="49" t="s">
        <v>374</v>
      </c>
      <c r="CN135" s="49">
        <v>113.87</v>
      </c>
      <c r="CO135" s="49">
        <v>113.87</v>
      </c>
      <c r="CP135" s="49">
        <v>9000</v>
      </c>
      <c r="CQ135" s="49"/>
      <c r="CR135" s="49"/>
      <c r="CS135" s="49"/>
      <c r="CT135" s="49"/>
      <c r="CU135" s="87"/>
      <c r="DO135" s="174"/>
      <c r="DP135" s="174"/>
      <c r="DQ135" s="158"/>
      <c r="DT135" s="94"/>
      <c r="DU135" s="94"/>
      <c r="DV135" s="70" t="str">
        <f t="shared" si="7"/>
        <v/>
      </c>
    </row>
    <row r="136" spans="5:127" ht="18" customHeight="1">
      <c r="E136" s="319"/>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89">
        <v>24</v>
      </c>
      <c r="CC136" s="90">
        <v>115.27</v>
      </c>
      <c r="CD136" s="90">
        <v>115.12</v>
      </c>
      <c r="CE136" s="90">
        <v>8</v>
      </c>
      <c r="CF136" s="90">
        <v>8</v>
      </c>
      <c r="CG136" s="91">
        <v>36</v>
      </c>
      <c r="CH136" s="195">
        <f>IFERROR(TOWER_DATA[[#This Row],[Top '[m']]]-TOWER_DATA[[#This Row],[Bottom '[m']]], "")</f>
        <v>0.14999999999999147</v>
      </c>
      <c r="CI136" s="180">
        <f>IFERROR(-(TOWER_DATA[[#This Row],[D, bottom '[m']]]-TOWER_DATA[[#This Row],[D, top '[m']]])/(TOWER_DATA[[#This Row],[Bottom '[m']]]-TOWER_DATA[[#This Row],[Top '[m']]]),"")</f>
        <v>0</v>
      </c>
      <c r="CJ136" s="125">
        <f t="shared" si="5"/>
        <v>1.0605827046322271</v>
      </c>
      <c r="CK136" s="196">
        <f>IFERROR((TOWER_DATA[[#This Row],[D, bottom '[m']]]+TOWER_DATA[[#This Row],[D, top '[m']]])/(2*TOWER_DATA[[#This Row],[t '[mm']]]/1000),"")</f>
        <v>222.22222222222223</v>
      </c>
      <c r="CM136" s="49" t="s">
        <v>375</v>
      </c>
      <c r="CN136" s="49">
        <v>99.31</v>
      </c>
      <c r="CO136" s="49">
        <v>99.31</v>
      </c>
      <c r="CP136" s="49">
        <v>1669</v>
      </c>
      <c r="CQ136" s="49"/>
      <c r="CR136" s="49"/>
      <c r="CS136" s="49"/>
      <c r="CT136" s="49"/>
      <c r="CU136" s="87"/>
      <c r="DO136" s="174"/>
      <c r="DP136" s="174"/>
      <c r="DQ136" s="158"/>
      <c r="DT136" s="94"/>
      <c r="DU136" s="94"/>
    </row>
    <row r="137" spans="5:127" ht="18" customHeight="1">
      <c r="E137" s="319"/>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89">
        <v>25</v>
      </c>
      <c r="CC137" s="90">
        <v>115.12</v>
      </c>
      <c r="CD137" s="90">
        <v>112.21</v>
      </c>
      <c r="CE137" s="90">
        <v>8</v>
      </c>
      <c r="CF137" s="90">
        <v>8</v>
      </c>
      <c r="CG137" s="91">
        <v>36</v>
      </c>
      <c r="CH137" s="195">
        <f>IFERROR(TOWER_DATA[[#This Row],[Top '[m']]]-TOWER_DATA[[#This Row],[Bottom '[m']]], "")</f>
        <v>2.9100000000000108</v>
      </c>
      <c r="CI137" s="180">
        <f>IFERROR(-(TOWER_DATA[[#This Row],[D, bottom '[m']]]-TOWER_DATA[[#This Row],[D, top '[m']]])/(TOWER_DATA[[#This Row],[Bottom '[m']]]-TOWER_DATA[[#This Row],[Top '[m']]]),"")</f>
        <v>0</v>
      </c>
      <c r="CJ137" s="125">
        <f t="shared" si="5"/>
        <v>20.575304469866449</v>
      </c>
      <c r="CK137" s="196">
        <f>IFERROR((TOWER_DATA[[#This Row],[D, bottom '[m']]]+TOWER_DATA[[#This Row],[D, top '[m']]])/(2*TOWER_DATA[[#This Row],[t '[mm']]]/1000),"")</f>
        <v>222.22222222222223</v>
      </c>
      <c r="CM137" s="49" t="s">
        <v>376</v>
      </c>
      <c r="CN137" s="49">
        <v>99.31</v>
      </c>
      <c r="CO137" s="49">
        <v>99.31</v>
      </c>
      <c r="CP137" s="49">
        <v>1149</v>
      </c>
      <c r="CQ137" s="49"/>
      <c r="CR137" s="49"/>
      <c r="CS137" s="49"/>
      <c r="CT137" s="49"/>
      <c r="CU137" s="87"/>
      <c r="DO137" s="174"/>
      <c r="DP137" s="174"/>
      <c r="DQ137" s="158"/>
      <c r="DT137" s="94"/>
      <c r="DU137" s="94"/>
    </row>
    <row r="138" spans="5:127" ht="18" customHeight="1">
      <c r="E138" s="319"/>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89">
        <v>26</v>
      </c>
      <c r="CC138" s="90">
        <v>112.21</v>
      </c>
      <c r="CD138" s="90">
        <v>109.34</v>
      </c>
      <c r="CE138" s="90">
        <v>8</v>
      </c>
      <c r="CF138" s="90">
        <v>8</v>
      </c>
      <c r="CG138" s="91">
        <v>33</v>
      </c>
      <c r="CH138" s="195">
        <f>IFERROR(TOWER_DATA[[#This Row],[Top '[m']]]-TOWER_DATA[[#This Row],[Bottom '[m']]], "")</f>
        <v>2.8699999999999903</v>
      </c>
      <c r="CI138" s="180">
        <f>IFERROR(-(TOWER_DATA[[#This Row],[D, bottom '[m']]]-TOWER_DATA[[#This Row],[D, top '[m']]])/(TOWER_DATA[[#This Row],[Bottom '[m']]]-TOWER_DATA[[#This Row],[Top '[m']]]),"")</f>
        <v>0</v>
      </c>
      <c r="CJ138" s="125">
        <f t="shared" si="5"/>
        <v>18.608449286680099</v>
      </c>
      <c r="CK138" s="196">
        <f>IFERROR((TOWER_DATA[[#This Row],[D, bottom '[m']]]+TOWER_DATA[[#This Row],[D, top '[m']]])/(2*TOWER_DATA[[#This Row],[t '[mm']]]/1000),"")</f>
        <v>242.42424242424241</v>
      </c>
      <c r="CM138" s="49" t="s">
        <v>377</v>
      </c>
      <c r="CN138" s="49">
        <v>99.31</v>
      </c>
      <c r="CO138" s="49">
        <v>99.31</v>
      </c>
      <c r="CP138" s="49">
        <v>7814</v>
      </c>
      <c r="CQ138" s="49"/>
      <c r="CR138" s="49"/>
      <c r="CS138" s="49"/>
      <c r="CT138" s="49"/>
      <c r="CU138" s="87"/>
      <c r="DO138" s="174"/>
      <c r="DP138" s="174"/>
      <c r="DQ138" s="158"/>
      <c r="DT138" s="94"/>
      <c r="DU138" s="94"/>
    </row>
    <row r="139" spans="5:127" ht="18" customHeight="1">
      <c r="E139" s="319"/>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89">
        <v>27</v>
      </c>
      <c r="CC139" s="90">
        <v>109.34</v>
      </c>
      <c r="CD139" s="90">
        <v>106.47</v>
      </c>
      <c r="CE139" s="90">
        <v>8</v>
      </c>
      <c r="CF139" s="90">
        <v>8</v>
      </c>
      <c r="CG139" s="91">
        <v>34</v>
      </c>
      <c r="CH139" s="195">
        <f>IFERROR(TOWER_DATA[[#This Row],[Top '[m']]]-TOWER_DATA[[#This Row],[Bottom '[m']]], "")</f>
        <v>2.8700000000000045</v>
      </c>
      <c r="CI139" s="180">
        <f>IFERROR(-(TOWER_DATA[[#This Row],[D, bottom '[m']]]-TOWER_DATA[[#This Row],[D, top '[m']]])/(TOWER_DATA[[#This Row],[Bottom '[m']]]-TOWER_DATA[[#This Row],[Top '[m']]]),"")</f>
        <v>0</v>
      </c>
      <c r="CJ139" s="125">
        <f t="shared" si="5"/>
        <v>19.169935219909235</v>
      </c>
      <c r="CK139" s="196">
        <f>IFERROR((TOWER_DATA[[#This Row],[D, bottom '[m']]]+TOWER_DATA[[#This Row],[D, top '[m']]])/(2*TOWER_DATA[[#This Row],[t '[mm']]]/1000),"")</f>
        <v>235.29411764705881</v>
      </c>
      <c r="CM139" s="49" t="s">
        <v>378</v>
      </c>
      <c r="CN139" s="49">
        <v>83.45</v>
      </c>
      <c r="CO139" s="49">
        <v>83.45</v>
      </c>
      <c r="CP139" s="49">
        <v>11206</v>
      </c>
      <c r="CQ139" s="49"/>
      <c r="CR139" s="49"/>
      <c r="CS139" s="49"/>
      <c r="CT139" s="49"/>
      <c r="CU139" s="87"/>
      <c r="DO139" s="174"/>
      <c r="DP139" s="174"/>
      <c r="DQ139" s="158"/>
      <c r="DT139" s="94"/>
      <c r="DU139" s="94"/>
    </row>
    <row r="140" spans="5:127" ht="18" customHeight="1">
      <c r="E140" s="319"/>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89">
        <v>28</v>
      </c>
      <c r="CC140" s="90">
        <v>106.47</v>
      </c>
      <c r="CD140" s="90">
        <v>103.61</v>
      </c>
      <c r="CE140" s="90">
        <v>8</v>
      </c>
      <c r="CF140" s="90">
        <v>8</v>
      </c>
      <c r="CG140" s="91">
        <v>35</v>
      </c>
      <c r="CH140" s="195">
        <f>IFERROR(TOWER_DATA[[#This Row],[Top '[m']]]-TOWER_DATA[[#This Row],[Bottom '[m']]], "")</f>
        <v>2.8599999999999994</v>
      </c>
      <c r="CI140" s="180">
        <f>IFERROR(-(TOWER_DATA[[#This Row],[D, bottom '[m']]]-TOWER_DATA[[#This Row],[D, top '[m']]])/(TOWER_DATA[[#This Row],[Bottom '[m']]]-TOWER_DATA[[#This Row],[Top '[m']]]),"")</f>
        <v>0</v>
      </c>
      <c r="CJ140" s="125">
        <f t="shared" si="5"/>
        <v>19.66252949299308</v>
      </c>
      <c r="CK140" s="196">
        <f>IFERROR((TOWER_DATA[[#This Row],[D, bottom '[m']]]+TOWER_DATA[[#This Row],[D, top '[m']]])/(2*TOWER_DATA[[#This Row],[t '[mm']]]/1000),"")</f>
        <v>228.57142857142856</v>
      </c>
      <c r="CM140" s="49" t="s">
        <v>379</v>
      </c>
      <c r="CN140" s="49">
        <v>83.25</v>
      </c>
      <c r="CO140" s="49">
        <v>83.25</v>
      </c>
      <c r="CP140" s="49">
        <v>11206</v>
      </c>
      <c r="CQ140" s="49"/>
      <c r="CR140" s="49"/>
      <c r="CS140" s="49"/>
      <c r="CT140" s="49"/>
      <c r="CU140" s="87"/>
      <c r="DO140" s="174"/>
      <c r="DP140" s="174"/>
      <c r="DQ140" s="158"/>
      <c r="DT140" s="94"/>
      <c r="DU140" s="94"/>
    </row>
    <row r="141" spans="5:127" ht="18" customHeight="1">
      <c r="E141" s="319"/>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89">
        <v>29</v>
      </c>
      <c r="CC141" s="90">
        <v>103.61</v>
      </c>
      <c r="CD141" s="90">
        <v>100.74</v>
      </c>
      <c r="CE141" s="90">
        <v>8</v>
      </c>
      <c r="CF141" s="90">
        <v>8</v>
      </c>
      <c r="CG141" s="91">
        <v>36</v>
      </c>
      <c r="CH141" s="195">
        <f>IFERROR(TOWER_DATA[[#This Row],[Top '[m']]]-TOWER_DATA[[#This Row],[Bottom '[m']]], "")</f>
        <v>2.8700000000000045</v>
      </c>
      <c r="CI141" s="180">
        <f>IFERROR(-(TOWER_DATA[[#This Row],[D, bottom '[m']]]-TOWER_DATA[[#This Row],[D, top '[m']]])/(TOWER_DATA[[#This Row],[Bottom '[m']]]-TOWER_DATA[[#This Row],[Top '[m']]]),"")</f>
        <v>0</v>
      </c>
      <c r="CJ141" s="125">
        <f t="shared" si="5"/>
        <v>20.292482415297798</v>
      </c>
      <c r="CK141" s="196">
        <f>IFERROR((TOWER_DATA[[#This Row],[D, bottom '[m']]]+TOWER_DATA[[#This Row],[D, top '[m']]])/(2*TOWER_DATA[[#This Row],[t '[mm']]]/1000),"")</f>
        <v>222.22222222222223</v>
      </c>
      <c r="CM141" s="49" t="s">
        <v>380</v>
      </c>
      <c r="CN141" s="49">
        <v>81.95</v>
      </c>
      <c r="CO141" s="49">
        <v>81.95</v>
      </c>
      <c r="CP141" s="49">
        <v>9000</v>
      </c>
      <c r="CQ141" s="49"/>
      <c r="CR141" s="49"/>
      <c r="CS141" s="49"/>
      <c r="CT141" s="49"/>
      <c r="CU141" s="87"/>
      <c r="DO141" s="174"/>
      <c r="DP141" s="174"/>
      <c r="DQ141" s="158"/>
      <c r="DT141" s="94"/>
      <c r="DU141" s="94"/>
    </row>
    <row r="142" spans="5:127" ht="18" customHeight="1">
      <c r="E142" s="319"/>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89">
        <v>30</v>
      </c>
      <c r="CC142" s="90">
        <v>100.74</v>
      </c>
      <c r="CD142" s="90">
        <v>97.88</v>
      </c>
      <c r="CE142" s="90">
        <v>8</v>
      </c>
      <c r="CF142" s="90">
        <v>8</v>
      </c>
      <c r="CG142" s="91">
        <v>37</v>
      </c>
      <c r="CH142" s="195">
        <f>IFERROR(TOWER_DATA[[#This Row],[Top '[m']]]-TOWER_DATA[[#This Row],[Bottom '[m']]], "")</f>
        <v>2.8599999999999994</v>
      </c>
      <c r="CI142" s="180">
        <f>IFERROR(-(TOWER_DATA[[#This Row],[D, bottom '[m']]]-TOWER_DATA[[#This Row],[D, top '[m']]])/(TOWER_DATA[[#This Row],[Bottom '[m']]]-TOWER_DATA[[#This Row],[Top '[m']]]),"")</f>
        <v>0</v>
      </c>
      <c r="CJ142" s="125">
        <f t="shared" si="5"/>
        <v>20.780883246524791</v>
      </c>
      <c r="CK142" s="196">
        <f>IFERROR((TOWER_DATA[[#This Row],[D, bottom '[m']]]+TOWER_DATA[[#This Row],[D, top '[m']]])/(2*TOWER_DATA[[#This Row],[t '[mm']]]/1000),"")</f>
        <v>216.21621621621622</v>
      </c>
      <c r="CM142" s="49" t="s">
        <v>381</v>
      </c>
      <c r="CN142" s="49">
        <v>69.349999999999994</v>
      </c>
      <c r="CO142" s="49">
        <v>69.349999999999994</v>
      </c>
      <c r="CP142" s="49">
        <v>1464</v>
      </c>
      <c r="CQ142" s="49"/>
      <c r="CR142" s="49"/>
      <c r="CS142" s="49"/>
      <c r="CT142" s="49"/>
      <c r="CU142" s="87"/>
      <c r="DO142" s="174"/>
      <c r="DP142" s="174"/>
      <c r="DQ142" s="158"/>
      <c r="DT142" s="94"/>
      <c r="DU142" s="94"/>
    </row>
    <row r="143" spans="5:127" ht="18" customHeight="1">
      <c r="E143" s="319"/>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89">
        <v>31</v>
      </c>
      <c r="CC143" s="90">
        <v>97.88</v>
      </c>
      <c r="CD143" s="90">
        <v>95.01</v>
      </c>
      <c r="CE143" s="90">
        <v>8</v>
      </c>
      <c r="CF143" s="90">
        <v>8</v>
      </c>
      <c r="CG143" s="91">
        <v>38</v>
      </c>
      <c r="CH143" s="195">
        <f>IFERROR(TOWER_DATA[[#This Row],[Top '[m']]]-TOWER_DATA[[#This Row],[Bottom '[m']]], "")</f>
        <v>2.8699999999999903</v>
      </c>
      <c r="CI143" s="180">
        <f>IFERROR(-(TOWER_DATA[[#This Row],[D, bottom '[m']]]-TOWER_DATA[[#This Row],[D, top '[m']]])/(TOWER_DATA[[#This Row],[Bottom '[m']]]-TOWER_DATA[[#This Row],[Top '[m']]]),"")</f>
        <v>0</v>
      </c>
      <c r="CJ143" s="125">
        <f t="shared" si="5"/>
        <v>21.41446338259237</v>
      </c>
      <c r="CK143" s="196">
        <f>IFERROR((TOWER_DATA[[#This Row],[D, bottom '[m']]]+TOWER_DATA[[#This Row],[D, top '[m']]])/(2*TOWER_DATA[[#This Row],[t '[mm']]]/1000),"")</f>
        <v>210.5263157894737</v>
      </c>
      <c r="CM143" s="49" t="s">
        <v>382</v>
      </c>
      <c r="CN143" s="49">
        <v>69.349999999999994</v>
      </c>
      <c r="CO143" s="49">
        <v>69.349999999999994</v>
      </c>
      <c r="CP143" s="49">
        <v>1008</v>
      </c>
      <c r="CQ143" s="49"/>
      <c r="CR143" s="49"/>
      <c r="CS143" s="49"/>
      <c r="CT143" s="49"/>
      <c r="CU143" s="87"/>
      <c r="DO143" s="174"/>
      <c r="DP143" s="174"/>
      <c r="DQ143" s="158"/>
      <c r="DT143" s="94"/>
      <c r="DU143" s="94"/>
    </row>
    <row r="144" spans="5:127" ht="18" customHeight="1">
      <c r="E144" s="319"/>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89">
        <v>32</v>
      </c>
      <c r="CC144" s="90">
        <v>95.01</v>
      </c>
      <c r="CD144" s="90">
        <v>92.15</v>
      </c>
      <c r="CE144" s="90">
        <v>8</v>
      </c>
      <c r="CF144" s="90">
        <v>8</v>
      </c>
      <c r="CG144" s="91">
        <v>39</v>
      </c>
      <c r="CH144" s="195">
        <f>IFERROR(TOWER_DATA[[#This Row],[Top '[m']]]-TOWER_DATA[[#This Row],[Bottom '[m']]], "")</f>
        <v>2.8599999999999994</v>
      </c>
      <c r="CI144" s="180">
        <f>IFERROR(-(TOWER_DATA[[#This Row],[D, bottom '[m']]]-TOWER_DATA[[#This Row],[D, top '[m']]])/(TOWER_DATA[[#This Row],[Bottom '[m']]]-TOWER_DATA[[#This Row],[Top '[m']]]),"")</f>
        <v>0</v>
      </c>
      <c r="CJ144" s="125">
        <f t="shared" si="5"/>
        <v>21.898672744883722</v>
      </c>
      <c r="CK144" s="196">
        <f>IFERROR((TOWER_DATA[[#This Row],[D, bottom '[m']]]+TOWER_DATA[[#This Row],[D, top '[m']]])/(2*TOWER_DATA[[#This Row],[t '[mm']]]/1000),"")</f>
        <v>205.12820512820514</v>
      </c>
      <c r="CM144" s="49" t="s">
        <v>383</v>
      </c>
      <c r="CN144" s="49">
        <v>69.349999999999994</v>
      </c>
      <c r="CO144" s="49">
        <v>69.349999999999994</v>
      </c>
      <c r="CP144" s="49">
        <v>6854</v>
      </c>
      <c r="CQ144" s="49"/>
      <c r="CR144" s="49"/>
      <c r="CS144" s="49"/>
      <c r="CT144" s="49"/>
      <c r="CU144" s="87"/>
      <c r="DO144" s="174"/>
      <c r="DP144" s="174"/>
      <c r="DQ144" s="158"/>
      <c r="DT144" s="94"/>
      <c r="DU144" s="94"/>
    </row>
    <row r="145" spans="5:125" ht="18" customHeight="1">
      <c r="E145" s="319"/>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89">
        <v>33</v>
      </c>
      <c r="CC145" s="90">
        <v>92.15</v>
      </c>
      <c r="CD145" s="90">
        <v>89.28</v>
      </c>
      <c r="CE145" s="90">
        <v>8</v>
      </c>
      <c r="CF145" s="90">
        <v>8</v>
      </c>
      <c r="CG145" s="91">
        <v>40</v>
      </c>
      <c r="CH145" s="195">
        <f>IFERROR(TOWER_DATA[[#This Row],[Top '[m']]]-TOWER_DATA[[#This Row],[Bottom '[m']]], "")</f>
        <v>2.8700000000000045</v>
      </c>
      <c r="CI145" s="180">
        <f>IFERROR(-(TOWER_DATA[[#This Row],[D, bottom '[m']]]-TOWER_DATA[[#This Row],[D, top '[m']]])/(TOWER_DATA[[#This Row],[Bottom '[m']]]-TOWER_DATA[[#This Row],[Top '[m']]]),"")</f>
        <v>0</v>
      </c>
      <c r="CJ145" s="125">
        <f t="shared" si="5"/>
        <v>22.535878121793896</v>
      </c>
      <c r="CK145" s="196">
        <f>IFERROR((TOWER_DATA[[#This Row],[D, bottom '[m']]]+TOWER_DATA[[#This Row],[D, top '[m']]])/(2*TOWER_DATA[[#This Row],[t '[mm']]]/1000),"")</f>
        <v>200</v>
      </c>
      <c r="CM145" s="49" t="s">
        <v>384</v>
      </c>
      <c r="CN145" s="49">
        <v>55.49</v>
      </c>
      <c r="CO145" s="49">
        <v>55.49</v>
      </c>
      <c r="CP145" s="49">
        <v>19789</v>
      </c>
      <c r="CQ145" s="49"/>
      <c r="CR145" s="49"/>
      <c r="CS145" s="49"/>
      <c r="CT145" s="49"/>
      <c r="CU145" s="87"/>
      <c r="DO145" s="174"/>
      <c r="DP145" s="174"/>
      <c r="DQ145" s="158"/>
      <c r="DT145" s="94"/>
      <c r="DU145" s="94"/>
    </row>
    <row r="146" spans="5:125" ht="18" customHeight="1">
      <c r="E146" s="319"/>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89">
        <v>34</v>
      </c>
      <c r="CC146" s="90">
        <v>89.28</v>
      </c>
      <c r="CD146" s="90">
        <v>86.42</v>
      </c>
      <c r="CE146" s="90">
        <v>8.01</v>
      </c>
      <c r="CF146" s="90">
        <v>8.01</v>
      </c>
      <c r="CG146" s="91">
        <v>42</v>
      </c>
      <c r="CH146" s="195">
        <f>IFERROR(TOWER_DATA[[#This Row],[Top '[m']]]-TOWER_DATA[[#This Row],[Bottom '[m']]], "")</f>
        <v>2.8599999999999994</v>
      </c>
      <c r="CI146" s="180">
        <f>IFERROR(-(TOWER_DATA[[#This Row],[D, bottom '[m']]]-TOWER_DATA[[#This Row],[D, top '[m']]])/(TOWER_DATA[[#This Row],[Bottom '[m']]]-TOWER_DATA[[#This Row],[Top '[m']]]),"")</f>
        <v>0</v>
      </c>
      <c r="CJ146" s="125">
        <f t="shared" si="5"/>
        <v>23.603922410571208</v>
      </c>
      <c r="CK146" s="196">
        <f>IFERROR((TOWER_DATA[[#This Row],[D, bottom '[m']]]+TOWER_DATA[[#This Row],[D, top '[m']]])/(2*TOWER_DATA[[#This Row],[t '[mm']]]/1000),"")</f>
        <v>190.71428571428569</v>
      </c>
      <c r="CM146" s="49" t="s">
        <v>385</v>
      </c>
      <c r="CN146" s="49">
        <v>55.21</v>
      </c>
      <c r="CO146" s="49">
        <v>55.21</v>
      </c>
      <c r="CP146" s="49">
        <v>19789</v>
      </c>
      <c r="CQ146" s="49"/>
      <c r="CR146" s="49"/>
      <c r="CS146" s="49"/>
      <c r="CT146" s="49"/>
      <c r="CU146" s="87"/>
      <c r="DO146" s="174"/>
      <c r="DP146" s="174"/>
      <c r="DQ146" s="158"/>
      <c r="DT146" s="94"/>
      <c r="DU146" s="94"/>
    </row>
    <row r="147" spans="5:125" ht="18" customHeight="1">
      <c r="E147" s="319"/>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89">
        <v>35</v>
      </c>
      <c r="CC147" s="90">
        <v>86.42</v>
      </c>
      <c r="CD147" s="90">
        <v>83.56</v>
      </c>
      <c r="CE147" s="90">
        <v>8.02</v>
      </c>
      <c r="CF147" s="90">
        <v>8</v>
      </c>
      <c r="CG147" s="91">
        <v>54</v>
      </c>
      <c r="CH147" s="195">
        <f>IFERROR(TOWER_DATA[[#This Row],[Top '[m']]]-TOWER_DATA[[#This Row],[Bottom '[m']]], "")</f>
        <v>2.8599999999999994</v>
      </c>
      <c r="CI147" s="180">
        <f>IFERROR(-(TOWER_DATA[[#This Row],[D, bottom '[m']]]-TOWER_DATA[[#This Row],[D, top '[m']]])/(TOWER_DATA[[#This Row],[Bottom '[m']]]-TOWER_DATA[[#This Row],[Top '[m']]]),"")</f>
        <v>-6.9930069930068455E-3</v>
      </c>
      <c r="CJ147" s="125">
        <f t="shared" si="5"/>
        <v>30.302195573123605</v>
      </c>
      <c r="CK147" s="196">
        <f>IFERROR((TOWER_DATA[[#This Row],[D, bottom '[m']]]+TOWER_DATA[[#This Row],[D, top '[m']]])/(2*TOWER_DATA[[#This Row],[t '[mm']]]/1000),"")</f>
        <v>148.33333333333334</v>
      </c>
      <c r="CM147" s="49" t="s">
        <v>386</v>
      </c>
      <c r="CN147" s="49">
        <v>53.95</v>
      </c>
      <c r="CO147" s="49">
        <v>53.95</v>
      </c>
      <c r="CP147" s="49">
        <v>9000</v>
      </c>
      <c r="CQ147" s="49"/>
      <c r="CR147" s="49"/>
      <c r="CS147" s="49"/>
      <c r="CT147" s="49"/>
      <c r="CU147" s="87"/>
      <c r="DO147" s="174"/>
      <c r="DP147" s="174"/>
      <c r="DQ147" s="158"/>
      <c r="DT147" s="94"/>
      <c r="DU147" s="94"/>
    </row>
    <row r="148" spans="5:125" ht="18" customHeight="1">
      <c r="E148" s="319"/>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89">
        <v>36</v>
      </c>
      <c r="CC148" s="90">
        <v>83.56</v>
      </c>
      <c r="CD148" s="90">
        <v>83.35</v>
      </c>
      <c r="CE148" s="90">
        <v>8</v>
      </c>
      <c r="CF148" s="90">
        <v>8</v>
      </c>
      <c r="CG148" s="91">
        <v>54</v>
      </c>
      <c r="CH148" s="195">
        <f>IFERROR(TOWER_DATA[[#This Row],[Top '[m']]]-TOWER_DATA[[#This Row],[Bottom '[m']]], "")</f>
        <v>0.21000000000000796</v>
      </c>
      <c r="CI148" s="180">
        <f>IFERROR(-(TOWER_DATA[[#This Row],[D, bottom '[m']]]-TOWER_DATA[[#This Row],[D, top '[m']]])/(TOWER_DATA[[#This Row],[Bottom '[m']]]-TOWER_DATA[[#This Row],[Top '[m']]]),"")</f>
        <v>0</v>
      </c>
      <c r="CJ148" s="125">
        <f t="shared" si="5"/>
        <v>2.2221897738721297</v>
      </c>
      <c r="CK148" s="196">
        <f>IFERROR((TOWER_DATA[[#This Row],[D, bottom '[m']]]+TOWER_DATA[[#This Row],[D, top '[m']]])/(2*TOWER_DATA[[#This Row],[t '[mm']]]/1000),"")</f>
        <v>148.14814814814815</v>
      </c>
      <c r="CM148" s="49" t="s">
        <v>387</v>
      </c>
      <c r="CN148" s="49">
        <v>45.97</v>
      </c>
      <c r="CO148" s="49">
        <v>45.97</v>
      </c>
      <c r="CP148" s="49">
        <v>981</v>
      </c>
      <c r="CQ148" s="49"/>
      <c r="CR148" s="49"/>
      <c r="CS148" s="49"/>
      <c r="CT148" s="49"/>
      <c r="CU148" s="87"/>
      <c r="DO148" s="174"/>
      <c r="DP148" s="174"/>
      <c r="DQ148" s="158"/>
      <c r="DT148" s="94"/>
      <c r="DU148" s="94"/>
    </row>
    <row r="149" spans="5:125" ht="18" customHeight="1">
      <c r="E149" s="319"/>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89">
        <v>37</v>
      </c>
      <c r="CC149" s="90">
        <v>83.35</v>
      </c>
      <c r="CD149" s="90">
        <v>83.14</v>
      </c>
      <c r="CE149" s="90">
        <v>8</v>
      </c>
      <c r="CF149" s="90">
        <v>8</v>
      </c>
      <c r="CG149" s="91">
        <v>54</v>
      </c>
      <c r="CH149" s="195">
        <f>IFERROR(TOWER_DATA[[#This Row],[Top '[m']]]-TOWER_DATA[[#This Row],[Bottom '[m']]], "")</f>
        <v>0.20999999999999375</v>
      </c>
      <c r="CI149" s="180">
        <f>IFERROR(-(TOWER_DATA[[#This Row],[D, bottom '[m']]]-TOWER_DATA[[#This Row],[D, top '[m']]])/(TOWER_DATA[[#This Row],[Bottom '[m']]]-TOWER_DATA[[#This Row],[Top '[m']]]),"")</f>
        <v>0</v>
      </c>
      <c r="CJ149" s="125">
        <f t="shared" si="5"/>
        <v>2.2221897738719791</v>
      </c>
      <c r="CK149" s="196">
        <f>IFERROR((TOWER_DATA[[#This Row],[D, bottom '[m']]]+TOWER_DATA[[#This Row],[D, top '[m']]])/(2*TOWER_DATA[[#This Row],[t '[mm']]]/1000),"")</f>
        <v>148.14814814814815</v>
      </c>
      <c r="CM149" s="49" t="s">
        <v>388</v>
      </c>
      <c r="CN149" s="49">
        <v>45.97</v>
      </c>
      <c r="CO149" s="49">
        <v>45.97</v>
      </c>
      <c r="CP149" s="49">
        <v>675</v>
      </c>
      <c r="CQ149" s="49"/>
      <c r="CR149" s="49"/>
      <c r="CS149" s="49"/>
      <c r="CT149" s="49"/>
      <c r="CU149" s="87"/>
      <c r="DO149" s="174"/>
      <c r="DP149" s="174"/>
      <c r="DQ149" s="158"/>
      <c r="DT149" s="94"/>
      <c r="DU149" s="94"/>
    </row>
    <row r="150" spans="5:125" ht="18" customHeight="1">
      <c r="E150" s="319"/>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89">
        <v>38</v>
      </c>
      <c r="CC150" s="90">
        <v>83.14</v>
      </c>
      <c r="CD150" s="90">
        <v>80.39</v>
      </c>
      <c r="CE150" s="90">
        <v>8</v>
      </c>
      <c r="CF150" s="90">
        <v>8</v>
      </c>
      <c r="CG150" s="91">
        <v>54</v>
      </c>
      <c r="CH150" s="195">
        <f>IFERROR(TOWER_DATA[[#This Row],[Top '[m']]]-TOWER_DATA[[#This Row],[Bottom '[m']]], "")</f>
        <v>2.75</v>
      </c>
      <c r="CI150" s="180">
        <f>IFERROR(-(TOWER_DATA[[#This Row],[D, bottom '[m']]]-TOWER_DATA[[#This Row],[D, top '[m']]])/(TOWER_DATA[[#This Row],[Bottom '[m']]]-TOWER_DATA[[#This Row],[Top '[m']]]),"")</f>
        <v>0</v>
      </c>
      <c r="CJ150" s="125">
        <f t="shared" si="5"/>
        <v>29.100104181657734</v>
      </c>
      <c r="CK150" s="196">
        <f>IFERROR((TOWER_DATA[[#This Row],[D, bottom '[m']]]+TOWER_DATA[[#This Row],[D, top '[m']]])/(2*TOWER_DATA[[#This Row],[t '[mm']]]/1000),"")</f>
        <v>148.14814814814815</v>
      </c>
      <c r="CM150" s="49" t="s">
        <v>389</v>
      </c>
      <c r="CN150" s="49">
        <v>45.97</v>
      </c>
      <c r="CO150" s="49">
        <v>45.97</v>
      </c>
      <c r="CP150" s="49">
        <v>4592</v>
      </c>
      <c r="CQ150" s="49"/>
      <c r="CR150" s="49"/>
      <c r="CS150" s="49"/>
      <c r="CT150" s="49"/>
      <c r="CU150" s="87"/>
      <c r="DO150" s="174"/>
      <c r="DP150" s="174"/>
      <c r="DQ150" s="158"/>
      <c r="DT150" s="94"/>
      <c r="DU150" s="94"/>
    </row>
    <row r="151" spans="5:125" ht="18" customHeight="1">
      <c r="E151" s="319"/>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89">
        <v>39</v>
      </c>
      <c r="CC151" s="90">
        <v>80.39</v>
      </c>
      <c r="CD151" s="90">
        <v>77.63</v>
      </c>
      <c r="CE151" s="90">
        <v>7.99</v>
      </c>
      <c r="CF151" s="90">
        <v>7.99</v>
      </c>
      <c r="CG151" s="91">
        <v>45</v>
      </c>
      <c r="CH151" s="195">
        <f>IFERROR(TOWER_DATA[[#This Row],[Top '[m']]]-TOWER_DATA[[#This Row],[Bottom '[m']]], "")</f>
        <v>2.7600000000000051</v>
      </c>
      <c r="CI151" s="180">
        <f>IFERROR(-(TOWER_DATA[[#This Row],[D, bottom '[m']]]-TOWER_DATA[[#This Row],[D, top '[m']]])/(TOWER_DATA[[#This Row],[Bottom '[m']]]-TOWER_DATA[[#This Row],[Top '[m']]]),"")</f>
        <v>0</v>
      </c>
      <c r="CJ151" s="125">
        <f t="shared" si="5"/>
        <v>24.335205993342825</v>
      </c>
      <c r="CK151" s="196">
        <f>IFERROR((TOWER_DATA[[#This Row],[D, bottom '[m']]]+TOWER_DATA[[#This Row],[D, top '[m']]])/(2*TOWER_DATA[[#This Row],[t '[mm']]]/1000),"")</f>
        <v>177.55555555555557</v>
      </c>
      <c r="CM151" s="49" t="s">
        <v>390</v>
      </c>
      <c r="CN151" s="49">
        <v>36.69</v>
      </c>
      <c r="CO151" s="49">
        <v>36.69</v>
      </c>
      <c r="CP151" s="49">
        <v>33576</v>
      </c>
      <c r="CQ151" s="49"/>
      <c r="CR151" s="49"/>
      <c r="CS151" s="49"/>
      <c r="CT151" s="49"/>
      <c r="CU151" s="87"/>
      <c r="DO151" s="174"/>
      <c r="DP151" s="174"/>
      <c r="DQ151" s="158"/>
      <c r="DT151" s="94"/>
      <c r="DU151" s="94"/>
    </row>
    <row r="152" spans="5:125" ht="18" customHeight="1">
      <c r="E152" s="319"/>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89">
        <v>40</v>
      </c>
      <c r="CC152" s="90">
        <v>77.63</v>
      </c>
      <c r="CD152" s="90">
        <v>74.87</v>
      </c>
      <c r="CE152" s="90">
        <v>7.99</v>
      </c>
      <c r="CF152" s="90">
        <v>7.99</v>
      </c>
      <c r="CG152" s="91">
        <v>46</v>
      </c>
      <c r="CH152" s="195">
        <f>IFERROR(TOWER_DATA[[#This Row],[Top '[m']]]-TOWER_DATA[[#This Row],[Bottom '[m']]], "")</f>
        <v>2.7599999999999909</v>
      </c>
      <c r="CI152" s="180">
        <f>IFERROR(-(TOWER_DATA[[#This Row],[D, bottom '[m']]]-TOWER_DATA[[#This Row],[D, top '[m']]])/(TOWER_DATA[[#This Row],[Bottom '[m']]]-TOWER_DATA[[#This Row],[Top '[m']]]),"")</f>
        <v>0</v>
      </c>
      <c r="CJ152" s="125">
        <f t="shared" si="5"/>
        <v>24.872857324414131</v>
      </c>
      <c r="CK152" s="196">
        <f>IFERROR((TOWER_DATA[[#This Row],[D, bottom '[m']]]+TOWER_DATA[[#This Row],[D, top '[m']]])/(2*TOWER_DATA[[#This Row],[t '[mm']]]/1000),"")</f>
        <v>173.69565217391306</v>
      </c>
      <c r="CM152" s="49" t="s">
        <v>391</v>
      </c>
      <c r="CN152" s="49">
        <v>36.28</v>
      </c>
      <c r="CO152" s="49">
        <v>36.28</v>
      </c>
      <c r="CP152" s="49">
        <v>24324</v>
      </c>
      <c r="CQ152" s="49"/>
      <c r="CR152" s="49"/>
      <c r="CS152" s="49"/>
      <c r="CT152" s="49"/>
      <c r="CU152" s="87"/>
      <c r="DO152" s="174"/>
      <c r="DP152" s="174"/>
      <c r="DQ152" s="158"/>
      <c r="DT152" s="94"/>
      <c r="DU152" s="94"/>
    </row>
    <row r="153" spans="5:125" ht="18" customHeight="1">
      <c r="E153" s="319"/>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89">
        <v>41</v>
      </c>
      <c r="CC153" s="90">
        <v>74.87</v>
      </c>
      <c r="CD153" s="90">
        <v>72.11</v>
      </c>
      <c r="CE153" s="90">
        <v>7.99</v>
      </c>
      <c r="CF153" s="90">
        <v>7.99</v>
      </c>
      <c r="CG153" s="91">
        <v>47</v>
      </c>
      <c r="CH153" s="195">
        <f>IFERROR(TOWER_DATA[[#This Row],[Top '[m']]]-TOWER_DATA[[#This Row],[Bottom '[m']]], "")</f>
        <v>2.7600000000000051</v>
      </c>
      <c r="CI153" s="180">
        <f>IFERROR(-(TOWER_DATA[[#This Row],[D, bottom '[m']]]-TOWER_DATA[[#This Row],[D, top '[m']]])/(TOWER_DATA[[#This Row],[Bottom '[m']]]-TOWER_DATA[[#This Row],[Top '[m']]]),"")</f>
        <v>0</v>
      </c>
      <c r="CJ153" s="125">
        <f t="shared" si="5"/>
        <v>25.410372523993498</v>
      </c>
      <c r="CK153" s="196">
        <f>IFERROR((TOWER_DATA[[#This Row],[D, bottom '[m']]]+TOWER_DATA[[#This Row],[D, top '[m']]])/(2*TOWER_DATA[[#This Row],[t '[mm']]]/1000),"")</f>
        <v>170</v>
      </c>
      <c r="CM153" s="49" t="s">
        <v>392</v>
      </c>
      <c r="CN153" s="49">
        <v>35.35</v>
      </c>
      <c r="CO153" s="49">
        <v>35.35</v>
      </c>
      <c r="CP153" s="49">
        <v>9000</v>
      </c>
      <c r="CQ153" s="49"/>
      <c r="CR153" s="49"/>
      <c r="CS153" s="49"/>
      <c r="CT153" s="49"/>
      <c r="CU153" s="87"/>
      <c r="DO153" s="174"/>
      <c r="DP153" s="174"/>
      <c r="DQ153" s="158"/>
      <c r="DT153" s="94"/>
      <c r="DU153" s="94"/>
    </row>
    <row r="154" spans="5:125" ht="18" customHeight="1">
      <c r="E154" s="319"/>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89">
        <v>42</v>
      </c>
      <c r="CC154" s="90">
        <v>72.11</v>
      </c>
      <c r="CD154" s="90">
        <v>69.349999999999994</v>
      </c>
      <c r="CE154" s="90">
        <v>7.99</v>
      </c>
      <c r="CF154" s="90">
        <v>7.99</v>
      </c>
      <c r="CG154" s="91">
        <v>48</v>
      </c>
      <c r="CH154" s="195">
        <f>IFERROR(TOWER_DATA[[#This Row],[Top '[m']]]-TOWER_DATA[[#This Row],[Bottom '[m']]], "")</f>
        <v>2.7600000000000051</v>
      </c>
      <c r="CI154" s="180">
        <f>IFERROR(-(TOWER_DATA[[#This Row],[D, bottom '[m']]]-TOWER_DATA[[#This Row],[D, top '[m']]])/(TOWER_DATA[[#This Row],[Bottom '[m']]]-TOWER_DATA[[#This Row],[Top '[m']]]),"")</f>
        <v>0</v>
      </c>
      <c r="CJ154" s="125">
        <f t="shared" si="5"/>
        <v>25.947751592079367</v>
      </c>
      <c r="CK154" s="196">
        <f>IFERROR((TOWER_DATA[[#This Row],[D, bottom '[m']]]+TOWER_DATA[[#This Row],[D, top '[m']]])/(2*TOWER_DATA[[#This Row],[t '[mm']]]/1000),"")</f>
        <v>166.45833333333334</v>
      </c>
      <c r="CM154" s="49" t="s">
        <v>393</v>
      </c>
      <c r="CN154" s="49">
        <v>35.35</v>
      </c>
      <c r="CO154" s="49">
        <v>35.35</v>
      </c>
      <c r="CP154" s="49">
        <v>4950</v>
      </c>
      <c r="CQ154" s="49"/>
      <c r="CR154" s="49"/>
      <c r="CS154" s="49"/>
      <c r="CT154" s="49"/>
      <c r="CU154" s="87"/>
      <c r="DO154" s="174"/>
      <c r="DP154" s="174"/>
      <c r="DQ154" s="158"/>
      <c r="DT154" s="94"/>
      <c r="DU154" s="94"/>
    </row>
    <row r="155" spans="5:125" ht="18" customHeight="1">
      <c r="E155" s="319"/>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89">
        <v>43</v>
      </c>
      <c r="CC155" s="90">
        <v>69.349999999999994</v>
      </c>
      <c r="CD155" s="90">
        <v>66.59</v>
      </c>
      <c r="CE155" s="90">
        <v>8</v>
      </c>
      <c r="CF155" s="90">
        <v>8</v>
      </c>
      <c r="CG155" s="91">
        <v>49</v>
      </c>
      <c r="CH155" s="195">
        <f>IFERROR(TOWER_DATA[[#This Row],[Top '[m']]]-TOWER_DATA[[#This Row],[Bottom '[m']]], "")</f>
        <v>2.7599999999999909</v>
      </c>
      <c r="CI155" s="180">
        <f>IFERROR(-(TOWER_DATA[[#This Row],[D, bottom '[m']]]-TOWER_DATA[[#This Row],[D, top '[m']]])/(TOWER_DATA[[#This Row],[Bottom '[m']]]-TOWER_DATA[[#This Row],[Top '[m']]]),"")</f>
        <v>0</v>
      </c>
      <c r="CJ155" s="125">
        <f t="shared" si="5"/>
        <v>26.518346744424054</v>
      </c>
      <c r="CK155" s="196">
        <f>IFERROR((TOWER_DATA[[#This Row],[D, bottom '[m']]]+TOWER_DATA[[#This Row],[D, top '[m']]])/(2*TOWER_DATA[[#This Row],[t '[mm']]]/1000),"")</f>
        <v>163.26530612244898</v>
      </c>
      <c r="CM155" s="49" t="s">
        <v>394</v>
      </c>
      <c r="CN155" s="49">
        <v>29.03</v>
      </c>
      <c r="CO155" s="49">
        <v>29.03</v>
      </c>
      <c r="CP155" s="49">
        <v>790</v>
      </c>
      <c r="CQ155" s="49"/>
      <c r="CR155" s="49"/>
      <c r="CS155" s="49"/>
      <c r="CT155" s="49"/>
      <c r="CU155" s="87"/>
      <c r="DO155" s="174"/>
      <c r="DP155" s="174"/>
      <c r="DQ155" s="158"/>
      <c r="DT155" s="94"/>
      <c r="DU155" s="94"/>
    </row>
    <row r="156" spans="5:125" ht="18" customHeight="1">
      <c r="E156" s="319"/>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89">
        <v>44</v>
      </c>
      <c r="CC156" s="90">
        <v>66.59</v>
      </c>
      <c r="CD156" s="90">
        <v>63.83</v>
      </c>
      <c r="CE156" s="90">
        <v>8</v>
      </c>
      <c r="CF156" s="90">
        <v>8</v>
      </c>
      <c r="CG156" s="91">
        <v>50</v>
      </c>
      <c r="CH156" s="195">
        <f>IFERROR(TOWER_DATA[[#This Row],[Top '[m']]]-TOWER_DATA[[#This Row],[Bottom '[m']]], "")</f>
        <v>2.7600000000000051</v>
      </c>
      <c r="CI156" s="180">
        <f>IFERROR(-(TOWER_DATA[[#This Row],[D, bottom '[m']]]-TOWER_DATA[[#This Row],[D, top '[m']]])/(TOWER_DATA[[#This Row],[Bottom '[m']]]-TOWER_DATA[[#This Row],[Top '[m']]]),"")</f>
        <v>0</v>
      </c>
      <c r="CJ156" s="125">
        <f t="shared" si="5"/>
        <v>27.056134206988954</v>
      </c>
      <c r="CK156" s="196">
        <f>IFERROR((TOWER_DATA[[#This Row],[D, bottom '[m']]]+TOWER_DATA[[#This Row],[D, top '[m']]])/(2*TOWER_DATA[[#This Row],[t '[mm']]]/1000),"")</f>
        <v>160</v>
      </c>
      <c r="CM156" s="49" t="s">
        <v>395</v>
      </c>
      <c r="CN156" s="49">
        <v>29.03</v>
      </c>
      <c r="CO156" s="49">
        <v>29.03</v>
      </c>
      <c r="CP156" s="49">
        <v>544</v>
      </c>
      <c r="CQ156" s="49"/>
      <c r="CR156" s="49"/>
      <c r="CS156" s="49"/>
      <c r="CT156" s="49"/>
      <c r="CU156" s="87"/>
      <c r="DO156" s="174"/>
      <c r="DP156" s="174"/>
      <c r="DQ156" s="158"/>
      <c r="DT156" s="94"/>
      <c r="DU156" s="94"/>
    </row>
    <row r="157" spans="5:125" ht="18" customHeight="1">
      <c r="E157" s="319"/>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89">
        <v>45</v>
      </c>
      <c r="CC157" s="90">
        <v>63.83</v>
      </c>
      <c r="CD157" s="90">
        <v>61.07</v>
      </c>
      <c r="CE157" s="90">
        <v>8</v>
      </c>
      <c r="CF157" s="90">
        <v>8</v>
      </c>
      <c r="CG157" s="91">
        <v>51</v>
      </c>
      <c r="CH157" s="195">
        <f>IFERROR(TOWER_DATA[[#This Row],[Top '[m']]]-TOWER_DATA[[#This Row],[Bottom '[m']]], "")</f>
        <v>2.759999999999998</v>
      </c>
      <c r="CI157" s="180">
        <f>IFERROR(-(TOWER_DATA[[#This Row],[D, bottom '[m']]]-TOWER_DATA[[#This Row],[D, top '[m']]])/(TOWER_DATA[[#This Row],[Bottom '[m']]]-TOWER_DATA[[#This Row],[Top '[m']]]),"")</f>
        <v>0</v>
      </c>
      <c r="CJ157" s="125">
        <f t="shared" si="5"/>
        <v>27.593785538060722</v>
      </c>
      <c r="CK157" s="196">
        <f>IFERROR((TOWER_DATA[[#This Row],[D, bottom '[m']]]+TOWER_DATA[[#This Row],[D, top '[m']]])/(2*TOWER_DATA[[#This Row],[t '[mm']]]/1000),"")</f>
        <v>156.86274509803923</v>
      </c>
      <c r="CM157" s="49" t="s">
        <v>396</v>
      </c>
      <c r="CN157" s="49">
        <v>29.03</v>
      </c>
      <c r="CO157" s="49">
        <v>29.03</v>
      </c>
      <c r="CP157" s="49">
        <v>5170</v>
      </c>
      <c r="CQ157" s="49"/>
      <c r="CR157" s="49"/>
      <c r="CS157" s="49"/>
      <c r="CT157" s="49"/>
      <c r="CU157" s="87"/>
      <c r="DO157" s="174"/>
      <c r="DP157" s="174"/>
      <c r="DQ157" s="158"/>
      <c r="DT157" s="94"/>
      <c r="DU157" s="94"/>
    </row>
    <row r="158" spans="5:125" ht="18" customHeight="1">
      <c r="E158" s="319"/>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89">
        <v>46</v>
      </c>
      <c r="CC158" s="90">
        <v>61.07</v>
      </c>
      <c r="CD158" s="90">
        <v>58.31</v>
      </c>
      <c r="CE158" s="90">
        <v>8</v>
      </c>
      <c r="CF158" s="90">
        <v>8</v>
      </c>
      <c r="CG158" s="91">
        <v>58</v>
      </c>
      <c r="CH158" s="195">
        <f>IFERROR(TOWER_DATA[[#This Row],[Top '[m']]]-TOWER_DATA[[#This Row],[Bottom '[m']]], "")</f>
        <v>2.759999999999998</v>
      </c>
      <c r="CI158" s="180">
        <f>IFERROR(-(TOWER_DATA[[#This Row],[D, bottom '[m']]]-TOWER_DATA[[#This Row],[D, top '[m']]])/(TOWER_DATA[[#This Row],[Bottom '[m']]]-TOWER_DATA[[#This Row],[Top '[m']]]),"")</f>
        <v>0</v>
      </c>
      <c r="CJ158" s="125">
        <f t="shared" si="5"/>
        <v>31.353533173762347</v>
      </c>
      <c r="CK158" s="196">
        <f>IFERROR((TOWER_DATA[[#This Row],[D, bottom '[m']]]+TOWER_DATA[[#This Row],[D, top '[m']]])/(2*TOWER_DATA[[#This Row],[t '[mm']]]/1000),"")</f>
        <v>137.93103448275861</v>
      </c>
      <c r="CM158" s="49" t="s">
        <v>397</v>
      </c>
      <c r="CN158" s="49">
        <v>24.87</v>
      </c>
      <c r="CO158" s="49">
        <v>24.87</v>
      </c>
      <c r="CP158" s="49">
        <v>3000</v>
      </c>
      <c r="CQ158" s="49"/>
      <c r="CR158" s="49"/>
      <c r="CS158" s="49"/>
      <c r="CT158" s="49"/>
      <c r="CU158" s="87"/>
      <c r="DO158" s="174"/>
      <c r="DP158" s="174"/>
      <c r="DQ158" s="158"/>
      <c r="DT158" s="94"/>
      <c r="DU158" s="94"/>
    </row>
    <row r="159" spans="5:125" ht="18" customHeight="1">
      <c r="E159" s="319"/>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89">
        <v>47</v>
      </c>
      <c r="CC159" s="90">
        <v>58.31</v>
      </c>
      <c r="CD159" s="90">
        <v>55.63</v>
      </c>
      <c r="CE159" s="90">
        <v>8.02</v>
      </c>
      <c r="CF159" s="90">
        <v>8</v>
      </c>
      <c r="CG159" s="91">
        <v>72</v>
      </c>
      <c r="CH159" s="195">
        <f>IFERROR(TOWER_DATA[[#This Row],[Top '[m']]]-TOWER_DATA[[#This Row],[Bottom '[m']]], "")</f>
        <v>2.6799999999999997</v>
      </c>
      <c r="CI159" s="180">
        <f>IFERROR(-(TOWER_DATA[[#This Row],[D, bottom '[m']]]-TOWER_DATA[[#This Row],[D, top '[m']]])/(TOWER_DATA[[#This Row],[Bottom '[m']]]-TOWER_DATA[[#This Row],[Top '[m']]]),"")</f>
        <v>-7.4626865671640211E-3</v>
      </c>
      <c r="CJ159" s="125">
        <f t="shared" si="5"/>
        <v>37.774429541460727</v>
      </c>
      <c r="CK159" s="196">
        <f>IFERROR((TOWER_DATA[[#This Row],[D, bottom '[m']]]+TOWER_DATA[[#This Row],[D, top '[m']]])/(2*TOWER_DATA[[#This Row],[t '[mm']]]/1000),"")</f>
        <v>111.25</v>
      </c>
      <c r="CM159" s="49" t="s">
        <v>398</v>
      </c>
      <c r="CN159" s="49">
        <v>23.4</v>
      </c>
      <c r="CO159" s="49">
        <v>23.4</v>
      </c>
      <c r="CP159" s="49">
        <v>12598</v>
      </c>
      <c r="CQ159" s="49"/>
      <c r="CR159" s="49"/>
      <c r="CS159" s="49"/>
      <c r="CT159" s="49"/>
      <c r="CU159" s="87"/>
      <c r="DO159" s="174"/>
      <c r="DP159" s="174"/>
      <c r="DQ159" s="158"/>
      <c r="DT159" s="94"/>
      <c r="DU159" s="94"/>
    </row>
    <row r="160" spans="5:125" ht="18" customHeight="1">
      <c r="E160" s="319"/>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89">
        <v>48</v>
      </c>
      <c r="CC160" s="90">
        <v>55.63</v>
      </c>
      <c r="CD160" s="90">
        <v>55.35</v>
      </c>
      <c r="CE160" s="90">
        <v>8</v>
      </c>
      <c r="CF160" s="90">
        <v>8</v>
      </c>
      <c r="CG160" s="91">
        <v>72</v>
      </c>
      <c r="CH160" s="195">
        <f>IFERROR(TOWER_DATA[[#This Row],[Top '[m']]]-TOWER_DATA[[#This Row],[Bottom '[m']]], "")</f>
        <v>0.28000000000000114</v>
      </c>
      <c r="CI160" s="180">
        <f>IFERROR(-(TOWER_DATA[[#This Row],[D, bottom '[m']]]-TOWER_DATA[[#This Row],[D, top '[m']]])/(TOWER_DATA[[#This Row],[Bottom '[m']]]-TOWER_DATA[[#This Row],[Top '[m']]]),"")</f>
        <v>0</v>
      </c>
      <c r="CJ160" s="125">
        <f t="shared" si="5"/>
        <v>3.9416104320290413</v>
      </c>
      <c r="CK160" s="196">
        <f>IFERROR((TOWER_DATA[[#This Row],[D, bottom '[m']]]+TOWER_DATA[[#This Row],[D, top '[m']]])/(2*TOWER_DATA[[#This Row],[t '[mm']]]/1000),"")</f>
        <v>111.11111111111111</v>
      </c>
      <c r="CM160" s="49" t="s">
        <v>399</v>
      </c>
      <c r="CN160" s="49">
        <v>21.59</v>
      </c>
      <c r="CO160" s="49">
        <v>21.59</v>
      </c>
      <c r="CP160" s="49">
        <v>40072</v>
      </c>
      <c r="CQ160" s="49"/>
      <c r="CR160" s="49"/>
      <c r="CS160" s="49"/>
      <c r="CT160" s="49"/>
      <c r="CU160" s="87"/>
      <c r="DO160" s="174"/>
      <c r="DP160" s="174"/>
      <c r="DQ160" s="158"/>
      <c r="DT160" s="94"/>
      <c r="DU160" s="94"/>
    </row>
    <row r="161" spans="5:125" ht="18" customHeight="1">
      <c r="E161" s="319"/>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89">
        <v>49</v>
      </c>
      <c r="CC161" s="90">
        <v>55.35</v>
      </c>
      <c r="CD161" s="90">
        <v>55.07</v>
      </c>
      <c r="CE161" s="90">
        <v>8</v>
      </c>
      <c r="CF161" s="90">
        <v>8</v>
      </c>
      <c r="CG161" s="91">
        <v>72</v>
      </c>
      <c r="CH161" s="195">
        <f>IFERROR(TOWER_DATA[[#This Row],[Top '[m']]]-TOWER_DATA[[#This Row],[Bottom '[m']]], "")</f>
        <v>0.28000000000000114</v>
      </c>
      <c r="CI161" s="180">
        <f>IFERROR(-(TOWER_DATA[[#This Row],[D, bottom '[m']]]-TOWER_DATA[[#This Row],[D, top '[m']]])/(TOWER_DATA[[#This Row],[Bottom '[m']]]-TOWER_DATA[[#This Row],[Top '[m']]]),"")</f>
        <v>0</v>
      </c>
      <c r="CJ161" s="125">
        <f t="shared" si="5"/>
        <v>3.9416104320290413</v>
      </c>
      <c r="CK161" s="196">
        <f>IFERROR((TOWER_DATA[[#This Row],[D, bottom '[m']]]+TOWER_DATA[[#This Row],[D, top '[m']]])/(2*TOWER_DATA[[#This Row],[t '[mm']]]/1000),"")</f>
        <v>111.11111111111111</v>
      </c>
      <c r="CM161" s="49" t="s">
        <v>400</v>
      </c>
      <c r="CN161" s="49">
        <v>21.47</v>
      </c>
      <c r="CO161" s="49">
        <v>21.47</v>
      </c>
      <c r="CP161" s="49">
        <v>30000</v>
      </c>
      <c r="CQ161" s="49"/>
      <c r="CR161" s="49"/>
      <c r="CS161" s="49"/>
      <c r="CT161" s="49"/>
      <c r="CU161" s="87"/>
      <c r="DO161" s="174"/>
      <c r="DP161" s="174"/>
      <c r="DQ161" s="158"/>
      <c r="DT161" s="94"/>
      <c r="DU161" s="94"/>
    </row>
    <row r="162" spans="5:125" ht="18" customHeight="1">
      <c r="E162" s="319"/>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89">
        <v>50</v>
      </c>
      <c r="CC162" s="90">
        <v>55.07</v>
      </c>
      <c r="CD162" s="90">
        <v>52.54</v>
      </c>
      <c r="CE162" s="90">
        <v>8</v>
      </c>
      <c r="CF162" s="90">
        <v>8</v>
      </c>
      <c r="CG162" s="91">
        <v>72</v>
      </c>
      <c r="CH162" s="195">
        <f>IFERROR(TOWER_DATA[[#This Row],[Top '[m']]]-TOWER_DATA[[#This Row],[Bottom '[m']]], "")</f>
        <v>2.5300000000000011</v>
      </c>
      <c r="CI162" s="180">
        <f>IFERROR(-(TOWER_DATA[[#This Row],[D, bottom '[m']]]-TOWER_DATA[[#This Row],[D, top '[m']]])/(TOWER_DATA[[#This Row],[Bottom '[m']]]-TOWER_DATA[[#This Row],[Top '[m']]]),"")</f>
        <v>0</v>
      </c>
      <c r="CJ162" s="125">
        <f t="shared" si="5"/>
        <v>35.615265689405142</v>
      </c>
      <c r="CK162" s="196">
        <f>IFERROR((TOWER_DATA[[#This Row],[D, bottom '[m']]]+TOWER_DATA[[#This Row],[D, top '[m']]])/(2*TOWER_DATA[[#This Row],[t '[mm']]]/1000),"")</f>
        <v>111.11111111111111</v>
      </c>
      <c r="CM162" s="49"/>
      <c r="CN162" s="49"/>
      <c r="CO162" s="49"/>
      <c r="CP162" s="49"/>
      <c r="CQ162" s="49"/>
      <c r="CR162" s="49"/>
      <c r="CS162" s="49"/>
      <c r="CT162" s="49"/>
      <c r="CU162" s="87"/>
      <c r="DO162" s="174"/>
      <c r="DP162" s="174"/>
      <c r="DQ162" s="158"/>
      <c r="DT162" s="94"/>
      <c r="DU162" s="94"/>
    </row>
    <row r="163" spans="5:125" ht="18" customHeight="1">
      <c r="E163" s="319"/>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89">
        <v>51</v>
      </c>
      <c r="CC163" s="90">
        <v>52.54</v>
      </c>
      <c r="CD163" s="90">
        <v>49.93</v>
      </c>
      <c r="CE163" s="90">
        <v>7.99</v>
      </c>
      <c r="CF163" s="90">
        <v>7.99</v>
      </c>
      <c r="CG163" s="91">
        <v>58</v>
      </c>
      <c r="CH163" s="195">
        <f>IFERROR(TOWER_DATA[[#This Row],[Top '[m']]]-TOWER_DATA[[#This Row],[Bottom '[m']]], "")</f>
        <v>2.6099999999999994</v>
      </c>
      <c r="CI163" s="180">
        <f>IFERROR(-(TOWER_DATA[[#This Row],[D, bottom '[m']]]-TOWER_DATA[[#This Row],[D, top '[m']]])/(TOWER_DATA[[#This Row],[Bottom '[m']]]-TOWER_DATA[[#This Row],[Top '[m']]]),"")</f>
        <v>0</v>
      </c>
      <c r="CJ163" s="125">
        <f t="shared" si="5"/>
        <v>29.612204223394961</v>
      </c>
      <c r="CK163" s="196">
        <f>IFERROR((TOWER_DATA[[#This Row],[D, bottom '[m']]]+TOWER_DATA[[#This Row],[D, top '[m']]])/(2*TOWER_DATA[[#This Row],[t '[mm']]]/1000),"")</f>
        <v>137.75862068965517</v>
      </c>
      <c r="CM163" s="49"/>
      <c r="CN163" s="49"/>
      <c r="CO163" s="49"/>
      <c r="CP163" s="49"/>
      <c r="CQ163" s="49"/>
      <c r="CR163" s="49"/>
      <c r="CS163" s="49"/>
      <c r="CT163" s="49"/>
      <c r="CU163" s="87"/>
      <c r="DO163" s="174"/>
      <c r="DP163" s="174"/>
      <c r="DQ163" s="158"/>
      <c r="DT163" s="94"/>
      <c r="DU163" s="94"/>
    </row>
    <row r="164" spans="5:125" ht="18" customHeight="1">
      <c r="E164" s="319"/>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89">
        <v>52</v>
      </c>
      <c r="CC164" s="90">
        <v>49.93</v>
      </c>
      <c r="CD164" s="90">
        <v>47.32</v>
      </c>
      <c r="CE164" s="90">
        <v>7.99</v>
      </c>
      <c r="CF164" s="90">
        <v>7.99</v>
      </c>
      <c r="CG164" s="91">
        <v>59</v>
      </c>
      <c r="CH164" s="195">
        <f>IFERROR(TOWER_DATA[[#This Row],[Top '[m']]]-TOWER_DATA[[#This Row],[Bottom '[m']]], "")</f>
        <v>2.6099999999999994</v>
      </c>
      <c r="CI164" s="180">
        <f>IFERROR(-(TOWER_DATA[[#This Row],[D, bottom '[m']]]-TOWER_DATA[[#This Row],[D, top '[m']]])/(TOWER_DATA[[#This Row],[Bottom '[m']]]-TOWER_DATA[[#This Row],[Top '[m']]]),"")</f>
        <v>0</v>
      </c>
      <c r="CJ164" s="125">
        <f t="shared" si="5"/>
        <v>30.118961843881969</v>
      </c>
      <c r="CK164" s="196">
        <f>IFERROR((TOWER_DATA[[#This Row],[D, bottom '[m']]]+TOWER_DATA[[#This Row],[D, top '[m']]])/(2*TOWER_DATA[[#This Row],[t '[mm']]]/1000),"")</f>
        <v>135.42372881355934</v>
      </c>
      <c r="CM164" s="49"/>
      <c r="CN164" s="49"/>
      <c r="CO164" s="49"/>
      <c r="CP164" s="49"/>
      <c r="CQ164" s="49"/>
      <c r="CR164" s="49"/>
      <c r="CS164" s="49"/>
      <c r="CT164" s="49"/>
      <c r="CU164" s="87"/>
      <c r="DO164" s="174"/>
      <c r="DP164" s="174"/>
      <c r="DQ164" s="158"/>
      <c r="DT164" s="94"/>
      <c r="DU164" s="94"/>
    </row>
    <row r="165" spans="5:125" ht="18" customHeight="1">
      <c r="E165" s="319"/>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89">
        <v>53</v>
      </c>
      <c r="CC165" s="90">
        <v>47.32</v>
      </c>
      <c r="CD165" s="90">
        <v>44.72</v>
      </c>
      <c r="CE165" s="90">
        <v>7.99</v>
      </c>
      <c r="CF165" s="90">
        <v>7.99</v>
      </c>
      <c r="CG165" s="91">
        <v>60</v>
      </c>
      <c r="CH165" s="195">
        <f>IFERROR(TOWER_DATA[[#This Row],[Top '[m']]]-TOWER_DATA[[#This Row],[Bottom '[m']]], "")</f>
        <v>2.6000000000000014</v>
      </c>
      <c r="CI165" s="180">
        <f>IFERROR(-(TOWER_DATA[[#This Row],[D, bottom '[m']]]-TOWER_DATA[[#This Row],[D, top '[m']]])/(TOWER_DATA[[#This Row],[Bottom '[m']]]-TOWER_DATA[[#This Row],[Top '[m']]]),"")</f>
        <v>0</v>
      </c>
      <c r="CJ165" s="125">
        <f t="shared" si="5"/>
        <v>30.508251303237479</v>
      </c>
      <c r="CK165" s="196">
        <f>IFERROR((TOWER_DATA[[#This Row],[D, bottom '[m']]]+TOWER_DATA[[#This Row],[D, top '[m']]])/(2*TOWER_DATA[[#This Row],[t '[mm']]]/1000),"")</f>
        <v>133.16666666666669</v>
      </c>
      <c r="CM165" s="49"/>
      <c r="CN165" s="49"/>
      <c r="CO165" s="49"/>
      <c r="CP165" s="49"/>
      <c r="CQ165" s="49"/>
      <c r="CR165" s="49"/>
      <c r="CS165" s="49"/>
      <c r="CT165" s="49"/>
      <c r="CU165" s="87"/>
      <c r="DO165" s="174"/>
      <c r="DP165" s="174"/>
      <c r="DQ165" s="158"/>
      <c r="DT165" s="94"/>
      <c r="DU165" s="94"/>
    </row>
    <row r="166" spans="5:125" ht="18" customHeight="1">
      <c r="E166" s="319"/>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89">
        <v>54</v>
      </c>
      <c r="CC166" s="90">
        <v>44.72</v>
      </c>
      <c r="CD166" s="90">
        <v>42.11</v>
      </c>
      <c r="CE166" s="90">
        <v>7.99</v>
      </c>
      <c r="CF166" s="90">
        <v>7.99</v>
      </c>
      <c r="CG166" s="91">
        <v>62</v>
      </c>
      <c r="CH166" s="195">
        <f>IFERROR(TOWER_DATA[[#This Row],[Top '[m']]]-TOWER_DATA[[#This Row],[Bottom '[m']]], "")</f>
        <v>2.6099999999999994</v>
      </c>
      <c r="CI166" s="180">
        <f>IFERROR(-(TOWER_DATA[[#This Row],[D, bottom '[m']]]-TOWER_DATA[[#This Row],[D, top '[m']]])/(TOWER_DATA[[#This Row],[Bottom '[m']]]-TOWER_DATA[[#This Row],[Top '[m']]]),"")</f>
        <v>0</v>
      </c>
      <c r="CJ166" s="125">
        <f t="shared" si="5"/>
        <v>31.638462307090002</v>
      </c>
      <c r="CK166" s="196">
        <f>IFERROR((TOWER_DATA[[#This Row],[D, bottom '[m']]]+TOWER_DATA[[#This Row],[D, top '[m']]])/(2*TOWER_DATA[[#This Row],[t '[mm']]]/1000),"")</f>
        <v>128.87096774193549</v>
      </c>
      <c r="CM166" s="49"/>
      <c r="CN166" s="49"/>
      <c r="CO166" s="49"/>
      <c r="CP166" s="49"/>
      <c r="CQ166" s="49"/>
      <c r="CR166" s="49"/>
      <c r="CS166" s="49"/>
      <c r="CT166" s="49"/>
      <c r="CU166" s="87"/>
      <c r="DO166" s="174"/>
      <c r="DP166" s="174"/>
      <c r="DQ166" s="158"/>
      <c r="DT166" s="94"/>
      <c r="DU166" s="94"/>
    </row>
    <row r="167" spans="5:125" ht="18" customHeight="1">
      <c r="E167" s="319"/>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89">
        <v>55</v>
      </c>
      <c r="CC167" s="90">
        <v>42.11</v>
      </c>
      <c r="CD167" s="90">
        <v>39.5</v>
      </c>
      <c r="CE167" s="90">
        <v>8</v>
      </c>
      <c r="CF167" s="90">
        <v>8</v>
      </c>
      <c r="CG167" s="91">
        <v>70</v>
      </c>
      <c r="CH167" s="195">
        <f>IFERROR(TOWER_DATA[[#This Row],[Top '[m']]]-TOWER_DATA[[#This Row],[Bottom '[m']]], "")</f>
        <v>2.6099999999999994</v>
      </c>
      <c r="CI167" s="180">
        <f>IFERROR(-(TOWER_DATA[[#This Row],[D, bottom '[m']]]-TOWER_DATA[[#This Row],[D, top '[m']]])/(TOWER_DATA[[#This Row],[Bottom '[m']]]-TOWER_DATA[[#This Row],[Top '[m']]]),"")</f>
        <v>0</v>
      </c>
      <c r="CJ167" s="125">
        <f t="shared" si="5"/>
        <v>35.729855853214517</v>
      </c>
      <c r="CK167" s="196">
        <f>IFERROR((TOWER_DATA[[#This Row],[D, bottom '[m']]]+TOWER_DATA[[#This Row],[D, top '[m']]])/(2*TOWER_DATA[[#This Row],[t '[mm']]]/1000),"")</f>
        <v>114.28571428571428</v>
      </c>
      <c r="CM167" s="49"/>
      <c r="CN167" s="49"/>
      <c r="CO167" s="49"/>
      <c r="CP167" s="49"/>
      <c r="CQ167" s="49"/>
      <c r="CR167" s="49"/>
      <c r="CS167" s="49"/>
      <c r="CT167" s="49"/>
      <c r="CU167" s="87"/>
      <c r="DO167" s="174"/>
      <c r="DP167" s="174"/>
      <c r="DQ167" s="158"/>
      <c r="DT167" s="94"/>
      <c r="DU167" s="94"/>
    </row>
    <row r="168" spans="5:125" ht="18" customHeight="1">
      <c r="E168" s="319"/>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v>56</v>
      </c>
      <c r="CC168" s="90">
        <v>39.5</v>
      </c>
      <c r="CD168" s="90">
        <v>36.79</v>
      </c>
      <c r="CE168" s="90">
        <v>8.01</v>
      </c>
      <c r="CF168" s="90">
        <v>8</v>
      </c>
      <c r="CG168" s="91">
        <v>84</v>
      </c>
      <c r="CH168" s="195">
        <f>IFERROR(TOWER_DATA[[#This Row],[Top '[m']]]-TOWER_DATA[[#This Row],[Bottom '[m']]], "")</f>
        <v>2.7100000000000009</v>
      </c>
      <c r="CI168" s="180">
        <f>IFERROR(-(TOWER_DATA[[#This Row],[D, bottom '[m']]]-TOWER_DATA[[#This Row],[D, top '[m']]])/(TOWER_DATA[[#This Row],[Bottom '[m']]]-TOWER_DATA[[#This Row],[Top '[m']]]),"")</f>
        <v>-3.6900369003689238E-3</v>
      </c>
      <c r="CJ168" s="125">
        <f t="shared" si="5"/>
        <v>44.468053517593802</v>
      </c>
      <c r="CK168" s="196">
        <f>IFERROR((TOWER_DATA[[#This Row],[D, bottom '[m']]]+TOWER_DATA[[#This Row],[D, top '[m']]])/(2*TOWER_DATA[[#This Row],[t '[mm']]]/1000),"")</f>
        <v>95.297619047619037</v>
      </c>
      <c r="CM168" s="49"/>
      <c r="CN168" s="49"/>
      <c r="CO168" s="49"/>
      <c r="CP168" s="49"/>
      <c r="CQ168" s="49"/>
      <c r="CR168" s="49"/>
      <c r="CS168" s="49"/>
      <c r="CT168" s="49"/>
      <c r="CU168" s="87"/>
      <c r="DO168" s="174"/>
      <c r="DP168" s="174"/>
      <c r="DQ168" s="158"/>
      <c r="DT168" s="94"/>
      <c r="DU168" s="94"/>
    </row>
    <row r="169" spans="5:125" ht="18" customHeight="1">
      <c r="E169" s="319"/>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v>57</v>
      </c>
      <c r="CC169" s="90">
        <v>36.79</v>
      </c>
      <c r="CD169" s="90">
        <v>36.590000000000003</v>
      </c>
      <c r="CE169" s="90">
        <v>8</v>
      </c>
      <c r="CF169" s="90">
        <v>8</v>
      </c>
      <c r="CG169" s="91">
        <v>84</v>
      </c>
      <c r="CH169" s="195">
        <f>IFERROR(TOWER_DATA[[#This Row],[Top '[m']]]-TOWER_DATA[[#This Row],[Bottom '[m']]], "")</f>
        <v>0.19999999999999574</v>
      </c>
      <c r="CI169" s="180">
        <f>IFERROR(-(TOWER_DATA[[#This Row],[D, bottom '[m']]]-TOWER_DATA[[#This Row],[D, top '[m']]])/(TOWER_DATA[[#This Row],[Bottom '[m']]]-TOWER_DATA[[#This Row],[Top '[m']]]),"")</f>
        <v>0</v>
      </c>
      <c r="CJ169" s="125">
        <f t="shared" si="5"/>
        <v>3.2797036011542442</v>
      </c>
      <c r="CK169" s="196">
        <f>IFERROR((TOWER_DATA[[#This Row],[D, bottom '[m']]]+TOWER_DATA[[#This Row],[D, top '[m']]])/(2*TOWER_DATA[[#This Row],[t '[mm']]]/1000),"")</f>
        <v>95.238095238095227</v>
      </c>
      <c r="CM169" s="49"/>
      <c r="CN169" s="49"/>
      <c r="CO169" s="49"/>
      <c r="CP169" s="49"/>
      <c r="CQ169" s="49"/>
      <c r="CR169" s="49"/>
      <c r="CS169" s="49"/>
      <c r="CT169" s="49"/>
      <c r="CU169" s="87"/>
      <c r="DO169" s="174"/>
      <c r="DP169" s="174"/>
      <c r="DQ169" s="158"/>
      <c r="DT169" s="94"/>
      <c r="DU169" s="94"/>
    </row>
    <row r="170" spans="5:125" ht="18" customHeight="1">
      <c r="E170" s="319"/>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v>58</v>
      </c>
      <c r="CC170" s="90">
        <v>36.590000000000003</v>
      </c>
      <c r="CD170" s="90">
        <v>35.979999999999997</v>
      </c>
      <c r="CE170" s="90">
        <v>8</v>
      </c>
      <c r="CF170" s="90">
        <v>8</v>
      </c>
      <c r="CG170" s="91">
        <v>84</v>
      </c>
      <c r="CH170" s="195">
        <f>IFERROR(TOWER_DATA[[#This Row],[Top '[m']]]-TOWER_DATA[[#This Row],[Bottom '[m']]], "")</f>
        <v>0.61000000000000654</v>
      </c>
      <c r="CI170" s="180">
        <f>IFERROR(-(TOWER_DATA[[#This Row],[D, bottom '[m']]]-TOWER_DATA[[#This Row],[D, top '[m']]])/(TOWER_DATA[[#This Row],[Bottom '[m']]]-TOWER_DATA[[#This Row],[Top '[m']]]),"")</f>
        <v>0</v>
      </c>
      <c r="CJ170" s="125">
        <f t="shared" si="5"/>
        <v>10.003095983520767</v>
      </c>
      <c r="CK170" s="196">
        <f>IFERROR((TOWER_DATA[[#This Row],[D, bottom '[m']]]+TOWER_DATA[[#This Row],[D, top '[m']]])/(2*TOWER_DATA[[#This Row],[t '[mm']]]/1000),"")</f>
        <v>95.238095238095227</v>
      </c>
      <c r="CM170" s="49"/>
      <c r="CN170" s="49"/>
      <c r="CO170" s="49"/>
      <c r="CP170" s="49"/>
      <c r="CQ170" s="49"/>
      <c r="CR170" s="49"/>
      <c r="CS170" s="49"/>
      <c r="CT170" s="49"/>
      <c r="CU170" s="87"/>
      <c r="DO170" s="174"/>
      <c r="DP170" s="174"/>
      <c r="DQ170" s="158"/>
      <c r="DT170" s="94"/>
      <c r="DU170" s="94"/>
    </row>
    <row r="171" spans="5:125" ht="18" customHeight="1">
      <c r="E171" s="319"/>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v>59</v>
      </c>
      <c r="CC171" s="90">
        <v>35.979999999999997</v>
      </c>
      <c r="CD171" s="90">
        <v>33.36</v>
      </c>
      <c r="CE171" s="90">
        <v>8</v>
      </c>
      <c r="CF171" s="90">
        <v>8</v>
      </c>
      <c r="CG171" s="91">
        <v>84</v>
      </c>
      <c r="CH171" s="195">
        <f>IFERROR(TOWER_DATA[[#This Row],[Top '[m']]]-TOWER_DATA[[#This Row],[Bottom '[m']]], "")</f>
        <v>2.6199999999999974</v>
      </c>
      <c r="CI171" s="180">
        <f>IFERROR(-(TOWER_DATA[[#This Row],[D, bottom '[m']]]-TOWER_DATA[[#This Row],[D, top '[m']]])/(TOWER_DATA[[#This Row],[Bottom '[m']]]-TOWER_DATA[[#This Row],[Top '[m']]]),"")</f>
        <v>0</v>
      </c>
      <c r="CJ171" s="125">
        <f t="shared" si="5"/>
        <v>42.96411717512148</v>
      </c>
      <c r="CK171" s="196">
        <f>IFERROR((TOWER_DATA[[#This Row],[D, bottom '[m']]]+TOWER_DATA[[#This Row],[D, top '[m']]])/(2*TOWER_DATA[[#This Row],[t '[mm']]]/1000),"")</f>
        <v>95.238095238095227</v>
      </c>
      <c r="CM171" s="49"/>
      <c r="CN171" s="49"/>
      <c r="CO171" s="49"/>
      <c r="CP171" s="49"/>
      <c r="CQ171" s="49"/>
      <c r="CR171" s="49"/>
      <c r="CS171" s="49"/>
      <c r="CT171" s="49"/>
      <c r="CU171" s="87"/>
      <c r="DO171" s="174"/>
      <c r="DP171" s="174"/>
      <c r="DQ171" s="158"/>
      <c r="DT171" s="94"/>
      <c r="DU171" s="94"/>
    </row>
    <row r="172" spans="5:125" ht="18" customHeight="1">
      <c r="E172" s="319"/>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v>60</v>
      </c>
      <c r="CC172" s="90">
        <v>33.36</v>
      </c>
      <c r="CD172" s="90">
        <v>30.43</v>
      </c>
      <c r="CE172" s="90">
        <v>8</v>
      </c>
      <c r="CF172" s="90">
        <v>8</v>
      </c>
      <c r="CG172" s="91">
        <v>88</v>
      </c>
      <c r="CH172" s="195">
        <f>IFERROR(TOWER_DATA[[#This Row],[Top '[m']]]-TOWER_DATA[[#This Row],[Bottom '[m']]], "")</f>
        <v>2.9299999999999997</v>
      </c>
      <c r="CI172" s="180">
        <f>IFERROR(-(TOWER_DATA[[#This Row],[D, bottom '[m']]]-TOWER_DATA[[#This Row],[D, top '[m']]])/(TOWER_DATA[[#This Row],[Bottom '[m']]]-TOWER_DATA[[#This Row],[Top '[m']]]),"")</f>
        <v>0</v>
      </c>
      <c r="CJ172" s="125">
        <f t="shared" si="5"/>
        <v>50.310206572576952</v>
      </c>
      <c r="CK172" s="196">
        <f>IFERROR((TOWER_DATA[[#This Row],[D, bottom '[m']]]+TOWER_DATA[[#This Row],[D, top '[m']]])/(2*TOWER_DATA[[#This Row],[t '[mm']]]/1000),"")</f>
        <v>90.909090909090921</v>
      </c>
      <c r="CM172" s="49"/>
      <c r="CN172" s="49"/>
      <c r="CO172" s="49"/>
      <c r="CP172" s="49"/>
      <c r="CQ172" s="49"/>
      <c r="CR172" s="49"/>
      <c r="CS172" s="49"/>
      <c r="CT172" s="49"/>
      <c r="CU172" s="87"/>
      <c r="DO172" s="174"/>
      <c r="DP172" s="174"/>
      <c r="DQ172" s="158"/>
      <c r="DT172" s="94"/>
      <c r="DU172" s="94"/>
    </row>
    <row r="173" spans="5:125" ht="18" customHeight="1">
      <c r="E173" s="319"/>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v>61</v>
      </c>
      <c r="CC173" s="90">
        <v>30.43</v>
      </c>
      <c r="CD173" s="90">
        <v>27.5</v>
      </c>
      <c r="CE173" s="90">
        <v>8.02</v>
      </c>
      <c r="CF173" s="90">
        <v>7.99</v>
      </c>
      <c r="CG173" s="91">
        <v>102</v>
      </c>
      <c r="CH173" s="195">
        <f>IFERROR(TOWER_DATA[[#This Row],[Top '[m']]]-TOWER_DATA[[#This Row],[Bottom '[m']]], "")</f>
        <v>2.9299999999999997</v>
      </c>
      <c r="CI173" s="180">
        <f>IFERROR(-(TOWER_DATA[[#This Row],[D, bottom '[m']]]-TOWER_DATA[[#This Row],[D, top '[m']]])/(TOWER_DATA[[#This Row],[Bottom '[m']]]-TOWER_DATA[[#This Row],[Top '[m']]]),"")</f>
        <v>-1.0238907849829134E-2</v>
      </c>
      <c r="CJ173" s="125">
        <f t="shared" si="5"/>
        <v>58.247770043480685</v>
      </c>
      <c r="CK173" s="196">
        <f>IFERROR((TOWER_DATA[[#This Row],[D, bottom '[m']]]+TOWER_DATA[[#This Row],[D, top '[m']]])/(2*TOWER_DATA[[#This Row],[t '[mm']]]/1000),"")</f>
        <v>78.480392156862735</v>
      </c>
      <c r="CM173" s="49"/>
      <c r="CN173" s="49"/>
      <c r="CO173" s="49"/>
      <c r="CP173" s="49"/>
      <c r="CQ173" s="49"/>
      <c r="CR173" s="49"/>
      <c r="CS173" s="49"/>
      <c r="CT173" s="49"/>
      <c r="CU173" s="87"/>
      <c r="DO173" s="174"/>
      <c r="DP173" s="174"/>
      <c r="DQ173" s="158"/>
      <c r="DT173" s="94"/>
      <c r="DU173" s="94"/>
    </row>
    <row r="174" spans="5:125" ht="18" customHeight="1">
      <c r="E174" s="319"/>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v>62</v>
      </c>
      <c r="CC174" s="90">
        <v>27.5</v>
      </c>
      <c r="CD174" s="90">
        <v>25.92</v>
      </c>
      <c r="CE174" s="90">
        <v>8</v>
      </c>
      <c r="CF174" s="90">
        <v>8</v>
      </c>
      <c r="CG174" s="91">
        <v>116</v>
      </c>
      <c r="CH174" s="195">
        <f>IFERROR(TOWER_DATA[[#This Row],[Top '[m']]]-TOWER_DATA[[#This Row],[Bottom '[m']]], "")</f>
        <v>1.5799999999999983</v>
      </c>
      <c r="CI174" s="180">
        <f>IFERROR(-(TOWER_DATA[[#This Row],[D, bottom '[m']]]-TOWER_DATA[[#This Row],[D, top '[m']]])/(TOWER_DATA[[#This Row],[Bottom '[m']]]-TOWER_DATA[[#This Row],[Top '[m']]]),"")</f>
        <v>0</v>
      </c>
      <c r="CJ174" s="125">
        <f t="shared" si="5"/>
        <v>35.635365800264644</v>
      </c>
      <c r="CK174" s="196">
        <f>IFERROR((TOWER_DATA[[#This Row],[D, bottom '[m']]]+TOWER_DATA[[#This Row],[D, top '[m']]])/(2*TOWER_DATA[[#This Row],[t '[mm']]]/1000),"")</f>
        <v>68.965517241379303</v>
      </c>
      <c r="CM174" s="49"/>
      <c r="CN174" s="49"/>
      <c r="CO174" s="49"/>
      <c r="CP174" s="49"/>
      <c r="CQ174" s="49"/>
      <c r="CR174" s="49"/>
      <c r="CS174" s="49"/>
      <c r="CT174" s="49"/>
      <c r="CU174" s="87"/>
      <c r="DO174" s="174"/>
      <c r="DP174" s="174"/>
      <c r="DQ174" s="158"/>
      <c r="DT174" s="94"/>
      <c r="DU174" s="94"/>
    </row>
    <row r="175" spans="5:125" ht="18" customHeight="1">
      <c r="E175" s="319"/>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v>63</v>
      </c>
      <c r="CC175" s="90">
        <v>25.92</v>
      </c>
      <c r="CD175" s="90">
        <v>22.96</v>
      </c>
      <c r="CE175" s="90">
        <v>8</v>
      </c>
      <c r="CF175" s="90">
        <v>8</v>
      </c>
      <c r="CG175" s="91">
        <v>116</v>
      </c>
      <c r="CH175" s="195">
        <f>IFERROR(TOWER_DATA[[#This Row],[Top '[m']]]-TOWER_DATA[[#This Row],[Bottom '[m']]], "")</f>
        <v>2.9600000000000009</v>
      </c>
      <c r="CI175" s="180">
        <f>IFERROR(-(TOWER_DATA[[#This Row],[D, bottom '[m']]]-TOWER_DATA[[#This Row],[D, top '[m']]])/(TOWER_DATA[[#This Row],[Bottom '[m']]]-TOWER_DATA[[#This Row],[Top '[m']]]),"")</f>
        <v>0</v>
      </c>
      <c r="CJ175" s="125">
        <f t="shared" si="5"/>
        <v>66.759925803027528</v>
      </c>
      <c r="CK175" s="196">
        <f>IFERROR((TOWER_DATA[[#This Row],[D, bottom '[m']]]+TOWER_DATA[[#This Row],[D, top '[m']]])/(2*TOWER_DATA[[#This Row],[t '[mm']]]/1000),"")</f>
        <v>68.965517241379303</v>
      </c>
      <c r="CM175" s="49"/>
      <c r="CN175" s="49"/>
      <c r="CO175" s="49"/>
      <c r="CP175" s="49"/>
      <c r="CQ175" s="49"/>
      <c r="CR175" s="49"/>
      <c r="CS175" s="49"/>
      <c r="CT175" s="49"/>
      <c r="CU175" s="87"/>
      <c r="DO175" s="174"/>
      <c r="DP175" s="174"/>
      <c r="DQ175" s="158"/>
      <c r="DT175" s="94"/>
      <c r="DU175" s="94"/>
    </row>
    <row r="176" spans="5:125" ht="18" customHeight="1">
      <c r="E176" s="319"/>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v>64</v>
      </c>
      <c r="CC176" s="90">
        <v>22.96</v>
      </c>
      <c r="CD176" s="90">
        <v>21.71</v>
      </c>
      <c r="CE176" s="90">
        <v>8</v>
      </c>
      <c r="CF176" s="90">
        <v>8</v>
      </c>
      <c r="CG176" s="91">
        <v>116</v>
      </c>
      <c r="CH176" s="195">
        <f>IFERROR(TOWER_DATA[[#This Row],[Top '[m']]]-TOWER_DATA[[#This Row],[Bottom '[m']]], "")</f>
        <v>1.25</v>
      </c>
      <c r="CI176" s="180">
        <f>IFERROR(-(TOWER_DATA[[#This Row],[D, bottom '[m']]]-TOWER_DATA[[#This Row],[D, top '[m']]])/(TOWER_DATA[[#This Row],[Bottom '[m']]]-TOWER_DATA[[#This Row],[Top '[m']]]),"")</f>
        <v>0</v>
      </c>
      <c r="CJ176" s="125">
        <f t="shared" si="5"/>
        <v>28.192536234386612</v>
      </c>
      <c r="CK176" s="196">
        <f>IFERROR((TOWER_DATA[[#This Row],[D, bottom '[m']]]+TOWER_DATA[[#This Row],[D, top '[m']]])/(2*TOWER_DATA[[#This Row],[t '[mm']]]/1000),"")</f>
        <v>68.965517241379303</v>
      </c>
      <c r="CM176" s="49"/>
      <c r="CN176" s="49"/>
      <c r="CO176" s="49"/>
      <c r="CP176" s="49"/>
      <c r="CQ176" s="49"/>
      <c r="CR176" s="49"/>
      <c r="CS176" s="49"/>
      <c r="CT176" s="49"/>
      <c r="CU176" s="87"/>
      <c r="DO176" s="174"/>
      <c r="DP176" s="174"/>
      <c r="DQ176" s="158"/>
      <c r="DT176" s="94"/>
      <c r="DU176" s="94"/>
    </row>
    <row r="177" spans="5:125" ht="18" customHeight="1">
      <c r="E177" s="319"/>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v>65</v>
      </c>
      <c r="CC177" s="90">
        <v>21.71</v>
      </c>
      <c r="CD177" s="90">
        <v>21.47</v>
      </c>
      <c r="CE177" s="90">
        <v>8</v>
      </c>
      <c r="CF177" s="90">
        <v>8</v>
      </c>
      <c r="CG177" s="91">
        <v>116</v>
      </c>
      <c r="CH177" s="195">
        <f>IFERROR(TOWER_DATA[[#This Row],[Top '[m']]]-TOWER_DATA[[#This Row],[Bottom '[m']]], "")</f>
        <v>0.24000000000000199</v>
      </c>
      <c r="CI177" s="180">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6">
        <f>IFERROR((TOWER_DATA[[#This Row],[D, bottom '[m']]]+TOWER_DATA[[#This Row],[D, top '[m']]])/(2*TOWER_DATA[[#This Row],[t '[mm']]]/1000),"")</f>
        <v>68.965517241379303</v>
      </c>
      <c r="CM177" s="49"/>
      <c r="CN177" s="49"/>
      <c r="CO177" s="49"/>
      <c r="CP177" s="49"/>
      <c r="CQ177" s="49"/>
      <c r="CR177" s="49"/>
      <c r="CS177" s="49"/>
      <c r="CT177" s="49"/>
      <c r="CU177" s="87"/>
      <c r="DO177" s="174"/>
      <c r="DP177" s="174"/>
      <c r="DQ177" s="158"/>
      <c r="DT177" s="94"/>
      <c r="DU177" s="94"/>
    </row>
    <row r="178" spans="5:125" ht="18" customHeight="1">
      <c r="E178" s="319"/>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9"/>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9"/>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9"/>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9"/>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9"/>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9"/>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9"/>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9"/>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9"/>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9"/>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9"/>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9"/>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9"/>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9"/>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9"/>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20" priority="42">
      <formula>E2010&lt;&gt;_xludf.INDIRECT("B" &amp; _xludf.ROW() + 200)</formula>
    </cfRule>
  </conditionalFormatting>
  <conditionalFormatting sqref="O115:O162 E136:J221 DN111:DT111 DW135:DW138 DV136:DV139 DN112:DU176">
    <cfRule type="expression" dxfId="419" priority="44">
      <formula>#REF!&lt;&gt;_xludf.INDIRECT(_xludf.ADDRESS(_xludf.ROW()-200,_xludf.COLUMN()))</formula>
    </cfRule>
  </conditionalFormatting>
  <conditionalFormatting sqref="G223">
    <cfRule type="expression" dxfId="418" priority="49">
      <formula>#REF!&lt;&gt;_xludf.INDIRECT(_xludf.ADDRESS(_xludf.ROW()-200,_xludf.COLUMN()))</formula>
    </cfRule>
  </conditionalFormatting>
  <conditionalFormatting sqref="E222:E226">
    <cfRule type="expression" dxfId="417" priority="67">
      <formula>#REF!&lt;&gt;_xludf.INDIRECT(_xludf.ADDRESS(_xludf.ROW()-200,_xludf.COLUMN()))</formula>
    </cfRule>
  </conditionalFormatting>
  <conditionalFormatting sqref="O168:O182">
    <cfRule type="expression" dxfId="416" priority="73">
      <formula>O23&lt;&gt;_xludf.INDIRECT(_xludf.ADDRESS(_xludf.ROW()-200,_xludf.COLUMN()))</formula>
    </cfRule>
  </conditionalFormatting>
  <conditionalFormatting sqref="O183:O185">
    <cfRule type="expression" dxfId="415" priority="124">
      <formula>#REF!&lt;&gt;_xludf.INDIRECT(_xludf.ADDRESS(_xludf.ROW()-200,_xludf.COLUMN()))</formula>
    </cfRule>
  </conditionalFormatting>
  <conditionalFormatting sqref="J237">
    <cfRule type="expression" dxfId="414" priority="173">
      <formula>K126&lt;&gt;_xludf.INDIRECT(_xludf.ADDRESS(_xludf.ROW()-200,_xludf.COLUMN()))</formula>
    </cfRule>
  </conditionalFormatting>
  <conditionalFormatting sqref="O163:O167">
    <cfRule type="expression" dxfId="413" priority="174">
      <formula>N112&lt;&gt;_xludf.INDIRECT(_xludf.ADDRESS(_xludf.ROW()-200,_xludf.COLUMN()))</formula>
    </cfRule>
  </conditionalFormatting>
  <conditionalFormatting sqref="H223">
    <cfRule type="expression" dxfId="412" priority="175">
      <formula>F113&lt;&gt;_xludf.INDIRECT(_xludf.ADDRESS(_xludf.ROW()-200,_xludf.COLUMN()))</formula>
    </cfRule>
  </conditionalFormatting>
  <conditionalFormatting sqref="J227:J236 E227:I244 J238:J244">
    <cfRule type="expression" dxfId="411" priority="176">
      <formula>E117&lt;&gt;_xludf.INDIRECT(_xludf.ADDRESS(_xludf.ROW()-200,_xludf.COLUMN()))</formula>
    </cfRule>
  </conditionalFormatting>
  <conditionalFormatting sqref="F223:F226 G224:H226 F222:J222 I223:J226 AT226:AU229">
    <cfRule type="expression" dxfId="410" priority="179">
      <formula>E112&lt;&gt;_xludf.INDIRECT(_xludf.ADDRESS(_xludf.ROW()-200,_xludf.COLUMN()))</formula>
    </cfRule>
  </conditionalFormatting>
  <conditionalFormatting sqref="AP2014">
    <cfRule type="expression" dxfId="409" priority="16">
      <formula>AP2013&lt;&gt;_xludf.INDIRECT("B" &amp; _xludf.ROW() + 200)</formula>
    </cfRule>
  </conditionalFormatting>
  <conditionalFormatting sqref="AW138 AZ115:AZ138 AW139:AZ162 AP139:AU224">
    <cfRule type="expression" dxfId="408" priority="17">
      <formula>#REF!&lt;&gt;_xludf.INDIRECT(_xludf.ADDRESS(_xludf.ROW()-200,_xludf.COLUMN()))</formula>
    </cfRule>
  </conditionalFormatting>
  <conditionalFormatting sqref="AR226">
    <cfRule type="expression" dxfId="407" priority="19">
      <formula>#REF!&lt;&gt;_xludf.INDIRECT(_xludf.ADDRESS(_xludf.ROW()-200,_xludf.COLUMN()))</formula>
    </cfRule>
  </conditionalFormatting>
  <conditionalFormatting sqref="AP225:AP229">
    <cfRule type="expression" dxfId="406" priority="20">
      <formula>#REF!&lt;&gt;_xludf.INDIRECT(_xludf.ADDRESS(_xludf.ROW()-200,_xludf.COLUMN()))</formula>
    </cfRule>
  </conditionalFormatting>
  <conditionalFormatting sqref="AZ168:AZ182">
    <cfRule type="expression" dxfId="405" priority="21">
      <formula>AZ23&lt;&gt;_xludf.INDIRECT(_xludf.ADDRESS(_xludf.ROW()-200,_xludf.COLUMN()))</formula>
    </cfRule>
  </conditionalFormatting>
  <conditionalFormatting sqref="AY185 AZ183:AZ185">
    <cfRule type="expression" dxfId="404" priority="22">
      <formula>#REF!&lt;&gt;_xludf.INDIRECT(_xludf.ADDRESS(_xludf.ROW()-200,_xludf.COLUMN()))</formula>
    </cfRule>
  </conditionalFormatting>
  <conditionalFormatting sqref="AY168:AY184">
    <cfRule type="expression" dxfId="403" priority="23">
      <formula>AY118&lt;&gt;_xludf.INDIRECT(_xludf.ADDRESS(_xludf.ROW()-200,_xludf.COLUMN()))</formula>
    </cfRule>
  </conditionalFormatting>
  <conditionalFormatting sqref="AW168:AX185">
    <cfRule type="expression" dxfId="402" priority="24">
      <formula>AW117&lt;&gt;_xludf.INDIRECT(_xludf.ADDRESS(_xludf.ROW()-200,_xludf.COLUMN()))</formula>
    </cfRule>
  </conditionalFormatting>
  <conditionalFormatting sqref="AU240">
    <cfRule type="expression" dxfId="401" priority="25">
      <formula>AV126&lt;&gt;_xludf.INDIRECT(_xludf.ADDRESS(_xludf.ROW()-200,_xludf.COLUMN()))</formula>
    </cfRule>
  </conditionalFormatting>
  <conditionalFormatting sqref="AW163:AZ167">
    <cfRule type="expression" dxfId="400" priority="26">
      <formula>AV112&lt;&gt;_xludf.INDIRECT(_xludf.ADDRESS(_xludf.ROW()-200,_xludf.COLUMN()))</formula>
    </cfRule>
  </conditionalFormatting>
  <conditionalFormatting sqref="AS226">
    <cfRule type="expression" dxfId="399" priority="27">
      <formula>AQ116&lt;&gt;_xludf.INDIRECT(_xludf.ADDRESS(_xludf.ROW()-200,_xludf.COLUMN()))</formula>
    </cfRule>
  </conditionalFormatting>
  <conditionalFormatting sqref="AU230:AU239 AP230:AT247 AU241:AU247">
    <cfRule type="expression" dxfId="398" priority="28">
      <formula>AP120&lt;&gt;_xludf.INDIRECT(_xludf.ADDRESS(_xludf.ROW()-200,_xludf.COLUMN()))</formula>
    </cfRule>
  </conditionalFormatting>
  <conditionalFormatting sqref="AR227:AS229">
    <cfRule type="expression" dxfId="397" priority="29">
      <formula>AQ117&lt;&gt;_xludf.INDIRECT(_xludf.ADDRESS(_xludf.ROW()-200,_xludf.COLUMN()))</formula>
    </cfRule>
  </conditionalFormatting>
  <conditionalFormatting sqref="CB2011">
    <cfRule type="expression" dxfId="396" priority="2">
      <formula>CB2010&lt;&gt;_xludf.INDIRECT("B" &amp; _xludf.ROW() + 200)</formula>
    </cfRule>
  </conditionalFormatting>
  <conditionalFormatting sqref="CL115:CL162 CB136:CG221">
    <cfRule type="expression" dxfId="395" priority="3">
      <formula>#REF!&lt;&gt;_xludf.INDIRECT(_xludf.ADDRESS(_xludf.ROW()-200,_xludf.COLUMN()))</formula>
    </cfRule>
  </conditionalFormatting>
  <conditionalFormatting sqref="CD223">
    <cfRule type="expression" dxfId="394" priority="5">
      <formula>#REF!&lt;&gt;_xludf.INDIRECT(_xludf.ADDRESS(_xludf.ROW()-200,_xludf.COLUMN()))</formula>
    </cfRule>
  </conditionalFormatting>
  <conditionalFormatting sqref="CB222:CB226">
    <cfRule type="expression" dxfId="393" priority="6">
      <formula>#REF!&lt;&gt;_xludf.INDIRECT(_xludf.ADDRESS(_xludf.ROW()-200,_xludf.COLUMN()))</formula>
    </cfRule>
  </conditionalFormatting>
  <conditionalFormatting sqref="CL168:CL182">
    <cfRule type="expression" dxfId="392" priority="7">
      <formula>CL23&lt;&gt;_xludf.INDIRECT(_xludf.ADDRESS(_xludf.ROW()-200,_xludf.COLUMN()))</formula>
    </cfRule>
  </conditionalFormatting>
  <conditionalFormatting sqref="CL183:CL185">
    <cfRule type="expression" dxfId="391" priority="8">
      <formula>#REF!&lt;&gt;_xludf.INDIRECT(_xludf.ADDRESS(_xludf.ROW()-200,_xludf.COLUMN()))</formula>
    </cfRule>
  </conditionalFormatting>
  <conditionalFormatting sqref="CG237">
    <cfRule type="expression" dxfId="390" priority="11">
      <formula>CH126&lt;&gt;_xludf.INDIRECT(_xludf.ADDRESS(_xludf.ROW()-200,_xludf.COLUMN()))</formula>
    </cfRule>
  </conditionalFormatting>
  <conditionalFormatting sqref="CL163:CL167">
    <cfRule type="expression" dxfId="389" priority="12">
      <formula>CK112&lt;&gt;_xludf.INDIRECT(_xludf.ADDRESS(_xludf.ROW()-200,_xludf.COLUMN()))</formula>
    </cfRule>
  </conditionalFormatting>
  <conditionalFormatting sqref="CE223">
    <cfRule type="expression" dxfId="388" priority="13">
      <formula>CC113&lt;&gt;_xludf.INDIRECT(_xludf.ADDRESS(_xludf.ROW()-200,_xludf.COLUMN()))</formula>
    </cfRule>
  </conditionalFormatting>
  <conditionalFormatting sqref="CG227:CG236 CB227:CF244 CG238:CG244">
    <cfRule type="expression" dxfId="387" priority="14">
      <formula>CB117&lt;&gt;_xludf.INDIRECT(_xludf.ADDRESS(_xludf.ROW()-200,_xludf.COLUMN()))</formula>
    </cfRule>
  </conditionalFormatting>
  <conditionalFormatting sqref="CC223:CC226 CD224:CE226 CC222:CG222 CF223:CG226">
    <cfRule type="expression" dxfId="386" priority="15">
      <formula>CB112&lt;&gt;_xludf.INDIRECT(_xludf.ADDRESS(_xludf.ROW()-200,_xludf.COLUMN()))</formula>
    </cfRule>
  </conditionalFormatting>
  <conditionalFormatting sqref="AQ226:AQ229">
    <cfRule type="expression" dxfId="385" priority="180">
      <formula>AP116&lt;&gt;_xludf.INDIRECT(_xludf.ADDRESS(_xludf.ROW()-200,_xludf.COLUMN()))</formula>
    </cfRule>
  </conditionalFormatting>
  <conditionalFormatting sqref="AQ225:AU225">
    <cfRule type="expression" dxfId="384"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82</xdr:col>
                    <xdr:colOff>1952625</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81</xdr:col>
                    <xdr:colOff>781050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81</xdr:col>
                    <xdr:colOff>419100</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79</xdr:col>
                    <xdr:colOff>1524000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79</xdr:col>
                    <xdr:colOff>1504950</xdr:colOff>
                    <xdr:row>9</xdr:row>
                    <xdr:rowOff>209550</xdr:rowOff>
                  </to>
                </anchor>
              </controlPr>
            </control>
          </mc:Choice>
        </mc:AlternateContent>
        <mc:AlternateContent xmlns:mc="http://schemas.openxmlformats.org/markup-compatibility/2006">
          <mc:Choice Requires="x14">
            <control shapeId="4168" r:id="rId45" name="Dropdown_TP_Structures">
              <controlPr defaultSize="0" autoLine="0" autoPict="0" macro="[0]!load_TP_Data">
                <anchor moveWithCells="1">
                  <from>
                    <xdr:col>100</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69" r:id="rId46" name="Dropdown_TOWER_Structures">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10" zoomScale="70" zoomScaleNormal="70" workbookViewId="0">
      <selection activeCell="G38" sqref="G38"/>
    </sheetView>
  </sheetViews>
  <sheetFormatPr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236</v>
      </c>
      <c r="E1" s="116"/>
      <c r="F1" s="116"/>
      <c r="G1" s="116"/>
      <c r="H1" s="116"/>
      <c r="I1" s="115"/>
      <c r="Q1" s="122" t="s">
        <v>237</v>
      </c>
      <c r="AB1" s="122" t="s">
        <v>235</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154</v>
      </c>
      <c r="AC3" s="139"/>
      <c r="AD3" s="139"/>
      <c r="AE3" s="139"/>
      <c r="AF3" s="139"/>
      <c r="AG3" s="139"/>
      <c r="AH3" s="139"/>
      <c r="AI3" s="139"/>
      <c r="AJ3" s="139"/>
      <c r="AK3" s="49"/>
      <c r="AL3" s="49"/>
      <c r="AM3" s="49"/>
      <c r="AN3" s="49"/>
      <c r="AO3" s="49"/>
      <c r="AP3" s="49"/>
      <c r="AQ3" s="49"/>
    </row>
    <row r="4" spans="1:84" ht="15" customHeight="1">
      <c r="A4" s="126" t="s">
        <v>184</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36"/>
      <c r="C6" s="49" t="s">
        <v>59</v>
      </c>
      <c r="D6" s="49" t="s">
        <v>1</v>
      </c>
      <c r="E6" s="49" t="s">
        <v>66</v>
      </c>
      <c r="F6" s="49" t="s">
        <v>63</v>
      </c>
      <c r="G6" s="49" t="s">
        <v>70</v>
      </c>
      <c r="H6" s="49" t="s">
        <v>69</v>
      </c>
      <c r="I6" s="49" t="s">
        <v>60</v>
      </c>
      <c r="J6" s="49" t="s">
        <v>61</v>
      </c>
      <c r="K6" s="49" t="s">
        <v>62</v>
      </c>
      <c r="L6" s="102" t="s">
        <v>65</v>
      </c>
      <c r="M6" s="102" t="s">
        <v>153</v>
      </c>
      <c r="N6" s="102" t="s">
        <v>142</v>
      </c>
      <c r="O6" s="102" t="s">
        <v>143</v>
      </c>
      <c r="P6" s="53"/>
      <c r="Q6" s="49" t="s">
        <v>66</v>
      </c>
      <c r="R6" s="49" t="s">
        <v>141</v>
      </c>
      <c r="S6" s="49" t="s">
        <v>70</v>
      </c>
      <c r="T6" s="49" t="s">
        <v>69</v>
      </c>
      <c r="U6" s="49" t="s">
        <v>67</v>
      </c>
      <c r="V6" s="49" t="s">
        <v>132</v>
      </c>
      <c r="W6" s="49" t="s">
        <v>133</v>
      </c>
      <c r="X6" s="49" t="s">
        <v>205</v>
      </c>
      <c r="Y6" s="49" t="s">
        <v>206</v>
      </c>
      <c r="Z6" s="49" t="s">
        <v>135</v>
      </c>
      <c r="AK6" s="49"/>
      <c r="AL6" s="49"/>
      <c r="AM6" s="49"/>
      <c r="AN6" s="49"/>
      <c r="AO6" s="49"/>
      <c r="AP6" s="49"/>
      <c r="AQ6" s="49"/>
    </row>
    <row r="7" spans="1:84" ht="15" customHeight="1">
      <c r="A7" s="49" t="s">
        <v>92</v>
      </c>
      <c r="B7" s="336"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696</v>
      </c>
      <c r="S7" s="51">
        <v>160.77000000000001</v>
      </c>
      <c r="T7" s="51">
        <v>160.77000000000001</v>
      </c>
      <c r="U7" s="49">
        <v>6061</v>
      </c>
      <c r="V7" s="180"/>
      <c r="W7" s="125"/>
      <c r="X7" s="51"/>
      <c r="Y7" s="51"/>
      <c r="Z7" s="49"/>
      <c r="AB7" s="95" t="s">
        <v>89</v>
      </c>
      <c r="AI7" s="49"/>
      <c r="AJ7" s="49"/>
      <c r="AK7" s="49"/>
      <c r="AL7" s="49"/>
      <c r="AM7" s="49"/>
      <c r="AN7" s="49"/>
      <c r="AO7" s="49"/>
      <c r="AP7" s="49"/>
      <c r="AQ7" s="49"/>
      <c r="AU7" s="49" t="s">
        <v>139</v>
      </c>
      <c r="BG7" s="142"/>
    </row>
    <row r="8" spans="1:84" ht="15" customHeight="1">
      <c r="A8" s="49" t="s">
        <v>113</v>
      </c>
      <c r="B8" s="336">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697</v>
      </c>
      <c r="S8" s="51">
        <v>159.66</v>
      </c>
      <c r="T8" s="51">
        <v>159.66</v>
      </c>
      <c r="U8" s="49">
        <v>1428</v>
      </c>
      <c r="V8" s="180"/>
      <c r="W8" s="125"/>
      <c r="X8" s="51"/>
      <c r="Y8" s="51"/>
      <c r="Z8" s="49"/>
      <c r="AB8" s="234" t="s">
        <v>55</v>
      </c>
      <c r="AC8" s="234" t="s">
        <v>100</v>
      </c>
      <c r="AD8" s="234" t="s">
        <v>101</v>
      </c>
      <c r="AE8" s="234" t="s">
        <v>115</v>
      </c>
      <c r="AF8" s="234" t="s">
        <v>121</v>
      </c>
      <c r="AG8" s="234" t="s">
        <v>122</v>
      </c>
      <c r="AH8" s="234" t="s">
        <v>130</v>
      </c>
      <c r="AI8" s="234" t="s">
        <v>129</v>
      </c>
      <c r="AJ8" s="234" t="s">
        <v>19</v>
      </c>
      <c r="AK8" s="49"/>
      <c r="AL8" s="49"/>
      <c r="AM8" s="49"/>
      <c r="AN8" s="49"/>
      <c r="AO8" s="49"/>
      <c r="AP8" s="49"/>
      <c r="AQ8" s="49"/>
    </row>
    <row r="9" spans="1:84" ht="15" customHeight="1">
      <c r="A9" s="49" t="s">
        <v>95</v>
      </c>
      <c r="B9" s="336">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698</v>
      </c>
      <c r="S9" s="51">
        <v>158.94</v>
      </c>
      <c r="T9" s="51">
        <v>158.94</v>
      </c>
      <c r="U9" s="49">
        <v>12008</v>
      </c>
      <c r="V9" s="180"/>
      <c r="W9" s="125"/>
      <c r="X9" s="51"/>
      <c r="Y9" s="51"/>
      <c r="Z9" s="49"/>
      <c r="AB9" s="234" t="s">
        <v>280</v>
      </c>
      <c r="AC9" s="234">
        <v>15</v>
      </c>
      <c r="AD9" s="234">
        <v>236</v>
      </c>
      <c r="AE9" s="234">
        <v>829000</v>
      </c>
      <c r="AF9" s="234">
        <v>210000000</v>
      </c>
      <c r="AG9" s="234">
        <v>370000000</v>
      </c>
      <c r="AH9" s="234">
        <v>3.7</v>
      </c>
      <c r="AI9" s="234">
        <v>3.5</v>
      </c>
      <c r="AJ9" s="234" t="s">
        <v>281</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699</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899999999999999" customHeight="1">
      <c r="A11" s="178" t="s">
        <v>742</v>
      </c>
      <c r="B11" s="244">
        <f xml:space="preserve"> INDEX(WHOLE_STRUCTURE[Top '[m']], 1) + INDEX(RNA[Vertical Offset TT to HH '[m']],1)</f>
        <v>164.6</v>
      </c>
      <c r="C11" s="178"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698</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699</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700</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701</v>
      </c>
      <c r="S14" s="51">
        <v>151.80000000000001</v>
      </c>
      <c r="T14" s="51">
        <v>151.80000000000001</v>
      </c>
      <c r="U14" s="49">
        <v>2104</v>
      </c>
      <c r="V14" s="180"/>
      <c r="W14" s="125"/>
      <c r="X14" s="51"/>
      <c r="Y14" s="51"/>
      <c r="Z14" s="49"/>
      <c r="AB14" s="234" t="s">
        <v>69</v>
      </c>
      <c r="AC14" s="234" t="s">
        <v>70</v>
      </c>
      <c r="AD14" s="234" t="s">
        <v>75</v>
      </c>
      <c r="AE14" s="234" t="s">
        <v>138</v>
      </c>
      <c r="AF14" s="234" t="s">
        <v>137</v>
      </c>
      <c r="AG14" s="234"/>
      <c r="AH14" s="234"/>
      <c r="AI14" s="234"/>
      <c r="AJ14" s="234"/>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702</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703</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704</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363</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705</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706</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707</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185</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708</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709</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710</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711</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712</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155</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713</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714</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715</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L6:L2252)</f>
        <v>189.72498586214277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716</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L6:L2252)</f>
        <v>1732.2296836474418</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717</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718</v>
      </c>
      <c r="S32" s="51">
        <v>98.740000000000009</v>
      </c>
      <c r="T32" s="51">
        <v>98.740000000000009</v>
      </c>
      <c r="U32" s="49">
        <v>1669</v>
      </c>
      <c r="V32" s="180"/>
      <c r="W32" s="125"/>
      <c r="X32" s="51"/>
      <c r="Y32" s="51"/>
      <c r="Z32" s="49"/>
      <c r="AB32" s="247"/>
      <c r="AC32" s="247"/>
      <c r="AD32" s="247"/>
      <c r="AE32" s="247"/>
      <c r="AF32" s="320"/>
      <c r="AG32" s="247"/>
      <c r="AH32" s="234"/>
      <c r="AI32" s="234"/>
      <c r="AJ32" s="234"/>
      <c r="AK32" s="49"/>
      <c r="AL32" s="49"/>
      <c r="AM32" s="49"/>
      <c r="AN32" s="49"/>
      <c r="AO32" s="49"/>
      <c r="AP32" s="49"/>
      <c r="AQ32" s="49"/>
    </row>
    <row r="33" spans="1:43">
      <c r="A33" s="54" t="s">
        <v>91</v>
      </c>
      <c r="B33" s="125">
        <f>SUM(S6:S1048576)</f>
        <v>4759.8100000000004</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719</v>
      </c>
      <c r="S33" s="51">
        <v>82.88</v>
      </c>
      <c r="T33" s="51">
        <v>82.88</v>
      </c>
      <c r="U33" s="49">
        <v>11206</v>
      </c>
      <c r="V33" s="180"/>
      <c r="W33" s="125"/>
      <c r="X33" s="51"/>
      <c r="Y33" s="51"/>
      <c r="Z33" s="49"/>
      <c r="AB33" s="247"/>
      <c r="AC33" s="247"/>
      <c r="AD33" s="247"/>
      <c r="AE33" s="247"/>
      <c r="AF33" s="320"/>
      <c r="AG33" s="247"/>
      <c r="AH33" s="234"/>
      <c r="AI33" s="234"/>
      <c r="AJ33" s="234"/>
      <c r="AK33" s="49"/>
      <c r="AL33" s="49"/>
      <c r="AM33" s="49"/>
      <c r="AN33" s="49"/>
      <c r="AO33" s="49"/>
      <c r="AP33" s="49"/>
      <c r="AQ33" s="49"/>
    </row>
    <row r="34" spans="1:43" ht="14.45" customHeight="1">
      <c r="A34" s="187" t="s">
        <v>201</v>
      </c>
      <c r="B34" s="188">
        <f>SUM(B29:B33)</f>
        <v>8835.4581032269816</v>
      </c>
      <c r="C34" s="189"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720</v>
      </c>
      <c r="S34" s="51">
        <v>82.68</v>
      </c>
      <c r="T34" s="51">
        <v>82.68</v>
      </c>
      <c r="U34" s="49">
        <v>11206</v>
      </c>
      <c r="V34" s="180"/>
      <c r="W34" s="125"/>
      <c r="X34" s="51"/>
      <c r="Y34" s="51"/>
      <c r="Z34" s="49"/>
      <c r="AB34" s="247"/>
      <c r="AC34" s="247"/>
      <c r="AD34" s="247"/>
      <c r="AE34" s="247"/>
      <c r="AF34" s="320"/>
      <c r="AG34" s="247"/>
      <c r="AH34" s="234"/>
      <c r="AI34" s="234"/>
      <c r="AJ34" s="234"/>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721</v>
      </c>
      <c r="S35" s="51">
        <v>81.38</v>
      </c>
      <c r="T35" s="51">
        <v>81.38</v>
      </c>
      <c r="U35" s="49">
        <v>9000</v>
      </c>
      <c r="V35" s="180"/>
      <c r="W35" s="125"/>
      <c r="X35" s="51"/>
      <c r="Y35" s="51"/>
      <c r="Z35" s="49"/>
      <c r="AB35" s="247"/>
      <c r="AC35" s="247"/>
      <c r="AD35" s="247"/>
      <c r="AE35" s="247"/>
      <c r="AF35" s="320"/>
      <c r="AG35" s="247"/>
      <c r="AH35" s="234"/>
      <c r="AI35" s="234"/>
      <c r="AJ35" s="234"/>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722</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723</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724</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725</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726</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727</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728</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729</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730</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731</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732</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733</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734</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735</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736</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737</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738</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739</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740</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741</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283</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284</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285</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286</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287</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282</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282</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213</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topLeftCell="Y217" zoomScale="85" zoomScaleNormal="85" workbookViewId="0">
      <selection activeCell="Y227" sqref="Y227"/>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40.5703125" style="53" hidden="1" customWidth="1"/>
    <col min="6" max="6" width="15.7109375" style="53" hidden="1" customWidth="1"/>
    <col min="7" max="7" width="46.42578125" style="53" hidden="1" customWidth="1"/>
    <col min="8" max="8" width="15.28515625" style="49" hidden="1" customWidth="1"/>
    <col min="9" max="9" width="19.28515625" style="49" hidden="1" customWidth="1"/>
    <col min="10" max="10" width="17.7109375" style="49" hidden="1" customWidth="1"/>
    <col min="11" max="11" width="20.7109375" style="49" hidden="1" customWidth="1"/>
    <col min="12" max="12" width="22.28515625" style="49" hidden="1" customWidth="1"/>
    <col min="13" max="13" width="37" style="49" hidden="1" customWidth="1"/>
    <col min="14" max="14" width="37.28515625" style="49" hidden="1" customWidth="1"/>
    <col min="15" max="15" width="32.28515625" style="49" hidden="1" customWidth="1"/>
    <col min="16" max="18" width="11.5703125" style="49" hidden="1" customWidth="1"/>
    <col min="19" max="19" width="46.85546875" style="53" customWidth="1"/>
    <col min="20" max="20" width="21.28515625" style="49" customWidth="1"/>
    <col min="21" max="21" width="28.28515625" style="49" customWidth="1"/>
    <col min="22" max="22" width="24.140625" style="49" customWidth="1"/>
    <col min="23" max="23" width="23" style="49" customWidth="1"/>
    <col min="24" max="24" width="19.28515625" style="49" customWidth="1"/>
    <col min="25" max="25" width="180" style="49" customWidth="1"/>
    <col min="26" max="27" width="11.5703125" style="49" customWidth="1"/>
    <col min="28" max="28" width="18" style="49" customWidth="1"/>
    <col min="29" max="29" width="19" style="49" customWidth="1"/>
    <col min="30" max="30" width="16.140625" style="49" customWidth="1"/>
    <col min="31" max="31" width="20.7109375" style="49" customWidth="1"/>
    <col min="32" max="32" width="29.140625" style="49" customWidth="1"/>
    <col min="33" max="33" width="12.7109375" style="49" customWidth="1"/>
    <col min="34" max="34" width="13" style="49" customWidth="1"/>
    <col min="35" max="35" width="29.42578125" style="49" customWidth="1"/>
    <col min="36" max="36" width="27.28515625" style="49" customWidth="1"/>
    <col min="37" max="37" width="19.5703125" style="49" customWidth="1"/>
    <col min="38" max="39" width="0" style="49" hidden="1" customWidth="1"/>
    <col min="40" max="40" width="11.42578125" style="49" hidden="1" customWidth="1"/>
    <col min="41" max="41" width="41.5703125" hidden="1" customWidth="1"/>
    <col min="42" max="42" width="43" hidden="1" customWidth="1"/>
    <col min="43" max="43" width="14.140625" style="49" hidden="1" customWidth="1"/>
    <col min="44" max="44" width="29.28515625" style="49" hidden="1" customWidth="1"/>
    <col min="45" max="45" width="27.28515625" style="49" hidden="1" customWidth="1"/>
    <col min="46" max="70" width="11.5703125" style="49" hidden="1" customWidth="1"/>
    <col min="71" max="71" width="14.42578125" hidden="1" customWidth="1"/>
    <col min="72" max="72" width="12.140625" hidden="1" customWidth="1"/>
    <col min="73" max="75" width="11.5703125" hidden="1" customWidth="1"/>
    <col min="76" max="97" width="11.5703125" customWidth="1"/>
  </cols>
  <sheetData>
    <row r="1" spans="1:76" s="117" customFormat="1" ht="196.9" customHeight="1" thickBot="1">
      <c r="A1" s="109"/>
      <c r="B1" s="110"/>
      <c r="C1" s="110"/>
      <c r="D1" s="118"/>
      <c r="E1" s="122" t="s">
        <v>237</v>
      </c>
      <c r="F1" s="310"/>
      <c r="G1" s="310"/>
      <c r="H1" s="101"/>
      <c r="I1" s="101"/>
      <c r="J1" s="101"/>
      <c r="K1" s="101"/>
      <c r="L1" s="101"/>
      <c r="M1" s="101"/>
      <c r="N1" s="101"/>
      <c r="O1" s="101"/>
      <c r="P1" s="101"/>
      <c r="Q1" s="101"/>
      <c r="R1" s="101"/>
      <c r="S1" s="137" t="s">
        <v>238</v>
      </c>
      <c r="T1" s="101"/>
      <c r="U1" s="101"/>
      <c r="V1" s="101"/>
      <c r="W1" s="101"/>
      <c r="X1" s="101"/>
      <c r="Y1" s="101"/>
      <c r="Z1" s="101"/>
      <c r="AA1" s="101"/>
      <c r="AB1" s="101"/>
      <c r="AC1" s="101"/>
      <c r="AD1" s="101"/>
      <c r="AE1" s="101"/>
      <c r="AF1" s="101"/>
      <c r="AG1" s="101"/>
      <c r="AH1" s="101"/>
      <c r="AI1" s="101"/>
      <c r="AJ1" s="101"/>
      <c r="AK1" s="101"/>
      <c r="AL1" s="101"/>
      <c r="AM1" s="101"/>
      <c r="AN1" s="101"/>
      <c r="AO1" s="122" t="s">
        <v>239</v>
      </c>
      <c r="AP1" s="116"/>
      <c r="AQ1" s="116"/>
      <c r="AR1" s="116"/>
      <c r="AS1" s="115"/>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23"/>
      <c r="BT1" s="116"/>
      <c r="BU1" s="116"/>
      <c r="BV1" s="116"/>
      <c r="BW1" s="141"/>
      <c r="BX1" s="115"/>
    </row>
    <row r="2" spans="1:76" s="57" customFormat="1">
      <c r="A2" s="67"/>
      <c r="D2" s="100"/>
      <c r="E2" s="144"/>
      <c r="F2" s="144"/>
      <c r="G2" s="144"/>
      <c r="H2" s="139"/>
      <c r="I2" s="139"/>
      <c r="J2" s="139"/>
      <c r="K2" s="139"/>
      <c r="L2" s="139"/>
      <c r="M2" s="139"/>
      <c r="N2" s="139"/>
      <c r="O2" s="139"/>
      <c r="P2" s="139"/>
      <c r="Q2" s="139"/>
      <c r="R2" s="139"/>
      <c r="S2" s="144"/>
      <c r="T2" s="139"/>
      <c r="U2" s="139"/>
      <c r="V2" s="139"/>
      <c r="W2" s="139"/>
      <c r="X2" s="139"/>
      <c r="Y2" s="139"/>
      <c r="Z2" s="139"/>
      <c r="AA2" s="139"/>
      <c r="AB2" s="139"/>
      <c r="AC2" s="139"/>
      <c r="AD2" s="139"/>
      <c r="AE2" s="139"/>
      <c r="AF2" s="139"/>
      <c r="AG2" s="139"/>
      <c r="AH2" s="139"/>
      <c r="AI2" s="139"/>
      <c r="AJ2" s="139"/>
      <c r="AK2" s="139"/>
      <c r="AL2" s="139"/>
      <c r="AM2" s="139"/>
      <c r="AN2" s="139"/>
      <c r="AQ2" s="139"/>
      <c r="AR2" s="139"/>
      <c r="AS2" s="139"/>
      <c r="AT2" s="139"/>
      <c r="AU2" s="139"/>
      <c r="AV2" s="139"/>
      <c r="AW2" s="317"/>
      <c r="AX2" s="139"/>
      <c r="AY2" s="139"/>
      <c r="AZ2" s="139"/>
      <c r="BA2" s="139"/>
      <c r="BB2" s="139"/>
      <c r="BC2" s="139"/>
      <c r="BD2" s="139"/>
      <c r="BE2" s="139"/>
      <c r="BF2" s="139"/>
      <c r="BG2" s="139"/>
      <c r="BH2" s="139"/>
      <c r="BI2" s="139"/>
      <c r="BJ2" s="139"/>
      <c r="BK2" s="139"/>
      <c r="BL2" s="139"/>
      <c r="BM2" s="139"/>
      <c r="BN2" s="139"/>
      <c r="BO2" s="139"/>
      <c r="BP2" s="139"/>
      <c r="BQ2" s="139"/>
      <c r="BR2" s="139"/>
    </row>
    <row r="3" spans="1:76" s="57" customFormat="1" ht="31.5">
      <c r="A3" s="67"/>
      <c r="D3" s="100"/>
      <c r="E3" s="145" t="s">
        <v>131</v>
      </c>
      <c r="F3" s="145"/>
      <c r="G3" s="144"/>
      <c r="H3" s="139"/>
      <c r="I3" s="139"/>
      <c r="J3" s="139"/>
      <c r="K3" s="139"/>
      <c r="L3" s="139"/>
      <c r="M3" s="139"/>
      <c r="N3" s="139"/>
      <c r="O3" s="139"/>
      <c r="P3" s="139"/>
      <c r="Q3" s="139"/>
      <c r="R3" s="139"/>
      <c r="S3" s="145" t="s">
        <v>167</v>
      </c>
      <c r="T3" s="139"/>
      <c r="U3" s="139"/>
      <c r="V3" s="139"/>
      <c r="W3" s="139"/>
      <c r="X3" s="139"/>
      <c r="Y3" s="139"/>
      <c r="Z3" s="139"/>
      <c r="AA3" s="139"/>
      <c r="AB3" s="139"/>
      <c r="AC3" s="139"/>
      <c r="AD3" s="139"/>
      <c r="AE3" s="139"/>
      <c r="AF3" s="139"/>
      <c r="AG3" s="139"/>
      <c r="AH3" s="139"/>
      <c r="AI3" s="139"/>
      <c r="AJ3" s="139"/>
      <c r="AK3" s="139"/>
      <c r="AL3" s="139"/>
      <c r="AM3" s="139"/>
      <c r="AN3" s="139"/>
      <c r="AO3" s="150" t="s">
        <v>50</v>
      </c>
      <c r="AP3" s="145"/>
      <c r="AQ3" s="139"/>
      <c r="AR3" s="139"/>
      <c r="AS3" s="139"/>
      <c r="AT3" s="139"/>
      <c r="AU3" s="139"/>
      <c r="AV3" s="139"/>
      <c r="AW3" s="317"/>
      <c r="AX3" s="139"/>
      <c r="AY3" s="139"/>
      <c r="AZ3" s="139"/>
      <c r="BA3" s="139"/>
      <c r="BB3" s="139"/>
      <c r="BC3" s="139"/>
      <c r="BD3" s="139"/>
      <c r="BE3" s="139"/>
      <c r="BF3" s="139"/>
      <c r="BG3" s="139"/>
      <c r="BH3" s="139"/>
      <c r="BI3" s="139"/>
      <c r="BJ3" s="139"/>
      <c r="BK3" s="139"/>
      <c r="BL3" s="139"/>
      <c r="BM3" s="139"/>
      <c r="BN3" s="139"/>
      <c r="BO3" s="139"/>
      <c r="BP3" s="139"/>
      <c r="BQ3" s="139"/>
      <c r="BR3" s="139"/>
    </row>
    <row r="4" spans="1:76" s="57" customFormat="1" ht="15.75" thickBot="1">
      <c r="A4" s="67"/>
      <c r="D4" s="100"/>
      <c r="E4" s="144"/>
      <c r="F4" s="144"/>
      <c r="G4" s="144"/>
      <c r="H4" s="139"/>
      <c r="I4" s="139"/>
      <c r="J4" s="139"/>
      <c r="K4" s="139"/>
      <c r="L4" s="139"/>
      <c r="M4" s="139"/>
      <c r="N4" s="139"/>
      <c r="O4" s="139"/>
      <c r="P4" s="139"/>
      <c r="Q4" s="139"/>
      <c r="R4" s="139"/>
      <c r="S4" s="144"/>
      <c r="T4" s="139"/>
      <c r="U4" s="139"/>
      <c r="V4" s="139"/>
      <c r="W4" s="139"/>
      <c r="X4" s="139"/>
      <c r="Y4" s="139"/>
      <c r="Z4" s="139"/>
      <c r="AA4" s="139"/>
      <c r="AB4" s="139"/>
      <c r="AC4" s="139"/>
      <c r="AD4" s="139"/>
      <c r="AE4" s="139"/>
      <c r="AF4" s="139"/>
      <c r="AG4" s="139"/>
      <c r="AH4" s="139"/>
      <c r="AI4" s="139"/>
      <c r="AJ4" s="139"/>
      <c r="AK4" s="139"/>
      <c r="AL4" s="139"/>
      <c r="AM4" s="139"/>
      <c r="AN4" s="139"/>
      <c r="AQ4" s="139"/>
      <c r="AR4" s="139"/>
      <c r="AS4" s="139"/>
      <c r="AT4" s="139"/>
      <c r="AU4" s="139"/>
      <c r="AV4" s="139"/>
      <c r="AW4" s="317"/>
      <c r="AX4" s="139"/>
      <c r="AY4" s="139"/>
      <c r="AZ4" s="139"/>
      <c r="BA4" s="139"/>
      <c r="BB4" s="139"/>
      <c r="BC4" s="139"/>
      <c r="BD4" s="139"/>
      <c r="BE4" s="139"/>
      <c r="BF4" s="139"/>
      <c r="BG4" s="139"/>
      <c r="BH4" s="139"/>
      <c r="BI4" s="139"/>
      <c r="BJ4" s="139"/>
      <c r="BK4" s="139"/>
      <c r="BL4" s="139"/>
      <c r="BM4" s="139"/>
      <c r="BN4" s="139"/>
      <c r="BO4" s="139"/>
      <c r="BP4" s="139"/>
      <c r="BQ4" s="139"/>
      <c r="BR4" s="139"/>
    </row>
    <row r="5" spans="1:76">
      <c r="A5" s="106"/>
      <c r="B5" s="107"/>
      <c r="C5" s="107"/>
      <c r="D5" s="146"/>
      <c r="E5" s="305"/>
      <c r="F5" s="311" t="s">
        <v>189</v>
      </c>
      <c r="G5" s="315"/>
      <c r="H5" s="147"/>
      <c r="I5" s="147"/>
      <c r="J5" s="147"/>
      <c r="K5" s="147"/>
      <c r="L5" s="147"/>
      <c r="M5" s="147"/>
      <c r="N5" s="296"/>
      <c r="AO5" s="340"/>
      <c r="AP5" s="149" t="s">
        <v>188</v>
      </c>
      <c r="AQ5" s="147"/>
      <c r="AR5" s="147"/>
      <c r="AS5" s="147"/>
      <c r="AT5" s="287"/>
      <c r="AU5" s="178"/>
      <c r="AV5" s="178"/>
      <c r="AW5" s="297"/>
    </row>
    <row r="6" spans="1:76" ht="18" customHeight="1">
      <c r="A6" s="106"/>
      <c r="B6" s="107"/>
      <c r="C6" s="107"/>
      <c r="D6" s="146"/>
      <c r="E6" s="306"/>
      <c r="F6" s="312" t="s">
        <v>690</v>
      </c>
      <c r="G6" s="312"/>
      <c r="H6" s="166"/>
      <c r="I6" s="166"/>
      <c r="J6" s="166"/>
      <c r="K6" s="166"/>
      <c r="L6" s="166"/>
      <c r="M6" s="166"/>
      <c r="N6" s="288"/>
      <c r="AO6" s="341"/>
      <c r="AP6" s="165" t="s">
        <v>642</v>
      </c>
      <c r="AQ6" s="166"/>
      <c r="AR6" s="166"/>
      <c r="AS6" s="166"/>
      <c r="AT6" s="288"/>
      <c r="AU6" s="178"/>
      <c r="AV6" s="178"/>
      <c r="AW6" s="297"/>
    </row>
    <row r="7" spans="1:76">
      <c r="A7" s="106"/>
      <c r="B7" s="107"/>
      <c r="C7" s="107"/>
      <c r="D7" s="146"/>
      <c r="E7" s="306"/>
      <c r="F7" s="282"/>
      <c r="G7" s="282"/>
      <c r="H7" s="178"/>
      <c r="N7" s="87"/>
      <c r="AO7" s="341"/>
      <c r="AT7" s="283"/>
      <c r="AU7" s="178"/>
      <c r="AV7" s="178"/>
    </row>
    <row r="8" spans="1:76" ht="15.75" thickBot="1">
      <c r="A8" s="106"/>
      <c r="B8" s="107"/>
      <c r="C8" s="107"/>
      <c r="D8" s="146"/>
      <c r="E8" s="307"/>
      <c r="F8" s="313"/>
      <c r="G8" s="313"/>
      <c r="H8" s="298"/>
      <c r="I8" s="148"/>
      <c r="J8" s="148"/>
      <c r="K8" s="148"/>
      <c r="L8" s="148"/>
      <c r="M8" s="148"/>
      <c r="N8" s="299"/>
      <c r="AO8" s="341"/>
      <c r="AT8" s="283"/>
      <c r="AU8" s="178"/>
      <c r="AV8" s="178"/>
    </row>
    <row r="9" spans="1:76">
      <c r="A9" s="106"/>
      <c r="B9" s="107"/>
      <c r="C9" s="107"/>
      <c r="D9" s="146"/>
      <c r="E9" s="282"/>
      <c r="F9" s="282"/>
      <c r="G9" s="282"/>
      <c r="H9" s="178"/>
      <c r="AO9" s="341"/>
      <c r="AT9" s="87"/>
    </row>
    <row r="10" spans="1:76" ht="15.75" thickBot="1">
      <c r="A10" s="106"/>
      <c r="B10" s="107"/>
      <c r="C10" s="107"/>
      <c r="D10" s="146"/>
      <c r="AO10" s="342"/>
      <c r="AP10" s="64"/>
      <c r="AQ10" s="148"/>
      <c r="AR10" s="148"/>
      <c r="AS10" s="148"/>
      <c r="AT10" s="299"/>
    </row>
    <row r="11" spans="1:76">
      <c r="A11" s="106"/>
      <c r="B11" s="107"/>
      <c r="C11" s="107"/>
      <c r="D11" s="146"/>
    </row>
    <row r="12" spans="1:76" ht="18.75">
      <c r="A12" s="106"/>
      <c r="B12" s="107"/>
      <c r="C12" s="107"/>
      <c r="D12" s="146"/>
      <c r="E12" s="308" t="s">
        <v>691</v>
      </c>
      <c r="S12" s="95" t="s">
        <v>197</v>
      </c>
    </row>
    <row r="13" spans="1:76" ht="18.75">
      <c r="A13" s="106"/>
      <c r="B13" s="107"/>
      <c r="C13" s="107"/>
      <c r="D13" s="146"/>
      <c r="E13" s="309" t="s">
        <v>190</v>
      </c>
      <c r="F13" s="314" t="s">
        <v>66</v>
      </c>
      <c r="G13" s="314" t="s">
        <v>141</v>
      </c>
      <c r="H13" s="300" t="s">
        <v>70</v>
      </c>
      <c r="I13" s="300" t="s">
        <v>69</v>
      </c>
      <c r="J13" s="300" t="s">
        <v>67</v>
      </c>
      <c r="K13" s="300" t="s">
        <v>132</v>
      </c>
      <c r="L13" s="300" t="s">
        <v>133</v>
      </c>
      <c r="M13" s="300" t="s">
        <v>205</v>
      </c>
      <c r="N13" s="300" t="s">
        <v>206</v>
      </c>
      <c r="O13" s="301" t="s">
        <v>135</v>
      </c>
      <c r="S13" s="53" t="s">
        <v>27</v>
      </c>
      <c r="T13" s="49" t="s">
        <v>79</v>
      </c>
      <c r="U13" s="49" t="s">
        <v>19</v>
      </c>
      <c r="AO13" s="66" t="s">
        <v>186</v>
      </c>
    </row>
    <row r="14" spans="1:76">
      <c r="A14" s="106"/>
      <c r="B14" s="107"/>
      <c r="C14" s="107"/>
      <c r="D14" s="146"/>
      <c r="E14" s="53" t="s">
        <v>215</v>
      </c>
      <c r="F14" s="53" t="s">
        <v>64</v>
      </c>
      <c r="G14" s="53" t="s">
        <v>283</v>
      </c>
      <c r="H14" s="49">
        <v>20.100000000000001</v>
      </c>
      <c r="I14" s="49">
        <v>20.100000000000001</v>
      </c>
      <c r="J14" s="49">
        <v>20000</v>
      </c>
      <c r="S14" s="53" t="s">
        <v>193</v>
      </c>
      <c r="T14" s="166">
        <v>0.1</v>
      </c>
      <c r="AO14" t="s">
        <v>27</v>
      </c>
      <c r="AP14" t="s">
        <v>19</v>
      </c>
      <c r="AQ14" s="49" t="s">
        <v>80</v>
      </c>
      <c r="AR14" s="49" t="s">
        <v>79</v>
      </c>
    </row>
    <row r="15" spans="1:76">
      <c r="A15" s="106"/>
      <c r="B15" s="107"/>
      <c r="C15" s="107"/>
      <c r="D15" s="146"/>
      <c r="E15" s="53" t="s">
        <v>215</v>
      </c>
      <c r="F15" s="53" t="s">
        <v>64</v>
      </c>
      <c r="G15" s="53" t="s">
        <v>284</v>
      </c>
      <c r="H15" s="49">
        <v>30</v>
      </c>
      <c r="I15" s="49">
        <v>19.5</v>
      </c>
      <c r="J15" s="49">
        <v>5000</v>
      </c>
      <c r="AO15" s="53" t="s">
        <v>76</v>
      </c>
      <c r="AP15" s="53" t="s">
        <v>88</v>
      </c>
      <c r="AQ15" s="49" t="s">
        <v>59</v>
      </c>
      <c r="AR15" s="166" t="s">
        <v>77</v>
      </c>
    </row>
    <row r="16" spans="1:76">
      <c r="A16" s="106"/>
      <c r="B16" s="107"/>
      <c r="C16" s="107"/>
      <c r="D16" s="146"/>
      <c r="E16" s="53" t="s">
        <v>215</v>
      </c>
      <c r="F16" s="53" t="s">
        <v>64</v>
      </c>
      <c r="G16" s="53" t="s">
        <v>285</v>
      </c>
      <c r="H16" s="49">
        <v>14</v>
      </c>
      <c r="I16" s="49">
        <v>14</v>
      </c>
      <c r="J16" s="49">
        <v>5000</v>
      </c>
      <c r="AO16" s="53" t="s">
        <v>78</v>
      </c>
      <c r="AP16" s="53"/>
      <c r="AQ16" s="49" t="s">
        <v>81</v>
      </c>
      <c r="AR16" s="166">
        <v>210000000000</v>
      </c>
    </row>
    <row r="17" spans="5:45">
      <c r="E17" s="53" t="s">
        <v>215</v>
      </c>
      <c r="F17" s="53" t="s">
        <v>64</v>
      </c>
      <c r="G17" s="53" t="s">
        <v>286</v>
      </c>
      <c r="H17" s="49">
        <v>11</v>
      </c>
      <c r="I17" s="49">
        <v>11</v>
      </c>
      <c r="J17" s="49">
        <v>1</v>
      </c>
      <c r="AO17" s="53" t="s">
        <v>118</v>
      </c>
      <c r="AP17" s="53"/>
      <c r="AQ17" s="49" t="s">
        <v>82</v>
      </c>
      <c r="AR17" s="166">
        <v>7850</v>
      </c>
    </row>
    <row r="18" spans="5:45">
      <c r="E18" s="53" t="s">
        <v>215</v>
      </c>
      <c r="F18" s="53" t="s">
        <v>64</v>
      </c>
      <c r="G18" s="53" t="s">
        <v>287</v>
      </c>
      <c r="H18" s="49">
        <v>6.1</v>
      </c>
      <c r="I18" s="49">
        <v>1</v>
      </c>
      <c r="J18" s="49">
        <v>200</v>
      </c>
      <c r="AO18" s="53" t="s">
        <v>83</v>
      </c>
      <c r="AP18" s="53" t="s">
        <v>103</v>
      </c>
      <c r="AQ18" s="49" t="s">
        <v>84</v>
      </c>
      <c r="AR18" s="166">
        <v>1</v>
      </c>
    </row>
    <row r="19" spans="5:45">
      <c r="E19" s="53" t="s">
        <v>215</v>
      </c>
      <c r="F19" s="53" t="s">
        <v>64</v>
      </c>
      <c r="G19" s="53" t="s">
        <v>282</v>
      </c>
      <c r="H19" s="49">
        <v>5.6</v>
      </c>
      <c r="I19" s="49">
        <v>5.6</v>
      </c>
      <c r="J19" s="49">
        <v>60000</v>
      </c>
      <c r="S19" s="53" t="s">
        <v>191</v>
      </c>
      <c r="T19" s="49" t="s">
        <v>192</v>
      </c>
      <c r="U19" s="49" t="s">
        <v>199</v>
      </c>
      <c r="V19" s="49" t="s">
        <v>200</v>
      </c>
      <c r="AO19" s="53" t="s">
        <v>85</v>
      </c>
      <c r="AP19" s="53" t="s">
        <v>102</v>
      </c>
      <c r="AQ19" s="49" t="s">
        <v>86</v>
      </c>
      <c r="AR19" s="166">
        <v>5</v>
      </c>
    </row>
    <row r="20" spans="5:45">
      <c r="E20" s="53" t="s">
        <v>215</v>
      </c>
      <c r="F20" s="53" t="s">
        <v>51</v>
      </c>
      <c r="G20" s="53" t="s">
        <v>282</v>
      </c>
      <c r="H20" s="49">
        <v>5.6</v>
      </c>
      <c r="I20" s="49">
        <v>5.6</v>
      </c>
      <c r="J20" s="49">
        <v>60000</v>
      </c>
      <c r="S20" s="312" t="s">
        <v>156</v>
      </c>
      <c r="T20" s="166">
        <v>7850</v>
      </c>
      <c r="U20" s="166">
        <v>210000000</v>
      </c>
      <c r="V20" s="166">
        <v>81000000000</v>
      </c>
      <c r="AO20" s="53" t="s">
        <v>87</v>
      </c>
      <c r="AP20" s="53" t="s">
        <v>103</v>
      </c>
      <c r="AQ20" s="49" t="s">
        <v>84</v>
      </c>
      <c r="AR20" s="166">
        <v>1</v>
      </c>
    </row>
    <row r="21" spans="5:45">
      <c r="E21" s="53" t="s">
        <v>215</v>
      </c>
      <c r="F21" s="53" t="s">
        <v>51</v>
      </c>
      <c r="G21" s="53" t="s">
        <v>213</v>
      </c>
      <c r="H21" s="49">
        <v>4.2</v>
      </c>
      <c r="I21" s="49">
        <v>4.2</v>
      </c>
      <c r="J21" s="49">
        <v>9000</v>
      </c>
      <c r="AO21" s="53" t="s">
        <v>98</v>
      </c>
      <c r="AP21" s="53"/>
      <c r="AQ21" s="49" t="s">
        <v>94</v>
      </c>
      <c r="AR21" s="166">
        <v>0.11</v>
      </c>
    </row>
    <row r="22" spans="5:45">
      <c r="E22" s="53" t="s">
        <v>215</v>
      </c>
      <c r="F22" s="53" t="s">
        <v>51</v>
      </c>
      <c r="G22" s="53" t="s">
        <v>68</v>
      </c>
      <c r="H22" s="49">
        <v>2</v>
      </c>
      <c r="I22" s="49">
        <v>2</v>
      </c>
      <c r="J22" s="49">
        <v>80000</v>
      </c>
      <c r="AO22" s="53" t="s">
        <v>640</v>
      </c>
      <c r="AP22" s="53" t="s">
        <v>641</v>
      </c>
      <c r="AQ22" s="49" t="s">
        <v>59</v>
      </c>
      <c r="AR22" s="166" t="s">
        <v>649</v>
      </c>
    </row>
    <row r="23" spans="5:45">
      <c r="S23" s="316" t="s">
        <v>198</v>
      </c>
    </row>
    <row r="24" spans="5:45">
      <c r="S24" s="53" t="s">
        <v>157</v>
      </c>
      <c r="T24" s="49" t="s">
        <v>71</v>
      </c>
      <c r="U24" s="49" t="s">
        <v>158</v>
      </c>
      <c r="V24" s="49" t="s">
        <v>168</v>
      </c>
      <c r="W24" s="50" t="s">
        <v>159</v>
      </c>
      <c r="X24" s="49" t="s">
        <v>169</v>
      </c>
      <c r="Y24" s="49" t="s">
        <v>19</v>
      </c>
      <c r="AB24" s="49" t="s">
        <v>66</v>
      </c>
      <c r="AC24" s="49" t="s">
        <v>160</v>
      </c>
      <c r="AD24" s="49" t="s">
        <v>157</v>
      </c>
      <c r="AE24" s="49" t="s">
        <v>132</v>
      </c>
      <c r="AF24" s="49" t="s">
        <v>161</v>
      </c>
      <c r="AG24" s="49" t="s">
        <v>162</v>
      </c>
      <c r="AH24" s="49" t="s">
        <v>163</v>
      </c>
      <c r="AI24" s="49" t="s">
        <v>164</v>
      </c>
      <c r="AJ24" s="49" t="s">
        <v>165</v>
      </c>
      <c r="AK24" s="49" t="s">
        <v>166</v>
      </c>
    </row>
    <row r="25" spans="5:45">
      <c r="S25" s="53">
        <v>1</v>
      </c>
      <c r="T25" s="51">
        <v>160.9</v>
      </c>
      <c r="U25" s="49">
        <v>0</v>
      </c>
      <c r="V25" s="49">
        <v>0</v>
      </c>
      <c r="W25" s="50">
        <v>0</v>
      </c>
      <c r="X25" s="49" t="b">
        <v>0</v>
      </c>
      <c r="Y25" s="53"/>
      <c r="AB25" s="49" t="s">
        <v>53</v>
      </c>
      <c r="AC25" s="49" t="s">
        <v>409</v>
      </c>
      <c r="AD25" s="49">
        <v>1</v>
      </c>
      <c r="AE25" s="51">
        <v>6.5</v>
      </c>
      <c r="AF25" s="49">
        <v>46</v>
      </c>
      <c r="AG25" s="49">
        <v>0.9</v>
      </c>
      <c r="AH25" s="49">
        <v>2</v>
      </c>
      <c r="AI25" s="49">
        <v>0</v>
      </c>
      <c r="AJ25" s="49">
        <v>7850</v>
      </c>
      <c r="AK25" s="49" t="s">
        <v>156</v>
      </c>
    </row>
    <row r="26" spans="5:45">
      <c r="S26" s="53">
        <v>2</v>
      </c>
      <c r="T26" s="49">
        <v>160.77000000000001</v>
      </c>
      <c r="U26" s="49">
        <v>0</v>
      </c>
      <c r="V26" s="49">
        <v>0</v>
      </c>
      <c r="W26" s="50">
        <v>6061</v>
      </c>
      <c r="X26" s="49" t="b">
        <v>1</v>
      </c>
      <c r="Y26" s="53" t="s">
        <v>650</v>
      </c>
      <c r="AB26" s="49" t="s">
        <v>53</v>
      </c>
      <c r="AC26" s="49" t="s">
        <v>410</v>
      </c>
      <c r="AD26" s="49">
        <v>2</v>
      </c>
      <c r="AE26" s="49">
        <v>6.5</v>
      </c>
      <c r="AF26" s="49">
        <v>46</v>
      </c>
      <c r="AG26" s="49">
        <v>0.9</v>
      </c>
      <c r="AH26" s="49">
        <v>2</v>
      </c>
      <c r="AI26" s="49">
        <v>0</v>
      </c>
      <c r="AJ26" s="49">
        <v>7850</v>
      </c>
      <c r="AK26" s="49" t="s">
        <v>156</v>
      </c>
    </row>
    <row r="27" spans="5:45">
      <c r="S27" s="53">
        <v>3</v>
      </c>
      <c r="T27" s="49">
        <v>160.64000000000001</v>
      </c>
      <c r="U27" s="49">
        <v>0</v>
      </c>
      <c r="V27" s="49">
        <v>0</v>
      </c>
      <c r="W27" s="50">
        <v>0</v>
      </c>
      <c r="X27" s="49" t="b">
        <v>0</v>
      </c>
      <c r="Y27" s="53"/>
      <c r="AB27" s="49" t="s">
        <v>53</v>
      </c>
      <c r="AC27" s="49" t="s">
        <v>411</v>
      </c>
      <c r="AD27" s="49">
        <v>2</v>
      </c>
      <c r="AE27" s="49">
        <v>6.5</v>
      </c>
      <c r="AF27" s="49">
        <v>46</v>
      </c>
      <c r="AG27" s="49">
        <v>0.9</v>
      </c>
      <c r="AH27" s="49">
        <v>2</v>
      </c>
      <c r="AI27" s="49">
        <v>0</v>
      </c>
      <c r="AJ27" s="49">
        <v>7850</v>
      </c>
      <c r="AK27" s="49" t="s">
        <v>156</v>
      </c>
    </row>
    <row r="28" spans="5:45" ht="19.5" thickBot="1">
      <c r="S28" s="53">
        <v>4</v>
      </c>
      <c r="T28" s="49">
        <v>159.66</v>
      </c>
      <c r="U28" s="49">
        <v>0</v>
      </c>
      <c r="V28" s="49">
        <v>0</v>
      </c>
      <c r="W28" s="50">
        <v>1428</v>
      </c>
      <c r="X28" s="49" t="b">
        <v>1</v>
      </c>
      <c r="Y28" s="53" t="s">
        <v>651</v>
      </c>
      <c r="AB28" s="49" t="s">
        <v>53</v>
      </c>
      <c r="AC28" s="49" t="s">
        <v>412</v>
      </c>
      <c r="AD28" s="49">
        <v>3</v>
      </c>
      <c r="AE28" s="49">
        <v>6.5</v>
      </c>
      <c r="AF28" s="49">
        <v>46</v>
      </c>
      <c r="AG28" s="49">
        <v>0.9</v>
      </c>
      <c r="AH28" s="49">
        <v>2</v>
      </c>
      <c r="AI28" s="49">
        <v>0</v>
      </c>
      <c r="AJ28" s="49">
        <v>7850</v>
      </c>
      <c r="AK28" s="49" t="s">
        <v>156</v>
      </c>
      <c r="AO28" s="66" t="s">
        <v>187</v>
      </c>
    </row>
    <row r="29" spans="5:45">
      <c r="S29" s="53">
        <v>5</v>
      </c>
      <c r="T29" s="49">
        <v>158.94</v>
      </c>
      <c r="U29" s="49">
        <v>0</v>
      </c>
      <c r="V29" s="49">
        <v>0</v>
      </c>
      <c r="W29" s="50">
        <v>12008</v>
      </c>
      <c r="X29" s="49" t="b">
        <v>1</v>
      </c>
      <c r="Y29" s="53" t="s">
        <v>652</v>
      </c>
      <c r="AB29" s="49" t="s">
        <v>53</v>
      </c>
      <c r="AC29" s="49" t="s">
        <v>413</v>
      </c>
      <c r="AD29" s="49">
        <v>3</v>
      </c>
      <c r="AE29" s="49">
        <v>6.5</v>
      </c>
      <c r="AF29" s="49">
        <v>46</v>
      </c>
      <c r="AG29" s="49">
        <v>0.9</v>
      </c>
      <c r="AH29" s="49">
        <v>2</v>
      </c>
      <c r="AI29" s="49">
        <v>0</v>
      </c>
      <c r="AJ29" s="49">
        <v>7850</v>
      </c>
      <c r="AK29" s="49" t="s">
        <v>156</v>
      </c>
      <c r="AO29" s="302" t="s">
        <v>105</v>
      </c>
      <c r="AP29" s="149" t="s">
        <v>19</v>
      </c>
      <c r="AQ29" s="295" t="s">
        <v>119</v>
      </c>
      <c r="AR29" s="296" t="s">
        <v>106</v>
      </c>
      <c r="AS29" s="49" t="s">
        <v>408</v>
      </c>
    </row>
    <row r="30" spans="5:45">
      <c r="S30" s="53">
        <v>6</v>
      </c>
      <c r="T30" s="49">
        <v>158.59</v>
      </c>
      <c r="U30" s="49">
        <v>0</v>
      </c>
      <c r="V30" s="49">
        <v>0</v>
      </c>
      <c r="W30" s="50">
        <v>17996</v>
      </c>
      <c r="X30" s="49" t="b">
        <v>1</v>
      </c>
      <c r="Y30" s="53" t="s">
        <v>653</v>
      </c>
      <c r="AB30" s="49" t="s">
        <v>53</v>
      </c>
      <c r="AC30" s="49" t="s">
        <v>414</v>
      </c>
      <c r="AD30" s="49">
        <v>4</v>
      </c>
      <c r="AE30" s="49">
        <v>6.5</v>
      </c>
      <c r="AF30" s="49">
        <v>46</v>
      </c>
      <c r="AG30" s="49">
        <v>0.9</v>
      </c>
      <c r="AH30" s="49">
        <v>2</v>
      </c>
      <c r="AI30" s="49">
        <v>0</v>
      </c>
      <c r="AJ30" s="49">
        <v>7850</v>
      </c>
      <c r="AK30" s="49" t="s">
        <v>156</v>
      </c>
      <c r="AO30" s="54" t="s">
        <v>293</v>
      </c>
      <c r="AP30" t="s">
        <v>111</v>
      </c>
      <c r="AQ30" s="303" t="s">
        <v>59</v>
      </c>
      <c r="AR30" s="87" t="s">
        <v>333</v>
      </c>
    </row>
    <row r="31" spans="5:45">
      <c r="S31" s="53">
        <v>7</v>
      </c>
      <c r="T31" s="49">
        <v>157.74</v>
      </c>
      <c r="U31" s="49">
        <v>0</v>
      </c>
      <c r="V31" s="49">
        <v>0</v>
      </c>
      <c r="W31" s="50">
        <v>0</v>
      </c>
      <c r="X31" s="49" t="b">
        <v>0</v>
      </c>
      <c r="Y31" s="53"/>
      <c r="AB31" s="49" t="s">
        <v>53</v>
      </c>
      <c r="AC31" s="49" t="s">
        <v>415</v>
      </c>
      <c r="AD31" s="49">
        <v>4</v>
      </c>
      <c r="AE31" s="49">
        <v>6.5</v>
      </c>
      <c r="AF31" s="49">
        <v>46</v>
      </c>
      <c r="AG31" s="49">
        <v>0.9</v>
      </c>
      <c r="AH31" s="49">
        <v>2</v>
      </c>
      <c r="AI31" s="49">
        <v>0</v>
      </c>
      <c r="AJ31" s="49">
        <v>7850</v>
      </c>
      <c r="AK31" s="49" t="s">
        <v>156</v>
      </c>
      <c r="AO31" s="54" t="s">
        <v>294</v>
      </c>
      <c r="AP31" t="s">
        <v>110</v>
      </c>
      <c r="AQ31" s="303" t="s">
        <v>59</v>
      </c>
      <c r="AR31" s="87" t="s">
        <v>334</v>
      </c>
    </row>
    <row r="32" spans="5:45">
      <c r="S32" s="53">
        <v>8</v>
      </c>
      <c r="T32" s="49">
        <v>156.44</v>
      </c>
      <c r="U32" s="49">
        <v>0</v>
      </c>
      <c r="V32" s="49">
        <v>0</v>
      </c>
      <c r="W32" s="50">
        <v>0</v>
      </c>
      <c r="X32" s="49" t="b">
        <v>0</v>
      </c>
      <c r="Y32" s="53"/>
      <c r="AB32" s="49" t="s">
        <v>53</v>
      </c>
      <c r="AC32" s="49" t="s">
        <v>416</v>
      </c>
      <c r="AD32" s="49">
        <v>5</v>
      </c>
      <c r="AE32" s="49">
        <v>6.5</v>
      </c>
      <c r="AF32" s="49">
        <v>46</v>
      </c>
      <c r="AG32" s="49">
        <v>0.9</v>
      </c>
      <c r="AH32" s="49">
        <v>2</v>
      </c>
      <c r="AI32" s="49">
        <v>0</v>
      </c>
      <c r="AJ32" s="49">
        <v>7850</v>
      </c>
      <c r="AK32" s="49" t="s">
        <v>156</v>
      </c>
      <c r="AO32" s="54" t="s">
        <v>295</v>
      </c>
      <c r="AQ32" s="303" t="s">
        <v>59</v>
      </c>
      <c r="AR32" s="87" t="s">
        <v>643</v>
      </c>
    </row>
    <row r="33" spans="19:45">
      <c r="S33" s="53">
        <v>9</v>
      </c>
      <c r="T33" s="49">
        <v>155.30000000000001</v>
      </c>
      <c r="U33" s="49">
        <v>0</v>
      </c>
      <c r="V33" s="49">
        <v>0</v>
      </c>
      <c r="W33" s="50">
        <v>12209</v>
      </c>
      <c r="X33" s="49" t="b">
        <v>1</v>
      </c>
      <c r="Y33" s="53" t="s">
        <v>654</v>
      </c>
      <c r="AB33" s="49" t="s">
        <v>53</v>
      </c>
      <c r="AC33" s="49" t="s">
        <v>417</v>
      </c>
      <c r="AD33" s="49">
        <v>5</v>
      </c>
      <c r="AE33" s="49">
        <v>6.5</v>
      </c>
      <c r="AF33" s="49">
        <v>46</v>
      </c>
      <c r="AG33" s="49">
        <v>0.9</v>
      </c>
      <c r="AH33" s="49">
        <v>2</v>
      </c>
      <c r="AI33" s="49">
        <v>0</v>
      </c>
      <c r="AJ33" s="49">
        <v>7850</v>
      </c>
      <c r="AK33" s="49" t="s">
        <v>156</v>
      </c>
      <c r="AO33" s="54" t="s">
        <v>296</v>
      </c>
      <c r="AQ33" s="303" t="s">
        <v>59</v>
      </c>
      <c r="AR33" s="87" t="s">
        <v>644</v>
      </c>
    </row>
    <row r="34" spans="19:45">
      <c r="S34" s="53">
        <v>10</v>
      </c>
      <c r="T34" s="49">
        <v>154.95000000000002</v>
      </c>
      <c r="U34" s="49">
        <v>0</v>
      </c>
      <c r="V34" s="49">
        <v>0</v>
      </c>
      <c r="W34" s="50">
        <v>17996</v>
      </c>
      <c r="X34" s="49" t="b">
        <v>1</v>
      </c>
      <c r="Y34" s="53" t="s">
        <v>653</v>
      </c>
      <c r="AB34" s="49" t="s">
        <v>53</v>
      </c>
      <c r="AC34" s="49" t="s">
        <v>418</v>
      </c>
      <c r="AD34" s="49">
        <v>6</v>
      </c>
      <c r="AE34" s="49">
        <v>6.5</v>
      </c>
      <c r="AF34" s="49">
        <v>46</v>
      </c>
      <c r="AG34" s="49">
        <v>0.9</v>
      </c>
      <c r="AH34" s="49">
        <v>2</v>
      </c>
      <c r="AI34" s="49">
        <v>0</v>
      </c>
      <c r="AJ34" s="49">
        <v>7850</v>
      </c>
      <c r="AK34" s="49" t="s">
        <v>156</v>
      </c>
      <c r="AO34" s="54" t="s">
        <v>297</v>
      </c>
      <c r="AQ34" s="303" t="s">
        <v>59</v>
      </c>
      <c r="AR34" s="87" t="s">
        <v>645</v>
      </c>
    </row>
    <row r="35" spans="19:45">
      <c r="S35" s="53">
        <v>11</v>
      </c>
      <c r="T35" s="49">
        <v>153.5</v>
      </c>
      <c r="U35" s="49">
        <v>0</v>
      </c>
      <c r="V35" s="49">
        <v>0</v>
      </c>
      <c r="W35" s="50">
        <v>0</v>
      </c>
      <c r="X35" s="49" t="b">
        <v>0</v>
      </c>
      <c r="Y35" s="53"/>
      <c r="AB35" s="49" t="s">
        <v>53</v>
      </c>
      <c r="AC35" s="49" t="s">
        <v>419</v>
      </c>
      <c r="AD35" s="49">
        <v>6</v>
      </c>
      <c r="AE35" s="49">
        <v>6.5</v>
      </c>
      <c r="AF35" s="49">
        <v>46</v>
      </c>
      <c r="AG35" s="49">
        <v>0.9</v>
      </c>
      <c r="AH35" s="49">
        <v>2</v>
      </c>
      <c r="AI35" s="49">
        <v>0</v>
      </c>
      <c r="AJ35" s="49">
        <v>7850</v>
      </c>
      <c r="AK35" s="49" t="s">
        <v>156</v>
      </c>
      <c r="AO35" s="54" t="s">
        <v>298</v>
      </c>
      <c r="AQ35" s="303" t="s">
        <v>59</v>
      </c>
      <c r="AR35" s="87" t="s">
        <v>646</v>
      </c>
    </row>
    <row r="36" spans="19:45">
      <c r="S36" s="53">
        <v>12</v>
      </c>
      <c r="T36" s="49">
        <v>152.65</v>
      </c>
      <c r="U36" s="49">
        <v>0</v>
      </c>
      <c r="V36" s="49">
        <v>0</v>
      </c>
      <c r="W36" s="50">
        <v>1440</v>
      </c>
      <c r="X36" s="49" t="b">
        <v>1</v>
      </c>
      <c r="Y36" s="53" t="s">
        <v>655</v>
      </c>
      <c r="AB36" s="49" t="s">
        <v>53</v>
      </c>
      <c r="AC36" s="49" t="s">
        <v>420</v>
      </c>
      <c r="AD36" s="49">
        <v>7</v>
      </c>
      <c r="AE36" s="49">
        <v>6.5</v>
      </c>
      <c r="AF36" s="49">
        <v>46</v>
      </c>
      <c r="AG36" s="49">
        <v>0.9</v>
      </c>
      <c r="AH36" s="49">
        <v>2</v>
      </c>
      <c r="AI36" s="49">
        <v>0</v>
      </c>
      <c r="AJ36" s="49">
        <v>7850</v>
      </c>
      <c r="AK36" s="49" t="s">
        <v>156</v>
      </c>
      <c r="AO36" s="54" t="s">
        <v>299</v>
      </c>
      <c r="AQ36" s="303" t="s">
        <v>59</v>
      </c>
      <c r="AR36" s="87" t="s">
        <v>647</v>
      </c>
    </row>
    <row r="37" spans="19:45">
      <c r="S37" s="53">
        <v>13</v>
      </c>
      <c r="T37" s="49">
        <v>151.80000000000001</v>
      </c>
      <c r="U37" s="49">
        <v>0</v>
      </c>
      <c r="V37" s="49">
        <v>0</v>
      </c>
      <c r="W37" s="50">
        <v>5713</v>
      </c>
      <c r="X37" s="49" t="b">
        <v>1</v>
      </c>
      <c r="Y37" s="53" t="s">
        <v>656</v>
      </c>
      <c r="AB37" s="49" t="s">
        <v>53</v>
      </c>
      <c r="AC37" s="49" t="s">
        <v>421</v>
      </c>
      <c r="AD37" s="49">
        <v>7</v>
      </c>
      <c r="AE37" s="49">
        <v>6.5</v>
      </c>
      <c r="AF37" s="49">
        <v>46</v>
      </c>
      <c r="AG37" s="49">
        <v>0.9</v>
      </c>
      <c r="AH37" s="49">
        <v>2</v>
      </c>
      <c r="AI37" s="49">
        <v>0</v>
      </c>
      <c r="AJ37" s="49">
        <v>7850</v>
      </c>
      <c r="AK37" s="49" t="s">
        <v>156</v>
      </c>
      <c r="AO37" s="54" t="s">
        <v>300</v>
      </c>
      <c r="AQ37" s="303" t="s">
        <v>59</v>
      </c>
      <c r="AR37" s="87" t="s">
        <v>648</v>
      </c>
    </row>
    <row r="38" spans="19:45">
      <c r="S38" s="53">
        <v>14</v>
      </c>
      <c r="T38" s="49">
        <v>151.66</v>
      </c>
      <c r="U38" s="49">
        <v>0</v>
      </c>
      <c r="V38" s="49">
        <v>0</v>
      </c>
      <c r="W38" s="50">
        <v>910</v>
      </c>
      <c r="X38" s="49" t="b">
        <v>1</v>
      </c>
      <c r="Y38" s="53" t="s">
        <v>657</v>
      </c>
      <c r="AB38" s="49" t="s">
        <v>53</v>
      </c>
      <c r="AC38" s="49" t="s">
        <v>422</v>
      </c>
      <c r="AD38" s="49">
        <v>8</v>
      </c>
      <c r="AE38" s="49">
        <v>6.5</v>
      </c>
      <c r="AF38" s="49">
        <v>46</v>
      </c>
      <c r="AG38" s="49">
        <v>0.9</v>
      </c>
      <c r="AH38" s="49">
        <v>2</v>
      </c>
      <c r="AI38" s="49">
        <v>0</v>
      </c>
      <c r="AJ38" s="49">
        <v>7850</v>
      </c>
      <c r="AK38" s="49" t="s">
        <v>156</v>
      </c>
      <c r="AO38" s="54" t="s">
        <v>301</v>
      </c>
      <c r="AQ38" s="303" t="s">
        <v>59</v>
      </c>
      <c r="AR38" s="87">
        <v>501</v>
      </c>
    </row>
    <row r="39" spans="19:45">
      <c r="S39" s="53">
        <v>15</v>
      </c>
      <c r="T39" s="49">
        <v>150.56</v>
      </c>
      <c r="U39" s="49">
        <v>0</v>
      </c>
      <c r="V39" s="49">
        <v>0</v>
      </c>
      <c r="W39" s="50">
        <v>5000</v>
      </c>
      <c r="X39" s="49" t="b">
        <v>0</v>
      </c>
      <c r="Y39" s="53" t="s">
        <v>631</v>
      </c>
      <c r="AB39" s="49" t="s">
        <v>53</v>
      </c>
      <c r="AC39" s="49" t="s">
        <v>423</v>
      </c>
      <c r="AD39" s="49">
        <v>8</v>
      </c>
      <c r="AE39" s="49">
        <v>6.5</v>
      </c>
      <c r="AF39" s="49">
        <v>46</v>
      </c>
      <c r="AG39" s="49">
        <v>0.9</v>
      </c>
      <c r="AH39" s="49">
        <v>2</v>
      </c>
      <c r="AI39" s="49">
        <v>0</v>
      </c>
      <c r="AJ39" s="49">
        <v>7850</v>
      </c>
      <c r="AK39" s="49" t="s">
        <v>156</v>
      </c>
      <c r="AN39" s="294"/>
      <c r="AO39" s="54" t="s">
        <v>302</v>
      </c>
      <c r="AQ39" s="49" t="s">
        <v>123</v>
      </c>
      <c r="AR39" s="304">
        <v>2200000000</v>
      </c>
      <c r="AS39" s="294"/>
    </row>
    <row r="40" spans="19:45">
      <c r="S40" s="53">
        <v>16</v>
      </c>
      <c r="T40" s="49">
        <v>148</v>
      </c>
      <c r="U40" s="49">
        <v>0</v>
      </c>
      <c r="V40" s="49">
        <v>0</v>
      </c>
      <c r="W40" s="50">
        <v>0</v>
      </c>
      <c r="X40" s="49" t="b">
        <v>0</v>
      </c>
      <c r="Y40" s="53"/>
      <c r="AB40" s="49" t="s">
        <v>53</v>
      </c>
      <c r="AC40" s="49" t="s">
        <v>424</v>
      </c>
      <c r="AD40" s="49">
        <v>9</v>
      </c>
      <c r="AE40" s="49">
        <v>6.5</v>
      </c>
      <c r="AF40" s="49">
        <v>46</v>
      </c>
      <c r="AG40" s="49">
        <v>0.9</v>
      </c>
      <c r="AH40" s="49">
        <v>2</v>
      </c>
      <c r="AI40" s="49">
        <v>0</v>
      </c>
      <c r="AJ40" s="49">
        <v>7850</v>
      </c>
      <c r="AK40" s="49" t="s">
        <v>156</v>
      </c>
      <c r="AN40" s="294"/>
      <c r="AO40" s="54" t="s">
        <v>303</v>
      </c>
      <c r="AQ40" s="294" t="s">
        <v>289</v>
      </c>
      <c r="AR40" s="304">
        <v>640000000000</v>
      </c>
    </row>
    <row r="41" spans="19:45">
      <c r="S41" s="53">
        <v>17</v>
      </c>
      <c r="T41" s="49">
        <v>147.70000000000002</v>
      </c>
      <c r="U41" s="49">
        <v>0</v>
      </c>
      <c r="V41" s="49">
        <v>0</v>
      </c>
      <c r="W41" s="50">
        <v>455</v>
      </c>
      <c r="X41" s="49" t="b">
        <v>1</v>
      </c>
      <c r="Y41" s="53" t="s">
        <v>658</v>
      </c>
      <c r="AB41" s="49" t="s">
        <v>53</v>
      </c>
      <c r="AC41" s="49" t="s">
        <v>425</v>
      </c>
      <c r="AD41" s="49">
        <v>9</v>
      </c>
      <c r="AE41" s="49">
        <v>6.5</v>
      </c>
      <c r="AF41" s="49">
        <v>46</v>
      </c>
      <c r="AG41" s="49">
        <v>0.9</v>
      </c>
      <c r="AH41" s="49">
        <v>2</v>
      </c>
      <c r="AI41" s="49">
        <v>0</v>
      </c>
      <c r="AJ41" s="49">
        <v>7850</v>
      </c>
      <c r="AK41" s="49" t="s">
        <v>156</v>
      </c>
      <c r="AN41" s="294"/>
      <c r="AO41" s="54" t="s">
        <v>304</v>
      </c>
      <c r="AQ41" s="49" t="s">
        <v>290</v>
      </c>
      <c r="AR41" s="304">
        <v>-29300000000</v>
      </c>
    </row>
    <row r="42" spans="19:45">
      <c r="S42" s="53">
        <v>18</v>
      </c>
      <c r="T42" s="49">
        <v>145.62</v>
      </c>
      <c r="U42" s="49">
        <v>0</v>
      </c>
      <c r="V42" s="49">
        <v>0</v>
      </c>
      <c r="W42" s="50">
        <v>7201</v>
      </c>
      <c r="X42" s="49" t="b">
        <v>1</v>
      </c>
      <c r="Y42" s="53" t="s">
        <v>659</v>
      </c>
      <c r="AB42" s="49" t="s">
        <v>53</v>
      </c>
      <c r="AC42" s="49" t="s">
        <v>426</v>
      </c>
      <c r="AD42" s="49">
        <v>10</v>
      </c>
      <c r="AE42" s="49">
        <v>6.5</v>
      </c>
      <c r="AF42" s="49">
        <v>46</v>
      </c>
      <c r="AG42" s="49">
        <v>0.9</v>
      </c>
      <c r="AH42" s="49">
        <v>2</v>
      </c>
      <c r="AI42" s="49">
        <v>0</v>
      </c>
      <c r="AJ42" s="49">
        <v>7850</v>
      </c>
      <c r="AK42" s="49" t="s">
        <v>156</v>
      </c>
      <c r="AN42" s="294"/>
      <c r="AO42" s="54" t="s">
        <v>305</v>
      </c>
      <c r="AQ42" s="49" t="s">
        <v>124</v>
      </c>
      <c r="AR42" s="87">
        <v>0</v>
      </c>
    </row>
    <row r="43" spans="19:45">
      <c r="S43" s="53">
        <v>19</v>
      </c>
      <c r="T43" s="49">
        <v>145.44</v>
      </c>
      <c r="U43" s="49">
        <v>0</v>
      </c>
      <c r="V43" s="49">
        <v>0</v>
      </c>
      <c r="W43" s="50">
        <v>0</v>
      </c>
      <c r="X43" s="49" t="b">
        <v>0</v>
      </c>
      <c r="Y43" s="53"/>
      <c r="AB43" s="49" t="s">
        <v>53</v>
      </c>
      <c r="AC43" s="49" t="s">
        <v>427</v>
      </c>
      <c r="AD43" s="49">
        <v>10</v>
      </c>
      <c r="AE43" s="49">
        <v>6.5</v>
      </c>
      <c r="AF43" s="49">
        <v>46</v>
      </c>
      <c r="AG43" s="49">
        <v>0.9</v>
      </c>
      <c r="AH43" s="49">
        <v>2</v>
      </c>
      <c r="AI43" s="49">
        <v>0</v>
      </c>
      <c r="AJ43" s="49">
        <v>7850</v>
      </c>
      <c r="AK43" s="49" t="s">
        <v>156</v>
      </c>
      <c r="AN43" s="294"/>
      <c r="AO43" s="54" t="s">
        <v>306</v>
      </c>
      <c r="AQ43" s="49" t="s">
        <v>124</v>
      </c>
      <c r="AR43" s="87">
        <v>0</v>
      </c>
    </row>
    <row r="44" spans="19:45">
      <c r="S44" s="53">
        <v>20</v>
      </c>
      <c r="T44" s="49">
        <v>142.85</v>
      </c>
      <c r="U44" s="49">
        <v>0</v>
      </c>
      <c r="V44" s="49">
        <v>0</v>
      </c>
      <c r="W44" s="50">
        <v>0</v>
      </c>
      <c r="X44" s="49" t="b">
        <v>0</v>
      </c>
      <c r="Y44" s="53"/>
      <c r="AB44" s="49" t="s">
        <v>53</v>
      </c>
      <c r="AC44" s="49" t="s">
        <v>428</v>
      </c>
      <c r="AD44" s="49">
        <v>11</v>
      </c>
      <c r="AE44" s="49">
        <v>6.5</v>
      </c>
      <c r="AF44" s="49">
        <v>46</v>
      </c>
      <c r="AG44" s="49">
        <v>0.9</v>
      </c>
      <c r="AH44" s="49">
        <v>2</v>
      </c>
      <c r="AI44" s="49">
        <v>0</v>
      </c>
      <c r="AJ44" s="49">
        <v>7850</v>
      </c>
      <c r="AK44" s="49" t="s">
        <v>156</v>
      </c>
      <c r="AO44" s="54" t="s">
        <v>307</v>
      </c>
      <c r="AQ44" s="49" t="s">
        <v>124</v>
      </c>
      <c r="AR44" s="87">
        <v>0</v>
      </c>
    </row>
    <row r="45" spans="19:45">
      <c r="S45" s="53">
        <v>21</v>
      </c>
      <c r="T45" s="49">
        <v>142.70000000000002</v>
      </c>
      <c r="U45" s="49">
        <v>0</v>
      </c>
      <c r="V45" s="49">
        <v>0</v>
      </c>
      <c r="W45" s="50">
        <v>4525</v>
      </c>
      <c r="X45" s="49" t="b">
        <v>0</v>
      </c>
      <c r="Y45" s="53" t="s">
        <v>660</v>
      </c>
      <c r="AB45" s="49" t="s">
        <v>53</v>
      </c>
      <c r="AC45" s="49" t="s">
        <v>429</v>
      </c>
      <c r="AD45" s="49">
        <v>11</v>
      </c>
      <c r="AE45" s="49">
        <v>6.49</v>
      </c>
      <c r="AF45" s="49">
        <v>32</v>
      </c>
      <c r="AG45" s="49">
        <v>0.9</v>
      </c>
      <c r="AH45" s="49">
        <v>2</v>
      </c>
      <c r="AI45" s="49">
        <v>0</v>
      </c>
      <c r="AJ45" s="49">
        <v>7850</v>
      </c>
      <c r="AK45" s="49" t="s">
        <v>156</v>
      </c>
      <c r="AO45" s="54" t="s">
        <v>308</v>
      </c>
      <c r="AQ45" s="303" t="s">
        <v>292</v>
      </c>
      <c r="AR45" s="87">
        <v>2</v>
      </c>
    </row>
    <row r="46" spans="19:45">
      <c r="S46" s="53">
        <v>22</v>
      </c>
      <c r="T46" s="49">
        <v>142.56</v>
      </c>
      <c r="U46" s="49">
        <v>0</v>
      </c>
      <c r="V46" s="49">
        <v>0</v>
      </c>
      <c r="W46" s="50">
        <v>4525</v>
      </c>
      <c r="X46" s="49" t="b">
        <v>0</v>
      </c>
      <c r="Y46" s="53" t="s">
        <v>661</v>
      </c>
      <c r="AB46" s="49" t="s">
        <v>53</v>
      </c>
      <c r="AC46" s="49" t="s">
        <v>430</v>
      </c>
      <c r="AD46" s="49">
        <v>12</v>
      </c>
      <c r="AE46" s="49">
        <v>6.49</v>
      </c>
      <c r="AF46" s="49">
        <v>32</v>
      </c>
      <c r="AG46" s="49">
        <v>0.9</v>
      </c>
      <c r="AH46" s="49">
        <v>2</v>
      </c>
      <c r="AI46" s="49">
        <v>0</v>
      </c>
      <c r="AJ46" s="49">
        <v>7850</v>
      </c>
      <c r="AK46" s="49" t="s">
        <v>156</v>
      </c>
      <c r="AO46" s="54" t="s">
        <v>309</v>
      </c>
      <c r="AQ46" s="303" t="s">
        <v>292</v>
      </c>
      <c r="AR46" s="87">
        <v>10</v>
      </c>
    </row>
    <row r="47" spans="19:45">
      <c r="S47" s="53">
        <v>23</v>
      </c>
      <c r="T47" s="49">
        <v>141.30000000000001</v>
      </c>
      <c r="U47" s="49">
        <v>0</v>
      </c>
      <c r="V47" s="49">
        <v>0</v>
      </c>
      <c r="W47" s="50">
        <v>5941</v>
      </c>
      <c r="X47" s="49" t="b">
        <v>1</v>
      </c>
      <c r="Y47" s="53" t="s">
        <v>662</v>
      </c>
      <c r="AB47" s="49" t="s">
        <v>53</v>
      </c>
      <c r="AC47" s="49" t="s">
        <v>431</v>
      </c>
      <c r="AD47" s="49">
        <v>12</v>
      </c>
      <c r="AE47" s="49">
        <v>6.49</v>
      </c>
      <c r="AF47" s="49">
        <v>32</v>
      </c>
      <c r="AG47" s="49">
        <v>0.9</v>
      </c>
      <c r="AH47" s="49">
        <v>2</v>
      </c>
      <c r="AI47" s="49">
        <v>0</v>
      </c>
      <c r="AJ47" s="49">
        <v>7850</v>
      </c>
      <c r="AK47" s="49" t="s">
        <v>156</v>
      </c>
      <c r="AO47" s="54" t="s">
        <v>310</v>
      </c>
      <c r="AQ47" s="303" t="s">
        <v>124</v>
      </c>
      <c r="AR47" s="87">
        <v>1</v>
      </c>
    </row>
    <row r="48" spans="19:45">
      <c r="S48" s="53">
        <v>24</v>
      </c>
      <c r="T48" s="49">
        <v>140.22</v>
      </c>
      <c r="U48" s="49">
        <v>0</v>
      </c>
      <c r="V48" s="49">
        <v>0</v>
      </c>
      <c r="W48" s="50">
        <v>0</v>
      </c>
      <c r="X48" s="49" t="b">
        <v>0</v>
      </c>
      <c r="Y48" s="53"/>
      <c r="AB48" s="49" t="s">
        <v>53</v>
      </c>
      <c r="AC48" s="49" t="s">
        <v>432</v>
      </c>
      <c r="AD48" s="49">
        <v>13</v>
      </c>
      <c r="AE48" s="49">
        <v>6.49</v>
      </c>
      <c r="AF48" s="49">
        <v>32</v>
      </c>
      <c r="AG48" s="49">
        <v>0.9</v>
      </c>
      <c r="AH48" s="49">
        <v>2</v>
      </c>
      <c r="AI48" s="49">
        <v>0</v>
      </c>
      <c r="AJ48" s="49">
        <v>7850</v>
      </c>
      <c r="AK48" s="49" t="s">
        <v>156</v>
      </c>
      <c r="AO48" s="54" t="s">
        <v>332</v>
      </c>
      <c r="AQ48" s="303" t="s">
        <v>125</v>
      </c>
      <c r="AR48" s="87">
        <v>1027</v>
      </c>
    </row>
    <row r="49" spans="19:45">
      <c r="S49" s="53">
        <v>25</v>
      </c>
      <c r="T49" s="49">
        <v>137.92000000000002</v>
      </c>
      <c r="U49" s="49">
        <v>0</v>
      </c>
      <c r="V49" s="49">
        <v>0</v>
      </c>
      <c r="W49" s="50">
        <v>0</v>
      </c>
      <c r="X49" s="49" t="b">
        <v>0</v>
      </c>
      <c r="Y49" s="53"/>
      <c r="AB49" s="49" t="s">
        <v>53</v>
      </c>
      <c r="AC49" s="49" t="s">
        <v>433</v>
      </c>
      <c r="AD49" s="49">
        <v>13</v>
      </c>
      <c r="AE49" s="49">
        <v>6.49</v>
      </c>
      <c r="AF49" s="49">
        <v>32</v>
      </c>
      <c r="AG49" s="49">
        <v>0.9</v>
      </c>
      <c r="AH49" s="49">
        <v>2</v>
      </c>
      <c r="AI49" s="49">
        <v>0</v>
      </c>
      <c r="AJ49" s="49">
        <v>7850</v>
      </c>
      <c r="AK49" s="49" t="s">
        <v>156</v>
      </c>
      <c r="AO49" s="54" t="s">
        <v>311</v>
      </c>
      <c r="AP49" t="s">
        <v>109</v>
      </c>
      <c r="AQ49" s="303" t="s">
        <v>94</v>
      </c>
      <c r="AR49" s="87" t="s">
        <v>107</v>
      </c>
      <c r="AS49" s="49">
        <v>0</v>
      </c>
    </row>
    <row r="50" spans="19:45">
      <c r="S50" s="53">
        <v>26</v>
      </c>
      <c r="T50" s="49">
        <v>135.62</v>
      </c>
      <c r="U50" s="49">
        <v>0</v>
      </c>
      <c r="V50" s="49">
        <v>0</v>
      </c>
      <c r="W50" s="50">
        <v>0</v>
      </c>
      <c r="X50" s="49" t="b">
        <v>0</v>
      </c>
      <c r="Y50" s="53"/>
      <c r="AB50" s="49" t="s">
        <v>53</v>
      </c>
      <c r="AC50" s="49" t="s">
        <v>434</v>
      </c>
      <c r="AD50" s="49">
        <v>14</v>
      </c>
      <c r="AE50" s="49">
        <v>6.49</v>
      </c>
      <c r="AF50" s="49">
        <v>32</v>
      </c>
      <c r="AG50" s="49">
        <v>0.9</v>
      </c>
      <c r="AH50" s="49">
        <v>2</v>
      </c>
      <c r="AI50" s="49">
        <v>0</v>
      </c>
      <c r="AJ50" s="49">
        <v>7850</v>
      </c>
      <c r="AK50" s="49" t="s">
        <v>156</v>
      </c>
      <c r="AO50" s="54" t="s">
        <v>312</v>
      </c>
      <c r="AP50" t="s">
        <v>109</v>
      </c>
      <c r="AQ50" s="303" t="s">
        <v>94</v>
      </c>
      <c r="AR50" s="87" t="s">
        <v>107</v>
      </c>
      <c r="AS50" s="49">
        <v>0</v>
      </c>
    </row>
    <row r="51" spans="19:45">
      <c r="S51" s="53">
        <v>27</v>
      </c>
      <c r="T51" s="49">
        <v>133.31</v>
      </c>
      <c r="U51" s="49">
        <v>0</v>
      </c>
      <c r="V51" s="49">
        <v>0</v>
      </c>
      <c r="W51" s="50">
        <v>0</v>
      </c>
      <c r="X51" s="49" t="b">
        <v>0</v>
      </c>
      <c r="Y51" s="53"/>
      <c r="AB51" s="49" t="s">
        <v>53</v>
      </c>
      <c r="AC51" s="49" t="s">
        <v>435</v>
      </c>
      <c r="AD51" s="49">
        <v>14</v>
      </c>
      <c r="AE51" s="49">
        <v>6.49</v>
      </c>
      <c r="AF51" s="49">
        <v>32</v>
      </c>
      <c r="AG51" s="49">
        <v>0.9</v>
      </c>
      <c r="AH51" s="49">
        <v>2</v>
      </c>
      <c r="AI51" s="49">
        <v>0</v>
      </c>
      <c r="AJ51" s="49">
        <v>7850</v>
      </c>
      <c r="AK51" s="49" t="s">
        <v>156</v>
      </c>
      <c r="AO51" s="54" t="s">
        <v>313</v>
      </c>
      <c r="AQ51" s="303" t="s">
        <v>125</v>
      </c>
      <c r="AR51" s="87">
        <v>1325</v>
      </c>
    </row>
    <row r="52" spans="19:45">
      <c r="S52" s="53">
        <v>28</v>
      </c>
      <c r="T52" s="49">
        <v>131.01000000000002</v>
      </c>
      <c r="U52" s="49">
        <v>0</v>
      </c>
      <c r="V52" s="49">
        <v>0</v>
      </c>
      <c r="W52" s="50">
        <v>0</v>
      </c>
      <c r="X52" s="49" t="b">
        <v>0</v>
      </c>
      <c r="Y52" s="53"/>
      <c r="AB52" s="49" t="s">
        <v>53</v>
      </c>
      <c r="AC52" s="49" t="s">
        <v>436</v>
      </c>
      <c r="AD52" s="49">
        <v>15</v>
      </c>
      <c r="AE52" s="49">
        <v>6.49</v>
      </c>
      <c r="AF52" s="49">
        <v>32</v>
      </c>
      <c r="AG52" s="49">
        <v>0.9</v>
      </c>
      <c r="AH52" s="49">
        <v>2</v>
      </c>
      <c r="AI52" s="49">
        <v>0</v>
      </c>
      <c r="AJ52" s="49">
        <v>7850</v>
      </c>
      <c r="AK52" s="49" t="s">
        <v>156</v>
      </c>
      <c r="AO52" s="54" t="s">
        <v>314</v>
      </c>
      <c r="AQ52" s="303" t="s">
        <v>292</v>
      </c>
      <c r="AR52" s="87">
        <v>2</v>
      </c>
    </row>
    <row r="53" spans="19:45">
      <c r="S53" s="53">
        <v>29</v>
      </c>
      <c r="T53" s="49">
        <v>128.71</v>
      </c>
      <c r="U53" s="49">
        <v>0</v>
      </c>
      <c r="V53" s="49">
        <v>0</v>
      </c>
      <c r="W53" s="50">
        <v>9189</v>
      </c>
      <c r="X53" s="49" t="b">
        <v>0</v>
      </c>
      <c r="Y53" s="53" t="s">
        <v>663</v>
      </c>
      <c r="AB53" s="49" t="s">
        <v>53</v>
      </c>
      <c r="AC53" s="49" t="s">
        <v>437</v>
      </c>
      <c r="AD53" s="49">
        <v>15</v>
      </c>
      <c r="AE53" s="49">
        <v>6.48</v>
      </c>
      <c r="AF53" s="49">
        <v>24</v>
      </c>
      <c r="AG53" s="49">
        <v>0.9</v>
      </c>
      <c r="AH53" s="49">
        <v>2</v>
      </c>
      <c r="AI53" s="49">
        <v>0</v>
      </c>
      <c r="AJ53" s="49">
        <v>7850</v>
      </c>
      <c r="AK53" s="49" t="s">
        <v>156</v>
      </c>
      <c r="AO53" s="54" t="s">
        <v>315</v>
      </c>
      <c r="AQ53" s="303" t="s">
        <v>292</v>
      </c>
      <c r="AR53" s="87">
        <v>300</v>
      </c>
    </row>
    <row r="54" spans="19:45">
      <c r="S54" s="53">
        <v>30</v>
      </c>
      <c r="T54" s="49">
        <v>126.41</v>
      </c>
      <c r="U54" s="49">
        <v>0</v>
      </c>
      <c r="V54" s="49">
        <v>0</v>
      </c>
      <c r="W54" s="50">
        <v>0</v>
      </c>
      <c r="X54" s="49" t="b">
        <v>0</v>
      </c>
      <c r="Y54" s="53"/>
      <c r="AB54" s="49" t="s">
        <v>53</v>
      </c>
      <c r="AC54" s="49" t="s">
        <v>438</v>
      </c>
      <c r="AD54" s="49">
        <v>16</v>
      </c>
      <c r="AE54" s="49">
        <v>6.48</v>
      </c>
      <c r="AF54" s="49">
        <v>24</v>
      </c>
      <c r="AG54" s="49">
        <v>0.9</v>
      </c>
      <c r="AH54" s="49">
        <v>2</v>
      </c>
      <c r="AI54" s="49">
        <v>0</v>
      </c>
      <c r="AJ54" s="49">
        <v>7850</v>
      </c>
      <c r="AK54" s="49" t="s">
        <v>156</v>
      </c>
      <c r="AO54" s="54" t="s">
        <v>316</v>
      </c>
      <c r="AR54" s="87">
        <v>10</v>
      </c>
    </row>
    <row r="55" spans="19:45">
      <c r="S55" s="53">
        <v>31</v>
      </c>
      <c r="T55" s="49">
        <v>124.11000000000001</v>
      </c>
      <c r="U55" s="49">
        <v>0</v>
      </c>
      <c r="V55" s="49">
        <v>0</v>
      </c>
      <c r="W55" s="50">
        <v>0</v>
      </c>
      <c r="X55" s="49" t="b">
        <v>0</v>
      </c>
      <c r="Y55" s="53"/>
      <c r="AB55" s="49" t="s">
        <v>53</v>
      </c>
      <c r="AC55" s="49" t="s">
        <v>439</v>
      </c>
      <c r="AD55" s="49">
        <v>16</v>
      </c>
      <c r="AE55" s="49">
        <v>6.48</v>
      </c>
      <c r="AF55" s="49">
        <v>30</v>
      </c>
      <c r="AG55" s="49">
        <v>0.9</v>
      </c>
      <c r="AH55" s="49">
        <v>2</v>
      </c>
      <c r="AI55" s="49">
        <v>0</v>
      </c>
      <c r="AJ55" s="49">
        <v>7850</v>
      </c>
      <c r="AK55" s="49" t="s">
        <v>156</v>
      </c>
      <c r="AO55" s="54" t="s">
        <v>317</v>
      </c>
      <c r="AQ55" s="49">
        <v>1</v>
      </c>
      <c r="AR55" s="87">
        <v>7.4999999999999997E-3</v>
      </c>
    </row>
    <row r="56" spans="19:45">
      <c r="S56" s="53">
        <v>32</v>
      </c>
      <c r="T56" s="49">
        <v>121.81</v>
      </c>
      <c r="U56" s="49">
        <v>0</v>
      </c>
      <c r="V56" s="49">
        <v>0</v>
      </c>
      <c r="W56" s="50">
        <v>0</v>
      </c>
      <c r="X56" s="49" t="b">
        <v>0</v>
      </c>
      <c r="Y56" s="53"/>
      <c r="AB56" s="49" t="s">
        <v>53</v>
      </c>
      <c r="AC56" s="49" t="s">
        <v>440</v>
      </c>
      <c r="AD56" s="49">
        <v>17</v>
      </c>
      <c r="AE56" s="49">
        <v>6.48</v>
      </c>
      <c r="AF56" s="49">
        <v>30</v>
      </c>
      <c r="AG56" s="49">
        <v>0.9</v>
      </c>
      <c r="AH56" s="49">
        <v>2</v>
      </c>
      <c r="AI56" s="49">
        <v>0</v>
      </c>
      <c r="AJ56" s="49">
        <v>7850</v>
      </c>
      <c r="AK56" s="49" t="s">
        <v>156</v>
      </c>
      <c r="AO56" s="54" t="s">
        <v>318</v>
      </c>
      <c r="AP56" s="49"/>
      <c r="AQ56" s="49">
        <v>1</v>
      </c>
      <c r="AR56" s="87">
        <v>6.4000000000000003E-3</v>
      </c>
    </row>
    <row r="57" spans="19:45">
      <c r="S57" s="53">
        <v>33</v>
      </c>
      <c r="T57" s="49">
        <v>119.5</v>
      </c>
      <c r="U57" s="49">
        <v>0</v>
      </c>
      <c r="V57" s="49">
        <v>0</v>
      </c>
      <c r="W57" s="50">
        <v>0</v>
      </c>
      <c r="X57" s="49" t="b">
        <v>0</v>
      </c>
      <c r="Y57" s="53"/>
      <c r="AB57" s="49" t="s">
        <v>53</v>
      </c>
      <c r="AC57" s="49" t="s">
        <v>441</v>
      </c>
      <c r="AD57" s="49">
        <v>17</v>
      </c>
      <c r="AE57" s="49">
        <v>6.48</v>
      </c>
      <c r="AF57" s="49">
        <v>30</v>
      </c>
      <c r="AG57" s="49">
        <v>0.9</v>
      </c>
      <c r="AH57" s="49">
        <v>2</v>
      </c>
      <c r="AI57" s="49">
        <v>0</v>
      </c>
      <c r="AJ57" s="49">
        <v>7850</v>
      </c>
      <c r="AK57" s="49" t="s">
        <v>156</v>
      </c>
      <c r="AO57" s="54" t="s">
        <v>331</v>
      </c>
      <c r="AQ57" s="49">
        <v>1</v>
      </c>
      <c r="AR57" s="87">
        <v>0.01</v>
      </c>
    </row>
    <row r="58" spans="19:45">
      <c r="S58" s="53">
        <v>34</v>
      </c>
      <c r="T58" s="49">
        <v>117.19999999999999</v>
      </c>
      <c r="U58" s="49">
        <v>0</v>
      </c>
      <c r="V58" s="49">
        <v>0</v>
      </c>
      <c r="W58" s="50">
        <v>0</v>
      </c>
      <c r="X58" s="49" t="b">
        <v>0</v>
      </c>
      <c r="Y58" s="53"/>
      <c r="AB58" s="49" t="s">
        <v>53</v>
      </c>
      <c r="AC58" s="49" t="s">
        <v>442</v>
      </c>
      <c r="AD58" s="49">
        <v>18</v>
      </c>
      <c r="AE58" s="49">
        <v>6.48</v>
      </c>
      <c r="AF58" s="49">
        <v>30</v>
      </c>
      <c r="AG58" s="49">
        <v>0.9</v>
      </c>
      <c r="AH58" s="49">
        <v>2</v>
      </c>
      <c r="AI58" s="49">
        <v>0</v>
      </c>
      <c r="AJ58" s="49">
        <v>7850</v>
      </c>
      <c r="AK58" s="49" t="s">
        <v>156</v>
      </c>
      <c r="AO58" s="54" t="s">
        <v>319</v>
      </c>
      <c r="AQ58" s="49" t="s">
        <v>126</v>
      </c>
      <c r="AR58" s="87">
        <v>36</v>
      </c>
    </row>
    <row r="59" spans="19:45">
      <c r="S59" s="53">
        <v>35</v>
      </c>
      <c r="T59" s="49">
        <v>114.85</v>
      </c>
      <c r="U59" s="49">
        <v>0</v>
      </c>
      <c r="V59" s="49">
        <v>0</v>
      </c>
      <c r="W59" s="50">
        <v>0</v>
      </c>
      <c r="X59" s="49" t="b">
        <v>0</v>
      </c>
      <c r="Y59" s="53"/>
      <c r="AB59" s="49" t="s">
        <v>53</v>
      </c>
      <c r="AC59" s="49" t="s">
        <v>443</v>
      </c>
      <c r="AD59" s="49">
        <v>18</v>
      </c>
      <c r="AE59" s="49">
        <v>6.48</v>
      </c>
      <c r="AF59" s="49">
        <v>30</v>
      </c>
      <c r="AG59" s="49">
        <v>0.9</v>
      </c>
      <c r="AH59" s="49">
        <v>2</v>
      </c>
      <c r="AI59" s="49">
        <v>0</v>
      </c>
      <c r="AJ59" s="49">
        <v>7850</v>
      </c>
      <c r="AK59" s="49" t="s">
        <v>156</v>
      </c>
      <c r="AO59" s="54" t="s">
        <v>320</v>
      </c>
      <c r="AQ59" s="49">
        <v>1</v>
      </c>
      <c r="AR59" s="87">
        <v>5</v>
      </c>
      <c r="AS59" s="49">
        <v>4</v>
      </c>
    </row>
    <row r="60" spans="19:45">
      <c r="S60" s="53">
        <v>36</v>
      </c>
      <c r="T60" s="49">
        <v>114.69999999999999</v>
      </c>
      <c r="U60" s="49">
        <v>0</v>
      </c>
      <c r="V60" s="49">
        <v>0</v>
      </c>
      <c r="W60" s="50">
        <v>13320</v>
      </c>
      <c r="X60" s="49" t="b">
        <v>0</v>
      </c>
      <c r="Y60" s="53" t="s">
        <v>664</v>
      </c>
      <c r="AB60" s="49" t="s">
        <v>53</v>
      </c>
      <c r="AC60" s="49" t="s">
        <v>444</v>
      </c>
      <c r="AD60" s="49">
        <v>19</v>
      </c>
      <c r="AE60" s="49">
        <v>6.48</v>
      </c>
      <c r="AF60" s="49">
        <v>30</v>
      </c>
      <c r="AG60" s="49">
        <v>0.9</v>
      </c>
      <c r="AH60" s="49">
        <v>2</v>
      </c>
      <c r="AI60" s="49">
        <v>0</v>
      </c>
      <c r="AJ60" s="49">
        <v>7850</v>
      </c>
      <c r="AK60" s="49" t="s">
        <v>156</v>
      </c>
      <c r="AO60" s="54" t="s">
        <v>321</v>
      </c>
      <c r="AQ60" s="49">
        <v>1</v>
      </c>
      <c r="AR60" s="87">
        <v>10000000</v>
      </c>
    </row>
    <row r="61" spans="19:45">
      <c r="S61" s="53">
        <v>37</v>
      </c>
      <c r="T61" s="49">
        <v>114.55000000000001</v>
      </c>
      <c r="U61" s="49">
        <v>0</v>
      </c>
      <c r="V61" s="49">
        <v>0</v>
      </c>
      <c r="W61" s="50">
        <v>0</v>
      </c>
      <c r="X61" s="49" t="b">
        <v>0</v>
      </c>
      <c r="Y61" s="53"/>
      <c r="AB61" s="49" t="s">
        <v>53</v>
      </c>
      <c r="AC61" s="49" t="s">
        <v>445</v>
      </c>
      <c r="AD61" s="49">
        <v>19</v>
      </c>
      <c r="AE61" s="49">
        <v>6.49</v>
      </c>
      <c r="AF61" s="49">
        <v>32</v>
      </c>
      <c r="AG61" s="49">
        <v>0.9</v>
      </c>
      <c r="AH61" s="49">
        <v>2</v>
      </c>
      <c r="AI61" s="49">
        <v>0</v>
      </c>
      <c r="AJ61" s="49">
        <v>7850</v>
      </c>
      <c r="AK61" s="49" t="s">
        <v>156</v>
      </c>
      <c r="AO61" s="54" t="s">
        <v>322</v>
      </c>
      <c r="AQ61" s="49">
        <v>1</v>
      </c>
      <c r="AR61" s="87">
        <v>0.89500000000000002</v>
      </c>
    </row>
    <row r="62" spans="19:45">
      <c r="S62" s="53">
        <v>38</v>
      </c>
      <c r="T62" s="49">
        <v>113.30000000000001</v>
      </c>
      <c r="U62" s="49">
        <v>0</v>
      </c>
      <c r="V62" s="49">
        <v>0</v>
      </c>
      <c r="W62" s="50">
        <v>9000</v>
      </c>
      <c r="X62" s="49" t="b">
        <v>1</v>
      </c>
      <c r="Y62" s="53" t="s">
        <v>665</v>
      </c>
      <c r="AB62" s="49" t="s">
        <v>53</v>
      </c>
      <c r="AC62" s="49" t="s">
        <v>446</v>
      </c>
      <c r="AD62" s="49">
        <v>20</v>
      </c>
      <c r="AE62" s="49">
        <v>6.5</v>
      </c>
      <c r="AF62" s="49">
        <v>32</v>
      </c>
      <c r="AG62" s="49">
        <v>0.9</v>
      </c>
      <c r="AH62" s="49">
        <v>2</v>
      </c>
      <c r="AI62" s="49">
        <v>0</v>
      </c>
      <c r="AJ62" s="49">
        <v>7850</v>
      </c>
      <c r="AK62" s="49" t="s">
        <v>156</v>
      </c>
      <c r="AO62" s="54" t="s">
        <v>323</v>
      </c>
      <c r="AP62" t="s">
        <v>112</v>
      </c>
      <c r="AQ62" s="49" t="s">
        <v>94</v>
      </c>
      <c r="AR62" s="87" t="s">
        <v>107</v>
      </c>
      <c r="AS62" s="87">
        <v>164.6</v>
      </c>
    </row>
    <row r="63" spans="19:45">
      <c r="S63" s="53">
        <v>39</v>
      </c>
      <c r="T63" s="49">
        <v>111.63999999999999</v>
      </c>
      <c r="U63" s="49">
        <v>0</v>
      </c>
      <c r="V63" s="49">
        <v>0</v>
      </c>
      <c r="W63" s="50">
        <v>0</v>
      </c>
      <c r="X63" s="49" t="b">
        <v>0</v>
      </c>
      <c r="Y63" s="53"/>
      <c r="AB63" s="49" t="s">
        <v>53</v>
      </c>
      <c r="AC63" s="49" t="s">
        <v>447</v>
      </c>
      <c r="AD63" s="49">
        <v>20</v>
      </c>
      <c r="AE63" s="49">
        <v>6.5</v>
      </c>
      <c r="AF63" s="49">
        <v>32</v>
      </c>
      <c r="AG63" s="49">
        <v>0.9</v>
      </c>
      <c r="AH63" s="49">
        <v>2</v>
      </c>
      <c r="AI63" s="49">
        <v>0</v>
      </c>
      <c r="AJ63" s="49">
        <v>7850</v>
      </c>
      <c r="AK63" s="49" t="s">
        <v>156</v>
      </c>
      <c r="AO63" s="54" t="s">
        <v>324</v>
      </c>
      <c r="AP63" t="s">
        <v>109</v>
      </c>
      <c r="AQ63" s="49" t="s">
        <v>94</v>
      </c>
      <c r="AR63" s="87" t="s">
        <v>107</v>
      </c>
      <c r="AS63" s="49">
        <v>164.6</v>
      </c>
    </row>
    <row r="64" spans="19:45">
      <c r="S64" s="53">
        <v>40</v>
      </c>
      <c r="T64" s="49">
        <v>108.77000000000001</v>
      </c>
      <c r="U64" s="49">
        <v>0</v>
      </c>
      <c r="V64" s="49">
        <v>0</v>
      </c>
      <c r="W64" s="50">
        <v>0</v>
      </c>
      <c r="X64" s="49" t="b">
        <v>0</v>
      </c>
      <c r="Y64" s="53"/>
      <c r="AB64" s="49" t="s">
        <v>53</v>
      </c>
      <c r="AC64" s="49" t="s">
        <v>448</v>
      </c>
      <c r="AD64" s="49">
        <v>21</v>
      </c>
      <c r="AE64" s="49">
        <v>6.5</v>
      </c>
      <c r="AF64" s="49">
        <v>32</v>
      </c>
      <c r="AG64" s="49">
        <v>0.9</v>
      </c>
      <c r="AH64" s="49">
        <v>2</v>
      </c>
      <c r="AI64" s="49">
        <v>0</v>
      </c>
      <c r="AJ64" s="49">
        <v>7850</v>
      </c>
      <c r="AK64" s="49" t="s">
        <v>156</v>
      </c>
      <c r="AO64" s="54" t="s">
        <v>325</v>
      </c>
      <c r="AQ64" s="49">
        <v>1</v>
      </c>
      <c r="AR64" s="87">
        <v>0.11</v>
      </c>
    </row>
    <row r="65" spans="19:44">
      <c r="S65" s="53">
        <v>41</v>
      </c>
      <c r="T65" s="49">
        <v>105.9</v>
      </c>
      <c r="U65" s="49">
        <v>0</v>
      </c>
      <c r="V65" s="49">
        <v>0</v>
      </c>
      <c r="W65" s="50">
        <v>0</v>
      </c>
      <c r="X65" s="49" t="b">
        <v>0</v>
      </c>
      <c r="Y65" s="53"/>
      <c r="AB65" s="49" t="s">
        <v>53</v>
      </c>
      <c r="AC65" s="49" t="s">
        <v>449</v>
      </c>
      <c r="AD65" s="49">
        <v>21</v>
      </c>
      <c r="AE65" s="49">
        <v>6.5</v>
      </c>
      <c r="AF65" s="49">
        <v>32</v>
      </c>
      <c r="AG65" s="49">
        <v>0.9</v>
      </c>
      <c r="AH65" s="49">
        <v>2</v>
      </c>
      <c r="AI65" s="49">
        <v>0</v>
      </c>
      <c r="AJ65" s="49">
        <v>7850</v>
      </c>
      <c r="AK65" s="49" t="s">
        <v>156</v>
      </c>
      <c r="AO65" s="54" t="s">
        <v>326</v>
      </c>
      <c r="AQ65" s="49" t="s">
        <v>127</v>
      </c>
      <c r="AR65" s="87">
        <v>0</v>
      </c>
    </row>
    <row r="66" spans="19:44">
      <c r="S66" s="53">
        <v>42</v>
      </c>
      <c r="T66" s="49">
        <v>103.03999999999999</v>
      </c>
      <c r="U66" s="49">
        <v>0</v>
      </c>
      <c r="V66" s="49">
        <v>0</v>
      </c>
      <c r="W66" s="50">
        <v>0</v>
      </c>
      <c r="X66" s="49" t="b">
        <v>0</v>
      </c>
      <c r="Y66" s="53"/>
      <c r="AB66" s="49" t="s">
        <v>53</v>
      </c>
      <c r="AC66" s="49" t="s">
        <v>450</v>
      </c>
      <c r="AD66" s="49">
        <v>22</v>
      </c>
      <c r="AE66" s="49">
        <v>6.5</v>
      </c>
      <c r="AF66" s="49">
        <v>32</v>
      </c>
      <c r="AG66" s="49">
        <v>0.9</v>
      </c>
      <c r="AH66" s="49">
        <v>2</v>
      </c>
      <c r="AI66" s="49">
        <v>0</v>
      </c>
      <c r="AJ66" s="49">
        <v>7850</v>
      </c>
      <c r="AK66" s="49" t="s">
        <v>156</v>
      </c>
      <c r="AO66" s="54" t="s">
        <v>327</v>
      </c>
      <c r="AQ66" s="49" t="s">
        <v>59</v>
      </c>
      <c r="AR66" s="87">
        <v>0</v>
      </c>
    </row>
    <row r="67" spans="19:44">
      <c r="S67" s="53">
        <v>43</v>
      </c>
      <c r="T67" s="49">
        <v>100.16999999999999</v>
      </c>
      <c r="U67" s="49">
        <v>0</v>
      </c>
      <c r="V67" s="49">
        <v>0</v>
      </c>
      <c r="W67" s="50">
        <v>0</v>
      </c>
      <c r="X67" s="49" t="b">
        <v>0</v>
      </c>
      <c r="Y67" s="53"/>
      <c r="AB67" s="49" t="s">
        <v>53</v>
      </c>
      <c r="AC67" s="49" t="s">
        <v>451</v>
      </c>
      <c r="AD67" s="49">
        <v>22</v>
      </c>
      <c r="AE67" s="49">
        <v>6.5</v>
      </c>
      <c r="AF67" s="49">
        <v>32</v>
      </c>
      <c r="AG67" s="49">
        <v>0.9</v>
      </c>
      <c r="AH67" s="49">
        <v>2</v>
      </c>
      <c r="AI67" s="49">
        <v>0</v>
      </c>
      <c r="AJ67" s="49">
        <v>7850</v>
      </c>
      <c r="AK67" s="49" t="s">
        <v>156</v>
      </c>
      <c r="AO67" s="54" t="s">
        <v>328</v>
      </c>
      <c r="AQ67" s="49" t="s">
        <v>59</v>
      </c>
      <c r="AR67" s="87">
        <v>1</v>
      </c>
    </row>
    <row r="68" spans="19:44">
      <c r="S68" s="53">
        <v>44</v>
      </c>
      <c r="T68" s="49">
        <v>98.740000000000009</v>
      </c>
      <c r="U68" s="49">
        <v>0</v>
      </c>
      <c r="V68" s="49">
        <v>0</v>
      </c>
      <c r="W68" s="50">
        <v>10632</v>
      </c>
      <c r="X68" s="49" t="b">
        <v>1</v>
      </c>
      <c r="Y68" s="53" t="s">
        <v>666</v>
      </c>
      <c r="AB68" s="49" t="s">
        <v>53</v>
      </c>
      <c r="AC68" s="49" t="s">
        <v>452</v>
      </c>
      <c r="AD68" s="49">
        <v>23</v>
      </c>
      <c r="AE68" s="49">
        <v>6.5699999999999994</v>
      </c>
      <c r="AF68" s="49">
        <v>32</v>
      </c>
      <c r="AG68" s="49">
        <v>0.9</v>
      </c>
      <c r="AH68" s="49">
        <v>2</v>
      </c>
      <c r="AI68" s="49">
        <v>0</v>
      </c>
      <c r="AJ68" s="49">
        <v>7850</v>
      </c>
      <c r="AK68" s="49" t="s">
        <v>156</v>
      </c>
      <c r="AO68" s="54" t="s">
        <v>329</v>
      </c>
      <c r="AQ68" s="49" t="s">
        <v>59</v>
      </c>
      <c r="AR68" s="87" t="s">
        <v>108</v>
      </c>
    </row>
    <row r="69" spans="19:44" ht="15.75" thickBot="1">
      <c r="S69" s="53">
        <v>45</v>
      </c>
      <c r="T69" s="49">
        <v>97.31</v>
      </c>
      <c r="U69" s="49">
        <v>0</v>
      </c>
      <c r="V69" s="49">
        <v>0</v>
      </c>
      <c r="W69" s="50">
        <v>0</v>
      </c>
      <c r="X69" s="49" t="b">
        <v>0</v>
      </c>
      <c r="Y69" s="53"/>
      <c r="AB69" s="49" t="s">
        <v>53</v>
      </c>
      <c r="AC69" s="49" t="s">
        <v>453</v>
      </c>
      <c r="AD69" s="49">
        <v>23</v>
      </c>
      <c r="AE69" s="49">
        <v>6.5699999999999994</v>
      </c>
      <c r="AF69" s="49">
        <v>32</v>
      </c>
      <c r="AG69" s="49">
        <v>0.9</v>
      </c>
      <c r="AH69" s="49">
        <v>2</v>
      </c>
      <c r="AI69" s="49">
        <v>0</v>
      </c>
      <c r="AJ69" s="49">
        <v>7850</v>
      </c>
      <c r="AK69" s="49" t="s">
        <v>156</v>
      </c>
      <c r="AO69" s="63" t="s">
        <v>330</v>
      </c>
      <c r="AP69" s="64" t="s">
        <v>120</v>
      </c>
      <c r="AQ69" s="148"/>
      <c r="AR69" s="299" t="s">
        <v>114</v>
      </c>
    </row>
    <row r="70" spans="19:44">
      <c r="S70" s="53">
        <v>46</v>
      </c>
      <c r="T70" s="49">
        <v>94.44</v>
      </c>
      <c r="U70" s="49">
        <v>0</v>
      </c>
      <c r="V70" s="49">
        <v>0</v>
      </c>
      <c r="W70" s="50">
        <v>0</v>
      </c>
      <c r="X70" s="49" t="b">
        <v>0</v>
      </c>
      <c r="Y70" s="53"/>
      <c r="AB70" s="49" t="s">
        <v>53</v>
      </c>
      <c r="AC70" s="49" t="s">
        <v>454</v>
      </c>
      <c r="AD70" s="49">
        <v>24</v>
      </c>
      <c r="AE70" s="49">
        <v>6.63</v>
      </c>
      <c r="AF70" s="49">
        <v>32</v>
      </c>
      <c r="AG70" s="49">
        <v>0.9</v>
      </c>
      <c r="AH70" s="49">
        <v>2</v>
      </c>
      <c r="AI70" s="49">
        <v>0</v>
      </c>
      <c r="AJ70" s="49">
        <v>7850</v>
      </c>
      <c r="AK70" s="49" t="s">
        <v>156</v>
      </c>
    </row>
    <row r="71" spans="19:44">
      <c r="S71" s="53">
        <v>47</v>
      </c>
      <c r="T71" s="51">
        <v>91.580000000000013</v>
      </c>
      <c r="U71" s="49">
        <v>0</v>
      </c>
      <c r="V71" s="49">
        <v>0</v>
      </c>
      <c r="W71" s="50">
        <v>0</v>
      </c>
      <c r="X71" s="49" t="b">
        <v>0</v>
      </c>
      <c r="Y71" s="53"/>
      <c r="AB71" s="49" t="s">
        <v>53</v>
      </c>
      <c r="AC71" s="49" t="s">
        <v>455</v>
      </c>
      <c r="AD71" s="49">
        <v>24</v>
      </c>
      <c r="AE71" s="51">
        <v>6.62</v>
      </c>
      <c r="AF71" s="49">
        <v>28</v>
      </c>
      <c r="AG71" s="49">
        <v>0.9</v>
      </c>
      <c r="AH71" s="49">
        <v>2</v>
      </c>
      <c r="AI71" s="49">
        <v>0</v>
      </c>
      <c r="AJ71" s="49">
        <v>7850</v>
      </c>
      <c r="AK71" s="49" t="s">
        <v>156</v>
      </c>
    </row>
    <row r="72" spans="19:44">
      <c r="S72" s="53">
        <v>48</v>
      </c>
      <c r="T72" s="51">
        <v>88.710000000000008</v>
      </c>
      <c r="U72" s="49">
        <v>0</v>
      </c>
      <c r="V72" s="49">
        <v>0</v>
      </c>
      <c r="W72" s="50">
        <v>0</v>
      </c>
      <c r="X72" s="49" t="b">
        <v>0</v>
      </c>
      <c r="Y72" s="53"/>
      <c r="AB72" s="49" t="s">
        <v>53</v>
      </c>
      <c r="AC72" s="49" t="s">
        <v>456</v>
      </c>
      <c r="AD72" s="49">
        <v>25</v>
      </c>
      <c r="AE72" s="51">
        <v>6.75</v>
      </c>
      <c r="AF72" s="49">
        <v>28</v>
      </c>
      <c r="AG72" s="49">
        <v>0.9</v>
      </c>
      <c r="AH72" s="49">
        <v>2</v>
      </c>
      <c r="AI72" s="49">
        <v>0</v>
      </c>
      <c r="AJ72" s="49">
        <v>7850</v>
      </c>
      <c r="AK72" s="49" t="s">
        <v>156</v>
      </c>
    </row>
    <row r="73" spans="19:44" ht="18.75">
      <c r="S73" s="53">
        <v>49</v>
      </c>
      <c r="T73" s="51">
        <v>85.85</v>
      </c>
      <c r="U73" s="49">
        <v>0</v>
      </c>
      <c r="V73" s="49">
        <v>0</v>
      </c>
      <c r="W73" s="50">
        <v>0</v>
      </c>
      <c r="X73" s="49" t="b">
        <v>0</v>
      </c>
      <c r="Y73" s="53"/>
      <c r="AB73" s="49" t="s">
        <v>53</v>
      </c>
      <c r="AC73" s="49" t="s">
        <v>457</v>
      </c>
      <c r="AD73" s="49">
        <v>25</v>
      </c>
      <c r="AE73" s="51">
        <v>6.75</v>
      </c>
      <c r="AF73" s="49">
        <v>28</v>
      </c>
      <c r="AG73" s="49">
        <v>0.9</v>
      </c>
      <c r="AH73" s="49">
        <v>2</v>
      </c>
      <c r="AI73" s="49">
        <v>0</v>
      </c>
      <c r="AJ73" s="49">
        <v>7850</v>
      </c>
      <c r="AK73" s="49" t="s">
        <v>156</v>
      </c>
      <c r="AO73" s="66" t="s">
        <v>291</v>
      </c>
    </row>
    <row r="74" spans="19:44">
      <c r="S74" s="53">
        <v>50</v>
      </c>
      <c r="T74" s="51">
        <v>82.990000000000009</v>
      </c>
      <c r="U74" s="49">
        <v>0</v>
      </c>
      <c r="V74" s="49">
        <v>0</v>
      </c>
      <c r="W74" s="50">
        <v>0</v>
      </c>
      <c r="X74" s="49" t="b">
        <v>0</v>
      </c>
      <c r="Y74" s="53"/>
      <c r="AB74" s="49" t="s">
        <v>53</v>
      </c>
      <c r="AC74" s="49" t="s">
        <v>458</v>
      </c>
      <c r="AD74" s="49">
        <v>26</v>
      </c>
      <c r="AE74" s="51">
        <v>6.87</v>
      </c>
      <c r="AF74" s="49">
        <v>28</v>
      </c>
      <c r="AG74" s="49">
        <v>0.9</v>
      </c>
      <c r="AH74" s="49">
        <v>2</v>
      </c>
      <c r="AI74" s="49">
        <v>0</v>
      </c>
      <c r="AJ74" s="49">
        <v>7850</v>
      </c>
      <c r="AK74" s="49" t="s">
        <v>156</v>
      </c>
    </row>
    <row r="75" spans="19:44">
      <c r="S75" s="53">
        <v>51</v>
      </c>
      <c r="T75" s="51">
        <v>82.78</v>
      </c>
      <c r="U75" s="49">
        <v>0</v>
      </c>
      <c r="V75" s="49">
        <v>0</v>
      </c>
      <c r="W75" s="50">
        <v>22412</v>
      </c>
      <c r="X75" s="49" t="b">
        <v>0</v>
      </c>
      <c r="Y75" s="53" t="s">
        <v>667</v>
      </c>
      <c r="AB75" s="49" t="s">
        <v>53</v>
      </c>
      <c r="AC75" s="49" t="s">
        <v>459</v>
      </c>
      <c r="AD75" s="49">
        <v>26</v>
      </c>
      <c r="AE75" s="51">
        <v>6.87</v>
      </c>
      <c r="AF75" s="49">
        <v>28</v>
      </c>
      <c r="AG75" s="49">
        <v>0.9</v>
      </c>
      <c r="AH75" s="49">
        <v>2</v>
      </c>
      <c r="AI75" s="49">
        <v>0</v>
      </c>
      <c r="AJ75" s="49">
        <v>7850</v>
      </c>
      <c r="AK75" s="49" t="s">
        <v>156</v>
      </c>
    </row>
    <row r="76" spans="19:44">
      <c r="S76" s="53">
        <v>52</v>
      </c>
      <c r="T76" s="51">
        <v>82.57</v>
      </c>
      <c r="U76" s="49">
        <v>0</v>
      </c>
      <c r="V76" s="49">
        <v>0</v>
      </c>
      <c r="W76" s="50">
        <v>0</v>
      </c>
      <c r="X76" s="49" t="b">
        <v>0</v>
      </c>
      <c r="Y76" s="53"/>
      <c r="AB76" s="49" t="s">
        <v>53</v>
      </c>
      <c r="AC76" s="49" t="s">
        <v>460</v>
      </c>
      <c r="AD76" s="49">
        <v>27</v>
      </c>
      <c r="AE76" s="51">
        <v>7</v>
      </c>
      <c r="AF76" s="49">
        <v>28</v>
      </c>
      <c r="AG76" s="49">
        <v>0.9</v>
      </c>
      <c r="AH76" s="49">
        <v>2</v>
      </c>
      <c r="AI76" s="49">
        <v>0</v>
      </c>
      <c r="AJ76" s="49">
        <v>7850</v>
      </c>
      <c r="AK76" s="49" t="s">
        <v>156</v>
      </c>
    </row>
    <row r="77" spans="19:44">
      <c r="S77" s="53">
        <v>53</v>
      </c>
      <c r="T77" s="51">
        <v>81.38</v>
      </c>
      <c r="U77" s="49">
        <v>0</v>
      </c>
      <c r="V77" s="49">
        <v>0</v>
      </c>
      <c r="W77" s="50">
        <v>9000</v>
      </c>
      <c r="X77" s="49" t="b">
        <v>1</v>
      </c>
      <c r="Y77" s="53" t="s">
        <v>668</v>
      </c>
      <c r="AB77" s="49" t="s">
        <v>53</v>
      </c>
      <c r="AC77" s="49" t="s">
        <v>461</v>
      </c>
      <c r="AD77" s="49">
        <v>27</v>
      </c>
      <c r="AE77" s="51">
        <v>7</v>
      </c>
      <c r="AF77" s="49">
        <v>28</v>
      </c>
      <c r="AG77" s="49">
        <v>0.9</v>
      </c>
      <c r="AH77" s="49">
        <v>2</v>
      </c>
      <c r="AI77" s="49">
        <v>0</v>
      </c>
      <c r="AJ77" s="49">
        <v>7850</v>
      </c>
      <c r="AK77" s="49" t="s">
        <v>156</v>
      </c>
    </row>
    <row r="78" spans="19:44">
      <c r="S78" s="53">
        <v>54</v>
      </c>
      <c r="T78" s="51">
        <v>79.819999999999993</v>
      </c>
      <c r="U78" s="49">
        <v>0</v>
      </c>
      <c r="V78" s="49">
        <v>0</v>
      </c>
      <c r="W78" s="50">
        <v>0</v>
      </c>
      <c r="X78" s="49" t="b">
        <v>0</v>
      </c>
      <c r="Y78" s="53"/>
      <c r="AB78" s="49" t="s">
        <v>53</v>
      </c>
      <c r="AC78" s="49" t="s">
        <v>462</v>
      </c>
      <c r="AD78" s="49">
        <v>28</v>
      </c>
      <c r="AE78" s="51">
        <v>7.12</v>
      </c>
      <c r="AF78" s="49">
        <v>28</v>
      </c>
      <c r="AG78" s="49">
        <v>0.9</v>
      </c>
      <c r="AH78" s="49">
        <v>2</v>
      </c>
      <c r="AI78" s="49">
        <v>0</v>
      </c>
      <c r="AJ78" s="49">
        <v>7850</v>
      </c>
      <c r="AK78" s="49" t="s">
        <v>156</v>
      </c>
    </row>
    <row r="79" spans="19:44">
      <c r="S79" s="53">
        <v>55</v>
      </c>
      <c r="T79" s="51">
        <v>77.06</v>
      </c>
      <c r="U79" s="49">
        <v>0</v>
      </c>
      <c r="V79" s="49">
        <v>0</v>
      </c>
      <c r="W79" s="50">
        <v>0</v>
      </c>
      <c r="X79" s="49" t="b">
        <v>0</v>
      </c>
      <c r="Y79" s="53"/>
      <c r="AB79" s="49" t="s">
        <v>53</v>
      </c>
      <c r="AC79" s="49" t="s">
        <v>463</v>
      </c>
      <c r="AD79" s="49">
        <v>28</v>
      </c>
      <c r="AE79" s="51">
        <v>7.12</v>
      </c>
      <c r="AF79" s="49">
        <v>29</v>
      </c>
      <c r="AG79" s="49">
        <v>0.9</v>
      </c>
      <c r="AH79" s="49">
        <v>2</v>
      </c>
      <c r="AI79" s="49">
        <v>0</v>
      </c>
      <c r="AJ79" s="49">
        <v>7850</v>
      </c>
      <c r="AK79" s="49" t="s">
        <v>156</v>
      </c>
    </row>
    <row r="80" spans="19:44">
      <c r="S80" s="53">
        <v>56</v>
      </c>
      <c r="T80" s="51">
        <v>74.300000000000011</v>
      </c>
      <c r="U80" s="49">
        <v>0</v>
      </c>
      <c r="V80" s="49">
        <v>0</v>
      </c>
      <c r="W80" s="50">
        <v>0</v>
      </c>
      <c r="X80" s="49" t="b">
        <v>0</v>
      </c>
      <c r="Y80" s="53"/>
      <c r="AB80" s="49" t="s">
        <v>53</v>
      </c>
      <c r="AC80" s="49" t="s">
        <v>464</v>
      </c>
      <c r="AD80" s="49">
        <v>29</v>
      </c>
      <c r="AE80" s="51">
        <v>7.24</v>
      </c>
      <c r="AF80" s="49">
        <v>29</v>
      </c>
      <c r="AG80" s="49">
        <v>0.9</v>
      </c>
      <c r="AH80" s="49">
        <v>2</v>
      </c>
      <c r="AI80" s="49">
        <v>0</v>
      </c>
      <c r="AJ80" s="49">
        <v>7850</v>
      </c>
      <c r="AK80" s="49" t="s">
        <v>156</v>
      </c>
    </row>
    <row r="81" spans="19:37">
      <c r="S81" s="53">
        <v>57</v>
      </c>
      <c r="T81" s="51">
        <v>71.539999999999992</v>
      </c>
      <c r="U81" s="49">
        <v>0</v>
      </c>
      <c r="V81" s="49">
        <v>0</v>
      </c>
      <c r="W81" s="50">
        <v>0</v>
      </c>
      <c r="X81" s="49" t="b">
        <v>0</v>
      </c>
      <c r="Y81" s="53"/>
      <c r="AB81" s="49" t="s">
        <v>53</v>
      </c>
      <c r="AC81" s="49" t="s">
        <v>465</v>
      </c>
      <c r="AD81" s="49">
        <v>29</v>
      </c>
      <c r="AE81" s="51">
        <v>7.24</v>
      </c>
      <c r="AF81" s="49">
        <v>29</v>
      </c>
      <c r="AG81" s="49">
        <v>0.9</v>
      </c>
      <c r="AH81" s="49">
        <v>2</v>
      </c>
      <c r="AI81" s="49">
        <v>0</v>
      </c>
      <c r="AJ81" s="49">
        <v>7850</v>
      </c>
      <c r="AK81" s="49" t="s">
        <v>156</v>
      </c>
    </row>
    <row r="82" spans="19:37">
      <c r="S82" s="53">
        <v>58</v>
      </c>
      <c r="T82" s="51">
        <v>68.78</v>
      </c>
      <c r="U82" s="49">
        <v>0</v>
      </c>
      <c r="V82" s="49">
        <v>0</v>
      </c>
      <c r="W82" s="50">
        <v>9326</v>
      </c>
      <c r="X82" s="49" t="b">
        <v>0</v>
      </c>
      <c r="Y82" s="53" t="s">
        <v>669</v>
      </c>
      <c r="AB82" s="49" t="s">
        <v>53</v>
      </c>
      <c r="AC82" s="49" t="s">
        <v>466</v>
      </c>
      <c r="AD82" s="49">
        <v>30</v>
      </c>
      <c r="AE82" s="51">
        <v>7.37</v>
      </c>
      <c r="AF82" s="49">
        <v>29</v>
      </c>
      <c r="AG82" s="49">
        <v>0.9</v>
      </c>
      <c r="AH82" s="49">
        <v>2</v>
      </c>
      <c r="AI82" s="49">
        <v>0</v>
      </c>
      <c r="AJ82" s="49">
        <v>7850</v>
      </c>
      <c r="AK82" s="49" t="s">
        <v>156</v>
      </c>
    </row>
    <row r="83" spans="19:37">
      <c r="S83" s="53">
        <v>59</v>
      </c>
      <c r="T83" s="51">
        <v>66.02000000000001</v>
      </c>
      <c r="U83" s="49">
        <v>0</v>
      </c>
      <c r="V83" s="49">
        <v>0</v>
      </c>
      <c r="W83" s="50">
        <v>0</v>
      </c>
      <c r="X83" s="49" t="b">
        <v>0</v>
      </c>
      <c r="Y83" s="53"/>
      <c r="AB83" s="49" t="s">
        <v>53</v>
      </c>
      <c r="AC83" s="49" t="s">
        <v>467</v>
      </c>
      <c r="AD83" s="49">
        <v>30</v>
      </c>
      <c r="AE83" s="51">
        <v>7.37</v>
      </c>
      <c r="AF83" s="49">
        <v>29</v>
      </c>
      <c r="AG83" s="49">
        <v>0.9</v>
      </c>
      <c r="AH83" s="49">
        <v>2</v>
      </c>
      <c r="AI83" s="49">
        <v>0</v>
      </c>
      <c r="AJ83" s="49">
        <v>7850</v>
      </c>
      <c r="AK83" s="49" t="s">
        <v>156</v>
      </c>
    </row>
    <row r="84" spans="19:37">
      <c r="S84" s="53">
        <v>60</v>
      </c>
      <c r="T84" s="51">
        <v>63.26</v>
      </c>
      <c r="U84" s="49">
        <v>0</v>
      </c>
      <c r="V84" s="49">
        <v>0</v>
      </c>
      <c r="W84" s="50">
        <v>0</v>
      </c>
      <c r="X84" s="49" t="b">
        <v>0</v>
      </c>
      <c r="Y84" s="53"/>
      <c r="AB84" s="49" t="s">
        <v>53</v>
      </c>
      <c r="AC84" s="49" t="s">
        <v>468</v>
      </c>
      <c r="AD84" s="49">
        <v>31</v>
      </c>
      <c r="AE84" s="51">
        <v>7.49</v>
      </c>
      <c r="AF84" s="49">
        <v>29</v>
      </c>
      <c r="AG84" s="49">
        <v>0.9</v>
      </c>
      <c r="AH84" s="49">
        <v>2</v>
      </c>
      <c r="AI84" s="49">
        <v>0</v>
      </c>
      <c r="AJ84" s="49">
        <v>7850</v>
      </c>
      <c r="AK84" s="49" t="s">
        <v>156</v>
      </c>
    </row>
    <row r="85" spans="19:37">
      <c r="S85" s="53">
        <v>61</v>
      </c>
      <c r="T85" s="51">
        <v>60.5</v>
      </c>
      <c r="U85" s="49">
        <v>0</v>
      </c>
      <c r="V85" s="49">
        <v>0</v>
      </c>
      <c r="W85" s="50">
        <v>0</v>
      </c>
      <c r="X85" s="49" t="b">
        <v>0</v>
      </c>
      <c r="Y85" s="53"/>
      <c r="AB85" s="49" t="s">
        <v>53</v>
      </c>
      <c r="AC85" s="49" t="s">
        <v>469</v>
      </c>
      <c r="AD85" s="49">
        <v>31</v>
      </c>
      <c r="AE85" s="51">
        <v>7.49</v>
      </c>
      <c r="AF85" s="49">
        <v>30</v>
      </c>
      <c r="AG85" s="49">
        <v>0.9</v>
      </c>
      <c r="AH85" s="49">
        <v>2</v>
      </c>
      <c r="AI85" s="49">
        <v>0</v>
      </c>
      <c r="AJ85" s="49">
        <v>7850</v>
      </c>
      <c r="AK85" s="49" t="s">
        <v>156</v>
      </c>
    </row>
    <row r="86" spans="19:37">
      <c r="S86" s="53">
        <v>62</v>
      </c>
      <c r="T86" s="51">
        <v>57.74</v>
      </c>
      <c r="U86" s="49">
        <v>0</v>
      </c>
      <c r="V86" s="49">
        <v>0</v>
      </c>
      <c r="W86" s="50">
        <v>0</v>
      </c>
      <c r="X86" s="49" t="b">
        <v>0</v>
      </c>
      <c r="Y86" s="53"/>
      <c r="AB86" s="49" t="s">
        <v>53</v>
      </c>
      <c r="AC86" s="49" t="s">
        <v>470</v>
      </c>
      <c r="AD86" s="49">
        <v>32</v>
      </c>
      <c r="AE86" s="51">
        <v>7.62</v>
      </c>
      <c r="AF86" s="49">
        <v>30</v>
      </c>
      <c r="AG86" s="49">
        <v>0.9</v>
      </c>
      <c r="AH86" s="49">
        <v>2</v>
      </c>
      <c r="AI86" s="49">
        <v>0</v>
      </c>
      <c r="AJ86" s="49">
        <v>7850</v>
      </c>
      <c r="AK86" s="49" t="s">
        <v>156</v>
      </c>
    </row>
    <row r="87" spans="19:37">
      <c r="S87" s="53">
        <v>63</v>
      </c>
      <c r="T87" s="51">
        <v>55.06</v>
      </c>
      <c r="U87" s="49">
        <v>0</v>
      </c>
      <c r="V87" s="49">
        <v>0</v>
      </c>
      <c r="W87" s="50">
        <v>0</v>
      </c>
      <c r="X87" s="49" t="b">
        <v>0</v>
      </c>
      <c r="Y87" s="53"/>
      <c r="AB87" s="49" t="s">
        <v>53</v>
      </c>
      <c r="AC87" s="49" t="s">
        <v>471</v>
      </c>
      <c r="AD87" s="49">
        <v>32</v>
      </c>
      <c r="AE87" s="51">
        <v>7.62</v>
      </c>
      <c r="AF87" s="49">
        <v>30</v>
      </c>
      <c r="AG87" s="49">
        <v>0.9</v>
      </c>
      <c r="AH87" s="49">
        <v>2</v>
      </c>
      <c r="AI87" s="49">
        <v>0</v>
      </c>
      <c r="AJ87" s="49">
        <v>7850</v>
      </c>
      <c r="AK87" s="49" t="s">
        <v>156</v>
      </c>
    </row>
    <row r="88" spans="19:37">
      <c r="S88" s="53">
        <v>64</v>
      </c>
      <c r="T88" s="51">
        <v>54.92</v>
      </c>
      <c r="U88" s="49">
        <v>0</v>
      </c>
      <c r="V88" s="49">
        <v>0</v>
      </c>
      <c r="W88" s="50">
        <v>19789</v>
      </c>
      <c r="X88" s="49" t="b">
        <v>1</v>
      </c>
      <c r="Y88" s="53" t="s">
        <v>670</v>
      </c>
      <c r="AB88" s="49" t="s">
        <v>53</v>
      </c>
      <c r="AC88" s="49" t="s">
        <v>472</v>
      </c>
      <c r="AD88" s="49">
        <v>33</v>
      </c>
      <c r="AE88" s="51">
        <v>7.74</v>
      </c>
      <c r="AF88" s="49">
        <v>30</v>
      </c>
      <c r="AG88" s="49">
        <v>0.9</v>
      </c>
      <c r="AH88" s="49">
        <v>2</v>
      </c>
      <c r="AI88" s="49">
        <v>0</v>
      </c>
      <c r="AJ88" s="49">
        <v>7850</v>
      </c>
      <c r="AK88" s="49" t="s">
        <v>156</v>
      </c>
    </row>
    <row r="89" spans="19:37">
      <c r="S89" s="53">
        <v>65</v>
      </c>
      <c r="T89" s="51">
        <v>54.78</v>
      </c>
      <c r="U89" s="49">
        <v>0</v>
      </c>
      <c r="V89" s="49">
        <v>0</v>
      </c>
      <c r="W89" s="50">
        <v>0</v>
      </c>
      <c r="X89" s="49" t="b">
        <v>0</v>
      </c>
      <c r="Y89" s="53"/>
      <c r="AB89" s="49" t="s">
        <v>53</v>
      </c>
      <c r="AC89" s="49" t="s">
        <v>473</v>
      </c>
      <c r="AD89" s="49">
        <v>33</v>
      </c>
      <c r="AE89" s="51">
        <v>7.74</v>
      </c>
      <c r="AF89" s="49">
        <v>30</v>
      </c>
      <c r="AG89" s="49">
        <v>0.9</v>
      </c>
      <c r="AH89" s="49">
        <v>2</v>
      </c>
      <c r="AI89" s="49">
        <v>0</v>
      </c>
      <c r="AJ89" s="49">
        <v>7850</v>
      </c>
      <c r="AK89" s="49" t="s">
        <v>156</v>
      </c>
    </row>
    <row r="90" spans="19:37">
      <c r="S90" s="53">
        <v>66</v>
      </c>
      <c r="T90" s="51">
        <v>54.64</v>
      </c>
      <c r="U90" s="49">
        <v>0</v>
      </c>
      <c r="V90" s="49">
        <v>0</v>
      </c>
      <c r="W90" s="50">
        <v>19789</v>
      </c>
      <c r="X90" s="49" t="b">
        <v>1</v>
      </c>
      <c r="Y90" s="53" t="s">
        <v>671</v>
      </c>
      <c r="AB90" s="49" t="s">
        <v>53</v>
      </c>
      <c r="AC90" s="49" t="s">
        <v>474</v>
      </c>
      <c r="AD90" s="49">
        <v>34</v>
      </c>
      <c r="AE90" s="51">
        <v>7.87</v>
      </c>
      <c r="AF90" s="49">
        <v>30</v>
      </c>
      <c r="AG90" s="49">
        <v>0.9</v>
      </c>
      <c r="AH90" s="49">
        <v>2</v>
      </c>
      <c r="AI90" s="49">
        <v>0</v>
      </c>
      <c r="AJ90" s="49">
        <v>7850</v>
      </c>
      <c r="AK90" s="49" t="s">
        <v>156</v>
      </c>
    </row>
    <row r="91" spans="19:37">
      <c r="S91" s="53">
        <v>67</v>
      </c>
      <c r="T91" s="51">
        <v>54.5</v>
      </c>
      <c r="U91" s="49">
        <v>0</v>
      </c>
      <c r="V91" s="49">
        <v>0</v>
      </c>
      <c r="W91" s="50">
        <v>0</v>
      </c>
      <c r="X91" s="49" t="b">
        <v>0</v>
      </c>
      <c r="Y91" s="53"/>
      <c r="AB91" s="49" t="s">
        <v>53</v>
      </c>
      <c r="AC91" s="49" t="s">
        <v>475</v>
      </c>
      <c r="AD91" s="49">
        <v>34</v>
      </c>
      <c r="AE91" s="51">
        <v>7.87</v>
      </c>
      <c r="AF91" s="49">
        <v>36</v>
      </c>
      <c r="AG91" s="49">
        <v>0.9</v>
      </c>
      <c r="AH91" s="49">
        <v>2</v>
      </c>
      <c r="AI91" s="49">
        <v>0</v>
      </c>
      <c r="AJ91" s="49">
        <v>7850</v>
      </c>
      <c r="AK91" s="49" t="s">
        <v>156</v>
      </c>
    </row>
    <row r="92" spans="19:37">
      <c r="S92" s="53">
        <v>68</v>
      </c>
      <c r="T92" s="51">
        <v>53.38</v>
      </c>
      <c r="U92" s="49">
        <v>0</v>
      </c>
      <c r="V92" s="49">
        <v>0</v>
      </c>
      <c r="W92" s="50">
        <v>9000</v>
      </c>
      <c r="X92" s="49" t="b">
        <v>1</v>
      </c>
      <c r="Y92" s="53" t="s">
        <v>672</v>
      </c>
      <c r="AB92" s="49" t="s">
        <v>53</v>
      </c>
      <c r="AC92" s="49" t="s">
        <v>476</v>
      </c>
      <c r="AD92" s="49">
        <v>35</v>
      </c>
      <c r="AE92" s="51">
        <v>8</v>
      </c>
      <c r="AF92" s="49">
        <v>36</v>
      </c>
      <c r="AG92" s="49">
        <v>0.9</v>
      </c>
      <c r="AH92" s="49">
        <v>2</v>
      </c>
      <c r="AI92" s="49">
        <v>0</v>
      </c>
      <c r="AJ92" s="49">
        <v>7850</v>
      </c>
      <c r="AK92" s="49" t="s">
        <v>156</v>
      </c>
    </row>
    <row r="93" spans="19:37">
      <c r="S93" s="53">
        <v>69</v>
      </c>
      <c r="T93" s="51">
        <v>51.97</v>
      </c>
      <c r="U93" s="49">
        <v>0</v>
      </c>
      <c r="V93" s="49">
        <v>0</v>
      </c>
      <c r="W93" s="50">
        <v>0</v>
      </c>
      <c r="X93" s="49" t="b">
        <v>0</v>
      </c>
      <c r="Y93" s="53"/>
      <c r="AB93" s="49" t="s">
        <v>53</v>
      </c>
      <c r="AC93" s="49" t="s">
        <v>477</v>
      </c>
      <c r="AD93" s="49">
        <v>35</v>
      </c>
      <c r="AE93" s="51">
        <v>8</v>
      </c>
      <c r="AF93" s="49">
        <v>36</v>
      </c>
      <c r="AG93" s="49">
        <v>0.9</v>
      </c>
      <c r="AH93" s="49">
        <v>2</v>
      </c>
      <c r="AI93" s="49">
        <v>0</v>
      </c>
      <c r="AJ93" s="49">
        <v>7850</v>
      </c>
      <c r="AK93" s="49" t="s">
        <v>156</v>
      </c>
    </row>
    <row r="94" spans="19:37">
      <c r="S94" s="53">
        <v>70</v>
      </c>
      <c r="T94" s="51">
        <v>49.36</v>
      </c>
      <c r="U94" s="49">
        <v>0</v>
      </c>
      <c r="V94" s="49">
        <v>0</v>
      </c>
      <c r="W94" s="50">
        <v>0</v>
      </c>
      <c r="X94" s="49" t="b">
        <v>0</v>
      </c>
      <c r="Y94" s="53"/>
      <c r="AB94" s="49" t="s">
        <v>53</v>
      </c>
      <c r="AC94" s="49" t="s">
        <v>478</v>
      </c>
      <c r="AD94" s="49">
        <v>36</v>
      </c>
      <c r="AE94" s="51">
        <v>8</v>
      </c>
      <c r="AF94" s="49">
        <v>36</v>
      </c>
      <c r="AG94" s="49">
        <v>0.9</v>
      </c>
      <c r="AH94" s="49">
        <v>2</v>
      </c>
      <c r="AI94" s="49">
        <v>0</v>
      </c>
      <c r="AJ94" s="49">
        <v>7850</v>
      </c>
      <c r="AK94" s="49" t="s">
        <v>156</v>
      </c>
    </row>
    <row r="95" spans="19:37">
      <c r="S95" s="53">
        <v>71</v>
      </c>
      <c r="T95" s="51">
        <v>46.75</v>
      </c>
      <c r="U95" s="49">
        <v>0</v>
      </c>
      <c r="V95" s="49">
        <v>0</v>
      </c>
      <c r="W95" s="50">
        <v>0</v>
      </c>
      <c r="X95" s="49" t="b">
        <v>0</v>
      </c>
      <c r="Y95" s="53"/>
      <c r="AB95" s="49" t="s">
        <v>53</v>
      </c>
      <c r="AC95" s="49" t="s">
        <v>479</v>
      </c>
      <c r="AD95" s="49">
        <v>36</v>
      </c>
      <c r="AE95" s="51">
        <v>8</v>
      </c>
      <c r="AF95" s="49">
        <v>36</v>
      </c>
      <c r="AG95" s="49">
        <v>0.9</v>
      </c>
      <c r="AH95" s="49">
        <v>2</v>
      </c>
      <c r="AI95" s="49">
        <v>0</v>
      </c>
      <c r="AJ95" s="49">
        <v>7850</v>
      </c>
      <c r="AK95" s="49" t="s">
        <v>156</v>
      </c>
    </row>
    <row r="96" spans="19:37">
      <c r="S96" s="53">
        <v>72</v>
      </c>
      <c r="T96" s="51">
        <v>45.4</v>
      </c>
      <c r="U96" s="49">
        <v>0</v>
      </c>
      <c r="V96" s="49">
        <v>0</v>
      </c>
      <c r="W96" s="50">
        <v>6248</v>
      </c>
      <c r="X96" s="49" t="b">
        <v>1</v>
      </c>
      <c r="Y96" s="53" t="s">
        <v>673</v>
      </c>
      <c r="AB96" s="49" t="s">
        <v>53</v>
      </c>
      <c r="AC96" s="49" t="s">
        <v>480</v>
      </c>
      <c r="AD96" s="49">
        <v>37</v>
      </c>
      <c r="AE96" s="51">
        <v>8</v>
      </c>
      <c r="AF96" s="49">
        <v>36</v>
      </c>
      <c r="AG96" s="49">
        <v>0.9</v>
      </c>
      <c r="AH96" s="49">
        <v>2</v>
      </c>
      <c r="AI96" s="49">
        <v>0</v>
      </c>
      <c r="AJ96" s="49">
        <v>7850</v>
      </c>
      <c r="AK96" s="49" t="s">
        <v>156</v>
      </c>
    </row>
    <row r="97" spans="19:37">
      <c r="S97" s="53">
        <v>73</v>
      </c>
      <c r="T97" s="51">
        <v>44.15</v>
      </c>
      <c r="U97" s="49">
        <v>0</v>
      </c>
      <c r="V97" s="49">
        <v>0</v>
      </c>
      <c r="W97" s="50">
        <v>0</v>
      </c>
      <c r="X97" s="49" t="b">
        <v>0</v>
      </c>
      <c r="Y97" s="53"/>
      <c r="AB97" s="49" t="s">
        <v>53</v>
      </c>
      <c r="AC97" s="49" t="s">
        <v>481</v>
      </c>
      <c r="AD97" s="49">
        <v>37</v>
      </c>
      <c r="AE97" s="51">
        <v>8</v>
      </c>
      <c r="AF97" s="49">
        <v>36</v>
      </c>
      <c r="AG97" s="49">
        <v>0.9</v>
      </c>
      <c r="AH97" s="49">
        <v>2</v>
      </c>
      <c r="AI97" s="49">
        <v>0</v>
      </c>
      <c r="AJ97" s="49">
        <v>7850</v>
      </c>
      <c r="AK97" s="49" t="s">
        <v>156</v>
      </c>
    </row>
    <row r="98" spans="19:37">
      <c r="S98" s="53">
        <v>74</v>
      </c>
      <c r="T98" s="51">
        <v>41.54</v>
      </c>
      <c r="U98" s="49">
        <v>0</v>
      </c>
      <c r="V98" s="49">
        <v>0</v>
      </c>
      <c r="W98" s="50">
        <v>0</v>
      </c>
      <c r="X98" s="49" t="b">
        <v>0</v>
      </c>
      <c r="Y98" s="53"/>
      <c r="AB98" s="49" t="s">
        <v>53</v>
      </c>
      <c r="AC98" s="49" t="s">
        <v>482</v>
      </c>
      <c r="AD98" s="49">
        <v>38</v>
      </c>
      <c r="AE98" s="51">
        <v>8</v>
      </c>
      <c r="AF98" s="49">
        <v>36</v>
      </c>
      <c r="AG98" s="49">
        <v>0.9</v>
      </c>
      <c r="AH98" s="49">
        <v>2</v>
      </c>
      <c r="AI98" s="49">
        <v>0</v>
      </c>
      <c r="AJ98" s="49">
        <v>7850</v>
      </c>
      <c r="AK98" s="49" t="s">
        <v>156</v>
      </c>
    </row>
    <row r="99" spans="19:37">
      <c r="S99" s="53">
        <v>75</v>
      </c>
      <c r="T99" s="51">
        <v>38.93</v>
      </c>
      <c r="U99" s="49">
        <v>0</v>
      </c>
      <c r="V99" s="49">
        <v>0</v>
      </c>
      <c r="W99" s="50">
        <v>0</v>
      </c>
      <c r="X99" s="49" t="b">
        <v>0</v>
      </c>
      <c r="Y99" s="53"/>
      <c r="AB99" s="49" t="s">
        <v>53</v>
      </c>
      <c r="AC99" s="49" t="s">
        <v>483</v>
      </c>
      <c r="AD99" s="49">
        <v>38</v>
      </c>
      <c r="AE99" s="51">
        <v>8</v>
      </c>
      <c r="AF99" s="49">
        <v>36</v>
      </c>
      <c r="AG99" s="49">
        <v>0.9</v>
      </c>
      <c r="AH99" s="49">
        <v>2</v>
      </c>
      <c r="AI99" s="49">
        <v>0</v>
      </c>
      <c r="AJ99" s="49">
        <v>7850</v>
      </c>
      <c r="AK99" s="49" t="s">
        <v>156</v>
      </c>
    </row>
    <row r="100" spans="19:37">
      <c r="S100" s="53">
        <v>76</v>
      </c>
      <c r="T100" s="51">
        <v>36.22</v>
      </c>
      <c r="U100" s="49">
        <v>0</v>
      </c>
      <c r="V100" s="49">
        <v>0</v>
      </c>
      <c r="W100" s="50">
        <v>0</v>
      </c>
      <c r="X100" s="49" t="b">
        <v>0</v>
      </c>
      <c r="Y100" s="53"/>
      <c r="AB100" s="49" t="s">
        <v>53</v>
      </c>
      <c r="AC100" s="49" t="s">
        <v>484</v>
      </c>
      <c r="AD100" s="49">
        <v>39</v>
      </c>
      <c r="AE100" s="51">
        <v>8</v>
      </c>
      <c r="AF100" s="49">
        <v>36</v>
      </c>
      <c r="AG100" s="49">
        <v>0.9</v>
      </c>
      <c r="AH100" s="49">
        <v>2</v>
      </c>
      <c r="AI100" s="49">
        <v>0</v>
      </c>
      <c r="AJ100" s="49">
        <v>7850</v>
      </c>
      <c r="AK100" s="49" t="s">
        <v>156</v>
      </c>
    </row>
    <row r="101" spans="19:37">
      <c r="S101" s="53">
        <v>77</v>
      </c>
      <c r="T101" s="51">
        <v>36.020000000000003</v>
      </c>
      <c r="U101" s="49">
        <v>0</v>
      </c>
      <c r="V101" s="49">
        <v>0</v>
      </c>
      <c r="W101" s="50">
        <v>33576</v>
      </c>
      <c r="X101" s="49" t="b">
        <v>0</v>
      </c>
      <c r="Y101" s="53" t="s">
        <v>674</v>
      </c>
      <c r="AB101" s="49" t="s">
        <v>53</v>
      </c>
      <c r="AC101" s="49" t="s">
        <v>485</v>
      </c>
      <c r="AD101" s="49">
        <v>39</v>
      </c>
      <c r="AE101" s="51">
        <v>8</v>
      </c>
      <c r="AF101" s="49">
        <v>33</v>
      </c>
      <c r="AG101" s="49">
        <v>0.9</v>
      </c>
      <c r="AH101" s="49">
        <v>2</v>
      </c>
      <c r="AI101" s="49">
        <v>0</v>
      </c>
      <c r="AJ101" s="49">
        <v>7850</v>
      </c>
      <c r="AK101" s="49" t="s">
        <v>156</v>
      </c>
    </row>
    <row r="102" spans="19:37">
      <c r="S102" s="53">
        <v>78</v>
      </c>
      <c r="T102" s="51">
        <v>35.71</v>
      </c>
      <c r="U102" s="49">
        <v>0</v>
      </c>
      <c r="V102" s="49">
        <v>0</v>
      </c>
      <c r="W102" s="50">
        <v>24324</v>
      </c>
      <c r="X102" s="49" t="b">
        <v>1</v>
      </c>
      <c r="Y102" s="53" t="s">
        <v>675</v>
      </c>
      <c r="AB102" s="49" t="s">
        <v>53</v>
      </c>
      <c r="AC102" s="49" t="s">
        <v>486</v>
      </c>
      <c r="AD102" s="49">
        <v>40</v>
      </c>
      <c r="AE102" s="51">
        <v>8</v>
      </c>
      <c r="AF102" s="49">
        <v>33</v>
      </c>
      <c r="AG102" s="49">
        <v>0.9</v>
      </c>
      <c r="AH102" s="49">
        <v>2</v>
      </c>
      <c r="AI102" s="49">
        <v>0</v>
      </c>
      <c r="AJ102" s="49">
        <v>7850</v>
      </c>
      <c r="AK102" s="49" t="s">
        <v>156</v>
      </c>
    </row>
    <row r="103" spans="19:37">
      <c r="S103" s="53">
        <v>79</v>
      </c>
      <c r="T103" s="51">
        <v>35.409999999999997</v>
      </c>
      <c r="U103" s="49">
        <v>0</v>
      </c>
      <c r="V103" s="49">
        <v>0</v>
      </c>
      <c r="W103" s="50">
        <v>0</v>
      </c>
      <c r="X103" s="49" t="b">
        <v>0</v>
      </c>
      <c r="Y103" s="53"/>
      <c r="AB103" s="49" t="s">
        <v>53</v>
      </c>
      <c r="AC103" s="49" t="s">
        <v>487</v>
      </c>
      <c r="AD103" s="49">
        <v>40</v>
      </c>
      <c r="AE103" s="51">
        <v>8</v>
      </c>
      <c r="AF103" s="49">
        <v>34</v>
      </c>
      <c r="AG103" s="49">
        <v>0.9</v>
      </c>
      <c r="AH103" s="49">
        <v>2</v>
      </c>
      <c r="AI103" s="49">
        <v>0</v>
      </c>
      <c r="AJ103" s="49">
        <v>7850</v>
      </c>
      <c r="AK103" s="49" t="s">
        <v>156</v>
      </c>
    </row>
    <row r="104" spans="19:37">
      <c r="S104" s="53">
        <v>80</v>
      </c>
      <c r="T104" s="51">
        <v>34.78</v>
      </c>
      <c r="U104" s="49">
        <v>0</v>
      </c>
      <c r="V104" s="49">
        <v>0</v>
      </c>
      <c r="W104" s="50">
        <v>13950</v>
      </c>
      <c r="X104" s="49" t="b">
        <v>1</v>
      </c>
      <c r="Y104" s="53" t="s">
        <v>676</v>
      </c>
      <c r="AB104" s="49" t="s">
        <v>53</v>
      </c>
      <c r="AC104" s="49" t="s">
        <v>488</v>
      </c>
      <c r="AD104" s="49">
        <v>41</v>
      </c>
      <c r="AE104" s="51">
        <v>8</v>
      </c>
      <c r="AF104" s="49">
        <v>34</v>
      </c>
      <c r="AG104" s="49">
        <v>0.9</v>
      </c>
      <c r="AH104" s="49">
        <v>2</v>
      </c>
      <c r="AI104" s="49">
        <v>0</v>
      </c>
      <c r="AJ104" s="49">
        <v>7850</v>
      </c>
      <c r="AK104" s="49" t="s">
        <v>156</v>
      </c>
    </row>
    <row r="105" spans="19:37">
      <c r="S105" s="53">
        <v>81</v>
      </c>
      <c r="T105" s="51">
        <v>32.79</v>
      </c>
      <c r="U105" s="49">
        <v>0</v>
      </c>
      <c r="V105" s="49">
        <v>0</v>
      </c>
      <c r="W105" s="50">
        <v>0</v>
      </c>
      <c r="X105" s="49" t="b">
        <v>0</v>
      </c>
      <c r="Y105" s="53"/>
      <c r="AB105" s="49" t="s">
        <v>53</v>
      </c>
      <c r="AC105" s="49" t="s">
        <v>489</v>
      </c>
      <c r="AD105" s="49">
        <v>41</v>
      </c>
      <c r="AE105" s="51">
        <v>8</v>
      </c>
      <c r="AF105" s="49">
        <v>35</v>
      </c>
      <c r="AG105" s="49">
        <v>0.9</v>
      </c>
      <c r="AH105" s="49">
        <v>2</v>
      </c>
      <c r="AI105" s="49">
        <v>0</v>
      </c>
      <c r="AJ105" s="49">
        <v>7850</v>
      </c>
      <c r="AK105" s="49" t="s">
        <v>156</v>
      </c>
    </row>
    <row r="106" spans="19:37">
      <c r="S106" s="53">
        <v>82</v>
      </c>
      <c r="T106" s="51">
        <v>29.86</v>
      </c>
      <c r="U106" s="49">
        <v>0</v>
      </c>
      <c r="V106" s="49">
        <v>0</v>
      </c>
      <c r="W106" s="50">
        <v>0</v>
      </c>
      <c r="X106" s="49" t="b">
        <v>0</v>
      </c>
      <c r="Y106" s="53"/>
      <c r="AB106" s="49" t="s">
        <v>53</v>
      </c>
      <c r="AC106" s="49" t="s">
        <v>490</v>
      </c>
      <c r="AD106" s="49">
        <v>42</v>
      </c>
      <c r="AE106" s="51">
        <v>8</v>
      </c>
      <c r="AF106" s="49">
        <v>35</v>
      </c>
      <c r="AG106" s="49">
        <v>0.9</v>
      </c>
      <c r="AH106" s="49">
        <v>2</v>
      </c>
      <c r="AI106" s="49">
        <v>0</v>
      </c>
      <c r="AJ106" s="49">
        <v>7850</v>
      </c>
      <c r="AK106" s="49" t="s">
        <v>156</v>
      </c>
    </row>
    <row r="107" spans="19:37">
      <c r="S107" s="53">
        <v>83</v>
      </c>
      <c r="T107" s="51">
        <v>28.46</v>
      </c>
      <c r="U107" s="49">
        <v>0</v>
      </c>
      <c r="V107" s="49">
        <v>0</v>
      </c>
      <c r="W107" s="50">
        <v>6504</v>
      </c>
      <c r="X107" s="49" t="b">
        <v>1</v>
      </c>
      <c r="Y107" s="53" t="s">
        <v>677</v>
      </c>
      <c r="AB107" s="49" t="s">
        <v>53</v>
      </c>
      <c r="AC107" s="49" t="s">
        <v>491</v>
      </c>
      <c r="AD107" s="49">
        <v>42</v>
      </c>
      <c r="AE107" s="51">
        <v>8</v>
      </c>
      <c r="AF107" s="49">
        <v>36</v>
      </c>
      <c r="AG107" s="49">
        <v>0.9</v>
      </c>
      <c r="AH107" s="49">
        <v>2</v>
      </c>
      <c r="AI107" s="49">
        <v>0</v>
      </c>
      <c r="AJ107" s="49">
        <v>7850</v>
      </c>
      <c r="AK107" s="49" t="s">
        <v>156</v>
      </c>
    </row>
    <row r="108" spans="19:37">
      <c r="S108" s="53">
        <v>84</v>
      </c>
      <c r="T108" s="51">
        <v>26.93</v>
      </c>
      <c r="U108" s="49">
        <v>0</v>
      </c>
      <c r="V108" s="49">
        <v>0</v>
      </c>
      <c r="W108" s="50">
        <v>0</v>
      </c>
      <c r="X108" s="49" t="b">
        <v>0</v>
      </c>
      <c r="Y108" s="53"/>
      <c r="AB108" s="49" t="s">
        <v>53</v>
      </c>
      <c r="AC108" s="49" t="s">
        <v>492</v>
      </c>
      <c r="AD108" s="49">
        <v>43</v>
      </c>
      <c r="AE108" s="51">
        <v>8</v>
      </c>
      <c r="AF108" s="49">
        <v>36</v>
      </c>
      <c r="AG108" s="49">
        <v>0.9</v>
      </c>
      <c r="AH108" s="49">
        <v>2</v>
      </c>
      <c r="AI108" s="49">
        <v>0</v>
      </c>
      <c r="AJ108" s="49">
        <v>7850</v>
      </c>
      <c r="AK108" s="49" t="s">
        <v>156</v>
      </c>
    </row>
    <row r="109" spans="19:37">
      <c r="S109" s="53">
        <v>85</v>
      </c>
      <c r="T109" s="51">
        <v>25.35</v>
      </c>
      <c r="U109" s="49">
        <v>0</v>
      </c>
      <c r="V109" s="49">
        <v>0</v>
      </c>
      <c r="W109" s="50">
        <v>0</v>
      </c>
      <c r="X109" s="49" t="b">
        <v>0</v>
      </c>
      <c r="Y109" s="53"/>
      <c r="AB109" s="49" t="s">
        <v>53</v>
      </c>
      <c r="AC109" s="49" t="s">
        <v>493</v>
      </c>
      <c r="AD109" s="49">
        <v>43</v>
      </c>
      <c r="AE109" s="51">
        <v>8</v>
      </c>
      <c r="AF109" s="49">
        <v>37</v>
      </c>
      <c r="AG109" s="49">
        <v>0.9</v>
      </c>
      <c r="AH109" s="49">
        <v>2</v>
      </c>
      <c r="AI109" s="49">
        <v>0</v>
      </c>
      <c r="AJ109" s="49">
        <v>7850</v>
      </c>
      <c r="AK109" s="49" t="s">
        <v>156</v>
      </c>
    </row>
    <row r="110" spans="19:37">
      <c r="S110" s="53">
        <v>86</v>
      </c>
      <c r="T110" s="51">
        <v>24.3</v>
      </c>
      <c r="U110" s="49">
        <v>0</v>
      </c>
      <c r="V110" s="49">
        <v>0</v>
      </c>
      <c r="W110" s="50">
        <v>3000</v>
      </c>
      <c r="X110" s="49" t="b">
        <v>1</v>
      </c>
      <c r="Y110" s="53" t="s">
        <v>678</v>
      </c>
      <c r="AB110" s="49" t="s">
        <v>53</v>
      </c>
      <c r="AC110" s="49" t="s">
        <v>494</v>
      </c>
      <c r="AD110" s="49">
        <v>44</v>
      </c>
      <c r="AE110" s="51">
        <v>8</v>
      </c>
      <c r="AF110" s="49">
        <v>37</v>
      </c>
      <c r="AG110" s="49">
        <v>0.9</v>
      </c>
      <c r="AH110" s="49">
        <v>2</v>
      </c>
      <c r="AI110" s="49">
        <v>0</v>
      </c>
      <c r="AJ110" s="49">
        <v>7850</v>
      </c>
      <c r="AK110" s="49" t="s">
        <v>156</v>
      </c>
    </row>
    <row r="111" spans="19:37">
      <c r="S111" s="53">
        <v>87</v>
      </c>
      <c r="T111" s="51">
        <v>22.83</v>
      </c>
      <c r="U111" s="49">
        <v>0</v>
      </c>
      <c r="V111" s="49">
        <v>0</v>
      </c>
      <c r="W111" s="50">
        <v>12598</v>
      </c>
      <c r="X111" s="49" t="b">
        <v>1</v>
      </c>
      <c r="Y111" s="53" t="s">
        <v>679</v>
      </c>
      <c r="AB111" s="49" t="s">
        <v>53</v>
      </c>
      <c r="AC111" s="49" t="s">
        <v>495</v>
      </c>
      <c r="AD111" s="49">
        <v>44</v>
      </c>
      <c r="AE111" s="51">
        <v>8</v>
      </c>
      <c r="AF111" s="49">
        <v>37</v>
      </c>
      <c r="AG111" s="49">
        <v>0.9</v>
      </c>
      <c r="AH111" s="49">
        <v>2</v>
      </c>
      <c r="AI111" s="49">
        <v>0</v>
      </c>
      <c r="AJ111" s="49">
        <v>7850</v>
      </c>
      <c r="AK111" s="49" t="s">
        <v>156</v>
      </c>
    </row>
    <row r="112" spans="19:37">
      <c r="S112" s="53">
        <v>88</v>
      </c>
      <c r="T112" s="51">
        <v>22.39</v>
      </c>
      <c r="U112" s="49">
        <v>0</v>
      </c>
      <c r="V112" s="49">
        <v>0</v>
      </c>
      <c r="W112" s="50">
        <v>0</v>
      </c>
      <c r="X112" s="49" t="b">
        <v>0</v>
      </c>
      <c r="Y112" s="53"/>
      <c r="AB112" s="49" t="s">
        <v>53</v>
      </c>
      <c r="AC112" s="49" t="s">
        <v>496</v>
      </c>
      <c r="AD112" s="49">
        <v>45</v>
      </c>
      <c r="AE112" s="51">
        <v>8</v>
      </c>
      <c r="AF112" s="49">
        <v>37</v>
      </c>
      <c r="AG112" s="49">
        <v>0.9</v>
      </c>
      <c r="AH112" s="49">
        <v>2</v>
      </c>
      <c r="AI112" s="49">
        <v>0</v>
      </c>
      <c r="AJ112" s="49">
        <v>7850</v>
      </c>
      <c r="AK112" s="49" t="s">
        <v>156</v>
      </c>
    </row>
    <row r="113" spans="19:37">
      <c r="S113" s="53">
        <v>89</v>
      </c>
      <c r="T113" s="51">
        <v>21.14</v>
      </c>
      <c r="U113" s="49">
        <v>0</v>
      </c>
      <c r="V113" s="49">
        <v>0</v>
      </c>
      <c r="W113" s="50">
        <v>0</v>
      </c>
      <c r="X113" s="49" t="b">
        <v>0</v>
      </c>
      <c r="Y113" s="53"/>
      <c r="AB113" s="49" t="s">
        <v>53</v>
      </c>
      <c r="AC113" s="49" t="s">
        <v>497</v>
      </c>
      <c r="AD113" s="49">
        <v>45</v>
      </c>
      <c r="AE113" s="51">
        <v>8</v>
      </c>
      <c r="AF113" s="49">
        <v>38</v>
      </c>
      <c r="AG113" s="49">
        <v>0.9</v>
      </c>
      <c r="AH113" s="49">
        <v>2</v>
      </c>
      <c r="AI113" s="49">
        <v>0</v>
      </c>
      <c r="AJ113" s="49">
        <v>7850</v>
      </c>
      <c r="AK113" s="49" t="s">
        <v>156</v>
      </c>
    </row>
    <row r="114" spans="19:37">
      <c r="S114" s="53">
        <v>90</v>
      </c>
      <c r="T114" s="51">
        <v>21.02</v>
      </c>
      <c r="U114" s="49">
        <v>0</v>
      </c>
      <c r="V114" s="49">
        <v>0</v>
      </c>
      <c r="W114" s="50">
        <v>40072</v>
      </c>
      <c r="X114" s="49" t="b">
        <v>1</v>
      </c>
      <c r="Y114" s="53" t="s">
        <v>680</v>
      </c>
      <c r="AB114" s="49" t="s">
        <v>53</v>
      </c>
      <c r="AC114" s="49" t="s">
        <v>498</v>
      </c>
      <c r="AD114" s="49">
        <v>46</v>
      </c>
      <c r="AE114" s="51">
        <v>8</v>
      </c>
      <c r="AF114" s="49">
        <v>38</v>
      </c>
      <c r="AG114" s="49">
        <v>0.9</v>
      </c>
      <c r="AH114" s="49">
        <v>2</v>
      </c>
      <c r="AI114" s="49">
        <v>0</v>
      </c>
      <c r="AJ114" s="49">
        <v>7850</v>
      </c>
      <c r="AK114" s="49" t="s">
        <v>156</v>
      </c>
    </row>
    <row r="115" spans="19:37">
      <c r="S115" s="53">
        <v>91</v>
      </c>
      <c r="T115" s="51">
        <v>20.9</v>
      </c>
      <c r="U115" s="49">
        <v>0</v>
      </c>
      <c r="V115" s="49">
        <v>0</v>
      </c>
      <c r="W115" s="50">
        <v>30000</v>
      </c>
      <c r="X115" s="49" t="b">
        <v>0</v>
      </c>
      <c r="Y115" s="53" t="s">
        <v>681</v>
      </c>
      <c r="AB115" s="49" t="s">
        <v>53</v>
      </c>
      <c r="AC115" s="49" t="s">
        <v>499</v>
      </c>
      <c r="AD115" s="49">
        <v>46</v>
      </c>
      <c r="AE115" s="51">
        <v>8</v>
      </c>
      <c r="AF115" s="49">
        <v>39</v>
      </c>
      <c r="AG115" s="49">
        <v>0.9</v>
      </c>
      <c r="AH115" s="49">
        <v>2</v>
      </c>
      <c r="AI115" s="49">
        <v>0</v>
      </c>
      <c r="AJ115" s="49">
        <v>7850</v>
      </c>
      <c r="AK115" s="49" t="s">
        <v>156</v>
      </c>
    </row>
    <row r="116" spans="19:37">
      <c r="S116" s="53">
        <v>92</v>
      </c>
      <c r="T116" s="51">
        <v>20.100000000000001</v>
      </c>
      <c r="U116" s="49">
        <v>0</v>
      </c>
      <c r="V116" s="49">
        <v>0</v>
      </c>
      <c r="W116" s="50">
        <v>20000</v>
      </c>
      <c r="X116" s="49" t="b">
        <v>1</v>
      </c>
      <c r="Y116" s="53" t="s">
        <v>632</v>
      </c>
      <c r="AB116" s="49" t="s">
        <v>53</v>
      </c>
      <c r="AC116" s="49" t="s">
        <v>500</v>
      </c>
      <c r="AD116" s="49">
        <v>47</v>
      </c>
      <c r="AE116" s="51">
        <v>8</v>
      </c>
      <c r="AF116" s="49">
        <v>39</v>
      </c>
      <c r="AG116" s="49">
        <v>0.9</v>
      </c>
      <c r="AH116" s="49">
        <v>2</v>
      </c>
      <c r="AI116" s="49">
        <v>0</v>
      </c>
      <c r="AJ116" s="49">
        <v>7850</v>
      </c>
      <c r="AK116" s="49" t="s">
        <v>156</v>
      </c>
    </row>
    <row r="117" spans="19:37">
      <c r="S117" s="53">
        <v>93</v>
      </c>
      <c r="T117" s="51">
        <v>19.5</v>
      </c>
      <c r="U117" s="49">
        <v>0</v>
      </c>
      <c r="V117" s="49">
        <v>0</v>
      </c>
      <c r="W117" s="50">
        <v>5906.4516129032254</v>
      </c>
      <c r="X117" s="49" t="b">
        <v>1</v>
      </c>
      <c r="Y117" s="53" t="s">
        <v>633</v>
      </c>
      <c r="AB117" s="49" t="s">
        <v>53</v>
      </c>
      <c r="AC117" s="49" t="s">
        <v>501</v>
      </c>
      <c r="AD117" s="49">
        <v>47</v>
      </c>
      <c r="AE117" s="51">
        <v>8</v>
      </c>
      <c r="AF117" s="49">
        <v>40</v>
      </c>
      <c r="AG117" s="49">
        <v>0.9</v>
      </c>
      <c r="AH117" s="49">
        <v>2</v>
      </c>
      <c r="AI117" s="49">
        <v>0</v>
      </c>
      <c r="AJ117" s="49">
        <v>7850</v>
      </c>
      <c r="AK117" s="49" t="s">
        <v>156</v>
      </c>
    </row>
    <row r="118" spans="19:37">
      <c r="S118" s="53">
        <v>94</v>
      </c>
      <c r="T118" s="51">
        <v>17.5</v>
      </c>
      <c r="U118" s="49">
        <v>0</v>
      </c>
      <c r="V118" s="49">
        <v>0</v>
      </c>
      <c r="W118" s="50">
        <v>2492.7419354838707</v>
      </c>
      <c r="X118" s="49" t="b">
        <v>0</v>
      </c>
      <c r="Y118" s="53" t="s">
        <v>634</v>
      </c>
      <c r="AB118" s="49" t="s">
        <v>53</v>
      </c>
      <c r="AC118" s="49" t="s">
        <v>502</v>
      </c>
      <c r="AD118" s="49">
        <v>48</v>
      </c>
      <c r="AE118" s="51">
        <v>8</v>
      </c>
      <c r="AF118" s="49">
        <v>40</v>
      </c>
      <c r="AG118" s="49">
        <v>0.9</v>
      </c>
      <c r="AH118" s="49">
        <v>2</v>
      </c>
      <c r="AI118" s="49">
        <v>0</v>
      </c>
      <c r="AJ118" s="49">
        <v>7850</v>
      </c>
      <c r="AK118" s="49" t="s">
        <v>156</v>
      </c>
    </row>
    <row r="119" spans="19:37">
      <c r="S119" s="53">
        <v>95</v>
      </c>
      <c r="T119" s="51">
        <v>14</v>
      </c>
      <c r="U119" s="49">
        <v>0</v>
      </c>
      <c r="V119" s="49">
        <v>0</v>
      </c>
      <c r="W119" s="50">
        <v>6812.9032258064508</v>
      </c>
      <c r="X119" s="49" t="b">
        <v>1</v>
      </c>
      <c r="Y119" s="53" t="s">
        <v>635</v>
      </c>
      <c r="AB119" s="49" t="s">
        <v>53</v>
      </c>
      <c r="AC119" s="49" t="s">
        <v>503</v>
      </c>
      <c r="AD119" s="49">
        <v>48</v>
      </c>
      <c r="AE119" s="51">
        <v>8.01</v>
      </c>
      <c r="AF119" s="49">
        <v>42</v>
      </c>
      <c r="AG119" s="49">
        <v>0.9</v>
      </c>
      <c r="AH119" s="49">
        <v>2</v>
      </c>
      <c r="AI119" s="49">
        <v>0</v>
      </c>
      <c r="AJ119" s="49">
        <v>7850</v>
      </c>
      <c r="AK119" s="49" t="s">
        <v>156</v>
      </c>
    </row>
    <row r="120" spans="19:37">
      <c r="S120" s="53">
        <v>96</v>
      </c>
      <c r="T120" s="51">
        <v>13.5</v>
      </c>
      <c r="U120" s="49">
        <v>0</v>
      </c>
      <c r="V120" s="49">
        <v>0</v>
      </c>
      <c r="W120" s="50">
        <v>1146.6612903225803</v>
      </c>
      <c r="X120" s="49" t="b">
        <v>0</v>
      </c>
      <c r="Y120" s="53" t="s">
        <v>636</v>
      </c>
      <c r="AB120" s="49" t="s">
        <v>53</v>
      </c>
      <c r="AC120" s="49" t="s">
        <v>504</v>
      </c>
      <c r="AD120" s="49">
        <v>49</v>
      </c>
      <c r="AE120" s="51">
        <v>8.01</v>
      </c>
      <c r="AF120" s="49">
        <v>42</v>
      </c>
      <c r="AG120" s="49">
        <v>0.9</v>
      </c>
      <c r="AH120" s="49">
        <v>2</v>
      </c>
      <c r="AI120" s="49">
        <v>0</v>
      </c>
      <c r="AJ120" s="49">
        <v>7850</v>
      </c>
      <c r="AK120" s="49" t="s">
        <v>156</v>
      </c>
    </row>
    <row r="121" spans="19:37">
      <c r="S121" s="53">
        <v>97</v>
      </c>
      <c r="T121" s="51">
        <v>11.47</v>
      </c>
      <c r="U121" s="49">
        <v>0</v>
      </c>
      <c r="V121" s="49">
        <v>0</v>
      </c>
      <c r="W121" s="50">
        <v>2030.5054610109223</v>
      </c>
      <c r="X121" s="49" t="b">
        <v>1</v>
      </c>
      <c r="Y121" s="53" t="s">
        <v>637</v>
      </c>
      <c r="AB121" s="49" t="s">
        <v>53</v>
      </c>
      <c r="AC121" s="49" t="s">
        <v>505</v>
      </c>
      <c r="AD121" s="49">
        <v>49</v>
      </c>
      <c r="AE121" s="51">
        <v>8.02</v>
      </c>
      <c r="AF121" s="49">
        <v>54</v>
      </c>
      <c r="AG121" s="49">
        <v>0.9</v>
      </c>
      <c r="AH121" s="49">
        <v>2</v>
      </c>
      <c r="AI121" s="49">
        <v>0</v>
      </c>
      <c r="AJ121" s="49">
        <v>7850</v>
      </c>
      <c r="AK121" s="49" t="s">
        <v>156</v>
      </c>
    </row>
    <row r="122" spans="19:37">
      <c r="S122" s="53">
        <v>98</v>
      </c>
      <c r="T122" s="51">
        <v>11</v>
      </c>
      <c r="U122" s="49">
        <v>0</v>
      </c>
      <c r="V122" s="49">
        <v>0</v>
      </c>
      <c r="W122" s="50">
        <v>3001.5967741935492</v>
      </c>
      <c r="X122" s="49" t="b">
        <v>1</v>
      </c>
      <c r="Y122" s="53" t="s">
        <v>638</v>
      </c>
      <c r="AB122" s="49" t="s">
        <v>53</v>
      </c>
      <c r="AC122" s="49" t="s">
        <v>506</v>
      </c>
      <c r="AD122" s="49">
        <v>50</v>
      </c>
      <c r="AE122" s="51">
        <v>8</v>
      </c>
      <c r="AF122" s="49">
        <v>54</v>
      </c>
      <c r="AG122" s="49">
        <v>0.9</v>
      </c>
      <c r="AH122" s="49">
        <v>2</v>
      </c>
      <c r="AI122" s="49">
        <v>0</v>
      </c>
      <c r="AJ122" s="49">
        <v>7850</v>
      </c>
      <c r="AK122" s="49" t="s">
        <v>156</v>
      </c>
    </row>
    <row r="123" spans="19:37">
      <c r="S123" s="53">
        <v>99</v>
      </c>
      <c r="T123" s="51">
        <v>10.199999999999999</v>
      </c>
      <c r="U123" s="49">
        <v>0</v>
      </c>
      <c r="V123" s="49">
        <v>0</v>
      </c>
      <c r="W123" s="50">
        <v>1921.3619225016228</v>
      </c>
      <c r="X123" s="49" t="b">
        <v>1</v>
      </c>
      <c r="Y123" s="53" t="s">
        <v>639</v>
      </c>
      <c r="AB123" s="49" t="s">
        <v>53</v>
      </c>
      <c r="AC123" s="49" t="s">
        <v>507</v>
      </c>
      <c r="AD123" s="49">
        <v>50</v>
      </c>
      <c r="AE123" s="51">
        <v>8</v>
      </c>
      <c r="AF123" s="49">
        <v>54</v>
      </c>
      <c r="AG123" s="49">
        <v>0.9</v>
      </c>
      <c r="AH123" s="49">
        <v>2</v>
      </c>
      <c r="AI123" s="49">
        <v>0</v>
      </c>
      <c r="AJ123" s="49">
        <v>7850</v>
      </c>
      <c r="AK123" s="49" t="s">
        <v>156</v>
      </c>
    </row>
    <row r="124" spans="19:37">
      <c r="S124" s="53">
        <v>100</v>
      </c>
      <c r="T124" s="51">
        <v>10.1</v>
      </c>
      <c r="U124" s="49">
        <v>0</v>
      </c>
      <c r="V124" s="49">
        <v>0</v>
      </c>
      <c r="W124" s="50">
        <v>428.34278959810842</v>
      </c>
      <c r="X124" s="49" t="b">
        <v>1</v>
      </c>
      <c r="Y124" s="53" t="s">
        <v>682</v>
      </c>
      <c r="AB124" s="49" t="s">
        <v>53</v>
      </c>
      <c r="AC124" s="49" t="s">
        <v>508</v>
      </c>
      <c r="AD124" s="49">
        <v>51</v>
      </c>
      <c r="AE124" s="51">
        <v>8</v>
      </c>
      <c r="AF124" s="49">
        <v>54</v>
      </c>
      <c r="AG124" s="49">
        <v>0.9</v>
      </c>
      <c r="AH124" s="49">
        <v>2</v>
      </c>
      <c r="AI124" s="49">
        <v>0</v>
      </c>
      <c r="AJ124" s="49">
        <v>7850</v>
      </c>
      <c r="AK124" s="49" t="s">
        <v>156</v>
      </c>
    </row>
    <row r="125" spans="19:37">
      <c r="S125" s="53">
        <v>101</v>
      </c>
      <c r="T125" s="51">
        <v>9.5</v>
      </c>
      <c r="U125" s="49">
        <v>0</v>
      </c>
      <c r="V125" s="49">
        <v>0</v>
      </c>
      <c r="W125" s="50">
        <v>2978.4042553191484</v>
      </c>
      <c r="X125" s="49" t="b">
        <v>0</v>
      </c>
      <c r="Y125" s="53" t="s">
        <v>683</v>
      </c>
      <c r="AB125" s="49" t="s">
        <v>53</v>
      </c>
      <c r="AC125" s="49" t="s">
        <v>509</v>
      </c>
      <c r="AD125" s="49">
        <v>51</v>
      </c>
      <c r="AE125" s="51">
        <v>8</v>
      </c>
      <c r="AF125" s="49">
        <v>54</v>
      </c>
      <c r="AG125" s="49">
        <v>0.9</v>
      </c>
      <c r="AH125" s="49">
        <v>2</v>
      </c>
      <c r="AI125" s="49">
        <v>0</v>
      </c>
      <c r="AJ125" s="49">
        <v>7850</v>
      </c>
      <c r="AK125" s="49" t="s">
        <v>156</v>
      </c>
    </row>
    <row r="126" spans="19:37">
      <c r="S126" s="53">
        <v>102</v>
      </c>
      <c r="T126" s="51">
        <v>5.6</v>
      </c>
      <c r="U126" s="49">
        <v>0</v>
      </c>
      <c r="V126" s="49">
        <v>0</v>
      </c>
      <c r="W126" s="50">
        <v>4470.1193853427894</v>
      </c>
      <c r="X126" s="49" t="b">
        <v>0</v>
      </c>
      <c r="Y126" s="53" t="s">
        <v>684</v>
      </c>
      <c r="AB126" s="49" t="s">
        <v>53</v>
      </c>
      <c r="AC126" s="49" t="s">
        <v>510</v>
      </c>
      <c r="AD126" s="49">
        <v>52</v>
      </c>
      <c r="AE126" s="51">
        <v>8</v>
      </c>
      <c r="AF126" s="49">
        <v>54</v>
      </c>
      <c r="AG126" s="49">
        <v>0.9</v>
      </c>
      <c r="AH126" s="49">
        <v>2</v>
      </c>
      <c r="AI126" s="49">
        <v>0</v>
      </c>
      <c r="AJ126" s="49">
        <v>7850</v>
      </c>
      <c r="AK126" s="49" t="s">
        <v>156</v>
      </c>
    </row>
    <row r="127" spans="19:37">
      <c r="S127" s="53">
        <v>103</v>
      </c>
      <c r="T127" s="51">
        <v>3.1</v>
      </c>
      <c r="U127" s="49">
        <v>0</v>
      </c>
      <c r="V127" s="49">
        <v>0</v>
      </c>
      <c r="W127" s="50">
        <v>2880.9399805520666</v>
      </c>
      <c r="X127" s="49" t="b">
        <v>1</v>
      </c>
      <c r="Y127" s="53" t="s">
        <v>685</v>
      </c>
      <c r="AB127" s="49" t="s">
        <v>53</v>
      </c>
      <c r="AC127" s="49" t="s">
        <v>511</v>
      </c>
      <c r="AD127" s="49">
        <v>52</v>
      </c>
      <c r="AE127" s="51">
        <v>8</v>
      </c>
      <c r="AF127" s="49">
        <v>54</v>
      </c>
      <c r="AG127" s="49">
        <v>0.9</v>
      </c>
      <c r="AH127" s="49">
        <v>2</v>
      </c>
      <c r="AI127" s="49">
        <v>0</v>
      </c>
      <c r="AJ127" s="49">
        <v>7850</v>
      </c>
      <c r="AK127" s="49" t="s">
        <v>156</v>
      </c>
    </row>
    <row r="128" spans="19:37">
      <c r="S128" s="53">
        <v>104</v>
      </c>
      <c r="T128" s="51">
        <v>1.6</v>
      </c>
      <c r="U128" s="49">
        <v>0</v>
      </c>
      <c r="V128" s="49">
        <v>0</v>
      </c>
      <c r="W128" s="50">
        <v>7052.8531971269222</v>
      </c>
      <c r="X128" s="49" t="b">
        <v>0</v>
      </c>
      <c r="Y128" s="53" t="s">
        <v>686</v>
      </c>
      <c r="AB128" s="49" t="s">
        <v>53</v>
      </c>
      <c r="AC128" s="49" t="s">
        <v>512</v>
      </c>
      <c r="AD128" s="49">
        <v>53</v>
      </c>
      <c r="AE128" s="51">
        <v>8</v>
      </c>
      <c r="AF128" s="49">
        <v>54</v>
      </c>
      <c r="AG128" s="49">
        <v>0.9</v>
      </c>
      <c r="AH128" s="49">
        <v>2</v>
      </c>
      <c r="AI128" s="49">
        <v>0</v>
      </c>
      <c r="AJ128" s="49">
        <v>7850</v>
      </c>
      <c r="AK128" s="49" t="s">
        <v>156</v>
      </c>
    </row>
    <row r="129" spans="19:37">
      <c r="S129" s="53">
        <v>105</v>
      </c>
      <c r="T129" s="51">
        <v>-2.2999999999999998</v>
      </c>
      <c r="U129" s="49">
        <v>0</v>
      </c>
      <c r="V129" s="49">
        <v>0</v>
      </c>
      <c r="W129" s="50">
        <v>6045.6702879279264</v>
      </c>
      <c r="X129" s="49" t="b">
        <v>0</v>
      </c>
      <c r="Y129" s="53" t="s">
        <v>687</v>
      </c>
      <c r="AB129" s="49" t="s">
        <v>53</v>
      </c>
      <c r="AC129" s="49" t="s">
        <v>513</v>
      </c>
      <c r="AD129" s="49">
        <v>53</v>
      </c>
      <c r="AE129" s="51">
        <v>8</v>
      </c>
      <c r="AF129" s="49">
        <v>54</v>
      </c>
      <c r="AG129" s="49">
        <v>0.9</v>
      </c>
      <c r="AH129" s="49">
        <v>2</v>
      </c>
      <c r="AI129" s="49">
        <v>0</v>
      </c>
      <c r="AJ129" s="49">
        <v>7850</v>
      </c>
      <c r="AK129" s="49" t="s">
        <v>156</v>
      </c>
    </row>
    <row r="130" spans="19:37">
      <c r="S130" s="53">
        <v>106</v>
      </c>
      <c r="T130" s="51">
        <v>-3.3</v>
      </c>
      <c r="U130" s="49">
        <v>0</v>
      </c>
      <c r="V130" s="49">
        <v>0</v>
      </c>
      <c r="W130" s="50">
        <v>1728.5684084684283</v>
      </c>
      <c r="X130" s="49" t="b">
        <v>1</v>
      </c>
      <c r="Y130" s="53" t="s">
        <v>688</v>
      </c>
      <c r="AB130" s="49" t="s">
        <v>53</v>
      </c>
      <c r="AC130" s="49" t="s">
        <v>514</v>
      </c>
      <c r="AD130" s="49">
        <v>54</v>
      </c>
      <c r="AE130" s="51">
        <v>8</v>
      </c>
      <c r="AF130" s="49">
        <v>54</v>
      </c>
      <c r="AG130" s="49">
        <v>0.9</v>
      </c>
      <c r="AH130" s="49">
        <v>2</v>
      </c>
      <c r="AI130" s="49">
        <v>0</v>
      </c>
      <c r="AJ130" s="49">
        <v>7850</v>
      </c>
      <c r="AK130" s="49" t="s">
        <v>156</v>
      </c>
    </row>
    <row r="131" spans="19:37">
      <c r="S131" s="53">
        <v>107</v>
      </c>
      <c r="T131" s="51">
        <v>-4</v>
      </c>
      <c r="U131" s="49">
        <v>0</v>
      </c>
      <c r="V131" s="49">
        <v>0</v>
      </c>
      <c r="W131" s="50">
        <v>494.75814562599442</v>
      </c>
      <c r="X131" s="49" t="b">
        <v>1</v>
      </c>
      <c r="Y131" s="53" t="s">
        <v>689</v>
      </c>
      <c r="AB131" s="49" t="s">
        <v>53</v>
      </c>
      <c r="AC131" s="49" t="s">
        <v>515</v>
      </c>
      <c r="AD131" s="49">
        <v>54</v>
      </c>
      <c r="AE131" s="51">
        <v>7.99</v>
      </c>
      <c r="AF131" s="49">
        <v>45</v>
      </c>
      <c r="AG131" s="49">
        <v>0.9</v>
      </c>
      <c r="AH131" s="49">
        <v>2</v>
      </c>
      <c r="AI131" s="49">
        <v>0</v>
      </c>
      <c r="AJ131" s="49">
        <v>7850</v>
      </c>
      <c r="AK131" s="49" t="s">
        <v>156</v>
      </c>
    </row>
    <row r="132" spans="19:37">
      <c r="S132" s="53">
        <v>108</v>
      </c>
      <c r="T132" s="51">
        <v>-6.2</v>
      </c>
      <c r="U132" s="49">
        <v>0</v>
      </c>
      <c r="V132" s="49">
        <v>0</v>
      </c>
      <c r="W132" s="50">
        <v>0</v>
      </c>
      <c r="X132" s="49" t="b">
        <v>0</v>
      </c>
      <c r="Y132" s="53"/>
      <c r="AB132" s="49" t="s">
        <v>53</v>
      </c>
      <c r="AC132" s="49" t="s">
        <v>516</v>
      </c>
      <c r="AD132" s="49">
        <v>55</v>
      </c>
      <c r="AE132" s="51">
        <v>7.99</v>
      </c>
      <c r="AF132" s="49">
        <v>45</v>
      </c>
      <c r="AG132" s="49">
        <v>0.9</v>
      </c>
      <c r="AH132" s="49">
        <v>2</v>
      </c>
      <c r="AI132" s="49">
        <v>0</v>
      </c>
      <c r="AJ132" s="49">
        <v>7850</v>
      </c>
      <c r="AK132" s="49" t="s">
        <v>156</v>
      </c>
    </row>
    <row r="133" spans="19:37">
      <c r="S133" s="53">
        <v>109</v>
      </c>
      <c r="T133" s="51">
        <v>-10.1</v>
      </c>
      <c r="U133" s="49">
        <v>0</v>
      </c>
      <c r="V133" s="49">
        <v>0</v>
      </c>
      <c r="W133" s="50">
        <v>0</v>
      </c>
      <c r="X133" s="49" t="b">
        <v>0</v>
      </c>
      <c r="Y133" s="53"/>
      <c r="AB133" s="49" t="s">
        <v>53</v>
      </c>
      <c r="AC133" s="49" t="s">
        <v>517</v>
      </c>
      <c r="AD133" s="49">
        <v>55</v>
      </c>
      <c r="AE133" s="51">
        <v>7.99</v>
      </c>
      <c r="AF133" s="49">
        <v>46</v>
      </c>
      <c r="AG133" s="49">
        <v>0.9</v>
      </c>
      <c r="AH133" s="49">
        <v>2</v>
      </c>
      <c r="AI133" s="49">
        <v>0</v>
      </c>
      <c r="AJ133" s="49">
        <v>7850</v>
      </c>
      <c r="AK133" s="49" t="s">
        <v>156</v>
      </c>
    </row>
    <row r="134" spans="19:37">
      <c r="S134" s="53">
        <v>110</v>
      </c>
      <c r="T134" s="51">
        <v>-14</v>
      </c>
      <c r="U134" s="49">
        <v>0</v>
      </c>
      <c r="V134" s="49">
        <v>0</v>
      </c>
      <c r="W134" s="50">
        <v>0</v>
      </c>
      <c r="X134" s="49" t="b">
        <v>0</v>
      </c>
      <c r="Y134" s="53"/>
      <c r="AB134" s="49" t="s">
        <v>53</v>
      </c>
      <c r="AC134" s="49" t="s">
        <v>518</v>
      </c>
      <c r="AD134" s="49">
        <v>56</v>
      </c>
      <c r="AE134" s="51">
        <v>7.99</v>
      </c>
      <c r="AF134" s="49">
        <v>46</v>
      </c>
      <c r="AG134" s="49">
        <v>0.9</v>
      </c>
      <c r="AH134" s="49">
        <v>2</v>
      </c>
      <c r="AI134" s="49">
        <v>0</v>
      </c>
      <c r="AJ134" s="49">
        <v>7850</v>
      </c>
      <c r="AK134" s="49" t="s">
        <v>156</v>
      </c>
    </row>
    <row r="135" spans="19:37">
      <c r="S135" s="53">
        <v>111</v>
      </c>
      <c r="T135" s="51">
        <v>-17.899999999999999</v>
      </c>
      <c r="U135" s="49">
        <v>0</v>
      </c>
      <c r="V135" s="49">
        <v>0</v>
      </c>
      <c r="W135" s="50">
        <v>0</v>
      </c>
      <c r="X135" s="49" t="b">
        <v>0</v>
      </c>
      <c r="Y135" s="53"/>
      <c r="AB135" s="49" t="s">
        <v>53</v>
      </c>
      <c r="AC135" s="49" t="s">
        <v>519</v>
      </c>
      <c r="AD135" s="49">
        <v>56</v>
      </c>
      <c r="AE135" s="51">
        <v>7.99</v>
      </c>
      <c r="AF135" s="49">
        <v>47</v>
      </c>
      <c r="AG135" s="49">
        <v>0.9</v>
      </c>
      <c r="AH135" s="49">
        <v>2</v>
      </c>
      <c r="AI135" s="49">
        <v>0</v>
      </c>
      <c r="AJ135" s="49">
        <v>7850</v>
      </c>
      <c r="AK135" s="49" t="s">
        <v>156</v>
      </c>
    </row>
    <row r="136" spans="19:37">
      <c r="S136" s="53">
        <v>112</v>
      </c>
      <c r="T136" s="51">
        <v>-21.8</v>
      </c>
      <c r="U136" s="49">
        <v>0</v>
      </c>
      <c r="V136" s="49">
        <v>0</v>
      </c>
      <c r="W136" s="50">
        <v>0</v>
      </c>
      <c r="X136" s="49" t="b">
        <v>0</v>
      </c>
      <c r="Y136" s="53"/>
      <c r="AB136" s="49" t="s">
        <v>53</v>
      </c>
      <c r="AC136" s="49" t="s">
        <v>520</v>
      </c>
      <c r="AD136" s="49">
        <v>57</v>
      </c>
      <c r="AE136" s="51">
        <v>7.99</v>
      </c>
      <c r="AF136" s="49">
        <v>47</v>
      </c>
      <c r="AG136" s="49">
        <v>0.9</v>
      </c>
      <c r="AH136" s="49">
        <v>2</v>
      </c>
      <c r="AI136" s="49">
        <v>0</v>
      </c>
      <c r="AJ136" s="49">
        <v>7850</v>
      </c>
      <c r="AK136" s="49" t="s">
        <v>156</v>
      </c>
    </row>
    <row r="137" spans="19:37">
      <c r="S137" s="53">
        <v>113</v>
      </c>
      <c r="T137" s="51">
        <v>-25.7</v>
      </c>
      <c r="U137" s="49">
        <v>0</v>
      </c>
      <c r="V137" s="49">
        <v>0</v>
      </c>
      <c r="W137" s="50">
        <v>0</v>
      </c>
      <c r="X137" s="49" t="b">
        <v>0</v>
      </c>
      <c r="Y137" s="53"/>
      <c r="AB137" s="49" t="s">
        <v>53</v>
      </c>
      <c r="AC137" s="49" t="s">
        <v>521</v>
      </c>
      <c r="AD137" s="49">
        <v>57</v>
      </c>
      <c r="AE137" s="51">
        <v>7.99</v>
      </c>
      <c r="AF137" s="49">
        <v>48</v>
      </c>
      <c r="AG137" s="49">
        <v>0.9</v>
      </c>
      <c r="AH137" s="49">
        <v>2</v>
      </c>
      <c r="AI137" s="49">
        <v>0</v>
      </c>
      <c r="AJ137" s="49">
        <v>7850</v>
      </c>
      <c r="AK137" s="49" t="s">
        <v>156</v>
      </c>
    </row>
    <row r="138" spans="19:37">
      <c r="S138" s="53">
        <v>114</v>
      </c>
      <c r="T138" s="51">
        <v>-29.6</v>
      </c>
      <c r="U138" s="49">
        <v>0</v>
      </c>
      <c r="V138" s="49">
        <v>0</v>
      </c>
      <c r="W138" s="50">
        <v>0</v>
      </c>
      <c r="X138" s="49" t="b">
        <v>0</v>
      </c>
      <c r="Y138" s="53"/>
      <c r="AB138" s="49" t="s">
        <v>53</v>
      </c>
      <c r="AC138" s="49" t="s">
        <v>522</v>
      </c>
      <c r="AD138" s="49">
        <v>58</v>
      </c>
      <c r="AE138" s="51">
        <v>7.99</v>
      </c>
      <c r="AF138" s="49">
        <v>48</v>
      </c>
      <c r="AG138" s="49">
        <v>0.9</v>
      </c>
      <c r="AH138" s="49">
        <v>2</v>
      </c>
      <c r="AI138" s="49">
        <v>0</v>
      </c>
      <c r="AJ138" s="49">
        <v>7850</v>
      </c>
      <c r="AK138" s="49" t="s">
        <v>156</v>
      </c>
    </row>
    <row r="139" spans="19:37">
      <c r="S139" s="53">
        <v>115</v>
      </c>
      <c r="T139" s="51">
        <v>-33.5</v>
      </c>
      <c r="U139" s="49">
        <v>0</v>
      </c>
      <c r="V139" s="49">
        <v>0</v>
      </c>
      <c r="W139" s="50">
        <v>0</v>
      </c>
      <c r="X139" s="49" t="b">
        <v>0</v>
      </c>
      <c r="Y139" s="53"/>
      <c r="AB139" s="49" t="s">
        <v>53</v>
      </c>
      <c r="AC139" s="49" t="s">
        <v>523</v>
      </c>
      <c r="AD139" s="49">
        <v>58</v>
      </c>
      <c r="AE139" s="51">
        <v>8</v>
      </c>
      <c r="AF139" s="49">
        <v>49</v>
      </c>
      <c r="AG139" s="49">
        <v>0.9</v>
      </c>
      <c r="AH139" s="49">
        <v>2</v>
      </c>
      <c r="AI139" s="49">
        <v>0</v>
      </c>
      <c r="AJ139" s="49">
        <v>7850</v>
      </c>
      <c r="AK139" s="49" t="s">
        <v>156</v>
      </c>
    </row>
    <row r="140" spans="19:37">
      <c r="S140" s="53">
        <v>116</v>
      </c>
      <c r="T140" s="51">
        <v>-36.799999999999997</v>
      </c>
      <c r="U140" s="49">
        <v>0</v>
      </c>
      <c r="V140" s="49">
        <v>0</v>
      </c>
      <c r="W140" s="50">
        <v>0</v>
      </c>
      <c r="X140" s="49" t="b">
        <v>0</v>
      </c>
      <c r="Y140" s="53"/>
      <c r="AB140" s="49" t="s">
        <v>53</v>
      </c>
      <c r="AC140" s="49" t="s">
        <v>524</v>
      </c>
      <c r="AD140" s="49">
        <v>59</v>
      </c>
      <c r="AE140" s="51">
        <v>8</v>
      </c>
      <c r="AF140" s="49">
        <v>49</v>
      </c>
      <c r="AG140" s="49">
        <v>0.9</v>
      </c>
      <c r="AH140" s="49">
        <v>2</v>
      </c>
      <c r="AI140" s="49">
        <v>0</v>
      </c>
      <c r="AJ140" s="49">
        <v>7850</v>
      </c>
      <c r="AK140" s="49" t="s">
        <v>156</v>
      </c>
    </row>
    <row r="141" spans="19:37">
      <c r="S141" s="53">
        <v>117</v>
      </c>
      <c r="T141" s="51">
        <v>-40.200000000000003</v>
      </c>
      <c r="U141" s="49">
        <v>0</v>
      </c>
      <c r="V141" s="49">
        <v>0</v>
      </c>
      <c r="W141" s="50">
        <v>0</v>
      </c>
      <c r="X141" s="49" t="b">
        <v>0</v>
      </c>
      <c r="Y141" s="53"/>
      <c r="AB141" s="49" t="s">
        <v>53</v>
      </c>
      <c r="AC141" s="49" t="s">
        <v>525</v>
      </c>
      <c r="AD141" s="49">
        <v>59</v>
      </c>
      <c r="AE141" s="51">
        <v>8</v>
      </c>
      <c r="AF141" s="49">
        <v>50</v>
      </c>
      <c r="AG141" s="49">
        <v>0.9</v>
      </c>
      <c r="AH141" s="49">
        <v>2</v>
      </c>
      <c r="AI141" s="49">
        <v>0</v>
      </c>
      <c r="AJ141" s="49">
        <v>7850</v>
      </c>
      <c r="AK141" s="49" t="s">
        <v>156</v>
      </c>
    </row>
    <row r="142" spans="19:37">
      <c r="S142" s="53">
        <v>118</v>
      </c>
      <c r="T142" s="51">
        <v>-43.5</v>
      </c>
      <c r="U142" s="49">
        <v>0</v>
      </c>
      <c r="V142" s="49">
        <v>0</v>
      </c>
      <c r="W142" s="50">
        <v>0</v>
      </c>
      <c r="X142" s="49" t="b">
        <v>0</v>
      </c>
      <c r="Y142" s="53"/>
      <c r="AB142" s="49" t="s">
        <v>53</v>
      </c>
      <c r="AC142" s="49" t="s">
        <v>526</v>
      </c>
      <c r="AD142" s="49">
        <v>60</v>
      </c>
      <c r="AE142" s="51">
        <v>8</v>
      </c>
      <c r="AF142" s="49">
        <v>50</v>
      </c>
      <c r="AG142" s="49">
        <v>0.9</v>
      </c>
      <c r="AH142" s="49">
        <v>2</v>
      </c>
      <c r="AI142" s="49">
        <v>0</v>
      </c>
      <c r="AJ142" s="49">
        <v>7850</v>
      </c>
      <c r="AK142" s="49" t="s">
        <v>156</v>
      </c>
    </row>
    <row r="143" spans="19:37">
      <c r="T143" s="51"/>
      <c r="W143" s="50"/>
      <c r="Y143" s="53"/>
      <c r="AB143" s="49" t="s">
        <v>53</v>
      </c>
      <c r="AC143" s="49" t="s">
        <v>527</v>
      </c>
      <c r="AD143" s="49">
        <v>60</v>
      </c>
      <c r="AE143" s="51">
        <v>8</v>
      </c>
      <c r="AF143" s="49">
        <v>51</v>
      </c>
      <c r="AG143" s="49">
        <v>0.9</v>
      </c>
      <c r="AH143" s="49">
        <v>2</v>
      </c>
      <c r="AI143" s="49">
        <v>0</v>
      </c>
      <c r="AJ143" s="49">
        <v>7850</v>
      </c>
      <c r="AK143" s="49" t="s">
        <v>156</v>
      </c>
    </row>
    <row r="144" spans="19:37">
      <c r="T144" s="51"/>
      <c r="W144" s="50"/>
      <c r="Y144" s="53"/>
      <c r="AB144" s="49" t="s">
        <v>53</v>
      </c>
      <c r="AC144" s="49" t="s">
        <v>528</v>
      </c>
      <c r="AD144" s="49">
        <v>61</v>
      </c>
      <c r="AE144" s="51">
        <v>8</v>
      </c>
      <c r="AF144" s="49">
        <v>51</v>
      </c>
      <c r="AG144" s="49">
        <v>0.9</v>
      </c>
      <c r="AH144" s="49">
        <v>2</v>
      </c>
      <c r="AI144" s="49">
        <v>0</v>
      </c>
      <c r="AJ144" s="49">
        <v>7850</v>
      </c>
      <c r="AK144" s="49" t="s">
        <v>156</v>
      </c>
    </row>
    <row r="145" spans="20:37">
      <c r="T145" s="51"/>
      <c r="W145" s="50"/>
      <c r="Y145" s="53"/>
      <c r="AB145" s="49" t="s">
        <v>53</v>
      </c>
      <c r="AC145" s="49" t="s">
        <v>529</v>
      </c>
      <c r="AD145" s="49">
        <v>61</v>
      </c>
      <c r="AE145" s="51">
        <v>8</v>
      </c>
      <c r="AF145" s="49">
        <v>58</v>
      </c>
      <c r="AG145" s="49">
        <v>0.9</v>
      </c>
      <c r="AH145" s="49">
        <v>2</v>
      </c>
      <c r="AI145" s="49">
        <v>0</v>
      </c>
      <c r="AJ145" s="49">
        <v>7850</v>
      </c>
      <c r="AK145" s="49" t="s">
        <v>156</v>
      </c>
    </row>
    <row r="146" spans="20:37">
      <c r="T146" s="51"/>
      <c r="W146" s="50"/>
      <c r="Y146" s="53"/>
      <c r="AB146" s="49" t="s">
        <v>53</v>
      </c>
      <c r="AC146" s="49" t="s">
        <v>530</v>
      </c>
      <c r="AD146" s="49">
        <v>62</v>
      </c>
      <c r="AE146" s="51">
        <v>8</v>
      </c>
      <c r="AF146" s="49">
        <v>58</v>
      </c>
      <c r="AG146" s="49">
        <v>0.9</v>
      </c>
      <c r="AH146" s="49">
        <v>2</v>
      </c>
      <c r="AI146" s="49">
        <v>0</v>
      </c>
      <c r="AJ146" s="49">
        <v>7850</v>
      </c>
      <c r="AK146" s="49" t="s">
        <v>156</v>
      </c>
    </row>
    <row r="147" spans="20:37">
      <c r="T147" s="51"/>
      <c r="W147" s="50"/>
      <c r="Y147" s="53"/>
      <c r="AB147" s="49" t="s">
        <v>53</v>
      </c>
      <c r="AC147" s="49" t="s">
        <v>531</v>
      </c>
      <c r="AD147" s="49">
        <v>62</v>
      </c>
      <c r="AE147" s="51">
        <v>8.02</v>
      </c>
      <c r="AF147" s="49">
        <v>72</v>
      </c>
      <c r="AG147" s="49">
        <v>0.9</v>
      </c>
      <c r="AH147" s="49">
        <v>2</v>
      </c>
      <c r="AI147" s="49">
        <v>0</v>
      </c>
      <c r="AJ147" s="49">
        <v>7850</v>
      </c>
      <c r="AK147" s="49" t="s">
        <v>156</v>
      </c>
    </row>
    <row r="148" spans="20:37">
      <c r="T148" s="51"/>
      <c r="W148" s="50"/>
      <c r="Y148" s="53"/>
      <c r="AB148" s="49" t="s">
        <v>53</v>
      </c>
      <c r="AC148" s="49" t="s">
        <v>532</v>
      </c>
      <c r="AD148" s="49">
        <v>63</v>
      </c>
      <c r="AE148" s="51">
        <v>8</v>
      </c>
      <c r="AF148" s="49">
        <v>72</v>
      </c>
      <c r="AG148" s="49">
        <v>0.9</v>
      </c>
      <c r="AH148" s="49">
        <v>2</v>
      </c>
      <c r="AI148" s="49">
        <v>0</v>
      </c>
      <c r="AJ148" s="49">
        <v>7850</v>
      </c>
      <c r="AK148" s="49" t="s">
        <v>156</v>
      </c>
    </row>
    <row r="149" spans="20:37">
      <c r="T149" s="51"/>
      <c r="W149" s="50"/>
      <c r="Y149" s="53"/>
      <c r="AB149" s="49" t="s">
        <v>53</v>
      </c>
      <c r="AC149" s="49" t="s">
        <v>533</v>
      </c>
      <c r="AD149" s="49">
        <v>63</v>
      </c>
      <c r="AE149" s="51">
        <v>8</v>
      </c>
      <c r="AF149" s="49">
        <v>72</v>
      </c>
      <c r="AG149" s="49">
        <v>0.9</v>
      </c>
      <c r="AH149" s="49">
        <v>2</v>
      </c>
      <c r="AI149" s="49">
        <v>0</v>
      </c>
      <c r="AJ149" s="49">
        <v>7850</v>
      </c>
      <c r="AK149" s="49" t="s">
        <v>156</v>
      </c>
    </row>
    <row r="150" spans="20:37">
      <c r="T150" s="51"/>
      <c r="W150" s="50"/>
      <c r="Y150" s="53"/>
      <c r="AB150" s="49" t="s">
        <v>53</v>
      </c>
      <c r="AC150" s="49" t="s">
        <v>534</v>
      </c>
      <c r="AD150" s="49">
        <v>64</v>
      </c>
      <c r="AE150" s="51">
        <v>8</v>
      </c>
      <c r="AF150" s="49">
        <v>72</v>
      </c>
      <c r="AG150" s="49">
        <v>0.9</v>
      </c>
      <c r="AH150" s="49">
        <v>2</v>
      </c>
      <c r="AI150" s="49">
        <v>0</v>
      </c>
      <c r="AJ150" s="49">
        <v>7850</v>
      </c>
      <c r="AK150" s="49" t="s">
        <v>156</v>
      </c>
    </row>
    <row r="151" spans="20:37">
      <c r="T151" s="51"/>
      <c r="W151" s="50"/>
      <c r="AB151" s="49" t="s">
        <v>53</v>
      </c>
      <c r="AC151" s="49" t="s">
        <v>535</v>
      </c>
      <c r="AD151" s="49">
        <v>64</v>
      </c>
      <c r="AE151" s="51">
        <v>8</v>
      </c>
      <c r="AF151" s="49">
        <v>72</v>
      </c>
      <c r="AG151" s="49">
        <v>0.9</v>
      </c>
      <c r="AH151" s="49">
        <v>2</v>
      </c>
      <c r="AI151" s="49">
        <v>0</v>
      </c>
      <c r="AJ151" s="49">
        <v>7850</v>
      </c>
      <c r="AK151" s="49" t="s">
        <v>156</v>
      </c>
    </row>
    <row r="152" spans="20:37">
      <c r="T152" s="51"/>
      <c r="W152" s="50"/>
      <c r="AB152" s="49" t="s">
        <v>53</v>
      </c>
      <c r="AC152" s="49" t="s">
        <v>536</v>
      </c>
      <c r="AD152" s="49">
        <v>65</v>
      </c>
      <c r="AE152" s="51">
        <v>8</v>
      </c>
      <c r="AF152" s="49">
        <v>72</v>
      </c>
      <c r="AG152" s="49">
        <v>0.9</v>
      </c>
      <c r="AH152" s="49">
        <v>2</v>
      </c>
      <c r="AI152" s="49">
        <v>0</v>
      </c>
      <c r="AJ152" s="49">
        <v>7850</v>
      </c>
      <c r="AK152" s="49" t="s">
        <v>156</v>
      </c>
    </row>
    <row r="153" spans="20:37">
      <c r="T153" s="51"/>
      <c r="W153" s="50"/>
      <c r="AB153" s="49" t="s">
        <v>53</v>
      </c>
      <c r="AC153" s="49" t="s">
        <v>537</v>
      </c>
      <c r="AD153" s="49">
        <v>65</v>
      </c>
      <c r="AE153" s="51">
        <v>8</v>
      </c>
      <c r="AF153" s="49">
        <v>72</v>
      </c>
      <c r="AG153" s="49">
        <v>0.9</v>
      </c>
      <c r="AH153" s="49">
        <v>2</v>
      </c>
      <c r="AI153" s="49">
        <v>0</v>
      </c>
      <c r="AJ153" s="49">
        <v>7850</v>
      </c>
      <c r="AK153" s="49" t="s">
        <v>156</v>
      </c>
    </row>
    <row r="154" spans="20:37">
      <c r="T154" s="51"/>
      <c r="W154" s="50"/>
      <c r="AB154" s="49" t="s">
        <v>53</v>
      </c>
      <c r="AC154" s="49" t="s">
        <v>538</v>
      </c>
      <c r="AD154" s="49">
        <v>66</v>
      </c>
      <c r="AE154" s="51">
        <v>8</v>
      </c>
      <c r="AF154" s="49">
        <v>72</v>
      </c>
      <c r="AG154" s="49">
        <v>0.9</v>
      </c>
      <c r="AH154" s="49">
        <v>2</v>
      </c>
      <c r="AI154" s="49">
        <v>0</v>
      </c>
      <c r="AJ154" s="49">
        <v>7850</v>
      </c>
      <c r="AK154" s="49" t="s">
        <v>156</v>
      </c>
    </row>
    <row r="155" spans="20:37">
      <c r="T155" s="51"/>
      <c r="W155" s="50"/>
      <c r="AB155" s="49" t="s">
        <v>53</v>
      </c>
      <c r="AC155" s="49" t="s">
        <v>539</v>
      </c>
      <c r="AD155" s="49">
        <v>66</v>
      </c>
      <c r="AE155" s="51">
        <v>8</v>
      </c>
      <c r="AF155" s="49">
        <v>72</v>
      </c>
      <c r="AG155" s="49">
        <v>0.9</v>
      </c>
      <c r="AH155" s="49">
        <v>2</v>
      </c>
      <c r="AI155" s="49">
        <v>0</v>
      </c>
      <c r="AJ155" s="49">
        <v>7850</v>
      </c>
      <c r="AK155" s="49" t="s">
        <v>156</v>
      </c>
    </row>
    <row r="156" spans="20:37">
      <c r="T156" s="51"/>
      <c r="W156" s="50"/>
      <c r="AB156" s="49" t="s">
        <v>53</v>
      </c>
      <c r="AC156" s="49" t="s">
        <v>540</v>
      </c>
      <c r="AD156" s="49">
        <v>67</v>
      </c>
      <c r="AE156" s="51">
        <v>8</v>
      </c>
      <c r="AF156" s="49">
        <v>72</v>
      </c>
      <c r="AG156" s="49">
        <v>0.9</v>
      </c>
      <c r="AH156" s="49">
        <v>2</v>
      </c>
      <c r="AI156" s="49">
        <v>0</v>
      </c>
      <c r="AJ156" s="49">
        <v>7850</v>
      </c>
      <c r="AK156" s="49" t="s">
        <v>156</v>
      </c>
    </row>
    <row r="157" spans="20:37">
      <c r="T157" s="51"/>
      <c r="W157" s="50"/>
      <c r="AB157" s="49" t="s">
        <v>53</v>
      </c>
      <c r="AC157" s="49" t="s">
        <v>541</v>
      </c>
      <c r="AD157" s="49">
        <v>67</v>
      </c>
      <c r="AE157" s="51">
        <v>8</v>
      </c>
      <c r="AF157" s="49">
        <v>72</v>
      </c>
      <c r="AG157" s="49">
        <v>0.9</v>
      </c>
      <c r="AH157" s="49">
        <v>2</v>
      </c>
      <c r="AI157" s="49">
        <v>0</v>
      </c>
      <c r="AJ157" s="49">
        <v>7850</v>
      </c>
      <c r="AK157" s="49" t="s">
        <v>156</v>
      </c>
    </row>
    <row r="158" spans="20:37">
      <c r="T158" s="51"/>
      <c r="W158" s="50"/>
      <c r="AB158" s="49" t="s">
        <v>53</v>
      </c>
      <c r="AC158" s="49" t="s">
        <v>542</v>
      </c>
      <c r="AD158" s="49">
        <v>68</v>
      </c>
      <c r="AE158" s="51">
        <v>8</v>
      </c>
      <c r="AF158" s="49">
        <v>72</v>
      </c>
      <c r="AG158" s="49">
        <v>0.9</v>
      </c>
      <c r="AH158" s="49">
        <v>2</v>
      </c>
      <c r="AI158" s="49">
        <v>0</v>
      </c>
      <c r="AJ158" s="49">
        <v>7850</v>
      </c>
      <c r="AK158" s="49" t="s">
        <v>156</v>
      </c>
    </row>
    <row r="159" spans="20:37">
      <c r="T159" s="51"/>
      <c r="W159" s="50"/>
      <c r="AB159" s="49" t="s">
        <v>53</v>
      </c>
      <c r="AC159" s="49" t="s">
        <v>543</v>
      </c>
      <c r="AD159" s="49">
        <v>68</v>
      </c>
      <c r="AE159" s="51">
        <v>8</v>
      </c>
      <c r="AF159" s="49">
        <v>72</v>
      </c>
      <c r="AG159" s="49">
        <v>0.9</v>
      </c>
      <c r="AH159" s="49">
        <v>2</v>
      </c>
      <c r="AI159" s="49">
        <v>0</v>
      </c>
      <c r="AJ159" s="49">
        <v>7850</v>
      </c>
      <c r="AK159" s="49" t="s">
        <v>156</v>
      </c>
    </row>
    <row r="160" spans="20:37">
      <c r="T160" s="51"/>
      <c r="W160" s="50"/>
      <c r="AB160" s="49" t="s">
        <v>53</v>
      </c>
      <c r="AC160" s="49" t="s">
        <v>544</v>
      </c>
      <c r="AD160" s="49">
        <v>69</v>
      </c>
      <c r="AE160" s="51">
        <v>8</v>
      </c>
      <c r="AF160" s="49">
        <v>72</v>
      </c>
      <c r="AG160" s="49">
        <v>0.9</v>
      </c>
      <c r="AH160" s="49">
        <v>2</v>
      </c>
      <c r="AI160" s="49">
        <v>0</v>
      </c>
      <c r="AJ160" s="49">
        <v>7850</v>
      </c>
      <c r="AK160" s="49" t="s">
        <v>156</v>
      </c>
    </row>
    <row r="161" spans="20:37">
      <c r="T161" s="51"/>
      <c r="W161" s="50"/>
      <c r="AB161" s="49" t="s">
        <v>53</v>
      </c>
      <c r="AC161" s="49" t="s">
        <v>545</v>
      </c>
      <c r="AD161" s="49">
        <v>69</v>
      </c>
      <c r="AE161" s="51">
        <v>7.99</v>
      </c>
      <c r="AF161" s="49">
        <v>58</v>
      </c>
      <c r="AG161" s="49">
        <v>0.9</v>
      </c>
      <c r="AH161" s="49">
        <v>2</v>
      </c>
      <c r="AI161" s="49">
        <v>0</v>
      </c>
      <c r="AJ161" s="49">
        <v>7850</v>
      </c>
      <c r="AK161" s="49" t="s">
        <v>156</v>
      </c>
    </row>
    <row r="162" spans="20:37">
      <c r="T162" s="51"/>
      <c r="W162" s="50"/>
      <c r="AB162" s="49" t="s">
        <v>53</v>
      </c>
      <c r="AC162" s="49" t="s">
        <v>546</v>
      </c>
      <c r="AD162" s="49">
        <v>70</v>
      </c>
      <c r="AE162" s="51">
        <v>7.99</v>
      </c>
      <c r="AF162" s="49">
        <v>58</v>
      </c>
      <c r="AG162" s="49">
        <v>0.9</v>
      </c>
      <c r="AH162" s="49">
        <v>2</v>
      </c>
      <c r="AI162" s="49">
        <v>0</v>
      </c>
      <c r="AJ162" s="49">
        <v>7850</v>
      </c>
      <c r="AK162" s="49" t="s">
        <v>156</v>
      </c>
    </row>
    <row r="163" spans="20:37">
      <c r="T163" s="51"/>
      <c r="W163" s="50"/>
      <c r="AB163" s="49" t="s">
        <v>53</v>
      </c>
      <c r="AC163" s="49" t="s">
        <v>547</v>
      </c>
      <c r="AD163" s="49">
        <v>70</v>
      </c>
      <c r="AE163" s="51">
        <v>7.99</v>
      </c>
      <c r="AF163" s="49">
        <v>59</v>
      </c>
      <c r="AG163" s="49">
        <v>0.9</v>
      </c>
      <c r="AH163" s="49">
        <v>2</v>
      </c>
      <c r="AI163" s="49">
        <v>0</v>
      </c>
      <c r="AJ163" s="49">
        <v>7850</v>
      </c>
      <c r="AK163" s="49" t="s">
        <v>156</v>
      </c>
    </row>
    <row r="164" spans="20:37">
      <c r="T164" s="51"/>
      <c r="W164" s="50"/>
      <c r="AB164" s="49" t="s">
        <v>53</v>
      </c>
      <c r="AC164" s="49" t="s">
        <v>548</v>
      </c>
      <c r="AD164" s="49">
        <v>71</v>
      </c>
      <c r="AE164" s="51">
        <v>7.99</v>
      </c>
      <c r="AF164" s="49">
        <v>59</v>
      </c>
      <c r="AG164" s="49">
        <v>0.9</v>
      </c>
      <c r="AH164" s="49">
        <v>2</v>
      </c>
      <c r="AI164" s="49">
        <v>0</v>
      </c>
      <c r="AJ164" s="49">
        <v>7850</v>
      </c>
      <c r="AK164" s="49" t="s">
        <v>156</v>
      </c>
    </row>
    <row r="165" spans="20:37">
      <c r="T165" s="51"/>
      <c r="W165" s="50"/>
      <c r="AB165" s="49" t="s">
        <v>53</v>
      </c>
      <c r="AC165" s="49" t="s">
        <v>549</v>
      </c>
      <c r="AD165" s="49">
        <v>71</v>
      </c>
      <c r="AE165" s="51">
        <v>7.99</v>
      </c>
      <c r="AF165" s="49">
        <v>60</v>
      </c>
      <c r="AG165" s="49">
        <v>0.9</v>
      </c>
      <c r="AH165" s="49">
        <v>2</v>
      </c>
      <c r="AI165" s="49">
        <v>0</v>
      </c>
      <c r="AJ165" s="49">
        <v>7850</v>
      </c>
      <c r="AK165" s="49" t="s">
        <v>156</v>
      </c>
    </row>
    <row r="166" spans="20:37">
      <c r="T166" s="51"/>
      <c r="W166" s="50"/>
      <c r="AB166" s="49" t="s">
        <v>53</v>
      </c>
      <c r="AC166" s="49" t="s">
        <v>550</v>
      </c>
      <c r="AD166" s="49">
        <v>72</v>
      </c>
      <c r="AE166" s="51">
        <v>7.99</v>
      </c>
      <c r="AF166" s="49">
        <v>60</v>
      </c>
      <c r="AG166" s="49">
        <v>0.9</v>
      </c>
      <c r="AH166" s="49">
        <v>2</v>
      </c>
      <c r="AI166" s="49">
        <v>0</v>
      </c>
      <c r="AJ166" s="49">
        <v>7850</v>
      </c>
      <c r="AK166" s="49" t="s">
        <v>156</v>
      </c>
    </row>
    <row r="167" spans="20:37">
      <c r="T167" s="51"/>
      <c r="W167" s="50"/>
      <c r="AB167" s="49" t="s">
        <v>53</v>
      </c>
      <c r="AC167" s="49" t="s">
        <v>551</v>
      </c>
      <c r="AD167" s="49">
        <v>72</v>
      </c>
      <c r="AE167" s="51">
        <v>7.99</v>
      </c>
      <c r="AF167" s="49">
        <v>60</v>
      </c>
      <c r="AG167" s="49">
        <v>0.9</v>
      </c>
      <c r="AH167" s="49">
        <v>2</v>
      </c>
      <c r="AI167" s="49">
        <v>0</v>
      </c>
      <c r="AJ167" s="49">
        <v>7850</v>
      </c>
      <c r="AK167" s="49" t="s">
        <v>156</v>
      </c>
    </row>
    <row r="168" spans="20:37">
      <c r="T168" s="51"/>
      <c r="W168" s="50"/>
      <c r="AB168" s="49" t="s">
        <v>53</v>
      </c>
      <c r="AC168" s="49" t="s">
        <v>552</v>
      </c>
      <c r="AD168" s="49">
        <v>73</v>
      </c>
      <c r="AE168" s="51">
        <v>7.99</v>
      </c>
      <c r="AF168" s="49">
        <v>60</v>
      </c>
      <c r="AG168" s="49">
        <v>0.9</v>
      </c>
      <c r="AH168" s="49">
        <v>2</v>
      </c>
      <c r="AI168" s="49">
        <v>0</v>
      </c>
      <c r="AJ168" s="49">
        <v>7850</v>
      </c>
      <c r="AK168" s="49" t="s">
        <v>156</v>
      </c>
    </row>
    <row r="169" spans="20:37">
      <c r="T169" s="51"/>
      <c r="W169" s="50"/>
      <c r="AB169" s="49" t="s">
        <v>53</v>
      </c>
      <c r="AC169" s="49" t="s">
        <v>553</v>
      </c>
      <c r="AD169" s="49">
        <v>73</v>
      </c>
      <c r="AE169" s="51">
        <v>7.99</v>
      </c>
      <c r="AF169" s="49">
        <v>62</v>
      </c>
      <c r="AG169" s="49">
        <v>0.9</v>
      </c>
      <c r="AH169" s="49">
        <v>2</v>
      </c>
      <c r="AI169" s="49">
        <v>0</v>
      </c>
      <c r="AJ169" s="49">
        <v>7850</v>
      </c>
      <c r="AK169" s="49" t="s">
        <v>156</v>
      </c>
    </row>
    <row r="170" spans="20:37">
      <c r="T170" s="51"/>
      <c r="W170" s="50"/>
      <c r="AB170" s="49" t="s">
        <v>53</v>
      </c>
      <c r="AC170" s="49" t="s">
        <v>554</v>
      </c>
      <c r="AD170" s="49">
        <v>74</v>
      </c>
      <c r="AE170" s="51">
        <v>7.99</v>
      </c>
      <c r="AF170" s="49">
        <v>62</v>
      </c>
      <c r="AG170" s="49">
        <v>0.9</v>
      </c>
      <c r="AH170" s="49">
        <v>2</v>
      </c>
      <c r="AI170" s="49">
        <v>0</v>
      </c>
      <c r="AJ170" s="49">
        <v>7850</v>
      </c>
      <c r="AK170" s="49" t="s">
        <v>156</v>
      </c>
    </row>
    <row r="171" spans="20:37">
      <c r="T171" s="51"/>
      <c r="W171" s="50"/>
      <c r="AB171" s="49" t="s">
        <v>53</v>
      </c>
      <c r="AC171" s="49" t="s">
        <v>555</v>
      </c>
      <c r="AD171" s="49">
        <v>74</v>
      </c>
      <c r="AE171" s="51">
        <v>8</v>
      </c>
      <c r="AF171" s="49">
        <v>70</v>
      </c>
      <c r="AG171" s="49">
        <v>0.9</v>
      </c>
      <c r="AH171" s="49">
        <v>2</v>
      </c>
      <c r="AI171" s="49">
        <v>0</v>
      </c>
      <c r="AJ171" s="49">
        <v>7850</v>
      </c>
      <c r="AK171" s="49" t="s">
        <v>156</v>
      </c>
    </row>
    <row r="172" spans="20:37">
      <c r="T172" s="51"/>
      <c r="W172" s="50"/>
      <c r="AB172" s="49" t="s">
        <v>53</v>
      </c>
      <c r="AC172" s="49" t="s">
        <v>556</v>
      </c>
      <c r="AD172" s="49">
        <v>75</v>
      </c>
      <c r="AE172" s="51">
        <v>8</v>
      </c>
      <c r="AF172" s="49">
        <v>70</v>
      </c>
      <c r="AG172" s="49">
        <v>0.9</v>
      </c>
      <c r="AH172" s="49">
        <v>2</v>
      </c>
      <c r="AI172" s="49">
        <v>0</v>
      </c>
      <c r="AJ172" s="49">
        <v>7850</v>
      </c>
      <c r="AK172" s="49" t="s">
        <v>156</v>
      </c>
    </row>
    <row r="173" spans="20:37">
      <c r="T173" s="51"/>
      <c r="W173" s="50"/>
      <c r="AB173" s="49" t="s">
        <v>53</v>
      </c>
      <c r="AC173" s="49" t="s">
        <v>557</v>
      </c>
      <c r="AD173" s="49">
        <v>75</v>
      </c>
      <c r="AE173" s="51">
        <v>8.01</v>
      </c>
      <c r="AF173" s="49">
        <v>84</v>
      </c>
      <c r="AG173" s="49">
        <v>0.9</v>
      </c>
      <c r="AH173" s="49">
        <v>2</v>
      </c>
      <c r="AI173" s="49">
        <v>0</v>
      </c>
      <c r="AJ173" s="49">
        <v>7850</v>
      </c>
      <c r="AK173" s="49" t="s">
        <v>156</v>
      </c>
    </row>
    <row r="174" spans="20:37">
      <c r="T174" s="51"/>
      <c r="W174" s="50"/>
      <c r="AB174" s="49" t="s">
        <v>53</v>
      </c>
      <c r="AC174" s="49" t="s">
        <v>558</v>
      </c>
      <c r="AD174" s="49">
        <v>76</v>
      </c>
      <c r="AE174" s="51">
        <v>8</v>
      </c>
      <c r="AF174" s="49">
        <v>84</v>
      </c>
      <c r="AG174" s="49">
        <v>0.9</v>
      </c>
      <c r="AH174" s="49">
        <v>2</v>
      </c>
      <c r="AI174" s="49">
        <v>0</v>
      </c>
      <c r="AJ174" s="49">
        <v>7850</v>
      </c>
      <c r="AK174" s="49" t="s">
        <v>156</v>
      </c>
    </row>
    <row r="175" spans="20:37">
      <c r="T175" s="51"/>
      <c r="W175" s="50"/>
      <c r="AB175" s="49" t="s">
        <v>53</v>
      </c>
      <c r="AC175" s="49" t="s">
        <v>559</v>
      </c>
      <c r="AD175" s="49">
        <v>76</v>
      </c>
      <c r="AE175" s="51">
        <v>8</v>
      </c>
      <c r="AF175" s="49">
        <v>84</v>
      </c>
      <c r="AG175" s="49">
        <v>0.9</v>
      </c>
      <c r="AH175" s="49">
        <v>2</v>
      </c>
      <c r="AI175" s="49">
        <v>0</v>
      </c>
      <c r="AJ175" s="49">
        <v>7850</v>
      </c>
      <c r="AK175" s="49" t="s">
        <v>156</v>
      </c>
    </row>
    <row r="176" spans="20:37">
      <c r="T176" s="51"/>
      <c r="W176" s="50"/>
      <c r="AB176" s="49" t="s">
        <v>53</v>
      </c>
      <c r="AC176" s="49" t="s">
        <v>560</v>
      </c>
      <c r="AD176" s="49">
        <v>77</v>
      </c>
      <c r="AE176" s="51">
        <v>8</v>
      </c>
      <c r="AF176" s="49">
        <v>84</v>
      </c>
      <c r="AG176" s="49">
        <v>0.9</v>
      </c>
      <c r="AH176" s="49">
        <v>2</v>
      </c>
      <c r="AI176" s="49">
        <v>0</v>
      </c>
      <c r="AJ176" s="49">
        <v>7850</v>
      </c>
      <c r="AK176" s="49" t="s">
        <v>156</v>
      </c>
    </row>
    <row r="177" spans="20:37">
      <c r="T177" s="51"/>
      <c r="W177" s="50"/>
      <c r="AB177" s="49" t="s">
        <v>53</v>
      </c>
      <c r="AC177" s="49" t="s">
        <v>561</v>
      </c>
      <c r="AD177" s="49">
        <v>77</v>
      </c>
      <c r="AE177" s="51">
        <v>8</v>
      </c>
      <c r="AF177" s="49">
        <v>84</v>
      </c>
      <c r="AG177" s="49">
        <v>0.9</v>
      </c>
      <c r="AH177" s="49">
        <v>2</v>
      </c>
      <c r="AI177" s="49">
        <v>0</v>
      </c>
      <c r="AJ177" s="49">
        <v>7850</v>
      </c>
      <c r="AK177" s="49" t="s">
        <v>156</v>
      </c>
    </row>
    <row r="178" spans="20:37">
      <c r="T178" s="51"/>
      <c r="W178" s="50"/>
      <c r="AB178" s="49" t="s">
        <v>53</v>
      </c>
      <c r="AC178" s="49" t="s">
        <v>562</v>
      </c>
      <c r="AD178" s="49">
        <v>78</v>
      </c>
      <c r="AE178" s="51">
        <v>8</v>
      </c>
      <c r="AF178" s="49">
        <v>84</v>
      </c>
      <c r="AG178" s="49">
        <v>0.9</v>
      </c>
      <c r="AH178" s="49">
        <v>2</v>
      </c>
      <c r="AI178" s="49">
        <v>0</v>
      </c>
      <c r="AJ178" s="49">
        <v>7850</v>
      </c>
      <c r="AK178" s="49" t="s">
        <v>156</v>
      </c>
    </row>
    <row r="179" spans="20:37">
      <c r="T179" s="51"/>
      <c r="W179" s="50"/>
      <c r="AB179" s="49" t="s">
        <v>53</v>
      </c>
      <c r="AC179" s="49" t="s">
        <v>563</v>
      </c>
      <c r="AD179" s="49">
        <v>78</v>
      </c>
      <c r="AE179" s="51">
        <v>8</v>
      </c>
      <c r="AF179" s="49">
        <v>84</v>
      </c>
      <c r="AG179" s="49">
        <v>0.9</v>
      </c>
      <c r="AH179" s="49">
        <v>2</v>
      </c>
      <c r="AI179" s="49">
        <v>0</v>
      </c>
      <c r="AJ179" s="49">
        <v>7850</v>
      </c>
      <c r="AK179" s="49" t="s">
        <v>156</v>
      </c>
    </row>
    <row r="180" spans="20:37">
      <c r="T180" s="51"/>
      <c r="W180" s="50"/>
      <c r="AB180" s="49" t="s">
        <v>53</v>
      </c>
      <c r="AC180" s="49" t="s">
        <v>564</v>
      </c>
      <c r="AD180" s="49">
        <v>79</v>
      </c>
      <c r="AE180" s="51">
        <v>8</v>
      </c>
      <c r="AF180" s="49">
        <v>84</v>
      </c>
      <c r="AG180" s="49">
        <v>0.9</v>
      </c>
      <c r="AH180" s="49">
        <v>2</v>
      </c>
      <c r="AI180" s="49">
        <v>0</v>
      </c>
      <c r="AJ180" s="49">
        <v>7850</v>
      </c>
      <c r="AK180" s="49" t="s">
        <v>156</v>
      </c>
    </row>
    <row r="181" spans="20:37">
      <c r="T181" s="51"/>
      <c r="W181" s="50"/>
      <c r="AB181" s="49" t="s">
        <v>53</v>
      </c>
      <c r="AC181" s="49" t="s">
        <v>565</v>
      </c>
      <c r="AD181" s="49">
        <v>79</v>
      </c>
      <c r="AE181" s="51">
        <v>8</v>
      </c>
      <c r="AF181" s="49">
        <v>84</v>
      </c>
      <c r="AG181" s="49">
        <v>0.9</v>
      </c>
      <c r="AH181" s="49">
        <v>2</v>
      </c>
      <c r="AI181" s="49">
        <v>0</v>
      </c>
      <c r="AJ181" s="49">
        <v>7850</v>
      </c>
      <c r="AK181" s="49" t="s">
        <v>156</v>
      </c>
    </row>
    <row r="182" spans="20:37">
      <c r="T182" s="51"/>
      <c r="W182" s="50"/>
      <c r="AB182" s="49" t="s">
        <v>53</v>
      </c>
      <c r="AC182" s="49" t="s">
        <v>566</v>
      </c>
      <c r="AD182" s="49">
        <v>80</v>
      </c>
      <c r="AE182" s="51">
        <v>8</v>
      </c>
      <c r="AF182" s="49">
        <v>84</v>
      </c>
      <c r="AG182" s="49">
        <v>0.9</v>
      </c>
      <c r="AH182" s="49">
        <v>2</v>
      </c>
      <c r="AI182" s="49">
        <v>0</v>
      </c>
      <c r="AJ182" s="49">
        <v>7850</v>
      </c>
      <c r="AK182" s="49" t="s">
        <v>156</v>
      </c>
    </row>
    <row r="183" spans="20:37">
      <c r="T183" s="51"/>
      <c r="W183" s="50"/>
      <c r="AB183" s="49" t="s">
        <v>53</v>
      </c>
      <c r="AC183" s="49" t="s">
        <v>567</v>
      </c>
      <c r="AD183" s="49">
        <v>80</v>
      </c>
      <c r="AE183" s="51">
        <v>8</v>
      </c>
      <c r="AF183" s="49">
        <v>84</v>
      </c>
      <c r="AG183" s="49">
        <v>0.9</v>
      </c>
      <c r="AH183" s="49">
        <v>2</v>
      </c>
      <c r="AI183" s="49">
        <v>0</v>
      </c>
      <c r="AJ183" s="49">
        <v>7850</v>
      </c>
      <c r="AK183" s="49" t="s">
        <v>156</v>
      </c>
    </row>
    <row r="184" spans="20:37">
      <c r="T184" s="51"/>
      <c r="W184" s="50"/>
      <c r="AB184" s="49" t="s">
        <v>53</v>
      </c>
      <c r="AC184" s="49" t="s">
        <v>568</v>
      </c>
      <c r="AD184" s="49">
        <v>81</v>
      </c>
      <c r="AE184" s="51">
        <v>8</v>
      </c>
      <c r="AF184" s="49">
        <v>84</v>
      </c>
      <c r="AG184" s="49">
        <v>0.9</v>
      </c>
      <c r="AH184" s="49">
        <v>2</v>
      </c>
      <c r="AI184" s="49">
        <v>0</v>
      </c>
      <c r="AJ184" s="49">
        <v>7850</v>
      </c>
      <c r="AK184" s="49" t="s">
        <v>156</v>
      </c>
    </row>
    <row r="185" spans="20:37">
      <c r="T185" s="51"/>
      <c r="W185" s="50"/>
      <c r="AB185" s="49" t="s">
        <v>53</v>
      </c>
      <c r="AC185" s="49" t="s">
        <v>569</v>
      </c>
      <c r="AD185" s="49">
        <v>81</v>
      </c>
      <c r="AE185" s="51">
        <v>8</v>
      </c>
      <c r="AF185" s="49">
        <v>88</v>
      </c>
      <c r="AG185" s="49">
        <v>0.9</v>
      </c>
      <c r="AH185" s="49">
        <v>2</v>
      </c>
      <c r="AI185" s="49">
        <v>0</v>
      </c>
      <c r="AJ185" s="49">
        <v>7850</v>
      </c>
      <c r="AK185" s="49" t="s">
        <v>156</v>
      </c>
    </row>
    <row r="186" spans="20:37">
      <c r="T186" s="51"/>
      <c r="W186" s="50"/>
      <c r="AB186" s="49" t="s">
        <v>53</v>
      </c>
      <c r="AC186" s="49" t="s">
        <v>570</v>
      </c>
      <c r="AD186" s="49">
        <v>82</v>
      </c>
      <c r="AE186" s="51">
        <v>8</v>
      </c>
      <c r="AF186" s="49">
        <v>88</v>
      </c>
      <c r="AG186" s="49">
        <v>0.9</v>
      </c>
      <c r="AH186" s="49">
        <v>2</v>
      </c>
      <c r="AI186" s="49">
        <v>0</v>
      </c>
      <c r="AJ186" s="49">
        <v>7850</v>
      </c>
      <c r="AK186" s="49" t="s">
        <v>156</v>
      </c>
    </row>
    <row r="187" spans="20:37">
      <c r="T187" s="51"/>
      <c r="W187" s="50"/>
      <c r="AB187" s="49" t="s">
        <v>53</v>
      </c>
      <c r="AC187" s="49" t="s">
        <v>571</v>
      </c>
      <c r="AD187" s="49">
        <v>82</v>
      </c>
      <c r="AE187" s="51">
        <v>8.02</v>
      </c>
      <c r="AF187" s="49">
        <v>102</v>
      </c>
      <c r="AG187" s="49">
        <v>0.9</v>
      </c>
      <c r="AH187" s="49">
        <v>2</v>
      </c>
      <c r="AI187" s="49">
        <v>0</v>
      </c>
      <c r="AJ187" s="49">
        <v>7850</v>
      </c>
      <c r="AK187" s="49" t="s">
        <v>156</v>
      </c>
    </row>
    <row r="188" spans="20:37">
      <c r="T188" s="51"/>
      <c r="W188" s="50"/>
      <c r="AB188" s="49" t="s">
        <v>53</v>
      </c>
      <c r="AC188" s="49" t="s">
        <v>572</v>
      </c>
      <c r="AD188" s="49">
        <v>83</v>
      </c>
      <c r="AE188" s="51">
        <v>8.0056655290102388</v>
      </c>
      <c r="AF188" s="49">
        <v>102</v>
      </c>
      <c r="AG188" s="49">
        <v>0.9</v>
      </c>
      <c r="AH188" s="49">
        <v>2</v>
      </c>
      <c r="AI188" s="49">
        <v>0</v>
      </c>
      <c r="AJ188" s="49">
        <v>7850</v>
      </c>
      <c r="AK188" s="49" t="s">
        <v>156</v>
      </c>
    </row>
    <row r="189" spans="20:37">
      <c r="T189" s="51"/>
      <c r="W189" s="50"/>
      <c r="AB189" s="49" t="s">
        <v>53</v>
      </c>
      <c r="AC189" s="49" t="s">
        <v>573</v>
      </c>
      <c r="AD189" s="49">
        <v>83</v>
      </c>
      <c r="AE189" s="51">
        <v>8.0056655290102388</v>
      </c>
      <c r="AF189" s="49">
        <v>102</v>
      </c>
      <c r="AG189" s="49">
        <v>0.9</v>
      </c>
      <c r="AH189" s="49">
        <v>2</v>
      </c>
      <c r="AI189" s="49">
        <v>0</v>
      </c>
      <c r="AJ189" s="49">
        <v>7850</v>
      </c>
      <c r="AK189" s="49" t="s">
        <v>156</v>
      </c>
    </row>
    <row r="190" spans="20:37">
      <c r="T190" s="51"/>
      <c r="W190" s="50"/>
      <c r="AB190" s="49" t="s">
        <v>53</v>
      </c>
      <c r="AC190" s="49" t="s">
        <v>574</v>
      </c>
      <c r="AD190" s="49">
        <v>84</v>
      </c>
      <c r="AE190" s="51">
        <v>7.99</v>
      </c>
      <c r="AF190" s="49">
        <v>102</v>
      </c>
      <c r="AG190" s="49">
        <v>0.9</v>
      </c>
      <c r="AH190" s="49">
        <v>2</v>
      </c>
      <c r="AI190" s="49">
        <v>0</v>
      </c>
      <c r="AJ190" s="49">
        <v>7850</v>
      </c>
      <c r="AK190" s="49" t="s">
        <v>156</v>
      </c>
    </row>
    <row r="191" spans="20:37">
      <c r="T191" s="51"/>
      <c r="W191" s="50"/>
      <c r="AB191" s="49" t="s">
        <v>53</v>
      </c>
      <c r="AC191" s="49" t="s">
        <v>575</v>
      </c>
      <c r="AD191" s="49">
        <v>84</v>
      </c>
      <c r="AE191" s="51">
        <v>8</v>
      </c>
      <c r="AF191" s="49">
        <v>116</v>
      </c>
      <c r="AG191" s="49">
        <v>0.9</v>
      </c>
      <c r="AH191" s="49">
        <v>2</v>
      </c>
      <c r="AI191" s="49">
        <v>0</v>
      </c>
      <c r="AJ191" s="49">
        <v>7850</v>
      </c>
      <c r="AK191" s="49" t="s">
        <v>156</v>
      </c>
    </row>
    <row r="192" spans="20:37">
      <c r="T192" s="51"/>
      <c r="W192" s="50"/>
      <c r="AB192" s="49" t="s">
        <v>53</v>
      </c>
      <c r="AC192" s="49" t="s">
        <v>576</v>
      </c>
      <c r="AD192" s="49">
        <v>85</v>
      </c>
      <c r="AE192" s="51">
        <v>8</v>
      </c>
      <c r="AF192" s="49">
        <v>116</v>
      </c>
      <c r="AG192" s="49">
        <v>0.9</v>
      </c>
      <c r="AH192" s="49">
        <v>2</v>
      </c>
      <c r="AI192" s="49">
        <v>0</v>
      </c>
      <c r="AJ192" s="49">
        <v>7850</v>
      </c>
      <c r="AK192" s="49" t="s">
        <v>156</v>
      </c>
    </row>
    <row r="193" spans="20:37">
      <c r="T193" s="51"/>
      <c r="W193" s="50"/>
      <c r="AB193" s="49" t="s">
        <v>53</v>
      </c>
      <c r="AC193" s="49" t="s">
        <v>577</v>
      </c>
      <c r="AD193" s="49">
        <v>85</v>
      </c>
      <c r="AE193" s="51">
        <v>8</v>
      </c>
      <c r="AF193" s="49">
        <v>116</v>
      </c>
      <c r="AG193" s="49">
        <v>0.9</v>
      </c>
      <c r="AH193" s="49">
        <v>2</v>
      </c>
      <c r="AI193" s="49">
        <v>0</v>
      </c>
      <c r="AJ193" s="49">
        <v>7850</v>
      </c>
      <c r="AK193" s="49" t="s">
        <v>156</v>
      </c>
    </row>
    <row r="194" spans="20:37">
      <c r="T194" s="51"/>
      <c r="W194" s="50"/>
      <c r="AB194" s="49" t="s">
        <v>53</v>
      </c>
      <c r="AC194" s="49" t="s">
        <v>578</v>
      </c>
      <c r="AD194" s="49">
        <v>86</v>
      </c>
      <c r="AE194" s="51">
        <v>8</v>
      </c>
      <c r="AF194" s="49">
        <v>116</v>
      </c>
      <c r="AG194" s="49">
        <v>0.9</v>
      </c>
      <c r="AH194" s="49">
        <v>2</v>
      </c>
      <c r="AI194" s="49">
        <v>0</v>
      </c>
      <c r="AJ194" s="49">
        <v>7850</v>
      </c>
      <c r="AK194" s="49" t="s">
        <v>156</v>
      </c>
    </row>
    <row r="195" spans="20:37">
      <c r="T195" s="51"/>
      <c r="W195" s="50"/>
      <c r="AB195" s="49" t="s">
        <v>53</v>
      </c>
      <c r="AC195" s="49" t="s">
        <v>579</v>
      </c>
      <c r="AD195" s="49">
        <v>86</v>
      </c>
      <c r="AE195" s="51">
        <v>8</v>
      </c>
      <c r="AF195" s="49">
        <v>116</v>
      </c>
      <c r="AG195" s="49">
        <v>0.9</v>
      </c>
      <c r="AH195" s="49">
        <v>2</v>
      </c>
      <c r="AI195" s="49">
        <v>0</v>
      </c>
      <c r="AJ195" s="49">
        <v>7850</v>
      </c>
      <c r="AK195" s="49" t="s">
        <v>156</v>
      </c>
    </row>
    <row r="196" spans="20:37">
      <c r="T196" s="51"/>
      <c r="W196" s="50"/>
      <c r="AB196" s="49" t="s">
        <v>53</v>
      </c>
      <c r="AC196" s="49" t="s">
        <v>580</v>
      </c>
      <c r="AD196" s="49">
        <v>87</v>
      </c>
      <c r="AE196" s="51">
        <v>8</v>
      </c>
      <c r="AF196" s="49">
        <v>116</v>
      </c>
      <c r="AG196" s="49">
        <v>0.9</v>
      </c>
      <c r="AH196" s="49">
        <v>2</v>
      </c>
      <c r="AI196" s="49">
        <v>0</v>
      </c>
      <c r="AJ196" s="49">
        <v>7850</v>
      </c>
      <c r="AK196" s="49" t="s">
        <v>156</v>
      </c>
    </row>
    <row r="197" spans="20:37">
      <c r="T197" s="51"/>
      <c r="W197" s="50"/>
      <c r="AB197" s="49" t="s">
        <v>53</v>
      </c>
      <c r="AC197" s="49" t="s">
        <v>581</v>
      </c>
      <c r="AD197" s="49">
        <v>87</v>
      </c>
      <c r="AE197" s="51">
        <v>8</v>
      </c>
      <c r="AF197" s="49">
        <v>116</v>
      </c>
      <c r="AG197" s="49">
        <v>0.9</v>
      </c>
      <c r="AH197" s="49">
        <v>2</v>
      </c>
      <c r="AI197" s="49">
        <v>0</v>
      </c>
      <c r="AJ197" s="49">
        <v>7850</v>
      </c>
      <c r="AK197" s="49" t="s">
        <v>156</v>
      </c>
    </row>
    <row r="198" spans="20:37">
      <c r="T198" s="51"/>
      <c r="W198" s="50"/>
      <c r="AB198" s="49" t="s">
        <v>53</v>
      </c>
      <c r="AC198" s="49" t="s">
        <v>582</v>
      </c>
      <c r="AD198" s="49">
        <v>88</v>
      </c>
      <c r="AE198" s="51">
        <v>8</v>
      </c>
      <c r="AF198" s="49">
        <v>116</v>
      </c>
      <c r="AG198" s="49">
        <v>0.9</v>
      </c>
      <c r="AH198" s="49">
        <v>2</v>
      </c>
      <c r="AI198" s="49">
        <v>0</v>
      </c>
      <c r="AJ198" s="49">
        <v>7850</v>
      </c>
      <c r="AK198" s="49" t="s">
        <v>156</v>
      </c>
    </row>
    <row r="199" spans="20:37">
      <c r="T199" s="51"/>
      <c r="W199" s="50"/>
      <c r="AB199" s="49" t="s">
        <v>53</v>
      </c>
      <c r="AC199" s="49" t="s">
        <v>583</v>
      </c>
      <c r="AD199" s="49">
        <v>88</v>
      </c>
      <c r="AE199" s="51">
        <v>8</v>
      </c>
      <c r="AF199" s="49">
        <v>116</v>
      </c>
      <c r="AG199" s="49">
        <v>0.9</v>
      </c>
      <c r="AH199" s="49">
        <v>2</v>
      </c>
      <c r="AI199" s="49">
        <v>0</v>
      </c>
      <c r="AJ199" s="49">
        <v>7850</v>
      </c>
      <c r="AK199" s="49" t="s">
        <v>156</v>
      </c>
    </row>
    <row r="200" spans="20:37">
      <c r="T200" s="51"/>
      <c r="W200" s="50"/>
      <c r="AB200" s="49" t="s">
        <v>53</v>
      </c>
      <c r="AC200" s="49" t="s">
        <v>584</v>
      </c>
      <c r="AD200" s="49">
        <v>89</v>
      </c>
      <c r="AE200" s="51">
        <v>8</v>
      </c>
      <c r="AF200" s="49">
        <v>116</v>
      </c>
      <c r="AG200" s="49">
        <v>0.9</v>
      </c>
      <c r="AH200" s="49">
        <v>2</v>
      </c>
      <c r="AI200" s="49">
        <v>0</v>
      </c>
      <c r="AJ200" s="49">
        <v>7850</v>
      </c>
      <c r="AK200" s="49" t="s">
        <v>156</v>
      </c>
    </row>
    <row r="201" spans="20:37">
      <c r="T201" s="51"/>
      <c r="W201" s="50"/>
      <c r="AB201" s="49" t="s">
        <v>53</v>
      </c>
      <c r="AC201" s="49" t="s">
        <v>585</v>
      </c>
      <c r="AD201" s="49">
        <v>89</v>
      </c>
      <c r="AE201" s="51">
        <v>8</v>
      </c>
      <c r="AF201" s="49">
        <v>116</v>
      </c>
      <c r="AG201" s="49">
        <v>0.9</v>
      </c>
      <c r="AH201" s="49">
        <v>2</v>
      </c>
      <c r="AI201" s="49">
        <v>0</v>
      </c>
      <c r="AJ201" s="49">
        <v>7850</v>
      </c>
      <c r="AK201" s="49" t="s">
        <v>156</v>
      </c>
    </row>
    <row r="202" spans="20:37">
      <c r="T202" s="51"/>
      <c r="W202" s="50"/>
      <c r="AB202" s="49" t="s">
        <v>53</v>
      </c>
      <c r="AC202" s="49" t="s">
        <v>586</v>
      </c>
      <c r="AD202" s="49">
        <v>90</v>
      </c>
      <c r="AE202" s="51">
        <v>8</v>
      </c>
      <c r="AF202" s="49">
        <v>116</v>
      </c>
      <c r="AG202" s="49">
        <v>0.9</v>
      </c>
      <c r="AH202" s="49">
        <v>2</v>
      </c>
      <c r="AI202" s="49">
        <v>0</v>
      </c>
      <c r="AJ202" s="49">
        <v>7850</v>
      </c>
      <c r="AK202" s="49" t="s">
        <v>156</v>
      </c>
    </row>
    <row r="203" spans="20:37">
      <c r="T203" s="51"/>
      <c r="W203" s="50"/>
      <c r="AB203" s="49" t="s">
        <v>53</v>
      </c>
      <c r="AC203" s="49" t="s">
        <v>587</v>
      </c>
      <c r="AD203" s="49">
        <v>90</v>
      </c>
      <c r="AE203" s="51">
        <v>8</v>
      </c>
      <c r="AF203" s="49">
        <v>116</v>
      </c>
      <c r="AG203" s="49">
        <v>0.9</v>
      </c>
      <c r="AH203" s="49">
        <v>2</v>
      </c>
      <c r="AI203" s="49">
        <v>0</v>
      </c>
      <c r="AJ203" s="49">
        <v>7850</v>
      </c>
      <c r="AK203" s="49" t="s">
        <v>156</v>
      </c>
    </row>
    <row r="204" spans="20:37">
      <c r="T204" s="51"/>
      <c r="W204" s="50"/>
      <c r="AB204" s="49" t="s">
        <v>53</v>
      </c>
      <c r="AC204" s="49" t="s">
        <v>588</v>
      </c>
      <c r="AD204" s="49">
        <v>91</v>
      </c>
      <c r="AE204" s="51">
        <v>8</v>
      </c>
      <c r="AF204" s="49">
        <v>116</v>
      </c>
      <c r="AG204" s="49">
        <v>0.9</v>
      </c>
      <c r="AH204" s="49">
        <v>2</v>
      </c>
      <c r="AI204" s="49">
        <v>0</v>
      </c>
      <c r="AJ204" s="49">
        <v>7850</v>
      </c>
      <c r="AK204" s="49" t="s">
        <v>156</v>
      </c>
    </row>
    <row r="205" spans="20:37">
      <c r="T205" s="51"/>
      <c r="W205" s="50"/>
      <c r="AB205" s="49" t="s">
        <v>64</v>
      </c>
      <c r="AC205" s="49" t="s">
        <v>589</v>
      </c>
      <c r="AD205" s="49">
        <v>91</v>
      </c>
      <c r="AE205" s="51">
        <v>7.5</v>
      </c>
      <c r="AF205" s="49">
        <v>86</v>
      </c>
      <c r="AG205" s="49">
        <v>0.9</v>
      </c>
      <c r="AH205" s="49">
        <v>2</v>
      </c>
      <c r="AI205" s="49">
        <v>0</v>
      </c>
      <c r="AJ205" s="49">
        <v>7850</v>
      </c>
      <c r="AK205" s="49" t="s">
        <v>156</v>
      </c>
    </row>
    <row r="206" spans="20:37">
      <c r="T206" s="51"/>
      <c r="W206" s="50"/>
      <c r="AB206" s="49" t="s">
        <v>64</v>
      </c>
      <c r="AC206" s="49" t="s">
        <v>590</v>
      </c>
      <c r="AD206" s="49">
        <v>92</v>
      </c>
      <c r="AE206" s="51">
        <v>7.5</v>
      </c>
      <c r="AF206" s="49">
        <v>86</v>
      </c>
      <c r="AG206" s="49">
        <v>0.9</v>
      </c>
      <c r="AH206" s="49">
        <v>2</v>
      </c>
      <c r="AI206" s="49">
        <v>0</v>
      </c>
      <c r="AJ206" s="49">
        <v>7850</v>
      </c>
      <c r="AK206" s="49" t="s">
        <v>156</v>
      </c>
    </row>
    <row r="207" spans="20:37">
      <c r="T207" s="51"/>
      <c r="W207" s="50"/>
      <c r="AB207" s="49" t="s">
        <v>64</v>
      </c>
      <c r="AC207" s="49" t="s">
        <v>591</v>
      </c>
      <c r="AD207" s="49">
        <v>92</v>
      </c>
      <c r="AE207" s="51">
        <v>7.5</v>
      </c>
      <c r="AF207" s="49">
        <v>86</v>
      </c>
      <c r="AG207" s="49">
        <v>0.9</v>
      </c>
      <c r="AH207" s="49">
        <v>2</v>
      </c>
      <c r="AI207" s="49">
        <v>0</v>
      </c>
      <c r="AJ207" s="49">
        <v>7850</v>
      </c>
      <c r="AK207" s="49" t="s">
        <v>156</v>
      </c>
    </row>
    <row r="208" spans="20:37">
      <c r="T208" s="51"/>
      <c r="W208" s="50"/>
      <c r="AB208" s="49" t="s">
        <v>64</v>
      </c>
      <c r="AC208" s="49" t="s">
        <v>592</v>
      </c>
      <c r="AD208" s="49">
        <v>93</v>
      </c>
      <c r="AE208" s="51">
        <v>7.5</v>
      </c>
      <c r="AF208" s="49">
        <v>86</v>
      </c>
      <c r="AG208" s="49">
        <v>0.9</v>
      </c>
      <c r="AH208" s="49">
        <v>2</v>
      </c>
      <c r="AI208" s="49">
        <v>0</v>
      </c>
      <c r="AJ208" s="49">
        <v>7850</v>
      </c>
      <c r="AK208" s="49" t="s">
        <v>156</v>
      </c>
    </row>
    <row r="209" spans="20:37">
      <c r="T209" s="51"/>
      <c r="W209" s="50"/>
      <c r="AB209" s="49" t="s">
        <v>64</v>
      </c>
      <c r="AC209" s="49" t="s">
        <v>593</v>
      </c>
      <c r="AD209" s="49">
        <v>93</v>
      </c>
      <c r="AE209" s="51">
        <v>7.5</v>
      </c>
      <c r="AF209" s="49">
        <v>86</v>
      </c>
      <c r="AG209" s="49">
        <v>0.9</v>
      </c>
      <c r="AH209" s="49">
        <v>2</v>
      </c>
      <c r="AI209" s="49">
        <v>0</v>
      </c>
      <c r="AJ209" s="49">
        <v>7850</v>
      </c>
      <c r="AK209" s="49" t="s">
        <v>156</v>
      </c>
    </row>
    <row r="210" spans="20:37">
      <c r="T210" s="51"/>
      <c r="W210" s="50"/>
      <c r="AB210" s="49" t="s">
        <v>64</v>
      </c>
      <c r="AC210" s="49" t="s">
        <v>594</v>
      </c>
      <c r="AD210" s="49">
        <v>94</v>
      </c>
      <c r="AE210" s="51">
        <v>7.5</v>
      </c>
      <c r="AF210" s="49">
        <v>86</v>
      </c>
      <c r="AG210" s="49">
        <v>0.9</v>
      </c>
      <c r="AH210" s="49">
        <v>2</v>
      </c>
      <c r="AI210" s="49">
        <v>0</v>
      </c>
      <c r="AJ210" s="49">
        <v>7850</v>
      </c>
      <c r="AK210" s="49" t="s">
        <v>156</v>
      </c>
    </row>
    <row r="211" spans="20:37">
      <c r="T211" s="51"/>
      <c r="W211" s="50"/>
      <c r="AB211" s="49" t="s">
        <v>64</v>
      </c>
      <c r="AC211" s="49" t="s">
        <v>595</v>
      </c>
      <c r="AD211" s="49">
        <v>94</v>
      </c>
      <c r="AE211" s="51">
        <v>7.5</v>
      </c>
      <c r="AF211" s="49">
        <v>86</v>
      </c>
      <c r="AG211" s="49">
        <v>0.9</v>
      </c>
      <c r="AH211" s="49">
        <v>2</v>
      </c>
      <c r="AI211" s="49">
        <v>0</v>
      </c>
      <c r="AJ211" s="49">
        <v>7850</v>
      </c>
      <c r="AK211" s="49" t="s">
        <v>156</v>
      </c>
    </row>
    <row r="212" spans="20:37">
      <c r="T212" s="51"/>
      <c r="W212" s="50"/>
      <c r="AB212" s="49" t="s">
        <v>64</v>
      </c>
      <c r="AC212" s="49" t="s">
        <v>596</v>
      </c>
      <c r="AD212" s="49">
        <v>95</v>
      </c>
      <c r="AE212" s="51">
        <v>7.5</v>
      </c>
      <c r="AF212" s="49">
        <v>86</v>
      </c>
      <c r="AG212" s="49">
        <v>0.9</v>
      </c>
      <c r="AH212" s="49">
        <v>2</v>
      </c>
      <c r="AI212" s="49">
        <v>0</v>
      </c>
      <c r="AJ212" s="49">
        <v>7850</v>
      </c>
      <c r="AK212" s="49" t="s">
        <v>156</v>
      </c>
    </row>
    <row r="213" spans="20:37">
      <c r="T213" s="51"/>
      <c r="W213" s="50"/>
      <c r="AB213" s="49" t="s">
        <v>64</v>
      </c>
      <c r="AC213" s="49" t="s">
        <v>597</v>
      </c>
      <c r="AD213" s="49">
        <v>95</v>
      </c>
      <c r="AE213" s="51">
        <v>7.5</v>
      </c>
      <c r="AF213" s="49">
        <v>86</v>
      </c>
      <c r="AG213" s="49">
        <v>0.9</v>
      </c>
      <c r="AH213" s="49">
        <v>2</v>
      </c>
      <c r="AI213" s="49">
        <v>0</v>
      </c>
      <c r="AJ213" s="49">
        <v>7850</v>
      </c>
      <c r="AK213" s="49" t="s">
        <v>156</v>
      </c>
    </row>
    <row r="214" spans="20:37">
      <c r="T214" s="51"/>
      <c r="W214" s="50"/>
      <c r="AB214" s="49" t="s">
        <v>64</v>
      </c>
      <c r="AC214" s="49" t="s">
        <v>598</v>
      </c>
      <c r="AD214" s="49">
        <v>96</v>
      </c>
      <c r="AE214" s="51">
        <v>7.5</v>
      </c>
      <c r="AF214" s="49">
        <v>86</v>
      </c>
      <c r="AG214" s="49">
        <v>0.9</v>
      </c>
      <c r="AH214" s="49">
        <v>2</v>
      </c>
      <c r="AI214" s="49">
        <v>0</v>
      </c>
      <c r="AJ214" s="49">
        <v>7850</v>
      </c>
      <c r="AK214" s="49" t="s">
        <v>156</v>
      </c>
    </row>
    <row r="215" spans="20:37">
      <c r="T215" s="51"/>
      <c r="W215" s="50"/>
      <c r="AB215" s="49" t="s">
        <v>64</v>
      </c>
      <c r="AC215" s="49" t="s">
        <v>599</v>
      </c>
      <c r="AD215" s="49">
        <v>96</v>
      </c>
      <c r="AE215" s="51">
        <v>7.5</v>
      </c>
      <c r="AF215" s="49">
        <v>93</v>
      </c>
      <c r="AG215" s="49">
        <v>0.9</v>
      </c>
      <c r="AH215" s="49">
        <v>2</v>
      </c>
      <c r="AI215" s="49">
        <v>0</v>
      </c>
      <c r="AJ215" s="49">
        <v>7850</v>
      </c>
      <c r="AK215" s="49" t="s">
        <v>156</v>
      </c>
    </row>
    <row r="216" spans="20:37">
      <c r="T216" s="51"/>
      <c r="W216" s="50"/>
      <c r="AB216" s="49" t="s">
        <v>64</v>
      </c>
      <c r="AC216" s="49" t="s">
        <v>600</v>
      </c>
      <c r="AD216" s="49">
        <v>98</v>
      </c>
      <c r="AE216" s="51">
        <v>7.5</v>
      </c>
      <c r="AF216" s="49">
        <v>93</v>
      </c>
      <c r="AG216" s="49">
        <v>0.9</v>
      </c>
      <c r="AH216" s="49">
        <v>2</v>
      </c>
      <c r="AI216" s="49">
        <v>0</v>
      </c>
      <c r="AJ216" s="49">
        <v>7850</v>
      </c>
      <c r="AK216" s="49" t="s">
        <v>156</v>
      </c>
    </row>
    <row r="217" spans="20:37">
      <c r="T217" s="51"/>
      <c r="W217" s="50"/>
      <c r="AB217" s="49" t="s">
        <v>64</v>
      </c>
      <c r="AC217" s="49" t="s">
        <v>601</v>
      </c>
      <c r="AD217" s="49">
        <v>98</v>
      </c>
      <c r="AE217" s="51">
        <v>7.5</v>
      </c>
      <c r="AF217" s="49">
        <v>93</v>
      </c>
      <c r="AG217" s="49">
        <v>0.9</v>
      </c>
      <c r="AH217" s="49">
        <v>2</v>
      </c>
      <c r="AI217" s="49">
        <v>0</v>
      </c>
      <c r="AJ217" s="49">
        <v>7850</v>
      </c>
      <c r="AK217" s="49" t="s">
        <v>156</v>
      </c>
    </row>
    <row r="218" spans="20:37">
      <c r="T218" s="51"/>
      <c r="W218" s="50"/>
      <c r="AB218" s="49" t="s">
        <v>64</v>
      </c>
      <c r="AC218" s="49" t="s">
        <v>602</v>
      </c>
      <c r="AD218" s="49">
        <v>101</v>
      </c>
      <c r="AE218" s="51">
        <v>7.5</v>
      </c>
      <c r="AF218" s="49">
        <v>93</v>
      </c>
      <c r="AG218" s="49">
        <v>0.9</v>
      </c>
      <c r="AH218" s="49">
        <v>2</v>
      </c>
      <c r="AI218" s="49">
        <v>0</v>
      </c>
      <c r="AJ218" s="49">
        <v>7850</v>
      </c>
      <c r="AK218" s="49" t="s">
        <v>156</v>
      </c>
    </row>
    <row r="219" spans="20:37">
      <c r="T219" s="51"/>
      <c r="W219" s="50"/>
      <c r="AB219" s="49" t="s">
        <v>64</v>
      </c>
      <c r="AC219" s="49" t="s">
        <v>603</v>
      </c>
      <c r="AD219" s="49">
        <v>101</v>
      </c>
      <c r="AE219" s="51">
        <v>7.5</v>
      </c>
      <c r="AF219" s="49">
        <v>100</v>
      </c>
      <c r="AG219" s="49">
        <v>0.9</v>
      </c>
      <c r="AH219" s="49">
        <v>2</v>
      </c>
      <c r="AI219" s="49">
        <v>0</v>
      </c>
      <c r="AJ219" s="49">
        <v>7850</v>
      </c>
      <c r="AK219" s="49" t="s">
        <v>156</v>
      </c>
    </row>
    <row r="220" spans="20:37">
      <c r="T220" s="51"/>
      <c r="W220" s="50"/>
      <c r="AB220" s="49" t="s">
        <v>64</v>
      </c>
      <c r="AC220" s="49" t="s">
        <v>604</v>
      </c>
      <c r="AD220" s="49">
        <v>102</v>
      </c>
      <c r="AE220" s="51">
        <v>7.5</v>
      </c>
      <c r="AF220" s="49">
        <v>100</v>
      </c>
      <c r="AG220" s="49">
        <v>0.9</v>
      </c>
      <c r="AH220" s="49">
        <v>2</v>
      </c>
      <c r="AI220" s="49">
        <v>0</v>
      </c>
      <c r="AJ220" s="49">
        <v>7850</v>
      </c>
      <c r="AK220" s="49" t="s">
        <v>156</v>
      </c>
    </row>
    <row r="221" spans="20:37">
      <c r="T221" s="51"/>
      <c r="W221" s="50"/>
      <c r="AB221" s="49" t="s">
        <v>51</v>
      </c>
      <c r="AC221" s="49" t="s">
        <v>605</v>
      </c>
      <c r="AD221" s="49">
        <v>102</v>
      </c>
      <c r="AE221" s="51">
        <v>7.5</v>
      </c>
      <c r="AF221" s="49">
        <v>108</v>
      </c>
      <c r="AG221" s="49">
        <v>0.9</v>
      </c>
      <c r="AH221" s="49">
        <v>2</v>
      </c>
      <c r="AI221" s="49">
        <v>0</v>
      </c>
      <c r="AJ221" s="49">
        <v>7850</v>
      </c>
      <c r="AK221" s="49" t="s">
        <v>156</v>
      </c>
    </row>
    <row r="222" spans="20:37">
      <c r="T222" s="51"/>
      <c r="W222" s="50"/>
      <c r="AB222" s="49" t="s">
        <v>51</v>
      </c>
      <c r="AC222" s="49" t="s">
        <v>606</v>
      </c>
      <c r="AD222" s="49">
        <v>104</v>
      </c>
      <c r="AE222" s="51">
        <v>7.5</v>
      </c>
      <c r="AF222" s="49">
        <v>108</v>
      </c>
      <c r="AG222" s="49">
        <v>0.9</v>
      </c>
      <c r="AH222" s="49">
        <v>2</v>
      </c>
      <c r="AI222" s="49">
        <v>150</v>
      </c>
      <c r="AJ222" s="49">
        <v>7850</v>
      </c>
      <c r="AK222" s="49" t="s">
        <v>156</v>
      </c>
    </row>
    <row r="223" spans="20:37">
      <c r="T223" s="51"/>
      <c r="W223" s="50"/>
      <c r="AB223" s="49" t="s">
        <v>51</v>
      </c>
      <c r="AC223" s="49" t="s">
        <v>607</v>
      </c>
      <c r="AD223" s="49">
        <v>104</v>
      </c>
      <c r="AE223" s="51">
        <v>7.5</v>
      </c>
      <c r="AF223" s="49">
        <v>100</v>
      </c>
      <c r="AG223" s="49">
        <v>0.9</v>
      </c>
      <c r="AH223" s="49">
        <v>2</v>
      </c>
      <c r="AI223" s="49">
        <v>150</v>
      </c>
      <c r="AJ223" s="49">
        <v>7850</v>
      </c>
      <c r="AK223" s="49" t="s">
        <v>156</v>
      </c>
    </row>
    <row r="224" spans="20:37">
      <c r="T224" s="51"/>
      <c r="W224" s="50"/>
      <c r="AB224" s="49" t="s">
        <v>51</v>
      </c>
      <c r="AC224" s="49" t="s">
        <v>608</v>
      </c>
      <c r="AD224" s="49">
        <v>105</v>
      </c>
      <c r="AE224" s="51">
        <v>7.5</v>
      </c>
      <c r="AF224" s="49">
        <v>100</v>
      </c>
      <c r="AG224" s="49">
        <v>0.9</v>
      </c>
      <c r="AH224" s="49">
        <v>2</v>
      </c>
      <c r="AI224" s="49">
        <v>150</v>
      </c>
      <c r="AJ224" s="49">
        <v>7850</v>
      </c>
      <c r="AK224" s="49" t="s">
        <v>156</v>
      </c>
    </row>
    <row r="225" spans="20:37">
      <c r="T225" s="51"/>
      <c r="W225" s="50"/>
      <c r="AB225" s="49" t="s">
        <v>51</v>
      </c>
      <c r="AC225" s="49" t="s">
        <v>609</v>
      </c>
      <c r="AD225" s="49">
        <v>105</v>
      </c>
      <c r="AE225" s="51">
        <v>7.5</v>
      </c>
      <c r="AF225" s="49">
        <v>98</v>
      </c>
      <c r="AG225" s="49">
        <v>0.9</v>
      </c>
      <c r="AH225" s="49">
        <v>2</v>
      </c>
      <c r="AI225" s="49">
        <v>150</v>
      </c>
      <c r="AJ225" s="49">
        <v>7850</v>
      </c>
      <c r="AK225" s="49" t="s">
        <v>156</v>
      </c>
    </row>
    <row r="226" spans="20:37">
      <c r="T226" s="51"/>
      <c r="W226" s="50"/>
      <c r="AB226" s="49" t="s">
        <v>51</v>
      </c>
      <c r="AC226" s="49" t="s">
        <v>610</v>
      </c>
      <c r="AD226" s="49">
        <v>108</v>
      </c>
      <c r="AE226" s="51">
        <v>7.5</v>
      </c>
      <c r="AF226" s="49">
        <v>98</v>
      </c>
      <c r="AG226" s="49">
        <v>0.9</v>
      </c>
      <c r="AH226" s="49">
        <v>2</v>
      </c>
      <c r="AI226" s="49">
        <v>150</v>
      </c>
      <c r="AJ226" s="49">
        <v>7850</v>
      </c>
      <c r="AK226" s="49" t="s">
        <v>156</v>
      </c>
    </row>
    <row r="227" spans="20:37">
      <c r="T227" s="51"/>
      <c r="W227" s="50"/>
      <c r="AB227" s="49" t="s">
        <v>51</v>
      </c>
      <c r="AC227" s="49" t="s">
        <v>611</v>
      </c>
      <c r="AD227" s="49">
        <v>108</v>
      </c>
      <c r="AE227" s="51">
        <v>7.5</v>
      </c>
      <c r="AF227" s="49">
        <v>98</v>
      </c>
      <c r="AG227" s="49">
        <v>0.9</v>
      </c>
      <c r="AH227" s="49">
        <v>2</v>
      </c>
      <c r="AI227" s="49">
        <v>150</v>
      </c>
      <c r="AJ227" s="49">
        <v>7850</v>
      </c>
      <c r="AK227" s="49" t="s">
        <v>156</v>
      </c>
    </row>
    <row r="228" spans="20:37">
      <c r="T228" s="51"/>
      <c r="W228" s="50"/>
      <c r="AB228" s="49" t="s">
        <v>51</v>
      </c>
      <c r="AC228" s="49" t="s">
        <v>612</v>
      </c>
      <c r="AD228" s="49">
        <v>109</v>
      </c>
      <c r="AE228" s="51">
        <v>7.8282999999999996</v>
      </c>
      <c r="AF228" s="49">
        <v>98</v>
      </c>
      <c r="AG228" s="49">
        <v>0.9</v>
      </c>
      <c r="AH228" s="49">
        <v>2</v>
      </c>
      <c r="AI228" s="49">
        <v>100</v>
      </c>
      <c r="AJ228" s="49">
        <v>7850</v>
      </c>
      <c r="AK228" s="49" t="s">
        <v>156</v>
      </c>
    </row>
    <row r="229" spans="20:37">
      <c r="T229" s="51"/>
      <c r="W229" s="50"/>
      <c r="AB229" s="49" t="s">
        <v>51</v>
      </c>
      <c r="AC229" s="49" t="s">
        <v>613</v>
      </c>
      <c r="AD229" s="49">
        <v>109</v>
      </c>
      <c r="AE229" s="51">
        <v>7.8282999999999996</v>
      </c>
      <c r="AF229" s="49">
        <v>104</v>
      </c>
      <c r="AG229" s="49">
        <v>0.9</v>
      </c>
      <c r="AH229" s="49">
        <v>2</v>
      </c>
      <c r="AI229" s="49">
        <v>100</v>
      </c>
      <c r="AJ229" s="49">
        <v>7850</v>
      </c>
      <c r="AK229" s="49" t="s">
        <v>156</v>
      </c>
    </row>
    <row r="230" spans="20:37">
      <c r="T230" s="51"/>
      <c r="W230" s="50"/>
      <c r="AB230" s="49" t="s">
        <v>51</v>
      </c>
      <c r="AC230" s="49" t="s">
        <v>614</v>
      </c>
      <c r="AD230" s="49">
        <v>110</v>
      </c>
      <c r="AE230" s="51">
        <v>8.1565999999999992</v>
      </c>
      <c r="AF230" s="49">
        <v>104</v>
      </c>
      <c r="AG230" s="49">
        <v>0.9</v>
      </c>
      <c r="AH230" s="49">
        <v>2</v>
      </c>
      <c r="AI230" s="49">
        <v>100</v>
      </c>
      <c r="AJ230" s="49">
        <v>7850</v>
      </c>
      <c r="AK230" s="49" t="s">
        <v>156</v>
      </c>
    </row>
    <row r="231" spans="20:37">
      <c r="T231" s="51"/>
      <c r="W231" s="50"/>
      <c r="AB231" s="49" t="s">
        <v>51</v>
      </c>
      <c r="AC231" s="49" t="s">
        <v>615</v>
      </c>
      <c r="AD231" s="49">
        <v>110</v>
      </c>
      <c r="AE231" s="51">
        <v>8.1565999999999992</v>
      </c>
      <c r="AF231" s="49">
        <v>98</v>
      </c>
      <c r="AG231" s="49">
        <v>0.9</v>
      </c>
      <c r="AH231" s="49">
        <v>2</v>
      </c>
      <c r="AI231" s="49">
        <v>100</v>
      </c>
      <c r="AJ231" s="49">
        <v>7850</v>
      </c>
      <c r="AK231" s="49" t="s">
        <v>156</v>
      </c>
    </row>
    <row r="232" spans="20:37">
      <c r="T232" s="51"/>
      <c r="W232" s="50"/>
      <c r="AB232" s="49" t="s">
        <v>51</v>
      </c>
      <c r="AC232" s="49" t="s">
        <v>616</v>
      </c>
      <c r="AD232" s="49">
        <v>111</v>
      </c>
      <c r="AE232" s="51">
        <v>8.4847999999999999</v>
      </c>
      <c r="AF232" s="49">
        <v>98</v>
      </c>
      <c r="AG232" s="49">
        <v>0.9</v>
      </c>
      <c r="AH232" s="49">
        <v>2</v>
      </c>
      <c r="AI232" s="49">
        <v>100</v>
      </c>
      <c r="AJ232" s="49">
        <v>7850</v>
      </c>
      <c r="AK232" s="49" t="s">
        <v>156</v>
      </c>
    </row>
    <row r="233" spans="20:37">
      <c r="T233" s="51"/>
      <c r="W233" s="50"/>
      <c r="AB233" s="49" t="s">
        <v>51</v>
      </c>
      <c r="AC233" s="49" t="s">
        <v>617</v>
      </c>
      <c r="AD233" s="49">
        <v>111</v>
      </c>
      <c r="AE233" s="51">
        <v>8.4847999999999999</v>
      </c>
      <c r="AF233" s="49">
        <v>94</v>
      </c>
      <c r="AG233" s="49">
        <v>0.9</v>
      </c>
      <c r="AH233" s="49">
        <v>2</v>
      </c>
      <c r="AI233" s="49">
        <v>100</v>
      </c>
      <c r="AJ233" s="49">
        <v>7850</v>
      </c>
      <c r="AK233" s="49" t="s">
        <v>156</v>
      </c>
    </row>
    <row r="234" spans="20:37">
      <c r="T234" s="51"/>
      <c r="W234" s="50"/>
      <c r="AB234" s="49" t="s">
        <v>51</v>
      </c>
      <c r="AC234" s="49" t="s">
        <v>618</v>
      </c>
      <c r="AD234" s="49">
        <v>112</v>
      </c>
      <c r="AE234" s="51">
        <v>8.8131000000000004</v>
      </c>
      <c r="AF234" s="49">
        <v>94</v>
      </c>
      <c r="AG234" s="49">
        <v>0.9</v>
      </c>
      <c r="AH234" s="49">
        <v>2</v>
      </c>
      <c r="AI234" s="49">
        <v>100</v>
      </c>
      <c r="AJ234" s="49">
        <v>7850</v>
      </c>
      <c r="AK234" s="49" t="s">
        <v>156</v>
      </c>
    </row>
    <row r="235" spans="20:37">
      <c r="T235" s="51"/>
      <c r="W235" s="50"/>
      <c r="AB235" s="49" t="s">
        <v>51</v>
      </c>
      <c r="AC235" s="49" t="s">
        <v>619</v>
      </c>
      <c r="AD235" s="49">
        <v>112</v>
      </c>
      <c r="AE235" s="51">
        <v>8.8131000000000004</v>
      </c>
      <c r="AF235" s="49">
        <v>92</v>
      </c>
      <c r="AG235" s="49">
        <v>0.9</v>
      </c>
      <c r="AH235" s="49">
        <v>2</v>
      </c>
      <c r="AI235" s="49">
        <v>100</v>
      </c>
      <c r="AJ235" s="49">
        <v>7850</v>
      </c>
      <c r="AK235" s="49" t="s">
        <v>156</v>
      </c>
    </row>
    <row r="236" spans="20:37">
      <c r="T236" s="51"/>
      <c r="W236" s="50"/>
      <c r="AB236" s="49" t="s">
        <v>51</v>
      </c>
      <c r="AC236" s="49" t="s">
        <v>620</v>
      </c>
      <c r="AD236" s="49">
        <v>113</v>
      </c>
      <c r="AE236" s="51">
        <v>9.1414000000000009</v>
      </c>
      <c r="AF236" s="49">
        <v>92</v>
      </c>
      <c r="AG236" s="49">
        <v>0.9</v>
      </c>
      <c r="AH236" s="49">
        <v>2</v>
      </c>
      <c r="AI236" s="49">
        <v>100</v>
      </c>
      <c r="AJ236" s="49">
        <v>7850</v>
      </c>
      <c r="AK236" s="49" t="s">
        <v>156</v>
      </c>
    </row>
    <row r="237" spans="20:37">
      <c r="T237" s="51"/>
      <c r="W237" s="50"/>
      <c r="AB237" s="49" t="s">
        <v>51</v>
      </c>
      <c r="AC237" s="49" t="s">
        <v>621</v>
      </c>
      <c r="AD237" s="49">
        <v>113</v>
      </c>
      <c r="AE237" s="51">
        <v>9.1414000000000009</v>
      </c>
      <c r="AF237" s="49">
        <v>90</v>
      </c>
      <c r="AG237" s="49">
        <v>0.9</v>
      </c>
      <c r="AH237" s="49">
        <v>2</v>
      </c>
      <c r="AI237" s="49">
        <v>100</v>
      </c>
      <c r="AJ237" s="49">
        <v>7850</v>
      </c>
      <c r="AK237" s="49" t="s">
        <v>156</v>
      </c>
    </row>
    <row r="238" spans="20:37">
      <c r="T238" s="51"/>
      <c r="W238" s="50"/>
      <c r="AB238" s="49" t="s">
        <v>51</v>
      </c>
      <c r="AC238" s="49" t="s">
        <v>622</v>
      </c>
      <c r="AD238" s="49">
        <v>114</v>
      </c>
      <c r="AE238" s="51">
        <v>9.4696999999999996</v>
      </c>
      <c r="AF238" s="49">
        <v>90</v>
      </c>
      <c r="AG238" s="49">
        <v>0.9</v>
      </c>
      <c r="AH238" s="49">
        <v>2</v>
      </c>
      <c r="AI238" s="49">
        <v>100</v>
      </c>
      <c r="AJ238" s="49">
        <v>7850</v>
      </c>
      <c r="AK238" s="49" t="s">
        <v>156</v>
      </c>
    </row>
    <row r="239" spans="20:37">
      <c r="T239" s="51"/>
      <c r="W239" s="50"/>
      <c r="AB239" s="49" t="s">
        <v>51</v>
      </c>
      <c r="AC239" s="49" t="s">
        <v>623</v>
      </c>
      <c r="AD239" s="49">
        <v>114</v>
      </c>
      <c r="AE239" s="51">
        <v>9.4696999999999996</v>
      </c>
      <c r="AF239" s="49">
        <v>90</v>
      </c>
      <c r="AG239" s="49">
        <v>0.9</v>
      </c>
      <c r="AH239" s="49">
        <v>2</v>
      </c>
      <c r="AI239" s="49">
        <v>100</v>
      </c>
      <c r="AJ239" s="49">
        <v>7850</v>
      </c>
      <c r="AK239" s="49" t="s">
        <v>156</v>
      </c>
    </row>
    <row r="240" spans="20:37">
      <c r="T240" s="51"/>
      <c r="W240" s="50"/>
      <c r="AB240" s="49" t="s">
        <v>51</v>
      </c>
      <c r="AC240" s="49" t="s">
        <v>624</v>
      </c>
      <c r="AD240" s="49">
        <v>115</v>
      </c>
      <c r="AE240" s="51">
        <v>9.8000000000000007</v>
      </c>
      <c r="AF240" s="49">
        <v>90</v>
      </c>
      <c r="AG240" s="49">
        <v>0.9</v>
      </c>
      <c r="AH240" s="49">
        <v>2</v>
      </c>
      <c r="AI240" s="49">
        <v>100</v>
      </c>
      <c r="AJ240" s="49">
        <v>7850</v>
      </c>
      <c r="AK240" s="49" t="s">
        <v>156</v>
      </c>
    </row>
    <row r="241" spans="20:37">
      <c r="T241" s="51"/>
      <c r="W241" s="50"/>
      <c r="AB241" s="49" t="s">
        <v>51</v>
      </c>
      <c r="AC241" s="49" t="s">
        <v>625</v>
      </c>
      <c r="AD241" s="49">
        <v>115</v>
      </c>
      <c r="AE241" s="51">
        <v>9.8000000000000007</v>
      </c>
      <c r="AF241" s="49">
        <v>90</v>
      </c>
      <c r="AG241" s="49">
        <v>0.9</v>
      </c>
      <c r="AH241" s="49">
        <v>2</v>
      </c>
      <c r="AI241" s="49">
        <v>100</v>
      </c>
      <c r="AJ241" s="49">
        <v>7850</v>
      </c>
      <c r="AK241" s="49" t="s">
        <v>156</v>
      </c>
    </row>
    <row r="242" spans="20:37">
      <c r="T242" s="51"/>
      <c r="W242" s="50"/>
      <c r="AB242" s="49" t="s">
        <v>51</v>
      </c>
      <c r="AC242" s="49" t="s">
        <v>626</v>
      </c>
      <c r="AD242" s="49">
        <v>116</v>
      </c>
      <c r="AE242" s="51">
        <v>9.8000000000000007</v>
      </c>
      <c r="AF242" s="49">
        <v>90</v>
      </c>
      <c r="AG242" s="49">
        <v>0.9</v>
      </c>
      <c r="AH242" s="49">
        <v>2</v>
      </c>
      <c r="AI242" s="49">
        <v>100</v>
      </c>
      <c r="AJ242" s="49">
        <v>7850</v>
      </c>
      <c r="AK242" s="49" t="s">
        <v>156</v>
      </c>
    </row>
    <row r="243" spans="20:37">
      <c r="T243" s="51"/>
      <c r="W243" s="50"/>
      <c r="AB243" s="49" t="s">
        <v>51</v>
      </c>
      <c r="AC243" s="49" t="s">
        <v>627</v>
      </c>
      <c r="AD243" s="49">
        <v>116</v>
      </c>
      <c r="AE243" s="51">
        <v>9.8000000000000007</v>
      </c>
      <c r="AF243" s="49">
        <v>98</v>
      </c>
      <c r="AG243" s="49">
        <v>0.9</v>
      </c>
      <c r="AH243" s="49">
        <v>2</v>
      </c>
      <c r="AI243" s="49">
        <v>100</v>
      </c>
      <c r="AJ243" s="49">
        <v>7850</v>
      </c>
      <c r="AK243" s="49" t="s">
        <v>156</v>
      </c>
    </row>
    <row r="244" spans="20:37">
      <c r="T244" s="51"/>
      <c r="W244" s="50"/>
      <c r="AB244" s="49" t="s">
        <v>51</v>
      </c>
      <c r="AC244" s="49" t="s">
        <v>628</v>
      </c>
      <c r="AD244" s="49">
        <v>117</v>
      </c>
      <c r="AE244" s="51">
        <v>9.8000000000000007</v>
      </c>
      <c r="AF244" s="49">
        <v>98</v>
      </c>
      <c r="AG244" s="49">
        <v>0.9</v>
      </c>
      <c r="AH244" s="49">
        <v>2</v>
      </c>
      <c r="AI244" s="49">
        <v>50</v>
      </c>
      <c r="AJ244" s="49">
        <v>7850</v>
      </c>
      <c r="AK244" s="49" t="s">
        <v>156</v>
      </c>
    </row>
    <row r="245" spans="20:37">
      <c r="T245" s="51"/>
      <c r="W245" s="50"/>
      <c r="AB245" s="49" t="s">
        <v>51</v>
      </c>
      <c r="AC245" s="49" t="s">
        <v>629</v>
      </c>
      <c r="AD245" s="49">
        <v>117</v>
      </c>
      <c r="AE245" s="51">
        <v>9.8000000000000007</v>
      </c>
      <c r="AF245" s="49">
        <v>88</v>
      </c>
      <c r="AG245" s="49">
        <v>0.9</v>
      </c>
      <c r="AH245" s="49">
        <v>2</v>
      </c>
      <c r="AI245" s="49">
        <v>50</v>
      </c>
      <c r="AJ245" s="49">
        <v>7850</v>
      </c>
      <c r="AK245" s="49" t="s">
        <v>156</v>
      </c>
    </row>
    <row r="246" spans="20:37">
      <c r="T246" s="51"/>
      <c r="W246" s="50"/>
      <c r="AB246" s="49" t="s">
        <v>51</v>
      </c>
      <c r="AC246" s="49" t="s">
        <v>630</v>
      </c>
      <c r="AD246" s="49">
        <v>118</v>
      </c>
      <c r="AE246" s="51">
        <v>9.8000000000000007</v>
      </c>
      <c r="AF246" s="49">
        <v>88</v>
      </c>
      <c r="AG246" s="49">
        <v>0.9</v>
      </c>
      <c r="AH246" s="49">
        <v>2</v>
      </c>
      <c r="AI246" s="49">
        <v>50</v>
      </c>
      <c r="AJ246" s="49">
        <v>7850</v>
      </c>
      <c r="AK246" s="49" t="s">
        <v>156</v>
      </c>
    </row>
    <row r="247" spans="20:37">
      <c r="T247" s="51"/>
      <c r="W247" s="50"/>
      <c r="AE247" s="51"/>
    </row>
    <row r="248" spans="20:37">
      <c r="T248" s="51"/>
      <c r="W248" s="50"/>
      <c r="AE248" s="51"/>
    </row>
    <row r="249" spans="20:37">
      <c r="T249" s="51"/>
      <c r="W249" s="50"/>
      <c r="AE249" s="51"/>
    </row>
    <row r="250" spans="20:37">
      <c r="T250" s="51"/>
      <c r="W250" s="50"/>
      <c r="AE250" s="51"/>
    </row>
    <row r="251" spans="20:37">
      <c r="T251" s="51"/>
      <c r="W251" s="50"/>
      <c r="AE251" s="51"/>
    </row>
    <row r="252" spans="20:37">
      <c r="T252" s="51"/>
      <c r="W252" s="50"/>
      <c r="AE252" s="51"/>
    </row>
    <row r="253" spans="20:37">
      <c r="T253" s="51"/>
      <c r="W253" s="50"/>
      <c r="AE253" s="51"/>
    </row>
    <row r="254" spans="20:37">
      <c r="T254" s="51"/>
      <c r="W254" s="50"/>
      <c r="AE254" s="51"/>
    </row>
    <row r="255" spans="20:37">
      <c r="T255" s="51"/>
      <c r="W255" s="50"/>
      <c r="AE255" s="51"/>
    </row>
    <row r="256" spans="20:37">
      <c r="T256" s="51"/>
      <c r="W256" s="50"/>
      <c r="AE256" s="51"/>
    </row>
    <row r="257" spans="20:31">
      <c r="T257" s="51"/>
      <c r="W257" s="50"/>
      <c r="AE257" s="51"/>
    </row>
    <row r="258" spans="20:31">
      <c r="T258" s="51"/>
      <c r="W258" s="50"/>
      <c r="AE258" s="51"/>
    </row>
    <row r="259" spans="20:31">
      <c r="T259" s="51"/>
      <c r="W259" s="50"/>
      <c r="AE259" s="51"/>
    </row>
    <row r="260" spans="20:31">
      <c r="T260" s="51"/>
      <c r="W260" s="50"/>
      <c r="AE260" s="51"/>
    </row>
    <row r="261" spans="20:31">
      <c r="T261" s="51"/>
      <c r="W261" s="50"/>
      <c r="AE261" s="51"/>
    </row>
    <row r="262" spans="20:31">
      <c r="T262" s="51"/>
      <c r="W262" s="50"/>
      <c r="AE262" s="51"/>
    </row>
    <row r="263" spans="20:31">
      <c r="T263" s="51"/>
      <c r="W263" s="50"/>
      <c r="AE263" s="51"/>
    </row>
    <row r="264" spans="20:31">
      <c r="T264" s="51"/>
      <c r="W264" s="50"/>
      <c r="AE264" s="51"/>
    </row>
    <row r="265" spans="20:31">
      <c r="T265" s="51"/>
      <c r="W265" s="50"/>
      <c r="AE265" s="51"/>
    </row>
    <row r="266" spans="20:31">
      <c r="T266" s="51"/>
      <c r="W266" s="50"/>
      <c r="AE266" s="51"/>
    </row>
    <row r="267" spans="20:31">
      <c r="T267" s="51"/>
      <c r="W267" s="50"/>
      <c r="AE267" s="51"/>
    </row>
    <row r="268" spans="20:31">
      <c r="T268" s="51"/>
      <c r="W268" s="50"/>
      <c r="AE268" s="51"/>
    </row>
    <row r="269" spans="20:31">
      <c r="T269" s="51"/>
      <c r="W269" s="50"/>
      <c r="AE269" s="51"/>
    </row>
    <row r="270" spans="20:31">
      <c r="T270" s="51"/>
      <c r="W270" s="50"/>
      <c r="AE270" s="51"/>
    </row>
    <row r="271" spans="20:31">
      <c r="T271" s="51"/>
      <c r="W271" s="50"/>
      <c r="AE271" s="51"/>
    </row>
    <row r="272" spans="20:31">
      <c r="T272" s="51"/>
      <c r="W272" s="50"/>
      <c r="AE272" s="51"/>
    </row>
    <row r="273" spans="20:31">
      <c r="T273" s="51"/>
      <c r="W273" s="50"/>
      <c r="AE273" s="51"/>
    </row>
    <row r="274" spans="20:31">
      <c r="T274" s="51"/>
      <c r="W274" s="50"/>
      <c r="AE274" s="51"/>
    </row>
    <row r="275" spans="20:31">
      <c r="T275" s="51"/>
      <c r="W275" s="50"/>
      <c r="AE275" s="51"/>
    </row>
    <row r="276" spans="20:31">
      <c r="T276" s="51"/>
      <c r="W276" s="50"/>
      <c r="AE276" s="51"/>
    </row>
    <row r="277" spans="20:31">
      <c r="T277" s="51"/>
      <c r="W277" s="50"/>
      <c r="AE277" s="51"/>
    </row>
    <row r="278" spans="20:31">
      <c r="T278" s="51"/>
      <c r="W278" s="50"/>
      <c r="AE278" s="51"/>
    </row>
    <row r="279" spans="20:31">
      <c r="T279" s="51"/>
      <c r="W279" s="50"/>
      <c r="AE279" s="51"/>
    </row>
    <row r="280" spans="20:31">
      <c r="T280" s="51"/>
      <c r="W280" s="50"/>
      <c r="AE280" s="51"/>
    </row>
    <row r="281" spans="20:31">
      <c r="T281" s="51"/>
      <c r="W281" s="50"/>
      <c r="AE281" s="51"/>
    </row>
    <row r="282" spans="20:31">
      <c r="T282" s="51"/>
      <c r="W282" s="50"/>
      <c r="AE282" s="51"/>
    </row>
    <row r="283" spans="20:31">
      <c r="T283" s="51"/>
      <c r="W283" s="50"/>
      <c r="AE283" s="51"/>
    </row>
    <row r="284" spans="20:31">
      <c r="T284" s="51"/>
      <c r="W284" s="50"/>
      <c r="AE284" s="51"/>
    </row>
    <row r="285" spans="20:31">
      <c r="T285" s="51"/>
      <c r="W285" s="50"/>
      <c r="AE285" s="51"/>
    </row>
    <row r="286" spans="20:31">
      <c r="T286" s="51"/>
      <c r="W286" s="50"/>
      <c r="AE286" s="51"/>
    </row>
    <row r="287" spans="20:31">
      <c r="T287" s="51"/>
      <c r="W287" s="50"/>
      <c r="AE287" s="51"/>
    </row>
    <row r="288" spans="20:31">
      <c r="T288" s="51"/>
      <c r="W288" s="50"/>
      <c r="AE288" s="51"/>
    </row>
    <row r="289" spans="20:31">
      <c r="T289" s="51"/>
      <c r="W289" s="50"/>
      <c r="AE289" s="51"/>
    </row>
    <row r="290" spans="20:31">
      <c r="T290" s="51"/>
      <c r="W290" s="50"/>
      <c r="AE290" s="51"/>
    </row>
    <row r="291" spans="20:31">
      <c r="T291" s="51"/>
      <c r="W291" s="50"/>
      <c r="AE291" s="51"/>
    </row>
    <row r="292" spans="20:31">
      <c r="T292" s="51"/>
      <c r="W292" s="50"/>
      <c r="AE292" s="51"/>
    </row>
    <row r="293" spans="20:31">
      <c r="T293" s="51"/>
      <c r="W293" s="50"/>
      <c r="AE293" s="51"/>
    </row>
    <row r="294" spans="20:31">
      <c r="T294" s="51"/>
      <c r="W294" s="50"/>
      <c r="AE294" s="51"/>
    </row>
    <row r="295" spans="20:31">
      <c r="T295" s="51"/>
      <c r="W295" s="50"/>
      <c r="AE295" s="51"/>
    </row>
    <row r="296" spans="20:31">
      <c r="T296" s="51"/>
      <c r="W296" s="50"/>
      <c r="AE296" s="51"/>
    </row>
    <row r="297" spans="20:31">
      <c r="T297" s="51"/>
      <c r="W297" s="50"/>
      <c r="AE297" s="51"/>
    </row>
    <row r="298" spans="20:31">
      <c r="T298" s="51"/>
      <c r="W298" s="50"/>
      <c r="AE298" s="51"/>
    </row>
    <row r="299" spans="20:31">
      <c r="T299" s="51"/>
      <c r="W299" s="50"/>
      <c r="AE299" s="51"/>
    </row>
    <row r="300" spans="20:31">
      <c r="T300" s="51"/>
      <c r="W300" s="50"/>
      <c r="AE300" s="51"/>
    </row>
    <row r="301" spans="20:31">
      <c r="T301" s="51"/>
      <c r="W301" s="50"/>
      <c r="AE301" s="51"/>
    </row>
    <row r="302" spans="20:31">
      <c r="T302" s="51"/>
      <c r="W302" s="50"/>
      <c r="AE302" s="51"/>
    </row>
    <row r="303" spans="20:31">
      <c r="T303" s="51"/>
      <c r="W303" s="50"/>
      <c r="AE303" s="51"/>
    </row>
    <row r="304" spans="20:31">
      <c r="T304" s="51"/>
      <c r="W304" s="50"/>
      <c r="AE304" s="51"/>
    </row>
    <row r="305" spans="20:31">
      <c r="T305" s="51"/>
      <c r="W305" s="50"/>
      <c r="AE305" s="51"/>
    </row>
    <row r="306" spans="20:31">
      <c r="T306" s="51"/>
      <c r="W306" s="50"/>
      <c r="AE306" s="51"/>
    </row>
    <row r="307" spans="20:31">
      <c r="T307" s="51"/>
      <c r="W307" s="50"/>
      <c r="AE307" s="51"/>
    </row>
    <row r="308" spans="20:31">
      <c r="T308" s="51"/>
      <c r="W308" s="50"/>
      <c r="AE308" s="51"/>
    </row>
    <row r="309" spans="20:31">
      <c r="T309" s="51"/>
      <c r="W309" s="50"/>
      <c r="AE309" s="51"/>
    </row>
    <row r="310" spans="20:31">
      <c r="T310" s="51"/>
      <c r="W310" s="50"/>
      <c r="AE310" s="51"/>
    </row>
    <row r="311" spans="20:31">
      <c r="T311" s="51"/>
      <c r="W311" s="50"/>
      <c r="AE311" s="51"/>
    </row>
    <row r="312" spans="20:31">
      <c r="T312" s="51"/>
      <c r="W312" s="50"/>
      <c r="AE312" s="51"/>
    </row>
    <row r="313" spans="20:31">
      <c r="T313" s="51"/>
      <c r="W313" s="50"/>
      <c r="AE313" s="51"/>
    </row>
    <row r="314" spans="20:31">
      <c r="T314" s="51"/>
      <c r="W314" s="50"/>
      <c r="AE314" s="51"/>
    </row>
    <row r="315" spans="20:31">
      <c r="T315" s="51"/>
      <c r="W315" s="50"/>
      <c r="AE315" s="51"/>
    </row>
    <row r="316" spans="20:31">
      <c r="T316" s="51"/>
      <c r="W316" s="50"/>
      <c r="AE316" s="51"/>
    </row>
    <row r="317" spans="20:31">
      <c r="T317" s="51"/>
      <c r="W317" s="50"/>
      <c r="AE317" s="51"/>
    </row>
    <row r="318" spans="20:31">
      <c r="T318" s="51"/>
      <c r="W318" s="50"/>
      <c r="AE318" s="51"/>
    </row>
    <row r="319" spans="20:31">
      <c r="T319" s="51"/>
      <c r="W319" s="50"/>
      <c r="AE319" s="51"/>
    </row>
    <row r="320" spans="20:31">
      <c r="T320" s="51"/>
      <c r="W320" s="50"/>
      <c r="AE320" s="51"/>
    </row>
    <row r="321" spans="20:31">
      <c r="T321" s="51"/>
      <c r="W321" s="50"/>
      <c r="AE321" s="51"/>
    </row>
    <row r="322" spans="20:31">
      <c r="T322" s="51"/>
      <c r="W322" s="50"/>
      <c r="AE322" s="51"/>
    </row>
    <row r="323" spans="20:31">
      <c r="T323" s="51"/>
      <c r="W323" s="50"/>
      <c r="AE323" s="51"/>
    </row>
    <row r="324" spans="20:31">
      <c r="T324" s="51"/>
      <c r="W324" s="50"/>
      <c r="AE324" s="51"/>
    </row>
    <row r="325" spans="20:31">
      <c r="T325" s="51"/>
      <c r="W325" s="50"/>
      <c r="AE325" s="51"/>
    </row>
    <row r="326" spans="20:31">
      <c r="T326" s="51"/>
      <c r="W326" s="50"/>
      <c r="AE326" s="51"/>
    </row>
    <row r="327" spans="20:31">
      <c r="T327" s="51"/>
      <c r="W327" s="50"/>
      <c r="AE327" s="51"/>
    </row>
    <row r="328" spans="20:31">
      <c r="T328" s="51"/>
      <c r="W328" s="50"/>
      <c r="AE328" s="51"/>
    </row>
    <row r="329" spans="20:31">
      <c r="T329" s="51"/>
      <c r="W329" s="50"/>
      <c r="AE329" s="51"/>
    </row>
    <row r="330" spans="20:31">
      <c r="T330" s="51"/>
      <c r="W330" s="50"/>
      <c r="AE330" s="51"/>
    </row>
    <row r="331" spans="20:31">
      <c r="T331" s="51"/>
      <c r="W331" s="50"/>
      <c r="AE331" s="51"/>
    </row>
    <row r="332" spans="20:31">
      <c r="T332" s="51"/>
      <c r="W332" s="50"/>
      <c r="AE332" s="51"/>
    </row>
    <row r="333" spans="20:31">
      <c r="T333" s="51"/>
      <c r="W333" s="50"/>
      <c r="AE333" s="51"/>
    </row>
    <row r="334" spans="20:31">
      <c r="T334" s="51"/>
      <c r="W334" s="50"/>
      <c r="AE334" s="51"/>
    </row>
    <row r="335" spans="20:31">
      <c r="T335" s="51"/>
      <c r="W335" s="50"/>
      <c r="AE335" s="51"/>
    </row>
    <row r="336" spans="20:31">
      <c r="T336" s="51"/>
      <c r="W336" s="50"/>
      <c r="AE336" s="51"/>
    </row>
    <row r="337" spans="20:31">
      <c r="T337" s="51"/>
      <c r="W337" s="50"/>
      <c r="AE337" s="51"/>
    </row>
    <row r="338" spans="20:31">
      <c r="T338" s="51"/>
      <c r="W338" s="50"/>
      <c r="AE338" s="51"/>
    </row>
    <row r="339" spans="20:31">
      <c r="T339" s="51"/>
      <c r="W339" s="50"/>
      <c r="AE339" s="51"/>
    </row>
    <row r="340" spans="20:31">
      <c r="T340" s="51"/>
      <c r="W340" s="50"/>
      <c r="AE340" s="51"/>
    </row>
    <row r="341" spans="20:31">
      <c r="T341" s="51"/>
      <c r="W341" s="50"/>
      <c r="AE341" s="51"/>
    </row>
    <row r="342" spans="20:31">
      <c r="T342" s="51"/>
      <c r="W342" s="50"/>
      <c r="AE342" s="51"/>
    </row>
    <row r="343" spans="20:31">
      <c r="T343" s="51"/>
      <c r="W343" s="50"/>
      <c r="AE343" s="51"/>
    </row>
    <row r="344" spans="20:31">
      <c r="T344" s="51"/>
      <c r="W344" s="50"/>
      <c r="AE344" s="51"/>
    </row>
    <row r="345" spans="20:31">
      <c r="T345" s="51"/>
      <c r="W345" s="50"/>
      <c r="AE345" s="51"/>
    </row>
    <row r="346" spans="20:31">
      <c r="T346" s="51"/>
      <c r="W346" s="50"/>
      <c r="AE346" s="51"/>
    </row>
    <row r="347" spans="20:31">
      <c r="T347" s="51"/>
      <c r="W347" s="50"/>
      <c r="AE347" s="51"/>
    </row>
    <row r="348" spans="20:31">
      <c r="T348" s="51"/>
      <c r="W348" s="50"/>
      <c r="AE348" s="51"/>
    </row>
    <row r="349" spans="20:31">
      <c r="T349" s="51"/>
      <c r="W349" s="50"/>
      <c r="AE349" s="51"/>
    </row>
    <row r="350" spans="20:31">
      <c r="T350" s="51"/>
      <c r="W350" s="50"/>
      <c r="AE350" s="51"/>
    </row>
    <row r="351" spans="20:31">
      <c r="T351" s="51"/>
      <c r="W351" s="50"/>
      <c r="AE351" s="51"/>
    </row>
    <row r="352" spans="20:31">
      <c r="T352" s="51"/>
      <c r="W352" s="50"/>
      <c r="AE352" s="51"/>
    </row>
    <row r="353" spans="20:31">
      <c r="T353" s="51"/>
      <c r="W353" s="50"/>
      <c r="AE353" s="51"/>
    </row>
    <row r="354" spans="20:31">
      <c r="T354" s="51"/>
      <c r="W354" s="50"/>
      <c r="AE354" s="51"/>
    </row>
    <row r="355" spans="20:31">
      <c r="T355" s="51"/>
      <c r="W355" s="50"/>
      <c r="AE355" s="51"/>
    </row>
    <row r="356" spans="20:31">
      <c r="T356" s="51"/>
      <c r="W356" s="50"/>
      <c r="AE356" s="51"/>
    </row>
    <row r="357" spans="20:31">
      <c r="T357" s="51"/>
      <c r="W357" s="50"/>
      <c r="AE357" s="51"/>
    </row>
    <row r="358" spans="20:31">
      <c r="T358" s="51"/>
      <c r="W358" s="50"/>
      <c r="AE358" s="51"/>
    </row>
    <row r="359" spans="20:31">
      <c r="T359" s="51"/>
      <c r="W359" s="50"/>
      <c r="AE359" s="51"/>
    </row>
    <row r="360" spans="20:31">
      <c r="T360" s="51"/>
      <c r="W360" s="50"/>
      <c r="AE360" s="51"/>
    </row>
    <row r="361" spans="20:31">
      <c r="T361" s="51"/>
      <c r="W361" s="50"/>
      <c r="AE361" s="51"/>
    </row>
    <row r="362" spans="20:31">
      <c r="T362" s="51"/>
      <c r="W362" s="50"/>
      <c r="AE362" s="51"/>
    </row>
    <row r="363" spans="20:31">
      <c r="T363" s="51"/>
      <c r="W363" s="50"/>
      <c r="AE363" s="51"/>
    </row>
    <row r="364" spans="20:31">
      <c r="T364" s="51"/>
      <c r="W364" s="50"/>
      <c r="AE364" s="51"/>
    </row>
    <row r="365" spans="20:31">
      <c r="T365" s="51"/>
      <c r="W365" s="50"/>
      <c r="AE365" s="51"/>
    </row>
    <row r="366" spans="20:31">
      <c r="T366" s="51"/>
      <c r="W366" s="50"/>
      <c r="AE366" s="51"/>
    </row>
    <row r="367" spans="20:31">
      <c r="T367" s="51"/>
      <c r="W367" s="50"/>
      <c r="AE367" s="51"/>
    </row>
    <row r="368" spans="20:31">
      <c r="T368" s="51"/>
      <c r="W368" s="50"/>
      <c r="AE368" s="51"/>
    </row>
    <row r="369" spans="20:31">
      <c r="T369" s="51"/>
      <c r="W369" s="50"/>
      <c r="AE369" s="51"/>
    </row>
    <row r="370" spans="20:31">
      <c r="T370" s="51"/>
      <c r="W370" s="50"/>
      <c r="AE370" s="51"/>
    </row>
    <row r="371" spans="20:31">
      <c r="T371" s="51"/>
      <c r="W371" s="50"/>
      <c r="AE371" s="51"/>
    </row>
    <row r="372" spans="20:31">
      <c r="T372" s="51"/>
      <c r="W372" s="50"/>
      <c r="AE372" s="51"/>
    </row>
    <row r="373" spans="20:31">
      <c r="T373" s="51"/>
      <c r="W373" s="50"/>
      <c r="AE373" s="51"/>
    </row>
    <row r="374" spans="20:31">
      <c r="T374" s="51"/>
      <c r="W374" s="50"/>
      <c r="AE374" s="51"/>
    </row>
    <row r="375" spans="20:31">
      <c r="T375" s="51"/>
      <c r="W375" s="50"/>
      <c r="AE375" s="51"/>
    </row>
    <row r="376" spans="20:31">
      <c r="T376" s="51"/>
      <c r="W376" s="50"/>
      <c r="AE376" s="51"/>
    </row>
    <row r="377" spans="20:31">
      <c r="T377" s="51"/>
      <c r="W377" s="50"/>
      <c r="AE377" s="51"/>
    </row>
    <row r="378" spans="20:31">
      <c r="T378" s="51"/>
      <c r="W378" s="50"/>
      <c r="AE378" s="51"/>
    </row>
    <row r="379" spans="20:31">
      <c r="T379" s="51"/>
      <c r="W379" s="50"/>
      <c r="AE379" s="51"/>
    </row>
    <row r="380" spans="20:31">
      <c r="T380" s="51"/>
      <c r="W380" s="50"/>
      <c r="AE380" s="51"/>
    </row>
    <row r="381" spans="20:31">
      <c r="T381" s="51"/>
      <c r="W381" s="50"/>
      <c r="AE381" s="51"/>
    </row>
    <row r="382" spans="20:31">
      <c r="T382" s="51"/>
      <c r="W382" s="50"/>
      <c r="AE382" s="51"/>
    </row>
    <row r="383" spans="20:31">
      <c r="T383" s="51"/>
      <c r="W383" s="50"/>
      <c r="AE383" s="51"/>
    </row>
    <row r="384" spans="20:31">
      <c r="T384" s="51"/>
      <c r="W384" s="50"/>
      <c r="AE384" s="51"/>
    </row>
    <row r="385" spans="20:31">
      <c r="T385" s="51"/>
      <c r="W385" s="50"/>
      <c r="AE385" s="51"/>
    </row>
    <row r="386" spans="20:31">
      <c r="T386" s="51"/>
      <c r="W386" s="50"/>
      <c r="AE386" s="51"/>
    </row>
    <row r="387" spans="20:31">
      <c r="T387" s="51"/>
      <c r="W387" s="50"/>
      <c r="AE387" s="51"/>
    </row>
    <row r="388" spans="20:31">
      <c r="T388" s="51"/>
      <c r="W388" s="50"/>
      <c r="AE388" s="51"/>
    </row>
    <row r="389" spans="20:31">
      <c r="T389" s="51"/>
      <c r="W389" s="50"/>
      <c r="AE389" s="51"/>
    </row>
    <row r="390" spans="20:31">
      <c r="T390" s="51"/>
      <c r="W390" s="50"/>
      <c r="AE390" s="51"/>
    </row>
    <row r="391" spans="20:31">
      <c r="T391" s="51"/>
      <c r="W391" s="50"/>
      <c r="AE391" s="51"/>
    </row>
    <row r="392" spans="20:31">
      <c r="T392" s="51"/>
      <c r="W392" s="50"/>
      <c r="AE392" s="51"/>
    </row>
    <row r="393" spans="20:31">
      <c r="T393" s="51"/>
      <c r="W393" s="50"/>
      <c r="AE393" s="51"/>
    </row>
    <row r="394" spans="20:31">
      <c r="T394" s="51"/>
      <c r="W394" s="50"/>
      <c r="AE394" s="51"/>
    </row>
    <row r="395" spans="20:31">
      <c r="T395" s="51"/>
      <c r="W395" s="50"/>
      <c r="AE395" s="51"/>
    </row>
    <row r="396" spans="20:31">
      <c r="T396" s="51"/>
      <c r="W396" s="50"/>
      <c r="AE396" s="51"/>
    </row>
    <row r="397" spans="20:31">
      <c r="T397" s="51"/>
      <c r="W397" s="50"/>
      <c r="AE397" s="51"/>
    </row>
    <row r="398" spans="20:31">
      <c r="T398" s="51"/>
      <c r="W398" s="50"/>
      <c r="AE398" s="51"/>
    </row>
    <row r="399" spans="20:31">
      <c r="T399" s="51"/>
      <c r="W399" s="50"/>
      <c r="AE399" s="51"/>
    </row>
    <row r="400" spans="20:31">
      <c r="T400" s="51"/>
      <c r="W400" s="50"/>
      <c r="AE400" s="51"/>
    </row>
    <row r="401" spans="20:31">
      <c r="T401" s="51"/>
      <c r="W401" s="50"/>
      <c r="AE401" s="51"/>
    </row>
    <row r="402" spans="20:31">
      <c r="T402" s="51"/>
      <c r="W402" s="50"/>
      <c r="AE402" s="51"/>
    </row>
    <row r="403" spans="20:31">
      <c r="T403" s="51"/>
      <c r="W403" s="50"/>
      <c r="AE403" s="51"/>
    </row>
    <row r="404" spans="20:31">
      <c r="T404" s="51"/>
      <c r="W404" s="50"/>
      <c r="AE404" s="51"/>
    </row>
    <row r="405" spans="20:31">
      <c r="T405" s="51"/>
      <c r="W405" s="50"/>
      <c r="AE405" s="51"/>
    </row>
    <row r="406" spans="20:31">
      <c r="T406" s="51"/>
      <c r="W406" s="50"/>
      <c r="AE406" s="51"/>
    </row>
    <row r="407" spans="20:31">
      <c r="T407" s="51"/>
      <c r="W407" s="50"/>
      <c r="AE407" s="51"/>
    </row>
    <row r="408" spans="20:31">
      <c r="T408" s="51"/>
      <c r="W408" s="50"/>
      <c r="AE408" s="51"/>
    </row>
    <row r="409" spans="20:31">
      <c r="T409" s="51"/>
      <c r="W409" s="50"/>
      <c r="AE409" s="51"/>
    </row>
    <row r="410" spans="20:31">
      <c r="T410" s="51"/>
      <c r="W410" s="50"/>
      <c r="AE410" s="51"/>
    </row>
    <row r="411" spans="20:31">
      <c r="T411" s="51"/>
      <c r="W411" s="50"/>
      <c r="AE411" s="51"/>
    </row>
    <row r="412" spans="20:31">
      <c r="T412" s="51"/>
      <c r="W412" s="50"/>
      <c r="AE412" s="51"/>
    </row>
    <row r="413" spans="20:31">
      <c r="T413" s="51"/>
      <c r="W413" s="50"/>
      <c r="AE413" s="51"/>
    </row>
    <row r="414" spans="20:31">
      <c r="T414" s="51"/>
      <c r="W414" s="50"/>
      <c r="AE414" s="51"/>
    </row>
    <row r="415" spans="20:31">
      <c r="T415" s="51"/>
      <c r="W415" s="50"/>
      <c r="AE415" s="51"/>
    </row>
    <row r="416" spans="20:31">
      <c r="T416" s="51"/>
      <c r="W416" s="50"/>
      <c r="AE416" s="51"/>
    </row>
    <row r="417" spans="20:31">
      <c r="T417" s="51"/>
      <c r="W417" s="50"/>
      <c r="AE417" s="51"/>
    </row>
    <row r="418" spans="20:31">
      <c r="T418" s="51"/>
      <c r="W418" s="50"/>
      <c r="AE418" s="51"/>
    </row>
    <row r="419" spans="20:31">
      <c r="T419" s="51"/>
      <c r="W419" s="50"/>
      <c r="AE419" s="51"/>
    </row>
    <row r="420" spans="20:31">
      <c r="T420" s="51"/>
      <c r="W420" s="50"/>
      <c r="AE420" s="51"/>
    </row>
    <row r="421" spans="20:31">
      <c r="T421" s="51"/>
      <c r="W421" s="50"/>
      <c r="AE421" s="51"/>
    </row>
    <row r="422" spans="20:31">
      <c r="T422" s="51"/>
      <c r="W422" s="50"/>
      <c r="AE422" s="51"/>
    </row>
    <row r="423" spans="20:31">
      <c r="T423" s="51"/>
      <c r="W423" s="50"/>
      <c r="AE423" s="51"/>
    </row>
    <row r="424" spans="20:31">
      <c r="T424" s="51"/>
      <c r="W424" s="50"/>
      <c r="AE424" s="51"/>
    </row>
    <row r="425" spans="20:31">
      <c r="T425" s="51"/>
      <c r="W425" s="50"/>
      <c r="AE425" s="51"/>
    </row>
    <row r="426" spans="20:31">
      <c r="T426" s="51"/>
      <c r="W426" s="50"/>
      <c r="AE426" s="51"/>
    </row>
    <row r="427" spans="20:31">
      <c r="T427" s="51"/>
      <c r="W427" s="50"/>
      <c r="AE427" s="51"/>
    </row>
    <row r="428" spans="20:31">
      <c r="T428" s="51"/>
      <c r="W428" s="50"/>
      <c r="AE428" s="51"/>
    </row>
    <row r="429" spans="20:31">
      <c r="T429" s="51"/>
      <c r="W429" s="50"/>
      <c r="AE429" s="51"/>
    </row>
    <row r="430" spans="20:31">
      <c r="T430" s="51"/>
      <c r="W430" s="50"/>
      <c r="AE430" s="51"/>
    </row>
    <row r="431" spans="20:31">
      <c r="T431" s="51"/>
      <c r="W431" s="50"/>
      <c r="AE431" s="51"/>
    </row>
    <row r="432" spans="20:31">
      <c r="T432" s="51"/>
      <c r="W432" s="50"/>
      <c r="AE432" s="51"/>
    </row>
    <row r="433" spans="20:31">
      <c r="T433" s="51"/>
      <c r="W433" s="50"/>
      <c r="AE433" s="51"/>
    </row>
    <row r="434" spans="20:31">
      <c r="T434" s="51"/>
      <c r="W434" s="50"/>
      <c r="AE434" s="51"/>
    </row>
    <row r="435" spans="20:31">
      <c r="T435" s="51"/>
      <c r="W435" s="50"/>
      <c r="AE435" s="51"/>
    </row>
    <row r="436" spans="20:31">
      <c r="T436" s="51"/>
      <c r="W436" s="50"/>
      <c r="AE436" s="51"/>
    </row>
    <row r="437" spans="20:31">
      <c r="T437" s="51"/>
      <c r="W437" s="50"/>
      <c r="AE437" s="51"/>
    </row>
    <row r="438" spans="20:31">
      <c r="T438" s="51"/>
      <c r="W438" s="50"/>
      <c r="AE438" s="51"/>
    </row>
    <row r="439" spans="20:31">
      <c r="T439" s="51"/>
      <c r="W439" s="50"/>
      <c r="AE439" s="51"/>
    </row>
    <row r="440" spans="20:31">
      <c r="T440" s="51"/>
      <c r="W440" s="50"/>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28575</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28575</xdr:colOff>
                    <xdr:row>5</xdr:row>
                    <xdr:rowOff>219075</xdr:rowOff>
                  </from>
                  <to>
                    <xdr:col>4</xdr:col>
                    <xdr:colOff>2724150</xdr:colOff>
                    <xdr:row>7</xdr:row>
                    <xdr:rowOff>161925</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28575</xdr:colOff>
                    <xdr:row>8</xdr:row>
                    <xdr:rowOff>47625</xdr:rowOff>
                  </from>
                  <to>
                    <xdr:col>5</xdr:col>
                    <xdr:colOff>1038225</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8"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9" name="Button 9">
              <controlPr defaultSize="0" print="0" autoFill="0" autoPict="0" macro="[0]!fill_Bladed_table">
                <anchor moveWithCells="1" sizeWithCells="1">
                  <from>
                    <xdr:col>18</xdr:col>
                    <xdr:colOff>57150</xdr:colOff>
                    <xdr:row>4</xdr:row>
                    <xdr:rowOff>85725</xdr:rowOff>
                  </from>
                  <to>
                    <xdr:col>20</xdr:col>
                    <xdr:colOff>1238250</xdr:colOff>
                    <xdr:row>9</xdr:row>
                    <xdr:rowOff>114300</xdr:rowOff>
                  </to>
                </anchor>
              </controlPr>
            </control>
          </mc:Choice>
        </mc:AlternateContent>
        <mc:AlternateContent xmlns:mc="http://schemas.openxmlformats.org/markup-compatibility/2006">
          <mc:Choice Requires="x14">
            <control shapeId="5130" r:id="rId10" name="Button 10">
              <controlPr defaultSize="0" print="0" autoFill="0" autoPict="0" macro="[0]!run_JBOOST">
                <anchor moveWithCells="1" sizeWithCells="1">
                  <from>
                    <xdr:col>40</xdr:col>
                    <xdr:colOff>47625</xdr:colOff>
                    <xdr:row>72</xdr:row>
                    <xdr:rowOff>219075</xdr:rowOff>
                  </from>
                  <to>
                    <xdr:col>40</xdr:col>
                    <xdr:colOff>2724150</xdr:colOff>
                    <xdr:row>75</xdr:row>
                    <xdr:rowOff>28575</xdr:rowOff>
                  </to>
                </anchor>
              </controlPr>
            </control>
          </mc:Choice>
        </mc:AlternateContent>
        <mc:AlternateContent xmlns:mc="http://schemas.openxmlformats.org/markup-compatibility/2006">
          <mc:Choice Requires="x14">
            <control shapeId="5131" r:id="rId11" name="Button 11">
              <controlPr defaultSize="0" print="0" autoFill="0" autoPict="0" macro="[0]!fill_JBOOST_auto_values">
                <anchor moveWithCells="1" sizeWithCells="1">
                  <from>
                    <xdr:col>40</xdr:col>
                    <xdr:colOff>0</xdr:colOff>
                    <xdr:row>24</xdr:row>
                    <xdr:rowOff>171450</xdr:rowOff>
                  </from>
                  <to>
                    <xdr:col>40</xdr:col>
                    <xdr:colOff>2695575</xdr:colOff>
                    <xdr:row>26</xdr:row>
                    <xdr:rowOff>171450</xdr:rowOff>
                  </to>
                </anchor>
              </controlPr>
            </control>
          </mc:Choice>
        </mc:AlternateContent>
        <mc:AlternateContent xmlns:mc="http://schemas.openxmlformats.org/markup-compatibility/2006">
          <mc:Choice Requires="x14">
            <control shapeId="5121" r:id="rId12" name="Button 1">
              <controlPr defaultSize="0" print="0" autoFill="0" autoPict="0" macro="[0]!select_JBOOST_out">
                <anchor moveWithCells="1" sizeWithCells="1">
                  <from>
                    <xdr:col>40</xdr:col>
                    <xdr:colOff>19050</xdr:colOff>
                    <xdr:row>4</xdr:row>
                    <xdr:rowOff>19050</xdr:rowOff>
                  </from>
                  <to>
                    <xdr:col>40</xdr:col>
                    <xdr:colOff>2724150</xdr:colOff>
                    <xdr:row>6</xdr:row>
                    <xdr:rowOff>0</xdr:rowOff>
                  </to>
                </anchor>
              </controlPr>
            </control>
          </mc:Choice>
        </mc:AlternateContent>
        <mc:AlternateContent xmlns:mc="http://schemas.openxmlformats.org/markup-compatibility/2006">
          <mc:Choice Requires="x14">
            <control shapeId="5122" r:id="rId13" name="Button 2">
              <controlPr defaultSize="0" print="0" autoFill="0" autoPict="0" macro="[0]!export_JBOOST">
                <anchor moveWithCells="1" sizeWithCells="1">
                  <from>
                    <xdr:col>40</xdr:col>
                    <xdr:colOff>19050</xdr:colOff>
                    <xdr:row>6</xdr:row>
                    <xdr:rowOff>19050</xdr:rowOff>
                  </from>
                  <to>
                    <xdr:col>40</xdr:col>
                    <xdr:colOff>2714625</xdr:colOff>
                    <xdr:row>7</xdr:row>
                    <xdr:rowOff>190500</xdr:rowOff>
                  </to>
                </anchor>
              </controlPr>
            </control>
          </mc:Choice>
        </mc:AlternateContent>
        <mc:AlternateContent xmlns:mc="http://schemas.openxmlformats.org/markup-compatibility/2006">
          <mc:Choice Requires="x14">
            <control shapeId="5127" r:id="rId14"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5" name="Button 18">
              <controlPr defaultSize="0" print="0" autoFill="0" autoPict="0" macro="[0]!export_run_JBOOST">
                <anchor moveWithCells="1" sizeWithCells="1">
                  <from>
                    <xdr:col>40</xdr:col>
                    <xdr:colOff>9525</xdr:colOff>
                    <xdr:row>8</xdr:row>
                    <xdr:rowOff>19050</xdr:rowOff>
                  </from>
                  <to>
                    <xdr:col>40</xdr:col>
                    <xdr:colOff>2714625</xdr:colOff>
                    <xdr:row>9</xdr:row>
                    <xdr:rowOff>190500</xdr:rowOff>
                  </to>
                </anchor>
              </controlPr>
            </control>
          </mc:Choice>
        </mc:AlternateContent>
      </controls>
    </mc:Choice>
  </mc:AlternateContent>
  <tableParts count="7">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HubHeight</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2025-09-22T14:32:20Z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