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B653819D-2C08-495D-9BCD-001A2CFDE251}" xr6:coauthVersionLast="47" xr6:coauthVersionMax="47" xr10:uidLastSave="{00000000-0000-0000-0000-000000000000}"/>
  <bookViews>
    <workbookView xWindow="-108" yWindow="-108" windowWidth="46296" windowHeight="25536" activeTab="2"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31" i="574" l="1"/>
  <c r="AF32" i="574"/>
  <c r="C64" i="18"/>
  <c r="D64" i="18"/>
  <c r="E64" i="18"/>
  <c r="F64" i="18"/>
  <c r="J64" i="18"/>
  <c r="R64" i="18"/>
  <c r="X64" i="18"/>
  <c r="Y64" i="18"/>
  <c r="Z64" i="18"/>
  <c r="AA64" i="18"/>
  <c r="AB64" i="18"/>
  <c r="AC64" i="18"/>
  <c r="C65" i="18"/>
  <c r="D65" i="18"/>
  <c r="AN64" i="18" s="1"/>
  <c r="E65" i="18"/>
  <c r="F65" i="18"/>
  <c r="J65" i="18"/>
  <c r="R65" i="18"/>
  <c r="X65" i="18"/>
  <c r="Y65" i="18"/>
  <c r="Z65" i="18"/>
  <c r="AA65" i="18"/>
  <c r="AB65" i="18"/>
  <c r="AF65" i="18" s="1"/>
  <c r="AC65" i="18"/>
  <c r="C66" i="18"/>
  <c r="D66" i="18"/>
  <c r="I66" i="18" s="1"/>
  <c r="E66" i="18"/>
  <c r="Z66" i="18" s="1"/>
  <c r="F66" i="18"/>
  <c r="R66" i="18"/>
  <c r="J66" i="18" s="1"/>
  <c r="X66" i="18"/>
  <c r="Y66" i="18"/>
  <c r="AA66" i="18"/>
  <c r="AB66" i="18"/>
  <c r="AC66" i="18"/>
  <c r="C67" i="18"/>
  <c r="D67" i="18"/>
  <c r="AN66" i="18" s="1"/>
  <c r="E67" i="18"/>
  <c r="Z67" i="18" s="1"/>
  <c r="F67" i="18"/>
  <c r="R67" i="18"/>
  <c r="J67" i="18" s="1"/>
  <c r="X67" i="18"/>
  <c r="Y67" i="18"/>
  <c r="AC67" i="18"/>
  <c r="AB67" i="18" s="1"/>
  <c r="C68" i="18"/>
  <c r="D68" i="18"/>
  <c r="E68" i="18"/>
  <c r="Z68" i="18" s="1"/>
  <c r="F68" i="18"/>
  <c r="R68" i="18"/>
  <c r="J68" i="18" s="1"/>
  <c r="X68" i="18"/>
  <c r="Y68" i="18"/>
  <c r="C69" i="18"/>
  <c r="D69" i="18"/>
  <c r="AN68" i="18" s="1"/>
  <c r="E69" i="18"/>
  <c r="Z69" i="18" s="1"/>
  <c r="F69" i="18"/>
  <c r="AC69" i="18" s="1"/>
  <c r="R69" i="18"/>
  <c r="J69" i="18" s="1"/>
  <c r="X69" i="18"/>
  <c r="Y69" i="18"/>
  <c r="C70" i="18"/>
  <c r="D70" i="18"/>
  <c r="E70" i="18"/>
  <c r="Z70" i="18" s="1"/>
  <c r="F70" i="18"/>
  <c r="R70" i="18"/>
  <c r="J70" i="18" s="1"/>
  <c r="X70" i="18"/>
  <c r="Y70" i="18"/>
  <c r="AN70" i="18"/>
  <c r="AO70" i="18"/>
  <c r="C71" i="18"/>
  <c r="D71" i="18"/>
  <c r="E71" i="18"/>
  <c r="AA71" i="18" s="1"/>
  <c r="F71" i="18"/>
  <c r="AC71" i="18" s="1"/>
  <c r="R71" i="18"/>
  <c r="J71" i="18" s="1"/>
  <c r="X71" i="18"/>
  <c r="Y71" i="18"/>
  <c r="Z71" i="18"/>
  <c r="AN71" i="18"/>
  <c r="AO71" i="18" s="1"/>
  <c r="C72" i="18"/>
  <c r="D72" i="18"/>
  <c r="E72" i="18"/>
  <c r="Z72" i="18" s="1"/>
  <c r="F72" i="18"/>
  <c r="AC72" i="18" s="1"/>
  <c r="J72" i="18"/>
  <c r="R72" i="18"/>
  <c r="X72" i="18"/>
  <c r="Y72" i="18"/>
  <c r="AN72" i="18"/>
  <c r="C73" i="18"/>
  <c r="D73" i="18"/>
  <c r="E73" i="18"/>
  <c r="F73" i="18"/>
  <c r="AC73" i="18" s="1"/>
  <c r="R73" i="18"/>
  <c r="J73" i="18" s="1"/>
  <c r="X73" i="18"/>
  <c r="Y73" i="18"/>
  <c r="AN73" i="18"/>
  <c r="AO73" i="18" s="1"/>
  <c r="AS73" i="18" s="1"/>
  <c r="C74" i="18"/>
  <c r="D74" i="18"/>
  <c r="E74" i="18"/>
  <c r="Z74" i="18" s="1"/>
  <c r="F74" i="18"/>
  <c r="AC74" i="18" s="1"/>
  <c r="J74" i="18"/>
  <c r="R74" i="18"/>
  <c r="X74" i="18"/>
  <c r="Y74" i="18"/>
  <c r="AA74" i="18"/>
  <c r="AN74" i="18"/>
  <c r="AT74" i="18" s="1"/>
  <c r="C75" i="18"/>
  <c r="D75" i="18"/>
  <c r="E75" i="18"/>
  <c r="R75" i="18"/>
  <c r="X75" i="18"/>
  <c r="Y75" i="18"/>
  <c r="AN75" i="18"/>
  <c r="AO75" i="18" s="1"/>
  <c r="AS75" i="18" s="1"/>
  <c r="AR75" i="18"/>
  <c r="C76" i="18"/>
  <c r="D76" i="18"/>
  <c r="E76" i="18"/>
  <c r="Z76" i="18" s="1"/>
  <c r="F76" i="18"/>
  <c r="I76" i="18"/>
  <c r="J76" i="18"/>
  <c r="R76" i="18"/>
  <c r="X76" i="18"/>
  <c r="Y76" i="18"/>
  <c r="AA76" i="18"/>
  <c r="AC76" i="18"/>
  <c r="AN76" i="18"/>
  <c r="AO76" i="18" s="1"/>
  <c r="AS76" i="18" s="1"/>
  <c r="C77" i="18"/>
  <c r="D77" i="18"/>
  <c r="E77" i="18"/>
  <c r="F77" i="18"/>
  <c r="J77" i="18" s="1"/>
  <c r="I77" i="18"/>
  <c r="R77" i="18"/>
  <c r="X77" i="18"/>
  <c r="Z77" i="18" s="1"/>
  <c r="Y77" i="18"/>
  <c r="AA77" i="18" s="1"/>
  <c r="AN77" i="18"/>
  <c r="AO77" i="18" s="1"/>
  <c r="AS77" i="18" s="1"/>
  <c r="AR77" i="18"/>
  <c r="AT77" i="18"/>
  <c r="C78" i="18"/>
  <c r="D78" i="18"/>
  <c r="E78" i="18"/>
  <c r="F78" i="18"/>
  <c r="I78" i="18"/>
  <c r="J78" i="18"/>
  <c r="R78" i="18"/>
  <c r="X78" i="18"/>
  <c r="AB78" i="18" s="1"/>
  <c r="Y78" i="18"/>
  <c r="Z78" i="18" s="1"/>
  <c r="AC78" i="18"/>
  <c r="AN78" i="18"/>
  <c r="AR78" i="18"/>
  <c r="AW78" i="18" s="1"/>
  <c r="AT78" i="18"/>
  <c r="C79" i="18"/>
  <c r="D79" i="18"/>
  <c r="E79" i="18"/>
  <c r="F79" i="18"/>
  <c r="I79" i="18"/>
  <c r="J79" i="18"/>
  <c r="R79" i="18"/>
  <c r="X79" i="18"/>
  <c r="Y79" i="18"/>
  <c r="Z79" i="18"/>
  <c r="AA79" i="18"/>
  <c r="AC79" i="18"/>
  <c r="AN79" i="18"/>
  <c r="AR79" i="18"/>
  <c r="AW79" i="18" s="1"/>
  <c r="AT79" i="18"/>
  <c r="AV79" i="18" s="1"/>
  <c r="C80" i="18"/>
  <c r="D80" i="18"/>
  <c r="E80" i="18"/>
  <c r="F80" i="18"/>
  <c r="I80" i="18"/>
  <c r="R80" i="18"/>
  <c r="J80" i="18" s="1"/>
  <c r="X80" i="18"/>
  <c r="Y80" i="18"/>
  <c r="Z80" i="18"/>
  <c r="AA80" i="18"/>
  <c r="AC80" i="18"/>
  <c r="AB80" i="18" s="1"/>
  <c r="AN80" i="18"/>
  <c r="AO80" i="18"/>
  <c r="AR80" i="18"/>
  <c r="AW80" i="18" s="1"/>
  <c r="AS80" i="18"/>
  <c r="AT80" i="18"/>
  <c r="C81" i="18"/>
  <c r="D81" i="18"/>
  <c r="E81" i="18"/>
  <c r="F81" i="18"/>
  <c r="I81" i="18"/>
  <c r="J81" i="18"/>
  <c r="R81" i="18"/>
  <c r="X81" i="18"/>
  <c r="Y81" i="18"/>
  <c r="Z81" i="18"/>
  <c r="AA81" i="18"/>
  <c r="AC81" i="18"/>
  <c r="AN81" i="18"/>
  <c r="AO81" i="18" s="1"/>
  <c r="AS81" i="18" s="1"/>
  <c r="AR81" i="18"/>
  <c r="AW81" i="18" s="1"/>
  <c r="AT81" i="18"/>
  <c r="C82" i="18"/>
  <c r="D82" i="18"/>
  <c r="E82" i="18"/>
  <c r="Z82" i="18" s="1"/>
  <c r="F82" i="18"/>
  <c r="I82" i="18"/>
  <c r="R82" i="18"/>
  <c r="J82" i="18" s="1"/>
  <c r="X82" i="18"/>
  <c r="Y82" i="18"/>
  <c r="AA82" i="18"/>
  <c r="AC82" i="18"/>
  <c r="AB82" i="18" s="1"/>
  <c r="C83" i="18"/>
  <c r="D83" i="18"/>
  <c r="I83" i="18" s="1"/>
  <c r="E83" i="18"/>
  <c r="F83" i="18"/>
  <c r="R83" i="18"/>
  <c r="J83" i="18" s="1"/>
  <c r="X83" i="18"/>
  <c r="Y83" i="18"/>
  <c r="AC83" i="18"/>
  <c r="C84" i="18"/>
  <c r="E84" i="18"/>
  <c r="Z84" i="18" s="1"/>
  <c r="F84" i="18"/>
  <c r="R84" i="18"/>
  <c r="J84" i="18" s="1"/>
  <c r="X84" i="18"/>
  <c r="Y84" i="18"/>
  <c r="AA84" i="18"/>
  <c r="AC84" i="18"/>
  <c r="C85" i="18"/>
  <c r="D85" i="18"/>
  <c r="I85" i="18" s="1"/>
  <c r="E85" i="18"/>
  <c r="F85" i="18"/>
  <c r="R85" i="18"/>
  <c r="J85" i="18" s="1"/>
  <c r="AN85" i="18"/>
  <c r="AO85" i="18" s="1"/>
  <c r="AS85" i="18" s="1"/>
  <c r="AN63" i="18"/>
  <c r="C36" i="18"/>
  <c r="D36" i="18"/>
  <c r="E36" i="18"/>
  <c r="F36" i="18"/>
  <c r="R36" i="18"/>
  <c r="J36" i="18" s="1"/>
  <c r="X36" i="18"/>
  <c r="Y36" i="18"/>
  <c r="AA36" i="18"/>
  <c r="AC36" i="18"/>
  <c r="AN36" i="18"/>
  <c r="AO36" i="18"/>
  <c r="AR36" i="18"/>
  <c r="AS36" i="18"/>
  <c r="AT36" i="18"/>
  <c r="C37" i="18"/>
  <c r="D37" i="18"/>
  <c r="AN38" i="18" s="1"/>
  <c r="E37" i="18"/>
  <c r="F37" i="18"/>
  <c r="R37" i="18"/>
  <c r="J37" i="18" s="1"/>
  <c r="AN37" i="18"/>
  <c r="AO37" i="18"/>
  <c r="AR37" i="18"/>
  <c r="AS37" i="18"/>
  <c r="AT37" i="18"/>
  <c r="C38" i="18"/>
  <c r="D38" i="18"/>
  <c r="E38" i="18"/>
  <c r="F38" i="18"/>
  <c r="R38" i="18"/>
  <c r="J38" i="18" s="1"/>
  <c r="C39" i="18"/>
  <c r="D39" i="18"/>
  <c r="AN40" i="18" s="1"/>
  <c r="E39" i="18"/>
  <c r="F39" i="18"/>
  <c r="R39" i="18"/>
  <c r="J39" i="18" s="1"/>
  <c r="C40" i="18"/>
  <c r="D40" i="18"/>
  <c r="E40" i="18"/>
  <c r="F40" i="18"/>
  <c r="R40" i="18"/>
  <c r="J40" i="18" s="1"/>
  <c r="C41" i="18"/>
  <c r="D41" i="18"/>
  <c r="Y41" i="18" s="1"/>
  <c r="E41" i="18"/>
  <c r="Z41" i="18" s="1"/>
  <c r="F41" i="18"/>
  <c r="AC41" i="18" s="1"/>
  <c r="R41" i="18"/>
  <c r="J41" i="18" s="1"/>
  <c r="X41" i="18"/>
  <c r="C42" i="18"/>
  <c r="D42" i="18"/>
  <c r="E42" i="18"/>
  <c r="F42" i="18"/>
  <c r="R42" i="18"/>
  <c r="J42" i="18" s="1"/>
  <c r="AN42" i="18"/>
  <c r="C43" i="18"/>
  <c r="D43" i="18"/>
  <c r="E43" i="18"/>
  <c r="AA43" i="18" s="1"/>
  <c r="F43" i="18"/>
  <c r="AC43" i="18" s="1"/>
  <c r="J43" i="18"/>
  <c r="R43" i="18"/>
  <c r="X43" i="18"/>
  <c r="Y43" i="18"/>
  <c r="C44" i="18"/>
  <c r="D44" i="18"/>
  <c r="E44" i="18"/>
  <c r="F44" i="18"/>
  <c r="J44" i="18"/>
  <c r="R44" i="18"/>
  <c r="AN44" i="18"/>
  <c r="AO44" i="18"/>
  <c r="C45" i="18"/>
  <c r="D45" i="18"/>
  <c r="E45" i="18"/>
  <c r="F45" i="18"/>
  <c r="AC45" i="18" s="1"/>
  <c r="J45" i="18"/>
  <c r="R45" i="18"/>
  <c r="X45" i="18"/>
  <c r="Y45" i="18"/>
  <c r="AA45" i="18"/>
  <c r="C46" i="18"/>
  <c r="D46" i="18"/>
  <c r="E46" i="18"/>
  <c r="F46" i="18"/>
  <c r="J46" i="18"/>
  <c r="R46" i="18"/>
  <c r="AN46" i="18"/>
  <c r="AT46" i="18" s="1"/>
  <c r="AR46" i="18"/>
  <c r="C47" i="18"/>
  <c r="D47" i="18"/>
  <c r="E47" i="18"/>
  <c r="R47" i="18"/>
  <c r="X47" i="18"/>
  <c r="Y47" i="18"/>
  <c r="C48" i="18"/>
  <c r="D48" i="18"/>
  <c r="E48" i="18"/>
  <c r="F48" i="18"/>
  <c r="J48" i="18"/>
  <c r="R48" i="18"/>
  <c r="X48" i="18"/>
  <c r="AN48" i="18"/>
  <c r="AO48" i="18"/>
  <c r="AR48" i="18"/>
  <c r="AS48" i="18"/>
  <c r="AT48" i="18"/>
  <c r="AV48" i="18" s="1"/>
  <c r="C49" i="18"/>
  <c r="D49" i="18"/>
  <c r="E49" i="18"/>
  <c r="F49" i="18"/>
  <c r="I49" i="18"/>
  <c r="R49" i="18"/>
  <c r="J49" i="18" s="1"/>
  <c r="X49" i="18"/>
  <c r="Y49" i="18"/>
  <c r="AA49" i="18"/>
  <c r="AB49" i="18"/>
  <c r="AC49" i="18"/>
  <c r="AN49" i="18"/>
  <c r="AO49" i="18"/>
  <c r="AR49" i="18"/>
  <c r="AS49" i="18"/>
  <c r="AT49" i="18"/>
  <c r="AV49" i="18" s="1"/>
  <c r="C50" i="18"/>
  <c r="D50" i="18"/>
  <c r="E50" i="18"/>
  <c r="F50" i="18"/>
  <c r="I50" i="18"/>
  <c r="J50" i="18"/>
  <c r="R50" i="18"/>
  <c r="Y50" i="18"/>
  <c r="AN50" i="18"/>
  <c r="AO50" i="18"/>
  <c r="AR50" i="18"/>
  <c r="AS50" i="18"/>
  <c r="AT50" i="18"/>
  <c r="AV50" i="18"/>
  <c r="C51" i="18"/>
  <c r="D51" i="18"/>
  <c r="E51" i="18"/>
  <c r="F51" i="18"/>
  <c r="I51" i="18"/>
  <c r="R51" i="18"/>
  <c r="J51" i="18" s="1"/>
  <c r="X51" i="18"/>
  <c r="Y51" i="18"/>
  <c r="Z51" i="18"/>
  <c r="AA51" i="18"/>
  <c r="AC51" i="18"/>
  <c r="AB51" i="18" s="1"/>
  <c r="C52" i="18"/>
  <c r="D52" i="18"/>
  <c r="AN53" i="18" s="1"/>
  <c r="E52" i="18"/>
  <c r="F52" i="18"/>
  <c r="I52" i="18"/>
  <c r="J52" i="18"/>
  <c r="R52" i="18"/>
  <c r="AN52" i="18"/>
  <c r="AO52" i="18"/>
  <c r="AR52" i="18"/>
  <c r="AS52" i="18"/>
  <c r="AT52" i="18"/>
  <c r="C53" i="18"/>
  <c r="D53" i="18"/>
  <c r="E53" i="18"/>
  <c r="F53" i="18"/>
  <c r="I53" i="18"/>
  <c r="R53" i="18"/>
  <c r="J53" i="18" s="1"/>
  <c r="X53" i="18"/>
  <c r="Y53" i="18"/>
  <c r="Z53" i="18"/>
  <c r="AB53" i="18"/>
  <c r="AC53" i="18"/>
  <c r="C54" i="18"/>
  <c r="D54" i="18"/>
  <c r="AN55" i="18" s="1"/>
  <c r="E54" i="18"/>
  <c r="F54" i="18"/>
  <c r="I54" i="18"/>
  <c r="R54" i="18"/>
  <c r="J54" i="18" s="1"/>
  <c r="AN54" i="18"/>
  <c r="AO54" i="18" s="1"/>
  <c r="AS54" i="18" s="1"/>
  <c r="AT54" i="18"/>
  <c r="C55" i="18"/>
  <c r="D55" i="18"/>
  <c r="I55" i="18" s="1"/>
  <c r="E55" i="18"/>
  <c r="F55" i="18"/>
  <c r="R55" i="18"/>
  <c r="J55" i="18" s="1"/>
  <c r="C56" i="18"/>
  <c r="D56" i="18"/>
  <c r="X56" i="18" s="1"/>
  <c r="E56" i="18"/>
  <c r="F56" i="18"/>
  <c r="I56" i="18"/>
  <c r="R56" i="18"/>
  <c r="J56" i="18" s="1"/>
  <c r="C57" i="18"/>
  <c r="E57" i="18"/>
  <c r="F57" i="18"/>
  <c r="R57" i="18"/>
  <c r="J57" i="18" s="1"/>
  <c r="D7" i="18"/>
  <c r="E7" i="18"/>
  <c r="F7" i="18"/>
  <c r="G7" i="18"/>
  <c r="H7" i="18"/>
  <c r="I7" i="18"/>
  <c r="J7" i="18" s="1"/>
  <c r="K7" i="18" s="1"/>
  <c r="D8" i="18"/>
  <c r="I8" i="18" s="1"/>
  <c r="J8" i="18" s="1"/>
  <c r="K8" i="18" s="1"/>
  <c r="E8" i="18"/>
  <c r="F8" i="18"/>
  <c r="G8" i="18"/>
  <c r="H8" i="18"/>
  <c r="D9" i="18"/>
  <c r="E9" i="18"/>
  <c r="F9" i="18"/>
  <c r="G9" i="18"/>
  <c r="H9" i="18"/>
  <c r="I9" i="18"/>
  <c r="J9" i="18" s="1"/>
  <c r="K9" i="18" s="1"/>
  <c r="D10" i="18"/>
  <c r="I10" i="18" s="1"/>
  <c r="E10" i="18"/>
  <c r="F10" i="18"/>
  <c r="G10" i="18"/>
  <c r="J10" i="18" s="1"/>
  <c r="K10" i="18" s="1"/>
  <c r="H10" i="18"/>
  <c r="D11" i="18"/>
  <c r="E11" i="18"/>
  <c r="F11" i="18"/>
  <c r="G11" i="18"/>
  <c r="H11" i="18"/>
  <c r="I11" i="18"/>
  <c r="J11" i="18" s="1"/>
  <c r="K11" i="18" s="1"/>
  <c r="D12" i="18"/>
  <c r="E12" i="18"/>
  <c r="F12" i="18"/>
  <c r="G12" i="18"/>
  <c r="H12" i="18"/>
  <c r="I12" i="18"/>
  <c r="J12" i="18" s="1"/>
  <c r="K12" i="18" s="1"/>
  <c r="D13" i="18"/>
  <c r="E13" i="18"/>
  <c r="F13" i="18"/>
  <c r="G13" i="18"/>
  <c r="H13" i="18"/>
  <c r="I13" i="18"/>
  <c r="J13" i="18" s="1"/>
  <c r="K13" i="18" s="1"/>
  <c r="D14" i="18"/>
  <c r="E14" i="18"/>
  <c r="F14" i="18"/>
  <c r="G14" i="18"/>
  <c r="H14" i="18"/>
  <c r="I14" i="18"/>
  <c r="J14" i="18" s="1"/>
  <c r="K14" i="18" s="1"/>
  <c r="D15" i="18"/>
  <c r="I15" i="18" s="1"/>
  <c r="E15" i="18"/>
  <c r="F15" i="18"/>
  <c r="J15" i="18" s="1"/>
  <c r="K15" i="18" s="1"/>
  <c r="G15" i="18"/>
  <c r="H15" i="18"/>
  <c r="D16" i="18"/>
  <c r="E16" i="18"/>
  <c r="F16" i="18"/>
  <c r="G16" i="18"/>
  <c r="H16" i="18"/>
  <c r="I16" i="18"/>
  <c r="J16" i="18"/>
  <c r="D17" i="18"/>
  <c r="E17" i="18"/>
  <c r="F17" i="18"/>
  <c r="G17" i="18"/>
  <c r="H17" i="18"/>
  <c r="I17" i="18"/>
  <c r="D18" i="18"/>
  <c r="E18" i="18"/>
  <c r="F18" i="18"/>
  <c r="G18" i="18"/>
  <c r="H18" i="18"/>
  <c r="F47" i="18" s="1"/>
  <c r="I18" i="18"/>
  <c r="J18" i="18" s="1"/>
  <c r="D19" i="18"/>
  <c r="E19" i="18"/>
  <c r="F19" i="18"/>
  <c r="G19" i="18"/>
  <c r="H19" i="18"/>
  <c r="I19" i="18"/>
  <c r="J19" i="18" s="1"/>
  <c r="D20" i="18"/>
  <c r="I20" i="18" s="1"/>
  <c r="E20" i="18"/>
  <c r="F20" i="18"/>
  <c r="J20" i="18" s="1"/>
  <c r="K20" i="18" s="1"/>
  <c r="G20" i="18"/>
  <c r="H20" i="18"/>
  <c r="D21" i="18"/>
  <c r="E21" i="18"/>
  <c r="F21" i="18"/>
  <c r="G21" i="18"/>
  <c r="H21" i="18"/>
  <c r="I21" i="18"/>
  <c r="J21" i="18" s="1"/>
  <c r="D22" i="18"/>
  <c r="E22" i="18"/>
  <c r="F22" i="18"/>
  <c r="G22" i="18"/>
  <c r="H22" i="18"/>
  <c r="I22" i="18"/>
  <c r="J22" i="18" s="1"/>
  <c r="D23" i="18"/>
  <c r="E23" i="18"/>
  <c r="F23" i="18"/>
  <c r="G23" i="18"/>
  <c r="H23" i="18"/>
  <c r="I23" i="18"/>
  <c r="J23" i="18" s="1"/>
  <c r="K23" i="18" s="1"/>
  <c r="D24" i="18"/>
  <c r="E24" i="18"/>
  <c r="F24" i="18"/>
  <c r="G24" i="18"/>
  <c r="H24" i="18"/>
  <c r="I24" i="18"/>
  <c r="J24" i="18" s="1"/>
  <c r="K24" i="18" s="1"/>
  <c r="D25" i="18"/>
  <c r="I25" i="18" s="1"/>
  <c r="J25" i="18" s="1"/>
  <c r="K25" i="18" s="1"/>
  <c r="E25" i="18"/>
  <c r="F25" i="18"/>
  <c r="G25" i="18"/>
  <c r="H25" i="18"/>
  <c r="D26" i="18"/>
  <c r="E26" i="18"/>
  <c r="F26" i="18"/>
  <c r="G26" i="18"/>
  <c r="H26" i="18"/>
  <c r="I26" i="18"/>
  <c r="J26" i="18" s="1"/>
  <c r="K26" i="18" s="1"/>
  <c r="D27" i="18"/>
  <c r="F27" i="18"/>
  <c r="G27" i="18"/>
  <c r="H27" i="18"/>
  <c r="E28" i="18"/>
  <c r="F28" i="18"/>
  <c r="G28" i="18"/>
  <c r="H28" i="18"/>
  <c r="E6" i="18"/>
  <c r="F6" i="18"/>
  <c r="G6" i="18"/>
  <c r="H6" i="18"/>
  <c r="D6" i="18"/>
  <c r="C157" i="19"/>
  <c r="D157" i="19"/>
  <c r="K157" i="19"/>
  <c r="M157" i="19" s="1"/>
  <c r="L157" i="19"/>
  <c r="O157" i="19"/>
  <c r="P157" i="19"/>
  <c r="Q157" i="19"/>
  <c r="R157" i="19"/>
  <c r="S157" i="19"/>
  <c r="X157" i="19"/>
  <c r="Y157" i="19"/>
  <c r="Z157" i="19"/>
  <c r="AA157" i="19"/>
  <c r="AG157" i="19"/>
  <c r="AH157" i="19"/>
  <c r="AI157" i="19"/>
  <c r="C158" i="19"/>
  <c r="D158" i="19"/>
  <c r="K158" i="19"/>
  <c r="L158" i="19"/>
  <c r="N158" i="19" s="1"/>
  <c r="O158" i="19"/>
  <c r="P158" i="19"/>
  <c r="Q158" i="19"/>
  <c r="R158" i="19"/>
  <c r="T158" i="19"/>
  <c r="Z158" i="19"/>
  <c r="AH158" i="19"/>
  <c r="AI158" i="19"/>
  <c r="C159" i="19"/>
  <c r="D159" i="19"/>
  <c r="K159" i="19"/>
  <c r="L159" i="19"/>
  <c r="N159" i="19"/>
  <c r="O159" i="19"/>
  <c r="P159" i="19"/>
  <c r="Q159" i="19"/>
  <c r="R159" i="19"/>
  <c r="T159" i="19"/>
  <c r="AH159" i="19"/>
  <c r="AI159" i="19"/>
  <c r="C160" i="19"/>
  <c r="D160" i="19"/>
  <c r="K160" i="19"/>
  <c r="L160" i="19"/>
  <c r="N160" i="19"/>
  <c r="O160" i="19"/>
  <c r="P160" i="19"/>
  <c r="Q160" i="19"/>
  <c r="R160" i="19"/>
  <c r="T160" i="19"/>
  <c r="AA160" i="19"/>
  <c r="AH160" i="19"/>
  <c r="AI160" i="19"/>
  <c r="C161" i="19"/>
  <c r="K161" i="19"/>
  <c r="L161" i="19"/>
  <c r="N161" i="19"/>
  <c r="O161" i="19"/>
  <c r="P161" i="19"/>
  <c r="Q161" i="19"/>
  <c r="R161" i="19"/>
  <c r="T161" i="19"/>
  <c r="AH161" i="19"/>
  <c r="AI161" i="19"/>
  <c r="C162" i="19"/>
  <c r="K162" i="19"/>
  <c r="L162" i="19"/>
  <c r="N162" i="19" s="1"/>
  <c r="AH162" i="19"/>
  <c r="AI162" i="19"/>
  <c r="Y156" i="19"/>
  <c r="X156" i="19"/>
  <c r="C145" i="19"/>
  <c r="D145" i="19"/>
  <c r="G145" i="19"/>
  <c r="H145" i="19"/>
  <c r="I145" i="19"/>
  <c r="C146" i="19"/>
  <c r="D146" i="19"/>
  <c r="G146" i="19"/>
  <c r="H146" i="19"/>
  <c r="I146" i="19"/>
  <c r="C147" i="19"/>
  <c r="D147" i="19"/>
  <c r="G147" i="19"/>
  <c r="H147" i="19"/>
  <c r="I147" i="19"/>
  <c r="C148" i="19"/>
  <c r="D148" i="19"/>
  <c r="G148" i="19"/>
  <c r="H148" i="19"/>
  <c r="I148" i="19"/>
  <c r="C149" i="19"/>
  <c r="D149" i="19"/>
  <c r="D161" i="19" s="1"/>
  <c r="G149" i="19"/>
  <c r="H149" i="19"/>
  <c r="I149" i="19"/>
  <c r="C150" i="19"/>
  <c r="D150" i="19"/>
  <c r="D162" i="19" s="1"/>
  <c r="X162" i="19" s="1"/>
  <c r="G150" i="19"/>
  <c r="H150" i="19"/>
  <c r="I150" i="19"/>
  <c r="I144" i="19"/>
  <c r="H144" i="19"/>
  <c r="G144" i="19"/>
  <c r="D144" i="19"/>
  <c r="C144" i="19"/>
  <c r="O117" i="19"/>
  <c r="P117" i="19"/>
  <c r="Q117" i="19"/>
  <c r="R117" i="19"/>
  <c r="AJ117" i="19"/>
  <c r="AK117" i="19"/>
  <c r="O118" i="19"/>
  <c r="P118" i="19"/>
  <c r="Q118" i="19"/>
  <c r="R118" i="19"/>
  <c r="AJ118" i="19"/>
  <c r="AK118" i="19"/>
  <c r="O119" i="19"/>
  <c r="P119" i="19"/>
  <c r="Q119" i="19"/>
  <c r="R119" i="19"/>
  <c r="AJ119" i="19"/>
  <c r="AK119" i="19"/>
  <c r="O120" i="19"/>
  <c r="P120" i="19"/>
  <c r="Q120" i="19"/>
  <c r="R120" i="19"/>
  <c r="AJ120" i="19"/>
  <c r="AK120" i="19"/>
  <c r="O121" i="19"/>
  <c r="P121" i="19"/>
  <c r="Q121" i="19"/>
  <c r="R121" i="19"/>
  <c r="AJ121" i="19"/>
  <c r="AK121" i="19"/>
  <c r="D122" i="19"/>
  <c r="O122" i="19"/>
  <c r="P122" i="19"/>
  <c r="Q122" i="19"/>
  <c r="R122" i="19"/>
  <c r="AJ122" i="19"/>
  <c r="AK122" i="19"/>
  <c r="D123" i="19"/>
  <c r="O123" i="19"/>
  <c r="P123" i="19"/>
  <c r="Q123" i="19"/>
  <c r="R123" i="19"/>
  <c r="AJ123" i="19"/>
  <c r="AK123" i="19"/>
  <c r="O124" i="19"/>
  <c r="P124" i="19"/>
  <c r="Q124" i="19"/>
  <c r="R124" i="19"/>
  <c r="AJ124" i="19"/>
  <c r="AK124" i="19"/>
  <c r="O125" i="19"/>
  <c r="P125" i="19"/>
  <c r="Q125" i="19"/>
  <c r="R125" i="19"/>
  <c r="AJ125" i="19"/>
  <c r="AK125" i="19"/>
  <c r="O126" i="19"/>
  <c r="P126" i="19"/>
  <c r="Q126" i="19"/>
  <c r="R126" i="19"/>
  <c r="AJ126" i="19"/>
  <c r="AK126" i="19"/>
  <c r="O127" i="19"/>
  <c r="P127" i="19"/>
  <c r="Q127" i="19"/>
  <c r="R127" i="19"/>
  <c r="AJ127" i="19"/>
  <c r="AK127" i="19"/>
  <c r="O128" i="19"/>
  <c r="P128" i="19"/>
  <c r="Q128" i="19"/>
  <c r="R128" i="19"/>
  <c r="AJ128" i="19"/>
  <c r="AK128" i="19"/>
  <c r="O129" i="19"/>
  <c r="P129" i="19"/>
  <c r="Q129" i="19"/>
  <c r="R129" i="19"/>
  <c r="AJ129" i="19"/>
  <c r="AK129" i="19"/>
  <c r="O130" i="19"/>
  <c r="P130" i="19"/>
  <c r="Q130" i="19"/>
  <c r="R130" i="19"/>
  <c r="AJ130" i="19"/>
  <c r="AK130" i="19"/>
  <c r="O131" i="19"/>
  <c r="P131" i="19"/>
  <c r="Q131" i="19"/>
  <c r="R131" i="19"/>
  <c r="AJ131" i="19"/>
  <c r="AK131" i="19"/>
  <c r="O132" i="19"/>
  <c r="P132" i="19"/>
  <c r="Q132" i="19"/>
  <c r="R132" i="19"/>
  <c r="AJ132" i="19"/>
  <c r="AK132" i="19"/>
  <c r="O133" i="19"/>
  <c r="P133" i="19"/>
  <c r="Q133" i="19"/>
  <c r="R133" i="19"/>
  <c r="AJ133" i="19"/>
  <c r="AK133" i="19"/>
  <c r="O134" i="19"/>
  <c r="P134" i="19"/>
  <c r="Q134" i="19"/>
  <c r="R134" i="19"/>
  <c r="AJ134" i="19"/>
  <c r="AK134" i="19"/>
  <c r="O135" i="19"/>
  <c r="P135" i="19"/>
  <c r="Q135" i="19"/>
  <c r="R135" i="19"/>
  <c r="AJ135" i="19"/>
  <c r="AK135" i="19"/>
  <c r="O136" i="19"/>
  <c r="P136" i="19"/>
  <c r="Q136" i="19"/>
  <c r="R136" i="19"/>
  <c r="AJ136" i="19"/>
  <c r="AK136" i="19"/>
  <c r="O137" i="19"/>
  <c r="P137" i="19"/>
  <c r="Q137" i="19"/>
  <c r="R137" i="19"/>
  <c r="AJ137" i="19"/>
  <c r="AK137" i="19"/>
  <c r="O90" i="19"/>
  <c r="P90" i="19"/>
  <c r="Q90" i="19"/>
  <c r="R90" i="19"/>
  <c r="AJ90" i="19"/>
  <c r="AK90" i="19"/>
  <c r="O91" i="19"/>
  <c r="P91" i="19"/>
  <c r="Q91" i="19"/>
  <c r="R91" i="19"/>
  <c r="AJ91" i="19"/>
  <c r="AK91" i="19"/>
  <c r="O92" i="19"/>
  <c r="P92" i="19"/>
  <c r="Q92" i="19"/>
  <c r="R92" i="19"/>
  <c r="AJ92" i="19"/>
  <c r="AK92" i="19"/>
  <c r="O93" i="19"/>
  <c r="P93" i="19"/>
  <c r="Q93" i="19"/>
  <c r="R93" i="19"/>
  <c r="AJ93" i="19"/>
  <c r="AK93" i="19"/>
  <c r="O94" i="19"/>
  <c r="P94" i="19"/>
  <c r="Q94" i="19"/>
  <c r="R94" i="19"/>
  <c r="AJ94" i="19"/>
  <c r="AK94" i="19"/>
  <c r="O95" i="19"/>
  <c r="P95" i="19"/>
  <c r="Q95" i="19"/>
  <c r="R95" i="19"/>
  <c r="AJ95" i="19"/>
  <c r="AK95" i="19"/>
  <c r="O96" i="19"/>
  <c r="P96" i="19"/>
  <c r="Q96" i="19"/>
  <c r="R96" i="19"/>
  <c r="AJ96" i="19"/>
  <c r="AK96" i="19"/>
  <c r="O97" i="19"/>
  <c r="P97" i="19"/>
  <c r="Q97" i="19"/>
  <c r="R97" i="19"/>
  <c r="AD97" i="19"/>
  <c r="AJ97" i="19"/>
  <c r="AK97" i="19"/>
  <c r="O98" i="19"/>
  <c r="P98" i="19"/>
  <c r="Q98" i="19"/>
  <c r="R98" i="19"/>
  <c r="AJ98" i="19"/>
  <c r="AK98" i="19"/>
  <c r="O99" i="19"/>
  <c r="P99" i="19"/>
  <c r="Q99" i="19"/>
  <c r="R99" i="19"/>
  <c r="AJ99" i="19"/>
  <c r="AK99" i="19"/>
  <c r="O100" i="19"/>
  <c r="P100" i="19"/>
  <c r="Q100" i="19"/>
  <c r="R100" i="19"/>
  <c r="AJ100" i="19"/>
  <c r="AK100" i="19"/>
  <c r="O101" i="19"/>
  <c r="P101" i="19"/>
  <c r="Q101" i="19"/>
  <c r="R101" i="19"/>
  <c r="AJ101" i="19"/>
  <c r="AK101" i="19"/>
  <c r="O102" i="19"/>
  <c r="P102" i="19"/>
  <c r="Q102" i="19"/>
  <c r="R102" i="19"/>
  <c r="AJ102" i="19"/>
  <c r="AK102" i="19"/>
  <c r="O103" i="19"/>
  <c r="P103" i="19"/>
  <c r="Q103" i="19"/>
  <c r="R103" i="19"/>
  <c r="AJ103" i="19"/>
  <c r="AK103" i="19"/>
  <c r="O104" i="19"/>
  <c r="P104" i="19"/>
  <c r="Q104" i="19"/>
  <c r="R104" i="19"/>
  <c r="AJ104" i="19"/>
  <c r="AK104" i="19"/>
  <c r="O105" i="19"/>
  <c r="P105" i="19"/>
  <c r="Q105" i="19"/>
  <c r="R105" i="19"/>
  <c r="AJ105" i="19"/>
  <c r="AK105" i="19"/>
  <c r="O106" i="19"/>
  <c r="P106" i="19"/>
  <c r="Q106" i="19"/>
  <c r="R106" i="19"/>
  <c r="AJ106" i="19"/>
  <c r="AK106" i="19"/>
  <c r="O107" i="19"/>
  <c r="P107" i="19"/>
  <c r="Q107" i="19"/>
  <c r="R107" i="19"/>
  <c r="AJ107" i="19"/>
  <c r="AK107" i="19"/>
  <c r="O108" i="19"/>
  <c r="P108" i="19"/>
  <c r="Q108" i="19"/>
  <c r="R108" i="19"/>
  <c r="AJ108" i="19"/>
  <c r="AK108" i="19"/>
  <c r="O109" i="19"/>
  <c r="P109" i="19"/>
  <c r="Q109" i="19"/>
  <c r="R109" i="19"/>
  <c r="AD109" i="19"/>
  <c r="AF109" i="19" s="1"/>
  <c r="AE109" i="19"/>
  <c r="AG109" i="19" s="1"/>
  <c r="AJ109" i="19"/>
  <c r="AK109" i="19"/>
  <c r="O110" i="19"/>
  <c r="P110" i="19"/>
  <c r="Q110" i="19"/>
  <c r="R110" i="19"/>
  <c r="AJ110" i="19"/>
  <c r="AK110" i="19"/>
  <c r="O63" i="19"/>
  <c r="P63" i="19"/>
  <c r="Q63" i="19"/>
  <c r="R63" i="19"/>
  <c r="AJ63" i="19"/>
  <c r="AK63" i="19"/>
  <c r="O64" i="19"/>
  <c r="P64" i="19"/>
  <c r="Q64" i="19"/>
  <c r="R64" i="19"/>
  <c r="AJ64" i="19"/>
  <c r="AK64" i="19"/>
  <c r="O65" i="19"/>
  <c r="P65" i="19"/>
  <c r="Q65" i="19"/>
  <c r="R65" i="19"/>
  <c r="AJ65" i="19"/>
  <c r="AK65" i="19"/>
  <c r="O66" i="19"/>
  <c r="P66" i="19"/>
  <c r="Q66" i="19"/>
  <c r="R66" i="19"/>
  <c r="AJ66" i="19"/>
  <c r="AK66" i="19"/>
  <c r="O67" i="19"/>
  <c r="P67" i="19"/>
  <c r="Q67" i="19"/>
  <c r="R67" i="19"/>
  <c r="AJ67" i="19"/>
  <c r="AK67" i="19"/>
  <c r="O68" i="19"/>
  <c r="P68" i="19"/>
  <c r="Q68" i="19"/>
  <c r="R68" i="19"/>
  <c r="AJ68" i="19"/>
  <c r="AK68" i="19"/>
  <c r="O69" i="19"/>
  <c r="P69" i="19"/>
  <c r="Q69" i="19"/>
  <c r="R69" i="19"/>
  <c r="AJ69" i="19"/>
  <c r="AK69" i="19"/>
  <c r="O70" i="19"/>
  <c r="P70" i="19"/>
  <c r="Q70" i="19"/>
  <c r="R70" i="19"/>
  <c r="AJ70" i="19"/>
  <c r="AK70" i="19"/>
  <c r="O71" i="19"/>
  <c r="P71" i="19"/>
  <c r="Q71" i="19"/>
  <c r="R71" i="19"/>
  <c r="AJ71" i="19"/>
  <c r="AK71" i="19"/>
  <c r="O72" i="19"/>
  <c r="P72" i="19"/>
  <c r="Q72" i="19"/>
  <c r="R72" i="19"/>
  <c r="AJ72" i="19"/>
  <c r="AK72" i="19"/>
  <c r="O73" i="19"/>
  <c r="P73" i="19"/>
  <c r="Q73" i="19"/>
  <c r="R73" i="19"/>
  <c r="AJ73" i="19"/>
  <c r="AK73" i="19"/>
  <c r="O74" i="19"/>
  <c r="P74" i="19"/>
  <c r="Q74" i="19"/>
  <c r="R74" i="19"/>
  <c r="AJ74" i="19"/>
  <c r="AK74" i="19"/>
  <c r="O75" i="19"/>
  <c r="P75" i="19"/>
  <c r="Q75" i="19"/>
  <c r="R75" i="19"/>
  <c r="AJ75" i="19"/>
  <c r="AK75" i="19"/>
  <c r="O76" i="19"/>
  <c r="P76" i="19"/>
  <c r="Q76" i="19"/>
  <c r="R76" i="19"/>
  <c r="AJ76" i="19"/>
  <c r="AK76" i="19"/>
  <c r="O77" i="19"/>
  <c r="P77" i="19"/>
  <c r="Q77" i="19"/>
  <c r="R77" i="19"/>
  <c r="AJ77" i="19"/>
  <c r="AK77" i="19"/>
  <c r="O78" i="19"/>
  <c r="P78" i="19"/>
  <c r="Q78" i="19"/>
  <c r="R78" i="19"/>
  <c r="AJ78" i="19"/>
  <c r="AK78" i="19"/>
  <c r="O79" i="19"/>
  <c r="P79" i="19"/>
  <c r="Q79" i="19"/>
  <c r="R79" i="19"/>
  <c r="AJ79" i="19"/>
  <c r="AK79" i="19"/>
  <c r="O80" i="19"/>
  <c r="P80" i="19"/>
  <c r="Q80" i="19"/>
  <c r="R80" i="19"/>
  <c r="AJ80" i="19"/>
  <c r="AK80" i="19"/>
  <c r="O81" i="19"/>
  <c r="P81" i="19"/>
  <c r="Q81" i="19"/>
  <c r="R81" i="19"/>
  <c r="AJ81" i="19"/>
  <c r="AK81" i="19"/>
  <c r="O82" i="19"/>
  <c r="P82" i="19"/>
  <c r="Q82" i="19"/>
  <c r="R82" i="19"/>
  <c r="AJ82" i="19"/>
  <c r="AK82" i="19"/>
  <c r="O83" i="19"/>
  <c r="P83" i="19"/>
  <c r="Q83" i="19"/>
  <c r="R83" i="19"/>
  <c r="AJ83" i="19"/>
  <c r="AK83" i="19"/>
  <c r="C36" i="19"/>
  <c r="C63" i="19" s="1"/>
  <c r="N36" i="19"/>
  <c r="C37" i="19"/>
  <c r="C64" i="19" s="1"/>
  <c r="N37" i="19"/>
  <c r="C38" i="19"/>
  <c r="C65" i="19" s="1"/>
  <c r="N38" i="19"/>
  <c r="C39" i="19"/>
  <c r="C66" i="19" s="1"/>
  <c r="N39" i="19"/>
  <c r="C40" i="19"/>
  <c r="C67" i="19" s="1"/>
  <c r="N40" i="19"/>
  <c r="C41" i="19"/>
  <c r="C68" i="19" s="1"/>
  <c r="N41" i="19"/>
  <c r="C42" i="19"/>
  <c r="C69" i="19" s="1"/>
  <c r="N42" i="19"/>
  <c r="C43" i="19"/>
  <c r="C70" i="19" s="1"/>
  <c r="N43" i="19"/>
  <c r="C44" i="19"/>
  <c r="C98" i="19" s="1"/>
  <c r="N44" i="19"/>
  <c r="C45" i="19"/>
  <c r="C72" i="19" s="1"/>
  <c r="N45" i="19"/>
  <c r="C46" i="19"/>
  <c r="C73" i="19" s="1"/>
  <c r="N46" i="19"/>
  <c r="C47" i="19"/>
  <c r="C74" i="19" s="1"/>
  <c r="N47" i="19"/>
  <c r="C48" i="19"/>
  <c r="C75" i="19" s="1"/>
  <c r="N48" i="19"/>
  <c r="C49" i="19"/>
  <c r="C76" i="19" s="1"/>
  <c r="N49" i="19"/>
  <c r="C50" i="19"/>
  <c r="C77" i="19" s="1"/>
  <c r="N50" i="19"/>
  <c r="C51" i="19"/>
  <c r="C78" i="19" s="1"/>
  <c r="N51" i="19"/>
  <c r="C52" i="19"/>
  <c r="C106" i="19" s="1"/>
  <c r="N52" i="19"/>
  <c r="C53" i="19"/>
  <c r="C80" i="19" s="1"/>
  <c r="N53" i="19"/>
  <c r="C54" i="19"/>
  <c r="C81" i="19" s="1"/>
  <c r="N54" i="19"/>
  <c r="C55" i="19"/>
  <c r="C82" i="19" s="1"/>
  <c r="N55" i="19"/>
  <c r="C56" i="19"/>
  <c r="C83" i="19" s="1"/>
  <c r="N56" i="19"/>
  <c r="N35" i="19"/>
  <c r="D7" i="19"/>
  <c r="E7" i="19"/>
  <c r="D36" i="19" s="1"/>
  <c r="F7" i="19"/>
  <c r="G7" i="19"/>
  <c r="E36" i="19" s="1"/>
  <c r="AB117" i="19" s="1"/>
  <c r="H7" i="19"/>
  <c r="G36" i="19" s="1"/>
  <c r="AD117" i="19" s="1"/>
  <c r="AF117" i="19" s="1"/>
  <c r="D8" i="19"/>
  <c r="I8" i="19" s="1"/>
  <c r="E8" i="19"/>
  <c r="D37" i="19" s="1"/>
  <c r="F8" i="19"/>
  <c r="G8" i="19"/>
  <c r="E37" i="19" s="1"/>
  <c r="H8" i="19"/>
  <c r="H36" i="19" s="1"/>
  <c r="AD90" i="19" s="1"/>
  <c r="AF90" i="19" s="1"/>
  <c r="D9" i="19"/>
  <c r="E9" i="19"/>
  <c r="D65" i="19" s="1"/>
  <c r="F9" i="19"/>
  <c r="G9" i="19"/>
  <c r="E38" i="19" s="1"/>
  <c r="H9" i="19"/>
  <c r="G38" i="19" s="1"/>
  <c r="AD65" i="19" s="1"/>
  <c r="D10" i="19"/>
  <c r="E10" i="19"/>
  <c r="D39" i="19" s="1"/>
  <c r="F10" i="19"/>
  <c r="G10" i="19"/>
  <c r="E39" i="19" s="1"/>
  <c r="H10" i="19"/>
  <c r="H38" i="19" s="1"/>
  <c r="AD92" i="19" s="1"/>
  <c r="AF92" i="19" s="1"/>
  <c r="D11" i="19"/>
  <c r="E11" i="19"/>
  <c r="D40" i="19" s="1"/>
  <c r="F11" i="19"/>
  <c r="G11" i="19"/>
  <c r="E40" i="19" s="1"/>
  <c r="H11" i="19"/>
  <c r="H39" i="19" s="1"/>
  <c r="AD93" i="19" s="1"/>
  <c r="AF93" i="19" s="1"/>
  <c r="D12" i="19"/>
  <c r="I12" i="19" s="1"/>
  <c r="E12" i="19"/>
  <c r="D41" i="19" s="1"/>
  <c r="F12" i="19"/>
  <c r="G12" i="19"/>
  <c r="H12" i="19"/>
  <c r="G41" i="19" s="1"/>
  <c r="AD68" i="19" s="1"/>
  <c r="AF68" i="19" s="1"/>
  <c r="D13" i="19"/>
  <c r="E13" i="19"/>
  <c r="D69" i="19" s="1"/>
  <c r="F13" i="19"/>
  <c r="G13" i="19"/>
  <c r="E42" i="19" s="1"/>
  <c r="H13" i="19"/>
  <c r="H41" i="19" s="1"/>
  <c r="AD95" i="19" s="1"/>
  <c r="AF95" i="19" s="1"/>
  <c r="D14" i="19"/>
  <c r="E14" i="19"/>
  <c r="D43" i="19" s="1"/>
  <c r="F14" i="19"/>
  <c r="G14" i="19"/>
  <c r="E43" i="19" s="1"/>
  <c r="AB124" i="19" s="1"/>
  <c r="H14" i="19"/>
  <c r="G43" i="19" s="1"/>
  <c r="AD70" i="19" s="1"/>
  <c r="AF70" i="19" s="1"/>
  <c r="D15" i="19"/>
  <c r="E15" i="19"/>
  <c r="D44" i="19" s="1"/>
  <c r="F15" i="19"/>
  <c r="G15" i="19"/>
  <c r="H15" i="19"/>
  <c r="H43" i="19" s="1"/>
  <c r="AE97" i="19" s="1"/>
  <c r="D16" i="19"/>
  <c r="E16" i="19"/>
  <c r="D99" i="19" s="1"/>
  <c r="F16" i="19"/>
  <c r="G16" i="19"/>
  <c r="E45" i="19" s="1"/>
  <c r="H16" i="19"/>
  <c r="H44" i="19" s="1"/>
  <c r="AD98" i="19" s="1"/>
  <c r="AF98" i="19" s="1"/>
  <c r="I16" i="19"/>
  <c r="J16" i="19" s="1"/>
  <c r="D17" i="19"/>
  <c r="E17" i="19"/>
  <c r="D46" i="19" s="1"/>
  <c r="F17" i="19"/>
  <c r="G17" i="19"/>
  <c r="H17" i="19"/>
  <c r="G46" i="19" s="1"/>
  <c r="AD73" i="19" s="1"/>
  <c r="D18" i="19"/>
  <c r="I18" i="19" s="1"/>
  <c r="E18" i="19"/>
  <c r="D74" i="19" s="1"/>
  <c r="F18" i="19"/>
  <c r="G18" i="19"/>
  <c r="E47" i="19" s="1"/>
  <c r="H18" i="19"/>
  <c r="H46" i="19" s="1"/>
  <c r="AD100" i="19" s="1"/>
  <c r="D19" i="19"/>
  <c r="E19" i="19"/>
  <c r="D75" i="19" s="1"/>
  <c r="F19" i="19"/>
  <c r="G19" i="19"/>
  <c r="H19" i="19"/>
  <c r="G48" i="19" s="1"/>
  <c r="AD75" i="19" s="1"/>
  <c r="D20" i="19"/>
  <c r="E20" i="19"/>
  <c r="D49" i="19" s="1"/>
  <c r="F20" i="19"/>
  <c r="G20" i="19"/>
  <c r="E49" i="19" s="1"/>
  <c r="AB103" i="19" s="1"/>
  <c r="H20" i="19"/>
  <c r="H48" i="19" s="1"/>
  <c r="AD102" i="19" s="1"/>
  <c r="AF102" i="19" s="1"/>
  <c r="D21" i="19"/>
  <c r="E21" i="19"/>
  <c r="D50" i="19" s="1"/>
  <c r="F21" i="19"/>
  <c r="G21" i="19"/>
  <c r="E50" i="19" s="1"/>
  <c r="H21" i="19"/>
  <c r="H49" i="19" s="1"/>
  <c r="AD103" i="19" s="1"/>
  <c r="D22" i="19"/>
  <c r="E22" i="19"/>
  <c r="D51" i="19" s="1"/>
  <c r="F22" i="19"/>
  <c r="G22" i="19"/>
  <c r="H22" i="19"/>
  <c r="G51" i="19" s="1"/>
  <c r="AD78" i="19" s="1"/>
  <c r="AF78" i="19" s="1"/>
  <c r="D23" i="19"/>
  <c r="I23" i="19" s="1"/>
  <c r="E23" i="19"/>
  <c r="D52" i="19" s="1"/>
  <c r="F23" i="19"/>
  <c r="G23" i="19"/>
  <c r="E52" i="19" s="1"/>
  <c r="AB106" i="19" s="1"/>
  <c r="H23" i="19"/>
  <c r="H51" i="19" s="1"/>
  <c r="AD105" i="19" s="1"/>
  <c r="AF105" i="19" s="1"/>
  <c r="D24" i="19"/>
  <c r="E24" i="19"/>
  <c r="D53" i="19" s="1"/>
  <c r="F24" i="19"/>
  <c r="G24" i="19"/>
  <c r="E53" i="19" s="1"/>
  <c r="H24" i="19"/>
  <c r="H52" i="19" s="1"/>
  <c r="AD106" i="19" s="1"/>
  <c r="D25" i="19"/>
  <c r="E25" i="19"/>
  <c r="D54" i="19" s="1"/>
  <c r="F25" i="19"/>
  <c r="G25" i="19"/>
  <c r="E54" i="19" s="1"/>
  <c r="H25" i="19"/>
  <c r="G54" i="19" s="1"/>
  <c r="AD81" i="19" s="1"/>
  <c r="D26" i="19"/>
  <c r="E26" i="19"/>
  <c r="D82" i="19" s="1"/>
  <c r="F26" i="19"/>
  <c r="G26" i="19"/>
  <c r="E55" i="19" s="1"/>
  <c r="AB109" i="19" s="1"/>
  <c r="H26" i="19"/>
  <c r="H54" i="19" s="1"/>
  <c r="AD108" i="19" s="1"/>
  <c r="D27" i="19"/>
  <c r="F27" i="19"/>
  <c r="G27" i="19"/>
  <c r="E56" i="19" s="1"/>
  <c r="H27" i="19"/>
  <c r="H55" i="19" s="1"/>
  <c r="E28" i="19"/>
  <c r="F28" i="19"/>
  <c r="G28" i="19"/>
  <c r="H28" i="19"/>
  <c r="H56" i="19" s="1"/>
  <c r="E6" i="19"/>
  <c r="F6" i="19"/>
  <c r="G6" i="19"/>
  <c r="H6" i="19"/>
  <c r="D6" i="19"/>
  <c r="C34" i="17"/>
  <c r="D34" i="17"/>
  <c r="E34" i="17"/>
  <c r="F34" i="17"/>
  <c r="R34" i="17"/>
  <c r="J34" i="17" s="1"/>
  <c r="X34" i="17"/>
  <c r="Y34" i="17"/>
  <c r="Z34" i="17"/>
  <c r="AA34" i="17"/>
  <c r="AB34" i="17"/>
  <c r="I34" i="17" s="1"/>
  <c r="AC34" i="17"/>
  <c r="AF34" i="17"/>
  <c r="AM34" i="17"/>
  <c r="C35" i="17"/>
  <c r="D35" i="17"/>
  <c r="AN34" i="17" s="1"/>
  <c r="E35" i="17"/>
  <c r="Z35" i="17" s="1"/>
  <c r="F35" i="17"/>
  <c r="AC35" i="17" s="1"/>
  <c r="R35" i="17"/>
  <c r="J35" i="17" s="1"/>
  <c r="X35" i="17"/>
  <c r="Y35" i="17"/>
  <c r="AM35" i="17"/>
  <c r="C36" i="17"/>
  <c r="D36" i="17"/>
  <c r="I36" i="17" s="1"/>
  <c r="E36" i="17"/>
  <c r="F36" i="17"/>
  <c r="R36" i="17"/>
  <c r="J36" i="17" s="1"/>
  <c r="X36" i="17"/>
  <c r="Y36" i="17"/>
  <c r="Z36" i="17" s="1"/>
  <c r="AC36" i="17"/>
  <c r="AB36" i="17" s="1"/>
  <c r="AM36" i="17"/>
  <c r="AN36" i="17"/>
  <c r="AO36" i="17"/>
  <c r="AR36" i="17"/>
  <c r="AW36" i="17" s="1"/>
  <c r="AS36" i="17"/>
  <c r="AT36" i="17"/>
  <c r="AN33" i="17"/>
  <c r="C25" i="17"/>
  <c r="D25" i="17"/>
  <c r="E25" i="17"/>
  <c r="F25" i="17"/>
  <c r="R25" i="17"/>
  <c r="J25" i="17" s="1"/>
  <c r="X25" i="17"/>
  <c r="Y25" i="17"/>
  <c r="AA25" i="17"/>
  <c r="AC25" i="17"/>
  <c r="AM25" i="17"/>
  <c r="AN25" i="17"/>
  <c r="AO25" i="17"/>
  <c r="AR25" i="17"/>
  <c r="AS25" i="17"/>
  <c r="AT25" i="17"/>
  <c r="C26" i="17"/>
  <c r="D26" i="17"/>
  <c r="AN27" i="17" s="1"/>
  <c r="E26" i="17"/>
  <c r="F26" i="17"/>
  <c r="R26" i="17"/>
  <c r="J26" i="17" s="1"/>
  <c r="AM26" i="17"/>
  <c r="AN26" i="17"/>
  <c r="AO26" i="17"/>
  <c r="AR26" i="17"/>
  <c r="AS26" i="17"/>
  <c r="AT26" i="17"/>
  <c r="C27" i="17"/>
  <c r="D27" i="17"/>
  <c r="E27" i="17"/>
  <c r="F27" i="17"/>
  <c r="R27" i="17"/>
  <c r="J27" i="17" s="1"/>
  <c r="AM27" i="17"/>
  <c r="AM24" i="17"/>
  <c r="D7" i="17"/>
  <c r="E7" i="17"/>
  <c r="F7" i="17"/>
  <c r="G7" i="17"/>
  <c r="H7" i="17"/>
  <c r="I7" i="17"/>
  <c r="J7" i="17" s="1"/>
  <c r="K7" i="17" s="1"/>
  <c r="D8" i="17"/>
  <c r="E8" i="17"/>
  <c r="I8" i="17" s="1"/>
  <c r="J8" i="17" s="1"/>
  <c r="K8" i="17" s="1"/>
  <c r="F8" i="17"/>
  <c r="G8" i="17"/>
  <c r="H8" i="17"/>
  <c r="D9" i="17"/>
  <c r="E9" i="17"/>
  <c r="F9" i="17"/>
  <c r="G9" i="17"/>
  <c r="H9" i="17"/>
  <c r="I9" i="17"/>
  <c r="J9" i="17"/>
  <c r="K9" i="17" s="1"/>
  <c r="E6" i="17"/>
  <c r="F6" i="17"/>
  <c r="G6" i="17"/>
  <c r="H6" i="17"/>
  <c r="D6" i="17"/>
  <c r="C81" i="5"/>
  <c r="D81" i="5"/>
  <c r="K81" i="5"/>
  <c r="L81" i="5"/>
  <c r="N81" i="5"/>
  <c r="P81" i="5"/>
  <c r="R81" i="5"/>
  <c r="V81" i="5"/>
  <c r="X81" i="5" s="1"/>
  <c r="W81" i="5"/>
  <c r="Y81" i="5"/>
  <c r="Z81" i="5"/>
  <c r="AB81" i="5"/>
  <c r="AC81" i="5"/>
  <c r="AD81" i="5"/>
  <c r="AE81" i="5"/>
  <c r="AF81" i="5"/>
  <c r="AG81" i="5"/>
  <c r="C82" i="5"/>
  <c r="D82" i="5"/>
  <c r="V82" i="5" s="1"/>
  <c r="AD82" i="5" s="1"/>
  <c r="K82" i="5"/>
  <c r="L82" i="5"/>
  <c r="M82" i="5"/>
  <c r="O82" i="5"/>
  <c r="P82" i="5"/>
  <c r="Q82" i="5"/>
  <c r="Z82" i="5"/>
  <c r="AB82" i="5"/>
  <c r="AC82" i="5"/>
  <c r="AF82" i="5"/>
  <c r="AG82" i="5"/>
  <c r="C83" i="5"/>
  <c r="D83" i="5"/>
  <c r="V83" i="5" s="1"/>
  <c r="AD83" i="5" s="1"/>
  <c r="K83" i="5"/>
  <c r="M83" i="5" s="1"/>
  <c r="L83" i="5"/>
  <c r="O83" i="5"/>
  <c r="P83" i="5"/>
  <c r="Q83" i="5"/>
  <c r="Z83" i="5"/>
  <c r="AB83" i="5"/>
  <c r="AC83" i="5"/>
  <c r="AF83" i="5"/>
  <c r="AG83" i="5"/>
  <c r="C84" i="5"/>
  <c r="D84" i="5"/>
  <c r="K84" i="5"/>
  <c r="O84" i="5" s="1"/>
  <c r="L84" i="5"/>
  <c r="P84" i="5" s="1"/>
  <c r="N84" i="5"/>
  <c r="Z84" i="5"/>
  <c r="AB84" i="5"/>
  <c r="AC84" i="5"/>
  <c r="AF84" i="5"/>
  <c r="AG84" i="5"/>
  <c r="C85" i="5"/>
  <c r="D85" i="5"/>
  <c r="V85" i="5" s="1"/>
  <c r="F85" i="5"/>
  <c r="K85" i="5"/>
  <c r="L85" i="5"/>
  <c r="N85" i="5"/>
  <c r="O85" i="5"/>
  <c r="P85" i="5"/>
  <c r="R85" i="5"/>
  <c r="Z85" i="5"/>
  <c r="AB85" i="5"/>
  <c r="AC85" i="5"/>
  <c r="AF85" i="5"/>
  <c r="AG85" i="5"/>
  <c r="C86" i="5"/>
  <c r="D86" i="5"/>
  <c r="K86" i="5"/>
  <c r="L86" i="5"/>
  <c r="N86" i="5"/>
  <c r="O86" i="5"/>
  <c r="P86" i="5"/>
  <c r="R86" i="5"/>
  <c r="V86" i="5"/>
  <c r="AD86" i="5" s="1"/>
  <c r="W86" i="5"/>
  <c r="AE86" i="5" s="1"/>
  <c r="Y86" i="5"/>
  <c r="Z86" i="5"/>
  <c r="AB86" i="5"/>
  <c r="AC86" i="5"/>
  <c r="AF86" i="5"/>
  <c r="AG86" i="5"/>
  <c r="C87" i="5"/>
  <c r="D87" i="5"/>
  <c r="K87" i="5"/>
  <c r="L87" i="5"/>
  <c r="N87" i="5"/>
  <c r="O87" i="5"/>
  <c r="P87" i="5"/>
  <c r="R87" i="5"/>
  <c r="V87" i="5"/>
  <c r="AD87" i="5" s="1"/>
  <c r="W87" i="5"/>
  <c r="AE87" i="5" s="1"/>
  <c r="Y87" i="5"/>
  <c r="Z87" i="5"/>
  <c r="AB87" i="5"/>
  <c r="AC87" i="5"/>
  <c r="AF87" i="5"/>
  <c r="AG87" i="5"/>
  <c r="W80" i="5"/>
  <c r="V80"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E72" i="5"/>
  <c r="F72" i="5"/>
  <c r="G72" i="5"/>
  <c r="H72" i="5"/>
  <c r="I72" i="5"/>
  <c r="C73" i="5"/>
  <c r="D73" i="5"/>
  <c r="E73" i="5"/>
  <c r="F73" i="5"/>
  <c r="G73" i="5"/>
  <c r="H73" i="5"/>
  <c r="I73" i="5"/>
  <c r="C74" i="5"/>
  <c r="D74" i="5"/>
  <c r="E74" i="5"/>
  <c r="F74" i="5"/>
  <c r="G74" i="5"/>
  <c r="H74" i="5"/>
  <c r="I74" i="5"/>
  <c r="I67" i="5"/>
  <c r="H67" i="5"/>
  <c r="G67" i="5"/>
  <c r="F67" i="5"/>
  <c r="E67" i="5"/>
  <c r="D67" i="5"/>
  <c r="C67" i="5"/>
  <c r="D59" i="5"/>
  <c r="O59" i="5"/>
  <c r="P59" i="5"/>
  <c r="AH59" i="5"/>
  <c r="AI59" i="5"/>
  <c r="D60" i="5"/>
  <c r="O60" i="5"/>
  <c r="P60" i="5"/>
  <c r="AH60" i="5"/>
  <c r="AI60" i="5"/>
  <c r="O51" i="5"/>
  <c r="P51" i="5"/>
  <c r="AH51" i="5"/>
  <c r="AI51" i="5"/>
  <c r="O52" i="5"/>
  <c r="P52" i="5"/>
  <c r="AH52" i="5"/>
  <c r="AI52" i="5"/>
  <c r="O43" i="5"/>
  <c r="P43" i="5"/>
  <c r="AH43" i="5"/>
  <c r="AI43" i="5"/>
  <c r="O44" i="5"/>
  <c r="P44" i="5"/>
  <c r="AH44" i="5"/>
  <c r="AI44" i="5"/>
  <c r="C35" i="5"/>
  <c r="C43" i="5" s="1"/>
  <c r="N35" i="5"/>
  <c r="C36" i="5"/>
  <c r="C44" i="5" s="1"/>
  <c r="N36" i="5"/>
  <c r="N34" i="5"/>
  <c r="D7" i="5"/>
  <c r="E7" i="5"/>
  <c r="D35" i="5" s="1"/>
  <c r="F7" i="5"/>
  <c r="G7" i="5"/>
  <c r="E35" i="5" s="1"/>
  <c r="H7" i="5"/>
  <c r="G35" i="5" s="1"/>
  <c r="Z59" i="5" s="1"/>
  <c r="D8" i="5"/>
  <c r="E8" i="5"/>
  <c r="D36" i="5" s="1"/>
  <c r="F8" i="5"/>
  <c r="G8" i="5"/>
  <c r="E36" i="5" s="1"/>
  <c r="H8" i="5"/>
  <c r="H35" i="5" s="1"/>
  <c r="Z51" i="5" s="1"/>
  <c r="I8" i="5"/>
  <c r="J8" i="5"/>
  <c r="K8" i="5" s="1"/>
  <c r="D9" i="5"/>
  <c r="E9" i="5"/>
  <c r="F9" i="5"/>
  <c r="G9" i="5"/>
  <c r="H9" i="5"/>
  <c r="H36" i="5" s="1"/>
  <c r="E6" i="5"/>
  <c r="F6" i="5"/>
  <c r="G6" i="5"/>
  <c r="H6" i="5"/>
  <c r="D6" i="5"/>
  <c r="C49" i="21"/>
  <c r="E49" i="21"/>
  <c r="F49" i="21"/>
  <c r="G49" i="21" s="1"/>
  <c r="F81" i="5" s="1"/>
  <c r="J49" i="21"/>
  <c r="K49" i="21"/>
  <c r="Q49" i="21"/>
  <c r="R49" i="21"/>
  <c r="S49" i="21" s="1"/>
  <c r="C50" i="21"/>
  <c r="E50" i="21"/>
  <c r="F50" i="21"/>
  <c r="G50" i="21" s="1"/>
  <c r="F82" i="5" s="1"/>
  <c r="J50" i="21"/>
  <c r="K50" i="21"/>
  <c r="O50" i="21" s="1"/>
  <c r="Q50" i="21"/>
  <c r="R50" i="21"/>
  <c r="C51" i="21"/>
  <c r="E51" i="21"/>
  <c r="F51" i="21"/>
  <c r="J51" i="21"/>
  <c r="K51" i="21"/>
  <c r="L51" i="21" s="1"/>
  <c r="Q51" i="21"/>
  <c r="R51" i="21"/>
  <c r="C52" i="21"/>
  <c r="E52" i="21"/>
  <c r="F52" i="21"/>
  <c r="G52" i="21" s="1"/>
  <c r="F84" i="5" s="1"/>
  <c r="J52" i="21"/>
  <c r="K52" i="21"/>
  <c r="N52" i="21" s="1"/>
  <c r="M52" i="21"/>
  <c r="O52" i="21"/>
  <c r="Q52" i="21"/>
  <c r="T52" i="21" s="1"/>
  <c r="R52" i="21"/>
  <c r="C53" i="21"/>
  <c r="E53" i="21"/>
  <c r="F53" i="21"/>
  <c r="G53" i="21" s="1"/>
  <c r="J53" i="21"/>
  <c r="K53" i="21"/>
  <c r="Q53" i="21"/>
  <c r="R53" i="21"/>
  <c r="C54" i="21"/>
  <c r="E54" i="21"/>
  <c r="F54" i="21"/>
  <c r="J54" i="21"/>
  <c r="K54" i="21"/>
  <c r="L54" i="21" s="1"/>
  <c r="Q54" i="21"/>
  <c r="R54" i="21"/>
  <c r="T54" i="21" s="1"/>
  <c r="C55" i="21"/>
  <c r="E55" i="21"/>
  <c r="F55" i="21"/>
  <c r="G55" i="21" s="1"/>
  <c r="F87" i="5" s="1"/>
  <c r="J55" i="21"/>
  <c r="K55" i="21"/>
  <c r="L55" i="21" s="1"/>
  <c r="Q55" i="21"/>
  <c r="R55" i="21"/>
  <c r="C48" i="21"/>
  <c r="J48" i="21" s="1"/>
  <c r="E48" i="21"/>
  <c r="K48" i="21"/>
  <c r="C63" i="21"/>
  <c r="E63" i="21"/>
  <c r="F63" i="21"/>
  <c r="G63" i="21" s="1"/>
  <c r="F157" i="19" s="1"/>
  <c r="J63" i="21"/>
  <c r="K63" i="21"/>
  <c r="Q63" i="21"/>
  <c r="R63" i="21"/>
  <c r="C64" i="21"/>
  <c r="F64" i="21" s="1"/>
  <c r="E64" i="21"/>
  <c r="J64" i="21"/>
  <c r="K64" i="21"/>
  <c r="M64" i="21" s="1"/>
  <c r="Q64" i="21"/>
  <c r="R64" i="21"/>
  <c r="C65" i="21"/>
  <c r="E65" i="21"/>
  <c r="F65" i="21"/>
  <c r="J65" i="21"/>
  <c r="K65" i="21"/>
  <c r="L65" i="21" s="1"/>
  <c r="M65" i="21"/>
  <c r="Q65" i="21"/>
  <c r="S65" i="21" s="1"/>
  <c r="R65" i="21"/>
  <c r="C66" i="21"/>
  <c r="E66" i="21"/>
  <c r="F66" i="21"/>
  <c r="H66" i="21" s="1"/>
  <c r="E160" i="19" s="1"/>
  <c r="J66" i="21"/>
  <c r="K66" i="21"/>
  <c r="L66" i="21" s="1"/>
  <c r="Q66" i="21"/>
  <c r="R66" i="21"/>
  <c r="C67" i="21"/>
  <c r="F67" i="21" s="1"/>
  <c r="E67" i="21"/>
  <c r="C68" i="21"/>
  <c r="F68" i="21" s="1"/>
  <c r="C62" i="21"/>
  <c r="K62" i="21"/>
  <c r="E8" i="21"/>
  <c r="F8" i="21"/>
  <c r="G8" i="21" s="1"/>
  <c r="F50" i="5" s="1"/>
  <c r="J8" i="21"/>
  <c r="K8" i="21"/>
  <c r="L8" i="21" s="1"/>
  <c r="T25" i="17" s="1"/>
  <c r="M8" i="21"/>
  <c r="U25" i="17" s="1"/>
  <c r="Q8" i="21"/>
  <c r="R8" i="21"/>
  <c r="E9" i="21"/>
  <c r="F9" i="21"/>
  <c r="H9" i="21" s="1"/>
  <c r="E43" i="5" s="1"/>
  <c r="J9" i="21"/>
  <c r="K9" i="21"/>
  <c r="Q9" i="21"/>
  <c r="R9" i="21"/>
  <c r="T9" i="21" s="1"/>
  <c r="E10" i="21"/>
  <c r="F10" i="21"/>
  <c r="G10" i="21" s="1"/>
  <c r="F52" i="5" s="1"/>
  <c r="J10" i="21"/>
  <c r="K10" i="21"/>
  <c r="L10" i="21" s="1"/>
  <c r="Q10" i="21"/>
  <c r="R10" i="21"/>
  <c r="E11" i="21"/>
  <c r="F11" i="21"/>
  <c r="G11" i="21" s="1"/>
  <c r="J11" i="21"/>
  <c r="L11" i="21" s="1"/>
  <c r="T36" i="17" s="1"/>
  <c r="K11" i="21"/>
  <c r="Q11" i="21"/>
  <c r="R11" i="21"/>
  <c r="C9" i="21"/>
  <c r="C10" i="21"/>
  <c r="C11" i="21"/>
  <c r="C8" i="21"/>
  <c r="C7" i="21"/>
  <c r="R7" i="21"/>
  <c r="E19" i="21"/>
  <c r="F19" i="21"/>
  <c r="G19" i="21" s="1"/>
  <c r="F116" i="19" s="1"/>
  <c r="J19" i="21"/>
  <c r="K19" i="21"/>
  <c r="M19" i="21" s="1"/>
  <c r="Q19" i="21"/>
  <c r="R19" i="21"/>
  <c r="E20" i="21"/>
  <c r="F20" i="21"/>
  <c r="G20" i="21" s="1"/>
  <c r="F63" i="19" s="1"/>
  <c r="J20" i="21"/>
  <c r="K20" i="21"/>
  <c r="L20" i="21" s="1"/>
  <c r="T37" i="18" s="1"/>
  <c r="Q20" i="21"/>
  <c r="R20" i="21"/>
  <c r="E21" i="21"/>
  <c r="F21" i="21"/>
  <c r="J21" i="21"/>
  <c r="K21" i="21"/>
  <c r="M21" i="21" s="1"/>
  <c r="O21" i="21"/>
  <c r="W38" i="18" s="1"/>
  <c r="Q21" i="21"/>
  <c r="R21" i="21"/>
  <c r="E22" i="21"/>
  <c r="F22" i="21"/>
  <c r="J22" i="21"/>
  <c r="K22" i="21"/>
  <c r="N22" i="21" s="1"/>
  <c r="Q22" i="21"/>
  <c r="R22" i="21"/>
  <c r="E23" i="21"/>
  <c r="F23" i="21"/>
  <c r="G23" i="21" s="1"/>
  <c r="F93" i="19" s="1"/>
  <c r="J23" i="21"/>
  <c r="K23" i="21"/>
  <c r="L23" i="21" s="1"/>
  <c r="T40" i="18" s="1"/>
  <c r="Q23" i="21"/>
  <c r="R23" i="21"/>
  <c r="E24" i="21"/>
  <c r="F24" i="21"/>
  <c r="H24" i="21" s="1"/>
  <c r="G24" i="21"/>
  <c r="F94" i="19" s="1"/>
  <c r="J24" i="21"/>
  <c r="K24" i="21"/>
  <c r="N24" i="21" s="1"/>
  <c r="V41" i="18" s="1"/>
  <c r="Q24" i="21"/>
  <c r="R24" i="21"/>
  <c r="U24" i="21" s="1"/>
  <c r="E25" i="21"/>
  <c r="F25" i="21"/>
  <c r="H25" i="21" s="1"/>
  <c r="G25" i="21"/>
  <c r="F68" i="19" s="1"/>
  <c r="J25" i="21"/>
  <c r="K25" i="21"/>
  <c r="L25" i="21" s="1"/>
  <c r="T69" i="18" s="1"/>
  <c r="Q25" i="21"/>
  <c r="R25" i="21"/>
  <c r="E26" i="21"/>
  <c r="F26" i="21"/>
  <c r="G26" i="21" s="1"/>
  <c r="F69" i="19" s="1"/>
  <c r="J26" i="21"/>
  <c r="K26" i="21"/>
  <c r="Q26" i="21"/>
  <c r="R26" i="21"/>
  <c r="E27" i="21"/>
  <c r="F27" i="21"/>
  <c r="G27" i="21" s="1"/>
  <c r="F97" i="19" s="1"/>
  <c r="J27" i="21"/>
  <c r="K27" i="21"/>
  <c r="Q27" i="21"/>
  <c r="R27" i="21"/>
  <c r="E28" i="21"/>
  <c r="F28" i="21"/>
  <c r="H28" i="21"/>
  <c r="E125" i="19" s="1"/>
  <c r="J28" i="21"/>
  <c r="K28" i="21"/>
  <c r="Q28" i="21"/>
  <c r="R28" i="21"/>
  <c r="E29" i="21"/>
  <c r="F29" i="21"/>
  <c r="H29" i="21" s="1"/>
  <c r="J29" i="21"/>
  <c r="K29" i="21"/>
  <c r="N29" i="21" s="1"/>
  <c r="Q29" i="21"/>
  <c r="R29" i="21"/>
  <c r="E30" i="21"/>
  <c r="F30" i="21"/>
  <c r="H30" i="21" s="1"/>
  <c r="G30" i="21"/>
  <c r="F73" i="19" s="1"/>
  <c r="J30" i="21"/>
  <c r="K30" i="21"/>
  <c r="L30" i="21" s="1"/>
  <c r="T74" i="18" s="1"/>
  <c r="N30" i="21"/>
  <c r="V74" i="18" s="1"/>
  <c r="Q30" i="21"/>
  <c r="R30" i="21"/>
  <c r="T30" i="21" s="1"/>
  <c r="E31" i="21"/>
  <c r="F31" i="21"/>
  <c r="J31" i="21"/>
  <c r="K31" i="21"/>
  <c r="Q31" i="21"/>
  <c r="R31" i="21"/>
  <c r="E32" i="21"/>
  <c r="F32" i="21"/>
  <c r="G32" i="21"/>
  <c r="F129" i="19" s="1"/>
  <c r="H32" i="21"/>
  <c r="E129" i="19" s="1"/>
  <c r="J32" i="21"/>
  <c r="K32" i="21"/>
  <c r="N32" i="21" s="1"/>
  <c r="L32" i="21"/>
  <c r="T76" i="18" s="1"/>
  <c r="O32" i="21"/>
  <c r="W76" i="18" s="1"/>
  <c r="Q32" i="21"/>
  <c r="R32" i="21"/>
  <c r="S32" i="21" s="1"/>
  <c r="E33" i="21"/>
  <c r="F33" i="21"/>
  <c r="G33" i="21" s="1"/>
  <c r="J33" i="21"/>
  <c r="K33" i="21"/>
  <c r="Q33" i="21"/>
  <c r="R33" i="21"/>
  <c r="E34" i="21"/>
  <c r="F34" i="21"/>
  <c r="G34" i="21" s="1"/>
  <c r="F77" i="19" s="1"/>
  <c r="J34" i="21"/>
  <c r="K34" i="21"/>
  <c r="Q34" i="21"/>
  <c r="R34" i="21"/>
  <c r="S34" i="21" s="1"/>
  <c r="E35" i="21"/>
  <c r="F35" i="21"/>
  <c r="G35" i="21" s="1"/>
  <c r="F105" i="19" s="1"/>
  <c r="J35" i="21"/>
  <c r="K35" i="21"/>
  <c r="L35" i="21" s="1"/>
  <c r="N35" i="21"/>
  <c r="V52" i="18" s="1"/>
  <c r="Q35" i="21"/>
  <c r="R35" i="21"/>
  <c r="E36" i="21"/>
  <c r="F36" i="21"/>
  <c r="G36" i="21" s="1"/>
  <c r="F133" i="19" s="1"/>
  <c r="J36" i="21"/>
  <c r="K36" i="21"/>
  <c r="M36" i="21" s="1"/>
  <c r="U80" i="18" s="1"/>
  <c r="N36" i="21"/>
  <c r="V80" i="18" s="1"/>
  <c r="Q36" i="21"/>
  <c r="R36" i="21"/>
  <c r="S36" i="21"/>
  <c r="E37" i="21"/>
  <c r="F37" i="21"/>
  <c r="J37" i="21"/>
  <c r="K37" i="21"/>
  <c r="O37" i="21" s="1"/>
  <c r="M37" i="21"/>
  <c r="U81" i="18" s="1"/>
  <c r="Q37" i="21"/>
  <c r="R37" i="21"/>
  <c r="E38" i="21"/>
  <c r="F38" i="21"/>
  <c r="J38" i="21"/>
  <c r="K38" i="21"/>
  <c r="L38" i="21" s="1"/>
  <c r="T55" i="18" s="1"/>
  <c r="M38" i="21"/>
  <c r="U55" i="18" s="1"/>
  <c r="Q38" i="21"/>
  <c r="R38" i="21"/>
  <c r="E39" i="21"/>
  <c r="F39" i="21"/>
  <c r="J39" i="21"/>
  <c r="K39" i="21"/>
  <c r="L39" i="21" s="1"/>
  <c r="T83" i="18" s="1"/>
  <c r="Q39" i="21"/>
  <c r="R39" i="21"/>
  <c r="E41" i="21"/>
  <c r="F41" i="21"/>
  <c r="J41" i="21"/>
  <c r="K41" i="21"/>
  <c r="Q41" i="21"/>
  <c r="C20" i="21"/>
  <c r="C21" i="21"/>
  <c r="C22" i="21"/>
  <c r="C23" i="21"/>
  <c r="C24" i="21"/>
  <c r="C25" i="21"/>
  <c r="C26" i="21"/>
  <c r="C27" i="21"/>
  <c r="C28" i="21"/>
  <c r="C29" i="21"/>
  <c r="C30" i="21"/>
  <c r="C31" i="21"/>
  <c r="C32" i="21"/>
  <c r="C33" i="21"/>
  <c r="C34" i="21"/>
  <c r="C35" i="21"/>
  <c r="C36" i="21"/>
  <c r="C37" i="21"/>
  <c r="C38" i="21"/>
  <c r="C39" i="21"/>
  <c r="C41" i="21"/>
  <c r="R41" i="21" s="1"/>
  <c r="S41" i="21" s="1"/>
  <c r="C19" i="21"/>
  <c r="C18" i="21"/>
  <c r="R18" i="21"/>
  <c r="Q18" i="21"/>
  <c r="K18" i="21"/>
  <c r="J18" i="21"/>
  <c r="F18" i="21"/>
  <c r="E18" i="21"/>
  <c r="AF26" i="574"/>
  <c r="T36" i="21" l="1"/>
  <c r="T65" i="21"/>
  <c r="T26" i="21"/>
  <c r="S63" i="21"/>
  <c r="S28" i="21"/>
  <c r="S11" i="21"/>
  <c r="N8" i="21"/>
  <c r="V25" i="17" s="1"/>
  <c r="T22" i="21"/>
  <c r="O18" i="21"/>
  <c r="W35" i="18" s="1"/>
  <c r="O22" i="21"/>
  <c r="W66" i="18" s="1"/>
  <c r="L31" i="21"/>
  <c r="U26" i="21"/>
  <c r="L22" i="21"/>
  <c r="T66" i="18" s="1"/>
  <c r="M11" i="21"/>
  <c r="U36" i="17" s="1"/>
  <c r="H36" i="17" s="1"/>
  <c r="T50" i="21"/>
  <c r="M9" i="21"/>
  <c r="M50" i="21"/>
  <c r="O33" i="21"/>
  <c r="W50" i="18" s="1"/>
  <c r="M24" i="21"/>
  <c r="U41" i="18" s="1"/>
  <c r="U52" i="21"/>
  <c r="O28" i="21"/>
  <c r="W72" i="18" s="1"/>
  <c r="M22" i="21"/>
  <c r="U66" i="18" s="1"/>
  <c r="H66" i="18" s="1"/>
  <c r="G18" i="21"/>
  <c r="H41" i="21"/>
  <c r="F60" i="5"/>
  <c r="G31" i="21"/>
  <c r="F101" i="19" s="1"/>
  <c r="G29" i="21"/>
  <c r="F72" i="19" s="1"/>
  <c r="AU78" i="18"/>
  <c r="AU52" i="18"/>
  <c r="T24" i="21"/>
  <c r="S24" i="21"/>
  <c r="P41" i="18" s="1"/>
  <c r="Q41" i="18" s="1"/>
  <c r="T63" i="21"/>
  <c r="U36" i="21"/>
  <c r="T41" i="21"/>
  <c r="U63" i="21"/>
  <c r="U35" i="21"/>
  <c r="U22" i="21"/>
  <c r="T34" i="21"/>
  <c r="U34" i="21"/>
  <c r="S38" i="21"/>
  <c r="U50" i="21"/>
  <c r="V53" i="18"/>
  <c r="L52" i="21"/>
  <c r="W39" i="18"/>
  <c r="L63" i="21"/>
  <c r="T39" i="18"/>
  <c r="S66" i="21"/>
  <c r="O11" i="21"/>
  <c r="W36" i="17" s="1"/>
  <c r="T37" i="21"/>
  <c r="M34" i="21"/>
  <c r="U78" i="18" s="1"/>
  <c r="S25" i="21"/>
  <c r="M66" i="21"/>
  <c r="T82" i="18"/>
  <c r="N37" i="21"/>
  <c r="V81" i="18" s="1"/>
  <c r="T56" i="18"/>
  <c r="S21" i="21"/>
  <c r="S55" i="21"/>
  <c r="U41" i="21"/>
  <c r="L37" i="21"/>
  <c r="T81" i="18" s="1"/>
  <c r="AP81" i="18" s="1"/>
  <c r="S33" i="21"/>
  <c r="T29" i="21"/>
  <c r="T21" i="21"/>
  <c r="T47" i="18"/>
  <c r="M29" i="21"/>
  <c r="U46" i="18" s="1"/>
  <c r="L21" i="21"/>
  <c r="T38" i="18" s="1"/>
  <c r="AU81" i="18"/>
  <c r="AU79" i="18"/>
  <c r="T42" i="18"/>
  <c r="AU26" i="17"/>
  <c r="L29" i="21"/>
  <c r="T46" i="18" s="1"/>
  <c r="M32" i="21"/>
  <c r="U76" i="18" s="1"/>
  <c r="U39" i="21"/>
  <c r="O36" i="21"/>
  <c r="S64" i="21"/>
  <c r="T39" i="21"/>
  <c r="U19" i="21"/>
  <c r="S53" i="21"/>
  <c r="S39" i="21"/>
  <c r="S23" i="21"/>
  <c r="S8" i="21"/>
  <c r="M39" i="21"/>
  <c r="N23" i="21"/>
  <c r="V40" i="18" s="1"/>
  <c r="M35" i="21"/>
  <c r="U52" i="18" s="1"/>
  <c r="E122" i="19"/>
  <c r="E95" i="19"/>
  <c r="E68" i="19"/>
  <c r="E126" i="19"/>
  <c r="E99" i="19"/>
  <c r="E72" i="19"/>
  <c r="G9" i="21"/>
  <c r="F43" i="5" s="1"/>
  <c r="F78" i="19"/>
  <c r="F96" i="19"/>
  <c r="G39" i="21"/>
  <c r="F109" i="19" s="1"/>
  <c r="F42" i="5"/>
  <c r="F95" i="19"/>
  <c r="F90" i="19"/>
  <c r="H31" i="21"/>
  <c r="E101" i="19" s="1"/>
  <c r="F44" i="5"/>
  <c r="F117" i="19"/>
  <c r="F66" i="19"/>
  <c r="G41" i="21"/>
  <c r="G37" i="21"/>
  <c r="H11" i="21"/>
  <c r="E75" i="19"/>
  <c r="F58" i="5"/>
  <c r="F102" i="19"/>
  <c r="E102" i="19"/>
  <c r="U34" i="17"/>
  <c r="U26" i="17"/>
  <c r="W45" i="18"/>
  <c r="T79" i="18"/>
  <c r="T52" i="18"/>
  <c r="U63" i="18"/>
  <c r="U36" i="18"/>
  <c r="T75" i="18"/>
  <c r="T48" i="18"/>
  <c r="F74" i="19"/>
  <c r="F128" i="19"/>
  <c r="V66" i="18"/>
  <c r="G66" i="18" s="1"/>
  <c r="AR66" i="18" s="1"/>
  <c r="AW66" i="18" s="1"/>
  <c r="V39" i="18"/>
  <c r="E94" i="19"/>
  <c r="E67" i="19"/>
  <c r="E121" i="19"/>
  <c r="W54" i="18"/>
  <c r="W81" i="18"/>
  <c r="V46" i="18"/>
  <c r="V73" i="18"/>
  <c r="U38" i="18"/>
  <c r="U65" i="18"/>
  <c r="E73" i="19"/>
  <c r="E100" i="19"/>
  <c r="E127" i="19"/>
  <c r="F76" i="19"/>
  <c r="F130" i="19"/>
  <c r="F103" i="19"/>
  <c r="W80" i="18"/>
  <c r="H80" i="18" s="1"/>
  <c r="W53" i="18"/>
  <c r="T27" i="17"/>
  <c r="T35" i="17"/>
  <c r="V76" i="18"/>
  <c r="V49" i="18"/>
  <c r="V54" i="18"/>
  <c r="L36" i="21"/>
  <c r="U54" i="18"/>
  <c r="L26" i="21"/>
  <c r="N28" i="21"/>
  <c r="U21" i="21"/>
  <c r="F62" i="19"/>
  <c r="F121" i="19"/>
  <c r="U38" i="21"/>
  <c r="M28" i="21"/>
  <c r="N18" i="21"/>
  <c r="V35" i="18" s="1"/>
  <c r="T38" i="21"/>
  <c r="L28" i="21"/>
  <c r="O66" i="21"/>
  <c r="G54" i="21"/>
  <c r="F86" i="5" s="1"/>
  <c r="S50" i="21"/>
  <c r="V68" i="18"/>
  <c r="T64" i="18"/>
  <c r="H18" i="21"/>
  <c r="O41" i="21"/>
  <c r="W85" i="18" s="1"/>
  <c r="U33" i="21"/>
  <c r="O24" i="21"/>
  <c r="U9" i="21"/>
  <c r="N66" i="21"/>
  <c r="F104" i="19"/>
  <c r="F100" i="19"/>
  <c r="U68" i="18"/>
  <c r="N33" i="21"/>
  <c r="U33" i="17"/>
  <c r="F132" i="19"/>
  <c r="F124" i="19"/>
  <c r="T18" i="21"/>
  <c r="N50" i="21"/>
  <c r="T33" i="17"/>
  <c r="O38" i="21"/>
  <c r="H36" i="21"/>
  <c r="M33" i="21"/>
  <c r="S30" i="21"/>
  <c r="P74" i="18" s="1"/>
  <c r="Q74" i="18" s="1"/>
  <c r="L24" i="21"/>
  <c r="N21" i="21"/>
  <c r="O9" i="21"/>
  <c r="N38" i="21"/>
  <c r="L33" i="21"/>
  <c r="O30" i="21"/>
  <c r="G28" i="21"/>
  <c r="N9" i="21"/>
  <c r="G66" i="21"/>
  <c r="F160" i="19" s="1"/>
  <c r="L53" i="21"/>
  <c r="L50" i="21"/>
  <c r="V33" i="17"/>
  <c r="F79" i="19"/>
  <c r="F75" i="19"/>
  <c r="F67" i="19"/>
  <c r="U39" i="18"/>
  <c r="AU80" i="18"/>
  <c r="AU77" i="18"/>
  <c r="E71" i="19"/>
  <c r="L9" i="21"/>
  <c r="T35" i="21"/>
  <c r="U11" i="21"/>
  <c r="O63" i="21"/>
  <c r="F51" i="5"/>
  <c r="F120" i="19"/>
  <c r="V79" i="18"/>
  <c r="T11" i="21"/>
  <c r="E51" i="5"/>
  <c r="S35" i="21"/>
  <c r="N27" i="21"/>
  <c r="M63" i="21"/>
  <c r="AU36" i="17"/>
  <c r="F89" i="19"/>
  <c r="P51" i="18"/>
  <c r="Q51" i="18" s="1"/>
  <c r="AW36" i="18"/>
  <c r="U82" i="18"/>
  <c r="U37" i="21"/>
  <c r="H38" i="21"/>
  <c r="O35" i="21"/>
  <c r="H33" i="21"/>
  <c r="U23" i="21"/>
  <c r="G21" i="21"/>
  <c r="U65" i="21"/>
  <c r="W77" i="18"/>
  <c r="W65" i="18"/>
  <c r="S37" i="21"/>
  <c r="T32" i="21"/>
  <c r="P76" i="18" s="1"/>
  <c r="Q76" i="18" s="1"/>
  <c r="O23" i="21"/>
  <c r="S20" i="21"/>
  <c r="N11" i="21"/>
  <c r="V36" i="17" s="1"/>
  <c r="G36" i="17" s="1"/>
  <c r="S52" i="21"/>
  <c r="L49" i="21"/>
  <c r="F131" i="19"/>
  <c r="F127" i="19"/>
  <c r="F123" i="19"/>
  <c r="AW49" i="18"/>
  <c r="AX49" i="18" s="1"/>
  <c r="P80" i="18"/>
  <c r="Q80" i="18" s="1"/>
  <c r="V67" i="18"/>
  <c r="S26" i="21"/>
  <c r="O20" i="21"/>
  <c r="O65" i="21"/>
  <c r="U53" i="18"/>
  <c r="V47" i="18"/>
  <c r="G47" i="18" s="1"/>
  <c r="AQ47" i="18" s="1"/>
  <c r="T65" i="18"/>
  <c r="H35" i="21"/>
  <c r="N20" i="21"/>
  <c r="O8" i="21"/>
  <c r="N65" i="21"/>
  <c r="AU25" i="17"/>
  <c r="T67" i="18"/>
  <c r="G67" i="18" s="1"/>
  <c r="AV81" i="18"/>
  <c r="AX81" i="18" s="1"/>
  <c r="F70" i="19"/>
  <c r="W49" i="18"/>
  <c r="S29" i="21"/>
  <c r="O29" i="21"/>
  <c r="S22" i="21"/>
  <c r="P66" i="18" s="1"/>
  <c r="Q66" i="18" s="1"/>
  <c r="G65" i="21"/>
  <c r="F159" i="19" s="1"/>
  <c r="U20" i="21"/>
  <c r="U64" i="21"/>
  <c r="E59" i="5"/>
  <c r="AP76" i="18"/>
  <c r="T10" i="21"/>
  <c r="F59" i="5"/>
  <c r="AW25" i="17"/>
  <c r="F122" i="19"/>
  <c r="O39" i="21"/>
  <c r="S19" i="21"/>
  <c r="S10" i="21"/>
  <c r="N39" i="21"/>
  <c r="O34" i="21"/>
  <c r="U54" i="21"/>
  <c r="S51" i="21"/>
  <c r="T19" i="21"/>
  <c r="N34" i="21"/>
  <c r="AU50" i="18"/>
  <c r="T49" i="18"/>
  <c r="S31" i="21"/>
  <c r="U28" i="21"/>
  <c r="T28" i="21"/>
  <c r="O10" i="21"/>
  <c r="T64" i="21"/>
  <c r="L34" i="21"/>
  <c r="E98" i="19"/>
  <c r="O19" i="21"/>
  <c r="S54" i="21"/>
  <c r="O31" i="21"/>
  <c r="N19" i="21"/>
  <c r="N10" i="21"/>
  <c r="O64" i="21"/>
  <c r="H39" i="21"/>
  <c r="N31" i="21"/>
  <c r="M10" i="21"/>
  <c r="U66" i="21"/>
  <c r="N64" i="21"/>
  <c r="O54" i="21"/>
  <c r="G51" i="21"/>
  <c r="F83" i="5" s="1"/>
  <c r="F106" i="19"/>
  <c r="U10" i="21"/>
  <c r="G22" i="21"/>
  <c r="L19" i="21"/>
  <c r="T66" i="21"/>
  <c r="N54" i="21"/>
  <c r="H34" i="21"/>
  <c r="M31" i="21"/>
  <c r="L64" i="21"/>
  <c r="M54" i="21"/>
  <c r="AC47" i="18"/>
  <c r="AB47" i="18" s="1"/>
  <c r="J47" i="18"/>
  <c r="F75" i="18"/>
  <c r="Z75" i="18" s="1"/>
  <c r="Z47" i="18"/>
  <c r="G67" i="21"/>
  <c r="F161" i="19" s="1"/>
  <c r="R67" i="21"/>
  <c r="Q67" i="21"/>
  <c r="K67" i="21"/>
  <c r="J67" i="21"/>
  <c r="E68" i="21"/>
  <c r="H68" i="21" s="1"/>
  <c r="E162" i="19" s="1"/>
  <c r="R68" i="21"/>
  <c r="Q68" i="21"/>
  <c r="K68" i="21"/>
  <c r="J68" i="21"/>
  <c r="AX79" i="18"/>
  <c r="AF78" i="18"/>
  <c r="H76" i="18"/>
  <c r="AF82" i="18"/>
  <c r="AO66" i="18"/>
  <c r="AO64" i="18"/>
  <c r="AR64" i="18"/>
  <c r="AW64" i="18" s="1"/>
  <c r="AT64" i="18"/>
  <c r="AW77" i="18"/>
  <c r="AO68" i="18"/>
  <c r="AF80" i="18"/>
  <c r="AB73" i="18"/>
  <c r="AV74" i="18"/>
  <c r="AX74" i="18" s="1"/>
  <c r="AF67" i="18"/>
  <c r="I67" i="18"/>
  <c r="AV78" i="18"/>
  <c r="AX78" i="18" s="1"/>
  <c r="AT76" i="18"/>
  <c r="AC75" i="18"/>
  <c r="AR74" i="18"/>
  <c r="AW74" i="18" s="1"/>
  <c r="AA73" i="18"/>
  <c r="AB75" i="18"/>
  <c r="Z73" i="18"/>
  <c r="AO72" i="18"/>
  <c r="AV80" i="18"/>
  <c r="AX80" i="18" s="1"/>
  <c r="AC77" i="18"/>
  <c r="AR76" i="18"/>
  <c r="AW76" i="18" s="1"/>
  <c r="AA75" i="18"/>
  <c r="AP74" i="18"/>
  <c r="AF64" i="18"/>
  <c r="AO74" i="18"/>
  <c r="AS74" i="18" s="1"/>
  <c r="AF66" i="18"/>
  <c r="AB79" i="18"/>
  <c r="AB83" i="18"/>
  <c r="AC68" i="18"/>
  <c r="AB68" i="18" s="1"/>
  <c r="I65" i="18"/>
  <c r="AA83" i="18"/>
  <c r="H65" i="18"/>
  <c r="Z83" i="18"/>
  <c r="AC70" i="18"/>
  <c r="AA68" i="18"/>
  <c r="AN65" i="18"/>
  <c r="AB81" i="18"/>
  <c r="AN82" i="18"/>
  <c r="AB70" i="18"/>
  <c r="I70" i="18" s="1"/>
  <c r="AT73" i="18"/>
  <c r="AA70" i="18"/>
  <c r="I69" i="18"/>
  <c r="AN67" i="18"/>
  <c r="AB72" i="18"/>
  <c r="AV77" i="18"/>
  <c r="AT75" i="18"/>
  <c r="AR73" i="18"/>
  <c r="AW73" i="18" s="1"/>
  <c r="AA72" i="18"/>
  <c r="AN69" i="18"/>
  <c r="AB74" i="18"/>
  <c r="AB76" i="18"/>
  <c r="AA78" i="18"/>
  <c r="P78" i="18" s="1"/>
  <c r="Q78" i="18" s="1"/>
  <c r="I64" i="18"/>
  <c r="AT85" i="18"/>
  <c r="AB84" i="18"/>
  <c r="AA67" i="18"/>
  <c r="AR85" i="18"/>
  <c r="AB69" i="18"/>
  <c r="AA69" i="18"/>
  <c r="AB71" i="18"/>
  <c r="I71" i="18" s="1"/>
  <c r="AF47" i="18"/>
  <c r="I47" i="18"/>
  <c r="AU37" i="18"/>
  <c r="AV37" i="18"/>
  <c r="AC37" i="18"/>
  <c r="AW37" i="18" s="1"/>
  <c r="Z37" i="18"/>
  <c r="AO38" i="18"/>
  <c r="Z55" i="18"/>
  <c r="AU49" i="18"/>
  <c r="Z42" i="18"/>
  <c r="AO40" i="18"/>
  <c r="AU46" i="18"/>
  <c r="AV46" i="18"/>
  <c r="AV54" i="18"/>
  <c r="Z54" i="18"/>
  <c r="AO55" i="18"/>
  <c r="AS55" i="18" s="1"/>
  <c r="AR55" i="18"/>
  <c r="AT55" i="18"/>
  <c r="AU36" i="18"/>
  <c r="AV36" i="18"/>
  <c r="AO53" i="18"/>
  <c r="AS53" i="18" s="1"/>
  <c r="AR53" i="18"/>
  <c r="AW53" i="18" s="1"/>
  <c r="AT53" i="18"/>
  <c r="AF51" i="18"/>
  <c r="AF49" i="18"/>
  <c r="AU48" i="18"/>
  <c r="AB45" i="18"/>
  <c r="Z43" i="18"/>
  <c r="AO42" i="18"/>
  <c r="Z45" i="18"/>
  <c r="AV52" i="18"/>
  <c r="AA47" i="18"/>
  <c r="AF53" i="18"/>
  <c r="AO46" i="18"/>
  <c r="AS46" i="18" s="1"/>
  <c r="Z49" i="18"/>
  <c r="AB36" i="18"/>
  <c r="AR54" i="18"/>
  <c r="AA53" i="18"/>
  <c r="P53" i="18" s="1"/>
  <c r="Q53" i="18" s="1"/>
  <c r="Z36" i="18"/>
  <c r="AC40" i="18"/>
  <c r="AA55" i="18"/>
  <c r="AB40" i="18"/>
  <c r="AC42" i="18"/>
  <c r="AA40" i="18"/>
  <c r="Y38" i="18"/>
  <c r="Y55" i="18"/>
  <c r="X38" i="18"/>
  <c r="X55" i="18"/>
  <c r="Y40" i="18"/>
  <c r="AN39" i="18"/>
  <c r="X40" i="18"/>
  <c r="Z40" i="18" s="1"/>
  <c r="Y42" i="18"/>
  <c r="AN41" i="18"/>
  <c r="X42" i="18"/>
  <c r="AB42" i="18" s="1"/>
  <c r="Y44" i="18"/>
  <c r="AN43" i="18"/>
  <c r="X44" i="18"/>
  <c r="AA48" i="18"/>
  <c r="Y46" i="18"/>
  <c r="AC46" i="18" s="1"/>
  <c r="AN45" i="18"/>
  <c r="X46" i="18"/>
  <c r="Y48" i="18"/>
  <c r="AC48" i="18" s="1"/>
  <c r="AN47" i="18"/>
  <c r="AB37" i="18"/>
  <c r="X50" i="18"/>
  <c r="AA37" i="18"/>
  <c r="AA54" i="18"/>
  <c r="Y52" i="18"/>
  <c r="AN51" i="18"/>
  <c r="X52" i="18"/>
  <c r="Y37" i="18"/>
  <c r="Y54" i="18"/>
  <c r="AB41" i="18"/>
  <c r="X37" i="18"/>
  <c r="X54" i="18"/>
  <c r="AA41" i="18"/>
  <c r="Y39" i="18"/>
  <c r="Y56" i="18"/>
  <c r="AA56" i="18" s="1"/>
  <c r="AB43" i="18"/>
  <c r="X39" i="18"/>
  <c r="AC39" i="18" s="1"/>
  <c r="K19" i="18"/>
  <c r="K18" i="18"/>
  <c r="J17" i="18"/>
  <c r="K17" i="18" s="1"/>
  <c r="K22" i="18"/>
  <c r="K16" i="18"/>
  <c r="K21" i="18"/>
  <c r="AF162" i="19"/>
  <c r="I162" i="19"/>
  <c r="AA158" i="19"/>
  <c r="AA159" i="19"/>
  <c r="Y158" i="19"/>
  <c r="Z159" i="19"/>
  <c r="X158" i="19"/>
  <c r="Y159" i="19"/>
  <c r="Z160" i="19"/>
  <c r="AA161" i="19"/>
  <c r="Y160" i="19"/>
  <c r="Z161" i="19"/>
  <c r="X160" i="19"/>
  <c r="AA162" i="19"/>
  <c r="Y161" i="19"/>
  <c r="Z162" i="19"/>
  <c r="X161" i="19"/>
  <c r="X159" i="19"/>
  <c r="Y162" i="19"/>
  <c r="T162" i="19"/>
  <c r="J157" i="19"/>
  <c r="R162" i="19"/>
  <c r="Q162" i="19"/>
  <c r="P162" i="19"/>
  <c r="O162" i="19"/>
  <c r="AB121" i="19"/>
  <c r="D132" i="19"/>
  <c r="AE129" i="19"/>
  <c r="AG129" i="19" s="1"/>
  <c r="D118" i="19"/>
  <c r="I24" i="19"/>
  <c r="AD129" i="19"/>
  <c r="AF129" i="19" s="1"/>
  <c r="D133" i="19"/>
  <c r="D126" i="19"/>
  <c r="AE124" i="19"/>
  <c r="AG124" i="19" s="1"/>
  <c r="AD124" i="19"/>
  <c r="AF124" i="19" s="1"/>
  <c r="AB93" i="19"/>
  <c r="D134" i="19"/>
  <c r="AB130" i="19"/>
  <c r="AB120" i="19"/>
  <c r="AE117" i="19"/>
  <c r="AG117" i="19" s="1"/>
  <c r="D127" i="19"/>
  <c r="AE108" i="19"/>
  <c r="AG108" i="19" s="1"/>
  <c r="AE132" i="19"/>
  <c r="AG132" i="19" s="1"/>
  <c r="D72" i="19"/>
  <c r="AD132" i="19"/>
  <c r="AF132" i="19" s="1"/>
  <c r="D119" i="19"/>
  <c r="AF103" i="19"/>
  <c r="AG97" i="19"/>
  <c r="D135" i="19"/>
  <c r="AB92" i="19"/>
  <c r="D47" i="19"/>
  <c r="AE92" i="19"/>
  <c r="AG92" i="19" s="1"/>
  <c r="D128" i="19"/>
  <c r="D100" i="19"/>
  <c r="AF108" i="19"/>
  <c r="D45" i="19"/>
  <c r="AE103" i="19"/>
  <c r="AG103" i="19" s="1"/>
  <c r="D136" i="19"/>
  <c r="AE127" i="19"/>
  <c r="AG127" i="19" s="1"/>
  <c r="D120" i="19"/>
  <c r="D129" i="19"/>
  <c r="AD127" i="19"/>
  <c r="AF127" i="19" s="1"/>
  <c r="D124" i="19"/>
  <c r="AE122" i="19"/>
  <c r="AG122" i="19" s="1"/>
  <c r="D117" i="19"/>
  <c r="D107" i="19"/>
  <c r="AE135" i="19"/>
  <c r="AG135" i="19" s="1"/>
  <c r="AD122" i="19"/>
  <c r="AF122" i="19" s="1"/>
  <c r="AB63" i="19"/>
  <c r="AF81" i="19"/>
  <c r="AB108" i="19"/>
  <c r="D78" i="19"/>
  <c r="AD135" i="19"/>
  <c r="AF135" i="19" s="1"/>
  <c r="D130" i="19"/>
  <c r="AE119" i="19"/>
  <c r="AG119" i="19" s="1"/>
  <c r="AB135" i="19"/>
  <c r="AD119" i="19"/>
  <c r="AF119" i="19" s="1"/>
  <c r="AF100" i="19"/>
  <c r="D131" i="19"/>
  <c r="AF75" i="19"/>
  <c r="AF106" i="19"/>
  <c r="D125" i="19"/>
  <c r="D121" i="19"/>
  <c r="AB119" i="19"/>
  <c r="AB110" i="19"/>
  <c r="AD110" i="19"/>
  <c r="AF110" i="19" s="1"/>
  <c r="AE110" i="19"/>
  <c r="AG110" i="19" s="1"/>
  <c r="AB91" i="19"/>
  <c r="AB101" i="19"/>
  <c r="AB107" i="19"/>
  <c r="I21" i="19"/>
  <c r="J21" i="19" s="1"/>
  <c r="K21" i="19" s="1"/>
  <c r="C100" i="19"/>
  <c r="AE105" i="19"/>
  <c r="AG105" i="19" s="1"/>
  <c r="D97" i="19"/>
  <c r="AB70" i="19"/>
  <c r="C97" i="19"/>
  <c r="AE102" i="19"/>
  <c r="AG102" i="19" s="1"/>
  <c r="D94" i="19"/>
  <c r="C110" i="19"/>
  <c r="C94" i="19"/>
  <c r="G45" i="19"/>
  <c r="AB126" i="19" s="1"/>
  <c r="D91" i="19"/>
  <c r="C107" i="19"/>
  <c r="C91" i="19"/>
  <c r="D104" i="19"/>
  <c r="AB81" i="19"/>
  <c r="C79" i="19"/>
  <c r="C104" i="19"/>
  <c r="D101" i="19"/>
  <c r="AE93" i="19"/>
  <c r="AG93" i="19" s="1"/>
  <c r="I13" i="19"/>
  <c r="J13" i="19" s="1"/>
  <c r="C101" i="19"/>
  <c r="AE106" i="19"/>
  <c r="AG106" i="19" s="1"/>
  <c r="D98" i="19"/>
  <c r="AE90" i="19"/>
  <c r="AG90" i="19" s="1"/>
  <c r="J12" i="19"/>
  <c r="K12" i="19" s="1"/>
  <c r="C71" i="19"/>
  <c r="D95" i="19"/>
  <c r="G42" i="19"/>
  <c r="C95" i="19"/>
  <c r="AB90" i="19"/>
  <c r="D42" i="19"/>
  <c r="D108" i="19"/>
  <c r="AE100" i="19"/>
  <c r="AG100" i="19" s="1"/>
  <c r="D92" i="19"/>
  <c r="C108" i="19"/>
  <c r="C92" i="19"/>
  <c r="AF73" i="19"/>
  <c r="D105" i="19"/>
  <c r="C105" i="19"/>
  <c r="AF97" i="19"/>
  <c r="D102" i="19"/>
  <c r="C102" i="19"/>
  <c r="AB97" i="19"/>
  <c r="C99" i="19"/>
  <c r="D96" i="19"/>
  <c r="C96" i="19"/>
  <c r="D109" i="19"/>
  <c r="D93" i="19"/>
  <c r="AF65" i="19"/>
  <c r="H37" i="19"/>
  <c r="C109" i="19"/>
  <c r="C93" i="19"/>
  <c r="D106" i="19"/>
  <c r="AE98" i="19"/>
  <c r="AG98" i="19" s="1"/>
  <c r="D90" i="19"/>
  <c r="C90" i="19"/>
  <c r="D48" i="19"/>
  <c r="D103" i="19"/>
  <c r="AE95" i="19"/>
  <c r="AG95" i="19" s="1"/>
  <c r="C103" i="19"/>
  <c r="AB65" i="19"/>
  <c r="AB77" i="19"/>
  <c r="AB83" i="19"/>
  <c r="AD63" i="19"/>
  <c r="AF63" i="19" s="1"/>
  <c r="AE63" i="19"/>
  <c r="AG63" i="19" s="1"/>
  <c r="D67" i="19"/>
  <c r="I9" i="19"/>
  <c r="J9" i="19" s="1"/>
  <c r="I15" i="19"/>
  <c r="J8" i="19"/>
  <c r="K8" i="19" s="1"/>
  <c r="D71" i="19"/>
  <c r="D64" i="19"/>
  <c r="AE73" i="19"/>
  <c r="AG73" i="19" s="1"/>
  <c r="I20" i="19"/>
  <c r="J20" i="19" s="1"/>
  <c r="K20" i="19" s="1"/>
  <c r="I14" i="19"/>
  <c r="J14" i="19" s="1"/>
  <c r="K14" i="19" s="1"/>
  <c r="D68" i="19"/>
  <c r="AE70" i="19"/>
  <c r="AG70" i="19" s="1"/>
  <c r="H47" i="19"/>
  <c r="D38" i="19"/>
  <c r="D79" i="19"/>
  <c r="G47" i="19"/>
  <c r="I19" i="19"/>
  <c r="J19" i="19" s="1"/>
  <c r="I7" i="19"/>
  <c r="J7" i="19" s="1"/>
  <c r="K7" i="19" s="1"/>
  <c r="AE81" i="19"/>
  <c r="AG81" i="19" s="1"/>
  <c r="D76" i="19"/>
  <c r="J24" i="19"/>
  <c r="K24" i="19" s="1"/>
  <c r="G37" i="19"/>
  <c r="AE78" i="19"/>
  <c r="AG78" i="19" s="1"/>
  <c r="D80" i="19"/>
  <c r="D73" i="19"/>
  <c r="D66" i="19"/>
  <c r="G53" i="19"/>
  <c r="AE75" i="19"/>
  <c r="AG75" i="19" s="1"/>
  <c r="I17" i="19"/>
  <c r="J17" i="19" s="1"/>
  <c r="AE68" i="19"/>
  <c r="AG68" i="19" s="1"/>
  <c r="D77" i="19"/>
  <c r="D70" i="19"/>
  <c r="G52" i="19"/>
  <c r="D63" i="19"/>
  <c r="I22" i="19"/>
  <c r="J22" i="19" s="1"/>
  <c r="I10" i="19"/>
  <c r="J10" i="19" s="1"/>
  <c r="F38" i="19" s="1"/>
  <c r="P38" i="19" s="1"/>
  <c r="AE65" i="19"/>
  <c r="AG65" i="19" s="1"/>
  <c r="H42" i="19"/>
  <c r="AB96" i="19" s="1"/>
  <c r="D81" i="19"/>
  <c r="I38" i="19"/>
  <c r="J38" i="19"/>
  <c r="K9" i="19"/>
  <c r="I43" i="19"/>
  <c r="J43" i="19"/>
  <c r="K43" i="19"/>
  <c r="I36" i="19"/>
  <c r="J36" i="19"/>
  <c r="K36" i="19"/>
  <c r="I54" i="19"/>
  <c r="I48" i="19"/>
  <c r="I41" i="19"/>
  <c r="J41" i="19"/>
  <c r="K41" i="19"/>
  <c r="I46" i="19"/>
  <c r="J46" i="19"/>
  <c r="K46" i="19"/>
  <c r="I51" i="19"/>
  <c r="K16" i="19"/>
  <c r="K38" i="19"/>
  <c r="E51" i="19"/>
  <c r="H40" i="19"/>
  <c r="H45" i="19"/>
  <c r="G40" i="19"/>
  <c r="H50" i="19"/>
  <c r="I11" i="19"/>
  <c r="J11" i="19" s="1"/>
  <c r="G50" i="19"/>
  <c r="I26" i="19"/>
  <c r="J26" i="19" s="1"/>
  <c r="G56" i="19"/>
  <c r="H53" i="19"/>
  <c r="I25" i="19"/>
  <c r="J25" i="19" s="1"/>
  <c r="J15" i="19"/>
  <c r="G44" i="19"/>
  <c r="E44" i="19"/>
  <c r="G39" i="19"/>
  <c r="G55" i="19"/>
  <c r="AB136" i="19" s="1"/>
  <c r="G49" i="19"/>
  <c r="D55" i="19"/>
  <c r="E46" i="19"/>
  <c r="E41" i="19"/>
  <c r="J23" i="19"/>
  <c r="J18" i="19"/>
  <c r="E48" i="19"/>
  <c r="K48" i="19"/>
  <c r="K51" i="19"/>
  <c r="J48" i="19"/>
  <c r="K54" i="19"/>
  <c r="J51" i="19"/>
  <c r="J54" i="19"/>
  <c r="AT34" i="17"/>
  <c r="AO34" i="17"/>
  <c r="AS34" i="17" s="1"/>
  <c r="AR34" i="17"/>
  <c r="AW34" i="17" s="1"/>
  <c r="AD36" i="17"/>
  <c r="AI36" i="17" s="1"/>
  <c r="AF36" i="17"/>
  <c r="AL36" i="17"/>
  <c r="M36" i="17" s="1"/>
  <c r="AV36" i="17"/>
  <c r="AX36" i="17" s="1"/>
  <c r="AJ36" i="17"/>
  <c r="AK36" i="17" s="1"/>
  <c r="L36" i="17" s="1"/>
  <c r="AE36" i="17"/>
  <c r="AD34" i="17"/>
  <c r="AA36" i="17"/>
  <c r="I35" i="17"/>
  <c r="AN35" i="17"/>
  <c r="AB35" i="17"/>
  <c r="AA35" i="17"/>
  <c r="AV26" i="17"/>
  <c r="AC26" i="17"/>
  <c r="AW26" i="17" s="1"/>
  <c r="Z26" i="17"/>
  <c r="AO27" i="17"/>
  <c r="AS27" i="17" s="1"/>
  <c r="AR27" i="17"/>
  <c r="AT27" i="17"/>
  <c r="AV25" i="17"/>
  <c r="AB25" i="17"/>
  <c r="Z25" i="17"/>
  <c r="Y27" i="17"/>
  <c r="X27" i="17"/>
  <c r="AA26" i="17"/>
  <c r="AP25" i="17"/>
  <c r="AB26" i="17"/>
  <c r="Y26" i="17"/>
  <c r="X26" i="17"/>
  <c r="AD85" i="5"/>
  <c r="I81" i="5"/>
  <c r="J81" i="5"/>
  <c r="AA81" i="5"/>
  <c r="X86" i="5"/>
  <c r="X87" i="5"/>
  <c r="X82" i="5"/>
  <c r="W82" i="5"/>
  <c r="O81" i="5"/>
  <c r="X83" i="5"/>
  <c r="W83" i="5"/>
  <c r="W84" i="5"/>
  <c r="AE84" i="5" s="1"/>
  <c r="V84" i="5"/>
  <c r="AD84" i="5" s="1"/>
  <c r="R84" i="5"/>
  <c r="X85" i="5"/>
  <c r="W85" i="5"/>
  <c r="AE85" i="5" s="1"/>
  <c r="AC59" i="5"/>
  <c r="AE59" i="5" s="1"/>
  <c r="AB59" i="5"/>
  <c r="AD59" i="5" s="1"/>
  <c r="AC52" i="5"/>
  <c r="AE52" i="5" s="1"/>
  <c r="AB52" i="5"/>
  <c r="AD52" i="5" s="1"/>
  <c r="Z52" i="5"/>
  <c r="C52" i="5"/>
  <c r="AC51" i="5"/>
  <c r="AE51" i="5" s="1"/>
  <c r="AB51" i="5"/>
  <c r="AD51" i="5" s="1"/>
  <c r="I7" i="5"/>
  <c r="J7" i="5" s="1"/>
  <c r="C51" i="5"/>
  <c r="Z43" i="5"/>
  <c r="AB43" i="5"/>
  <c r="AD43" i="5" s="1"/>
  <c r="AC43" i="5"/>
  <c r="AE43" i="5" s="1"/>
  <c r="D44" i="5"/>
  <c r="D52" i="5" s="1"/>
  <c r="G36" i="5"/>
  <c r="D43" i="5"/>
  <c r="D51" i="5" s="1"/>
  <c r="K7" i="5"/>
  <c r="F35" i="5"/>
  <c r="P35" i="5" s="1"/>
  <c r="I35" i="5"/>
  <c r="J35" i="5"/>
  <c r="K35" i="5"/>
  <c r="I9" i="5"/>
  <c r="J9" i="5" s="1"/>
  <c r="H50" i="21"/>
  <c r="E82" i="5" s="1"/>
  <c r="H54" i="21"/>
  <c r="E86" i="5" s="1"/>
  <c r="H52" i="21"/>
  <c r="E84" i="5" s="1"/>
  <c r="U55" i="21"/>
  <c r="U53" i="21"/>
  <c r="U51" i="21"/>
  <c r="U49" i="21"/>
  <c r="T55" i="21"/>
  <c r="T53" i="21"/>
  <c r="T51" i="21"/>
  <c r="T49" i="21"/>
  <c r="O55" i="21"/>
  <c r="O53" i="21"/>
  <c r="O51" i="21"/>
  <c r="O49" i="21"/>
  <c r="N55" i="21"/>
  <c r="N53" i="21"/>
  <c r="N51" i="21"/>
  <c r="N49" i="21"/>
  <c r="M55" i="21"/>
  <c r="M53" i="21"/>
  <c r="M51" i="21"/>
  <c r="M49" i="21"/>
  <c r="H55" i="21"/>
  <c r="E87" i="5" s="1"/>
  <c r="H53" i="21"/>
  <c r="E85" i="5" s="1"/>
  <c r="H51" i="21"/>
  <c r="E83" i="5" s="1"/>
  <c r="H49" i="21"/>
  <c r="E81" i="5" s="1"/>
  <c r="G81" i="5" s="1"/>
  <c r="M81" i="5" s="1"/>
  <c r="O48" i="21"/>
  <c r="N48" i="21"/>
  <c r="M48" i="21"/>
  <c r="L48" i="21"/>
  <c r="F48" i="21"/>
  <c r="Q48" i="21"/>
  <c r="R48" i="21"/>
  <c r="G64" i="21"/>
  <c r="F158" i="19" s="1"/>
  <c r="H64" i="21"/>
  <c r="E158" i="19" s="1"/>
  <c r="N63" i="21"/>
  <c r="H67" i="21"/>
  <c r="E161" i="19" s="1"/>
  <c r="H65" i="21"/>
  <c r="E159" i="19" s="1"/>
  <c r="H63" i="21"/>
  <c r="E157" i="19" s="1"/>
  <c r="E62" i="21"/>
  <c r="F62" i="21"/>
  <c r="J62" i="21"/>
  <c r="O62" i="21" s="1"/>
  <c r="Q62" i="21"/>
  <c r="R62" i="21"/>
  <c r="S9" i="21"/>
  <c r="P34" i="17" s="1"/>
  <c r="Q34" i="17" s="1"/>
  <c r="U8" i="21"/>
  <c r="T8" i="21"/>
  <c r="H8" i="21"/>
  <c r="H10" i="21"/>
  <c r="E7" i="21"/>
  <c r="J7" i="21"/>
  <c r="K7" i="21"/>
  <c r="F7" i="21"/>
  <c r="Q7" i="21"/>
  <c r="T33" i="21"/>
  <c r="M27" i="21"/>
  <c r="H23" i="21"/>
  <c r="L27" i="21"/>
  <c r="T20" i="21"/>
  <c r="H27" i="21"/>
  <c r="M20" i="21"/>
  <c r="U30" i="21"/>
  <c r="N41" i="21"/>
  <c r="V85" i="18" s="1"/>
  <c r="O26" i="21"/>
  <c r="H20" i="21"/>
  <c r="M41" i="21"/>
  <c r="U85" i="18" s="1"/>
  <c r="H37" i="21"/>
  <c r="U32" i="21"/>
  <c r="N26" i="21"/>
  <c r="L41" i="21"/>
  <c r="T85" i="18" s="1"/>
  <c r="M26" i="21"/>
  <c r="H22" i="21"/>
  <c r="M30" i="21"/>
  <c r="H26" i="21"/>
  <c r="T23" i="21"/>
  <c r="U25" i="21"/>
  <c r="T25" i="21"/>
  <c r="U27" i="21"/>
  <c r="G38" i="21"/>
  <c r="T27" i="21"/>
  <c r="S27" i="21"/>
  <c r="U29" i="21"/>
  <c r="O25" i="21"/>
  <c r="M23" i="21"/>
  <c r="H19" i="21"/>
  <c r="U31" i="21"/>
  <c r="N25" i="21"/>
  <c r="O27" i="21"/>
  <c r="M25" i="21"/>
  <c r="H21" i="21"/>
  <c r="T31" i="21"/>
  <c r="S18" i="21"/>
  <c r="L18" i="21"/>
  <c r="T35" i="18" s="1"/>
  <c r="U18" i="21"/>
  <c r="M18" i="21"/>
  <c r="U35" i="18" s="1"/>
  <c r="AF30" i="574"/>
  <c r="AF29" i="574"/>
  <c r="AF28" i="574"/>
  <c r="P68" i="18" l="1"/>
  <c r="Q68" i="18" s="1"/>
  <c r="P81" i="18"/>
  <c r="Q81" i="18" s="1"/>
  <c r="P45" i="18"/>
  <c r="Q45" i="18" s="1"/>
  <c r="P72" i="18"/>
  <c r="Q72" i="18" s="1"/>
  <c r="P67" i="18"/>
  <c r="Q67" i="18" s="1"/>
  <c r="G49" i="18"/>
  <c r="AQ49" i="18" s="1"/>
  <c r="P65" i="18"/>
  <c r="Q65" i="18" s="1"/>
  <c r="AU74" i="18"/>
  <c r="F126" i="19"/>
  <c r="F99" i="19"/>
  <c r="P83" i="18"/>
  <c r="Q83" i="18" s="1"/>
  <c r="P55" i="18"/>
  <c r="Q55" i="18" s="1"/>
  <c r="P36" i="18"/>
  <c r="Q36" i="18" s="1"/>
  <c r="P43" i="18"/>
  <c r="Q43" i="18" s="1"/>
  <c r="P70" i="18"/>
  <c r="Q70" i="18" s="1"/>
  <c r="U49" i="18"/>
  <c r="H49" i="18"/>
  <c r="U79" i="18"/>
  <c r="U51" i="18"/>
  <c r="O49" i="18"/>
  <c r="T54" i="18"/>
  <c r="AQ66" i="18"/>
  <c r="U67" i="21"/>
  <c r="P64" i="18"/>
  <c r="Q64" i="18" s="1"/>
  <c r="P36" i="17"/>
  <c r="Q36" i="17" s="1"/>
  <c r="P82" i="18"/>
  <c r="Q82" i="18" s="1"/>
  <c r="P77" i="18"/>
  <c r="Q77" i="18" s="1"/>
  <c r="P35" i="17"/>
  <c r="Q35" i="17" s="1"/>
  <c r="P33" i="17"/>
  <c r="P47" i="18"/>
  <c r="Q47" i="18" s="1"/>
  <c r="U73" i="18"/>
  <c r="P79" i="18"/>
  <c r="Q79" i="18" s="1"/>
  <c r="T73" i="18"/>
  <c r="AP73" i="18" s="1"/>
  <c r="U83" i="18"/>
  <c r="U56" i="18"/>
  <c r="P73" i="18"/>
  <c r="Q73" i="18" s="1"/>
  <c r="P71" i="18"/>
  <c r="Q71" i="18" s="1"/>
  <c r="AX25" i="17"/>
  <c r="F80" i="19"/>
  <c r="F107" i="19"/>
  <c r="F134" i="19"/>
  <c r="E128" i="19"/>
  <c r="E74" i="19"/>
  <c r="F136" i="19"/>
  <c r="F82" i="19"/>
  <c r="W34" i="17"/>
  <c r="H34" i="17" s="1"/>
  <c r="W26" i="17"/>
  <c r="V38" i="18"/>
  <c r="AP38" i="18" s="1"/>
  <c r="AS38" i="18" s="1"/>
  <c r="V65" i="18"/>
  <c r="U27" i="17"/>
  <c r="U35" i="17"/>
  <c r="T41" i="18"/>
  <c r="G41" i="18" s="1"/>
  <c r="AR41" i="18" s="1"/>
  <c r="AW41" i="18" s="1"/>
  <c r="T68" i="18"/>
  <c r="G68" i="18" s="1"/>
  <c r="T72" i="18"/>
  <c r="T45" i="18"/>
  <c r="G45" i="18" s="1"/>
  <c r="V75" i="18"/>
  <c r="AP75" i="18" s="1"/>
  <c r="V48" i="18"/>
  <c r="AP48" i="18" s="1"/>
  <c r="E109" i="19"/>
  <c r="E82" i="19"/>
  <c r="E136" i="19"/>
  <c r="U77" i="18"/>
  <c r="U50" i="18"/>
  <c r="E44" i="5"/>
  <c r="E60" i="5"/>
  <c r="E52" i="5"/>
  <c r="P25" i="17"/>
  <c r="Q25" i="17" s="1"/>
  <c r="E133" i="19"/>
  <c r="E106" i="19"/>
  <c r="E79" i="19"/>
  <c r="U72" i="18"/>
  <c r="H72" i="18" s="1"/>
  <c r="U45" i="18"/>
  <c r="H45" i="18" s="1"/>
  <c r="W55" i="18"/>
  <c r="W82" i="18"/>
  <c r="H82" i="18" s="1"/>
  <c r="P40" i="18"/>
  <c r="Q40" i="18" s="1"/>
  <c r="V27" i="17"/>
  <c r="V35" i="17"/>
  <c r="V63" i="18"/>
  <c r="V36" i="18"/>
  <c r="E50" i="5"/>
  <c r="E42" i="5"/>
  <c r="E58" i="5"/>
  <c r="W75" i="18"/>
  <c r="W48" i="18"/>
  <c r="E123" i="19"/>
  <c r="E69" i="19"/>
  <c r="E96" i="19"/>
  <c r="W63" i="18"/>
  <c r="W36" i="18"/>
  <c r="H36" i="18" s="1"/>
  <c r="W40" i="18"/>
  <c r="H40" i="18" s="1"/>
  <c r="W67" i="18"/>
  <c r="H67" i="18" s="1"/>
  <c r="U74" i="18"/>
  <c r="U47" i="18"/>
  <c r="E65" i="19"/>
  <c r="E119" i="19"/>
  <c r="E92" i="19"/>
  <c r="V72" i="18"/>
  <c r="V45" i="18"/>
  <c r="T78" i="18"/>
  <c r="T51" i="18"/>
  <c r="W46" i="18"/>
  <c r="W73" i="18"/>
  <c r="T70" i="18"/>
  <c r="T43" i="18"/>
  <c r="V43" i="18"/>
  <c r="V70" i="18"/>
  <c r="W35" i="17"/>
  <c r="W27" i="17"/>
  <c r="T80" i="18"/>
  <c r="T53" i="18"/>
  <c r="AP36" i="17"/>
  <c r="T34" i="17"/>
  <c r="T26" i="17"/>
  <c r="AP26" i="17" s="1"/>
  <c r="AX36" i="18"/>
  <c r="V50" i="18"/>
  <c r="V77" i="18"/>
  <c r="U70" i="18"/>
  <c r="U43" i="18"/>
  <c r="E107" i="19"/>
  <c r="E134" i="19"/>
  <c r="E80" i="19"/>
  <c r="AP49" i="18"/>
  <c r="F64" i="19"/>
  <c r="F118" i="19"/>
  <c r="F91" i="19"/>
  <c r="E90" i="19"/>
  <c r="E63" i="19"/>
  <c r="E117" i="19"/>
  <c r="P69" i="18"/>
  <c r="Q69" i="18" s="1"/>
  <c r="E130" i="19"/>
  <c r="E103" i="19"/>
  <c r="E76" i="19"/>
  <c r="H53" i="18"/>
  <c r="W43" i="18"/>
  <c r="W70" i="18"/>
  <c r="U75" i="18"/>
  <c r="U48" i="18"/>
  <c r="W52" i="18"/>
  <c r="W79" i="18"/>
  <c r="H79" i="18" s="1"/>
  <c r="E77" i="19"/>
  <c r="E131" i="19"/>
  <c r="E104" i="19"/>
  <c r="V78" i="18"/>
  <c r="V51" i="18"/>
  <c r="W25" i="17"/>
  <c r="H25" i="17" s="1"/>
  <c r="W33" i="17"/>
  <c r="E81" i="19"/>
  <c r="E135" i="19"/>
  <c r="E108" i="19"/>
  <c r="U69" i="18"/>
  <c r="U42" i="18"/>
  <c r="E97" i="19"/>
  <c r="E70" i="19"/>
  <c r="E124" i="19"/>
  <c r="V37" i="18"/>
  <c r="AP37" i="18" s="1"/>
  <c r="V64" i="18"/>
  <c r="AP64" i="18" s="1"/>
  <c r="AS64" i="18" s="1"/>
  <c r="W41" i="18"/>
  <c r="H41" i="18" s="1"/>
  <c r="W68" i="18"/>
  <c r="U37" i="18"/>
  <c r="U64" i="18"/>
  <c r="W71" i="18"/>
  <c r="W44" i="18"/>
  <c r="E105" i="19"/>
  <c r="E78" i="19"/>
  <c r="E132" i="19"/>
  <c r="E118" i="19"/>
  <c r="E91" i="19"/>
  <c r="E64" i="19"/>
  <c r="T44" i="18"/>
  <c r="T71" i="18"/>
  <c r="G65" i="18"/>
  <c r="AR65" i="18" s="1"/>
  <c r="AW65" i="18" s="1"/>
  <c r="F81" i="19"/>
  <c r="F135" i="19"/>
  <c r="F108" i="19"/>
  <c r="E93" i="19"/>
  <c r="E66" i="19"/>
  <c r="E120" i="19"/>
  <c r="H81" i="5"/>
  <c r="T63" i="18"/>
  <c r="T36" i="18"/>
  <c r="V69" i="18"/>
  <c r="G69" i="18" s="1"/>
  <c r="AQ69" i="18" s="1"/>
  <c r="V42" i="18"/>
  <c r="AP42" i="18" s="1"/>
  <c r="AS42" i="18" s="1"/>
  <c r="U44" i="18"/>
  <c r="U71" i="18"/>
  <c r="P49" i="18"/>
  <c r="Q49" i="18" s="1"/>
  <c r="F65" i="19"/>
  <c r="F119" i="19"/>
  <c r="F92" i="19"/>
  <c r="W78" i="18"/>
  <c r="H78" i="18" s="1"/>
  <c r="W51" i="18"/>
  <c r="V34" i="17"/>
  <c r="V26" i="17"/>
  <c r="E62" i="19"/>
  <c r="E116" i="19"/>
  <c r="E89" i="19"/>
  <c r="V83" i="18"/>
  <c r="V56" i="18"/>
  <c r="F125" i="19"/>
  <c r="F98" i="19"/>
  <c r="F71" i="19"/>
  <c r="U40" i="18"/>
  <c r="U67" i="18"/>
  <c r="W64" i="18"/>
  <c r="W37" i="18"/>
  <c r="W74" i="18"/>
  <c r="W47" i="18"/>
  <c r="P63" i="18"/>
  <c r="V71" i="18"/>
  <c r="V44" i="18"/>
  <c r="T77" i="18"/>
  <c r="AP77" i="18" s="1"/>
  <c r="T50" i="18"/>
  <c r="W69" i="18"/>
  <c r="H69" i="18" s="1"/>
  <c r="W42" i="18"/>
  <c r="W83" i="18"/>
  <c r="W56" i="18"/>
  <c r="V55" i="18"/>
  <c r="V82" i="18"/>
  <c r="J75" i="18"/>
  <c r="L67" i="21"/>
  <c r="M67" i="21"/>
  <c r="N67" i="21"/>
  <c r="O67" i="21"/>
  <c r="T67" i="21"/>
  <c r="S67" i="21"/>
  <c r="G68" i="21"/>
  <c r="F162" i="19" s="1"/>
  <c r="L68" i="21"/>
  <c r="M68" i="21"/>
  <c r="O68" i="21"/>
  <c r="N68" i="21"/>
  <c r="S68" i="21"/>
  <c r="T68" i="21"/>
  <c r="U68" i="21"/>
  <c r="AF68" i="18"/>
  <c r="H68" i="18"/>
  <c r="I68" i="18"/>
  <c r="AO67" i="18"/>
  <c r="AR67" i="18"/>
  <c r="AW67" i="18" s="1"/>
  <c r="AF84" i="18"/>
  <c r="AU64" i="18"/>
  <c r="AV64" i="18"/>
  <c r="AX64" i="18" s="1"/>
  <c r="AF83" i="18"/>
  <c r="AU73" i="18"/>
  <c r="AV73" i="18"/>
  <c r="AX73" i="18" s="1"/>
  <c r="AV85" i="18"/>
  <c r="AU85" i="18"/>
  <c r="G79" i="18"/>
  <c r="AF79" i="18"/>
  <c r="G83" i="18"/>
  <c r="AF73" i="18"/>
  <c r="I73" i="18"/>
  <c r="AR82" i="18"/>
  <c r="AW82" i="18" s="1"/>
  <c r="AO82" i="18"/>
  <c r="AT82" i="18"/>
  <c r="AF76" i="18"/>
  <c r="G76" i="18"/>
  <c r="AF70" i="18"/>
  <c r="P75" i="18"/>
  <c r="Q75" i="18" s="1"/>
  <c r="G81" i="18"/>
  <c r="AF81" i="18"/>
  <c r="AF74" i="18"/>
  <c r="G74" i="18"/>
  <c r="I74" i="18"/>
  <c r="AO65" i="18"/>
  <c r="AB77" i="18"/>
  <c r="H71" i="18"/>
  <c r="AF71" i="18"/>
  <c r="AF69" i="18"/>
  <c r="AF75" i="18"/>
  <c r="I75" i="18"/>
  <c r="H81" i="18"/>
  <c r="AF72" i="18"/>
  <c r="G72" i="18"/>
  <c r="I72" i="18"/>
  <c r="AX77" i="18"/>
  <c r="AQ67" i="18"/>
  <c r="AP66" i="18"/>
  <c r="AT66" i="18" s="1"/>
  <c r="AO69" i="18"/>
  <c r="AU75" i="18"/>
  <c r="AV75" i="18"/>
  <c r="AV76" i="18"/>
  <c r="AX76" i="18" s="1"/>
  <c r="AU76" i="18"/>
  <c r="AB46" i="18"/>
  <c r="AW46" i="18"/>
  <c r="AX46" i="18" s="1"/>
  <c r="AB39" i="18"/>
  <c r="AF42" i="18"/>
  <c r="I42" i="18"/>
  <c r="AB48" i="18"/>
  <c r="AW48" i="18"/>
  <c r="AX48" i="18" s="1"/>
  <c r="Z52" i="18"/>
  <c r="AU55" i="18"/>
  <c r="AV55" i="18"/>
  <c r="AF45" i="18"/>
  <c r="I45" i="18"/>
  <c r="AF40" i="18"/>
  <c r="Z44" i="18"/>
  <c r="AO43" i="18"/>
  <c r="Z46" i="18"/>
  <c r="P54" i="18"/>
  <c r="Q54" i="18" s="1"/>
  <c r="P37" i="18"/>
  <c r="Q37" i="18" s="1"/>
  <c r="AA46" i="18"/>
  <c r="Z39" i="18"/>
  <c r="AC44" i="18"/>
  <c r="AC50" i="18"/>
  <c r="AW50" i="18" s="1"/>
  <c r="AX50" i="18" s="1"/>
  <c r="AO41" i="18"/>
  <c r="AF37" i="18"/>
  <c r="I37" i="18"/>
  <c r="Z50" i="18"/>
  <c r="AF43" i="18"/>
  <c r="I43" i="18"/>
  <c r="AA44" i="18"/>
  <c r="AX37" i="18"/>
  <c r="G40" i="18"/>
  <c r="AA52" i="18"/>
  <c r="Z48" i="18"/>
  <c r="P48" i="18" s="1"/>
  <c r="Q48" i="18" s="1"/>
  <c r="AP52" i="18"/>
  <c r="AU53" i="18"/>
  <c r="AV53" i="18"/>
  <c r="AX53" i="18" s="1"/>
  <c r="AO45" i="18"/>
  <c r="AO51" i="18"/>
  <c r="AR51" i="18"/>
  <c r="AW51" i="18" s="1"/>
  <c r="AT51" i="18"/>
  <c r="AU54" i="18"/>
  <c r="AW54" i="18"/>
  <c r="AX54" i="18" s="1"/>
  <c r="I36" i="18"/>
  <c r="AF36" i="18"/>
  <c r="I40" i="18"/>
  <c r="AO39" i="18"/>
  <c r="Z56" i="18"/>
  <c r="P56" i="18" s="1"/>
  <c r="Q56" i="18" s="1"/>
  <c r="AC52" i="18"/>
  <c r="AW52" i="18" s="1"/>
  <c r="AX52" i="18" s="1"/>
  <c r="AC56" i="18"/>
  <c r="AA50" i="18"/>
  <c r="AA42" i="18"/>
  <c r="P42" i="18" s="1"/>
  <c r="Q42" i="18" s="1"/>
  <c r="AQ41" i="18"/>
  <c r="AO47" i="18"/>
  <c r="AR47" i="18"/>
  <c r="AW47" i="18" s="1"/>
  <c r="AT47" i="18"/>
  <c r="AC55" i="18"/>
  <c r="Z38" i="18"/>
  <c r="P38" i="18" s="1"/>
  <c r="Q38" i="18" s="1"/>
  <c r="AA38" i="18"/>
  <c r="AC38" i="18"/>
  <c r="AP46" i="18"/>
  <c r="AF41" i="18"/>
  <c r="I41" i="18"/>
  <c r="AP40" i="18"/>
  <c r="AS40" i="18" s="1"/>
  <c r="AC54" i="18"/>
  <c r="AB50" i="18"/>
  <c r="AB44" i="18"/>
  <c r="AA39" i="18"/>
  <c r="AG162" i="19"/>
  <c r="J162" i="19"/>
  <c r="I159" i="19"/>
  <c r="AF159" i="19"/>
  <c r="AF161" i="19"/>
  <c r="I161" i="19"/>
  <c r="AG161" i="19"/>
  <c r="J161" i="19"/>
  <c r="I160" i="19"/>
  <c r="AF160" i="19"/>
  <c r="J160" i="19"/>
  <c r="AG160" i="19"/>
  <c r="J159" i="19"/>
  <c r="AG159" i="19"/>
  <c r="I158" i="19"/>
  <c r="AF158" i="19"/>
  <c r="J158" i="19"/>
  <c r="AG158" i="19"/>
  <c r="AD133" i="19"/>
  <c r="AF133" i="19" s="1"/>
  <c r="AE133" i="19"/>
  <c r="AG133" i="19" s="1"/>
  <c r="AB132" i="19"/>
  <c r="J42" i="19"/>
  <c r="AE123" i="19"/>
  <c r="AG123" i="19" s="1"/>
  <c r="AD123" i="19"/>
  <c r="AF123" i="19" s="1"/>
  <c r="AD118" i="19"/>
  <c r="AF118" i="19" s="1"/>
  <c r="AE118" i="19"/>
  <c r="AG118" i="19" s="1"/>
  <c r="AB122" i="19"/>
  <c r="F41" i="19"/>
  <c r="P41" i="19" s="1"/>
  <c r="AB127" i="19"/>
  <c r="AB133" i="19"/>
  <c r="AD130" i="19"/>
  <c r="AF130" i="19" s="1"/>
  <c r="AE130" i="19"/>
  <c r="AG130" i="19" s="1"/>
  <c r="AB74" i="19"/>
  <c r="AD128" i="19"/>
  <c r="AF128" i="19" s="1"/>
  <c r="AE128" i="19"/>
  <c r="AG128" i="19" s="1"/>
  <c r="J55" i="19"/>
  <c r="AD136" i="19"/>
  <c r="AF136" i="19" s="1"/>
  <c r="AE136" i="19"/>
  <c r="AG136" i="19" s="1"/>
  <c r="AD120" i="19"/>
  <c r="AF120" i="19" s="1"/>
  <c r="AE120" i="19"/>
  <c r="AG120" i="19" s="1"/>
  <c r="AB125" i="19"/>
  <c r="AD125" i="19"/>
  <c r="AF125" i="19" s="1"/>
  <c r="AE125" i="19"/>
  <c r="AG125" i="19" s="1"/>
  <c r="AB129" i="19"/>
  <c r="AD72" i="19"/>
  <c r="AF72" i="19" s="1"/>
  <c r="AD126" i="19"/>
  <c r="AF126" i="19" s="1"/>
  <c r="AE126" i="19"/>
  <c r="AG126" i="19" s="1"/>
  <c r="AB80" i="19"/>
  <c r="AD134" i="19"/>
  <c r="AF134" i="19" s="1"/>
  <c r="AE134" i="19"/>
  <c r="AG134" i="19" s="1"/>
  <c r="AE137" i="19"/>
  <c r="AG137" i="19" s="1"/>
  <c r="AD137" i="19"/>
  <c r="AF137" i="19" s="1"/>
  <c r="AB134" i="19"/>
  <c r="AB128" i="19"/>
  <c r="AB123" i="19"/>
  <c r="AB118" i="19"/>
  <c r="AB137" i="19"/>
  <c r="AB131" i="19"/>
  <c r="AD131" i="19"/>
  <c r="AF131" i="19" s="1"/>
  <c r="AE131" i="19"/>
  <c r="AG131" i="19" s="1"/>
  <c r="AB67" i="19"/>
  <c r="AD121" i="19"/>
  <c r="AF121" i="19" s="1"/>
  <c r="AE121" i="19"/>
  <c r="AG121" i="19" s="1"/>
  <c r="AB100" i="19"/>
  <c r="AB95" i="19"/>
  <c r="AB98" i="19"/>
  <c r="AD107" i="19"/>
  <c r="AF107" i="19" s="1"/>
  <c r="AE107" i="19"/>
  <c r="AG107" i="19" s="1"/>
  <c r="AD101" i="19"/>
  <c r="AF101" i="19" s="1"/>
  <c r="AE101" i="19"/>
  <c r="AG101" i="19" s="1"/>
  <c r="AB69" i="19"/>
  <c r="K10" i="19"/>
  <c r="I42" i="19"/>
  <c r="AD96" i="19"/>
  <c r="AF96" i="19" s="1"/>
  <c r="AE96" i="19"/>
  <c r="AG96" i="19" s="1"/>
  <c r="AD104" i="19"/>
  <c r="AF104" i="19" s="1"/>
  <c r="AE104" i="19"/>
  <c r="AG104" i="19" s="1"/>
  <c r="I45" i="19"/>
  <c r="AD99" i="19"/>
  <c r="AF99" i="19" s="1"/>
  <c r="AE99" i="19"/>
  <c r="AG99" i="19" s="1"/>
  <c r="AD94" i="19"/>
  <c r="AF94" i="19" s="1"/>
  <c r="AE94" i="19"/>
  <c r="AG94" i="19" s="1"/>
  <c r="AB105" i="19"/>
  <c r="AE72" i="19"/>
  <c r="AG72" i="19" s="1"/>
  <c r="AD69" i="19"/>
  <c r="AF69" i="19" s="1"/>
  <c r="AB104" i="19"/>
  <c r="AE69" i="19"/>
  <c r="AG69" i="19" s="1"/>
  <c r="AB99" i="19"/>
  <c r="AB102" i="19"/>
  <c r="AB94" i="19"/>
  <c r="AD91" i="19"/>
  <c r="AF91" i="19" s="1"/>
  <c r="AE91" i="19"/>
  <c r="AG91" i="19" s="1"/>
  <c r="AB72" i="19"/>
  <c r="K17" i="19"/>
  <c r="F45" i="19"/>
  <c r="P45" i="19" s="1"/>
  <c r="R45" i="19" s="1"/>
  <c r="AB78" i="19"/>
  <c r="J52" i="19"/>
  <c r="AD79" i="19"/>
  <c r="AF79" i="19" s="1"/>
  <c r="AE79" i="19"/>
  <c r="AG79" i="19" s="1"/>
  <c r="AB75" i="19"/>
  <c r="AD74" i="19"/>
  <c r="AF74" i="19" s="1"/>
  <c r="AE74" i="19"/>
  <c r="AG74" i="19" s="1"/>
  <c r="I47" i="19"/>
  <c r="J47" i="19"/>
  <c r="K47" i="19"/>
  <c r="F46" i="19"/>
  <c r="P46" i="19" s="1"/>
  <c r="U46" i="19" s="1"/>
  <c r="AB68" i="19"/>
  <c r="AB73" i="19"/>
  <c r="I52" i="19"/>
  <c r="AD80" i="19"/>
  <c r="AF80" i="19" s="1"/>
  <c r="AE80" i="19"/>
  <c r="AG80" i="19" s="1"/>
  <c r="AD76" i="19"/>
  <c r="AF76" i="19" s="1"/>
  <c r="AE76" i="19"/>
  <c r="AG76" i="19" s="1"/>
  <c r="AD82" i="19"/>
  <c r="AF82" i="19" s="1"/>
  <c r="AE82" i="19"/>
  <c r="AG82" i="19" s="1"/>
  <c r="K52" i="19"/>
  <c r="F36" i="19"/>
  <c r="P36" i="19" s="1"/>
  <c r="R36" i="19" s="1"/>
  <c r="AB66" i="19"/>
  <c r="AD66" i="19"/>
  <c r="AF66" i="19" s="1"/>
  <c r="AE66" i="19"/>
  <c r="AG66" i="19" s="1"/>
  <c r="AB71" i="19"/>
  <c r="AD71" i="19"/>
  <c r="AF71" i="19" s="1"/>
  <c r="AE71" i="19"/>
  <c r="AG71" i="19" s="1"/>
  <c r="F49" i="19"/>
  <c r="P49" i="19" s="1"/>
  <c r="R49" i="19" s="1"/>
  <c r="AB79" i="19"/>
  <c r="AD64" i="19"/>
  <c r="AF64" i="19" s="1"/>
  <c r="AE64" i="19"/>
  <c r="AG64" i="19" s="1"/>
  <c r="I37" i="19"/>
  <c r="J37" i="19"/>
  <c r="K37" i="19"/>
  <c r="F37" i="19"/>
  <c r="P37" i="19" s="1"/>
  <c r="AB82" i="19"/>
  <c r="AD77" i="19"/>
  <c r="AF77" i="19" s="1"/>
  <c r="AE77" i="19"/>
  <c r="AG77" i="19" s="1"/>
  <c r="AB76" i="19"/>
  <c r="AD83" i="19"/>
  <c r="AF83" i="19" s="1"/>
  <c r="AE83" i="19"/>
  <c r="AG83" i="19" s="1"/>
  <c r="AD67" i="19"/>
  <c r="AF67" i="19" s="1"/>
  <c r="AE67" i="19"/>
  <c r="AG67" i="19" s="1"/>
  <c r="K42" i="19"/>
  <c r="AB64" i="19"/>
  <c r="K26" i="19"/>
  <c r="K11" i="19"/>
  <c r="F40" i="19"/>
  <c r="P40" i="19" s="1"/>
  <c r="F39" i="19"/>
  <c r="P39" i="19" s="1"/>
  <c r="K19" i="19"/>
  <c r="F48" i="19"/>
  <c r="P48" i="19" s="1"/>
  <c r="I39" i="19"/>
  <c r="J39" i="19"/>
  <c r="K39" i="19"/>
  <c r="R41" i="19"/>
  <c r="U41" i="19"/>
  <c r="I44" i="19"/>
  <c r="J44" i="19"/>
  <c r="K44" i="19"/>
  <c r="K15" i="19"/>
  <c r="F44" i="19"/>
  <c r="P44" i="19" s="1"/>
  <c r="K25" i="19"/>
  <c r="F54" i="19"/>
  <c r="P54" i="19" s="1"/>
  <c r="F53" i="19"/>
  <c r="P53" i="19" s="1"/>
  <c r="K53" i="19"/>
  <c r="I53" i="19"/>
  <c r="J53" i="19"/>
  <c r="U36" i="19"/>
  <c r="I56" i="19"/>
  <c r="J56" i="19"/>
  <c r="F43" i="19"/>
  <c r="P43" i="19" s="1"/>
  <c r="I50" i="19"/>
  <c r="J50" i="19"/>
  <c r="K50" i="19"/>
  <c r="I40" i="19"/>
  <c r="J40" i="19"/>
  <c r="K40" i="19"/>
  <c r="J45" i="19"/>
  <c r="R38" i="19"/>
  <c r="U38" i="19"/>
  <c r="K22" i="19"/>
  <c r="F51" i="19"/>
  <c r="P51" i="19" s="1"/>
  <c r="K13" i="19"/>
  <c r="F42" i="19"/>
  <c r="P42" i="19" s="1"/>
  <c r="K23" i="19"/>
  <c r="F52" i="19"/>
  <c r="P52" i="19" s="1"/>
  <c r="K56" i="19"/>
  <c r="F50" i="19"/>
  <c r="P50" i="19" s="1"/>
  <c r="I49" i="19"/>
  <c r="J49" i="19"/>
  <c r="K49" i="19"/>
  <c r="K45" i="19"/>
  <c r="K18" i="19"/>
  <c r="F47" i="19"/>
  <c r="P47" i="19" s="1"/>
  <c r="I55" i="19"/>
  <c r="K55" i="19"/>
  <c r="AO35" i="17"/>
  <c r="AR35" i="17"/>
  <c r="AW35" i="17" s="1"/>
  <c r="AT35" i="17"/>
  <c r="AI34" i="17"/>
  <c r="AJ34" i="17" s="1"/>
  <c r="AK34" i="17" s="1"/>
  <c r="L34" i="17" s="1"/>
  <c r="O36" i="17"/>
  <c r="AE34" i="17"/>
  <c r="AL34" i="17"/>
  <c r="M34" i="17" s="1"/>
  <c r="AQ36" i="17"/>
  <c r="AG36" i="17"/>
  <c r="AH36" i="17" s="1"/>
  <c r="K36" i="17" s="1"/>
  <c r="N36" i="17" s="1"/>
  <c r="AU34" i="17"/>
  <c r="AV34" i="17"/>
  <c r="AX34" i="17" s="1"/>
  <c r="AP34" i="17"/>
  <c r="AD35" i="17"/>
  <c r="AF35" i="17"/>
  <c r="G35" i="17"/>
  <c r="AD26" i="17"/>
  <c r="AF26" i="17"/>
  <c r="H26" i="17"/>
  <c r="I26" i="17"/>
  <c r="Z27" i="17"/>
  <c r="AC27" i="17"/>
  <c r="AA27" i="17"/>
  <c r="AB27" i="17"/>
  <c r="I25" i="17"/>
  <c r="AD25" i="17"/>
  <c r="AF25" i="17"/>
  <c r="G25" i="17"/>
  <c r="AU27" i="17"/>
  <c r="AV27" i="17"/>
  <c r="AW27" i="17"/>
  <c r="P26" i="17"/>
  <c r="Q26" i="17" s="1"/>
  <c r="AX26" i="17"/>
  <c r="AP27" i="17"/>
  <c r="Y85" i="5"/>
  <c r="AA85" i="5" s="1"/>
  <c r="Y84" i="5"/>
  <c r="AE83" i="5"/>
  <c r="Y83" i="5"/>
  <c r="AA83" i="5" s="1"/>
  <c r="AE82" i="5"/>
  <c r="Y82" i="5"/>
  <c r="G82" i="5" s="1"/>
  <c r="G87" i="5"/>
  <c r="M87" i="5" s="1"/>
  <c r="Q87" i="5" s="1"/>
  <c r="AS18" i="574" s="1"/>
  <c r="H87" i="5"/>
  <c r="I87" i="5"/>
  <c r="J87" i="5"/>
  <c r="AA87" i="5"/>
  <c r="AA86" i="5"/>
  <c r="G86" i="5"/>
  <c r="M86" i="5" s="1"/>
  <c r="Q86" i="5" s="1"/>
  <c r="AS17" i="574" s="1"/>
  <c r="H86" i="5"/>
  <c r="I86" i="5"/>
  <c r="J86" i="5"/>
  <c r="Q81" i="5"/>
  <c r="AS12" i="574" s="1"/>
  <c r="X84" i="5"/>
  <c r="AB60" i="5"/>
  <c r="AD60" i="5" s="1"/>
  <c r="AC60" i="5"/>
  <c r="AE60" i="5" s="1"/>
  <c r="Z60" i="5"/>
  <c r="J36" i="5"/>
  <c r="K36" i="5"/>
  <c r="I36" i="5"/>
  <c r="AB44" i="5"/>
  <c r="AD44" i="5" s="1"/>
  <c r="AC44" i="5"/>
  <c r="AE44" i="5" s="1"/>
  <c r="Z44" i="5"/>
  <c r="K9" i="5"/>
  <c r="F36" i="5"/>
  <c r="P36" i="5" s="1"/>
  <c r="R35" i="5"/>
  <c r="U35" i="5"/>
  <c r="U48" i="21"/>
  <c r="T48" i="21"/>
  <c r="S48" i="21"/>
  <c r="H48" i="21"/>
  <c r="E80" i="5" s="1"/>
  <c r="G48" i="21"/>
  <c r="F80" i="5" s="1"/>
  <c r="U62" i="21"/>
  <c r="T62" i="21"/>
  <c r="S62" i="21"/>
  <c r="H62" i="21"/>
  <c r="E156" i="19" s="1"/>
  <c r="G62" i="21"/>
  <c r="F156" i="19" s="1"/>
  <c r="L62" i="21"/>
  <c r="M62" i="21"/>
  <c r="N62" i="21"/>
  <c r="H7" i="21"/>
  <c r="G7" i="21"/>
  <c r="O7" i="21"/>
  <c r="W24" i="17" s="1"/>
  <c r="N7" i="21"/>
  <c r="V24" i="17" s="1"/>
  <c r="L7" i="21"/>
  <c r="T24" i="17" s="1"/>
  <c r="M7" i="21"/>
  <c r="U24" i="17" s="1"/>
  <c r="S7" i="21"/>
  <c r="T7" i="21"/>
  <c r="U7" i="21"/>
  <c r="AP50" i="18" l="1"/>
  <c r="AP44" i="18"/>
  <c r="AS44" i="18" s="1"/>
  <c r="H70" i="18"/>
  <c r="H43" i="18"/>
  <c r="AP68" i="18"/>
  <c r="AS68" i="18" s="1"/>
  <c r="G43" i="18"/>
  <c r="G64" i="18"/>
  <c r="AQ64" i="18" s="1"/>
  <c r="H73" i="18"/>
  <c r="G37" i="18"/>
  <c r="O37" i="18" s="1"/>
  <c r="H51" i="18"/>
  <c r="H83" i="18"/>
  <c r="H47" i="18"/>
  <c r="H74" i="18"/>
  <c r="H75" i="18"/>
  <c r="G73" i="18"/>
  <c r="AQ65" i="18"/>
  <c r="AR45" i="18"/>
  <c r="AW45" i="18" s="1"/>
  <c r="AR68" i="18"/>
  <c r="AW68" i="18" s="1"/>
  <c r="AQ68" i="18"/>
  <c r="AT68" i="18" s="1"/>
  <c r="H35" i="17"/>
  <c r="AP70" i="18"/>
  <c r="AS70" i="18" s="1"/>
  <c r="G51" i="18"/>
  <c r="AQ51" i="18" s="1"/>
  <c r="G75" i="18"/>
  <c r="H37" i="18"/>
  <c r="H42" i="18"/>
  <c r="G82" i="18"/>
  <c r="AQ82" i="18" s="1"/>
  <c r="G78" i="18"/>
  <c r="G36" i="18"/>
  <c r="AP36" i="18"/>
  <c r="G42" i="18"/>
  <c r="AP72" i="18"/>
  <c r="AS72" i="18" s="1"/>
  <c r="H64" i="18"/>
  <c r="O64" i="18" s="1"/>
  <c r="AS66" i="18"/>
  <c r="G34" i="17"/>
  <c r="AQ34" i="17" s="1"/>
  <c r="G53" i="18"/>
  <c r="O53" i="18" s="1"/>
  <c r="Y44" i="574" s="1"/>
  <c r="AP53" i="18"/>
  <c r="G70" i="18"/>
  <c r="AP71" i="18"/>
  <c r="AS71" i="18" s="1"/>
  <c r="G80" i="18"/>
  <c r="AP80" i="18"/>
  <c r="G26" i="17"/>
  <c r="AQ26" i="17" s="1"/>
  <c r="G71" i="18"/>
  <c r="AR69" i="18"/>
  <c r="AW69" i="18" s="1"/>
  <c r="AW75" i="18"/>
  <c r="AX75" i="18" s="1"/>
  <c r="AS82" i="18"/>
  <c r="AP82" i="18"/>
  <c r="O74" i="18"/>
  <c r="AQ74" i="18"/>
  <c r="O81" i="18"/>
  <c r="AQ81" i="18"/>
  <c r="O79" i="18"/>
  <c r="AQ79" i="18"/>
  <c r="AP67" i="18"/>
  <c r="AT67" i="18" s="1"/>
  <c r="AP69" i="18"/>
  <c r="AT69" i="18" s="1"/>
  <c r="O76" i="18"/>
  <c r="AQ76" i="18"/>
  <c r="AU82" i="18"/>
  <c r="AV82" i="18"/>
  <c r="AX82" i="18" s="1"/>
  <c r="AU66" i="18"/>
  <c r="O66" i="18" s="1"/>
  <c r="AV66" i="18"/>
  <c r="AX66" i="18" s="1"/>
  <c r="G77" i="18"/>
  <c r="AF77" i="18"/>
  <c r="H77" i="18"/>
  <c r="AP65" i="18"/>
  <c r="AT65" i="18" s="1"/>
  <c r="AR72" i="18"/>
  <c r="AW72" i="18" s="1"/>
  <c r="AQ72" i="18"/>
  <c r="AP41" i="18"/>
  <c r="AT41" i="18" s="1"/>
  <c r="AP55" i="18"/>
  <c r="AB55" i="18"/>
  <c r="AQ43" i="18"/>
  <c r="AW55" i="18"/>
  <c r="AX55" i="18" s="1"/>
  <c r="AS47" i="18"/>
  <c r="AP47" i="18"/>
  <c r="AF50" i="18"/>
  <c r="G50" i="18"/>
  <c r="H50" i="18"/>
  <c r="AP45" i="18"/>
  <c r="AS45" i="18" s="1"/>
  <c r="P39" i="18"/>
  <c r="Q39" i="18" s="1"/>
  <c r="P52" i="18"/>
  <c r="Q52" i="18" s="1"/>
  <c r="AB54" i="18"/>
  <c r="AP54" i="18"/>
  <c r="AB56" i="18"/>
  <c r="AB52" i="18"/>
  <c r="AF44" i="18"/>
  <c r="G44" i="18"/>
  <c r="H44" i="18"/>
  <c r="I44" i="18"/>
  <c r="AU51" i="18"/>
  <c r="AV51" i="18"/>
  <c r="AX51" i="18" s="1"/>
  <c r="AQ40" i="18"/>
  <c r="AT40" i="18" s="1"/>
  <c r="AR40" i="18"/>
  <c r="AW40" i="18" s="1"/>
  <c r="AF48" i="18"/>
  <c r="G48" i="18"/>
  <c r="H48" i="18"/>
  <c r="I48" i="18"/>
  <c r="P46" i="18"/>
  <c r="Q46" i="18" s="1"/>
  <c r="AU47" i="18"/>
  <c r="O47" i="18" s="1"/>
  <c r="AV47" i="18"/>
  <c r="AX47" i="18" s="1"/>
  <c r="AR43" i="18"/>
  <c r="AW43" i="18" s="1"/>
  <c r="AQ37" i="18"/>
  <c r="AP43" i="18"/>
  <c r="AS43" i="18" s="1"/>
  <c r="P44" i="18"/>
  <c r="Q44" i="18" s="1"/>
  <c r="AQ45" i="18"/>
  <c r="AS51" i="18"/>
  <c r="AP51" i="18"/>
  <c r="P50" i="18"/>
  <c r="Q50" i="18" s="1"/>
  <c r="AP39" i="18"/>
  <c r="AS39" i="18" s="1"/>
  <c r="AF39" i="18"/>
  <c r="H39" i="18"/>
  <c r="I39" i="18"/>
  <c r="G39" i="18"/>
  <c r="AB38" i="18"/>
  <c r="AF46" i="18"/>
  <c r="G46" i="18"/>
  <c r="H46" i="18"/>
  <c r="I46" i="18"/>
  <c r="U45" i="19"/>
  <c r="U49" i="19"/>
  <c r="R37" i="19"/>
  <c r="S37" i="19" s="1"/>
  <c r="L37" i="19" s="1"/>
  <c r="U37" i="19"/>
  <c r="V37" i="19" s="1"/>
  <c r="M37" i="19" s="1"/>
  <c r="R46" i="19"/>
  <c r="R50" i="19"/>
  <c r="U50" i="19"/>
  <c r="R53" i="19"/>
  <c r="U53" i="19"/>
  <c r="R52" i="19"/>
  <c r="U52" i="19"/>
  <c r="R44" i="19"/>
  <c r="S44" i="19" s="1"/>
  <c r="L44" i="19" s="1"/>
  <c r="U44" i="19"/>
  <c r="V44" i="19" s="1"/>
  <c r="M44" i="19" s="1"/>
  <c r="U42" i="19"/>
  <c r="R42" i="19"/>
  <c r="R48" i="19"/>
  <c r="U48" i="19"/>
  <c r="R43" i="19"/>
  <c r="U43" i="19"/>
  <c r="R54" i="19"/>
  <c r="U54" i="19"/>
  <c r="R39" i="19"/>
  <c r="U39" i="19"/>
  <c r="R47" i="19"/>
  <c r="U47" i="19"/>
  <c r="R51" i="19"/>
  <c r="U51" i="19"/>
  <c r="U40" i="19"/>
  <c r="R40" i="19"/>
  <c r="AQ35" i="17"/>
  <c r="AG35" i="17"/>
  <c r="AI35" i="17"/>
  <c r="AJ35" i="17" s="1"/>
  <c r="AK35" i="17" s="1"/>
  <c r="L35" i="17" s="1"/>
  <c r="AE35" i="17"/>
  <c r="AL35" i="17"/>
  <c r="M35" i="17" s="1"/>
  <c r="AU35" i="17"/>
  <c r="AV35" i="17"/>
  <c r="AX35" i="17" s="1"/>
  <c r="AS35" i="17"/>
  <c r="AP35" i="17"/>
  <c r="AX27" i="17"/>
  <c r="O25" i="17"/>
  <c r="AQ25" i="17"/>
  <c r="P27" i="17"/>
  <c r="Q27" i="17" s="1"/>
  <c r="AI25" i="17"/>
  <c r="AJ25" i="17" s="1"/>
  <c r="AK25" i="17" s="1"/>
  <c r="L25" i="17" s="1"/>
  <c r="AL25" i="17"/>
  <c r="M25" i="17" s="1"/>
  <c r="AE25" i="17"/>
  <c r="AD27" i="17"/>
  <c r="AF27" i="17"/>
  <c r="H27" i="17"/>
  <c r="G27" i="17"/>
  <c r="I27" i="17"/>
  <c r="AG25" i="17"/>
  <c r="AI26" i="17"/>
  <c r="AJ26" i="17" s="1"/>
  <c r="AK26" i="17" s="1"/>
  <c r="L26" i="17" s="1"/>
  <c r="AE26" i="17"/>
  <c r="AL26" i="17"/>
  <c r="M26" i="17" s="1"/>
  <c r="AA82" i="5"/>
  <c r="J82" i="5"/>
  <c r="I82" i="5"/>
  <c r="H82" i="5"/>
  <c r="N82" i="5" s="1"/>
  <c r="R82" i="5" s="1"/>
  <c r="AS13" i="574" s="1"/>
  <c r="I83" i="5"/>
  <c r="H83" i="5"/>
  <c r="N83" i="5" s="1"/>
  <c r="R83" i="5" s="1"/>
  <c r="AS14" i="574" s="1"/>
  <c r="G83" i="5"/>
  <c r="J83" i="5"/>
  <c r="J85" i="5"/>
  <c r="AA84" i="5"/>
  <c r="G84" i="5"/>
  <c r="M84" i="5" s="1"/>
  <c r="Q84" i="5" s="1"/>
  <c r="AS15" i="574" s="1"/>
  <c r="H84" i="5"/>
  <c r="I84" i="5"/>
  <c r="J84" i="5"/>
  <c r="I85" i="5"/>
  <c r="H85" i="5"/>
  <c r="G85" i="5"/>
  <c r="M85" i="5" s="1"/>
  <c r="Q85" i="5" s="1"/>
  <c r="AS16" i="574" s="1"/>
  <c r="R36" i="5"/>
  <c r="U36" i="5"/>
  <c r="O75" i="18" l="1"/>
  <c r="AQ75" i="18"/>
  <c r="O35" i="17"/>
  <c r="O51" i="18"/>
  <c r="AQ73" i="18"/>
  <c r="O73" i="18"/>
  <c r="Y42" i="574"/>
  <c r="O34" i="17"/>
  <c r="Y12" i="574" s="1"/>
  <c r="AT72" i="18"/>
  <c r="AU72" i="18" s="1"/>
  <c r="O72" i="18" s="1"/>
  <c r="AT43" i="18"/>
  <c r="AV43" i="18" s="1"/>
  <c r="AX43" i="18" s="1"/>
  <c r="AR70" i="18"/>
  <c r="AW70" i="18" s="1"/>
  <c r="AQ80" i="18"/>
  <c r="O80" i="18"/>
  <c r="AH35" i="17"/>
  <c r="K35" i="17" s="1"/>
  <c r="N35" i="17" s="1"/>
  <c r="AQ71" i="18"/>
  <c r="AT71" i="18" s="1"/>
  <c r="AV71" i="18" s="1"/>
  <c r="AR71" i="18"/>
  <c r="AW71" i="18" s="1"/>
  <c r="AQ53" i="18"/>
  <c r="AQ70" i="18"/>
  <c r="AT70" i="18" s="1"/>
  <c r="AU70" i="18" s="1"/>
  <c r="O70" i="18" s="1"/>
  <c r="AR42" i="18"/>
  <c r="AW42" i="18" s="1"/>
  <c r="AQ42" i="18"/>
  <c r="AT42" i="18" s="1"/>
  <c r="AQ36" i="18"/>
  <c r="O36" i="18"/>
  <c r="Y27" i="574" s="1"/>
  <c r="AG26" i="17"/>
  <c r="AH26" i="17" s="1"/>
  <c r="K26" i="17" s="1"/>
  <c r="N26" i="17" s="1"/>
  <c r="AQ78" i="18"/>
  <c r="O78" i="18"/>
  <c r="O26" i="17"/>
  <c r="Y13" i="574" s="1"/>
  <c r="O82" i="18"/>
  <c r="AG34" i="17"/>
  <c r="AH34" i="17" s="1"/>
  <c r="K34" i="17" s="1"/>
  <c r="N34" i="17" s="1"/>
  <c r="Y38" i="574"/>
  <c r="O77" i="18"/>
  <c r="Y40" i="574" s="1"/>
  <c r="AQ77" i="18"/>
  <c r="AS69" i="18"/>
  <c r="AS67" i="18"/>
  <c r="AU69" i="18"/>
  <c r="O69" i="18" s="1"/>
  <c r="AV69" i="18"/>
  <c r="AX69" i="18" s="1"/>
  <c r="AU67" i="18"/>
  <c r="O67" i="18" s="1"/>
  <c r="AV67" i="18"/>
  <c r="AX67" i="18" s="1"/>
  <c r="AU65" i="18"/>
  <c r="O65" i="18" s="1"/>
  <c r="Y28" i="574" s="1"/>
  <c r="AV65" i="18"/>
  <c r="AX65" i="18" s="1"/>
  <c r="AS65" i="18"/>
  <c r="AU68" i="18"/>
  <c r="O68" i="18" s="1"/>
  <c r="AV68" i="18"/>
  <c r="AX68" i="18" s="1"/>
  <c r="AF54" i="18"/>
  <c r="H54" i="18"/>
  <c r="G54" i="18"/>
  <c r="O50" i="18"/>
  <c r="AQ50" i="18"/>
  <c r="AU40" i="18"/>
  <c r="O40" i="18" s="1"/>
  <c r="Y31" i="574" s="1"/>
  <c r="AV40" i="18"/>
  <c r="AX40" i="18" s="1"/>
  <c r="AT45" i="18"/>
  <c r="AF55" i="18"/>
  <c r="G55" i="18"/>
  <c r="H55" i="18"/>
  <c r="AR44" i="18"/>
  <c r="AW44" i="18" s="1"/>
  <c r="AQ44" i="18"/>
  <c r="AT44" i="18" s="1"/>
  <c r="AU41" i="18"/>
  <c r="O41" i="18" s="1"/>
  <c r="AV41" i="18"/>
  <c r="AX41" i="18" s="1"/>
  <c r="O48" i="18"/>
  <c r="Y39" i="574" s="1"/>
  <c r="AQ48" i="18"/>
  <c r="AS41" i="18"/>
  <c r="AF38" i="18"/>
  <c r="I38" i="18"/>
  <c r="G38" i="18"/>
  <c r="H38" i="18"/>
  <c r="AR39" i="18"/>
  <c r="AW39" i="18" s="1"/>
  <c r="AQ39" i="18"/>
  <c r="AT39" i="18" s="1"/>
  <c r="AF52" i="18"/>
  <c r="G52" i="18"/>
  <c r="H52" i="18"/>
  <c r="O46" i="18"/>
  <c r="Y37" i="574" s="1"/>
  <c r="AQ46" i="18"/>
  <c r="AF56" i="18"/>
  <c r="G56" i="18"/>
  <c r="H56" i="18"/>
  <c r="O27" i="17"/>
  <c r="Y14" i="574" s="1"/>
  <c r="AG27" i="17"/>
  <c r="AI27" i="17"/>
  <c r="AJ27" i="17" s="1"/>
  <c r="AK27" i="17" s="1"/>
  <c r="L27" i="17" s="1"/>
  <c r="AL27" i="17"/>
  <c r="M27" i="17" s="1"/>
  <c r="AE27" i="17"/>
  <c r="AH25" i="17"/>
  <c r="K25" i="17" s="1"/>
  <c r="N25" i="17" s="1"/>
  <c r="AQ27" i="17"/>
  <c r="X12" i="574" l="1"/>
  <c r="AU71" i="18"/>
  <c r="O71" i="18" s="1"/>
  <c r="Y41" i="574"/>
  <c r="X13" i="574"/>
  <c r="Y32" i="574"/>
  <c r="AH27" i="17"/>
  <c r="K27" i="17" s="1"/>
  <c r="N27" i="17" s="1"/>
  <c r="X14" i="574" s="1"/>
  <c r="AX71" i="18"/>
  <c r="AV72" i="18"/>
  <c r="AX72" i="18" s="1"/>
  <c r="AU43" i="18"/>
  <c r="O43" i="18" s="1"/>
  <c r="Y34" i="574" s="1"/>
  <c r="AV70" i="18"/>
  <c r="AX70" i="18" s="1"/>
  <c r="AU42" i="18"/>
  <c r="O42" i="18" s="1"/>
  <c r="Y33" i="574" s="1"/>
  <c r="AV42" i="18"/>
  <c r="AX42" i="18" s="1"/>
  <c r="AU44" i="18"/>
  <c r="O44" i="18" s="1"/>
  <c r="Y35" i="574" s="1"/>
  <c r="AV44" i="18"/>
  <c r="AX44" i="18" s="1"/>
  <c r="AU39" i="18"/>
  <c r="O39" i="18" s="1"/>
  <c r="Y30" i="574" s="1"/>
  <c r="AV39" i="18"/>
  <c r="AX39" i="18" s="1"/>
  <c r="O54" i="18"/>
  <c r="Y45" i="574" s="1"/>
  <c r="AQ54" i="18"/>
  <c r="AU45" i="18"/>
  <c r="O45" i="18" s="1"/>
  <c r="Y36" i="574" s="1"/>
  <c r="AV45" i="18"/>
  <c r="AX45" i="18" s="1"/>
  <c r="O55" i="18"/>
  <c r="AQ55" i="18"/>
  <c r="O52" i="18"/>
  <c r="Y43" i="574" s="1"/>
  <c r="AQ52" i="18"/>
  <c r="AQ38" i="18"/>
  <c r="AT38" i="18" s="1"/>
  <c r="AR38" i="18"/>
  <c r="AW38" i="18" s="1"/>
  <c r="D37" i="574"/>
  <c r="AU38" i="18" l="1"/>
  <c r="O38" i="18" s="1"/>
  <c r="Y29" i="574" s="1"/>
  <c r="AV38" i="18"/>
  <c r="AX38" i="18" s="1"/>
  <c r="D40" i="574"/>
  <c r="D38" i="574" l="1"/>
  <c r="D39" i="574"/>
  <c r="D41" i="574"/>
  <c r="D42" i="574"/>
  <c r="D43" i="574"/>
  <c r="D44" i="574"/>
  <c r="D45" i="574"/>
  <c r="D46" i="574"/>
  <c r="D47" i="574"/>
  <c r="L37" i="574"/>
  <c r="D14" i="574"/>
  <c r="E47" i="574"/>
  <c r="E27" i="18" l="1"/>
  <c r="C40" i="21"/>
  <c r="E27" i="19"/>
  <c r="I37" i="574"/>
  <c r="J37" i="574" s="1"/>
  <c r="K37" i="574" s="1"/>
  <c r="D48" i="574"/>
  <c r="AF27" i="574"/>
  <c r="E40" i="21" l="1"/>
  <c r="F40" i="21"/>
  <c r="J40" i="21"/>
  <c r="K40" i="21"/>
  <c r="Q40" i="21"/>
  <c r="R40" i="21"/>
  <c r="D28" i="18"/>
  <c r="D28" i="19"/>
  <c r="I28" i="19" s="1"/>
  <c r="J28" i="19" s="1"/>
  <c r="K28" i="19" s="1"/>
  <c r="D56" i="19"/>
  <c r="D110" i="19"/>
  <c r="D137" i="19"/>
  <c r="D83" i="19"/>
  <c r="I27" i="19"/>
  <c r="J27" i="19" s="1"/>
  <c r="D84" i="18"/>
  <c r="I27" i="18"/>
  <c r="J27" i="18" s="1"/>
  <c r="L39" i="574"/>
  <c r="K27" i="18" l="1"/>
  <c r="AO78" i="18"/>
  <c r="AN56" i="18"/>
  <c r="AN83" i="18"/>
  <c r="I84" i="18"/>
  <c r="I28" i="18"/>
  <c r="J28" i="18" s="1"/>
  <c r="D57" i="18"/>
  <c r="S40" i="21"/>
  <c r="U40" i="21"/>
  <c r="T40" i="21"/>
  <c r="P84" i="18" s="1"/>
  <c r="Q84" i="18" s="1"/>
  <c r="L40" i="21"/>
  <c r="O40" i="21"/>
  <c r="N40" i="21"/>
  <c r="M40" i="21"/>
  <c r="H40" i="21"/>
  <c r="G40" i="21"/>
  <c r="K27" i="19"/>
  <c r="F55" i="19"/>
  <c r="P55" i="19" s="1"/>
  <c r="F56" i="19"/>
  <c r="P56" i="19" s="1"/>
  <c r="I39" i="574"/>
  <c r="J39" i="574" s="1"/>
  <c r="K39" i="574" s="1"/>
  <c r="R55" i="19" l="1"/>
  <c r="U55" i="19"/>
  <c r="F137" i="19"/>
  <c r="F110" i="19"/>
  <c r="F83" i="19"/>
  <c r="U84" i="18"/>
  <c r="U57" i="18"/>
  <c r="V84" i="18"/>
  <c r="V57" i="18"/>
  <c r="R56" i="19"/>
  <c r="U56" i="19"/>
  <c r="W84" i="18"/>
  <c r="W57" i="18"/>
  <c r="T84" i="18"/>
  <c r="T57" i="18"/>
  <c r="K28" i="18"/>
  <c r="AO79" i="18"/>
  <c r="AN84" i="18"/>
  <c r="AS78" i="18"/>
  <c r="AP78" i="18"/>
  <c r="E137" i="19"/>
  <c r="E110" i="19"/>
  <c r="E83" i="19"/>
  <c r="AO83" i="18"/>
  <c r="AT83" i="18"/>
  <c r="AR83" i="18"/>
  <c r="AW83" i="18" s="1"/>
  <c r="AQ83" i="18"/>
  <c r="AN57" i="18"/>
  <c r="I57" i="18"/>
  <c r="Y57" i="18"/>
  <c r="Y85" i="18" s="1"/>
  <c r="X57" i="18"/>
  <c r="AO56" i="18"/>
  <c r="AT56" i="18"/>
  <c r="AR56" i="18"/>
  <c r="AW56" i="18" s="1"/>
  <c r="AQ56" i="18"/>
  <c r="M4" i="4"/>
  <c r="P3" i="575"/>
  <c r="D28" i="574"/>
  <c r="D29" i="574"/>
  <c r="D30" i="574"/>
  <c r="D31" i="574"/>
  <c r="D32" i="574"/>
  <c r="D33" i="574"/>
  <c r="D34" i="574"/>
  <c r="D35" i="574"/>
  <c r="D36" i="574"/>
  <c r="D27" i="574"/>
  <c r="D13" i="574"/>
  <c r="D12" i="574"/>
  <c r="AS56" i="18" l="1"/>
  <c r="AP56" i="18"/>
  <c r="AS83" i="18"/>
  <c r="AP83" i="18"/>
  <c r="AT84" i="18"/>
  <c r="AO84" i="18"/>
  <c r="AS84" i="18" s="1"/>
  <c r="AR84" i="18"/>
  <c r="AW84" i="18" s="1"/>
  <c r="H84" i="18"/>
  <c r="X85" i="18"/>
  <c r="AC57" i="18"/>
  <c r="AB57" i="18" s="1"/>
  <c r="AA57" i="18"/>
  <c r="Z57" i="18"/>
  <c r="AO57" i="18"/>
  <c r="AS57" i="18" s="1"/>
  <c r="AT57" i="18"/>
  <c r="AR57" i="18"/>
  <c r="AW57" i="18" s="1"/>
  <c r="AS79" i="18"/>
  <c r="AP79" i="18"/>
  <c r="AU83" i="18"/>
  <c r="O83" i="18" s="1"/>
  <c r="Y46" i="574" s="1"/>
  <c r="AV83" i="18"/>
  <c r="AX83" i="18" s="1"/>
  <c r="G84" i="18"/>
  <c r="AP84" i="18"/>
  <c r="AP57" i="18"/>
  <c r="AU56" i="18"/>
  <c r="O56" i="18" s="1"/>
  <c r="AV56" i="18"/>
  <c r="AX56" i="18" s="1"/>
  <c r="AK17" i="574"/>
  <c r="AL17" i="574" s="1"/>
  <c r="AK18" i="574"/>
  <c r="AK11" i="574"/>
  <c r="AK16" i="574"/>
  <c r="AK15" i="574"/>
  <c r="AK13" i="574"/>
  <c r="AK32" i="574"/>
  <c r="AK31" i="574"/>
  <c r="D62" i="20"/>
  <c r="D34" i="20"/>
  <c r="E5" i="20"/>
  <c r="D5" i="20"/>
  <c r="X6" i="18"/>
  <c r="X5" i="18"/>
  <c r="S14" i="18"/>
  <c r="S9" i="18"/>
  <c r="S8" i="18"/>
  <c r="S7" i="18"/>
  <c r="S6" i="18"/>
  <c r="D62" i="18"/>
  <c r="D34" i="18"/>
  <c r="AN35" i="18" s="1"/>
  <c r="E5" i="18"/>
  <c r="D5" i="18"/>
  <c r="S3" i="18"/>
  <c r="S2" i="18"/>
  <c r="X6" i="17"/>
  <c r="X5" i="17"/>
  <c r="S14" i="17"/>
  <c r="S9" i="17"/>
  <c r="S8" i="17"/>
  <c r="S7" i="17"/>
  <c r="S6" i="17"/>
  <c r="S2" i="17"/>
  <c r="D32" i="17"/>
  <c r="D23" i="17"/>
  <c r="AN24" i="17" s="1"/>
  <c r="E5" i="17"/>
  <c r="D5" i="17"/>
  <c r="D155" i="19"/>
  <c r="D143" i="19"/>
  <c r="D115" i="19"/>
  <c r="D88" i="19"/>
  <c r="D61" i="19"/>
  <c r="D34" i="19"/>
  <c r="E5" i="19"/>
  <c r="D5" i="19"/>
  <c r="D79" i="5"/>
  <c r="D66" i="5"/>
  <c r="D57" i="5"/>
  <c r="D49" i="5"/>
  <c r="D41" i="5"/>
  <c r="D33" i="5"/>
  <c r="E5" i="5"/>
  <c r="D5" i="5"/>
  <c r="AF57" i="18" l="1"/>
  <c r="G57" i="18"/>
  <c r="H57" i="18"/>
  <c r="AU57" i="18"/>
  <c r="AV57" i="18"/>
  <c r="AX57" i="18" s="1"/>
  <c r="Z85" i="18"/>
  <c r="AC85" i="18"/>
  <c r="AA85" i="18"/>
  <c r="P85" i="18" s="1"/>
  <c r="Q85" i="18" s="1"/>
  <c r="AP85" i="18"/>
  <c r="AQ84" i="18"/>
  <c r="P57" i="18"/>
  <c r="Q57" i="18" s="1"/>
  <c r="AU84" i="18"/>
  <c r="O84" i="18" s="1"/>
  <c r="Y47" i="574" s="1"/>
  <c r="AV84" i="18"/>
  <c r="AX84" i="18" s="1"/>
  <c r="AN17" i="574" a="1"/>
  <c r="AN17" i="574" s="1"/>
  <c r="AM17" i="574"/>
  <c r="AL18" i="574"/>
  <c r="AM18" i="574"/>
  <c r="AN18" i="574" a="1"/>
  <c r="AN18" i="574" s="1"/>
  <c r="AL11" i="574"/>
  <c r="AN11" i="574" a="1"/>
  <c r="AN11" i="574" s="1"/>
  <c r="AM11" i="574"/>
  <c r="AL16" i="574"/>
  <c r="AM16" i="574"/>
  <c r="AN16" i="574" a="1"/>
  <c r="AN16" i="574" s="1"/>
  <c r="AL15" i="574"/>
  <c r="AN15" i="574" a="1"/>
  <c r="AN15" i="574" s="1"/>
  <c r="AM15" i="574"/>
  <c r="AL13" i="574"/>
  <c r="AN13" i="574" a="1"/>
  <c r="AN13" i="574" s="1"/>
  <c r="AM13" i="574"/>
  <c r="AL31" i="574"/>
  <c r="E149" i="19" s="1"/>
  <c r="AN31" i="574" a="1"/>
  <c r="AN31" i="574" s="1"/>
  <c r="AM31" i="574"/>
  <c r="F149" i="19" s="1"/>
  <c r="AM32" i="574"/>
  <c r="F150" i="19" s="1"/>
  <c r="AN32" i="574" a="1"/>
  <c r="AN32" i="574" s="1"/>
  <c r="AL32" i="574"/>
  <c r="E150" i="19" s="1"/>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16" i="19"/>
  <c r="O116" i="19"/>
  <c r="Z8" i="19"/>
  <c r="AC4" i="19"/>
  <c r="AD113" i="19"/>
  <c r="AD86" i="19"/>
  <c r="AD59" i="19"/>
  <c r="AB55" i="5"/>
  <c r="AB47" i="5"/>
  <c r="AB39" i="5"/>
  <c r="R116" i="19"/>
  <c r="Q116" i="19"/>
  <c r="R89" i="19"/>
  <c r="Q89" i="19"/>
  <c r="R62" i="19"/>
  <c r="Q62" i="19"/>
  <c r="P58" i="5"/>
  <c r="O58" i="5"/>
  <c r="P50" i="5"/>
  <c r="O50" i="5"/>
  <c r="P42" i="5"/>
  <c r="O42" i="5"/>
  <c r="AB27" i="5"/>
  <c r="AB26" i="5"/>
  <c r="X14" i="5"/>
  <c r="X15" i="5"/>
  <c r="X16" i="5"/>
  <c r="X13" i="5"/>
  <c r="D62" i="23"/>
  <c r="D34" i="23"/>
  <c r="E5" i="23"/>
  <c r="D5" i="23"/>
  <c r="C61" i="21"/>
  <c r="C47" i="21"/>
  <c r="C17" i="21"/>
  <c r="G4" i="4"/>
  <c r="C4" i="4"/>
  <c r="C4" i="574"/>
  <c r="AF25" i="574"/>
  <c r="E25" i="574"/>
  <c r="D25" i="574"/>
  <c r="AF10" i="574"/>
  <c r="E10" i="574"/>
  <c r="D10" i="574"/>
  <c r="D10" i="51"/>
  <c r="G10" i="51" s="1"/>
  <c r="D9" i="51"/>
  <c r="D11" i="24"/>
  <c r="D10" i="24"/>
  <c r="S5" i="23"/>
  <c r="S4" i="23"/>
  <c r="S3" i="23"/>
  <c r="F154" i="19"/>
  <c r="E154" i="19"/>
  <c r="F114" i="19"/>
  <c r="E114" i="19"/>
  <c r="F87" i="19"/>
  <c r="E87" i="19"/>
  <c r="F60" i="19"/>
  <c r="E60" i="19"/>
  <c r="F78" i="5"/>
  <c r="E78" i="5"/>
  <c r="F56" i="5"/>
  <c r="E56" i="5"/>
  <c r="F48" i="5"/>
  <c r="E48" i="5"/>
  <c r="F40" i="5"/>
  <c r="E40" i="5"/>
  <c r="H60" i="21"/>
  <c r="H46" i="21"/>
  <c r="H16" i="21"/>
  <c r="H5" i="21"/>
  <c r="E3" i="4"/>
  <c r="C3" i="574"/>
  <c r="C2" i="574"/>
  <c r="AF27" i="5"/>
  <c r="AF26" i="5"/>
  <c r="AC4" i="5"/>
  <c r="Z16" i="5"/>
  <c r="Z15" i="5"/>
  <c r="Z14" i="5"/>
  <c r="Z13" i="5"/>
  <c r="Z12" i="5"/>
  <c r="Z9" i="5"/>
  <c r="Z8" i="5"/>
  <c r="Z6" i="5"/>
  <c r="Z5" i="5"/>
  <c r="Z4" i="5"/>
  <c r="AB85" i="18" l="1"/>
  <c r="AW85" i="18"/>
  <c r="AX85" i="18" s="1"/>
  <c r="O57" i="18"/>
  <c r="AQ57" i="18"/>
  <c r="AE161" i="19"/>
  <c r="AD161" i="19"/>
  <c r="AB161" i="19"/>
  <c r="AC161" i="19"/>
  <c r="AE162" i="19"/>
  <c r="AD162" i="19"/>
  <c r="AB162" i="19"/>
  <c r="AC162" i="19"/>
  <c r="Y72" i="19"/>
  <c r="Y126" i="19" s="1"/>
  <c r="AA72" i="19"/>
  <c r="Y74" i="19"/>
  <c r="Y128" i="19" s="1"/>
  <c r="AA74" i="19"/>
  <c r="Y82" i="19"/>
  <c r="Y136" i="19" s="1"/>
  <c r="AI136" i="19" s="1"/>
  <c r="AA82" i="19"/>
  <c r="AA78" i="19"/>
  <c r="Y75" i="19"/>
  <c r="Y129" i="19" s="1"/>
  <c r="AI129" i="19" s="1"/>
  <c r="AA75" i="19"/>
  <c r="Y69" i="19"/>
  <c r="Y123" i="19" s="1"/>
  <c r="AA69" i="19"/>
  <c r="Y78" i="19"/>
  <c r="Y132" i="19" s="1"/>
  <c r="Y65" i="19"/>
  <c r="Y119" i="19" s="1"/>
  <c r="AI119" i="19" s="1"/>
  <c r="AA65" i="19"/>
  <c r="Y76" i="19"/>
  <c r="Y130" i="19" s="1"/>
  <c r="Y67" i="19"/>
  <c r="Y121" i="19" s="1"/>
  <c r="AA76" i="19"/>
  <c r="Y80" i="19"/>
  <c r="Y134" i="19" s="1"/>
  <c r="AA67" i="19"/>
  <c r="Y68" i="19"/>
  <c r="Y122" i="19" s="1"/>
  <c r="AI122" i="19" s="1"/>
  <c r="AA80" i="19"/>
  <c r="AA63" i="19"/>
  <c r="AA68" i="19"/>
  <c r="Y73" i="19"/>
  <c r="Y127" i="19" s="1"/>
  <c r="AA64" i="19"/>
  <c r="Y70" i="19"/>
  <c r="Y124" i="19" s="1"/>
  <c r="Y83" i="19"/>
  <c r="Y137" i="19" s="1"/>
  <c r="AI137" i="19" s="1"/>
  <c r="Y63" i="19"/>
  <c r="Y117" i="19" s="1"/>
  <c r="AI117" i="19" s="1"/>
  <c r="Y66" i="19"/>
  <c r="Y120" i="19" s="1"/>
  <c r="AI120" i="19" s="1"/>
  <c r="Y71" i="19"/>
  <c r="Y125" i="19" s="1"/>
  <c r="AA70" i="19"/>
  <c r="AA83" i="19"/>
  <c r="AA66" i="19"/>
  <c r="AA71" i="19"/>
  <c r="Y77" i="19"/>
  <c r="Y131" i="19" s="1"/>
  <c r="Y81" i="19"/>
  <c r="Y135" i="19" s="1"/>
  <c r="Y64" i="19"/>
  <c r="Y118" i="19" s="1"/>
  <c r="AI118" i="19" s="1"/>
  <c r="AA77" i="19"/>
  <c r="AA81" i="19"/>
  <c r="AA73" i="19"/>
  <c r="AA79" i="19"/>
  <c r="Y79" i="19"/>
  <c r="Y133" i="19" s="1"/>
  <c r="X72" i="19"/>
  <c r="X126" i="19" s="1"/>
  <c r="Z72" i="19"/>
  <c r="Z126" i="19" s="1"/>
  <c r="X74" i="19"/>
  <c r="X128" i="19" s="1"/>
  <c r="AH128" i="19" s="1"/>
  <c r="Z74" i="19"/>
  <c r="Z128" i="19" s="1"/>
  <c r="X82" i="19"/>
  <c r="X136" i="19" s="1"/>
  <c r="AH136" i="19" s="1"/>
  <c r="X78" i="19"/>
  <c r="X132" i="19" s="1"/>
  <c r="Z82" i="19"/>
  <c r="Z136" i="19" s="1"/>
  <c r="X75" i="19"/>
  <c r="X129" i="19" s="1"/>
  <c r="Z75" i="19"/>
  <c r="Z129" i="19" s="1"/>
  <c r="X69" i="19"/>
  <c r="X123" i="19" s="1"/>
  <c r="Z78" i="19"/>
  <c r="Z132" i="19" s="1"/>
  <c r="Z69" i="19"/>
  <c r="Z123" i="19" s="1"/>
  <c r="X65" i="19"/>
  <c r="X119" i="19" s="1"/>
  <c r="Z65" i="19"/>
  <c r="Z119" i="19" s="1"/>
  <c r="X76" i="19"/>
  <c r="X130" i="19" s="1"/>
  <c r="X64" i="19"/>
  <c r="X118" i="19" s="1"/>
  <c r="X67" i="19"/>
  <c r="X121" i="19" s="1"/>
  <c r="Z76" i="19"/>
  <c r="Z130" i="19" s="1"/>
  <c r="X80" i="19"/>
  <c r="X134" i="19" s="1"/>
  <c r="Z67" i="19"/>
  <c r="Z121" i="19" s="1"/>
  <c r="Z80" i="19"/>
  <c r="Z134" i="19" s="1"/>
  <c r="Z79" i="19"/>
  <c r="Z133" i="19" s="1"/>
  <c r="Z68" i="19"/>
  <c r="Z122" i="19" s="1"/>
  <c r="X81" i="19"/>
  <c r="X135" i="19" s="1"/>
  <c r="AH135" i="19" s="1"/>
  <c r="X63" i="19"/>
  <c r="X117" i="19" s="1"/>
  <c r="X68" i="19"/>
  <c r="X122" i="19" s="1"/>
  <c r="X70" i="19"/>
  <c r="X124" i="19" s="1"/>
  <c r="X83" i="19"/>
  <c r="X137" i="19" s="1"/>
  <c r="AH137" i="19" s="1"/>
  <c r="X66" i="19"/>
  <c r="X120" i="19" s="1"/>
  <c r="X71" i="19"/>
  <c r="X125" i="19" s="1"/>
  <c r="Z70" i="19"/>
  <c r="Z124" i="19" s="1"/>
  <c r="Z83" i="19"/>
  <c r="Z137" i="19" s="1"/>
  <c r="Z66" i="19"/>
  <c r="Z120" i="19" s="1"/>
  <c r="Z71" i="19"/>
  <c r="Z125" i="19" s="1"/>
  <c r="Z64" i="19"/>
  <c r="Z118" i="19" s="1"/>
  <c r="X77" i="19"/>
  <c r="X131" i="19" s="1"/>
  <c r="Z63" i="19"/>
  <c r="Z117" i="19" s="1"/>
  <c r="Z77" i="19"/>
  <c r="Z131" i="19" s="1"/>
  <c r="Z81" i="19"/>
  <c r="Z135" i="19" s="1"/>
  <c r="X73" i="19"/>
  <c r="X127" i="19" s="1"/>
  <c r="Z73" i="19"/>
  <c r="Z127" i="19" s="1"/>
  <c r="X79" i="19"/>
  <c r="X133" i="19" s="1"/>
  <c r="AH133" i="19" s="1"/>
  <c r="T42" i="19" a="1"/>
  <c r="T42" i="19" s="1"/>
  <c r="V42" i="19" s="1"/>
  <c r="M42" i="19" s="1"/>
  <c r="Q36" i="19" a="1"/>
  <c r="Q36" i="19" s="1"/>
  <c r="S36" i="19" s="1"/>
  <c r="L36" i="19" s="1"/>
  <c r="T41" i="19" a="1"/>
  <c r="T41" i="19" s="1"/>
  <c r="V41" i="19" s="1"/>
  <c r="M41" i="19" s="1"/>
  <c r="Q46" i="19" a="1"/>
  <c r="Q46" i="19" s="1"/>
  <c r="S46" i="19" s="1"/>
  <c r="L46" i="19" s="1"/>
  <c r="Q49" i="19" a="1"/>
  <c r="Q49" i="19" s="1"/>
  <c r="S49" i="19" s="1"/>
  <c r="L49" i="19" s="1"/>
  <c r="T36" i="19" a="1"/>
  <c r="T36" i="19" s="1"/>
  <c r="V36" i="19" s="1"/>
  <c r="M36" i="19" s="1"/>
  <c r="Q39" i="19" a="1"/>
  <c r="Q39" i="19" s="1"/>
  <c r="S39" i="19" s="1"/>
  <c r="L39" i="19" s="1"/>
  <c r="T39" i="19" a="1"/>
  <c r="T39" i="19" s="1"/>
  <c r="V39" i="19" s="1"/>
  <c r="M39" i="19" s="1"/>
  <c r="T44" i="19" a="1"/>
  <c r="T44" i="19" s="1"/>
  <c r="Q53" i="19" a="1"/>
  <c r="Q53" i="19" s="1"/>
  <c r="S53" i="19" s="1"/>
  <c r="L53" i="19" s="1"/>
  <c r="T53" i="19" a="1"/>
  <c r="T53" i="19" s="1"/>
  <c r="V53" i="19" s="1"/>
  <c r="M53" i="19" s="1"/>
  <c r="T47" i="19" a="1"/>
  <c r="T47" i="19" s="1"/>
  <c r="V47" i="19" s="1"/>
  <c r="M47" i="19" s="1"/>
  <c r="Q42" i="19" a="1"/>
  <c r="Q42" i="19" s="1"/>
  <c r="S42" i="19" s="1"/>
  <c r="L42" i="19" s="1"/>
  <c r="T52" i="19" a="1"/>
  <c r="T52" i="19" s="1"/>
  <c r="V52" i="19" s="1"/>
  <c r="M52" i="19" s="1"/>
  <c r="Q52" i="19" a="1"/>
  <c r="Q52" i="19" s="1"/>
  <c r="S52" i="19" s="1"/>
  <c r="L52" i="19" s="1"/>
  <c r="T37" i="19" a="1"/>
  <c r="T37" i="19" s="1"/>
  <c r="T40" i="19" a="1"/>
  <c r="T40" i="19" s="1"/>
  <c r="V40" i="19" s="1"/>
  <c r="M40" i="19" s="1"/>
  <c r="Q47" i="19" a="1"/>
  <c r="Q47" i="19" s="1"/>
  <c r="S47" i="19" s="1"/>
  <c r="L47" i="19" s="1"/>
  <c r="Q37" i="19" a="1"/>
  <c r="Q37" i="19" s="1"/>
  <c r="Q38" i="19" a="1"/>
  <c r="Q38" i="19" s="1"/>
  <c r="S38" i="19" s="1"/>
  <c r="L38" i="19" s="1"/>
  <c r="T43" i="19" a="1"/>
  <c r="T43" i="19" s="1"/>
  <c r="V43" i="19" s="1"/>
  <c r="M43" i="19" s="1"/>
  <c r="T38" i="19" a="1"/>
  <c r="T38" i="19" s="1"/>
  <c r="V38" i="19" s="1"/>
  <c r="M38" i="19" s="1"/>
  <c r="Q45" i="19" a="1"/>
  <c r="Q45" i="19" s="1"/>
  <c r="S45" i="19" s="1"/>
  <c r="L45" i="19" s="1"/>
  <c r="T45" i="19" a="1"/>
  <c r="T45" i="19" s="1"/>
  <c r="V45" i="19" s="1"/>
  <c r="M45" i="19" s="1"/>
  <c r="Q50" i="19" a="1"/>
  <c r="Q50" i="19" s="1"/>
  <c r="S50" i="19" s="1"/>
  <c r="L50" i="19" s="1"/>
  <c r="T50" i="19" a="1"/>
  <c r="T50" i="19" s="1"/>
  <c r="V50" i="19" s="1"/>
  <c r="M50" i="19" s="1"/>
  <c r="T56" i="19" a="1"/>
  <c r="T56" i="19" s="1"/>
  <c r="V56" i="19" s="1"/>
  <c r="M56" i="19" s="1"/>
  <c r="Q54" i="19" a="1"/>
  <c r="Q54" i="19" s="1"/>
  <c r="S54" i="19" s="1"/>
  <c r="L54" i="19" s="1"/>
  <c r="T54" i="19" a="1"/>
  <c r="T54" i="19" s="1"/>
  <c r="V54" i="19" s="1"/>
  <c r="M54" i="19" s="1"/>
  <c r="T51" i="19" a="1"/>
  <c r="T51" i="19" s="1"/>
  <c r="V51" i="19" s="1"/>
  <c r="M51" i="19" s="1"/>
  <c r="Q55" i="19" a="1"/>
  <c r="Q55" i="19" s="1"/>
  <c r="S55" i="19" s="1"/>
  <c r="L55" i="19" s="1"/>
  <c r="Q43" i="19" a="1"/>
  <c r="Q43" i="19" s="1"/>
  <c r="S43" i="19" s="1"/>
  <c r="L43" i="19" s="1"/>
  <c r="T48" i="19" a="1"/>
  <c r="T48" i="19" s="1"/>
  <c r="V48" i="19" s="1"/>
  <c r="M48" i="19" s="1"/>
  <c r="Q51" i="19" a="1"/>
  <c r="Q51" i="19" s="1"/>
  <c r="S51" i="19" s="1"/>
  <c r="L51" i="19" s="1"/>
  <c r="T46" i="19" a="1"/>
  <c r="T46" i="19" s="1"/>
  <c r="V46" i="19" s="1"/>
  <c r="M46" i="19" s="1"/>
  <c r="Q48" i="19" a="1"/>
  <c r="Q48" i="19" s="1"/>
  <c r="S48" i="19" s="1"/>
  <c r="L48" i="19" s="1"/>
  <c r="Q41" i="19" a="1"/>
  <c r="Q41" i="19" s="1"/>
  <c r="S41" i="19" s="1"/>
  <c r="L41" i="19" s="1"/>
  <c r="T55" i="19" a="1"/>
  <c r="T55" i="19" s="1"/>
  <c r="V55" i="19" s="1"/>
  <c r="M55" i="19" s="1"/>
  <c r="Q56" i="19" a="1"/>
  <c r="Q56" i="19" s="1"/>
  <c r="S56" i="19" s="1"/>
  <c r="L56" i="19" s="1"/>
  <c r="T49" i="19" a="1"/>
  <c r="T49" i="19" s="1"/>
  <c r="V49" i="19" s="1"/>
  <c r="M49" i="19" s="1"/>
  <c r="Q44" i="19" a="1"/>
  <c r="Q44" i="19" s="1"/>
  <c r="Q40" i="19" a="1"/>
  <c r="Q40" i="19" s="1"/>
  <c r="S40" i="19" s="1"/>
  <c r="L40" i="19" s="1"/>
  <c r="W44" i="5"/>
  <c r="W60" i="5" s="1"/>
  <c r="AG60" i="5" s="1"/>
  <c r="W43" i="5"/>
  <c r="W59" i="5" s="1"/>
  <c r="AG59" i="5" s="1"/>
  <c r="Y44" i="5"/>
  <c r="V44" i="5"/>
  <c r="V60" i="5" s="1"/>
  <c r="V43" i="5"/>
  <c r="V59" i="5" s="1"/>
  <c r="X44" i="5"/>
  <c r="X60" i="5" s="1"/>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H85" i="18" l="1"/>
  <c r="AF85" i="18"/>
  <c r="G85" i="18"/>
  <c r="H161" i="19"/>
  <c r="G161" i="19"/>
  <c r="M161" i="19" s="1"/>
  <c r="S161" i="19" s="1"/>
  <c r="AS31" i="574" s="1"/>
  <c r="G162" i="19"/>
  <c r="M162" i="19" s="1"/>
  <c r="S162" i="19" s="1"/>
  <c r="AS32" i="574" s="1"/>
  <c r="H162" i="19"/>
  <c r="AH121" i="19"/>
  <c r="AA110" i="19"/>
  <c r="AA137" i="19"/>
  <c r="AC137" i="19" s="1"/>
  <c r="AI125" i="19"/>
  <c r="AI127" i="19"/>
  <c r="AH118" i="19"/>
  <c r="AH119" i="19"/>
  <c r="G135" i="19"/>
  <c r="H135" i="19"/>
  <c r="I135" i="19"/>
  <c r="J135" i="19"/>
  <c r="AC135" i="19"/>
  <c r="AH134" i="19"/>
  <c r="AI121" i="19"/>
  <c r="AH126" i="19"/>
  <c r="AH132" i="19"/>
  <c r="AI133" i="19"/>
  <c r="AA95" i="19"/>
  <c r="AA122" i="19"/>
  <c r="I122" i="19" s="1"/>
  <c r="AA106" i="19"/>
  <c r="AA133" i="19"/>
  <c r="AA102" i="19"/>
  <c r="AA129" i="19"/>
  <c r="G129" i="19" s="1"/>
  <c r="AA107" i="19"/>
  <c r="AA134" i="19"/>
  <c r="H134" i="19" s="1"/>
  <c r="AH129" i="19"/>
  <c r="AI130" i="19"/>
  <c r="AI124" i="19"/>
  <c r="J123" i="19"/>
  <c r="G123" i="19"/>
  <c r="I123" i="19"/>
  <c r="AA94" i="19"/>
  <c r="AA121" i="19"/>
  <c r="AC121" i="19" s="1"/>
  <c r="AA103" i="19"/>
  <c r="AA130" i="19"/>
  <c r="AA92" i="19"/>
  <c r="AA119" i="19"/>
  <c r="G119" i="19" s="1"/>
  <c r="AH120" i="19"/>
  <c r="AA108" i="19"/>
  <c r="AA135" i="19"/>
  <c r="AA105" i="19"/>
  <c r="AA132" i="19"/>
  <c r="H121" i="19"/>
  <c r="J121" i="19"/>
  <c r="G121" i="19"/>
  <c r="I121" i="19"/>
  <c r="G132" i="19"/>
  <c r="H132" i="19"/>
  <c r="I132" i="19"/>
  <c r="J132" i="19"/>
  <c r="AC132" i="19"/>
  <c r="AH127" i="19"/>
  <c r="H128" i="19"/>
  <c r="I128" i="19"/>
  <c r="J128" i="19"/>
  <c r="G128" i="19"/>
  <c r="AC128" i="19"/>
  <c r="G125" i="19"/>
  <c r="H125" i="19"/>
  <c r="AA96" i="19"/>
  <c r="AA123" i="19"/>
  <c r="AC123" i="19" s="1"/>
  <c r="J137" i="19"/>
  <c r="I137" i="19"/>
  <c r="AA104" i="19"/>
  <c r="AA131" i="19"/>
  <c r="AA109" i="19"/>
  <c r="AA136" i="19"/>
  <c r="H133" i="19"/>
  <c r="I133" i="19"/>
  <c r="J133" i="19"/>
  <c r="G133" i="19"/>
  <c r="AC133" i="19"/>
  <c r="AH123" i="19"/>
  <c r="G136" i="19"/>
  <c r="H136" i="19"/>
  <c r="I136" i="19"/>
  <c r="J136" i="19"/>
  <c r="AC136" i="19"/>
  <c r="G124" i="19"/>
  <c r="H124" i="19"/>
  <c r="I124" i="19"/>
  <c r="J124" i="19"/>
  <c r="AC124" i="19"/>
  <c r="AH124" i="19"/>
  <c r="AA91" i="19"/>
  <c r="AA118" i="19"/>
  <c r="J118" i="19" s="1"/>
  <c r="AH122" i="19"/>
  <c r="AI135" i="19"/>
  <c r="AA101" i="19"/>
  <c r="AA128" i="19"/>
  <c r="AA97" i="19"/>
  <c r="AA124" i="19"/>
  <c r="G130" i="19"/>
  <c r="H130" i="19"/>
  <c r="I130" i="19"/>
  <c r="J130" i="19"/>
  <c r="AC130" i="19"/>
  <c r="H126" i="19"/>
  <c r="AC126" i="19"/>
  <c r="G120" i="19"/>
  <c r="J120" i="19"/>
  <c r="I120" i="19"/>
  <c r="H120" i="19"/>
  <c r="AC120" i="19"/>
  <c r="AI123" i="19"/>
  <c r="AH125" i="19"/>
  <c r="AH117" i="19"/>
  <c r="AI131" i="19"/>
  <c r="AI128" i="19"/>
  <c r="AI134" i="19"/>
  <c r="G131" i="19"/>
  <c r="H131" i="19"/>
  <c r="I131" i="19"/>
  <c r="J131" i="19"/>
  <c r="AC131" i="19"/>
  <c r="AA100" i="19"/>
  <c r="AA127" i="19"/>
  <c r="G127" i="19" s="1"/>
  <c r="AA98" i="19"/>
  <c r="AA125" i="19"/>
  <c r="I125" i="19" s="1"/>
  <c r="AA99" i="19"/>
  <c r="AA126" i="19"/>
  <c r="I126" i="19" s="1"/>
  <c r="AH130" i="19"/>
  <c r="AA90" i="19"/>
  <c r="AA117" i="19"/>
  <c r="G117" i="19"/>
  <c r="AC117" i="19"/>
  <c r="J117" i="19"/>
  <c r="I117" i="19"/>
  <c r="H117" i="19"/>
  <c r="AH131" i="19"/>
  <c r="G118" i="19"/>
  <c r="AC118" i="19"/>
  <c r="AI132" i="19"/>
  <c r="H122" i="19"/>
  <c r="J122" i="19"/>
  <c r="G122" i="19"/>
  <c r="AC122" i="19"/>
  <c r="AA93" i="19"/>
  <c r="AA120" i="19"/>
  <c r="AI126" i="19"/>
  <c r="AC77" i="19"/>
  <c r="Z104" i="19"/>
  <c r="AC104" i="19"/>
  <c r="X106" i="19"/>
  <c r="AH106" i="19"/>
  <c r="Y110" i="19"/>
  <c r="AI110" i="19"/>
  <c r="Z90" i="19"/>
  <c r="AC90" i="19"/>
  <c r="AC72" i="19"/>
  <c r="Z99" i="19"/>
  <c r="AC99" i="19"/>
  <c r="AH92" i="19"/>
  <c r="X92" i="19"/>
  <c r="Y94" i="19"/>
  <c r="AI94" i="19"/>
  <c r="AC75" i="19"/>
  <c r="Z102" i="19"/>
  <c r="AC102" i="19"/>
  <c r="Y97" i="19"/>
  <c r="AI97" i="19"/>
  <c r="AC82" i="19"/>
  <c r="Z109" i="19"/>
  <c r="AC109" i="19"/>
  <c r="X104" i="19"/>
  <c r="AH104" i="19"/>
  <c r="X94" i="19"/>
  <c r="AH94" i="19"/>
  <c r="X110" i="19"/>
  <c r="AH110" i="19"/>
  <c r="AC81" i="19"/>
  <c r="Z108" i="19"/>
  <c r="AC108" i="19"/>
  <c r="X109" i="19"/>
  <c r="AH109" i="19"/>
  <c r="AI105" i="19"/>
  <c r="Y105" i="19"/>
  <c r="Y106" i="19"/>
  <c r="AI106" i="19"/>
  <c r="X97" i="19"/>
  <c r="AH97" i="19"/>
  <c r="Y91" i="19"/>
  <c r="AI91" i="19"/>
  <c r="Y109" i="19"/>
  <c r="AI109" i="19"/>
  <c r="Y96" i="19"/>
  <c r="AI96" i="19"/>
  <c r="AI108" i="19"/>
  <c r="Y108" i="19"/>
  <c r="X103" i="19"/>
  <c r="AH103" i="19"/>
  <c r="X96" i="19"/>
  <c r="AH96" i="19"/>
  <c r="Y104" i="19"/>
  <c r="AI104" i="19"/>
  <c r="Y101" i="19"/>
  <c r="AI101" i="19"/>
  <c r="AC71" i="19"/>
  <c r="Z98" i="19"/>
  <c r="AC98" i="19"/>
  <c r="Z110" i="19"/>
  <c r="AC110" i="19"/>
  <c r="AH108" i="19"/>
  <c r="X108" i="19"/>
  <c r="AC69" i="19"/>
  <c r="Z96" i="19"/>
  <c r="AC96" i="19"/>
  <c r="X100" i="19"/>
  <c r="AH100" i="19"/>
  <c r="AI92" i="19"/>
  <c r="Y92" i="19"/>
  <c r="Z93" i="19"/>
  <c r="AC93" i="19"/>
  <c r="AC68" i="19"/>
  <c r="Z95" i="19"/>
  <c r="AC95" i="19"/>
  <c r="Y99" i="19"/>
  <c r="AI99" i="19"/>
  <c r="AC65" i="19"/>
  <c r="Z92" i="19"/>
  <c r="AC92" i="19"/>
  <c r="AC74" i="19"/>
  <c r="Z101" i="19"/>
  <c r="AC101" i="19"/>
  <c r="X99" i="19"/>
  <c r="AH99" i="19"/>
  <c r="AC79" i="19"/>
  <c r="Z106" i="19"/>
  <c r="AC106" i="19"/>
  <c r="X102" i="19"/>
  <c r="AH102" i="19"/>
  <c r="Y102" i="19"/>
  <c r="AI102" i="19"/>
  <c r="AC80" i="19"/>
  <c r="Z107" i="19"/>
  <c r="AC107" i="19"/>
  <c r="AC78" i="19"/>
  <c r="Z105" i="19"/>
  <c r="AC105" i="19"/>
  <c r="Y107" i="19"/>
  <c r="AI107" i="19"/>
  <c r="Y103" i="19"/>
  <c r="AI103" i="19"/>
  <c r="Z91" i="19"/>
  <c r="AC91" i="19"/>
  <c r="Z97" i="19"/>
  <c r="AC97" i="19"/>
  <c r="AH98" i="19"/>
  <c r="X98" i="19"/>
  <c r="AC67" i="19"/>
  <c r="Z94" i="19"/>
  <c r="AC94" i="19"/>
  <c r="AI98" i="19"/>
  <c r="Y98" i="19"/>
  <c r="X91" i="19"/>
  <c r="AH91" i="19"/>
  <c r="Y100" i="19"/>
  <c r="AI100" i="19"/>
  <c r="AI95" i="19"/>
  <c r="Y95" i="19"/>
  <c r="AH101" i="19"/>
  <c r="X101" i="19"/>
  <c r="X93" i="19"/>
  <c r="AH93" i="19"/>
  <c r="AH95" i="19"/>
  <c r="X95" i="19"/>
  <c r="X107" i="19"/>
  <c r="AH107" i="19"/>
  <c r="Y93" i="19"/>
  <c r="AI93" i="19"/>
  <c r="AC73" i="19"/>
  <c r="Z100" i="19"/>
  <c r="AC100" i="19"/>
  <c r="X105" i="19"/>
  <c r="AH105" i="19"/>
  <c r="X90" i="19"/>
  <c r="AH90" i="19"/>
  <c r="AC76" i="19"/>
  <c r="Z103" i="19"/>
  <c r="AC103" i="19"/>
  <c r="Y90" i="19"/>
  <c r="AI90" i="19"/>
  <c r="H72" i="19"/>
  <c r="AI72" i="19"/>
  <c r="J72" i="19"/>
  <c r="H66" i="19"/>
  <c r="AI66" i="19"/>
  <c r="J66" i="19"/>
  <c r="H68" i="19"/>
  <c r="AI68" i="19"/>
  <c r="J68" i="19"/>
  <c r="J80" i="19"/>
  <c r="AI80" i="19"/>
  <c r="H80" i="19"/>
  <c r="J83" i="19"/>
  <c r="AI83" i="19"/>
  <c r="H83" i="19"/>
  <c r="H67" i="19"/>
  <c r="AI67" i="19"/>
  <c r="J67" i="19"/>
  <c r="G82" i="19"/>
  <c r="AH82" i="19"/>
  <c r="I82" i="19"/>
  <c r="J76" i="19"/>
  <c r="AI76" i="19"/>
  <c r="H76" i="19"/>
  <c r="J70" i="19"/>
  <c r="AI70" i="19"/>
  <c r="H70" i="19"/>
  <c r="G77" i="19"/>
  <c r="AH77" i="19"/>
  <c r="I77" i="19"/>
  <c r="H63" i="19"/>
  <c r="AI63" i="19"/>
  <c r="J63" i="19"/>
  <c r="G76" i="19"/>
  <c r="AH76" i="19"/>
  <c r="I76" i="19"/>
  <c r="G74" i="19"/>
  <c r="AH74" i="19"/>
  <c r="I74" i="19"/>
  <c r="H65" i="19"/>
  <c r="AI65" i="19"/>
  <c r="J65" i="19"/>
  <c r="G79" i="19"/>
  <c r="I79" i="19"/>
  <c r="AH79" i="19"/>
  <c r="J78" i="19"/>
  <c r="AI78" i="19"/>
  <c r="H78" i="19"/>
  <c r="G72" i="19"/>
  <c r="AH72" i="19"/>
  <c r="I72" i="19"/>
  <c r="G73" i="19"/>
  <c r="AH73" i="19"/>
  <c r="I73" i="19"/>
  <c r="J79" i="19"/>
  <c r="AI79" i="19"/>
  <c r="H79" i="19"/>
  <c r="H69" i="19"/>
  <c r="AI69" i="19"/>
  <c r="J69" i="19"/>
  <c r="G67" i="19"/>
  <c r="AH67" i="19"/>
  <c r="I67" i="19"/>
  <c r="AC64" i="19"/>
  <c r="G71" i="19"/>
  <c r="AH71" i="19"/>
  <c r="I71" i="19"/>
  <c r="J75" i="19"/>
  <c r="AI75" i="19"/>
  <c r="H75" i="19"/>
  <c r="G80" i="19"/>
  <c r="AH80" i="19"/>
  <c r="I80" i="19"/>
  <c r="AC63" i="19"/>
  <c r="G66" i="19"/>
  <c r="AH66" i="19"/>
  <c r="I66" i="19"/>
  <c r="G64" i="19"/>
  <c r="AH64" i="19"/>
  <c r="I64" i="19"/>
  <c r="AC66" i="19"/>
  <c r="G83" i="19"/>
  <c r="AH83" i="19"/>
  <c r="I83" i="19"/>
  <c r="G65" i="19"/>
  <c r="AH65" i="19"/>
  <c r="I65" i="19"/>
  <c r="G75" i="19"/>
  <c r="AH75" i="19"/>
  <c r="I75" i="19"/>
  <c r="G70" i="19"/>
  <c r="AH70" i="19"/>
  <c r="I70" i="19"/>
  <c r="H64" i="19"/>
  <c r="AI64" i="19"/>
  <c r="J64" i="19"/>
  <c r="J82" i="19"/>
  <c r="AI82" i="19"/>
  <c r="H82" i="19"/>
  <c r="H71" i="19"/>
  <c r="AI71" i="19"/>
  <c r="J71" i="19"/>
  <c r="AC83" i="19"/>
  <c r="G68" i="19"/>
  <c r="AH68" i="19"/>
  <c r="I68" i="19"/>
  <c r="H81" i="19"/>
  <c r="AI81" i="19"/>
  <c r="J81" i="19"/>
  <c r="G63" i="19"/>
  <c r="AH63" i="19"/>
  <c r="I63" i="19"/>
  <c r="H77" i="19"/>
  <c r="AI77" i="19"/>
  <c r="J77" i="19"/>
  <c r="J74" i="19"/>
  <c r="AI74" i="19"/>
  <c r="H74" i="19"/>
  <c r="J73" i="19"/>
  <c r="AI73" i="19"/>
  <c r="H73" i="19"/>
  <c r="G69" i="19"/>
  <c r="AH69" i="19"/>
  <c r="I69" i="19"/>
  <c r="G78" i="19"/>
  <c r="AH78" i="19"/>
  <c r="I78" i="19"/>
  <c r="AC70" i="19"/>
  <c r="G81" i="19"/>
  <c r="AH81" i="19"/>
  <c r="I81" i="19"/>
  <c r="AF59" i="5"/>
  <c r="AF60" i="5"/>
  <c r="Y52" i="5"/>
  <c r="Y60" i="5"/>
  <c r="G60" i="5" s="1"/>
  <c r="AF44" i="5"/>
  <c r="AF52" i="5"/>
  <c r="V52" i="5"/>
  <c r="X52" i="5"/>
  <c r="AA52" i="5"/>
  <c r="AG43" i="5"/>
  <c r="W51" i="5"/>
  <c r="AG51" i="5"/>
  <c r="AF43" i="5"/>
  <c r="V51" i="5"/>
  <c r="AF51" i="5"/>
  <c r="AG44" i="5"/>
  <c r="W52" i="5"/>
  <c r="AG52" i="5"/>
  <c r="K44" i="5"/>
  <c r="L44" i="5"/>
  <c r="L43" i="5"/>
  <c r="K43" i="5"/>
  <c r="X43" i="5"/>
  <c r="X59" i="5" s="1"/>
  <c r="G44" i="5"/>
  <c r="H44" i="5"/>
  <c r="I44" i="5"/>
  <c r="J44" i="5"/>
  <c r="AA44" i="5"/>
  <c r="Y43" i="5"/>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2" i="19" s="1"/>
  <c r="O35" i="23"/>
  <c r="O89" i="19" s="1"/>
  <c r="P35" i="23"/>
  <c r="P89" i="19" s="1"/>
  <c r="M35" i="23"/>
  <c r="O62"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AK28" i="574"/>
  <c r="I33" i="574"/>
  <c r="J33" i="574" s="1"/>
  <c r="K33" i="574" s="1"/>
  <c r="L33" i="574"/>
  <c r="I34" i="574"/>
  <c r="J34" i="574" s="1"/>
  <c r="K34" i="574" s="1"/>
  <c r="L34" i="574"/>
  <c r="I35" i="574"/>
  <c r="J35" i="574" s="1"/>
  <c r="K35" i="574" s="1"/>
  <c r="L35" i="574"/>
  <c r="I36" i="574"/>
  <c r="J36" i="574" s="1"/>
  <c r="K36" i="574" s="1"/>
  <c r="L36" i="574"/>
  <c r="I38" i="574"/>
  <c r="J38" i="574" s="1"/>
  <c r="K38" i="574" s="1"/>
  <c r="L38" i="574"/>
  <c r="G137" i="19" l="1"/>
  <c r="H137" i="19"/>
  <c r="AQ85" i="18"/>
  <c r="O85" i="18"/>
  <c r="Y48" i="574" s="1"/>
  <c r="AC127" i="19"/>
  <c r="G126" i="19"/>
  <c r="J127" i="19"/>
  <c r="J126" i="19"/>
  <c r="I127" i="19"/>
  <c r="H127" i="19"/>
  <c r="AC129" i="19"/>
  <c r="J129" i="19"/>
  <c r="I129" i="19"/>
  <c r="H129" i="19"/>
  <c r="H119" i="19"/>
  <c r="AC119" i="19"/>
  <c r="AC134" i="19"/>
  <c r="I119" i="19"/>
  <c r="G134" i="19"/>
  <c r="H118" i="19"/>
  <c r="AC125" i="19"/>
  <c r="J119" i="19"/>
  <c r="J134" i="19"/>
  <c r="I118" i="19"/>
  <c r="J125" i="19"/>
  <c r="H123" i="19"/>
  <c r="I134" i="19"/>
  <c r="G107" i="19"/>
  <c r="I107" i="19"/>
  <c r="G95" i="19"/>
  <c r="I95" i="19"/>
  <c r="G110" i="19"/>
  <c r="I110" i="19"/>
  <c r="J102" i="19"/>
  <c r="H102" i="19"/>
  <c r="G93" i="19"/>
  <c r="I93" i="19"/>
  <c r="G94" i="19"/>
  <c r="I94" i="19"/>
  <c r="G101" i="19"/>
  <c r="I101" i="19"/>
  <c r="G102" i="19"/>
  <c r="I102" i="19"/>
  <c r="G104" i="19"/>
  <c r="I104" i="19"/>
  <c r="H95" i="19"/>
  <c r="J95" i="19"/>
  <c r="H101" i="19"/>
  <c r="J101" i="19"/>
  <c r="J104" i="19"/>
  <c r="H104" i="19"/>
  <c r="H100" i="19"/>
  <c r="J100" i="19"/>
  <c r="G99" i="19"/>
  <c r="I99" i="19"/>
  <c r="G96" i="19"/>
  <c r="I96" i="19"/>
  <c r="H97" i="19"/>
  <c r="J97" i="19"/>
  <c r="G91" i="19"/>
  <c r="I91" i="19"/>
  <c r="H98" i="19"/>
  <c r="J98" i="19"/>
  <c r="G103" i="19"/>
  <c r="I103" i="19"/>
  <c r="J108" i="19"/>
  <c r="H108" i="19"/>
  <c r="H94" i="19"/>
  <c r="J94" i="19"/>
  <c r="G108" i="19"/>
  <c r="I108" i="19"/>
  <c r="H96" i="19"/>
  <c r="J96" i="19"/>
  <c r="G92" i="19"/>
  <c r="I92" i="19"/>
  <c r="H90" i="19"/>
  <c r="J90" i="19"/>
  <c r="G98" i="19"/>
  <c r="I98" i="19"/>
  <c r="H99" i="19"/>
  <c r="J99" i="19"/>
  <c r="H109" i="19"/>
  <c r="J109" i="19"/>
  <c r="H91" i="19"/>
  <c r="J91" i="19"/>
  <c r="G90" i="19"/>
  <c r="I90" i="19"/>
  <c r="G97" i="19"/>
  <c r="I97" i="19"/>
  <c r="H92" i="19"/>
  <c r="J92" i="19"/>
  <c r="G105" i="19"/>
  <c r="I105" i="19"/>
  <c r="J103" i="19"/>
  <c r="H103" i="19"/>
  <c r="H106" i="19"/>
  <c r="J106" i="19"/>
  <c r="H110" i="19"/>
  <c r="J110" i="19"/>
  <c r="J105" i="19"/>
  <c r="H105" i="19"/>
  <c r="H107" i="19"/>
  <c r="J107" i="19"/>
  <c r="G100" i="19"/>
  <c r="I100" i="19"/>
  <c r="G106" i="19"/>
  <c r="I106" i="19"/>
  <c r="G109" i="19"/>
  <c r="I109" i="19"/>
  <c r="H93" i="19"/>
  <c r="J93" i="19"/>
  <c r="H60" i="5"/>
  <c r="Y51" i="5"/>
  <c r="Y59" i="5"/>
  <c r="AA59" i="5" s="1"/>
  <c r="J60" i="5"/>
  <c r="I60" i="5"/>
  <c r="AA60" i="5"/>
  <c r="X51" i="5"/>
  <c r="AA51" i="5"/>
  <c r="G52" i="5"/>
  <c r="J52" i="5"/>
  <c r="I52" i="5"/>
  <c r="H52" i="5"/>
  <c r="I43" i="5"/>
  <c r="G43" i="5"/>
  <c r="H43" i="5"/>
  <c r="J43" i="5"/>
  <c r="AA43" i="5"/>
  <c r="AL28" i="574"/>
  <c r="E146" i="19" s="1"/>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56" i="19"/>
  <c r="Q156"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AN28" i="574" a="1"/>
  <c r="AN28" i="574" s="1"/>
  <c r="AM28" i="574"/>
  <c r="F146" i="19" s="1"/>
  <c r="AD158" i="19" l="1"/>
  <c r="AE158" i="19"/>
  <c r="AB158" i="19"/>
  <c r="AC158" i="19"/>
  <c r="H59" i="5"/>
  <c r="I59" i="5"/>
  <c r="J59" i="5"/>
  <c r="G59" i="5"/>
  <c r="G51" i="5"/>
  <c r="J51" i="5"/>
  <c r="I51" i="5"/>
  <c r="H51" i="5"/>
  <c r="AL49" i="20"/>
  <c r="AO49" i="20" s="1"/>
  <c r="AM85" i="20"/>
  <c r="AL50" i="20"/>
  <c r="AO50" i="20" s="1"/>
  <c r="J55" i="20"/>
  <c r="X37" i="20"/>
  <c r="J43" i="20"/>
  <c r="J37" i="20"/>
  <c r="J44" i="20"/>
  <c r="R65" i="20"/>
  <c r="X47" i="20"/>
  <c r="X68" i="20"/>
  <c r="J38" i="20"/>
  <c r="Y81" i="20"/>
  <c r="AL84" i="20"/>
  <c r="AL57" i="20"/>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56"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G158" i="19" l="1"/>
  <c r="H158" i="19"/>
  <c r="M158" i="19"/>
  <c r="S158" i="19" s="1"/>
  <c r="AS28" i="574" s="1"/>
  <c r="AU85" i="20"/>
  <c r="AM57" i="20"/>
  <c r="AP47" i="20"/>
  <c r="AU47" i="20" s="1"/>
  <c r="AP84" i="20"/>
  <c r="AU84" i="20" s="1"/>
  <c r="AP57" i="20"/>
  <c r="AU57" i="20" s="1"/>
  <c r="AM49" i="20"/>
  <c r="AP49" i="20"/>
  <c r="AU49" i="20" s="1"/>
  <c r="AO44" i="20"/>
  <c r="AO57" i="20"/>
  <c r="AR54" i="20"/>
  <c r="AT54" i="20" s="1"/>
  <c r="AO46" i="20"/>
  <c r="AM54" i="20"/>
  <c r="AQ54" i="20" s="1"/>
  <c r="AN85" i="20"/>
  <c r="AQ85" i="20" s="1"/>
  <c r="AO84" i="20"/>
  <c r="AM84" i="20"/>
  <c r="AT85" i="20"/>
  <c r="AP80" i="20"/>
  <c r="AU80" i="20" s="1"/>
  <c r="AO68" i="20"/>
  <c r="AP46" i="20"/>
  <c r="AU46" i="20" s="1"/>
  <c r="AP50" i="20"/>
  <c r="AU50" i="20" s="1"/>
  <c r="AM50" i="20"/>
  <c r="AM45" i="20"/>
  <c r="AN45" i="20" s="1"/>
  <c r="AQ45" i="20" s="1"/>
  <c r="AP45" i="20"/>
  <c r="AU45" i="20" s="1"/>
  <c r="AP53" i="20"/>
  <c r="AU53" i="20" s="1"/>
  <c r="AM53" i="20"/>
  <c r="AR81" i="20"/>
  <c r="AT81" i="20" s="1"/>
  <c r="AP81" i="20"/>
  <c r="AU81" i="20" s="1"/>
  <c r="AM81" i="20"/>
  <c r="AN81" i="20" s="1"/>
  <c r="AM80" i="20"/>
  <c r="AM47" i="20"/>
  <c r="AN47" i="20" s="1"/>
  <c r="AR47" i="20" s="1"/>
  <c r="AS85" i="20"/>
  <c r="O85" i="20" s="1"/>
  <c r="AM68" i="20"/>
  <c r="AP68" i="20"/>
  <c r="AU68" i="20" s="1"/>
  <c r="AU54" i="20"/>
  <c r="AO54" i="20"/>
  <c r="AM44" i="20"/>
  <c r="AP44" i="20"/>
  <c r="AU44" i="20" s="1"/>
  <c r="AO56" i="20"/>
  <c r="AM56" i="20"/>
  <c r="AP56" i="20"/>
  <c r="AU56" i="20" s="1"/>
  <c r="AO82" i="20"/>
  <c r="AP82" i="20"/>
  <c r="AU82" i="20" s="1"/>
  <c r="AR82" i="20"/>
  <c r="AM82" i="20"/>
  <c r="AO74" i="20"/>
  <c r="AP74" i="20"/>
  <c r="AU74" i="20" s="1"/>
  <c r="AM74" i="20"/>
  <c r="AP42" i="20"/>
  <c r="AU42" i="20" s="1"/>
  <c r="AO38" i="20"/>
  <c r="AM38" i="20"/>
  <c r="AP38" i="20"/>
  <c r="AU38" i="20" s="1"/>
  <c r="AO76" i="20"/>
  <c r="AM76" i="20"/>
  <c r="AP76" i="20"/>
  <c r="AU76" i="20" s="1"/>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O40" i="20"/>
  <c r="AP40" i="20"/>
  <c r="AU40" i="20" s="1"/>
  <c r="AM40" i="20"/>
  <c r="AO39" i="20"/>
  <c r="AM39" i="20"/>
  <c r="AP39" i="20"/>
  <c r="AU39" i="20" s="1"/>
  <c r="AO55" i="20"/>
  <c r="AM55" i="20"/>
  <c r="AP55" i="20"/>
  <c r="AU55" i="20" s="1"/>
  <c r="AR55" i="20"/>
  <c r="AO78" i="20"/>
  <c r="AM78" i="20"/>
  <c r="AP78" i="20"/>
  <c r="AU78" i="20" s="1"/>
  <c r="AO65" i="20"/>
  <c r="AM65" i="20"/>
  <c r="AP65" i="20"/>
  <c r="AU65" i="20" s="1"/>
  <c r="AO48" i="20"/>
  <c r="AP48" i="20"/>
  <c r="AU48" i="20" s="1"/>
  <c r="AM48" i="20"/>
  <c r="AM52" i="20"/>
  <c r="AO52" i="20"/>
  <c r="AP52" i="20"/>
  <c r="AU52" i="20" s="1"/>
  <c r="AO69" i="20"/>
  <c r="AM69" i="20"/>
  <c r="AP69" i="20"/>
  <c r="AU69" i="20" s="1"/>
  <c r="AO75" i="20"/>
  <c r="AM75" i="20"/>
  <c r="AP75" i="20"/>
  <c r="AU75" i="20" s="1"/>
  <c r="AO77" i="20"/>
  <c r="AM77" i="20"/>
  <c r="AP77" i="20"/>
  <c r="AU77" i="20" s="1"/>
  <c r="AO79" i="20"/>
  <c r="AP79" i="20"/>
  <c r="AU79" i="20" s="1"/>
  <c r="AM79" i="20"/>
  <c r="AO83" i="20"/>
  <c r="AM83" i="20"/>
  <c r="AP83" i="20"/>
  <c r="AU83" i="20" s="1"/>
  <c r="AO41" i="20"/>
  <c r="AM41" i="20"/>
  <c r="AP41" i="20"/>
  <c r="AU41" i="20" s="1"/>
  <c r="AO37" i="20"/>
  <c r="AM37" i="20"/>
  <c r="AP37" i="20"/>
  <c r="AU37" i="20" s="1"/>
  <c r="AO64" i="20"/>
  <c r="AP64" i="20"/>
  <c r="AU64" i="20" s="1"/>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3" i="18"/>
  <c r="R35" i="18"/>
  <c r="R33" i="17"/>
  <c r="R24" i="17"/>
  <c r="L48" i="574"/>
  <c r="I48" i="574"/>
  <c r="J48" i="574" s="1"/>
  <c r="K48" i="574" s="1"/>
  <c r="L47" i="574"/>
  <c r="I47" i="574"/>
  <c r="J47" i="574" s="1"/>
  <c r="K47" i="574" s="1"/>
  <c r="L46" i="574"/>
  <c r="I46" i="574"/>
  <c r="J46" i="574" s="1"/>
  <c r="K46" i="574" s="1"/>
  <c r="L45" i="574"/>
  <c r="I45" i="574"/>
  <c r="J45" i="574" s="1"/>
  <c r="K45" i="574" s="1"/>
  <c r="L44" i="574"/>
  <c r="I44" i="574"/>
  <c r="J44" i="574" s="1"/>
  <c r="K44" i="574" s="1"/>
  <c r="L43" i="574"/>
  <c r="I43" i="574"/>
  <c r="J43" i="574" s="1"/>
  <c r="K43" i="574" s="1"/>
  <c r="L42" i="574"/>
  <c r="I42" i="574"/>
  <c r="J42" i="574" s="1"/>
  <c r="K42" i="574" s="1"/>
  <c r="L41" i="574"/>
  <c r="I41" i="574"/>
  <c r="J41" i="574" s="1"/>
  <c r="K41" i="574" s="1"/>
  <c r="L40" i="574"/>
  <c r="I40" i="574"/>
  <c r="J40" i="574" s="1"/>
  <c r="K40" i="574" s="1"/>
  <c r="L32" i="574"/>
  <c r="I32" i="574"/>
  <c r="J32" i="574" s="1"/>
  <c r="K32" i="574" s="1"/>
  <c r="L31" i="574"/>
  <c r="I31" i="574"/>
  <c r="J31" i="574" s="1"/>
  <c r="K31" i="574" s="1"/>
  <c r="L30" i="574"/>
  <c r="I30" i="574"/>
  <c r="J30" i="574" s="1"/>
  <c r="K30" i="574" s="1"/>
  <c r="AK30" i="574"/>
  <c r="L29" i="574"/>
  <c r="I29" i="574"/>
  <c r="J29" i="574" s="1"/>
  <c r="K29" i="574" s="1"/>
  <c r="AK29" i="574"/>
  <c r="L28" i="574"/>
  <c r="I28" i="574"/>
  <c r="J28" i="574" s="1"/>
  <c r="K28" i="574" s="1"/>
  <c r="AK27" i="574"/>
  <c r="L27" i="574"/>
  <c r="I27" i="574"/>
  <c r="J27" i="574" s="1"/>
  <c r="K27" i="574" s="1"/>
  <c r="AK26" i="574"/>
  <c r="L26" i="574"/>
  <c r="I26" i="574"/>
  <c r="J26" i="574" s="1"/>
  <c r="K26" i="574" s="1"/>
  <c r="L14" i="574"/>
  <c r="I14" i="574"/>
  <c r="J14" i="574" s="1"/>
  <c r="K14" i="574" s="1"/>
  <c r="L13" i="574"/>
  <c r="I13" i="574"/>
  <c r="J13" i="574" s="1"/>
  <c r="K13" i="574" s="1"/>
  <c r="AK14" i="574"/>
  <c r="L12" i="574"/>
  <c r="I12" i="574"/>
  <c r="AK12" i="574"/>
  <c r="L11" i="574"/>
  <c r="I11" i="574"/>
  <c r="J11" i="574" s="1"/>
  <c r="K11" i="574" s="1"/>
  <c r="AM43" i="18" l="1"/>
  <c r="AM71" i="18" s="1"/>
  <c r="AM48" i="18"/>
  <c r="AM76" i="18" s="1"/>
  <c r="AM39" i="18"/>
  <c r="AM67" i="18" s="1"/>
  <c r="AM56" i="18"/>
  <c r="AM84" i="18" s="1"/>
  <c r="AM55" i="18"/>
  <c r="AM83" i="18" s="1"/>
  <c r="AM53" i="18"/>
  <c r="AM81" i="18" s="1"/>
  <c r="AM54" i="18"/>
  <c r="AM82" i="18" s="1"/>
  <c r="AM52" i="18"/>
  <c r="AM80" i="18" s="1"/>
  <c r="AM46" i="18"/>
  <c r="AM74" i="18" s="1"/>
  <c r="AM35" i="18"/>
  <c r="AM51" i="18"/>
  <c r="AM79" i="18" s="1"/>
  <c r="AM57" i="18"/>
  <c r="AM85" i="18" s="1"/>
  <c r="AM36" i="18"/>
  <c r="AM64" i="18" s="1"/>
  <c r="AM42" i="18"/>
  <c r="AM70" i="18" s="1"/>
  <c r="AM44" i="18"/>
  <c r="AM72" i="18" s="1"/>
  <c r="AM40" i="18"/>
  <c r="AM68" i="18" s="1"/>
  <c r="AM47" i="18"/>
  <c r="AM75" i="18" s="1"/>
  <c r="AM41" i="18"/>
  <c r="AM69" i="18" s="1"/>
  <c r="AM50" i="18"/>
  <c r="AM78" i="18" s="1"/>
  <c r="AM38" i="18"/>
  <c r="AM66" i="18" s="1"/>
  <c r="AM49" i="18"/>
  <c r="AM77" i="18" s="1"/>
  <c r="AM45" i="18"/>
  <c r="AM73" i="18" s="1"/>
  <c r="AM37" i="18"/>
  <c r="AM65" i="18" s="1"/>
  <c r="AM33" i="17"/>
  <c r="AN57" i="20"/>
  <c r="AQ57" i="20" s="1"/>
  <c r="AV85" i="20"/>
  <c r="AN49" i="20"/>
  <c r="AR49" i="20" s="1"/>
  <c r="AT49" i="20" s="1"/>
  <c r="AV49" i="20" s="1"/>
  <c r="AR46" i="20"/>
  <c r="AT46" i="20" s="1"/>
  <c r="AV46" i="20" s="1"/>
  <c r="AN50" i="20"/>
  <c r="AR50" i="20" s="1"/>
  <c r="AT50" i="20" s="1"/>
  <c r="AV50" i="20" s="1"/>
  <c r="AS47" i="20"/>
  <c r="O47" i="20" s="1"/>
  <c r="AS54" i="20"/>
  <c r="O54" i="20" s="1"/>
  <c r="AN54" i="20"/>
  <c r="AN84" i="20"/>
  <c r="AR84" i="20" s="1"/>
  <c r="AT47" i="20"/>
  <c r="AV47" i="20" s="1"/>
  <c r="AN53" i="20"/>
  <c r="AR53" i="20" s="1"/>
  <c r="AT53" i="20" s="1"/>
  <c r="AV53" i="20" s="1"/>
  <c r="AS81" i="20"/>
  <c r="O81" i="20" s="1"/>
  <c r="AN68" i="20"/>
  <c r="AR68" i="20" s="1"/>
  <c r="AV81" i="20"/>
  <c r="AQ81" i="20"/>
  <c r="AV54" i="20"/>
  <c r="AQ47" i="20"/>
  <c r="AR45" i="20"/>
  <c r="AT45" i="20" s="1"/>
  <c r="AV45" i="20" s="1"/>
  <c r="AN80" i="20"/>
  <c r="AR80" i="20" s="1"/>
  <c r="AT80" i="20" s="1"/>
  <c r="AV80" i="20" s="1"/>
  <c r="AN44" i="20"/>
  <c r="AQ44" i="20" s="1"/>
  <c r="AR70" i="20"/>
  <c r="AS70" i="20" s="1"/>
  <c r="O70" i="20" s="1"/>
  <c r="AQ72" i="20"/>
  <c r="AR72" i="20"/>
  <c r="AS72" i="20" s="1"/>
  <c r="O72" i="20" s="1"/>
  <c r="AR43" i="20"/>
  <c r="AS43" i="20" s="1"/>
  <c r="O43" i="20" s="1"/>
  <c r="AR71" i="20"/>
  <c r="AS71" i="20" s="1"/>
  <c r="O71" i="20" s="1"/>
  <c r="AN56" i="20"/>
  <c r="AR56" i="20" s="1"/>
  <c r="AN52" i="20"/>
  <c r="AR52" i="20" s="1"/>
  <c r="AN65" i="20"/>
  <c r="AR65" i="20" s="1"/>
  <c r="AQ82" i="20"/>
  <c r="AN82" i="20"/>
  <c r="AN73" i="20"/>
  <c r="AR73" i="20" s="1"/>
  <c r="AS73" i="20" s="1"/>
  <c r="O73" i="20" s="1"/>
  <c r="AN77" i="20"/>
  <c r="AR77" i="20" s="1"/>
  <c r="AT77" i="20" s="1"/>
  <c r="AV77" i="20" s="1"/>
  <c r="AN41" i="20"/>
  <c r="AR41" i="20" s="1"/>
  <c r="AN74" i="20"/>
  <c r="AR74" i="20" s="1"/>
  <c r="AT74" i="20" s="1"/>
  <c r="AV74" i="20" s="1"/>
  <c r="AN79" i="20"/>
  <c r="AR79" i="20" s="1"/>
  <c r="AN75" i="20"/>
  <c r="AR75" i="20" s="1"/>
  <c r="AN69" i="20"/>
  <c r="AQ69" i="20" s="1"/>
  <c r="AN48" i="20"/>
  <c r="AR48" i="20" s="1"/>
  <c r="AS55" i="20"/>
  <c r="O55" i="20" s="1"/>
  <c r="AT55" i="20"/>
  <c r="AV55" i="20" s="1"/>
  <c r="AN76" i="20"/>
  <c r="AR76" i="20" s="1"/>
  <c r="AN83" i="20"/>
  <c r="AR83" i="20" s="1"/>
  <c r="AT83" i="20" s="1"/>
  <c r="AV83" i="20" s="1"/>
  <c r="AN40" i="20"/>
  <c r="AR40" i="20" s="1"/>
  <c r="AS40" i="20" s="1"/>
  <c r="O40" i="20" s="1"/>
  <c r="AS82" i="20"/>
  <c r="O82" i="20" s="1"/>
  <c r="AT82" i="20"/>
  <c r="AV82" i="20" s="1"/>
  <c r="AN39" i="20"/>
  <c r="AR39" i="20" s="1"/>
  <c r="AN51" i="20"/>
  <c r="AR51" i="20" s="1"/>
  <c r="AS51" i="20" s="1"/>
  <c r="O51" i="20" s="1"/>
  <c r="AN66" i="20"/>
  <c r="AR66" i="20" s="1"/>
  <c r="AS66" i="20" s="1"/>
  <c r="O66" i="20" s="1"/>
  <c r="AN78" i="20"/>
  <c r="AR78" i="20" s="1"/>
  <c r="AS78" i="20" s="1"/>
  <c r="O78" i="20" s="1"/>
  <c r="AN55" i="20"/>
  <c r="AQ55" i="20" s="1"/>
  <c r="AN67" i="20"/>
  <c r="AR67" i="20" s="1"/>
  <c r="AS67" i="20" s="1"/>
  <c r="O67" i="20" s="1"/>
  <c r="AN38" i="20"/>
  <c r="AR38" i="20" s="1"/>
  <c r="AN64" i="20"/>
  <c r="AR64" i="20" s="1"/>
  <c r="AN37" i="20"/>
  <c r="AR37" i="20" s="1"/>
  <c r="J12" i="574"/>
  <c r="K12" i="574" s="1"/>
  <c r="R42" i="20"/>
  <c r="AN42" i="20" s="1"/>
  <c r="AQ42" i="20" s="1"/>
  <c r="AL30" i="574"/>
  <c r="E148" i="19" s="1"/>
  <c r="AN30" i="574" a="1"/>
  <c r="AN30" i="574" s="1"/>
  <c r="AM12" i="574"/>
  <c r="AN12" i="574" a="1"/>
  <c r="AN12" i="574" s="1"/>
  <c r="AM26" i="574"/>
  <c r="F144" i="19" s="1"/>
  <c r="AN26" i="574" a="1"/>
  <c r="AN26" i="574" s="1"/>
  <c r="AM27" i="574"/>
  <c r="F145" i="19" s="1"/>
  <c r="AN27" i="574" a="1"/>
  <c r="AN27" i="574" s="1"/>
  <c r="AL14" i="574"/>
  <c r="AN14" i="574" a="1"/>
  <c r="AN14" i="574" s="1"/>
  <c r="AM29" i="574"/>
  <c r="F147" i="19" s="1"/>
  <c r="AN29" i="574" a="1"/>
  <c r="AN29" i="574" s="1"/>
  <c r="AM14" i="574"/>
  <c r="AM30" i="574"/>
  <c r="F148" i="19" s="1"/>
  <c r="AL12" i="574"/>
  <c r="AL29" i="574"/>
  <c r="E147" i="19" s="1"/>
  <c r="AL27" i="574"/>
  <c r="E145" i="19" s="1"/>
  <c r="AL26" i="574"/>
  <c r="E144" i="19" s="1"/>
  <c r="AE160" i="19" l="1"/>
  <c r="AB160" i="19"/>
  <c r="AD160" i="19"/>
  <c r="AC160" i="19"/>
  <c r="AD157" i="19"/>
  <c r="AE157" i="19"/>
  <c r="AB157" i="19"/>
  <c r="AF157" i="19"/>
  <c r="AC157" i="19"/>
  <c r="I157" i="19" s="1"/>
  <c r="AE159" i="19"/>
  <c r="AB159" i="19"/>
  <c r="AD159" i="19"/>
  <c r="AC159" i="19"/>
  <c r="AS50" i="20"/>
  <c r="O50" i="20" s="1"/>
  <c r="AT78" i="20"/>
  <c r="AV78" i="20" s="1"/>
  <c r="AT51" i="20"/>
  <c r="AV51" i="20" s="1"/>
  <c r="AS49" i="20"/>
  <c r="O49" i="20" s="1"/>
  <c r="AT84" i="20"/>
  <c r="AV84" i="20" s="1"/>
  <c r="AS84" i="20"/>
  <c r="O84" i="20" s="1"/>
  <c r="AR57" i="20"/>
  <c r="AQ84" i="20"/>
  <c r="AT56" i="20"/>
  <c r="AV56" i="20" s="1"/>
  <c r="AS56" i="20"/>
  <c r="O56" i="20" s="1"/>
  <c r="AQ56" i="20"/>
  <c r="AS83" i="20"/>
  <c r="O83" i="20" s="1"/>
  <c r="AQ83" i="20"/>
  <c r="AS80" i="20"/>
  <c r="O80" i="20" s="1"/>
  <c r="AQ53" i="20"/>
  <c r="AS53" i="20"/>
  <c r="O53" i="20" s="1"/>
  <c r="AQ80" i="20"/>
  <c r="AT79" i="20"/>
  <c r="AV79" i="20" s="1"/>
  <c r="AS79" i="20"/>
  <c r="O79" i="20" s="1"/>
  <c r="AS52" i="20"/>
  <c r="O52" i="20" s="1"/>
  <c r="AT52" i="20"/>
  <c r="AV52" i="20" s="1"/>
  <c r="AQ79" i="20"/>
  <c r="AQ52" i="20"/>
  <c r="AQ51" i="20"/>
  <c r="AQ78" i="20"/>
  <c r="AS77" i="20"/>
  <c r="O77" i="20" s="1"/>
  <c r="AQ77" i="20"/>
  <c r="AQ50" i="20"/>
  <c r="AS76" i="20"/>
  <c r="O76" i="20" s="1"/>
  <c r="AT76" i="20"/>
  <c r="AV76" i="20" s="1"/>
  <c r="AQ76" i="20"/>
  <c r="AQ49" i="20"/>
  <c r="AT75" i="20"/>
  <c r="AV75" i="20" s="1"/>
  <c r="AS75" i="20"/>
  <c r="O75" i="20" s="1"/>
  <c r="AT48" i="20"/>
  <c r="AV48" i="20" s="1"/>
  <c r="AS48" i="20"/>
  <c r="O48" i="20" s="1"/>
  <c r="AQ48" i="20"/>
  <c r="AQ75" i="20"/>
  <c r="AS37" i="20"/>
  <c r="O37" i="20" s="1"/>
  <c r="AT37" i="20"/>
  <c r="AV37" i="20" s="1"/>
  <c r="AS64" i="20"/>
  <c r="O64" i="20" s="1"/>
  <c r="AT64" i="20"/>
  <c r="AV64" i="20" s="1"/>
  <c r="AQ37" i="20"/>
  <c r="AQ64" i="20"/>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3"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G157" i="19" l="1"/>
  <c r="H157" i="19"/>
  <c r="N157" i="19" s="1"/>
  <c r="T157" i="19" s="1"/>
  <c r="AS27" i="574" s="1"/>
  <c r="G160" i="19"/>
  <c r="M160" i="19" s="1"/>
  <c r="S160" i="19" s="1"/>
  <c r="AS30" i="574" s="1"/>
  <c r="H160" i="19"/>
  <c r="G159" i="19"/>
  <c r="M159" i="19" s="1"/>
  <c r="S159" i="19" s="1"/>
  <c r="AS29" i="574" s="1"/>
  <c r="H159" i="19"/>
  <c r="AT57" i="20"/>
  <c r="AV57" i="20" s="1"/>
  <c r="AS57" i="20"/>
  <c r="O57" i="20" s="1"/>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16" i="19"/>
  <c r="D89" i="19"/>
  <c r="AK116" i="19" l="1"/>
  <c r="AJ116" i="19"/>
  <c r="AK89" i="19"/>
  <c r="AJ89" i="19"/>
  <c r="D63" i="20" l="1"/>
  <c r="E63" i="20"/>
  <c r="F63" i="20"/>
  <c r="D35" i="20"/>
  <c r="C80" i="5"/>
  <c r="D42" i="5"/>
  <c r="F35" i="23"/>
  <c r="C35" i="23"/>
  <c r="E35" i="23"/>
  <c r="D35" i="23"/>
  <c r="C63" i="20"/>
  <c r="C35" i="20"/>
  <c r="C63" i="18"/>
  <c r="C35" i="18"/>
  <c r="E63" i="18"/>
  <c r="E35" i="18"/>
  <c r="D63" i="18"/>
  <c r="AC5" i="18"/>
  <c r="C33" i="17"/>
  <c r="C24" i="17"/>
  <c r="F24" i="17"/>
  <c r="E33" i="17"/>
  <c r="E24" i="17"/>
  <c r="D33" i="17"/>
  <c r="D24" i="17"/>
  <c r="AC6" i="17"/>
  <c r="D156" i="19"/>
  <c r="C156" i="19"/>
  <c r="H35" i="19"/>
  <c r="C35" i="19"/>
  <c r="C89" i="19" s="1"/>
  <c r="G35" i="19"/>
  <c r="E35" i="19"/>
  <c r="D35" i="19"/>
  <c r="L80" i="5"/>
  <c r="P80" i="5" s="1"/>
  <c r="D80"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AG156" i="19"/>
  <c r="W58" i="5"/>
  <c r="AG58" i="5" s="1"/>
  <c r="X42" i="5"/>
  <c r="AE116" i="19"/>
  <c r="AG116" i="19" s="1"/>
  <c r="AD116" i="19"/>
  <c r="AF116" i="19" s="1"/>
  <c r="AE62" i="19"/>
  <c r="AD62" i="19"/>
  <c r="AF62" i="19" s="1"/>
  <c r="AI42" i="5"/>
  <c r="AH42" i="5"/>
  <c r="AE89" i="19"/>
  <c r="AD89" i="19"/>
  <c r="AF89" i="19" s="1"/>
  <c r="AG80" i="5"/>
  <c r="AF80" i="5"/>
  <c r="AI156" i="19"/>
  <c r="AH156"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16" i="19"/>
  <c r="AB89" i="19"/>
  <c r="AE58" i="5"/>
  <c r="AD58" i="5"/>
  <c r="AD42" i="5"/>
  <c r="Z42" i="5"/>
  <c r="Z58" i="5"/>
  <c r="AD50" i="5"/>
  <c r="Z50" i="5"/>
  <c r="AE20" i="5"/>
  <c r="AD6" i="5"/>
  <c r="AD8" i="5"/>
  <c r="N80" i="5"/>
  <c r="D50" i="5"/>
  <c r="C2" i="24"/>
  <c r="I6" i="23"/>
  <c r="J6" i="23" s="1"/>
  <c r="K6" i="23" s="1"/>
  <c r="I35" i="23"/>
  <c r="G5" i="51"/>
  <c r="C2" i="51"/>
  <c r="R12" i="18"/>
  <c r="AC4" i="18"/>
  <c r="R11" i="18"/>
  <c r="AC6" i="18"/>
  <c r="W7" i="18"/>
  <c r="D35" i="18"/>
  <c r="I6" i="18"/>
  <c r="R4" i="18" s="1"/>
  <c r="F63" i="18"/>
  <c r="J63" i="18" s="1"/>
  <c r="F35" i="18"/>
  <c r="J35" i="18" s="1"/>
  <c r="AD14" i="19"/>
  <c r="AC7" i="19"/>
  <c r="I6" i="19"/>
  <c r="J6" i="19" s="1"/>
  <c r="AA156" i="19"/>
  <c r="AF23" i="19"/>
  <c r="AB62" i="19"/>
  <c r="AF6" i="19"/>
  <c r="AE4" i="19"/>
  <c r="AG11" i="19"/>
  <c r="I35" i="19"/>
  <c r="C62" i="19"/>
  <c r="AG12" i="19"/>
  <c r="L35" i="23"/>
  <c r="K35" i="23"/>
  <c r="D62" i="19"/>
  <c r="AD11" i="19"/>
  <c r="AE19" i="19"/>
  <c r="AD12" i="19"/>
  <c r="AG14" i="19"/>
  <c r="AD13" i="19"/>
  <c r="AC6" i="19"/>
  <c r="J35" i="19"/>
  <c r="K35"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AD66" i="18" l="1"/>
  <c r="AD77" i="18"/>
  <c r="AD79" i="18"/>
  <c r="AD81" i="18"/>
  <c r="AD84" i="18"/>
  <c r="AD64" i="18"/>
  <c r="AD67" i="18"/>
  <c r="AD78" i="18"/>
  <c r="AD80" i="18"/>
  <c r="AD82" i="18"/>
  <c r="AD65" i="18"/>
  <c r="AD73" i="18"/>
  <c r="AD83" i="18"/>
  <c r="AD47" i="18"/>
  <c r="AD53" i="18"/>
  <c r="AD49" i="18"/>
  <c r="AD71" i="18"/>
  <c r="AD74" i="18"/>
  <c r="AD68" i="18"/>
  <c r="AD85" i="18"/>
  <c r="AD76" i="18"/>
  <c r="AD70" i="18"/>
  <c r="AD69" i="18"/>
  <c r="AD51" i="18"/>
  <c r="AD72" i="18"/>
  <c r="AD36" i="18"/>
  <c r="AD37" i="18"/>
  <c r="AD75" i="18"/>
  <c r="AD40" i="18"/>
  <c r="AD43" i="18"/>
  <c r="AD42" i="18"/>
  <c r="AD41" i="18"/>
  <c r="AD57" i="18"/>
  <c r="AD45" i="18"/>
  <c r="AD48" i="18"/>
  <c r="AD39" i="18"/>
  <c r="AD46" i="18"/>
  <c r="AD50" i="18"/>
  <c r="AD44" i="18"/>
  <c r="AD54" i="18"/>
  <c r="AD52" i="18"/>
  <c r="AD55" i="18"/>
  <c r="AD56" i="18"/>
  <c r="AD38" i="18"/>
  <c r="K118" i="19"/>
  <c r="L118" i="19"/>
  <c r="K126" i="19"/>
  <c r="L126" i="19"/>
  <c r="K133" i="19"/>
  <c r="M133" i="19" s="1"/>
  <c r="S133" i="19" s="1"/>
  <c r="K121" i="19"/>
  <c r="L133" i="19"/>
  <c r="L121" i="19"/>
  <c r="K132" i="19"/>
  <c r="L132" i="19"/>
  <c r="K137" i="19"/>
  <c r="K125" i="19"/>
  <c r="L137" i="19"/>
  <c r="L125" i="19"/>
  <c r="K131" i="19"/>
  <c r="M131" i="19" s="1"/>
  <c r="S131" i="19" s="1"/>
  <c r="K117" i="19"/>
  <c r="M117" i="19" s="1"/>
  <c r="S117" i="19" s="1"/>
  <c r="L131" i="19"/>
  <c r="N131" i="19" s="1"/>
  <c r="T131" i="19" s="1"/>
  <c r="L117" i="19"/>
  <c r="N117" i="19" s="1"/>
  <c r="T117" i="19" s="1"/>
  <c r="K130" i="19"/>
  <c r="K120" i="19"/>
  <c r="L130" i="19"/>
  <c r="N130" i="19" s="1"/>
  <c r="T130" i="19" s="1"/>
  <c r="L120" i="19"/>
  <c r="N120" i="19" s="1"/>
  <c r="T120" i="19" s="1"/>
  <c r="K124" i="19"/>
  <c r="M124" i="19" s="1"/>
  <c r="S124" i="19" s="1"/>
  <c r="L124" i="19"/>
  <c r="N124" i="19" s="1"/>
  <c r="T124" i="19" s="1"/>
  <c r="K129" i="19"/>
  <c r="M129" i="19" s="1"/>
  <c r="S129" i="19" s="1"/>
  <c r="L136" i="19"/>
  <c r="N136" i="19" s="1"/>
  <c r="T136" i="19" s="1"/>
  <c r="L129" i="19"/>
  <c r="N129" i="19" s="1"/>
  <c r="T129" i="19" s="1"/>
  <c r="K136" i="19"/>
  <c r="M136" i="19" s="1"/>
  <c r="S136" i="19" s="1"/>
  <c r="K123" i="19"/>
  <c r="L123" i="19"/>
  <c r="N123" i="19" s="1"/>
  <c r="T123" i="19" s="1"/>
  <c r="K128" i="19"/>
  <c r="M128" i="19" s="1"/>
  <c r="S128" i="19" s="1"/>
  <c r="K119" i="19"/>
  <c r="L128" i="19"/>
  <c r="L119" i="19"/>
  <c r="K135" i="19"/>
  <c r="K122" i="19"/>
  <c r="L135" i="19"/>
  <c r="L122" i="19"/>
  <c r="K127" i="19"/>
  <c r="M127" i="19" s="1"/>
  <c r="S127" i="19" s="1"/>
  <c r="L127" i="19"/>
  <c r="K134" i="19"/>
  <c r="M134" i="19" s="1"/>
  <c r="S134" i="19" s="1"/>
  <c r="L134" i="19"/>
  <c r="M122" i="19"/>
  <c r="S122" i="19" s="1"/>
  <c r="N132" i="19"/>
  <c r="T132" i="19" s="1"/>
  <c r="N128" i="19"/>
  <c r="T128" i="19" s="1"/>
  <c r="M121" i="19"/>
  <c r="S121" i="19" s="1"/>
  <c r="N134" i="19"/>
  <c r="T134" i="19" s="1"/>
  <c r="N135" i="19"/>
  <c r="T135" i="19" s="1"/>
  <c r="M120" i="19"/>
  <c r="S120" i="19" s="1"/>
  <c r="N125" i="19"/>
  <c r="T125" i="19" s="1"/>
  <c r="N127" i="19"/>
  <c r="T127" i="19" s="1"/>
  <c r="M132" i="19"/>
  <c r="S132" i="19" s="1"/>
  <c r="N133" i="19"/>
  <c r="T133" i="19" s="1"/>
  <c r="N126" i="19"/>
  <c r="T126" i="19" s="1"/>
  <c r="M118" i="19"/>
  <c r="S118" i="19" s="1"/>
  <c r="M135" i="19"/>
  <c r="S135" i="19" s="1"/>
  <c r="M119" i="19"/>
  <c r="S119" i="19" s="1"/>
  <c r="M123" i="19"/>
  <c r="S123" i="19" s="1"/>
  <c r="M130" i="19"/>
  <c r="S130" i="19" s="1"/>
  <c r="N121" i="19"/>
  <c r="T121" i="19" s="1"/>
  <c r="M125" i="19"/>
  <c r="S125" i="19" s="1"/>
  <c r="M126" i="19"/>
  <c r="S126" i="19" s="1"/>
  <c r="N137" i="19"/>
  <c r="T137" i="19" s="1"/>
  <c r="M137" i="19"/>
  <c r="S137" i="19" s="1"/>
  <c r="N122" i="19"/>
  <c r="T122" i="19" s="1"/>
  <c r="N118" i="19"/>
  <c r="T118" i="19" s="1"/>
  <c r="N119" i="19"/>
  <c r="T119" i="19" s="1"/>
  <c r="N98" i="19"/>
  <c r="T98" i="19" s="1"/>
  <c r="V36" i="574" s="1"/>
  <c r="M98" i="19"/>
  <c r="S98" i="19" s="1"/>
  <c r="U36" i="574" s="1"/>
  <c r="N92" i="19"/>
  <c r="T92" i="19" s="1"/>
  <c r="V30" i="574" s="1"/>
  <c r="M95" i="19"/>
  <c r="S95" i="19" s="1"/>
  <c r="U33" i="574" s="1"/>
  <c r="M106" i="19"/>
  <c r="S106" i="19" s="1"/>
  <c r="U44" i="574" s="1"/>
  <c r="N90" i="19"/>
  <c r="T90" i="19" s="1"/>
  <c r="V28" i="574" s="1"/>
  <c r="M93" i="19"/>
  <c r="S93" i="19" s="1"/>
  <c r="U31" i="574" s="1"/>
  <c r="N109" i="19"/>
  <c r="T109" i="19" s="1"/>
  <c r="V47" i="574" s="1"/>
  <c r="M96" i="19"/>
  <c r="S96" i="19" s="1"/>
  <c r="U34" i="574" s="1"/>
  <c r="M103" i="19"/>
  <c r="S103" i="19" s="1"/>
  <c r="U41" i="574" s="1"/>
  <c r="L98" i="19"/>
  <c r="K106" i="19"/>
  <c r="K91" i="19"/>
  <c r="M91" i="19" s="1"/>
  <c r="S91" i="19" s="1"/>
  <c r="U29" i="574" s="1"/>
  <c r="K105" i="19"/>
  <c r="M105" i="19" s="1"/>
  <c r="S105" i="19" s="1"/>
  <c r="U43" i="574" s="1"/>
  <c r="K104" i="19"/>
  <c r="M104" i="19" s="1"/>
  <c r="S104" i="19" s="1"/>
  <c r="U42" i="574" s="1"/>
  <c r="L106" i="19"/>
  <c r="N106" i="19" s="1"/>
  <c r="T106" i="19" s="1"/>
  <c r="V44" i="574" s="1"/>
  <c r="L104" i="19"/>
  <c r="N104" i="19" s="1"/>
  <c r="T104" i="19" s="1"/>
  <c r="V42" i="574" s="1"/>
  <c r="L105" i="19"/>
  <c r="N105" i="19" s="1"/>
  <c r="T105" i="19" s="1"/>
  <c r="V43" i="574" s="1"/>
  <c r="L103" i="19"/>
  <c r="N103" i="19" s="1"/>
  <c r="T103" i="19" s="1"/>
  <c r="V41" i="574" s="1"/>
  <c r="L94" i="19"/>
  <c r="N94" i="19" s="1"/>
  <c r="T94" i="19" s="1"/>
  <c r="V32" i="574" s="1"/>
  <c r="K102" i="19"/>
  <c r="M102" i="19" s="1"/>
  <c r="S102" i="19" s="1"/>
  <c r="U40" i="574" s="1"/>
  <c r="L110" i="19"/>
  <c r="N110" i="19" s="1"/>
  <c r="T110" i="19" s="1"/>
  <c r="V48" i="574" s="1"/>
  <c r="K108" i="19"/>
  <c r="M108" i="19" s="1"/>
  <c r="S108" i="19" s="1"/>
  <c r="U46" i="574" s="1"/>
  <c r="K93" i="19"/>
  <c r="K107" i="19"/>
  <c r="M107" i="19" s="1"/>
  <c r="S107" i="19" s="1"/>
  <c r="U45" i="574" s="1"/>
  <c r="K103" i="19"/>
  <c r="K92" i="19"/>
  <c r="M92" i="19" s="1"/>
  <c r="S92" i="19" s="1"/>
  <c r="U30" i="574" s="1"/>
  <c r="L102" i="19"/>
  <c r="N102" i="19" s="1"/>
  <c r="T102" i="19" s="1"/>
  <c r="V40" i="574" s="1"/>
  <c r="L100" i="19"/>
  <c r="N100" i="19" s="1"/>
  <c r="T100" i="19" s="1"/>
  <c r="V38" i="574" s="1"/>
  <c r="L99" i="19"/>
  <c r="N99" i="19" s="1"/>
  <c r="T99" i="19" s="1"/>
  <c r="V37" i="574" s="1"/>
  <c r="K101" i="19"/>
  <c r="M101" i="19" s="1"/>
  <c r="S101" i="19" s="1"/>
  <c r="U39" i="574" s="1"/>
  <c r="L95" i="19"/>
  <c r="N95" i="19" s="1"/>
  <c r="T95" i="19" s="1"/>
  <c r="V33" i="574" s="1"/>
  <c r="K100" i="19"/>
  <c r="M100" i="19" s="1"/>
  <c r="S100" i="19" s="1"/>
  <c r="U38" i="574" s="1"/>
  <c r="K90" i="19"/>
  <c r="M90" i="19" s="1"/>
  <c r="S90" i="19" s="1"/>
  <c r="U28" i="574" s="1"/>
  <c r="L97" i="19"/>
  <c r="N97" i="19" s="1"/>
  <c r="T97" i="19" s="1"/>
  <c r="V35" i="574" s="1"/>
  <c r="L96" i="19"/>
  <c r="N96" i="19" s="1"/>
  <c r="T96" i="19" s="1"/>
  <c r="V34" i="574" s="1"/>
  <c r="K99" i="19"/>
  <c r="M99" i="19" s="1"/>
  <c r="S99" i="19" s="1"/>
  <c r="U37" i="574" s="1"/>
  <c r="L107" i="19"/>
  <c r="N107" i="19" s="1"/>
  <c r="T107" i="19" s="1"/>
  <c r="V45" i="574" s="1"/>
  <c r="L108" i="19"/>
  <c r="N108" i="19" s="1"/>
  <c r="T108" i="19" s="1"/>
  <c r="V46" i="574" s="1"/>
  <c r="L109" i="19"/>
  <c r="K98" i="19"/>
  <c r="L93" i="19"/>
  <c r="N93" i="19" s="1"/>
  <c r="T93" i="19" s="1"/>
  <c r="V31" i="574" s="1"/>
  <c r="L91" i="19"/>
  <c r="N91" i="19" s="1"/>
  <c r="T91" i="19" s="1"/>
  <c r="V29" i="574" s="1"/>
  <c r="L92" i="19"/>
  <c r="K97" i="19"/>
  <c r="M97" i="19" s="1"/>
  <c r="S97" i="19" s="1"/>
  <c r="U35" i="574" s="1"/>
  <c r="K96" i="19"/>
  <c r="K110" i="19"/>
  <c r="M110" i="19" s="1"/>
  <c r="S110" i="19" s="1"/>
  <c r="U48" i="574" s="1"/>
  <c r="K95" i="19"/>
  <c r="L90" i="19"/>
  <c r="K109" i="19"/>
  <c r="M109" i="19" s="1"/>
  <c r="S109" i="19" s="1"/>
  <c r="U47" i="574" s="1"/>
  <c r="L101" i="19"/>
  <c r="N101" i="19" s="1"/>
  <c r="T101" i="19" s="1"/>
  <c r="V39" i="574" s="1"/>
  <c r="K94" i="19"/>
  <c r="M94" i="19" s="1"/>
  <c r="S94" i="19" s="1"/>
  <c r="U32" i="574" s="1"/>
  <c r="K69" i="19"/>
  <c r="M69" i="19" s="1"/>
  <c r="S69" i="19" s="1"/>
  <c r="S34" i="574" s="1"/>
  <c r="L69" i="19"/>
  <c r="N69" i="19" s="1"/>
  <c r="T69" i="19" s="1"/>
  <c r="T34" i="574" s="1"/>
  <c r="L82" i="19"/>
  <c r="K71" i="19"/>
  <c r="M71" i="19" s="1"/>
  <c r="S71" i="19" s="1"/>
  <c r="S36" i="574" s="1"/>
  <c r="L64" i="19"/>
  <c r="N64" i="19" s="1"/>
  <c r="T64" i="19" s="1"/>
  <c r="T29" i="574" s="1"/>
  <c r="K73" i="19"/>
  <c r="M73" i="19" s="1"/>
  <c r="S73" i="19" s="1"/>
  <c r="S38" i="574" s="1"/>
  <c r="L80" i="19"/>
  <c r="K81" i="19"/>
  <c r="M81" i="19" s="1"/>
  <c r="S81" i="19" s="1"/>
  <c r="S46" i="574" s="1"/>
  <c r="L73" i="19"/>
  <c r="N73" i="19" s="1"/>
  <c r="T73" i="19" s="1"/>
  <c r="T38" i="574" s="1"/>
  <c r="K72" i="19"/>
  <c r="M72" i="19" s="1"/>
  <c r="S72" i="19" s="1"/>
  <c r="S37" i="574" s="1"/>
  <c r="K68" i="19"/>
  <c r="M68" i="19" s="1"/>
  <c r="S68" i="19" s="1"/>
  <c r="S33" i="574" s="1"/>
  <c r="K80" i="19"/>
  <c r="M80" i="19" s="1"/>
  <c r="S80" i="19" s="1"/>
  <c r="S45" i="574" s="1"/>
  <c r="L75" i="19"/>
  <c r="N75" i="19" s="1"/>
  <c r="T75" i="19" s="1"/>
  <c r="T40" i="574" s="1"/>
  <c r="L66" i="19"/>
  <c r="N66" i="19" s="1"/>
  <c r="T66" i="19" s="1"/>
  <c r="T31" i="574" s="1"/>
  <c r="K67" i="19"/>
  <c r="M67" i="19" s="1"/>
  <c r="S67" i="19" s="1"/>
  <c r="S32" i="574" s="1"/>
  <c r="K66" i="19"/>
  <c r="M66" i="19" s="1"/>
  <c r="S66" i="19" s="1"/>
  <c r="S31" i="574" s="1"/>
  <c r="L68" i="19"/>
  <c r="K65" i="19"/>
  <c r="L70" i="19"/>
  <c r="N70" i="19" s="1"/>
  <c r="T70" i="19" s="1"/>
  <c r="T35" i="574" s="1"/>
  <c r="L72" i="19"/>
  <c r="N72" i="19" s="1"/>
  <c r="T72" i="19" s="1"/>
  <c r="T37" i="574" s="1"/>
  <c r="L65" i="19"/>
  <c r="N65" i="19" s="1"/>
  <c r="T65" i="19" s="1"/>
  <c r="T30" i="574" s="1"/>
  <c r="K76" i="19"/>
  <c r="L63" i="19"/>
  <c r="N63" i="19" s="1"/>
  <c r="T63" i="19" s="1"/>
  <c r="T28" i="574" s="1"/>
  <c r="K75" i="19"/>
  <c r="M75" i="19" s="1"/>
  <c r="S75" i="19" s="1"/>
  <c r="S40" i="574" s="1"/>
  <c r="K70" i="19"/>
  <c r="M70" i="19" s="1"/>
  <c r="S70" i="19" s="1"/>
  <c r="S35" i="574" s="1"/>
  <c r="K63" i="19"/>
  <c r="M63" i="19" s="1"/>
  <c r="S63" i="19" s="1"/>
  <c r="S28" i="574" s="1"/>
  <c r="K83" i="19"/>
  <c r="M83" i="19" s="1"/>
  <c r="S83" i="19" s="1"/>
  <c r="S48" i="574" s="1"/>
  <c r="L83" i="19"/>
  <c r="N83" i="19" s="1"/>
  <c r="T83" i="19" s="1"/>
  <c r="T48" i="574" s="1"/>
  <c r="L81" i="19"/>
  <c r="N81" i="19" s="1"/>
  <c r="T81" i="19" s="1"/>
  <c r="T46" i="574" s="1"/>
  <c r="L74" i="19"/>
  <c r="N74" i="19" s="1"/>
  <c r="T74" i="19" s="1"/>
  <c r="T39" i="574" s="1"/>
  <c r="K82" i="19"/>
  <c r="M82" i="19" s="1"/>
  <c r="S82" i="19" s="1"/>
  <c r="S47" i="574" s="1"/>
  <c r="K74" i="19"/>
  <c r="M74" i="19" s="1"/>
  <c r="S74" i="19" s="1"/>
  <c r="S39" i="574" s="1"/>
  <c r="L67" i="19"/>
  <c r="K79" i="19"/>
  <c r="M79" i="19" s="1"/>
  <c r="S79" i="19" s="1"/>
  <c r="S44" i="574" s="1"/>
  <c r="L79" i="19"/>
  <c r="N79" i="19" s="1"/>
  <c r="T79" i="19" s="1"/>
  <c r="T44" i="574" s="1"/>
  <c r="K78" i="19"/>
  <c r="M78" i="19" s="1"/>
  <c r="S78" i="19" s="1"/>
  <c r="S43" i="574" s="1"/>
  <c r="L71" i="19"/>
  <c r="N71" i="19" s="1"/>
  <c r="T71" i="19" s="1"/>
  <c r="T36" i="574" s="1"/>
  <c r="L77" i="19"/>
  <c r="N77" i="19" s="1"/>
  <c r="T77" i="19" s="1"/>
  <c r="T42" i="574" s="1"/>
  <c r="L78" i="19"/>
  <c r="N78" i="19" s="1"/>
  <c r="T78" i="19" s="1"/>
  <c r="T43" i="574" s="1"/>
  <c r="K77" i="19"/>
  <c r="K64" i="19"/>
  <c r="M64" i="19" s="1"/>
  <c r="S64" i="19" s="1"/>
  <c r="S29" i="574" s="1"/>
  <c r="L76" i="19"/>
  <c r="M77" i="19"/>
  <c r="S77" i="19" s="1"/>
  <c r="S42" i="574" s="1"/>
  <c r="M65" i="19"/>
  <c r="S65" i="19" s="1"/>
  <c r="S30" i="574" s="1"/>
  <c r="N68" i="19"/>
  <c r="T68" i="19" s="1"/>
  <c r="T33" i="574" s="1"/>
  <c r="N67" i="19"/>
  <c r="T67" i="19" s="1"/>
  <c r="T32" i="574" s="1"/>
  <c r="M76" i="19"/>
  <c r="S76" i="19" s="1"/>
  <c r="S41" i="574" s="1"/>
  <c r="N76" i="19"/>
  <c r="T76" i="19" s="1"/>
  <c r="T41" i="574" s="1"/>
  <c r="N82" i="19"/>
  <c r="T82" i="19" s="1"/>
  <c r="T47" i="574" s="1"/>
  <c r="N80" i="19"/>
  <c r="T80" i="19" s="1"/>
  <c r="T45" i="574" s="1"/>
  <c r="Y62" i="19"/>
  <c r="X62" i="19"/>
  <c r="L60" i="5"/>
  <c r="N60" i="5" s="1"/>
  <c r="R60" i="5" s="1"/>
  <c r="K59" i="5"/>
  <c r="M59" i="5" s="1"/>
  <c r="Q59" i="5" s="1"/>
  <c r="L59" i="5"/>
  <c r="N59" i="5" s="1"/>
  <c r="R59" i="5" s="1"/>
  <c r="K60" i="5"/>
  <c r="M60" i="5" s="1"/>
  <c r="Q60" i="5" s="1"/>
  <c r="N44" i="5"/>
  <c r="M44" i="5"/>
  <c r="Q44" i="5" s="1"/>
  <c r="S14" i="574" s="1"/>
  <c r="N43" i="5"/>
  <c r="M43" i="5"/>
  <c r="Q43" i="5" s="1"/>
  <c r="S13" i="574" s="1"/>
  <c r="AH89" i="19"/>
  <c r="AF156" i="19"/>
  <c r="Z156" i="19"/>
  <c r="AC156" i="19" s="1"/>
  <c r="I156" i="19" s="1"/>
  <c r="AG14" i="5"/>
  <c r="I63" i="23"/>
  <c r="AE156" i="19"/>
  <c r="AD156" i="19"/>
  <c r="T35" i="19" a="1"/>
  <c r="T35" i="19" s="1"/>
  <c r="Q35" i="19" a="1"/>
  <c r="Q35" i="19" s="1"/>
  <c r="H63" i="23"/>
  <c r="AF24" i="19"/>
  <c r="AF8" i="19"/>
  <c r="AC11" i="18"/>
  <c r="AG8" i="5"/>
  <c r="AG62"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2" i="19"/>
  <c r="AJ62"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5" i="18"/>
  <c r="AR35" i="18"/>
  <c r="AT24" i="17"/>
  <c r="AR24" i="17"/>
  <c r="AR35" i="20"/>
  <c r="I71" i="23"/>
  <c r="I72" i="23"/>
  <c r="I65" i="23"/>
  <c r="I73" i="23"/>
  <c r="I66" i="23"/>
  <c r="I64" i="23"/>
  <c r="I67" i="23"/>
  <c r="I68" i="23"/>
  <c r="I69" i="23"/>
  <c r="I70" i="23"/>
  <c r="AC24" i="17"/>
  <c r="X33" i="17"/>
  <c r="AA33" i="17" s="1"/>
  <c r="Z24" i="17"/>
  <c r="V34" i="5"/>
  <c r="M34" i="5" s="1"/>
  <c r="H36" i="23"/>
  <c r="H71" i="23"/>
  <c r="H64" i="23"/>
  <c r="H68" i="23"/>
  <c r="H72" i="23"/>
  <c r="H65" i="23"/>
  <c r="H73" i="23"/>
  <c r="H69" i="23"/>
  <c r="H66" i="23"/>
  <c r="H70" i="23"/>
  <c r="H67" i="23"/>
  <c r="L116" i="19"/>
  <c r="K116"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0" i="5"/>
  <c r="AA62" i="19"/>
  <c r="AA116" i="19" s="1"/>
  <c r="AC80" i="5"/>
  <c r="X58" i="5"/>
  <c r="X50" i="5"/>
  <c r="AF42" i="5"/>
  <c r="V58" i="5"/>
  <c r="AF58" i="5" s="1"/>
  <c r="AE42" i="5"/>
  <c r="L42" i="5"/>
  <c r="K42" i="5"/>
  <c r="L58" i="5"/>
  <c r="K58" i="5"/>
  <c r="Z80" i="5"/>
  <c r="X80" i="5"/>
  <c r="Y80" i="5"/>
  <c r="Y42" i="5"/>
  <c r="AB156" i="19"/>
  <c r="H156" i="19" s="1"/>
  <c r="J6" i="18"/>
  <c r="AB80" i="5"/>
  <c r="J35" i="23"/>
  <c r="Y35" i="18"/>
  <c r="Y63" i="18" s="1"/>
  <c r="AF7" i="19"/>
  <c r="K62" i="19"/>
  <c r="L62" i="19"/>
  <c r="L89" i="19"/>
  <c r="AG89" i="19"/>
  <c r="K89" i="19"/>
  <c r="F35" i="19"/>
  <c r="P35" i="19" s="1"/>
  <c r="K6" i="19"/>
  <c r="J156" i="19"/>
  <c r="J5" i="24"/>
  <c r="G7" i="51"/>
  <c r="J7" i="24"/>
  <c r="J8" i="24"/>
  <c r="J6" i="24"/>
  <c r="Z62" i="19"/>
  <c r="AI3" i="54"/>
  <c r="AF3" i="54"/>
  <c r="AB3" i="54"/>
  <c r="AA24" i="17"/>
  <c r="AC3" i="54"/>
  <c r="AA3" i="54"/>
  <c r="AH3" i="54"/>
  <c r="J6" i="17"/>
  <c r="J6" i="20"/>
  <c r="Y35" i="20"/>
  <c r="X35" i="20"/>
  <c r="AE50" i="5"/>
  <c r="AF25" i="5"/>
  <c r="AC11" i="17"/>
  <c r="K6" i="5"/>
  <c r="V50" i="5"/>
  <c r="AF50" i="5"/>
  <c r="W50" i="5"/>
  <c r="AG50" i="5"/>
  <c r="AG42" i="5"/>
  <c r="AD80" i="5"/>
  <c r="AE80" i="5"/>
  <c r="AE41" i="18" l="1"/>
  <c r="AH41" i="18" s="1"/>
  <c r="K41" i="18" s="1"/>
  <c r="AI41" i="18"/>
  <c r="AJ41" i="18" s="1"/>
  <c r="AK41" i="18" s="1"/>
  <c r="L41" i="18" s="1"/>
  <c r="AG41" i="18"/>
  <c r="AL41" i="18"/>
  <c r="M41" i="18" s="1"/>
  <c r="AL42" i="18"/>
  <c r="M42" i="18" s="1"/>
  <c r="AE42" i="18"/>
  <c r="AI42" i="18"/>
  <c r="AJ42" i="18" s="1"/>
  <c r="AK42" i="18" s="1"/>
  <c r="L42" i="18" s="1"/>
  <c r="AG42" i="18"/>
  <c r="AL43" i="18"/>
  <c r="M43" i="18" s="1"/>
  <c r="AG43" i="18"/>
  <c r="AE43" i="18"/>
  <c r="AH43" i="18" s="1"/>
  <c r="K43" i="18" s="1"/>
  <c r="AI43" i="18"/>
  <c r="AJ43" i="18" s="1"/>
  <c r="AK43" i="18" s="1"/>
  <c r="L43" i="18" s="1"/>
  <c r="AE40" i="18"/>
  <c r="AH40" i="18" s="1"/>
  <c r="K40" i="18" s="1"/>
  <c r="N40" i="18" s="1"/>
  <c r="AI40" i="18"/>
  <c r="AJ40" i="18" s="1"/>
  <c r="AK40" i="18" s="1"/>
  <c r="L40" i="18" s="1"/>
  <c r="AL40" i="18"/>
  <c r="M40" i="18" s="1"/>
  <c r="AG40" i="18"/>
  <c r="AI75" i="18"/>
  <c r="AJ75" i="18" s="1"/>
  <c r="AK75" i="18" s="1"/>
  <c r="L75" i="18" s="1"/>
  <c r="AE75" i="18"/>
  <c r="AL75" i="18"/>
  <c r="M75" i="18" s="1"/>
  <c r="AG75" i="18"/>
  <c r="AE37" i="18"/>
  <c r="AH37" i="18" s="1"/>
  <c r="K37" i="18" s="1"/>
  <c r="N37" i="18" s="1"/>
  <c r="AI37" i="18"/>
  <c r="AJ37" i="18" s="1"/>
  <c r="AK37" i="18" s="1"/>
  <c r="L37" i="18" s="1"/>
  <c r="AL37" i="18"/>
  <c r="M37" i="18" s="1"/>
  <c r="AG37" i="18"/>
  <c r="AI36" i="18"/>
  <c r="AJ36" i="18" s="1"/>
  <c r="AK36" i="18" s="1"/>
  <c r="L36" i="18" s="1"/>
  <c r="AL36" i="18"/>
  <c r="M36" i="18" s="1"/>
  <c r="AE36" i="18"/>
  <c r="AH36" i="18" s="1"/>
  <c r="K36" i="18" s="1"/>
  <c r="N36" i="18" s="1"/>
  <c r="X27" i="574" s="1"/>
  <c r="AG36" i="18"/>
  <c r="AI72" i="18"/>
  <c r="AJ72" i="18" s="1"/>
  <c r="AK72" i="18" s="1"/>
  <c r="L72" i="18" s="1"/>
  <c r="AL72" i="18"/>
  <c r="M72" i="18" s="1"/>
  <c r="AE72" i="18"/>
  <c r="AG72" i="18"/>
  <c r="AI51" i="18"/>
  <c r="AJ51" i="18" s="1"/>
  <c r="AK51" i="18" s="1"/>
  <c r="L51" i="18" s="1"/>
  <c r="AE51" i="18"/>
  <c r="AL51" i="18"/>
  <c r="M51" i="18" s="1"/>
  <c r="AG51" i="18"/>
  <c r="AH51" i="18" s="1"/>
  <c r="K51" i="18" s="1"/>
  <c r="N51" i="18" s="1"/>
  <c r="AI69" i="18"/>
  <c r="AJ69" i="18" s="1"/>
  <c r="AK69" i="18" s="1"/>
  <c r="L69" i="18" s="1"/>
  <c r="AL69" i="18"/>
  <c r="M69" i="18" s="1"/>
  <c r="AE69" i="18"/>
  <c r="AG69" i="18"/>
  <c r="AE70" i="18"/>
  <c r="AL70" i="18"/>
  <c r="M70" i="18" s="1"/>
  <c r="AI70" i="18"/>
  <c r="AJ70" i="18" s="1"/>
  <c r="AK70" i="18" s="1"/>
  <c r="L70" i="18" s="1"/>
  <c r="AG70" i="18"/>
  <c r="AH70" i="18" s="1"/>
  <c r="K70" i="18" s="1"/>
  <c r="N70" i="18" s="1"/>
  <c r="AI76" i="18"/>
  <c r="AJ76" i="18" s="1"/>
  <c r="AK76" i="18" s="1"/>
  <c r="L76" i="18" s="1"/>
  <c r="AE76" i="18"/>
  <c r="AL76" i="18"/>
  <c r="M76" i="18" s="1"/>
  <c r="AG76" i="18"/>
  <c r="AI85" i="18"/>
  <c r="AJ85" i="18" s="1"/>
  <c r="AK85" i="18" s="1"/>
  <c r="L85" i="18" s="1"/>
  <c r="AL85" i="18"/>
  <c r="M85" i="18" s="1"/>
  <c r="AE85" i="18"/>
  <c r="AG85" i="18"/>
  <c r="AH85" i="18" s="1"/>
  <c r="K85" i="18" s="1"/>
  <c r="N85" i="18" s="1"/>
  <c r="AL68" i="18"/>
  <c r="M68" i="18" s="1"/>
  <c r="AI68" i="18"/>
  <c r="AJ68" i="18" s="1"/>
  <c r="AK68" i="18" s="1"/>
  <c r="L68" i="18" s="1"/>
  <c r="AE68" i="18"/>
  <c r="AG68" i="18"/>
  <c r="AH68" i="18" s="1"/>
  <c r="K68" i="18" s="1"/>
  <c r="AE74" i="18"/>
  <c r="AG74" i="18"/>
  <c r="AH74" i="18" s="1"/>
  <c r="K74" i="18" s="1"/>
  <c r="AI74" i="18"/>
  <c r="AJ74" i="18" s="1"/>
  <c r="AK74" i="18" s="1"/>
  <c r="L74" i="18" s="1"/>
  <c r="AL74" i="18"/>
  <c r="M74" i="18" s="1"/>
  <c r="AE71" i="18"/>
  <c r="AL71" i="18"/>
  <c r="M71" i="18" s="1"/>
  <c r="AI71" i="18"/>
  <c r="AJ71" i="18" s="1"/>
  <c r="AK71" i="18" s="1"/>
  <c r="L71" i="18" s="1"/>
  <c r="AG71" i="18"/>
  <c r="AI49" i="18"/>
  <c r="AJ49" i="18" s="1"/>
  <c r="AK49" i="18" s="1"/>
  <c r="L49" i="18" s="1"/>
  <c r="AL49" i="18"/>
  <c r="M49" i="18" s="1"/>
  <c r="AE49" i="18"/>
  <c r="AG49" i="18"/>
  <c r="AI53" i="18"/>
  <c r="AJ53" i="18" s="1"/>
  <c r="AK53" i="18" s="1"/>
  <c r="L53" i="18" s="1"/>
  <c r="AL53" i="18"/>
  <c r="M53" i="18" s="1"/>
  <c r="AE53" i="18"/>
  <c r="AG53" i="18"/>
  <c r="AH53" i="18" s="1"/>
  <c r="K53" i="18" s="1"/>
  <c r="N53" i="18" s="1"/>
  <c r="AI47" i="18"/>
  <c r="AJ47" i="18" s="1"/>
  <c r="AK47" i="18" s="1"/>
  <c r="L47" i="18" s="1"/>
  <c r="AE47" i="18"/>
  <c r="AL47" i="18"/>
  <c r="M47" i="18" s="1"/>
  <c r="AG47" i="18"/>
  <c r="AH47" i="18" s="1"/>
  <c r="K47" i="18" s="1"/>
  <c r="N47" i="18" s="1"/>
  <c r="AE83" i="18"/>
  <c r="AI83" i="18"/>
  <c r="AJ83" i="18" s="1"/>
  <c r="AK83" i="18" s="1"/>
  <c r="L83" i="18" s="1"/>
  <c r="AL83" i="18"/>
  <c r="M83" i="18" s="1"/>
  <c r="AG83" i="18"/>
  <c r="AI38" i="18"/>
  <c r="AJ38" i="18" s="1"/>
  <c r="AK38" i="18" s="1"/>
  <c r="L38" i="18" s="1"/>
  <c r="AG38" i="18"/>
  <c r="AE38" i="18"/>
  <c r="AH38" i="18" s="1"/>
  <c r="K38" i="18" s="1"/>
  <c r="AL38" i="18"/>
  <c r="M38" i="18" s="1"/>
  <c r="AI73" i="18"/>
  <c r="AJ73" i="18" s="1"/>
  <c r="AK73" i="18" s="1"/>
  <c r="L73" i="18" s="1"/>
  <c r="AE73" i="18"/>
  <c r="AL73" i="18"/>
  <c r="M73" i="18" s="1"/>
  <c r="AG73" i="18"/>
  <c r="AH73" i="18" s="1"/>
  <c r="K73" i="18" s="1"/>
  <c r="AG56" i="18"/>
  <c r="AI56" i="18"/>
  <c r="AJ56" i="18" s="1"/>
  <c r="AK56" i="18" s="1"/>
  <c r="L56" i="18" s="1"/>
  <c r="AE56" i="18"/>
  <c r="AL56" i="18"/>
  <c r="M56" i="18" s="1"/>
  <c r="AI65" i="18"/>
  <c r="AJ65" i="18" s="1"/>
  <c r="AK65" i="18" s="1"/>
  <c r="L65" i="18" s="1"/>
  <c r="AL65" i="18"/>
  <c r="M65" i="18" s="1"/>
  <c r="AE65" i="18"/>
  <c r="AG65" i="18"/>
  <c r="AG55" i="18"/>
  <c r="AL55" i="18"/>
  <c r="M55" i="18" s="1"/>
  <c r="AE55" i="18"/>
  <c r="AI55" i="18"/>
  <c r="AJ55" i="18" s="1"/>
  <c r="AK55" i="18" s="1"/>
  <c r="L55" i="18" s="1"/>
  <c r="AI82" i="18"/>
  <c r="AJ82" i="18" s="1"/>
  <c r="AK82" i="18" s="1"/>
  <c r="L82" i="18" s="1"/>
  <c r="AE82" i="18"/>
  <c r="AL82" i="18"/>
  <c r="M82" i="18" s="1"/>
  <c r="AG82" i="18"/>
  <c r="AH82" i="18" s="1"/>
  <c r="K82" i="18" s="1"/>
  <c r="N82" i="18" s="1"/>
  <c r="AL52" i="18"/>
  <c r="M52" i="18" s="1"/>
  <c r="AI52" i="18"/>
  <c r="AJ52" i="18" s="1"/>
  <c r="AK52" i="18" s="1"/>
  <c r="L52" i="18" s="1"/>
  <c r="AG52" i="18"/>
  <c r="AE52" i="18"/>
  <c r="AH52" i="18" s="1"/>
  <c r="K52" i="18" s="1"/>
  <c r="N52" i="18" s="1"/>
  <c r="AE80" i="18"/>
  <c r="AI80" i="18"/>
  <c r="AJ80" i="18" s="1"/>
  <c r="AK80" i="18" s="1"/>
  <c r="L80" i="18" s="1"/>
  <c r="AL80" i="18"/>
  <c r="M80" i="18" s="1"/>
  <c r="AG80" i="18"/>
  <c r="AE54" i="18"/>
  <c r="AL54" i="18"/>
  <c r="M54" i="18" s="1"/>
  <c r="AI54" i="18"/>
  <c r="AJ54" i="18" s="1"/>
  <c r="AK54" i="18" s="1"/>
  <c r="L54" i="18" s="1"/>
  <c r="AG54" i="18"/>
  <c r="AE78" i="18"/>
  <c r="AL78" i="18"/>
  <c r="M78" i="18" s="1"/>
  <c r="AI78" i="18"/>
  <c r="AJ78" i="18" s="1"/>
  <c r="AK78" i="18" s="1"/>
  <c r="L78" i="18" s="1"/>
  <c r="AG78" i="18"/>
  <c r="AI44" i="18"/>
  <c r="AJ44" i="18" s="1"/>
  <c r="AK44" i="18" s="1"/>
  <c r="L44" i="18" s="1"/>
  <c r="AE44" i="18"/>
  <c r="AG44" i="18"/>
  <c r="AL44" i="18"/>
  <c r="M44" i="18" s="1"/>
  <c r="AI67" i="18"/>
  <c r="AJ67" i="18" s="1"/>
  <c r="AK67" i="18" s="1"/>
  <c r="L67" i="18" s="1"/>
  <c r="AE67" i="18"/>
  <c r="AH67" i="18" s="1"/>
  <c r="K67" i="18" s="1"/>
  <c r="AL67" i="18"/>
  <c r="M67" i="18" s="1"/>
  <c r="AG67" i="18"/>
  <c r="AL50" i="18"/>
  <c r="M50" i="18" s="1"/>
  <c r="AG50" i="18"/>
  <c r="AI50" i="18"/>
  <c r="AJ50" i="18" s="1"/>
  <c r="AK50" i="18" s="1"/>
  <c r="L50" i="18" s="1"/>
  <c r="AE50" i="18"/>
  <c r="AH50" i="18" s="1"/>
  <c r="K50" i="18" s="1"/>
  <c r="N50" i="18" s="1"/>
  <c r="AI64" i="18"/>
  <c r="AJ64" i="18" s="1"/>
  <c r="AK64" i="18" s="1"/>
  <c r="L64" i="18" s="1"/>
  <c r="AE64" i="18"/>
  <c r="AL64" i="18"/>
  <c r="M64" i="18" s="1"/>
  <c r="AG64" i="18"/>
  <c r="AH64" i="18" s="1"/>
  <c r="K64" i="18" s="1"/>
  <c r="N64" i="18" s="1"/>
  <c r="AG46" i="18"/>
  <c r="AE46" i="18"/>
  <c r="AI46" i="18"/>
  <c r="AJ46" i="18" s="1"/>
  <c r="AK46" i="18" s="1"/>
  <c r="L46" i="18" s="1"/>
  <c r="AL46" i="18"/>
  <c r="M46" i="18" s="1"/>
  <c r="AE84" i="18"/>
  <c r="AI84" i="18"/>
  <c r="AJ84" i="18" s="1"/>
  <c r="AK84" i="18" s="1"/>
  <c r="L84" i="18" s="1"/>
  <c r="AL84" i="18"/>
  <c r="M84" i="18" s="1"/>
  <c r="AG84" i="18"/>
  <c r="AE39" i="18"/>
  <c r="AG39" i="18"/>
  <c r="AI39" i="18"/>
  <c r="AJ39" i="18" s="1"/>
  <c r="AK39" i="18" s="1"/>
  <c r="L39" i="18" s="1"/>
  <c r="AL39" i="18"/>
  <c r="M39" i="18" s="1"/>
  <c r="AL81" i="18"/>
  <c r="M81" i="18" s="1"/>
  <c r="AI81" i="18"/>
  <c r="AJ81" i="18" s="1"/>
  <c r="AK81" i="18" s="1"/>
  <c r="L81" i="18" s="1"/>
  <c r="AE81" i="18"/>
  <c r="AG81" i="18"/>
  <c r="AI48" i="18"/>
  <c r="AJ48" i="18" s="1"/>
  <c r="AK48" i="18" s="1"/>
  <c r="L48" i="18" s="1"/>
  <c r="AE48" i="18"/>
  <c r="AH48" i="18" s="1"/>
  <c r="K48" i="18" s="1"/>
  <c r="N48" i="18" s="1"/>
  <c r="AG48" i="18"/>
  <c r="AL48" i="18"/>
  <c r="M48" i="18" s="1"/>
  <c r="AI79" i="18"/>
  <c r="AJ79" i="18" s="1"/>
  <c r="AK79" i="18" s="1"/>
  <c r="L79" i="18" s="1"/>
  <c r="AL79" i="18"/>
  <c r="M79" i="18" s="1"/>
  <c r="AE79" i="18"/>
  <c r="AH79" i="18" s="1"/>
  <c r="K79" i="18" s="1"/>
  <c r="N79" i="18" s="1"/>
  <c r="AG79" i="18"/>
  <c r="W47" i="574"/>
  <c r="AL45" i="18"/>
  <c r="M45" i="18" s="1"/>
  <c r="AE45" i="18"/>
  <c r="AI45" i="18"/>
  <c r="AJ45" i="18" s="1"/>
  <c r="AK45" i="18" s="1"/>
  <c r="L45" i="18" s="1"/>
  <c r="AG45" i="18"/>
  <c r="AI77" i="18"/>
  <c r="AJ77" i="18" s="1"/>
  <c r="AK77" i="18" s="1"/>
  <c r="L77" i="18" s="1"/>
  <c r="AE77" i="18"/>
  <c r="AL77" i="18"/>
  <c r="M77" i="18" s="1"/>
  <c r="AG77" i="18"/>
  <c r="AI57" i="18"/>
  <c r="AJ57" i="18" s="1"/>
  <c r="AK57" i="18" s="1"/>
  <c r="L57" i="18" s="1"/>
  <c r="AL57" i="18"/>
  <c r="M57" i="18" s="1"/>
  <c r="AE57" i="18"/>
  <c r="AG57" i="18"/>
  <c r="AI66" i="18"/>
  <c r="AJ66" i="18" s="1"/>
  <c r="AK66" i="18" s="1"/>
  <c r="L66" i="18" s="1"/>
  <c r="AL66" i="18"/>
  <c r="M66" i="18" s="1"/>
  <c r="AE66" i="18"/>
  <c r="AG66" i="18"/>
  <c r="AH66" i="18" s="1"/>
  <c r="K66" i="18" s="1"/>
  <c r="W35" i="574"/>
  <c r="W48" i="574"/>
  <c r="W45" i="574"/>
  <c r="W29" i="574"/>
  <c r="W36" i="574"/>
  <c r="W34" i="574"/>
  <c r="W39" i="574"/>
  <c r="W28" i="574"/>
  <c r="W40" i="574"/>
  <c r="W31" i="574"/>
  <c r="W37" i="574"/>
  <c r="W41" i="574"/>
  <c r="W32" i="574"/>
  <c r="W30" i="574"/>
  <c r="W42" i="574"/>
  <c r="W33" i="574"/>
  <c r="W43" i="574"/>
  <c r="W46" i="574"/>
  <c r="W44" i="574"/>
  <c r="W38" i="574"/>
  <c r="P24" i="17"/>
  <c r="R43" i="5"/>
  <c r="T13" i="574" s="1"/>
  <c r="K51" i="5"/>
  <c r="M51" i="5" s="1"/>
  <c r="Q51" i="5" s="1"/>
  <c r="U13" i="574" s="1"/>
  <c r="L51" i="5"/>
  <c r="N51" i="5" s="1"/>
  <c r="R51" i="5" s="1"/>
  <c r="V13" i="574" s="1"/>
  <c r="R44" i="5"/>
  <c r="T14" i="574" s="1"/>
  <c r="K52" i="5"/>
  <c r="M52" i="5" s="1"/>
  <c r="Q52" i="5" s="1"/>
  <c r="U14" i="574" s="1"/>
  <c r="L52" i="5"/>
  <c r="N52" i="5" s="1"/>
  <c r="R52" i="5" s="1"/>
  <c r="V14" i="574" s="1"/>
  <c r="AO63" i="18"/>
  <c r="X35" i="18"/>
  <c r="Z35" i="18" s="1"/>
  <c r="L156" i="19"/>
  <c r="N156" i="19" s="1"/>
  <c r="AC63" i="20"/>
  <c r="AO35" i="20"/>
  <c r="R35" i="20"/>
  <c r="AE75" i="20"/>
  <c r="AO35" i="18"/>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E71" i="20"/>
  <c r="AE40" i="20"/>
  <c r="AE85" i="20"/>
  <c r="AE37" i="20"/>
  <c r="AE48" i="20"/>
  <c r="AE42" i="20"/>
  <c r="AE77" i="20"/>
  <c r="AE82" i="20"/>
  <c r="AE39" i="20"/>
  <c r="AE36" i="20"/>
  <c r="AE69" i="20"/>
  <c r="U35" i="19"/>
  <c r="R35" i="19"/>
  <c r="S35" i="19"/>
  <c r="L35" i="19" s="1"/>
  <c r="G35" i="23" s="1"/>
  <c r="V35" i="19"/>
  <c r="M35" i="19" s="1"/>
  <c r="H35" i="23" s="1"/>
  <c r="Z33" i="17"/>
  <c r="AW24" i="17"/>
  <c r="AV35" i="18"/>
  <c r="AU35"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16" i="19"/>
  <c r="AH116" i="19" s="1"/>
  <c r="Z116" i="19"/>
  <c r="H116" i="19" s="1"/>
  <c r="AC62" i="19"/>
  <c r="J62" i="19" s="1"/>
  <c r="AA89" i="19"/>
  <c r="H62" i="19"/>
  <c r="Y116" i="19"/>
  <c r="AI116" i="19" s="1"/>
  <c r="Y50" i="5"/>
  <c r="I50" i="5" s="1"/>
  <c r="Y58" i="5"/>
  <c r="I58" i="5" s="1"/>
  <c r="G42" i="5"/>
  <c r="M42" i="5" s="1"/>
  <c r="AA42" i="5"/>
  <c r="H42" i="5"/>
  <c r="N42" i="5" s="1"/>
  <c r="K50" i="5" s="1"/>
  <c r="I42" i="5"/>
  <c r="J42" i="5"/>
  <c r="K80" i="5"/>
  <c r="O80" i="5" s="1"/>
  <c r="AA80" i="5"/>
  <c r="J80" i="5" s="1"/>
  <c r="G80" i="5"/>
  <c r="H80" i="5"/>
  <c r="AA50" i="5"/>
  <c r="I80" i="5"/>
  <c r="G156" i="19"/>
  <c r="M156" i="19" s="1"/>
  <c r="K6" i="18"/>
  <c r="D5" i="24"/>
  <c r="M8" i="24" s="1"/>
  <c r="D6" i="24"/>
  <c r="N8" i="24" s="1"/>
  <c r="AD63" i="18"/>
  <c r="D6" i="51"/>
  <c r="X89" i="19"/>
  <c r="AH62" i="19"/>
  <c r="G62" i="19"/>
  <c r="Y89" i="19"/>
  <c r="AI89" i="19"/>
  <c r="AI62" i="19"/>
  <c r="Z89" i="19"/>
  <c r="AC89" i="19"/>
  <c r="AG3" i="54"/>
  <c r="K6" i="17"/>
  <c r="AO24" i="17"/>
  <c r="AP35" i="20"/>
  <c r="AU35" i="20" s="1"/>
  <c r="K6" i="20"/>
  <c r="AM35" i="20"/>
  <c r="AH65" i="18" l="1"/>
  <c r="K65" i="18" s="1"/>
  <c r="N65" i="18" s="1"/>
  <c r="AH71" i="18"/>
  <c r="K71" i="18" s="1"/>
  <c r="N71" i="18" s="1"/>
  <c r="AH72" i="18"/>
  <c r="K72" i="18" s="1"/>
  <c r="N72" i="18" s="1"/>
  <c r="N74" i="18"/>
  <c r="AH56" i="18"/>
  <c r="K56" i="18" s="1"/>
  <c r="N56" i="18" s="1"/>
  <c r="X47" i="574" s="1"/>
  <c r="AH78" i="18"/>
  <c r="K78" i="18" s="1"/>
  <c r="N78" i="18" s="1"/>
  <c r="N73" i="18"/>
  <c r="N68" i="18"/>
  <c r="AH81" i="18"/>
  <c r="K81" i="18" s="1"/>
  <c r="N81" i="18" s="1"/>
  <c r="X28" i="574"/>
  <c r="N38" i="18"/>
  <c r="X29" i="574" s="1"/>
  <c r="AH75" i="18"/>
  <c r="K75" i="18" s="1"/>
  <c r="N75" i="18" s="1"/>
  <c r="N66" i="18"/>
  <c r="AH39" i="18"/>
  <c r="K39" i="18" s="1"/>
  <c r="N39" i="18" s="1"/>
  <c r="X30" i="574" s="1"/>
  <c r="AH54" i="18"/>
  <c r="K54" i="18" s="1"/>
  <c r="N54" i="18" s="1"/>
  <c r="X45" i="574" s="1"/>
  <c r="AH84" i="18"/>
  <c r="K84" i="18" s="1"/>
  <c r="N84" i="18" s="1"/>
  <c r="AH80" i="18"/>
  <c r="K80" i="18" s="1"/>
  <c r="N80" i="18" s="1"/>
  <c r="AH83" i="18"/>
  <c r="K83" i="18" s="1"/>
  <c r="N83" i="18" s="1"/>
  <c r="AH76" i="18"/>
  <c r="K76" i="18" s="1"/>
  <c r="N76" i="18" s="1"/>
  <c r="X39" i="574" s="1"/>
  <c r="X31" i="574"/>
  <c r="X43" i="574"/>
  <c r="X38" i="574"/>
  <c r="N43" i="18"/>
  <c r="X34" i="574" s="1"/>
  <c r="AH46" i="18"/>
  <c r="K46" i="18" s="1"/>
  <c r="N46" i="18" s="1"/>
  <c r="X37" i="574" s="1"/>
  <c r="X44" i="574"/>
  <c r="AH69" i="18"/>
  <c r="K69" i="18" s="1"/>
  <c r="N69" i="18" s="1"/>
  <c r="AH44" i="18"/>
  <c r="K44" i="18" s="1"/>
  <c r="N44" i="18" s="1"/>
  <c r="X35" i="574" s="1"/>
  <c r="AH42" i="18"/>
  <c r="K42" i="18" s="1"/>
  <c r="N42" i="18" s="1"/>
  <c r="X33" i="574" s="1"/>
  <c r="X41" i="574"/>
  <c r="X42" i="574"/>
  <c r="AH45" i="18"/>
  <c r="K45" i="18" s="1"/>
  <c r="N45" i="18" s="1"/>
  <c r="X36" i="574" s="1"/>
  <c r="AH55" i="18"/>
  <c r="K55" i="18" s="1"/>
  <c r="N55" i="18" s="1"/>
  <c r="AH49" i="18"/>
  <c r="K49" i="18" s="1"/>
  <c r="N49" i="18" s="1"/>
  <c r="X40" i="574" s="1"/>
  <c r="AH57" i="18"/>
  <c r="K57" i="18" s="1"/>
  <c r="N57" i="18" s="1"/>
  <c r="X48" i="574" s="1"/>
  <c r="AH77" i="18"/>
  <c r="K77" i="18" s="1"/>
  <c r="N77" i="18" s="1"/>
  <c r="N67" i="18"/>
  <c r="N41" i="18"/>
  <c r="W14" i="574"/>
  <c r="W13" i="574"/>
  <c r="AR63" i="18"/>
  <c r="AA35" i="18"/>
  <c r="P35" i="18" s="1"/>
  <c r="X63" i="18"/>
  <c r="Z63" i="18" s="1"/>
  <c r="AC35" i="18"/>
  <c r="AW35" i="18" s="1"/>
  <c r="AX35" i="18" s="1"/>
  <c r="P156" i="19"/>
  <c r="R156"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F40" i="20"/>
  <c r="K40" i="20" s="1"/>
  <c r="N40" i="20" s="1"/>
  <c r="AF38" i="20"/>
  <c r="K38" i="20" s="1"/>
  <c r="N38" i="20" s="1"/>
  <c r="AF46" i="20"/>
  <c r="K46" i="20" s="1"/>
  <c r="N46" i="20" s="1"/>
  <c r="AF45" i="20"/>
  <c r="K45" i="20" s="1"/>
  <c r="N45" i="20" s="1"/>
  <c r="AF51" i="20"/>
  <c r="K51" i="20" s="1"/>
  <c r="N51" i="20" s="1"/>
  <c r="AX24" i="17"/>
  <c r="AP24" i="17"/>
  <c r="AS24" i="17" s="1"/>
  <c r="AN35" i="20"/>
  <c r="AQ35" i="20" s="1"/>
  <c r="AS35" i="20"/>
  <c r="O35" i="20" s="1"/>
  <c r="AV35" i="20"/>
  <c r="AB33" i="17"/>
  <c r="I33" i="17" s="1"/>
  <c r="AD24" i="17"/>
  <c r="AE24" i="17" s="1"/>
  <c r="G24" i="17"/>
  <c r="H24" i="17"/>
  <c r="AF24" i="17"/>
  <c r="AB21" i="54"/>
  <c r="G116"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16" i="19"/>
  <c r="I116" i="19" s="1"/>
  <c r="I62" i="19"/>
  <c r="M62" i="19" s="1"/>
  <c r="I89" i="19"/>
  <c r="J89" i="19"/>
  <c r="H89" i="19"/>
  <c r="AA58" i="5"/>
  <c r="J50" i="5"/>
  <c r="J58" i="5"/>
  <c r="H58" i="5"/>
  <c r="N58" i="5" s="1"/>
  <c r="G58" i="5"/>
  <c r="M58" i="5" s="1"/>
  <c r="G50" i="5"/>
  <c r="M50" i="5" s="1"/>
  <c r="Q50" i="5" s="1"/>
  <c r="U12" i="574" s="1"/>
  <c r="H50" i="5"/>
  <c r="Q42" i="5"/>
  <c r="S12" i="574" s="1"/>
  <c r="R42" i="5"/>
  <c r="T12" i="574" s="1"/>
  <c r="L50" i="5"/>
  <c r="M80" i="5"/>
  <c r="Q80" i="5" s="1"/>
  <c r="AS11" i="574" s="1"/>
  <c r="N62" i="19"/>
  <c r="D5" i="51"/>
  <c r="G5" i="24"/>
  <c r="G6" i="24"/>
  <c r="G89" i="19"/>
  <c r="AO33" i="17"/>
  <c r="AP63" i="20"/>
  <c r="AU63" i="20" s="1"/>
  <c r="X32" i="574" l="1"/>
  <c r="X46" i="574"/>
  <c r="AA63" i="18"/>
  <c r="AB35" i="18"/>
  <c r="H35" i="18" s="1"/>
  <c r="AC63" i="18"/>
  <c r="AP63" i="18" s="1"/>
  <c r="AS63" i="18" s="1"/>
  <c r="AP35" i="18"/>
  <c r="AS35" i="18" s="1"/>
  <c r="M89" i="19"/>
  <c r="M116" i="19"/>
  <c r="AQ63" i="20"/>
  <c r="AD33" i="17"/>
  <c r="AN36" i="20"/>
  <c r="AR36" i="20" s="1"/>
  <c r="AP33" i="17"/>
  <c r="AS33" i="17" s="1"/>
  <c r="G33" i="17"/>
  <c r="AR33" i="17" s="1"/>
  <c r="AW33" i="17" s="1"/>
  <c r="H33" i="17"/>
  <c r="AF33" i="17"/>
  <c r="AG24" i="17"/>
  <c r="O24" i="17"/>
  <c r="AQ24" i="17"/>
  <c r="AI24" i="17"/>
  <c r="AJ24" i="17" s="1"/>
  <c r="AK24" i="17" s="1"/>
  <c r="L24" i="17" s="1"/>
  <c r="AL24" i="17"/>
  <c r="M24" i="17" s="1"/>
  <c r="K35" i="20"/>
  <c r="N35" i="20" s="1"/>
  <c r="Q33" i="17"/>
  <c r="Q35" i="18"/>
  <c r="J116" i="19"/>
  <c r="N116" i="19" s="1"/>
  <c r="N89" i="19"/>
  <c r="N50" i="5"/>
  <c r="R50" i="5" s="1"/>
  <c r="V12" i="574" s="1"/>
  <c r="W12" i="574" s="1"/>
  <c r="D4" i="51"/>
  <c r="R58" i="5"/>
  <c r="Q58" i="5"/>
  <c r="AR63" i="20"/>
  <c r="AF63" i="20"/>
  <c r="K63" i="20" s="1"/>
  <c r="AS36" i="20" l="1"/>
  <c r="O36" i="20" s="1"/>
  <c r="AT36" i="20"/>
  <c r="AV36" i="20" s="1"/>
  <c r="AQ36" i="20"/>
  <c r="Q63" i="18"/>
  <c r="AD35" i="18"/>
  <c r="AI35" i="18" s="1"/>
  <c r="AJ35" i="18" s="1"/>
  <c r="AK35" i="18" s="1"/>
  <c r="L35" i="18" s="1"/>
  <c r="I35" i="18"/>
  <c r="G35" i="18"/>
  <c r="AF35" i="18"/>
  <c r="AW63" i="18"/>
  <c r="AB63" i="18"/>
  <c r="AE63" i="18" s="1"/>
  <c r="AI33" i="17"/>
  <c r="AJ33" i="17" s="1"/>
  <c r="AK33" i="17" s="1"/>
  <c r="L33" i="17" s="1"/>
  <c r="AE33" i="17"/>
  <c r="AG33" i="17"/>
  <c r="AL33" i="17"/>
  <c r="M33" i="17" s="1"/>
  <c r="N36" i="20"/>
  <c r="AQ33" i="17"/>
  <c r="AT33" i="17" s="1"/>
  <c r="AH24" i="17"/>
  <c r="K24" i="17" s="1"/>
  <c r="N24" i="17" s="1"/>
  <c r="J12" i="24"/>
  <c r="H12" i="24"/>
  <c r="I12" i="24"/>
  <c r="G12" i="24"/>
  <c r="D7" i="51"/>
  <c r="J8" i="51"/>
  <c r="S116" i="19"/>
  <c r="T62" i="19"/>
  <c r="T27" i="574" s="1"/>
  <c r="S62" i="19"/>
  <c r="S27" i="574" s="1"/>
  <c r="T116" i="19"/>
  <c r="AT63" i="20"/>
  <c r="AS63" i="20"/>
  <c r="O63" i="20" s="1"/>
  <c r="AV33" i="17" l="1"/>
  <c r="AX33" i="17" s="1"/>
  <c r="AU33" i="17"/>
  <c r="O33" i="17" s="1"/>
  <c r="AL63" i="18"/>
  <c r="M63" i="18" s="1"/>
  <c r="AF63" i="18"/>
  <c r="I63" i="18"/>
  <c r="AI63" i="18"/>
  <c r="AJ63" i="18" s="1"/>
  <c r="AK63" i="18" s="1"/>
  <c r="L63" i="18" s="1"/>
  <c r="H63" i="18"/>
  <c r="G63" i="18"/>
  <c r="AG63" i="18" s="1"/>
  <c r="AH63" i="18" s="1"/>
  <c r="K63" i="18" s="1"/>
  <c r="O35" i="18"/>
  <c r="AG35" i="18"/>
  <c r="AL35" i="18"/>
  <c r="M35" i="18" s="1"/>
  <c r="AE35" i="18"/>
  <c r="AQ35" i="18"/>
  <c r="AH33" i="17"/>
  <c r="K33" i="17" s="1"/>
  <c r="AV63" i="20"/>
  <c r="N63" i="20" s="1"/>
  <c r="S89" i="19"/>
  <c r="U27" i="574" s="1"/>
  <c r="W27" i="574" s="1"/>
  <c r="T89" i="19"/>
  <c r="V27" i="574" s="1"/>
  <c r="T156" i="19"/>
  <c r="AS26" i="574" s="1"/>
  <c r="S156" i="19"/>
  <c r="AQ63" i="18" l="1"/>
  <c r="AT63" i="18" s="1"/>
  <c r="AV63" i="18" s="1"/>
  <c r="AX63" i="18" s="1"/>
  <c r="N63" i="18" s="1"/>
  <c r="N33" i="17"/>
  <c r="X11" i="574" s="1"/>
  <c r="AH35" i="18"/>
  <c r="K35" i="18" s="1"/>
  <c r="N35" i="18" s="1"/>
  <c r="Y11" i="574"/>
  <c r="AU63" i="18" l="1"/>
  <c r="O63" i="18" s="1"/>
  <c r="Y26" i="574" s="1"/>
  <c r="X26" i="5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4"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4"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4"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<sst xmlns="http://schemas.openxmlformats.org/spreadsheetml/2006/main" count="2430" uniqueCount="655">
  <si>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</si>
  <si>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</si>
  <si>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</si>
  <si>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</si>
  <si>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</si>
  <si>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</si>
  <si>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</si>
  <si>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</si>
  <si>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</si>
  <si>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</si>
  <si>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</si>
  <si>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</si>
  <si>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</si>
  <si>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</si>
  <si>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</si>
  <si>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</si>
  <si>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</si>
  <si>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</si>
  <si>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</si>
  <si>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</si>
  <si>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</si>
  <si>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</si>
  <si>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</si>
  <si>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</si>
  <si>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</si>
  <si>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</si>
  <si>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</si>
  <si>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</si>
  <si>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</si>
  <si>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</si>
  <si>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</si>
  <si>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</si>
  <si>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</si>
  <si>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</si>
  <si>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</si>
  <si>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</si>
  <si>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</si>
  <si>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</si>
  <si>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</si>
  <si>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</si>
  <si>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</si>
  <si>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</si>
  <si>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</si>
  <si>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</si>
  <si>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</si>
  <si>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</si>
  <si>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</si>
  <si>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</si>
  <si>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</si>
  <si>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</si>
  <si>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</si>
  <si>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</si>
  <si>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</si>
  <si>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</si>
  <si>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</si>
  <si>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</si>
  <si>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</si>
  <si>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</si>
  <si>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</si>
  <si>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</si>
  <si>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</si>
  <si>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</si>
  <si>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</si>
  <si>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</si>
  <si>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</si>
  <si>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</si>
  <si>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</si>
  <si>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</si>
  <si>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</si>
  <si>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</si>
  <si>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</si>
  <si>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</si>
  <si>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</si>
  <si>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</si>
  <si>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</si>
  <si>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</si>
  <si>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</si>
  <si>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</si>
  <si>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</si>
  <si>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</si>
  <si>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</si>
  <si>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</si>
  <si>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</si>
  <si>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</si>
  <si>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</si>
  <si>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</si>
  <si>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</si>
  <si>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</si>
  <si>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</si>
  <si>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</si>
  <si>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</si>
  <si>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</si>
  <si>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</si>
  <si>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</si>
  <si>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</si>
  <si>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</si>
  <si>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</si>
  <si>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</si>
  <si>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</si>
  <si>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</si>
  <si>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</si>
  <si>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</si>
  <si>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</si>
  <si>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</si>
  <si>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</si>
  <si>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</si>
  <si>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</si>
  <si>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</si>
  <si>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</si>
  <si>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</si>
  <si>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</si>
  <si>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</si>
  <si>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</si>
  <si>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</si>
  <si>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</si>
  <si>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</si>
  <si>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</si>
  <si>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</si>
  <si>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</si>
  <si>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</si>
  <si>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</si>
  <si>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</si>
  <si>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</si>
  <si>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</si>
  <si>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</si>
  <si>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</si>
  <si>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</si>
  <si>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</si>
  <si>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</si>
  <si>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</si>
  <si>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</si>
  <si>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</si>
  <si>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</si>
  <si>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</si>
  <si>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</si>
  <si>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</si>
  <si>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</si>
  <si>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</si>
  <si>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</si>
  <si>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</si>
  <si>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</si>
  <si>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</si>
  <si>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</si>
  <si>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</si>
  <si>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</si>
  <si>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</si>
  <si>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</si>
  <si>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</si>
  <si>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</si>
  <si>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</si>
  <si>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</si>
  <si>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</si>
  <si>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</si>
  <si>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</si>
  <si>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</si>
  <si>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</si>
  <si>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</si>
  <si>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</si>
  <si>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</si>
  <si>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</si>
  <si>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</si>
  <si>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</si>
  <si>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</si>
  <si>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</si>
  <si>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</si>
  <si>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</si>
  <si>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</si>
  <si>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</si>
  <si>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</si>
  <si>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</si>
  <si>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</si>
  <si>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</si>
  <si>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</si>
  <si>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</si>
  <si>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</si>
  <si>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</si>
  <si>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</si>
  <si>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</si>
  <si>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</si>
  <si>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</si>
  <si>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</si>
  <si>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</si>
  <si>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</si>
  <si>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</si>
  <si>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</si>
  <si>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</si>
  <si>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</si>
  <si>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</si>
  <si>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</si>
  <si>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</si>
  <si>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</si>
  <si>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</si>
  <si>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</si>
  <si>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</si>
  <si>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</si>
  <si>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</si>
  <si>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</si>
  <si>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</si>
  <si>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</si>
  <si>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</si>
  <si>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</si>
  <si>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</si>
  <si>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</si>
  <si>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</si>
  <si>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</si>
  <si>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</si>
  <si>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</si>
  <si>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</si>
  <si>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</si>
  <si>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</si>
  <si>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</si>
  <si>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</si>
  <si>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</si>
  <si>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</si>
  <si>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</si>
  <si>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</si>
  <si>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</si>
  <si>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</si>
  <si>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</si>
  <si>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</si>
  <si>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</si>
  <si>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</si>
  <si>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</si>
  <si>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</si>
  <si>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</si>
  <si>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</si>
  <si>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</si>
  <si>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</si>
  <si>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</si>
  <si>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</si>
  <si>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</si>
  <si>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</si>
  <si>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</si>
  <si>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</si>
  <si>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</si>
  <si>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</si>
  <si>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</si>
  <si>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</si>
  <si>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</si>
  <si>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</si>
  <si>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</si>
  <si>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</si>
  <si>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</si>
  <si>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</si>
  <si>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</si>
  <si>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</si>
  <si>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</si>
  <si>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</si>
  <si>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</si>
  <si>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</si>
  <si>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</si>
  <si>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</si>
  <si>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</si>
  <si>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</si>
  <si>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</si>
  <si>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</si>
  <si>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</si>
  <si>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</si>
  <si>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</si>
  <si>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</si>
  <si>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</si>
  <si>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</si>
  <si>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</si>
  <si>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</si>
  <si>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</si>
  <si>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</si>
  <si>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</si>
  <si>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</si>
  <si>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</si>
  <si>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</si>
  <si>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</si>
  <si>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</si>
  <si>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</si>
  <si>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</si>
  <si>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</si>
  <si>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</si>
  <si>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</si>
  <si>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</si>
  <si>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</si>
  <si>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</si>
  <si>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</si>
  <si>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</si>
  <si>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</si>
  <si>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</si>
  <si>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</si>
  <si>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</si>
  <si>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</si>
  <si>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</si>
  <si>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</si>
  <si>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</si>
  <si>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</si>
  <si>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</si>
  <si>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</si>
  <si>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</si>
  <si>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</si>
  <si>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</si>
  <si>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</si>
  <si>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</si>
  <si>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</si>
  <si>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</si>
  <si>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</si>
  <si>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</si>
  <si>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</si>
  <si>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</si>
  <si>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</si>
  <si>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</si>
  <si>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</si>
  <si>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</si>
  <si>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</si>
  <si>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</si>
  <si>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</si>
  <si>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</si>
  <si>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</si>
  <si>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</si>
  <si>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</si>
  <si>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</si>
  <si>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</si>
  <si>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</si>
  <si>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</si>
  <si>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</si>
  <si>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</si>
  <si>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</si>
  <si>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</si>
  <si>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</si>
  <si>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</si>
  <si>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</si>
  <si>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</si>
  <si>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</si>
  <si>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</si>
  <si>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</si>
  <si>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</si>
  <si>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</si>
  <si>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</si>
  <si>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</si>
  <si>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</si>
  <si>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</si>
  <si>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</si>
  <si>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</si>
  <si>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</si>
  <si>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</si>
  <si>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</si>
  <si>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</si>
  <si>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</si>
  <si>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</si>
  <si>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</si>
  <si>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</si>
  <si>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</si>
  <si>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</si>
  <si>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</si>
  <si>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</si>
  <si>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</si>
  <si>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</si>
  <si>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</si>
  <si>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</si>
  <si>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</si>
  <si>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</si>
  <si>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</si>
  <si>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</si>
  <si>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</si>
  <si>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</si>
  <si>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</si>
  <si>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</si>
  <si>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</si>
  <si>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</si>
  <si>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</si>
  <si>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</si>
  <si>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</si>
  <si>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</si>
  <si>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</si>
  <si>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</si>
  <si>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</si>
  <si>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</si>
  <si>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</si>
  <si>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</si>
  <si>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</si>
  <si>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</si>
  <si>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</si>
  <si>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</si>
  <si>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</si>
  <si>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</si>
  <si>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</si>
  <si>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</si>
  <si>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</si>
  <si>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</si>
  <si>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</si>
  <si>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</si>
  <si>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</si>
  <si>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</si>
  <si>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</si>
  <si>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</si>
  <si>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</si>
  <si>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</si>
  <si>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</si>
  <si>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</si>
  <si>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</si>
  <si>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</si>
  <si>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</si>
  <si>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Drawing Name</t>
  </si>
  <si>
    <t>Project Name</t>
  </si>
  <si>
    <t>JBO Drawing Number</t>
  </si>
  <si>
    <t>Designed by:</t>
  </si>
  <si>
    <t>TP or MP?</t>
  </si>
  <si>
    <t>MP</t>
  </si>
  <si>
    <t>English or German Drawing output?</t>
  </si>
  <si>
    <t>EN</t>
  </si>
  <si>
    <t>Draft?</t>
  </si>
  <si>
    <t>No</t>
  </si>
  <si>
    <t>Direction for Drawing</t>
  </si>
  <si>
    <t>A4 or A3?</t>
  </si>
  <si>
    <t>A4</t>
  </si>
  <si>
    <t>Drawing Name (pdf)</t>
  </si>
  <si>
    <t>Scale:                                    1:</t>
  </si>
  <si>
    <t>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</si>
  <si>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</si>
  <si>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</si>
  <si>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</si>
  <si>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</si>
  <si>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</si>
  <si>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</si>
  <si>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</si>
  <si>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</si>
  <si>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</si>
  <si>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</si>
  <si>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</si>
  <si>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</si>
  <si>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</si>
  <si>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</si>
  <si>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</si>
  <si>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</si>
  <si>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</si>
  <si>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</si>
  <si>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</si>
  <si>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</si>
  <si>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</si>
  <si>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</si>
  <si>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</si>
  <si>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</si>
  <si>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</si>
  <si>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</si>
  <si>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</si>
  <si>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</si>
  <si>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</si>
  <si>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</si>
  <si>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</si>
  <si>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</si>
  <si>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</si>
  <si>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</si>
  <si>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</si>
  <si>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</si>
  <si>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</si>
  <si>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</si>
  <si>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</si>
  <si>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</si>
  <si>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</si>
  <si>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</si>
  <si>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</si>
  <si>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</si>
  <si>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</si>
  <si>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</si>
  <si>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</si>
  <si>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</si>
  <si>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</si>
  <si>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</si>
  <si>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</si>
  <si>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</si>
  <si>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</si>
  <si>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</si>
  <si>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</si>
  <si>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</si>
  <si>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</si>
  <si>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</si>
  <si>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</si>
  <si>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</si>
  <si>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</si>
  <si>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</si>
  <si>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</si>
  <si>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</si>
  <si>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</si>
  <si>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</si>
  <si>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</si>
  <si>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</si>
  <si>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</si>
  <si>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</si>
  <si>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</si>
  <si>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</si>
  <si>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</si>
  <si>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</si>
  <si>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</si>
  <si>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</si>
  <si>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</si>
  <si>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</si>
  <si>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</si>
  <si>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</si>
  <si>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</si>
  <si>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</si>
  <si>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</si>
  <si>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</si>
  <si>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</si>
  <si>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</si>
  <si>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</si>
  <si>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</si>
  <si>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</si>
  <si>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MP13-01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</si>
  <si>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</si>
  <si>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</si>
  <si>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</si>
  <si>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</si>
  <si>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</si>
  <si>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</si>
  <si>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</si>
  <si>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</si>
  <si>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</si>
  <si>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</si>
  <si>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</si>
  <si>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</si>
  <si>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</si>
  <si>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</si>
  <si>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</si>
  <si>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</si>
  <si>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</si>
  <si>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</si>
  <si>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</si>
  <si>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</si>
  <si>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</si>
  <si>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</si>
  <si>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</si>
  <si>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</si>
  <si>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</si>
  <si>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</si>
  <si>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</si>
  <si>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</si>
  <si>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</si>
  <si>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</si>
  <si>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</si>
  <si>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</si>
  <si>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</si>
  <si>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</si>
  <si>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</si>
  <si>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</si>
  <si>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</si>
  <si>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</si>
  <si>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</si>
  <si>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</si>
  <si>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</si>
  <si>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</si>
  <si>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</si>
  <si>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</si>
  <si>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</si>
  <si>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</si>
  <si>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</si>
  <si>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</si>
  <si>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</si>
  <si>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</si>
  <si>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</si>
  <si>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</si>
  <si>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</si>
  <si>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</si>
  <si>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</si>
  <si>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</si>
  <si>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</si>
  <si>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</si>
  <si>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</si>
  <si>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</si>
  <si>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</si>
  <si>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</si>
  <si>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</si>
  <si>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</si>
  <si>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</si>
  <si>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</si>
  <si>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</si>
  <si>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</si>
  <si>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</si>
  <si>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</si>
  <si>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</si>
  <si>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</si>
  <si>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</si>
  <si>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</si>
  <si>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</si>
  <si>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</si>
  <si>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</si>
  <si>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</si>
  <si>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</si>
  <si>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</si>
  <si>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</si>
  <si>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</si>
  <si>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</si>
  <si>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</si>
  <si>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</si>
  <si>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</si>
  <si>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</si>
  <si>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</si>
  <si>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</si>
  <si>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</si>
  <si>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</si>
  <si>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</si>
  <si>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</si>
  <si>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</si>
  <si>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</si>
  <si>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</si>
  <si>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</si>
  <si>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</si>
  <si>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</si>
  <si>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Output_Stress_Table</t>
  </si>
  <si>
    <t>Primary Structure MP</t>
  </si>
  <si>
    <t>IFR</t>
  </si>
  <si>
    <t>01</t>
  </si>
  <si>
    <t>ATP support ring</t>
  </si>
  <si>
    <t>ATP support stiffener (bottom)</t>
  </si>
  <si>
    <t>Water replenishment hole</t>
  </si>
  <si>
    <t>MP11-01</t>
  </si>
  <si>
    <t>Sonar transponder cable hole</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</si>
  <si>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</si>
  <si>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</si>
  <si>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</si>
  <si>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</si>
  <si>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</si>
  <si>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</si>
  <si>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</si>
  <si>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 Ventilation Opening </t>
  </si>
  <si>
    <t xml:space="preserve"> ICCP Cable opening </t>
  </si>
  <si>
    <t xml:space="preserve"> ICCP Cable pipe support </t>
  </si>
  <si>
    <t>TP1-01</t>
  </si>
  <si>
    <t>MAP support</t>
  </si>
  <si>
    <t>Stud Junction Box Platform</t>
  </si>
  <si>
    <t>TP4-01</t>
  </si>
  <si>
    <t>E:\Projekte\24A525_Dreekant\02_MP\Header\23A515_Header_2024-01-10.xlsm</t>
  </si>
  <si>
    <t>E:\Projekte\24A525_Dreekant\02_MP\01_FEED\</t>
  </si>
  <si>
    <t>output_DP_B2</t>
  </si>
  <si>
    <t>B2</t>
  </si>
  <si>
    <t>TP1-02</t>
  </si>
  <si>
    <t>TP1-03</t>
  </si>
  <si>
    <t>Bolting Platform</t>
  </si>
  <si>
    <t>TP2-01</t>
  </si>
  <si>
    <t>TP3-01</t>
  </si>
  <si>
    <t>TP3-02</t>
  </si>
  <si>
    <t>MP1-01-01</t>
  </si>
  <si>
    <t>MP1-01-02</t>
  </si>
  <si>
    <t xml:space="preserve">Cable opening </t>
  </si>
  <si>
    <t>MP5-01</t>
  </si>
  <si>
    <t>MP8-01</t>
  </si>
  <si>
    <t>MP8-02</t>
  </si>
  <si>
    <t>TP3-03</t>
  </si>
  <si>
    <t>24A525-JBO-DWSSCD-EN-4511</t>
  </si>
  <si>
    <t>24A525-JBO-DWMPCD-EN-4001</t>
  </si>
  <si>
    <t>y</t>
  </si>
  <si>
    <t>E:\Projekte\24A525_Dreekant\02_MP\DrawGen\24A525_DrawingGenLayout.xlsm</t>
  </si>
  <si>
    <t>24A525-JBO-DWMPCD-EN-4011</t>
  </si>
  <si>
    <t>24A525-JBO-DWMPCD-EN-4514</t>
  </si>
  <si>
    <t>DKT_xxxx428</t>
  </si>
  <si>
    <t>DKT_xxxx429</t>
  </si>
  <si>
    <t>Preliminary TP Layout Drawing for 15 MW Turbine</t>
  </si>
  <si>
    <t>Preliminary MP Layout Drawing for 15 MW Turbine</t>
  </si>
  <si>
    <t>DP B2</t>
  </si>
  <si>
    <t>i:\2024\A\24A525_EnBW_Dreekant_FEED\03_Lasten\01_LILA\08_Load_Summaries\02_py-WaveLoadGenWaves\2025-03-19_Load_summary_V3.03_DP-B2-FLS-UNIdirectional-FullULS_L0G3S2.xlsm</t>
  </si>
  <si>
    <t>Applied load contingencies: 0.001 (m=3), 0.001 (m=4)[FILE :i:\2024\A\24A525_EnBW_Dreekant_FEED\03_Lasten\01_LILA\08_Load_Summaries\02_py-WaveLoadGenWaves\2025-03-19_Load_summary_V3.03_DP-B2-FLS-UNIdirectional-FullULS_L0G3S2.xlsm]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</si>
</sst>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39">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166" fontId="2" fillId="11" borderId="1" xfId="1" applyFont="1" applyFill="1" applyBorder="1" applyAlignment="1">
      <alignment horizontal="center" vertical="center" wrapText="1"/>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5"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0" fontId="13" fillId="8" borderId="6"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5" xfId="9" applyFont="1" applyFill="1" applyBorder="1" applyAlignment="1">
      <alignment horizontal="center" vertical="center" wrapText="1"/>
    </xf>
    <xf numFmtId="166" fontId="8" fillId="2" borderId="6"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8" xfId="9" applyFont="1" applyFill="1" applyBorder="1" applyAlignment="1">
      <alignment horizontal="center" vertical="center" wrapText="1"/>
    </xf>
    <xf numFmtId="166" fontId="8" fillId="2" borderId="1" xfId="9" applyFont="1" applyFill="1" applyBorder="1" applyAlignment="1">
      <alignment horizontal="center" vertical="center" wrapText="1"/>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xf>
    <xf numFmtId="0" fontId="8" fillId="2" borderId="2" xfId="0" applyFont="1" applyFill="1" applyBorder="1" applyAlignment="1">
      <alignment horizontal="center" vertic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166" fontId="48" fillId="2" borderId="3"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21</xdr:row>
      <xdr:rowOff>0</xdr:rowOff>
    </xdr:from>
    <xdr:to>
      <xdr:col>5</xdr:col>
      <xdr:colOff>360000</xdr:colOff>
      <xdr:row>23</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21</xdr:row>
      <xdr:rowOff>0</xdr:rowOff>
    </xdr:from>
    <xdr:to>
      <xdr:col>5</xdr:col>
      <xdr:colOff>0</xdr:colOff>
      <xdr:row>23</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21</xdr:row>
      <xdr:rowOff>9525</xdr:rowOff>
    </xdr:from>
    <xdr:to>
      <xdr:col>31</xdr:col>
      <xdr:colOff>0</xdr:colOff>
      <xdr:row>23</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21</xdr:row>
      <xdr:rowOff>0</xdr:rowOff>
    </xdr:from>
    <xdr:to>
      <xdr:col>31</xdr:col>
      <xdr:colOff>360000</xdr:colOff>
      <xdr:row>22</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311</v>
      </c>
      <c r="C2" s="77" t="s">
        <v>319</v>
      </c>
    </row>
    <row r="4" spans="2:3" ht="86.4">
      <c r="B4" s="76" t="s">
        <v>312</v>
      </c>
      <c r="C4" s="77" t="s">
        <v>313</v>
      </c>
    </row>
    <row r="5" spans="2:3" ht="288">
      <c r="B5" s="76" t="s">
        <v>314</v>
      </c>
      <c r="C5" s="77" t="s">
        <v>419</v>
      </c>
    </row>
    <row r="6" spans="2:3" ht="144">
      <c r="B6" s="76" t="s">
        <v>315</v>
      </c>
      <c r="C6" s="77" t="s">
        <v>318</v>
      </c>
    </row>
    <row r="7" spans="2:3" ht="57.6">
      <c r="B7" s="76" t="s">
        <v>316</v>
      </c>
      <c r="C7" s="77" t="s">
        <v>317</v>
      </c>
    </row>
    <row r="8" spans="2:3" ht="100.8">
      <c r="B8" s="76" t="s">
        <v>353</v>
      </c>
      <c r="C8" s="77" t="s">
        <v>356</v>
      </c>
    </row>
    <row r="9" spans="2:3" ht="100.8">
      <c r="B9" s="76" t="s">
        <v>418</v>
      </c>
      <c r="C9" s="77" t="s">
        <v>420</v>
      </c>
    </row>
    <row r="10" spans="2:3" ht="86.4">
      <c r="B10" s="76" t="s">
        <v>351</v>
      </c>
      <c r="C10" s="77" t="s">
        <v>355</v>
      </c>
    </row>
    <row r="11" spans="2:3" ht="72">
      <c r="B11" s="76" t="s">
        <v>352</v>
      </c>
      <c r="C11" s="77" t="s">
        <v>354</v>
      </c>
    </row>
    <row r="12" spans="2:3" ht="129.6">
      <c r="B12" s="76" t="s">
        <v>326</v>
      </c>
      <c r="C12" s="77" t="s">
        <v>613</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320</v>
      </c>
      <c r="C2" s="230"/>
      <c r="D2" s="230"/>
      <c r="E2" s="231"/>
    </row>
    <row r="3" spans="2:5" ht="26.4">
      <c r="B3" s="78" t="s">
        <v>309</v>
      </c>
      <c r="C3" s="78" t="s">
        <v>325</v>
      </c>
      <c r="D3" s="78" t="s">
        <v>321</v>
      </c>
      <c r="E3" s="78" t="s">
        <v>322</v>
      </c>
    </row>
    <row r="4" spans="2:5">
      <c r="B4" s="81" t="s">
        <v>324</v>
      </c>
      <c r="C4" s="81" t="s">
        <v>310</v>
      </c>
      <c r="D4" s="79">
        <v>44614</v>
      </c>
      <c r="E4" s="82" t="s">
        <v>323</v>
      </c>
    </row>
    <row r="5" spans="2:5">
      <c r="B5" s="83" t="s">
        <v>413</v>
      </c>
      <c r="C5" s="83" t="s">
        <v>414</v>
      </c>
      <c r="D5" s="80">
        <v>44643</v>
      </c>
      <c r="E5" s="85" t="s">
        <v>415</v>
      </c>
    </row>
    <row r="6" spans="2:5" ht="26.4">
      <c r="B6" s="84" t="s">
        <v>416</v>
      </c>
      <c r="C6" s="84" t="s">
        <v>414</v>
      </c>
      <c r="D6" s="79">
        <v>44722</v>
      </c>
      <c r="E6" s="82" t="s">
        <v>417</v>
      </c>
    </row>
    <row r="7" spans="2:5" ht="39.6">
      <c r="B7" s="83" t="s">
        <v>423</v>
      </c>
      <c r="C7" s="83" t="s">
        <v>414</v>
      </c>
      <c r="D7" s="80">
        <v>44743</v>
      </c>
      <c r="E7" s="85" t="s">
        <v>424</v>
      </c>
    </row>
    <row r="8" spans="2:5" ht="26.4">
      <c r="B8" s="84">
        <v>1.4</v>
      </c>
      <c r="C8" s="84" t="s">
        <v>414</v>
      </c>
      <c r="D8" s="79">
        <v>44811</v>
      </c>
      <c r="E8" s="82" t="s">
        <v>426</v>
      </c>
    </row>
    <row r="9" spans="2:5" ht="66">
      <c r="B9" s="83">
        <v>1.5</v>
      </c>
      <c r="C9" s="83" t="s">
        <v>414</v>
      </c>
      <c r="D9" s="80">
        <v>44951</v>
      </c>
      <c r="E9" s="85" t="s">
        <v>459</v>
      </c>
    </row>
    <row r="10" spans="2:5" ht="118.8">
      <c r="B10" s="81" t="s">
        <v>615</v>
      </c>
      <c r="C10" s="84" t="s">
        <v>580</v>
      </c>
      <c r="D10" s="79">
        <v>45300</v>
      </c>
      <c r="E10" s="82" t="s">
        <v>597</v>
      </c>
    </row>
    <row r="11" spans="2:5" ht="39.6">
      <c r="B11" s="83" t="s">
        <v>599</v>
      </c>
      <c r="C11" s="83" t="s">
        <v>414</v>
      </c>
      <c r="D11" s="80">
        <v>45390</v>
      </c>
      <c r="E11" s="85" t="s">
        <v>612</v>
      </c>
    </row>
    <row r="12" spans="2:5" ht="52.8">
      <c r="B12" s="81" t="s">
        <v>616</v>
      </c>
      <c r="C12" s="84" t="s">
        <v>414</v>
      </c>
      <c r="D12" s="79">
        <v>45418</v>
      </c>
      <c r="E12" s="82" t="s">
        <v>617</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tabSelected="1" topLeftCell="W1" workbookViewId="0">
      <selection activeCell="AD24" sqref="AD24"/>
    </sheetView>
  </sheetViews>
  <sheetFormatPr baseColWidth="10" defaultRowHeight="14.4"/>
  <cols>
    <col min="3" max="3" width="10.77734375" style="154"/>
    <col min="4" max="4" width="10.77734375" style="155" customWidth="1"/>
    <col min="5" max="5" width="53.21875" customWidth="1"/>
    <col min="6" max="7" width="10.77734375" customWidth="1"/>
    <col min="8" max="8" width="10.77734375" style="154" customWidth="1"/>
    <col min="9" max="9" width="10.77734375" style="155" customWidth="1"/>
    <col min="10" max="10" width="59.21875" customWidth="1"/>
    <col min="11" max="11" width="75.5546875" customWidth="1"/>
    <col min="12" max="12" width="10.77734375" style="154" customWidth="1"/>
    <col min="13" max="13" width="10.77734375" style="155" customWidth="1"/>
    <col min="14" max="14" width="10.77734375" customWidth="1"/>
    <col min="15" max="15" width="75.5546875" customWidth="1"/>
    <col min="16" max="16" width="10.77734375" style="154" customWidth="1"/>
    <col min="17" max="17" width="10.77734375" style="155" customWidth="1"/>
    <col min="18" max="18" width="10.77734375" customWidth="1"/>
    <col min="19" max="19" width="75.5546875" customWidth="1"/>
    <col min="20" max="20" width="10.77734375" style="154" customWidth="1"/>
    <col min="21" max="21" width="10.77734375" style="155" customWidth="1"/>
    <col min="22" max="22" width="22.21875" customWidth="1"/>
    <col min="23" max="23" width="75.5546875" customWidth="1"/>
    <col min="24" max="24" width="10.77734375" style="154" customWidth="1"/>
    <col min="25" max="25" width="10.77734375" style="155" customWidth="1"/>
    <col min="26" max="26" width="16.77734375" customWidth="1"/>
    <col min="27" max="27" width="60.5546875" customWidth="1"/>
    <col min="28" max="28" width="10.77734375" style="154" customWidth="1"/>
    <col min="29" max="29" width="10.77734375" style="155" customWidth="1"/>
    <col min="30" max="30" width="26.77734375" customWidth="1"/>
    <col min="31" max="31" width="75.5546875" customWidth="1"/>
    <col min="32" max="32" width="10.77734375" style="154" customWidth="1"/>
    <col min="33" max="33" width="10.77734375" style="155" customWidth="1"/>
    <col min="34" max="35" width="14.21875" customWidth="1"/>
    <col min="36" max="36" width="75.5546875" customWidth="1"/>
    <col min="37" max="37" width="10.77734375" style="154" customWidth="1"/>
    <col min="38" max="38" width="10.77734375" style="155"/>
  </cols>
  <sheetData>
    <row r="2" spans="5:36">
      <c r="E2" s="156" t="s">
        <v>473</v>
      </c>
      <c r="J2" s="156" t="s">
        <v>188</v>
      </c>
      <c r="R2" s="156" t="s">
        <v>204</v>
      </c>
      <c r="V2" s="156" t="s">
        <v>189</v>
      </c>
      <c r="AD2" s="156" t="s">
        <v>327</v>
      </c>
      <c r="AH2" s="156" t="s">
        <v>466</v>
      </c>
      <c r="AI2" s="156"/>
    </row>
    <row r="3" spans="5:36">
      <c r="E3" s="157" t="s">
        <v>474</v>
      </c>
      <c r="F3" s="183" t="s">
        <v>71</v>
      </c>
      <c r="J3" s="158" t="s">
        <v>233</v>
      </c>
      <c r="K3" s="123">
        <v>1.2</v>
      </c>
      <c r="R3" s="158" t="s">
        <v>292</v>
      </c>
      <c r="S3" s="123" t="s">
        <v>601</v>
      </c>
      <c r="V3" s="159" t="s">
        <v>190</v>
      </c>
      <c r="W3" s="123" t="s">
        <v>173</v>
      </c>
      <c r="AD3" s="159" t="s">
        <v>332</v>
      </c>
      <c r="AE3" s="123" t="s">
        <v>173</v>
      </c>
      <c r="AH3" s="158" t="s">
        <v>488</v>
      </c>
      <c r="AI3" s="232"/>
      <c r="AJ3" s="233"/>
    </row>
    <row r="4" spans="5:36">
      <c r="J4" s="160" t="s">
        <v>306</v>
      </c>
      <c r="K4" s="125" t="s">
        <v>600</v>
      </c>
      <c r="R4" s="161" t="s">
        <v>291</v>
      </c>
      <c r="S4" s="126">
        <v>5</v>
      </c>
      <c r="V4" s="162" t="s">
        <v>307</v>
      </c>
      <c r="W4" s="127" t="s">
        <v>626</v>
      </c>
      <c r="AD4" s="162" t="str">
        <f>IF(UPPER(AE3)="Y","  Path (Draw. Gen., MP, excel)","")</f>
        <v xml:space="preserve">  Path (Draw. Gen., MP, excel)</v>
      </c>
      <c r="AE4" s="125" t="s">
        <v>645</v>
      </c>
      <c r="AH4" s="161" t="s">
        <v>470</v>
      </c>
      <c r="AI4" s="234"/>
      <c r="AJ4" s="235"/>
    </row>
    <row r="5" spans="5:36">
      <c r="J5" s="163" t="s">
        <v>187</v>
      </c>
      <c r="K5" s="129" t="s">
        <v>602</v>
      </c>
      <c r="N5" s="156" t="s">
        <v>467</v>
      </c>
      <c r="V5" s="163" t="s">
        <v>308</v>
      </c>
      <c r="W5" s="129" t="s">
        <v>627</v>
      </c>
      <c r="AD5" s="163" t="str">
        <f>IF(UPPER(AE3)="Y","  Path (for saving, MP)","")</f>
        <v xml:space="preserve">  Path (for saving, MP)</v>
      </c>
      <c r="AE5" s="129" t="s">
        <v>626</v>
      </c>
    </row>
    <row r="6" spans="5:36">
      <c r="E6" s="156" t="s">
        <v>273</v>
      </c>
      <c r="J6" s="160" t="str">
        <f>IF(F39="DNV","SN curves for driving (base material)","")</f>
        <v/>
      </c>
      <c r="K6" s="125" t="s">
        <v>149</v>
      </c>
      <c r="N6" s="158" t="s">
        <v>469</v>
      </c>
      <c r="O6" s="123" t="s">
        <v>653</v>
      </c>
      <c r="V6" s="162" t="s">
        <v>191</v>
      </c>
      <c r="W6" s="130" t="s">
        <v>628</v>
      </c>
      <c r="AD6" s="162" t="str">
        <f>IF(UPPER(AE3)="Y","  File name (for saving, MP)","")</f>
        <v xml:space="preserve">  File name (for saving, MP)</v>
      </c>
      <c r="AE6" s="125" t="s">
        <v>646</v>
      </c>
      <c r="AH6" s="156" t="s">
        <v>480</v>
      </c>
    </row>
    <row r="7" spans="5:36">
      <c r="E7" s="159" t="s">
        <v>132</v>
      </c>
      <c r="F7" s="122" t="s">
        <v>52</v>
      </c>
      <c r="G7" s="164"/>
      <c r="J7" s="165" t="s">
        <v>346</v>
      </c>
      <c r="K7" s="131" t="s">
        <v>71</v>
      </c>
      <c r="N7" s="161" t="s">
        <v>468</v>
      </c>
      <c r="O7" s="126" t="s">
        <v>598</v>
      </c>
      <c r="V7" s="163" t="s">
        <v>192</v>
      </c>
      <c r="W7" s="129" t="s">
        <v>272</v>
      </c>
      <c r="AD7" s="163" t="s">
        <v>333</v>
      </c>
      <c r="AE7" s="129" t="s">
        <v>173</v>
      </c>
      <c r="AH7" s="159" t="s">
        <v>481</v>
      </c>
      <c r="AI7" s="123" t="s">
        <v>71</v>
      </c>
    </row>
    <row r="8" spans="5:36">
      <c r="E8" s="162" t="s">
        <v>137</v>
      </c>
      <c r="F8" s="124">
        <v>-45.43</v>
      </c>
      <c r="G8" s="166" t="str">
        <f>"m"&amp;$F$7</f>
        <v>mLAT</v>
      </c>
      <c r="V8" s="162" t="s">
        <v>304</v>
      </c>
      <c r="W8" s="127"/>
      <c r="AD8" s="162" t="str">
        <f>IF(UPPER(AE7)="Y","  Path (Draw. Gen., TP, excel)","")</f>
        <v xml:space="preserve">  Path (Draw. Gen., TP, excel)</v>
      </c>
      <c r="AE8" s="125" t="s">
        <v>645</v>
      </c>
      <c r="AH8" s="162" t="s">
        <v>487</v>
      </c>
      <c r="AI8" s="127" t="s">
        <v>71</v>
      </c>
    </row>
    <row r="9" spans="5:36">
      <c r="E9" s="163" t="s">
        <v>185</v>
      </c>
      <c r="F9" s="128">
        <v>20.9</v>
      </c>
      <c r="G9" s="167" t="str">
        <f>"m"&amp;$F$7</f>
        <v>mLAT</v>
      </c>
      <c r="V9" s="163" t="s">
        <v>305</v>
      </c>
      <c r="W9" s="129"/>
      <c r="AD9" s="163" t="str">
        <f>IF(UPPER(AE7)="Y","  Path (for saving, TP)","")</f>
        <v xml:space="preserve">  Path (for saving, TP)</v>
      </c>
      <c r="AE9" s="129" t="s">
        <v>626</v>
      </c>
      <c r="AH9" s="163" t="s">
        <v>483</v>
      </c>
      <c r="AI9" s="129" t="s">
        <v>71</v>
      </c>
    </row>
    <row r="10" spans="5:36">
      <c r="E10" s="162" t="s">
        <v>186</v>
      </c>
      <c r="F10" s="124">
        <v>5.6</v>
      </c>
      <c r="G10" s="166" t="str">
        <f>"m"&amp;$F$7</f>
        <v>mLAT</v>
      </c>
      <c r="V10" s="162" t="s">
        <v>328</v>
      </c>
      <c r="W10" s="127" t="s">
        <v>173</v>
      </c>
      <c r="AD10" s="168" t="str">
        <f>IF(UPPER(AE7)="Y","  File name (for saving, TP)","")</f>
        <v xml:space="preserve">  File name (for saving, TP)</v>
      </c>
      <c r="AE10" s="126" t="s">
        <v>647</v>
      </c>
      <c r="AH10" s="162" t="s">
        <v>484</v>
      </c>
      <c r="AI10" s="127" t="s">
        <v>71</v>
      </c>
    </row>
    <row r="11" spans="5:36">
      <c r="E11" s="163" t="s">
        <v>143</v>
      </c>
      <c r="F11" s="128">
        <v>1.0249999999999999</v>
      </c>
      <c r="G11" s="167" t="s">
        <v>144</v>
      </c>
      <c r="V11" s="163" t="s">
        <v>329</v>
      </c>
      <c r="W11" s="129" t="s">
        <v>173</v>
      </c>
      <c r="Z11" s="156" t="s">
        <v>472</v>
      </c>
      <c r="AH11" s="163" t="s">
        <v>482</v>
      </c>
      <c r="AI11" s="129" t="s">
        <v>71</v>
      </c>
    </row>
    <row r="12" spans="5:36">
      <c r="E12" s="162" t="s">
        <v>421</v>
      </c>
      <c r="F12" s="124">
        <v>0.3</v>
      </c>
      <c r="G12" s="166" t="s">
        <v>262</v>
      </c>
      <c r="V12" s="162" t="s">
        <v>330</v>
      </c>
      <c r="W12" s="127" t="s">
        <v>173</v>
      </c>
      <c r="Z12" s="157" t="s">
        <v>471</v>
      </c>
      <c r="AA12" s="133" t="s">
        <v>625</v>
      </c>
      <c r="AH12" s="162" t="s">
        <v>485</v>
      </c>
      <c r="AI12" s="127" t="s">
        <v>71</v>
      </c>
    </row>
    <row r="13" spans="5:36">
      <c r="E13" s="169" t="s">
        <v>422</v>
      </c>
      <c r="F13" s="132">
        <v>0.15</v>
      </c>
      <c r="G13" s="170" t="s">
        <v>262</v>
      </c>
      <c r="V13" s="163" t="s">
        <v>331</v>
      </c>
      <c r="W13" s="129" t="s">
        <v>173</v>
      </c>
      <c r="AH13" s="169" t="s">
        <v>486</v>
      </c>
      <c r="AI13" s="131" t="s">
        <v>71</v>
      </c>
    </row>
    <row r="14" spans="5:36">
      <c r="V14" s="161" t="s">
        <v>270</v>
      </c>
      <c r="W14" s="126">
        <v>1.0900000000000001</v>
      </c>
      <c r="Z14" s="159" t="s">
        <v>152</v>
      </c>
      <c r="AA14" s="151" t="s">
        <v>603</v>
      </c>
    </row>
    <row r="15" spans="5:36">
      <c r="E15" s="156" t="s">
        <v>160</v>
      </c>
      <c r="Z15" s="162" t="s">
        <v>153</v>
      </c>
      <c r="AA15" s="150"/>
      <c r="AJ15" s="225"/>
    </row>
    <row r="16" spans="5:36">
      <c r="E16" s="159" t="s">
        <v>161</v>
      </c>
      <c r="F16" s="122">
        <v>8.1</v>
      </c>
      <c r="G16" s="164" t="str">
        <f>"m"&amp;$F$7</f>
        <v>mLAT</v>
      </c>
      <c r="Z16" s="163" t="s">
        <v>154</v>
      </c>
      <c r="AA16" s="152"/>
      <c r="AJ16" s="226" t="s">
        <v>594</v>
      </c>
    </row>
    <row r="17" spans="5:36">
      <c r="E17" s="162" t="s">
        <v>162</v>
      </c>
      <c r="F17" s="124">
        <v>-3.4</v>
      </c>
      <c r="G17" s="166" t="str">
        <f>"m"&amp;$F$7</f>
        <v>mLAT</v>
      </c>
      <c r="Z17" s="162" t="s">
        <v>155</v>
      </c>
      <c r="AA17" s="150"/>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604</v>
      </c>
    </row>
    <row r="20" spans="5:36">
      <c r="F20" s="8"/>
      <c r="Z20" s="163" t="s">
        <v>158</v>
      </c>
      <c r="AA20" s="152" t="s">
        <v>605</v>
      </c>
    </row>
    <row r="21" spans="5:36">
      <c r="E21" s="156" t="s">
        <v>127</v>
      </c>
      <c r="F21" s="8"/>
      <c r="Z21" s="168" t="s">
        <v>159</v>
      </c>
      <c r="AA21" s="153" t="s">
        <v>605</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345</v>
      </c>
      <c r="F39" s="135" t="s">
        <v>149</v>
      </c>
      <c r="G39" s="164"/>
    </row>
    <row r="40" spans="5:7">
      <c r="E40" s="160" t="s">
        <v>41</v>
      </c>
      <c r="F40" s="140">
        <v>31</v>
      </c>
      <c r="G40" s="166" t="s">
        <v>276</v>
      </c>
    </row>
    <row r="41" spans="5:7">
      <c r="E41" s="174" t="s">
        <v>170</v>
      </c>
      <c r="F41" s="144">
        <v>30</v>
      </c>
      <c r="G41" s="167" t="s">
        <v>276</v>
      </c>
    </row>
    <row r="42" spans="5:7">
      <c r="E42" s="160" t="s">
        <v>171</v>
      </c>
      <c r="F42" s="140">
        <v>19</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0.03</v>
      </c>
      <c r="G45" s="167"/>
    </row>
    <row r="46" spans="5:7">
      <c r="E46" s="160" t="s">
        <v>201</v>
      </c>
      <c r="F46" s="140">
        <v>0.03</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347</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336</v>
      </c>
    </row>
    <row r="60" spans="5:7">
      <c r="E60" s="158" t="s">
        <v>432</v>
      </c>
      <c r="F60" s="149">
        <v>1</v>
      </c>
      <c r="G60" s="164"/>
    </row>
    <row r="61" spans="5:7">
      <c r="E61" s="160" t="s">
        <v>431</v>
      </c>
      <c r="F61" s="179">
        <f>IF(F39="EC",4,5)</f>
        <v>4</v>
      </c>
      <c r="G61" s="166"/>
    </row>
    <row r="62" spans="5:7">
      <c r="E62" s="174" t="s">
        <v>428</v>
      </c>
      <c r="F62" s="180">
        <f>F46+(1-F46)/F60^F61</f>
        <v>1</v>
      </c>
      <c r="G62" s="167"/>
    </row>
    <row r="63" spans="5:7">
      <c r="E63" s="160" t="s">
        <v>429</v>
      </c>
      <c r="F63" s="181">
        <f>F45+F48+(1-(F45+F48))/F60^F61</f>
        <v>1</v>
      </c>
      <c r="G63" s="166"/>
    </row>
    <row r="64" spans="5:7">
      <c r="E64" s="169" t="s">
        <v>430</v>
      </c>
      <c r="F64" s="182">
        <f>F45+F49+(1-(F45+F49))/F60^F61</f>
        <v>1</v>
      </c>
      <c r="G64" s="178"/>
    </row>
    <row r="66" spans="5:7">
      <c r="E66" s="156" t="s">
        <v>344</v>
      </c>
    </row>
    <row r="67" spans="5:7">
      <c r="E67" s="158" t="s">
        <v>340</v>
      </c>
      <c r="F67" s="139">
        <v>3</v>
      </c>
      <c r="G67" s="164" t="s">
        <v>91</v>
      </c>
    </row>
    <row r="68" spans="5:7">
      <c r="E68" s="160" t="s">
        <v>341</v>
      </c>
      <c r="F68" s="140">
        <v>4</v>
      </c>
      <c r="G68" s="166" t="s">
        <v>91</v>
      </c>
    </row>
    <row r="69" spans="5:7">
      <c r="E69" s="174" t="s">
        <v>342</v>
      </c>
      <c r="F69" s="144">
        <v>2</v>
      </c>
      <c r="G69" s="167" t="s">
        <v>91</v>
      </c>
    </row>
    <row r="70" spans="5:7">
      <c r="E70" s="160" t="s">
        <v>343</v>
      </c>
      <c r="F70" s="140">
        <v>3</v>
      </c>
      <c r="G70" s="166" t="s">
        <v>91</v>
      </c>
    </row>
    <row r="71" spans="5:7">
      <c r="E71" s="174" t="s">
        <v>337</v>
      </c>
      <c r="F71" s="144">
        <v>105</v>
      </c>
      <c r="G71" s="167" t="s">
        <v>5</v>
      </c>
    </row>
    <row r="72" spans="5:7">
      <c r="E72" s="161" t="s">
        <v>338</v>
      </c>
      <c r="F72" s="143">
        <v>125</v>
      </c>
      <c r="G72" s="173"/>
    </row>
    <row r="74" spans="5:7">
      <c r="E74" s="156" t="s">
        <v>339</v>
      </c>
    </row>
    <row r="75" spans="5:7">
      <c r="E75" s="158" t="s">
        <v>340</v>
      </c>
      <c r="F75" s="139">
        <v>0.5</v>
      </c>
      <c r="G75" s="164" t="s">
        <v>91</v>
      </c>
    </row>
    <row r="76" spans="5:7">
      <c r="E76" s="160" t="s">
        <v>341</v>
      </c>
      <c r="F76" s="140">
        <v>4.0519999999999996</v>
      </c>
      <c r="G76" s="166" t="s">
        <v>91</v>
      </c>
    </row>
    <row r="77" spans="5:7">
      <c r="E77" s="174" t="s">
        <v>342</v>
      </c>
      <c r="F77" s="144">
        <v>0.5</v>
      </c>
      <c r="G77" s="167" t="s">
        <v>91</v>
      </c>
    </row>
    <row r="78" spans="5:7">
      <c r="E78" s="160" t="s">
        <v>343</v>
      </c>
      <c r="F78" s="140">
        <v>3.9940000000000002</v>
      </c>
      <c r="G78" s="166" t="s">
        <v>91</v>
      </c>
    </row>
    <row r="79" spans="5:7">
      <c r="E79" s="174" t="s">
        <v>337</v>
      </c>
      <c r="F79" s="144">
        <v>105</v>
      </c>
      <c r="G79" s="167" t="s">
        <v>5</v>
      </c>
    </row>
    <row r="80" spans="5:7">
      <c r="E80" s="161" t="s">
        <v>338</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4.4"/>
  <cols>
    <col min="2" max="2" width="10.77734375" customWidth="1"/>
    <col min="3" max="3" width="80.5546875" customWidth="1"/>
  </cols>
  <sheetData>
    <row r="2" spans="2:3">
      <c r="B2" s="69" t="s">
        <v>475</v>
      </c>
    </row>
    <row r="3" spans="2:3">
      <c r="B3" s="68" t="s">
        <v>476</v>
      </c>
      <c r="C3" s="63"/>
    </row>
    <row r="4" spans="2:3">
      <c r="B4" s="66" t="s">
        <v>477</v>
      </c>
      <c r="C4" s="65" t="s">
        <v>479</v>
      </c>
    </row>
    <row r="5" spans="2:3">
      <c r="B5" s="67" t="s">
        <v>478</v>
      </c>
      <c r="C5" s="64" t="s">
        <v>545</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48"/>
  <sheetViews>
    <sheetView zoomScaleNormal="100" workbookViewId="0">
      <selection activeCell="S54" sqref="S54"/>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2" t="str">
        <f>IF(Control!$F$43="Y","NOTE","")</f>
        <v/>
      </c>
      <c r="D2" s="242"/>
      <c r="E2" s="242"/>
      <c r="F2" s="242"/>
      <c r="G2" s="242"/>
      <c r="H2" s="242"/>
      <c r="I2" s="242"/>
      <c r="J2" s="242"/>
      <c r="K2" s="242"/>
      <c r="L2" s="242"/>
      <c r="V2" s="111" t="s">
        <v>412</v>
      </c>
      <c r="W2" s="111" t="s">
        <v>402</v>
      </c>
      <c r="X2" s="111" t="s">
        <v>427</v>
      </c>
    </row>
    <row r="3" spans="3:48">
      <c r="C3" s="243" t="str">
        <f>IF(Control!$F$43="Y","Inspection is considered in structural design (cell C39 in sheet ""Control"").","")</f>
        <v/>
      </c>
      <c r="D3" s="243"/>
      <c r="E3" s="243"/>
      <c r="F3" s="243"/>
      <c r="G3" s="243"/>
      <c r="H3" s="243"/>
      <c r="I3" s="243"/>
      <c r="J3" s="243"/>
      <c r="K3" s="243"/>
      <c r="L3" s="243"/>
      <c r="S3" s="244" t="s">
        <v>336</v>
      </c>
      <c r="T3" s="245"/>
      <c r="U3" s="245"/>
      <c r="V3" s="108">
        <f>Control!$F$62</f>
        <v>1</v>
      </c>
      <c r="W3" s="108">
        <f>Control!$F$63</f>
        <v>1</v>
      </c>
      <c r="X3" s="108">
        <f>Control!$F$64</f>
        <v>1</v>
      </c>
      <c r="Z3" s="228" t="s">
        <v>654</v>
      </c>
    </row>
    <row r="4" spans="3:48">
      <c r="C4" t="str">
        <f>"m"&amp;Control!$F$7</f>
        <v>mLAT</v>
      </c>
      <c r="S4" s="244" t="s">
        <v>335</v>
      </c>
      <c r="T4" s="245"/>
      <c r="U4" s="245"/>
      <c r="V4" s="246">
        <v>1</v>
      </c>
      <c r="W4" s="246"/>
      <c r="X4" s="246"/>
    </row>
    <row r="5" spans="3:48">
      <c r="M5" s="227"/>
    </row>
    <row r="7" spans="3:48">
      <c r="C7" t="s">
        <v>175</v>
      </c>
      <c r="N7" t="s">
        <v>219</v>
      </c>
      <c r="AD7" s="35" t="s">
        <v>213</v>
      </c>
      <c r="AH7" s="39"/>
      <c r="AP7" s="109" t="s">
        <v>448</v>
      </c>
      <c r="AQ7" s="109"/>
      <c r="AU7" s="109" t="s">
        <v>448</v>
      </c>
      <c r="AV7" s="109" t="s">
        <v>465</v>
      </c>
    </row>
    <row r="8" spans="3:48">
      <c r="N8" s="109" t="s">
        <v>448</v>
      </c>
      <c r="AA8" s="109" t="s">
        <v>448</v>
      </c>
      <c r="AH8" s="39"/>
    </row>
    <row r="9" spans="3:48" ht="14.85" customHeight="1">
      <c r="C9" s="240" t="s">
        <v>447</v>
      </c>
      <c r="D9" s="111" t="s">
        <v>586</v>
      </c>
      <c r="E9" s="111" t="s">
        <v>587</v>
      </c>
      <c r="F9" s="111" t="s">
        <v>591</v>
      </c>
      <c r="G9" s="111" t="s">
        <v>592</v>
      </c>
      <c r="H9" s="111" t="s">
        <v>5</v>
      </c>
      <c r="I9" s="111" t="s">
        <v>590</v>
      </c>
      <c r="J9" s="111" t="s">
        <v>588</v>
      </c>
      <c r="K9" s="111" t="s">
        <v>589</v>
      </c>
      <c r="L9" s="111" t="s">
        <v>264</v>
      </c>
      <c r="M9" s="236" t="s">
        <v>263</v>
      </c>
      <c r="N9" s="247" t="s">
        <v>296</v>
      </c>
      <c r="P9" s="251" t="s">
        <v>451</v>
      </c>
      <c r="Q9" s="251"/>
      <c r="S9" s="238" t="s">
        <v>444</v>
      </c>
      <c r="T9" s="250"/>
      <c r="U9" s="250"/>
      <c r="V9" s="250"/>
      <c r="W9" s="239"/>
      <c r="X9" s="238" t="s">
        <v>181</v>
      </c>
      <c r="Y9" s="239"/>
      <c r="AA9" s="238" t="s">
        <v>452</v>
      </c>
      <c r="AB9" s="239"/>
      <c r="AD9" s="240" t="s">
        <v>211</v>
      </c>
      <c r="AE9" s="240" t="s">
        <v>212</v>
      </c>
      <c r="AF9" s="111" t="s">
        <v>53</v>
      </c>
      <c r="AG9" s="111" t="s">
        <v>215</v>
      </c>
      <c r="AH9" s="240" t="s">
        <v>583</v>
      </c>
      <c r="AI9" s="240" t="s">
        <v>584</v>
      </c>
      <c r="AJ9" s="236" t="s">
        <v>582</v>
      </c>
      <c r="AK9" s="240" t="s">
        <v>0</v>
      </c>
      <c r="AL9" s="111" t="s">
        <v>105</v>
      </c>
      <c r="AM9" s="111" t="s">
        <v>5</v>
      </c>
      <c r="AN9" s="236" t="s">
        <v>463</v>
      </c>
      <c r="AP9" s="252" t="s">
        <v>449</v>
      </c>
      <c r="AQ9" s="252"/>
      <c r="AS9" s="54" t="s">
        <v>222</v>
      </c>
      <c r="AU9" s="236" t="s">
        <v>452</v>
      </c>
      <c r="AV9" s="236" t="s">
        <v>464</v>
      </c>
    </row>
    <row r="10" spans="3:48">
      <c r="C10" s="241"/>
      <c r="D10" s="111" t="str">
        <f>"[m"&amp;Control!$F$7&amp;"]"</f>
        <v>[mLAT]</v>
      </c>
      <c r="E10" s="111" t="str">
        <f>"[m"&amp;Control!$F$7&amp;"]"</f>
        <v>[mLAT]</v>
      </c>
      <c r="F10" s="111" t="s">
        <v>9</v>
      </c>
      <c r="G10" s="111" t="s">
        <v>9</v>
      </c>
      <c r="H10" s="111" t="s">
        <v>10</v>
      </c>
      <c r="I10" s="111" t="s">
        <v>9</v>
      </c>
      <c r="J10" s="111" t="s">
        <v>11</v>
      </c>
      <c r="K10" s="111" t="s">
        <v>12</v>
      </c>
      <c r="L10" s="111" t="s">
        <v>16</v>
      </c>
      <c r="M10" s="237"/>
      <c r="N10" s="248"/>
      <c r="P10" s="251"/>
      <c r="Q10" s="251"/>
      <c r="S10" s="240" t="s">
        <v>176</v>
      </c>
      <c r="T10" s="240" t="s">
        <v>177</v>
      </c>
      <c r="U10" s="240" t="s">
        <v>178</v>
      </c>
      <c r="V10" s="240" t="s">
        <v>179</v>
      </c>
      <c r="W10" s="240" t="s">
        <v>180</v>
      </c>
      <c r="X10" s="111" t="s">
        <v>182</v>
      </c>
      <c r="Y10" s="111" t="s">
        <v>183</v>
      </c>
      <c r="AA10" s="236" t="s">
        <v>453</v>
      </c>
      <c r="AB10" s="111" t="s">
        <v>181</v>
      </c>
      <c r="AD10" s="241"/>
      <c r="AE10" s="241"/>
      <c r="AF10" s="111" t="str">
        <f>"[m"&amp;Control!$F$7&amp;"]"</f>
        <v>[mLAT]</v>
      </c>
      <c r="AG10" s="111" t="s">
        <v>10</v>
      </c>
      <c r="AH10" s="241"/>
      <c r="AI10" s="241"/>
      <c r="AJ10" s="237"/>
      <c r="AK10" s="241"/>
      <c r="AL10" s="111" t="s">
        <v>9</v>
      </c>
      <c r="AM10" s="111" t="s">
        <v>10</v>
      </c>
      <c r="AN10" s="237"/>
      <c r="AP10" s="118" t="s">
        <v>25</v>
      </c>
      <c r="AQ10" s="118" t="s">
        <v>26</v>
      </c>
      <c r="AS10" s="54" t="s">
        <v>223</v>
      </c>
      <c r="AU10" s="237"/>
      <c r="AV10" s="237"/>
    </row>
    <row r="11" spans="3:48">
      <c r="C11" s="112">
        <v>1</v>
      </c>
      <c r="D11" s="44">
        <v>20.9</v>
      </c>
      <c r="E11" s="44">
        <v>17.5</v>
      </c>
      <c r="F11" s="44">
        <v>7.5</v>
      </c>
      <c r="G11" s="44">
        <v>7.5</v>
      </c>
      <c r="H11" s="45">
        <v>86</v>
      </c>
      <c r="I11" s="113">
        <f t="shared" ref="I11:I13" si="0">D11-E11</f>
        <v>3.3999999999999986</v>
      </c>
      <c r="J11" s="114">
        <f t="shared" ref="J11:J13" si="1">ATAN((G11-F11)/(2*I11))/PI()*180</f>
        <v>0</v>
      </c>
      <c r="K11" s="59">
        <f t="shared" ref="K11:K13" si="2">IF(J11=0,PI()/4*(F11^2-(F11-(2*H11/1000))^2)*I11*7850/1000,(I11*PI()/12)*((G11^2+G11*F11+F11^2)-((G11-2*(H11/1000))^2+(G11-(2*H11/1000))*(F11-(2*H11/1000))+(F11-(2*H11/1000))^2))*7850/1000)</f>
        <v>53.462526608972709</v>
      </c>
      <c r="L11" s="59">
        <f t="shared" ref="L11:L13" si="3">MAX(F11:G11)/H11*1000</f>
        <v>87.209302325581405</v>
      </c>
      <c r="M11" s="75" t="s">
        <v>109</v>
      </c>
      <c r="N11" s="249"/>
      <c r="P11" s="118" t="s">
        <v>25</v>
      </c>
      <c r="Q11" s="118" t="s">
        <v>26</v>
      </c>
      <c r="S11" s="241"/>
      <c r="T11" s="241"/>
      <c r="U11" s="241"/>
      <c r="V11" s="241"/>
      <c r="W11" s="241"/>
      <c r="X11" s="60">
        <f>MAX('ULS TP'!N33,'ULS TP'!N24)</f>
        <v>0.64491016033822535</v>
      </c>
      <c r="Y11" s="60">
        <f>MAX('ULS TP'!O33,'ULS TP'!O24)</f>
        <v>0.50574460401879828</v>
      </c>
      <c r="AA11" s="237"/>
      <c r="AB11" s="44"/>
      <c r="AD11" s="53" t="s">
        <v>621</v>
      </c>
      <c r="AE11" s="53" t="s">
        <v>622</v>
      </c>
      <c r="AF11" s="44">
        <v>20</v>
      </c>
      <c r="AG11" s="44">
        <v>1.2</v>
      </c>
      <c r="AH11" s="53" t="s">
        <v>195</v>
      </c>
      <c r="AI11" s="53" t="s">
        <v>446</v>
      </c>
      <c r="AJ11" s="53"/>
      <c r="AK11" s="115">
        <f t="shared" ref="AK11:AK18" si="4">MATCH(AF11,$D$11:$D$21,-1)</f>
        <v>1</v>
      </c>
      <c r="AL11" s="113">
        <f t="shared" ref="AL11:AL18" si="5">INDEX($F$11:$F$21,AK11)+(INDEX($G$11:$G$21,AK11)-INDEX($F$11:$F$21,AK11))/(INDEX($E$11:$E$21,AK11)-INDEX($D$11:$D$21,AK11))*(AF11-INDEX($D$11:$D$21,AK11))</f>
        <v>7.5</v>
      </c>
      <c r="AM11" s="115">
        <f t="shared" ref="AM11:AM18" si="6">INDEX($H$11:$H$21,AK11)</f>
        <v>86</v>
      </c>
      <c r="AN11" s="113" cm="1">
        <f t="array" ref="AN11">MIN(ABS(AF11-INDEX($D$11:$D$21,AK11)),ABS(AF11-INDEX($E$11:$E$21,AK11)))</f>
        <v>0.89999999999999858</v>
      </c>
      <c r="AP11" s="116"/>
      <c r="AQ11" s="116"/>
      <c r="AS11" s="60">
        <f>IF(AH11="o",'FLS TP'!Q80,'FLS TP'!R80)</f>
        <v>0.51373954623819307</v>
      </c>
      <c r="AU11" s="44"/>
      <c r="AV11" s="44"/>
    </row>
    <row r="12" spans="3:48">
      <c r="C12" s="112">
        <v>2</v>
      </c>
      <c r="D12" s="221">
        <f t="shared" ref="D12:D13" si="7">E11</f>
        <v>17.5</v>
      </c>
      <c r="E12" s="44">
        <v>13.5</v>
      </c>
      <c r="F12" s="44">
        <v>7.5</v>
      </c>
      <c r="G12" s="44">
        <v>7.5</v>
      </c>
      <c r="H12" s="45">
        <v>86</v>
      </c>
      <c r="I12" s="113">
        <f t="shared" si="0"/>
        <v>4</v>
      </c>
      <c r="J12" s="114">
        <f t="shared" si="1"/>
        <v>0</v>
      </c>
      <c r="K12" s="59">
        <f t="shared" si="2"/>
        <v>62.89709012820321</v>
      </c>
      <c r="L12" s="59">
        <f t="shared" si="3"/>
        <v>87.209302325581405</v>
      </c>
      <c r="M12" s="75" t="s">
        <v>109</v>
      </c>
      <c r="N12" s="117" t="s">
        <v>49</v>
      </c>
      <c r="P12" s="110"/>
      <c r="Q12" s="110"/>
      <c r="S12" s="60">
        <f>'FLS TP'!Q42</f>
        <v>0.61163522303237461</v>
      </c>
      <c r="T12" s="61">
        <f>'FLS TP'!R42</f>
        <v>0.56008740815825686</v>
      </c>
      <c r="U12" s="61">
        <f>'FLS TP'!Q50</f>
        <v>0.61163522303237461</v>
      </c>
      <c r="V12" s="61">
        <f>'FLS TP'!R50</f>
        <v>0.56008740815825686</v>
      </c>
      <c r="W12" s="61">
        <f>MAX(S12:V12)</f>
        <v>0.61163522303237461</v>
      </c>
      <c r="X12" s="60">
        <f>MAX('ULS TP'!N34,'ULS TP'!N25)</f>
        <v>0.56850732131304049</v>
      </c>
      <c r="Y12" s="60">
        <f>MAX('ULS TP'!O34,'ULS TP'!O25)</f>
        <v>0.52365467324760517</v>
      </c>
      <c r="AA12" s="44"/>
      <c r="AB12" s="44"/>
      <c r="AD12" s="53" t="s">
        <v>629</v>
      </c>
      <c r="AE12" s="53" t="s">
        <v>637</v>
      </c>
      <c r="AF12" s="44">
        <v>19.5</v>
      </c>
      <c r="AG12" s="44">
        <v>2</v>
      </c>
      <c r="AH12" s="53" t="s">
        <v>195</v>
      </c>
      <c r="AI12" s="53" t="s">
        <v>36</v>
      </c>
      <c r="AJ12" s="53">
        <v>0.85</v>
      </c>
      <c r="AK12" s="115">
        <f t="shared" si="4"/>
        <v>1</v>
      </c>
      <c r="AL12" s="113">
        <f t="shared" si="5"/>
        <v>7.5</v>
      </c>
      <c r="AM12" s="115">
        <f t="shared" si="6"/>
        <v>86</v>
      </c>
      <c r="AN12" s="113" cm="1">
        <f t="array" ref="AN12">MIN(ABS(AF12-INDEX($D$11:$D$21,AK12)),ABS(AF12-INDEX($E$11:$E$21,AK12)))</f>
        <v>1.3999999999999986</v>
      </c>
      <c r="AP12" s="116"/>
      <c r="AQ12" s="116"/>
      <c r="AS12" s="60">
        <f>IF(AH12="o",'FLS TP'!Q81,'FLS TP'!R81)</f>
        <v>0.97804242074647574</v>
      </c>
      <c r="AU12" s="44"/>
      <c r="AV12" s="44" t="s">
        <v>644</v>
      </c>
    </row>
    <row r="13" spans="3:48">
      <c r="C13" s="112">
        <v>3</v>
      </c>
      <c r="D13" s="221">
        <f t="shared" si="7"/>
        <v>13.5</v>
      </c>
      <c r="E13" s="44">
        <v>9.5</v>
      </c>
      <c r="F13" s="44">
        <v>7.5</v>
      </c>
      <c r="G13" s="44">
        <v>7.5</v>
      </c>
      <c r="H13" s="45">
        <v>93</v>
      </c>
      <c r="I13" s="113">
        <f t="shared" si="0"/>
        <v>4</v>
      </c>
      <c r="J13" s="114">
        <f t="shared" si="1"/>
        <v>0</v>
      </c>
      <c r="K13" s="59">
        <f t="shared" si="2"/>
        <v>67.952402167964621</v>
      </c>
      <c r="L13" s="59">
        <f t="shared" si="3"/>
        <v>80.645161290322577</v>
      </c>
      <c r="M13" s="75" t="s">
        <v>109</v>
      </c>
      <c r="N13" s="117" t="s">
        <v>49</v>
      </c>
      <c r="P13" s="110"/>
      <c r="Q13" s="110"/>
      <c r="S13" s="60">
        <f>'FLS TP'!Q43</f>
        <v>0.43424092806413184</v>
      </c>
      <c r="T13" s="61">
        <f>'FLS TP'!R43</f>
        <v>0.96640553954001918</v>
      </c>
      <c r="U13" s="61">
        <f>'FLS TP'!Q51</f>
        <v>0.34825308692821999</v>
      </c>
      <c r="V13" s="61">
        <f>'FLS TP'!R51</f>
        <v>0.76160101295111038</v>
      </c>
      <c r="W13" s="61">
        <f t="shared" ref="W13:W14" si="8">MAX(S13:V13)</f>
        <v>0.96640553954001918</v>
      </c>
      <c r="X13" s="60">
        <f>MAX('ULS TP'!N35,'ULS TP'!N26)</f>
        <v>0.63485253925773233</v>
      </c>
      <c r="Y13" s="60">
        <f>MAX('ULS TP'!O35,'ULS TP'!O26)</f>
        <v>0.50663566634290746</v>
      </c>
      <c r="AA13" s="44"/>
      <c r="AB13" s="44"/>
      <c r="AD13" s="53" t="s">
        <v>630</v>
      </c>
      <c r="AE13" s="53" t="s">
        <v>631</v>
      </c>
      <c r="AF13" s="44">
        <v>20</v>
      </c>
      <c r="AG13" s="44">
        <v>1.25</v>
      </c>
      <c r="AH13" s="53" t="s">
        <v>196</v>
      </c>
      <c r="AI13" s="53" t="s">
        <v>446</v>
      </c>
      <c r="AJ13" s="53"/>
      <c r="AK13" s="115">
        <f t="shared" si="4"/>
        <v>1</v>
      </c>
      <c r="AL13" s="113">
        <f t="shared" si="5"/>
        <v>7.5</v>
      </c>
      <c r="AM13" s="115">
        <f t="shared" si="6"/>
        <v>86</v>
      </c>
      <c r="AN13" s="113" cm="1">
        <f t="array" ref="AN13">MIN(ABS(AF13-INDEX($D$11:$D$21,AK13)),ABS(AF13-INDEX($E$11:$E$21,AK13)))</f>
        <v>0.89999999999999858</v>
      </c>
      <c r="AP13" s="116"/>
      <c r="AQ13" s="116"/>
      <c r="AS13" s="60">
        <f>IF(AH13="o",'FLS TP'!Q82,'FLS TP'!R82)</f>
        <v>0.54906703655269495</v>
      </c>
      <c r="AU13" s="44"/>
      <c r="AV13" s="44"/>
    </row>
    <row r="14" spans="3:48">
      <c r="C14" s="112">
        <v>4</v>
      </c>
      <c r="D14" s="221">
        <f>E13</f>
        <v>9.5</v>
      </c>
      <c r="E14" s="44">
        <v>5.6</v>
      </c>
      <c r="F14" s="44">
        <v>7.5</v>
      </c>
      <c r="G14" s="44">
        <v>7.5</v>
      </c>
      <c r="H14" s="45">
        <v>100</v>
      </c>
      <c r="I14" s="113">
        <f>D14-E14</f>
        <v>3.9000000000000004</v>
      </c>
      <c r="J14" s="114">
        <f>ATAN((G14-F14)/(2*I14))/PI()*180</f>
        <v>0</v>
      </c>
      <c r="K14" s="59">
        <f>IF(J14=0,PI()/4*(F14^2-(F14-(2*H14/1000))^2)*I14*7850/1000,(I14*PI()/12)*((G14^2+G14*F14+F14^2)-((G14-2*(H14/1000))^2+(G14-(2*H14/1000))*(F14-(2*H14/1000))+(F14-(2*H14/1000))^2))*7850/1000)</f>
        <v>71.17309572634214</v>
      </c>
      <c r="L14" s="59">
        <f>MAX(F14:G14)/H14*1000</f>
        <v>75</v>
      </c>
      <c r="M14" s="75" t="s">
        <v>109</v>
      </c>
      <c r="N14" s="117" t="s">
        <v>49</v>
      </c>
      <c r="P14" s="110"/>
      <c r="Q14" s="110"/>
      <c r="S14" s="60">
        <f>'FLS TP'!Q44</f>
        <v>0.38823356601287118</v>
      </c>
      <c r="T14" s="61">
        <f>'FLS TP'!R44</f>
        <v>0.80712129117956699</v>
      </c>
      <c r="U14" s="61">
        <f>'FLS TP'!Q52</f>
        <v>0.31720754270820406</v>
      </c>
      <c r="V14" s="61">
        <f>'FLS TP'!R52</f>
        <v>0.64828682062819387</v>
      </c>
      <c r="W14" s="61">
        <f t="shared" si="8"/>
        <v>0.80712129117956699</v>
      </c>
      <c r="X14" s="60">
        <f>MAX('ULS TP'!N36,'ULS TP'!N27)</f>
        <v>0.51617451874172127</v>
      </c>
      <c r="Y14" s="60">
        <f>MAX('ULS TP'!O36,'ULS TP'!O27)</f>
        <v>0.4877452609434384</v>
      </c>
      <c r="AA14" s="44"/>
      <c r="AB14" s="44"/>
      <c r="AD14" s="53" t="s">
        <v>632</v>
      </c>
      <c r="AE14" s="53" t="s">
        <v>623</v>
      </c>
      <c r="AF14" s="44">
        <v>15.73</v>
      </c>
      <c r="AG14" s="44">
        <v>1.25</v>
      </c>
      <c r="AH14" s="53" t="s">
        <v>196</v>
      </c>
      <c r="AI14" s="53" t="s">
        <v>446</v>
      </c>
      <c r="AJ14" s="53"/>
      <c r="AK14" s="115">
        <f t="shared" si="4"/>
        <v>2</v>
      </c>
      <c r="AL14" s="113">
        <f t="shared" si="5"/>
        <v>7.5</v>
      </c>
      <c r="AM14" s="115">
        <f t="shared" si="6"/>
        <v>86</v>
      </c>
      <c r="AN14" s="113" cm="1">
        <f t="array" ref="AN14">MIN(ABS(AF14-INDEX($D$11:$D$21,AK14)),ABS(AF14-INDEX($E$11:$E$21,AK14)))</f>
        <v>1.7699999999999996</v>
      </c>
      <c r="AP14" s="116"/>
      <c r="AQ14" s="116"/>
      <c r="AS14" s="60">
        <f>IF(AH14="o",'FLS TP'!Q83,'FLS TP'!R83)</f>
        <v>0.62566274707992586</v>
      </c>
      <c r="AU14" s="44"/>
      <c r="AV14" s="44"/>
    </row>
    <row r="15" spans="3:48">
      <c r="AD15" s="53" t="s">
        <v>633</v>
      </c>
      <c r="AE15" s="53" t="s">
        <v>618</v>
      </c>
      <c r="AF15" s="44">
        <v>12.7</v>
      </c>
      <c r="AG15" s="44">
        <v>2</v>
      </c>
      <c r="AH15" s="53" t="s">
        <v>195</v>
      </c>
      <c r="AI15" s="53" t="s">
        <v>36</v>
      </c>
      <c r="AJ15" s="53">
        <v>0.85</v>
      </c>
      <c r="AK15" s="115">
        <f t="shared" si="4"/>
        <v>3</v>
      </c>
      <c r="AL15" s="113">
        <f t="shared" si="5"/>
        <v>7.5</v>
      </c>
      <c r="AM15" s="115">
        <f t="shared" si="6"/>
        <v>93</v>
      </c>
      <c r="AN15" s="113" cm="1">
        <f t="array" ref="AN15">MIN(ABS(AF15-INDEX($D$11:$D$21,AK15)),ABS(AF15-INDEX($E$11:$E$21,AK15)))</f>
        <v>0.80000000000000071</v>
      </c>
      <c r="AP15" s="116"/>
      <c r="AQ15" s="116"/>
      <c r="AS15" s="60">
        <f>IF(AH15="o",'FLS TP'!Q84,'FLS TP'!R84)</f>
        <v>0.92892533297741464</v>
      </c>
      <c r="AU15" s="44"/>
      <c r="AV15" s="44" t="s">
        <v>644</v>
      </c>
    </row>
    <row r="16" spans="3:48">
      <c r="AD16" s="53" t="s">
        <v>634</v>
      </c>
      <c r="AE16" s="53" t="s">
        <v>619</v>
      </c>
      <c r="AF16" s="44">
        <v>12</v>
      </c>
      <c r="AG16" s="44">
        <v>2</v>
      </c>
      <c r="AH16" s="53" t="s">
        <v>195</v>
      </c>
      <c r="AI16" s="53" t="s">
        <v>36</v>
      </c>
      <c r="AJ16" s="53">
        <v>0.85</v>
      </c>
      <c r="AK16" s="115">
        <f t="shared" si="4"/>
        <v>3</v>
      </c>
      <c r="AL16" s="113">
        <f t="shared" si="5"/>
        <v>7.5</v>
      </c>
      <c r="AM16" s="115">
        <f t="shared" si="6"/>
        <v>93</v>
      </c>
      <c r="AN16" s="113" cm="1">
        <f t="array" ref="AN16">MIN(ABS(AF16-INDEX($D$11:$D$21,AK16)),ABS(AF16-INDEX($E$11:$E$21,AK16)))</f>
        <v>1.5</v>
      </c>
      <c r="AP16" s="116"/>
      <c r="AQ16" s="116"/>
      <c r="AS16" s="60">
        <f>IF(AH16="o",'FLS TP'!Q85,'FLS TP'!R85)</f>
        <v>0.94924156260343961</v>
      </c>
      <c r="AU16" s="44"/>
      <c r="AV16" s="44"/>
    </row>
    <row r="17" spans="3:48">
      <c r="AD17" s="53" t="s">
        <v>641</v>
      </c>
      <c r="AE17" s="53" t="s">
        <v>620</v>
      </c>
      <c r="AF17" s="44">
        <v>11.8</v>
      </c>
      <c r="AG17" s="44">
        <v>1.02</v>
      </c>
      <c r="AH17" s="53" t="s">
        <v>195</v>
      </c>
      <c r="AI17" s="53" t="s">
        <v>49</v>
      </c>
      <c r="AJ17" s="53"/>
      <c r="AK17" s="115">
        <f t="shared" si="4"/>
        <v>3</v>
      </c>
      <c r="AL17" s="113">
        <f t="shared" si="5"/>
        <v>7.5</v>
      </c>
      <c r="AM17" s="115">
        <f t="shared" si="6"/>
        <v>93</v>
      </c>
      <c r="AN17" s="113" cm="1">
        <f t="array" ref="AN17">MIN(ABS(AF17-INDEX($D$11:$D$21,AK17)),ABS(AF17-INDEX($E$11:$E$21,AK17)))</f>
        <v>1.6999999999999993</v>
      </c>
      <c r="AP17" s="116"/>
      <c r="AQ17" s="116"/>
      <c r="AS17" s="60">
        <f>IF(AH17="o",'FLS TP'!Q86,'FLS TP'!R86)</f>
        <v>0.71773332951060798</v>
      </c>
      <c r="AU17" s="44"/>
      <c r="AV17" s="44"/>
    </row>
    <row r="18" spans="3:48">
      <c r="AD18" s="53" t="s">
        <v>624</v>
      </c>
      <c r="AE18" s="53" t="s">
        <v>620</v>
      </c>
      <c r="AF18" s="44">
        <v>8.1999999999999993</v>
      </c>
      <c r="AG18" s="44">
        <v>1</v>
      </c>
      <c r="AH18" s="53" t="s">
        <v>195</v>
      </c>
      <c r="AI18" s="53" t="s">
        <v>49</v>
      </c>
      <c r="AJ18" s="53"/>
      <c r="AK18" s="115">
        <f t="shared" si="4"/>
        <v>4</v>
      </c>
      <c r="AL18" s="113">
        <f t="shared" si="5"/>
        <v>7.5</v>
      </c>
      <c r="AM18" s="115">
        <f t="shared" si="6"/>
        <v>100</v>
      </c>
      <c r="AN18" s="113" cm="1">
        <f t="array" ref="AN18">MIN(ABS(AF18-INDEX($D$11:$D$21,AK18)),ABS(AF18-INDEX($E$11:$E$21,AK18)))</f>
        <v>1.3000000000000007</v>
      </c>
      <c r="AP18" s="116"/>
      <c r="AQ18" s="116"/>
      <c r="AS18" s="60">
        <f>IF(AH18="o",'FLS TP'!Q87,'FLS TP'!R87)</f>
        <v>0.6177837348381694</v>
      </c>
      <c r="AU18" s="44"/>
      <c r="AV18" s="44"/>
    </row>
    <row r="22" spans="3:48">
      <c r="C22" s="35" t="s">
        <v>214</v>
      </c>
      <c r="N22" t="s">
        <v>219</v>
      </c>
      <c r="S22" s="10"/>
      <c r="T22" s="10"/>
      <c r="AD22" s="35" t="s">
        <v>210</v>
      </c>
      <c r="AH22" s="39"/>
      <c r="AP22" s="109" t="s">
        <v>448</v>
      </c>
      <c r="AU22" s="109" t="s">
        <v>448</v>
      </c>
      <c r="AV22" s="109" t="s">
        <v>465</v>
      </c>
    </row>
    <row r="23" spans="3:48">
      <c r="D23" s="38"/>
      <c r="E23" s="38"/>
      <c r="F23" s="38"/>
      <c r="G23" s="38"/>
      <c r="H23" s="38"/>
      <c r="I23" s="38"/>
      <c r="J23" s="38"/>
      <c r="K23" s="38"/>
      <c r="L23" s="38"/>
      <c r="M23" s="38"/>
      <c r="N23" s="109" t="s">
        <v>448</v>
      </c>
      <c r="AA23" s="109" t="s">
        <v>448</v>
      </c>
      <c r="AH23" s="39"/>
    </row>
    <row r="24" spans="3:48" ht="14.85" customHeight="1">
      <c r="C24" s="240" t="s">
        <v>447</v>
      </c>
      <c r="D24" s="111" t="s">
        <v>586</v>
      </c>
      <c r="E24" s="111" t="s">
        <v>587</v>
      </c>
      <c r="F24" s="111" t="s">
        <v>591</v>
      </c>
      <c r="G24" s="111" t="s">
        <v>592</v>
      </c>
      <c r="H24" s="111" t="s">
        <v>5</v>
      </c>
      <c r="I24" s="111" t="s">
        <v>590</v>
      </c>
      <c r="J24" s="111" t="s">
        <v>588</v>
      </c>
      <c r="K24" s="111" t="s">
        <v>589</v>
      </c>
      <c r="L24" s="111" t="s">
        <v>264</v>
      </c>
      <c r="M24" s="236" t="s">
        <v>263</v>
      </c>
      <c r="N24" s="247" t="s">
        <v>296</v>
      </c>
      <c r="P24" s="251" t="s">
        <v>451</v>
      </c>
      <c r="Q24" s="251"/>
      <c r="S24" s="238" t="s">
        <v>444</v>
      </c>
      <c r="T24" s="250"/>
      <c r="U24" s="250"/>
      <c r="V24" s="250"/>
      <c r="W24" s="239"/>
      <c r="X24" s="238" t="s">
        <v>181</v>
      </c>
      <c r="Y24" s="239"/>
      <c r="AA24" s="238" t="s">
        <v>452</v>
      </c>
      <c r="AB24" s="239"/>
      <c r="AD24" s="240" t="s">
        <v>211</v>
      </c>
      <c r="AE24" s="240" t="s">
        <v>212</v>
      </c>
      <c r="AF24" s="111" t="s">
        <v>53</v>
      </c>
      <c r="AG24" s="111" t="s">
        <v>215</v>
      </c>
      <c r="AH24" s="240" t="s">
        <v>583</v>
      </c>
      <c r="AI24" s="240" t="s">
        <v>584</v>
      </c>
      <c r="AJ24" s="236" t="s">
        <v>582</v>
      </c>
      <c r="AK24" s="240" t="s">
        <v>0</v>
      </c>
      <c r="AL24" s="111" t="s">
        <v>105</v>
      </c>
      <c r="AM24" s="111" t="s">
        <v>5</v>
      </c>
      <c r="AN24" s="236" t="s">
        <v>463</v>
      </c>
      <c r="AP24" s="252" t="s">
        <v>449</v>
      </c>
      <c r="AQ24" s="252"/>
      <c r="AS24" s="54" t="s">
        <v>222</v>
      </c>
      <c r="AU24" s="236" t="s">
        <v>452</v>
      </c>
      <c r="AV24" s="236" t="s">
        <v>464</v>
      </c>
    </row>
    <row r="25" spans="3:48">
      <c r="C25" s="241"/>
      <c r="D25" s="111" t="str">
        <f>"[m"&amp;Control!$F$7&amp;"]"</f>
        <v>[mLAT]</v>
      </c>
      <c r="E25" s="111" t="str">
        <f>"[m"&amp;Control!$F$7&amp;"]"</f>
        <v>[mLAT]</v>
      </c>
      <c r="F25" s="111" t="s">
        <v>9</v>
      </c>
      <c r="G25" s="111" t="s">
        <v>9</v>
      </c>
      <c r="H25" s="111" t="s">
        <v>10</v>
      </c>
      <c r="I25" s="111" t="s">
        <v>9</v>
      </c>
      <c r="J25" s="111" t="s">
        <v>11</v>
      </c>
      <c r="K25" s="111" t="s">
        <v>12</v>
      </c>
      <c r="L25" s="111" t="s">
        <v>16</v>
      </c>
      <c r="M25" s="237"/>
      <c r="N25" s="248"/>
      <c r="P25" s="251"/>
      <c r="Q25" s="251"/>
      <c r="S25" s="240" t="s">
        <v>176</v>
      </c>
      <c r="T25" s="240" t="s">
        <v>177</v>
      </c>
      <c r="U25" s="240" t="s">
        <v>178</v>
      </c>
      <c r="V25" s="240" t="s">
        <v>179</v>
      </c>
      <c r="W25" s="240" t="s">
        <v>180</v>
      </c>
      <c r="X25" s="111" t="s">
        <v>182</v>
      </c>
      <c r="Y25" s="111" t="s">
        <v>183</v>
      </c>
      <c r="AA25" s="236" t="s">
        <v>453</v>
      </c>
      <c r="AB25" s="111" t="s">
        <v>181</v>
      </c>
      <c r="AD25" s="241"/>
      <c r="AE25" s="241"/>
      <c r="AF25" s="111" t="str">
        <f>"[m"&amp;Control!$F$7&amp;"]"</f>
        <v>[mLAT]</v>
      </c>
      <c r="AG25" s="111" t="s">
        <v>10</v>
      </c>
      <c r="AH25" s="241"/>
      <c r="AI25" s="241"/>
      <c r="AJ25" s="237"/>
      <c r="AK25" s="241"/>
      <c r="AL25" s="111" t="s">
        <v>9</v>
      </c>
      <c r="AM25" s="111" t="s">
        <v>10</v>
      </c>
      <c r="AN25" s="237"/>
      <c r="AP25" s="118" t="s">
        <v>25</v>
      </c>
      <c r="AQ25" s="118" t="s">
        <v>26</v>
      </c>
      <c r="AS25" s="54" t="s">
        <v>223</v>
      </c>
      <c r="AU25" s="237"/>
      <c r="AV25" s="237"/>
    </row>
    <row r="26" spans="3:48">
      <c r="C26" s="112">
        <v>1</v>
      </c>
      <c r="D26" s="44">
        <v>5.6</v>
      </c>
      <c r="E26" s="44">
        <v>1.6</v>
      </c>
      <c r="F26" s="44">
        <v>7.5</v>
      </c>
      <c r="G26" s="44">
        <v>7.5</v>
      </c>
      <c r="H26" s="45">
        <v>108</v>
      </c>
      <c r="I26" s="113">
        <f t="shared" ref="I26:I32" si="9">D26-E26</f>
        <v>3.9999999999999996</v>
      </c>
      <c r="J26" s="114">
        <f>ATAN((G26-F26)/(2*I26))/PI()*180</f>
        <v>0</v>
      </c>
      <c r="K26" s="59">
        <f>IF(J26=0,PI()/4*(F26^2-(F26-(2*H26/1000))^2)*I26*7850/1000,(I26*PI()/12)*((G26^2+G26*F26+F26^2)-((G26-2*(H26/1000))^2+(G26-(2*H26/1000))*(F26-(2*H26/1000))+(F26-(2*H26/1000))^2))*7850/1000)</f>
        <v>78.752660498662664</v>
      </c>
      <c r="L26" s="59">
        <f>MAX(F26:G26)/H26*1000</f>
        <v>69.444444444444443</v>
      </c>
      <c r="M26" s="75" t="s">
        <v>109</v>
      </c>
      <c r="N26" s="249"/>
      <c r="P26" s="118" t="s">
        <v>25</v>
      </c>
      <c r="Q26" s="118" t="s">
        <v>26</v>
      </c>
      <c r="S26" s="241"/>
      <c r="T26" s="241"/>
      <c r="U26" s="241"/>
      <c r="V26" s="241"/>
      <c r="W26" s="241"/>
      <c r="X26" s="60">
        <f>MAX('ULS MP'!N35,'ULS MP'!N63)</f>
        <v>0.58258068518446937</v>
      </c>
      <c r="Y26" s="60">
        <f>MAX('ULS MP'!O35,'ULS MP'!O63)</f>
        <v>0.49309999687768391</v>
      </c>
      <c r="AA26" s="237"/>
      <c r="AB26" s="44"/>
      <c r="AD26" s="53" t="s">
        <v>635</v>
      </c>
      <c r="AE26" s="53" t="s">
        <v>606</v>
      </c>
      <c r="AF26" s="44">
        <f>5.6-1.2</f>
        <v>4.3999999999999995</v>
      </c>
      <c r="AG26" s="44">
        <v>1.08</v>
      </c>
      <c r="AH26" s="53" t="s">
        <v>196</v>
      </c>
      <c r="AI26" s="53" t="s">
        <v>49</v>
      </c>
      <c r="AJ26" s="53"/>
      <c r="AK26" s="115">
        <f t="shared" ref="AK26:AK31" si="10">MATCH(AF26,$D$26:$D$48,-1)</f>
        <v>1</v>
      </c>
      <c r="AL26" s="113">
        <f t="shared" ref="AL26:AL31" si="11">INDEX($F$26:$F$48,AK26)+(INDEX($G$26:$G$48,AK26)-INDEX($F$26:$F$48,AK26))/(INDEX($E$26:$E$48,AK26)-INDEX($D$26:$D$48,AK26))*(AF26-INDEX($D$26:$D$48,AK26))</f>
        <v>7.5</v>
      </c>
      <c r="AM26" s="115">
        <f t="shared" ref="AM26:AM31" si="12">INDEX($H$26:$H$48,AK26)</f>
        <v>108</v>
      </c>
      <c r="AN26" s="113" cm="1">
        <f t="array" ref="AN26">MIN(ABS(AF26-INDEX($D$26:$D$48,AK26)),ABS(AF26-INDEX($E$26:$E$48,AK26)))</f>
        <v>1.2000000000000002</v>
      </c>
      <c r="AP26" s="116"/>
      <c r="AQ26" s="116"/>
      <c r="AS26" s="60">
        <f>IF(AH26="o",'FLS MP'!S156,'FLS MP'!T156)</f>
        <v>0.98477238507726161</v>
      </c>
      <c r="AU26" s="44"/>
      <c r="AV26" s="44"/>
    </row>
    <row r="27" spans="3:48">
      <c r="C27" s="112">
        <v>2</v>
      </c>
      <c r="D27" s="221">
        <f>E26</f>
        <v>1.6</v>
      </c>
      <c r="E27" s="44">
        <v>-2.2999999999999998</v>
      </c>
      <c r="F27" s="44">
        <v>7.5</v>
      </c>
      <c r="G27" s="44">
        <v>7.5</v>
      </c>
      <c r="H27" s="45">
        <v>100</v>
      </c>
      <c r="I27" s="113">
        <f t="shared" si="9"/>
        <v>3.9</v>
      </c>
      <c r="J27" s="114">
        <f t="shared" ref="J27:J32" si="13">ATAN((G27-F27)/(2*I27))/PI()*180</f>
        <v>0</v>
      </c>
      <c r="K27" s="59">
        <f t="shared" ref="K27:K32" si="14">IF(J27=0,PI()/4*(F27^2-(F27-(2*H27/1000))^2)*I27*7850/1000,(I27*PI()/12)*((G27^2+G27*F27+F27^2)-((G27-2*(H27/1000))^2+(G27-(2*H27/1000))*(F27-(2*H27/1000))+(F27-(2*H27/1000))^2))*7850/1000)</f>
        <v>71.17309572634214</v>
      </c>
      <c r="L27" s="59">
        <f t="shared" ref="L27:L32" si="15">MAX(F27:G27)/H27*1000</f>
        <v>75</v>
      </c>
      <c r="M27" s="75" t="s">
        <v>109</v>
      </c>
      <c r="N27" s="117" t="s">
        <v>265</v>
      </c>
      <c r="P27" s="110"/>
      <c r="Q27" s="110"/>
      <c r="S27" s="61">
        <f>'FLS MP'!S62</f>
        <v>0.50276954268478335</v>
      </c>
      <c r="T27" s="61">
        <f>'FLS MP'!T62</f>
        <v>0.83585624382985335</v>
      </c>
      <c r="U27" s="61">
        <f>'FLS MP'!S89</f>
        <v>0.58541993800165915</v>
      </c>
      <c r="V27" s="61">
        <f>'FLS MP'!T89</f>
        <v>0.99957698403427575</v>
      </c>
      <c r="W27" s="61">
        <f>MAX(S27:V27)</f>
        <v>0.99957698403427575</v>
      </c>
      <c r="X27" s="60">
        <f>MAX('ULS MP'!N36,'ULS MP'!N64)</f>
        <v>0.68320246207515467</v>
      </c>
      <c r="Y27" s="60">
        <f>MAX('ULS MP'!O36,'ULS MP'!O64)</f>
        <v>0.52780174508095168</v>
      </c>
      <c r="AA27" s="44"/>
      <c r="AB27" s="44"/>
      <c r="AD27" s="53" t="s">
        <v>636</v>
      </c>
      <c r="AE27" s="53" t="s">
        <v>607</v>
      </c>
      <c r="AF27" s="44">
        <f>AF26-1</f>
        <v>3.3999999999999995</v>
      </c>
      <c r="AG27" s="44">
        <v>1.4</v>
      </c>
      <c r="AH27" s="53" t="s">
        <v>196</v>
      </c>
      <c r="AI27" s="53" t="s">
        <v>446</v>
      </c>
      <c r="AJ27" s="53"/>
      <c r="AK27" s="115">
        <f t="shared" si="10"/>
        <v>1</v>
      </c>
      <c r="AL27" s="113">
        <f t="shared" si="11"/>
        <v>7.5</v>
      </c>
      <c r="AM27" s="115">
        <f t="shared" si="12"/>
        <v>108</v>
      </c>
      <c r="AN27" s="113" cm="1">
        <f t="array" ref="AN27">MIN(ABS(AF27-INDEX($D$26:$D$48,AK27)),ABS(AF27-INDEX($E$26:$E$48,AK27)))</f>
        <v>1.7999999999999994</v>
      </c>
      <c r="AP27" s="116"/>
      <c r="AQ27" s="116"/>
      <c r="AS27" s="60">
        <f>IF(AH27="o",'FLS MP'!S157,'FLS MP'!T157)</f>
        <v>1.0047435090032162</v>
      </c>
      <c r="AU27" s="44"/>
      <c r="AV27" s="44"/>
    </row>
    <row r="28" spans="3:48">
      <c r="C28" s="112">
        <v>3</v>
      </c>
      <c r="D28" s="221">
        <f t="shared" ref="D28:D36" si="16">E27</f>
        <v>-2.2999999999999998</v>
      </c>
      <c r="E28" s="44">
        <v>-6.2</v>
      </c>
      <c r="F28" s="44">
        <v>7.5</v>
      </c>
      <c r="G28" s="44">
        <v>7.5</v>
      </c>
      <c r="H28" s="45">
        <v>99</v>
      </c>
      <c r="I28" s="113">
        <f t="shared" si="9"/>
        <v>3.9000000000000004</v>
      </c>
      <c r="J28" s="114">
        <f t="shared" si="13"/>
        <v>0</v>
      </c>
      <c r="K28" s="59">
        <f t="shared" si="14"/>
        <v>70.470886575128787</v>
      </c>
      <c r="L28" s="59">
        <f t="shared" si="15"/>
        <v>75.757575757575765</v>
      </c>
      <c r="M28" s="75" t="s">
        <v>109</v>
      </c>
      <c r="N28" s="117" t="s">
        <v>49</v>
      </c>
      <c r="P28" s="110"/>
      <c r="Q28" s="110"/>
      <c r="S28" s="61">
        <f>'FLS MP'!S63</f>
        <v>0.72263535066974105</v>
      </c>
      <c r="T28" s="61">
        <f>'FLS MP'!T63</f>
        <v>0.73203229063032837</v>
      </c>
      <c r="U28" s="61">
        <f>'FLS MP'!S90</f>
        <v>0.74102237358983891</v>
      </c>
      <c r="V28" s="61">
        <f>'FLS MP'!T90</f>
        <v>0.75139137239725917</v>
      </c>
      <c r="W28" s="61">
        <f t="shared" ref="W28:W48" si="17">MAX(S28:V28)</f>
        <v>0.75139137239725917</v>
      </c>
      <c r="X28" s="60">
        <f>MAX('ULS MP'!N37,'ULS MP'!N65)</f>
        <v>0.84840666707033074</v>
      </c>
      <c r="Y28" s="60">
        <f>MAX('ULS MP'!O37,'ULS MP'!O65)</f>
        <v>0.77715346842787647</v>
      </c>
      <c r="AA28" s="44"/>
      <c r="AB28" s="44"/>
      <c r="AD28" s="53" t="s">
        <v>638</v>
      </c>
      <c r="AE28" s="53" t="s">
        <v>608</v>
      </c>
      <c r="AF28" s="44">
        <f>Control!F8*0.25-1</f>
        <v>-12.3575</v>
      </c>
      <c r="AG28" s="44">
        <v>2</v>
      </c>
      <c r="AH28" s="53" t="s">
        <v>195</v>
      </c>
      <c r="AI28" s="53" t="s">
        <v>36</v>
      </c>
      <c r="AJ28" s="53">
        <v>0.85199999999999998</v>
      </c>
      <c r="AK28" s="115">
        <f t="shared" si="10"/>
        <v>5</v>
      </c>
      <c r="AL28" s="113">
        <f t="shared" si="11"/>
        <v>8.018335192307692</v>
      </c>
      <c r="AM28" s="115">
        <f t="shared" si="12"/>
        <v>107</v>
      </c>
      <c r="AN28" s="113" cm="1">
        <f t="array" ref="AN28">MIN(ABS(AF28-INDEX($D$26:$D$48,AK28)),ABS(AF28-INDEX($E$26:$E$48,AK28)))</f>
        <v>1.6425000000000001</v>
      </c>
      <c r="AP28" s="116"/>
      <c r="AQ28" s="116"/>
      <c r="AS28" s="60">
        <f>IF(AH28="o",'FLS MP'!S158,'FLS MP'!T158)</f>
        <v>1.0019178144867187</v>
      </c>
      <c r="AU28" s="44"/>
      <c r="AV28" s="44" t="s">
        <v>644</v>
      </c>
    </row>
    <row r="29" spans="3:48">
      <c r="C29" s="112">
        <v>4</v>
      </c>
      <c r="D29" s="221">
        <f t="shared" si="16"/>
        <v>-6.2</v>
      </c>
      <c r="E29" s="44">
        <v>-10.1</v>
      </c>
      <c r="F29" s="44">
        <v>7.5</v>
      </c>
      <c r="G29" s="44">
        <v>7.8282999999999996</v>
      </c>
      <c r="H29" s="45">
        <v>99</v>
      </c>
      <c r="I29" s="113">
        <f t="shared" si="9"/>
        <v>3.8999999999999995</v>
      </c>
      <c r="J29" s="114">
        <f t="shared" si="13"/>
        <v>2.4101421139187913</v>
      </c>
      <c r="K29" s="59">
        <f t="shared" si="14"/>
        <v>72.033891038215856</v>
      </c>
      <c r="L29" s="59">
        <f t="shared" si="15"/>
        <v>79.073737373737359</v>
      </c>
      <c r="M29" s="75" t="s">
        <v>109</v>
      </c>
      <c r="N29" s="117" t="s">
        <v>36</v>
      </c>
      <c r="P29" s="110"/>
      <c r="Q29" s="110"/>
      <c r="S29" s="61">
        <f>'FLS MP'!S64</f>
        <v>0.70407435950650377</v>
      </c>
      <c r="T29" s="61">
        <f>'FLS MP'!T64</f>
        <v>0.85653090831049827</v>
      </c>
      <c r="U29" s="61">
        <f>'FLS MP'!S91</f>
        <v>0.70407435950650377</v>
      </c>
      <c r="V29" s="61">
        <f>'FLS MP'!T91</f>
        <v>0.85653090831049827</v>
      </c>
      <c r="W29" s="61">
        <f t="shared" si="17"/>
        <v>0.85653090831049827</v>
      </c>
      <c r="X29" s="60">
        <f>MAX('ULS MP'!N38,'ULS MP'!N66)</f>
        <v>0.81225911077232194</v>
      </c>
      <c r="Y29" s="60">
        <f>MAX('ULS MP'!O38,'ULS MP'!O66)</f>
        <v>0.74478145871350065</v>
      </c>
      <c r="AA29" s="44"/>
      <c r="AB29" s="44"/>
      <c r="AD29" s="53" t="s">
        <v>639</v>
      </c>
      <c r="AE29" s="53" t="s">
        <v>610</v>
      </c>
      <c r="AF29" s="44">
        <f>Control!F8*0.5</f>
        <v>-22.715</v>
      </c>
      <c r="AG29" s="44">
        <v>1.6</v>
      </c>
      <c r="AH29" s="53" t="s">
        <v>195</v>
      </c>
      <c r="AI29" s="53" t="s">
        <v>36</v>
      </c>
      <c r="AJ29" s="53"/>
      <c r="AK29" s="115">
        <f t="shared" si="10"/>
        <v>8</v>
      </c>
      <c r="AL29" s="113">
        <f t="shared" si="11"/>
        <v>8.8901242307692314</v>
      </c>
      <c r="AM29" s="115">
        <f t="shared" si="12"/>
        <v>92</v>
      </c>
      <c r="AN29" s="113" cm="1">
        <f t="array" ref="AN29">MIN(ABS(AF29-INDEX($D$26:$D$48,AK29)),ABS(AF29-INDEX($E$26:$E$48,AK29)))</f>
        <v>0.91499999999999915</v>
      </c>
      <c r="AP29" s="116"/>
      <c r="AQ29" s="116"/>
      <c r="AS29" s="60">
        <f>IF(AH29="o",'FLS MP'!S159,'FLS MP'!T159)</f>
        <v>0.61419674617671993</v>
      </c>
      <c r="AU29" s="44"/>
      <c r="AV29" s="44"/>
    </row>
    <row r="30" spans="3:48">
      <c r="C30" s="112">
        <v>5</v>
      </c>
      <c r="D30" s="221">
        <f t="shared" si="16"/>
        <v>-10.1</v>
      </c>
      <c r="E30" s="44">
        <v>-14</v>
      </c>
      <c r="F30" s="44">
        <v>7.8282999999999996</v>
      </c>
      <c r="G30" s="44">
        <v>8.1565999999999992</v>
      </c>
      <c r="H30" s="45">
        <v>107</v>
      </c>
      <c r="I30" s="113">
        <f t="shared" si="9"/>
        <v>3.9000000000000004</v>
      </c>
      <c r="J30" s="114">
        <f t="shared" si="13"/>
        <v>2.4101421139187904</v>
      </c>
      <c r="K30" s="59">
        <f t="shared" si="14"/>
        <v>81.151097274858657</v>
      </c>
      <c r="L30" s="59">
        <f t="shared" si="15"/>
        <v>76.229906542056071</v>
      </c>
      <c r="M30" s="75" t="s">
        <v>109</v>
      </c>
      <c r="N30" s="117" t="s">
        <v>49</v>
      </c>
      <c r="P30" s="110"/>
      <c r="Q30" s="110"/>
      <c r="S30" s="61">
        <f>'FLS MP'!S65</f>
        <v>0.47596405686722387</v>
      </c>
      <c r="T30" s="61">
        <f>'FLS MP'!T65</f>
        <v>0.93183357809193335</v>
      </c>
      <c r="U30" s="61">
        <f>'FLS MP'!S92</f>
        <v>0.40313902934832235</v>
      </c>
      <c r="V30" s="61">
        <f>'FLS MP'!T92</f>
        <v>0.7577554637149766</v>
      </c>
      <c r="W30" s="61">
        <f t="shared" si="17"/>
        <v>0.93183357809193335</v>
      </c>
      <c r="X30" s="60">
        <f>MAX('ULS MP'!N39,'ULS MP'!N67)</f>
        <v>0.68080468861428223</v>
      </c>
      <c r="Y30" s="60">
        <f>MAX('ULS MP'!O39,'ULS MP'!O67)</f>
        <v>0.51317731320661042</v>
      </c>
      <c r="AA30" s="44"/>
      <c r="AB30" s="44"/>
      <c r="AD30" s="53" t="s">
        <v>640</v>
      </c>
      <c r="AE30" s="53" t="s">
        <v>611</v>
      </c>
      <c r="AF30" s="44">
        <f>Control!F8*0.5-1</f>
        <v>-23.715</v>
      </c>
      <c r="AG30" s="44">
        <v>1.25</v>
      </c>
      <c r="AH30" s="53" t="s">
        <v>195</v>
      </c>
      <c r="AI30" s="53" t="s">
        <v>446</v>
      </c>
      <c r="AJ30" s="53"/>
      <c r="AK30" s="115">
        <f t="shared" si="10"/>
        <v>8</v>
      </c>
      <c r="AL30" s="113">
        <f t="shared" si="11"/>
        <v>8.9743037179487182</v>
      </c>
      <c r="AM30" s="115">
        <f t="shared" si="12"/>
        <v>92</v>
      </c>
      <c r="AN30" s="113" cm="1">
        <f t="array" ref="AN30">MIN(ABS(AF30-INDEX($D$26:$D$48,AK30)),ABS(AF30-INDEX($E$26:$E$48,AK30)))</f>
        <v>1.9149999999999991</v>
      </c>
      <c r="AP30" s="116"/>
      <c r="AQ30" s="116"/>
      <c r="AS30" s="60">
        <f>IF(AH30="o",'FLS MP'!S160,'FLS MP'!T160)</f>
        <v>0.74940288287898071</v>
      </c>
      <c r="AU30" s="44"/>
      <c r="AV30" s="44"/>
    </row>
    <row r="31" spans="3:48">
      <c r="C31" s="112">
        <v>6</v>
      </c>
      <c r="D31" s="221">
        <f t="shared" si="16"/>
        <v>-14</v>
      </c>
      <c r="E31" s="44">
        <v>-17.899999999999999</v>
      </c>
      <c r="F31" s="44">
        <v>8.1565999999999992</v>
      </c>
      <c r="G31" s="44">
        <v>8.4847999999999999</v>
      </c>
      <c r="H31" s="45">
        <v>96</v>
      </c>
      <c r="I31" s="113">
        <f t="shared" si="9"/>
        <v>3.8999999999999986</v>
      </c>
      <c r="J31" s="114">
        <f t="shared" si="13"/>
        <v>2.4094088512562686</v>
      </c>
      <c r="K31" s="59">
        <f t="shared" si="14"/>
        <v>75.940846757247002</v>
      </c>
      <c r="L31" s="59">
        <f t="shared" si="15"/>
        <v>88.383333333333326</v>
      </c>
      <c r="M31" s="75" t="s">
        <v>109</v>
      </c>
      <c r="N31" s="117" t="s">
        <v>49</v>
      </c>
      <c r="P31" s="110"/>
      <c r="Q31" s="110"/>
      <c r="S31" s="61">
        <f>'FLS MP'!S66</f>
        <v>0.31020150537277369</v>
      </c>
      <c r="T31" s="61">
        <f>'FLS MP'!T66</f>
        <v>0.72719737064102496</v>
      </c>
      <c r="U31" s="61">
        <f>'FLS MP'!S93</f>
        <v>0.38087780749430178</v>
      </c>
      <c r="V31" s="61">
        <f>'FLS MP'!T93</f>
        <v>0.9706724782694045</v>
      </c>
      <c r="W31" s="61">
        <f t="shared" si="17"/>
        <v>0.9706724782694045</v>
      </c>
      <c r="X31" s="60">
        <f>MAX('ULS MP'!N40,'ULS MP'!N68)</f>
        <v>0.70740625478659924</v>
      </c>
      <c r="Y31" s="60">
        <f>MAX('ULS MP'!O40,'ULS MP'!O68)</f>
        <v>0.51630377032215713</v>
      </c>
      <c r="AA31" s="44"/>
      <c r="AB31" s="44"/>
      <c r="AD31" s="53" t="s">
        <v>609</v>
      </c>
      <c r="AE31" s="53" t="s">
        <v>608</v>
      </c>
      <c r="AF31" s="44">
        <f>Control!F8*0.75-1.5</f>
        <v>-35.572499999999998</v>
      </c>
      <c r="AG31" s="44">
        <v>2</v>
      </c>
      <c r="AH31" s="53" t="s">
        <v>195</v>
      </c>
      <c r="AI31" s="53" t="s">
        <v>36</v>
      </c>
      <c r="AJ31" s="53">
        <v>0.84599999999999997</v>
      </c>
      <c r="AK31" s="115">
        <f t="shared" si="10"/>
        <v>11</v>
      </c>
      <c r="AL31" s="113">
        <f t="shared" si="11"/>
        <v>9.8000000000000007</v>
      </c>
      <c r="AM31" s="115">
        <f t="shared" si="12"/>
        <v>92</v>
      </c>
      <c r="AN31" s="113" cm="1">
        <f t="array" ref="AN31">MIN(ABS(AF31-INDEX($D$26:$D$48,AK31)),ABS(AF31-INDEX($E$26:$E$48,AK31)))</f>
        <v>1.2274999999999991</v>
      </c>
      <c r="AP31" s="116"/>
      <c r="AQ31" s="116"/>
      <c r="AS31" s="60">
        <f>IF(AH31="o",'FLS MP'!S161,'FLS MP'!T161)</f>
        <v>0.89898711498874362</v>
      </c>
      <c r="AU31" s="44"/>
      <c r="AV31" s="44" t="s">
        <v>644</v>
      </c>
    </row>
    <row r="32" spans="3:48">
      <c r="C32" s="112">
        <v>7</v>
      </c>
      <c r="D32" s="221">
        <f t="shared" si="16"/>
        <v>-17.899999999999999</v>
      </c>
      <c r="E32" s="44">
        <v>-21.8</v>
      </c>
      <c r="F32" s="44">
        <v>8.4847999999999999</v>
      </c>
      <c r="G32" s="44">
        <v>8.8131000000000004</v>
      </c>
      <c r="H32" s="45">
        <v>92</v>
      </c>
      <c r="I32" s="113">
        <f t="shared" si="9"/>
        <v>3.9000000000000021</v>
      </c>
      <c r="J32" s="114">
        <f t="shared" si="13"/>
        <v>2.4101421139187957</v>
      </c>
      <c r="K32" s="59">
        <f t="shared" si="14"/>
        <v>75.716574561821574</v>
      </c>
      <c r="L32" s="59">
        <f t="shared" si="15"/>
        <v>95.794565217391309</v>
      </c>
      <c r="M32" s="75" t="s">
        <v>109</v>
      </c>
      <c r="N32" s="117" t="s">
        <v>49</v>
      </c>
      <c r="P32" s="110"/>
      <c r="Q32" s="110"/>
      <c r="S32" s="61">
        <f>'FLS MP'!S67</f>
        <v>0.45603692559739994</v>
      </c>
      <c r="T32" s="61">
        <f>'FLS MP'!T67</f>
        <v>0.6282047560851467</v>
      </c>
      <c r="U32" s="61">
        <f>'FLS MP'!S94</f>
        <v>0.50149078386636059</v>
      </c>
      <c r="V32" s="61">
        <f>'FLS MP'!T94</f>
        <v>0.69985473108671137</v>
      </c>
      <c r="W32" s="61">
        <f t="shared" si="17"/>
        <v>0.69985473108671137</v>
      </c>
      <c r="X32" s="60">
        <f>MAX('ULS MP'!N41,'ULS MP'!N69)</f>
        <v>0.80647393668651823</v>
      </c>
      <c r="Y32" s="60">
        <f>MAX('ULS MP'!O41,'ULS MP'!O69)</f>
        <v>0.52297042752529466</v>
      </c>
      <c r="AA32" s="44"/>
      <c r="AB32" s="44"/>
      <c r="AD32" s="53" t="s">
        <v>502</v>
      </c>
      <c r="AE32" s="53" t="s">
        <v>503</v>
      </c>
      <c r="AF32" s="44">
        <f>Control!F8+4.4</f>
        <v>-41.03</v>
      </c>
      <c r="AG32" s="44">
        <v>2.1</v>
      </c>
      <c r="AH32" s="53" t="s">
        <v>195</v>
      </c>
      <c r="AI32" s="53" t="s">
        <v>36</v>
      </c>
      <c r="AJ32" s="53">
        <v>0.84599999999999997</v>
      </c>
      <c r="AK32" s="115">
        <f>MATCH(AF32,$D$26:$D$48,-1)</f>
        <v>13</v>
      </c>
      <c r="AL32" s="113">
        <f>INDEX($F$26:$F$48,AK32)+(INDEX($G$26:$G$48,AK32)-INDEX($F$26:$F$48,AK32))/(INDEX($E$26:$E$48,AK32)-INDEX($D$26:$D$48,AK32))*(AF32-INDEX($D$26:$D$48,AK32))</f>
        <v>9.8000000000000007</v>
      </c>
      <c r="AM32" s="115">
        <f>INDEX($H$26:$H$48,AK32)</f>
        <v>101</v>
      </c>
      <c r="AN32" s="113" cm="1">
        <f t="array" ref="AN32">MIN(ABS(AF32-INDEX($D$26:$D$48,AK32)),ABS(AF32-INDEX($E$26:$E$48,AK32)))</f>
        <v>0.82999999999999829</v>
      </c>
      <c r="AP32" s="116"/>
      <c r="AQ32" s="116"/>
      <c r="AS32" s="60">
        <f>IF(AH32="o",'FLS MP'!S162,'FLS MP'!T162)</f>
        <v>1.0023258543656899</v>
      </c>
      <c r="AU32" s="44"/>
      <c r="AV32" s="44" t="s">
        <v>644</v>
      </c>
    </row>
    <row r="33" spans="3:28">
      <c r="C33" s="112">
        <v>8</v>
      </c>
      <c r="D33" s="221">
        <f t="shared" si="16"/>
        <v>-21.8</v>
      </c>
      <c r="E33" s="44">
        <v>-25.7</v>
      </c>
      <c r="F33" s="44">
        <v>8.8131000000000004</v>
      </c>
      <c r="G33" s="44">
        <v>9.1414000000000009</v>
      </c>
      <c r="H33" s="45">
        <v>92</v>
      </c>
      <c r="I33" s="113">
        <f t="shared" ref="I33:I36" si="18">D33-E33</f>
        <v>3.8999999999999986</v>
      </c>
      <c r="J33" s="114">
        <f t="shared" ref="J33:J36" si="19">ATAN((G33-F33)/(2*I33))/PI()*180</f>
        <v>2.4101421139187984</v>
      </c>
      <c r="K33" s="59">
        <f t="shared" ref="K33:K36" si="20">IF(J33=0,PI()/4*(F33^2-(F33-(2*H33/1000))^2)*I33*7850/1000,(I33*PI()/12)*((G33^2+G33*F33+F33^2)-((G33-2*(H33/1000))^2+(G33-(2*H33/1000))*(F33-(2*H33/1000))+(F33-(2*H33/1000))^2))*7850/1000)</f>
        <v>78.621552553821928</v>
      </c>
      <c r="L33" s="59">
        <f t="shared" ref="L33:L36" si="21">MAX(F33:G33)/H33*1000</f>
        <v>99.363043478260877</v>
      </c>
      <c r="M33" s="75" t="s">
        <v>109</v>
      </c>
      <c r="N33" s="117" t="s">
        <v>49</v>
      </c>
      <c r="P33" s="110"/>
      <c r="Q33" s="110"/>
      <c r="S33" s="61">
        <f>'FLS MP'!S68</f>
        <v>0.5388683144198777</v>
      </c>
      <c r="T33" s="61">
        <f>'FLS MP'!T68</f>
        <v>0.50577741247867225</v>
      </c>
      <c r="U33" s="61">
        <f>'FLS MP'!S95</f>
        <v>0.5388683144198777</v>
      </c>
      <c r="V33" s="61">
        <f>'FLS MP'!T95</f>
        <v>0.50577741247867225</v>
      </c>
      <c r="W33" s="61">
        <f t="shared" si="17"/>
        <v>0.5388683144198777</v>
      </c>
      <c r="X33" s="60">
        <f>MAX('ULS MP'!N42,'ULS MP'!N70)</f>
        <v>0.81467465441827336</v>
      </c>
      <c r="Y33" s="60">
        <f>MAX('ULS MP'!O42,'ULS MP'!O70)</f>
        <v>0.51035057822706476</v>
      </c>
      <c r="AA33" s="44"/>
      <c r="AB33" s="44"/>
    </row>
    <row r="34" spans="3:28">
      <c r="C34" s="112">
        <v>9</v>
      </c>
      <c r="D34" s="221">
        <f t="shared" si="16"/>
        <v>-25.7</v>
      </c>
      <c r="E34" s="44">
        <v>-29.6</v>
      </c>
      <c r="F34" s="44">
        <v>9.1414000000000009</v>
      </c>
      <c r="G34" s="44">
        <v>9.4696999999999996</v>
      </c>
      <c r="H34" s="45">
        <v>92</v>
      </c>
      <c r="I34" s="113">
        <f t="shared" si="18"/>
        <v>3.9000000000000021</v>
      </c>
      <c r="J34" s="114">
        <f t="shared" si="19"/>
        <v>2.4101421139187829</v>
      </c>
      <c r="K34" s="59">
        <f t="shared" si="20"/>
        <v>81.526530545821771</v>
      </c>
      <c r="L34" s="59">
        <f t="shared" si="21"/>
        <v>102.93152173913043</v>
      </c>
      <c r="M34" s="75" t="s">
        <v>109</v>
      </c>
      <c r="N34" s="117" t="s">
        <v>49</v>
      </c>
      <c r="P34" s="110"/>
      <c r="Q34" s="110"/>
      <c r="S34" s="61">
        <f>'FLS MP'!S69</f>
        <v>0.48399085169159006</v>
      </c>
      <c r="T34" s="61">
        <f>'FLS MP'!T69</f>
        <v>0.45633906218777476</v>
      </c>
      <c r="U34" s="61">
        <f>'FLS MP'!S96</f>
        <v>0.48399085169159006</v>
      </c>
      <c r="V34" s="61">
        <f>'FLS MP'!T96</f>
        <v>0.45633906218777476</v>
      </c>
      <c r="W34" s="61">
        <f t="shared" si="17"/>
        <v>0.48399085169159006</v>
      </c>
      <c r="X34" s="60">
        <f>MAX('ULS MP'!N43,'ULS MP'!N71)</f>
        <v>0.81950568965792225</v>
      </c>
      <c r="Y34" s="60">
        <f>MAX('ULS MP'!O43,'ULS MP'!O71)</f>
        <v>0.50006418422184817</v>
      </c>
      <c r="AA34" s="44"/>
      <c r="AB34" s="44"/>
    </row>
    <row r="35" spans="3:28">
      <c r="C35" s="112">
        <v>10</v>
      </c>
      <c r="D35" s="221">
        <f t="shared" si="16"/>
        <v>-29.6</v>
      </c>
      <c r="E35" s="44">
        <v>-33.5</v>
      </c>
      <c r="F35" s="44">
        <v>9.4696999999999996</v>
      </c>
      <c r="G35" s="44">
        <v>9.8000000000000007</v>
      </c>
      <c r="H35" s="45">
        <v>92</v>
      </c>
      <c r="I35" s="113">
        <f t="shared" si="18"/>
        <v>3.8999999999999986</v>
      </c>
      <c r="J35" s="114">
        <f t="shared" si="19"/>
        <v>2.4248072009611419</v>
      </c>
      <c r="K35" s="59">
        <f t="shared" si="20"/>
        <v>84.440357084858348</v>
      </c>
      <c r="L35" s="59">
        <f t="shared" si="21"/>
        <v>106.5217391304348</v>
      </c>
      <c r="M35" s="75" t="s">
        <v>109</v>
      </c>
      <c r="N35" s="117" t="s">
        <v>49</v>
      </c>
      <c r="P35" s="110"/>
      <c r="Q35" s="110"/>
      <c r="S35" s="61">
        <f>'FLS MP'!S70</f>
        <v>0.44622111297038469</v>
      </c>
      <c r="T35" s="61">
        <f>'FLS MP'!T70</f>
        <v>0.42235099327035852</v>
      </c>
      <c r="U35" s="61">
        <f>'FLS MP'!S97</f>
        <v>0.44622111297038469</v>
      </c>
      <c r="V35" s="61">
        <f>'FLS MP'!T97</f>
        <v>0.42235099327035852</v>
      </c>
      <c r="W35" s="61">
        <f t="shared" si="17"/>
        <v>0.44622111297038469</v>
      </c>
      <c r="X35" s="60">
        <f>MAX('ULS MP'!N44,'ULS MP'!N72)</f>
        <v>0.82469008611554417</v>
      </c>
      <c r="Y35" s="60">
        <f>MAX('ULS MP'!O44,'ULS MP'!O72)</f>
        <v>0.70138078811428572</v>
      </c>
      <c r="AA35" s="44"/>
      <c r="AB35" s="44"/>
    </row>
    <row r="36" spans="3:28">
      <c r="C36" s="112">
        <v>11</v>
      </c>
      <c r="D36" s="221">
        <f t="shared" si="16"/>
        <v>-33.5</v>
      </c>
      <c r="E36" s="44">
        <v>-36.799999999999997</v>
      </c>
      <c r="F36" s="44">
        <v>9.8000000000000007</v>
      </c>
      <c r="G36" s="44">
        <v>9.8000000000000007</v>
      </c>
      <c r="H36" s="45">
        <v>92</v>
      </c>
      <c r="I36" s="113">
        <f t="shared" si="18"/>
        <v>3.2999999999999972</v>
      </c>
      <c r="J36" s="114">
        <f t="shared" si="19"/>
        <v>0</v>
      </c>
      <c r="K36" s="59">
        <f t="shared" si="20"/>
        <v>72.686049300526335</v>
      </c>
      <c r="L36" s="59">
        <f t="shared" si="21"/>
        <v>106.5217391304348</v>
      </c>
      <c r="M36" s="75" t="s">
        <v>109</v>
      </c>
      <c r="N36" s="117" t="s">
        <v>266</v>
      </c>
      <c r="P36" s="110"/>
      <c r="Q36" s="110"/>
      <c r="S36" s="61">
        <f>'FLS MP'!S71</f>
        <v>0.44397239234095098</v>
      </c>
      <c r="T36" s="61">
        <f>'FLS MP'!T71</f>
        <v>0.38449818546215286</v>
      </c>
      <c r="U36" s="61">
        <f>'FLS MP'!S98</f>
        <v>0.44397239234095098</v>
      </c>
      <c r="V36" s="61">
        <f>'FLS MP'!T98</f>
        <v>0.38449818546215286</v>
      </c>
      <c r="W36" s="61">
        <f t="shared" si="17"/>
        <v>0.44397239234095098</v>
      </c>
      <c r="X36" s="60">
        <f>MAX('ULS MP'!N45,'ULS MP'!N73)</f>
        <v>0.99260543461750173</v>
      </c>
      <c r="Y36" s="60">
        <f>MAX('ULS MP'!O45,'ULS MP'!O73)</f>
        <v>0.70138078811428572</v>
      </c>
      <c r="AA36" s="44"/>
      <c r="AB36" s="44"/>
    </row>
    <row r="37" spans="3:28">
      <c r="C37" s="112">
        <v>12</v>
      </c>
      <c r="D37" s="221">
        <f t="shared" ref="D37:D48" si="22">E36</f>
        <v>-36.799999999999997</v>
      </c>
      <c r="E37" s="44">
        <v>-40.200000000000003</v>
      </c>
      <c r="F37" s="44">
        <v>9.8000000000000007</v>
      </c>
      <c r="G37" s="44">
        <v>9.8000000000000007</v>
      </c>
      <c r="H37" s="45">
        <v>92</v>
      </c>
      <c r="I37" s="113">
        <f t="shared" ref="I37" si="23">D37-E37</f>
        <v>3.4000000000000057</v>
      </c>
      <c r="J37" s="114">
        <f t="shared" ref="J37" si="24">ATAN((G37-F37)/(2*I37))/PI()*180</f>
        <v>0</v>
      </c>
      <c r="K37" s="59">
        <f t="shared" ref="K37" si="25">IF(J37=0,PI()/4*(F37^2-(F37-(2*H37/1000))^2)*I37*7850/1000,(I37*PI()/12)*((G37^2+G37*F37+F37^2)-((G37-2*(H37/1000))^2+(G37-(2*H37/1000))*(F37-(2*H37/1000))+(F37-(2*H37/1000))^2))*7850/1000)</f>
        <v>74.88865685508793</v>
      </c>
      <c r="L37" s="59">
        <f t="shared" ref="L37" si="26">MAX(F37:G37)/H37*1000</f>
        <v>106.5217391304348</v>
      </c>
      <c r="M37" s="75" t="s">
        <v>109</v>
      </c>
      <c r="N37" s="117" t="s">
        <v>49</v>
      </c>
      <c r="P37" s="110"/>
      <c r="Q37" s="110"/>
      <c r="S37" s="61">
        <f>'FLS MP'!S72</f>
        <v>0.47541336112857113</v>
      </c>
      <c r="T37" s="61">
        <f>'FLS MP'!T72</f>
        <v>0.45019360116346629</v>
      </c>
      <c r="U37" s="61">
        <f>'FLS MP'!S99</f>
        <v>0.47541336112857113</v>
      </c>
      <c r="V37" s="61">
        <f>'FLS MP'!T99</f>
        <v>0.45019360116346629</v>
      </c>
      <c r="W37" s="61">
        <f t="shared" si="17"/>
        <v>0.47541336112857113</v>
      </c>
      <c r="X37" s="60">
        <f>MAX('ULS MP'!N46,'ULS MP'!N74)</f>
        <v>0.89168955696960484</v>
      </c>
      <c r="Y37" s="60">
        <f>MAX('ULS MP'!O46,'ULS MP'!O74)</f>
        <v>0.50697531198221835</v>
      </c>
      <c r="AA37" s="44"/>
      <c r="AB37" s="44"/>
    </row>
    <row r="38" spans="3:28">
      <c r="C38" s="112">
        <v>13</v>
      </c>
      <c r="D38" s="221">
        <f t="shared" si="22"/>
        <v>-40.200000000000003</v>
      </c>
      <c r="E38" s="44">
        <v>-43.8</v>
      </c>
      <c r="F38" s="44">
        <v>9.8000000000000007</v>
      </c>
      <c r="G38" s="44">
        <v>9.8000000000000007</v>
      </c>
      <c r="H38" s="45">
        <v>101</v>
      </c>
      <c r="I38" s="113">
        <f>D38-E38</f>
        <v>3.5999999999999943</v>
      </c>
      <c r="J38" s="114">
        <f>ATAN((G38-F38)/(2*I38))/PI()*180</f>
        <v>0</v>
      </c>
      <c r="K38" s="59">
        <f>IF(J38=0,PI()/4*(F38^2-(F38-(2*H38/1000))^2)*I38*7850/1000,(I38*PI()/12)*((G38^2+G38*F38+F38^2)-((G38-2*(H38/1000))^2+(G38-(2*H38/1000))*(F38-(2*H38/1000))+(F38-(2*H38/1000))^2))*7850/1000)</f>
        <v>86.970178877873934</v>
      </c>
      <c r="L38" s="59">
        <f>MAX(F38:G38)/H38*1000</f>
        <v>97.029702970297038</v>
      </c>
      <c r="M38" s="75" t="s">
        <v>123</v>
      </c>
      <c r="N38" s="117" t="s">
        <v>49</v>
      </c>
      <c r="P38" s="110"/>
      <c r="Q38" s="110"/>
      <c r="S38" s="61">
        <f>'FLS MP'!S73</f>
        <v>0.36021697069317749</v>
      </c>
      <c r="T38" s="61">
        <f>'FLS MP'!T73</f>
        <v>0.78364648160856565</v>
      </c>
      <c r="U38" s="61">
        <f>'FLS MP'!S100</f>
        <v>0.30267573890962518</v>
      </c>
      <c r="V38" s="61">
        <f>'FLS MP'!T100</f>
        <v>0.61661117665111664</v>
      </c>
      <c r="W38" s="61">
        <f t="shared" si="17"/>
        <v>0.78364648160856565</v>
      </c>
      <c r="X38" s="60">
        <f>MAX('ULS MP'!N47,'ULS MP'!N75)</f>
        <v>0.81935232499596766</v>
      </c>
      <c r="Y38" s="60">
        <f>MAX('ULS MP'!O47,'ULS MP'!O75)</f>
        <v>0.44934127047303296</v>
      </c>
      <c r="AA38" s="44"/>
      <c r="AB38" s="44"/>
    </row>
    <row r="39" spans="3:28">
      <c r="C39" s="112">
        <v>14</v>
      </c>
      <c r="D39" s="221">
        <f t="shared" si="22"/>
        <v>-43.8</v>
      </c>
      <c r="E39" s="44">
        <v>-47.8</v>
      </c>
      <c r="F39" s="44">
        <v>9.8000000000000007</v>
      </c>
      <c r="G39" s="44">
        <v>9.8000000000000007</v>
      </c>
      <c r="H39" s="45">
        <v>92</v>
      </c>
      <c r="I39" s="113">
        <f t="shared" ref="I39" si="27">D39-E39</f>
        <v>4</v>
      </c>
      <c r="J39" s="114">
        <f t="shared" ref="J39" si="28">ATAN((G39-F39)/(2*I39))/PI()*180</f>
        <v>0</v>
      </c>
      <c r="K39" s="59">
        <f t="shared" ref="K39" si="29">IF(J39=0,PI()/4*(F39^2-(F39-(2*H39/1000))^2)*I39*7850/1000,(I39*PI()/12)*((G39^2+G39*F39+F39^2)-((G39-2*(H39/1000))^2+(G39-(2*H39/1000))*(F39-(2*H39/1000))+(F39-(2*H39/1000))^2))*7850/1000)</f>
        <v>88.104302182456252</v>
      </c>
      <c r="L39" s="59">
        <f t="shared" ref="L39" si="30">MAX(F39:G39)/H39*1000</f>
        <v>106.5217391304348</v>
      </c>
      <c r="M39" s="75" t="s">
        <v>109</v>
      </c>
      <c r="N39" s="117" t="s">
        <v>49</v>
      </c>
      <c r="P39" s="110"/>
      <c r="Q39" s="110"/>
      <c r="S39" s="61">
        <f>'FLS MP'!S74</f>
        <v>0.34250820736681986</v>
      </c>
      <c r="T39" s="61">
        <f>'FLS MP'!T74</f>
        <v>0.72886159739504341</v>
      </c>
      <c r="U39" s="61">
        <f>'FLS MP'!S101</f>
        <v>0.41332292687064764</v>
      </c>
      <c r="V39" s="61">
        <f>'FLS MP'!T101</f>
        <v>0.93442824762409304</v>
      </c>
      <c r="W39" s="61">
        <f t="shared" si="17"/>
        <v>0.93442824762409304</v>
      </c>
      <c r="X39" s="60">
        <f>MAX('ULS MP'!N48,'ULS MP'!N76)</f>
        <v>0.94222253155602287</v>
      </c>
      <c r="Y39" s="60">
        <f>MAX('ULS MP'!O48,'ULS MP'!O76)</f>
        <v>0.57711447337972344</v>
      </c>
      <c r="AA39" s="44"/>
      <c r="AB39" s="44"/>
    </row>
    <row r="40" spans="3:28">
      <c r="C40" s="112">
        <v>15</v>
      </c>
      <c r="D40" s="221">
        <f t="shared" si="22"/>
        <v>-47.8</v>
      </c>
      <c r="E40" s="44">
        <v>-51.8</v>
      </c>
      <c r="F40" s="44">
        <v>9.8000000000000007</v>
      </c>
      <c r="G40" s="44">
        <v>9.8000000000000007</v>
      </c>
      <c r="H40" s="45">
        <v>90</v>
      </c>
      <c r="I40" s="113">
        <f t="shared" ref="I40:I48" si="31">D40-E40</f>
        <v>4</v>
      </c>
      <c r="J40" s="114">
        <f t="shared" ref="J40:J48" si="32">ATAN((G40-F40)/(2*I40))/PI()*180</f>
        <v>0</v>
      </c>
      <c r="K40" s="59">
        <f t="shared" ref="K40:K48" si="33">IF(J40=0,PI()/4*(F40^2-(F40-(2*H40/1000))^2)*I40*7850/1000,(I40*PI()/12)*((G40^2+G40*F40+F40^2)-((G40-2*(H40/1000))^2+(G40-(2*H40/1000))*(F40-(2*H40/1000))+(F40-(2*H40/1000))^2))*7850/1000)</f>
        <v>86.206747547124479</v>
      </c>
      <c r="L40" s="59">
        <f t="shared" ref="L40:L48" si="34">MAX(F40:G40)/H40*1000</f>
        <v>108.8888888888889</v>
      </c>
      <c r="M40" s="75" t="s">
        <v>109</v>
      </c>
      <c r="N40" s="117" t="s">
        <v>49</v>
      </c>
      <c r="P40" s="110"/>
      <c r="Q40" s="110"/>
      <c r="S40" s="61">
        <f>'FLS MP'!S75</f>
        <v>0.75139459088337412</v>
      </c>
      <c r="T40" s="61">
        <f>'FLS MP'!T75</f>
        <v>0.88211642534423595</v>
      </c>
      <c r="U40" s="61">
        <f>'FLS MP'!S102</f>
        <v>0.79503684804666619</v>
      </c>
      <c r="V40" s="61">
        <f>'FLS MP'!T102</f>
        <v>0.93627980749566497</v>
      </c>
      <c r="W40" s="61">
        <f t="shared" si="17"/>
        <v>0.93627980749566497</v>
      </c>
      <c r="X40" s="60">
        <f>MAX('ULS MP'!N49,'ULS MP'!N77)</f>
        <v>0.75662817778556224</v>
      </c>
      <c r="Y40" s="60">
        <f>MAX('ULS MP'!O49,'ULS MP'!O77)</f>
        <v>0.6201323915862671</v>
      </c>
      <c r="AA40" s="44"/>
      <c r="AB40" s="44"/>
    </row>
    <row r="41" spans="3:28">
      <c r="C41" s="112">
        <v>16</v>
      </c>
      <c r="D41" s="221">
        <f t="shared" si="22"/>
        <v>-51.8</v>
      </c>
      <c r="E41" s="44">
        <v>-55.8</v>
      </c>
      <c r="F41" s="44">
        <v>9.8000000000000007</v>
      </c>
      <c r="G41" s="44">
        <v>9.8000000000000007</v>
      </c>
      <c r="H41" s="45">
        <v>80</v>
      </c>
      <c r="I41" s="113">
        <f t="shared" si="31"/>
        <v>4</v>
      </c>
      <c r="J41" s="114">
        <f t="shared" si="32"/>
        <v>0</v>
      </c>
      <c r="K41" s="59">
        <f t="shared" si="33"/>
        <v>76.707136849346995</v>
      </c>
      <c r="L41" s="59">
        <f t="shared" si="34"/>
        <v>122.50000000000001</v>
      </c>
      <c r="M41" s="75" t="s">
        <v>109</v>
      </c>
      <c r="N41" s="117" t="s">
        <v>266</v>
      </c>
      <c r="P41" s="110"/>
      <c r="Q41" s="110"/>
      <c r="S41" s="61">
        <f>'FLS MP'!S76</f>
        <v>0.62871274377313791</v>
      </c>
      <c r="T41" s="61">
        <f>'FLS MP'!T76</f>
        <v>0.59042642298104486</v>
      </c>
      <c r="U41" s="61">
        <f>'FLS MP'!S103</f>
        <v>0.84813431625238922</v>
      </c>
      <c r="V41" s="61">
        <f>'FLS MP'!T103</f>
        <v>0.83078421277144276</v>
      </c>
      <c r="W41" s="61">
        <f t="shared" si="17"/>
        <v>0.84813431625238922</v>
      </c>
      <c r="X41" s="60">
        <f>MAX('ULS MP'!N50,'ULS MP'!N78)</f>
        <v>0.88581124725851068</v>
      </c>
      <c r="Y41" s="60">
        <f>MAX('ULS MP'!O50,'ULS MP'!O78)</f>
        <v>0.70188999195632129</v>
      </c>
      <c r="AA41" s="44"/>
      <c r="AB41" s="44"/>
    </row>
    <row r="42" spans="3:28">
      <c r="C42" s="112">
        <v>17</v>
      </c>
      <c r="D42" s="221">
        <f t="shared" si="22"/>
        <v>-55.8</v>
      </c>
      <c r="E42" s="44">
        <v>-59.8</v>
      </c>
      <c r="F42" s="44">
        <v>9.8000000000000007</v>
      </c>
      <c r="G42" s="44">
        <v>9.8000000000000007</v>
      </c>
      <c r="H42" s="45">
        <v>80</v>
      </c>
      <c r="I42" s="113">
        <f t="shared" si="31"/>
        <v>4</v>
      </c>
      <c r="J42" s="114">
        <f t="shared" si="32"/>
        <v>0</v>
      </c>
      <c r="K42" s="59">
        <f t="shared" si="33"/>
        <v>76.707136849346995</v>
      </c>
      <c r="L42" s="59">
        <f t="shared" si="34"/>
        <v>122.50000000000001</v>
      </c>
      <c r="M42" s="75" t="s">
        <v>109</v>
      </c>
      <c r="N42" s="117" t="s">
        <v>265</v>
      </c>
      <c r="P42" s="110"/>
      <c r="Q42" s="110"/>
      <c r="S42" s="61">
        <f>'FLS MP'!S77</f>
        <v>0.5951497349991357</v>
      </c>
      <c r="T42" s="61">
        <f>'FLS MP'!T77</f>
        <v>0.56550847491028522</v>
      </c>
      <c r="U42" s="61">
        <f>'FLS MP'!S104</f>
        <v>0.5951497349991357</v>
      </c>
      <c r="V42" s="61">
        <f>'FLS MP'!T104</f>
        <v>0.56550847491028522</v>
      </c>
      <c r="W42" s="61">
        <f t="shared" si="17"/>
        <v>0.5951497349991357</v>
      </c>
      <c r="X42" s="60">
        <f>MAX('ULS MP'!N51,'ULS MP'!N79)</f>
        <v>0.90832625775217968</v>
      </c>
      <c r="Y42" s="60">
        <f>MAX('ULS MP'!O51,'ULS MP'!O79)</f>
        <v>0.71623815935211288</v>
      </c>
      <c r="AA42" s="44"/>
      <c r="AB42" s="44"/>
    </row>
    <row r="43" spans="3:28">
      <c r="C43" s="112">
        <v>18</v>
      </c>
      <c r="D43" s="221">
        <f t="shared" si="22"/>
        <v>-59.8</v>
      </c>
      <c r="E43" s="44">
        <v>-63.8</v>
      </c>
      <c r="F43" s="44">
        <v>9.8000000000000007</v>
      </c>
      <c r="G43" s="44">
        <v>9.8000000000000007</v>
      </c>
      <c r="H43" s="45">
        <v>80</v>
      </c>
      <c r="I43" s="113">
        <f t="shared" si="31"/>
        <v>4</v>
      </c>
      <c r="J43" s="114">
        <f t="shared" si="32"/>
        <v>0</v>
      </c>
      <c r="K43" s="59">
        <f t="shared" si="33"/>
        <v>76.707136849346995</v>
      </c>
      <c r="L43" s="59">
        <f t="shared" si="34"/>
        <v>122.50000000000001</v>
      </c>
      <c r="M43" s="75" t="s">
        <v>109</v>
      </c>
      <c r="N43" s="117" t="s">
        <v>265</v>
      </c>
      <c r="P43" s="110"/>
      <c r="Q43" s="110"/>
      <c r="S43" s="61">
        <f>'FLS MP'!S78</f>
        <v>0.60621521207370932</v>
      </c>
      <c r="T43" s="61">
        <f>'FLS MP'!T78</f>
        <v>0.5758688141350542</v>
      </c>
      <c r="U43" s="61">
        <f>'FLS MP'!S105</f>
        <v>0.60621521207370932</v>
      </c>
      <c r="V43" s="61">
        <f>'FLS MP'!T105</f>
        <v>0.5758688141350542</v>
      </c>
      <c r="W43" s="61">
        <f t="shared" si="17"/>
        <v>0.60621521207370932</v>
      </c>
      <c r="X43" s="60">
        <f>MAX('ULS MP'!N52,'ULS MP'!N80)</f>
        <v>0.90860927589393004</v>
      </c>
      <c r="Y43" s="60">
        <f>MAX('ULS MP'!O52,'ULS MP'!O80)</f>
        <v>0.71623815935211288</v>
      </c>
      <c r="AA43" s="44"/>
      <c r="AB43" s="44"/>
    </row>
    <row r="44" spans="3:28">
      <c r="C44" s="112">
        <v>19</v>
      </c>
      <c r="D44" s="221">
        <f t="shared" si="22"/>
        <v>-63.8</v>
      </c>
      <c r="E44" s="44">
        <v>-67.8</v>
      </c>
      <c r="F44" s="44">
        <v>9.8000000000000007</v>
      </c>
      <c r="G44" s="44">
        <v>9.8000000000000007</v>
      </c>
      <c r="H44" s="45">
        <v>80</v>
      </c>
      <c r="I44" s="113">
        <f t="shared" si="31"/>
        <v>4</v>
      </c>
      <c r="J44" s="114">
        <f t="shared" si="32"/>
        <v>0</v>
      </c>
      <c r="K44" s="59">
        <f t="shared" si="33"/>
        <v>76.707136849346995</v>
      </c>
      <c r="L44" s="59">
        <f t="shared" si="34"/>
        <v>122.50000000000001</v>
      </c>
      <c r="M44" s="75" t="s">
        <v>109</v>
      </c>
      <c r="N44" s="117" t="s">
        <v>265</v>
      </c>
      <c r="P44" s="110"/>
      <c r="Q44" s="110"/>
      <c r="S44" s="61">
        <f>'FLS MP'!S79</f>
        <v>0.44442105232218421</v>
      </c>
      <c r="T44" s="61">
        <f>'FLS MP'!T79</f>
        <v>0.42438484572451918</v>
      </c>
      <c r="U44" s="61">
        <f>'FLS MP'!S106</f>
        <v>0.44442105232218421</v>
      </c>
      <c r="V44" s="61">
        <f>'FLS MP'!T106</f>
        <v>0.42438484572451918</v>
      </c>
      <c r="W44" s="61">
        <f t="shared" si="17"/>
        <v>0.44442105232218421</v>
      </c>
      <c r="X44" s="60">
        <f>MAX('ULS MP'!N53,'ULS MP'!N81)</f>
        <v>0.86909027962190322</v>
      </c>
      <c r="Y44" s="60">
        <f>MAX('ULS MP'!O53,'ULS MP'!O81)</f>
        <v>0.70233345267765068</v>
      </c>
      <c r="AA44" s="44"/>
      <c r="AB44" s="44"/>
    </row>
    <row r="45" spans="3:28">
      <c r="C45" s="112">
        <v>20</v>
      </c>
      <c r="D45" s="221">
        <f t="shared" si="22"/>
        <v>-67.8</v>
      </c>
      <c r="E45" s="44">
        <v>-71.8</v>
      </c>
      <c r="F45" s="44">
        <v>9.8000000000000007</v>
      </c>
      <c r="G45" s="44">
        <v>9.8000000000000007</v>
      </c>
      <c r="H45" s="45">
        <v>80</v>
      </c>
      <c r="I45" s="113">
        <f t="shared" si="31"/>
        <v>4</v>
      </c>
      <c r="J45" s="114">
        <f t="shared" si="32"/>
        <v>0</v>
      </c>
      <c r="K45" s="59">
        <f t="shared" si="33"/>
        <v>76.707136849346995</v>
      </c>
      <c r="L45" s="59">
        <f t="shared" si="34"/>
        <v>122.50000000000001</v>
      </c>
      <c r="M45" s="75" t="s">
        <v>109</v>
      </c>
      <c r="N45" s="117" t="s">
        <v>49</v>
      </c>
      <c r="P45" s="110"/>
      <c r="Q45" s="110"/>
      <c r="S45" s="61">
        <f>'FLS MP'!S80</f>
        <v>0.64283618004586984</v>
      </c>
      <c r="T45" s="61">
        <f>'FLS MP'!T80</f>
        <v>0.61015614294826659</v>
      </c>
      <c r="U45" s="61">
        <f>'FLS MP'!S107</f>
        <v>0.64283618004586984</v>
      </c>
      <c r="V45" s="61">
        <f>'FLS MP'!T107</f>
        <v>0.61015614294826659</v>
      </c>
      <c r="W45" s="61">
        <f t="shared" si="17"/>
        <v>0.64283618004586984</v>
      </c>
      <c r="X45" s="60">
        <f>MAX('ULS MP'!N54,'ULS MP'!N82)</f>
        <v>0.8602728388717531</v>
      </c>
      <c r="Y45" s="60">
        <f>MAX('ULS MP'!O54,'ULS MP'!O82)</f>
        <v>0.65325021817864548</v>
      </c>
      <c r="AA45" s="44"/>
      <c r="AB45" s="44"/>
    </row>
    <row r="46" spans="3:28">
      <c r="C46" s="112">
        <v>21</v>
      </c>
      <c r="D46" s="221">
        <f t="shared" si="22"/>
        <v>-71.8</v>
      </c>
      <c r="E46" s="44">
        <v>-75.8</v>
      </c>
      <c r="F46" s="44">
        <v>9.8000000000000007</v>
      </c>
      <c r="G46" s="44">
        <v>9.8000000000000007</v>
      </c>
      <c r="H46" s="45">
        <v>87</v>
      </c>
      <c r="I46" s="113">
        <f t="shared" si="31"/>
        <v>4</v>
      </c>
      <c r="J46" s="114">
        <f t="shared" si="32"/>
        <v>0</v>
      </c>
      <c r="K46" s="59">
        <f t="shared" si="33"/>
        <v>83.358935903986861</v>
      </c>
      <c r="L46" s="59">
        <f t="shared" si="34"/>
        <v>112.64367816091955</v>
      </c>
      <c r="M46" s="75" t="s">
        <v>109</v>
      </c>
      <c r="N46" s="117" t="s">
        <v>49</v>
      </c>
      <c r="P46" s="110"/>
      <c r="Q46" s="110"/>
      <c r="S46" s="61">
        <f>'FLS MP'!S81</f>
        <v>0.20911180146896394</v>
      </c>
      <c r="T46" s="61">
        <f>'FLS MP'!T81</f>
        <v>0.32914946196448225</v>
      </c>
      <c r="U46" s="61">
        <f>'FLS MP'!S108</f>
        <v>0.19100991849301058</v>
      </c>
      <c r="V46" s="61">
        <f>'FLS MP'!T108</f>
        <v>0.28269105715795995</v>
      </c>
      <c r="W46" s="61">
        <f t="shared" si="17"/>
        <v>0.32914946196448225</v>
      </c>
      <c r="X46" s="60">
        <f>MAX('ULS MP'!N55,'ULS MP'!N83)</f>
        <v>0.67220865340947711</v>
      </c>
      <c r="Y46" s="60">
        <f>MAX('ULS MP'!O55,'ULS MP'!O83)</f>
        <v>0.55250197280721247</v>
      </c>
      <c r="AA46" s="44"/>
      <c r="AB46" s="44"/>
    </row>
    <row r="47" spans="3:28">
      <c r="C47" s="112">
        <v>22</v>
      </c>
      <c r="D47" s="221">
        <f t="shared" si="22"/>
        <v>-75.8</v>
      </c>
      <c r="E47" s="44">
        <f>E48+3</f>
        <v>-79.75</v>
      </c>
      <c r="F47" s="44">
        <v>9.8000000000000007</v>
      </c>
      <c r="G47" s="44">
        <v>9.8000000000000007</v>
      </c>
      <c r="H47" s="45">
        <v>95</v>
      </c>
      <c r="I47" s="113">
        <f t="shared" si="31"/>
        <v>3.9500000000000028</v>
      </c>
      <c r="J47" s="114">
        <f t="shared" si="32"/>
        <v>0</v>
      </c>
      <c r="K47" s="59">
        <f t="shared" si="33"/>
        <v>89.81229001474793</v>
      </c>
      <c r="L47" s="59">
        <f t="shared" si="34"/>
        <v>103.15789473684211</v>
      </c>
      <c r="M47" s="75" t="s">
        <v>109</v>
      </c>
      <c r="N47" s="117" t="s">
        <v>49</v>
      </c>
      <c r="P47" s="110"/>
      <c r="Q47" s="110"/>
      <c r="S47" s="61">
        <f>'FLS MP'!S82</f>
        <v>0.13607294819066368</v>
      </c>
      <c r="T47" s="61">
        <f>'FLS MP'!T82</f>
        <v>0.14612954563031147</v>
      </c>
      <c r="U47" s="61">
        <f>'FLS MP'!S109</f>
        <v>0.13462820677623008</v>
      </c>
      <c r="V47" s="61">
        <f>'FLS MP'!T109</f>
        <v>0.14221083695988496</v>
      </c>
      <c r="W47" s="61">
        <f t="shared" si="17"/>
        <v>0.14612954563031147</v>
      </c>
      <c r="X47" s="60">
        <f>MAX('ULS MP'!N56,'ULS MP'!N84)</f>
        <v>0.56791283193106745</v>
      </c>
      <c r="Y47" s="60">
        <f>MAX('ULS MP'!O56,'ULS MP'!O84)</f>
        <v>0.42791583042741654</v>
      </c>
      <c r="AA47" s="44"/>
      <c r="AB47" s="44"/>
    </row>
    <row r="48" spans="3:28">
      <c r="C48" s="112">
        <v>23</v>
      </c>
      <c r="D48" s="221">
        <f t="shared" si="22"/>
        <v>-79.75</v>
      </c>
      <c r="E48" s="44">
        <v>-82.75</v>
      </c>
      <c r="F48" s="44">
        <v>9.8000000000000007</v>
      </c>
      <c r="G48" s="44">
        <v>9.8000000000000007</v>
      </c>
      <c r="H48" s="45">
        <v>105</v>
      </c>
      <c r="I48" s="113">
        <f t="shared" si="31"/>
        <v>3</v>
      </c>
      <c r="J48" s="114">
        <f t="shared" si="32"/>
        <v>0</v>
      </c>
      <c r="K48" s="59">
        <f t="shared" si="33"/>
        <v>75.314378505222052</v>
      </c>
      <c r="L48" s="59">
        <f t="shared" si="34"/>
        <v>93.333333333333343</v>
      </c>
      <c r="M48" s="75" t="s">
        <v>109</v>
      </c>
      <c r="N48" s="117" t="s">
        <v>49</v>
      </c>
      <c r="P48" s="110"/>
      <c r="Q48" s="110"/>
      <c r="S48" s="61">
        <f>'FLS MP'!S83</f>
        <v>0.13003340006883779</v>
      </c>
      <c r="T48" s="61">
        <f>'FLS MP'!T83</f>
        <v>0.13010291901006688</v>
      </c>
      <c r="U48" s="61">
        <f>'FLS MP'!S110</f>
        <v>0.13002454666829658</v>
      </c>
      <c r="V48" s="61">
        <f>'FLS MP'!T110</f>
        <v>0.13007501043263428</v>
      </c>
      <c r="W48" s="61">
        <f t="shared" si="17"/>
        <v>0.13010291901006688</v>
      </c>
      <c r="X48" s="60">
        <f>MAX('ULS MP'!N57,'ULS MP'!N85)</f>
        <v>0.38124802956444448</v>
      </c>
      <c r="Y48" s="60">
        <f>MAX('ULS MP'!O57,'ULS MP'!O85)</f>
        <v>0.27376826294338541</v>
      </c>
      <c r="AA48" s="44"/>
      <c r="AB48" s="44"/>
    </row>
  </sheetData>
  <sheetProtection sheet="1" objects="1" scenarios="1"/>
  <mergeCells count="51">
    <mergeCell ref="AV9:AV10"/>
    <mergeCell ref="AV24:AV25"/>
    <mergeCell ref="AU9:AU10"/>
    <mergeCell ref="AU24:AU25"/>
    <mergeCell ref="S10:S11"/>
    <mergeCell ref="AA9:AB9"/>
    <mergeCell ref="AA10:AA11"/>
    <mergeCell ref="W25:W26"/>
    <mergeCell ref="T10:T11"/>
    <mergeCell ref="U10:U11"/>
    <mergeCell ref="AA24:AB24"/>
    <mergeCell ref="X24:Y24"/>
    <mergeCell ref="AP9:AQ9"/>
    <mergeCell ref="AP24:AQ24"/>
    <mergeCell ref="AA25:AA26"/>
    <mergeCell ref="AD9:AD10"/>
    <mergeCell ref="C9:C10"/>
    <mergeCell ref="C24:C25"/>
    <mergeCell ref="M24:M25"/>
    <mergeCell ref="N24:N26"/>
    <mergeCell ref="S24:W24"/>
    <mergeCell ref="M9:M10"/>
    <mergeCell ref="N9:N11"/>
    <mergeCell ref="S9:W9"/>
    <mergeCell ref="P24:Q25"/>
    <mergeCell ref="S25:S26"/>
    <mergeCell ref="T25:T26"/>
    <mergeCell ref="U25:U26"/>
    <mergeCell ref="V25:V26"/>
    <mergeCell ref="P9:Q10"/>
    <mergeCell ref="V10:V11"/>
    <mergeCell ref="W10:W11"/>
    <mergeCell ref="C2:L2"/>
    <mergeCell ref="C3:L3"/>
    <mergeCell ref="S3:U3"/>
    <mergeCell ref="S4:U4"/>
    <mergeCell ref="V4:X4"/>
    <mergeCell ref="AN9:AN10"/>
    <mergeCell ref="AN24:AN25"/>
    <mergeCell ref="X9:Y9"/>
    <mergeCell ref="AD24:AD25"/>
    <mergeCell ref="AE9:AE10"/>
    <mergeCell ref="AK24:AK25"/>
    <mergeCell ref="AH9:AH10"/>
    <mergeCell ref="AH24:AH25"/>
    <mergeCell ref="AI24:AI25"/>
    <mergeCell ref="AI9:AI10"/>
    <mergeCell ref="AK9:AK10"/>
    <mergeCell ref="AE24:AE25"/>
    <mergeCell ref="AJ9:AJ10"/>
    <mergeCell ref="AJ24:AJ25"/>
  </mergeCells>
  <phoneticPr fontId="15" type="noConversion"/>
  <conditionalFormatting sqref="AJ11:AJ18 AJ31:AJ32">
    <cfRule type="expression" dxfId="64" priority="384">
      <formula>AND($AI11="o",ISBLANK($AJ11))</formula>
    </cfRule>
  </conditionalFormatting>
  <conditionalFormatting sqref="AJ26:AJ30">
    <cfRule type="expression" dxfId="63" priority="305">
      <formula>AND($AI26="o",ISBLANK($AJ26))</formula>
    </cfRule>
  </conditionalFormatting>
  <conditionalFormatting sqref="S12:W14">
    <cfRule type="cellIs" dxfId="62" priority="12" operator="greaterThan">
      <formula>0.9*$V$3</formula>
    </cfRule>
  </conditionalFormatting>
  <conditionalFormatting sqref="S12:W14">
    <cfRule type="cellIs" dxfId="61" priority="11" operator="greaterThan">
      <formula>1*$V$3</formula>
    </cfRule>
  </conditionalFormatting>
  <conditionalFormatting sqref="AS11:AS18">
    <cfRule type="cellIs" dxfId="60" priority="9" operator="greaterThan">
      <formula>1*$V$3</formula>
    </cfRule>
    <cfRule type="cellIs" dxfId="59" priority="10" operator="greaterThan">
      <formula>0.9*$V$3</formula>
    </cfRule>
  </conditionalFormatting>
  <conditionalFormatting sqref="X11:Y14">
    <cfRule type="cellIs" dxfId="58" priority="8" operator="greaterThan">
      <formula>0.9*$V$4</formula>
    </cfRule>
  </conditionalFormatting>
  <conditionalFormatting sqref="X11:Y14">
    <cfRule type="cellIs" dxfId="57" priority="7" operator="greaterThan">
      <formula>1*$V$4</formula>
    </cfRule>
  </conditionalFormatting>
  <conditionalFormatting sqref="S27:W48">
    <cfRule type="cellIs" dxfId="56" priority="5" operator="greaterThan">
      <formula>1*$V$3</formula>
    </cfRule>
    <cfRule type="cellIs" dxfId="55" priority="6" operator="greaterThan">
      <formula>0.9*$V$3</formula>
    </cfRule>
  </conditionalFormatting>
  <conditionalFormatting sqref="AS26:AS32">
    <cfRule type="cellIs" dxfId="54" priority="4" operator="greaterThan">
      <formula>0.9*$X$3</formula>
    </cfRule>
  </conditionalFormatting>
  <conditionalFormatting sqref="AS26:AS32">
    <cfRule type="cellIs" dxfId="53" priority="3" operator="greaterThan">
      <formula>1*$X$3</formula>
    </cfRule>
  </conditionalFormatting>
  <conditionalFormatting sqref="X26:Y48">
    <cfRule type="cellIs" dxfId="52" priority="2" operator="greaterThan">
      <formula>0.9*$V$4</formula>
    </cfRule>
    <cfRule type="cellIs" dxfId="51"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01"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502" id="{00000000-000E-0000-0400-0000E9000000}">
            <xm:f>$I11&lt;IF(ABS($J11)&lt;0.001,Control!$F$67,Control!$F$69)</xm:f>
            <x14:dxf>
              <fill>
                <patternFill>
                  <bgColor rgb="FFFF0000"/>
                </patternFill>
              </fill>
            </x14:dxf>
          </x14:cfRule>
          <x14:cfRule type="expression" priority="503"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504"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505" id="{00000000-000E-0000-0400-0000EC000000}">
            <xm:f>$K26&gt;Control!$F$79</xm:f>
            <x14:dxf>
              <fill>
                <patternFill>
                  <bgColor rgb="FFFF0000"/>
                </patternFill>
              </fill>
            </x14:dxf>
          </x14:cfRule>
          <xm:sqref>K26:K48</xm:sqref>
        </x14:conditionalFormatting>
        <x14:conditionalFormatting xmlns:xm="http://schemas.microsoft.com/office/excel/2006/main">
          <x14:cfRule type="expression" priority="506"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507" id="{00000000-000E-0000-0400-0000EE000000}">
            <xm:f>$L26&gt;Control!$F$80</xm:f>
            <x14:dxf>
              <fill>
                <patternFill>
                  <bgColor rgb="FFFF0000"/>
                </patternFill>
              </fill>
            </x14:dxf>
          </x14:cfRule>
          <xm:sqref>L26:L48</xm:sqref>
        </x14:conditionalFormatting>
        <x14:conditionalFormatting xmlns:xm="http://schemas.microsoft.com/office/excel/2006/main">
          <x14:cfRule type="expression" priority="508" id="{00000000-000E-0000-0400-0000EF000000}">
            <xm:f>$I26&lt;IF(ABS($J26)&lt;0.001,Control!$F$75,Control!$F$77)</xm:f>
            <x14:dxf>
              <fill>
                <patternFill>
                  <bgColor rgb="FFFF0000"/>
                </patternFill>
              </fill>
            </x14:dxf>
          </x14:cfRule>
          <x14:cfRule type="expression" priority="509" id="{00000000-000E-0000-0400-0000F0000000}">
            <xm:f>$I26&gt;IF(ABS($J26)&lt;0.001,Control!$F$76,Control!$F$78)</xm:f>
            <x14:dxf>
              <fill>
                <patternFill>
                  <bgColor rgb="FFFF0000"/>
                </patternFill>
              </fill>
            </x14:dxf>
          </x14:cfRule>
          <xm:sqref>I26:I48</xm:sqref>
        </x14:conditionalFormatting>
        <x14:conditionalFormatting xmlns:xm="http://schemas.microsoft.com/office/excel/2006/main">
          <x14:cfRule type="expression" priority="249" id="{61073FFA-47E4-4FD5-A26A-A1653486F161}">
            <xm:f>NOT(OR($D12&gt;=Control!$F$16,$D12&lt;=Control!$F$22,P12="n"))</xm:f>
            <x14:dxf>
              <fill>
                <patternFill>
                  <fgColor indexed="64"/>
                  <bgColor rgb="FFC00000"/>
                </patternFill>
              </fill>
            </x14:dxf>
          </x14:cfRule>
          <xm:sqref>P12:P14 P37:P48</xm:sqref>
        </x14:conditionalFormatting>
        <x14:conditionalFormatting xmlns:xm="http://schemas.microsoft.com/office/excel/2006/main">
          <x14:cfRule type="expression" priority="248" id="{474AE970-46EC-40B4-91CD-58BFC45C42F2}">
            <xm:f>NOT(OR($D12&gt;=Control!$F$18,$D12&lt;=Control!$F$22,Q12="n"))</xm:f>
            <x14:dxf>
              <fill>
                <patternFill>
                  <fgColor indexed="64"/>
                  <bgColor rgb="FFC00000"/>
                </patternFill>
              </fill>
            </x14:dxf>
          </x14:cfRule>
          <xm:sqref>Q12:Q14 Q37:Q48</xm:sqref>
        </x14:conditionalFormatting>
        <x14:conditionalFormatting xmlns:xm="http://schemas.microsoft.com/office/excel/2006/main">
          <x14:cfRule type="expression" priority="245" id="{307DCFB8-8CF4-41ED-AA0D-FF02B8739C18}">
            <xm:f>NOT(OR($AF15&gt;=Control!$F$16,$AF15&lt;=Control!$F$22,AP16="n"))</xm:f>
            <x14:dxf>
              <fill>
                <patternFill>
                  <fgColor indexed="64"/>
                  <bgColor rgb="FFC00000"/>
                </patternFill>
              </fill>
            </x14:dxf>
          </x14:cfRule>
          <xm:sqref>AP16:AP18</xm:sqref>
        </x14:conditionalFormatting>
        <x14:conditionalFormatting xmlns:xm="http://schemas.microsoft.com/office/excel/2006/main">
          <x14:cfRule type="expression" priority="244" id="{F92B2C41-C064-43DC-B8B0-221039ED10FC}">
            <xm:f>NOT(OR($AF15&gt;=Control!$F$18,$AF15&lt;=Control!$F$22,AQ16="n"))</xm:f>
            <x14:dxf>
              <fill>
                <patternFill>
                  <fgColor indexed="64"/>
                  <bgColor rgb="FFC00000"/>
                </patternFill>
              </fill>
            </x14:dxf>
          </x14:cfRule>
          <xm:sqref>AQ16:AQ18</xm:sqref>
        </x14:conditionalFormatting>
        <x14:conditionalFormatting xmlns:xm="http://schemas.microsoft.com/office/excel/2006/main">
          <x14:cfRule type="expression" priority="231" id="{F692F933-2EE3-4AB1-82CE-A2292BB7D2EE}">
            <xm:f>NOT(OR($AF25&gt;=Control!$F$16,$AF25&lt;=Control!$F$22,AP26="n"))</xm:f>
            <x14:dxf>
              <fill>
                <patternFill>
                  <fgColor indexed="64"/>
                  <bgColor rgb="FFC00000"/>
                </patternFill>
              </fill>
            </x14:dxf>
          </x14:cfRule>
          <xm:sqref>AP26:AP30</xm:sqref>
        </x14:conditionalFormatting>
        <x14:conditionalFormatting xmlns:xm="http://schemas.microsoft.com/office/excel/2006/main">
          <x14:cfRule type="expression" priority="230" id="{A1ED6201-9D4D-4F2C-923A-4BF8F6424AE1}">
            <xm:f>NOT(OR($AF25&gt;=Control!$F$18,$AF25&lt;=Control!$F$22,AQ26="n"))</xm:f>
            <x14:dxf>
              <fill>
                <patternFill>
                  <fgColor indexed="64"/>
                  <bgColor rgb="FFC00000"/>
                </patternFill>
              </fill>
            </x14:dxf>
          </x14:cfRule>
          <xm:sqref>AQ26:AQ30</xm:sqref>
        </x14:conditionalFormatting>
        <x14:conditionalFormatting xmlns:xm="http://schemas.microsoft.com/office/excel/2006/main">
          <x14:cfRule type="expression" priority="513" id="{307DCFB8-8CF4-41ED-AA0D-FF02B8739C18}">
            <xm:f>NOT(OR(#REF!&gt;=Control!$F$16,#REF!&lt;=Control!$F$22,AP31="n"))</xm:f>
            <x14:dxf>
              <fill>
                <patternFill>
                  <fgColor indexed="64"/>
                  <bgColor rgb="FFC00000"/>
                </patternFill>
              </fill>
            </x14:dxf>
          </x14:cfRule>
          <xm:sqref>AP31</xm:sqref>
        </x14:conditionalFormatting>
        <x14:conditionalFormatting xmlns:xm="http://schemas.microsoft.com/office/excel/2006/main">
          <x14:cfRule type="expression" priority="516" id="{F92B2C41-C064-43DC-B8B0-221039ED10FC}">
            <xm:f>NOT(OR(#REF!&gt;=Control!$F$18,#REF!&lt;=Control!$F$22,AQ31="n"))</xm:f>
            <x14:dxf>
              <fill>
                <patternFill>
                  <fgColor indexed="64"/>
                  <bgColor rgb="FFC00000"/>
                </patternFill>
              </fill>
            </x14:dxf>
          </x14:cfRule>
          <xm:sqref>AQ31</xm:sqref>
        </x14:conditionalFormatting>
        <x14:conditionalFormatting xmlns:xm="http://schemas.microsoft.com/office/excel/2006/main">
          <x14:cfRule type="expression" priority="140" id="{8B663077-F80A-44A3-B9A4-EFE8543C851A}">
            <xm:f>NOT(OR($AF10&gt;=Control!$F$16,$AF10&lt;=Control!$F$22,AP11="n"))</xm:f>
            <x14:dxf>
              <fill>
                <patternFill>
                  <fgColor indexed="64"/>
                  <bgColor rgb="FFC00000"/>
                </patternFill>
              </fill>
            </x14:dxf>
          </x14:cfRule>
          <xm:sqref>AP11:AP14</xm:sqref>
        </x14:conditionalFormatting>
        <x14:conditionalFormatting xmlns:xm="http://schemas.microsoft.com/office/excel/2006/main">
          <x14:cfRule type="expression" priority="139" id="{82CD4D5E-6ED8-4427-944C-CA11EB893774}">
            <xm:f>NOT(OR($AF10&gt;=Control!$F$18,$AF10&lt;=Control!$F$22,AQ11="n"))</xm:f>
            <x14:dxf>
              <fill>
                <patternFill>
                  <fgColor indexed="64"/>
                  <bgColor rgb="FFC00000"/>
                </patternFill>
              </fill>
            </x14:dxf>
          </x14:cfRule>
          <xm:sqref>AQ11:AQ14</xm:sqref>
        </x14:conditionalFormatting>
        <x14:conditionalFormatting xmlns:xm="http://schemas.microsoft.com/office/excel/2006/main">
          <x14:cfRule type="expression" priority="88" id="{78BA936B-6BE2-4802-9540-5ED2AC9BBDD9}">
            <xm:f>NOT(OR($D27&gt;=Control!$F$16,$D27&lt;=Control!$F$22,P27="n"))</xm:f>
            <x14:dxf>
              <fill>
                <patternFill>
                  <fgColor indexed="64"/>
                  <bgColor rgb="FFC00000"/>
                </patternFill>
              </fill>
            </x14:dxf>
          </x14:cfRule>
          <xm:sqref>P27:P36</xm:sqref>
        </x14:conditionalFormatting>
        <x14:conditionalFormatting xmlns:xm="http://schemas.microsoft.com/office/excel/2006/main">
          <x14:cfRule type="expression" priority="87" id="{6CF0CD81-399D-462B-BA6E-D4EE0932232E}">
            <xm:f>NOT(OR($D27&gt;=Control!$F$18,$D27&lt;=Control!$F$22,Q27="n"))</xm:f>
            <x14:dxf>
              <fill>
                <patternFill>
                  <fgColor indexed="64"/>
                  <bgColor rgb="FFC00000"/>
                </patternFill>
              </fill>
            </x14:dxf>
          </x14:cfRule>
          <xm:sqref>Q27:Q36</xm:sqref>
        </x14:conditionalFormatting>
        <x14:conditionalFormatting xmlns:xm="http://schemas.microsoft.com/office/excel/2006/main">
          <x14:cfRule type="expression" priority="520" id="{307DCFB8-8CF4-41ED-AA0D-FF02B8739C18}">
            <xm:f>NOT(OR(#REF!&gt;=Control!$F$16,#REF!&lt;=Control!$F$22,AP15="n"))</xm:f>
            <x14:dxf>
              <fill>
                <patternFill>
                  <fgColor indexed="64"/>
                  <bgColor rgb="FFC00000"/>
                </patternFill>
              </fill>
            </x14:dxf>
          </x14:cfRule>
          <xm:sqref>AP15 AP32</xm:sqref>
        </x14:conditionalFormatting>
        <x14:conditionalFormatting xmlns:xm="http://schemas.microsoft.com/office/excel/2006/main">
          <x14:cfRule type="expression" priority="523" id="{F92B2C41-C064-43DC-B8B0-221039ED10FC}">
            <xm:f>NOT(OR(#REF!&gt;=Control!$F$18,#REF!&lt;=Control!$F$22,AQ15="n"))</xm:f>
            <x14:dxf>
              <fill>
                <patternFill>
                  <fgColor indexed="64"/>
                  <bgColor rgb="FFC00000"/>
                </patternFill>
              </fill>
            </x14:dxf>
          </x14:cfRule>
          <xm:sqref>AQ15 AQ32</xm:sqref>
        </x14:conditionalFormatting>
        <x14:conditionalFormatting xmlns:xm="http://schemas.microsoft.com/office/excel/2006/main">
          <x14:cfRule type="expression" priority="25" id="{4E5DAEBC-654B-40B7-BAD4-67FADB6CF1C9}">
            <xm:f>Control!$F$3="Y"</xm:f>
            <x14:dxf>
              <font>
                <color theme="0" tint="-0.14999847407452621"/>
              </font>
              <fill>
                <patternFill patternType="solid">
                  <fgColor indexed="64"/>
                  <bgColor theme="0" tint="-4.9989318521683403E-2"/>
                </patternFill>
              </fill>
            </x14:dxf>
          </x14:cfRule>
          <xm:sqref>A7:XFD10 A19:XFD19 A12:R14 A15:AR18 A11:W11 AT11:XFD18 Z11:AR14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M26:M48</xm:sqref>
        </x14:dataValidation>
        <x14:dataValidation type="list" allowBlank="1" showInputMessage="1" showErrorMessage="1" xr:uid="{C65FF9C4-EC74-45F5-BBB1-15BDC55ED1DD}">
          <x14:formula1>
            <xm:f>Background_data!$B$4:$B$7</xm:f>
          </x14:formula1>
          <xm:sqref>N16 N12:N14 N27:N48</xm:sqref>
        </x14:dataValidation>
        <x14:dataValidation type="list" allowBlank="1" showInputMessage="1" showErrorMessage="1" xr:uid="{D54E488E-D67A-4D88-8248-D5A66731EFA3}">
          <x14:formula1>
            <xm:f>Background_data!$C$4:$C$5</xm:f>
          </x14:formula1>
          <xm:sqref>AH11:AH18</xm:sqref>
        </x14:dataValidation>
        <x14:dataValidation type="list" allowBlank="1" showInputMessage="1" showErrorMessage="1" xr:uid="{03DDE262-7980-40AF-B76C-AA7F87C4E878}">
          <x14:formula1>
            <xm:f>Background_data!$D$4:$D$8</xm:f>
          </x14:formula1>
          <xm:sqref>AI11:AI18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214</v>
      </c>
      <c r="E28" s="255"/>
      <c r="F28" s="254" t="s">
        <v>175</v>
      </c>
      <c r="G28" s="255"/>
      <c r="I28" s="256" t="s">
        <v>350</v>
      </c>
      <c r="J28" s="257"/>
      <c r="K28" s="257"/>
      <c r="L28" s="257"/>
      <c r="M28" s="258"/>
    </row>
    <row r="29" spans="3:13">
      <c r="C29" s="52" t="s">
        <v>5</v>
      </c>
      <c r="D29" s="52" t="s">
        <v>348</v>
      </c>
      <c r="E29" s="52" t="s">
        <v>349</v>
      </c>
      <c r="F29" s="52" t="s">
        <v>348</v>
      </c>
      <c r="G29" s="52" t="s">
        <v>349</v>
      </c>
      <c r="I29" s="253" t="s">
        <v>214</v>
      </c>
      <c r="J29" s="253"/>
      <c r="K29" s="52" t="s">
        <v>10</v>
      </c>
      <c r="L29" s="45">
        <v>3</v>
      </c>
    </row>
    <row r="30" spans="3:13">
      <c r="C30" s="52" t="s">
        <v>10</v>
      </c>
      <c r="D30" s="52" t="s">
        <v>10</v>
      </c>
      <c r="E30" s="52" t="s">
        <v>10</v>
      </c>
      <c r="F30" s="52" t="s">
        <v>10</v>
      </c>
      <c r="G30" s="52" t="s">
        <v>10</v>
      </c>
      <c r="I30" s="253" t="s">
        <v>175</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14"/>
  <sheetViews>
    <sheetView topLeftCell="A55" workbookViewId="0">
      <selection activeCell="C5" sqref="C5"/>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-82.75</v>
      </c>
      <c r="D5" s="98"/>
      <c r="E5" s="98">
        <v>1E-100</v>
      </c>
      <c r="G5" s="97">
        <v>-82.75</v>
      </c>
      <c r="H5" s="97">
        <v>-44127.25</v>
      </c>
      <c r="I5" s="97">
        <v>-46415.88</v>
      </c>
      <c r="J5" s="97">
        <v>1.4901161193847699E-8</v>
      </c>
      <c r="K5" s="97">
        <v>-8598.6812762160607</v>
      </c>
      <c r="L5" s="39"/>
      <c r="M5" s="97">
        <v>-82.75</v>
      </c>
      <c r="N5" s="98">
        <v>-32686.85</v>
      </c>
      <c r="O5" s="98">
        <v>7.4505805969238298E-9</v>
      </c>
      <c r="P5" s="98">
        <v>-6282.2584992243201</v>
      </c>
    </row>
    <row r="6" spans="3:16">
      <c r="C6" s="97">
        <v>-82.283500000000004</v>
      </c>
      <c r="D6" s="98"/>
      <c r="E6" s="98">
        <v>851.867897887249</v>
      </c>
      <c r="G6" s="97">
        <v>-82.283500000000004</v>
      </c>
      <c r="H6" s="97">
        <v>-44127.25</v>
      </c>
      <c r="I6" s="97">
        <v>-46415.88</v>
      </c>
      <c r="J6" s="97">
        <v>4011.28481538594</v>
      </c>
      <c r="K6" s="97">
        <v>-8598.6812762160607</v>
      </c>
      <c r="L6" s="39"/>
      <c r="M6" s="97">
        <v>-82.283500000000004</v>
      </c>
      <c r="N6" s="98">
        <v>-32686.85</v>
      </c>
      <c r="O6" s="98">
        <v>2930.6735899001401</v>
      </c>
      <c r="P6" s="98">
        <v>-6282.2584992243201</v>
      </c>
    </row>
    <row r="7" spans="3:16">
      <c r="C7" s="97">
        <v>-81.77000000000001</v>
      </c>
      <c r="D7" s="98"/>
      <c r="E7" s="98">
        <v>3477.37173425639</v>
      </c>
      <c r="G7" s="97">
        <v>-81.77000000000001</v>
      </c>
      <c r="H7" s="97">
        <v>-44127.25</v>
      </c>
      <c r="I7" s="97">
        <v>-46415.88</v>
      </c>
      <c r="J7" s="97">
        <v>16778.628666997</v>
      </c>
      <c r="K7" s="97">
        <v>-24863.3765368325</v>
      </c>
      <c r="L7" s="39"/>
      <c r="M7" s="97">
        <v>-81.77000000000001</v>
      </c>
      <c r="N7" s="98">
        <v>-32686.85</v>
      </c>
      <c r="O7" s="98">
        <v>12258.5891163871</v>
      </c>
      <c r="P7" s="98">
        <v>-18165.3661664678</v>
      </c>
    </row>
    <row r="8" spans="3:16">
      <c r="C8" s="97">
        <v>-81.350499999999997</v>
      </c>
      <c r="D8" s="98"/>
      <c r="E8" s="98">
        <v>6731.0284618735304</v>
      </c>
      <c r="G8" s="97">
        <v>-81.350499999999997</v>
      </c>
      <c r="H8" s="97">
        <v>-44127.25</v>
      </c>
      <c r="I8" s="97">
        <v>-46415.88</v>
      </c>
      <c r="J8" s="97">
        <v>32977.497825071201</v>
      </c>
      <c r="K8" s="97">
        <v>-38614.705978689002</v>
      </c>
      <c r="L8" s="39"/>
      <c r="M8" s="97">
        <v>-81.350499999999997</v>
      </c>
      <c r="N8" s="98">
        <v>-32686.85</v>
      </c>
      <c r="O8" s="98">
        <v>24094.287560656699</v>
      </c>
      <c r="P8" s="98">
        <v>-28213.822274821301</v>
      </c>
    </row>
    <row r="9" spans="3:16">
      <c r="C9" s="97">
        <v>-80.884</v>
      </c>
      <c r="D9" s="98"/>
      <c r="E9" s="98">
        <v>10972.4623403642</v>
      </c>
      <c r="G9" s="97">
        <v>-80.884</v>
      </c>
      <c r="H9" s="97">
        <v>-44127.25</v>
      </c>
      <c r="I9" s="97">
        <v>-46415.88</v>
      </c>
      <c r="J9" s="97">
        <v>54966.868083089597</v>
      </c>
      <c r="K9" s="97">
        <v>-47136.913736380498</v>
      </c>
      <c r="L9" s="39"/>
      <c r="M9" s="97">
        <v>-80.884</v>
      </c>
      <c r="N9" s="98">
        <v>-32686.85</v>
      </c>
      <c r="O9" s="98">
        <v>40162.008870482401</v>
      </c>
      <c r="P9" s="98">
        <v>-34443.132496962702</v>
      </c>
    </row>
    <row r="10" spans="3:16">
      <c r="C10" s="97">
        <v>-80.72999999999999</v>
      </c>
      <c r="D10" s="98"/>
      <c r="E10" s="98">
        <v>12490.6604799367</v>
      </c>
      <c r="G10" s="97">
        <v>-80.72999999999999</v>
      </c>
      <c r="H10" s="97">
        <v>-44127.25</v>
      </c>
      <c r="I10" s="97">
        <v>-46415.88</v>
      </c>
      <c r="J10" s="97">
        <v>63020.572509080201</v>
      </c>
      <c r="K10" s="97">
        <v>-52296.781986875103</v>
      </c>
      <c r="L10" s="39"/>
      <c r="M10" s="97">
        <v>-80.72999999999999</v>
      </c>
      <c r="N10" s="98">
        <v>-32686.85</v>
      </c>
      <c r="O10" s="98">
        <v>46047.360545992902</v>
      </c>
      <c r="P10" s="98">
        <v>-38216.569321453302</v>
      </c>
    </row>
    <row r="11" spans="3:16">
      <c r="C11" s="97">
        <v>-80.41749999999999</v>
      </c>
      <c r="D11" s="98"/>
      <c r="E11" s="98">
        <v>15752.4688301394</v>
      </c>
      <c r="G11" s="97">
        <v>-80.41749999999999</v>
      </c>
      <c r="H11" s="97">
        <v>-44127.25</v>
      </c>
      <c r="I11" s="97">
        <v>-46415.88</v>
      </c>
      <c r="J11" s="97">
        <v>80573.651041015997</v>
      </c>
      <c r="K11" s="97">
        <v>-56169.851302231997</v>
      </c>
      <c r="L11" s="39"/>
      <c r="M11" s="97">
        <v>-80.41749999999999</v>
      </c>
      <c r="N11" s="98">
        <v>-32686.85</v>
      </c>
      <c r="O11" s="98">
        <v>58875.3392273188</v>
      </c>
      <c r="P11" s="98">
        <v>-41049.5317800599</v>
      </c>
    </row>
    <row r="12" spans="3:16">
      <c r="C12" s="97">
        <v>-79.950999999999993</v>
      </c>
      <c r="D12" s="98"/>
      <c r="E12" s="98">
        <v>21014.353251710501</v>
      </c>
      <c r="G12" s="97">
        <v>-79.950999999999993</v>
      </c>
      <c r="H12" s="97">
        <v>-44127.25</v>
      </c>
      <c r="I12" s="97">
        <v>-46415.88</v>
      </c>
      <c r="J12" s="97">
        <v>109495.96129210301</v>
      </c>
      <c r="K12" s="97">
        <v>-61998.521438559103</v>
      </c>
      <c r="L12" s="39"/>
      <c r="M12" s="97">
        <v>-79.950999999999993</v>
      </c>
      <c r="N12" s="98">
        <v>-32686.85</v>
      </c>
      <c r="O12" s="98">
        <v>80014.771907858594</v>
      </c>
      <c r="P12" s="98">
        <v>-45314.968232704203</v>
      </c>
    </row>
    <row r="13" spans="3:16">
      <c r="C13" s="97">
        <v>-79.484499999999997</v>
      </c>
      <c r="D13" s="98"/>
      <c r="E13" s="98">
        <v>26655.503870010401</v>
      </c>
      <c r="G13" s="97">
        <v>-79.484499999999997</v>
      </c>
      <c r="H13" s="97">
        <v>-44127.25</v>
      </c>
      <c r="I13" s="97">
        <v>-46415.88</v>
      </c>
      <c r="J13" s="97">
        <v>141183.07763233801</v>
      </c>
      <c r="K13" s="97">
        <v>-67925.222594248597</v>
      </c>
      <c r="L13" s="39"/>
      <c r="M13" s="97">
        <v>-79.484499999999997</v>
      </c>
      <c r="N13" s="98">
        <v>-32686.85</v>
      </c>
      <c r="O13" s="98">
        <v>103179.375725865</v>
      </c>
      <c r="P13" s="98">
        <v>-49656.171099719802</v>
      </c>
    </row>
    <row r="14" spans="3:16">
      <c r="C14" s="97">
        <v>-79.018000000000001</v>
      </c>
      <c r="D14" s="98"/>
      <c r="E14" s="98">
        <v>32599.279352167199</v>
      </c>
      <c r="G14" s="97">
        <v>-79.018000000000001</v>
      </c>
      <c r="H14" s="97">
        <v>-44127.25</v>
      </c>
      <c r="I14" s="97">
        <v>-46415.88</v>
      </c>
      <c r="J14" s="97">
        <v>175188.89119206401</v>
      </c>
      <c r="K14" s="97">
        <v>-72895.634640365693</v>
      </c>
      <c r="L14" s="39"/>
      <c r="M14" s="97">
        <v>-79.018000000000001</v>
      </c>
      <c r="N14" s="98">
        <v>-32686.85</v>
      </c>
      <c r="O14" s="98">
        <v>128038.951030433</v>
      </c>
      <c r="P14" s="98">
        <v>-53289.550492125403</v>
      </c>
    </row>
    <row r="15" spans="3:16">
      <c r="C15" s="97">
        <v>-78.551500000000004</v>
      </c>
      <c r="D15" s="98"/>
      <c r="E15" s="98">
        <v>38782.467197335303</v>
      </c>
      <c r="G15" s="97">
        <v>-78.551500000000004</v>
      </c>
      <c r="H15" s="97">
        <v>-44127.25</v>
      </c>
      <c r="I15" s="97">
        <v>-46415.88</v>
      </c>
      <c r="J15" s="97">
        <v>211110.815985739</v>
      </c>
      <c r="K15" s="97">
        <v>-77003.054220042395</v>
      </c>
      <c r="L15" s="39"/>
      <c r="M15" s="97">
        <v>-78.551500000000004</v>
      </c>
      <c r="N15" s="98">
        <v>-32686.85</v>
      </c>
      <c r="O15" s="98">
        <v>154279.41583313001</v>
      </c>
      <c r="P15" s="98">
        <v>-56249.656597362802</v>
      </c>
    </row>
    <row r="16" spans="3:16">
      <c r="C16" s="97">
        <v>-78.085000000000008</v>
      </c>
      <c r="D16" s="98"/>
      <c r="E16" s="98">
        <v>45152.053628184804</v>
      </c>
      <c r="G16" s="97">
        <v>-78.085000000000008</v>
      </c>
      <c r="H16" s="97">
        <v>-44127.25</v>
      </c>
      <c r="I16" s="97">
        <v>-46415.88</v>
      </c>
      <c r="J16" s="97">
        <v>248570.74395972499</v>
      </c>
      <c r="K16" s="97">
        <v>-80299.952784534195</v>
      </c>
      <c r="L16" s="39"/>
      <c r="M16" s="97">
        <v>-78.085000000000008</v>
      </c>
      <c r="N16" s="98">
        <v>-32686.85</v>
      </c>
      <c r="O16" s="98">
        <v>181617.31707935</v>
      </c>
      <c r="P16" s="98">
        <v>-58602.146294186903</v>
      </c>
    </row>
    <row r="17" spans="3:16">
      <c r="C17" s="97">
        <v>-77.618499999999997</v>
      </c>
      <c r="D17" s="98"/>
      <c r="E17" s="98">
        <v>51663.756538303998</v>
      </c>
      <c r="G17" s="97">
        <v>-77.618499999999997</v>
      </c>
      <c r="H17" s="97">
        <v>-44127.25</v>
      </c>
      <c r="I17" s="97">
        <v>-46415.88</v>
      </c>
      <c r="J17" s="97">
        <v>287213.54471328901</v>
      </c>
      <c r="K17" s="97">
        <v>-82835.585752593805</v>
      </c>
      <c r="L17" s="39"/>
      <c r="M17" s="97">
        <v>-77.618499999999997</v>
      </c>
      <c r="N17" s="98">
        <v>-32686.85</v>
      </c>
      <c r="O17" s="98">
        <v>209798.24319238999</v>
      </c>
      <c r="P17" s="98">
        <v>-60409.273554141997</v>
      </c>
    </row>
    <row r="18" spans="3:16">
      <c r="C18" s="97">
        <v>-77.152000000000001</v>
      </c>
      <c r="D18" s="98"/>
      <c r="E18" s="98">
        <v>58280.800994493096</v>
      </c>
      <c r="G18" s="97">
        <v>-77.152000000000001</v>
      </c>
      <c r="H18" s="97">
        <v>-44127.25</v>
      </c>
      <c r="I18" s="97">
        <v>-46415.88</v>
      </c>
      <c r="J18" s="97">
        <v>326720.46266074502</v>
      </c>
      <c r="K18" s="97">
        <v>-84687.927004140904</v>
      </c>
      <c r="L18" s="39"/>
      <c r="M18" s="97">
        <v>-77.152000000000001</v>
      </c>
      <c r="N18" s="98">
        <v>-32686.85</v>
      </c>
      <c r="O18" s="98">
        <v>238595.33736575401</v>
      </c>
      <c r="P18" s="98">
        <v>-61730.105409136799</v>
      </c>
    </row>
    <row r="19" spans="3:16">
      <c r="C19" s="97">
        <v>-76.73</v>
      </c>
      <c r="D19" s="98"/>
      <c r="E19" s="98">
        <v>64331.296398304898</v>
      </c>
      <c r="G19" s="97">
        <v>-76.73</v>
      </c>
      <c r="H19" s="97">
        <v>-44127.25</v>
      </c>
      <c r="I19" s="97">
        <v>-46415.88</v>
      </c>
      <c r="J19" s="97">
        <v>362958.246138722</v>
      </c>
      <c r="K19" s="97">
        <v>-85871.524829354603</v>
      </c>
      <c r="L19" s="39"/>
      <c r="M19" s="97">
        <v>-76.73</v>
      </c>
      <c r="N19" s="98">
        <v>-32686.85</v>
      </c>
      <c r="O19" s="98">
        <v>265003.26046922797</v>
      </c>
      <c r="P19" s="98">
        <v>-62578.016832893401</v>
      </c>
    </row>
    <row r="20" spans="3:16">
      <c r="C20" s="97">
        <v>-76.218999999999994</v>
      </c>
      <c r="D20" s="98"/>
      <c r="E20" s="98">
        <v>71729.992806243201</v>
      </c>
      <c r="G20" s="97">
        <v>-76.218999999999994</v>
      </c>
      <c r="H20" s="97">
        <v>-44127.25</v>
      </c>
      <c r="I20" s="97">
        <v>-46415.88</v>
      </c>
      <c r="J20" s="97">
        <v>407261.63743363298</v>
      </c>
      <c r="K20" s="97">
        <v>-86699.395880476804</v>
      </c>
      <c r="L20" s="39"/>
      <c r="M20" s="97">
        <v>-76.218999999999994</v>
      </c>
      <c r="N20" s="98">
        <v>-32686.85</v>
      </c>
      <c r="O20" s="98">
        <v>297288.50224065001</v>
      </c>
      <c r="P20" s="98">
        <v>-63180.512272799402</v>
      </c>
    </row>
    <row r="21" spans="3:16">
      <c r="C21" s="97">
        <v>-75.752499999999998</v>
      </c>
      <c r="D21" s="98"/>
      <c r="E21" s="98">
        <v>78524.748954177398</v>
      </c>
      <c r="G21" s="97">
        <v>-75.752499999999998</v>
      </c>
      <c r="H21" s="97">
        <v>-44127.25</v>
      </c>
      <c r="I21" s="97">
        <v>-46415.88</v>
      </c>
      <c r="J21" s="97">
        <v>447819.43257580698</v>
      </c>
      <c r="K21" s="97">
        <v>-86940.6112372075</v>
      </c>
      <c r="L21" s="39"/>
      <c r="M21" s="97">
        <v>-75.752499999999998</v>
      </c>
      <c r="N21" s="98">
        <v>-32686.85</v>
      </c>
      <c r="O21" s="98">
        <v>326856.298924267</v>
      </c>
      <c r="P21" s="98">
        <v>-63382.200822332001</v>
      </c>
    </row>
    <row r="22" spans="3:16">
      <c r="C22" s="97">
        <v>-75.286000000000001</v>
      </c>
      <c r="D22" s="98"/>
      <c r="E22" s="98">
        <v>85338.865664463505</v>
      </c>
      <c r="G22" s="97">
        <v>-75.286000000000001</v>
      </c>
      <c r="H22" s="97">
        <v>-44127.25</v>
      </c>
      <c r="I22" s="97">
        <v>-46415.88</v>
      </c>
      <c r="J22" s="97">
        <v>488229.293054029</v>
      </c>
      <c r="K22" s="97">
        <v>-86623.495130171694</v>
      </c>
      <c r="L22" s="39"/>
      <c r="M22" s="97">
        <v>-75.286000000000001</v>
      </c>
      <c r="N22" s="98">
        <v>-32686.85</v>
      </c>
      <c r="O22" s="98">
        <v>356336.650254793</v>
      </c>
      <c r="P22" s="98">
        <v>-63194.750976490002</v>
      </c>
    </row>
    <row r="23" spans="3:16">
      <c r="C23" s="97">
        <v>-74.819500000000005</v>
      </c>
      <c r="D23" s="98"/>
      <c r="E23" s="98">
        <v>92158.473767739299</v>
      </c>
      <c r="G23" s="97">
        <v>-74.819500000000005</v>
      </c>
      <c r="H23" s="97">
        <v>-44127.25</v>
      </c>
      <c r="I23" s="97">
        <v>-46415.88</v>
      </c>
      <c r="J23" s="97">
        <v>528351.28744334006</v>
      </c>
      <c r="K23" s="97">
        <v>-86006.418840936502</v>
      </c>
      <c r="L23" s="39"/>
      <c r="M23" s="97">
        <v>-74.819500000000005</v>
      </c>
      <c r="N23" s="98">
        <v>-32686.85</v>
      </c>
      <c r="O23" s="98">
        <v>385631.32538228499</v>
      </c>
      <c r="P23" s="98">
        <v>-62796.731248652402</v>
      </c>
    </row>
    <row r="24" spans="3:16">
      <c r="C24" s="97">
        <v>-74.352999999999994</v>
      </c>
      <c r="D24" s="98"/>
      <c r="E24" s="98">
        <v>98973.667495620393</v>
      </c>
      <c r="G24" s="97">
        <v>-74.352999999999994</v>
      </c>
      <c r="H24" s="97">
        <v>-44127.25</v>
      </c>
      <c r="I24" s="97">
        <v>-46415.88</v>
      </c>
      <c r="J24" s="97">
        <v>568082.437907696</v>
      </c>
      <c r="K24" s="97">
        <v>-85168.596922530895</v>
      </c>
      <c r="L24" s="39"/>
      <c r="M24" s="97">
        <v>-74.352999999999994</v>
      </c>
      <c r="N24" s="98">
        <v>-32686.85</v>
      </c>
      <c r="O24" s="98">
        <v>414669.01184903801</v>
      </c>
      <c r="P24" s="98">
        <v>-62245.844516114797</v>
      </c>
    </row>
    <row r="25" spans="3:16">
      <c r="C25" s="97">
        <v>-73.886499999999998</v>
      </c>
      <c r="D25" s="98"/>
      <c r="E25" s="98">
        <v>105776.380866187</v>
      </c>
      <c r="G25" s="97">
        <v>-73.886499999999998</v>
      </c>
      <c r="H25" s="97">
        <v>-44127.25</v>
      </c>
      <c r="I25" s="97">
        <v>-46415.88</v>
      </c>
      <c r="J25" s="97">
        <v>607339.59698699403</v>
      </c>
      <c r="K25" s="97">
        <v>-84152.538219279799</v>
      </c>
      <c r="L25" s="39"/>
      <c r="M25" s="97">
        <v>-73.886499999999998</v>
      </c>
      <c r="N25" s="98">
        <v>-32686.85</v>
      </c>
      <c r="O25" s="98">
        <v>443392.57987938798</v>
      </c>
      <c r="P25" s="98">
        <v>-61572.493098245897</v>
      </c>
    </row>
    <row r="26" spans="3:16">
      <c r="C26" s="97">
        <v>-73.42</v>
      </c>
      <c r="D26" s="98"/>
      <c r="E26" s="98">
        <v>112559.657789652</v>
      </c>
      <c r="G26" s="97">
        <v>-73.42</v>
      </c>
      <c r="H26" s="97">
        <v>-44127.25</v>
      </c>
      <c r="I26" s="97">
        <v>-46415.88</v>
      </c>
      <c r="J26" s="97">
        <v>646050.98384682799</v>
      </c>
      <c r="K26" s="97">
        <v>-82982.608488359707</v>
      </c>
      <c r="L26" s="39"/>
      <c r="M26" s="97">
        <v>-73.42</v>
      </c>
      <c r="N26" s="98">
        <v>-32686.85</v>
      </c>
      <c r="O26" s="98">
        <v>471753.01888027001</v>
      </c>
      <c r="P26" s="98">
        <v>-60794.081459575304</v>
      </c>
    </row>
    <row r="27" spans="3:16">
      <c r="C27" s="97">
        <v>-72.953499999999991</v>
      </c>
      <c r="D27" s="98"/>
      <c r="E27" s="98">
        <v>119317.283629472</v>
      </c>
      <c r="G27" s="97">
        <v>-72.953499999999991</v>
      </c>
      <c r="H27" s="97">
        <v>-44127.25</v>
      </c>
      <c r="I27" s="97">
        <v>-46415.88</v>
      </c>
      <c r="J27" s="97">
        <v>684151.059315369</v>
      </c>
      <c r="K27" s="97">
        <v>-81672.187499532098</v>
      </c>
      <c r="L27" s="39"/>
      <c r="M27" s="97">
        <v>-72.953499999999991</v>
      </c>
      <c r="N27" s="98">
        <v>-32686.85</v>
      </c>
      <c r="O27" s="98">
        <v>499705.78784565598</v>
      </c>
      <c r="P27" s="98">
        <v>-59920.190708190697</v>
      </c>
    </row>
    <row r="28" spans="3:16">
      <c r="C28" s="97">
        <v>-72.63</v>
      </c>
      <c r="D28" s="98"/>
      <c r="E28" s="98">
        <v>123984.977992681</v>
      </c>
      <c r="G28" s="97">
        <v>-72.63</v>
      </c>
      <c r="H28" s="97">
        <v>-44127.25</v>
      </c>
      <c r="I28" s="97">
        <v>-46415.88</v>
      </c>
      <c r="J28" s="97">
        <v>710176.13783279096</v>
      </c>
      <c r="K28" s="97">
        <v>-80448.465277965894</v>
      </c>
      <c r="L28" s="39"/>
      <c r="M28" s="97">
        <v>-72.63</v>
      </c>
      <c r="N28" s="98">
        <v>-32686.85</v>
      </c>
      <c r="O28" s="98">
        <v>518825.56506644899</v>
      </c>
      <c r="P28" s="98">
        <v>-59102.866215814203</v>
      </c>
    </row>
    <row r="29" spans="3:16">
      <c r="C29" s="97">
        <v>-72.486999999999995</v>
      </c>
      <c r="D29" s="98"/>
      <c r="E29" s="98">
        <v>126042.28480559</v>
      </c>
      <c r="G29" s="97">
        <v>-72.486999999999995</v>
      </c>
      <c r="H29" s="97">
        <v>-44127.25</v>
      </c>
      <c r="I29" s="97">
        <v>-46415.88</v>
      </c>
      <c r="J29" s="97">
        <v>721561.02387762105</v>
      </c>
      <c r="K29" s="97">
        <v>-79614.587726109705</v>
      </c>
      <c r="L29" s="39"/>
      <c r="M29" s="97">
        <v>-72.486999999999995</v>
      </c>
      <c r="N29" s="98">
        <v>-32686.85</v>
      </c>
      <c r="O29" s="98">
        <v>527197.39823851001</v>
      </c>
      <c r="P29" s="98">
        <v>-58544.287916764202</v>
      </c>
    </row>
    <row r="30" spans="3:16">
      <c r="C30" s="97">
        <v>-72.020499999999998</v>
      </c>
      <c r="D30" s="98"/>
      <c r="E30" s="98">
        <v>132726.87816251701</v>
      </c>
      <c r="G30" s="97">
        <v>-72.020499999999998</v>
      </c>
      <c r="H30" s="97">
        <v>-44127.25</v>
      </c>
      <c r="I30" s="97">
        <v>-46415.88</v>
      </c>
      <c r="J30" s="97">
        <v>758179.384685606</v>
      </c>
      <c r="K30" s="97">
        <v>-78495.950285064304</v>
      </c>
      <c r="L30" s="39"/>
      <c r="M30" s="97">
        <v>-72.020499999999998</v>
      </c>
      <c r="N30" s="98">
        <v>-32686.85</v>
      </c>
      <c r="O30" s="98">
        <v>554158.61633138405</v>
      </c>
      <c r="P30" s="98">
        <v>-57794.679727332601</v>
      </c>
    </row>
    <row r="31" spans="3:16">
      <c r="C31" s="97">
        <v>-71.554000000000002</v>
      </c>
      <c r="D31" s="98"/>
      <c r="E31" s="98">
        <v>139364.058562669</v>
      </c>
      <c r="G31" s="97">
        <v>-71.554000000000002</v>
      </c>
      <c r="H31" s="97">
        <v>-44127.25</v>
      </c>
      <c r="I31" s="97">
        <v>-46415.88</v>
      </c>
      <c r="J31" s="97">
        <v>793929.80563779199</v>
      </c>
      <c r="K31" s="97">
        <v>-76635.414688563294</v>
      </c>
      <c r="L31" s="39"/>
      <c r="M31" s="97">
        <v>-71.554000000000002</v>
      </c>
      <c r="N31" s="98">
        <v>-32686.85</v>
      </c>
      <c r="O31" s="98">
        <v>580537.49807855499</v>
      </c>
      <c r="P31" s="98">
        <v>-56546.370304785603</v>
      </c>
    </row>
    <row r="32" spans="3:16">
      <c r="C32" s="97">
        <v>-71.087500000000006</v>
      </c>
      <c r="D32" s="98"/>
      <c r="E32" s="98">
        <v>145947.16996676099</v>
      </c>
      <c r="G32" s="97">
        <v>-71.087500000000006</v>
      </c>
      <c r="H32" s="97">
        <v>-44127.25</v>
      </c>
      <c r="I32" s="97">
        <v>-46415.88</v>
      </c>
      <c r="J32" s="97">
        <v>828740.50067813694</v>
      </c>
      <c r="K32" s="97">
        <v>-74620.996871095296</v>
      </c>
      <c r="L32" s="39"/>
      <c r="M32" s="97">
        <v>-71.087500000000006</v>
      </c>
      <c r="N32" s="98">
        <v>-32686.85</v>
      </c>
      <c r="O32" s="98">
        <v>606285.01770215505</v>
      </c>
      <c r="P32" s="98">
        <v>-55192.968110671398</v>
      </c>
    </row>
    <row r="33" spans="3:16">
      <c r="C33" s="97">
        <v>-70.620999999999995</v>
      </c>
      <c r="D33" s="98"/>
      <c r="E33" s="98">
        <v>152469.28626886199</v>
      </c>
      <c r="G33" s="97">
        <v>-70.620999999999995</v>
      </c>
      <c r="H33" s="97">
        <v>-44127.25</v>
      </c>
      <c r="I33" s="97">
        <v>-46415.88</v>
      </c>
      <c r="J33" s="97">
        <v>862538.393411458</v>
      </c>
      <c r="K33" s="97">
        <v>-72449.930832373095</v>
      </c>
      <c r="L33" s="39"/>
      <c r="M33" s="97">
        <v>-70.620999999999995</v>
      </c>
      <c r="N33" s="98">
        <v>-32686.85</v>
      </c>
      <c r="O33" s="98">
        <v>631351.00986984395</v>
      </c>
      <c r="P33" s="98">
        <v>-53732.0303701378</v>
      </c>
    </row>
    <row r="34" spans="3:16">
      <c r="C34" s="97">
        <v>-70.154499999999999</v>
      </c>
      <c r="D34" s="98"/>
      <c r="E34" s="98">
        <v>158922.78522178301</v>
      </c>
      <c r="G34" s="97">
        <v>-70.154499999999999</v>
      </c>
      <c r="H34" s="97">
        <v>-44127.25</v>
      </c>
      <c r="I34" s="97">
        <v>-46415.88</v>
      </c>
      <c r="J34" s="97">
        <v>895255.932997033</v>
      </c>
      <c r="K34" s="97">
        <v>-70134.061276701206</v>
      </c>
      <c r="L34" s="39"/>
      <c r="M34" s="97">
        <v>-70.154499999999999</v>
      </c>
      <c r="N34" s="98">
        <v>-32686.85</v>
      </c>
      <c r="O34" s="98">
        <v>655688.14561933302</v>
      </c>
      <c r="P34" s="98">
        <v>-52169.6371907711</v>
      </c>
    </row>
    <row r="35" spans="3:16">
      <c r="C35" s="97">
        <v>-69.688000000000002</v>
      </c>
      <c r="D35" s="98"/>
      <c r="E35" s="98">
        <v>165299.216154683</v>
      </c>
      <c r="G35" s="97">
        <v>-69.688000000000002</v>
      </c>
      <c r="H35" s="97">
        <v>-44127.25</v>
      </c>
      <c r="I35" s="97">
        <v>-46415.88</v>
      </c>
      <c r="J35" s="97">
        <v>926828.43336676096</v>
      </c>
      <c r="K35" s="97">
        <v>-67679.529195637704</v>
      </c>
      <c r="L35" s="39"/>
      <c r="M35" s="97">
        <v>-69.688000000000002</v>
      </c>
      <c r="N35" s="98">
        <v>-32686.85</v>
      </c>
      <c r="O35" s="98">
        <v>679247.29590430099</v>
      </c>
      <c r="P35" s="98">
        <v>-50501.9298713729</v>
      </c>
    </row>
    <row r="36" spans="3:16">
      <c r="C36" s="97">
        <v>-69.221499999999992</v>
      </c>
      <c r="D36" s="98"/>
      <c r="E36" s="98">
        <v>171589.188447208</v>
      </c>
      <c r="G36" s="97">
        <v>-69.221499999999992</v>
      </c>
      <c r="H36" s="97">
        <v>-44127.25</v>
      </c>
      <c r="I36" s="97">
        <v>-46415.88</v>
      </c>
      <c r="J36" s="97">
        <v>957192.69111894094</v>
      </c>
      <c r="K36" s="97">
        <v>-65089.512866374498</v>
      </c>
      <c r="L36" s="39"/>
      <c r="M36" s="97">
        <v>-69.221499999999992</v>
      </c>
      <c r="N36" s="98">
        <v>-32686.85</v>
      </c>
      <c r="O36" s="98">
        <v>701976.78880938096</v>
      </c>
      <c r="P36" s="98">
        <v>-48723.457459984304</v>
      </c>
    </row>
    <row r="37" spans="3:16">
      <c r="C37" s="97">
        <v>-68.754999999999995</v>
      </c>
      <c r="D37" s="98"/>
      <c r="E37" s="98">
        <v>177782.275113082</v>
      </c>
      <c r="G37" s="97">
        <v>-68.754999999999995</v>
      </c>
      <c r="H37" s="97">
        <v>-44127.25</v>
      </c>
      <c r="I37" s="97">
        <v>-46415.88</v>
      </c>
      <c r="J37" s="97">
        <v>986281.97116673004</v>
      </c>
      <c r="K37" s="97">
        <v>-62356.441688762898</v>
      </c>
      <c r="L37" s="39"/>
      <c r="M37" s="97">
        <v>-68.754999999999995</v>
      </c>
      <c r="N37" s="98">
        <v>-32686.85</v>
      </c>
      <c r="O37" s="98">
        <v>723822.55021703197</v>
      </c>
      <c r="P37" s="98">
        <v>-46829.070541558802</v>
      </c>
    </row>
    <row r="38" spans="3:16">
      <c r="C38" s="97">
        <v>-68.53</v>
      </c>
      <c r="D38" s="98"/>
      <c r="E38" s="98">
        <v>180730.53286164999</v>
      </c>
      <c r="G38" s="97">
        <v>-68.53</v>
      </c>
      <c r="H38" s="97">
        <v>-44127.25</v>
      </c>
      <c r="I38" s="97">
        <v>-46415.88</v>
      </c>
      <c r="J38" s="97">
        <v>999831.95033949602</v>
      </c>
      <c r="K38" s="97">
        <v>-60222.129656551399</v>
      </c>
      <c r="L38" s="39"/>
      <c r="M38" s="97">
        <v>-68.53</v>
      </c>
      <c r="N38" s="98">
        <v>-32686.85</v>
      </c>
      <c r="O38" s="98">
        <v>734023.77993342304</v>
      </c>
      <c r="P38" s="98">
        <v>-45338.798739474201</v>
      </c>
    </row>
    <row r="39" spans="3:16">
      <c r="C39" s="97">
        <v>-68.288499999999999</v>
      </c>
      <c r="D39" s="98"/>
      <c r="E39" s="98">
        <v>183868.478079541</v>
      </c>
      <c r="G39" s="97">
        <v>-68.288499999999999</v>
      </c>
      <c r="H39" s="97">
        <v>-44127.25</v>
      </c>
      <c r="I39" s="97">
        <v>-46415.88</v>
      </c>
      <c r="J39" s="97">
        <v>1014059.0400098599</v>
      </c>
      <c r="K39" s="97">
        <v>-58911.344390894301</v>
      </c>
      <c r="L39" s="39"/>
      <c r="M39" s="97">
        <v>-68.288499999999999</v>
      </c>
      <c r="N39" s="98">
        <v>-32686.85</v>
      </c>
      <c r="O39" s="98">
        <v>744748.94394545304</v>
      </c>
      <c r="P39" s="98">
        <v>-44410.617027144901</v>
      </c>
    </row>
    <row r="40" spans="3:16">
      <c r="C40" s="97">
        <v>-67.822000000000003</v>
      </c>
      <c r="D40" s="98"/>
      <c r="E40" s="98">
        <v>189847.61906807401</v>
      </c>
      <c r="G40" s="97">
        <v>-67.822000000000003</v>
      </c>
      <c r="H40" s="97">
        <v>-44127.25</v>
      </c>
      <c r="I40" s="97">
        <v>-46415.88</v>
      </c>
      <c r="J40" s="97">
        <v>1040590.38745837</v>
      </c>
      <c r="K40" s="97">
        <v>-56873.199246419499</v>
      </c>
      <c r="L40" s="39"/>
      <c r="M40" s="97">
        <v>-67.822000000000003</v>
      </c>
      <c r="N40" s="98">
        <v>-32686.85</v>
      </c>
      <c r="O40" s="98">
        <v>764792.94514504098</v>
      </c>
      <c r="P40" s="98">
        <v>-42966.776419185502</v>
      </c>
    </row>
    <row r="41" spans="3:16">
      <c r="C41" s="97">
        <v>-67.355500000000006</v>
      </c>
      <c r="D41" s="98"/>
      <c r="E41" s="98">
        <v>195705.61452295099</v>
      </c>
      <c r="G41" s="97">
        <v>-67.355500000000006</v>
      </c>
      <c r="H41" s="97">
        <v>-44127.25</v>
      </c>
      <c r="I41" s="97">
        <v>-46415.88</v>
      </c>
      <c r="J41" s="97">
        <v>1065810.4630787701</v>
      </c>
      <c r="K41" s="97">
        <v>-54062.3271606157</v>
      </c>
      <c r="L41" s="39"/>
      <c r="M41" s="97">
        <v>-67.355500000000006</v>
      </c>
      <c r="N41" s="98">
        <v>-32686.85</v>
      </c>
      <c r="O41" s="98">
        <v>783907.20468881703</v>
      </c>
      <c r="P41" s="98">
        <v>-40973.7610799381</v>
      </c>
    </row>
    <row r="42" spans="3:16">
      <c r="C42" s="97">
        <v>-66.888999999999996</v>
      </c>
      <c r="D42" s="98"/>
      <c r="E42" s="98">
        <v>201428.64815489799</v>
      </c>
      <c r="G42" s="97">
        <v>-66.888999999999996</v>
      </c>
      <c r="H42" s="97">
        <v>-44127.25</v>
      </c>
      <c r="I42" s="97">
        <v>-46415.88</v>
      </c>
      <c r="J42" s="97">
        <v>1089660.69387253</v>
      </c>
      <c r="K42" s="97">
        <v>-51125.896663993197</v>
      </c>
      <c r="L42" s="39"/>
      <c r="M42" s="97">
        <v>-66.888999999999996</v>
      </c>
      <c r="N42" s="98">
        <v>-32686.85</v>
      </c>
      <c r="O42" s="98">
        <v>802049.24505697202</v>
      </c>
      <c r="P42" s="98">
        <v>-38889.689963854798</v>
      </c>
    </row>
    <row r="43" spans="3:16">
      <c r="C43" s="97">
        <v>-66.430000000000007</v>
      </c>
      <c r="D43" s="98"/>
      <c r="E43" s="98">
        <v>206913.23914289899</v>
      </c>
      <c r="G43" s="97">
        <v>-66.430000000000007</v>
      </c>
      <c r="H43" s="97">
        <v>-44127.25</v>
      </c>
      <c r="I43" s="97">
        <v>-46415.88</v>
      </c>
      <c r="J43" s="97">
        <v>1111733.34973308</v>
      </c>
      <c r="K43" s="97">
        <v>-48088.5748596251</v>
      </c>
      <c r="L43" s="39"/>
      <c r="M43" s="97">
        <v>-66.430000000000007</v>
      </c>
      <c r="N43" s="98">
        <v>-32686.85</v>
      </c>
      <c r="O43" s="98">
        <v>818909.11795139301</v>
      </c>
      <c r="P43" s="98">
        <v>-36731.749225343199</v>
      </c>
    </row>
    <row r="44" spans="3:16">
      <c r="C44" s="97">
        <v>-65.956000000000003</v>
      </c>
      <c r="D44" s="98"/>
      <c r="E44" s="98">
        <v>212434.914858189</v>
      </c>
      <c r="G44" s="97">
        <v>-65.956000000000003</v>
      </c>
      <c r="H44" s="97">
        <v>-44127.25</v>
      </c>
      <c r="I44" s="97">
        <v>-46415.88</v>
      </c>
      <c r="J44" s="97">
        <v>1133270.6449917101</v>
      </c>
      <c r="K44" s="97">
        <v>-45437.3317692286</v>
      </c>
      <c r="L44" s="39"/>
      <c r="M44" s="97">
        <v>-65.956000000000003</v>
      </c>
      <c r="N44" s="98">
        <v>-32686.85</v>
      </c>
      <c r="O44" s="98">
        <v>835408.79462169099</v>
      </c>
      <c r="P44" s="98">
        <v>-34809.444452136297</v>
      </c>
    </row>
    <row r="45" spans="3:16">
      <c r="C45" s="97">
        <v>-65.489499999999992</v>
      </c>
      <c r="D45" s="98"/>
      <c r="E45" s="98">
        <v>217712.922185723</v>
      </c>
      <c r="G45" s="97">
        <v>-65.489499999999992</v>
      </c>
      <c r="H45" s="97">
        <v>-44127.25</v>
      </c>
      <c r="I45" s="97">
        <v>-46415.88</v>
      </c>
      <c r="J45" s="97">
        <v>1153177.6284485899</v>
      </c>
      <c r="K45" s="97">
        <v>-42673.062072603403</v>
      </c>
      <c r="L45" s="39"/>
      <c r="M45" s="97">
        <v>-65.489499999999992</v>
      </c>
      <c r="N45" s="98">
        <v>-32686.85</v>
      </c>
      <c r="O45" s="98">
        <v>850711.36558830703</v>
      </c>
      <c r="P45" s="98">
        <v>-32802.9388351944</v>
      </c>
    </row>
    <row r="46" spans="3:16">
      <c r="C46" s="97">
        <v>-65.022999999999996</v>
      </c>
      <c r="D46" s="98"/>
      <c r="E46" s="98">
        <v>222819.77706605499</v>
      </c>
      <c r="G46" s="97">
        <v>-65.022999999999996</v>
      </c>
      <c r="H46" s="97">
        <v>-44127.25</v>
      </c>
      <c r="I46" s="97">
        <v>-46415.88</v>
      </c>
      <c r="J46" s="97">
        <v>1171764.5196177801</v>
      </c>
      <c r="K46" s="97">
        <v>-39843.282249097603</v>
      </c>
      <c r="L46" s="39"/>
      <c r="M46" s="97">
        <v>-65.022999999999996</v>
      </c>
      <c r="N46" s="98">
        <v>-32686.85</v>
      </c>
      <c r="O46" s="98">
        <v>865054.615320332</v>
      </c>
      <c r="P46" s="98">
        <v>-30746.516038686699</v>
      </c>
    </row>
    <row r="47" spans="3:16">
      <c r="C47" s="97">
        <v>-64.5565</v>
      </c>
      <c r="D47" s="98"/>
      <c r="E47" s="98">
        <v>227738.16300314199</v>
      </c>
      <c r="G47" s="97">
        <v>-64.5565</v>
      </c>
      <c r="H47" s="97">
        <v>-44127.25</v>
      </c>
      <c r="I47" s="97">
        <v>-46415.88</v>
      </c>
      <c r="J47" s="97">
        <v>1188991.53741488</v>
      </c>
      <c r="K47" s="97">
        <v>-36928.2267891261</v>
      </c>
      <c r="L47" s="39"/>
      <c r="M47" s="97">
        <v>-64.5565</v>
      </c>
      <c r="N47" s="98">
        <v>-32686.85</v>
      </c>
      <c r="O47" s="98">
        <v>878408.45641499804</v>
      </c>
      <c r="P47" s="98">
        <v>-28625.597201869801</v>
      </c>
    </row>
    <row r="48" spans="3:16">
      <c r="C48" s="97">
        <v>-64.430000000000007</v>
      </c>
      <c r="D48" s="98"/>
      <c r="E48" s="98">
        <v>229036.188344333</v>
      </c>
      <c r="G48" s="97">
        <v>-64.430000000000007</v>
      </c>
      <c r="H48" s="97">
        <v>-44127.25</v>
      </c>
      <c r="I48" s="97">
        <v>-46415.88</v>
      </c>
      <c r="J48" s="97">
        <v>1193421.93254954</v>
      </c>
      <c r="K48" s="97">
        <v>-35022.886438830603</v>
      </c>
      <c r="L48" s="39"/>
      <c r="M48" s="97">
        <v>-64.430000000000007</v>
      </c>
      <c r="N48" s="98">
        <v>-32686.85</v>
      </c>
      <c r="O48" s="98">
        <v>881854.015103132</v>
      </c>
      <c r="P48" s="98">
        <v>-27237.6180879577</v>
      </c>
    </row>
    <row r="49" spans="3:16">
      <c r="C49" s="97">
        <v>-64.09</v>
      </c>
      <c r="D49" s="98"/>
      <c r="E49" s="98">
        <v>232433.02675337699</v>
      </c>
      <c r="G49" s="97">
        <v>-64.09</v>
      </c>
      <c r="H49" s="97">
        <v>-44127.25</v>
      </c>
      <c r="I49" s="97">
        <v>-46415.88</v>
      </c>
      <c r="J49" s="97">
        <v>1204715.77434082</v>
      </c>
      <c r="K49" s="97">
        <v>-33217.1817391894</v>
      </c>
      <c r="L49" s="39"/>
      <c r="M49" s="97">
        <v>-64.09</v>
      </c>
      <c r="N49" s="98">
        <v>-32686.85</v>
      </c>
      <c r="O49" s="98">
        <v>890670.37408955395</v>
      </c>
      <c r="P49" s="98">
        <v>-25930.4676068605</v>
      </c>
    </row>
    <row r="50" spans="3:16">
      <c r="C50" s="97">
        <v>-63.6235</v>
      </c>
      <c r="D50" s="98"/>
      <c r="E50" s="98">
        <v>236860.606067318</v>
      </c>
      <c r="G50" s="97">
        <v>-63.6235</v>
      </c>
      <c r="H50" s="97">
        <v>-44127.25</v>
      </c>
      <c r="I50" s="97">
        <v>-46415.88</v>
      </c>
      <c r="J50" s="97">
        <v>1218725.6362671</v>
      </c>
      <c r="K50" s="97">
        <v>-30031.858362953601</v>
      </c>
      <c r="L50" s="39"/>
      <c r="M50" s="97">
        <v>-63.6235</v>
      </c>
      <c r="N50" s="98">
        <v>-32686.85</v>
      </c>
      <c r="O50" s="98">
        <v>901690.24174684298</v>
      </c>
      <c r="P50" s="98">
        <v>-23622.438708085301</v>
      </c>
    </row>
    <row r="51" spans="3:16">
      <c r="C51" s="97">
        <v>-63.156999999999996</v>
      </c>
      <c r="D51" s="98"/>
      <c r="E51" s="98">
        <v>240993.26853111901</v>
      </c>
      <c r="G51" s="97">
        <v>-63.156999999999996</v>
      </c>
      <c r="H51" s="97">
        <v>-44127.25</v>
      </c>
      <c r="I51" s="97">
        <v>-46415.88</v>
      </c>
      <c r="J51" s="97">
        <v>1230970.78171991</v>
      </c>
      <c r="K51" s="97">
        <v>-26248.9720316477</v>
      </c>
      <c r="L51" s="39"/>
      <c r="M51" s="97">
        <v>-63.156999999999996</v>
      </c>
      <c r="N51" s="98">
        <v>-32686.85</v>
      </c>
      <c r="O51" s="98">
        <v>911429.86437129194</v>
      </c>
      <c r="P51" s="98">
        <v>-20878.076365372501</v>
      </c>
    </row>
    <row r="52" spans="3:16">
      <c r="C52" s="97">
        <v>-62.83</v>
      </c>
      <c r="D52" s="98"/>
      <c r="E52" s="98">
        <v>243698.22764625601</v>
      </c>
      <c r="G52" s="97">
        <v>-62.83</v>
      </c>
      <c r="H52" s="97">
        <v>-44127.25</v>
      </c>
      <c r="I52" s="97">
        <v>-46415.88</v>
      </c>
      <c r="J52" s="97">
        <v>1238475.9365843199</v>
      </c>
      <c r="K52" s="97">
        <v>-22951.543927755101</v>
      </c>
      <c r="L52" s="39"/>
      <c r="M52" s="97">
        <v>-62.83</v>
      </c>
      <c r="N52" s="98">
        <v>-32686.85</v>
      </c>
      <c r="O52" s="98">
        <v>917473.69632333505</v>
      </c>
      <c r="P52" s="98">
        <v>-18482.666519986298</v>
      </c>
    </row>
    <row r="53" spans="3:16">
      <c r="C53" s="97">
        <v>-62.6905</v>
      </c>
      <c r="D53" s="98"/>
      <c r="E53" s="98">
        <v>244824.54299644401</v>
      </c>
      <c r="G53" s="97">
        <v>-62.6905</v>
      </c>
      <c r="H53" s="97">
        <v>-44127.25</v>
      </c>
      <c r="I53" s="97">
        <v>-46415.88</v>
      </c>
      <c r="J53" s="97">
        <v>1241536.5468846001</v>
      </c>
      <c r="K53" s="97">
        <v>-21939.858783099899</v>
      </c>
      <c r="L53" s="39"/>
      <c r="M53" s="97">
        <v>-62.6905</v>
      </c>
      <c r="N53" s="98">
        <v>-32686.85</v>
      </c>
      <c r="O53" s="98">
        <v>919943.95143791998</v>
      </c>
      <c r="P53" s="98">
        <v>-17707.921968487899</v>
      </c>
    </row>
    <row r="54" spans="3:16">
      <c r="C54" s="97">
        <v>-62.224000000000004</v>
      </c>
      <c r="D54" s="98"/>
      <c r="E54" s="98">
        <v>248467.91635657899</v>
      </c>
      <c r="G54" s="97">
        <v>-62.224000000000004</v>
      </c>
      <c r="H54" s="97">
        <v>-44127.25</v>
      </c>
      <c r="I54" s="97">
        <v>-46415.88</v>
      </c>
      <c r="J54" s="97">
        <v>1251156.4303216201</v>
      </c>
      <c r="K54" s="97">
        <v>-20621.400722490001</v>
      </c>
      <c r="L54" s="39"/>
      <c r="M54" s="97">
        <v>-62.224000000000004</v>
      </c>
      <c r="N54" s="98">
        <v>-32686.85</v>
      </c>
      <c r="O54" s="98">
        <v>927733.52330014901</v>
      </c>
      <c r="P54" s="98">
        <v>-16697.903241728902</v>
      </c>
    </row>
    <row r="55" spans="3:16">
      <c r="C55" s="97">
        <v>-62.03</v>
      </c>
      <c r="D55" s="98"/>
      <c r="E55" s="98">
        <v>249922.424709518</v>
      </c>
      <c r="G55" s="97">
        <v>-62.03</v>
      </c>
      <c r="H55" s="97">
        <v>-44127.25</v>
      </c>
      <c r="I55" s="97">
        <v>-46415.88</v>
      </c>
      <c r="J55" s="97">
        <v>1254875.4434533101</v>
      </c>
      <c r="K55" s="97">
        <v>-19170.170782082499</v>
      </c>
      <c r="L55" s="39"/>
      <c r="M55" s="97">
        <v>-62.03</v>
      </c>
      <c r="N55" s="98">
        <v>-32686.85</v>
      </c>
      <c r="O55" s="98">
        <v>930756.98975521303</v>
      </c>
      <c r="P55" s="98">
        <v>-15584.878634123799</v>
      </c>
    </row>
    <row r="56" spans="3:16">
      <c r="C56" s="97">
        <v>-61.7575</v>
      </c>
      <c r="D56" s="98"/>
      <c r="E56" s="98">
        <v>251845.91072280001</v>
      </c>
      <c r="G56" s="97">
        <v>-61.7575</v>
      </c>
      <c r="H56" s="97">
        <v>-44127.25</v>
      </c>
      <c r="I56" s="97">
        <v>-46415.88</v>
      </c>
      <c r="J56" s="97">
        <v>1259557.89797372</v>
      </c>
      <c r="K56" s="97">
        <v>-17183.319340545899</v>
      </c>
      <c r="L56" s="39"/>
      <c r="M56" s="97">
        <v>-61.7575</v>
      </c>
      <c r="N56" s="98">
        <v>-32686.85</v>
      </c>
      <c r="O56" s="98">
        <v>934610.55069333303</v>
      </c>
      <c r="P56" s="98">
        <v>-14141.508029950701</v>
      </c>
    </row>
    <row r="57" spans="3:16">
      <c r="C57" s="97">
        <v>-61.290999999999997</v>
      </c>
      <c r="D57" s="98"/>
      <c r="E57" s="98">
        <v>254798.92495384</v>
      </c>
      <c r="G57" s="97">
        <v>-61.290999999999997</v>
      </c>
      <c r="H57" s="97">
        <v>-44127.25</v>
      </c>
      <c r="I57" s="97">
        <v>-46415.88</v>
      </c>
      <c r="J57" s="97">
        <v>1266088.31548725</v>
      </c>
      <c r="K57" s="97">
        <v>-13998.751368864299</v>
      </c>
      <c r="L57" s="39"/>
      <c r="M57" s="97">
        <v>-61.290999999999997</v>
      </c>
      <c r="N57" s="98">
        <v>-32686.85</v>
      </c>
      <c r="O57" s="98">
        <v>940127.43640992802</v>
      </c>
      <c r="P57" s="98">
        <v>-11826.121578837399</v>
      </c>
    </row>
    <row r="58" spans="3:16">
      <c r="C58" s="97">
        <v>-60.8245</v>
      </c>
      <c r="D58" s="98"/>
      <c r="E58" s="98">
        <v>257287.716713684</v>
      </c>
      <c r="G58" s="97">
        <v>-60.8245</v>
      </c>
      <c r="H58" s="97">
        <v>-44127.25</v>
      </c>
      <c r="I58" s="97">
        <v>-46415.88</v>
      </c>
      <c r="J58" s="97">
        <v>1270707.57379389</v>
      </c>
      <c r="K58" s="97">
        <v>-9901.9470667368696</v>
      </c>
      <c r="L58" s="39"/>
      <c r="M58" s="97">
        <v>-60.8245</v>
      </c>
      <c r="N58" s="98">
        <v>-32686.85</v>
      </c>
      <c r="O58" s="98">
        <v>944252.79323061602</v>
      </c>
      <c r="P58" s="98">
        <v>-8843.2086189456804</v>
      </c>
    </row>
    <row r="59" spans="3:16">
      <c r="C59" s="97">
        <v>-60.358000000000004</v>
      </c>
      <c r="D59" s="98"/>
      <c r="E59" s="98">
        <v>259275.268888522</v>
      </c>
      <c r="G59" s="97">
        <v>-60.358000000000004</v>
      </c>
      <c r="H59" s="97">
        <v>-44127.25</v>
      </c>
      <c r="I59" s="97">
        <v>-46415.88</v>
      </c>
      <c r="J59" s="97">
        <v>1273382.6494076799</v>
      </c>
      <c r="K59" s="97">
        <v>-5734.3528698761902</v>
      </c>
      <c r="L59" s="39"/>
      <c r="M59" s="97">
        <v>-60.358000000000004</v>
      </c>
      <c r="N59" s="98">
        <v>-32686.85</v>
      </c>
      <c r="O59" s="98">
        <v>946960.52773889201</v>
      </c>
      <c r="P59" s="98">
        <v>-5804.3612181328399</v>
      </c>
    </row>
    <row r="60" spans="3:16">
      <c r="C60" s="97">
        <v>-59.891500000000001</v>
      </c>
      <c r="D60" s="98"/>
      <c r="E60" s="98">
        <v>260722.73319817099</v>
      </c>
      <c r="G60" s="97">
        <v>-59.891500000000001</v>
      </c>
      <c r="H60" s="97">
        <v>-44127.25</v>
      </c>
      <c r="I60" s="97">
        <v>-46415.88</v>
      </c>
      <c r="J60" s="97">
        <v>1274083.2855414201</v>
      </c>
      <c r="K60" s="97">
        <v>-1501.89953637496</v>
      </c>
      <c r="L60" s="39"/>
      <c r="M60" s="97">
        <v>-59.891500000000001</v>
      </c>
      <c r="N60" s="98">
        <v>-32686.85</v>
      </c>
      <c r="O60" s="98">
        <v>948226.47858363402</v>
      </c>
      <c r="P60" s="98">
        <v>-2713.7209962340398</v>
      </c>
    </row>
    <row r="61" spans="3:16">
      <c r="C61" s="97">
        <v>-59.53</v>
      </c>
      <c r="D61" s="98"/>
      <c r="E61" s="98">
        <v>261445.04497233001</v>
      </c>
      <c r="G61" s="97">
        <v>-59.53</v>
      </c>
      <c r="H61" s="97">
        <v>-44127.25</v>
      </c>
      <c r="I61" s="97">
        <v>-46415.88</v>
      </c>
      <c r="J61" s="97">
        <v>1273249.6439801501</v>
      </c>
      <c r="K61" s="97">
        <v>2306.0624100730101</v>
      </c>
      <c r="L61" s="39"/>
      <c r="M61" s="97">
        <v>-59.53</v>
      </c>
      <c r="N61" s="98">
        <v>-32686.85</v>
      </c>
      <c r="O61" s="98">
        <v>948200.700932696</v>
      </c>
      <c r="P61" s="98">
        <v>71.307471435051397</v>
      </c>
    </row>
    <row r="62" spans="3:16">
      <c r="C62" s="97">
        <v>-59.424999999999997</v>
      </c>
      <c r="D62" s="98"/>
      <c r="E62" s="98">
        <v>261623.08153169599</v>
      </c>
      <c r="G62" s="97">
        <v>-59.424999999999997</v>
      </c>
      <c r="H62" s="97">
        <v>-44127.25</v>
      </c>
      <c r="I62" s="97">
        <v>-46415.88</v>
      </c>
      <c r="J62" s="97">
        <v>1272912.6445764301</v>
      </c>
      <c r="K62" s="97">
        <v>3209.51813193108</v>
      </c>
      <c r="L62" s="39"/>
      <c r="M62" s="97">
        <v>-59.424999999999997</v>
      </c>
      <c r="N62" s="98">
        <v>-32686.85</v>
      </c>
      <c r="O62" s="98">
        <v>948118.92977422499</v>
      </c>
      <c r="P62" s="98">
        <v>778.77293791010698</v>
      </c>
    </row>
    <row r="63" spans="3:16">
      <c r="C63" s="97">
        <v>-58.958500000000001</v>
      </c>
      <c r="D63" s="98"/>
      <c r="E63" s="98">
        <v>262238.47478233802</v>
      </c>
      <c r="G63" s="97">
        <v>-58.958500000000001</v>
      </c>
      <c r="H63" s="97">
        <v>-44127.25</v>
      </c>
      <c r="I63" s="97">
        <v>-46415.88</v>
      </c>
      <c r="J63" s="97">
        <v>1270899.41560701</v>
      </c>
      <c r="K63" s="97">
        <v>4315.6033640308297</v>
      </c>
      <c r="L63" s="39"/>
      <c r="M63" s="97">
        <v>-58.958500000000001</v>
      </c>
      <c r="N63" s="98">
        <v>-32686.85</v>
      </c>
      <c r="O63" s="98">
        <v>947351.47356735205</v>
      </c>
      <c r="P63" s="98">
        <v>1645.1365635479499</v>
      </c>
    </row>
    <row r="64" spans="3:16">
      <c r="C64" s="97">
        <v>-58.491999999999997</v>
      </c>
      <c r="D64" s="98"/>
      <c r="E64" s="98">
        <v>262547.18563897</v>
      </c>
      <c r="G64" s="97">
        <v>-58.491999999999997</v>
      </c>
      <c r="H64" s="97">
        <v>-44127.25</v>
      </c>
      <c r="I64" s="97">
        <v>-46415.88</v>
      </c>
      <c r="J64" s="97">
        <v>1268047.15784833</v>
      </c>
      <c r="K64" s="97">
        <v>6114.1645416859501</v>
      </c>
      <c r="L64" s="39"/>
      <c r="M64" s="97">
        <v>-58.491999999999997</v>
      </c>
      <c r="N64" s="98">
        <v>-32686.85</v>
      </c>
      <c r="O64" s="98">
        <v>945926.06956963195</v>
      </c>
      <c r="P64" s="98">
        <v>3055.5283980868398</v>
      </c>
    </row>
    <row r="65" spans="3:16">
      <c r="C65" s="97">
        <v>-58.025500000000001</v>
      </c>
      <c r="D65" s="98"/>
      <c r="E65" s="98">
        <v>262528.74043332</v>
      </c>
      <c r="G65" s="97">
        <v>-58.025500000000001</v>
      </c>
      <c r="H65" s="97">
        <v>-44127.25</v>
      </c>
      <c r="I65" s="97">
        <v>-46415.88</v>
      </c>
      <c r="J65" s="97">
        <v>1264360.7474966201</v>
      </c>
      <c r="K65" s="97">
        <v>7902.2729940457502</v>
      </c>
      <c r="L65" s="39"/>
      <c r="M65" s="97">
        <v>-58.025500000000001</v>
      </c>
      <c r="N65" s="98">
        <v>-32686.85</v>
      </c>
      <c r="O65" s="98">
        <v>943845.78462596994</v>
      </c>
      <c r="P65" s="98">
        <v>4459.3460742549496</v>
      </c>
    </row>
    <row r="66" spans="3:16">
      <c r="C66" s="97">
        <v>-57.558999999999997</v>
      </c>
      <c r="D66" s="98"/>
      <c r="E66" s="98">
        <v>262162.32976265601</v>
      </c>
      <c r="G66" s="97">
        <v>-57.558999999999997</v>
      </c>
      <c r="H66" s="97">
        <v>-44127.25</v>
      </c>
      <c r="I66" s="97">
        <v>-46415.88</v>
      </c>
      <c r="J66" s="97">
        <v>1259846.6694254901</v>
      </c>
      <c r="K66" s="97">
        <v>9676.48032393004</v>
      </c>
      <c r="L66" s="39"/>
      <c r="M66" s="97">
        <v>-57.558999999999997</v>
      </c>
      <c r="N66" s="98">
        <v>-32686.85</v>
      </c>
      <c r="O66" s="98">
        <v>941114.95034911495</v>
      </c>
      <c r="P66" s="98">
        <v>5853.8784069193598</v>
      </c>
    </row>
    <row r="67" spans="3:16">
      <c r="C67" s="97">
        <v>-57.33</v>
      </c>
      <c r="D67" s="98"/>
      <c r="E67" s="98">
        <v>261847.45053587499</v>
      </c>
      <c r="G67" s="97">
        <v>-57.33</v>
      </c>
      <c r="H67" s="97">
        <v>-44127.25</v>
      </c>
      <c r="I67" s="97">
        <v>-46415.88</v>
      </c>
      <c r="J67" s="97">
        <v>1257330.86566013</v>
      </c>
      <c r="K67" s="97">
        <v>10986.042643299899</v>
      </c>
      <c r="L67" s="39"/>
      <c r="M67" s="97">
        <v>-57.33</v>
      </c>
      <c r="N67" s="98">
        <v>-32686.85</v>
      </c>
      <c r="O67" s="98">
        <v>939538.42650392698</v>
      </c>
      <c r="P67" s="98">
        <v>6884.3836035983404</v>
      </c>
    </row>
    <row r="68" spans="3:16">
      <c r="C68" s="97">
        <v>-57.092500000000001</v>
      </c>
      <c r="D68" s="98"/>
      <c r="E68" s="98">
        <v>261506.30224041999</v>
      </c>
      <c r="G68" s="97">
        <v>-57.092500000000001</v>
      </c>
      <c r="H68" s="97">
        <v>-44127.25</v>
      </c>
      <c r="I68" s="97">
        <v>-46415.88</v>
      </c>
      <c r="J68" s="97">
        <v>1254677.12335435</v>
      </c>
      <c r="K68" s="97">
        <v>11173.651813586701</v>
      </c>
      <c r="L68" s="39"/>
      <c r="M68" s="97">
        <v>-57.092500000000001</v>
      </c>
      <c r="N68" s="98">
        <v>-32686.85</v>
      </c>
      <c r="O68" s="98">
        <v>937865.22926503397</v>
      </c>
      <c r="P68" s="98">
        <v>7045.0410057505396</v>
      </c>
    </row>
    <row r="69" spans="3:16">
      <c r="C69" s="97">
        <v>-56.625999999999998</v>
      </c>
      <c r="D69" s="98"/>
      <c r="E69" s="98">
        <v>260792.43697750199</v>
      </c>
      <c r="G69" s="97">
        <v>-56.625999999999998</v>
      </c>
      <c r="H69" s="97">
        <v>-44127.25</v>
      </c>
      <c r="I69" s="97">
        <v>-46415.88</v>
      </c>
      <c r="J69" s="97">
        <v>1249332.39562474</v>
      </c>
      <c r="K69" s="97">
        <v>11457.079806035699</v>
      </c>
      <c r="L69" s="39"/>
      <c r="M69" s="97">
        <v>-56.625999999999998</v>
      </c>
      <c r="N69" s="98">
        <v>-32686.85</v>
      </c>
      <c r="O69" s="98">
        <v>934465.404320225</v>
      </c>
      <c r="P69" s="98">
        <v>7287.9420038887802</v>
      </c>
    </row>
    <row r="70" spans="3:16">
      <c r="C70" s="97">
        <v>-56.159500000000001</v>
      </c>
      <c r="D70" s="98"/>
      <c r="E70" s="98">
        <v>260019.17600118401</v>
      </c>
      <c r="G70" s="97">
        <v>-56.159500000000001</v>
      </c>
      <c r="H70" s="97">
        <v>-44127.25</v>
      </c>
      <c r="I70" s="97">
        <v>-46415.88</v>
      </c>
      <c r="J70" s="97">
        <v>1243812.1596496699</v>
      </c>
      <c r="K70" s="97">
        <v>11833.303269111901</v>
      </c>
      <c r="L70" s="39"/>
      <c r="M70" s="97">
        <v>-56.159500000000001</v>
      </c>
      <c r="N70" s="98">
        <v>-32686.85</v>
      </c>
      <c r="O70" s="98">
        <v>930914.95979849994</v>
      </c>
      <c r="P70" s="98">
        <v>7610.8135513986899</v>
      </c>
    </row>
    <row r="71" spans="3:16">
      <c r="C71" s="97">
        <v>-55.692999999999998</v>
      </c>
      <c r="D71" s="98"/>
      <c r="E71" s="98">
        <v>259185.28283982899</v>
      </c>
      <c r="G71" s="97">
        <v>-55.692999999999998</v>
      </c>
      <c r="H71" s="97">
        <v>-44127.25</v>
      </c>
      <c r="I71" s="97">
        <v>-46415.88</v>
      </c>
      <c r="J71" s="97">
        <v>1238116.72408469</v>
      </c>
      <c r="K71" s="97">
        <v>12208.865091126099</v>
      </c>
      <c r="L71" s="39"/>
      <c r="M71" s="97">
        <v>-55.692999999999998</v>
      </c>
      <c r="N71" s="98">
        <v>-32686.85</v>
      </c>
      <c r="O71" s="98">
        <v>927213.930113271</v>
      </c>
      <c r="P71" s="98">
        <v>7933.6113295373498</v>
      </c>
    </row>
    <row r="72" spans="3:16">
      <c r="C72" s="97">
        <v>-55.226500000000001</v>
      </c>
      <c r="D72" s="98"/>
      <c r="E72" s="98">
        <v>258289.66484766599</v>
      </c>
      <c r="G72" s="97">
        <v>-55.226500000000001</v>
      </c>
      <c r="H72" s="97">
        <v>-44127.25</v>
      </c>
      <c r="I72" s="97">
        <v>-46415.88</v>
      </c>
      <c r="J72" s="97">
        <v>1232246.85383005</v>
      </c>
      <c r="K72" s="97">
        <v>12582.787255408501</v>
      </c>
      <c r="L72" s="39"/>
      <c r="M72" s="97">
        <v>-55.226500000000001</v>
      </c>
      <c r="N72" s="98">
        <v>-32686.85</v>
      </c>
      <c r="O72" s="98">
        <v>923362.73764024698</v>
      </c>
      <c r="P72" s="98">
        <v>8255.5036934996006</v>
      </c>
    </row>
    <row r="73" spans="3:16">
      <c r="C73" s="97">
        <v>-54.76</v>
      </c>
      <c r="D73" s="98"/>
      <c r="E73" s="98">
        <v>257331.363223661</v>
      </c>
      <c r="G73" s="97">
        <v>-54.76</v>
      </c>
      <c r="H73" s="97">
        <v>-44127.25</v>
      </c>
      <c r="I73" s="97">
        <v>-46415.88</v>
      </c>
      <c r="J73" s="97">
        <v>1226203.51402946</v>
      </c>
      <c r="K73" s="97">
        <v>12954.6405157587</v>
      </c>
      <c r="L73" s="39"/>
      <c r="M73" s="97">
        <v>-54.76</v>
      </c>
      <c r="N73" s="98">
        <v>-32686.85</v>
      </c>
      <c r="O73" s="98">
        <v>919362.00617942202</v>
      </c>
      <c r="P73" s="98">
        <v>8576.0588656944492</v>
      </c>
    </row>
    <row r="74" spans="3:16">
      <c r="C74" s="97">
        <v>-54.379999999999995</v>
      </c>
      <c r="D74" s="98"/>
      <c r="E74" s="98">
        <v>256503.82621861401</v>
      </c>
      <c r="G74" s="97">
        <v>-54.379999999999995</v>
      </c>
      <c r="H74" s="97">
        <v>-44127.25</v>
      </c>
      <c r="I74" s="97">
        <v>-46415.88</v>
      </c>
      <c r="J74" s="97">
        <v>1221153.4178784001</v>
      </c>
      <c r="K74" s="97">
        <v>13289.7267132619</v>
      </c>
      <c r="L74" s="39"/>
      <c r="M74" s="97">
        <v>-54.379999999999995</v>
      </c>
      <c r="N74" s="98">
        <v>-32686.85</v>
      </c>
      <c r="O74" s="98">
        <v>915993.20478001202</v>
      </c>
      <c r="P74" s="98">
        <v>8865.2668404976102</v>
      </c>
    </row>
    <row r="75" spans="3:16">
      <c r="C75" s="97">
        <v>-54.293500000000002</v>
      </c>
      <c r="D75" s="98"/>
      <c r="E75" s="98">
        <v>256308.10226383799</v>
      </c>
      <c r="G75" s="97">
        <v>-54.293500000000002</v>
      </c>
      <c r="H75" s="97">
        <v>-44127.25</v>
      </c>
      <c r="I75" s="97">
        <v>-46415.88</v>
      </c>
      <c r="J75" s="97">
        <v>1219986.6066635801</v>
      </c>
      <c r="K75" s="97">
        <v>13489.1469942981</v>
      </c>
      <c r="L75" s="39"/>
      <c r="M75" s="97">
        <v>-54.293500000000002</v>
      </c>
      <c r="N75" s="98">
        <v>-32686.85</v>
      </c>
      <c r="O75" s="98">
        <v>915211.11215728498</v>
      </c>
      <c r="P75" s="98">
        <v>9041.5332109492701</v>
      </c>
    </row>
    <row r="76" spans="3:16">
      <c r="C76" s="97">
        <v>-53.826999999999998</v>
      </c>
      <c r="D76" s="98"/>
      <c r="E76" s="98">
        <v>255205.487960253</v>
      </c>
      <c r="G76" s="97">
        <v>-53.826999999999998</v>
      </c>
      <c r="H76" s="97">
        <v>-44127.25</v>
      </c>
      <c r="I76" s="97">
        <v>-46415.88</v>
      </c>
      <c r="J76" s="97">
        <v>1213583.8220825901</v>
      </c>
      <c r="K76" s="97">
        <v>13725.1545143641</v>
      </c>
      <c r="L76" s="39"/>
      <c r="M76" s="97">
        <v>-53.826999999999998</v>
      </c>
      <c r="N76" s="98">
        <v>-32686.85</v>
      </c>
      <c r="O76" s="98">
        <v>910895.90770320594</v>
      </c>
      <c r="P76" s="98">
        <v>9250.1703194859401</v>
      </c>
    </row>
    <row r="77" spans="3:16">
      <c r="C77" s="97">
        <v>-53.360500000000002</v>
      </c>
      <c r="D77" s="98"/>
      <c r="E77" s="98">
        <v>254022.95380702199</v>
      </c>
      <c r="G77" s="97">
        <v>-53.360500000000002</v>
      </c>
      <c r="H77" s="97">
        <v>-44127.25</v>
      </c>
      <c r="I77" s="97">
        <v>-46415.88</v>
      </c>
      <c r="J77" s="97">
        <v>1206997.0915987601</v>
      </c>
      <c r="K77" s="97">
        <v>14119.465131254299</v>
      </c>
      <c r="L77" s="39"/>
      <c r="M77" s="97">
        <v>-53.360500000000002</v>
      </c>
      <c r="N77" s="98">
        <v>-32686.85</v>
      </c>
      <c r="O77" s="98">
        <v>906417.97430706001</v>
      </c>
      <c r="P77" s="98">
        <v>9598.9997773382293</v>
      </c>
    </row>
    <row r="78" spans="3:16">
      <c r="C78" s="97">
        <v>-52.893999999999998</v>
      </c>
      <c r="D78" s="98"/>
      <c r="E78" s="98">
        <v>252760.21257133599</v>
      </c>
      <c r="G78" s="97">
        <v>-52.893999999999998</v>
      </c>
      <c r="H78" s="97">
        <v>-44127.25</v>
      </c>
      <c r="I78" s="97">
        <v>-46415.88</v>
      </c>
      <c r="J78" s="97">
        <v>1200228.49410298</v>
      </c>
      <c r="K78" s="97">
        <v>14509.3193906137</v>
      </c>
      <c r="L78" s="39"/>
      <c r="M78" s="97">
        <v>-52.893999999999998</v>
      </c>
      <c r="N78" s="98">
        <v>-32686.85</v>
      </c>
      <c r="O78" s="98">
        <v>901779.06507161295</v>
      </c>
      <c r="P78" s="98">
        <v>9944.0712442788099</v>
      </c>
    </row>
    <row r="79" spans="3:16">
      <c r="C79" s="97">
        <v>-52.427500000000002</v>
      </c>
      <c r="D79" s="98"/>
      <c r="E79" s="98">
        <v>251417.228454864</v>
      </c>
      <c r="G79" s="97">
        <v>-52.427500000000002</v>
      </c>
      <c r="H79" s="97">
        <v>-44127.25</v>
      </c>
      <c r="I79" s="97">
        <v>-46415.88</v>
      </c>
      <c r="J79" s="97">
        <v>1193280.40888895</v>
      </c>
      <c r="K79" s="97">
        <v>14894.073342047501</v>
      </c>
      <c r="L79" s="39"/>
      <c r="M79" s="97">
        <v>-52.427500000000002</v>
      </c>
      <c r="N79" s="98">
        <v>-32686.85</v>
      </c>
      <c r="O79" s="98">
        <v>896981.23014819599</v>
      </c>
      <c r="P79" s="98">
        <v>10284.7479600809</v>
      </c>
    </row>
    <row r="80" spans="3:16">
      <c r="C80" s="97">
        <v>-51.960999999999999</v>
      </c>
      <c r="D80" s="98"/>
      <c r="E80" s="98">
        <v>249994.24041476299</v>
      </c>
      <c r="G80" s="97">
        <v>-51.960999999999999</v>
      </c>
      <c r="H80" s="97">
        <v>-44127.25</v>
      </c>
      <c r="I80" s="97">
        <v>-46415.88</v>
      </c>
      <c r="J80" s="97">
        <v>1186155.54897788</v>
      </c>
      <c r="K80" s="97">
        <v>15273.0115992387</v>
      </c>
      <c r="L80" s="39"/>
      <c r="M80" s="97">
        <v>-51.960999999999999</v>
      </c>
      <c r="N80" s="98">
        <v>-32686.85</v>
      </c>
      <c r="O80" s="98">
        <v>892026.846607015</v>
      </c>
      <c r="P80" s="98">
        <v>10620.329134343699</v>
      </c>
    </row>
    <row r="81" spans="3:16">
      <c r="C81" s="97">
        <v>-51.494500000000002</v>
      </c>
      <c r="D81" s="98"/>
      <c r="E81" s="98">
        <v>248491.78768784201</v>
      </c>
      <c r="G81" s="97">
        <v>-51.494500000000002</v>
      </c>
      <c r="H81" s="97">
        <v>-44127.25</v>
      </c>
      <c r="I81" s="97">
        <v>-46415.88</v>
      </c>
      <c r="J81" s="97">
        <v>1178857.0012336699</v>
      </c>
      <c r="K81" s="97">
        <v>15645.3327849546</v>
      </c>
      <c r="L81" s="39"/>
      <c r="M81" s="97">
        <v>-51.494500000000002</v>
      </c>
      <c r="N81" s="98">
        <v>-32686.85</v>
      </c>
      <c r="O81" s="98">
        <v>886918.65422116197</v>
      </c>
      <c r="P81" s="98">
        <v>10950.037268752299</v>
      </c>
    </row>
    <row r="82" spans="3:16">
      <c r="C82" s="97">
        <v>-51.43</v>
      </c>
      <c r="D82" s="98"/>
      <c r="E82" s="98">
        <v>248277.86904296299</v>
      </c>
      <c r="G82" s="97">
        <v>-51.43</v>
      </c>
      <c r="H82" s="97">
        <v>-44127.25</v>
      </c>
      <c r="I82" s="97">
        <v>-46415.88</v>
      </c>
      <c r="J82" s="97">
        <v>1177834.48587739</v>
      </c>
      <c r="K82" s="97">
        <v>15852.9512595505</v>
      </c>
      <c r="L82" s="39"/>
      <c r="M82" s="97">
        <v>-51.43</v>
      </c>
      <c r="N82" s="98">
        <v>-32686.85</v>
      </c>
      <c r="O82" s="98">
        <v>886200.521088243</v>
      </c>
      <c r="P82" s="98">
        <v>11133.847024574199</v>
      </c>
    </row>
    <row r="83" spans="3:16">
      <c r="C83" s="97">
        <v>-51.027999999999999</v>
      </c>
      <c r="D83" s="98"/>
      <c r="E83" s="98">
        <v>246907.54764621001</v>
      </c>
      <c r="G83" s="97">
        <v>-51.027999999999999</v>
      </c>
      <c r="H83" s="97">
        <v>-44127.25</v>
      </c>
      <c r="I83" s="97">
        <v>-46415.88</v>
      </c>
      <c r="J83" s="97">
        <v>1171392.8072499901</v>
      </c>
      <c r="K83" s="97">
        <v>16024.0761892387</v>
      </c>
      <c r="L83" s="39"/>
      <c r="M83" s="97">
        <v>-51.027999999999999</v>
      </c>
      <c r="N83" s="98">
        <v>-32686.85</v>
      </c>
      <c r="O83" s="98">
        <v>881662.33895255602</v>
      </c>
      <c r="P83" s="98">
        <v>11289.010287932</v>
      </c>
    </row>
    <row r="84" spans="3:16">
      <c r="C84" s="97">
        <v>-50.561500000000002</v>
      </c>
      <c r="D84" s="98"/>
      <c r="E84" s="98">
        <v>245238.417909743</v>
      </c>
      <c r="G84" s="97">
        <v>-50.561500000000002</v>
      </c>
      <c r="H84" s="97">
        <v>-44127.25</v>
      </c>
      <c r="I84" s="97">
        <v>-46415.88</v>
      </c>
      <c r="J84" s="97">
        <v>1163771.80521388</v>
      </c>
      <c r="K84" s="97">
        <v>16336.5531310028</v>
      </c>
      <c r="L84" s="39"/>
      <c r="M84" s="97">
        <v>-50.561500000000002</v>
      </c>
      <c r="N84" s="98">
        <v>-32686.85</v>
      </c>
      <c r="O84" s="98">
        <v>876263.91102346801</v>
      </c>
      <c r="P84" s="98">
        <v>11572.192773951099</v>
      </c>
    </row>
    <row r="85" spans="3:16">
      <c r="C85" s="97">
        <v>-50.094999999999999</v>
      </c>
      <c r="D85" s="98"/>
      <c r="E85" s="98">
        <v>243486.284015946</v>
      </c>
      <c r="G85" s="97">
        <v>-50.094999999999999</v>
      </c>
      <c r="H85" s="97">
        <v>-44127.25</v>
      </c>
      <c r="I85" s="97">
        <v>-46415.88</v>
      </c>
      <c r="J85" s="97">
        <v>1155998.2235197001</v>
      </c>
      <c r="K85" s="97">
        <v>16663.6263540771</v>
      </c>
      <c r="L85" s="39"/>
      <c r="M85" s="97">
        <v>-50.094999999999999</v>
      </c>
      <c r="N85" s="98">
        <v>-32686.85</v>
      </c>
      <c r="O85" s="98">
        <v>870727.32167196297</v>
      </c>
      <c r="P85" s="98">
        <v>11868.3587385912</v>
      </c>
    </row>
    <row r="86" spans="3:16">
      <c r="C86" s="97">
        <v>-49.628500000000003</v>
      </c>
      <c r="D86" s="98"/>
      <c r="E86" s="98">
        <v>241653.42422833099</v>
      </c>
      <c r="G86" s="97">
        <v>-49.628500000000003</v>
      </c>
      <c r="H86" s="97">
        <v>-44127.25</v>
      </c>
      <c r="I86" s="97">
        <v>-46415.88</v>
      </c>
      <c r="J86" s="97">
        <v>1148076.6578619501</v>
      </c>
      <c r="K86" s="97">
        <v>16980.8481408427</v>
      </c>
      <c r="L86" s="39"/>
      <c r="M86" s="97">
        <v>-49.628500000000003</v>
      </c>
      <c r="N86" s="98">
        <v>-32686.85</v>
      </c>
      <c r="O86" s="98">
        <v>865056.87700748397</v>
      </c>
      <c r="P86" s="98">
        <v>12155.294028852901</v>
      </c>
    </row>
    <row r="87" spans="3:16">
      <c r="C87" s="97">
        <v>-49.161999999999999</v>
      </c>
      <c r="D87" s="98"/>
      <c r="E87" s="98">
        <v>239742.65234891299</v>
      </c>
      <c r="G87" s="97">
        <v>-49.161999999999999</v>
      </c>
      <c r="H87" s="97">
        <v>-44127.25</v>
      </c>
      <c r="I87" s="97">
        <v>-46415.88</v>
      </c>
      <c r="J87" s="97">
        <v>1140012.3930480201</v>
      </c>
      <c r="K87" s="97">
        <v>17286.741294639902</v>
      </c>
      <c r="L87" s="39"/>
      <c r="M87" s="97">
        <v>-49.161999999999999</v>
      </c>
      <c r="N87" s="98">
        <v>-32686.85</v>
      </c>
      <c r="O87" s="98">
        <v>859257.53305314505</v>
      </c>
      <c r="P87" s="98">
        <v>12431.6054754783</v>
      </c>
    </row>
    <row r="88" spans="3:16">
      <c r="C88" s="97">
        <v>-48.695500000000003</v>
      </c>
      <c r="D88" s="98"/>
      <c r="E88" s="98">
        <v>237757.39033003899</v>
      </c>
      <c r="G88" s="97">
        <v>-48.695500000000003</v>
      </c>
      <c r="H88" s="97">
        <v>-44127.25</v>
      </c>
      <c r="I88" s="97">
        <v>-46415.88</v>
      </c>
      <c r="J88" s="97">
        <v>1131811.5456349601</v>
      </c>
      <c r="K88" s="97">
        <v>17579.5228575172</v>
      </c>
      <c r="L88" s="39"/>
      <c r="M88" s="97">
        <v>-48.695500000000003</v>
      </c>
      <c r="N88" s="98">
        <v>-32686.85</v>
      </c>
      <c r="O88" s="98">
        <v>853335.02160118497</v>
      </c>
      <c r="P88" s="98">
        <v>12695.6301220604</v>
      </c>
    </row>
    <row r="89" spans="3:16">
      <c r="C89" s="97">
        <v>-48.228999999999999</v>
      </c>
      <c r="D89" s="98"/>
      <c r="E89" s="98">
        <v>235701.75887163001</v>
      </c>
      <c r="G89" s="97">
        <v>-48.228999999999999</v>
      </c>
      <c r="H89" s="97">
        <v>-44127.25</v>
      </c>
      <c r="I89" s="97">
        <v>-46415.88</v>
      </c>
      <c r="J89" s="97">
        <v>1123481.2524333601</v>
      </c>
      <c r="K89" s="97">
        <v>17857.0057912224</v>
      </c>
      <c r="L89" s="39"/>
      <c r="M89" s="97">
        <v>-48.228999999999999</v>
      </c>
      <c r="N89" s="98">
        <v>-32686.85</v>
      </c>
      <c r="O89" s="98">
        <v>847296.01503640402</v>
      </c>
      <c r="P89" s="98">
        <v>12945.3516931091</v>
      </c>
    </row>
    <row r="90" spans="3:16">
      <c r="C90" s="97">
        <v>-47.93</v>
      </c>
      <c r="D90" s="98"/>
      <c r="E90" s="98">
        <v>234349.80552274699</v>
      </c>
      <c r="G90" s="97">
        <v>-47.93</v>
      </c>
      <c r="H90" s="97">
        <v>-44127.25</v>
      </c>
      <c r="I90" s="97">
        <v>-46415.88</v>
      </c>
      <c r="J90" s="97">
        <v>1118078.3590045599</v>
      </c>
      <c r="K90" s="97">
        <v>18069.877688349901</v>
      </c>
      <c r="L90" s="39"/>
      <c r="M90" s="97">
        <v>-47.93</v>
      </c>
      <c r="N90" s="98">
        <v>-32686.85</v>
      </c>
      <c r="O90" s="98">
        <v>843368.21250537003</v>
      </c>
      <c r="P90" s="98">
        <v>13136.463314509099</v>
      </c>
    </row>
    <row r="91" spans="3:16">
      <c r="C91" s="97">
        <v>-47.762500000000003</v>
      </c>
      <c r="D91" s="98"/>
      <c r="E91" s="98">
        <v>233570.335602723</v>
      </c>
      <c r="G91" s="97">
        <v>-47.762500000000003</v>
      </c>
      <c r="H91" s="97">
        <v>-44127.25</v>
      </c>
      <c r="I91" s="97">
        <v>-46415.88</v>
      </c>
      <c r="J91" s="97">
        <v>1115024.62794095</v>
      </c>
      <c r="K91" s="97">
        <v>18231.230224516701</v>
      </c>
      <c r="L91" s="39"/>
      <c r="M91" s="97">
        <v>-47.762500000000003</v>
      </c>
      <c r="N91" s="98">
        <v>-32686.85</v>
      </c>
      <c r="O91" s="98">
        <v>841142.10574346804</v>
      </c>
      <c r="P91" s="98">
        <v>13290.1896208075</v>
      </c>
    </row>
    <row r="92" spans="3:16">
      <c r="C92" s="97">
        <v>-47.295999999999999</v>
      </c>
      <c r="D92" s="98"/>
      <c r="E92" s="98">
        <v>231318.63323850199</v>
      </c>
      <c r="G92" s="97">
        <v>-47.295999999999999</v>
      </c>
      <c r="H92" s="97">
        <v>-44127.25</v>
      </c>
      <c r="I92" s="97">
        <v>-46415.88</v>
      </c>
      <c r="J92" s="97">
        <v>1106420.6597786499</v>
      </c>
      <c r="K92" s="97">
        <v>18443.661657419299</v>
      </c>
      <c r="L92" s="39"/>
      <c r="M92" s="97">
        <v>-47.295999999999999</v>
      </c>
      <c r="N92" s="98">
        <v>-32686.85</v>
      </c>
      <c r="O92" s="98">
        <v>834847.86947500706</v>
      </c>
      <c r="P92" s="98">
        <v>13492.4678864296</v>
      </c>
    </row>
    <row r="93" spans="3:16">
      <c r="C93" s="97">
        <v>-46.829500000000003</v>
      </c>
      <c r="D93" s="98"/>
      <c r="E93" s="98">
        <v>228961.37052412299</v>
      </c>
      <c r="G93" s="97">
        <v>-46.829500000000003</v>
      </c>
      <c r="H93" s="97">
        <v>-44127.25</v>
      </c>
      <c r="I93" s="97">
        <v>-46415.88</v>
      </c>
      <c r="J93" s="97">
        <v>1097686.0553524201</v>
      </c>
      <c r="K93" s="97">
        <v>18723.6965191173</v>
      </c>
      <c r="L93" s="39"/>
      <c r="M93" s="97">
        <v>-46.829500000000003</v>
      </c>
      <c r="N93" s="98">
        <v>-32686.85</v>
      </c>
      <c r="O93" s="98">
        <v>828429.45423312497</v>
      </c>
      <c r="P93" s="98">
        <v>13758.6607539091</v>
      </c>
    </row>
    <row r="94" spans="3:16">
      <c r="C94" s="97">
        <v>-46.363</v>
      </c>
      <c r="D94" s="98"/>
      <c r="E94" s="98">
        <v>226515.04989924299</v>
      </c>
      <c r="G94" s="97">
        <v>-46.363</v>
      </c>
      <c r="H94" s="97">
        <v>-44127.25</v>
      </c>
      <c r="I94" s="97">
        <v>-46415.88</v>
      </c>
      <c r="J94" s="97">
        <v>1088840.0588070999</v>
      </c>
      <c r="K94" s="97">
        <v>18962.479196988999</v>
      </c>
      <c r="L94" s="39"/>
      <c r="M94" s="97">
        <v>-46.363</v>
      </c>
      <c r="N94" s="98">
        <v>-32686.85</v>
      </c>
      <c r="O94" s="98">
        <v>821905.35578733694</v>
      </c>
      <c r="P94" s="98">
        <v>13985.205671547699</v>
      </c>
    </row>
    <row r="95" spans="3:16">
      <c r="C95" s="97">
        <v>-45.896500000000003</v>
      </c>
      <c r="D95" s="98"/>
      <c r="E95" s="98">
        <v>224000.48699999601</v>
      </c>
      <c r="G95" s="97">
        <v>-45.896500000000003</v>
      </c>
      <c r="H95" s="97">
        <v>-44127.25</v>
      </c>
      <c r="I95" s="97">
        <v>-46415.88</v>
      </c>
      <c r="J95" s="97">
        <v>1079907.8570000201</v>
      </c>
      <c r="K95" s="97">
        <v>19147.270754652101</v>
      </c>
      <c r="L95" s="39"/>
      <c r="M95" s="97">
        <v>-45.896500000000003</v>
      </c>
      <c r="N95" s="98">
        <v>-32686.85</v>
      </c>
      <c r="O95" s="98">
        <v>815299.62250001705</v>
      </c>
      <c r="P95" s="98">
        <v>14160.199972869899</v>
      </c>
    </row>
    <row r="96" spans="3:16">
      <c r="C96" s="97">
        <v>-45.43</v>
      </c>
      <c r="D96" s="98">
        <v>233154.00000000003</v>
      </c>
      <c r="E96" s="98">
        <v>221445.00000000003</v>
      </c>
      <c r="G96" s="97">
        <v>-45.43</v>
      </c>
      <c r="H96" s="97">
        <v>-44127.25</v>
      </c>
      <c r="I96" s="97">
        <v>-46415.88</v>
      </c>
      <c r="J96" s="97">
        <v>1070924.1000000001</v>
      </c>
      <c r="K96" s="97">
        <v>19257.89</v>
      </c>
      <c r="L96" s="39"/>
      <c r="M96" s="97">
        <v>-45.43</v>
      </c>
      <c r="N96" s="98">
        <v>-32686.85</v>
      </c>
      <c r="O96" s="98">
        <v>808644.7</v>
      </c>
      <c r="P96" s="98">
        <v>14265.1</v>
      </c>
    </row>
    <row r="97" spans="3:16">
      <c r="C97" s="97">
        <v>-43.5</v>
      </c>
      <c r="D97" s="98">
        <v>226152.00000000003</v>
      </c>
      <c r="E97" s="98">
        <v>215055.00000000003</v>
      </c>
      <c r="G97" s="97">
        <v>-43.5</v>
      </c>
      <c r="H97" s="97">
        <v>-43511.64</v>
      </c>
      <c r="I97" s="97">
        <v>-46415.72</v>
      </c>
      <c r="J97" s="97">
        <v>1038026.6000000001</v>
      </c>
      <c r="K97" s="97">
        <v>18817.78</v>
      </c>
      <c r="L97" s="39"/>
      <c r="M97" s="97">
        <v>-43.5</v>
      </c>
      <c r="N97" s="98">
        <v>-32230.85</v>
      </c>
      <c r="O97" s="98">
        <v>783534.2</v>
      </c>
      <c r="P97" s="98">
        <v>13939.1</v>
      </c>
    </row>
    <row r="98" spans="3:16">
      <c r="C98" s="97">
        <v>-41.3</v>
      </c>
      <c r="D98" s="98">
        <v>218646.00000000003</v>
      </c>
      <c r="E98" s="98">
        <v>208215.00000000003</v>
      </c>
      <c r="G98" s="97">
        <v>-41.3</v>
      </c>
      <c r="H98" s="97">
        <v>-42809.73</v>
      </c>
      <c r="I98" s="97">
        <v>-46415.24</v>
      </c>
      <c r="J98" s="97">
        <v>1002841.8</v>
      </c>
      <c r="K98" s="97">
        <v>18347.18</v>
      </c>
      <c r="L98" s="39"/>
      <c r="M98" s="97">
        <v>-41.3</v>
      </c>
      <c r="N98" s="98">
        <v>-31710.91</v>
      </c>
      <c r="O98" s="98">
        <v>756862.8</v>
      </c>
      <c r="P98" s="98">
        <v>13590.51</v>
      </c>
    </row>
    <row r="99" spans="3:16">
      <c r="C99" s="97">
        <v>-37.4</v>
      </c>
      <c r="D99" s="98">
        <v>206478.00000000003</v>
      </c>
      <c r="E99" s="98">
        <v>197253.00000000003</v>
      </c>
      <c r="G99" s="97">
        <v>-37.4</v>
      </c>
      <c r="H99" s="97">
        <v>-42412.06</v>
      </c>
      <c r="I99" s="97">
        <v>-46413.54</v>
      </c>
      <c r="J99" s="97">
        <v>942958.4</v>
      </c>
      <c r="K99" s="97">
        <v>17385.41</v>
      </c>
      <c r="L99" s="39"/>
      <c r="M99" s="97">
        <v>-37.4</v>
      </c>
      <c r="N99" s="98">
        <v>-31416.34</v>
      </c>
      <c r="O99" s="98">
        <v>711493.9</v>
      </c>
      <c r="P99" s="98">
        <v>12878.08</v>
      </c>
    </row>
    <row r="100" spans="3:16">
      <c r="C100" s="97">
        <v>-33.5</v>
      </c>
      <c r="D100" s="98">
        <v>195858.00000000003</v>
      </c>
      <c r="E100" s="98">
        <v>187380.00000000003</v>
      </c>
      <c r="G100" s="97">
        <v>-33.5</v>
      </c>
      <c r="H100" s="97">
        <v>-41010.39</v>
      </c>
      <c r="I100" s="97">
        <v>-46410.559999999998</v>
      </c>
      <c r="J100" s="97">
        <v>889951.5</v>
      </c>
      <c r="K100" s="97">
        <v>16372.09</v>
      </c>
      <c r="L100" s="39"/>
      <c r="M100" s="97">
        <v>-33.5</v>
      </c>
      <c r="N100" s="98">
        <v>-30378.06</v>
      </c>
      <c r="O100" s="98">
        <v>671308.7</v>
      </c>
      <c r="P100" s="98">
        <v>12127.48</v>
      </c>
    </row>
    <row r="101" spans="3:16">
      <c r="C101" s="97">
        <v>-29.6</v>
      </c>
      <c r="D101" s="98">
        <v>186417.00000000003</v>
      </c>
      <c r="E101" s="98">
        <v>178596.00000000003</v>
      </c>
      <c r="G101" s="97">
        <v>-29.6</v>
      </c>
      <c r="H101" s="97">
        <v>-39544.53</v>
      </c>
      <c r="I101" s="97">
        <v>-46406.65</v>
      </c>
      <c r="J101" s="97">
        <v>846105.59999999998</v>
      </c>
      <c r="K101" s="97">
        <v>15366.7</v>
      </c>
      <c r="L101" s="39"/>
      <c r="M101" s="97">
        <v>-29.6</v>
      </c>
      <c r="N101" s="98">
        <v>-29292.240000000002</v>
      </c>
      <c r="O101" s="98">
        <v>637996</v>
      </c>
      <c r="P101" s="98">
        <v>11382.74</v>
      </c>
    </row>
    <row r="102" spans="3:16">
      <c r="C102" s="97">
        <v>-25.7</v>
      </c>
      <c r="D102" s="98">
        <v>178281.00000000003</v>
      </c>
      <c r="E102" s="98">
        <v>171009.00000000003</v>
      </c>
      <c r="G102" s="97">
        <v>-25.7</v>
      </c>
      <c r="H102" s="97">
        <v>-38136.42</v>
      </c>
      <c r="I102" s="97">
        <v>-46402.080000000002</v>
      </c>
      <c r="J102" s="97">
        <v>805362.6</v>
      </c>
      <c r="K102" s="97">
        <v>14372.83</v>
      </c>
      <c r="L102" s="39"/>
      <c r="M102" s="97">
        <v>-25.7</v>
      </c>
      <c r="N102" s="98">
        <v>-28249.200000000001</v>
      </c>
      <c r="O102" s="98">
        <v>607066.1</v>
      </c>
      <c r="P102" s="98">
        <v>10646.54</v>
      </c>
    </row>
    <row r="103" spans="3:16">
      <c r="C103" s="97">
        <v>-21.8</v>
      </c>
      <c r="D103" s="98">
        <v>171423.00000000003</v>
      </c>
      <c r="E103" s="98">
        <v>164592.00000000003</v>
      </c>
      <c r="G103" s="97">
        <v>-21.8</v>
      </c>
      <c r="H103" s="97">
        <v>-36785.86</v>
      </c>
      <c r="I103" s="97">
        <v>-46396.94</v>
      </c>
      <c r="J103" s="97">
        <v>767033.20000000007</v>
      </c>
      <c r="K103" s="97">
        <v>13411.9</v>
      </c>
      <c r="L103" s="39"/>
      <c r="M103" s="97">
        <v>-21.8</v>
      </c>
      <c r="N103" s="98">
        <v>-27248.78</v>
      </c>
      <c r="O103" s="98">
        <v>578003.9</v>
      </c>
      <c r="P103" s="98">
        <v>9934.7369999999992</v>
      </c>
    </row>
    <row r="104" spans="3:16">
      <c r="C104" s="97">
        <v>-17.899999999999999</v>
      </c>
      <c r="D104" s="98">
        <v>165474.00000000003</v>
      </c>
      <c r="E104" s="98">
        <v>158895.00000000003</v>
      </c>
      <c r="G104" s="97">
        <v>-17.899999999999999</v>
      </c>
      <c r="H104" s="97">
        <v>-35492.58</v>
      </c>
      <c r="I104" s="97">
        <v>-46391.3</v>
      </c>
      <c r="J104" s="97">
        <v>731520.5</v>
      </c>
      <c r="K104" s="97">
        <v>12559.69</v>
      </c>
      <c r="L104" s="39"/>
      <c r="M104" s="97">
        <v>-17.899999999999999</v>
      </c>
      <c r="N104" s="98">
        <v>-26290.799999999999</v>
      </c>
      <c r="O104" s="98">
        <v>551094.19999999995</v>
      </c>
      <c r="P104" s="98">
        <v>9303.4709999999995</v>
      </c>
    </row>
    <row r="105" spans="3:16">
      <c r="C105" s="97">
        <v>-14</v>
      </c>
      <c r="D105" s="98">
        <v>160281.00000000003</v>
      </c>
      <c r="E105" s="98">
        <v>153909</v>
      </c>
      <c r="G105" s="97">
        <v>-14</v>
      </c>
      <c r="H105" s="97">
        <v>-34256.61</v>
      </c>
      <c r="I105" s="97">
        <v>-46385.24</v>
      </c>
      <c r="J105" s="97">
        <v>698834.8</v>
      </c>
      <c r="K105" s="97">
        <v>11672.46</v>
      </c>
      <c r="L105" s="39"/>
      <c r="M105" s="97">
        <v>-14</v>
      </c>
      <c r="N105" s="98">
        <v>-25375.27</v>
      </c>
      <c r="O105" s="98">
        <v>526356.30000000005</v>
      </c>
      <c r="P105" s="98">
        <v>8646.268</v>
      </c>
    </row>
    <row r="106" spans="3:16">
      <c r="C106" s="97">
        <v>-10.1</v>
      </c>
      <c r="D106" s="98">
        <v>156096</v>
      </c>
      <c r="E106" s="98">
        <v>149796</v>
      </c>
      <c r="G106" s="97">
        <v>-10.1</v>
      </c>
      <c r="H106" s="97">
        <v>-33077.980000000003</v>
      </c>
      <c r="I106" s="97">
        <v>-46378.85</v>
      </c>
      <c r="J106" s="97">
        <v>669003.9</v>
      </c>
      <c r="K106" s="97">
        <v>10938.87</v>
      </c>
      <c r="L106" s="39"/>
      <c r="M106" s="97">
        <v>-10.1</v>
      </c>
      <c r="N106" s="98">
        <v>-24502.21</v>
      </c>
      <c r="O106" s="98">
        <v>503798.2</v>
      </c>
      <c r="P106" s="98">
        <v>8102.87</v>
      </c>
    </row>
    <row r="107" spans="3:16">
      <c r="C107" s="97">
        <v>-6.2</v>
      </c>
      <c r="D107" s="98">
        <v>152019</v>
      </c>
      <c r="E107" s="98">
        <v>145746</v>
      </c>
      <c r="G107" s="97">
        <v>-6.2</v>
      </c>
      <c r="H107" s="97">
        <v>-32020.5</v>
      </c>
      <c r="I107" s="97">
        <v>-46371.59</v>
      </c>
      <c r="J107" s="97">
        <v>641335.4</v>
      </c>
      <c r="K107" s="97">
        <v>10686.01</v>
      </c>
      <c r="L107" s="39"/>
      <c r="M107" s="97">
        <v>-6.2</v>
      </c>
      <c r="N107" s="98">
        <v>-23718.880000000001</v>
      </c>
      <c r="O107" s="98">
        <v>482904.1</v>
      </c>
      <c r="P107" s="98">
        <v>7915.5619999999999</v>
      </c>
    </row>
    <row r="108" spans="3:16">
      <c r="C108" s="97">
        <v>-2.2999999999999998</v>
      </c>
      <c r="D108" s="98">
        <v>148230</v>
      </c>
      <c r="E108" s="98">
        <v>142083</v>
      </c>
      <c r="G108" s="97">
        <v>-2.2999999999999998</v>
      </c>
      <c r="H108" s="97">
        <v>-30823.42</v>
      </c>
      <c r="I108" s="97">
        <v>-46363.46</v>
      </c>
      <c r="J108" s="97">
        <v>617316</v>
      </c>
      <c r="K108" s="97">
        <v>10947.93</v>
      </c>
      <c r="L108" s="39"/>
      <c r="M108" s="97">
        <v>-2.2999999999999998</v>
      </c>
      <c r="N108" s="98">
        <v>-22832.16</v>
      </c>
      <c r="O108" s="98">
        <v>464769.8</v>
      </c>
      <c r="P108" s="98">
        <v>8109.5820000000003</v>
      </c>
    </row>
    <row r="109" spans="3:16">
      <c r="C109" s="97">
        <v>1.6</v>
      </c>
      <c r="D109" s="98">
        <v>144027</v>
      </c>
      <c r="E109" s="98">
        <v>138060</v>
      </c>
      <c r="G109" s="97">
        <v>1.6</v>
      </c>
      <c r="H109" s="97">
        <v>-29625.58</v>
      </c>
      <c r="I109" s="97">
        <v>-46354.1</v>
      </c>
      <c r="J109" s="97">
        <v>597208.5</v>
      </c>
      <c r="K109" s="97">
        <v>10947.41</v>
      </c>
      <c r="L109" s="39"/>
      <c r="M109" s="97">
        <v>1.6</v>
      </c>
      <c r="N109" s="98">
        <v>-21944.87</v>
      </c>
      <c r="O109" s="98">
        <v>449590.3</v>
      </c>
      <c r="P109" s="98">
        <v>8109.1909999999998</v>
      </c>
    </row>
    <row r="110" spans="3:16">
      <c r="C110" s="97">
        <v>5.4999999999999973</v>
      </c>
      <c r="D110" s="98">
        <v>139698</v>
      </c>
      <c r="E110" s="98">
        <v>134010</v>
      </c>
      <c r="G110" s="97">
        <v>5.4999999999999973</v>
      </c>
      <c r="H110" s="97">
        <v>-27429.67</v>
      </c>
      <c r="I110" s="97">
        <v>-46345.27</v>
      </c>
      <c r="J110" s="97">
        <v>577926.10000000009</v>
      </c>
      <c r="K110" s="97">
        <v>11589.35</v>
      </c>
      <c r="L110" s="39"/>
      <c r="M110" s="97">
        <v>5.4999999999999973</v>
      </c>
      <c r="N110" s="98">
        <v>-20318.27</v>
      </c>
      <c r="O110" s="98">
        <v>435060.6</v>
      </c>
      <c r="P110" s="98">
        <v>8584.7009999999991</v>
      </c>
    </row>
    <row r="111" spans="3:16">
      <c r="C111" s="97">
        <v>9.2999999999999972</v>
      </c>
      <c r="D111" s="98">
        <v>135477</v>
      </c>
      <c r="E111" s="98">
        <v>130014.00000000001</v>
      </c>
      <c r="G111" s="97">
        <v>9.2999999999999972</v>
      </c>
      <c r="H111" s="97">
        <v>-25772.48</v>
      </c>
      <c r="I111" s="97">
        <v>-46336.89</v>
      </c>
      <c r="J111" s="97">
        <v>559561.4</v>
      </c>
      <c r="K111" s="97">
        <v>12116.83</v>
      </c>
      <c r="L111" s="39"/>
      <c r="M111" s="97">
        <v>9.2999999999999972</v>
      </c>
      <c r="N111" s="98">
        <v>-19090.73</v>
      </c>
      <c r="O111" s="98">
        <v>421233.3</v>
      </c>
      <c r="P111" s="98">
        <v>8975.43</v>
      </c>
    </row>
    <row r="112" spans="3:16">
      <c r="C112" s="97">
        <v>13.199999999999998</v>
      </c>
      <c r="D112" s="98">
        <v>131337</v>
      </c>
      <c r="E112" s="98">
        <v>126063.00000000001</v>
      </c>
      <c r="G112" s="97">
        <v>13.199999999999998</v>
      </c>
      <c r="H112" s="97">
        <v>-24933.63</v>
      </c>
      <c r="I112" s="97">
        <v>-46327.74</v>
      </c>
      <c r="J112" s="97">
        <v>540685.6</v>
      </c>
      <c r="K112" s="97">
        <v>4918.924</v>
      </c>
      <c r="L112" s="39"/>
      <c r="M112" s="97">
        <v>13.199999999999998</v>
      </c>
      <c r="N112" s="98">
        <v>-18469.36</v>
      </c>
      <c r="O112" s="98">
        <v>407027.5</v>
      </c>
      <c r="P112" s="98">
        <v>3643.6469999999999</v>
      </c>
    </row>
    <row r="113" spans="3:16">
      <c r="C113" s="97">
        <v>17.099999999999998</v>
      </c>
      <c r="D113" s="98">
        <v>127386.00000000001</v>
      </c>
      <c r="E113" s="98">
        <v>122220.00000000001</v>
      </c>
      <c r="G113" s="97">
        <v>17.099999999999998</v>
      </c>
      <c r="H113" s="97">
        <v>-24046.15</v>
      </c>
      <c r="I113" s="97">
        <v>-46317.86</v>
      </c>
      <c r="J113" s="97">
        <v>521982.1</v>
      </c>
      <c r="K113" s="97">
        <v>4633.5659999999998</v>
      </c>
      <c r="L113" s="39"/>
      <c r="M113" s="97">
        <v>17.099999999999998</v>
      </c>
      <c r="N113" s="98">
        <v>-17811.96</v>
      </c>
      <c r="O113" s="98">
        <v>392956.4</v>
      </c>
      <c r="P113" s="98">
        <v>3432.2710000000002</v>
      </c>
    </row>
    <row r="114" spans="3:16">
      <c r="C114" s="97">
        <v>20.9</v>
      </c>
      <c r="D114" s="98">
        <v>123615.00000000001</v>
      </c>
      <c r="E114" s="98">
        <v>118512.00000000001</v>
      </c>
      <c r="G114" s="97">
        <v>20.9</v>
      </c>
      <c r="H114" s="97">
        <v>-22572.85</v>
      </c>
      <c r="I114" s="97">
        <v>-46307.77</v>
      </c>
      <c r="J114" s="97">
        <v>504389</v>
      </c>
      <c r="K114" s="97">
        <v>4510.1319999999996</v>
      </c>
      <c r="L114" s="39"/>
      <c r="M114" s="97">
        <v>20.9</v>
      </c>
      <c r="N114" s="98">
        <v>-16720.63</v>
      </c>
      <c r="O114" s="98">
        <v>379706.8</v>
      </c>
      <c r="P114" s="98">
        <v>3340.8380000000002</v>
      </c>
    </row>
  </sheetData>
  <sheetProtection sheet="1" objects="1" scenarios="1"/>
  <sortState xmlns:xlrd2="http://schemas.microsoft.com/office/spreadsheetml/2017/richdata2" ref="M5:P114">
    <sortCondition ref="M5:M114"/>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596</v>
      </c>
      <c r="F2" s="35" t="s">
        <v>595</v>
      </c>
      <c r="M2" s="35" t="s">
        <v>593</v>
      </c>
    </row>
    <row r="3" spans="2:16">
      <c r="B3" t="s">
        <v>456</v>
      </c>
      <c r="C3" t="s">
        <v>454</v>
      </c>
      <c r="D3" t="s">
        <v>455</v>
      </c>
      <c r="F3" t="s">
        <v>458</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534</v>
      </c>
      <c r="N5" t="s">
        <v>138</v>
      </c>
    </row>
    <row r="6" spans="2:16">
      <c r="B6" t="s">
        <v>36</v>
      </c>
      <c r="D6" t="s">
        <v>446</v>
      </c>
      <c r="F6" t="s">
        <v>457</v>
      </c>
    </row>
    <row r="7" spans="2:16">
      <c r="B7" t="s">
        <v>265</v>
      </c>
      <c r="D7" t="s">
        <v>535</v>
      </c>
      <c r="F7" s="116"/>
      <c r="G7" s="116"/>
    </row>
    <row r="8" spans="2:16">
      <c r="D8" t="s">
        <v>36</v>
      </c>
    </row>
    <row r="9" spans="2:16">
      <c r="F9" t="s">
        <v>585</v>
      </c>
    </row>
    <row r="10" spans="2:16">
      <c r="F10" s="116"/>
    </row>
  </sheetData>
  <conditionalFormatting sqref="F10">
    <cfRule type="expression" dxfId="26"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489</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490</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491</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492</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493</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494</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495</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496</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497</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498</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499</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500</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501</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workbookViewId="0">
      <selection activeCell="Q76" sqref="Q76"/>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358</v>
      </c>
      <c r="L4" s="288" t="s">
        <v>359</v>
      </c>
      <c r="M4" s="289"/>
      <c r="N4" s="290"/>
      <c r="O4" s="52" t="s">
        <v>360</v>
      </c>
      <c r="P4" s="53">
        <v>0</v>
      </c>
      <c r="Q4" s="99"/>
      <c r="R4" s="99"/>
      <c r="S4" s="99"/>
    </row>
    <row r="5" spans="1:23">
      <c r="B5" s="52"/>
      <c r="C5" s="52" t="s">
        <v>361</v>
      </c>
      <c r="D5" s="52" t="s">
        <v>361</v>
      </c>
      <c r="E5" s="52" t="s">
        <v>9</v>
      </c>
      <c r="F5" s="52" t="s">
        <v>9</v>
      </c>
      <c r="G5" s="52" t="s">
        <v>10</v>
      </c>
      <c r="H5" s="52" t="s">
        <v>9</v>
      </c>
      <c r="I5" s="52" t="s">
        <v>11</v>
      </c>
      <c r="J5" s="52" t="s">
        <v>12</v>
      </c>
      <c r="K5" s="52" t="s">
        <v>362</v>
      </c>
      <c r="L5" s="52" t="s">
        <v>363</v>
      </c>
      <c r="M5" s="52" t="s">
        <v>364</v>
      </c>
      <c r="N5" s="52" t="s">
        <v>365</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366</v>
      </c>
      <c r="R7" s="272"/>
      <c r="S7" s="99"/>
    </row>
    <row r="8" spans="1:23">
      <c r="A8" s="39"/>
      <c r="B8" s="100"/>
      <c r="C8" s="100"/>
      <c r="D8" s="100"/>
      <c r="E8" s="100"/>
      <c r="F8" s="100"/>
      <c r="G8" s="100"/>
      <c r="H8" s="100"/>
      <c r="I8" s="100"/>
      <c r="J8" s="100"/>
      <c r="K8" s="100"/>
      <c r="L8" s="100"/>
      <c r="M8" s="100"/>
      <c r="N8" s="100"/>
      <c r="P8" s="99"/>
      <c r="Q8" s="52" t="s">
        <v>367</v>
      </c>
      <c r="R8" s="44">
        <v>-1</v>
      </c>
      <c r="S8" s="99"/>
    </row>
    <row r="9" spans="1:23">
      <c r="A9" s="39"/>
      <c r="B9" s="100"/>
      <c r="C9" s="100"/>
      <c r="D9" s="100"/>
      <c r="E9" s="100"/>
      <c r="F9" s="100"/>
      <c r="G9" s="100"/>
      <c r="H9" s="100"/>
      <c r="I9" s="100"/>
      <c r="J9" s="100"/>
      <c r="K9" s="100"/>
      <c r="L9" s="100"/>
      <c r="M9" s="100"/>
      <c r="N9" s="100"/>
      <c r="P9" s="99"/>
      <c r="Q9" s="52" t="s">
        <v>368</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369</v>
      </c>
      <c r="R11" s="273"/>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411</v>
      </c>
      <c r="M16" s="276">
        <v>460</v>
      </c>
      <c r="N16" s="277"/>
      <c r="Q16" s="278"/>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370</v>
      </c>
      <c r="M18" s="272"/>
      <c r="N18" s="272"/>
      <c r="Q18" s="281"/>
      <c r="R18" s="282"/>
      <c r="S18" s="282"/>
      <c r="T18" s="282"/>
      <c r="U18" s="283"/>
      <c r="V18" s="99"/>
      <c r="W18" s="99"/>
    </row>
    <row r="19" spans="1:23">
      <c r="A19" s="39"/>
      <c r="B19" s="100"/>
      <c r="C19" s="100"/>
      <c r="D19" s="100"/>
      <c r="E19" s="100"/>
      <c r="F19" s="100"/>
      <c r="G19" s="100"/>
      <c r="H19" s="100"/>
      <c r="I19" s="100"/>
      <c r="J19" s="100"/>
      <c r="K19" s="100"/>
      <c r="L19" s="52" t="s">
        <v>371</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372</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373</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374</v>
      </c>
      <c r="M22" s="272"/>
      <c r="N22" s="272"/>
      <c r="Q22" s="281"/>
      <c r="R22" s="282"/>
      <c r="S22" s="282"/>
      <c r="T22" s="282"/>
      <c r="U22" s="283"/>
      <c r="V22" s="99"/>
      <c r="W22" s="99"/>
    </row>
    <row r="23" spans="1:23">
      <c r="A23" s="39"/>
      <c r="B23" s="100"/>
      <c r="C23" s="100"/>
      <c r="D23" s="100"/>
      <c r="E23" s="100"/>
      <c r="F23" s="100"/>
      <c r="G23" s="100"/>
      <c r="H23" s="100"/>
      <c r="I23" s="100"/>
      <c r="J23" s="100"/>
      <c r="K23" s="100"/>
      <c r="L23" s="52" t="s">
        <v>372</v>
      </c>
      <c r="M23" s="52" t="s">
        <v>9</v>
      </c>
      <c r="N23" s="52" t="s">
        <v>375</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376</v>
      </c>
      <c r="M33" s="272"/>
      <c r="N33" s="272"/>
      <c r="Q33" s="281"/>
      <c r="R33" s="282"/>
      <c r="S33" s="282"/>
      <c r="T33" s="282"/>
      <c r="U33" s="283"/>
      <c r="V33" s="99"/>
      <c r="W33" s="99"/>
    </row>
    <row r="34" spans="1:23">
      <c r="A34" s="39"/>
      <c r="B34" s="100"/>
      <c r="C34" s="100"/>
      <c r="D34" s="100"/>
      <c r="E34" s="100"/>
      <c r="F34" s="100"/>
      <c r="G34" s="100"/>
      <c r="H34" s="100"/>
      <c r="I34" s="100"/>
      <c r="J34" s="100"/>
      <c r="K34" s="100"/>
      <c r="L34" s="52" t="s">
        <v>377</v>
      </c>
      <c r="M34" s="52" t="s">
        <v>378</v>
      </c>
      <c r="N34" s="52" t="s">
        <v>379</v>
      </c>
      <c r="Q34" s="281"/>
      <c r="R34" s="282"/>
      <c r="S34" s="282"/>
      <c r="T34" s="282"/>
      <c r="U34" s="283"/>
      <c r="V34" s="99"/>
      <c r="W34" s="99"/>
    </row>
    <row r="35" spans="1:23">
      <c r="B35" s="100"/>
      <c r="C35" s="100"/>
      <c r="D35" s="100"/>
      <c r="E35" s="100"/>
      <c r="F35" s="100"/>
      <c r="G35" s="100"/>
      <c r="H35" s="100"/>
      <c r="I35" s="100"/>
      <c r="J35" s="100"/>
      <c r="K35" s="100"/>
      <c r="L35" s="53" t="s">
        <v>380</v>
      </c>
      <c r="M35" s="53" t="s">
        <v>381</v>
      </c>
      <c r="N35" s="53">
        <v>7850</v>
      </c>
      <c r="Q35" s="281"/>
      <c r="R35" s="282"/>
      <c r="S35" s="282"/>
      <c r="T35" s="282"/>
      <c r="U35" s="283"/>
    </row>
    <row r="36" spans="1:23">
      <c r="B36" s="100"/>
      <c r="C36" s="100"/>
      <c r="D36" s="100"/>
      <c r="E36" s="100"/>
      <c r="F36" s="100"/>
      <c r="G36" s="100"/>
      <c r="H36" s="100"/>
      <c r="I36" s="100"/>
      <c r="J36" s="100"/>
      <c r="K36" s="100"/>
      <c r="L36" s="53" t="s">
        <v>382</v>
      </c>
      <c r="M36" s="53" t="s">
        <v>383</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384</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385</v>
      </c>
      <c r="M42" s="52" t="s">
        <v>386</v>
      </c>
      <c r="N42" s="52" t="s">
        <v>387</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388</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389</v>
      </c>
      <c r="M54" s="53" t="s">
        <v>406</v>
      </c>
      <c r="Q54" s="297"/>
      <c r="R54" s="298"/>
      <c r="S54" s="298"/>
      <c r="T54" s="298"/>
      <c r="U54" s="299"/>
    </row>
    <row r="55" spans="2:21">
      <c r="B55" s="100"/>
      <c r="C55" s="100"/>
      <c r="D55" s="100"/>
      <c r="E55" s="100"/>
      <c r="F55" s="100"/>
      <c r="G55" s="100"/>
      <c r="H55" s="100"/>
      <c r="I55" s="100"/>
      <c r="J55" s="100"/>
      <c r="K55" s="100"/>
      <c r="L55" s="95" t="s">
        <v>391</v>
      </c>
      <c r="M55" s="53" t="s">
        <v>406</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392</v>
      </c>
      <c r="M58" s="300"/>
      <c r="N58" s="300"/>
      <c r="O58" s="255"/>
    </row>
    <row r="59" spans="2:21">
      <c r="B59" s="100"/>
      <c r="C59" s="100"/>
      <c r="D59" s="100"/>
      <c r="E59" s="100"/>
      <c r="F59" s="100"/>
      <c r="G59" s="100"/>
      <c r="H59" s="100"/>
      <c r="I59" s="100"/>
      <c r="J59" s="100"/>
      <c r="K59" s="100"/>
      <c r="L59" s="95" t="s">
        <v>393</v>
      </c>
      <c r="M59" s="95" t="s">
        <v>394</v>
      </c>
      <c r="N59" s="95" t="s">
        <v>395</v>
      </c>
      <c r="O59" s="95" t="s">
        <v>396</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72" t="s">
        <v>397</v>
      </c>
      <c r="C70" s="272"/>
      <c r="D70" s="272"/>
      <c r="E70" s="272"/>
      <c r="F70" s="272" t="s">
        <v>398</v>
      </c>
      <c r="G70" s="272"/>
      <c r="H70" s="272"/>
      <c r="I70" s="272"/>
      <c r="J70" s="272" t="s">
        <v>399</v>
      </c>
      <c r="K70" s="272"/>
      <c r="L70" s="104" t="s">
        <v>400</v>
      </c>
      <c r="M70" s="276"/>
      <c r="N70" s="277"/>
    </row>
    <row r="71" spans="2:23">
      <c r="B71" s="276" t="s">
        <v>650</v>
      </c>
      <c r="C71" s="301"/>
      <c r="D71" s="301"/>
      <c r="E71" s="277"/>
      <c r="F71" s="302"/>
      <c r="G71" s="303"/>
      <c r="H71" s="303"/>
      <c r="I71" s="304"/>
      <c r="J71" s="302" t="s">
        <v>642</v>
      </c>
      <c r="K71" s="304"/>
    </row>
    <row r="72" spans="2:23">
      <c r="B72" s="276" t="s">
        <v>652</v>
      </c>
      <c r="C72" s="301"/>
      <c r="D72" s="301"/>
      <c r="E72" s="277"/>
      <c r="F72" s="276"/>
      <c r="G72" s="301"/>
      <c r="H72" s="301"/>
      <c r="I72" s="277"/>
      <c r="J72" s="55"/>
    </row>
    <row r="73" spans="2:23">
      <c r="B73" s="276" t="s">
        <v>649</v>
      </c>
      <c r="C73" s="301"/>
      <c r="D73" s="301"/>
      <c r="E73" s="277"/>
      <c r="F73" s="102"/>
      <c r="G73" s="102"/>
      <c r="H73" s="102"/>
      <c r="I73" s="102"/>
      <c r="J73" s="55"/>
    </row>
    <row r="75" spans="2:23">
      <c r="B75" s="272" t="s">
        <v>401</v>
      </c>
      <c r="C75" s="272"/>
      <c r="D75" s="100" t="s">
        <v>412</v>
      </c>
      <c r="F75" s="272" t="s">
        <v>403</v>
      </c>
      <c r="G75" s="272"/>
      <c r="H75" s="272"/>
      <c r="I75" s="272"/>
      <c r="J75" s="53" t="s">
        <v>404</v>
      </c>
    </row>
    <row r="77" spans="2:23">
      <c r="B77" s="272" t="s">
        <v>405</v>
      </c>
      <c r="C77" s="272"/>
      <c r="D77" s="53" t="s">
        <v>406</v>
      </c>
      <c r="F77" s="272" t="s">
        <v>407</v>
      </c>
      <c r="G77" s="272"/>
      <c r="H77" s="272"/>
      <c r="I77" s="254"/>
      <c r="J77" s="105"/>
      <c r="K77" s="106"/>
      <c r="L77" s="106"/>
      <c r="M77" s="106"/>
      <c r="N77" s="107"/>
    </row>
    <row r="78" spans="2:23">
      <c r="W78" s="6"/>
    </row>
    <row r="79" spans="2:23">
      <c r="B79" s="272" t="s">
        <v>408</v>
      </c>
      <c r="C79" s="272"/>
      <c r="D79" s="53" t="s">
        <v>409</v>
      </c>
    </row>
    <row r="80" spans="2:23">
      <c r="J80" s="55"/>
    </row>
    <row r="81" spans="2:10">
      <c r="B81" s="272" t="s">
        <v>410</v>
      </c>
      <c r="C81" s="272"/>
      <c r="D81" s="246"/>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topLeftCell="A22" workbookViewId="0">
      <selection activeCell="B72" sqref="B72:E72"/>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358</v>
      </c>
      <c r="L4" s="288" t="s">
        <v>359</v>
      </c>
      <c r="M4" s="289"/>
      <c r="N4" s="290"/>
      <c r="O4" s="52" t="s">
        <v>360</v>
      </c>
      <c r="P4" s="53">
        <v>0</v>
      </c>
      <c r="Q4" s="99"/>
      <c r="R4" s="99"/>
      <c r="S4" s="99"/>
    </row>
    <row r="5" spans="1:23">
      <c r="B5" s="52"/>
      <c r="C5" s="52" t="s">
        <v>361</v>
      </c>
      <c r="D5" s="52" t="s">
        <v>361</v>
      </c>
      <c r="E5" s="52" t="s">
        <v>9</v>
      </c>
      <c r="F5" s="52" t="s">
        <v>9</v>
      </c>
      <c r="G5" s="52" t="s">
        <v>10</v>
      </c>
      <c r="H5" s="52" t="s">
        <v>9</v>
      </c>
      <c r="I5" s="52" t="s">
        <v>11</v>
      </c>
      <c r="J5" s="52" t="s">
        <v>12</v>
      </c>
      <c r="K5" s="52" t="s">
        <v>362</v>
      </c>
      <c r="L5" s="52" t="s">
        <v>363</v>
      </c>
      <c r="M5" s="52" t="s">
        <v>364</v>
      </c>
      <c r="N5" s="52" t="s">
        <v>365</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366</v>
      </c>
      <c r="R7" s="272"/>
      <c r="S7" s="99"/>
    </row>
    <row r="8" spans="1:23">
      <c r="A8" s="39"/>
      <c r="B8" s="100"/>
      <c r="C8" s="100"/>
      <c r="D8" s="100"/>
      <c r="E8" s="100"/>
      <c r="F8" s="100"/>
      <c r="G8" s="100"/>
      <c r="H8" s="100"/>
      <c r="I8" s="100"/>
      <c r="J8" s="100"/>
      <c r="K8" s="100"/>
      <c r="L8" s="100"/>
      <c r="M8" s="100"/>
      <c r="N8" s="100"/>
      <c r="P8" s="99"/>
      <c r="Q8" s="52" t="s">
        <v>367</v>
      </c>
      <c r="R8" s="44">
        <v>-1</v>
      </c>
      <c r="S8" s="99"/>
    </row>
    <row r="9" spans="1:23">
      <c r="A9" s="39"/>
      <c r="B9" s="100"/>
      <c r="C9" s="100"/>
      <c r="D9" s="100"/>
      <c r="E9" s="100"/>
      <c r="F9" s="100"/>
      <c r="G9" s="100"/>
      <c r="H9" s="100"/>
      <c r="I9" s="100"/>
      <c r="J9" s="100"/>
      <c r="K9" s="100"/>
      <c r="L9" s="100"/>
      <c r="M9" s="100"/>
      <c r="N9" s="100"/>
      <c r="P9" s="99"/>
      <c r="Q9" s="52" t="s">
        <v>368</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369</v>
      </c>
      <c r="R11" s="273"/>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411</v>
      </c>
      <c r="M16" s="276">
        <v>460</v>
      </c>
      <c r="N16" s="277"/>
      <c r="Q16" s="278"/>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370</v>
      </c>
      <c r="M18" s="272"/>
      <c r="N18" s="272"/>
      <c r="Q18" s="281"/>
      <c r="R18" s="282"/>
      <c r="S18" s="282"/>
      <c r="T18" s="282"/>
      <c r="U18" s="283"/>
      <c r="V18" s="99"/>
      <c r="W18" s="99"/>
    </row>
    <row r="19" spans="1:23">
      <c r="A19" s="39"/>
      <c r="B19" s="100"/>
      <c r="C19" s="100"/>
      <c r="D19" s="100"/>
      <c r="E19" s="100"/>
      <c r="F19" s="100"/>
      <c r="G19" s="100"/>
      <c r="H19" s="100"/>
      <c r="I19" s="100"/>
      <c r="J19" s="100"/>
      <c r="K19" s="100"/>
      <c r="L19" s="52" t="s">
        <v>371</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372</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373</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374</v>
      </c>
      <c r="M22" s="272"/>
      <c r="N22" s="272"/>
      <c r="Q22" s="281"/>
      <c r="R22" s="282"/>
      <c r="S22" s="282"/>
      <c r="T22" s="282"/>
      <c r="U22" s="283"/>
      <c r="V22" s="99"/>
      <c r="W22" s="99"/>
    </row>
    <row r="23" spans="1:23">
      <c r="A23" s="39"/>
      <c r="B23" s="100"/>
      <c r="C23" s="100"/>
      <c r="D23" s="100"/>
      <c r="E23" s="100"/>
      <c r="F23" s="100"/>
      <c r="G23" s="100"/>
      <c r="H23" s="100"/>
      <c r="I23" s="100"/>
      <c r="J23" s="100"/>
      <c r="K23" s="100"/>
      <c r="L23" s="52" t="s">
        <v>372</v>
      </c>
      <c r="M23" s="52" t="s">
        <v>9</v>
      </c>
      <c r="N23" s="52" t="s">
        <v>375</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376</v>
      </c>
      <c r="M33" s="272"/>
      <c r="N33" s="272"/>
      <c r="Q33" s="281"/>
      <c r="R33" s="282"/>
      <c r="S33" s="282"/>
      <c r="T33" s="282"/>
      <c r="U33" s="283"/>
      <c r="V33" s="99"/>
      <c r="W33" s="99"/>
    </row>
    <row r="34" spans="1:23">
      <c r="A34" s="39"/>
      <c r="B34" s="100"/>
      <c r="C34" s="100"/>
      <c r="D34" s="100"/>
      <c r="E34" s="100"/>
      <c r="F34" s="100"/>
      <c r="G34" s="100"/>
      <c r="H34" s="100"/>
      <c r="I34" s="100"/>
      <c r="J34" s="100"/>
      <c r="K34" s="100"/>
      <c r="L34" s="52" t="s">
        <v>377</v>
      </c>
      <c r="M34" s="52" t="s">
        <v>378</v>
      </c>
      <c r="N34" s="52" t="s">
        <v>379</v>
      </c>
      <c r="Q34" s="281"/>
      <c r="R34" s="282"/>
      <c r="S34" s="282"/>
      <c r="T34" s="282"/>
      <c r="U34" s="283"/>
      <c r="V34" s="99"/>
      <c r="W34" s="99"/>
    </row>
    <row r="35" spans="1:23">
      <c r="B35" s="100"/>
      <c r="C35" s="100"/>
      <c r="D35" s="100"/>
      <c r="E35" s="100"/>
      <c r="F35" s="100"/>
      <c r="G35" s="100"/>
      <c r="H35" s="100"/>
      <c r="I35" s="100"/>
      <c r="J35" s="100"/>
      <c r="K35" s="100"/>
      <c r="L35" s="53" t="s">
        <v>380</v>
      </c>
      <c r="M35" s="53" t="s">
        <v>381</v>
      </c>
      <c r="N35" s="53">
        <v>7850</v>
      </c>
      <c r="Q35" s="281"/>
      <c r="R35" s="282"/>
      <c r="S35" s="282"/>
      <c r="T35" s="282"/>
      <c r="U35" s="283"/>
    </row>
    <row r="36" spans="1:23">
      <c r="B36" s="100"/>
      <c r="C36" s="100"/>
      <c r="D36" s="100"/>
      <c r="E36" s="100"/>
      <c r="F36" s="100"/>
      <c r="G36" s="100"/>
      <c r="H36" s="100"/>
      <c r="I36" s="100"/>
      <c r="J36" s="100"/>
      <c r="K36" s="100"/>
      <c r="L36" s="53" t="s">
        <v>382</v>
      </c>
      <c r="M36" s="53" t="s">
        <v>383</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384</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385</v>
      </c>
      <c r="M42" s="52" t="s">
        <v>386</v>
      </c>
      <c r="N42" s="52" t="s">
        <v>387</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388</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389</v>
      </c>
      <c r="M54" s="53" t="s">
        <v>406</v>
      </c>
      <c r="Q54" s="297"/>
      <c r="R54" s="298"/>
      <c r="S54" s="298"/>
      <c r="T54" s="298"/>
      <c r="U54" s="299"/>
    </row>
    <row r="55" spans="2:21">
      <c r="B55" s="100"/>
      <c r="C55" s="100"/>
      <c r="D55" s="100"/>
      <c r="E55" s="100"/>
      <c r="F55" s="100"/>
      <c r="G55" s="100"/>
      <c r="H55" s="100"/>
      <c r="I55" s="100"/>
      <c r="J55" s="100"/>
      <c r="K55" s="100"/>
      <c r="L55" s="95" t="s">
        <v>391</v>
      </c>
      <c r="M55" s="53" t="s">
        <v>390</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392</v>
      </c>
      <c r="M58" s="300"/>
      <c r="N58" s="300"/>
      <c r="O58" s="255"/>
    </row>
    <row r="59" spans="2:21">
      <c r="B59" s="100"/>
      <c r="C59" s="100"/>
      <c r="D59" s="100"/>
      <c r="E59" s="100"/>
      <c r="F59" s="100"/>
      <c r="G59" s="100"/>
      <c r="H59" s="100"/>
      <c r="I59" s="100"/>
      <c r="J59" s="100"/>
      <c r="K59" s="100"/>
      <c r="L59" s="95" t="s">
        <v>393</v>
      </c>
      <c r="M59" s="95" t="s">
        <v>394</v>
      </c>
      <c r="N59" s="95" t="s">
        <v>395</v>
      </c>
      <c r="O59" s="95" t="s">
        <v>396</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72" t="s">
        <v>397</v>
      </c>
      <c r="C70" s="272"/>
      <c r="D70" s="272"/>
      <c r="E70" s="272"/>
      <c r="F70" s="272" t="s">
        <v>398</v>
      </c>
      <c r="G70" s="272"/>
      <c r="H70" s="272"/>
      <c r="I70" s="272"/>
      <c r="J70" s="272" t="s">
        <v>399</v>
      </c>
      <c r="K70" s="272"/>
      <c r="L70" s="104" t="s">
        <v>400</v>
      </c>
      <c r="M70" s="276"/>
      <c r="N70" s="277"/>
    </row>
    <row r="71" spans="2:23">
      <c r="B71" s="276" t="s">
        <v>651</v>
      </c>
      <c r="C71" s="301"/>
      <c r="D71" s="301"/>
      <c r="E71" s="277"/>
      <c r="F71" s="302"/>
      <c r="G71" s="303"/>
      <c r="H71" s="303"/>
      <c r="I71" s="304"/>
      <c r="J71" s="302" t="s">
        <v>643</v>
      </c>
      <c r="K71" s="304"/>
    </row>
    <row r="72" spans="2:23">
      <c r="B72" s="276" t="s">
        <v>652</v>
      </c>
      <c r="C72" s="301"/>
      <c r="D72" s="301"/>
      <c r="E72" s="277"/>
      <c r="F72" s="276"/>
      <c r="G72" s="301"/>
      <c r="H72" s="301"/>
      <c r="I72" s="277"/>
      <c r="J72" s="55"/>
    </row>
    <row r="73" spans="2:23">
      <c r="B73" s="276" t="s">
        <v>648</v>
      </c>
      <c r="C73" s="301"/>
      <c r="D73" s="301"/>
      <c r="E73" s="277"/>
      <c r="F73" s="102"/>
      <c r="G73" s="102"/>
      <c r="H73" s="102"/>
      <c r="I73" s="102"/>
      <c r="J73" s="55"/>
    </row>
    <row r="75" spans="2:23">
      <c r="B75" s="272" t="s">
        <v>401</v>
      </c>
      <c r="C75" s="272"/>
      <c r="D75" s="100" t="s">
        <v>402</v>
      </c>
      <c r="F75" s="272" t="s">
        <v>403</v>
      </c>
      <c r="G75" s="272"/>
      <c r="H75" s="272"/>
      <c r="I75" s="272"/>
      <c r="J75" s="53" t="s">
        <v>404</v>
      </c>
    </row>
    <row r="77" spans="2:23">
      <c r="B77" s="272" t="s">
        <v>405</v>
      </c>
      <c r="C77" s="272"/>
      <c r="D77" s="53" t="s">
        <v>406</v>
      </c>
      <c r="F77" s="272" t="s">
        <v>407</v>
      </c>
      <c r="G77" s="272"/>
      <c r="H77" s="272"/>
      <c r="I77" s="254"/>
      <c r="J77" s="105"/>
      <c r="K77" s="106"/>
      <c r="L77" s="106"/>
      <c r="M77" s="106"/>
      <c r="N77" s="107"/>
    </row>
    <row r="78" spans="2:23">
      <c r="W78" s="6"/>
    </row>
    <row r="79" spans="2:23">
      <c r="B79" s="272" t="s">
        <v>408</v>
      </c>
      <c r="C79" s="272"/>
      <c r="D79" s="53" t="s">
        <v>409</v>
      </c>
    </row>
    <row r="80" spans="2:23">
      <c r="J80" s="55"/>
    </row>
    <row r="81" spans="2:10">
      <c r="B81" s="272" t="s">
        <v>410</v>
      </c>
      <c r="C81" s="272"/>
      <c r="D81" s="246"/>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68"/>
  <sheetViews>
    <sheetView workbookViewId="0"/>
  </sheetViews>
  <sheetFormatPr baseColWidth="10" defaultRowHeight="14.4"/>
  <cols>
    <col min="5" max="6" width="10.5546875"/>
    <col min="9" max="9" width="10.554687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5" t="s">
        <v>285</v>
      </c>
      <c r="H4" s="306"/>
      <c r="J4" s="62"/>
      <c r="K4" s="62"/>
      <c r="L4" s="305" t="s">
        <v>220</v>
      </c>
      <c r="M4" s="307"/>
      <c r="N4" s="307"/>
      <c r="O4" s="306"/>
      <c r="S4" s="305" t="s">
        <v>221</v>
      </c>
      <c r="T4" s="307"/>
      <c r="U4" s="306"/>
    </row>
    <row r="5" spans="3:21">
      <c r="C5" s="70" t="s">
        <v>334</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357</v>
      </c>
      <c r="E6" s="62"/>
      <c r="F6" s="62"/>
      <c r="G6" s="70" t="s">
        <v>20</v>
      </c>
      <c r="H6" s="70" t="s">
        <v>20</v>
      </c>
      <c r="J6" s="62"/>
      <c r="K6" s="62"/>
      <c r="L6" s="70" t="s">
        <v>268</v>
      </c>
      <c r="M6" s="70" t="s">
        <v>20</v>
      </c>
      <c r="N6" s="70" t="s">
        <v>20</v>
      </c>
      <c r="O6" s="70" t="s">
        <v>268</v>
      </c>
      <c r="S6" s="70" t="s">
        <v>268</v>
      </c>
      <c r="T6" s="70" t="s">
        <v>20</v>
      </c>
      <c r="U6" s="70" t="s">
        <v>268</v>
      </c>
    </row>
    <row r="7" spans="3:21">
      <c r="C7" s="72">
        <f>Geometry!D11</f>
        <v>20.9</v>
      </c>
      <c r="E7" s="62">
        <f>MATCH($C7,Loads!$C$5:$C$115,0)</f>
        <v>110</v>
      </c>
      <c r="F7" s="62">
        <f>MATCH($C7,Loads!$C$5:$C$115,1)</f>
        <v>110</v>
      </c>
      <c r="G7" s="73">
        <f>IF(ISBLANK(INDEX(Loads!$D$5:$D$115,$F7)),"-",INDEX(Loads!$D$5:$D$115,$F7)+IF(NOT(ISERROR($E7)),0,(INDEX(Loads!$D$5:$D$115,$F7+1)-INDEX(Loads!$D$5:$D$115,$F7))/(INDEX(Loads!$C$5:$C$115,$F7+1)-INDEX(Loads!$C$5:$C$115,$F7))*($C7-INDEX(Loads!$C$5:$C$115,$F7))))</f>
        <v>123615.00000000001</v>
      </c>
      <c r="H7" s="73">
        <f>IF(ISBLANK(INDEX(Loads!$E$5:$E$115,$F7)),"-",INDEX(Loads!$E$5:$E$115,$F7)+IF(NOT(ISERROR($E7)),0,(INDEX(Loads!$E$5:$E$115,$F7+1)-INDEX(Loads!$E$5:$E$115,$F7))/(INDEX(Loads!$C$5:$C$115,$F7+1)-INDEX(Loads!$C$5:$C$115,$F7))*($C7-INDEX(Loads!$C$5:$C$115,$F7))))</f>
        <v>118512.00000000001</v>
      </c>
      <c r="J7" s="62">
        <f>MATCH($C7,Loads!$G$5:$G$115,0)</f>
        <v>110</v>
      </c>
      <c r="K7" s="62">
        <f>MATCH($C7,Loads!$G$5:$G$115,1)</f>
        <v>110</v>
      </c>
      <c r="L7" s="73">
        <f>IF(ISBLANK(INDEX(Loads!$H$5:$H$115,$K7)),"-",INDEX(Loads!$H$5:$H$115,$K7)+IF(NOT(ISERROR($J7)),0,(INDEX(Loads!$H$5:$H$115,$K7+1)-INDEX(Loads!$H$5:$H$115,$K7))/(INDEX(Loads!$G$5:$G$115,$K7+1)-INDEX(Loads!$G$5:$G$115,$K7))*($C7-INDEX(Loads!$G$5:$G$115,$K7))))</f>
        <v>-22572.85</v>
      </c>
      <c r="M7" s="73">
        <f>IF(ISBLANK(INDEX(Loads!$I$5:$I$115,$K7)),"-",INDEX(Loads!$I$5:$I$115,$K7)+IF(NOT(ISERROR($J7)),0,(INDEX(Loads!$I$5:$I$115,$K7+1)-INDEX(Loads!$I$5:$I$115,$K7))/(INDEX(Loads!$G$5:$G$115,$K7+1)-INDEX(Loads!$G$5:$G$115,$K7))*($C7-INDEX(Loads!$G$5:$G$115,$K7))))</f>
        <v>-46307.77</v>
      </c>
      <c r="N7" s="73">
        <f>IF(ISBLANK(INDEX(Loads!$J$5:$J$115,$K7)),"-",INDEX(Loads!$J$5:$J$115,$K7)+IF(NOT(ISERROR($J7)),0,(INDEX(Loads!$J$5:$J$115,$K7+1)-INDEX(Loads!$J$5:$J$115,$K7))/(INDEX(Loads!$G$5:$G$115,$K7+1)-INDEX(Loads!$G$5:$G$115,$K7))*($C7-INDEX(Loads!$G$5:$G$115,$K7))))</f>
        <v>504389</v>
      </c>
      <c r="O7" s="73">
        <f>IF(ISBLANK(INDEX(Loads!$K$5:$K$115,$K7)),"-",INDEX(Loads!$K$5:$K$115,$K7)+IF(NOT(ISERROR($J7)),0,(INDEX(Loads!$K$5:$K$115,$K7+1)-INDEX(Loads!$K$5:$K$115,$K7))/(INDEX(Loads!$G$5:$G$115,$K7+1)-INDEX(Loads!$G$5:$G$115,$K7))*($C7-INDEX(Loads!$G$5:$G$115,$K7))))</f>
        <v>4510.1319999999996</v>
      </c>
      <c r="Q7">
        <f>MATCH($C7,Loads!$M$5:$M$115,0)</f>
        <v>110</v>
      </c>
      <c r="R7">
        <f>MATCH($C7,Loads!$M$5:$M$115,1)</f>
        <v>110</v>
      </c>
      <c r="S7" s="73">
        <f>IF(ISBLANK(INDEX(Loads!$N$5:$N$115,$R7)),"-",INDEX(Loads!$N$5:$N$115,$K7)+IF(NOT(ISERROR($Q7)),0,(INDEX(Loads!$N$5:$N$115,$R7+1)-INDEX(Loads!$N$5:$N$115,$R7))/(INDEX(Loads!$M$5:$M$115,$R7+1)-INDEX(Loads!$M$5:$M$115,$R7))*($C7-INDEX(Loads!$M$5:$M$115,$R7))))</f>
        <v>-16720.63</v>
      </c>
      <c r="T7" s="73">
        <f>IF(ISBLANK(INDEX(Loads!$O$5:$O$115,$R7)),"-",INDEX(Loads!$O$5:$O$115,$K7)+IF(NOT(ISERROR($Q7)),0,(INDEX(Loads!$O$5:$O$115,$R7+1)-INDEX(Loads!$O$5:$O$115,$R7))/(INDEX(Loads!$M$5:$M$115,$R7+1)-INDEX(Loads!$M$5:$M$115,$R7))*($C7-INDEX(Loads!$M$5:$M$115,$R7))))</f>
        <v>379706.8</v>
      </c>
      <c r="U7" s="73">
        <f>IF(ISBLANK(INDEX(Loads!$P$5:$P$115,$R7)),"-",INDEX(Loads!$P$5:$P$115,$K7)+IF(NOT(ISERROR($Q7)),0,(INDEX(Loads!$P$5:$P$115,$R7+1)-INDEX(Loads!$P$5:$P$115,$R7))/(INDEX(Loads!$M$5:$M$115,$R7+1)-INDEX(Loads!$M$5:$M$115,$R7))*($C7-INDEX(Loads!$M$5:$M$115,$R7))))</f>
        <v>3340.8380000000002</v>
      </c>
    </row>
    <row r="8" spans="3:21">
      <c r="C8" s="72">
        <f>Geometry!E11</f>
        <v>17.5</v>
      </c>
      <c r="E8" s="62" t="e">
        <f>MATCH($C8,Loads!$C$5:$C$115,0)</f>
        <v>#N/A</v>
      </c>
      <c r="F8" s="62">
        <f>MATCH($C8,Loads!$C$5:$C$115,1)</f>
        <v>109</v>
      </c>
      <c r="G8" s="73">
        <f>IF(ISBLANK(INDEX(Loads!$D$5:$D$115,$F8)),"-",INDEX(Loads!$D$5:$D$115,$F8)+IF(NOT(ISERROR($E8)),0,(INDEX(Loads!$D$5:$D$115,$F8+1)-INDEX(Loads!$D$5:$D$115,$F8))/(INDEX(Loads!$C$5:$C$115,$F8+1)-INDEX(Loads!$C$5:$C$115,$F8))*($C8-INDEX(Loads!$C$5:$C$115,$F8))))</f>
        <v>126989.05263157896</v>
      </c>
      <c r="H8" s="73">
        <f>IF(ISBLANK(INDEX(Loads!$E$5:$E$115,$F8)),"-",INDEX(Loads!$E$5:$E$115,$F8)+IF(NOT(ISERROR($E8)),0,(INDEX(Loads!$E$5:$E$115,$F8+1)-INDEX(Loads!$E$5:$E$115,$F8))/(INDEX(Loads!$C$5:$C$115,$F8+1)-INDEX(Loads!$C$5:$C$115,$F8))*($C8-INDEX(Loads!$C$5:$C$115,$F8))))</f>
        <v>121829.68421052633</v>
      </c>
      <c r="J8" s="62" t="e">
        <f>MATCH($C8,Loads!$G$5:$G$115,0)</f>
        <v>#N/A</v>
      </c>
      <c r="K8" s="62">
        <f>MATCH($C8,Loads!$G$5:$G$115,1)</f>
        <v>109</v>
      </c>
      <c r="L8" s="73">
        <f>IF(ISBLANK(INDEX(Loads!$H$5:$H$115,$K8)),"-",INDEX(Loads!$H$5:$H$115,$K8)+IF(NOT(ISERROR($J8)),0,(INDEX(Loads!$H$5:$H$115,$K8+1)-INDEX(Loads!$H$5:$H$115,$K8))/(INDEX(Loads!$G$5:$G$115,$K8+1)-INDEX(Loads!$G$5:$G$115,$K8))*($C8-INDEX(Loads!$G$5:$G$115,$K8))))</f>
        <v>-23891.065789473683</v>
      </c>
      <c r="M8" s="73">
        <f>IF(ISBLANK(INDEX(Loads!$I$5:$I$115,$K8)),"-",INDEX(Loads!$I$5:$I$115,$K8)+IF(NOT(ISERROR($J8)),0,(INDEX(Loads!$I$5:$I$115,$K8+1)-INDEX(Loads!$I$5:$I$115,$K8))/(INDEX(Loads!$G$5:$G$115,$K8+1)-INDEX(Loads!$G$5:$G$115,$K8))*($C8-INDEX(Loads!$G$5:$G$115,$K8))))</f>
        <v>-46316.797894736839</v>
      </c>
      <c r="N8" s="73">
        <f>IF(ISBLANK(INDEX(Loads!$J$5:$J$115,$K8)),"-",INDEX(Loads!$J$5:$J$115,$K8)+IF(NOT(ISERROR($J8)),0,(INDEX(Loads!$J$5:$J$115,$K8+1)-INDEX(Loads!$J$5:$J$115,$K8))/(INDEX(Loads!$G$5:$G$115,$K8+1)-INDEX(Loads!$G$5:$G$115,$K8))*($C8-INDEX(Loads!$G$5:$G$115,$K8))))</f>
        <v>520130.19473684207</v>
      </c>
      <c r="O8" s="73">
        <f>IF(ISBLANK(INDEX(Loads!$K$5:$K$115,$K8)),"-",INDEX(Loads!$K$5:$K$115,$K8)+IF(NOT(ISERROR($J8)),0,(INDEX(Loads!$K$5:$K$115,$K8+1)-INDEX(Loads!$K$5:$K$115,$K8))/(INDEX(Loads!$G$5:$G$115,$K8+1)-INDEX(Loads!$G$5:$G$115,$K8))*($C8-INDEX(Loads!$G$5:$G$115,$K8))))</f>
        <v>4620.5729473684205</v>
      </c>
      <c r="Q8" t="e">
        <f>MATCH($C8,Loads!$M$5:$M$115,0)</f>
        <v>#N/A</v>
      </c>
      <c r="R8">
        <f>MATCH($C8,Loads!$M$5:$M$115,1)</f>
        <v>109</v>
      </c>
      <c r="S8" s="73">
        <f>IF(ISBLANK(INDEX(Loads!$N$5:$N$115,$R8)),"-",INDEX(Loads!$N$5:$N$115,$K8)+IF(NOT(ISERROR($Q8)),0,(INDEX(Loads!$N$5:$N$115,$R8+1)-INDEX(Loads!$N$5:$N$115,$R8))/(INDEX(Loads!$M$5:$M$115,$R8+1)-INDEX(Loads!$M$5:$M$115,$R8))*($C8-INDEX(Loads!$M$5:$M$115,$R8))))</f>
        <v>-17697.083157894736</v>
      </c>
      <c r="T8" s="73">
        <f>IF(ISBLANK(INDEX(Loads!$O$5:$O$115,$R8)),"-",INDEX(Loads!$O$5:$O$115,$K8)+IF(NOT(ISERROR($Q8)),0,(INDEX(Loads!$O$5:$O$115,$R8+1)-INDEX(Loads!$O$5:$O$115,$R8))/(INDEX(Loads!$M$5:$M$115,$R8+1)-INDEX(Loads!$M$5:$M$115,$R8))*($C8-INDEX(Loads!$M$5:$M$115,$R8))))</f>
        <v>391561.7052631579</v>
      </c>
      <c r="U8" s="73">
        <f>IF(ISBLANK(INDEX(Loads!$P$5:$P$115,$R8)),"-",INDEX(Loads!$P$5:$P$115,$K8)+IF(NOT(ISERROR($Q8)),0,(INDEX(Loads!$P$5:$P$115,$R8+1)-INDEX(Loads!$P$5:$P$115,$R8))/(INDEX(Loads!$M$5:$M$115,$R8+1)-INDEX(Loads!$M$5:$M$115,$R8))*($C8-INDEX(Loads!$M$5:$M$115,$R8))))</f>
        <v>3422.6464736842108</v>
      </c>
    </row>
    <row r="9" spans="3:21">
      <c r="C9" s="72">
        <f>Geometry!E12</f>
        <v>13.5</v>
      </c>
      <c r="E9" s="62" t="e">
        <f>MATCH($C9,Loads!$C$5:$C$115,0)</f>
        <v>#N/A</v>
      </c>
      <c r="F9" s="62">
        <f>MATCH($C9,Loads!$C$5:$C$115,1)</f>
        <v>108</v>
      </c>
      <c r="G9" s="73">
        <f>IF(ISBLANK(INDEX(Loads!$D$5:$D$115,$F9)),"-",INDEX(Loads!$D$5:$D$115,$F9)+IF(NOT(ISERROR($E9)),0,(INDEX(Loads!$D$5:$D$115,$F9+1)-INDEX(Loads!$D$5:$D$115,$F9))/(INDEX(Loads!$C$5:$C$115,$F9+1)-INDEX(Loads!$C$5:$C$115,$F9))*($C9-INDEX(Loads!$C$5:$C$115,$F9))))</f>
        <v>131033.07692307692</v>
      </c>
      <c r="H9" s="73">
        <f>IF(ISBLANK(INDEX(Loads!$E$5:$E$115,$F9)),"-",INDEX(Loads!$E$5:$E$115,$F9)+IF(NOT(ISERROR($E9)),0,(INDEX(Loads!$E$5:$E$115,$F9+1)-INDEX(Loads!$E$5:$E$115,$F9))/(INDEX(Loads!$C$5:$C$115,$F9+1)-INDEX(Loads!$C$5:$C$115,$F9))*($C9-INDEX(Loads!$C$5:$C$115,$F9))))</f>
        <v>125767.38461538462</v>
      </c>
      <c r="J9" s="62" t="e">
        <f>MATCH($C9,Loads!$G$5:$G$115,0)</f>
        <v>#N/A</v>
      </c>
      <c r="K9" s="62">
        <f>MATCH($C9,Loads!$G$5:$G$115,1)</f>
        <v>108</v>
      </c>
      <c r="L9" s="73">
        <f>IF(ISBLANK(INDEX(Loads!$H$5:$H$115,$K9)),"-",INDEX(Loads!$H$5:$H$115,$K9)+IF(NOT(ISERROR($J9)),0,(INDEX(Loads!$H$5:$H$115,$K9+1)-INDEX(Loads!$H$5:$H$115,$K9))/(INDEX(Loads!$G$5:$G$115,$K9+1)-INDEX(Loads!$G$5:$G$115,$K9))*($C9-INDEX(Loads!$G$5:$G$115,$K9))))</f>
        <v>-24865.362307692307</v>
      </c>
      <c r="M9" s="73">
        <f>IF(ISBLANK(INDEX(Loads!$I$5:$I$115,$K9)),"-",INDEX(Loads!$I$5:$I$115,$K9)+IF(NOT(ISERROR($J9)),0,(INDEX(Loads!$I$5:$I$115,$K9+1)-INDEX(Loads!$I$5:$I$115,$K9))/(INDEX(Loads!$G$5:$G$115,$K9+1)-INDEX(Loads!$G$5:$G$115,$K9))*($C9-INDEX(Loads!$G$5:$G$115,$K9))))</f>
        <v>-46326.979999999996</v>
      </c>
      <c r="N9" s="73">
        <f>IF(ISBLANK(INDEX(Loads!$J$5:$J$115,$K9)),"-",INDEX(Loads!$J$5:$J$115,$K9)+IF(NOT(ISERROR($J9)),0,(INDEX(Loads!$J$5:$J$115,$K9+1)-INDEX(Loads!$J$5:$J$115,$K9))/(INDEX(Loads!$G$5:$G$115,$K9+1)-INDEX(Loads!$G$5:$G$115,$K9))*($C9-INDEX(Loads!$G$5:$G$115,$K9))))</f>
        <v>539246.86923076923</v>
      </c>
      <c r="O9" s="73">
        <f>IF(ISBLANK(INDEX(Loads!$K$5:$K$115,$K9)),"-",INDEX(Loads!$K$5:$K$115,$K9)+IF(NOT(ISERROR($J9)),0,(INDEX(Loads!$K$5:$K$115,$K9+1)-INDEX(Loads!$K$5:$K$115,$K9))/(INDEX(Loads!$G$5:$G$115,$K9+1)-INDEX(Loads!$G$5:$G$115,$K9))*($C9-INDEX(Loads!$G$5:$G$115,$K9))))</f>
        <v>4896.973384615384</v>
      </c>
      <c r="Q9" t="e">
        <f>MATCH($C9,Loads!$M$5:$M$115,0)</f>
        <v>#N/A</v>
      </c>
      <c r="R9">
        <f>MATCH($C9,Loads!$M$5:$M$115,1)</f>
        <v>108</v>
      </c>
      <c r="S9" s="73">
        <f>IF(ISBLANK(INDEX(Loads!$N$5:$N$115,$R9)),"-",INDEX(Loads!$N$5:$N$115,$K9)+IF(NOT(ISERROR($Q9)),0,(INDEX(Loads!$N$5:$N$115,$R9+1)-INDEX(Loads!$N$5:$N$115,$R9))/(INDEX(Loads!$M$5:$M$115,$R9+1)-INDEX(Loads!$M$5:$M$115,$R9))*($C9-INDEX(Loads!$M$5:$M$115,$R9))))</f>
        <v>-18418.790769230771</v>
      </c>
      <c r="T9" s="73">
        <f>IF(ISBLANK(INDEX(Loads!$O$5:$O$115,$R9)),"-",INDEX(Loads!$O$5:$O$115,$K9)+IF(NOT(ISERROR($Q9)),0,(INDEX(Loads!$O$5:$O$115,$R9+1)-INDEX(Loads!$O$5:$O$115,$R9))/(INDEX(Loads!$M$5:$M$115,$R9+1)-INDEX(Loads!$M$5:$M$115,$R9))*($C9-INDEX(Loads!$M$5:$M$115,$R9))))</f>
        <v>405945.10769230768</v>
      </c>
      <c r="U9" s="73">
        <f>IF(ISBLANK(INDEX(Loads!$P$5:$P$115,$R9)),"-",INDEX(Loads!$P$5:$P$115,$K9)+IF(NOT(ISERROR($Q9)),0,(INDEX(Loads!$P$5:$P$115,$R9+1)-INDEX(Loads!$P$5:$P$115,$R9))/(INDEX(Loads!$M$5:$M$115,$R9+1)-INDEX(Loads!$M$5:$M$115,$R9))*($C9-INDEX(Loads!$M$5:$M$115,$R9))))</f>
        <v>3627.3873076923073</v>
      </c>
    </row>
    <row r="10" spans="3:21">
      <c r="C10" s="72">
        <f>Geometry!E13</f>
        <v>9.5</v>
      </c>
      <c r="E10" s="62" t="e">
        <f>MATCH($C10,Loads!$C$5:$C$115,0)</f>
        <v>#N/A</v>
      </c>
      <c r="F10" s="62">
        <f>MATCH($C10,Loads!$C$5:$C$115,1)</f>
        <v>107</v>
      </c>
      <c r="G10" s="73">
        <f>IF(ISBLANK(INDEX(Loads!$D$5:$D$115,$F10)),"-",INDEX(Loads!$D$5:$D$115,$F10)+IF(NOT(ISERROR($E10)),0,(INDEX(Loads!$D$5:$D$115,$F10+1)-INDEX(Loads!$D$5:$D$115,$F10))/(INDEX(Loads!$C$5:$C$115,$F10+1)-INDEX(Loads!$C$5:$C$115,$F10))*($C10-INDEX(Loads!$C$5:$C$115,$F10))))</f>
        <v>135264.69230769231</v>
      </c>
      <c r="H10" s="73">
        <f>IF(ISBLANK(INDEX(Loads!$E$5:$E$115,$F10)),"-",INDEX(Loads!$E$5:$E$115,$F10)+IF(NOT(ISERROR($E10)),0,(INDEX(Loads!$E$5:$E$115,$F10+1)-INDEX(Loads!$E$5:$E$115,$F10))/(INDEX(Loads!$C$5:$C$115,$F10+1)-INDEX(Loads!$C$5:$C$115,$F10))*($C10-INDEX(Loads!$C$5:$C$115,$F10))))</f>
        <v>129811.38461538462</v>
      </c>
      <c r="J10" s="62" t="e">
        <f>MATCH($C10,Loads!$G$5:$G$115,0)</f>
        <v>#N/A</v>
      </c>
      <c r="K10" s="62">
        <f>MATCH($C10,Loads!$G$5:$G$115,1)</f>
        <v>107</v>
      </c>
      <c r="L10" s="73">
        <f>IF(ISBLANK(INDEX(Loads!$H$5:$H$115,$K10)),"-",INDEX(Loads!$H$5:$H$115,$K10)+IF(NOT(ISERROR($J10)),0,(INDEX(Loads!$H$5:$H$115,$K10+1)-INDEX(Loads!$H$5:$H$115,$K10))/(INDEX(Loads!$G$5:$G$115,$K10+1)-INDEX(Loads!$G$5:$G$115,$K10))*($C10-INDEX(Loads!$G$5:$G$115,$K10))))</f>
        <v>-25729.462051282051</v>
      </c>
      <c r="M10" s="73">
        <f>IF(ISBLANK(INDEX(Loads!$I$5:$I$115,$K10)),"-",INDEX(Loads!$I$5:$I$115,$K10)+IF(NOT(ISERROR($J10)),0,(INDEX(Loads!$I$5:$I$115,$K10+1)-INDEX(Loads!$I$5:$I$115,$K10))/(INDEX(Loads!$G$5:$G$115,$K10+1)-INDEX(Loads!$G$5:$G$115,$K10))*($C10-INDEX(Loads!$G$5:$G$115,$K10))))</f>
        <v>-46336.420769230768</v>
      </c>
      <c r="N10" s="73">
        <f>IF(ISBLANK(INDEX(Loads!$J$5:$J$115,$K10)),"-",INDEX(Loads!$J$5:$J$115,$K10)+IF(NOT(ISERROR($J10)),0,(INDEX(Loads!$J$5:$J$115,$K10+1)-INDEX(Loads!$J$5:$J$115,$K10))/(INDEX(Loads!$G$5:$G$115,$K10+1)-INDEX(Loads!$G$5:$G$115,$K10))*($C10-INDEX(Loads!$G$5:$G$115,$K10))))</f>
        <v>558593.41025641025</v>
      </c>
      <c r="O10" s="73">
        <f>IF(ISBLANK(INDEX(Loads!$K$5:$K$115,$K10)),"-",INDEX(Loads!$K$5:$K$115,$K10)+IF(NOT(ISERROR($J10)),0,(INDEX(Loads!$K$5:$K$115,$K10+1)-INDEX(Loads!$K$5:$K$115,$K10))/(INDEX(Loads!$G$5:$G$115,$K10+1)-INDEX(Loads!$G$5:$G$115,$K10))*($C10-INDEX(Loads!$G$5:$G$115,$K10))))</f>
        <v>11747.70661538461</v>
      </c>
      <c r="Q10" t="e">
        <f>MATCH($C10,Loads!$M$5:$M$115,0)</f>
        <v>#N/A</v>
      </c>
      <c r="R10">
        <f>MATCH($C10,Loads!$M$5:$M$115,1)</f>
        <v>107</v>
      </c>
      <c r="S10" s="73">
        <f>IF(ISBLANK(INDEX(Loads!$N$5:$N$115,$R10)),"-",INDEX(Loads!$N$5:$N$115,$K10)+IF(NOT(ISERROR($Q10)),0,(INDEX(Loads!$N$5:$N$115,$R10+1)-INDEX(Loads!$N$5:$N$115,$R10))/(INDEX(Loads!$M$5:$M$115,$R10+1)-INDEX(Loads!$M$5:$M$115,$R10))*($C10-INDEX(Loads!$M$5:$M$115,$R10))))</f>
        <v>-19058.864871794871</v>
      </c>
      <c r="T10" s="73">
        <f>IF(ISBLANK(INDEX(Loads!$O$5:$O$115,$R10)),"-",INDEX(Loads!$O$5:$O$115,$K10)+IF(NOT(ISERROR($Q10)),0,(INDEX(Loads!$O$5:$O$115,$R10+1)-INDEX(Loads!$O$5:$O$115,$R10))/(INDEX(Loads!$M$5:$M$115,$R10+1)-INDEX(Loads!$M$5:$M$115,$R10))*($C10-INDEX(Loads!$M$5:$M$115,$R10))))</f>
        <v>420504.7974358974</v>
      </c>
      <c r="U10" s="73">
        <f>IF(ISBLANK(INDEX(Loads!$P$5:$P$115,$R10)),"-",INDEX(Loads!$P$5:$P$115,$K10)+IF(NOT(ISERROR($Q10)),0,(INDEX(Loads!$P$5:$P$115,$R10+1)-INDEX(Loads!$P$5:$P$115,$R10))/(INDEX(Loads!$M$5:$M$115,$R10+1)-INDEX(Loads!$M$5:$M$115,$R10))*($C10-INDEX(Loads!$M$5:$M$115,$R10))))</f>
        <v>8702.0052307692276</v>
      </c>
    </row>
    <row r="11" spans="3:21">
      <c r="C11" s="72">
        <f>Geometry!E14</f>
        <v>5.6</v>
      </c>
      <c r="E11" s="62" t="e">
        <f>MATCH($C11,Loads!$C$5:$C$115,0)</f>
        <v>#N/A</v>
      </c>
      <c r="F11" s="62">
        <f>MATCH($C11,Loads!$C$5:$C$115,1)</f>
        <v>106</v>
      </c>
      <c r="G11" s="73">
        <f>IF(ISBLANK(INDEX(Loads!$D$5:$D$115,$F11)),"-",INDEX(Loads!$D$5:$D$115,$F11)+IF(NOT(ISERROR($E11)),0,(INDEX(Loads!$D$5:$D$115,$F11+1)-INDEX(Loads!$D$5:$D$115,$F11))/(INDEX(Loads!$C$5:$C$115,$F11+1)-INDEX(Loads!$C$5:$C$115,$F11))*($C11-INDEX(Loads!$C$5:$C$115,$F11))))</f>
        <v>139586.92105263157</v>
      </c>
      <c r="H11" s="73">
        <f>IF(ISBLANK(INDEX(Loads!$E$5:$E$115,$F11)),"-",INDEX(Loads!$E$5:$E$115,$F11)+IF(NOT(ISERROR($E11)),0,(INDEX(Loads!$E$5:$E$115,$F11+1)-INDEX(Loads!$E$5:$E$115,$F11))/(INDEX(Loads!$C$5:$C$115,$F11+1)-INDEX(Loads!$C$5:$C$115,$F11))*($C11-INDEX(Loads!$C$5:$C$115,$F11))))</f>
        <v>133904.84210526315</v>
      </c>
      <c r="J11" s="62" t="e">
        <f>MATCH($C11,Loads!$G$5:$G$115,0)</f>
        <v>#N/A</v>
      </c>
      <c r="K11" s="62">
        <f>MATCH($C11,Loads!$G$5:$G$115,1)</f>
        <v>106</v>
      </c>
      <c r="L11" s="73">
        <f>IF(ISBLANK(INDEX(Loads!$H$5:$H$115,$K11)),"-",INDEX(Loads!$H$5:$H$115,$K11)+IF(NOT(ISERROR($J11)),0,(INDEX(Loads!$H$5:$H$115,$K11+1)-INDEX(Loads!$H$5:$H$115,$K11))/(INDEX(Loads!$G$5:$G$115,$K11+1)-INDEX(Loads!$G$5:$G$115,$K11))*($C11-INDEX(Loads!$G$5:$G$115,$K11))))</f>
        <v>-27386.059736842104</v>
      </c>
      <c r="M11" s="73">
        <f>IF(ISBLANK(INDEX(Loads!$I$5:$I$115,$K11)),"-",INDEX(Loads!$I$5:$I$115,$K11)+IF(NOT(ISERROR($J11)),0,(INDEX(Loads!$I$5:$I$115,$K11+1)-INDEX(Loads!$I$5:$I$115,$K11))/(INDEX(Loads!$G$5:$G$115,$K11+1)-INDEX(Loads!$G$5:$G$115,$K11))*($C11-INDEX(Loads!$G$5:$G$115,$K11))))</f>
        <v>-46345.049473684208</v>
      </c>
      <c r="N11" s="73">
        <f>IF(ISBLANK(INDEX(Loads!$J$5:$J$115,$K11)),"-",INDEX(Loads!$J$5:$J$115,$K11)+IF(NOT(ISERROR($J11)),0,(INDEX(Loads!$J$5:$J$115,$K11+1)-INDEX(Loads!$J$5:$J$115,$K11))/(INDEX(Loads!$G$5:$G$115,$K11+1)-INDEX(Loads!$G$5:$G$115,$K11))*($C11-INDEX(Loads!$G$5:$G$115,$K11))))</f>
        <v>577442.81842105277</v>
      </c>
      <c r="O11" s="73">
        <f>IF(ISBLANK(INDEX(Loads!$K$5:$K$115,$K11)),"-",INDEX(Loads!$K$5:$K$115,$K11)+IF(NOT(ISERROR($J11)),0,(INDEX(Loads!$K$5:$K$115,$K11+1)-INDEX(Loads!$K$5:$K$115,$K11))/(INDEX(Loads!$G$5:$G$115,$K11+1)-INDEX(Loads!$G$5:$G$115,$K11))*($C11-INDEX(Loads!$G$5:$G$115,$K11))))</f>
        <v>11603.23105263158</v>
      </c>
      <c r="Q11" t="e">
        <f>MATCH($C11,Loads!$M$5:$M$115,0)</f>
        <v>#N/A</v>
      </c>
      <c r="R11">
        <f>MATCH($C11,Loads!$M$5:$M$115,1)</f>
        <v>106</v>
      </c>
      <c r="S11" s="73">
        <f>IF(ISBLANK(INDEX(Loads!$N$5:$N$115,$R11)),"-",INDEX(Loads!$N$5:$N$115,$K11)+IF(NOT(ISERROR($Q11)),0,(INDEX(Loads!$N$5:$N$115,$R11+1)-INDEX(Loads!$N$5:$N$115,$R11))/(INDEX(Loads!$M$5:$M$115,$R11+1)-INDEX(Loads!$M$5:$M$115,$R11))*($C11-INDEX(Loads!$M$5:$M$115,$R11))))</f>
        <v>-20285.966315789472</v>
      </c>
      <c r="T11" s="73">
        <f>IF(ISBLANK(INDEX(Loads!$O$5:$O$115,$R11)),"-",INDEX(Loads!$O$5:$O$115,$K11)+IF(NOT(ISERROR($Q11)),0,(INDEX(Loads!$O$5:$O$115,$R11+1)-INDEX(Loads!$O$5:$O$115,$R11))/(INDEX(Loads!$M$5:$M$115,$R11+1)-INDEX(Loads!$M$5:$M$115,$R11))*($C11-INDEX(Loads!$M$5:$M$115,$R11))))</f>
        <v>434696.7236842105</v>
      </c>
      <c r="U11" s="73">
        <f>IF(ISBLANK(INDEX(Loads!$P$5:$P$115,$R11)),"-",INDEX(Loads!$P$5:$P$115,$K11)+IF(NOT(ISERROR($Q11)),0,(INDEX(Loads!$P$5:$P$115,$R11+1)-INDEX(Loads!$P$5:$P$115,$R11))/(INDEX(Loads!$M$5:$M$115,$R11+1)-INDEX(Loads!$M$5:$M$115,$R11))*($C11-INDEX(Loads!$M$5:$M$115,$R11))))</f>
        <v>8594.9833421052626</v>
      </c>
    </row>
    <row r="14" spans="3:21">
      <c r="C14" s="35" t="s">
        <v>214</v>
      </c>
      <c r="E14" s="62"/>
      <c r="F14" s="62"/>
      <c r="J14" s="62"/>
      <c r="K14" s="62"/>
    </row>
    <row r="15" spans="3:21">
      <c r="E15" s="62"/>
      <c r="F15" s="62"/>
      <c r="G15" s="305" t="s">
        <v>285</v>
      </c>
      <c r="H15" s="306"/>
      <c r="J15" s="62"/>
      <c r="K15" s="62"/>
      <c r="L15" s="305" t="s">
        <v>220</v>
      </c>
      <c r="M15" s="307"/>
      <c r="N15" s="307"/>
      <c r="O15" s="306"/>
      <c r="S15" s="305" t="s">
        <v>221</v>
      </c>
      <c r="T15" s="307"/>
      <c r="U15" s="306"/>
    </row>
    <row r="16" spans="3:21">
      <c r="C16" s="70" t="s">
        <v>334</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Geometry!D26</f>
        <v>5.6</v>
      </c>
      <c r="E18" s="62" t="e">
        <f>MATCH($C18,Loads!$C$5:$C$115,0)</f>
        <v>#N/A</v>
      </c>
      <c r="F18" s="62">
        <f>MATCH($C18,Loads!$C$5:$C$115,1)</f>
        <v>106</v>
      </c>
      <c r="G18" s="73">
        <f>IF(ISBLANK(INDEX(Loads!$D$5:$D$115,$F18)),"-",INDEX(Loads!$D$5:$D$115,$F18)+IF(NOT(ISERROR($E18)),0,(INDEX(Loads!$D$5:$D$115,$F18+1)-INDEX(Loads!$D$5:$D$115,$F18))/(INDEX(Loads!$C$5:$C$115,$F18+1)-INDEX(Loads!$C$5:$C$115,$F18))*($C18-INDEX(Loads!$C$5:$C$115,$F18))))</f>
        <v>139586.92105263157</v>
      </c>
      <c r="H18" s="73">
        <f>IF(ISBLANK(INDEX(Loads!$E$5:$E$115,$F18)),"-",INDEX(Loads!$E$5:$E$115,$F18)+IF(NOT(ISERROR($E18)),0,(INDEX(Loads!$E$5:$E$115,$F18+1)-INDEX(Loads!$E$5:$E$115,$F18))/(INDEX(Loads!$C$5:$C$115,$F18+1)-INDEX(Loads!$C$5:$C$115,$F18))*($C18-INDEX(Loads!$C$5:$C$115,$F18))))</f>
        <v>133904.84210526315</v>
      </c>
      <c r="J18" s="62" t="e">
        <f>MATCH($C18,Loads!$G$5:$G$115,0)</f>
        <v>#N/A</v>
      </c>
      <c r="K18" s="62">
        <f>MATCH($C18,Loads!$G$5:$G$115,1)</f>
        <v>106</v>
      </c>
      <c r="L18" s="73">
        <f>IF(ISBLANK(INDEX(Loads!$H$5:$H$115,$K18)),"-",INDEX(Loads!$H$5:$H$115,$K18)+IF(NOT(ISERROR($J18)),0,(INDEX(Loads!$H$5:$H$115,$K18+1)-INDEX(Loads!$H$5:$H$115,$K18))/(INDEX(Loads!$G$5:$G$115,$K18+1)-INDEX(Loads!$G$5:$G$115,$K18))*($C18-INDEX(Loads!$G$5:$G$115,$K18))))</f>
        <v>-27386.059736842104</v>
      </c>
      <c r="M18" s="73">
        <f>IF(ISBLANK(INDEX(Loads!$I$5:$I$115,$K18)),"-",INDEX(Loads!$I$5:$I$115,$K18)+IF(NOT(ISERROR($J18)),0,(INDEX(Loads!$I$5:$I$115,$K18+1)-INDEX(Loads!$I$5:$I$115,$K18))/(INDEX(Loads!$G$5:$G$115,$K18+1)-INDEX(Loads!$G$5:$G$115,$K18))*($C18-INDEX(Loads!$G$5:$G$115,$K18))))</f>
        <v>-46345.049473684208</v>
      </c>
      <c r="N18" s="73">
        <f>IF(ISBLANK(INDEX(Loads!$J$5:$J$115,$K18)),"-",INDEX(Loads!$J$5:$J$115,$K18)+IF(NOT(ISERROR($J18)),0,(INDEX(Loads!$J$5:$J$115,$K18+1)-INDEX(Loads!$J$5:$J$115,$K18))/(INDEX(Loads!$G$5:$G$115,$K18+1)-INDEX(Loads!$G$5:$G$115,$K18))*($C18-INDEX(Loads!$G$5:$G$115,$K18))))</f>
        <v>577442.81842105277</v>
      </c>
      <c r="O18" s="73">
        <f>IF(ISBLANK(INDEX(Loads!$K$5:$K$115,$K18)),"-",INDEX(Loads!$K$5:$K$115,$K18)+IF(NOT(ISERROR($J18)),0,(INDEX(Loads!$K$5:$K$115,$K18+1)-INDEX(Loads!$K$5:$K$115,$K18))/(INDEX(Loads!$G$5:$G$115,$K18+1)-INDEX(Loads!$G$5:$G$115,$K18))*($C18-INDEX(Loads!$G$5:$G$115,$K18))))</f>
        <v>11603.23105263158</v>
      </c>
      <c r="Q18" t="e">
        <f>MATCH($C18,Loads!$M$5:$M$115,0)</f>
        <v>#N/A</v>
      </c>
      <c r="R18">
        <f>MATCH($C18,Loads!$M$5:$M$115,1)</f>
        <v>106</v>
      </c>
      <c r="S18" s="73">
        <f>IF(ISBLANK(INDEX(Loads!$N$5:$N$115,$R18)),"-",INDEX(Loads!$N$5:$N$115,$K18)+IF(NOT(ISERROR($Q18)),0,(INDEX(Loads!$N$5:$N$115,$R18+1)-INDEX(Loads!$N$5:$N$115,$R18))/(INDEX(Loads!$M$5:$M$115,$R18+1)-INDEX(Loads!$M$5:$M$115,$R18))*($C18-INDEX(Loads!$M$5:$M$115,$R18))))</f>
        <v>-20285.966315789472</v>
      </c>
      <c r="T18" s="73">
        <f>IF(ISBLANK(INDEX(Loads!$O$5:$O$115,$R18)),"-",INDEX(Loads!$O$5:$O$115,$K18)+IF(NOT(ISERROR($Q18)),0,(INDEX(Loads!$O$5:$O$115,$R18+1)-INDEX(Loads!$O$5:$O$115,$R18))/(INDEX(Loads!$M$5:$M$115,$R18+1)-INDEX(Loads!$M$5:$M$115,$R18))*($C18-INDEX(Loads!$M$5:$M$115,$R18))))</f>
        <v>434696.7236842105</v>
      </c>
      <c r="U18" s="73">
        <f>IF(ISBLANK(INDEX(Loads!$P$5:$P$115,$R18)),"-",INDEX(Loads!$P$5:$P$115,$K18)+IF(NOT(ISERROR($Q18)),0,(INDEX(Loads!$P$5:$P$115,$R18+1)-INDEX(Loads!$P$5:$P$115,$R18))/(INDEX(Loads!$M$5:$M$115,$R18+1)-INDEX(Loads!$M$5:$M$115,$R18))*($C18-INDEX(Loads!$M$5:$M$115,$R18))))</f>
        <v>8594.9833421052626</v>
      </c>
    </row>
    <row r="19" spans="3:21">
      <c r="C19" s="72">
        <f>Geometry!E26</f>
        <v>1.6</v>
      </c>
      <c r="E19" s="62">
        <f>MATCH($C19,Loads!$C$5:$C$115,0)</f>
        <v>105</v>
      </c>
      <c r="F19" s="62">
        <f>MATCH($C19,Loads!$C$5:$C$115,1)</f>
        <v>105</v>
      </c>
      <c r="G19" s="73">
        <f>IF(ISBLANK(INDEX(Loads!$D$5:$D$115,$F19)),"-",INDEX(Loads!$D$5:$D$115,$F19)+IF(NOT(ISERROR($E19)),0,(INDEX(Loads!$D$5:$D$115,$F19+1)-INDEX(Loads!$D$5:$D$115,$F19))/(INDEX(Loads!$C$5:$C$115,$F19+1)-INDEX(Loads!$C$5:$C$115,$F19))*($C19-INDEX(Loads!$C$5:$C$115,$F19))))</f>
        <v>144027</v>
      </c>
      <c r="H19" s="73">
        <f>IF(ISBLANK(INDEX(Loads!$E$5:$E$115,$F19)),"-",INDEX(Loads!$E$5:$E$115,$F19)+IF(NOT(ISERROR($E19)),0,(INDEX(Loads!$E$5:$E$115,$F19+1)-INDEX(Loads!$E$5:$E$115,$F19))/(INDEX(Loads!$C$5:$C$115,$F19+1)-INDEX(Loads!$C$5:$C$115,$F19))*($C19-INDEX(Loads!$C$5:$C$115,$F19))))</f>
        <v>138060</v>
      </c>
      <c r="J19" s="62">
        <f>MATCH($C19,Loads!$G$5:$G$115,0)</f>
        <v>105</v>
      </c>
      <c r="K19" s="62">
        <f>MATCH($C19,Loads!$G$5:$G$115,1)</f>
        <v>105</v>
      </c>
      <c r="L19" s="73">
        <f>IF(ISBLANK(INDEX(Loads!$H$5:$H$115,$K19)),"-",INDEX(Loads!$H$5:$H$115,$K19)+IF(NOT(ISERROR($J19)),0,(INDEX(Loads!$H$5:$H$115,$K19+1)-INDEX(Loads!$H$5:$H$115,$K19))/(INDEX(Loads!$G$5:$G$115,$K19+1)-INDEX(Loads!$G$5:$G$115,$K19))*($C19-INDEX(Loads!$G$5:$G$115,$K19))))</f>
        <v>-29625.58</v>
      </c>
      <c r="M19" s="73">
        <f>IF(ISBLANK(INDEX(Loads!$I$5:$I$115,$K19)),"-",INDEX(Loads!$I$5:$I$115,$K19)+IF(NOT(ISERROR($J19)),0,(INDEX(Loads!$I$5:$I$115,$K19+1)-INDEX(Loads!$I$5:$I$115,$K19))/(INDEX(Loads!$G$5:$G$115,$K19+1)-INDEX(Loads!$G$5:$G$115,$K19))*($C19-INDEX(Loads!$G$5:$G$115,$K19))))</f>
        <v>-46354.1</v>
      </c>
      <c r="N19" s="73">
        <f>IF(ISBLANK(INDEX(Loads!$J$5:$J$115,$K19)),"-",INDEX(Loads!$J$5:$J$115,$K19)+IF(NOT(ISERROR($J19)),0,(INDEX(Loads!$J$5:$J$115,$K19+1)-INDEX(Loads!$J$5:$J$115,$K19))/(INDEX(Loads!$G$5:$G$115,$K19+1)-INDEX(Loads!$G$5:$G$115,$K19))*($C19-INDEX(Loads!$G$5:$G$115,$K19))))</f>
        <v>597208.5</v>
      </c>
      <c r="O19" s="73">
        <f>IF(ISBLANK(INDEX(Loads!$K$5:$K$115,$K19)),"-",INDEX(Loads!$K$5:$K$115,$K19)+IF(NOT(ISERROR($J19)),0,(INDEX(Loads!$K$5:$K$115,$K19+1)-INDEX(Loads!$K$5:$K$115,$K19))/(INDEX(Loads!$G$5:$G$115,$K19+1)-INDEX(Loads!$G$5:$G$115,$K19))*($C19-INDEX(Loads!$G$5:$G$115,$K19))))</f>
        <v>10947.41</v>
      </c>
      <c r="Q19">
        <f>MATCH($C19,Loads!$M$5:$M$115,0)</f>
        <v>105</v>
      </c>
      <c r="R19">
        <f>MATCH($C19,Loads!$M$5:$M$115,1)</f>
        <v>105</v>
      </c>
      <c r="S19" s="73">
        <f>IF(ISBLANK(INDEX(Loads!$N$5:$N$115,$R19)),"-",INDEX(Loads!$N$5:$N$115,$K19)+IF(NOT(ISERROR($Q19)),0,(INDEX(Loads!$N$5:$N$115,$R19+1)-INDEX(Loads!$N$5:$N$115,$R19))/(INDEX(Loads!$M$5:$M$115,$R19+1)-INDEX(Loads!$M$5:$M$115,$R19))*($C19-INDEX(Loads!$M$5:$M$115,$R19))))</f>
        <v>-21944.87</v>
      </c>
      <c r="T19" s="73">
        <f>IF(ISBLANK(INDEX(Loads!$O$5:$O$115,$R19)),"-",INDEX(Loads!$O$5:$O$115,$K19)+IF(NOT(ISERROR($Q19)),0,(INDEX(Loads!$O$5:$O$115,$R19+1)-INDEX(Loads!$O$5:$O$115,$R19))/(INDEX(Loads!$M$5:$M$115,$R19+1)-INDEX(Loads!$M$5:$M$115,$R19))*($C19-INDEX(Loads!$M$5:$M$115,$R19))))</f>
        <v>449590.3</v>
      </c>
      <c r="U19" s="73">
        <f>IF(ISBLANK(INDEX(Loads!$P$5:$P$115,$R19)),"-",INDEX(Loads!$P$5:$P$115,$K19)+IF(NOT(ISERROR($Q19)),0,(INDEX(Loads!$P$5:$P$115,$R19+1)-INDEX(Loads!$P$5:$P$115,$R19))/(INDEX(Loads!$M$5:$M$115,$R19+1)-INDEX(Loads!$M$5:$M$115,$R19))*($C19-INDEX(Loads!$M$5:$M$115,$R19))))</f>
        <v>8109.1909999999998</v>
      </c>
    </row>
    <row r="20" spans="3:21">
      <c r="C20" s="72">
        <f>Geometry!E27</f>
        <v>-2.2999999999999998</v>
      </c>
      <c r="E20" s="62">
        <f>MATCH($C20,Loads!$C$5:$C$115,0)</f>
        <v>104</v>
      </c>
      <c r="F20" s="62">
        <f>MATCH($C20,Loads!$C$5:$C$115,1)</f>
        <v>104</v>
      </c>
      <c r="G20" s="73">
        <f>IF(ISBLANK(INDEX(Loads!$D$5:$D$115,$F20)),"-",INDEX(Loads!$D$5:$D$115,$F20)+IF(NOT(ISERROR($E20)),0,(INDEX(Loads!$D$5:$D$115,$F20+1)-INDEX(Loads!$D$5:$D$115,$F20))/(INDEX(Loads!$C$5:$C$115,$F20+1)-INDEX(Loads!$C$5:$C$115,$F20))*($C20-INDEX(Loads!$C$5:$C$115,$F20))))</f>
        <v>148230</v>
      </c>
      <c r="H20" s="73">
        <f>IF(ISBLANK(INDEX(Loads!$E$5:$E$115,$F20)),"-",INDEX(Loads!$E$5:$E$115,$F20)+IF(NOT(ISERROR($E20)),0,(INDEX(Loads!$E$5:$E$115,$F20+1)-INDEX(Loads!$E$5:$E$115,$F20))/(INDEX(Loads!$C$5:$C$115,$F20+1)-INDEX(Loads!$C$5:$C$115,$F20))*($C20-INDEX(Loads!$C$5:$C$115,$F20))))</f>
        <v>142083</v>
      </c>
      <c r="J20" s="62">
        <f>MATCH($C20,Loads!$G$5:$G$115,0)</f>
        <v>104</v>
      </c>
      <c r="K20" s="62">
        <f>MATCH($C20,Loads!$G$5:$G$115,1)</f>
        <v>104</v>
      </c>
      <c r="L20" s="73">
        <f>IF(ISBLANK(INDEX(Loads!$H$5:$H$115,$K20)),"-",INDEX(Loads!$H$5:$H$115,$K20)+IF(NOT(ISERROR($J20)),0,(INDEX(Loads!$H$5:$H$115,$K20+1)-INDEX(Loads!$H$5:$H$115,$K20))/(INDEX(Loads!$G$5:$G$115,$K20+1)-INDEX(Loads!$G$5:$G$115,$K20))*($C20-INDEX(Loads!$G$5:$G$115,$K20))))</f>
        <v>-30823.42</v>
      </c>
      <c r="M20" s="73">
        <f>IF(ISBLANK(INDEX(Loads!$I$5:$I$115,$K20)),"-",INDEX(Loads!$I$5:$I$115,$K20)+IF(NOT(ISERROR($J20)),0,(INDEX(Loads!$I$5:$I$115,$K20+1)-INDEX(Loads!$I$5:$I$115,$K20))/(INDEX(Loads!$G$5:$G$115,$K20+1)-INDEX(Loads!$G$5:$G$115,$K20))*($C20-INDEX(Loads!$G$5:$G$115,$K20))))</f>
        <v>-46363.46</v>
      </c>
      <c r="N20" s="73">
        <f>IF(ISBLANK(INDEX(Loads!$J$5:$J$115,$K20)),"-",INDEX(Loads!$J$5:$J$115,$K20)+IF(NOT(ISERROR($J20)),0,(INDEX(Loads!$J$5:$J$115,$K20+1)-INDEX(Loads!$J$5:$J$115,$K20))/(INDEX(Loads!$G$5:$G$115,$K20+1)-INDEX(Loads!$G$5:$G$115,$K20))*($C20-INDEX(Loads!$G$5:$G$115,$K20))))</f>
        <v>617316</v>
      </c>
      <c r="O20" s="73">
        <f>IF(ISBLANK(INDEX(Loads!$K$5:$K$115,$K20)),"-",INDEX(Loads!$K$5:$K$115,$K20)+IF(NOT(ISERROR($J20)),0,(INDEX(Loads!$K$5:$K$115,$K20+1)-INDEX(Loads!$K$5:$K$115,$K20))/(INDEX(Loads!$G$5:$G$115,$K20+1)-INDEX(Loads!$G$5:$G$115,$K20))*($C20-INDEX(Loads!$G$5:$G$115,$K20))))</f>
        <v>10947.93</v>
      </c>
      <c r="Q20">
        <f>MATCH($C20,Loads!$M$5:$M$115,0)</f>
        <v>104</v>
      </c>
      <c r="R20">
        <f>MATCH($C20,Loads!$M$5:$M$115,1)</f>
        <v>104</v>
      </c>
      <c r="S20" s="73">
        <f>IF(ISBLANK(INDEX(Loads!$N$5:$N$115,$R20)),"-",INDEX(Loads!$N$5:$N$115,$K20)+IF(NOT(ISERROR($Q20)),0,(INDEX(Loads!$N$5:$N$115,$R20+1)-INDEX(Loads!$N$5:$N$115,$R20))/(INDEX(Loads!$M$5:$M$115,$R20+1)-INDEX(Loads!$M$5:$M$115,$R20))*($C20-INDEX(Loads!$M$5:$M$115,$R20))))</f>
        <v>-22832.16</v>
      </c>
      <c r="T20" s="73">
        <f>IF(ISBLANK(INDEX(Loads!$O$5:$O$115,$R20)),"-",INDEX(Loads!$O$5:$O$115,$K20)+IF(NOT(ISERROR($Q20)),0,(INDEX(Loads!$O$5:$O$115,$R20+1)-INDEX(Loads!$O$5:$O$115,$R20))/(INDEX(Loads!$M$5:$M$115,$R20+1)-INDEX(Loads!$M$5:$M$115,$R20))*($C20-INDEX(Loads!$M$5:$M$115,$R20))))</f>
        <v>464769.8</v>
      </c>
      <c r="U20" s="73">
        <f>IF(ISBLANK(INDEX(Loads!$P$5:$P$115,$R20)),"-",INDEX(Loads!$P$5:$P$115,$K20)+IF(NOT(ISERROR($Q20)),0,(INDEX(Loads!$P$5:$P$115,$R20+1)-INDEX(Loads!$P$5:$P$115,$R20))/(INDEX(Loads!$M$5:$M$115,$R20+1)-INDEX(Loads!$M$5:$M$115,$R20))*($C20-INDEX(Loads!$M$5:$M$115,$R20))))</f>
        <v>8109.5820000000003</v>
      </c>
    </row>
    <row r="21" spans="3:21">
      <c r="C21" s="72">
        <f>Geometry!E28</f>
        <v>-6.2</v>
      </c>
      <c r="E21" s="62">
        <f>MATCH($C21,Loads!$C$5:$C$115,0)</f>
        <v>103</v>
      </c>
      <c r="F21" s="62">
        <f>MATCH($C21,Loads!$C$5:$C$115,1)</f>
        <v>103</v>
      </c>
      <c r="G21" s="73">
        <f>IF(ISBLANK(INDEX(Loads!$D$5:$D$115,$F21)),"-",INDEX(Loads!$D$5:$D$115,$F21)+IF(NOT(ISERROR($E21)),0,(INDEX(Loads!$D$5:$D$115,$F21+1)-INDEX(Loads!$D$5:$D$115,$F21))/(INDEX(Loads!$C$5:$C$115,$F21+1)-INDEX(Loads!$C$5:$C$115,$F21))*($C21-INDEX(Loads!$C$5:$C$115,$F21))))</f>
        <v>152019</v>
      </c>
      <c r="H21" s="73">
        <f>IF(ISBLANK(INDEX(Loads!$E$5:$E$115,$F21)),"-",INDEX(Loads!$E$5:$E$115,$F21)+IF(NOT(ISERROR($E21)),0,(INDEX(Loads!$E$5:$E$115,$F21+1)-INDEX(Loads!$E$5:$E$115,$F21))/(INDEX(Loads!$C$5:$C$115,$F21+1)-INDEX(Loads!$C$5:$C$115,$F21))*($C21-INDEX(Loads!$C$5:$C$115,$F21))))</f>
        <v>145746</v>
      </c>
      <c r="J21" s="62">
        <f>MATCH($C21,Loads!$G$5:$G$115,0)</f>
        <v>103</v>
      </c>
      <c r="K21" s="62">
        <f>MATCH($C21,Loads!$G$5:$G$115,1)</f>
        <v>103</v>
      </c>
      <c r="L21" s="73">
        <f>IF(ISBLANK(INDEX(Loads!$H$5:$H$115,$K21)),"-",INDEX(Loads!$H$5:$H$115,$K21)+IF(NOT(ISERROR($J21)),0,(INDEX(Loads!$H$5:$H$115,$K21+1)-INDEX(Loads!$H$5:$H$115,$K21))/(INDEX(Loads!$G$5:$G$115,$K21+1)-INDEX(Loads!$G$5:$G$115,$K21))*($C21-INDEX(Loads!$G$5:$G$115,$K21))))</f>
        <v>-32020.5</v>
      </c>
      <c r="M21" s="73">
        <f>IF(ISBLANK(INDEX(Loads!$I$5:$I$115,$K21)),"-",INDEX(Loads!$I$5:$I$115,$K21)+IF(NOT(ISERROR($J21)),0,(INDEX(Loads!$I$5:$I$115,$K21+1)-INDEX(Loads!$I$5:$I$115,$K21))/(INDEX(Loads!$G$5:$G$115,$K21+1)-INDEX(Loads!$G$5:$G$115,$K21))*($C21-INDEX(Loads!$G$5:$G$115,$K21))))</f>
        <v>-46371.59</v>
      </c>
      <c r="N21" s="73">
        <f>IF(ISBLANK(INDEX(Loads!$J$5:$J$115,$K21)),"-",INDEX(Loads!$J$5:$J$115,$K21)+IF(NOT(ISERROR($J21)),0,(INDEX(Loads!$J$5:$J$115,$K21+1)-INDEX(Loads!$J$5:$J$115,$K21))/(INDEX(Loads!$G$5:$G$115,$K21+1)-INDEX(Loads!$G$5:$G$115,$K21))*($C21-INDEX(Loads!$G$5:$G$115,$K21))))</f>
        <v>641335.4</v>
      </c>
      <c r="O21" s="73">
        <f>IF(ISBLANK(INDEX(Loads!$K$5:$K$115,$K21)),"-",INDEX(Loads!$K$5:$K$115,$K21)+IF(NOT(ISERROR($J21)),0,(INDEX(Loads!$K$5:$K$115,$K21+1)-INDEX(Loads!$K$5:$K$115,$K21))/(INDEX(Loads!$G$5:$G$115,$K21+1)-INDEX(Loads!$G$5:$G$115,$K21))*($C21-INDEX(Loads!$G$5:$G$115,$K21))))</f>
        <v>10686.01</v>
      </c>
      <c r="Q21">
        <f>MATCH($C21,Loads!$M$5:$M$115,0)</f>
        <v>103</v>
      </c>
      <c r="R21">
        <f>MATCH($C21,Loads!$M$5:$M$115,1)</f>
        <v>103</v>
      </c>
      <c r="S21" s="73">
        <f>IF(ISBLANK(INDEX(Loads!$N$5:$N$115,$R21)),"-",INDEX(Loads!$N$5:$N$115,$K21)+IF(NOT(ISERROR($Q21)),0,(INDEX(Loads!$N$5:$N$115,$R21+1)-INDEX(Loads!$N$5:$N$115,$R21))/(INDEX(Loads!$M$5:$M$115,$R21+1)-INDEX(Loads!$M$5:$M$115,$R21))*($C21-INDEX(Loads!$M$5:$M$115,$R21))))</f>
        <v>-23718.880000000001</v>
      </c>
      <c r="T21" s="73">
        <f>IF(ISBLANK(INDEX(Loads!$O$5:$O$115,$R21)),"-",INDEX(Loads!$O$5:$O$115,$K21)+IF(NOT(ISERROR($Q21)),0,(INDEX(Loads!$O$5:$O$115,$R21+1)-INDEX(Loads!$O$5:$O$115,$R21))/(INDEX(Loads!$M$5:$M$115,$R21+1)-INDEX(Loads!$M$5:$M$115,$R21))*($C21-INDEX(Loads!$M$5:$M$115,$R21))))</f>
        <v>482904.1</v>
      </c>
      <c r="U21" s="73">
        <f>IF(ISBLANK(INDEX(Loads!$P$5:$P$115,$R21)),"-",INDEX(Loads!$P$5:$P$115,$K21)+IF(NOT(ISERROR($Q21)),0,(INDEX(Loads!$P$5:$P$115,$R21+1)-INDEX(Loads!$P$5:$P$115,$R21))/(INDEX(Loads!$M$5:$M$115,$R21+1)-INDEX(Loads!$M$5:$M$115,$R21))*($C21-INDEX(Loads!$M$5:$M$115,$R21))))</f>
        <v>7915.5619999999999</v>
      </c>
    </row>
    <row r="22" spans="3:21">
      <c r="C22" s="72">
        <f>Geometry!E29</f>
        <v>-10.1</v>
      </c>
      <c r="E22" s="62">
        <f>MATCH($C22,Loads!$C$5:$C$115,0)</f>
        <v>102</v>
      </c>
      <c r="F22" s="62">
        <f>MATCH($C22,Loads!$C$5:$C$115,1)</f>
        <v>102</v>
      </c>
      <c r="G22" s="73">
        <f>IF(ISBLANK(INDEX(Loads!$D$5:$D$115,$F22)),"-",INDEX(Loads!$D$5:$D$115,$F22)+IF(NOT(ISERROR($E22)),0,(INDEX(Loads!$D$5:$D$115,$F22+1)-INDEX(Loads!$D$5:$D$115,$F22))/(INDEX(Loads!$C$5:$C$115,$F22+1)-INDEX(Loads!$C$5:$C$115,$F22))*($C22-INDEX(Loads!$C$5:$C$115,$F22))))</f>
        <v>156096</v>
      </c>
      <c r="H22" s="73">
        <f>IF(ISBLANK(INDEX(Loads!$E$5:$E$115,$F22)),"-",INDEX(Loads!$E$5:$E$115,$F22)+IF(NOT(ISERROR($E22)),0,(INDEX(Loads!$E$5:$E$115,$F22+1)-INDEX(Loads!$E$5:$E$115,$F22))/(INDEX(Loads!$C$5:$C$115,$F22+1)-INDEX(Loads!$C$5:$C$115,$F22))*($C22-INDEX(Loads!$C$5:$C$115,$F22))))</f>
        <v>149796</v>
      </c>
      <c r="J22" s="62">
        <f>MATCH($C22,Loads!$G$5:$G$115,0)</f>
        <v>102</v>
      </c>
      <c r="K22" s="62">
        <f>MATCH($C22,Loads!$G$5:$G$115,1)</f>
        <v>102</v>
      </c>
      <c r="L22" s="73">
        <f>IF(ISBLANK(INDEX(Loads!$H$5:$H$115,$K22)),"-",INDEX(Loads!$H$5:$H$115,$K22)+IF(NOT(ISERROR($J22)),0,(INDEX(Loads!$H$5:$H$115,$K22+1)-INDEX(Loads!$H$5:$H$115,$K22))/(INDEX(Loads!$G$5:$G$115,$K22+1)-INDEX(Loads!$G$5:$G$115,$K22))*($C22-INDEX(Loads!$G$5:$G$115,$K22))))</f>
        <v>-33077.980000000003</v>
      </c>
      <c r="M22" s="73">
        <f>IF(ISBLANK(INDEX(Loads!$I$5:$I$115,$K22)),"-",INDEX(Loads!$I$5:$I$115,$K22)+IF(NOT(ISERROR($J22)),0,(INDEX(Loads!$I$5:$I$115,$K22+1)-INDEX(Loads!$I$5:$I$115,$K22))/(INDEX(Loads!$G$5:$G$115,$K22+1)-INDEX(Loads!$G$5:$G$115,$K22))*($C22-INDEX(Loads!$G$5:$G$115,$K22))))</f>
        <v>-46378.85</v>
      </c>
      <c r="N22" s="73">
        <f>IF(ISBLANK(INDEX(Loads!$J$5:$J$115,$K22)),"-",INDEX(Loads!$J$5:$J$115,$K22)+IF(NOT(ISERROR($J22)),0,(INDEX(Loads!$J$5:$J$115,$K22+1)-INDEX(Loads!$J$5:$J$115,$K22))/(INDEX(Loads!$G$5:$G$115,$K22+1)-INDEX(Loads!$G$5:$G$115,$K22))*($C22-INDEX(Loads!$G$5:$G$115,$K22))))</f>
        <v>669003.9</v>
      </c>
      <c r="O22" s="73">
        <f>IF(ISBLANK(INDEX(Loads!$K$5:$K$115,$K22)),"-",INDEX(Loads!$K$5:$K$115,$K22)+IF(NOT(ISERROR($J22)),0,(INDEX(Loads!$K$5:$K$115,$K22+1)-INDEX(Loads!$K$5:$K$115,$K22))/(INDEX(Loads!$G$5:$G$115,$K22+1)-INDEX(Loads!$G$5:$G$115,$K22))*($C22-INDEX(Loads!$G$5:$G$115,$K22))))</f>
        <v>10938.87</v>
      </c>
      <c r="Q22">
        <f>MATCH($C22,Loads!$M$5:$M$115,0)</f>
        <v>102</v>
      </c>
      <c r="R22">
        <f>MATCH($C22,Loads!$M$5:$M$115,1)</f>
        <v>102</v>
      </c>
      <c r="S22" s="73">
        <f>IF(ISBLANK(INDEX(Loads!$N$5:$N$115,$R22)),"-",INDEX(Loads!$N$5:$N$115,$K22)+IF(NOT(ISERROR($Q22)),0,(INDEX(Loads!$N$5:$N$115,$R22+1)-INDEX(Loads!$N$5:$N$115,$R22))/(INDEX(Loads!$M$5:$M$115,$R22+1)-INDEX(Loads!$M$5:$M$115,$R22))*($C22-INDEX(Loads!$M$5:$M$115,$R22))))</f>
        <v>-24502.21</v>
      </c>
      <c r="T22" s="73">
        <f>IF(ISBLANK(INDEX(Loads!$O$5:$O$115,$R22)),"-",INDEX(Loads!$O$5:$O$115,$K22)+IF(NOT(ISERROR($Q22)),0,(INDEX(Loads!$O$5:$O$115,$R22+1)-INDEX(Loads!$O$5:$O$115,$R22))/(INDEX(Loads!$M$5:$M$115,$R22+1)-INDEX(Loads!$M$5:$M$115,$R22))*($C22-INDEX(Loads!$M$5:$M$115,$R22))))</f>
        <v>503798.2</v>
      </c>
      <c r="U22" s="73">
        <f>IF(ISBLANK(INDEX(Loads!$P$5:$P$115,$R22)),"-",INDEX(Loads!$P$5:$P$115,$K22)+IF(NOT(ISERROR($Q22)),0,(INDEX(Loads!$P$5:$P$115,$R22+1)-INDEX(Loads!$P$5:$P$115,$R22))/(INDEX(Loads!$M$5:$M$115,$R22+1)-INDEX(Loads!$M$5:$M$115,$R22))*($C22-INDEX(Loads!$M$5:$M$115,$R22))))</f>
        <v>8102.87</v>
      </c>
    </row>
    <row r="23" spans="3:21">
      <c r="C23" s="72">
        <f>Geometry!E30</f>
        <v>-14</v>
      </c>
      <c r="E23" s="62">
        <f>MATCH($C23,Loads!$C$5:$C$115,0)</f>
        <v>101</v>
      </c>
      <c r="F23" s="62">
        <f>MATCH($C23,Loads!$C$5:$C$115,1)</f>
        <v>101</v>
      </c>
      <c r="G23" s="73">
        <f>IF(ISBLANK(INDEX(Loads!$D$5:$D$115,$F23)),"-",INDEX(Loads!$D$5:$D$115,$F23)+IF(NOT(ISERROR($E23)),0,(INDEX(Loads!$D$5:$D$115,$F23+1)-INDEX(Loads!$D$5:$D$115,$F23))/(INDEX(Loads!$C$5:$C$115,$F23+1)-INDEX(Loads!$C$5:$C$115,$F23))*($C23-INDEX(Loads!$C$5:$C$115,$F23))))</f>
        <v>160281.00000000003</v>
      </c>
      <c r="H23" s="73">
        <f>IF(ISBLANK(INDEX(Loads!$E$5:$E$115,$F23)),"-",INDEX(Loads!$E$5:$E$115,$F23)+IF(NOT(ISERROR($E23)),0,(INDEX(Loads!$E$5:$E$115,$F23+1)-INDEX(Loads!$E$5:$E$115,$F23))/(INDEX(Loads!$C$5:$C$115,$F23+1)-INDEX(Loads!$C$5:$C$115,$F23))*($C23-INDEX(Loads!$C$5:$C$115,$F23))))</f>
        <v>153909</v>
      </c>
      <c r="J23" s="62">
        <f>MATCH($C23,Loads!$G$5:$G$115,0)</f>
        <v>101</v>
      </c>
      <c r="K23" s="62">
        <f>MATCH($C23,Loads!$G$5:$G$115,1)</f>
        <v>101</v>
      </c>
      <c r="L23" s="73">
        <f>IF(ISBLANK(INDEX(Loads!$H$5:$H$115,$K23)),"-",INDEX(Loads!$H$5:$H$115,$K23)+IF(NOT(ISERROR($J23)),0,(INDEX(Loads!$H$5:$H$115,$K23+1)-INDEX(Loads!$H$5:$H$115,$K23))/(INDEX(Loads!$G$5:$G$115,$K23+1)-INDEX(Loads!$G$5:$G$115,$K23))*($C23-INDEX(Loads!$G$5:$G$115,$K23))))</f>
        <v>-34256.61</v>
      </c>
      <c r="M23" s="73">
        <f>IF(ISBLANK(INDEX(Loads!$I$5:$I$115,$K23)),"-",INDEX(Loads!$I$5:$I$115,$K23)+IF(NOT(ISERROR($J23)),0,(INDEX(Loads!$I$5:$I$115,$K23+1)-INDEX(Loads!$I$5:$I$115,$K23))/(INDEX(Loads!$G$5:$G$115,$K23+1)-INDEX(Loads!$G$5:$G$115,$K23))*($C23-INDEX(Loads!$G$5:$G$115,$K23))))</f>
        <v>-46385.24</v>
      </c>
      <c r="N23" s="73">
        <f>IF(ISBLANK(INDEX(Loads!$J$5:$J$115,$K23)),"-",INDEX(Loads!$J$5:$J$115,$K23)+IF(NOT(ISERROR($J23)),0,(INDEX(Loads!$J$5:$J$115,$K23+1)-INDEX(Loads!$J$5:$J$115,$K23))/(INDEX(Loads!$G$5:$G$115,$K23+1)-INDEX(Loads!$G$5:$G$115,$K23))*($C23-INDEX(Loads!$G$5:$G$115,$K23))))</f>
        <v>698834.8</v>
      </c>
      <c r="O23" s="73">
        <f>IF(ISBLANK(INDEX(Loads!$K$5:$K$115,$K23)),"-",INDEX(Loads!$K$5:$K$115,$K23)+IF(NOT(ISERROR($J23)),0,(INDEX(Loads!$K$5:$K$115,$K23+1)-INDEX(Loads!$K$5:$K$115,$K23))/(INDEX(Loads!$G$5:$G$115,$K23+1)-INDEX(Loads!$G$5:$G$115,$K23))*($C23-INDEX(Loads!$G$5:$G$115,$K23))))</f>
        <v>11672.46</v>
      </c>
      <c r="Q23">
        <f>MATCH($C23,Loads!$M$5:$M$115,0)</f>
        <v>101</v>
      </c>
      <c r="R23">
        <f>MATCH($C23,Loads!$M$5:$M$115,1)</f>
        <v>101</v>
      </c>
      <c r="S23" s="73">
        <f>IF(ISBLANK(INDEX(Loads!$N$5:$N$115,$R23)),"-",INDEX(Loads!$N$5:$N$115,$K23)+IF(NOT(ISERROR($Q23)),0,(INDEX(Loads!$N$5:$N$115,$R23+1)-INDEX(Loads!$N$5:$N$115,$R23))/(INDEX(Loads!$M$5:$M$115,$R23+1)-INDEX(Loads!$M$5:$M$115,$R23))*($C23-INDEX(Loads!$M$5:$M$115,$R23))))</f>
        <v>-25375.27</v>
      </c>
      <c r="T23" s="73">
        <f>IF(ISBLANK(INDEX(Loads!$O$5:$O$115,$R23)),"-",INDEX(Loads!$O$5:$O$115,$K23)+IF(NOT(ISERROR($Q23)),0,(INDEX(Loads!$O$5:$O$115,$R23+1)-INDEX(Loads!$O$5:$O$115,$R23))/(INDEX(Loads!$M$5:$M$115,$R23+1)-INDEX(Loads!$M$5:$M$115,$R23))*($C23-INDEX(Loads!$M$5:$M$115,$R23))))</f>
        <v>526356.30000000005</v>
      </c>
      <c r="U23" s="73">
        <f>IF(ISBLANK(INDEX(Loads!$P$5:$P$115,$R23)),"-",INDEX(Loads!$P$5:$P$115,$K23)+IF(NOT(ISERROR($Q23)),0,(INDEX(Loads!$P$5:$P$115,$R23+1)-INDEX(Loads!$P$5:$P$115,$R23))/(INDEX(Loads!$M$5:$M$115,$R23+1)-INDEX(Loads!$M$5:$M$115,$R23))*($C23-INDEX(Loads!$M$5:$M$115,$R23))))</f>
        <v>8646.268</v>
      </c>
    </row>
    <row r="24" spans="3:21">
      <c r="C24" s="72">
        <f>Geometry!E31</f>
        <v>-17.899999999999999</v>
      </c>
      <c r="E24" s="62">
        <f>MATCH($C24,Loads!$C$5:$C$115,0)</f>
        <v>100</v>
      </c>
      <c r="F24" s="62">
        <f>MATCH($C24,Loads!$C$5:$C$115,1)</f>
        <v>100</v>
      </c>
      <c r="G24" s="73">
        <f>IF(ISBLANK(INDEX(Loads!$D$5:$D$115,$F24)),"-",INDEX(Loads!$D$5:$D$115,$F24)+IF(NOT(ISERROR($E24)),0,(INDEX(Loads!$D$5:$D$115,$F24+1)-INDEX(Loads!$D$5:$D$115,$F24))/(INDEX(Loads!$C$5:$C$115,$F24+1)-INDEX(Loads!$C$5:$C$115,$F24))*($C24-INDEX(Loads!$C$5:$C$115,$F24))))</f>
        <v>165474.00000000003</v>
      </c>
      <c r="H24" s="73">
        <f>IF(ISBLANK(INDEX(Loads!$E$5:$E$115,$F24)),"-",INDEX(Loads!$E$5:$E$115,$F24)+IF(NOT(ISERROR($E24)),0,(INDEX(Loads!$E$5:$E$115,$F24+1)-INDEX(Loads!$E$5:$E$115,$F24))/(INDEX(Loads!$C$5:$C$115,$F24+1)-INDEX(Loads!$C$5:$C$115,$F24))*($C24-INDEX(Loads!$C$5:$C$115,$F24))))</f>
        <v>158895.00000000003</v>
      </c>
      <c r="J24" s="62">
        <f>MATCH($C24,Loads!$G$5:$G$115,0)</f>
        <v>100</v>
      </c>
      <c r="K24" s="62">
        <f>MATCH($C24,Loads!$G$5:$G$115,1)</f>
        <v>100</v>
      </c>
      <c r="L24" s="73">
        <f>IF(ISBLANK(INDEX(Loads!$H$5:$H$115,$K24)),"-",INDEX(Loads!$H$5:$H$115,$K24)+IF(NOT(ISERROR($J24)),0,(INDEX(Loads!$H$5:$H$115,$K24+1)-INDEX(Loads!$H$5:$H$115,$K24))/(INDEX(Loads!$G$5:$G$115,$K24+1)-INDEX(Loads!$G$5:$G$115,$K24))*($C24-INDEX(Loads!$G$5:$G$115,$K24))))</f>
        <v>-35492.58</v>
      </c>
      <c r="M24" s="73">
        <f>IF(ISBLANK(INDEX(Loads!$I$5:$I$115,$K24)),"-",INDEX(Loads!$I$5:$I$115,$K24)+IF(NOT(ISERROR($J24)),0,(INDEX(Loads!$I$5:$I$115,$K24+1)-INDEX(Loads!$I$5:$I$115,$K24))/(INDEX(Loads!$G$5:$G$115,$K24+1)-INDEX(Loads!$G$5:$G$115,$K24))*($C24-INDEX(Loads!$G$5:$G$115,$K24))))</f>
        <v>-46391.3</v>
      </c>
      <c r="N24" s="73">
        <f>IF(ISBLANK(INDEX(Loads!$J$5:$J$115,$K24)),"-",INDEX(Loads!$J$5:$J$115,$K24)+IF(NOT(ISERROR($J24)),0,(INDEX(Loads!$J$5:$J$115,$K24+1)-INDEX(Loads!$J$5:$J$115,$K24))/(INDEX(Loads!$G$5:$G$115,$K24+1)-INDEX(Loads!$G$5:$G$115,$K24))*($C24-INDEX(Loads!$G$5:$G$115,$K24))))</f>
        <v>731520.5</v>
      </c>
      <c r="O24" s="73">
        <f>IF(ISBLANK(INDEX(Loads!$K$5:$K$115,$K24)),"-",INDEX(Loads!$K$5:$K$115,$K24)+IF(NOT(ISERROR($J24)),0,(INDEX(Loads!$K$5:$K$115,$K24+1)-INDEX(Loads!$K$5:$K$115,$K24))/(INDEX(Loads!$G$5:$G$115,$K24+1)-INDEX(Loads!$G$5:$G$115,$K24))*($C24-INDEX(Loads!$G$5:$G$115,$K24))))</f>
        <v>12559.69</v>
      </c>
      <c r="Q24">
        <f>MATCH($C24,Loads!$M$5:$M$115,0)</f>
        <v>100</v>
      </c>
      <c r="R24">
        <f>MATCH($C24,Loads!$M$5:$M$115,1)</f>
        <v>100</v>
      </c>
      <c r="S24" s="73">
        <f>IF(ISBLANK(INDEX(Loads!$N$5:$N$115,$R24)),"-",INDEX(Loads!$N$5:$N$115,$K24)+IF(NOT(ISERROR($Q24)),0,(INDEX(Loads!$N$5:$N$115,$R24+1)-INDEX(Loads!$N$5:$N$115,$R24))/(INDEX(Loads!$M$5:$M$115,$R24+1)-INDEX(Loads!$M$5:$M$115,$R24))*($C24-INDEX(Loads!$M$5:$M$115,$R24))))</f>
        <v>-26290.799999999999</v>
      </c>
      <c r="T24" s="73">
        <f>IF(ISBLANK(INDEX(Loads!$O$5:$O$115,$R24)),"-",INDEX(Loads!$O$5:$O$115,$K24)+IF(NOT(ISERROR($Q24)),0,(INDEX(Loads!$O$5:$O$115,$R24+1)-INDEX(Loads!$O$5:$O$115,$R24))/(INDEX(Loads!$M$5:$M$115,$R24+1)-INDEX(Loads!$M$5:$M$115,$R24))*($C24-INDEX(Loads!$M$5:$M$115,$R24))))</f>
        <v>551094.19999999995</v>
      </c>
      <c r="U24" s="73">
        <f>IF(ISBLANK(INDEX(Loads!$P$5:$P$115,$R24)),"-",INDEX(Loads!$P$5:$P$115,$K24)+IF(NOT(ISERROR($Q24)),0,(INDEX(Loads!$P$5:$P$115,$R24+1)-INDEX(Loads!$P$5:$P$115,$R24))/(INDEX(Loads!$M$5:$M$115,$R24+1)-INDEX(Loads!$M$5:$M$115,$R24))*($C24-INDEX(Loads!$M$5:$M$115,$R24))))</f>
        <v>9303.4709999999995</v>
      </c>
    </row>
    <row r="25" spans="3:21">
      <c r="C25" s="72">
        <f>Geometry!E32</f>
        <v>-21.8</v>
      </c>
      <c r="E25" s="62">
        <f>MATCH($C25,Loads!$C$5:$C$115,0)</f>
        <v>99</v>
      </c>
      <c r="F25" s="62">
        <f>MATCH($C25,Loads!$C$5:$C$115,1)</f>
        <v>99</v>
      </c>
      <c r="G25" s="73">
        <f>IF(ISBLANK(INDEX(Loads!$D$5:$D$115,$F25)),"-",INDEX(Loads!$D$5:$D$115,$F25)+IF(NOT(ISERROR($E25)),0,(INDEX(Loads!$D$5:$D$115,$F25+1)-INDEX(Loads!$D$5:$D$115,$F25))/(INDEX(Loads!$C$5:$C$115,$F25+1)-INDEX(Loads!$C$5:$C$115,$F25))*($C25-INDEX(Loads!$C$5:$C$115,$F25))))</f>
        <v>171423.00000000003</v>
      </c>
      <c r="H25" s="73">
        <f>IF(ISBLANK(INDEX(Loads!$E$5:$E$115,$F25)),"-",INDEX(Loads!$E$5:$E$115,$F25)+IF(NOT(ISERROR($E25)),0,(INDEX(Loads!$E$5:$E$115,$F25+1)-INDEX(Loads!$E$5:$E$115,$F25))/(INDEX(Loads!$C$5:$C$115,$F25+1)-INDEX(Loads!$C$5:$C$115,$F25))*($C25-INDEX(Loads!$C$5:$C$115,$F25))))</f>
        <v>164592.00000000003</v>
      </c>
      <c r="J25" s="62">
        <f>MATCH($C25,Loads!$G$5:$G$115,0)</f>
        <v>99</v>
      </c>
      <c r="K25" s="62">
        <f>MATCH($C25,Loads!$G$5:$G$115,1)</f>
        <v>99</v>
      </c>
      <c r="L25" s="73">
        <f>IF(ISBLANK(INDEX(Loads!$H$5:$H$115,$K25)),"-",INDEX(Loads!$H$5:$H$115,$K25)+IF(NOT(ISERROR($J25)),0,(INDEX(Loads!$H$5:$H$115,$K25+1)-INDEX(Loads!$H$5:$H$115,$K25))/(INDEX(Loads!$G$5:$G$115,$K25+1)-INDEX(Loads!$G$5:$G$115,$K25))*($C25-INDEX(Loads!$G$5:$G$115,$K25))))</f>
        <v>-36785.86</v>
      </c>
      <c r="M25" s="73">
        <f>IF(ISBLANK(INDEX(Loads!$I$5:$I$115,$K25)),"-",INDEX(Loads!$I$5:$I$115,$K25)+IF(NOT(ISERROR($J25)),0,(INDEX(Loads!$I$5:$I$115,$K25+1)-INDEX(Loads!$I$5:$I$115,$K25))/(INDEX(Loads!$G$5:$G$115,$K25+1)-INDEX(Loads!$G$5:$G$115,$K25))*($C25-INDEX(Loads!$G$5:$G$115,$K25))))</f>
        <v>-46396.94</v>
      </c>
      <c r="N25" s="73">
        <f>IF(ISBLANK(INDEX(Loads!$J$5:$J$115,$K25)),"-",INDEX(Loads!$J$5:$J$115,$K25)+IF(NOT(ISERROR($J25)),0,(INDEX(Loads!$J$5:$J$115,$K25+1)-INDEX(Loads!$J$5:$J$115,$K25))/(INDEX(Loads!$G$5:$G$115,$K25+1)-INDEX(Loads!$G$5:$G$115,$K25))*($C25-INDEX(Loads!$G$5:$G$115,$K25))))</f>
        <v>767033.20000000007</v>
      </c>
      <c r="O25" s="73">
        <f>IF(ISBLANK(INDEX(Loads!$K$5:$K$115,$K25)),"-",INDEX(Loads!$K$5:$K$115,$K25)+IF(NOT(ISERROR($J25)),0,(INDEX(Loads!$K$5:$K$115,$K25+1)-INDEX(Loads!$K$5:$K$115,$K25))/(INDEX(Loads!$G$5:$G$115,$K25+1)-INDEX(Loads!$G$5:$G$115,$K25))*($C25-INDEX(Loads!$G$5:$G$115,$K25))))</f>
        <v>13411.9</v>
      </c>
      <c r="Q25">
        <f>MATCH($C25,Loads!$M$5:$M$115,0)</f>
        <v>99</v>
      </c>
      <c r="R25">
        <f>MATCH($C25,Loads!$M$5:$M$115,1)</f>
        <v>99</v>
      </c>
      <c r="S25" s="73">
        <f>IF(ISBLANK(INDEX(Loads!$N$5:$N$115,$R25)),"-",INDEX(Loads!$N$5:$N$115,$K25)+IF(NOT(ISERROR($Q25)),0,(INDEX(Loads!$N$5:$N$115,$R25+1)-INDEX(Loads!$N$5:$N$115,$R25))/(INDEX(Loads!$M$5:$M$115,$R25+1)-INDEX(Loads!$M$5:$M$115,$R25))*($C25-INDEX(Loads!$M$5:$M$115,$R25))))</f>
        <v>-27248.78</v>
      </c>
      <c r="T25" s="73">
        <f>IF(ISBLANK(INDEX(Loads!$O$5:$O$115,$R25)),"-",INDEX(Loads!$O$5:$O$115,$K25)+IF(NOT(ISERROR($Q25)),0,(INDEX(Loads!$O$5:$O$115,$R25+1)-INDEX(Loads!$O$5:$O$115,$R25))/(INDEX(Loads!$M$5:$M$115,$R25+1)-INDEX(Loads!$M$5:$M$115,$R25))*($C25-INDEX(Loads!$M$5:$M$115,$R25))))</f>
        <v>578003.9</v>
      </c>
      <c r="U25" s="73">
        <f>IF(ISBLANK(INDEX(Loads!$P$5:$P$115,$R25)),"-",INDEX(Loads!$P$5:$P$115,$K25)+IF(NOT(ISERROR($Q25)),0,(INDEX(Loads!$P$5:$P$115,$R25+1)-INDEX(Loads!$P$5:$P$115,$R25))/(INDEX(Loads!$M$5:$M$115,$R25+1)-INDEX(Loads!$M$5:$M$115,$R25))*($C25-INDEX(Loads!$M$5:$M$115,$R25))))</f>
        <v>9934.7369999999992</v>
      </c>
    </row>
    <row r="26" spans="3:21">
      <c r="C26" s="72">
        <f>Geometry!E33</f>
        <v>-25.7</v>
      </c>
      <c r="E26" s="62">
        <f>MATCH($C26,Loads!$C$5:$C$115,0)</f>
        <v>98</v>
      </c>
      <c r="F26" s="62">
        <f>MATCH($C26,Loads!$C$5:$C$115,1)</f>
        <v>98</v>
      </c>
      <c r="G26" s="73">
        <f>IF(ISBLANK(INDEX(Loads!$D$5:$D$115,$F26)),"-",INDEX(Loads!$D$5:$D$115,$F26)+IF(NOT(ISERROR($E26)),0,(INDEX(Loads!$D$5:$D$115,$F26+1)-INDEX(Loads!$D$5:$D$115,$F26))/(INDEX(Loads!$C$5:$C$115,$F26+1)-INDEX(Loads!$C$5:$C$115,$F26))*($C26-INDEX(Loads!$C$5:$C$115,$F26))))</f>
        <v>178281.00000000003</v>
      </c>
      <c r="H26" s="73">
        <f>IF(ISBLANK(INDEX(Loads!$E$5:$E$115,$F26)),"-",INDEX(Loads!$E$5:$E$115,$F26)+IF(NOT(ISERROR($E26)),0,(INDEX(Loads!$E$5:$E$115,$F26+1)-INDEX(Loads!$E$5:$E$115,$F26))/(INDEX(Loads!$C$5:$C$115,$F26+1)-INDEX(Loads!$C$5:$C$115,$F26))*($C26-INDEX(Loads!$C$5:$C$115,$F26))))</f>
        <v>171009.00000000003</v>
      </c>
      <c r="J26" s="62">
        <f>MATCH($C26,Loads!$G$5:$G$115,0)</f>
        <v>98</v>
      </c>
      <c r="K26" s="62">
        <f>MATCH($C26,Loads!$G$5:$G$115,1)</f>
        <v>98</v>
      </c>
      <c r="L26" s="73">
        <f>IF(ISBLANK(INDEX(Loads!$H$5:$H$115,$K26)),"-",INDEX(Loads!$H$5:$H$115,$K26)+IF(NOT(ISERROR($J26)),0,(INDEX(Loads!$H$5:$H$115,$K26+1)-INDEX(Loads!$H$5:$H$115,$K26))/(INDEX(Loads!$G$5:$G$115,$K26+1)-INDEX(Loads!$G$5:$G$115,$K26))*($C26-INDEX(Loads!$G$5:$G$115,$K26))))</f>
        <v>-38136.42</v>
      </c>
      <c r="M26" s="73">
        <f>IF(ISBLANK(INDEX(Loads!$I$5:$I$115,$K26)),"-",INDEX(Loads!$I$5:$I$115,$K26)+IF(NOT(ISERROR($J26)),0,(INDEX(Loads!$I$5:$I$115,$K26+1)-INDEX(Loads!$I$5:$I$115,$K26))/(INDEX(Loads!$G$5:$G$115,$K26+1)-INDEX(Loads!$G$5:$G$115,$K26))*($C26-INDEX(Loads!$G$5:$G$115,$K26))))</f>
        <v>-46402.080000000002</v>
      </c>
      <c r="N26" s="73">
        <f>IF(ISBLANK(INDEX(Loads!$J$5:$J$115,$K26)),"-",INDEX(Loads!$J$5:$J$115,$K26)+IF(NOT(ISERROR($J26)),0,(INDEX(Loads!$J$5:$J$115,$K26+1)-INDEX(Loads!$J$5:$J$115,$K26))/(INDEX(Loads!$G$5:$G$115,$K26+1)-INDEX(Loads!$G$5:$G$115,$K26))*($C26-INDEX(Loads!$G$5:$G$115,$K26))))</f>
        <v>805362.6</v>
      </c>
      <c r="O26" s="73">
        <f>IF(ISBLANK(INDEX(Loads!$K$5:$K$115,$K26)),"-",INDEX(Loads!$K$5:$K$115,$K26)+IF(NOT(ISERROR($J26)),0,(INDEX(Loads!$K$5:$K$115,$K26+1)-INDEX(Loads!$K$5:$K$115,$K26))/(INDEX(Loads!$G$5:$G$115,$K26+1)-INDEX(Loads!$G$5:$G$115,$K26))*($C26-INDEX(Loads!$G$5:$G$115,$K26))))</f>
        <v>14372.83</v>
      </c>
      <c r="Q26">
        <f>MATCH($C26,Loads!$M$5:$M$115,0)</f>
        <v>98</v>
      </c>
      <c r="R26">
        <f>MATCH($C26,Loads!$M$5:$M$115,1)</f>
        <v>98</v>
      </c>
      <c r="S26" s="73">
        <f>IF(ISBLANK(INDEX(Loads!$N$5:$N$115,$R26)),"-",INDEX(Loads!$N$5:$N$115,$K26)+IF(NOT(ISERROR($Q26)),0,(INDEX(Loads!$N$5:$N$115,$R26+1)-INDEX(Loads!$N$5:$N$115,$R26))/(INDEX(Loads!$M$5:$M$115,$R26+1)-INDEX(Loads!$M$5:$M$115,$R26))*($C26-INDEX(Loads!$M$5:$M$115,$R26))))</f>
        <v>-28249.200000000001</v>
      </c>
      <c r="T26" s="73">
        <f>IF(ISBLANK(INDEX(Loads!$O$5:$O$115,$R26)),"-",INDEX(Loads!$O$5:$O$115,$K26)+IF(NOT(ISERROR($Q26)),0,(INDEX(Loads!$O$5:$O$115,$R26+1)-INDEX(Loads!$O$5:$O$115,$R26))/(INDEX(Loads!$M$5:$M$115,$R26+1)-INDEX(Loads!$M$5:$M$115,$R26))*($C26-INDEX(Loads!$M$5:$M$115,$R26))))</f>
        <v>607066.1</v>
      </c>
      <c r="U26" s="73">
        <f>IF(ISBLANK(INDEX(Loads!$P$5:$P$115,$R26)),"-",INDEX(Loads!$P$5:$P$115,$K26)+IF(NOT(ISERROR($Q26)),0,(INDEX(Loads!$P$5:$P$115,$R26+1)-INDEX(Loads!$P$5:$P$115,$R26))/(INDEX(Loads!$M$5:$M$115,$R26+1)-INDEX(Loads!$M$5:$M$115,$R26))*($C26-INDEX(Loads!$M$5:$M$115,$R26))))</f>
        <v>10646.54</v>
      </c>
    </row>
    <row r="27" spans="3:21">
      <c r="C27" s="72">
        <f>Geometry!E34</f>
        <v>-29.6</v>
      </c>
      <c r="E27" s="62">
        <f>MATCH($C27,Loads!$C$5:$C$115,0)</f>
        <v>97</v>
      </c>
      <c r="F27" s="62">
        <f>MATCH($C27,Loads!$C$5:$C$115,1)</f>
        <v>97</v>
      </c>
      <c r="G27" s="73">
        <f>IF(ISBLANK(INDEX(Loads!$D$5:$D$115,$F27)),"-",INDEX(Loads!$D$5:$D$115,$F27)+IF(NOT(ISERROR($E27)),0,(INDEX(Loads!$D$5:$D$115,$F27+1)-INDEX(Loads!$D$5:$D$115,$F27))/(INDEX(Loads!$C$5:$C$115,$F27+1)-INDEX(Loads!$C$5:$C$115,$F27))*($C27-INDEX(Loads!$C$5:$C$115,$F27))))</f>
        <v>186417.00000000003</v>
      </c>
      <c r="H27" s="73">
        <f>IF(ISBLANK(INDEX(Loads!$E$5:$E$115,$F27)),"-",INDEX(Loads!$E$5:$E$115,$F27)+IF(NOT(ISERROR($E27)),0,(INDEX(Loads!$E$5:$E$115,$F27+1)-INDEX(Loads!$E$5:$E$115,$F27))/(INDEX(Loads!$C$5:$C$115,$F27+1)-INDEX(Loads!$C$5:$C$115,$F27))*($C27-INDEX(Loads!$C$5:$C$115,$F27))))</f>
        <v>178596.00000000003</v>
      </c>
      <c r="J27" s="62">
        <f>MATCH($C27,Loads!$G$5:$G$115,0)</f>
        <v>97</v>
      </c>
      <c r="K27" s="62">
        <f>MATCH($C27,Loads!$G$5:$G$115,1)</f>
        <v>97</v>
      </c>
      <c r="L27" s="73">
        <f>IF(ISBLANK(INDEX(Loads!$H$5:$H$115,$K27)),"-",INDEX(Loads!$H$5:$H$115,$K27)+IF(NOT(ISERROR($J27)),0,(INDEX(Loads!$H$5:$H$115,$K27+1)-INDEX(Loads!$H$5:$H$115,$K27))/(INDEX(Loads!$G$5:$G$115,$K27+1)-INDEX(Loads!$G$5:$G$115,$K27))*($C27-INDEX(Loads!$G$5:$G$115,$K27))))</f>
        <v>-39544.53</v>
      </c>
      <c r="M27" s="73">
        <f>IF(ISBLANK(INDEX(Loads!$I$5:$I$115,$K27)),"-",INDEX(Loads!$I$5:$I$115,$K27)+IF(NOT(ISERROR($J27)),0,(INDEX(Loads!$I$5:$I$115,$K27+1)-INDEX(Loads!$I$5:$I$115,$K27))/(INDEX(Loads!$G$5:$G$115,$K27+1)-INDEX(Loads!$G$5:$G$115,$K27))*($C27-INDEX(Loads!$G$5:$G$115,$K27))))</f>
        <v>-46406.65</v>
      </c>
      <c r="N27" s="73">
        <f>IF(ISBLANK(INDEX(Loads!$J$5:$J$115,$K27)),"-",INDEX(Loads!$J$5:$J$115,$K27)+IF(NOT(ISERROR($J27)),0,(INDEX(Loads!$J$5:$J$115,$K27+1)-INDEX(Loads!$J$5:$J$115,$K27))/(INDEX(Loads!$G$5:$G$115,$K27+1)-INDEX(Loads!$G$5:$G$115,$K27))*($C27-INDEX(Loads!$G$5:$G$115,$K27))))</f>
        <v>846105.59999999998</v>
      </c>
      <c r="O27" s="73">
        <f>IF(ISBLANK(INDEX(Loads!$K$5:$K$115,$K27)),"-",INDEX(Loads!$K$5:$K$115,$K27)+IF(NOT(ISERROR($J27)),0,(INDEX(Loads!$K$5:$K$115,$K27+1)-INDEX(Loads!$K$5:$K$115,$K27))/(INDEX(Loads!$G$5:$G$115,$K27+1)-INDEX(Loads!$G$5:$G$115,$K27))*($C27-INDEX(Loads!$G$5:$G$115,$K27))))</f>
        <v>15366.7</v>
      </c>
      <c r="Q27">
        <f>MATCH($C27,Loads!$M$5:$M$115,0)</f>
        <v>97</v>
      </c>
      <c r="R27">
        <f>MATCH($C27,Loads!$M$5:$M$115,1)</f>
        <v>97</v>
      </c>
      <c r="S27" s="73">
        <f>IF(ISBLANK(INDEX(Loads!$N$5:$N$115,$R27)),"-",INDEX(Loads!$N$5:$N$115,$K27)+IF(NOT(ISERROR($Q27)),0,(INDEX(Loads!$N$5:$N$115,$R27+1)-INDEX(Loads!$N$5:$N$115,$R27))/(INDEX(Loads!$M$5:$M$115,$R27+1)-INDEX(Loads!$M$5:$M$115,$R27))*($C27-INDEX(Loads!$M$5:$M$115,$R27))))</f>
        <v>-29292.240000000002</v>
      </c>
      <c r="T27" s="73">
        <f>IF(ISBLANK(INDEX(Loads!$O$5:$O$115,$R27)),"-",INDEX(Loads!$O$5:$O$115,$K27)+IF(NOT(ISERROR($Q27)),0,(INDEX(Loads!$O$5:$O$115,$R27+1)-INDEX(Loads!$O$5:$O$115,$R27))/(INDEX(Loads!$M$5:$M$115,$R27+1)-INDEX(Loads!$M$5:$M$115,$R27))*($C27-INDEX(Loads!$M$5:$M$115,$R27))))</f>
        <v>637996</v>
      </c>
      <c r="U27" s="73">
        <f>IF(ISBLANK(INDEX(Loads!$P$5:$P$115,$R27)),"-",INDEX(Loads!$P$5:$P$115,$K27)+IF(NOT(ISERROR($Q27)),0,(INDEX(Loads!$P$5:$P$115,$R27+1)-INDEX(Loads!$P$5:$P$115,$R27))/(INDEX(Loads!$M$5:$M$115,$R27+1)-INDEX(Loads!$M$5:$M$115,$R27))*($C27-INDEX(Loads!$M$5:$M$115,$R27))))</f>
        <v>11382.74</v>
      </c>
    </row>
    <row r="28" spans="3:21">
      <c r="C28" s="72">
        <f>Geometry!E35</f>
        <v>-33.5</v>
      </c>
      <c r="E28" s="62">
        <f>MATCH($C28,Loads!$C$5:$C$115,0)</f>
        <v>96</v>
      </c>
      <c r="F28" s="62">
        <f>MATCH($C28,Loads!$C$5:$C$115,1)</f>
        <v>96</v>
      </c>
      <c r="G28" s="73">
        <f>IF(ISBLANK(INDEX(Loads!$D$5:$D$115,$F28)),"-",INDEX(Loads!$D$5:$D$115,$F28)+IF(NOT(ISERROR($E28)),0,(INDEX(Loads!$D$5:$D$115,$F28+1)-INDEX(Loads!$D$5:$D$115,$F28))/(INDEX(Loads!$C$5:$C$115,$F28+1)-INDEX(Loads!$C$5:$C$115,$F28))*($C28-INDEX(Loads!$C$5:$C$115,$F28))))</f>
        <v>195858.00000000003</v>
      </c>
      <c r="H28" s="73">
        <f>IF(ISBLANK(INDEX(Loads!$E$5:$E$115,$F28)),"-",INDEX(Loads!$E$5:$E$115,$F28)+IF(NOT(ISERROR($E28)),0,(INDEX(Loads!$E$5:$E$115,$F28+1)-INDEX(Loads!$E$5:$E$115,$F28))/(INDEX(Loads!$C$5:$C$115,$F28+1)-INDEX(Loads!$C$5:$C$115,$F28))*($C28-INDEX(Loads!$C$5:$C$115,$F28))))</f>
        <v>187380.00000000003</v>
      </c>
      <c r="J28" s="62">
        <f>MATCH($C28,Loads!$G$5:$G$115,0)</f>
        <v>96</v>
      </c>
      <c r="K28" s="62">
        <f>MATCH($C28,Loads!$G$5:$G$115,1)</f>
        <v>96</v>
      </c>
      <c r="L28" s="73">
        <f>IF(ISBLANK(INDEX(Loads!$H$5:$H$115,$K28)),"-",INDEX(Loads!$H$5:$H$115,$K28)+IF(NOT(ISERROR($J28)),0,(INDEX(Loads!$H$5:$H$115,$K28+1)-INDEX(Loads!$H$5:$H$115,$K28))/(INDEX(Loads!$G$5:$G$115,$K28+1)-INDEX(Loads!$G$5:$G$115,$K28))*($C28-INDEX(Loads!$G$5:$G$115,$K28))))</f>
        <v>-41010.39</v>
      </c>
      <c r="M28" s="73">
        <f>IF(ISBLANK(INDEX(Loads!$I$5:$I$115,$K28)),"-",INDEX(Loads!$I$5:$I$115,$K28)+IF(NOT(ISERROR($J28)),0,(INDEX(Loads!$I$5:$I$115,$K28+1)-INDEX(Loads!$I$5:$I$115,$K28))/(INDEX(Loads!$G$5:$G$115,$K28+1)-INDEX(Loads!$G$5:$G$115,$K28))*($C28-INDEX(Loads!$G$5:$G$115,$K28))))</f>
        <v>-46410.559999999998</v>
      </c>
      <c r="N28" s="73">
        <f>IF(ISBLANK(INDEX(Loads!$J$5:$J$115,$K28)),"-",INDEX(Loads!$J$5:$J$115,$K28)+IF(NOT(ISERROR($J28)),0,(INDEX(Loads!$J$5:$J$115,$K28+1)-INDEX(Loads!$J$5:$J$115,$K28))/(INDEX(Loads!$G$5:$G$115,$K28+1)-INDEX(Loads!$G$5:$G$115,$K28))*($C28-INDEX(Loads!$G$5:$G$115,$K28))))</f>
        <v>889951.5</v>
      </c>
      <c r="O28" s="73">
        <f>IF(ISBLANK(INDEX(Loads!$K$5:$K$115,$K28)),"-",INDEX(Loads!$K$5:$K$115,$K28)+IF(NOT(ISERROR($J28)),0,(INDEX(Loads!$K$5:$K$115,$K28+1)-INDEX(Loads!$K$5:$K$115,$K28))/(INDEX(Loads!$G$5:$G$115,$K28+1)-INDEX(Loads!$G$5:$G$115,$K28))*($C28-INDEX(Loads!$G$5:$G$115,$K28))))</f>
        <v>16372.09</v>
      </c>
      <c r="Q28">
        <f>MATCH($C28,Loads!$M$5:$M$115,0)</f>
        <v>96</v>
      </c>
      <c r="R28">
        <f>MATCH($C28,Loads!$M$5:$M$115,1)</f>
        <v>96</v>
      </c>
      <c r="S28" s="73">
        <f>IF(ISBLANK(INDEX(Loads!$N$5:$N$115,$R28)),"-",INDEX(Loads!$N$5:$N$115,$K28)+IF(NOT(ISERROR($Q28)),0,(INDEX(Loads!$N$5:$N$115,$R28+1)-INDEX(Loads!$N$5:$N$115,$R28))/(INDEX(Loads!$M$5:$M$115,$R28+1)-INDEX(Loads!$M$5:$M$115,$R28))*($C28-INDEX(Loads!$M$5:$M$115,$R28))))</f>
        <v>-30378.06</v>
      </c>
      <c r="T28" s="73">
        <f>IF(ISBLANK(INDEX(Loads!$O$5:$O$115,$R28)),"-",INDEX(Loads!$O$5:$O$115,$K28)+IF(NOT(ISERROR($Q28)),0,(INDEX(Loads!$O$5:$O$115,$R28+1)-INDEX(Loads!$O$5:$O$115,$R28))/(INDEX(Loads!$M$5:$M$115,$R28+1)-INDEX(Loads!$M$5:$M$115,$R28))*($C28-INDEX(Loads!$M$5:$M$115,$R28))))</f>
        <v>671308.7</v>
      </c>
      <c r="U28" s="73">
        <f>IF(ISBLANK(INDEX(Loads!$P$5:$P$115,$R28)),"-",INDEX(Loads!$P$5:$P$115,$K28)+IF(NOT(ISERROR($Q28)),0,(INDEX(Loads!$P$5:$P$115,$R28+1)-INDEX(Loads!$P$5:$P$115,$R28))/(INDEX(Loads!$M$5:$M$115,$R28+1)-INDEX(Loads!$M$5:$M$115,$R28))*($C28-INDEX(Loads!$M$5:$M$115,$R28))))</f>
        <v>12127.48</v>
      </c>
    </row>
    <row r="29" spans="3:21">
      <c r="C29" s="72">
        <f>Geometry!E36</f>
        <v>-36.799999999999997</v>
      </c>
      <c r="E29" s="62" t="e">
        <f>MATCH($C29,Loads!$C$5:$C$115,0)</f>
        <v>#N/A</v>
      </c>
      <c r="F29" s="62">
        <f>MATCH($C29,Loads!$C$5:$C$115,1)</f>
        <v>95</v>
      </c>
      <c r="G29" s="73">
        <f>IF(ISBLANK(INDEX(Loads!$D$5:$D$115,$F29)),"-",INDEX(Loads!$D$5:$D$115,$F29)+IF(NOT(ISERROR($E29)),0,(INDEX(Loads!$D$5:$D$115,$F29+1)-INDEX(Loads!$D$5:$D$115,$F29))/(INDEX(Loads!$C$5:$C$115,$F29+1)-INDEX(Loads!$C$5:$C$115,$F29))*($C29-INDEX(Loads!$C$5:$C$115,$F29))))</f>
        <v>204844.15384615387</v>
      </c>
      <c r="H29" s="73">
        <f>IF(ISBLANK(INDEX(Loads!$E$5:$E$115,$F29)),"-",INDEX(Loads!$E$5:$E$115,$F29)+IF(NOT(ISERROR($E29)),0,(INDEX(Loads!$E$5:$E$115,$F29+1)-INDEX(Loads!$E$5:$E$115,$F29))/(INDEX(Loads!$C$5:$C$115,$F29+1)-INDEX(Loads!$C$5:$C$115,$F29))*($C29-INDEX(Loads!$C$5:$C$115,$F29))))</f>
        <v>195734.07692307694</v>
      </c>
      <c r="J29" s="62" t="e">
        <f>MATCH($C29,Loads!$G$5:$G$115,0)</f>
        <v>#N/A</v>
      </c>
      <c r="K29" s="62">
        <f>MATCH($C29,Loads!$G$5:$G$115,1)</f>
        <v>95</v>
      </c>
      <c r="L29" s="73">
        <f>IF(ISBLANK(INDEX(Loads!$H$5:$H$115,$K29)),"-",INDEX(Loads!$H$5:$H$115,$K29)+IF(NOT(ISERROR($J29)),0,(INDEX(Loads!$H$5:$H$115,$K29+1)-INDEX(Loads!$H$5:$H$115,$K29))/(INDEX(Loads!$G$5:$G$115,$K29+1)-INDEX(Loads!$G$5:$G$115,$K29))*($C29-INDEX(Loads!$G$5:$G$115,$K29))))</f>
        <v>-42196.418461538458</v>
      </c>
      <c r="M29" s="73">
        <f>IF(ISBLANK(INDEX(Loads!$I$5:$I$115,$K29)),"-",INDEX(Loads!$I$5:$I$115,$K29)+IF(NOT(ISERROR($J29)),0,(INDEX(Loads!$I$5:$I$115,$K29+1)-INDEX(Loads!$I$5:$I$115,$K29))/(INDEX(Loads!$G$5:$G$115,$K29+1)-INDEX(Loads!$G$5:$G$115,$K29))*($C29-INDEX(Loads!$G$5:$G$115,$K29))))</f>
        <v>-46413.081538461542</v>
      </c>
      <c r="N29" s="73">
        <f>IF(ISBLANK(INDEX(Loads!$J$5:$J$115,$K29)),"-",INDEX(Loads!$J$5:$J$115,$K29)+IF(NOT(ISERROR($J29)),0,(INDEX(Loads!$J$5:$J$115,$K29+1)-INDEX(Loads!$J$5:$J$115,$K29))/(INDEX(Loads!$G$5:$G$115,$K29+1)-INDEX(Loads!$G$5:$G$115,$K29))*($C29-INDEX(Loads!$G$5:$G$115,$K29))))</f>
        <v>934803.4923076923</v>
      </c>
      <c r="O29" s="73">
        <f>IF(ISBLANK(INDEX(Loads!$K$5:$K$115,$K29)),"-",INDEX(Loads!$K$5:$K$115,$K29)+IF(NOT(ISERROR($J29)),0,(INDEX(Loads!$K$5:$K$115,$K29+1)-INDEX(Loads!$K$5:$K$115,$K29))/(INDEX(Loads!$G$5:$G$115,$K29+1)-INDEX(Loads!$G$5:$G$115,$K29))*($C29-INDEX(Loads!$G$5:$G$115,$K29))))</f>
        <v>17229.514615384614</v>
      </c>
      <c r="Q29" t="e">
        <f>MATCH($C29,Loads!$M$5:$M$115,0)</f>
        <v>#N/A</v>
      </c>
      <c r="R29">
        <f>MATCH($C29,Loads!$M$5:$M$115,1)</f>
        <v>95</v>
      </c>
      <c r="S29" s="73">
        <f>IF(ISBLANK(INDEX(Loads!$N$5:$N$115,$R29)),"-",INDEX(Loads!$N$5:$N$115,$K29)+IF(NOT(ISERROR($Q29)),0,(INDEX(Loads!$N$5:$N$115,$R29+1)-INDEX(Loads!$N$5:$N$115,$R29))/(INDEX(Loads!$M$5:$M$115,$R29+1)-INDEX(Loads!$M$5:$M$115,$R29))*($C29-INDEX(Loads!$M$5:$M$115,$R29))))</f>
        <v>-31256.604615384615</v>
      </c>
      <c r="T29" s="73">
        <f>IF(ISBLANK(INDEX(Loads!$O$5:$O$115,$R29)),"-",INDEX(Loads!$O$5:$O$115,$K29)+IF(NOT(ISERROR($Q29)),0,(INDEX(Loads!$O$5:$O$115,$R29+1)-INDEX(Loads!$O$5:$O$115,$R29))/(INDEX(Loads!$M$5:$M$115,$R29+1)-INDEX(Loads!$M$5:$M$115,$R29))*($C29-INDEX(Loads!$M$5:$M$115,$R29))))</f>
        <v>705311.56153846148</v>
      </c>
      <c r="U29" s="73">
        <f>IF(ISBLANK(INDEX(Loads!$P$5:$P$115,$R29)),"-",INDEX(Loads!$P$5:$P$115,$K29)+IF(NOT(ISERROR($Q29)),0,(INDEX(Loads!$P$5:$P$115,$R29+1)-INDEX(Loads!$P$5:$P$115,$R29))/(INDEX(Loads!$M$5:$M$115,$R29+1)-INDEX(Loads!$M$5:$M$115,$R29))*($C29-INDEX(Loads!$M$5:$M$115,$R29))))</f>
        <v>12762.603076923077</v>
      </c>
    </row>
    <row r="30" spans="3:21">
      <c r="C30" s="72">
        <f>Geometry!E37</f>
        <v>-40.200000000000003</v>
      </c>
      <c r="E30" s="62" t="e">
        <f>MATCH($C30,Loads!$C$5:$C$115,0)</f>
        <v>#N/A</v>
      </c>
      <c r="F30" s="62">
        <f>MATCH($C30,Loads!$C$5:$C$115,1)</f>
        <v>94</v>
      </c>
      <c r="G30" s="73">
        <f>IF(ISBLANK(INDEX(Loads!$D$5:$D$115,$F30)),"-",INDEX(Loads!$D$5:$D$115,$F30)+IF(NOT(ISERROR($E30)),0,(INDEX(Loads!$D$5:$D$115,$F30+1)-INDEX(Loads!$D$5:$D$115,$F30))/(INDEX(Loads!$C$5:$C$115,$F30+1)-INDEX(Loads!$C$5:$C$115,$F30))*($C30-INDEX(Loads!$C$5:$C$115,$F30))))</f>
        <v>215214.00000000006</v>
      </c>
      <c r="H30" s="73">
        <f>IF(ISBLANK(INDEX(Loads!$E$5:$E$115,$F30)),"-",INDEX(Loads!$E$5:$E$115,$F30)+IF(NOT(ISERROR($E30)),0,(INDEX(Loads!$E$5:$E$115,$F30+1)-INDEX(Loads!$E$5:$E$115,$F30))/(INDEX(Loads!$C$5:$C$115,$F30+1)-INDEX(Loads!$C$5:$C$115,$F30))*($C30-INDEX(Loads!$C$5:$C$115,$F30))))</f>
        <v>205123.1538461539</v>
      </c>
      <c r="J30" s="62" t="e">
        <f>MATCH($C30,Loads!$G$5:$G$115,0)</f>
        <v>#N/A</v>
      </c>
      <c r="K30" s="62">
        <f>MATCH($C30,Loads!$G$5:$G$115,1)</f>
        <v>94</v>
      </c>
      <c r="L30" s="73">
        <f>IF(ISBLANK(INDEX(Loads!$H$5:$H$115,$K30)),"-",INDEX(Loads!$H$5:$H$115,$K30)+IF(NOT(ISERROR($J30)),0,(INDEX(Loads!$H$5:$H$115,$K30+1)-INDEX(Loads!$H$5:$H$115,$K30))/(INDEX(Loads!$G$5:$G$115,$K30+1)-INDEX(Loads!$G$5:$G$115,$K30))*($C30-INDEX(Loads!$G$5:$G$115,$K30))))</f>
        <v>-42697.566666666666</v>
      </c>
      <c r="M30" s="73">
        <f>IF(ISBLANK(INDEX(Loads!$I$5:$I$115,$K30)),"-",INDEX(Loads!$I$5:$I$115,$K30)+IF(NOT(ISERROR($J30)),0,(INDEX(Loads!$I$5:$I$115,$K30+1)-INDEX(Loads!$I$5:$I$115,$K30))/(INDEX(Loads!$G$5:$G$115,$K30+1)-INDEX(Loads!$G$5:$G$115,$K30))*($C30-INDEX(Loads!$G$5:$G$115,$K30))))</f>
        <v>-46414.76051282051</v>
      </c>
      <c r="N30" s="73">
        <f>IF(ISBLANK(INDEX(Loads!$J$5:$J$115,$K30)),"-",INDEX(Loads!$J$5:$J$115,$K30)+IF(NOT(ISERROR($J30)),0,(INDEX(Loads!$J$5:$J$115,$K30+1)-INDEX(Loads!$J$5:$J$115,$K30))/(INDEX(Loads!$G$5:$G$115,$K30+1)-INDEX(Loads!$G$5:$G$115,$K30))*($C30-INDEX(Loads!$G$5:$G$115,$K30))))</f>
        <v>985951.61025641044</v>
      </c>
      <c r="O30" s="73">
        <f>IF(ISBLANK(INDEX(Loads!$K$5:$K$115,$K30)),"-",INDEX(Loads!$K$5:$K$115,$K30)+IF(NOT(ISERROR($J30)),0,(INDEX(Loads!$K$5:$K$115,$K30+1)-INDEX(Loads!$K$5:$K$115,$K30))/(INDEX(Loads!$G$5:$G$115,$K30+1)-INDEX(Loads!$G$5:$G$115,$K30))*($C30-INDEX(Loads!$G$5:$G$115,$K30))))</f>
        <v>18075.91153846154</v>
      </c>
      <c r="Q30" t="e">
        <f>MATCH($C30,Loads!$M$5:$M$115,0)</f>
        <v>#N/A</v>
      </c>
      <c r="R30">
        <f>MATCH($C30,Loads!$M$5:$M$115,1)</f>
        <v>94</v>
      </c>
      <c r="S30" s="73">
        <f>IF(ISBLANK(INDEX(Loads!$N$5:$N$115,$R30)),"-",INDEX(Loads!$N$5:$N$115,$K30)+IF(NOT(ISERROR($Q30)),0,(INDEX(Loads!$N$5:$N$115,$R30+1)-INDEX(Loads!$N$5:$N$115,$R30))/(INDEX(Loads!$M$5:$M$115,$R30+1)-INDEX(Loads!$M$5:$M$115,$R30))*($C30-INDEX(Loads!$M$5:$M$115,$R30))))</f>
        <v>-31627.826153846156</v>
      </c>
      <c r="T30" s="73">
        <f>IF(ISBLANK(INDEX(Loads!$O$5:$O$115,$R30)),"-",INDEX(Loads!$O$5:$O$115,$K30)+IF(NOT(ISERROR($Q30)),0,(INDEX(Loads!$O$5:$O$115,$R30+1)-INDEX(Loads!$O$5:$O$115,$R30))/(INDEX(Loads!$M$5:$M$115,$R30+1)-INDEX(Loads!$M$5:$M$115,$R30))*($C30-INDEX(Loads!$M$5:$M$115,$R30))))</f>
        <v>744066.44358974369</v>
      </c>
      <c r="U30" s="73">
        <f>IF(ISBLANK(INDEX(Loads!$P$5:$P$115,$R30)),"-",INDEX(Loads!$P$5:$P$115,$K30)+IF(NOT(ISERROR($Q30)),0,(INDEX(Loads!$P$5:$P$115,$R30+1)-INDEX(Loads!$P$5:$P$115,$R30))/(INDEX(Loads!$M$5:$M$115,$R30+1)-INDEX(Loads!$M$5:$M$115,$R30))*($C30-INDEX(Loads!$M$5:$M$115,$R30))))</f>
        <v>13389.568205128206</v>
      </c>
    </row>
    <row r="31" spans="3:21">
      <c r="C31" s="72">
        <f>Geometry!E38</f>
        <v>-43.8</v>
      </c>
      <c r="E31" s="62" t="e">
        <f>MATCH($C31,Loads!$C$5:$C$115,0)</f>
        <v>#N/A</v>
      </c>
      <c r="F31" s="62">
        <f>MATCH($C31,Loads!$C$5:$C$115,1)</f>
        <v>92</v>
      </c>
      <c r="G31" s="73">
        <f>IF(ISBLANK(INDEX(Loads!$D$5:$D$115,$F31)),"-",INDEX(Loads!$D$5:$D$115,$F31)+IF(NOT(ISERROR($E31)),0,(INDEX(Loads!$D$5:$D$115,$F31+1)-INDEX(Loads!$D$5:$D$115,$F31))/(INDEX(Loads!$C$5:$C$115,$F31+1)-INDEX(Loads!$C$5:$C$115,$F31))*($C31-INDEX(Loads!$C$5:$C$115,$F31))))</f>
        <v>227240.39378238344</v>
      </c>
      <c r="H31" s="73">
        <f>IF(ISBLANK(INDEX(Loads!$E$5:$E$115,$F31)),"-",INDEX(Loads!$E$5:$E$115,$F31)+IF(NOT(ISERROR($E31)),0,(INDEX(Loads!$E$5:$E$115,$F31+1)-INDEX(Loads!$E$5:$E$115,$F31))/(INDEX(Loads!$C$5:$C$115,$F31+1)-INDEX(Loads!$C$5:$C$115,$F31))*($C31-INDEX(Loads!$C$5:$C$115,$F31))))</f>
        <v>216048.26424870468</v>
      </c>
      <c r="J31" s="62" t="e">
        <f>MATCH($C31,Loads!$G$5:$G$115,0)</f>
        <v>#N/A</v>
      </c>
      <c r="K31" s="62">
        <f>MATCH($C31,Loads!$G$5:$G$115,1)</f>
        <v>92</v>
      </c>
      <c r="L31" s="73">
        <f>IF(ISBLANK(INDEX(Loads!$H$5:$H$115,$K31)),"-",INDEX(Loads!$H$5:$H$115,$K31)+IF(NOT(ISERROR($J31)),0,(INDEX(Loads!$H$5:$H$115,$K31+1)-INDEX(Loads!$H$5:$H$115,$K31))/(INDEX(Loads!$G$5:$G$115,$K31+1)-INDEX(Loads!$G$5:$G$115,$K31))*($C31-INDEX(Loads!$G$5:$G$115,$K31))))</f>
        <v>-43607.330673575125</v>
      </c>
      <c r="M31" s="73">
        <f>IF(ISBLANK(INDEX(Loads!$I$5:$I$115,$K31)),"-",INDEX(Loads!$I$5:$I$115,$K31)+IF(NOT(ISERROR($J31)),0,(INDEX(Loads!$I$5:$I$115,$K31+1)-INDEX(Loads!$I$5:$I$115,$K31))/(INDEX(Loads!$G$5:$G$115,$K31+1)-INDEX(Loads!$G$5:$G$115,$K31))*($C31-INDEX(Loads!$G$5:$G$115,$K31))))</f>
        <v>-46415.744870466318</v>
      </c>
      <c r="N31" s="73">
        <f>IF(ISBLANK(INDEX(Loads!$J$5:$J$115,$K31)),"-",INDEX(Loads!$J$5:$J$115,$K31)+IF(NOT(ISERROR($J31)),0,(INDEX(Loads!$J$5:$J$115,$K31+1)-INDEX(Loads!$J$5:$J$115,$K31))/(INDEX(Loads!$G$5:$G$115,$K31+1)-INDEX(Loads!$G$5:$G$115,$K31))*($C31-INDEX(Loads!$G$5:$G$115,$K31))))</f>
        <v>1043140.2010362694</v>
      </c>
      <c r="O31" s="73">
        <f>IF(ISBLANK(INDEX(Loads!$K$5:$K$115,$K31)),"-",INDEX(Loads!$K$5:$K$115,$K31)+IF(NOT(ISERROR($J31)),0,(INDEX(Loads!$K$5:$K$115,$K31+1)-INDEX(Loads!$K$5:$K$115,$K31))/(INDEX(Loads!$G$5:$G$115,$K31+1)-INDEX(Loads!$G$5:$G$115,$K31))*($C31-INDEX(Loads!$G$5:$G$115,$K31))))</f>
        <v>18886.190880829014</v>
      </c>
      <c r="Q31" t="e">
        <f>MATCH($C31,Loads!$M$5:$M$115,0)</f>
        <v>#N/A</v>
      </c>
      <c r="R31">
        <f>MATCH($C31,Loads!$M$5:$M$115,1)</f>
        <v>92</v>
      </c>
      <c r="S31" s="73">
        <f>IF(ISBLANK(INDEX(Loads!$N$5:$N$115,$R31)),"-",INDEX(Loads!$N$5:$N$115,$K31)+IF(NOT(ISERROR($Q31)),0,(INDEX(Loads!$N$5:$N$115,$R31+1)-INDEX(Loads!$N$5:$N$115,$R31))/(INDEX(Loads!$M$5:$M$115,$R31+1)-INDEX(Loads!$M$5:$M$115,$R31))*($C31-INDEX(Loads!$M$5:$M$115,$R31))))</f>
        <v>-32301.730829015542</v>
      </c>
      <c r="T31" s="73">
        <f>IF(ISBLANK(INDEX(Loads!$O$5:$O$115,$R31)),"-",INDEX(Loads!$O$5:$O$115,$K31)+IF(NOT(ISERROR($Q31)),0,(INDEX(Loads!$O$5:$O$115,$R31+1)-INDEX(Loads!$O$5:$O$115,$R31))/(INDEX(Loads!$M$5:$M$115,$R31+1)-INDEX(Loads!$M$5:$M$115,$R31))*($C31-INDEX(Loads!$M$5:$M$115,$R31))))</f>
        <v>787437.38652849733</v>
      </c>
      <c r="U31" s="73">
        <f>IF(ISBLANK(INDEX(Loads!$P$5:$P$115,$R31)),"-",INDEX(Loads!$P$5:$P$115,$K31)+IF(NOT(ISERROR($Q31)),0,(INDEX(Loads!$P$5:$P$115,$R31+1)-INDEX(Loads!$P$5:$P$115,$R31))/(INDEX(Loads!$M$5:$M$115,$R31+1)-INDEX(Loads!$M$5:$M$115,$R31))*($C31-INDEX(Loads!$M$5:$M$115,$R31))))</f>
        <v>13989.773575129533</v>
      </c>
    </row>
    <row r="32" spans="3:21">
      <c r="C32" s="72">
        <f>Geometry!E39</f>
        <v>-47.8</v>
      </c>
      <c r="E32" s="62" t="e">
        <f>MATCH($C32,Loads!$C$5:$C$115,0)</f>
        <v>#N/A</v>
      </c>
      <c r="F32" s="62">
        <f>MATCH($C32,Loads!$C$5:$C$115,1)</f>
        <v>86</v>
      </c>
      <c r="G32" s="73" t="str">
        <f>IF(ISBLANK(INDEX(Loads!$D$5:$D$115,$F32)),"-",INDEX(Loads!$D$5:$D$115,$F32)+IF(NOT(ISERROR($E32)),0,(INDEX(Loads!$D$5:$D$115,$F32+1)-INDEX(Loads!$D$5:$D$115,$F32))/(INDEX(Loads!$C$5:$C$115,$F32+1)-INDEX(Loads!$C$5:$C$115,$F32))*($C32-INDEX(Loads!$C$5:$C$115,$F32))))</f>
        <v>-</v>
      </c>
      <c r="H32" s="73">
        <f>IF(ISBLANK(INDEX(Loads!$E$5:$E$115,$F32)),"-",INDEX(Loads!$E$5:$E$115,$F32)+IF(NOT(ISERROR($E32)),0,(INDEX(Loads!$E$5:$E$115,$F32+1)-INDEX(Loads!$E$5:$E$115,$F32))/(INDEX(Loads!$C$5:$C$115,$F32+1)-INDEX(Loads!$C$5:$C$115,$F32))*($C32-INDEX(Loads!$C$5:$C$115,$F32))))</f>
        <v>233744.84379377312</v>
      </c>
      <c r="J32" s="62" t="e">
        <f>MATCH($C32,Loads!$G$5:$G$115,0)</f>
        <v>#N/A</v>
      </c>
      <c r="K32" s="62">
        <f>MATCH($C32,Loads!$G$5:$G$115,1)</f>
        <v>86</v>
      </c>
      <c r="L32" s="73">
        <f>IF(ISBLANK(INDEX(Loads!$H$5:$H$115,$K32)),"-",INDEX(Loads!$H$5:$H$115,$K32)+IF(NOT(ISERROR($J32)),0,(INDEX(Loads!$H$5:$H$115,$K32+1)-INDEX(Loads!$H$5:$H$115,$K32))/(INDEX(Loads!$G$5:$G$115,$K32+1)-INDEX(Loads!$G$5:$G$115,$K32))*($C32-INDEX(Loads!$G$5:$G$115,$K32))))</f>
        <v>-44127.25</v>
      </c>
      <c r="M32" s="73">
        <f>IF(ISBLANK(INDEX(Loads!$I$5:$I$115,$K32)),"-",INDEX(Loads!$I$5:$I$115,$K32)+IF(NOT(ISERROR($J32)),0,(INDEX(Loads!$I$5:$I$115,$K32+1)-INDEX(Loads!$I$5:$I$115,$K32))/(INDEX(Loads!$G$5:$G$115,$K32+1)-INDEX(Loads!$G$5:$G$115,$K32))*($C32-INDEX(Loads!$G$5:$G$115,$K32))))</f>
        <v>-46415.88</v>
      </c>
      <c r="N32" s="73">
        <f>IF(ISBLANK(INDEX(Loads!$J$5:$J$115,$K32)),"-",INDEX(Loads!$J$5:$J$115,$K32)+IF(NOT(ISERROR($J32)),0,(INDEX(Loads!$J$5:$J$115,$K32+1)-INDEX(Loads!$J$5:$J$115,$K32))/(INDEX(Loads!$G$5:$G$115,$K32+1)-INDEX(Loads!$G$5:$G$115,$K32))*($C32-INDEX(Loads!$G$5:$G$115,$K32))))</f>
        <v>1115708.2990745939</v>
      </c>
      <c r="O32" s="73">
        <f>IF(ISBLANK(INDEX(Loads!$K$5:$K$115,$K32)),"-",INDEX(Loads!$K$5:$K$115,$K32)+IF(NOT(ISERROR($J32)),0,(INDEX(Loads!$K$5:$K$115,$K32+1)-INDEX(Loads!$K$5:$K$115,$K32))/(INDEX(Loads!$G$5:$G$115,$K32+1)-INDEX(Loads!$G$5:$G$115,$K32))*($C32-INDEX(Loads!$G$5:$G$115,$K32))))</f>
        <v>18195.106522389811</v>
      </c>
      <c r="Q32" t="e">
        <f>MATCH($C32,Loads!$M$5:$M$115,0)</f>
        <v>#N/A</v>
      </c>
      <c r="R32">
        <f>MATCH($C32,Loads!$M$5:$M$115,1)</f>
        <v>86</v>
      </c>
      <c r="S32" s="73">
        <f>IF(ISBLANK(INDEX(Loads!$N$5:$N$115,$R32)),"-",INDEX(Loads!$N$5:$N$115,$K32)+IF(NOT(ISERROR($Q32)),0,(INDEX(Loads!$N$5:$N$115,$R32+1)-INDEX(Loads!$N$5:$N$115,$R32))/(INDEX(Loads!$M$5:$M$115,$R32+1)-INDEX(Loads!$M$5:$M$115,$R32))*($C32-INDEX(Loads!$M$5:$M$115,$R32))))</f>
        <v>-32686.85</v>
      </c>
      <c r="T32" s="73">
        <f>IF(ISBLANK(INDEX(Loads!$O$5:$O$115,$R32)),"-",INDEX(Loads!$O$5:$O$115,$K32)+IF(NOT(ISERROR($Q32)),0,(INDEX(Loads!$O$5:$O$115,$R32+1)-INDEX(Loads!$O$5:$O$115,$R32))/(INDEX(Loads!$M$5:$M$115,$R32+1)-INDEX(Loads!$M$5:$M$115,$R32))*($C32-INDEX(Loads!$M$5:$M$115,$R32))))</f>
        <v>841640.48785434151</v>
      </c>
      <c r="U32" s="73">
        <f>IF(ISBLANK(INDEX(Loads!$P$5:$P$115,$R32)),"-",INDEX(Loads!$P$5:$P$115,$K32)+IF(NOT(ISERROR($Q32)),0,(INDEX(Loads!$P$5:$P$115,$R32+1)-INDEX(Loads!$P$5:$P$115,$R32))/(INDEX(Loads!$M$5:$M$115,$R32+1)-INDEX(Loads!$M$5:$M$115,$R32))*($C32-INDEX(Loads!$M$5:$M$115,$R32))))</f>
        <v>13255.773283576518</v>
      </c>
    </row>
    <row r="33" spans="3:21">
      <c r="C33" s="72">
        <f>Geometry!E40</f>
        <v>-51.8</v>
      </c>
      <c r="E33" s="62" t="e">
        <f>MATCH($C33,Loads!$C$5:$C$115,0)</f>
        <v>#N/A</v>
      </c>
      <c r="F33" s="62">
        <f>MATCH($C33,Loads!$C$5:$C$115,1)</f>
        <v>76</v>
      </c>
      <c r="G33" s="73" t="str">
        <f>IF(ISBLANK(INDEX(Loads!$D$5:$D$115,$F33)),"-",INDEX(Loads!$D$5:$D$115,$F33)+IF(NOT(ISERROR($E33)),0,(INDEX(Loads!$D$5:$D$115,$F33+1)-INDEX(Loads!$D$5:$D$115,$F33))/(INDEX(Loads!$C$5:$C$115,$F33+1)-INDEX(Loads!$C$5:$C$115,$F33))*($C33-INDEX(Loads!$C$5:$C$115,$F33))))</f>
        <v>-</v>
      </c>
      <c r="H33" s="73">
        <f>IF(ISBLANK(INDEX(Loads!$E$5:$E$115,$F33)),"-",INDEX(Loads!$E$5:$E$115,$F33)+IF(NOT(ISERROR($E33)),0,(INDEX(Loads!$E$5:$E$115,$F33+1)-INDEX(Loads!$E$5:$E$115,$F33))/(INDEX(Loads!$C$5:$C$115,$F33+1)-INDEX(Loads!$C$5:$C$115,$F33))*($C33-INDEX(Loads!$C$5:$C$115,$F33))))</f>
        <v>249475.70903419648</v>
      </c>
      <c r="J33" s="62" t="e">
        <f>MATCH($C33,Loads!$G$5:$G$115,0)</f>
        <v>#N/A</v>
      </c>
      <c r="K33" s="62">
        <f>MATCH($C33,Loads!$G$5:$G$115,1)</f>
        <v>76</v>
      </c>
      <c r="L33" s="73">
        <f>IF(ISBLANK(INDEX(Loads!$H$5:$H$115,$K33)),"-",INDEX(Loads!$H$5:$H$115,$K33)+IF(NOT(ISERROR($J33)),0,(INDEX(Loads!$H$5:$H$115,$K33+1)-INDEX(Loads!$H$5:$H$115,$K33))/(INDEX(Loads!$G$5:$G$115,$K33+1)-INDEX(Loads!$G$5:$G$115,$K33))*($C33-INDEX(Loads!$G$5:$G$115,$K33))))</f>
        <v>-44127.25</v>
      </c>
      <c r="M33" s="73">
        <f>IF(ISBLANK(INDEX(Loads!$I$5:$I$115,$K33)),"-",INDEX(Loads!$I$5:$I$115,$K33)+IF(NOT(ISERROR($J33)),0,(INDEX(Loads!$I$5:$I$115,$K33+1)-INDEX(Loads!$I$5:$I$115,$K33))/(INDEX(Loads!$G$5:$G$115,$K33+1)-INDEX(Loads!$G$5:$G$115,$K33))*($C33-INDEX(Loads!$G$5:$G$115,$K33))))</f>
        <v>-46415.88</v>
      </c>
      <c r="N33" s="73">
        <f>IF(ISBLANK(INDEX(Loads!$J$5:$J$115,$K33)),"-",INDEX(Loads!$J$5:$J$115,$K33)+IF(NOT(ISERROR($J33)),0,(INDEX(Loads!$J$5:$J$115,$K33+1)-INDEX(Loads!$J$5:$J$115,$K33))/(INDEX(Loads!$G$5:$G$115,$K33+1)-INDEX(Loads!$G$5:$G$115,$K33))*($C33-INDEX(Loads!$G$5:$G$115,$K33))))</f>
        <v>1183636.6503994924</v>
      </c>
      <c r="O33" s="73">
        <f>IF(ISBLANK(INDEX(Loads!$K$5:$K$115,$K33)),"-",INDEX(Loads!$K$5:$K$115,$K33)+IF(NOT(ISERROR($J33)),0,(INDEX(Loads!$K$5:$K$115,$K33+1)-INDEX(Loads!$K$5:$K$115,$K33))/(INDEX(Loads!$G$5:$G$115,$K33+1)-INDEX(Loads!$G$5:$G$115,$K33))*($C33-INDEX(Loads!$G$5:$G$115,$K33))))</f>
        <v>15401.508299989528</v>
      </c>
      <c r="Q33" t="e">
        <f>MATCH($C33,Loads!$M$5:$M$115,0)</f>
        <v>#N/A</v>
      </c>
      <c r="R33">
        <f>MATCH($C33,Loads!$M$5:$M$115,1)</f>
        <v>76</v>
      </c>
      <c r="S33" s="73">
        <f>IF(ISBLANK(INDEX(Loads!$N$5:$N$115,$R33)),"-",INDEX(Loads!$N$5:$N$115,$K33)+IF(NOT(ISERROR($Q33)),0,(INDEX(Loads!$N$5:$N$115,$R33+1)-INDEX(Loads!$N$5:$N$115,$R33))/(INDEX(Loads!$M$5:$M$115,$R33+1)-INDEX(Loads!$M$5:$M$115,$R33))*($C33-INDEX(Loads!$M$5:$M$115,$R33))))</f>
        <v>-32686.85</v>
      </c>
      <c r="T33" s="73">
        <f>IF(ISBLANK(INDEX(Loads!$O$5:$O$115,$R33)),"-",INDEX(Loads!$O$5:$O$115,$K33)+IF(NOT(ISERROR($Q33)),0,(INDEX(Loads!$O$5:$O$115,$R33+1)-INDEX(Loads!$O$5:$O$115,$R33))/(INDEX(Loads!$M$5:$M$115,$R33+1)-INDEX(Loads!$M$5:$M$115,$R33))*($C33-INDEX(Loads!$M$5:$M$115,$R33))))</f>
        <v>890263.89060675271</v>
      </c>
      <c r="U33" s="73">
        <f>IF(ISBLANK(INDEX(Loads!$P$5:$P$115,$R33)),"-",INDEX(Loads!$P$5:$P$115,$K33)+IF(NOT(ISERROR($Q33)),0,(INDEX(Loads!$P$5:$P$115,$R33+1)-INDEX(Loads!$P$5:$P$115,$R33))/(INDEX(Loads!$M$5:$M$115,$R33+1)-INDEX(Loads!$M$5:$M$115,$R33))*($C33-INDEX(Loads!$M$5:$M$115,$R33))))</f>
        <v>10734.119079980966</v>
      </c>
    </row>
    <row r="34" spans="3:21">
      <c r="C34" s="72">
        <f>Geometry!E41</f>
        <v>-55.8</v>
      </c>
      <c r="E34" s="62" t="e">
        <f>MATCH($C34,Loads!$C$5:$C$115,0)</f>
        <v>#N/A</v>
      </c>
      <c r="F34" s="62">
        <f>MATCH($C34,Loads!$C$5:$C$115,1)</f>
        <v>66</v>
      </c>
      <c r="G34" s="73" t="str">
        <f>IF(ISBLANK(INDEX(Loads!$D$5:$D$115,$F34)),"-",INDEX(Loads!$D$5:$D$115,$F34)+IF(NOT(ISERROR($E34)),0,(INDEX(Loads!$D$5:$D$115,$F34+1)-INDEX(Loads!$D$5:$D$115,$F34))/(INDEX(Loads!$C$5:$C$115,$F34+1)-INDEX(Loads!$C$5:$C$115,$F34))*($C34-INDEX(Loads!$C$5:$C$115,$F34))))</f>
        <v>-</v>
      </c>
      <c r="H34" s="73">
        <f>IF(ISBLANK(INDEX(Loads!$E$5:$E$115,$F34)),"-",INDEX(Loads!$E$5:$E$115,$F34)+IF(NOT(ISERROR($E34)),0,(INDEX(Loads!$E$5:$E$115,$F34+1)-INDEX(Loads!$E$5:$E$115,$F34))/(INDEX(Loads!$C$5:$C$115,$F34+1)-INDEX(Loads!$C$5:$C$115,$F34))*($C34-INDEX(Loads!$C$5:$C$115,$F34))))</f>
        <v>259376.55093900368</v>
      </c>
      <c r="J34" s="62" t="e">
        <f>MATCH($C34,Loads!$G$5:$G$115,0)</f>
        <v>#N/A</v>
      </c>
      <c r="K34" s="62">
        <f>MATCH($C34,Loads!$G$5:$G$115,1)</f>
        <v>66</v>
      </c>
      <c r="L34" s="73">
        <f>IF(ISBLANK(INDEX(Loads!$H$5:$H$115,$K34)),"-",INDEX(Loads!$H$5:$H$115,$K34)+IF(NOT(ISERROR($J34)),0,(INDEX(Loads!$H$5:$H$115,$K34+1)-INDEX(Loads!$H$5:$H$115,$K34))/(INDEX(Loads!$G$5:$G$115,$K34+1)-INDEX(Loads!$G$5:$G$115,$K34))*($C34-INDEX(Loads!$G$5:$G$115,$K34))))</f>
        <v>-44127.25</v>
      </c>
      <c r="M34" s="73">
        <f>IF(ISBLANK(INDEX(Loads!$I$5:$I$115,$K34)),"-",INDEX(Loads!$I$5:$I$115,$K34)+IF(NOT(ISERROR($J34)),0,(INDEX(Loads!$I$5:$I$115,$K34+1)-INDEX(Loads!$I$5:$I$115,$K34))/(INDEX(Loads!$G$5:$G$115,$K34+1)-INDEX(Loads!$G$5:$G$115,$K34))*($C34-INDEX(Loads!$G$5:$G$115,$K34))))</f>
        <v>-46415.88</v>
      </c>
      <c r="N34" s="73">
        <f>IF(ISBLANK(INDEX(Loads!$J$5:$J$115,$K34)),"-",INDEX(Loads!$J$5:$J$115,$K34)+IF(NOT(ISERROR($J34)),0,(INDEX(Loads!$J$5:$J$115,$K34+1)-INDEX(Loads!$J$5:$J$115,$K34))/(INDEX(Loads!$G$5:$G$115,$K34+1)-INDEX(Loads!$G$5:$G$115,$K34))*($C34-INDEX(Loads!$G$5:$G$115,$K34))))</f>
        <v>1239423.0726494335</v>
      </c>
      <c r="O34" s="73">
        <f>IF(ISBLANK(INDEX(Loads!$K$5:$K$115,$K34)),"-",INDEX(Loads!$K$5:$K$115,$K34)+IF(NOT(ISERROR($J34)),0,(INDEX(Loads!$K$5:$K$115,$K34+1)-INDEX(Loads!$K$5:$K$115,$K34))/(INDEX(Loads!$G$5:$G$115,$K34+1)-INDEX(Loads!$G$5:$G$115,$K34))*($C34-INDEX(Loads!$G$5:$G$115,$K34))))</f>
        <v>12122.723365605159</v>
      </c>
      <c r="Q34" t="e">
        <f>MATCH($C34,Loads!$M$5:$M$115,0)</f>
        <v>#N/A</v>
      </c>
      <c r="R34">
        <f>MATCH($C34,Loads!$M$5:$M$115,1)</f>
        <v>66</v>
      </c>
      <c r="S34" s="73">
        <f>IF(ISBLANK(INDEX(Loads!$N$5:$N$115,$R34)),"-",INDEX(Loads!$N$5:$N$115,$K34)+IF(NOT(ISERROR($Q34)),0,(INDEX(Loads!$N$5:$N$115,$R34+1)-INDEX(Loads!$N$5:$N$115,$R34))/(INDEX(Loads!$M$5:$M$115,$R34+1)-INDEX(Loads!$M$5:$M$115,$R34))*($C34-INDEX(Loads!$M$5:$M$115,$R34))))</f>
        <v>-32686.85</v>
      </c>
      <c r="T34" s="73">
        <f>IF(ISBLANK(INDEX(Loads!$O$5:$O$115,$R34)),"-",INDEX(Loads!$O$5:$O$115,$K34)+IF(NOT(ISERROR($Q34)),0,(INDEX(Loads!$O$5:$O$115,$R34+1)-INDEX(Loads!$O$5:$O$115,$R34))/(INDEX(Loads!$M$5:$M$115,$R34+1)-INDEX(Loads!$M$5:$M$115,$R34))*($C34-INDEX(Loads!$M$5:$M$115,$R34))))</f>
        <v>928062.82652553148</v>
      </c>
      <c r="U34" s="73">
        <f>IF(ISBLANK(INDEX(Loads!$P$5:$P$115,$R34)),"-",INDEX(Loads!$P$5:$P$115,$K34)+IF(NOT(ISERROR($Q34)),0,(INDEX(Loads!$P$5:$P$115,$R34+1)-INDEX(Loads!$P$5:$P$115,$R34))/(INDEX(Loads!$M$5:$M$115,$R34+1)-INDEX(Loads!$M$5:$M$115,$R34))*($C34-INDEX(Loads!$M$5:$M$115,$R34))))</f>
        <v>7859.571967777787</v>
      </c>
    </row>
    <row r="35" spans="3:21">
      <c r="C35" s="72">
        <f>Geometry!E42</f>
        <v>-59.8</v>
      </c>
      <c r="E35" s="62" t="e">
        <f>MATCH($C35,Loads!$C$5:$C$115,0)</f>
        <v>#N/A</v>
      </c>
      <c r="F35" s="62">
        <f>MATCH($C35,Loads!$C$5:$C$115,1)</f>
        <v>56</v>
      </c>
      <c r="G35" s="73" t="str">
        <f>IF(ISBLANK(INDEX(Loads!$D$5:$D$115,$F35)),"-",INDEX(Loads!$D$5:$D$115,$F35)+IF(NOT(ISERROR($E35)),0,(INDEX(Loads!$D$5:$D$115,$F35+1)-INDEX(Loads!$D$5:$D$115,$F35))/(INDEX(Loads!$C$5:$C$115,$F35+1)-INDEX(Loads!$C$5:$C$115,$F35))*($C35-INDEX(Loads!$C$5:$C$115,$F35))))</f>
        <v>-</v>
      </c>
      <c r="H35" s="73">
        <f>IF(ISBLANK(INDEX(Loads!$E$5:$E$115,$F35)),"-",INDEX(Loads!$E$5:$E$115,$F35)+IF(NOT(ISERROR($E35)),0,(INDEX(Loads!$E$5:$E$115,$F35+1)-INDEX(Loads!$E$5:$E$115,$F35))/(INDEX(Loads!$C$5:$C$115,$F35+1)-INDEX(Loads!$C$5:$C$115,$F35))*($C35-INDEX(Loads!$C$5:$C$115,$F35))))</f>
        <v>260905.55899992908</v>
      </c>
      <c r="J35" s="62" t="e">
        <f>MATCH($C35,Loads!$G$5:$G$115,0)</f>
        <v>#N/A</v>
      </c>
      <c r="K35" s="62">
        <f>MATCH($C35,Loads!$G$5:$G$115,1)</f>
        <v>56</v>
      </c>
      <c r="L35" s="73">
        <f>IF(ISBLANK(INDEX(Loads!$H$5:$H$115,$K35)),"-",INDEX(Loads!$H$5:$H$115,$K35)+IF(NOT(ISERROR($J35)),0,(INDEX(Loads!$H$5:$H$115,$K35+1)-INDEX(Loads!$H$5:$H$115,$K35))/(INDEX(Loads!$G$5:$G$115,$K35+1)-INDEX(Loads!$G$5:$G$115,$K35))*($C35-INDEX(Loads!$G$5:$G$115,$K35))))</f>
        <v>-44127.25</v>
      </c>
      <c r="M35" s="73">
        <f>IF(ISBLANK(INDEX(Loads!$I$5:$I$115,$K35)),"-",INDEX(Loads!$I$5:$I$115,$K35)+IF(NOT(ISERROR($J35)),0,(INDEX(Loads!$I$5:$I$115,$K35+1)-INDEX(Loads!$I$5:$I$115,$K35))/(INDEX(Loads!$G$5:$G$115,$K35+1)-INDEX(Loads!$G$5:$G$115,$K35))*($C35-INDEX(Loads!$G$5:$G$115,$K35))))</f>
        <v>-46415.88</v>
      </c>
      <c r="N35" s="73">
        <f>IF(ISBLANK(INDEX(Loads!$J$5:$J$115,$K35)),"-",INDEX(Loads!$J$5:$J$115,$K35)+IF(NOT(ISERROR($J35)),0,(INDEX(Loads!$J$5:$J$115,$K35+1)-INDEX(Loads!$J$5:$J$115,$K35))/(INDEX(Loads!$G$5:$G$115,$K35+1)-INDEX(Loads!$G$5:$G$115,$K35))*($C35-INDEX(Loads!$G$5:$G$115,$K35))))</f>
        <v>1273872.2808308911</v>
      </c>
      <c r="O35" s="73">
        <f>IF(ISBLANK(INDEX(Loads!$K$5:$K$115,$K35)),"-",INDEX(Loads!$K$5:$K$115,$K35)+IF(NOT(ISERROR($J35)),0,(INDEX(Loads!$K$5:$K$115,$K35+1)-INDEX(Loads!$K$5:$K$115,$K35))/(INDEX(Loads!$G$5:$G$115,$K35+1)-INDEX(Loads!$G$5:$G$115,$K35))*($C35-INDEX(Loads!$G$5:$G$115,$K35))))</f>
        <v>-538.05854578020774</v>
      </c>
      <c r="Q35" t="e">
        <f>MATCH($C35,Loads!$M$5:$M$115,0)</f>
        <v>#N/A</v>
      </c>
      <c r="R35">
        <f>MATCH($C35,Loads!$M$5:$M$115,1)</f>
        <v>56</v>
      </c>
      <c r="S35" s="73">
        <f>IF(ISBLANK(INDEX(Loads!$N$5:$N$115,$R35)),"-",INDEX(Loads!$N$5:$N$115,$K35)+IF(NOT(ISERROR($Q35)),0,(INDEX(Loads!$N$5:$N$115,$R35+1)-INDEX(Loads!$N$5:$N$115,$R35))/(INDEX(Loads!$M$5:$M$115,$R35+1)-INDEX(Loads!$M$5:$M$115,$R35))*($C35-INDEX(Loads!$M$5:$M$115,$R35))))</f>
        <v>-32686.85</v>
      </c>
      <c r="T35" s="73">
        <f>IF(ISBLANK(INDEX(Loads!$O$5:$O$115,$R35)),"-",INDEX(Loads!$O$5:$O$115,$K35)+IF(NOT(ISERROR($Q35)),0,(INDEX(Loads!$O$5:$O$115,$R35+1)-INDEX(Loads!$O$5:$O$115,$R35))/(INDEX(Loads!$M$5:$M$115,$R35+1)-INDEX(Loads!$M$5:$M$115,$R35))*($C35-INDEX(Loads!$M$5:$M$115,$R35))))</f>
        <v>948219.95394999406</v>
      </c>
      <c r="U35" s="73">
        <f>IF(ISBLANK(INDEX(Loads!$P$5:$P$115,$R35)),"-",INDEX(Loads!$P$5:$P$115,$K35)+IF(NOT(ISERROR($Q35)),0,(INDEX(Loads!$P$5:$P$115,$R35+1)-INDEX(Loads!$P$5:$P$115,$R35))/(INDEX(Loads!$M$5:$M$115,$R35+1)-INDEX(Loads!$M$5:$M$115,$R35))*($C35-INDEX(Loads!$M$5:$M$115,$R35))))</f>
        <v>-2008.7967782762753</v>
      </c>
    </row>
    <row r="36" spans="3:21">
      <c r="C36" s="72">
        <f>Geometry!E43</f>
        <v>-63.8</v>
      </c>
      <c r="E36" s="62" t="e">
        <f>MATCH($C36,Loads!$C$5:$C$115,0)</f>
        <v>#N/A</v>
      </c>
      <c r="F36" s="62">
        <f>MATCH($C36,Loads!$C$5:$C$115,1)</f>
        <v>45</v>
      </c>
      <c r="G36" s="73" t="str">
        <f>IF(ISBLANK(INDEX(Loads!$D$5:$D$115,$F36)),"-",INDEX(Loads!$D$5:$D$115,$F36)+IF(NOT(ISERROR($E36)),0,(INDEX(Loads!$D$5:$D$115,$F36+1)-INDEX(Loads!$D$5:$D$115,$F36))/(INDEX(Loads!$C$5:$C$115,$F36+1)-INDEX(Loads!$C$5:$C$115,$F36))*($C36-INDEX(Loads!$C$5:$C$115,$F36))))</f>
        <v>-</v>
      </c>
      <c r="H36" s="73">
        <f>IF(ISBLANK(INDEX(Loads!$E$5:$E$115,$F36)),"-",INDEX(Loads!$E$5:$E$115,$F36)+IF(NOT(ISERROR($E36)),0,(INDEX(Loads!$E$5:$E$115,$F36+1)-INDEX(Loads!$E$5:$E$115,$F36))/(INDEX(Loads!$C$5:$C$115,$F36+1)-INDEX(Loads!$C$5:$C$115,$F36))*($C36-INDEX(Loads!$C$5:$C$115,$F36))))</f>
        <v>235185.43404392985</v>
      </c>
      <c r="J36" s="62" t="e">
        <f>MATCH($C36,Loads!$G$5:$G$115,0)</f>
        <v>#N/A</v>
      </c>
      <c r="K36" s="62">
        <f>MATCH($C36,Loads!$G$5:$G$115,1)</f>
        <v>45</v>
      </c>
      <c r="L36" s="73">
        <f>IF(ISBLANK(INDEX(Loads!$H$5:$H$115,$K36)),"-",INDEX(Loads!$H$5:$H$115,$K36)+IF(NOT(ISERROR($J36)),0,(INDEX(Loads!$H$5:$H$115,$K36+1)-INDEX(Loads!$H$5:$H$115,$K36))/(INDEX(Loads!$G$5:$G$115,$K36+1)-INDEX(Loads!$G$5:$G$115,$K36))*($C36-INDEX(Loads!$G$5:$G$115,$K36))))</f>
        <v>-44127.25</v>
      </c>
      <c r="M36" s="73">
        <f>IF(ISBLANK(INDEX(Loads!$I$5:$I$115,$K36)),"-",INDEX(Loads!$I$5:$I$115,$K36)+IF(NOT(ISERROR($J36)),0,(INDEX(Loads!$I$5:$I$115,$K36+1)-INDEX(Loads!$I$5:$I$115,$K36))/(INDEX(Loads!$G$5:$G$115,$K36+1)-INDEX(Loads!$G$5:$G$115,$K36))*($C36-INDEX(Loads!$G$5:$G$115,$K36))))</f>
        <v>-46415.88</v>
      </c>
      <c r="N36" s="73">
        <f>IF(ISBLANK(INDEX(Loads!$J$5:$J$115,$K36)),"-",INDEX(Loads!$J$5:$J$115,$K36)+IF(NOT(ISERROR($J36)),0,(INDEX(Loads!$J$5:$J$115,$K36+1)-INDEX(Loads!$J$5:$J$115,$K36))/(INDEX(Loads!$G$5:$G$115,$K36+1)-INDEX(Loads!$G$5:$G$115,$K36))*($C36-INDEX(Loads!$G$5:$G$115,$K36))))</f>
        <v>1213425.0132660531</v>
      </c>
      <c r="O36" s="73">
        <f>IF(ISBLANK(INDEX(Loads!$K$5:$K$115,$K36)),"-",INDEX(Loads!$K$5:$K$115,$K36)+IF(NOT(ISERROR($J36)),0,(INDEX(Loads!$K$5:$K$115,$K36+1)-INDEX(Loads!$K$5:$K$115,$K36))/(INDEX(Loads!$G$5:$G$115,$K36+1)-INDEX(Loads!$G$5:$G$115,$K36))*($C36-INDEX(Loads!$G$5:$G$115,$K36))))</f>
        <v>-31237.023584616207</v>
      </c>
      <c r="Q36" t="e">
        <f>MATCH($C36,Loads!$M$5:$M$115,0)</f>
        <v>#N/A</v>
      </c>
      <c r="R36">
        <f>MATCH($C36,Loads!$M$5:$M$115,1)</f>
        <v>45</v>
      </c>
      <c r="S36" s="73">
        <f>IF(ISBLANK(INDEX(Loads!$N$5:$N$115,$R36)),"-",INDEX(Loads!$N$5:$N$115,$K36)+IF(NOT(ISERROR($Q36)),0,(INDEX(Loads!$N$5:$N$115,$R36+1)-INDEX(Loads!$N$5:$N$115,$R36))/(INDEX(Loads!$M$5:$M$115,$R36+1)-INDEX(Loads!$M$5:$M$115,$R36))*($C36-INDEX(Loads!$M$5:$M$115,$R36))))</f>
        <v>-32686.85</v>
      </c>
      <c r="T36" s="73">
        <f>IF(ISBLANK(INDEX(Loads!$O$5:$O$115,$R36)),"-",INDEX(Loads!$O$5:$O$115,$K36)+IF(NOT(ISERROR($Q36)),0,(INDEX(Loads!$O$5:$O$115,$R36+1)-INDEX(Loads!$O$5:$O$115,$R36))/(INDEX(Loads!$M$5:$M$115,$R36+1)-INDEX(Loads!$M$5:$M$115,$R36))*($C36-INDEX(Loads!$M$5:$M$115,$R36))))</f>
        <v>897520.88131487847</v>
      </c>
      <c r="U36" s="73">
        <f>IF(ISBLANK(INDEX(Loads!$P$5:$P$115,$R36)),"-",INDEX(Loads!$P$5:$P$115,$K36)+IF(NOT(ISERROR($Q36)),0,(INDEX(Loads!$P$5:$P$115,$R36+1)-INDEX(Loads!$P$5:$P$115,$R36))/(INDEX(Loads!$M$5:$M$115,$R36+1)-INDEX(Loads!$M$5:$M$115,$R36))*($C36-INDEX(Loads!$M$5:$M$115,$R36))))</f>
        <v>-24495.680081362501</v>
      </c>
    </row>
    <row r="37" spans="3:21">
      <c r="C37" s="72">
        <f>Geometry!E44</f>
        <v>-67.8</v>
      </c>
      <c r="E37" s="62" t="e">
        <f>MATCH($C37,Loads!$C$5:$C$115,0)</f>
        <v>#N/A</v>
      </c>
      <c r="F37" s="62">
        <f>MATCH($C37,Loads!$C$5:$C$115,1)</f>
        <v>36</v>
      </c>
      <c r="G37" s="73" t="str">
        <f>IF(ISBLANK(INDEX(Loads!$D$5:$D$115,$F37)),"-",INDEX(Loads!$D$5:$D$115,$F37)+IF(NOT(ISERROR($E37)),0,(INDEX(Loads!$D$5:$D$115,$F37+1)-INDEX(Loads!$D$5:$D$115,$F37))/(INDEX(Loads!$C$5:$C$115,$F37+1)-INDEX(Loads!$C$5:$C$115,$F37))*($C37-INDEX(Loads!$C$5:$C$115,$F37))))</f>
        <v>-</v>
      </c>
      <c r="H37" s="73">
        <f>IF(ISBLANK(INDEX(Loads!$E$5:$E$115,$F37)),"-",INDEX(Loads!$E$5:$E$115,$F37)+IF(NOT(ISERROR($E37)),0,(INDEX(Loads!$E$5:$E$115,$F37+1)-INDEX(Loads!$E$5:$E$115,$F37))/(INDEX(Loads!$C$5:$C$115,$F37+1)-INDEX(Loads!$C$5:$C$115,$F37))*($C37-INDEX(Loads!$C$5:$C$115,$F37))))</f>
        <v>190123.88037569958</v>
      </c>
      <c r="J37" s="62" t="e">
        <f>MATCH($C37,Loads!$G$5:$G$115,0)</f>
        <v>#N/A</v>
      </c>
      <c r="K37" s="62">
        <f>MATCH($C37,Loads!$G$5:$G$115,1)</f>
        <v>36</v>
      </c>
      <c r="L37" s="73">
        <f>IF(ISBLANK(INDEX(Loads!$H$5:$H$115,$K37)),"-",INDEX(Loads!$H$5:$H$115,$K37)+IF(NOT(ISERROR($J37)),0,(INDEX(Loads!$H$5:$H$115,$K37+1)-INDEX(Loads!$H$5:$H$115,$K37))/(INDEX(Loads!$G$5:$G$115,$K37+1)-INDEX(Loads!$G$5:$G$115,$K37))*($C37-INDEX(Loads!$G$5:$G$115,$K37))))</f>
        <v>-44127.25</v>
      </c>
      <c r="M37" s="73">
        <f>IF(ISBLANK(INDEX(Loads!$I$5:$I$115,$K37)),"-",INDEX(Loads!$I$5:$I$115,$K37)+IF(NOT(ISERROR($J37)),0,(INDEX(Loads!$I$5:$I$115,$K37+1)-INDEX(Loads!$I$5:$I$115,$K37))/(INDEX(Loads!$G$5:$G$115,$K37+1)-INDEX(Loads!$G$5:$G$115,$K37))*($C37-INDEX(Loads!$G$5:$G$115,$K37))))</f>
        <v>-46415.88</v>
      </c>
      <c r="N37" s="73">
        <f>IF(ISBLANK(INDEX(Loads!$J$5:$J$115,$K37)),"-",INDEX(Loads!$J$5:$J$115,$K37)+IF(NOT(ISERROR($J37)),0,(INDEX(Loads!$J$5:$J$115,$K37+1)-INDEX(Loads!$J$5:$J$115,$K37))/(INDEX(Loads!$G$5:$G$115,$K37+1)-INDEX(Loads!$G$5:$G$115,$K37))*($C37-INDEX(Loads!$G$5:$G$115,$K37))))</f>
        <v>1041779.7586559026</v>
      </c>
      <c r="O37" s="73">
        <f>IF(ISBLANK(INDEX(Loads!$K$5:$K$115,$K37)),"-",INDEX(Loads!$K$5:$K$115,$K37)+IF(NOT(ISERROR($J37)),0,(INDEX(Loads!$K$5:$K$115,$K37+1)-INDEX(Loads!$K$5:$K$115,$K37))/(INDEX(Loads!$G$5:$G$115,$K37+1)-INDEX(Loads!$G$5:$G$115,$K37))*($C37-INDEX(Loads!$G$5:$G$115,$K37))))</f>
        <v>-56740.639362415859</v>
      </c>
      <c r="Q37" t="e">
        <f>MATCH($C37,Loads!$M$5:$M$115,0)</f>
        <v>#N/A</v>
      </c>
      <c r="R37">
        <f>MATCH($C37,Loads!$M$5:$M$115,1)</f>
        <v>36</v>
      </c>
      <c r="S37" s="73">
        <f>IF(ISBLANK(INDEX(Loads!$N$5:$N$115,$R37)),"-",INDEX(Loads!$N$5:$N$115,$K37)+IF(NOT(ISERROR($Q37)),0,(INDEX(Loads!$N$5:$N$115,$R37+1)-INDEX(Loads!$N$5:$N$115,$R37))/(INDEX(Loads!$M$5:$M$115,$R37+1)-INDEX(Loads!$M$5:$M$115,$R37))*($C37-INDEX(Loads!$M$5:$M$115,$R37))))</f>
        <v>-32686.85</v>
      </c>
      <c r="T37" s="73">
        <f>IF(ISBLANK(INDEX(Loads!$O$5:$O$115,$R37)),"-",INDEX(Loads!$O$5:$O$115,$K37)+IF(NOT(ISERROR($Q37)),0,(INDEX(Loads!$O$5:$O$115,$R37+1)-INDEX(Loads!$O$5:$O$115,$R37))/(INDEX(Loads!$M$5:$M$115,$R37+1)-INDEX(Loads!$M$5:$M$115,$R37))*($C37-INDEX(Loads!$M$5:$M$115,$R37))))</f>
        <v>765694.36788879917</v>
      </c>
      <c r="U37" s="73">
        <f>IF(ISBLANK(INDEX(Loads!$P$5:$P$115,$R37)),"-",INDEX(Loads!$P$5:$P$115,$K37)+IF(NOT(ISERROR($Q37)),0,(INDEX(Loads!$P$5:$P$115,$R37+1)-INDEX(Loads!$P$5:$P$115,$R37))/(INDEX(Loads!$M$5:$M$115,$R37+1)-INDEX(Loads!$M$5:$M$115,$R37))*($C37-INDEX(Loads!$M$5:$M$115,$R37))))</f>
        <v>-42872.786413904789</v>
      </c>
    </row>
    <row r="38" spans="3:21">
      <c r="C38" s="72">
        <f>Geometry!E45</f>
        <v>-71.8</v>
      </c>
      <c r="E38" s="62" t="e">
        <f>MATCH($C38,Loads!$C$5:$C$115,0)</f>
        <v>#N/A</v>
      </c>
      <c r="F38" s="62">
        <f>MATCH($C38,Loads!$C$5:$C$115,1)</f>
        <v>26</v>
      </c>
      <c r="G38" s="73" t="str">
        <f>IF(ISBLANK(INDEX(Loads!$D$5:$D$115,$F38)),"-",INDEX(Loads!$D$5:$D$115,$F38)+IF(NOT(ISERROR($E38)),0,(INDEX(Loads!$D$5:$D$115,$F38+1)-INDEX(Loads!$D$5:$D$115,$F38))/(INDEX(Loads!$C$5:$C$115,$F38+1)-INDEX(Loads!$C$5:$C$115,$F38))*($C38-INDEX(Loads!$C$5:$C$115,$F38))))</f>
        <v>-</v>
      </c>
      <c r="H38" s="73">
        <f>IF(ISBLANK(INDEX(Loads!$E$5:$E$115,$F38)),"-",INDEX(Loads!$E$5:$E$115,$F38)+IF(NOT(ISERROR($E38)),0,(INDEX(Loads!$E$5:$E$115,$F38+1)-INDEX(Loads!$E$5:$E$115,$F38))/(INDEX(Loads!$C$5:$C$115,$F38+1)-INDEX(Loads!$C$5:$C$115,$F38))*($C38-INDEX(Loads!$C$5:$C$115,$F38))))</f>
        <v>135864.06632593294</v>
      </c>
      <c r="J38" s="62" t="e">
        <f>MATCH($C38,Loads!$G$5:$G$115,0)</f>
        <v>#N/A</v>
      </c>
      <c r="K38" s="62">
        <f>MATCH($C38,Loads!$G$5:$G$115,1)</f>
        <v>26</v>
      </c>
      <c r="L38" s="73">
        <f>IF(ISBLANK(INDEX(Loads!$H$5:$H$115,$K38)),"-",INDEX(Loads!$H$5:$H$115,$K38)+IF(NOT(ISERROR($J38)),0,(INDEX(Loads!$H$5:$H$115,$K38+1)-INDEX(Loads!$H$5:$H$115,$K38))/(INDEX(Loads!$G$5:$G$115,$K38+1)-INDEX(Loads!$G$5:$G$115,$K38))*($C38-INDEX(Loads!$G$5:$G$115,$K38))))</f>
        <v>-44127.25</v>
      </c>
      <c r="M38" s="73">
        <f>IF(ISBLANK(INDEX(Loads!$I$5:$I$115,$K38)),"-",INDEX(Loads!$I$5:$I$115,$K38)+IF(NOT(ISERROR($J38)),0,(INDEX(Loads!$I$5:$I$115,$K38+1)-INDEX(Loads!$I$5:$I$115,$K38))/(INDEX(Loads!$G$5:$G$115,$K38+1)-INDEX(Loads!$G$5:$G$115,$K38))*($C38-INDEX(Loads!$G$5:$G$115,$K38))))</f>
        <v>-46415.88</v>
      </c>
      <c r="N38" s="73">
        <f>IF(ISBLANK(INDEX(Loads!$J$5:$J$115,$K38)),"-",INDEX(Loads!$J$5:$J$115,$K38)+IF(NOT(ISERROR($J38)),0,(INDEX(Loads!$J$5:$J$115,$K38+1)-INDEX(Loads!$J$5:$J$115,$K38))/(INDEX(Loads!$G$5:$G$115,$K38+1)-INDEX(Loads!$G$5:$G$115,$K38))*($C38-INDEX(Loads!$G$5:$G$115,$K38))))</f>
        <v>775077.49362442084</v>
      </c>
      <c r="O38" s="73">
        <f>IF(ISBLANK(INDEX(Loads!$K$5:$K$115,$K38)),"-",INDEX(Loads!$K$5:$K$115,$K38)+IF(NOT(ISERROR($J38)),0,(INDEX(Loads!$K$5:$K$115,$K38+1)-INDEX(Loads!$K$5:$K$115,$K38))/(INDEX(Loads!$G$5:$G$115,$K38+1)-INDEX(Loads!$G$5:$G$115,$K38))*($C38-INDEX(Loads!$G$5:$G$115,$K38))))</f>
        <v>-77616.533138165105</v>
      </c>
      <c r="Q38" t="e">
        <f>MATCH($C38,Loads!$M$5:$M$115,0)</f>
        <v>#N/A</v>
      </c>
      <c r="R38">
        <f>MATCH($C38,Loads!$M$5:$M$115,1)</f>
        <v>26</v>
      </c>
      <c r="S38" s="73">
        <f>IF(ISBLANK(INDEX(Loads!$N$5:$N$115,$R38)),"-",INDEX(Loads!$N$5:$N$115,$K38)+IF(NOT(ISERROR($Q38)),0,(INDEX(Loads!$N$5:$N$115,$R38+1)-INDEX(Loads!$N$5:$N$115,$R38))/(INDEX(Loads!$M$5:$M$115,$R38+1)-INDEX(Loads!$M$5:$M$115,$R38))*($C38-INDEX(Loads!$M$5:$M$115,$R38))))</f>
        <v>-32686.85</v>
      </c>
      <c r="T38" s="73">
        <f>IF(ISBLANK(INDEX(Loads!$O$5:$O$115,$R38)),"-",INDEX(Loads!$O$5:$O$115,$K38)+IF(NOT(ISERROR($Q38)),0,(INDEX(Loads!$O$5:$O$115,$R38+1)-INDEX(Loads!$O$5:$O$115,$R38))/(INDEX(Loads!$M$5:$M$115,$R38+1)-INDEX(Loads!$M$5:$M$115,$R38))*($C38-INDEX(Loads!$M$5:$M$115,$R38))))</f>
        <v>566627.09098358394</v>
      </c>
      <c r="U38" s="73">
        <f>IF(ISBLANK(INDEX(Loads!$P$5:$P$115,$R38)),"-",INDEX(Loads!$P$5:$P$115,$K38)+IF(NOT(ISERROR($Q38)),0,(INDEX(Loads!$P$5:$P$115,$R38+1)-INDEX(Loads!$P$5:$P$115,$R38))/(INDEX(Loads!$M$5:$M$115,$R38+1)-INDEX(Loads!$M$5:$M$115,$R38))*($C38-INDEX(Loads!$M$5:$M$115,$R38))))</f>
        <v>-57204.642797704269</v>
      </c>
    </row>
    <row r="39" spans="3:21">
      <c r="C39" s="72">
        <f>Geometry!E46</f>
        <v>-75.8</v>
      </c>
      <c r="E39" s="62" t="e">
        <f>MATCH($C39,Loads!$C$5:$C$115,0)</f>
        <v>#N/A</v>
      </c>
      <c r="F39" s="62">
        <f>MATCH($C39,Loads!$C$5:$C$115,1)</f>
        <v>16</v>
      </c>
      <c r="G39" s="73" t="str">
        <f>IF(ISBLANK(INDEX(Loads!$D$5:$D$115,$F39)),"-",INDEX(Loads!$D$5:$D$115,$F39)+IF(NOT(ISERROR($E39)),0,(INDEX(Loads!$D$5:$D$115,$F39+1)-INDEX(Loads!$D$5:$D$115,$F39))/(INDEX(Loads!$C$5:$C$115,$F39+1)-INDEX(Loads!$C$5:$C$115,$F39))*($C39-INDEX(Loads!$C$5:$C$115,$F39))))</f>
        <v>-</v>
      </c>
      <c r="H39" s="73">
        <f>IF(ISBLANK(INDEX(Loads!$E$5:$E$115,$F39)),"-",INDEX(Loads!$E$5:$E$115,$F39)+IF(NOT(ISERROR($E39)),0,(INDEX(Loads!$E$5:$E$115,$F39+1)-INDEX(Loads!$E$5:$E$115,$F39))/(INDEX(Loads!$C$5:$C$115,$F39+1)-INDEX(Loads!$C$5:$C$115,$F39))*($C39-INDEX(Loads!$C$5:$C$115,$F39))))</f>
        <v>77832.892754762885</v>
      </c>
      <c r="J39" s="62" t="e">
        <f>MATCH($C39,Loads!$G$5:$G$115,0)</f>
        <v>#N/A</v>
      </c>
      <c r="K39" s="62">
        <f>MATCH($C39,Loads!$G$5:$G$115,1)</f>
        <v>16</v>
      </c>
      <c r="L39" s="73">
        <f>IF(ISBLANK(INDEX(Loads!$H$5:$H$115,$K39)),"-",INDEX(Loads!$H$5:$H$115,$K39)+IF(NOT(ISERROR($J39)),0,(INDEX(Loads!$H$5:$H$115,$K39+1)-INDEX(Loads!$H$5:$H$115,$K39))/(INDEX(Loads!$G$5:$G$115,$K39+1)-INDEX(Loads!$G$5:$G$115,$K39))*($C39-INDEX(Loads!$G$5:$G$115,$K39))))</f>
        <v>-44127.25</v>
      </c>
      <c r="M39" s="73">
        <f>IF(ISBLANK(INDEX(Loads!$I$5:$I$115,$K39)),"-",INDEX(Loads!$I$5:$I$115,$K39)+IF(NOT(ISERROR($J39)),0,(INDEX(Loads!$I$5:$I$115,$K39+1)-INDEX(Loads!$I$5:$I$115,$K39))/(INDEX(Loads!$G$5:$G$115,$K39+1)-INDEX(Loads!$G$5:$G$115,$K39))*($C39-INDEX(Loads!$G$5:$G$115,$K39))))</f>
        <v>-46415.88</v>
      </c>
      <c r="N39" s="73">
        <f>IF(ISBLANK(INDEX(Loads!$J$5:$J$115,$K39)),"-",INDEX(Loads!$J$5:$J$115,$K39)+IF(NOT(ISERROR($J39)),0,(INDEX(Loads!$J$5:$J$115,$K39+1)-INDEX(Loads!$J$5:$J$115,$K39))/(INDEX(Loads!$G$5:$G$115,$K39+1)-INDEX(Loads!$G$5:$G$115,$K39))*($C39-INDEX(Loads!$G$5:$G$115,$K39))))</f>
        <v>443689.75354203791</v>
      </c>
      <c r="O39" s="73">
        <f>IF(ISBLANK(INDEX(Loads!$K$5:$K$115,$K39)),"-",INDEX(Loads!$K$5:$K$115,$K39)+IF(NOT(ISERROR($J39)),0,(INDEX(Loads!$K$5:$K$115,$K39+1)-INDEX(Loads!$K$5:$K$115,$K39))/(INDEX(Loads!$G$5:$G$115,$K39+1)-INDEX(Loads!$G$5:$G$115,$K39))*($C39-INDEX(Loads!$G$5:$G$115,$K39))))</f>
        <v>-86916.050188022709</v>
      </c>
      <c r="Q39" t="e">
        <f>MATCH($C39,Loads!$M$5:$M$115,0)</f>
        <v>#N/A</v>
      </c>
      <c r="R39">
        <f>MATCH($C39,Loads!$M$5:$M$115,1)</f>
        <v>16</v>
      </c>
      <c r="S39" s="73">
        <f>IF(ISBLANK(INDEX(Loads!$N$5:$N$115,$R39)),"-",INDEX(Loads!$N$5:$N$115,$K39)+IF(NOT(ISERROR($Q39)),0,(INDEX(Loads!$N$5:$N$115,$R39+1)-INDEX(Loads!$N$5:$N$115,$R39))/(INDEX(Loads!$M$5:$M$115,$R39+1)-INDEX(Loads!$M$5:$M$115,$R39))*($C39-INDEX(Loads!$M$5:$M$115,$R39))))</f>
        <v>-32686.85</v>
      </c>
      <c r="T39" s="73">
        <f>IF(ISBLANK(INDEX(Loads!$O$5:$O$115,$R39)),"-",INDEX(Loads!$O$5:$O$115,$K39)+IF(NOT(ISERROR($Q39)),0,(INDEX(Loads!$O$5:$O$115,$R39+1)-INDEX(Loads!$O$5:$O$115,$R39))/(INDEX(Loads!$M$5:$M$115,$R39+1)-INDEX(Loads!$M$5:$M$115,$R39))*($C39-INDEX(Loads!$M$5:$M$115,$R39))))</f>
        <v>323845.64438520634</v>
      </c>
      <c r="U39" s="73">
        <f>IF(ISBLANK(INDEX(Loads!$P$5:$P$115,$R39)),"-",INDEX(Loads!$P$5:$P$115,$K39)+IF(NOT(ISERROR($Q39)),0,(INDEX(Loads!$P$5:$P$115,$R39+1)-INDEX(Loads!$P$5:$P$115,$R39))/(INDEX(Loads!$M$5:$M$115,$R39+1)-INDEX(Loads!$M$5:$M$115,$R39))*($C39-INDEX(Loads!$M$5:$M$115,$R39))))</f>
        <v>-63361.664474844758</v>
      </c>
    </row>
    <row r="40" spans="3:21">
      <c r="C40" s="72">
        <f>Geometry!E47</f>
        <v>-79.75</v>
      </c>
      <c r="E40" s="62" t="e">
        <f>MATCH($C40,Loads!$C$5:$C$115,0)</f>
        <v>#N/A</v>
      </c>
      <c r="F40" s="62">
        <f>MATCH($C40,Loads!$C$5:$C$115,1)</f>
        <v>8</v>
      </c>
      <c r="G40" s="73" t="str">
        <f>IF(ISBLANK(INDEX(Loads!$D$5:$D$115,$F40)),"-",INDEX(Loads!$D$5:$D$115,$F40)+IF(NOT(ISERROR($E40)),0,(INDEX(Loads!$D$5:$D$115,$F40+1)-INDEX(Loads!$D$5:$D$115,$F40))/(INDEX(Loads!$C$5:$C$115,$F40+1)-INDEX(Loads!$C$5:$C$115,$F40))*($C40-INDEX(Loads!$C$5:$C$115,$F40))))</f>
        <v>-</v>
      </c>
      <c r="H40" s="73">
        <f>IF(ISBLANK(INDEX(Loads!$E$5:$E$115,$F40)),"-",INDEX(Loads!$E$5:$E$115,$F40)+IF(NOT(ISERROR($E40)),0,(INDEX(Loads!$E$5:$E$115,$F40+1)-INDEX(Loads!$E$5:$E$115,$F40))/(INDEX(Loads!$C$5:$C$115,$F40+1)-INDEX(Loads!$C$5:$C$115,$F40))*($C40-INDEX(Loads!$C$5:$C$115,$F40))))</f>
        <v>23444.945479530976</v>
      </c>
      <c r="J40" s="62" t="e">
        <f>MATCH($C40,Loads!$G$5:$G$115,0)</f>
        <v>#N/A</v>
      </c>
      <c r="K40" s="62">
        <f>MATCH($C40,Loads!$G$5:$G$115,1)</f>
        <v>8</v>
      </c>
      <c r="L40" s="73">
        <f>IF(ISBLANK(INDEX(Loads!$H$5:$H$115,$K40)),"-",INDEX(Loads!$H$5:$H$115,$K40)+IF(NOT(ISERROR($J40)),0,(INDEX(Loads!$H$5:$H$115,$K40+1)-INDEX(Loads!$H$5:$H$115,$K40))/(INDEX(Loads!$G$5:$G$115,$K40+1)-INDEX(Loads!$G$5:$G$115,$K40))*($C40-INDEX(Loads!$G$5:$G$115,$K40))))</f>
        <v>-44127.25</v>
      </c>
      <c r="M40" s="73">
        <f>IF(ISBLANK(INDEX(Loads!$I$5:$I$115,$K40)),"-",INDEX(Loads!$I$5:$I$115,$K40)+IF(NOT(ISERROR($J40)),0,(INDEX(Loads!$I$5:$I$115,$K40+1)-INDEX(Loads!$I$5:$I$115,$K40))/(INDEX(Loads!$G$5:$G$115,$K40+1)-INDEX(Loads!$G$5:$G$115,$K40))*($C40-INDEX(Loads!$G$5:$G$115,$K40))))</f>
        <v>-46415.88</v>
      </c>
      <c r="N40" s="73">
        <f>IF(ISBLANK(INDEX(Loads!$J$5:$J$115,$K40)),"-",INDEX(Loads!$J$5:$J$115,$K40)+IF(NOT(ISERROR($J40)),0,(INDEX(Loads!$J$5:$J$115,$K40+1)-INDEX(Loads!$J$5:$J$115,$K40))/(INDEX(Loads!$G$5:$G$115,$K40+1)-INDEX(Loads!$G$5:$G$115,$K40))*($C40-INDEX(Loads!$G$5:$G$115,$K40))))</f>
        <v>123148.9310335544</v>
      </c>
      <c r="O40" s="73">
        <f>IF(ISBLANK(INDEX(Loads!$K$5:$K$115,$K40)),"-",INDEX(Loads!$K$5:$K$115,$K40)+IF(NOT(ISERROR($J40)),0,(INDEX(Loads!$K$5:$K$115,$K40+1)-INDEX(Loads!$K$5:$K$115,$K40))/(INDEX(Loads!$G$5:$G$115,$K40+1)-INDEX(Loads!$G$5:$G$115,$K40))*($C40-INDEX(Loads!$G$5:$G$115,$K40))))</f>
        <v>-64552.148303068338</v>
      </c>
      <c r="Q40" t="e">
        <f>MATCH($C40,Loads!$M$5:$M$115,0)</f>
        <v>#N/A</v>
      </c>
      <c r="R40">
        <f>MATCH($C40,Loads!$M$5:$M$115,1)</f>
        <v>8</v>
      </c>
      <c r="S40" s="73">
        <f>IF(ISBLANK(INDEX(Loads!$N$5:$N$115,$R40)),"-",INDEX(Loads!$N$5:$N$115,$K40)+IF(NOT(ISERROR($Q40)),0,(INDEX(Loads!$N$5:$N$115,$R40+1)-INDEX(Loads!$N$5:$N$115,$R40))/(INDEX(Loads!$M$5:$M$115,$R40+1)-INDEX(Loads!$M$5:$M$115,$R40))*($C40-INDEX(Loads!$M$5:$M$115,$R40))))</f>
        <v>-32686.85</v>
      </c>
      <c r="T40" s="73">
        <f>IF(ISBLANK(INDEX(Loads!$O$5:$O$115,$R40)),"-",INDEX(Loads!$O$5:$O$115,$K40)+IF(NOT(ISERROR($Q40)),0,(INDEX(Loads!$O$5:$O$115,$R40+1)-INDEX(Loads!$O$5:$O$115,$R40))/(INDEX(Loads!$M$5:$M$115,$R40+1)-INDEX(Loads!$M$5:$M$115,$R40))*($C40-INDEX(Loads!$M$5:$M$115,$R40))))</f>
        <v>89995.662298896466</v>
      </c>
      <c r="U40" s="73">
        <f>IF(ISBLANK(INDEX(Loads!$P$5:$P$115,$R40)),"-",INDEX(Loads!$P$5:$P$115,$K40)+IF(NOT(ISERROR($Q40)),0,(INDEX(Loads!$P$5:$P$115,$R40+1)-INDEX(Loads!$P$5:$P$115,$R40))/(INDEX(Loads!$M$5:$M$115,$R40+1)-INDEX(Loads!$M$5:$M$115,$R40))*($C40-INDEX(Loads!$M$5:$M$115,$R40))))</f>
        <v>-47185.454355469723</v>
      </c>
    </row>
    <row r="41" spans="3:21">
      <c r="C41" s="72">
        <f>Geometry!E48</f>
        <v>-82.75</v>
      </c>
      <c r="E41" s="62">
        <f>MATCH($C41,Loads!$C$5:$C$115,0)</f>
        <v>1</v>
      </c>
      <c r="F41" s="62">
        <f>MATCH($C41,Loads!$C$5:$C$115,1)</f>
        <v>1</v>
      </c>
      <c r="G41" s="73" t="str">
        <f>IF(ISBLANK(INDEX(Loads!$D$5:$D$115,$F41)),"-",INDEX(Loads!$D$5:$D$115,$F41)+IF(NOT(ISERROR($E41)),0,(INDEX(Loads!$D$5:$D$115,$F41+1)-INDEX(Loads!$D$5:$D$115,$F41))/(INDEX(Loads!$C$5:$C$115,$F41+1)-INDEX(Loads!$C$5:$C$115,$F41))*($C41-INDEX(Loads!$C$5:$C$115,$F41))))</f>
        <v>-</v>
      </c>
      <c r="H41" s="73">
        <f>IF(ISBLANK(INDEX(Loads!$E$5:$E$115,$F41)),"-",INDEX(Loads!$E$5:$E$115,$F41)+IF(NOT(ISERROR($E41)),0,(INDEX(Loads!$E$5:$E$115,$F41+1)-INDEX(Loads!$E$5:$E$115,$F41))/(INDEX(Loads!$C$5:$C$115,$F41+1)-INDEX(Loads!$C$5:$C$115,$F41))*($C41-INDEX(Loads!$C$5:$C$115,$F41))))</f>
        <v>1E-100</v>
      </c>
      <c r="J41" s="62">
        <f>MATCH($C41,Loads!$G$5:$G$115,0)</f>
        <v>1</v>
      </c>
      <c r="K41" s="62">
        <f>MATCH($C41,Loads!$G$5:$G$115,1)</f>
        <v>1</v>
      </c>
      <c r="L41" s="73">
        <f>IF(ISBLANK(INDEX(Loads!$H$5:$H$115,$K41)),"-",INDEX(Loads!$H$5:$H$115,$K41)+IF(NOT(ISERROR($J41)),0,(INDEX(Loads!$H$5:$H$115,$K41+1)-INDEX(Loads!$H$5:$H$115,$K41))/(INDEX(Loads!$G$5:$G$115,$K41+1)-INDEX(Loads!$G$5:$G$115,$K41))*($C41-INDEX(Loads!$G$5:$G$115,$K41))))</f>
        <v>-44127.25</v>
      </c>
      <c r="M41" s="73">
        <f>IF(ISBLANK(INDEX(Loads!$I$5:$I$115,$K41)),"-",INDEX(Loads!$I$5:$I$115,$K41)+IF(NOT(ISERROR($J41)),0,(INDEX(Loads!$I$5:$I$115,$K41+1)-INDEX(Loads!$I$5:$I$115,$K41))/(INDEX(Loads!$G$5:$G$115,$K41+1)-INDEX(Loads!$G$5:$G$115,$K41))*($C41-INDEX(Loads!$G$5:$G$115,$K41))))</f>
        <v>-46415.88</v>
      </c>
      <c r="N41" s="73">
        <f>IF(ISBLANK(INDEX(Loads!$J$5:$J$115,$K41)),"-",INDEX(Loads!$J$5:$J$115,$K41)+IF(NOT(ISERROR($J41)),0,(INDEX(Loads!$J$5:$J$115,$K41+1)-INDEX(Loads!$J$5:$J$115,$K41))/(INDEX(Loads!$G$5:$G$115,$K41+1)-INDEX(Loads!$G$5:$G$115,$K41))*($C41-INDEX(Loads!$G$5:$G$115,$K41))))</f>
        <v>1.4901161193847699E-8</v>
      </c>
      <c r="O41" s="73">
        <f>IF(ISBLANK(INDEX(Loads!$K$5:$K$115,$K41)),"-",INDEX(Loads!$K$5:$K$115,$K41)+IF(NOT(ISERROR($J41)),0,(INDEX(Loads!$K$5:$K$115,$K41+1)-INDEX(Loads!$K$5:$K$115,$K41))/(INDEX(Loads!$G$5:$G$115,$K41+1)-INDEX(Loads!$G$5:$G$115,$K41))*($C41-INDEX(Loads!$G$5:$G$115,$K41))))</f>
        <v>-8598.6812762160607</v>
      </c>
      <c r="Q41">
        <f>MATCH($C41,Loads!$M$5:$M$115,0)</f>
        <v>1</v>
      </c>
      <c r="R41">
        <f>MATCH($C41,Loads!$M$5:$M$115,1)</f>
        <v>1</v>
      </c>
      <c r="S41" s="73">
        <f>IF(ISBLANK(INDEX(Loads!$N$5:$N$115,$R41)),"-",INDEX(Loads!$N$5:$N$115,$K41)+IF(NOT(ISERROR($Q41)),0,(INDEX(Loads!$N$5:$N$115,$R41+1)-INDEX(Loads!$N$5:$N$115,$R41))/(INDEX(Loads!$M$5:$M$115,$R41+1)-INDEX(Loads!$M$5:$M$115,$R41))*($C41-INDEX(Loads!$M$5:$M$115,$R41))))</f>
        <v>-32686.85</v>
      </c>
      <c r="T41" s="73">
        <f>IF(ISBLANK(INDEX(Loads!$O$5:$O$115,$R41)),"-",INDEX(Loads!$O$5:$O$115,$K41)+IF(NOT(ISERROR($Q41)),0,(INDEX(Loads!$O$5:$O$115,$R41+1)-INDEX(Loads!$O$5:$O$115,$R41))/(INDEX(Loads!$M$5:$M$115,$R41+1)-INDEX(Loads!$M$5:$M$115,$R41))*($C41-INDEX(Loads!$M$5:$M$115,$R41))))</f>
        <v>7.4505805969238298E-9</v>
      </c>
      <c r="U41" s="73">
        <f>IF(ISBLANK(INDEX(Loads!$P$5:$P$115,$R41)),"-",INDEX(Loads!$P$5:$P$115,$K41)+IF(NOT(ISERROR($Q41)),0,(INDEX(Loads!$P$5:$P$115,$R41+1)-INDEX(Loads!$P$5:$P$115,$R41))/(INDEX(Loads!$M$5:$M$115,$R41+1)-INDEX(Loads!$M$5:$M$115,$R41))*($C41-INDEX(Loads!$M$5:$M$115,$R41))))</f>
        <v>-6282.2584992243201</v>
      </c>
    </row>
    <row r="44" spans="3:21">
      <c r="C44" s="35" t="s">
        <v>213</v>
      </c>
      <c r="E44" s="62"/>
      <c r="F44" s="62"/>
      <c r="J44" s="62"/>
      <c r="K44" s="62"/>
    </row>
    <row r="45" spans="3:21">
      <c r="E45" s="62"/>
      <c r="F45" s="62"/>
      <c r="G45" s="305" t="s">
        <v>285</v>
      </c>
      <c r="H45" s="306"/>
      <c r="J45" s="62"/>
      <c r="K45" s="62"/>
      <c r="L45" s="305" t="s">
        <v>220</v>
      </c>
      <c r="M45" s="307"/>
      <c r="N45" s="307"/>
      <c r="O45" s="306"/>
      <c r="S45" s="305" t="s">
        <v>221</v>
      </c>
      <c r="T45" s="307"/>
      <c r="U45" s="306"/>
    </row>
    <row r="46" spans="3:21">
      <c r="C46" s="70" t="s">
        <v>334</v>
      </c>
      <c r="E46" s="62"/>
      <c r="F46" s="62"/>
      <c r="G46" s="70" t="s">
        <v>267</v>
      </c>
      <c r="H46" s="70" t="str">
        <f>IF(Control!$F$39="EC","m=4, N=1E7","m=5, N=1e7")</f>
        <v>m=4, N=1E7</v>
      </c>
      <c r="J46" s="62"/>
      <c r="K46" s="62"/>
      <c r="L46" s="70" t="s">
        <v>73</v>
      </c>
      <c r="M46" s="70" t="s">
        <v>74</v>
      </c>
      <c r="N46" s="70" t="s">
        <v>75</v>
      </c>
      <c r="O46" s="70" t="s">
        <v>76</v>
      </c>
      <c r="S46" s="70" t="s">
        <v>73</v>
      </c>
      <c r="T46" s="70" t="s">
        <v>75</v>
      </c>
      <c r="U46" s="70" t="s">
        <v>76</v>
      </c>
    </row>
    <row r="47" spans="3:21">
      <c r="C47" s="70" t="str">
        <f>"[m"&amp;Control!$F$7&amp;"]"</f>
        <v>[mLAT]</v>
      </c>
      <c r="E47" s="62"/>
      <c r="F47" s="62"/>
      <c r="G47" s="70" t="s">
        <v>20</v>
      </c>
      <c r="H47" s="70" t="s">
        <v>20</v>
      </c>
      <c r="J47" s="62"/>
      <c r="K47" s="62"/>
      <c r="L47" s="70" t="s">
        <v>268</v>
      </c>
      <c r="M47" s="70" t="s">
        <v>20</v>
      </c>
      <c r="N47" s="70" t="s">
        <v>20</v>
      </c>
      <c r="O47" s="70" t="s">
        <v>268</v>
      </c>
      <c r="S47" s="70" t="s">
        <v>268</v>
      </c>
      <c r="T47" s="70" t="s">
        <v>20</v>
      </c>
      <c r="U47" s="70" t="s">
        <v>268</v>
      </c>
    </row>
    <row r="48" spans="3:21">
      <c r="C48" s="72">
        <f>Geometry!AF11</f>
        <v>20</v>
      </c>
      <c r="E48" s="62" t="e">
        <f>MATCH($C48,Loads!$C$5:$C$115,0)</f>
        <v>#N/A</v>
      </c>
      <c r="F48" s="62">
        <f>MATCH($C48,Loads!$C$5:$C$115,1)</f>
        <v>109</v>
      </c>
      <c r="G48" s="73">
        <f>IF(ISBLANK(INDEX(Loads!$D$5:$D$115,$F48)),"-",INDEX(Loads!$D$5:$D$115,$F48)+IF(NOT(ISERROR($E48)),0,(INDEX(Loads!$D$5:$D$115,$F48+1)-INDEX(Loads!$D$5:$D$115,$F48))/(INDEX(Loads!$C$5:$C$115,$F48+1)-INDEX(Loads!$C$5:$C$115,$F48))*($C48-INDEX(Loads!$C$5:$C$115,$F48))))</f>
        <v>124508.13157894739</v>
      </c>
      <c r="H48" s="73">
        <f>IF(ISBLANK(INDEX(Loads!$E$5:$E$115,$F48)),"-",INDEX(Loads!$E$5:$E$115,$F48)+IF(NOT(ISERROR($E48)),0,(INDEX(Loads!$E$5:$E$115,$F48+1)-INDEX(Loads!$E$5:$E$115,$F48))/(INDEX(Loads!$C$5:$C$115,$F48+1)-INDEX(Loads!$C$5:$C$115,$F48))*($C48-INDEX(Loads!$C$5:$C$115,$F48))))</f>
        <v>119390.2105263158</v>
      </c>
      <c r="J48" s="62" t="e">
        <f>MATCH($C48,Loads!$G$5:$G$115,0)</f>
        <v>#N/A</v>
      </c>
      <c r="K48" s="62">
        <f>MATCH($C48,Loads!$G$5:$G$115,1)</f>
        <v>109</v>
      </c>
      <c r="L48" s="73">
        <f>IF(ISBLANK(INDEX(Loads!$H$5:$H$115,$K48)),"-",INDEX(Loads!$H$5:$H$115,$K48)+IF(NOT(ISERROR($J48)),0,(INDEX(Loads!$H$5:$H$115,$K48+1)-INDEX(Loads!$H$5:$H$115,$K48))/(INDEX(Loads!$G$5:$G$115,$K48+1)-INDEX(Loads!$G$5:$G$115,$K48))*($C48-INDEX(Loads!$G$5:$G$115,$K48))))</f>
        <v>-22921.78947368421</v>
      </c>
      <c r="M48" s="73">
        <f>IF(ISBLANK(INDEX(Loads!$I$5:$I$115,$K48)),"-",INDEX(Loads!$I$5:$I$115,$K48)+IF(NOT(ISERROR($J48)),0,(INDEX(Loads!$I$5:$I$115,$K48+1)-INDEX(Loads!$I$5:$I$115,$K48))/(INDEX(Loads!$G$5:$G$115,$K48+1)-INDEX(Loads!$G$5:$G$115,$K48))*($C48-INDEX(Loads!$G$5:$G$115,$K48))))</f>
        <v>-46310.159736842106</v>
      </c>
      <c r="N48" s="73">
        <f>IF(ISBLANK(INDEX(Loads!$J$5:$J$115,$K48)),"-",INDEX(Loads!$J$5:$J$115,$K48)+IF(NOT(ISERROR($J48)),0,(INDEX(Loads!$J$5:$J$115,$K48+1)-INDEX(Loads!$J$5:$J$115,$K48))/(INDEX(Loads!$G$5:$G$115,$K48+1)-INDEX(Loads!$G$5:$G$115,$K48))*($C48-INDEX(Loads!$G$5:$G$115,$K48))))</f>
        <v>508555.78684210527</v>
      </c>
      <c r="O48" s="73">
        <f>IF(ISBLANK(INDEX(Loads!$K$5:$K$115,$K48)),"-",INDEX(Loads!$K$5:$K$115,$K48)+IF(NOT(ISERROR($J48)),0,(INDEX(Loads!$K$5:$K$115,$K48+1)-INDEX(Loads!$K$5:$K$115,$K48))/(INDEX(Loads!$G$5:$G$115,$K48+1)-INDEX(Loads!$G$5:$G$115,$K48))*($C48-INDEX(Loads!$G$5:$G$115,$K48))))</f>
        <v>4539.3663684210524</v>
      </c>
      <c r="Q48" t="e">
        <f>MATCH($C48,Loads!$M$5:$M$115,0)</f>
        <v>#N/A</v>
      </c>
      <c r="R48">
        <f>MATCH($C48,Loads!$M$5:$M$115,1)</f>
        <v>109</v>
      </c>
      <c r="S48" s="73">
        <f>IF(ISBLANK(INDEX(Loads!$N$5:$N$115,$R48)),"-",INDEX(Loads!$N$5:$N$115,$K48)+IF(NOT(ISERROR($Q48)),0,(INDEX(Loads!$N$5:$N$115,$R48+1)-INDEX(Loads!$N$5:$N$115,$R48))/(INDEX(Loads!$M$5:$M$115,$R48+1)-INDEX(Loads!$M$5:$M$115,$R48))*($C48-INDEX(Loads!$M$5:$M$115,$R48))))</f>
        <v>-16979.102894736843</v>
      </c>
      <c r="T48" s="73">
        <f>IF(ISBLANK(INDEX(Loads!$O$5:$O$115,$R48)),"-",INDEX(Loads!$O$5:$O$115,$K48)+IF(NOT(ISERROR($Q48)),0,(INDEX(Loads!$O$5:$O$115,$R48+1)-INDEX(Loads!$O$5:$O$115,$R48))/(INDEX(Loads!$M$5:$M$115,$R48+1)-INDEX(Loads!$M$5:$M$115,$R48))*($C48-INDEX(Loads!$M$5:$M$115,$R48))))</f>
        <v>382844.86315789475</v>
      </c>
      <c r="U48" s="73">
        <f>IF(ISBLANK(INDEX(Loads!$P$5:$P$115,$R48)),"-",INDEX(Loads!$P$5:$P$115,$K48)+IF(NOT(ISERROR($Q48)),0,(INDEX(Loads!$P$5:$P$115,$R48+1)-INDEX(Loads!$P$5:$P$115,$R48))/(INDEX(Loads!$M$5:$M$115,$R48+1)-INDEX(Loads!$M$5:$M$115,$R48))*($C48-INDEX(Loads!$M$5:$M$115,$R48))))</f>
        <v>3362.4931842105266</v>
      </c>
    </row>
    <row r="49" spans="3:21">
      <c r="C49" s="72">
        <f>Geometry!AF12</f>
        <v>19.5</v>
      </c>
      <c r="E49" s="62" t="e">
        <f>MATCH($C49,Loads!$C$5:$C$115,0)</f>
        <v>#N/A</v>
      </c>
      <c r="F49" s="62">
        <f>MATCH($C49,Loads!$C$5:$C$115,1)</f>
        <v>109</v>
      </c>
      <c r="G49" s="73">
        <f>IF(ISBLANK(INDEX(Loads!$D$5:$D$115,$F49)),"-",INDEX(Loads!$D$5:$D$115,$F49)+IF(NOT(ISERROR($E49)),0,(INDEX(Loads!$D$5:$D$115,$F49+1)-INDEX(Loads!$D$5:$D$115,$F49))/(INDEX(Loads!$C$5:$C$115,$F49+1)-INDEX(Loads!$C$5:$C$115,$F49))*($C49-INDEX(Loads!$C$5:$C$115,$F49))))</f>
        <v>125004.31578947369</v>
      </c>
      <c r="H49" s="73">
        <f>IF(ISBLANK(INDEX(Loads!$E$5:$E$115,$F49)),"-",INDEX(Loads!$E$5:$E$115,$F49)+IF(NOT(ISERROR($E49)),0,(INDEX(Loads!$E$5:$E$115,$F49+1)-INDEX(Loads!$E$5:$E$115,$F49))/(INDEX(Loads!$C$5:$C$115,$F49+1)-INDEX(Loads!$C$5:$C$115,$F49))*($C49-INDEX(Loads!$C$5:$C$115,$F49))))</f>
        <v>119878.10526315791</v>
      </c>
      <c r="J49" s="62" t="e">
        <f>MATCH($C49,Loads!$G$5:$G$115,0)</f>
        <v>#N/A</v>
      </c>
      <c r="K49" s="62">
        <f>MATCH($C49,Loads!$G$5:$G$115,1)</f>
        <v>109</v>
      </c>
      <c r="L49" s="73">
        <f>IF(ISBLANK(INDEX(Loads!$H$5:$H$115,$K49)),"-",INDEX(Loads!$H$5:$H$115,$K49)+IF(NOT(ISERROR($J49)),0,(INDEX(Loads!$H$5:$H$115,$K49+1)-INDEX(Loads!$H$5:$H$115,$K49))/(INDEX(Loads!$G$5:$G$115,$K49+1)-INDEX(Loads!$G$5:$G$115,$K49))*($C49-INDEX(Loads!$G$5:$G$115,$K49))))</f>
        <v>-23115.644736842103</v>
      </c>
      <c r="M49" s="73">
        <f>IF(ISBLANK(INDEX(Loads!$I$5:$I$115,$K49)),"-",INDEX(Loads!$I$5:$I$115,$K49)+IF(NOT(ISERROR($J49)),0,(INDEX(Loads!$I$5:$I$115,$K49+1)-INDEX(Loads!$I$5:$I$115,$K49))/(INDEX(Loads!$G$5:$G$115,$K49+1)-INDEX(Loads!$G$5:$G$115,$K49))*($C49-INDEX(Loads!$G$5:$G$115,$K49))))</f>
        <v>-46311.487368421054</v>
      </c>
      <c r="N49" s="73">
        <f>IF(ISBLANK(INDEX(Loads!$J$5:$J$115,$K49)),"-",INDEX(Loads!$J$5:$J$115,$K49)+IF(NOT(ISERROR($J49)),0,(INDEX(Loads!$J$5:$J$115,$K49+1)-INDEX(Loads!$J$5:$J$115,$K49))/(INDEX(Loads!$G$5:$G$115,$K49+1)-INDEX(Loads!$G$5:$G$115,$K49))*($C49-INDEX(Loads!$G$5:$G$115,$K49))))</f>
        <v>510870.66842105263</v>
      </c>
      <c r="O49" s="73">
        <f>IF(ISBLANK(INDEX(Loads!$K$5:$K$115,$K49)),"-",INDEX(Loads!$K$5:$K$115,$K49)+IF(NOT(ISERROR($J49)),0,(INDEX(Loads!$K$5:$K$115,$K49+1)-INDEX(Loads!$K$5:$K$115,$K49))/(INDEX(Loads!$G$5:$G$115,$K49+1)-INDEX(Loads!$G$5:$G$115,$K49))*($C49-INDEX(Loads!$G$5:$G$115,$K49))))</f>
        <v>4555.6076842105258</v>
      </c>
      <c r="Q49" t="e">
        <f>MATCH($C49,Loads!$M$5:$M$115,0)</f>
        <v>#N/A</v>
      </c>
      <c r="R49">
        <f>MATCH($C49,Loads!$M$5:$M$115,1)</f>
        <v>109</v>
      </c>
      <c r="S49" s="73">
        <f>IF(ISBLANK(INDEX(Loads!$N$5:$N$115,$R49)),"-",INDEX(Loads!$N$5:$N$115,$K49)+IF(NOT(ISERROR($Q49)),0,(INDEX(Loads!$N$5:$N$115,$R49+1)-INDEX(Loads!$N$5:$N$115,$R49))/(INDEX(Loads!$M$5:$M$115,$R49+1)-INDEX(Loads!$M$5:$M$115,$R49))*($C49-INDEX(Loads!$M$5:$M$115,$R49))))</f>
        <v>-17122.698947368423</v>
      </c>
      <c r="T49" s="73">
        <f>IF(ISBLANK(INDEX(Loads!$O$5:$O$115,$R49)),"-",INDEX(Loads!$O$5:$O$115,$K49)+IF(NOT(ISERROR($Q49)),0,(INDEX(Loads!$O$5:$O$115,$R49+1)-INDEX(Loads!$O$5:$O$115,$R49))/(INDEX(Loads!$M$5:$M$115,$R49+1)-INDEX(Loads!$M$5:$M$115,$R49))*($C49-INDEX(Loads!$M$5:$M$115,$R49))))</f>
        <v>384588.23157894739</v>
      </c>
      <c r="U49" s="73">
        <f>IF(ISBLANK(INDEX(Loads!$P$5:$P$115,$R49)),"-",INDEX(Loads!$P$5:$P$115,$K49)+IF(NOT(ISERROR($Q49)),0,(INDEX(Loads!$P$5:$P$115,$R49+1)-INDEX(Loads!$P$5:$P$115,$R49))/(INDEX(Loads!$M$5:$M$115,$R49+1)-INDEX(Loads!$M$5:$M$115,$R49))*($C49-INDEX(Loads!$M$5:$M$115,$R49))))</f>
        <v>3374.5238421052632</v>
      </c>
    </row>
    <row r="50" spans="3:21">
      <c r="C50" s="72">
        <f>Geometry!AF13</f>
        <v>20</v>
      </c>
      <c r="E50" s="62" t="e">
        <f>MATCH($C50,Loads!$C$5:$C$115,0)</f>
        <v>#N/A</v>
      </c>
      <c r="F50" s="62">
        <f>MATCH($C50,Loads!$C$5:$C$115,1)</f>
        <v>109</v>
      </c>
      <c r="G50" s="73">
        <f>IF(ISBLANK(INDEX(Loads!$D$5:$D$115,$F50)),"-",INDEX(Loads!$D$5:$D$115,$F50)+IF(NOT(ISERROR($E50)),0,(INDEX(Loads!$D$5:$D$115,$F50+1)-INDEX(Loads!$D$5:$D$115,$F50))/(INDEX(Loads!$C$5:$C$115,$F50+1)-INDEX(Loads!$C$5:$C$115,$F50))*($C50-INDEX(Loads!$C$5:$C$115,$F50))))</f>
        <v>124508.13157894739</v>
      </c>
      <c r="H50" s="73">
        <f>IF(ISBLANK(INDEX(Loads!$E$5:$E$115,$F50)),"-",INDEX(Loads!$E$5:$E$115,$F50)+IF(NOT(ISERROR($E50)),0,(INDEX(Loads!$E$5:$E$115,$F50+1)-INDEX(Loads!$E$5:$E$115,$F50))/(INDEX(Loads!$C$5:$C$115,$F50+1)-INDEX(Loads!$C$5:$C$115,$F50))*($C50-INDEX(Loads!$C$5:$C$115,$F50))))</f>
        <v>119390.2105263158</v>
      </c>
      <c r="J50" s="62" t="e">
        <f>MATCH($C50,Loads!$G$5:$G$115,0)</f>
        <v>#N/A</v>
      </c>
      <c r="K50" s="62">
        <f>MATCH($C50,Loads!$G$5:$G$115,1)</f>
        <v>109</v>
      </c>
      <c r="L50" s="73">
        <f>IF(ISBLANK(INDEX(Loads!$H$5:$H$115,$K50)),"-",INDEX(Loads!$H$5:$H$115,$K50)+IF(NOT(ISERROR($J50)),0,(INDEX(Loads!$H$5:$H$115,$K50+1)-INDEX(Loads!$H$5:$H$115,$K50))/(INDEX(Loads!$G$5:$G$115,$K50+1)-INDEX(Loads!$G$5:$G$115,$K50))*($C50-INDEX(Loads!$G$5:$G$115,$K50))))</f>
        <v>-22921.78947368421</v>
      </c>
      <c r="M50" s="73">
        <f>IF(ISBLANK(INDEX(Loads!$I$5:$I$115,$K50)),"-",INDEX(Loads!$I$5:$I$115,$K50)+IF(NOT(ISERROR($J50)),0,(INDEX(Loads!$I$5:$I$115,$K50+1)-INDEX(Loads!$I$5:$I$115,$K50))/(INDEX(Loads!$G$5:$G$115,$K50+1)-INDEX(Loads!$G$5:$G$115,$K50))*($C50-INDEX(Loads!$G$5:$G$115,$K50))))</f>
        <v>-46310.159736842106</v>
      </c>
      <c r="N50" s="73">
        <f>IF(ISBLANK(INDEX(Loads!$J$5:$J$115,$K50)),"-",INDEX(Loads!$J$5:$J$115,$K50)+IF(NOT(ISERROR($J50)),0,(INDEX(Loads!$J$5:$J$115,$K50+1)-INDEX(Loads!$J$5:$J$115,$K50))/(INDEX(Loads!$G$5:$G$115,$K50+1)-INDEX(Loads!$G$5:$G$115,$K50))*($C50-INDEX(Loads!$G$5:$G$115,$K50))))</f>
        <v>508555.78684210527</v>
      </c>
      <c r="O50" s="73">
        <f>IF(ISBLANK(INDEX(Loads!$K$5:$K$115,$K50)),"-",INDEX(Loads!$K$5:$K$115,$K50)+IF(NOT(ISERROR($J50)),0,(INDEX(Loads!$K$5:$K$115,$K50+1)-INDEX(Loads!$K$5:$K$115,$K50))/(INDEX(Loads!$G$5:$G$115,$K50+1)-INDEX(Loads!$G$5:$G$115,$K50))*($C50-INDEX(Loads!$G$5:$G$115,$K50))))</f>
        <v>4539.3663684210524</v>
      </c>
      <c r="Q50" t="e">
        <f>MATCH($C50,Loads!$M$5:$M$115,0)</f>
        <v>#N/A</v>
      </c>
      <c r="R50">
        <f>MATCH($C50,Loads!$M$5:$M$115,1)</f>
        <v>109</v>
      </c>
      <c r="S50" s="73">
        <f>IF(ISBLANK(INDEX(Loads!$N$5:$N$115,$R50)),"-",INDEX(Loads!$N$5:$N$115,$K50)+IF(NOT(ISERROR($Q50)),0,(INDEX(Loads!$N$5:$N$115,$R50+1)-INDEX(Loads!$N$5:$N$115,$R50))/(INDEX(Loads!$M$5:$M$115,$R50+1)-INDEX(Loads!$M$5:$M$115,$R50))*($C50-INDEX(Loads!$M$5:$M$115,$R50))))</f>
        <v>-16979.102894736843</v>
      </c>
      <c r="T50" s="73">
        <f>IF(ISBLANK(INDEX(Loads!$O$5:$O$115,$R50)),"-",INDEX(Loads!$O$5:$O$115,$K50)+IF(NOT(ISERROR($Q50)),0,(INDEX(Loads!$O$5:$O$115,$R50+1)-INDEX(Loads!$O$5:$O$115,$R50))/(INDEX(Loads!$M$5:$M$115,$R50+1)-INDEX(Loads!$M$5:$M$115,$R50))*($C50-INDEX(Loads!$M$5:$M$115,$R50))))</f>
        <v>382844.86315789475</v>
      </c>
      <c r="U50" s="73">
        <f>IF(ISBLANK(INDEX(Loads!$P$5:$P$115,$R50)),"-",INDEX(Loads!$P$5:$P$115,$K50)+IF(NOT(ISERROR($Q50)),0,(INDEX(Loads!$P$5:$P$115,$R50+1)-INDEX(Loads!$P$5:$P$115,$R50))/(INDEX(Loads!$M$5:$M$115,$R50+1)-INDEX(Loads!$M$5:$M$115,$R50))*($C50-INDEX(Loads!$M$5:$M$115,$R50))))</f>
        <v>3362.4931842105266</v>
      </c>
    </row>
    <row r="51" spans="3:21">
      <c r="C51" s="72">
        <f>Geometry!AF14</f>
        <v>15.73</v>
      </c>
      <c r="E51" s="62" t="e">
        <f>MATCH($C51,Loads!$C$5:$C$115,0)</f>
        <v>#N/A</v>
      </c>
      <c r="F51" s="62">
        <f>MATCH($C51,Loads!$C$5:$C$115,1)</f>
        <v>108</v>
      </c>
      <c r="G51" s="73">
        <f>IF(ISBLANK(INDEX(Loads!$D$5:$D$115,$F51)),"-",INDEX(Loads!$D$5:$D$115,$F51)+IF(NOT(ISERROR($E51)),0,(INDEX(Loads!$D$5:$D$115,$F51+1)-INDEX(Loads!$D$5:$D$115,$F51))/(INDEX(Loads!$C$5:$C$115,$F51+1)-INDEX(Loads!$C$5:$C$115,$F51))*($C51-INDEX(Loads!$C$5:$C$115,$F51))))</f>
        <v>128773.91538461539</v>
      </c>
      <c r="H51" s="73">
        <f>IF(ISBLANK(INDEX(Loads!$E$5:$E$115,$F51)),"-",INDEX(Loads!$E$5:$E$115,$F51)+IF(NOT(ISERROR($E51)),0,(INDEX(Loads!$E$5:$E$115,$F51+1)-INDEX(Loads!$E$5:$E$115,$F51))/(INDEX(Loads!$C$5:$C$115,$F51+1)-INDEX(Loads!$C$5:$C$115,$F51))*($C51-INDEX(Loads!$C$5:$C$115,$F51))))</f>
        <v>123569.97692307693</v>
      </c>
      <c r="J51" s="62" t="e">
        <f>MATCH($C51,Loads!$G$5:$G$115,0)</f>
        <v>#N/A</v>
      </c>
      <c r="K51" s="62">
        <f>MATCH($C51,Loads!$G$5:$G$115,1)</f>
        <v>108</v>
      </c>
      <c r="L51" s="73">
        <f>IF(ISBLANK(INDEX(Loads!$H$5:$H$115,$K51)),"-",INDEX(Loads!$H$5:$H$115,$K51)+IF(NOT(ISERROR($J51)),0,(INDEX(Loads!$H$5:$H$115,$K51+1)-INDEX(Loads!$H$5:$H$115,$K51))/(INDEX(Loads!$G$5:$G$115,$K51+1)-INDEX(Loads!$G$5:$G$115,$K51))*($C51-INDEX(Loads!$G$5:$G$115,$K51))))</f>
        <v>-24357.905794871796</v>
      </c>
      <c r="M51" s="73">
        <f>IF(ISBLANK(INDEX(Loads!$I$5:$I$115,$K51)),"-",INDEX(Loads!$I$5:$I$115,$K51)+IF(NOT(ISERROR($J51)),0,(INDEX(Loads!$I$5:$I$115,$K51+1)-INDEX(Loads!$I$5:$I$115,$K51))/(INDEX(Loads!$G$5:$G$115,$K51+1)-INDEX(Loads!$G$5:$G$115,$K51))*($C51-INDEX(Loads!$G$5:$G$115,$K51))))</f>
        <v>-46321.330666666669</v>
      </c>
      <c r="N51" s="73">
        <f>IF(ISBLANK(INDEX(Loads!$J$5:$J$115,$K51)),"-",INDEX(Loads!$J$5:$J$115,$K51)+IF(NOT(ISERROR($J51)),0,(INDEX(Loads!$J$5:$J$115,$K51+1)-INDEX(Loads!$J$5:$J$115,$K51))/(INDEX(Loads!$G$5:$G$115,$K51+1)-INDEX(Loads!$G$5:$G$115,$K51))*($C51-INDEX(Loads!$G$5:$G$115,$K51))))</f>
        <v>528552.30384615378</v>
      </c>
      <c r="O51" s="73">
        <f>IF(ISBLANK(INDEX(Loads!$K$5:$K$115,$K51)),"-",INDEX(Loads!$K$5:$K$115,$K51)+IF(NOT(ISERROR($J51)),0,(INDEX(Loads!$K$5:$K$115,$K51+1)-INDEX(Loads!$K$5:$K$115,$K51))/(INDEX(Loads!$G$5:$G$115,$K51+1)-INDEX(Loads!$G$5:$G$115,$K51))*($C51-INDEX(Loads!$G$5:$G$115,$K51))))</f>
        <v>4733.8071435897436</v>
      </c>
      <c r="Q51" t="e">
        <f>MATCH($C51,Loads!$M$5:$M$115,0)</f>
        <v>#N/A</v>
      </c>
      <c r="R51">
        <f>MATCH($C51,Loads!$M$5:$M$115,1)</f>
        <v>108</v>
      </c>
      <c r="S51" s="73">
        <f>IF(ISBLANK(INDEX(Loads!$N$5:$N$115,$R51)),"-",INDEX(Loads!$N$5:$N$115,$K51)+IF(NOT(ISERROR($Q51)),0,(INDEX(Loads!$N$5:$N$115,$R51+1)-INDEX(Loads!$N$5:$N$115,$R51))/(INDEX(Loads!$M$5:$M$115,$R51+1)-INDEX(Loads!$M$5:$M$115,$R51))*($C51-INDEX(Loads!$M$5:$M$115,$R51))))</f>
        <v>-18042.892820512821</v>
      </c>
      <c r="T51" s="73">
        <f>IF(ISBLANK(INDEX(Loads!$O$5:$O$115,$R51)),"-",INDEX(Loads!$O$5:$O$115,$K51)+IF(NOT(ISERROR($Q51)),0,(INDEX(Loads!$O$5:$O$115,$R51+1)-INDEX(Loads!$O$5:$O$115,$R51))/(INDEX(Loads!$M$5:$M$115,$R51+1)-INDEX(Loads!$M$5:$M$115,$R51))*($C51-INDEX(Loads!$M$5:$M$115,$R51))))</f>
        <v>397899.3248717949</v>
      </c>
      <c r="U51" s="73">
        <f>IF(ISBLANK(INDEX(Loads!$P$5:$P$115,$R51)),"-",INDEX(Loads!$P$5:$P$115,$K51)+IF(NOT(ISERROR($Q51)),0,(INDEX(Loads!$P$5:$P$115,$R51+1)-INDEX(Loads!$P$5:$P$115,$R51))/(INDEX(Loads!$M$5:$M$115,$R51+1)-INDEX(Loads!$M$5:$M$115,$R51))*($C51-INDEX(Loads!$M$5:$M$115,$R51))))</f>
        <v>3506.523594871795</v>
      </c>
    </row>
    <row r="52" spans="3:21">
      <c r="C52" s="72">
        <f>Geometry!AF15</f>
        <v>12.7</v>
      </c>
      <c r="E52" s="62" t="e">
        <f>MATCH($C52,Loads!$C$5:$C$115,0)</f>
        <v>#N/A</v>
      </c>
      <c r="F52" s="62">
        <f>MATCH($C52,Loads!$C$5:$C$115,1)</f>
        <v>107</v>
      </c>
      <c r="G52" s="73">
        <f>IF(ISBLANK(INDEX(Loads!$D$5:$D$115,$F52)),"-",INDEX(Loads!$D$5:$D$115,$F52)+IF(NOT(ISERROR($E52)),0,(INDEX(Loads!$D$5:$D$115,$F52+1)-INDEX(Loads!$D$5:$D$115,$F52))/(INDEX(Loads!$C$5:$C$115,$F52+1)-INDEX(Loads!$C$5:$C$115,$F52))*($C52-INDEX(Loads!$C$5:$C$115,$F52))))</f>
        <v>131867.76923076922</v>
      </c>
      <c r="H52" s="73">
        <f>IF(ISBLANK(INDEX(Loads!$E$5:$E$115,$F52)),"-",INDEX(Loads!$E$5:$E$115,$F52)+IF(NOT(ISERROR($E52)),0,(INDEX(Loads!$E$5:$E$115,$F52+1)-INDEX(Loads!$E$5:$E$115,$F52))/(INDEX(Loads!$C$5:$C$115,$F52+1)-INDEX(Loads!$C$5:$C$115,$F52))*($C52-INDEX(Loads!$C$5:$C$115,$F52))))</f>
        <v>126569.53846153847</v>
      </c>
      <c r="J52" s="62" t="e">
        <f>MATCH($C52,Loads!$G$5:$G$115,0)</f>
        <v>#N/A</v>
      </c>
      <c r="K52" s="62">
        <f>MATCH($C52,Loads!$G$5:$G$115,1)</f>
        <v>107</v>
      </c>
      <c r="L52" s="73">
        <f>IF(ISBLANK(INDEX(Loads!$H$5:$H$115,$K52)),"-",INDEX(Loads!$H$5:$H$115,$K52)+IF(NOT(ISERROR($J52)),0,(INDEX(Loads!$H$5:$H$115,$K52+1)-INDEX(Loads!$H$5:$H$115,$K52))/(INDEX(Loads!$G$5:$G$115,$K52+1)-INDEX(Loads!$G$5:$G$115,$K52))*($C52-INDEX(Loads!$G$5:$G$115,$K52))))</f>
        <v>-25041.174871794872</v>
      </c>
      <c r="M52" s="73">
        <f>IF(ISBLANK(INDEX(Loads!$I$5:$I$115,$K52)),"-",INDEX(Loads!$I$5:$I$115,$K52)+IF(NOT(ISERROR($J52)),0,(INDEX(Loads!$I$5:$I$115,$K52+1)-INDEX(Loads!$I$5:$I$115,$K52))/(INDEX(Loads!$G$5:$G$115,$K52+1)-INDEX(Loads!$G$5:$G$115,$K52))*($C52-INDEX(Loads!$G$5:$G$115,$K52))))</f>
        <v>-46328.913076923076</v>
      </c>
      <c r="N52" s="73">
        <f>IF(ISBLANK(INDEX(Loads!$J$5:$J$115,$K52)),"-",INDEX(Loads!$J$5:$J$115,$K52)+IF(NOT(ISERROR($J52)),0,(INDEX(Loads!$J$5:$J$115,$K52+1)-INDEX(Loads!$J$5:$J$115,$K52))/(INDEX(Loads!$G$5:$G$115,$K52+1)-INDEX(Loads!$G$5:$G$115,$K52))*($C52-INDEX(Loads!$G$5:$G$115,$K52))))</f>
        <v>543105.57435897435</v>
      </c>
      <c r="O52" s="73">
        <f>IF(ISBLANK(INDEX(Loads!$K$5:$K$115,$K52)),"-",INDEX(Loads!$K$5:$K$115,$K52)+IF(NOT(ISERROR($J52)),0,(INDEX(Loads!$K$5:$K$115,$K52+1)-INDEX(Loads!$K$5:$K$115,$K52))/(INDEX(Loads!$G$5:$G$115,$K52+1)-INDEX(Loads!$G$5:$G$115,$K52))*($C52-INDEX(Loads!$G$5:$G$115,$K52))))</f>
        <v>5841.7324615384587</v>
      </c>
      <c r="Q52" t="e">
        <f>MATCH($C52,Loads!$M$5:$M$115,0)</f>
        <v>#N/A</v>
      </c>
      <c r="R52">
        <f>MATCH($C52,Loads!$M$5:$M$115,1)</f>
        <v>107</v>
      </c>
      <c r="S52" s="73">
        <f>IF(ISBLANK(INDEX(Loads!$N$5:$N$115,$R52)),"-",INDEX(Loads!$N$5:$N$115,$K52)+IF(NOT(ISERROR($Q52)),0,(INDEX(Loads!$N$5:$N$115,$R52+1)-INDEX(Loads!$N$5:$N$115,$R52))/(INDEX(Loads!$M$5:$M$115,$R52+1)-INDEX(Loads!$M$5:$M$115,$R52))*($C52-INDEX(Loads!$M$5:$M$115,$R52))))</f>
        <v>-18549.022820512822</v>
      </c>
      <c r="T52" s="73">
        <f>IF(ISBLANK(INDEX(Loads!$O$5:$O$115,$R52)),"-",INDEX(Loads!$O$5:$O$115,$K52)+IF(NOT(ISERROR($Q52)),0,(INDEX(Loads!$O$5:$O$115,$R52+1)-INDEX(Loads!$O$5:$O$115,$R52))/(INDEX(Loads!$M$5:$M$115,$R52+1)-INDEX(Loads!$M$5:$M$115,$R52))*($C52-INDEX(Loads!$M$5:$M$115,$R52))))</f>
        <v>408848.75641025638</v>
      </c>
      <c r="U52" s="73">
        <f>IF(ISBLANK(INDEX(Loads!$P$5:$P$115,$R52)),"-",INDEX(Loads!$P$5:$P$115,$K52)+IF(NOT(ISERROR($Q52)),0,(INDEX(Loads!$P$5:$P$115,$R52+1)-INDEX(Loads!$P$5:$P$115,$R52))/(INDEX(Loads!$M$5:$M$115,$R52+1)-INDEX(Loads!$M$5:$M$115,$R52))*($C52-INDEX(Loads!$M$5:$M$115,$R52))))</f>
        <v>4327.2089230769207</v>
      </c>
    </row>
    <row r="53" spans="3:21">
      <c r="C53" s="72">
        <f>Geometry!AF16</f>
        <v>12</v>
      </c>
      <c r="E53" s="62" t="e">
        <f>MATCH($C53,Loads!$C$5:$C$115,0)</f>
        <v>#N/A</v>
      </c>
      <c r="F53" s="62">
        <f>MATCH($C53,Loads!$C$5:$C$115,1)</f>
        <v>107</v>
      </c>
      <c r="G53" s="73">
        <f>IF(ISBLANK(INDEX(Loads!$D$5:$D$115,$F53)),"-",INDEX(Loads!$D$5:$D$115,$F53)+IF(NOT(ISERROR($E53)),0,(INDEX(Loads!$D$5:$D$115,$F53+1)-INDEX(Loads!$D$5:$D$115,$F53))/(INDEX(Loads!$C$5:$C$115,$F53+1)-INDEX(Loads!$C$5:$C$115,$F53))*($C53-INDEX(Loads!$C$5:$C$115,$F53))))</f>
        <v>132610.84615384616</v>
      </c>
      <c r="H53" s="73">
        <f>IF(ISBLANK(INDEX(Loads!$E$5:$E$115,$F53)),"-",INDEX(Loads!$E$5:$E$115,$F53)+IF(NOT(ISERROR($E53)),0,(INDEX(Loads!$E$5:$E$115,$F53+1)-INDEX(Loads!$E$5:$E$115,$F53))/(INDEX(Loads!$C$5:$C$115,$F53+1)-INDEX(Loads!$C$5:$C$115,$F53))*($C53-INDEX(Loads!$C$5:$C$115,$F53))))</f>
        <v>127278.69230769231</v>
      </c>
      <c r="J53" s="62" t="e">
        <f>MATCH($C53,Loads!$G$5:$G$115,0)</f>
        <v>#N/A</v>
      </c>
      <c r="K53" s="62">
        <f>MATCH($C53,Loads!$G$5:$G$115,1)</f>
        <v>107</v>
      </c>
      <c r="L53" s="73">
        <f>IF(ISBLANK(INDEX(Loads!$H$5:$H$115,$K53)),"-",INDEX(Loads!$H$5:$H$115,$K53)+IF(NOT(ISERROR($J53)),0,(INDEX(Loads!$H$5:$H$115,$K53+1)-INDEX(Loads!$H$5:$H$115,$K53))/(INDEX(Loads!$G$5:$G$115,$K53+1)-INDEX(Loads!$G$5:$G$115,$K53))*($C53-INDEX(Loads!$G$5:$G$115,$K53))))</f>
        <v>-25191.737692307692</v>
      </c>
      <c r="M53" s="73">
        <f>IF(ISBLANK(INDEX(Loads!$I$5:$I$115,$K53)),"-",INDEX(Loads!$I$5:$I$115,$K53)+IF(NOT(ISERROR($J53)),0,(INDEX(Loads!$I$5:$I$115,$K53+1)-INDEX(Loads!$I$5:$I$115,$K53))/(INDEX(Loads!$G$5:$G$115,$K53+1)-INDEX(Loads!$G$5:$G$115,$K53))*($C53-INDEX(Loads!$G$5:$G$115,$K53))))</f>
        <v>-46330.555384615385</v>
      </c>
      <c r="N53" s="73">
        <f>IF(ISBLANK(INDEX(Loads!$J$5:$J$115,$K53)),"-",INDEX(Loads!$J$5:$J$115,$K53)+IF(NOT(ISERROR($J53)),0,(INDEX(Loads!$J$5:$J$115,$K53+1)-INDEX(Loads!$J$5:$J$115,$K53))/(INDEX(Loads!$G$5:$G$115,$K53+1)-INDEX(Loads!$G$5:$G$115,$K53))*($C53-INDEX(Loads!$G$5:$G$115,$K53))))</f>
        <v>546493.5384615385</v>
      </c>
      <c r="O53" s="73">
        <f>IF(ISBLANK(INDEX(Loads!$K$5:$K$115,$K53)),"-",INDEX(Loads!$K$5:$K$115,$K53)+IF(NOT(ISERROR($J53)),0,(INDEX(Loads!$K$5:$K$115,$K53+1)-INDEX(Loads!$K$5:$K$115,$K53))/(INDEX(Loads!$G$5:$G$115,$K53+1)-INDEX(Loads!$G$5:$G$115,$K53))*($C53-INDEX(Loads!$G$5:$G$115,$K53))))</f>
        <v>7133.6643076923028</v>
      </c>
      <c r="Q53" t="e">
        <f>MATCH($C53,Loads!$M$5:$M$115,0)</f>
        <v>#N/A</v>
      </c>
      <c r="R53">
        <f>MATCH($C53,Loads!$M$5:$M$115,1)</f>
        <v>107</v>
      </c>
      <c r="S53" s="73">
        <f>IF(ISBLANK(INDEX(Loads!$N$5:$N$115,$R53)),"-",INDEX(Loads!$N$5:$N$115,$K53)+IF(NOT(ISERROR($Q53)),0,(INDEX(Loads!$N$5:$N$115,$R53+1)-INDEX(Loads!$N$5:$N$115,$R53))/(INDEX(Loads!$M$5:$M$115,$R53+1)-INDEX(Loads!$M$5:$M$115,$R53))*($C53-INDEX(Loads!$M$5:$M$115,$R53))))</f>
        <v>-18660.550769230769</v>
      </c>
      <c r="T53" s="73">
        <f>IF(ISBLANK(INDEX(Loads!$O$5:$O$115,$R53)),"-",INDEX(Loads!$O$5:$O$115,$K53)+IF(NOT(ISERROR($Q53)),0,(INDEX(Loads!$O$5:$O$115,$R53+1)-INDEX(Loads!$O$5:$O$115,$R53))/(INDEX(Loads!$M$5:$M$115,$R53+1)-INDEX(Loads!$M$5:$M$115,$R53))*($C53-INDEX(Loads!$M$5:$M$115,$R53))))</f>
        <v>411398.5153846154</v>
      </c>
      <c r="U53" s="73">
        <f>IF(ISBLANK(INDEX(Loads!$P$5:$P$115,$R53)),"-",INDEX(Loads!$P$5:$P$115,$K53)+IF(NOT(ISERROR($Q53)),0,(INDEX(Loads!$P$5:$P$115,$R53+1)-INDEX(Loads!$P$5:$P$115,$R53))/(INDEX(Loads!$M$5:$M$115,$R53+1)-INDEX(Loads!$M$5:$M$115,$R53))*($C53-INDEX(Loads!$M$5:$M$115,$R53))))</f>
        <v>5284.1956153846113</v>
      </c>
    </row>
    <row r="54" spans="3:21">
      <c r="C54" s="72">
        <f>Geometry!AF17</f>
        <v>11.8</v>
      </c>
      <c r="E54" s="62" t="e">
        <f>MATCH($C54,Loads!$C$5:$C$115,0)</f>
        <v>#N/A</v>
      </c>
      <c r="F54" s="62">
        <f>MATCH($C54,Loads!$C$5:$C$115,1)</f>
        <v>107</v>
      </c>
      <c r="G54" s="73">
        <f>IF(ISBLANK(INDEX(Loads!$D$5:$D$115,$F54)),"-",INDEX(Loads!$D$5:$D$115,$F54)+IF(NOT(ISERROR($E54)),0,(INDEX(Loads!$D$5:$D$115,$F54+1)-INDEX(Loads!$D$5:$D$115,$F54))/(INDEX(Loads!$C$5:$C$115,$F54+1)-INDEX(Loads!$C$5:$C$115,$F54))*($C54-INDEX(Loads!$C$5:$C$115,$F54))))</f>
        <v>132823.15384615384</v>
      </c>
      <c r="H54" s="73">
        <f>IF(ISBLANK(INDEX(Loads!$E$5:$E$115,$F54)),"-",INDEX(Loads!$E$5:$E$115,$F54)+IF(NOT(ISERROR($E54)),0,(INDEX(Loads!$E$5:$E$115,$F54+1)-INDEX(Loads!$E$5:$E$115,$F54))/(INDEX(Loads!$C$5:$C$115,$F54+1)-INDEX(Loads!$C$5:$C$115,$F54))*($C54-INDEX(Loads!$C$5:$C$115,$F54))))</f>
        <v>127481.3076923077</v>
      </c>
      <c r="J54" s="62" t="e">
        <f>MATCH($C54,Loads!$G$5:$G$115,0)</f>
        <v>#N/A</v>
      </c>
      <c r="K54" s="62">
        <f>MATCH($C54,Loads!$G$5:$G$115,1)</f>
        <v>107</v>
      </c>
      <c r="L54" s="73">
        <f>IF(ISBLANK(INDEX(Loads!$H$5:$H$115,$K54)),"-",INDEX(Loads!$H$5:$H$115,$K54)+IF(NOT(ISERROR($J54)),0,(INDEX(Loads!$H$5:$H$115,$K54+1)-INDEX(Loads!$H$5:$H$115,$K54))/(INDEX(Loads!$G$5:$G$115,$K54+1)-INDEX(Loads!$G$5:$G$115,$K54))*($C54-INDEX(Loads!$G$5:$G$115,$K54))))</f>
        <v>-25234.75564102564</v>
      </c>
      <c r="M54" s="73">
        <f>IF(ISBLANK(INDEX(Loads!$I$5:$I$115,$K54)),"-",INDEX(Loads!$I$5:$I$115,$K54)+IF(NOT(ISERROR($J54)),0,(INDEX(Loads!$I$5:$I$115,$K54+1)-INDEX(Loads!$I$5:$I$115,$K54))/(INDEX(Loads!$G$5:$G$115,$K54+1)-INDEX(Loads!$G$5:$G$115,$K54))*($C54-INDEX(Loads!$G$5:$G$115,$K54))))</f>
        <v>-46331.024615384616</v>
      </c>
      <c r="N54" s="73">
        <f>IF(ISBLANK(INDEX(Loads!$J$5:$J$115,$K54)),"-",INDEX(Loads!$J$5:$J$115,$K54)+IF(NOT(ISERROR($J54)),0,(INDEX(Loads!$J$5:$J$115,$K54+1)-INDEX(Loads!$J$5:$J$115,$K54))/(INDEX(Loads!$G$5:$G$115,$K54+1)-INDEX(Loads!$G$5:$G$115,$K54))*($C54-INDEX(Loads!$G$5:$G$115,$K54))))</f>
        <v>547461.52820512815</v>
      </c>
      <c r="O54" s="73">
        <f>IF(ISBLANK(INDEX(Loads!$K$5:$K$115,$K54)),"-",INDEX(Loads!$K$5:$K$115,$K54)+IF(NOT(ISERROR($J54)),0,(INDEX(Loads!$K$5:$K$115,$K54+1)-INDEX(Loads!$K$5:$K$115,$K54))/(INDEX(Loads!$G$5:$G$115,$K54+1)-INDEX(Loads!$G$5:$G$115,$K54))*($C54-INDEX(Loads!$G$5:$G$115,$K54))))</f>
        <v>7502.7876923076865</v>
      </c>
      <c r="Q54" t="e">
        <f>MATCH($C54,Loads!$M$5:$M$115,0)</f>
        <v>#N/A</v>
      </c>
      <c r="R54">
        <f>MATCH($C54,Loads!$M$5:$M$115,1)</f>
        <v>107</v>
      </c>
      <c r="S54" s="73">
        <f>IF(ISBLANK(INDEX(Loads!$N$5:$N$115,$R54)),"-",INDEX(Loads!$N$5:$N$115,$K54)+IF(NOT(ISERROR($Q54)),0,(INDEX(Loads!$N$5:$N$115,$R54+1)-INDEX(Loads!$N$5:$N$115,$R54))/(INDEX(Loads!$M$5:$M$115,$R54+1)-INDEX(Loads!$M$5:$M$115,$R54))*($C54-INDEX(Loads!$M$5:$M$115,$R54))))</f>
        <v>-18692.415897435898</v>
      </c>
      <c r="T54" s="73">
        <f>IF(ISBLANK(INDEX(Loads!$O$5:$O$115,$R54)),"-",INDEX(Loads!$O$5:$O$115,$K54)+IF(NOT(ISERROR($Q54)),0,(INDEX(Loads!$O$5:$O$115,$R54+1)-INDEX(Loads!$O$5:$O$115,$R54))/(INDEX(Loads!$M$5:$M$115,$R54+1)-INDEX(Loads!$M$5:$M$115,$R54))*($C54-INDEX(Loads!$M$5:$M$115,$R54))))</f>
        <v>412127.01794871793</v>
      </c>
      <c r="U54" s="73">
        <f>IF(ISBLANK(INDEX(Loads!$P$5:$P$115,$R54)),"-",INDEX(Loads!$P$5:$P$115,$K54)+IF(NOT(ISERROR($Q54)),0,(INDEX(Loads!$P$5:$P$115,$R54+1)-INDEX(Loads!$P$5:$P$115,$R54))/(INDEX(Loads!$M$5:$M$115,$R54+1)-INDEX(Loads!$M$5:$M$115,$R54))*($C54-INDEX(Loads!$M$5:$M$115,$R54))))</f>
        <v>5557.6203846153803</v>
      </c>
    </row>
    <row r="55" spans="3:21">
      <c r="C55" s="72">
        <f>Geometry!AF18</f>
        <v>8.1999999999999993</v>
      </c>
      <c r="E55" s="62" t="e">
        <f>MATCH($C55,Loads!$C$5:$C$115,0)</f>
        <v>#N/A</v>
      </c>
      <c r="F55" s="62">
        <f>MATCH($C55,Loads!$C$5:$C$115,1)</f>
        <v>106</v>
      </c>
      <c r="G55" s="73">
        <f>IF(ISBLANK(INDEX(Loads!$D$5:$D$115,$F55)),"-",INDEX(Loads!$D$5:$D$115,$F55)+IF(NOT(ISERROR($E55)),0,(INDEX(Loads!$D$5:$D$115,$F55+1)-INDEX(Loads!$D$5:$D$115,$F55))/(INDEX(Loads!$C$5:$C$115,$F55+1)-INDEX(Loads!$C$5:$C$115,$F55))*($C55-INDEX(Loads!$C$5:$C$115,$F55))))</f>
        <v>136698.86842105264</v>
      </c>
      <c r="H55" s="73">
        <f>IF(ISBLANK(INDEX(Loads!$E$5:$E$115,$F55)),"-",INDEX(Loads!$E$5:$E$115,$F55)+IF(NOT(ISERROR($E55)),0,(INDEX(Loads!$E$5:$E$115,$F55+1)-INDEX(Loads!$E$5:$E$115,$F55))/(INDEX(Loads!$C$5:$C$115,$F55+1)-INDEX(Loads!$C$5:$C$115,$F55))*($C55-INDEX(Loads!$C$5:$C$115,$F55))))</f>
        <v>131170.73684210528</v>
      </c>
      <c r="J55" s="62" t="e">
        <f>MATCH($C55,Loads!$G$5:$G$115,0)</f>
        <v>#N/A</v>
      </c>
      <c r="K55" s="62">
        <f>MATCH($C55,Loads!$G$5:$G$115,1)</f>
        <v>106</v>
      </c>
      <c r="L55" s="73">
        <f>IF(ISBLANK(INDEX(Loads!$H$5:$H$115,$K55)),"-",INDEX(Loads!$H$5:$H$115,$K55)+IF(NOT(ISERROR($J55)),0,(INDEX(Loads!$H$5:$H$115,$K55+1)-INDEX(Loads!$H$5:$H$115,$K55))/(INDEX(Loads!$G$5:$G$115,$K55+1)-INDEX(Loads!$G$5:$G$115,$K55))*($C55-INDEX(Loads!$G$5:$G$115,$K55))))</f>
        <v>-26252.19289473684</v>
      </c>
      <c r="M55" s="73">
        <f>IF(ISBLANK(INDEX(Loads!$I$5:$I$115,$K55)),"-",INDEX(Loads!$I$5:$I$115,$K55)+IF(NOT(ISERROR($J55)),0,(INDEX(Loads!$I$5:$I$115,$K55+1)-INDEX(Loads!$I$5:$I$115,$K55))/(INDEX(Loads!$G$5:$G$115,$K55+1)-INDEX(Loads!$G$5:$G$115,$K55))*($C55-INDEX(Loads!$G$5:$G$115,$K55))))</f>
        <v>-46339.31578947368</v>
      </c>
      <c r="N55" s="73">
        <f>IF(ISBLANK(INDEX(Loads!$J$5:$J$115,$K55)),"-",INDEX(Loads!$J$5:$J$115,$K55)+IF(NOT(ISERROR($J55)),0,(INDEX(Loads!$J$5:$J$115,$K55+1)-INDEX(Loads!$J$5:$J$115,$K55))/(INDEX(Loads!$G$5:$G$115,$K55+1)-INDEX(Loads!$G$5:$G$115,$K55))*($C55-INDEX(Loads!$G$5:$G$115,$K55))))</f>
        <v>564877.49736842106</v>
      </c>
      <c r="O55" s="73">
        <f>IF(ISBLANK(INDEX(Loads!$K$5:$K$115,$K55)),"-",INDEX(Loads!$K$5:$K$115,$K55)+IF(NOT(ISERROR($J55)),0,(INDEX(Loads!$K$5:$K$115,$K55+1)-INDEX(Loads!$K$5:$K$115,$K55))/(INDEX(Loads!$G$5:$G$115,$K55+1)-INDEX(Loads!$G$5:$G$115,$K55))*($C55-INDEX(Loads!$G$5:$G$115,$K55))))</f>
        <v>11964.138421052632</v>
      </c>
      <c r="Q55" t="e">
        <f>MATCH($C55,Loads!$M$5:$M$115,0)</f>
        <v>#N/A</v>
      </c>
      <c r="R55">
        <f>MATCH($C55,Loads!$M$5:$M$115,1)</f>
        <v>106</v>
      </c>
      <c r="S55" s="73">
        <f>IF(ISBLANK(INDEX(Loads!$N$5:$N$115,$R55)),"-",INDEX(Loads!$N$5:$N$115,$K55)+IF(NOT(ISERROR($Q55)),0,(INDEX(Loads!$N$5:$N$115,$R55+1)-INDEX(Loads!$N$5:$N$115,$R55))/(INDEX(Loads!$M$5:$M$115,$R55+1)-INDEX(Loads!$M$5:$M$115,$R55))*($C55-INDEX(Loads!$M$5:$M$115,$R55))))</f>
        <v>-19446.070526315787</v>
      </c>
      <c r="T55" s="73">
        <f>IF(ISBLANK(INDEX(Loads!$O$5:$O$115,$R55)),"-",INDEX(Loads!$O$5:$O$115,$K55)+IF(NOT(ISERROR($Q55)),0,(INDEX(Loads!$O$5:$O$115,$R55+1)-INDEX(Loads!$O$5:$O$115,$R55))/(INDEX(Loads!$M$5:$M$115,$R55+1)-INDEX(Loads!$M$5:$M$115,$R55))*($C55-INDEX(Loads!$M$5:$M$115,$R55))))</f>
        <v>425235.93947368418</v>
      </c>
      <c r="U55" s="73">
        <f>IF(ISBLANK(INDEX(Loads!$P$5:$P$115,$R55)),"-",INDEX(Loads!$P$5:$P$115,$K55)+IF(NOT(ISERROR($Q55)),0,(INDEX(Loads!$P$5:$P$115,$R55+1)-INDEX(Loads!$P$5:$P$115,$R55))/(INDEX(Loads!$M$5:$M$115,$R55+1)-INDEX(Loads!$M$5:$M$115,$R55))*($C55-INDEX(Loads!$M$5:$M$115,$R55))))</f>
        <v>8862.3242368421052</v>
      </c>
    </row>
    <row r="58" spans="3:21">
      <c r="C58" s="35" t="s">
        <v>210</v>
      </c>
      <c r="E58" s="62"/>
      <c r="F58" s="62"/>
      <c r="J58" s="62"/>
      <c r="K58" s="62"/>
    </row>
    <row r="59" spans="3:21">
      <c r="E59" s="62"/>
      <c r="F59" s="62"/>
      <c r="G59" s="305" t="s">
        <v>285</v>
      </c>
      <c r="H59" s="306"/>
      <c r="J59" s="62"/>
      <c r="K59" s="62"/>
      <c r="L59" s="305" t="s">
        <v>220</v>
      </c>
      <c r="M59" s="307"/>
      <c r="N59" s="307"/>
      <c r="O59" s="306"/>
      <c r="S59" s="305" t="s">
        <v>221</v>
      </c>
      <c r="T59" s="307"/>
      <c r="U59" s="306"/>
    </row>
    <row r="60" spans="3:21">
      <c r="C60" s="70" t="s">
        <v>334</v>
      </c>
      <c r="E60" s="62"/>
      <c r="F60" s="62"/>
      <c r="G60" s="70" t="s">
        <v>267</v>
      </c>
      <c r="H60" s="70" t="str">
        <f>IF(Control!$F$39="EC","m=4, N=1E7","m=5, N=1e7")</f>
        <v>m=4, N=1E7</v>
      </c>
      <c r="J60" s="62"/>
      <c r="K60" s="62"/>
      <c r="L60" s="70" t="s">
        <v>73</v>
      </c>
      <c r="M60" s="70" t="s">
        <v>74</v>
      </c>
      <c r="N60" s="70" t="s">
        <v>75</v>
      </c>
      <c r="O60" s="70" t="s">
        <v>76</v>
      </c>
      <c r="S60" s="70" t="s">
        <v>73</v>
      </c>
      <c r="T60" s="70" t="s">
        <v>75</v>
      </c>
      <c r="U60" s="70" t="s">
        <v>76</v>
      </c>
    </row>
    <row r="61" spans="3:21">
      <c r="C61" s="70" t="str">
        <f>"[m"&amp;Control!$F$7&amp;"]"</f>
        <v>[mLAT]</v>
      </c>
      <c r="E61" s="62"/>
      <c r="F61" s="62"/>
      <c r="G61" s="70" t="s">
        <v>20</v>
      </c>
      <c r="H61" s="70" t="s">
        <v>20</v>
      </c>
      <c r="J61" s="62"/>
      <c r="K61" s="62"/>
      <c r="L61" s="70" t="s">
        <v>268</v>
      </c>
      <c r="M61" s="70" t="s">
        <v>20</v>
      </c>
      <c r="N61" s="70" t="s">
        <v>20</v>
      </c>
      <c r="O61" s="70" t="s">
        <v>268</v>
      </c>
      <c r="S61" s="70" t="s">
        <v>268</v>
      </c>
      <c r="T61" s="70" t="s">
        <v>20</v>
      </c>
      <c r="U61" s="70" t="s">
        <v>268</v>
      </c>
    </row>
    <row r="62" spans="3:21">
      <c r="C62" s="72">
        <f>Geometry!AF26</f>
        <v>4.3999999999999995</v>
      </c>
      <c r="E62" s="62" t="e">
        <f>MATCH($C62,Loads!$C$5:$C$115,0)</f>
        <v>#N/A</v>
      </c>
      <c r="F62" s="62">
        <f>MATCH($C62,Loads!$C$5:$C$115,1)</f>
        <v>105</v>
      </c>
      <c r="G62" s="73">
        <f>IF(ISBLANK(INDEX(Loads!$D$5:$D$115,$F62)),"-",INDEX(Loads!$D$5:$D$115,$F62)+IF(NOT(ISERROR($E62)),0,(INDEX(Loads!$D$5:$D$115,$F62+1)-INDEX(Loads!$D$5:$D$115,$F62))/(INDEX(Loads!$C$5:$C$115,$F62+1)-INDEX(Loads!$C$5:$C$115,$F62))*($C62-INDEX(Loads!$C$5:$C$115,$F62))))</f>
        <v>140919</v>
      </c>
      <c r="H62" s="73">
        <f>IF(ISBLANK(INDEX(Loads!$E$5:$E$115,$F62)),"-",INDEX(Loads!$E$5:$E$115,$F62)+IF(NOT(ISERROR($E62)),0,(INDEX(Loads!$E$5:$E$115,$F62+1)-INDEX(Loads!$E$5:$E$115,$F62))/(INDEX(Loads!$C$5:$C$115,$F62+1)-INDEX(Loads!$C$5:$C$115,$F62))*($C62-INDEX(Loads!$C$5:$C$115,$F62))))</f>
        <v>135152.30769230769</v>
      </c>
      <c r="J62" s="62" t="e">
        <f>MATCH($C62,Loads!$G$5:$G$115,0)</f>
        <v>#N/A</v>
      </c>
      <c r="K62" s="62">
        <f>MATCH($C62,Loads!$G$5:$G$115,1)</f>
        <v>105</v>
      </c>
      <c r="L62" s="73">
        <f>IF(ISBLANK(INDEX(Loads!$H$5:$H$115,$K62)),"-",INDEX(Loads!$H$5:$H$115,$K62)+IF(NOT(ISERROR($J62)),0,(INDEX(Loads!$H$5:$H$115,$K62+1)-INDEX(Loads!$H$5:$H$115,$K62))/(INDEX(Loads!$G$5:$G$115,$K62+1)-INDEX(Loads!$G$5:$G$115,$K62))*($C62-INDEX(Loads!$G$5:$G$115,$K62))))</f>
        <v>-28049.029230769229</v>
      </c>
      <c r="M62" s="73">
        <f>IF(ISBLANK(INDEX(Loads!$I$5:$I$115,$K62)),"-",INDEX(Loads!$I$5:$I$115,$K62)+IF(NOT(ISERROR($J62)),0,(INDEX(Loads!$I$5:$I$115,$K62+1)-INDEX(Loads!$I$5:$I$115,$K62))/(INDEX(Loads!$G$5:$G$115,$K62+1)-INDEX(Loads!$G$5:$G$115,$K62))*($C62-INDEX(Loads!$G$5:$G$115,$K62))))</f>
        <v>-46347.76051282051</v>
      </c>
      <c r="N62" s="73">
        <f>IF(ISBLANK(INDEX(Loads!$J$5:$J$115,$K62)),"-",INDEX(Loads!$J$5:$J$115,$K62)+IF(NOT(ISERROR($J62)),0,(INDEX(Loads!$J$5:$J$115,$K62+1)-INDEX(Loads!$J$5:$J$115,$K62))/(INDEX(Loads!$G$5:$G$115,$K62+1)-INDEX(Loads!$G$5:$G$115,$K62))*($C62-INDEX(Loads!$G$5:$G$115,$K62))))</f>
        <v>583364.7256410257</v>
      </c>
      <c r="O62" s="73">
        <f>IF(ISBLANK(INDEX(Loads!$K$5:$K$115,$K62)),"-",INDEX(Loads!$K$5:$K$115,$K62)+IF(NOT(ISERROR($J62)),0,(INDEX(Loads!$K$5:$K$115,$K62+1)-INDEX(Loads!$K$5:$K$115,$K62))/(INDEX(Loads!$G$5:$G$115,$K62+1)-INDEX(Loads!$G$5:$G$115,$K62))*($C62-INDEX(Loads!$G$5:$G$115,$K62))))</f>
        <v>11408.29</v>
      </c>
      <c r="Q62" t="e">
        <f>MATCH($C62,Loads!$M$5:$M$115,0)</f>
        <v>#N/A</v>
      </c>
      <c r="R62">
        <f>MATCH($C62,Loads!$M$5:$M$115,1)</f>
        <v>105</v>
      </c>
      <c r="S62" s="73">
        <f>IF(ISBLANK(INDEX(Loads!$N$5:$N$115,$R62)),"-",INDEX(Loads!$N$5:$N$115,$K62)+IF(NOT(ISERROR($Q62)),0,(INDEX(Loads!$N$5:$N$115,$R62+1)-INDEX(Loads!$N$5:$N$115,$R62))/(INDEX(Loads!$M$5:$M$115,$R62+1)-INDEX(Loads!$M$5:$M$115,$R62))*($C62-INDEX(Loads!$M$5:$M$115,$R62))))</f>
        <v>-20777.054615384615</v>
      </c>
      <c r="T62" s="73">
        <f>IF(ISBLANK(INDEX(Loads!$O$5:$O$115,$R62)),"-",INDEX(Loads!$O$5:$O$115,$K62)+IF(NOT(ISERROR($Q62)),0,(INDEX(Loads!$O$5:$O$115,$R62+1)-INDEX(Loads!$O$5:$O$115,$R62))/(INDEX(Loads!$M$5:$M$115,$R62+1)-INDEX(Loads!$M$5:$M$115,$R62))*($C62-INDEX(Loads!$M$5:$M$115,$R62))))</f>
        <v>439158.72051282047</v>
      </c>
      <c r="U62" s="73">
        <f>IF(ISBLANK(INDEX(Loads!$P$5:$P$115,$R62)),"-",INDEX(Loads!$P$5:$P$115,$K62)+IF(NOT(ISERROR($Q62)),0,(INDEX(Loads!$P$5:$P$115,$R62+1)-INDEX(Loads!$P$5:$P$115,$R62))/(INDEX(Loads!$M$5:$M$115,$R62+1)-INDEX(Loads!$M$5:$M$115,$R62))*($C62-INDEX(Loads!$M$5:$M$115,$R62))))</f>
        <v>8450.5827948717942</v>
      </c>
    </row>
    <row r="63" spans="3:21">
      <c r="C63" s="72">
        <f>Geometry!AF27</f>
        <v>3.3999999999999995</v>
      </c>
      <c r="E63" s="62" t="e">
        <f>MATCH($C63,Loads!$C$5:$C$115,0)</f>
        <v>#N/A</v>
      </c>
      <c r="F63" s="62">
        <f>MATCH($C63,Loads!$C$5:$C$115,1)</f>
        <v>105</v>
      </c>
      <c r="G63" s="73">
        <f>IF(ISBLANK(INDEX(Loads!$D$5:$D$115,$F63)),"-",INDEX(Loads!$D$5:$D$115,$F63)+IF(NOT(ISERROR($E63)),0,(INDEX(Loads!$D$5:$D$115,$F63+1)-INDEX(Loads!$D$5:$D$115,$F63))/(INDEX(Loads!$C$5:$C$115,$F63+1)-INDEX(Loads!$C$5:$C$115,$F63))*($C63-INDEX(Loads!$C$5:$C$115,$F63))))</f>
        <v>142029</v>
      </c>
      <c r="H63" s="73">
        <f>IF(ISBLANK(INDEX(Loads!$E$5:$E$115,$F63)),"-",INDEX(Loads!$E$5:$E$115,$F63)+IF(NOT(ISERROR($E63)),0,(INDEX(Loads!$E$5:$E$115,$F63+1)-INDEX(Loads!$E$5:$E$115,$F63))/(INDEX(Loads!$C$5:$C$115,$F63+1)-INDEX(Loads!$C$5:$C$115,$F63))*($C63-INDEX(Loads!$C$5:$C$115,$F63))))</f>
        <v>136190.76923076922</v>
      </c>
      <c r="J63" s="62" t="e">
        <f>MATCH($C63,Loads!$G$5:$G$115,0)</f>
        <v>#N/A</v>
      </c>
      <c r="K63" s="62">
        <f>MATCH($C63,Loads!$G$5:$G$115,1)</f>
        <v>105</v>
      </c>
      <c r="L63" s="73">
        <f>IF(ISBLANK(INDEX(Loads!$H$5:$H$115,$K63)),"-",INDEX(Loads!$H$5:$H$115,$K63)+IF(NOT(ISERROR($J63)),0,(INDEX(Loads!$H$5:$H$115,$K63+1)-INDEX(Loads!$H$5:$H$115,$K63))/(INDEX(Loads!$G$5:$G$115,$K63+1)-INDEX(Loads!$G$5:$G$115,$K63))*($C63-INDEX(Loads!$G$5:$G$115,$K63))))</f>
        <v>-28612.083076923078</v>
      </c>
      <c r="M63" s="73">
        <f>IF(ISBLANK(INDEX(Loads!$I$5:$I$115,$K63)),"-",INDEX(Loads!$I$5:$I$115,$K63)+IF(NOT(ISERROR($J63)),0,(INDEX(Loads!$I$5:$I$115,$K63+1)-INDEX(Loads!$I$5:$I$115,$K63))/(INDEX(Loads!$G$5:$G$115,$K63+1)-INDEX(Loads!$G$5:$G$115,$K63))*($C63-INDEX(Loads!$G$5:$G$115,$K63))))</f>
        <v>-46350.024615384616</v>
      </c>
      <c r="N63" s="73">
        <f>IF(ISBLANK(INDEX(Loads!$J$5:$J$115,$K63)),"-",INDEX(Loads!$J$5:$J$115,$K63)+IF(NOT(ISERROR($J63)),0,(INDEX(Loads!$J$5:$J$115,$K63+1)-INDEX(Loads!$J$5:$J$115,$K63))/(INDEX(Loads!$G$5:$G$115,$K63+1)-INDEX(Loads!$G$5:$G$115,$K63))*($C63-INDEX(Loads!$G$5:$G$115,$K63))))</f>
        <v>588308.93076923082</v>
      </c>
      <c r="O63" s="73">
        <f>IF(ISBLANK(INDEX(Loads!$K$5:$K$115,$K63)),"-",INDEX(Loads!$K$5:$K$115,$K63)+IF(NOT(ISERROR($J63)),0,(INDEX(Loads!$K$5:$K$115,$K63+1)-INDEX(Loads!$K$5:$K$115,$K63))/(INDEX(Loads!$G$5:$G$115,$K63+1)-INDEX(Loads!$G$5:$G$115,$K63))*($C63-INDEX(Loads!$G$5:$G$115,$K63))))</f>
        <v>11243.69</v>
      </c>
      <c r="Q63" t="e">
        <f>MATCH($C63,Loads!$M$5:$M$115,0)</f>
        <v>#N/A</v>
      </c>
      <c r="R63">
        <f>MATCH($C63,Loads!$M$5:$M$115,1)</f>
        <v>105</v>
      </c>
      <c r="S63" s="73">
        <f>IF(ISBLANK(INDEX(Loads!$N$5:$N$115,$R63)),"-",INDEX(Loads!$N$5:$N$115,$K63)+IF(NOT(ISERROR($Q63)),0,(INDEX(Loads!$N$5:$N$115,$R63+1)-INDEX(Loads!$N$5:$N$115,$R63))/(INDEX(Loads!$M$5:$M$115,$R63+1)-INDEX(Loads!$M$5:$M$115,$R63))*($C63-INDEX(Loads!$M$5:$M$115,$R63))))</f>
        <v>-21194.131538461537</v>
      </c>
      <c r="T63" s="73">
        <f>IF(ISBLANK(INDEX(Loads!$O$5:$O$115,$R63)),"-",INDEX(Loads!$O$5:$O$115,$K63)+IF(NOT(ISERROR($Q63)),0,(INDEX(Loads!$O$5:$O$115,$R63+1)-INDEX(Loads!$O$5:$O$115,$R63))/(INDEX(Loads!$M$5:$M$115,$R63+1)-INDEX(Loads!$M$5:$M$115,$R63))*($C63-INDEX(Loads!$M$5:$M$115,$R63))))</f>
        <v>442884.28461538459</v>
      </c>
      <c r="U63" s="73">
        <f>IF(ISBLANK(INDEX(Loads!$P$5:$P$115,$R63)),"-",INDEX(Loads!$P$5:$P$115,$K63)+IF(NOT(ISERROR($Q63)),0,(INDEX(Loads!$P$5:$P$115,$R63+1)-INDEX(Loads!$P$5:$P$115,$R63))/(INDEX(Loads!$M$5:$M$115,$R63+1)-INDEX(Loads!$M$5:$M$115,$R63))*($C63-INDEX(Loads!$M$5:$M$115,$R63))))</f>
        <v>8328.657153846154</v>
      </c>
    </row>
    <row r="64" spans="3:21">
      <c r="C64" s="72">
        <f>Geometry!AF28</f>
        <v>-12.3575</v>
      </c>
      <c r="E64" s="62" t="e">
        <f>MATCH($C64,Loads!$C$5:$C$115,0)</f>
        <v>#N/A</v>
      </c>
      <c r="F64" s="62">
        <f>MATCH($C64,Loads!$C$5:$C$115,1)</f>
        <v>101</v>
      </c>
      <c r="G64" s="73">
        <f>IF(ISBLANK(INDEX(Loads!$D$5:$D$115,$F64)),"-",INDEX(Loads!$D$5:$D$115,$F64)+IF(NOT(ISERROR($E64)),0,(INDEX(Loads!$D$5:$D$115,$F64+1)-INDEX(Loads!$D$5:$D$115,$F64))/(INDEX(Loads!$C$5:$C$115,$F64+1)-INDEX(Loads!$C$5:$C$115,$F64))*($C64-INDEX(Loads!$C$5:$C$115,$F64))))</f>
        <v>158518.47115384619</v>
      </c>
      <c r="H64" s="73">
        <f>IF(ISBLANK(INDEX(Loads!$E$5:$E$115,$F64)),"-",INDEX(Loads!$E$5:$E$115,$F64)+IF(NOT(ISERROR($E64)),0,(INDEX(Loads!$E$5:$E$115,$F64+1)-INDEX(Loads!$E$5:$E$115,$F64))/(INDEX(Loads!$C$5:$C$115,$F64+1)-INDEX(Loads!$C$5:$C$115,$F64))*($C64-INDEX(Loads!$C$5:$C$115,$F64))))</f>
        <v>152176.79423076924</v>
      </c>
      <c r="J64" s="62" t="e">
        <f>MATCH($C64,Loads!$G$5:$G$115,0)</f>
        <v>#N/A</v>
      </c>
      <c r="K64" s="62">
        <f>MATCH($C64,Loads!$G$5:$G$115,1)</f>
        <v>101</v>
      </c>
      <c r="L64" s="73">
        <f>IF(ISBLANK(INDEX(Loads!$H$5:$H$115,$K64)),"-",INDEX(Loads!$H$5:$H$115,$K64)+IF(NOT(ISERROR($J64)),0,(INDEX(Loads!$H$5:$H$115,$K64+1)-INDEX(Loads!$H$5:$H$115,$K64))/(INDEX(Loads!$G$5:$G$115,$K64+1)-INDEX(Loads!$G$5:$G$115,$K64))*($C64-INDEX(Loads!$G$5:$G$115,$K64))))</f>
        <v>-33760.225442307696</v>
      </c>
      <c r="M64" s="73">
        <f>IF(ISBLANK(INDEX(Loads!$I$5:$I$115,$K64)),"-",INDEX(Loads!$I$5:$I$115,$K64)+IF(NOT(ISERROR($J64)),0,(INDEX(Loads!$I$5:$I$115,$K64+1)-INDEX(Loads!$I$5:$I$115,$K64))/(INDEX(Loads!$G$5:$G$115,$K64+1)-INDEX(Loads!$G$5:$G$115,$K64))*($C64-INDEX(Loads!$G$5:$G$115,$K64))))</f>
        <v>-46382.548826923077</v>
      </c>
      <c r="N64" s="73">
        <f>IF(ISBLANK(INDEX(Loads!$J$5:$J$115,$K64)),"-",INDEX(Loads!$J$5:$J$115,$K64)+IF(NOT(ISERROR($J64)),0,(INDEX(Loads!$J$5:$J$115,$K64+1)-INDEX(Loads!$J$5:$J$115,$K64))/(INDEX(Loads!$G$5:$G$115,$K64+1)-INDEX(Loads!$G$5:$G$115,$K64))*($C64-INDEX(Loads!$G$5:$G$115,$K64))))</f>
        <v>686271.40173076931</v>
      </c>
      <c r="O64" s="73">
        <f>IF(ISBLANK(INDEX(Loads!$K$5:$K$115,$K64)),"-",INDEX(Loads!$K$5:$K$115,$K64)+IF(NOT(ISERROR($J64)),0,(INDEX(Loads!$K$5:$K$115,$K64+1)-INDEX(Loads!$K$5:$K$115,$K64))/(INDEX(Loads!$G$5:$G$115,$K64+1)-INDEX(Loads!$G$5:$G$115,$K64))*($C64-INDEX(Loads!$G$5:$G$115,$K64))))</f>
        <v>11363.50575</v>
      </c>
      <c r="Q64" t="e">
        <f>MATCH($C64,Loads!$M$5:$M$115,0)</f>
        <v>#N/A</v>
      </c>
      <c r="R64">
        <f>MATCH($C64,Loads!$M$5:$M$115,1)</f>
        <v>101</v>
      </c>
      <c r="S64" s="73">
        <f>IF(ISBLANK(INDEX(Loads!$N$5:$N$115,$R64)),"-",INDEX(Loads!$N$5:$N$115,$K64)+IF(NOT(ISERROR($Q64)),0,(INDEX(Loads!$N$5:$N$115,$R64+1)-INDEX(Loads!$N$5:$N$115,$R64))/(INDEX(Loads!$M$5:$M$115,$R64+1)-INDEX(Loads!$M$5:$M$115,$R64))*($C64-INDEX(Loads!$M$5:$M$115,$R64))))</f>
        <v>-25007.577423076924</v>
      </c>
      <c r="T64" s="73">
        <f>IF(ISBLANK(INDEX(Loads!$O$5:$O$115,$R64)),"-",INDEX(Loads!$O$5:$O$115,$K64)+IF(NOT(ISERROR($Q64)),0,(INDEX(Loads!$O$5:$O$115,$R64+1)-INDEX(Loads!$O$5:$O$115,$R64))/(INDEX(Loads!$M$5:$M$115,$R64+1)-INDEX(Loads!$M$5:$M$115,$R64))*($C64-INDEX(Loads!$M$5:$M$115,$R64))))</f>
        <v>516855.86942307698</v>
      </c>
      <c r="U64" s="73">
        <f>IF(ISBLANK(INDEX(Loads!$P$5:$P$115,$R64)),"-",INDEX(Loads!$P$5:$P$115,$K64)+IF(NOT(ISERROR($Q64)),0,(INDEX(Loads!$P$5:$P$115,$R64+1)-INDEX(Loads!$P$5:$P$115,$R64))/(INDEX(Loads!$M$5:$M$115,$R64+1)-INDEX(Loads!$M$5:$M$115,$R64))*($C64-INDEX(Loads!$M$5:$M$115,$R64))))</f>
        <v>8417.4138423076929</v>
      </c>
    </row>
    <row r="65" spans="3:21">
      <c r="C65" s="72">
        <f>Geometry!AF29</f>
        <v>-22.715</v>
      </c>
      <c r="E65" s="62" t="e">
        <f>MATCH($C65,Loads!$C$5:$C$115,0)</f>
        <v>#N/A</v>
      </c>
      <c r="F65" s="62">
        <f>MATCH($C65,Loads!$C$5:$C$115,1)</f>
        <v>98</v>
      </c>
      <c r="G65" s="73">
        <f>IF(ISBLANK(INDEX(Loads!$D$5:$D$115,$F65)),"-",INDEX(Loads!$D$5:$D$115,$F65)+IF(NOT(ISERROR($E65)),0,(INDEX(Loads!$D$5:$D$115,$F65+1)-INDEX(Loads!$D$5:$D$115,$F65))/(INDEX(Loads!$C$5:$C$115,$F65+1)-INDEX(Loads!$C$5:$C$115,$F65))*($C65-INDEX(Loads!$C$5:$C$115,$F65))))</f>
        <v>173031.99230769233</v>
      </c>
      <c r="H65" s="73">
        <f>IF(ISBLANK(INDEX(Loads!$E$5:$E$115,$F65)),"-",INDEX(Loads!$E$5:$E$115,$F65)+IF(NOT(ISERROR($E65)),0,(INDEX(Loads!$E$5:$E$115,$F65+1)-INDEX(Loads!$E$5:$E$115,$F65))/(INDEX(Loads!$C$5:$C$115,$F65+1)-INDEX(Loads!$C$5:$C$115,$F65))*($C65-INDEX(Loads!$C$5:$C$115,$F65))))</f>
        <v>166097.52692307695</v>
      </c>
      <c r="J65" s="62" t="e">
        <f>MATCH($C65,Loads!$G$5:$G$115,0)</f>
        <v>#N/A</v>
      </c>
      <c r="K65" s="62">
        <f>MATCH($C65,Loads!$G$5:$G$115,1)</f>
        <v>98</v>
      </c>
      <c r="L65" s="73">
        <f>IF(ISBLANK(INDEX(Loads!$H$5:$H$115,$K65)),"-",INDEX(Loads!$H$5:$H$115,$K65)+IF(NOT(ISERROR($J65)),0,(INDEX(Loads!$H$5:$H$115,$K65+1)-INDEX(Loads!$H$5:$H$115,$K65))/(INDEX(Loads!$G$5:$G$115,$K65+1)-INDEX(Loads!$G$5:$G$115,$K65))*($C65-INDEX(Loads!$G$5:$G$115,$K65))))</f>
        <v>-37102.722153846153</v>
      </c>
      <c r="M65" s="73">
        <f>IF(ISBLANK(INDEX(Loads!$I$5:$I$115,$K65)),"-",INDEX(Loads!$I$5:$I$115,$K65)+IF(NOT(ISERROR($J65)),0,(INDEX(Loads!$I$5:$I$115,$K65+1)-INDEX(Loads!$I$5:$I$115,$K65))/(INDEX(Loads!$G$5:$G$115,$K65+1)-INDEX(Loads!$G$5:$G$115,$K65))*($C65-INDEX(Loads!$G$5:$G$115,$K65))))</f>
        <v>-46398.145923076925</v>
      </c>
      <c r="N65" s="73">
        <f>IF(ISBLANK(INDEX(Loads!$J$5:$J$115,$K65)),"-",INDEX(Loads!$J$5:$J$115,$K65)+IF(NOT(ISERROR($J65)),0,(INDEX(Loads!$J$5:$J$115,$K65+1)-INDEX(Loads!$J$5:$J$115,$K65))/(INDEX(Loads!$G$5:$G$115,$K65+1)-INDEX(Loads!$G$5:$G$115,$K65))*($C65-INDEX(Loads!$G$5:$G$115,$K65))))</f>
        <v>776025.86692307692</v>
      </c>
      <c r="O65" s="73">
        <f>IF(ISBLANK(INDEX(Loads!$K$5:$K$115,$K65)),"-",INDEX(Loads!$K$5:$K$115,$K65)+IF(NOT(ISERROR($J65)),0,(INDEX(Loads!$K$5:$K$115,$K65+1)-INDEX(Loads!$K$5:$K$115,$K65))/(INDEX(Loads!$G$5:$G$115,$K65+1)-INDEX(Loads!$G$5:$G$115,$K65))*($C65-INDEX(Loads!$G$5:$G$115,$K65))))</f>
        <v>13637.348961538461</v>
      </c>
      <c r="Q65" t="e">
        <f>MATCH($C65,Loads!$M$5:$M$115,0)</f>
        <v>#N/A</v>
      </c>
      <c r="R65">
        <f>MATCH($C65,Loads!$M$5:$M$115,1)</f>
        <v>98</v>
      </c>
      <c r="S65" s="73">
        <f>IF(ISBLANK(INDEX(Loads!$N$5:$N$115,$R65)),"-",INDEX(Loads!$N$5:$N$115,$K65)+IF(NOT(ISERROR($Q65)),0,(INDEX(Loads!$N$5:$N$115,$R65+1)-INDEX(Loads!$N$5:$N$115,$R65))/(INDEX(Loads!$M$5:$M$115,$R65+1)-INDEX(Loads!$M$5:$M$115,$R65))*($C65-INDEX(Loads!$M$5:$M$115,$R65))))</f>
        <v>-27483.493923076923</v>
      </c>
      <c r="T65" s="73">
        <f>IF(ISBLANK(INDEX(Loads!$O$5:$O$115,$R65)),"-",INDEX(Loads!$O$5:$O$115,$K65)+IF(NOT(ISERROR($Q65)),0,(INDEX(Loads!$O$5:$O$115,$R65+1)-INDEX(Loads!$O$5:$O$115,$R65))/(INDEX(Loads!$M$5:$M$115,$R65+1)-INDEX(Loads!$M$5:$M$115,$R65))*($C65-INDEX(Loads!$M$5:$M$115,$R65))))</f>
        <v>584822.3392307692</v>
      </c>
      <c r="U65" s="73">
        <f>IF(ISBLANK(INDEX(Loads!$P$5:$P$115,$R65)),"-",INDEX(Loads!$P$5:$P$115,$K65)+IF(NOT(ISERROR($Q65)),0,(INDEX(Loads!$P$5:$P$115,$R65+1)-INDEX(Loads!$P$5:$P$115,$R65))/(INDEX(Loads!$M$5:$M$115,$R65+1)-INDEX(Loads!$M$5:$M$115,$R65))*($C65-INDEX(Loads!$M$5:$M$115,$R65))))</f>
        <v>10101.736934615385</v>
      </c>
    </row>
    <row r="66" spans="3:21">
      <c r="C66" s="72">
        <f>Geometry!AF30</f>
        <v>-23.715</v>
      </c>
      <c r="E66" s="62" t="e">
        <f>MATCH($C66,Loads!$C$5:$C$115,0)</f>
        <v>#N/A</v>
      </c>
      <c r="F66" s="62">
        <f>MATCH($C66,Loads!$C$5:$C$115,1)</f>
        <v>98</v>
      </c>
      <c r="G66" s="73">
        <f>IF(ISBLANK(INDEX(Loads!$D$5:$D$115,$F66)),"-",INDEX(Loads!$D$5:$D$115,$F66)+IF(NOT(ISERROR($E66)),0,(INDEX(Loads!$D$5:$D$115,$F66+1)-INDEX(Loads!$D$5:$D$115,$F66))/(INDEX(Loads!$C$5:$C$115,$F66+1)-INDEX(Loads!$C$5:$C$115,$F66))*($C66-INDEX(Loads!$C$5:$C$115,$F66))))</f>
        <v>174790.45384615386</v>
      </c>
      <c r="H66" s="73">
        <f>IF(ISBLANK(INDEX(Loads!$E$5:$E$115,$F66)),"-",INDEX(Loads!$E$5:$E$115,$F66)+IF(NOT(ISERROR($E66)),0,(INDEX(Loads!$E$5:$E$115,$F66+1)-INDEX(Loads!$E$5:$E$115,$F66))/(INDEX(Loads!$C$5:$C$115,$F66+1)-INDEX(Loads!$C$5:$C$115,$F66))*($C66-INDEX(Loads!$C$5:$C$115,$F66))))</f>
        <v>167742.91153846157</v>
      </c>
      <c r="J66" s="62" t="e">
        <f>MATCH($C66,Loads!$G$5:$G$115,0)</f>
        <v>#N/A</v>
      </c>
      <c r="K66" s="62">
        <f>MATCH($C66,Loads!$G$5:$G$115,1)</f>
        <v>98</v>
      </c>
      <c r="L66" s="73">
        <f>IF(ISBLANK(INDEX(Loads!$H$5:$H$115,$K66)),"-",INDEX(Loads!$H$5:$H$115,$K66)+IF(NOT(ISERROR($J66)),0,(INDEX(Loads!$H$5:$H$115,$K66+1)-INDEX(Loads!$H$5:$H$115,$K66))/(INDEX(Loads!$G$5:$G$115,$K66+1)-INDEX(Loads!$G$5:$G$115,$K66))*($C66-INDEX(Loads!$G$5:$G$115,$K66))))</f>
        <v>-37449.019589743591</v>
      </c>
      <c r="M66" s="73">
        <f>IF(ISBLANK(INDEX(Loads!$I$5:$I$115,$K66)),"-",INDEX(Loads!$I$5:$I$115,$K66)+IF(NOT(ISERROR($J66)),0,(INDEX(Loads!$I$5:$I$115,$K66+1)-INDEX(Loads!$I$5:$I$115,$K66))/(INDEX(Loads!$G$5:$G$115,$K66+1)-INDEX(Loads!$G$5:$G$115,$K66))*($C66-INDEX(Loads!$G$5:$G$115,$K66))))</f>
        <v>-46399.463871794876</v>
      </c>
      <c r="N66" s="73">
        <f>IF(ISBLANK(INDEX(Loads!$J$5:$J$115,$K66)),"-",INDEX(Loads!$J$5:$J$115,$K66)+IF(NOT(ISERROR($J66)),0,(INDEX(Loads!$J$5:$J$115,$K66+1)-INDEX(Loads!$J$5:$J$115,$K66))/(INDEX(Loads!$G$5:$G$115,$K66+1)-INDEX(Loads!$G$5:$G$115,$K66))*($C66-INDEX(Loads!$G$5:$G$115,$K66))))</f>
        <v>785853.91820512828</v>
      </c>
      <c r="O66" s="73">
        <f>IF(ISBLANK(INDEX(Loads!$K$5:$K$115,$K66)),"-",INDEX(Loads!$K$5:$K$115,$K66)+IF(NOT(ISERROR($J66)),0,(INDEX(Loads!$K$5:$K$115,$K66+1)-INDEX(Loads!$K$5:$K$115,$K66))/(INDEX(Loads!$G$5:$G$115,$K66+1)-INDEX(Loads!$G$5:$G$115,$K66))*($C66-INDEX(Loads!$G$5:$G$115,$K66))))</f>
        <v>13883.74126923077</v>
      </c>
      <c r="Q66" t="e">
        <f>MATCH($C66,Loads!$M$5:$M$115,0)</f>
        <v>#N/A</v>
      </c>
      <c r="R66">
        <f>MATCH($C66,Loads!$M$5:$M$115,1)</f>
        <v>98</v>
      </c>
      <c r="S66" s="73">
        <f>IF(ISBLANK(INDEX(Loads!$N$5:$N$115,$R66)),"-",INDEX(Loads!$N$5:$N$115,$K66)+IF(NOT(ISERROR($Q66)),0,(INDEX(Loads!$N$5:$N$115,$R66+1)-INDEX(Loads!$N$5:$N$115,$R66))/(INDEX(Loads!$M$5:$M$115,$R66+1)-INDEX(Loads!$M$5:$M$115,$R66))*($C66-INDEX(Loads!$M$5:$M$115,$R66))))</f>
        <v>-27740.011871794872</v>
      </c>
      <c r="T66" s="73">
        <f>IF(ISBLANK(INDEX(Loads!$O$5:$O$115,$R66)),"-",INDEX(Loads!$O$5:$O$115,$K66)+IF(NOT(ISERROR($Q66)),0,(INDEX(Loads!$O$5:$O$115,$R66+1)-INDEX(Loads!$O$5:$O$115,$R66))/(INDEX(Loads!$M$5:$M$115,$R66+1)-INDEX(Loads!$M$5:$M$115,$R66))*($C66-INDEX(Loads!$M$5:$M$115,$R66))))</f>
        <v>592274.18538461544</v>
      </c>
      <c r="U66" s="73">
        <f>IF(ISBLANK(INDEX(Loads!$P$5:$P$115,$R66)),"-",INDEX(Loads!$P$5:$P$115,$K66)+IF(NOT(ISERROR($Q66)),0,(INDEX(Loads!$P$5:$P$115,$R66+1)-INDEX(Loads!$P$5:$P$115,$R66))/(INDEX(Loads!$M$5:$M$115,$R66+1)-INDEX(Loads!$M$5:$M$115,$R66))*($C66-INDEX(Loads!$M$5:$M$115,$R66))))</f>
        <v>10284.250524358975</v>
      </c>
    </row>
    <row r="67" spans="3:21">
      <c r="C67" s="72">
        <f>Geometry!AF31</f>
        <v>-35.572499999999998</v>
      </c>
      <c r="E67" s="62" t="e">
        <f>MATCH($C67,Loads!$C$5:$C$115,0)</f>
        <v>#N/A</v>
      </c>
      <c r="F67" s="62">
        <f>MATCH($C67,Loads!$C$5:$C$115,1)</f>
        <v>95</v>
      </c>
      <c r="G67" s="73">
        <f>IF(ISBLANK(INDEX(Loads!$D$5:$D$115,$F67)),"-",INDEX(Loads!$D$5:$D$115,$F67)+IF(NOT(ISERROR($E67)),0,(INDEX(Loads!$D$5:$D$115,$F67+1)-INDEX(Loads!$D$5:$D$115,$F67))/(INDEX(Loads!$C$5:$C$115,$F67+1)-INDEX(Loads!$C$5:$C$115,$F67))*($C67-INDEX(Loads!$C$5:$C$115,$F67))))</f>
        <v>201501.57692307694</v>
      </c>
      <c r="H67" s="73">
        <f>IF(ISBLANK(INDEX(Loads!$E$5:$E$115,$F67)),"-",INDEX(Loads!$E$5:$E$115,$F67)+IF(NOT(ISERROR($E67)),0,(INDEX(Loads!$E$5:$E$115,$F67+1)-INDEX(Loads!$E$5:$E$115,$F67))/(INDEX(Loads!$C$5:$C$115,$F67+1)-INDEX(Loads!$C$5:$C$115,$F67))*($C67-INDEX(Loads!$C$5:$C$115,$F67))))</f>
        <v>192626.61346153848</v>
      </c>
      <c r="J67" s="62" t="e">
        <f>MATCH($C67,Loads!$G$5:$G$115,0)</f>
        <v>#N/A</v>
      </c>
      <c r="K67" s="62">
        <f>MATCH($C67,Loads!$G$5:$G$115,1)</f>
        <v>95</v>
      </c>
      <c r="L67" s="73">
        <f>IF(ISBLANK(INDEX(Loads!$H$5:$H$115,$K67)),"-",INDEX(Loads!$H$5:$H$115,$K67)+IF(NOT(ISERROR($J67)),0,(INDEX(Loads!$H$5:$H$115,$K67+1)-INDEX(Loads!$H$5:$H$115,$K67))/(INDEX(Loads!$G$5:$G$115,$K67+1)-INDEX(Loads!$G$5:$G$115,$K67))*($C67-INDEX(Loads!$G$5:$G$115,$K67))))</f>
        <v>-41755.251814102565</v>
      </c>
      <c r="M67" s="73">
        <f>IF(ISBLANK(INDEX(Loads!$I$5:$I$115,$K67)),"-",INDEX(Loads!$I$5:$I$115,$K67)+IF(NOT(ISERROR($J67)),0,(INDEX(Loads!$I$5:$I$115,$K67+1)-INDEX(Loads!$I$5:$I$115,$K67))/(INDEX(Loads!$G$5:$G$115,$K67+1)-INDEX(Loads!$G$5:$G$115,$K67))*($C67-INDEX(Loads!$G$5:$G$115,$K67))))</f>
        <v>-46412.143602564101</v>
      </c>
      <c r="N67" s="73">
        <f>IF(ISBLANK(INDEX(Loads!$J$5:$J$115,$K67)),"-",INDEX(Loads!$J$5:$J$115,$K67)+IF(NOT(ISERROR($J67)),0,(INDEX(Loads!$J$5:$J$115,$K67+1)-INDEX(Loads!$J$5:$J$115,$K67))/(INDEX(Loads!$G$5:$G$115,$K67+1)-INDEX(Loads!$G$5:$G$115,$K67))*($C67-INDEX(Loads!$G$5:$G$115,$K67))))</f>
        <v>918119.91032051283</v>
      </c>
      <c r="O67" s="73">
        <f>IF(ISBLANK(INDEX(Loads!$K$5:$K$115,$K67)),"-",INDEX(Loads!$K$5:$K$115,$K67)+IF(NOT(ISERROR($J67)),0,(INDEX(Loads!$K$5:$K$115,$K67+1)-INDEX(Loads!$K$5:$K$115,$K67))/(INDEX(Loads!$G$5:$G$115,$K67+1)-INDEX(Loads!$G$5:$G$115,$K67))*($C67-INDEX(Loads!$G$5:$G$115,$K67))))</f>
        <v>16910.578641025641</v>
      </c>
      <c r="Q67" t="e">
        <f>MATCH($C67,Loads!$M$5:$M$115,0)</f>
        <v>#N/A</v>
      </c>
      <c r="R67">
        <f>MATCH($C67,Loads!$M$5:$M$115,1)</f>
        <v>95</v>
      </c>
      <c r="S67" s="73">
        <f>IF(ISBLANK(INDEX(Loads!$N$5:$N$115,$R67)),"-",INDEX(Loads!$N$5:$N$115,$K67)+IF(NOT(ISERROR($Q67)),0,(INDEX(Loads!$N$5:$N$115,$R67+1)-INDEX(Loads!$N$5:$N$115,$R67))/(INDEX(Loads!$M$5:$M$115,$R67+1)-INDEX(Loads!$M$5:$M$115,$R67))*($C67-INDEX(Loads!$M$5:$M$115,$R67))))</f>
        <v>-30929.812641025641</v>
      </c>
      <c r="T67" s="73">
        <f>IF(ISBLANK(INDEX(Loads!$O$5:$O$115,$R67)),"-",INDEX(Loads!$O$5:$O$115,$K67)+IF(NOT(ISERROR($Q67)),0,(INDEX(Loads!$O$5:$O$115,$R67+1)-INDEX(Loads!$O$5:$O$115,$R67))/(INDEX(Loads!$M$5:$M$115,$R67+1)-INDEX(Loads!$M$5:$M$115,$R67))*($C67-INDEX(Loads!$M$5:$M$115,$R67))))</f>
        <v>692663.52743589738</v>
      </c>
      <c r="U67" s="73">
        <f>IF(ISBLANK(INDEX(Loads!$P$5:$P$115,$R67)),"-",INDEX(Loads!$P$5:$P$115,$K67)+IF(NOT(ISERROR($Q67)),0,(INDEX(Loads!$P$5:$P$115,$R67+1)-INDEX(Loads!$P$5:$P$115,$R67))/(INDEX(Loads!$M$5:$M$115,$R67+1)-INDEX(Loads!$M$5:$M$115,$R67))*($C67-INDEX(Loads!$M$5:$M$115,$R67))))</f>
        <v>12526.356538461538</v>
      </c>
    </row>
    <row r="68" spans="3:21">
      <c r="C68" s="72">
        <f>Geometry!AF32</f>
        <v>-41.03</v>
      </c>
      <c r="E68" s="62" t="e">
        <f>MATCH($C68,Loads!$C$5:$C$115,0)</f>
        <v>#N/A</v>
      </c>
      <c r="F68" s="62">
        <f>MATCH($C68,Loads!$C$5:$C$115,1)</f>
        <v>94</v>
      </c>
      <c r="G68" s="73">
        <f>IF(ISBLANK(INDEX(Loads!$D$5:$D$115,$F68)),"-",INDEX(Loads!$D$5:$D$115,$F68)+IF(NOT(ISERROR($E68)),0,(INDEX(Loads!$D$5:$D$115,$F68+1)-INDEX(Loads!$D$5:$D$115,$F68))/(INDEX(Loads!$C$5:$C$115,$F68+1)-INDEX(Loads!$C$5:$C$115,$F68))*($C68-INDEX(Loads!$C$5:$C$115,$F68))))</f>
        <v>217803.60000000003</v>
      </c>
      <c r="H68" s="73">
        <f>IF(ISBLANK(INDEX(Loads!$E$5:$E$115,$F68)),"-",INDEX(Loads!$E$5:$E$115,$F68)+IF(NOT(ISERROR($E68)),0,(INDEX(Loads!$E$5:$E$115,$F68+1)-INDEX(Loads!$E$5:$E$115,$F68))/(INDEX(Loads!$C$5:$C$115,$F68+1)-INDEX(Loads!$C$5:$C$115,$F68))*($C68-INDEX(Loads!$C$5:$C$115,$F68))))</f>
        <v>207456.09230769234</v>
      </c>
      <c r="J68" s="62" t="e">
        <f>MATCH($C68,Loads!$G$5:$G$115,0)</f>
        <v>#N/A</v>
      </c>
      <c r="K68" s="62">
        <f>MATCH($C68,Loads!$G$5:$G$115,1)</f>
        <v>94</v>
      </c>
      <c r="L68" s="73">
        <f>IF(ISBLANK(INDEX(Loads!$H$5:$H$115,$K68)),"-",INDEX(Loads!$H$5:$H$115,$K68)+IF(NOT(ISERROR($J68)),0,(INDEX(Loads!$H$5:$H$115,$K68+1)-INDEX(Loads!$H$5:$H$115,$K68))/(INDEX(Loads!$G$5:$G$115,$K68+1)-INDEX(Loads!$G$5:$G$115,$K68))*($C68-INDEX(Loads!$G$5:$G$115,$K68))))</f>
        <v>-42782.199000000001</v>
      </c>
      <c r="M68" s="73">
        <f>IF(ISBLANK(INDEX(Loads!$I$5:$I$115,$K68)),"-",INDEX(Loads!$I$5:$I$115,$K68)+IF(NOT(ISERROR($J68)),0,(INDEX(Loads!$I$5:$I$115,$K68+1)-INDEX(Loads!$I$5:$I$115,$K68))/(INDEX(Loads!$G$5:$G$115,$K68+1)-INDEX(Loads!$G$5:$G$115,$K68))*($C68-INDEX(Loads!$G$5:$G$115,$K68))))</f>
        <v>-46415.122307692305</v>
      </c>
      <c r="N68" s="73">
        <f>IF(ISBLANK(INDEX(Loads!$J$5:$J$115,$K68)),"-",INDEX(Loads!$J$5:$J$115,$K68)+IF(NOT(ISERROR($J68)),0,(INDEX(Loads!$J$5:$J$115,$K68+1)-INDEX(Loads!$J$5:$J$115,$K68))/(INDEX(Loads!$G$5:$G$115,$K68+1)-INDEX(Loads!$G$5:$G$115,$K68))*($C68-INDEX(Loads!$G$5:$G$115,$K68))))</f>
        <v>998696.02615384629</v>
      </c>
      <c r="O68" s="73">
        <f>IF(ISBLANK(INDEX(Loads!$K$5:$K$115,$K68)),"-",INDEX(Loads!$K$5:$K$115,$K68)+IF(NOT(ISERROR($J68)),0,(INDEX(Loads!$K$5:$K$115,$K68+1)-INDEX(Loads!$K$5:$K$115,$K68))/(INDEX(Loads!$G$5:$G$115,$K68+1)-INDEX(Loads!$G$5:$G$115,$K68))*($C68-INDEX(Loads!$G$5:$G$115,$K68))))</f>
        <v>18280.595923076926</v>
      </c>
      <c r="Q68" t="e">
        <f>MATCH($C68,Loads!$M$5:$M$115,0)</f>
        <v>#N/A</v>
      </c>
      <c r="R68">
        <f>MATCH($C68,Loads!$M$5:$M$115,1)</f>
        <v>94</v>
      </c>
      <c r="S68" s="73">
        <f>IF(ISBLANK(INDEX(Loads!$N$5:$N$115,$R68)),"-",INDEX(Loads!$N$5:$N$115,$K68)+IF(NOT(ISERROR($Q68)),0,(INDEX(Loads!$N$5:$N$115,$R68+1)-INDEX(Loads!$N$5:$N$115,$R68))/(INDEX(Loads!$M$5:$M$115,$R68+1)-INDEX(Loads!$M$5:$M$115,$R68))*($C68-INDEX(Loads!$M$5:$M$115,$R68))))</f>
        <v>-31690.516692307694</v>
      </c>
      <c r="T68" s="73">
        <f>IF(ISBLANK(INDEX(Loads!$O$5:$O$115,$R68)),"-",INDEX(Loads!$O$5:$O$115,$K68)+IF(NOT(ISERROR($Q68)),0,(INDEX(Loads!$O$5:$O$115,$R68+1)-INDEX(Loads!$O$5:$O$115,$R68))/(INDEX(Loads!$M$5:$M$115,$R68+1)-INDEX(Loads!$M$5:$M$115,$R68))*($C68-INDEX(Loads!$M$5:$M$115,$R68))))</f>
        <v>753721.87615384627</v>
      </c>
      <c r="U68" s="73">
        <f>IF(ISBLANK(INDEX(Loads!$P$5:$P$115,$R68)),"-",INDEX(Loads!$P$5:$P$115,$K68)+IF(NOT(ISERROR($Q68)),0,(INDEX(Loads!$P$5:$P$115,$R68+1)-INDEX(Loads!$P$5:$P$115,$R68))/(INDEX(Loads!$M$5:$M$115,$R68+1)-INDEX(Loads!$M$5:$M$115,$R68))*($C68-INDEX(Loads!$M$5:$M$115,$R68))))</f>
        <v>13541.187923076925</v>
      </c>
    </row>
  </sheetData>
  <sheetProtection sheet="1" objects="1" scenarios="1"/>
  <mergeCells count="12">
    <mergeCell ref="G45:H45"/>
    <mergeCell ref="G59:H59"/>
    <mergeCell ref="L45:O45"/>
    <mergeCell ref="S45:U45"/>
    <mergeCell ref="L59:O59"/>
    <mergeCell ref="S59:U59"/>
    <mergeCell ref="G4:H4"/>
    <mergeCell ref="G15:H15"/>
    <mergeCell ref="S4:U4"/>
    <mergeCell ref="L15:O15"/>
    <mergeCell ref="S15:U15"/>
    <mergeCell ref="L4:O4"/>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87"/>
  <sheetViews>
    <sheetView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445</v>
      </c>
      <c r="X3" s="185" t="s">
        <v>311</v>
      </c>
      <c r="Y3" s="185"/>
      <c r="Z3" s="185"/>
      <c r="AB3" s="185" t="s">
        <v>526</v>
      </c>
      <c r="AC3" s="185"/>
      <c r="AD3" s="185"/>
      <c r="AE3" s="185"/>
      <c r="AF3" s="185"/>
      <c r="AG3" s="185"/>
      <c r="AH3" s="185"/>
      <c r="AI3" s="185"/>
    </row>
    <row r="4" spans="3:38">
      <c r="C4" s="326" t="s">
        <v>0</v>
      </c>
      <c r="D4" s="12" t="s">
        <v>1</v>
      </c>
      <c r="E4" s="12" t="s">
        <v>2</v>
      </c>
      <c r="F4" s="12" t="s">
        <v>3</v>
      </c>
      <c r="G4" s="12" t="s">
        <v>4</v>
      </c>
      <c r="H4" s="12" t="s">
        <v>5</v>
      </c>
      <c r="I4" s="12" t="s">
        <v>6</v>
      </c>
      <c r="J4" s="12" t="s">
        <v>7</v>
      </c>
      <c r="K4" s="12" t="s">
        <v>8</v>
      </c>
      <c r="X4" s="8" t="s">
        <v>41</v>
      </c>
      <c r="Z4" s="33">
        <f>Control!F40</f>
        <v>31</v>
      </c>
      <c r="AB4" s="8" t="s">
        <v>40</v>
      </c>
      <c r="AC4" s="16" t="str">
        <f>Control!F39</f>
        <v>EC</v>
      </c>
      <c r="AD4" s="8" t="s">
        <v>91</v>
      </c>
      <c r="AE4" s="7">
        <f>IF($AC$4="DNV",5,4)</f>
        <v>4</v>
      </c>
      <c r="AF4" s="6"/>
      <c r="AG4" s="6"/>
      <c r="AH4" s="6"/>
      <c r="AI4" s="6"/>
    </row>
    <row r="5" spans="3:38">
      <c r="C5" s="327"/>
      <c r="D5" s="12" t="str">
        <f>"[m"&amp;Control!$F$7&amp;"]"</f>
        <v>[mLAT]</v>
      </c>
      <c r="E5" s="12" t="str">
        <f>"[m"&amp;Control!$F$7&amp;"]"</f>
        <v>[mLAT]</v>
      </c>
      <c r="F5" s="12" t="s">
        <v>9</v>
      </c>
      <c r="G5" s="12" t="s">
        <v>9</v>
      </c>
      <c r="H5" s="12" t="s">
        <v>10</v>
      </c>
      <c r="I5" s="12" t="s">
        <v>9</v>
      </c>
      <c r="J5" s="12" t="s">
        <v>11</v>
      </c>
      <c r="K5" s="12" t="s">
        <v>12</v>
      </c>
      <c r="X5" s="8" t="s">
        <v>38</v>
      </c>
      <c r="Z5" s="33">
        <f>Control!F41</f>
        <v>30</v>
      </c>
      <c r="AB5" s="185" t="s">
        <v>519</v>
      </c>
      <c r="AC5" s="185"/>
      <c r="AD5" s="185"/>
      <c r="AE5" s="185"/>
      <c r="AF5" s="185"/>
      <c r="AG5" s="186"/>
      <c r="AH5" s="186"/>
      <c r="AI5" s="186"/>
      <c r="AK5" s="6"/>
    </row>
    <row r="6" spans="3:38">
      <c r="C6" s="12">
        <v>1</v>
      </c>
      <c r="D6" s="44">
        <f>Geometry!D11</f>
        <v>20.9</v>
      </c>
      <c r="E6" s="44">
        <f>Geometry!E11</f>
        <v>17.5</v>
      </c>
      <c r="F6" s="44">
        <f>Geometry!F11</f>
        <v>7.5</v>
      </c>
      <c r="G6" s="44">
        <f>Geometry!G11</f>
        <v>7.5</v>
      </c>
      <c r="H6" s="44">
        <f>Geometry!H11</f>
        <v>86</v>
      </c>
      <c r="I6" s="56">
        <f>D6-E6</f>
        <v>3.3999999999999986</v>
      </c>
      <c r="J6" s="57">
        <f>ATAN((G6-F6)/(2*I6))/PI()*180</f>
        <v>0</v>
      </c>
      <c r="K6" s="58">
        <f>IF(J6=0,PI()/4*(F6^2-(F6-(2*H6/1000))^2)*I6*7850/1000,(I6*PI()/12)*((G6^2+G6*F6+F6^2)-((G6-2*(H6/1000))^2+(G6-(2*H6/1000))*(F6-(2*H6/1000))+(F6-(2*H6/1000))^2))*7850/1000)</f>
        <v>53.462526608972709</v>
      </c>
      <c r="X6" s="17" t="s">
        <v>39</v>
      </c>
      <c r="Z6" s="33">
        <f>Control!F42</f>
        <v>19</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7.5</v>
      </c>
      <c r="G7" s="44">
        <f>Geometry!G12</f>
        <v>7.5</v>
      </c>
      <c r="H7" s="44">
        <f>Geometry!H12</f>
        <v>86</v>
      </c>
      <c r="I7" s="56">
        <f t="shared" ref="I7:I9" si="0">D7-E7</f>
        <v>4</v>
      </c>
      <c r="J7" s="57">
        <f t="shared" ref="J7:J9" si="1">ATAN((G7-F7)/(2*I7))/PI()*180</f>
        <v>0</v>
      </c>
      <c r="K7" s="58">
        <f t="shared" ref="K7:K9" si="2">IF(J7=0,PI()/4*(F7^2-(F7-(2*H7/1000))^2)*I7*7850/1000,(I7*PI()/12)*((G7^2+G7*F7+F7^2)-((G7-2*(H7/1000))^2+(G7-(2*H7/1000))*(F7-(2*H7/1000))+(F7-(2*H7/1000))^2))*7850/1000)</f>
        <v>62.89709012820321</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7.5</v>
      </c>
      <c r="G8" s="44">
        <f>Geometry!G13</f>
        <v>7.5</v>
      </c>
      <c r="H8" s="44">
        <f>Geometry!H13</f>
        <v>93</v>
      </c>
      <c r="I8" s="56">
        <f t="shared" si="0"/>
        <v>4</v>
      </c>
      <c r="J8" s="57">
        <f t="shared" si="1"/>
        <v>0</v>
      </c>
      <c r="K8" s="58">
        <f t="shared" si="2"/>
        <v>67.952402167964621</v>
      </c>
      <c r="X8" s="8" t="s">
        <v>69</v>
      </c>
      <c r="Z8" s="33" t="str">
        <f>Control!F43</f>
        <v>N</v>
      </c>
      <c r="AB8" s="8" t="s">
        <v>440</v>
      </c>
      <c r="AD8" s="6">
        <f>IF($AC$4="EC",112,65.5)</f>
        <v>112</v>
      </c>
      <c r="AF8" t="s">
        <v>524</v>
      </c>
      <c r="AG8">
        <f>IF($AC$4="EC",112,AD6)</f>
        <v>112</v>
      </c>
    </row>
    <row r="9" spans="3:38">
      <c r="C9" s="12">
        <v>4</v>
      </c>
      <c r="D9" s="44">
        <f>Geometry!D14</f>
        <v>9.5</v>
      </c>
      <c r="E9" s="44">
        <f>Geometry!E14</f>
        <v>5.6</v>
      </c>
      <c r="F9" s="44">
        <f>Geometry!F14</f>
        <v>7.5</v>
      </c>
      <c r="G9" s="44">
        <f>Geometry!G14</f>
        <v>7.5</v>
      </c>
      <c r="H9" s="44">
        <f>Geometry!H14</f>
        <v>100</v>
      </c>
      <c r="I9" s="56">
        <f t="shared" si="0"/>
        <v>3.9000000000000004</v>
      </c>
      <c r="J9" s="57">
        <f t="shared" si="1"/>
        <v>0</v>
      </c>
      <c r="K9" s="58">
        <f t="shared" si="2"/>
        <v>71.17309572634214</v>
      </c>
      <c r="X9" s="8" t="s">
        <v>70</v>
      </c>
      <c r="Z9" s="33">
        <f>Control!F44</f>
        <v>0</v>
      </c>
      <c r="AF9" t="s">
        <v>520</v>
      </c>
      <c r="AG9">
        <f>IF(AC4="EC",225,131.62)</f>
        <v>225</v>
      </c>
      <c r="AH9" t="s">
        <v>536</v>
      </c>
      <c r="AI9">
        <v>1.3</v>
      </c>
    </row>
    <row r="10" spans="3:38">
      <c r="AE10" s="7"/>
      <c r="AF10" s="7"/>
      <c r="AG10" s="6"/>
      <c r="AH10" s="6"/>
      <c r="AI10" s="6"/>
    </row>
    <row r="11" spans="3:38">
      <c r="X11" s="185" t="s">
        <v>521</v>
      </c>
      <c r="Y11" s="185"/>
      <c r="Z11" s="185"/>
      <c r="AB11" s="185" t="s">
        <v>525</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522</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523</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18</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5" t="s">
        <v>215</v>
      </c>
      <c r="M30" s="315"/>
      <c r="Q30" s="308" t="s">
        <v>532</v>
      </c>
      <c r="R30" s="309"/>
      <c r="S30" s="310"/>
      <c r="T30" s="311" t="s">
        <v>531</v>
      </c>
      <c r="U30" s="312"/>
      <c r="V30" s="313"/>
    </row>
    <row r="31" spans="3:41" ht="15" customHeight="1">
      <c r="C31" s="323" t="s">
        <v>19</v>
      </c>
      <c r="D31" s="323" t="s">
        <v>282</v>
      </c>
      <c r="E31" s="323" t="s">
        <v>281</v>
      </c>
      <c r="F31" s="323" t="s">
        <v>18</v>
      </c>
      <c r="G31" s="323" t="s">
        <v>284</v>
      </c>
      <c r="H31" s="323" t="s">
        <v>283</v>
      </c>
      <c r="I31" s="323" t="s">
        <v>13</v>
      </c>
      <c r="J31" s="323" t="s">
        <v>14</v>
      </c>
      <c r="K31" s="323" t="s">
        <v>15</v>
      </c>
      <c r="L31" s="323" t="s">
        <v>279</v>
      </c>
      <c r="M31" s="323" t="s">
        <v>280</v>
      </c>
      <c r="N31" s="323" t="s">
        <v>300</v>
      </c>
      <c r="P31" s="323" t="s">
        <v>579</v>
      </c>
      <c r="Q31" s="314" t="s">
        <v>528</v>
      </c>
      <c r="R31" s="314" t="s">
        <v>529</v>
      </c>
      <c r="S31" s="314" t="s">
        <v>530</v>
      </c>
      <c r="T31" s="315" t="s">
        <v>528</v>
      </c>
      <c r="U31" s="315" t="s">
        <v>529</v>
      </c>
      <c r="V31" s="315" t="s">
        <v>530</v>
      </c>
    </row>
    <row r="32" spans="3:41" ht="29.1" customHeight="1">
      <c r="C32" s="324">
        <v>0</v>
      </c>
      <c r="D32" s="324">
        <v>0</v>
      </c>
      <c r="E32" s="324"/>
      <c r="F32" s="324"/>
      <c r="G32" s="324"/>
      <c r="H32" s="324"/>
      <c r="I32" s="324"/>
      <c r="J32" s="324"/>
      <c r="K32" s="324"/>
      <c r="L32" s="324"/>
      <c r="M32" s="324"/>
      <c r="N32" s="314"/>
      <c r="P32" s="314"/>
      <c r="Q32" s="314"/>
      <c r="R32" s="314"/>
      <c r="S32" s="314"/>
      <c r="T32" s="315"/>
      <c r="U32" s="315"/>
      <c r="V32" s="315"/>
    </row>
    <row r="33" spans="2:35">
      <c r="C33" s="30" t="s">
        <v>16</v>
      </c>
      <c r="D33" s="30" t="str">
        <f>"[m"&amp;Control!$F$7&amp;"]"</f>
        <v>[mLAT]</v>
      </c>
      <c r="E33" s="30" t="s">
        <v>9</v>
      </c>
      <c r="F33" s="30" t="s">
        <v>11</v>
      </c>
      <c r="G33" s="311" t="s">
        <v>10</v>
      </c>
      <c r="H33" s="312"/>
      <c r="I33" s="312"/>
      <c r="J33" s="312"/>
      <c r="K33" s="313"/>
      <c r="L33" s="311" t="s">
        <v>16</v>
      </c>
      <c r="M33" s="313"/>
      <c r="N33" s="324"/>
      <c r="P33" s="325"/>
      <c r="Q33" s="30" t="s">
        <v>16</v>
      </c>
      <c r="R33" s="30" t="s">
        <v>16</v>
      </c>
      <c r="S33" s="30" t="s">
        <v>16</v>
      </c>
      <c r="T33" s="30" t="s">
        <v>16</v>
      </c>
      <c r="U33" s="30" t="s">
        <v>16</v>
      </c>
      <c r="V33" s="30" t="s">
        <v>16</v>
      </c>
    </row>
    <row r="34" spans="2:35">
      <c r="C34" s="12" t="str">
        <f>"CW"&amp;TEXT(C6,"0")</f>
        <v>CW1</v>
      </c>
      <c r="D34" s="2">
        <f>E6</f>
        <v>17.5</v>
      </c>
      <c r="E34" s="3">
        <f>G6</f>
        <v>7.5</v>
      </c>
      <c r="F34" s="3">
        <f>ABS(J6-J7)</f>
        <v>0</v>
      </c>
      <c r="G34" s="3">
        <f>H6</f>
        <v>86</v>
      </c>
      <c r="H34" s="4">
        <f>H7</f>
        <v>86</v>
      </c>
      <c r="I34" s="3">
        <f>(MAX(G34:H34)-MIN(G34:H34))/2</f>
        <v>0</v>
      </c>
      <c r="J34" s="3">
        <f>MIN(0.1*MIN(G34:H34),4)</f>
        <v>4</v>
      </c>
      <c r="K34" s="120">
        <f>0.05*(MIN(G34:H34))</f>
        <v>4.3</v>
      </c>
      <c r="L34" s="120">
        <f>S34</f>
        <v>0.98953488372093024</v>
      </c>
      <c r="M34" s="120">
        <f>V34</f>
        <v>0.98953488372093024</v>
      </c>
      <c r="N34" s="222" t="str">
        <f>Geometry!N12</f>
        <v>n</v>
      </c>
      <c r="P34" s="120">
        <f>IF(F34&gt;0.1,IF(AND((E34-E33)=0,(E35-E34)&gt;0),"cc",IF(AND((E34-E33)&gt;0,(E35-E34)=0),"cv",0)),0)</f>
        <v>0</v>
      </c>
      <c r="Q34" s="223" cm="1">
        <f t="array" ref="Q34">IF($AC$4="EC",(1-(6*(I34+K34-J34))/(MIN(G34:H34)*(1+(MAX(G34:H34^1.5/MIN(G34:H34)^1.5))))),(1-(6*(I34+IF(OR(N34="b",N34="o"),0,K34)-J34)/(MIN(G34:H34)*(1+(MAX(G34:H34^1.5/MIN(G34:H34)^1.5)))))))</f>
        <v>0.98953488372093024</v>
      </c>
      <c r="R34" s="223">
        <f>IF(P34=0,0,IF(P34="cc",MAX(1+((0.6*G34*(E34*1000*(G34+H34))^0.5*TAN(F34*PI()/180))/G34^2),1+((0.6*G34*(E34*1000*(G34+H34))^0.5*TAN(F34*PI()/180))/H34^2)),1))</f>
        <v>0</v>
      </c>
      <c r="S34" s="223">
        <f>IF(P34=0,Q34,R34)</f>
        <v>0.98953488372093024</v>
      </c>
      <c r="T34" s="223" cm="1">
        <f t="array" ref="T34">IF($AC$4="EC",(1+(6*(I34+J34-K34))/(MIN(G34:H34)*(1+(MAX(G34:H34^1.5/MIN(G34:H34)^1.5))))),(1+(6*(I34+J34-IF(OR(N34="i",N34="b"),0,K34)))/(MIN(G34:H34)*(1+(MAX(G34:H34^1.5/MIN(G34:H34)^1.5))))))</f>
        <v>0.98953488372093024</v>
      </c>
      <c r="U34" s="223">
        <f>IF(P34=0,0,IF(P34="cv",MAX(1+((0.6*G34*(E34*1000*(G34+H34))^0.5*TAN(F34*PI()/180))/G34^2),1+((0.6*G34*(E34*1000*(G34+H34))^0.5*TAN(F34*PI()/180))/H34^2)),1))</f>
        <v>0</v>
      </c>
      <c r="V34" s="223">
        <f>IF(P34=0,T34,U34)</f>
        <v>0.98953488372093024</v>
      </c>
    </row>
    <row r="35" spans="2:35">
      <c r="C35" s="12" t="str">
        <f t="shared" ref="C35:C36" si="3">"CW"&amp;TEXT(C7,"0")</f>
        <v>CW2</v>
      </c>
      <c r="D35" s="2">
        <f t="shared" ref="D35:D36" si="4">E7</f>
        <v>13.5</v>
      </c>
      <c r="E35" s="3">
        <f t="shared" ref="E35:E36" si="5">G7</f>
        <v>7.5</v>
      </c>
      <c r="F35" s="3">
        <f t="shared" ref="F35:F36" si="6">ABS(J7-J8)</f>
        <v>0</v>
      </c>
      <c r="G35" s="3">
        <f t="shared" ref="G35:G36" si="7">H7</f>
        <v>86</v>
      </c>
      <c r="H35" s="4">
        <f t="shared" ref="H35:H36" si="8">H8</f>
        <v>93</v>
      </c>
      <c r="I35" s="3">
        <f t="shared" ref="I35:I36" si="9">(MAX(G35:H35)-MIN(G35:H35))/2</f>
        <v>3.5</v>
      </c>
      <c r="J35" s="3">
        <f t="shared" ref="J35:J36" si="10">MIN(0.1*MIN(G35:H35),4)</f>
        <v>4</v>
      </c>
      <c r="K35" s="120">
        <f t="shared" ref="K35:K36" si="11">0.05*(MIN(G35:H35))</f>
        <v>4.3</v>
      </c>
      <c r="L35" s="120">
        <f t="shared" ref="L35:L36" si="12">S35</f>
        <v>0.87521266477878967</v>
      </c>
      <c r="M35" s="120">
        <f t="shared" ref="M35:M36" si="13">V35</f>
        <v>1.1050840717652297</v>
      </c>
      <c r="N35" s="222" t="str">
        <f>Geometry!N13</f>
        <v>n</v>
      </c>
      <c r="P35" s="120">
        <f t="shared" ref="P35:P36" si="14">IF(F35&gt;0.1,IF(AND((E35-E34)=0,(E36-E35)&gt;0),"cc",IF(AND((E35-E34)&gt;0,(E36-E35)=0),"cv",0)),0)</f>
        <v>0</v>
      </c>
      <c r="Q35" s="223" cm="1">
        <f t="array" ref="Q35">IF($AC$4="EC",(1-(6*(I35+K35-J35))/(MIN(G35:H35)*(1+(MAX(G35:H35^1.5/MIN(G35:H35)^1.5))))),(1-(6*(I35+IF(OR(N35="b",N35="o"),0,K35)-J35)/(MIN(G35:H35)*(1+(MAX(G35:H35^1.5/MIN(G35:H35)^1.5)))))))</f>
        <v>0.87521266477878967</v>
      </c>
      <c r="R35" s="223">
        <f t="shared" ref="R35:R36" si="15">IF(P35=0,0,IF(P35="cc",MAX(1+((0.6*G35*(E35*1000*(G35+H35))^0.5*TAN(F35*PI()/180))/G35^2),1+((0.6*G35*(E35*1000*(G35+H35))^0.5*TAN(F35*PI()/180))/H35^2)),1))</f>
        <v>0</v>
      </c>
      <c r="S35" s="223">
        <f t="shared" ref="S35:S36" si="16">IF(P35=0,Q35,R35)</f>
        <v>0.87521266477878967</v>
      </c>
      <c r="T35" s="223" cm="1">
        <f t="array" ref="T35">IF($AC$4="EC",(1+(6*(I35+J35-K35))/(MIN(G35:H35)*(1+(MAX(G35:H35^1.5/MIN(G35:H35)^1.5))))),(1+(6*(I35+J35-IF(OR(N35="i",N35="b"),0,K35)))/(MIN(G35:H35)*(1+(MAX(G35:H35^1.5/MIN(G35:H35)^1.5))))))</f>
        <v>1.1050840717652297</v>
      </c>
      <c r="U35" s="223">
        <f t="shared" ref="U35:U36" si="17">IF(P35=0,0,IF(P35="cv",MAX(1+((0.6*G35*(E35*1000*(G35+H35))^0.5*TAN(F35*PI()/180))/G35^2),1+((0.6*G35*(E35*1000*(G35+H35))^0.5*TAN(F35*PI()/180))/H35^2)),1))</f>
        <v>0</v>
      </c>
      <c r="V35" s="223">
        <f t="shared" ref="V35:V36" si="18">IF(P35=0,T35,U35)</f>
        <v>1.1050840717652297</v>
      </c>
    </row>
    <row r="36" spans="2:35">
      <c r="C36" s="12" t="str">
        <f t="shared" si="3"/>
        <v>CW3</v>
      </c>
      <c r="D36" s="2">
        <f t="shared" si="4"/>
        <v>9.5</v>
      </c>
      <c r="E36" s="3">
        <f t="shared" si="5"/>
        <v>7.5</v>
      </c>
      <c r="F36" s="3">
        <f t="shared" si="6"/>
        <v>0</v>
      </c>
      <c r="G36" s="3">
        <f t="shared" si="7"/>
        <v>93</v>
      </c>
      <c r="H36" s="4">
        <f t="shared" si="8"/>
        <v>100</v>
      </c>
      <c r="I36" s="3">
        <f t="shared" si="9"/>
        <v>3.5</v>
      </c>
      <c r="J36" s="3">
        <f t="shared" si="10"/>
        <v>4</v>
      </c>
      <c r="K36" s="120">
        <f t="shared" si="11"/>
        <v>4.6500000000000004</v>
      </c>
      <c r="L36" s="120">
        <f t="shared" si="12"/>
        <v>0.87340817740105914</v>
      </c>
      <c r="M36" s="120">
        <f t="shared" si="13"/>
        <v>1.0869365528691521</v>
      </c>
      <c r="N36" s="222" t="str">
        <f>Geometry!N14</f>
        <v>n</v>
      </c>
      <c r="P36" s="120">
        <f t="shared" si="14"/>
        <v>0</v>
      </c>
      <c r="Q36" s="223" cm="1">
        <f t="array" ref="Q36">IF($AC$4="EC",(1-(6*(I36+K36-J36))/(MIN(G36:H36)*(1+(MAX(G36:H36^1.5/MIN(G36:H36)^1.5))))),(1-(6*(I36+IF(OR(N36="b",N36="o"),0,K36)-J36)/(MIN(G36:H36)*(1+(MAX(G36:H36^1.5/MIN(G36:H36)^1.5)))))))</f>
        <v>0.87340817740105914</v>
      </c>
      <c r="R36" s="223">
        <f t="shared" si="15"/>
        <v>0</v>
      </c>
      <c r="S36" s="223">
        <f t="shared" si="16"/>
        <v>0.87340817740105914</v>
      </c>
      <c r="T36" s="223" cm="1">
        <f t="array" ref="T36">IF($AC$4="EC",(1+(6*(I36+J36-K36))/(MIN(G36:H36)*(1+(MAX(G36:H36^1.5/MIN(G36:H36)^1.5))))),(1+(6*(I36+J36-IF(OR(N36="i",N36="b"),0,K36)))/(MIN(G36:H36)*(1+(MAX(G36:H36^1.5/MIN(G36:H36)^1.5))))))</f>
        <v>1.0869365528691521</v>
      </c>
      <c r="U36" s="223">
        <f t="shared" si="17"/>
        <v>0</v>
      </c>
      <c r="V36" s="223">
        <f t="shared" si="18"/>
        <v>1.0869365528691521</v>
      </c>
    </row>
    <row r="38" spans="2:35">
      <c r="C38" s="35" t="s">
        <v>50</v>
      </c>
      <c r="M38" s="271" t="s">
        <v>60</v>
      </c>
      <c r="N38" s="267"/>
      <c r="O38" s="267"/>
      <c r="P38" s="267"/>
      <c r="Q38" s="267"/>
      <c r="R38" s="319"/>
      <c r="V38" s="109"/>
      <c r="W38" s="109"/>
    </row>
    <row r="39" spans="2:35" ht="21" customHeight="1">
      <c r="B39" s="11"/>
      <c r="C39" s="315" t="s">
        <v>19</v>
      </c>
      <c r="D39" s="323" t="s">
        <v>282</v>
      </c>
      <c r="E39" s="30" t="s">
        <v>285</v>
      </c>
      <c r="F39" s="30" t="s">
        <v>285</v>
      </c>
      <c r="G39" s="315" t="s">
        <v>24</v>
      </c>
      <c r="H39" s="315"/>
      <c r="I39" s="315" t="s">
        <v>271</v>
      </c>
      <c r="J39" s="315"/>
      <c r="K39" s="315" t="s">
        <v>27</v>
      </c>
      <c r="L39" s="315"/>
      <c r="M39" s="315" t="s">
        <v>61</v>
      </c>
      <c r="N39" s="315"/>
      <c r="O39" s="315" t="s">
        <v>62</v>
      </c>
      <c r="P39" s="315"/>
      <c r="Q39" s="315" t="s">
        <v>63</v>
      </c>
      <c r="R39" s="315"/>
      <c r="V39" s="315" t="s">
        <v>31</v>
      </c>
      <c r="W39" s="315"/>
      <c r="X39" s="311" t="s">
        <v>48</v>
      </c>
      <c r="Y39" s="313"/>
      <c r="Z39" s="30" t="s">
        <v>21</v>
      </c>
      <c r="AA39" s="5" t="s">
        <v>22</v>
      </c>
      <c r="AB39" s="316" t="str">
        <f>IF(OR(Control!$F$39="EC",Control!$F$51="N"),"t","t_eff")</f>
        <v>t</v>
      </c>
      <c r="AC39" s="317"/>
      <c r="AD39" s="311" t="s">
        <v>35</v>
      </c>
      <c r="AE39" s="312"/>
      <c r="AF39" s="312"/>
      <c r="AG39" s="313"/>
      <c r="AH39" s="316" t="s">
        <v>425</v>
      </c>
      <c r="AI39" s="317"/>
    </row>
    <row r="40" spans="2:35" ht="20.399999999999999">
      <c r="B40" s="11"/>
      <c r="C40" s="315">
        <v>0</v>
      </c>
      <c r="D40" s="324">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1" t="s">
        <v>30</v>
      </c>
      <c r="AA40" s="313"/>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1" t="s">
        <v>20</v>
      </c>
      <c r="F41" s="313"/>
      <c r="G41" s="311" t="s">
        <v>77</v>
      </c>
      <c r="H41" s="312"/>
      <c r="I41" s="312"/>
      <c r="J41" s="313"/>
      <c r="K41" s="311" t="s">
        <v>77</v>
      </c>
      <c r="L41" s="313"/>
      <c r="M41" s="308" t="s">
        <v>16</v>
      </c>
      <c r="N41" s="309"/>
      <c r="O41" s="309"/>
      <c r="P41" s="309"/>
      <c r="Q41" s="309"/>
      <c r="R41" s="310"/>
      <c r="V41" s="318" t="s">
        <v>32</v>
      </c>
      <c r="W41" s="318"/>
      <c r="X41" s="30" t="s">
        <v>10</v>
      </c>
      <c r="Y41" s="30" t="s">
        <v>10</v>
      </c>
      <c r="Z41" s="311" t="s">
        <v>23</v>
      </c>
      <c r="AA41" s="313"/>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182177.86980077674</v>
      </c>
      <c r="F42" s="120">
        <f>IF(Geometry_loads!G8="-","-",Geometry_loads!G8*Control!$F$55)</f>
        <v>217148.22549126111</v>
      </c>
      <c r="G42" s="120">
        <f>IF(AND(X42=0,Y42=0),E42/Z42*E34/2/1000,(E42*($AF$25/$Z$5)^(1/$AE$4)/Z42*E34/2/1000))</f>
        <v>49.630925495920728</v>
      </c>
      <c r="H42" s="120">
        <f>IF(AND(X42=0,Y42=0),E42/Z42*(E34-2*G34/1000)/2/1000,(E42*($AF$25/$Z$5)^(1/$AE$4)/Z42*(E34-2*G34/1000)/2/1000))</f>
        <v>48.492722937880941</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0.58163522303237458</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0.53008740815825683</v>
      </c>
      <c r="O42" s="120">
        <f>Control!$F$46</f>
        <v>0.03</v>
      </c>
      <c r="P42" s="120">
        <f>Control!$F$46</f>
        <v>0.03</v>
      </c>
      <c r="Q42" s="120">
        <f>M42+O42</f>
        <v>0.61163522303237461</v>
      </c>
      <c r="R42" s="120">
        <f>N42+P42</f>
        <v>0.56008740815825686</v>
      </c>
      <c r="V42" s="37">
        <f>IF(OR(D42&gt;=$Z$13,D42&lt;=$Z$12,Geometry!P12="n"),0,"X")</f>
        <v>0</v>
      </c>
      <c r="W42" s="37">
        <f>IF(OR(D42&gt;=$Z$15,D42&lt;=$Z$12,Geometry!Q12="n"),0,"X")</f>
        <v>0</v>
      </c>
      <c r="X42" s="37">
        <f>0.5*IF(OR(D42&gt;=$Z$13,D42&lt;=$Z$12),0,$AF$24*$AF$26)*IF(V42=0,0,1)</f>
        <v>0</v>
      </c>
      <c r="Y42" s="37">
        <f>0.5*IF(OR(D42&gt;=$Z$15,D42&lt;=$Z$12),0,$AF$24*$AF$27)*IF(W42=0,0,1)</f>
        <v>0</v>
      </c>
      <c r="Z42" s="120">
        <f>(PI()/64*(E34^4-(E34-2*G34/1000)^4))</f>
        <v>13.764946047783528</v>
      </c>
      <c r="AA42" s="120">
        <f>(PI()/64*((E34-2*X42/1000)^4-((E34-2*X42/1000)-2*(G34-X42-Y42)/1000)^4))</f>
        <v>13.764946047783528</v>
      </c>
      <c r="AB42" s="120">
        <f>IF(OR(Control!$F$39="EC",Control!$F$51="N"),G34,MIN(G34,14+0.66*(INDEX('Eff. thickness (DNVGL-RP-C203)'!$G$31:$G$1048576,MATCH(G34,'Eff. thickness (DNVGL-RP-C203)'!$C$31:$C$1048576,0)))))</f>
        <v>86</v>
      </c>
      <c r="AC42" s="120">
        <f>IF(OR(Control!$F$39="EC",Control!$F$51="N"),G34,MIN(G34,14+0.66*(INDEX('Eff. thickness (DNVGL-RP-C203)'!$F$31:$F$1048576,MATCH(G34,'Eff. thickness (DNVGL-RP-C203)'!$C$31:$C$1048576,0))+IF(I34&lt;0.001,0,'Eff. thickness (DNVGL-RP-C203)'!$L$30))))</f>
        <v>86</v>
      </c>
      <c r="AD42" s="120">
        <f>(25/AB42)^(IF(OR(N34="b",N34="o"),0.1,0.2))</f>
        <v>0.78106703990700888</v>
      </c>
      <c r="AE42" s="120">
        <f>(25/AC42)^(IF(OR(N34="b",N34="i"),0.1,0.2))</f>
        <v>0.78106703990700888</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188066.10530199588</v>
      </c>
      <c r="F43" s="120">
        <f>IF(Geometry_loads!G9="-","-",Geometry_loads!G9*Control!$F$55)</f>
        <v>224063.40975749888</v>
      </c>
      <c r="G43" s="120">
        <f t="shared" ref="G43:G44" si="21">IF(AND(X43=0,Y43=0),E43/Z43*E35/2/1000,(E43*($AF$25/$Z$5)^(1/$AE$4)/Z43*E35/2/1000))</f>
        <v>51.235064230131556</v>
      </c>
      <c r="H43" s="120">
        <f t="shared" ref="H43:H44" si="22">IF(AND(X43=0,Y43=0),E43/Z43*(E35-2*G35/1000)/2/1000,(E43*($AF$25/$Z$5)^(1/$AE$4)/Z43*(E35-2*G35/1000)/2/1000))</f>
        <v>50.060073423787202</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90</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0.40424092806413181</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0.93640553954001915</v>
      </c>
      <c r="O43" s="120">
        <f>Control!$F$46</f>
        <v>0.03</v>
      </c>
      <c r="P43" s="120">
        <f>Control!$F$46</f>
        <v>0.03</v>
      </c>
      <c r="Q43" s="120">
        <f t="shared" ref="Q43:Q44" si="29">M43+O43</f>
        <v>0.43424092806413184</v>
      </c>
      <c r="R43" s="120">
        <f t="shared" ref="R43:R44" si="30">N43+P43</f>
        <v>0.96640553954001918</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13.764946047783528</v>
      </c>
      <c r="AA43" s="120">
        <f t="shared" ref="AA43:AA44" si="34">(PI()/64*((E35-2*X43/1000)^4-((E35-2*X43/1000)-2*(G35-X43-Y43)/1000)^4))</f>
        <v>13.764946047783528</v>
      </c>
      <c r="AB43" s="120">
        <f>IF(OR(Control!$F$39="EC",Control!$F$51="N"),G35,MIN(G35,14+0.66*(INDEX('Eff. thickness (DNVGL-RP-C203)'!$G$31:$G$1048576,MATCH(G35,'Eff. thickness (DNVGL-RP-C203)'!$C$31:$C$1048576,0)))))</f>
        <v>86</v>
      </c>
      <c r="AC43" s="120">
        <f>IF(OR(Control!$F$39="EC",Control!$F$51="N"),G35,MIN(G35,14+0.66*(INDEX('Eff. thickness (DNVGL-RP-C203)'!$F$31:$F$1048576,MATCH(G35,'Eff. thickness (DNVGL-RP-C203)'!$C$31:$C$1048576,0))+IF(I35&lt;0.001,0,'Eff. thickness (DNVGL-RP-C203)'!$L$30))))</f>
        <v>86</v>
      </c>
      <c r="AD43" s="120">
        <f t="shared" ref="AD43:AD44" si="35">(25/AB43)^(IF(OR(N35="b",N35="o"),0.1,0.2))</f>
        <v>0.78106703990700888</v>
      </c>
      <c r="AE43" s="120">
        <f t="shared" ref="AE43:AE44" si="36">(25/AC43)^(IF(OR(N35="b",N35="i"),0.1,0.2))</f>
        <v>0.78106703990700888</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194113.2957732545</v>
      </c>
      <c r="F44" s="120">
        <f>IF(Geometry_loads!G10="-","-",Geometry_loads!G10*Control!$F$55)</f>
        <v>231299.37028077827</v>
      </c>
      <c r="G44" s="120">
        <f t="shared" si="21"/>
        <v>49.039747317785391</v>
      </c>
      <c r="H44" s="120">
        <f t="shared" si="22"/>
        <v>47.823561584304315</v>
      </c>
      <c r="I44" s="120" t="str">
        <f t="shared" si="23"/>
        <v>-</v>
      </c>
      <c r="J44" s="120" t="str">
        <f t="shared" si="24"/>
        <v>-</v>
      </c>
      <c r="K44" s="120">
        <f t="shared" si="25"/>
        <v>90</v>
      </c>
      <c r="L44" s="120">
        <f t="shared" si="26"/>
        <v>90</v>
      </c>
      <c r="M44" s="120">
        <f t="shared" si="27"/>
        <v>0.35823356601287121</v>
      </c>
      <c r="N44" s="120">
        <f t="shared" si="28"/>
        <v>0.77712129117956696</v>
      </c>
      <c r="O44" s="120">
        <f>Control!$F$46</f>
        <v>0.03</v>
      </c>
      <c r="P44" s="120">
        <f>Control!$F$46</f>
        <v>0.03</v>
      </c>
      <c r="Q44" s="120">
        <f t="shared" si="29"/>
        <v>0.38823356601287118</v>
      </c>
      <c r="R44" s="120">
        <f t="shared" si="30"/>
        <v>0.80712129117956699</v>
      </c>
      <c r="V44" s="37">
        <f>IF(OR(D44&gt;=$Z$13,D44&lt;=$Z$12,Geometry!P14="n"),0,"X")</f>
        <v>0</v>
      </c>
      <c r="W44" s="37">
        <f>IF(OR(D44&gt;=$Z$15,D44&lt;=$Z$12,Geometry!Q14="n"),0,"X")</f>
        <v>0</v>
      </c>
      <c r="X44" s="37">
        <f t="shared" si="31"/>
        <v>0</v>
      </c>
      <c r="Y44" s="37">
        <f t="shared" si="32"/>
        <v>0</v>
      </c>
      <c r="Z44" s="120">
        <f t="shared" si="33"/>
        <v>14.843568716466566</v>
      </c>
      <c r="AA44" s="120">
        <f t="shared" si="34"/>
        <v>14.843568716466566</v>
      </c>
      <c r="AB44" s="120">
        <f>IF(OR(Control!$F$39="EC",Control!$F$51="N"),G36,MIN(G36,14+0.66*(INDEX('Eff. thickness (DNVGL-RP-C203)'!$G$31:$G$1048576,MATCH(G36,'Eff. thickness (DNVGL-RP-C203)'!$C$31:$C$1048576,0)))))</f>
        <v>93</v>
      </c>
      <c r="AC44" s="120">
        <f>IF(OR(Control!$F$39="EC",Control!$F$51="N"),G36,MIN(G36,14+0.66*(INDEX('Eff. thickness (DNVGL-RP-C203)'!$F$31:$F$1048576,MATCH(G36,'Eff. thickness (DNVGL-RP-C203)'!$C$31:$C$1048576,0))+IF(I36&lt;0.001,0,'Eff. thickness (DNVGL-RP-C203)'!$L$30))))</f>
        <v>93</v>
      </c>
      <c r="AD44" s="120">
        <f t="shared" si="35"/>
        <v>0.76893815629207973</v>
      </c>
      <c r="AE44" s="120">
        <f t="shared" si="36"/>
        <v>0.76893815629207973</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5" t="s">
        <v>19</v>
      </c>
      <c r="D47" s="323" t="s">
        <v>282</v>
      </c>
      <c r="E47" s="30" t="s">
        <v>285</v>
      </c>
      <c r="F47" s="30" t="s">
        <v>285</v>
      </c>
      <c r="G47" s="315" t="s">
        <v>24</v>
      </c>
      <c r="H47" s="315"/>
      <c r="I47" s="315" t="s">
        <v>271</v>
      </c>
      <c r="J47" s="315"/>
      <c r="K47" s="315" t="s">
        <v>27</v>
      </c>
      <c r="L47" s="315"/>
      <c r="M47" s="315" t="s">
        <v>61</v>
      </c>
      <c r="N47" s="315"/>
      <c r="O47" s="315" t="s">
        <v>62</v>
      </c>
      <c r="P47" s="315"/>
      <c r="Q47" s="315" t="s">
        <v>63</v>
      </c>
      <c r="R47" s="315"/>
      <c r="V47" s="315" t="s">
        <v>31</v>
      </c>
      <c r="W47" s="315"/>
      <c r="X47" s="311" t="s">
        <v>48</v>
      </c>
      <c r="Y47" s="313"/>
      <c r="Z47" s="30" t="s">
        <v>21</v>
      </c>
      <c r="AA47" s="5" t="s">
        <v>22</v>
      </c>
      <c r="AB47" s="316" t="str">
        <f>IF(OR(Control!$F$39="EC",Control!$F$51="N"),"t","t_eff")</f>
        <v>t</v>
      </c>
      <c r="AC47" s="317"/>
      <c r="AD47" s="315" t="s">
        <v>35</v>
      </c>
      <c r="AE47" s="315"/>
      <c r="AF47" s="315"/>
      <c r="AG47" s="315"/>
      <c r="AH47" s="316" t="s">
        <v>425</v>
      </c>
      <c r="AI47" s="317"/>
    </row>
    <row r="48" spans="2:35" ht="20.399999999999999">
      <c r="B48" s="11"/>
      <c r="C48" s="315">
        <v>0</v>
      </c>
      <c r="D48" s="324">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1" t="s">
        <v>30</v>
      </c>
      <c r="AA48" s="313"/>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1" t="s">
        <v>20</v>
      </c>
      <c r="F49" s="313"/>
      <c r="G49" s="311" t="s">
        <v>77</v>
      </c>
      <c r="H49" s="312"/>
      <c r="I49" s="312"/>
      <c r="J49" s="313"/>
      <c r="K49" s="311" t="s">
        <v>77</v>
      </c>
      <c r="L49" s="313"/>
      <c r="M49" s="308" t="s">
        <v>16</v>
      </c>
      <c r="N49" s="309"/>
      <c r="O49" s="309"/>
      <c r="P49" s="309"/>
      <c r="Q49" s="309"/>
      <c r="R49" s="310"/>
      <c r="V49" s="318" t="s">
        <v>32</v>
      </c>
      <c r="W49" s="318"/>
      <c r="X49" s="30" t="s">
        <v>10</v>
      </c>
      <c r="Y49" s="30" t="s">
        <v>10</v>
      </c>
      <c r="Z49" s="311" t="s">
        <v>23</v>
      </c>
      <c r="AA49" s="313"/>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182177.86980077674</v>
      </c>
      <c r="F50" s="120">
        <f>IF(Geometry_loads!G8="-","-",Geometry_loads!G8*Control!$F$55)</f>
        <v>217148.22549126111</v>
      </c>
      <c r="G50" s="120">
        <f>IF(AND(X50=0,Y50=0),E50/Z50*E34/2/1000,(E50*($AF$25/$Z$5)^(1/$AE$4)/Z50*E34/2/1000))</f>
        <v>49.630925495920728</v>
      </c>
      <c r="H50" s="120">
        <f>IF(AND(X50=0,Y50=0),E50/Z50*(E34-2*H34/1000)/2/1000,(E50*($AF$25/$Z$5)^(1/$AE$4)/Z50*(E34-2*H34/1000)/2/1000))</f>
        <v>48.492722937880941</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0.58163522303237458</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0.53008740815825683</v>
      </c>
      <c r="O50" s="120">
        <f>Control!$F$46</f>
        <v>0.03</v>
      </c>
      <c r="P50" s="120">
        <f>Control!$F$46</f>
        <v>0.03</v>
      </c>
      <c r="Q50" s="120">
        <f>M50+O50</f>
        <v>0.61163522303237461</v>
      </c>
      <c r="R50" s="120">
        <f>N50+P50</f>
        <v>0.56008740815825686</v>
      </c>
      <c r="V50" s="36">
        <f>V42</f>
        <v>0</v>
      </c>
      <c r="W50" s="36">
        <f>W42</f>
        <v>0</v>
      </c>
      <c r="X50" s="36">
        <f>X42</f>
        <v>0</v>
      </c>
      <c r="Y50" s="36">
        <f>Y42</f>
        <v>0</v>
      </c>
      <c r="Z50" s="120">
        <f>(PI()/64*(E34^4-(E34-2*H34/1000)^4))</f>
        <v>13.764946047783528</v>
      </c>
      <c r="AA50" s="120">
        <f>(PI()/64*((E34-2*X42/1000)^4-((E34-2*X42/1000)-2*(H34-X42-Y42)/1000)^4))</f>
        <v>13.764946047783528</v>
      </c>
      <c r="AB50" s="120">
        <f>IF(OR(Control!$F$39="EC",Control!$F$51="N"),H34,MIN(H34,14+0.66*(INDEX('Eff. thickness (DNVGL-RP-C203)'!$G$31:$G$1048576,MATCH(H34,'Eff. thickness (DNVGL-RP-C203)'!$C$31:$C$1048576,0)))))</f>
        <v>86</v>
      </c>
      <c r="AC50" s="120">
        <f>IF(OR(Control!$F$39="EC",Control!$F$51="N"),H34,MIN(H34,14+0.66*(INDEX('Eff. thickness (DNVGL-RP-C203)'!$F$31:$F$1048576,MATCH(H34,'Eff. thickness (DNVGL-RP-C203)'!$C$31:$C$1048576,0))+IF(I34&lt;0.001,0,'Eff. thickness (DNVGL-RP-C203)'!$L$30))))</f>
        <v>86</v>
      </c>
      <c r="AD50" s="120">
        <f>(25/AB50)^(IF(OR(N34="b",N34="o"),0.1,0.2))</f>
        <v>0.78106703990700888</v>
      </c>
      <c r="AE50" s="120">
        <f>(25/AC50)^(IF(OR(N34="b",N34="i"),0.1,0.2))</f>
        <v>0.78106703990700888</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188066.10530199588</v>
      </c>
      <c r="F51" s="120">
        <f>IF(Geometry_loads!G9="-","-",Geometry_loads!G9*Control!$F$55)</f>
        <v>224063.40975749888</v>
      </c>
      <c r="G51" s="120">
        <f t="shared" ref="G51:G52" si="41">IF(AND(X51=0,Y51=0),E51/Z51*E35/2/1000,(E51*($AF$25/$Z$5)^(1/$AE$4)/Z51*E35/2/1000))</f>
        <v>47.512017382997989</v>
      </c>
      <c r="H51" s="120">
        <f t="shared" ref="H51:H52" si="42">IF(AND(X51=0,Y51=0),E51/Z51*(E35-2*H35/1000)/2/1000,(E51*($AF$25/$Z$5)^(1/$AE$4)/Z51*(E35-2*H35/1000)/2/1000))</f>
        <v>46.333719351899639</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0.31825308692821996</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0.73160101295111035</v>
      </c>
      <c r="O51" s="120">
        <f>Control!$F$46</f>
        <v>0.03</v>
      </c>
      <c r="P51" s="120">
        <f>Control!$F$46</f>
        <v>0.03</v>
      </c>
      <c r="Q51" s="120">
        <f t="shared" ref="Q51:Q52" si="49">M51+O51</f>
        <v>0.34825308692821999</v>
      </c>
      <c r="R51" s="120">
        <f t="shared" ref="R51:R52" si="50">N51+P51</f>
        <v>0.76160101295111038</v>
      </c>
      <c r="V51" s="36">
        <f t="shared" ref="V51:Y51" si="51">V43</f>
        <v>0</v>
      </c>
      <c r="W51" s="36">
        <f t="shared" si="51"/>
        <v>0</v>
      </c>
      <c r="X51" s="36">
        <f t="shared" si="51"/>
        <v>0</v>
      </c>
      <c r="Y51" s="36">
        <f t="shared" si="51"/>
        <v>0</v>
      </c>
      <c r="Z51" s="120">
        <f t="shared" ref="Z51:Z52" si="52">(PI()/64*(E35^4-(E35-2*H35/1000)^4))</f>
        <v>14.843568716466566</v>
      </c>
      <c r="AA51" s="120">
        <f t="shared" ref="AA51:AA52" si="53">(PI()/64*((E35-2*X43/1000)^4-((E35-2*X43/1000)-2*(H35-X43-Y43)/1000)^4))</f>
        <v>14.843568716466566</v>
      </c>
      <c r="AB51" s="120">
        <f>IF(OR(Control!$F$39="EC",Control!$F$51="N"),H35,MIN(H35,14+0.66*(INDEX('Eff. thickness (DNVGL-RP-C203)'!$G$31:$G$1048576,MATCH(H35,'Eff. thickness (DNVGL-RP-C203)'!$C$31:$C$1048576,0)))))</f>
        <v>93</v>
      </c>
      <c r="AC51" s="120">
        <f>IF(OR(Control!$F$39="EC",Control!$F$51="N"),H35,MIN(H35,14+0.66*(INDEX('Eff. thickness (DNVGL-RP-C203)'!$F$31:$F$1048576,MATCH(H35,'Eff. thickness (DNVGL-RP-C203)'!$C$31:$C$1048576,0))+IF(I35&lt;0.001,0,'Eff. thickness (DNVGL-RP-C203)'!$L$30))))</f>
        <v>93</v>
      </c>
      <c r="AD51" s="120">
        <f t="shared" ref="AD51:AD52" si="54">(25/AB51)^(IF(OR(N35="b",N35="o"),0.1,0.2))</f>
        <v>0.76893815629207973</v>
      </c>
      <c r="AE51" s="120">
        <f t="shared" ref="AE51:AE52" si="55">(25/AC51)^(IF(OR(N35="b",N35="i"),0.1,0.2))</f>
        <v>0.76893815629207973</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194113.2957732545</v>
      </c>
      <c r="F52" s="120">
        <f>IF(Geometry_loads!G10="-","-",Geometry_loads!G10*Control!$F$55)</f>
        <v>231299.37028077827</v>
      </c>
      <c r="G52" s="120">
        <f t="shared" si="41"/>
        <v>45.735370826659718</v>
      </c>
      <c r="H52" s="120">
        <f t="shared" si="42"/>
        <v>44.515760937948791</v>
      </c>
      <c r="I52" s="120" t="str">
        <f t="shared" si="43"/>
        <v>-</v>
      </c>
      <c r="J52" s="120" t="str">
        <f t="shared" si="44"/>
        <v>-</v>
      </c>
      <c r="K52" s="120">
        <f t="shared" si="45"/>
        <v>90</v>
      </c>
      <c r="L52" s="120">
        <f t="shared" si="46"/>
        <v>90</v>
      </c>
      <c r="M52" s="120">
        <f t="shared" si="47"/>
        <v>0.28720754270820409</v>
      </c>
      <c r="N52" s="120">
        <f t="shared" si="48"/>
        <v>0.61828682062819385</v>
      </c>
      <c r="O52" s="120">
        <f>Control!$F$46</f>
        <v>0.03</v>
      </c>
      <c r="P52" s="120">
        <f>Control!$F$46</f>
        <v>0.03</v>
      </c>
      <c r="Q52" s="120">
        <f t="shared" si="49"/>
        <v>0.31720754270820406</v>
      </c>
      <c r="R52" s="120">
        <f t="shared" si="50"/>
        <v>0.64828682062819387</v>
      </c>
      <c r="V52" s="36">
        <f t="shared" ref="V52:Y52" si="58">V44</f>
        <v>0</v>
      </c>
      <c r="W52" s="36">
        <f t="shared" si="58"/>
        <v>0</v>
      </c>
      <c r="X52" s="36">
        <f t="shared" si="58"/>
        <v>0</v>
      </c>
      <c r="Y52" s="36">
        <f t="shared" si="58"/>
        <v>0</v>
      </c>
      <c r="Z52" s="120">
        <f t="shared" si="52"/>
        <v>15.916015241432959</v>
      </c>
      <c r="AA52" s="120">
        <f t="shared" si="53"/>
        <v>15.916015241432959</v>
      </c>
      <c r="AB52" s="120">
        <f>IF(OR(Control!$F$39="EC",Control!$F$51="N"),H36,MIN(H36,14+0.66*(INDEX('Eff. thickness (DNVGL-RP-C203)'!$G$31:$G$1048576,MATCH(H36,'Eff. thickness (DNVGL-RP-C203)'!$C$31:$C$1048576,0)))))</f>
        <v>100</v>
      </c>
      <c r="AC52" s="120">
        <f>IF(OR(Control!$F$39="EC",Control!$F$51="N"),H36,MIN(H36,14+0.66*(INDEX('Eff. thickness (DNVGL-RP-C203)'!$F$31:$F$1048576,MATCH(H36,'Eff. thickness (DNVGL-RP-C203)'!$C$31:$C$1048576,0))+IF(I36&lt;0.001,0,'Eff. thickness (DNVGL-RP-C203)'!$L$30))))</f>
        <v>100</v>
      </c>
      <c r="AD52" s="120">
        <f t="shared" si="54"/>
        <v>0.75785828325519911</v>
      </c>
      <c r="AE52" s="120">
        <f t="shared" si="55"/>
        <v>0.75785828325519911</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443</v>
      </c>
      <c r="M54" s="271" t="s">
        <v>60</v>
      </c>
      <c r="N54" s="267"/>
      <c r="O54" s="267"/>
      <c r="P54" s="267"/>
      <c r="Q54" s="267"/>
      <c r="R54" s="319"/>
    </row>
    <row r="55" spans="2:35" ht="20.399999999999999">
      <c r="C55" s="315" t="s">
        <v>19</v>
      </c>
      <c r="D55" s="323" t="s">
        <v>282</v>
      </c>
      <c r="E55" s="30" t="s">
        <v>285</v>
      </c>
      <c r="F55" s="30" t="s">
        <v>285</v>
      </c>
      <c r="G55" s="315" t="s">
        <v>24</v>
      </c>
      <c r="H55" s="315"/>
      <c r="I55" s="315" t="s">
        <v>271</v>
      </c>
      <c r="J55" s="315"/>
      <c r="K55" s="315" t="s">
        <v>27</v>
      </c>
      <c r="L55" s="315"/>
      <c r="M55" s="315" t="s">
        <v>61</v>
      </c>
      <c r="N55" s="315"/>
      <c r="O55" s="315" t="s">
        <v>62</v>
      </c>
      <c r="P55" s="315"/>
      <c r="Q55" s="315" t="s">
        <v>63</v>
      </c>
      <c r="R55" s="315"/>
      <c r="V55" s="315" t="s">
        <v>31</v>
      </c>
      <c r="W55" s="315"/>
      <c r="X55" s="311" t="s">
        <v>48</v>
      </c>
      <c r="Y55" s="313"/>
      <c r="Z55" s="30" t="s">
        <v>21</v>
      </c>
      <c r="AA55" s="5" t="s">
        <v>22</v>
      </c>
      <c r="AB55" s="316" t="str">
        <f>IF(OR(Control!$F$39="EC",Control!$F$51="N"),"t","t_eff")</f>
        <v>t</v>
      </c>
      <c r="AC55" s="317"/>
      <c r="AD55" s="315" t="s">
        <v>35</v>
      </c>
      <c r="AE55" s="315"/>
      <c r="AF55" s="315"/>
      <c r="AG55" s="315"/>
      <c r="AH55" s="316" t="s">
        <v>425</v>
      </c>
      <c r="AI55" s="317"/>
    </row>
    <row r="56" spans="2:35" ht="20.399999999999999">
      <c r="C56" s="315">
        <v>0</v>
      </c>
      <c r="D56" s="324">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1" t="s">
        <v>30</v>
      </c>
      <c r="AA56" s="313"/>
      <c r="AB56" s="30" t="s">
        <v>45</v>
      </c>
      <c r="AC56" s="30" t="s">
        <v>34</v>
      </c>
      <c r="AD56" s="30" t="s">
        <v>45</v>
      </c>
      <c r="AE56" s="30" t="s">
        <v>34</v>
      </c>
      <c r="AF56" s="30" t="s">
        <v>46</v>
      </c>
      <c r="AG56" s="30" t="s">
        <v>47</v>
      </c>
      <c r="AH56" s="30" t="s">
        <v>45</v>
      </c>
      <c r="AI56" s="30" t="s">
        <v>34</v>
      </c>
    </row>
    <row r="57" spans="2:35">
      <c r="C57" s="30" t="s">
        <v>16</v>
      </c>
      <c r="D57" s="30" t="str">
        <f>"[m"&amp;Control!$F$7&amp;"]"</f>
        <v>[mLAT]</v>
      </c>
      <c r="E57" s="311" t="s">
        <v>20</v>
      </c>
      <c r="F57" s="313"/>
      <c r="G57" s="311" t="s">
        <v>77</v>
      </c>
      <c r="H57" s="312"/>
      <c r="I57" s="312"/>
      <c r="J57" s="313"/>
      <c r="K57" s="311" t="s">
        <v>77</v>
      </c>
      <c r="L57" s="313"/>
      <c r="M57" s="308" t="s">
        <v>16</v>
      </c>
      <c r="N57" s="309"/>
      <c r="O57" s="309"/>
      <c r="P57" s="309"/>
      <c r="Q57" s="309"/>
      <c r="R57" s="310"/>
      <c r="V57" s="318" t="s">
        <v>32</v>
      </c>
      <c r="W57" s="318"/>
      <c r="X57" s="30" t="s">
        <v>10</v>
      </c>
      <c r="Y57" s="30" t="s">
        <v>10</v>
      </c>
      <c r="Z57" s="311" t="s">
        <v>23</v>
      </c>
      <c r="AA57" s="313"/>
      <c r="AB57" s="87" t="s">
        <v>10</v>
      </c>
      <c r="AC57" s="87" t="s">
        <v>10</v>
      </c>
      <c r="AD57" s="1" t="s">
        <v>16</v>
      </c>
      <c r="AE57" s="1" t="s">
        <v>16</v>
      </c>
      <c r="AF57" s="1" t="s">
        <v>16</v>
      </c>
      <c r="AG57" s="1" t="s">
        <v>16</v>
      </c>
      <c r="AH57" s="1" t="s">
        <v>16</v>
      </c>
      <c r="AI57" s="1" t="s">
        <v>16</v>
      </c>
    </row>
    <row r="58" spans="2:35">
      <c r="C58" s="12" t="s">
        <v>433</v>
      </c>
      <c r="D58" s="2">
        <f>D34</f>
        <v>17.5</v>
      </c>
      <c r="E58" s="120">
        <f>IF(Geometry_loads!H8="-","-",Geometry_loads!H8*Control!$F$54)</f>
        <v>182177.86980077674</v>
      </c>
      <c r="F58" s="120">
        <f>IF(Geometry_loads!G8="-","-",Geometry_loads!G8*Control!$F$55)</f>
        <v>217148.22549126111</v>
      </c>
      <c r="G58" s="120">
        <f>IF(AND(X58=0,Y58=0),E58/Z58*E34/2/1000,(E58*($AF$25/$Z$5)^(1/$AE$4)/Z58*E34/2/1000))</f>
        <v>49.630925495920728</v>
      </c>
      <c r="H58" s="120">
        <f>IF(AND(X58=0,Y58=0),E58/Z58*(E34-2*G34/1000)/2/1000,(E58*($AF$25/$Z$5)^(1/$AE$4)/Z58*(E34-2*G34/1000)/2/1000))</f>
        <v>48.492722937880941</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0.15431240276172495</v>
      </c>
      <c r="N58" s="120">
        <f>IF(AND(W58=0,V58&lt;&gt;0),IF(D58&gt;$Z$9,$AD$14,$AD$15)*((((IF(D58&gt;$Z$9,$AD$12,$AD$13)/AE58*H58)/(AI58*L58))^$AE$4)+(((IF(D58&gt;$Z$9,$AD$12,$AD$13)/AE58*J58)/((AI58*L58)))^$AE$4)),IF(D58&gt;$Z$9,$AD$14,$AD$15)*((((IF(D58&gt;$Z$9,$AD$12,$AD$13)/AE58*H58)/(AI58*L58))^$AE$4)+(((IF(D58&gt;$Z$9,$AD$12,$AD$13)/AG58*IF(W58=0,0,J58))/(0.7*L58))^3)))</f>
        <v>0.14063636173919053</v>
      </c>
      <c r="O58" s="120">
        <f>Control!$F$46</f>
        <v>0.03</v>
      </c>
      <c r="P58" s="120">
        <f>Control!$F$46</f>
        <v>0.03</v>
      </c>
      <c r="Q58" s="120">
        <f>M58+O58</f>
        <v>0.18431240276172495</v>
      </c>
      <c r="R58" s="120">
        <f>N58+P58</f>
        <v>0.17063636173919053</v>
      </c>
      <c r="V58" s="36">
        <f>V42</f>
        <v>0</v>
      </c>
      <c r="W58" s="36">
        <f>W42</f>
        <v>0</v>
      </c>
      <c r="X58" s="36">
        <f>X42</f>
        <v>0</v>
      </c>
      <c r="Y58" s="36">
        <f>Y42</f>
        <v>0</v>
      </c>
      <c r="Z58" s="120">
        <f>(PI()/64*(E34^4-(E34-2*G34/1000)^4))</f>
        <v>13.764946047783528</v>
      </c>
      <c r="AA58" s="120">
        <f>(PI()/64*((E34-2*X58/1000)^4-((E34-2*X58/1000)-2*(G34-X58-Y58)/1000)^4))</f>
        <v>13.764946047783528</v>
      </c>
      <c r="AB58" s="120">
        <f>IF(OR(Control!$F$39="EC",Control!$F$51="N"),G34,MIN(G34,14+0.66*(INDEX('Eff. thickness (DNVGL-RP-C203)'!$G$31:$G$1048576,MATCH(G34,'Eff. thickness (DNVGL-RP-C203)'!$C$31:$C$1048576,0)))))</f>
        <v>86</v>
      </c>
      <c r="AC58" s="120">
        <f>IF(OR(Control!$F$39="EC",Control!$F$51="N"),G34,MIN(G34,14+0.66*(INDEX('Eff. thickness (DNVGL-RP-C203)'!$F$31:$F$1048576,MATCH(G34,'Eff. thickness (DNVGL-RP-C203)'!$C$31:$C$1048576,0)))))</f>
        <v>86</v>
      </c>
      <c r="AD58" s="120">
        <f>(25/AB58)^0.1</f>
        <v>0.88377997256500951</v>
      </c>
      <c r="AE58" s="120">
        <f>(25/AC58)^0.1</f>
        <v>0.88377997256500951</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434</v>
      </c>
      <c r="D59" s="2">
        <f t="shared" ref="D59:D60" si="60">D35</f>
        <v>13.5</v>
      </c>
      <c r="E59" s="120">
        <f>IF(Geometry_loads!H9="-","-",Geometry_loads!H9*Control!$F$54)</f>
        <v>188066.10530199588</v>
      </c>
      <c r="F59" s="120">
        <f>IF(Geometry_loads!G9="-","-",Geometry_loads!G9*Control!$F$55)</f>
        <v>224063.40975749888</v>
      </c>
      <c r="G59" s="120">
        <f t="shared" ref="G59:G60" si="61">IF(AND(X59=0,Y59=0),E59/Z59*E35/2/1000,(E59*($AF$25/$Z$5)^(1/$AE$4)/Z59*E35/2/1000))</f>
        <v>51.235064230131556</v>
      </c>
      <c r="H59" s="120">
        <f t="shared" ref="H59:H60" si="62">IF(AND(X59=0,Y59=0),E59/Z59*(E35-2*G35/1000)/2/1000,(E59*($AF$25/$Z$5)^(1/$AE$4)/Z59*(E35-2*G35/1000)/2/1000))</f>
        <v>50.060073423787202</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0.1752509893333308</v>
      </c>
      <c r="N59" s="120">
        <f t="shared" ref="N59:N60" si="66">IF(AND(W59=0,V59&lt;&gt;0),IF(D59&gt;$Z$9,$AD$14,$AD$15)*((((IF(D59&gt;$Z$9,$AD$12,$AD$13)/AE59*H59)/(AI59*L59))^$AE$4)+(((IF(D59&gt;$Z$9,$AD$12,$AD$13)/AE59*J59)/((AI59*L59)))^$AE$4)),IF(D59&gt;$Z$9,$AD$14,$AD$15)*((((IF(D59&gt;$Z$9,$AD$12,$AD$13)/AE59*H59)/(AI59*L59))^$AE$4)+(((IF(D59&gt;$Z$9,$AD$12,$AD$13)/AG59*IF(W59=0,0,J59))/(0.7*L59))^3)))</f>
        <v>0.1597192519196946</v>
      </c>
      <c r="O59" s="120">
        <f>Control!$F$46</f>
        <v>0.03</v>
      </c>
      <c r="P59" s="120">
        <f>Control!$F$46</f>
        <v>0.03</v>
      </c>
      <c r="Q59" s="120">
        <f t="shared" ref="Q59:Q60" si="67">M59+O59</f>
        <v>0.2052509893333308</v>
      </c>
      <c r="R59" s="120">
        <f t="shared" ref="R59:R60" si="68">N59+P59</f>
        <v>0.1897192519196946</v>
      </c>
      <c r="V59" s="36">
        <f t="shared" ref="V59:Y59" si="69">V43</f>
        <v>0</v>
      </c>
      <c r="W59" s="36">
        <f t="shared" si="69"/>
        <v>0</v>
      </c>
      <c r="X59" s="36">
        <f t="shared" si="69"/>
        <v>0</v>
      </c>
      <c r="Y59" s="36">
        <f t="shared" si="69"/>
        <v>0</v>
      </c>
      <c r="Z59" s="120">
        <f t="shared" ref="Z59:Z60" si="70">(PI()/64*(E35^4-(E35-2*G35/1000)^4))</f>
        <v>13.764946047783528</v>
      </c>
      <c r="AA59" s="120">
        <f t="shared" ref="AA59:AA60" si="71">(PI()/64*((E35-2*X59/1000)^4-((E35-2*X59/1000)-2*(G35-X59-Y59)/1000)^4))</f>
        <v>13.764946047783528</v>
      </c>
      <c r="AB59" s="120">
        <f>IF(OR(Control!$F$39="EC",Control!$F$51="N"),G35,MIN(G35,14+0.66*(INDEX('Eff. thickness (DNVGL-RP-C203)'!$G$31:$G$1048576,MATCH(G35,'Eff. thickness (DNVGL-RP-C203)'!$C$31:$C$1048576,0)))))</f>
        <v>86</v>
      </c>
      <c r="AC59" s="120">
        <f>IF(OR(Control!$F$39="EC",Control!$F$51="N"),G35,MIN(G35,14+0.66*(INDEX('Eff. thickness (DNVGL-RP-C203)'!$F$31:$F$1048576,MATCH(G35,'Eff. thickness (DNVGL-RP-C203)'!$C$31:$C$1048576,0)))))</f>
        <v>86</v>
      </c>
      <c r="AD59" s="120">
        <f t="shared" ref="AD59:AD60" si="72">(25/AB59)^0.1</f>
        <v>0.88377997256500951</v>
      </c>
      <c r="AE59" s="120">
        <f t="shared" ref="AE59:AE60" si="73">(25/AC59)^0.1</f>
        <v>0.88377997256500951</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435</v>
      </c>
      <c r="D60" s="2">
        <f t="shared" si="60"/>
        <v>9.5</v>
      </c>
      <c r="E60" s="120">
        <f>IF(Geometry_loads!H10="-","-",Geometry_loads!H10*Control!$F$54)</f>
        <v>194113.2957732545</v>
      </c>
      <c r="F60" s="120">
        <f>IF(Geometry_loads!G10="-","-",Geometry_loads!G10*Control!$F$55)</f>
        <v>231299.37028077827</v>
      </c>
      <c r="G60" s="120">
        <f t="shared" si="61"/>
        <v>49.039747317785391</v>
      </c>
      <c r="H60" s="120">
        <f t="shared" si="62"/>
        <v>47.823561584304315</v>
      </c>
      <c r="I60" s="120" t="str">
        <f t="shared" si="63"/>
        <v>-</v>
      </c>
      <c r="J60" s="120" t="str">
        <f t="shared" si="64"/>
        <v>-</v>
      </c>
      <c r="K60" s="120">
        <f t="shared" si="59"/>
        <v>112</v>
      </c>
      <c r="L60" s="120">
        <f t="shared" si="59"/>
        <v>112</v>
      </c>
      <c r="M60" s="120">
        <f t="shared" si="65"/>
        <v>0.1517672386556542</v>
      </c>
      <c r="N60" s="120">
        <f t="shared" si="66"/>
        <v>0.13726278390751262</v>
      </c>
      <c r="O60" s="120">
        <f>Control!$F$46</f>
        <v>0.03</v>
      </c>
      <c r="P60" s="120">
        <f>Control!$F$46</f>
        <v>0.03</v>
      </c>
      <c r="Q60" s="120">
        <f t="shared" si="67"/>
        <v>0.1817672386556542</v>
      </c>
      <c r="R60" s="120">
        <f t="shared" si="68"/>
        <v>0.16726278390751262</v>
      </c>
      <c r="V60" s="36">
        <f t="shared" ref="V60:Y60" si="76">V44</f>
        <v>0</v>
      </c>
      <c r="W60" s="36">
        <f t="shared" si="76"/>
        <v>0</v>
      </c>
      <c r="X60" s="36">
        <f t="shared" si="76"/>
        <v>0</v>
      </c>
      <c r="Y60" s="36">
        <f t="shared" si="76"/>
        <v>0</v>
      </c>
      <c r="Z60" s="120">
        <f t="shared" si="70"/>
        <v>14.843568716466566</v>
      </c>
      <c r="AA60" s="120">
        <f t="shared" si="71"/>
        <v>14.843568716466566</v>
      </c>
      <c r="AB60" s="120">
        <f>IF(OR(Control!$F$39="EC",Control!$F$51="N"),G36,MIN(G36,14+0.66*(INDEX('Eff. thickness (DNVGL-RP-C203)'!$G$31:$G$1048576,MATCH(G36,'Eff. thickness (DNVGL-RP-C203)'!$C$31:$C$1048576,0)))))</f>
        <v>93</v>
      </c>
      <c r="AC60" s="120">
        <f>IF(OR(Control!$F$39="EC",Control!$F$51="N"),G36,MIN(G36,14+0.66*(INDEX('Eff. thickness (DNVGL-RP-C203)'!$F$31:$F$1048576,MATCH(G36,'Eff. thickness (DNVGL-RP-C203)'!$C$31:$C$1048576,0)))))</f>
        <v>93</v>
      </c>
      <c r="AD60" s="120">
        <f t="shared" si="72"/>
        <v>0.87689118839915348</v>
      </c>
      <c r="AE60" s="120">
        <f t="shared" si="73"/>
        <v>0.87689118839915348</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23" t="s">
        <v>54</v>
      </c>
      <c r="D64" s="323" t="s">
        <v>282</v>
      </c>
      <c r="E64" s="323" t="s">
        <v>17</v>
      </c>
      <c r="F64" s="323" t="s">
        <v>55</v>
      </c>
      <c r="G64" s="323" t="s">
        <v>193</v>
      </c>
      <c r="H64" s="323" t="s">
        <v>194</v>
      </c>
      <c r="I64" s="323" t="s">
        <v>301</v>
      </c>
    </row>
    <row r="65" spans="3:33">
      <c r="C65" s="324">
        <v>0</v>
      </c>
      <c r="D65" s="324">
        <v>0</v>
      </c>
      <c r="E65" s="324"/>
      <c r="F65" s="324"/>
      <c r="G65" s="324"/>
      <c r="H65" s="324"/>
      <c r="I65" s="324"/>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v>
      </c>
      <c r="E67" s="3">
        <f>Geometry!AL11</f>
        <v>7.5</v>
      </c>
      <c r="F67" s="3">
        <f>Geometry!AM11</f>
        <v>86</v>
      </c>
      <c r="G67" s="3">
        <f>Geometry!AG11</f>
        <v>1.2</v>
      </c>
      <c r="H67" s="3" t="str">
        <f>Geometry!AH11</f>
        <v>O</v>
      </c>
      <c r="I67" s="9" t="str">
        <f>Geometry!AI11</f>
        <v>g</v>
      </c>
    </row>
    <row r="68" spans="3:33">
      <c r="C68" s="13" t="str">
        <f>Geometry!AD12</f>
        <v>TP1-02</v>
      </c>
      <c r="D68" s="2">
        <f>Geometry!AF12</f>
        <v>19.5</v>
      </c>
      <c r="E68" s="3">
        <f>Geometry!AL12</f>
        <v>7.5</v>
      </c>
      <c r="F68" s="3">
        <f>Geometry!AM12</f>
        <v>86</v>
      </c>
      <c r="G68" s="3">
        <f>Geometry!AG12</f>
        <v>2</v>
      </c>
      <c r="H68" s="3" t="str">
        <f>Geometry!AH12</f>
        <v>O</v>
      </c>
      <c r="I68" s="9" t="str">
        <f>Geometry!AI12</f>
        <v>o</v>
      </c>
    </row>
    <row r="69" spans="3:33">
      <c r="C69" s="13" t="str">
        <f>Geometry!AD13</f>
        <v>TP1-03</v>
      </c>
      <c r="D69" s="2">
        <f>Geometry!AF13</f>
        <v>20</v>
      </c>
      <c r="E69" s="3">
        <f>Geometry!AL13</f>
        <v>7.5</v>
      </c>
      <c r="F69" s="3">
        <f>Geometry!AM13</f>
        <v>86</v>
      </c>
      <c r="G69" s="3">
        <f>Geometry!AG13</f>
        <v>1.25</v>
      </c>
      <c r="H69" s="3" t="str">
        <f>Geometry!AH13</f>
        <v>I</v>
      </c>
      <c r="I69" s="9" t="str">
        <f>Geometry!AI13</f>
        <v>g</v>
      </c>
    </row>
    <row r="70" spans="3:33">
      <c r="C70" s="13" t="str">
        <f>Geometry!AD14</f>
        <v>TP2-01</v>
      </c>
      <c r="D70" s="2">
        <f>Geometry!AF14</f>
        <v>15.73</v>
      </c>
      <c r="E70" s="3">
        <f>Geometry!AL14</f>
        <v>7.5</v>
      </c>
      <c r="F70" s="3">
        <f>Geometry!AM14</f>
        <v>86</v>
      </c>
      <c r="G70" s="3">
        <f>Geometry!AG14</f>
        <v>1.25</v>
      </c>
      <c r="H70" s="3" t="str">
        <f>Geometry!AH14</f>
        <v>I</v>
      </c>
      <c r="I70" s="9" t="str">
        <f>Geometry!AI14</f>
        <v>g</v>
      </c>
    </row>
    <row r="71" spans="3:33">
      <c r="C71" s="13" t="str">
        <f>Geometry!AD15</f>
        <v>TP3-01</v>
      </c>
      <c r="D71" s="2">
        <f>Geometry!AF15</f>
        <v>12.7</v>
      </c>
      <c r="E71" s="3">
        <f>Geometry!AL15</f>
        <v>7.5</v>
      </c>
      <c r="F71" s="3">
        <f>Geometry!AM15</f>
        <v>93</v>
      </c>
      <c r="G71" s="3">
        <f>Geometry!AG15</f>
        <v>2</v>
      </c>
      <c r="H71" s="3" t="str">
        <f>Geometry!AH15</f>
        <v>O</v>
      </c>
      <c r="I71" s="9" t="str">
        <f>Geometry!AI15</f>
        <v>o</v>
      </c>
    </row>
    <row r="72" spans="3:33">
      <c r="C72" s="13" t="str">
        <f>Geometry!AD16</f>
        <v>TP3-02</v>
      </c>
      <c r="D72" s="2">
        <f>Geometry!AF16</f>
        <v>12</v>
      </c>
      <c r="E72" s="3">
        <f>Geometry!AL16</f>
        <v>7.5</v>
      </c>
      <c r="F72" s="3">
        <f>Geometry!AM16</f>
        <v>93</v>
      </c>
      <c r="G72" s="3">
        <f>Geometry!AG16</f>
        <v>2</v>
      </c>
      <c r="H72" s="3" t="str">
        <f>Geometry!AH16</f>
        <v>O</v>
      </c>
      <c r="I72" s="9" t="str">
        <f>Geometry!AI16</f>
        <v>o</v>
      </c>
    </row>
    <row r="73" spans="3:33">
      <c r="C73" s="13" t="str">
        <f>Geometry!AD17</f>
        <v>TP3-03</v>
      </c>
      <c r="D73" s="2">
        <f>Geometry!AF17</f>
        <v>11.8</v>
      </c>
      <c r="E73" s="3">
        <f>Geometry!AL17</f>
        <v>7.5</v>
      </c>
      <c r="F73" s="3">
        <f>Geometry!AM17</f>
        <v>93</v>
      </c>
      <c r="G73" s="3">
        <f>Geometry!AG17</f>
        <v>1.02</v>
      </c>
      <c r="H73" s="3" t="str">
        <f>Geometry!AH17</f>
        <v>O</v>
      </c>
      <c r="I73" s="9" t="str">
        <f>Geometry!AI17</f>
        <v>n</v>
      </c>
    </row>
    <row r="74" spans="3:33">
      <c r="C74" s="13" t="str">
        <f>Geometry!AD18</f>
        <v>TP4-01</v>
      </c>
      <c r="D74" s="2">
        <f>Geometry!AF18</f>
        <v>8.1999999999999993</v>
      </c>
      <c r="E74" s="3">
        <f>Geometry!AL18</f>
        <v>7.5</v>
      </c>
      <c r="F74" s="3">
        <f>Geometry!AM18</f>
        <v>100</v>
      </c>
      <c r="G74" s="3">
        <f>Geometry!AG18</f>
        <v>1</v>
      </c>
      <c r="H74" s="3" t="str">
        <f>Geometry!AH18</f>
        <v>O</v>
      </c>
      <c r="I74" s="9" t="str">
        <f>Geometry!AI18</f>
        <v>n</v>
      </c>
    </row>
    <row r="76" spans="3:33">
      <c r="C76" s="35" t="s">
        <v>209</v>
      </c>
      <c r="M76" s="320" t="s">
        <v>60</v>
      </c>
      <c r="N76" s="321"/>
      <c r="O76" s="321"/>
      <c r="P76" s="321"/>
      <c r="Q76" s="321"/>
      <c r="R76" s="322"/>
    </row>
    <row r="77" spans="3:33" ht="21.75" customHeight="1">
      <c r="C77" s="315" t="s">
        <v>54</v>
      </c>
      <c r="D77" s="323" t="s">
        <v>282</v>
      </c>
      <c r="E77" s="30" t="s">
        <v>285</v>
      </c>
      <c r="F77" s="30" t="s">
        <v>285</v>
      </c>
      <c r="G77" s="315" t="s">
        <v>24</v>
      </c>
      <c r="H77" s="315"/>
      <c r="I77" s="315" t="s">
        <v>271</v>
      </c>
      <c r="J77" s="315"/>
      <c r="K77" s="315" t="s">
        <v>27</v>
      </c>
      <c r="L77" s="315"/>
      <c r="M77" s="315" t="s">
        <v>61</v>
      </c>
      <c r="N77" s="315"/>
      <c r="O77" s="315" t="s">
        <v>62</v>
      </c>
      <c r="P77" s="315"/>
      <c r="Q77" s="315" t="s">
        <v>63</v>
      </c>
      <c r="R77" s="315"/>
      <c r="V77" s="315" t="s">
        <v>31</v>
      </c>
      <c r="W77" s="315"/>
      <c r="X77" s="311" t="s">
        <v>48</v>
      </c>
      <c r="Y77" s="313"/>
      <c r="Z77" s="30" t="s">
        <v>21</v>
      </c>
      <c r="AA77" s="5" t="s">
        <v>22</v>
      </c>
      <c r="AB77" s="311" t="s">
        <v>35</v>
      </c>
      <c r="AC77" s="312"/>
      <c r="AD77" s="312"/>
      <c r="AE77" s="313"/>
      <c r="AF77" s="316" t="s">
        <v>425</v>
      </c>
      <c r="AG77" s="317"/>
    </row>
    <row r="78" spans="3:33" ht="20.399999999999999">
      <c r="C78" s="315">
        <v>0</v>
      </c>
      <c r="D78" s="324">
        <v>0</v>
      </c>
      <c r="E78" s="30" t="str">
        <f>IF(Control!$F$39="EC","m=4, N=2E6","m=5, N=1E7")</f>
        <v>m=4, N=2E6</v>
      </c>
      <c r="F78" s="30" t="str">
        <f>IF(Control!$F$39="EC","m=3, N=2E6","m=3, N=1E7")</f>
        <v>m=3, N=2E6</v>
      </c>
      <c r="G78" s="30" t="s">
        <v>25</v>
      </c>
      <c r="H78" s="30" t="s">
        <v>26</v>
      </c>
      <c r="I78" s="5" t="s">
        <v>25</v>
      </c>
      <c r="J78" s="5" t="s">
        <v>26</v>
      </c>
      <c r="K78" s="30" t="s">
        <v>25</v>
      </c>
      <c r="L78" s="30" t="s">
        <v>26</v>
      </c>
      <c r="M78" s="30" t="s">
        <v>25</v>
      </c>
      <c r="N78" s="30" t="s">
        <v>64</v>
      </c>
      <c r="O78" s="30" t="s">
        <v>25</v>
      </c>
      <c r="P78" s="30" t="s">
        <v>64</v>
      </c>
      <c r="Q78" s="30" t="s">
        <v>25</v>
      </c>
      <c r="R78" s="30" t="s">
        <v>64</v>
      </c>
      <c r="V78" s="30" t="s">
        <v>33</v>
      </c>
      <c r="W78" s="30" t="s">
        <v>34</v>
      </c>
      <c r="X78" s="30" t="s">
        <v>33</v>
      </c>
      <c r="Y78" s="30" t="s">
        <v>34</v>
      </c>
      <c r="Z78" s="311" t="s">
        <v>30</v>
      </c>
      <c r="AA78" s="313"/>
      <c r="AB78" s="30" t="s">
        <v>45</v>
      </c>
      <c r="AC78" s="30" t="s">
        <v>34</v>
      </c>
      <c r="AD78" s="30" t="s">
        <v>46</v>
      </c>
      <c r="AE78" s="30" t="s">
        <v>47</v>
      </c>
      <c r="AF78" s="30" t="s">
        <v>45</v>
      </c>
      <c r="AG78" s="30" t="s">
        <v>34</v>
      </c>
    </row>
    <row r="79" spans="3:33">
      <c r="C79" s="30" t="s">
        <v>16</v>
      </c>
      <c r="D79" s="30" t="str">
        <f>"[m"&amp;Control!$F$7&amp;"]"</f>
        <v>[mLAT]</v>
      </c>
      <c r="E79" s="311" t="s">
        <v>20</v>
      </c>
      <c r="F79" s="313"/>
      <c r="G79" s="311" t="s">
        <v>77</v>
      </c>
      <c r="H79" s="312"/>
      <c r="I79" s="312"/>
      <c r="J79" s="313"/>
      <c r="K79" s="311" t="s">
        <v>77</v>
      </c>
      <c r="L79" s="313"/>
      <c r="M79" s="308" t="s">
        <v>16</v>
      </c>
      <c r="N79" s="309"/>
      <c r="O79" s="309"/>
      <c r="P79" s="309"/>
      <c r="Q79" s="309"/>
      <c r="R79" s="310"/>
      <c r="V79" s="318" t="s">
        <v>32</v>
      </c>
      <c r="W79" s="318"/>
      <c r="X79" s="30" t="s">
        <v>10</v>
      </c>
      <c r="Y79" s="30" t="s">
        <v>10</v>
      </c>
      <c r="Z79" s="311" t="s">
        <v>23</v>
      </c>
      <c r="AA79" s="313"/>
      <c r="AB79" s="1" t="s">
        <v>16</v>
      </c>
      <c r="AC79" s="1" t="s">
        <v>16</v>
      </c>
      <c r="AD79" s="1" t="s">
        <v>16</v>
      </c>
      <c r="AE79" s="1" t="s">
        <v>16</v>
      </c>
      <c r="AF79" s="1" t="s">
        <v>16</v>
      </c>
      <c r="AG79" s="1" t="s">
        <v>16</v>
      </c>
    </row>
    <row r="80" spans="3:33">
      <c r="C80" s="12" t="str">
        <f>C67</f>
        <v>TP1-01</v>
      </c>
      <c r="D80" s="13">
        <f>D67</f>
        <v>20</v>
      </c>
      <c r="E80" s="120">
        <f>IF(Geometry_loads!H48="-","-",Geometry_loads!H48*Control!$F$54)</f>
        <v>178530.00580027126</v>
      </c>
      <c r="F80" s="120">
        <f>IF(Geometry_loads!G48="-","-",Geometry_loads!G48*Control!$F$55)</f>
        <v>212905.91016565729</v>
      </c>
      <c r="G80" s="120">
        <f>IF(AND(X80=0,Y80=0),E80/Z80*E67/2/1000,(E80*($AF$25/$Z$5)^(1/$AE$4)/Z80*E67/2/1000))</f>
        <v>48.637133732814014</v>
      </c>
      <c r="H80" s="120">
        <f>IF(AND(X80=0,Y80=0),E80/Z80*(E67-2*F67/1000)/2/1000,(E80*($AF$25/$Z$5)^(1/$AE$4)/Z80*(E67-2*F67/1000)/2/1000))</f>
        <v>47.521722132541477</v>
      </c>
      <c r="I80" s="120" t="str">
        <f>IF(AND(X80=0,Y80=0),"-",IF(V80=0,(E80*($AF$24/$Z$5)^(1/$AE$4)/AA80*(E67-2*X80/1000)/2/1000),(F80*($AF$24/$Z$5)^(1/3)/AA80*(E67-2*X80/1000)/2/1000)))</f>
        <v>-</v>
      </c>
      <c r="J80" s="120" t="str">
        <f>IF(AND(X80=0,Y80=0),"-",IF(W80=0,(E80*($AF$24/$Z$5)^(1/$AE$4))/AA80*(E67-2*(F67-Y80)/1000)/2/1000,(F80*($AF$24/$Z$5)^(1/3))/AA80*(E67-2*(F67-Y80)/1000)/2/1000))</f>
        <v>-</v>
      </c>
      <c r="K80" s="120">
        <f>IF(H67="O",IF(I67="n",$AG$7,IF(I67="g",$AD$6,IF(I67="o",$AG$6,"Falsch"))),"")</f>
        <v>112</v>
      </c>
      <c r="L80" s="120" t="str">
        <f>IF(H67="I",IF(I67="n",$AG$7,IF(I67="g",$AD$6,IF(I67="o",$AG$6,"Falsch"))),"")</f>
        <v/>
      </c>
      <c r="M80" s="120">
        <f>IF(K80="","",IF(AND(V80=0,W80&lt;&gt;0),IF(D80&gt;$Z$9,$AD$14,$AD$15)*((((IF(D80&gt;$Z$9,$AD$12,$AD$13)/AB80*G67*G80*IF(I67="g",$AE$20,1))/(AF80*K80))^$AE$4)+(((IF(D80&gt;$Z$9,$AD$12,$AD$13)/AB80*G67*I80*IF(I67="g",$AE$20,1))/(AF80*K80))^$AE$4)),IF(K80="","",IF(D80&gt;$Z$9,$AD$14,$AD$15)*((((IF(D80&gt;$Z$9,$AD$12,$AD$13)/AB80*G67*G80*IF(I67="g",$AE$20,1))/(AF80*K80))^$AE$4)+(((IF(D80&gt;$Z$9,$AD$12,$AD$13)/AD80*G67*IF(V80=0,0,I80)*IF(I67="g",$AE$20,1))/(0.7*IF(K80=65.5,58.48,K80)))^3)))))</f>
        <v>0.4837395462381931</v>
      </c>
      <c r="N80" s="120" t="str">
        <f>IF(L80="","",IF(AND(W80=0,V80&lt;&gt;0),IF(D80&gt;$Z$9,$AD$14,$AD$15)*((((IF(D80&gt;$Z$9,$AD$12,$AD$13)/AC80*G67*H80*IF(I67="g",$AE$20,1))/(AG80*L80))^$AE$4)+(((IF(D80&gt;$Z$9,$AD$12,$AD$13)/AC80*G67*J80*IF(I67="g",$AE$20,1))/(AG80*L80))^$AE$4)),IF(L80="","",IF(D80&gt;$Z$9,$AD$14,$AD$15)*((((IF(D80&gt;$Z$9,$AD$12,$AD$13)/AC80*G67*H80*IF(I67="g",$AE$20,1))/(AG80*L80))^$AE$4)+(((IF(D80&gt;$Z$9,$AD$12,$AD$13)/AE80*G67*IF(W80=0,0,J80)*IF(I67="g",$AE$20,1))/(0.7*IF(L80=65.5,58.48,L80)))^3)))))</f>
        <v/>
      </c>
      <c r="O80" s="120">
        <f>IF(K80="","",Control!$F$46)</f>
        <v>0.03</v>
      </c>
      <c r="P80" s="120" t="str">
        <f>IF(L80="","",Control!$F$46)</f>
        <v/>
      </c>
      <c r="Q80" s="120">
        <f t="shared" ref="Q80:R80" si="77">IF(K80="","",M80+O80)</f>
        <v>0.51373954623819307</v>
      </c>
      <c r="R80" s="120" t="str">
        <f t="shared" si="77"/>
        <v/>
      </c>
      <c r="V80" s="121">
        <f>IF(OR(D80&gt;=$Z$13,D42&lt;=$Z$12,Geometry!AP11="n"),0,"X")</f>
        <v>0</v>
      </c>
      <c r="W80" s="121">
        <f>IF(OR(D80&gt;=$Z$15,D42&lt;=$Z$12,Geometry!AQ11="n"),0,"X")</f>
        <v>0</v>
      </c>
      <c r="X80" s="37">
        <f>0.5*IF(OR(D80&gt;=$Z$13,D80&lt;=$Z$12),0,$AF$24*$AF$26)*IF(V80=0,0,1)</f>
        <v>0</v>
      </c>
      <c r="Y80" s="37">
        <f>0.5*IF(OR(D80&gt;=$Z$15,D80&lt;=$Z$12),0,$AF$24*$AF$27)*IF(W80=0,0,1)</f>
        <v>0</v>
      </c>
      <c r="Z80" s="120">
        <f>(PI()/64*(E67^4-(E67-2*F67/1000)^4))</f>
        <v>13.764946047783528</v>
      </c>
      <c r="AA80" s="120">
        <f>(PI()/64*((E67-2*X80/1000)^4-((E67-2*X80/1000)-2*(F67-X80-Y80)/1000)^4))</f>
        <v>13.764946047783528</v>
      </c>
      <c r="AB80" s="120">
        <f>(25/F67)^(IF(I67="n",$AG$12,IF(I67="g",$AG$13,IF(I67="o",$AG$15,"Falsch"))))</f>
        <v>0.78106703990700888</v>
      </c>
      <c r="AC80" s="120">
        <f>(25/F67)^(IF(I67="n",$AG$12,IF(I67="g",$AG$13,IF(I67="o",$AG$15,"Falsch"))))</f>
        <v>0.78106703990700888</v>
      </c>
      <c r="AD80" s="120">
        <f>IF(V80=0,1,(25/F67)^(IF(I67="n",$AG$12,IF(I67="g",$AG$14,IF(I67="o",$AG$15,"Falsch")))))</f>
        <v>1</v>
      </c>
      <c r="AE80" s="120">
        <f>IF(W80=0,1,(25/F67)^(IF(I67="n",$AG$12,IF(I67="g",$AG$14,IF(I67="o",$AG$15,"Falsch")))))</f>
        <v>1</v>
      </c>
      <c r="AF80" s="120">
        <f>IF(Control!$F$39&lt;&gt;"DNV",1,IF(D80&gt;Control!$F$16,IF(ISBLANK(Control!$F$56),1,Control!$F$56),IF(D80&gt;Control!$F$22,IF(ISBLANK(Control!$F$57),1,Control!$F$57),1)))</f>
        <v>1</v>
      </c>
      <c r="AG80" s="120">
        <f>IF(Control!$F$39&lt;&gt;"DNV",1,IF(D80&gt;Control!$F$18,IF(ISBLANK(Control!$F$56),1,Control!$F$56),IF(D80&gt;Control!$F$22,IF(ISBLANK(Control!$F$57),1,Control!$F$57),1)))</f>
        <v>1</v>
      </c>
    </row>
    <row r="81" spans="3:33">
      <c r="C81" s="12" t="str">
        <f t="shared" ref="C81:D81" si="78">C68</f>
        <v>TP1-02</v>
      </c>
      <c r="D81" s="13">
        <f t="shared" si="78"/>
        <v>19.5</v>
      </c>
      <c r="E81" s="120">
        <f>IF(Geometry_loads!H49="-","-",Geometry_loads!H49*Control!$F$54)</f>
        <v>179259.57860037236</v>
      </c>
      <c r="F81" s="120">
        <f>IF(Geometry_loads!G49="-","-",Geometry_loads!G49*Control!$F$55)</f>
        <v>213754.37323077803</v>
      </c>
      <c r="G81" s="120">
        <f t="shared" ref="G81:G87" si="79">IF(AND(X81=0,Y81=0),E81/Z81*E68/2/1000,(E81*($AF$25/$Z$5)^(1/$AE$4)/Z81*E68/2/1000))</f>
        <v>48.835892085435361</v>
      </c>
      <c r="H81" s="120">
        <f t="shared" ref="H81:H87" si="80">IF(AND(X81=0,Y81=0),E81/Z81*(E68-2*F68/1000)/2/1000,(E81*($AF$25/$Z$5)^(1/$AE$4)/Z81*(E68-2*F68/1000)/2/1000))</f>
        <v>47.715922293609381</v>
      </c>
      <c r="I81" s="120" t="str">
        <f t="shared" ref="I81:I87" si="81">IF(AND(X81=0,Y81=0),"-",IF(V81=0,(E81*($AF$24/$Z$5)^(1/$AE$4)/AA81*(E68-2*X81/1000)/2/1000),(F81*($AF$24/$Z$5)^(1/3)/AA81*(E68-2*X81/1000)/2/1000)))</f>
        <v>-</v>
      </c>
      <c r="J81" s="120" t="str">
        <f t="shared" ref="J81:J87" si="82">IF(AND(X81=0,Y81=0),"-",IF(W81=0,(E81*($AF$24/$Z$5)^(1/$AE$4))/AA81*(E68-2*(F68-Y81)/1000)/2/1000,(F81*($AF$24/$Z$5)^(1/3))/AA81*(E68-2*(F68-Y81)/1000)/2/1000))</f>
        <v>-</v>
      </c>
      <c r="K81" s="120">
        <f t="shared" ref="K81:K87" si="83">IF(H68="O",IF(I68="n",$AG$7,IF(I68="g",$AD$6,IF(I68="o",$AG$6,"Falsch"))),"")</f>
        <v>140</v>
      </c>
      <c r="L81" s="120" t="str">
        <f t="shared" ref="L81:L87" si="84">IF(H68="I",IF(I68="n",$AG$7,IF(I68="g",$AD$6,IF(I68="o",$AG$6,"Falsch"))),"")</f>
        <v/>
      </c>
      <c r="M81" s="120">
        <f t="shared" ref="M81:M87" si="85">IF(K81="","",IF(AND(V81=0,W81&lt;&gt;0),IF(D81&gt;$Z$9,$AD$14,$AD$15)*((((IF(D81&gt;$Z$9,$AD$12,$AD$13)/AB81*G68*G81*IF(I68="g",$AE$20,1))/(AF81*K81))^$AE$4)+(((IF(D81&gt;$Z$9,$AD$12,$AD$13)/AB81*G68*I81*IF(I68="g",$AE$20,1))/(AF81*K81))^$AE$4)),IF(K81="","",IF(D81&gt;$Z$9,$AD$14,$AD$15)*((((IF(D81&gt;$Z$9,$AD$12,$AD$13)/AB81*G68*G81*IF(I68="g",$AE$20,1))/(AF81*K81))^$AE$4)+(((IF(D81&gt;$Z$9,$AD$12,$AD$13)/AD81*G68*IF(V81=0,0,I81)*IF(I68="g",$AE$20,1))/(0.7*IF(K81=65.5,58.48,K81)))^3)))))</f>
        <v>0.94804242074647571</v>
      </c>
      <c r="N81" s="120" t="str">
        <f t="shared" ref="N81:N87" si="86">IF(L81="","",IF(AND(W81=0,V81&lt;&gt;0),IF(D81&gt;$Z$9,$AD$14,$AD$15)*((((IF(D81&gt;$Z$9,$AD$12,$AD$13)/AC81*G68*H81*IF(I68="g",$AE$20,1))/(AG81*L81))^$AE$4)+(((IF(D81&gt;$Z$9,$AD$12,$AD$13)/AC81*G68*J81*IF(I68="g",$AE$20,1))/(AG81*L81))^$AE$4)),IF(L81="","",IF(D81&gt;$Z$9,$AD$14,$AD$15)*((((IF(D81&gt;$Z$9,$AD$12,$AD$13)/AC81*G68*H81*IF(I68="g",$AE$20,1))/(AG81*L81))^$AE$4)+(((IF(D81&gt;$Z$9,$AD$12,$AD$13)/AE81*G68*IF(W81=0,0,J81)*IF(I68="g",$AE$20,1))/(0.7*IF(L81=65.5,58.48,L81)))^3)))))</f>
        <v/>
      </c>
      <c r="O81" s="120">
        <f>IF(K81="","",Control!$F$46)</f>
        <v>0.03</v>
      </c>
      <c r="P81" s="120" t="str">
        <f>IF(L81="","",Control!$F$46)</f>
        <v/>
      </c>
      <c r="Q81" s="120">
        <f t="shared" ref="Q81:Q87" si="87">IF(K81="","",M81+O81)</f>
        <v>0.97804242074647574</v>
      </c>
      <c r="R81" s="120" t="str">
        <f t="shared" ref="R81:R87" si="88">IF(L81="","",N81+P81)</f>
        <v/>
      </c>
      <c r="V81" s="121">
        <f>IF(OR(D81&gt;=$Z$13,D43&lt;=$Z$12,Geometry!AP12="n"),0,"X")</f>
        <v>0</v>
      </c>
      <c r="W81" s="121">
        <f>IF(OR(D81&gt;=$Z$15,D43&lt;=$Z$12,Geometry!AQ12="n"),0,"X")</f>
        <v>0</v>
      </c>
      <c r="X81" s="37">
        <f t="shared" ref="X81:X87" si="89">0.5*IF(OR(D81&gt;=$Z$13,D81&lt;=$Z$12),0,$AF$24*$AF$26)*IF(V81=0,0,1)</f>
        <v>0</v>
      </c>
      <c r="Y81" s="37">
        <f t="shared" ref="Y81:Y87" si="90">0.5*IF(OR(D81&gt;=$Z$15,D81&lt;=$Z$12),0,$AF$24*$AF$27)*IF(W81=0,0,1)</f>
        <v>0</v>
      </c>
      <c r="Z81" s="120">
        <f t="shared" ref="Z81:Z87" si="91">(PI()/64*(E68^4-(E68-2*F68/1000)^4))</f>
        <v>13.764946047783528</v>
      </c>
      <c r="AA81" s="120">
        <f t="shared" ref="AA81:AA87" si="92">(PI()/64*((E68-2*X81/1000)^4-((E68-2*X81/1000)-2*(F68-X81-Y81)/1000)^4))</f>
        <v>13.764946047783528</v>
      </c>
      <c r="AB81" s="120">
        <f t="shared" ref="AB81:AB87" si="93">(25/F68)^(IF(I68="n",$AG$12,IF(I68="g",$AG$13,IF(I68="o",$AG$15,"Falsch"))))</f>
        <v>0.88377997256500951</v>
      </c>
      <c r="AC81" s="120">
        <f t="shared" ref="AC81:AC87" si="94">(25/F68)^(IF(I68="n",$AG$12,IF(I68="g",$AG$13,IF(I68="o",$AG$15,"Falsch"))))</f>
        <v>0.88377997256500951</v>
      </c>
      <c r="AD81" s="120">
        <f t="shared" ref="AD81:AD87" si="95">IF(V81=0,1,(25/F68)^(IF(I68="n",$AG$12,IF(I68="g",$AG$14,IF(I68="o",$AG$15,"Falsch")))))</f>
        <v>1</v>
      </c>
      <c r="AE81" s="120">
        <f t="shared" ref="AE81:AE87" si="96">IF(W81=0,1,(25/F68)^(IF(I68="n",$AG$12,IF(I68="g",$AG$14,IF(I68="o",$AG$15,"Falsch")))))</f>
        <v>1</v>
      </c>
      <c r="AF81" s="120">
        <f>IF(Control!$F$39&lt;&gt;"DNV",1,IF(D81&gt;Control!$F$16,IF(ISBLANK(Control!$F$56),1,Control!$F$56),IF(D81&gt;Control!$F$22,IF(ISBLANK(Control!$F$57),1,Control!$F$57),1)))</f>
        <v>1</v>
      </c>
      <c r="AG81" s="120">
        <f>IF(Control!$F$39&lt;&gt;"DNV",1,IF(D81&gt;Control!$F$18,IF(ISBLANK(Control!$F$56),1,Control!$F$56),IF(D81&gt;Control!$F$22,IF(ISBLANK(Control!$F$57),1,Control!$F$57),1)))</f>
        <v>1</v>
      </c>
    </row>
    <row r="82" spans="3:33">
      <c r="C82" s="12" t="str">
        <f t="shared" ref="C82:D82" si="97">C69</f>
        <v>TP1-03</v>
      </c>
      <c r="D82" s="13">
        <f t="shared" si="97"/>
        <v>20</v>
      </c>
      <c r="E82" s="120">
        <f>IF(Geometry_loads!H50="-","-",Geometry_loads!H50*Control!$F$54)</f>
        <v>178530.00580027126</v>
      </c>
      <c r="F82" s="120">
        <f>IF(Geometry_loads!G50="-","-",Geometry_loads!G50*Control!$F$55)</f>
        <v>212905.91016565729</v>
      </c>
      <c r="G82" s="120">
        <f t="shared" si="79"/>
        <v>48.637133732814014</v>
      </c>
      <c r="H82" s="120">
        <f t="shared" si="80"/>
        <v>47.521722132541477</v>
      </c>
      <c r="I82" s="120" t="str">
        <f t="shared" si="81"/>
        <v>-</v>
      </c>
      <c r="J82" s="120" t="str">
        <f t="shared" si="82"/>
        <v>-</v>
      </c>
      <c r="K82" s="120" t="str">
        <f t="shared" si="83"/>
        <v/>
      </c>
      <c r="L82" s="120">
        <f t="shared" si="84"/>
        <v>112</v>
      </c>
      <c r="M82" s="120" t="str">
        <f t="shared" si="85"/>
        <v/>
      </c>
      <c r="N82" s="120">
        <f t="shared" si="86"/>
        <v>0.51906703655269493</v>
      </c>
      <c r="O82" s="120" t="str">
        <f>IF(K82="","",Control!$F$46)</f>
        <v/>
      </c>
      <c r="P82" s="120">
        <f>IF(L82="","",Control!$F$46)</f>
        <v>0.03</v>
      </c>
      <c r="Q82" s="120" t="str">
        <f t="shared" si="87"/>
        <v/>
      </c>
      <c r="R82" s="120">
        <f t="shared" si="88"/>
        <v>0.54906703655269495</v>
      </c>
      <c r="V82" s="121">
        <f>IF(OR(D82&gt;=$Z$13,D44&lt;=$Z$12,Geometry!AP13="n"),0,"X")</f>
        <v>0</v>
      </c>
      <c r="W82" s="121">
        <f>IF(OR(D82&gt;=$Z$15,D44&lt;=$Z$12,Geometry!AQ13="n"),0,"X")</f>
        <v>0</v>
      </c>
      <c r="X82" s="37">
        <f t="shared" si="89"/>
        <v>0</v>
      </c>
      <c r="Y82" s="37">
        <f t="shared" si="90"/>
        <v>0</v>
      </c>
      <c r="Z82" s="120">
        <f t="shared" si="91"/>
        <v>13.764946047783528</v>
      </c>
      <c r="AA82" s="120">
        <f t="shared" si="92"/>
        <v>13.764946047783528</v>
      </c>
      <c r="AB82" s="120">
        <f t="shared" si="93"/>
        <v>0.78106703990700888</v>
      </c>
      <c r="AC82" s="120">
        <f t="shared" si="94"/>
        <v>0.78106703990700888</v>
      </c>
      <c r="AD82" s="120">
        <f t="shared" si="95"/>
        <v>1</v>
      </c>
      <c r="AE82" s="120">
        <f t="shared" si="96"/>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98">C70</f>
        <v>TP2-01</v>
      </c>
      <c r="D83" s="13">
        <f t="shared" si="98"/>
        <v>15.73</v>
      </c>
      <c r="E83" s="120">
        <f>IF(Geometry_loads!H51="-","-",Geometry_loads!H51*Control!$F$54)</f>
        <v>184780.21438745744</v>
      </c>
      <c r="F83" s="120">
        <f>IF(Geometry_loads!G51="-","-",Geometry_loads!G51*Control!$F$55)</f>
        <v>220200.29786707257</v>
      </c>
      <c r="G83" s="120">
        <f t="shared" si="79"/>
        <v>50.339885208961086</v>
      </c>
      <c r="H83" s="120">
        <f t="shared" si="80"/>
        <v>49.185423841502249</v>
      </c>
      <c r="I83" s="120" t="str">
        <f t="shared" si="81"/>
        <v>-</v>
      </c>
      <c r="J83" s="120" t="str">
        <f t="shared" si="82"/>
        <v>-</v>
      </c>
      <c r="K83" s="120" t="str">
        <f t="shared" si="83"/>
        <v/>
      </c>
      <c r="L83" s="120">
        <f t="shared" si="84"/>
        <v>112</v>
      </c>
      <c r="M83" s="120" t="str">
        <f t="shared" si="85"/>
        <v/>
      </c>
      <c r="N83" s="120">
        <f t="shared" si="86"/>
        <v>0.59566274707992584</v>
      </c>
      <c r="O83" s="120" t="str">
        <f>IF(K83="","",Control!$F$46)</f>
        <v/>
      </c>
      <c r="P83" s="120">
        <f>IF(L83="","",Control!$F$46)</f>
        <v>0.03</v>
      </c>
      <c r="Q83" s="120" t="str">
        <f t="shared" si="87"/>
        <v/>
      </c>
      <c r="R83" s="120">
        <f t="shared" si="88"/>
        <v>0.62566274707992586</v>
      </c>
      <c r="V83" s="121">
        <f>IF(OR(D83&gt;=$Z$13,D45&lt;=$Z$12,Geometry!AP14="n"),0,"X")</f>
        <v>0</v>
      </c>
      <c r="W83" s="121">
        <f>IF(OR(D83&gt;=$Z$15,D45&lt;=$Z$12,Geometry!AQ14="n"),0,"X")</f>
        <v>0</v>
      </c>
      <c r="X83" s="37">
        <f t="shared" si="89"/>
        <v>0</v>
      </c>
      <c r="Y83" s="37">
        <f t="shared" si="90"/>
        <v>0</v>
      </c>
      <c r="Z83" s="120">
        <f t="shared" si="91"/>
        <v>13.764946047783528</v>
      </c>
      <c r="AA83" s="120">
        <f t="shared" si="92"/>
        <v>13.764946047783528</v>
      </c>
      <c r="AB83" s="120">
        <f t="shared" si="93"/>
        <v>0.78106703990700888</v>
      </c>
      <c r="AC83" s="120">
        <f t="shared" si="94"/>
        <v>0.78106703990700888</v>
      </c>
      <c r="AD83" s="120">
        <f t="shared" si="95"/>
        <v>1</v>
      </c>
      <c r="AE83" s="120">
        <f t="shared" si="96"/>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9">C71</f>
        <v>TP3-01</v>
      </c>
      <c r="D84" s="13">
        <f t="shared" si="99"/>
        <v>12.7</v>
      </c>
      <c r="E84" s="120">
        <f>IF(Geometry_loads!H52="-","-",Geometry_loads!H52*Control!$F$54)</f>
        <v>189265.60507819394</v>
      </c>
      <c r="F84" s="120">
        <f>IF(Geometry_loads!G52="-","-",Geometry_loads!G52*Control!$F$55)</f>
        <v>225490.71352652879</v>
      </c>
      <c r="G84" s="120">
        <f t="shared" si="79"/>
        <v>47.815052606310068</v>
      </c>
      <c r="H84" s="120">
        <f t="shared" si="80"/>
        <v>46.629239301673579</v>
      </c>
      <c r="I84" s="120" t="str">
        <f t="shared" si="81"/>
        <v>-</v>
      </c>
      <c r="J84" s="120" t="str">
        <f t="shared" si="82"/>
        <v>-</v>
      </c>
      <c r="K84" s="120">
        <f t="shared" si="83"/>
        <v>140</v>
      </c>
      <c r="L84" s="120" t="str">
        <f t="shared" si="84"/>
        <v/>
      </c>
      <c r="M84" s="120">
        <f t="shared" si="85"/>
        <v>0.89892533297741462</v>
      </c>
      <c r="N84" s="120" t="str">
        <f t="shared" si="86"/>
        <v/>
      </c>
      <c r="O84" s="120">
        <f>IF(K84="","",Control!$F$46)</f>
        <v>0.03</v>
      </c>
      <c r="P84" s="120" t="str">
        <f>IF(L84="","",Control!$F$46)</f>
        <v/>
      </c>
      <c r="Q84" s="120">
        <f t="shared" si="87"/>
        <v>0.92892533297741464</v>
      </c>
      <c r="R84" s="120" t="str">
        <f t="shared" si="88"/>
        <v/>
      </c>
      <c r="V84" s="121">
        <f>IF(OR(D84&gt;=$Z$13,D46&lt;=$Z$12,Geometry!AP15="n"),0,"X")</f>
        <v>0</v>
      </c>
      <c r="W84" s="121">
        <f>IF(OR(D84&gt;=$Z$15,D46&lt;=$Z$12,Geometry!AQ15="n"),0,"X")</f>
        <v>0</v>
      </c>
      <c r="X84" s="37">
        <f t="shared" si="89"/>
        <v>0</v>
      </c>
      <c r="Y84" s="37">
        <f t="shared" si="90"/>
        <v>0</v>
      </c>
      <c r="Z84" s="120">
        <f t="shared" si="91"/>
        <v>14.843568716466566</v>
      </c>
      <c r="AA84" s="120">
        <f t="shared" si="92"/>
        <v>14.843568716466566</v>
      </c>
      <c r="AB84" s="120">
        <f t="shared" si="93"/>
        <v>0.87689118839915348</v>
      </c>
      <c r="AC84" s="120">
        <f t="shared" si="94"/>
        <v>0.87689118839915348</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100">C72</f>
        <v>TP3-02</v>
      </c>
      <c r="D85" s="13">
        <f t="shared" si="100"/>
        <v>12</v>
      </c>
      <c r="E85" s="120">
        <f>IF(Geometry_loads!H53="-","-",Geometry_loads!H53*Control!$F$54)</f>
        <v>190326.03741773844</v>
      </c>
      <c r="F85" s="120">
        <f>IF(Geometry_loads!G53="-","-",Geometry_loads!G53*Control!$F$55)</f>
        <v>226761.35719152089</v>
      </c>
      <c r="G85" s="120">
        <f t="shared" si="79"/>
        <v>48.082954574445296</v>
      </c>
      <c r="H85" s="120">
        <f t="shared" si="80"/>
        <v>46.890497300999051</v>
      </c>
      <c r="I85" s="120" t="str">
        <f t="shared" si="81"/>
        <v>-</v>
      </c>
      <c r="J85" s="120" t="str">
        <f t="shared" si="82"/>
        <v>-</v>
      </c>
      <c r="K85" s="120">
        <f t="shared" si="83"/>
        <v>140</v>
      </c>
      <c r="L85" s="120" t="str">
        <f t="shared" si="84"/>
        <v/>
      </c>
      <c r="M85" s="120">
        <f t="shared" si="85"/>
        <v>0.91924156260343959</v>
      </c>
      <c r="N85" s="120" t="str">
        <f t="shared" si="86"/>
        <v/>
      </c>
      <c r="O85" s="120">
        <f>IF(K85="","",Control!$F$46)</f>
        <v>0.03</v>
      </c>
      <c r="P85" s="120" t="str">
        <f>IF(L85="","",Control!$F$46)</f>
        <v/>
      </c>
      <c r="Q85" s="120">
        <f t="shared" si="87"/>
        <v>0.94924156260343961</v>
      </c>
      <c r="R85" s="120" t="str">
        <f t="shared" si="88"/>
        <v/>
      </c>
      <c r="V85" s="121">
        <f>IF(OR(D85&gt;=$Z$13,D47&lt;=$Z$12,Geometry!AP16="n"),0,"X")</f>
        <v>0</v>
      </c>
      <c r="W85" s="121">
        <f>IF(OR(D85&gt;=$Z$15,D47&lt;=$Z$12,Geometry!AQ16="n"),0,"X")</f>
        <v>0</v>
      </c>
      <c r="X85" s="37">
        <f t="shared" si="89"/>
        <v>0</v>
      </c>
      <c r="Y85" s="37">
        <f t="shared" si="90"/>
        <v>0</v>
      </c>
      <c r="Z85" s="120">
        <f t="shared" si="91"/>
        <v>14.843568716466566</v>
      </c>
      <c r="AA85" s="120">
        <f t="shared" si="92"/>
        <v>14.843568716466566</v>
      </c>
      <c r="AB85" s="120">
        <f t="shared" si="93"/>
        <v>0.87689118839915348</v>
      </c>
      <c r="AC85" s="120">
        <f t="shared" si="94"/>
        <v>0.87689118839915348</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101">C73</f>
        <v>TP3-03</v>
      </c>
      <c r="D86" s="13">
        <f t="shared" si="101"/>
        <v>11.8</v>
      </c>
      <c r="E86" s="120">
        <f>IF(Geometry_loads!H54="-","-",Geometry_loads!H54*Control!$F$54)</f>
        <v>190629.01808617971</v>
      </c>
      <c r="F86" s="120">
        <f>IF(Geometry_loads!G54="-","-",Geometry_loads!G54*Control!$F$55)</f>
        <v>227124.39823866147</v>
      </c>
      <c r="G86" s="120">
        <f t="shared" si="79"/>
        <v>48.159497993912503</v>
      </c>
      <c r="H86" s="120">
        <f t="shared" si="80"/>
        <v>46.965142443663467</v>
      </c>
      <c r="I86" s="120" t="str">
        <f t="shared" si="81"/>
        <v>-</v>
      </c>
      <c r="J86" s="120" t="str">
        <f t="shared" si="82"/>
        <v>-</v>
      </c>
      <c r="K86" s="120">
        <f t="shared" si="83"/>
        <v>100</v>
      </c>
      <c r="L86" s="120" t="str">
        <f t="shared" si="84"/>
        <v/>
      </c>
      <c r="M86" s="120">
        <f t="shared" si="85"/>
        <v>0.68773332951060795</v>
      </c>
      <c r="N86" s="120" t="str">
        <f t="shared" si="86"/>
        <v/>
      </c>
      <c r="O86" s="120">
        <f>IF(K86="","",Control!$F$46)</f>
        <v>0.03</v>
      </c>
      <c r="P86" s="120" t="str">
        <f>IF(L86="","",Control!$F$46)</f>
        <v/>
      </c>
      <c r="Q86" s="120">
        <f t="shared" si="87"/>
        <v>0.71773332951060798</v>
      </c>
      <c r="R86" s="120" t="str">
        <f t="shared" si="88"/>
        <v/>
      </c>
      <c r="V86" s="121">
        <f>IF(OR(D86&gt;=$Z$13,D48&lt;=$Z$12,Geometry!AP17="n"),0,"X")</f>
        <v>0</v>
      </c>
      <c r="W86" s="121">
        <f>IF(OR(D86&gt;=$Z$15,D48&lt;=$Z$12,Geometry!AQ17="n"),0,"X")</f>
        <v>0</v>
      </c>
      <c r="X86" s="37">
        <f t="shared" si="89"/>
        <v>0</v>
      </c>
      <c r="Y86" s="37">
        <f t="shared" si="90"/>
        <v>0</v>
      </c>
      <c r="Z86" s="120">
        <f t="shared" si="91"/>
        <v>14.843568716466566</v>
      </c>
      <c r="AA86" s="120">
        <f t="shared" si="92"/>
        <v>14.843568716466566</v>
      </c>
      <c r="AB86" s="120">
        <f t="shared" si="93"/>
        <v>0.67427509367641592</v>
      </c>
      <c r="AC86" s="120">
        <f t="shared" si="94"/>
        <v>0.67427509367641592</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2">C74</f>
        <v>TP4-01</v>
      </c>
      <c r="D87" s="13">
        <f t="shared" si="102"/>
        <v>8.1999999999999993</v>
      </c>
      <c r="E87" s="120">
        <f>IF(Geometry_loads!H55="-","-",Geometry_loads!H55*Control!$F$54)</f>
        <v>196146.00146873159</v>
      </c>
      <c r="F87" s="120">
        <f>IF(Geometry_loads!G55="-","-",Geometry_loads!G55*Control!$F$55)</f>
        <v>233751.7769379227</v>
      </c>
      <c r="G87" s="120">
        <f t="shared" si="79"/>
        <v>46.214300146744534</v>
      </c>
      <c r="H87" s="120">
        <f t="shared" si="80"/>
        <v>44.981918809498012</v>
      </c>
      <c r="I87" s="120" t="str">
        <f t="shared" si="81"/>
        <v>-</v>
      </c>
      <c r="J87" s="120" t="str">
        <f t="shared" si="82"/>
        <v>-</v>
      </c>
      <c r="K87" s="120">
        <f t="shared" si="83"/>
        <v>100</v>
      </c>
      <c r="L87" s="120" t="str">
        <f t="shared" si="84"/>
        <v/>
      </c>
      <c r="M87" s="120">
        <f t="shared" si="85"/>
        <v>0.58778373483816937</v>
      </c>
      <c r="N87" s="120" t="str">
        <f t="shared" si="86"/>
        <v/>
      </c>
      <c r="O87" s="120">
        <f>IF(K87="","",Control!$F$46)</f>
        <v>0.03</v>
      </c>
      <c r="P87" s="120" t="str">
        <f>IF(L87="","",Control!$F$46)</f>
        <v/>
      </c>
      <c r="Q87" s="120">
        <f t="shared" si="87"/>
        <v>0.6177837348381694</v>
      </c>
      <c r="R87" s="120" t="str">
        <f t="shared" si="88"/>
        <v/>
      </c>
      <c r="V87" s="121">
        <f>IF(OR(D87&gt;=$Z$13,D49&lt;=$Z$12,Geometry!AP18="n"),0,"X")</f>
        <v>0</v>
      </c>
      <c r="W87" s="121">
        <f>IF(OR(D87&gt;=$Z$15,D49&lt;=$Z$12,Geometry!AQ18="n"),0,"X")</f>
        <v>0</v>
      </c>
      <c r="X87" s="37">
        <f t="shared" si="89"/>
        <v>0</v>
      </c>
      <c r="Y87" s="37">
        <f t="shared" si="90"/>
        <v>0</v>
      </c>
      <c r="Z87" s="120">
        <f t="shared" si="91"/>
        <v>15.916015241432959</v>
      </c>
      <c r="AA87" s="120">
        <f t="shared" si="92"/>
        <v>15.916015241432959</v>
      </c>
      <c r="AB87" s="120">
        <f t="shared" si="93"/>
        <v>0.6597539553864471</v>
      </c>
      <c r="AC87" s="120">
        <f t="shared" si="94"/>
        <v>0.6597539553864471</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sheetData>
  <sheetProtection sheet="1" objects="1" scenarios="1"/>
  <mergeCells count="115">
    <mergeCell ref="C4:C5"/>
    <mergeCell ref="AH39:AI39"/>
    <mergeCell ref="AH47:AI47"/>
    <mergeCell ref="AF77:AG77"/>
    <mergeCell ref="AD47:AG47"/>
    <mergeCell ref="Z48:AA48"/>
    <mergeCell ref="Z49:AA49"/>
    <mergeCell ref="X77:Y77"/>
    <mergeCell ref="V49:W49"/>
    <mergeCell ref="AB47:AC47"/>
    <mergeCell ref="AB77:AE77"/>
    <mergeCell ref="V39:W39"/>
    <mergeCell ref="V41:W41"/>
    <mergeCell ref="V47:W47"/>
    <mergeCell ref="AD39:AG39"/>
    <mergeCell ref="X39:Y39"/>
    <mergeCell ref="C31:C32"/>
    <mergeCell ref="D31:D32"/>
    <mergeCell ref="Q39:R39"/>
    <mergeCell ref="E31:E32"/>
    <mergeCell ref="F31:F32"/>
    <mergeCell ref="M38:R38"/>
    <mergeCell ref="I31:I32"/>
    <mergeCell ref="C39:C40"/>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77:C78"/>
    <mergeCell ref="D77:D78"/>
    <mergeCell ref="K77:L77"/>
    <mergeCell ref="I64:I65"/>
    <mergeCell ref="F64:F65"/>
    <mergeCell ref="G64:G65"/>
    <mergeCell ref="H64:H65"/>
    <mergeCell ref="G77:H77"/>
    <mergeCell ref="I77:J77"/>
    <mergeCell ref="Z79:AA79"/>
    <mergeCell ref="Z78:AA78"/>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E79:F79"/>
    <mergeCell ref="G79:J79"/>
    <mergeCell ref="K79:L79"/>
    <mergeCell ref="V79:W79"/>
    <mergeCell ref="V77:W77"/>
    <mergeCell ref="Q77:R77"/>
    <mergeCell ref="M79:R79"/>
    <mergeCell ref="M76:R76"/>
    <mergeCell ref="M77:N77"/>
    <mergeCell ref="O77:P77"/>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Q30:S30"/>
    <mergeCell ref="T30:V30"/>
    <mergeCell ref="R31:R32"/>
    <mergeCell ref="S31:S32"/>
    <mergeCell ref="T31:T32"/>
    <mergeCell ref="U31:U32"/>
    <mergeCell ref="V31:V32"/>
    <mergeCell ref="AD55:AG55"/>
    <mergeCell ref="AH55:AI55"/>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62"/>
  <sheetViews>
    <sheetView topLeftCell="A123" workbookViewId="0"/>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445</v>
      </c>
      <c r="X3" s="185" t="s">
        <v>311</v>
      </c>
      <c r="Y3" s="185"/>
      <c r="Z3" s="185"/>
      <c r="AB3" s="185" t="s">
        <v>526</v>
      </c>
      <c r="AC3" s="185"/>
      <c r="AD3" s="185"/>
      <c r="AE3" s="185"/>
      <c r="AF3" s="185"/>
      <c r="AG3" s="185"/>
      <c r="AH3" s="185"/>
    </row>
    <row r="4" spans="3:40">
      <c r="C4" s="326" t="s">
        <v>0</v>
      </c>
      <c r="D4" s="12" t="s">
        <v>1</v>
      </c>
      <c r="E4" s="12" t="s">
        <v>2</v>
      </c>
      <c r="F4" s="12" t="s">
        <v>3</v>
      </c>
      <c r="G4" s="12" t="s">
        <v>4</v>
      </c>
      <c r="H4" s="12" t="s">
        <v>5</v>
      </c>
      <c r="I4" s="12" t="s">
        <v>6</v>
      </c>
      <c r="J4" s="12" t="s">
        <v>7</v>
      </c>
      <c r="K4" s="12" t="s">
        <v>8</v>
      </c>
      <c r="X4" s="8" t="s">
        <v>41</v>
      </c>
      <c r="Z4" s="33">
        <f>Control!$F$40</f>
        <v>31</v>
      </c>
      <c r="AA4" s="6"/>
      <c r="AB4" s="8" t="s">
        <v>40</v>
      </c>
      <c r="AC4" s="16" t="str">
        <f>Control!$F$39</f>
        <v>EC</v>
      </c>
      <c r="AD4" s="8" t="s">
        <v>91</v>
      </c>
      <c r="AE4" s="7">
        <f>IF($AC$4="DNV",5,4)</f>
        <v>4</v>
      </c>
      <c r="AH4" s="6"/>
      <c r="AI4" s="6"/>
    </row>
    <row r="5" spans="3:40">
      <c r="C5" s="327"/>
      <c r="D5" s="12" t="str">
        <f>"[m"&amp;Control!$F$7&amp;"]"</f>
        <v>[mLAT]</v>
      </c>
      <c r="E5" s="12" t="str">
        <f>"[m"&amp;Control!$F$7&amp;"]"</f>
        <v>[mLAT]</v>
      </c>
      <c r="F5" s="12" t="s">
        <v>9</v>
      </c>
      <c r="G5" s="12" t="s">
        <v>9</v>
      </c>
      <c r="H5" s="12" t="s">
        <v>10</v>
      </c>
      <c r="I5" s="12" t="s">
        <v>9</v>
      </c>
      <c r="J5" s="12" t="s">
        <v>11</v>
      </c>
      <c r="K5" s="12" t="s">
        <v>12</v>
      </c>
      <c r="X5" s="8" t="s">
        <v>38</v>
      </c>
      <c r="Z5" s="33">
        <f>Control!$F$41</f>
        <v>30</v>
      </c>
      <c r="AB5" s="185" t="s">
        <v>519</v>
      </c>
      <c r="AC5" s="185"/>
      <c r="AD5" s="185"/>
      <c r="AE5" s="185"/>
      <c r="AF5" s="185"/>
      <c r="AG5" s="186"/>
      <c r="AH5" s="186"/>
      <c r="AI5" s="6"/>
    </row>
    <row r="6" spans="3:40">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X6" s="17" t="s">
        <v>39</v>
      </c>
      <c r="Z6" s="33">
        <f>Control!$F$42</f>
        <v>19</v>
      </c>
      <c r="AB6" s="8" t="s">
        <v>297</v>
      </c>
      <c r="AC6" s="6">
        <f>IF($AC$4="EC",112,65.5)</f>
        <v>112</v>
      </c>
      <c r="AD6" s="6"/>
      <c r="AE6" s="6" t="s">
        <v>148</v>
      </c>
      <c r="AF6" s="6">
        <f>IF($AC$4="EC",140,93.59)</f>
        <v>140</v>
      </c>
      <c r="AG6" s="6"/>
    </row>
    <row r="7" spans="3:40">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Y7" s="8"/>
      <c r="Z7" s="16"/>
      <c r="AB7" s="8" t="s">
        <v>37</v>
      </c>
      <c r="AC7" s="6">
        <f>IF($AC$4="EC",90,52.63)</f>
        <v>90</v>
      </c>
      <c r="AD7" s="6"/>
      <c r="AE7" s="6" t="s">
        <v>150</v>
      </c>
      <c r="AF7" s="6">
        <f>IF(AC4="EC",100,AC7)</f>
        <v>100</v>
      </c>
      <c r="AG7" s="6"/>
    </row>
    <row r="8" spans="3:40">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X8" s="8" t="s">
        <v>69</v>
      </c>
      <c r="Y8" s="6"/>
      <c r="Z8" s="16" t="str">
        <f>Control!$F$43</f>
        <v>N</v>
      </c>
      <c r="AB8" s="8" t="s">
        <v>440</v>
      </c>
      <c r="AC8" s="6">
        <f>IF($AC$4="EC",112,65.5)</f>
        <v>112</v>
      </c>
      <c r="AE8" t="s">
        <v>524</v>
      </c>
      <c r="AF8">
        <f>IF(AC4="EC",112,AC6)</f>
        <v>112</v>
      </c>
    </row>
    <row r="9" spans="3:40">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U9" s="8"/>
      <c r="V9" s="8"/>
      <c r="W9" s="8"/>
      <c r="X9" s="8" t="s">
        <v>70</v>
      </c>
      <c r="Y9" s="6"/>
      <c r="Z9" s="33">
        <f>Control!$F$44</f>
        <v>0</v>
      </c>
      <c r="AE9" t="s">
        <v>520</v>
      </c>
      <c r="AF9">
        <f>IF(AC4="EC",225,131.62)</f>
        <v>225</v>
      </c>
      <c r="AG9" t="s">
        <v>527</v>
      </c>
      <c r="AH9">
        <v>1.3</v>
      </c>
    </row>
    <row r="10" spans="3:40">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U10" s="8"/>
      <c r="V10" s="8"/>
      <c r="W10" s="8"/>
      <c r="AB10" s="185" t="s">
        <v>525</v>
      </c>
      <c r="AC10" s="185"/>
      <c r="AD10" s="185"/>
      <c r="AE10" s="185"/>
      <c r="AF10" s="185"/>
      <c r="AG10" s="185"/>
      <c r="AH10" s="185"/>
    </row>
    <row r="11" spans="3:40">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X11" s="185" t="s">
        <v>521</v>
      </c>
      <c r="Y11" s="185"/>
      <c r="Z11" s="185"/>
      <c r="AB11" s="8" t="s">
        <v>65</v>
      </c>
      <c r="AC11" s="6"/>
      <c r="AD11" s="14">
        <f>IF(AND($AC$4="EC",$Z$8="Y"),1.15,IF(AND($AC$4="EC",$Z$8="N"),1.25,1))</f>
        <v>1.25</v>
      </c>
      <c r="AF11" s="8" t="s">
        <v>56</v>
      </c>
      <c r="AG11" s="14">
        <f>IF($AC$4="EC",0.3,0.2)</f>
        <v>0.3</v>
      </c>
    </row>
    <row r="12" spans="3:40">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X12" t="s">
        <v>184</v>
      </c>
      <c r="Z12" s="33">
        <f>Control!$F$22</f>
        <v>0</v>
      </c>
      <c r="AB12" s="8" t="s">
        <v>66</v>
      </c>
      <c r="AC12" s="6"/>
      <c r="AD12" s="14">
        <f>IF($AC$4="EC",1.25,1)</f>
        <v>1.25</v>
      </c>
      <c r="AF12" s="8" t="s">
        <v>298</v>
      </c>
      <c r="AG12" s="14">
        <f>IF($AC$4="EC",0.2,0.1)</f>
        <v>0.2</v>
      </c>
    </row>
    <row r="13" spans="3:40">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c r="X15" t="str">
        <f>Control!$E$18</f>
        <v>Internal upper limit</v>
      </c>
      <c r="Z15" s="33">
        <f>Control!$F$18</f>
        <v>3</v>
      </c>
      <c r="AG15" s="6"/>
      <c r="AH15" s="6"/>
      <c r="AL15" s="6"/>
      <c r="AM15" s="6"/>
      <c r="AN15" s="6"/>
    </row>
    <row r="16" spans="3:40">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c r="X16" t="str">
        <f>Control!$E$19</f>
        <v>Internal lower limit</v>
      </c>
      <c r="Z16" s="33">
        <f>Control!$F$19</f>
        <v>-0.6</v>
      </c>
      <c r="AB16" s="185" t="s">
        <v>522</v>
      </c>
      <c r="AC16" s="185"/>
      <c r="AD16" s="185"/>
      <c r="AE16" s="186"/>
      <c r="AF16" s="185"/>
      <c r="AG16" s="185"/>
      <c r="AH16" s="185"/>
      <c r="AI16" s="6"/>
    </row>
    <row r="17" spans="3:35">
      <c r="C17" s="12">
        <v>12</v>
      </c>
      <c r="D17" s="44">
        <f>Geometry!D37</f>
        <v>-36.799999999999997</v>
      </c>
      <c r="E17" s="44">
        <f>Geometry!E37</f>
        <v>-40.200000000000003</v>
      </c>
      <c r="F17" s="44">
        <f>Geometry!F37</f>
        <v>9.8000000000000007</v>
      </c>
      <c r="G17" s="44">
        <f>Geometry!G37</f>
        <v>9.8000000000000007</v>
      </c>
      <c r="H17" s="44">
        <f>Geometry!H37</f>
        <v>92</v>
      </c>
      <c r="I17" s="56">
        <f t="shared" si="0"/>
        <v>3.4000000000000057</v>
      </c>
      <c r="J17" s="57">
        <f t="shared" si="1"/>
        <v>0</v>
      </c>
      <c r="K17" s="58">
        <f t="shared" si="2"/>
        <v>74.88865685508793</v>
      </c>
      <c r="AB17" s="8" t="s">
        <v>57</v>
      </c>
      <c r="AC17" s="6"/>
      <c r="AD17" s="6"/>
      <c r="AE17" s="16">
        <v>440</v>
      </c>
      <c r="AH17" s="6"/>
      <c r="AI17" s="6"/>
    </row>
    <row r="18" spans="3:35">
      <c r="C18" s="12">
        <v>13</v>
      </c>
      <c r="D18" s="44">
        <f>Geometry!D38</f>
        <v>-40.200000000000003</v>
      </c>
      <c r="E18" s="44">
        <f>Geometry!E38</f>
        <v>-43.8</v>
      </c>
      <c r="F18" s="44">
        <f>Geometry!F38</f>
        <v>9.8000000000000007</v>
      </c>
      <c r="G18" s="44">
        <f>Geometry!G38</f>
        <v>9.8000000000000007</v>
      </c>
      <c r="H18" s="44">
        <f>Geometry!H38</f>
        <v>101</v>
      </c>
      <c r="I18" s="56">
        <f t="shared" si="0"/>
        <v>3.5999999999999943</v>
      </c>
      <c r="J18" s="57">
        <f t="shared" si="1"/>
        <v>0</v>
      </c>
      <c r="K18" s="58">
        <f t="shared" si="2"/>
        <v>86.970178877873934</v>
      </c>
      <c r="AB18" s="8" t="s">
        <v>58</v>
      </c>
      <c r="AC18" s="6"/>
      <c r="AD18" s="6"/>
      <c r="AE18" s="16">
        <v>14</v>
      </c>
    </row>
    <row r="19" spans="3:35">
      <c r="C19" s="12">
        <v>14</v>
      </c>
      <c r="D19" s="44">
        <f>Geometry!D39</f>
        <v>-43.8</v>
      </c>
      <c r="E19" s="44">
        <f>Geometry!E39</f>
        <v>-47.8</v>
      </c>
      <c r="F19" s="44">
        <f>Geometry!F39</f>
        <v>9.8000000000000007</v>
      </c>
      <c r="G19" s="44">
        <f>Geometry!G39</f>
        <v>9.8000000000000007</v>
      </c>
      <c r="H19" s="44">
        <f>Geometry!H39</f>
        <v>92</v>
      </c>
      <c r="I19" s="56">
        <f t="shared" si="0"/>
        <v>4</v>
      </c>
      <c r="J19" s="57">
        <f t="shared" si="1"/>
        <v>0</v>
      </c>
      <c r="K19" s="58">
        <f t="shared" si="2"/>
        <v>88.104302182456252</v>
      </c>
      <c r="AA19" s="8"/>
      <c r="AB19" s="8" t="s">
        <v>59</v>
      </c>
      <c r="AC19" s="6"/>
      <c r="AD19" s="6"/>
      <c r="AE19" s="14">
        <f>IF(AC4="DNV",(1-0.28*LOG(AE17/200))/(1-0.22*LOG(6*AE18)*LOG(AE17/200)),1)</f>
        <v>1</v>
      </c>
    </row>
    <row r="20" spans="3:35">
      <c r="C20" s="12">
        <v>15</v>
      </c>
      <c r="D20" s="44">
        <f>Geometry!D40</f>
        <v>-47.8</v>
      </c>
      <c r="E20" s="44">
        <f>Geometry!E40</f>
        <v>-51.8</v>
      </c>
      <c r="F20" s="44">
        <f>Geometry!F40</f>
        <v>9.8000000000000007</v>
      </c>
      <c r="G20" s="44">
        <f>Geometry!G40</f>
        <v>9.8000000000000007</v>
      </c>
      <c r="H20" s="44">
        <f>Geometry!H40</f>
        <v>90</v>
      </c>
      <c r="I20" s="56">
        <f t="shared" si="0"/>
        <v>4</v>
      </c>
      <c r="J20" s="57">
        <f t="shared" si="1"/>
        <v>0</v>
      </c>
      <c r="K20" s="58">
        <f t="shared" si="2"/>
        <v>86.206747547124479</v>
      </c>
      <c r="AG20" s="8"/>
      <c r="AH20" s="6"/>
      <c r="AI20" s="6"/>
    </row>
    <row r="21" spans="3:35">
      <c r="C21" s="12">
        <v>16</v>
      </c>
      <c r="D21" s="44">
        <f>Geometry!D41</f>
        <v>-51.8</v>
      </c>
      <c r="E21" s="44">
        <f>Geometry!E41</f>
        <v>-55.8</v>
      </c>
      <c r="F21" s="44">
        <f>Geometry!F41</f>
        <v>9.8000000000000007</v>
      </c>
      <c r="G21" s="44">
        <f>Geometry!G41</f>
        <v>9.8000000000000007</v>
      </c>
      <c r="H21" s="44">
        <f>Geometry!H41</f>
        <v>80</v>
      </c>
      <c r="I21" s="56">
        <f t="shared" si="0"/>
        <v>4</v>
      </c>
      <c r="J21" s="57">
        <f t="shared" si="1"/>
        <v>0</v>
      </c>
      <c r="K21" s="58">
        <f t="shared" si="2"/>
        <v>76.707136849346995</v>
      </c>
      <c r="AB21" s="185" t="s">
        <v>523</v>
      </c>
      <c r="AC21" s="185"/>
      <c r="AD21" s="185"/>
      <c r="AE21" s="185"/>
      <c r="AF21" s="185"/>
      <c r="AG21" s="186"/>
      <c r="AH21" s="186"/>
      <c r="AI21" s="6"/>
    </row>
    <row r="22" spans="3:35">
      <c r="C22" s="12">
        <v>17</v>
      </c>
      <c r="D22" s="44">
        <f>Geometry!D42</f>
        <v>-55.8</v>
      </c>
      <c r="E22" s="44">
        <f>Geometry!E42</f>
        <v>-59.8</v>
      </c>
      <c r="F22" s="44">
        <f>Geometry!F42</f>
        <v>9.8000000000000007</v>
      </c>
      <c r="G22" s="44">
        <f>Geometry!G42</f>
        <v>9.8000000000000007</v>
      </c>
      <c r="H22" s="44">
        <f>Geometry!H42</f>
        <v>80</v>
      </c>
      <c r="I22" s="56">
        <f t="shared" si="0"/>
        <v>4</v>
      </c>
      <c r="J22" s="57">
        <f t="shared" si="1"/>
        <v>0</v>
      </c>
      <c r="K22" s="58">
        <f t="shared" si="2"/>
        <v>76.707136849346995</v>
      </c>
      <c r="X22" s="8"/>
      <c r="Y22" s="6"/>
      <c r="Z22" s="6"/>
      <c r="AA22" s="6"/>
      <c r="AB22" s="8" t="s">
        <v>42</v>
      </c>
      <c r="AE22" s="8"/>
      <c r="AF22" s="6"/>
      <c r="AH22" s="6"/>
      <c r="AI22" s="6"/>
    </row>
    <row r="23" spans="3:35">
      <c r="C23" s="12">
        <v>18</v>
      </c>
      <c r="D23" s="44">
        <f>Geometry!D43</f>
        <v>-59.8</v>
      </c>
      <c r="E23" s="44">
        <f>Geometry!E43</f>
        <v>-63.8</v>
      </c>
      <c r="F23" s="44">
        <f>Geometry!F43</f>
        <v>9.8000000000000007</v>
      </c>
      <c r="G23" s="44">
        <f>Geometry!G43</f>
        <v>9.8000000000000007</v>
      </c>
      <c r="H23" s="44">
        <f>Geometry!H43</f>
        <v>80</v>
      </c>
      <c r="I23" s="56">
        <f t="shared" si="0"/>
        <v>4</v>
      </c>
      <c r="J23" s="57">
        <f t="shared" si="1"/>
        <v>0</v>
      </c>
      <c r="K23" s="58">
        <f t="shared" si="2"/>
        <v>76.707136849346995</v>
      </c>
      <c r="Z23" s="6"/>
      <c r="AB23" s="8" t="s">
        <v>43</v>
      </c>
      <c r="AE23" s="8"/>
      <c r="AF23" s="14">
        <f>Z4-Z6</f>
        <v>12</v>
      </c>
      <c r="AH23" s="6"/>
      <c r="AI23" s="6"/>
    </row>
    <row r="24" spans="3:35">
      <c r="C24" s="12">
        <v>19</v>
      </c>
      <c r="D24" s="44">
        <f>Geometry!D44</f>
        <v>-63.8</v>
      </c>
      <c r="E24" s="44">
        <f>Geometry!E44</f>
        <v>-67.8</v>
      </c>
      <c r="F24" s="44">
        <f>Geometry!F44</f>
        <v>9.8000000000000007</v>
      </c>
      <c r="G24" s="44">
        <f>Geometry!G44</f>
        <v>9.8000000000000007</v>
      </c>
      <c r="H24" s="44">
        <f>Geometry!H44</f>
        <v>80</v>
      </c>
      <c r="I24" s="56">
        <f t="shared" si="0"/>
        <v>4</v>
      </c>
      <c r="J24" s="57">
        <f t="shared" si="1"/>
        <v>0</v>
      </c>
      <c r="K24" s="58">
        <f t="shared" si="2"/>
        <v>76.707136849346995</v>
      </c>
      <c r="Z24" s="6"/>
      <c r="AB24" s="8" t="s">
        <v>44</v>
      </c>
      <c r="AC24" s="6"/>
      <c r="AE24" s="8"/>
      <c r="AF24" s="14">
        <f>Z5-AF23</f>
        <v>18</v>
      </c>
      <c r="AH24" s="6"/>
      <c r="AI24" s="6"/>
    </row>
    <row r="25" spans="3:35">
      <c r="C25" s="12">
        <v>20</v>
      </c>
      <c r="D25" s="44">
        <f>Geometry!D45</f>
        <v>-67.8</v>
      </c>
      <c r="E25" s="44">
        <f>Geometry!E45</f>
        <v>-71.8</v>
      </c>
      <c r="F25" s="44">
        <f>Geometry!F45</f>
        <v>9.8000000000000007</v>
      </c>
      <c r="G25" s="44">
        <f>Geometry!G45</f>
        <v>9.8000000000000007</v>
      </c>
      <c r="H25" s="44">
        <f>Geometry!H45</f>
        <v>80</v>
      </c>
      <c r="I25" s="56">
        <f t="shared" si="0"/>
        <v>4</v>
      </c>
      <c r="J25" s="57">
        <f t="shared" si="1"/>
        <v>0</v>
      </c>
      <c r="K25" s="58">
        <f t="shared" si="2"/>
        <v>76.707136849346995</v>
      </c>
      <c r="Z25" s="6"/>
      <c r="AB25" s="8" t="str">
        <f>Control!$E$12</f>
        <v xml:space="preserve">Corrosion allowance rate outside </v>
      </c>
      <c r="AF25" s="33">
        <f>Control!$F$12</f>
        <v>0.3</v>
      </c>
      <c r="AH25" s="6"/>
      <c r="AI25" s="6"/>
    </row>
    <row r="26" spans="3:35">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c r="Z26" s="6"/>
      <c r="AB26" s="8" t="str">
        <f>Control!$E$13</f>
        <v xml:space="preserve">Corrosion allowance rate inside </v>
      </c>
      <c r="AF26" s="33">
        <f>Control!$F$13</f>
        <v>0.15</v>
      </c>
      <c r="AH26" s="6"/>
      <c r="AI26" s="6"/>
    </row>
    <row r="27" spans="3:35">
      <c r="C27" s="12">
        <v>22</v>
      </c>
      <c r="D27" s="44">
        <f>Geometry!D47</f>
        <v>-75.8</v>
      </c>
      <c r="E27" s="44">
        <f>Geometry!E47</f>
        <v>-79.75</v>
      </c>
      <c r="F27" s="44">
        <f>Geometry!F47</f>
        <v>9.8000000000000007</v>
      </c>
      <c r="G27" s="44">
        <f>Geometry!G47</f>
        <v>9.8000000000000007</v>
      </c>
      <c r="H27" s="44">
        <f>Geometry!H47</f>
        <v>95</v>
      </c>
      <c r="I27" s="56">
        <f t="shared" si="0"/>
        <v>3.9500000000000028</v>
      </c>
      <c r="J27" s="57">
        <f t="shared" si="1"/>
        <v>0</v>
      </c>
      <c r="K27" s="58">
        <f t="shared" si="2"/>
        <v>89.81229001474793</v>
      </c>
      <c r="Z27" s="6"/>
      <c r="AA27" s="6"/>
      <c r="AG27" s="6"/>
      <c r="AH27" s="6"/>
      <c r="AI27" s="6"/>
    </row>
    <row r="28" spans="3:35">
      <c r="C28" s="12">
        <v>23</v>
      </c>
      <c r="D28" s="44">
        <f>Geometry!D48</f>
        <v>-79.75</v>
      </c>
      <c r="E28" s="44">
        <f>Geometry!E48</f>
        <v>-82.75</v>
      </c>
      <c r="F28" s="44">
        <f>Geometry!F48</f>
        <v>9.8000000000000007</v>
      </c>
      <c r="G28" s="44">
        <f>Geometry!G48</f>
        <v>9.8000000000000007</v>
      </c>
      <c r="H28" s="44">
        <f>Geometry!H48</f>
        <v>105</v>
      </c>
      <c r="I28" s="56">
        <f t="shared" si="0"/>
        <v>3</v>
      </c>
      <c r="J28" s="57">
        <f t="shared" si="1"/>
        <v>0</v>
      </c>
      <c r="K28" s="58">
        <f t="shared" si="2"/>
        <v>75.314378505222052</v>
      </c>
    </row>
    <row r="31" spans="3:35">
      <c r="C31" s="35" t="s">
        <v>207</v>
      </c>
      <c r="L31" s="311" t="s">
        <v>215</v>
      </c>
      <c r="M31" s="312"/>
      <c r="Q31" s="191" t="s">
        <v>532</v>
      </c>
      <c r="R31" s="188"/>
      <c r="S31" s="188"/>
      <c r="T31" s="187" t="s">
        <v>531</v>
      </c>
      <c r="U31" s="188"/>
      <c r="V31" s="189"/>
    </row>
    <row r="32" spans="3:35" ht="15" customHeight="1">
      <c r="C32" s="323" t="s">
        <v>19</v>
      </c>
      <c r="D32" s="323" t="s">
        <v>282</v>
      </c>
      <c r="E32" s="323" t="s">
        <v>281</v>
      </c>
      <c r="F32" s="323" t="s">
        <v>18</v>
      </c>
      <c r="G32" s="323" t="s">
        <v>284</v>
      </c>
      <c r="H32" s="323" t="s">
        <v>283</v>
      </c>
      <c r="I32" s="323" t="s">
        <v>13</v>
      </c>
      <c r="J32" s="323" t="s">
        <v>14</v>
      </c>
      <c r="K32" s="323" t="s">
        <v>15</v>
      </c>
      <c r="L32" s="323" t="s">
        <v>279</v>
      </c>
      <c r="M32" s="323" t="s">
        <v>280</v>
      </c>
      <c r="N32" s="323" t="s">
        <v>300</v>
      </c>
      <c r="P32" s="323" t="s">
        <v>579</v>
      </c>
      <c r="Q32" s="314" t="s">
        <v>528</v>
      </c>
      <c r="R32" s="314" t="s">
        <v>529</v>
      </c>
      <c r="S32" s="314" t="s">
        <v>530</v>
      </c>
      <c r="T32" s="315" t="s">
        <v>528</v>
      </c>
      <c r="U32" s="315" t="s">
        <v>529</v>
      </c>
      <c r="V32" s="315" t="s">
        <v>530</v>
      </c>
    </row>
    <row r="33" spans="3:22" ht="29.25" customHeight="1">
      <c r="C33" s="324">
        <v>0</v>
      </c>
      <c r="D33" s="324">
        <v>0</v>
      </c>
      <c r="E33" s="324"/>
      <c r="F33" s="324"/>
      <c r="G33" s="324"/>
      <c r="H33" s="324"/>
      <c r="I33" s="324"/>
      <c r="J33" s="324"/>
      <c r="K33" s="324"/>
      <c r="L33" s="324"/>
      <c r="M33" s="324"/>
      <c r="N33" s="314"/>
      <c r="P33" s="314"/>
      <c r="Q33" s="314"/>
      <c r="R33" s="314"/>
      <c r="S33" s="314"/>
      <c r="T33" s="315"/>
      <c r="U33" s="315"/>
      <c r="V33" s="315"/>
    </row>
    <row r="34" spans="3:22">
      <c r="C34" s="30" t="s">
        <v>16</v>
      </c>
      <c r="D34" s="30" t="str">
        <f>"[m"&amp;Control!$F$7&amp;"]"</f>
        <v>[mLAT]</v>
      </c>
      <c r="E34" s="30" t="s">
        <v>9</v>
      </c>
      <c r="F34" s="30" t="s">
        <v>11</v>
      </c>
      <c r="G34" s="311" t="s">
        <v>10</v>
      </c>
      <c r="H34" s="312"/>
      <c r="I34" s="312"/>
      <c r="J34" s="312"/>
      <c r="K34" s="313"/>
      <c r="L34" s="311" t="s">
        <v>16</v>
      </c>
      <c r="M34" s="313"/>
      <c r="N34" s="324"/>
      <c r="P34" s="325"/>
      <c r="Q34" s="190" t="s">
        <v>16</v>
      </c>
      <c r="R34" s="190" t="s">
        <v>16</v>
      </c>
      <c r="S34" s="190" t="s">
        <v>16</v>
      </c>
      <c r="T34" s="190" t="s">
        <v>16</v>
      </c>
      <c r="U34" s="190" t="s">
        <v>16</v>
      </c>
      <c r="V34" s="190" t="s">
        <v>16</v>
      </c>
    </row>
    <row r="35" spans="3:22">
      <c r="C35" s="12" t="str">
        <f>"CW"&amp;TEXT(C6,"0")</f>
        <v>CW1</v>
      </c>
      <c r="D35" s="2">
        <f>E6</f>
        <v>1.6</v>
      </c>
      <c r="E35" s="3">
        <f>G6</f>
        <v>7.5</v>
      </c>
      <c r="F35" s="3">
        <f>ABS(J6-J7)</f>
        <v>0</v>
      </c>
      <c r="G35" s="3">
        <f>H6</f>
        <v>108</v>
      </c>
      <c r="H35" s="4">
        <f>H7</f>
        <v>100</v>
      </c>
      <c r="I35" s="3">
        <f>(MAX(G35:H35)-MIN(G35:H35))/2</f>
        <v>4</v>
      </c>
      <c r="J35" s="120">
        <f>MIN(0.1*MIN(G35:H35),4)</f>
        <v>4</v>
      </c>
      <c r="K35" s="120">
        <f>0.05*(MIN(G35:H35))</f>
        <v>5</v>
      </c>
      <c r="L35" s="120">
        <f>S35</f>
        <v>0.85864851454153157</v>
      </c>
      <c r="M35" s="120">
        <f>V35</f>
        <v>1.0848108912750811</v>
      </c>
      <c r="N35" s="222" t="str">
        <f>Geometry!N27</f>
        <v>b</v>
      </c>
      <c r="P35" s="120">
        <f>IF(F35&gt;0.1,IF(AND((E35-E34)=0,(E36-E35)&gt;0),"cc",IF(AND((E35-E34)&gt;0,(E36-E35)=0),"cv",0)),0)</f>
        <v>0</v>
      </c>
      <c r="Q35" s="223" cm="1">
        <f t="array" ref="Q35">IF($AC$4="EC",(1-(6*(I35+K35-J35))/(MIN(G35:H35)*(1+(MAX(G35:H35^1.5/MIN(G35:H35)^1.5))))),(1-(6*(I35+IF(OR(N35="b",N35="o"),0,K35)-J35)/(MIN(G35:H35)*(1+(MAX(G35:H35^1.5/MIN(G35:H35)^1.5)))))))</f>
        <v>0.85864851454153157</v>
      </c>
      <c r="R35" s="223">
        <f>IF(P35=0,0,IF(P35="cc",MAX(1+((0.6*G35*(E35*1000*(G35+H35))^0.5*TAN(F35*PI()/180))/G35^2),1+((0.6*G35*(E35*1000*(G35+H35))^0.5*TAN(F35*PI()/180))/H35^2)),1))</f>
        <v>0</v>
      </c>
      <c r="S35" s="223">
        <f>IF(P35=0,Q35,R35)</f>
        <v>0.85864851454153157</v>
      </c>
      <c r="T35" s="223" cm="1">
        <f t="array" ref="T35">IF($AC$4="EC",(1+(6*(I35+J35-K35))/(MIN(G35:H35)*(1+(MAX(G35:H35^1.5/MIN(G35:H35)^1.5))))),(1+(6*(I35+J35-IF(OR(N35="i",N35="b"),0,K35)))/(MIN(G35:H35)*(1+(MAX(G35:H35^1.5/MIN(G35:H35)^1.5))))))</f>
        <v>1.0848108912750811</v>
      </c>
      <c r="U35" s="223">
        <f>IF(P35=0,0,IF(P35="cv",MAX(1+((0.6*G35*(E35*1000*(G35+H35))^0.5*TAN(F35*PI()/180))/G35^2),1+((0.6*G35*(E35*1000*(G35+H35))^0.5*TAN(F35*PI()/180))/H35^2)),1))</f>
        <v>0</v>
      </c>
      <c r="V35" s="223">
        <f>IF(P35=0,T35,U35)</f>
        <v>1.0848108912750811</v>
      </c>
    </row>
    <row r="36" spans="3:22">
      <c r="C36" s="12" t="str">
        <f t="shared" ref="C36:C56" si="3">"CW"&amp;TEXT(C7,"0")</f>
        <v>CW2</v>
      </c>
      <c r="D36" s="2">
        <f t="shared" ref="D36:D56" si="4">E7</f>
        <v>-2.2999999999999998</v>
      </c>
      <c r="E36" s="3">
        <f t="shared" ref="E36:E56" si="5">G7</f>
        <v>7.5</v>
      </c>
      <c r="F36" s="3">
        <f t="shared" ref="F36:F56" si="6">ABS(J7-J8)</f>
        <v>0</v>
      </c>
      <c r="G36" s="3">
        <f t="shared" ref="G36:G56" si="7">H7</f>
        <v>100</v>
      </c>
      <c r="H36" s="4">
        <f t="shared" ref="H36:H56" si="8">H8</f>
        <v>99</v>
      </c>
      <c r="I36" s="3">
        <f t="shared" ref="I36:I56" si="9">(MAX(G36:H36)-MIN(G36:H36))/2</f>
        <v>0.5</v>
      </c>
      <c r="J36" s="120">
        <f t="shared" ref="J36:J56" si="10">MIN(0.1*MIN(G36:H36),4)</f>
        <v>4</v>
      </c>
      <c r="K36" s="120">
        <f t="shared" ref="K36:K56" si="11">0.05*(MIN(G36:H36))</f>
        <v>4.95</v>
      </c>
      <c r="L36" s="120">
        <f t="shared" ref="L36:L56" si="12">S36</f>
        <v>0.95639180403771129</v>
      </c>
      <c r="M36" s="120">
        <f t="shared" ref="M36:M56" si="13">V36</f>
        <v>0.98646642194273804</v>
      </c>
      <c r="N36" s="222" t="str">
        <f>Geometry!N28</f>
        <v>n</v>
      </c>
      <c r="P36" s="120">
        <f t="shared" ref="P36:P56" si="14">IF(F36&gt;0.1,IF(AND((E36-E35)=0,(E37-E36)&gt;0),"cc",IF(AND((E36-E35)&gt;0,(E37-E36)=0),"cv",0)),0)</f>
        <v>0</v>
      </c>
      <c r="Q36" s="223" cm="1">
        <f t="array" ref="Q36">IF($AC$4="EC",(1-(6*(I36+K36-J36))/(MIN(G36:H36)*(1+(MAX(G36:H36^1.5/MIN(G36:H36)^1.5))))),(1-(6*(I36+IF(OR(N36="b",N36="o"),0,K36)-J36)/(MIN(G36:H36)*(1+(MAX(G36:H36^1.5/MIN(G36:H36)^1.5)))))))</f>
        <v>0.95639180403771129</v>
      </c>
      <c r="R36" s="223">
        <f t="shared" ref="R36:R56" si="15">IF(P36=0,0,IF(P36="cc",MAX(1+((0.6*G36*(E36*1000*(G36+H36))^0.5*TAN(F36*PI()/180))/G36^2),1+((0.6*G36*(E36*1000*(G36+H36))^0.5*TAN(F36*PI()/180))/H36^2)),1))</f>
        <v>0</v>
      </c>
      <c r="S36" s="223">
        <f t="shared" ref="S36:S56" si="16">IF(P36=0,Q36,R36)</f>
        <v>0.95639180403771129</v>
      </c>
      <c r="T36" s="223" cm="1">
        <f t="array" ref="T36">IF($AC$4="EC",(1+(6*(I36+J36-K36))/(MIN(G36:H36)*(1+(MAX(G36:H36^1.5/MIN(G36:H36)^1.5))))),(1+(6*(I36+J36-IF(OR(N36="i",N36="b"),0,K36)))/(MIN(G36:H36)*(1+(MAX(G36:H36^1.5/MIN(G36:H36)^1.5))))))</f>
        <v>0.98646642194273804</v>
      </c>
      <c r="U36" s="223">
        <f t="shared" ref="U36:U56" si="17">IF(P36=0,0,IF(P36="cv",MAX(1+((0.6*G36*(E36*1000*(G36+H36))^0.5*TAN(F36*PI()/180))/G36^2),1+((0.6*G36*(E36*1000*(G36+H36))^0.5*TAN(F36*PI()/180))/H36^2)),1))</f>
        <v>0</v>
      </c>
      <c r="V36" s="223">
        <f t="shared" ref="V36:V56" si="18">IF(P36=0,T36,U36)</f>
        <v>0.98646642194273804</v>
      </c>
    </row>
    <row r="37" spans="3:22">
      <c r="C37" s="12" t="str">
        <f t="shared" si="3"/>
        <v>CW3</v>
      </c>
      <c r="D37" s="2">
        <f t="shared" si="4"/>
        <v>-6.2</v>
      </c>
      <c r="E37" s="3">
        <f t="shared" si="5"/>
        <v>7.5</v>
      </c>
      <c r="F37" s="3">
        <f t="shared" si="6"/>
        <v>2.4101421139187913</v>
      </c>
      <c r="G37" s="3">
        <f t="shared" si="7"/>
        <v>99</v>
      </c>
      <c r="H37" s="4">
        <f t="shared" si="8"/>
        <v>99</v>
      </c>
      <c r="I37" s="3">
        <f t="shared" si="9"/>
        <v>0</v>
      </c>
      <c r="J37" s="120">
        <f t="shared" si="10"/>
        <v>4</v>
      </c>
      <c r="K37" s="120">
        <f t="shared" si="11"/>
        <v>4.95</v>
      </c>
      <c r="L37" s="120">
        <f t="shared" si="12"/>
        <v>1.3108533576039607</v>
      </c>
      <c r="M37" s="120">
        <f t="shared" si="13"/>
        <v>1</v>
      </c>
      <c r="N37" s="222" t="str">
        <f>Geometry!N29</f>
        <v>o</v>
      </c>
      <c r="P37" s="120" t="str">
        <f t="shared" si="14"/>
        <v>cc</v>
      </c>
      <c r="Q37" s="223" cm="1">
        <f t="array" ref="Q37">IF($AC$4="EC",(1-(6*(I37+K37-J37))/(MIN(G37:H37)*(1+(MAX(G37:H37^1.5/MIN(G37:H37)^1.5))))),(1-(6*(I37+IF(OR(N37="b",N37="o"),0,K37)-J37)/(MIN(G37:H37)*(1+(MAX(G37:H37^1.5/MIN(G37:H37)^1.5)))))))</f>
        <v>0.97121212121212119</v>
      </c>
      <c r="R37" s="223">
        <f t="shared" si="15"/>
        <v>1.3108533576039607</v>
      </c>
      <c r="S37" s="223">
        <f t="shared" si="16"/>
        <v>1.3108533576039607</v>
      </c>
      <c r="T37" s="223" cm="1">
        <f t="array" ref="T37">IF($AC$4="EC",(1+(6*(I37+J37-K37))/(MIN(G37:H37)*(1+(MAX(G37:H37^1.5/MIN(G37:H37)^1.5))))),(1+(6*(I37+J37-IF(OR(N37="i",N37="b"),0,K37)))/(MIN(G37:H37)*(1+(MAX(G37:H37^1.5/MIN(G37:H37)^1.5))))))</f>
        <v>0.97121212121212119</v>
      </c>
      <c r="U37" s="223">
        <f t="shared" si="17"/>
        <v>1</v>
      </c>
      <c r="V37" s="223">
        <f t="shared" si="18"/>
        <v>1</v>
      </c>
    </row>
    <row r="38" spans="3:22">
      <c r="C38" s="12" t="str">
        <f t="shared" si="3"/>
        <v>CW4</v>
      </c>
      <c r="D38" s="2">
        <f t="shared" si="4"/>
        <v>-10.1</v>
      </c>
      <c r="E38" s="3">
        <f t="shared" si="5"/>
        <v>7.8282999999999996</v>
      </c>
      <c r="F38" s="3">
        <f t="shared" si="6"/>
        <v>8.8817841970012523E-16</v>
      </c>
      <c r="G38" s="3">
        <f t="shared" si="7"/>
        <v>99</v>
      </c>
      <c r="H38" s="4">
        <f t="shared" si="8"/>
        <v>107</v>
      </c>
      <c r="I38" s="3">
        <f t="shared" si="9"/>
        <v>4</v>
      </c>
      <c r="J38" s="120">
        <f t="shared" si="10"/>
        <v>4</v>
      </c>
      <c r="K38" s="120">
        <f t="shared" si="11"/>
        <v>4.95</v>
      </c>
      <c r="L38" s="120">
        <f t="shared" si="12"/>
        <v>0.85873237571062266</v>
      </c>
      <c r="M38" s="120">
        <f t="shared" si="13"/>
        <v>1.0870436876934548</v>
      </c>
      <c r="N38" s="222" t="str">
        <f>Geometry!N30</f>
        <v>n</v>
      </c>
      <c r="P38" s="120">
        <f t="shared" si="14"/>
        <v>0</v>
      </c>
      <c r="Q38" s="223" cm="1">
        <f t="array" ref="Q38">IF($AC$4="EC",(1-(6*(I38+K38-J38))/(MIN(G38:H38)*(1+(MAX(G38:H38^1.5/MIN(G38:H38)^1.5))))),(1-(6*(I38+IF(OR(N38="b",N38="o"),0,K38)-J38)/(MIN(G38:H38)*(1+(MAX(G38:H38^1.5/MIN(G38:H38)^1.5)))))))</f>
        <v>0.85873237571062266</v>
      </c>
      <c r="R38" s="223">
        <f t="shared" si="15"/>
        <v>0</v>
      </c>
      <c r="S38" s="223">
        <f t="shared" si="16"/>
        <v>0.85873237571062266</v>
      </c>
      <c r="T38" s="223" cm="1">
        <f t="array" ref="T38">IF($AC$4="EC",(1+(6*(I38+J38-K38))/(MIN(G38:H38)*(1+(MAX(G38:H38^1.5/MIN(G38:H38)^1.5))))),(1+(6*(I38+J38-IF(OR(N38="i",N38="b"),0,K38)))/(MIN(G38:H38)*(1+(MAX(G38:H38^1.5/MIN(G38:H38)^1.5))))))</f>
        <v>1.0870436876934548</v>
      </c>
      <c r="U38" s="223">
        <f t="shared" si="17"/>
        <v>0</v>
      </c>
      <c r="V38" s="223">
        <f t="shared" si="18"/>
        <v>1.0870436876934548</v>
      </c>
    </row>
    <row r="39" spans="3:22">
      <c r="C39" s="12" t="str">
        <f t="shared" si="3"/>
        <v>CW5</v>
      </c>
      <c r="D39" s="2">
        <f t="shared" si="4"/>
        <v>-14</v>
      </c>
      <c r="E39" s="3">
        <f t="shared" si="5"/>
        <v>8.1565999999999992</v>
      </c>
      <c r="F39" s="3">
        <f t="shared" si="6"/>
        <v>7.3326266252182748E-4</v>
      </c>
      <c r="G39" s="3">
        <f t="shared" si="7"/>
        <v>107</v>
      </c>
      <c r="H39" s="4">
        <f t="shared" si="8"/>
        <v>96</v>
      </c>
      <c r="I39" s="3">
        <f t="shared" si="9"/>
        <v>5.5</v>
      </c>
      <c r="J39" s="120">
        <f t="shared" si="10"/>
        <v>4</v>
      </c>
      <c r="K39" s="120">
        <f t="shared" si="11"/>
        <v>4.8000000000000007</v>
      </c>
      <c r="L39" s="120">
        <f t="shared" si="12"/>
        <v>0.81910759475026063</v>
      </c>
      <c r="M39" s="120">
        <f t="shared" si="13"/>
        <v>1.1349514769323452</v>
      </c>
      <c r="N39" s="222" t="str">
        <f>Geometry!N31</f>
        <v>n</v>
      </c>
      <c r="P39" s="120">
        <f t="shared" si="14"/>
        <v>0</v>
      </c>
      <c r="Q39" s="223" cm="1">
        <f t="array" ref="Q39">IF($AC$4="EC",(1-(6*(I39+K39-J39))/(MIN(G39:H39)*(1+(MAX(G39:H39^1.5/MIN(G39:H39)^1.5))))),(1-(6*(I39+IF(OR(N39="b",N39="o"),0,K39)-J39)/(MIN(G39:H39)*(1+(MAX(G39:H39^1.5/MIN(G39:H39)^1.5)))))))</f>
        <v>0.81910759475026063</v>
      </c>
      <c r="R39" s="223">
        <f t="shared" si="15"/>
        <v>0</v>
      </c>
      <c r="S39" s="223">
        <f t="shared" si="16"/>
        <v>0.81910759475026063</v>
      </c>
      <c r="T39" s="223" cm="1">
        <f t="array" ref="T39">IF($AC$4="EC",(1+(6*(I39+J39-K39))/(MIN(G39:H39)*(1+(MAX(G39:H39^1.5/MIN(G39:H39)^1.5))))),(1+(6*(I39+J39-IF(OR(N39="i",N39="b"),0,K39)))/(MIN(G39:H39)*(1+(MAX(G39:H39^1.5/MIN(G39:H39)^1.5))))))</f>
        <v>1.1349514769323452</v>
      </c>
      <c r="U39" s="223">
        <f t="shared" si="17"/>
        <v>0</v>
      </c>
      <c r="V39" s="223">
        <f t="shared" si="18"/>
        <v>1.1349514769323452</v>
      </c>
    </row>
    <row r="40" spans="3:22">
      <c r="C40" s="12" t="str">
        <f t="shared" si="3"/>
        <v>CW6</v>
      </c>
      <c r="D40" s="2">
        <f t="shared" si="4"/>
        <v>-17.899999999999999</v>
      </c>
      <c r="E40" s="3">
        <f t="shared" si="5"/>
        <v>8.4847999999999999</v>
      </c>
      <c r="F40" s="3">
        <f t="shared" si="6"/>
        <v>7.3326266252715655E-4</v>
      </c>
      <c r="G40" s="3">
        <f t="shared" si="7"/>
        <v>96</v>
      </c>
      <c r="H40" s="4">
        <f t="shared" si="8"/>
        <v>92</v>
      </c>
      <c r="I40" s="3">
        <f t="shared" si="9"/>
        <v>2</v>
      </c>
      <c r="J40" s="120">
        <f t="shared" si="10"/>
        <v>4</v>
      </c>
      <c r="K40" s="120">
        <f t="shared" si="11"/>
        <v>4.6000000000000005</v>
      </c>
      <c r="L40" s="120">
        <f t="shared" si="12"/>
        <v>0.91792270893124872</v>
      </c>
      <c r="M40" s="120">
        <f t="shared" si="13"/>
        <v>1.0441954644216354</v>
      </c>
      <c r="N40" s="222" t="str">
        <f>Geometry!N32</f>
        <v>n</v>
      </c>
      <c r="P40" s="120">
        <f t="shared" si="14"/>
        <v>0</v>
      </c>
      <c r="Q40" s="223" cm="1">
        <f t="array" ref="Q40">IF($AC$4="EC",(1-(6*(I40+K40-J40))/(MIN(G40:H40)*(1+(MAX(G40:H40^1.5/MIN(G40:H40)^1.5))))),(1-(6*(I40+IF(OR(N40="b",N40="o"),0,K40)-J40)/(MIN(G40:H40)*(1+(MAX(G40:H40^1.5/MIN(G40:H40)^1.5)))))))</f>
        <v>0.91792270893124872</v>
      </c>
      <c r="R40" s="223">
        <f t="shared" si="15"/>
        <v>0</v>
      </c>
      <c r="S40" s="223">
        <f t="shared" si="16"/>
        <v>0.91792270893124872</v>
      </c>
      <c r="T40" s="223" cm="1">
        <f t="array" ref="T40">IF($AC$4="EC",(1+(6*(I40+J40-K40))/(MIN(G40:H40)*(1+(MAX(G40:H40^1.5/MIN(G40:H40)^1.5))))),(1+(6*(I40+J40-IF(OR(N40="i",N40="b"),0,K40)))/(MIN(G40:H40)*(1+(MAX(G40:H40^1.5/MIN(G40:H40)^1.5))))))</f>
        <v>1.0441954644216354</v>
      </c>
      <c r="U40" s="223">
        <f t="shared" si="17"/>
        <v>0</v>
      </c>
      <c r="V40" s="223">
        <f t="shared" si="18"/>
        <v>1.0441954644216354</v>
      </c>
    </row>
    <row r="41" spans="3:22">
      <c r="C41" s="12" t="str">
        <f t="shared" si="3"/>
        <v>CW7</v>
      </c>
      <c r="D41" s="2">
        <f t="shared" si="4"/>
        <v>-21.8</v>
      </c>
      <c r="E41" s="3">
        <f t="shared" si="5"/>
        <v>8.8131000000000004</v>
      </c>
      <c r="F41" s="3">
        <f t="shared" si="6"/>
        <v>2.6645352591003757E-15</v>
      </c>
      <c r="G41" s="3">
        <f t="shared" si="7"/>
        <v>92</v>
      </c>
      <c r="H41" s="4">
        <f t="shared" si="8"/>
        <v>92</v>
      </c>
      <c r="I41" s="3">
        <f t="shared" si="9"/>
        <v>0</v>
      </c>
      <c r="J41" s="120">
        <f t="shared" si="10"/>
        <v>4</v>
      </c>
      <c r="K41" s="120">
        <f t="shared" si="11"/>
        <v>4.6000000000000005</v>
      </c>
      <c r="L41" s="120">
        <f t="shared" si="12"/>
        <v>0.98043478260869565</v>
      </c>
      <c r="M41" s="120">
        <f t="shared" si="13"/>
        <v>0.98043478260869565</v>
      </c>
      <c r="N41" s="222" t="str">
        <f>Geometry!N33</f>
        <v>n</v>
      </c>
      <c r="P41" s="120">
        <f t="shared" si="14"/>
        <v>0</v>
      </c>
      <c r="Q41" s="223" cm="1">
        <f t="array" ref="Q41">IF($AC$4="EC",(1-(6*(I41+K41-J41))/(MIN(G41:H41)*(1+(MAX(G41:H41^1.5/MIN(G41:H41)^1.5))))),(1-(6*(I41+IF(OR(N41="b",N41="o"),0,K41)-J41)/(MIN(G41:H41)*(1+(MAX(G41:H41^1.5/MIN(G41:H41)^1.5)))))))</f>
        <v>0.98043478260869565</v>
      </c>
      <c r="R41" s="223">
        <f t="shared" si="15"/>
        <v>0</v>
      </c>
      <c r="S41" s="223">
        <f t="shared" si="16"/>
        <v>0.98043478260869565</v>
      </c>
      <c r="T41" s="223" cm="1">
        <f t="array" ref="T41">IF($AC$4="EC",(1+(6*(I41+J41-K41))/(MIN(G41:H41)*(1+(MAX(G41:H41^1.5/MIN(G41:H41)^1.5))))),(1+(6*(I41+J41-IF(OR(N41="i",N41="b"),0,K41)))/(MIN(G41:H41)*(1+(MAX(G41:H41^1.5/MIN(G41:H41)^1.5))))))</f>
        <v>0.98043478260869565</v>
      </c>
      <c r="U41" s="223">
        <f t="shared" si="17"/>
        <v>0</v>
      </c>
      <c r="V41" s="223">
        <f t="shared" si="18"/>
        <v>0.98043478260869565</v>
      </c>
    </row>
    <row r="42" spans="3:22">
      <c r="C42" s="12" t="str">
        <f t="shared" si="3"/>
        <v>CW8</v>
      </c>
      <c r="D42" s="2">
        <f t="shared" si="4"/>
        <v>-25.7</v>
      </c>
      <c r="E42" s="3">
        <f t="shared" si="5"/>
        <v>9.1414000000000009</v>
      </c>
      <c r="F42" s="3">
        <f t="shared" si="6"/>
        <v>1.5543122344752192E-14</v>
      </c>
      <c r="G42" s="3">
        <f t="shared" si="7"/>
        <v>92</v>
      </c>
      <c r="H42" s="4">
        <f t="shared" si="8"/>
        <v>92</v>
      </c>
      <c r="I42" s="3">
        <f t="shared" si="9"/>
        <v>0</v>
      </c>
      <c r="J42" s="120">
        <f t="shared" si="10"/>
        <v>4</v>
      </c>
      <c r="K42" s="120">
        <f t="shared" si="11"/>
        <v>4.6000000000000005</v>
      </c>
      <c r="L42" s="120">
        <f t="shared" si="12"/>
        <v>0.98043478260869565</v>
      </c>
      <c r="M42" s="120">
        <f t="shared" si="13"/>
        <v>0.98043478260869565</v>
      </c>
      <c r="N42" s="222" t="str">
        <f>Geometry!N34</f>
        <v>n</v>
      </c>
      <c r="P42" s="120">
        <f t="shared" si="14"/>
        <v>0</v>
      </c>
      <c r="Q42" s="223" cm="1">
        <f t="array" ref="Q42">IF($AC$4="EC",(1-(6*(I42+K42-J42))/(MIN(G42:H42)*(1+(MAX(G42:H42^1.5/MIN(G42:H42)^1.5))))),(1-(6*(I42+IF(OR(N42="b",N42="o"),0,K42)-J42)/(MIN(G42:H42)*(1+(MAX(G42:H42^1.5/MIN(G42:H42)^1.5)))))))</f>
        <v>0.98043478260869565</v>
      </c>
      <c r="R42" s="223">
        <f t="shared" si="15"/>
        <v>0</v>
      </c>
      <c r="S42" s="223">
        <f t="shared" si="16"/>
        <v>0.98043478260869565</v>
      </c>
      <c r="T42" s="223" cm="1">
        <f t="array" ref="T42">IF($AC$4="EC",(1+(6*(I42+J42-K42))/(MIN(G42:H42)*(1+(MAX(G42:H42^1.5/MIN(G42:H42)^1.5))))),(1+(6*(I42+J42-IF(OR(N42="i",N42="b"),0,K42)))/(MIN(G42:H42)*(1+(MAX(G42:H42^1.5/MIN(G42:H42)^1.5))))))</f>
        <v>0.98043478260869565</v>
      </c>
      <c r="U42" s="223">
        <f t="shared" si="17"/>
        <v>0</v>
      </c>
      <c r="V42" s="223">
        <f t="shared" si="18"/>
        <v>0.98043478260869565</v>
      </c>
    </row>
    <row r="43" spans="3:22">
      <c r="C43" s="12" t="str">
        <f t="shared" si="3"/>
        <v>CW9</v>
      </c>
      <c r="D43" s="2">
        <f t="shared" si="4"/>
        <v>-29.6</v>
      </c>
      <c r="E43" s="3">
        <f t="shared" si="5"/>
        <v>9.4696999999999996</v>
      </c>
      <c r="F43" s="3">
        <f t="shared" si="6"/>
        <v>1.4665087042359026E-2</v>
      </c>
      <c r="G43" s="3">
        <f t="shared" si="7"/>
        <v>92</v>
      </c>
      <c r="H43" s="4">
        <f t="shared" si="8"/>
        <v>92</v>
      </c>
      <c r="I43" s="3">
        <f t="shared" si="9"/>
        <v>0</v>
      </c>
      <c r="J43" s="120">
        <f t="shared" si="10"/>
        <v>4</v>
      </c>
      <c r="K43" s="120">
        <f t="shared" si="11"/>
        <v>4.6000000000000005</v>
      </c>
      <c r="L43" s="120">
        <f t="shared" si="12"/>
        <v>0.98043478260869565</v>
      </c>
      <c r="M43" s="120">
        <f t="shared" si="13"/>
        <v>0.98043478260869565</v>
      </c>
      <c r="N43" s="222" t="str">
        <f>Geometry!N35</f>
        <v>n</v>
      </c>
      <c r="P43" s="120">
        <f t="shared" si="14"/>
        <v>0</v>
      </c>
      <c r="Q43" s="223" cm="1">
        <f t="array" ref="Q43">IF($AC$4="EC",(1-(6*(I43+K43-J43))/(MIN(G43:H43)*(1+(MAX(G43:H43^1.5/MIN(G43:H43)^1.5))))),(1-(6*(I43+IF(OR(N43="b",N43="o"),0,K43)-J43)/(MIN(G43:H43)*(1+(MAX(G43:H43^1.5/MIN(G43:H43)^1.5)))))))</f>
        <v>0.98043478260869565</v>
      </c>
      <c r="R43" s="223">
        <f t="shared" si="15"/>
        <v>0</v>
      </c>
      <c r="S43" s="223">
        <f t="shared" si="16"/>
        <v>0.98043478260869565</v>
      </c>
      <c r="T43" s="223" cm="1">
        <f t="array" ref="T43">IF($AC$4="EC",(1+(6*(I43+J43-K43))/(MIN(G43:H43)*(1+(MAX(G43:H43^1.5/MIN(G43:H43)^1.5))))),(1+(6*(I43+J43-IF(OR(N43="i",N43="b"),0,K43)))/(MIN(G43:H43)*(1+(MAX(G43:H43^1.5/MIN(G43:H43)^1.5))))))</f>
        <v>0.98043478260869565</v>
      </c>
      <c r="U43" s="223">
        <f t="shared" si="17"/>
        <v>0</v>
      </c>
      <c r="V43" s="223">
        <f t="shared" si="18"/>
        <v>0.98043478260869565</v>
      </c>
    </row>
    <row r="44" spans="3:22">
      <c r="C44" s="12" t="str">
        <f t="shared" si="3"/>
        <v>CW10</v>
      </c>
      <c r="D44" s="2">
        <f t="shared" si="4"/>
        <v>-33.5</v>
      </c>
      <c r="E44" s="3">
        <f t="shared" si="5"/>
        <v>9.8000000000000007</v>
      </c>
      <c r="F44" s="3">
        <f t="shared" si="6"/>
        <v>2.4248072009611419</v>
      </c>
      <c r="G44" s="3">
        <f t="shared" si="7"/>
        <v>92</v>
      </c>
      <c r="H44" s="4">
        <f t="shared" si="8"/>
        <v>92</v>
      </c>
      <c r="I44" s="3">
        <f t="shared" si="9"/>
        <v>0</v>
      </c>
      <c r="J44" s="120">
        <f t="shared" si="10"/>
        <v>4</v>
      </c>
      <c r="K44" s="120">
        <f t="shared" si="11"/>
        <v>4.6000000000000005</v>
      </c>
      <c r="L44" s="120">
        <f t="shared" si="12"/>
        <v>1</v>
      </c>
      <c r="M44" s="120">
        <f t="shared" si="13"/>
        <v>1.370850905185665</v>
      </c>
      <c r="N44" s="222" t="str">
        <f>Geometry!N36</f>
        <v>i</v>
      </c>
      <c r="P44" s="120" t="str">
        <f t="shared" si="14"/>
        <v>cv</v>
      </c>
      <c r="Q44" s="223" cm="1">
        <f t="array" ref="Q44">IF($AC$4="EC",(1-(6*(I44+K44-J44))/(MIN(G44:H44)*(1+(MAX(G44:H44^1.5/MIN(G44:H44)^1.5))))),(1-(6*(I44+IF(OR(N44="b",N44="o"),0,K44)-J44)/(MIN(G44:H44)*(1+(MAX(G44:H44^1.5/MIN(G44:H44)^1.5)))))))</f>
        <v>0.98043478260869565</v>
      </c>
      <c r="R44" s="223">
        <f t="shared" si="15"/>
        <v>1</v>
      </c>
      <c r="S44" s="223">
        <f t="shared" si="16"/>
        <v>1</v>
      </c>
      <c r="T44" s="223" cm="1">
        <f t="array" ref="T44">IF($AC$4="EC",(1+(6*(I44+J44-K44))/(MIN(G44:H44)*(1+(MAX(G44:H44^1.5/MIN(G44:H44)^1.5))))),(1+(6*(I44+J44-IF(OR(N44="i",N44="b"),0,K44)))/(MIN(G44:H44)*(1+(MAX(G44:H44^1.5/MIN(G44:H44)^1.5))))))</f>
        <v>0.98043478260869565</v>
      </c>
      <c r="U44" s="223">
        <f t="shared" si="17"/>
        <v>1.370850905185665</v>
      </c>
      <c r="V44" s="223">
        <f t="shared" si="18"/>
        <v>1.370850905185665</v>
      </c>
    </row>
    <row r="45" spans="3:22">
      <c r="C45" s="12" t="str">
        <f t="shared" si="3"/>
        <v>CW11</v>
      </c>
      <c r="D45" s="2">
        <f t="shared" si="4"/>
        <v>-36.799999999999997</v>
      </c>
      <c r="E45" s="3">
        <f t="shared" si="5"/>
        <v>9.8000000000000007</v>
      </c>
      <c r="F45" s="3">
        <f t="shared" si="6"/>
        <v>0</v>
      </c>
      <c r="G45" s="3">
        <f t="shared" si="7"/>
        <v>92</v>
      </c>
      <c r="H45" s="4">
        <f t="shared" si="8"/>
        <v>92</v>
      </c>
      <c r="I45" s="3">
        <f t="shared" si="9"/>
        <v>0</v>
      </c>
      <c r="J45" s="120">
        <f t="shared" si="10"/>
        <v>4</v>
      </c>
      <c r="K45" s="120">
        <f t="shared" si="11"/>
        <v>4.6000000000000005</v>
      </c>
      <c r="L45" s="120">
        <f t="shared" si="12"/>
        <v>0.98043478260869565</v>
      </c>
      <c r="M45" s="120">
        <f t="shared" si="13"/>
        <v>0.98043478260869565</v>
      </c>
      <c r="N45" s="222" t="str">
        <f>Geometry!N37</f>
        <v>n</v>
      </c>
      <c r="P45" s="120">
        <f t="shared" si="14"/>
        <v>0</v>
      </c>
      <c r="Q45" s="223" cm="1">
        <f t="array" ref="Q45">IF($AC$4="EC",(1-(6*(I45+K45-J45))/(MIN(G45:H45)*(1+(MAX(G45:H45^1.5/MIN(G45:H45)^1.5))))),(1-(6*(I45+IF(OR(N45="b",N45="o"),0,K45)-J45)/(MIN(G45:H45)*(1+(MAX(G45:H45^1.5/MIN(G45:H45)^1.5)))))))</f>
        <v>0.98043478260869565</v>
      </c>
      <c r="R45" s="223">
        <f t="shared" si="15"/>
        <v>0</v>
      </c>
      <c r="S45" s="223">
        <f t="shared" si="16"/>
        <v>0.98043478260869565</v>
      </c>
      <c r="T45" s="223" cm="1">
        <f t="array" ref="T45">IF($AC$4="EC",(1+(6*(I45+J45-K45))/(MIN(G45:H45)*(1+(MAX(G45:H45^1.5/MIN(G45:H45)^1.5))))),(1+(6*(I45+J45-IF(OR(N45="i",N45="b"),0,K45)))/(MIN(G45:H45)*(1+(MAX(G45:H45^1.5/MIN(G45:H45)^1.5))))))</f>
        <v>0.98043478260869565</v>
      </c>
      <c r="U45" s="223">
        <f t="shared" si="17"/>
        <v>0</v>
      </c>
      <c r="V45" s="223">
        <f t="shared" si="18"/>
        <v>0.98043478260869565</v>
      </c>
    </row>
    <row r="46" spans="3:22">
      <c r="C46" s="12" t="str">
        <f t="shared" si="3"/>
        <v>CW12</v>
      </c>
      <c r="D46" s="2">
        <f t="shared" si="4"/>
        <v>-40.200000000000003</v>
      </c>
      <c r="E46" s="3">
        <f t="shared" si="5"/>
        <v>9.8000000000000007</v>
      </c>
      <c r="F46" s="3">
        <f t="shared" si="6"/>
        <v>0</v>
      </c>
      <c r="G46" s="3">
        <f t="shared" si="7"/>
        <v>92</v>
      </c>
      <c r="H46" s="4">
        <f t="shared" si="8"/>
        <v>101</v>
      </c>
      <c r="I46" s="3">
        <f t="shared" si="9"/>
        <v>4.5</v>
      </c>
      <c r="J46" s="120">
        <f t="shared" si="10"/>
        <v>4</v>
      </c>
      <c r="K46" s="120">
        <f t="shared" si="11"/>
        <v>4.6000000000000005</v>
      </c>
      <c r="L46" s="120">
        <f t="shared" si="12"/>
        <v>0.84531780662017386</v>
      </c>
      <c r="M46" s="120">
        <f t="shared" si="13"/>
        <v>1.1182863831728083</v>
      </c>
      <c r="N46" s="222" t="str">
        <f>Geometry!N38</f>
        <v>n</v>
      </c>
      <c r="P46" s="120">
        <f t="shared" si="14"/>
        <v>0</v>
      </c>
      <c r="Q46" s="223" cm="1">
        <f t="array" ref="Q46">IF($AC$4="EC",(1-(6*(I46+K46-J46))/(MIN(G46:H46)*(1+(MAX(G46:H46^1.5/MIN(G46:H46)^1.5))))),(1-(6*(I46+IF(OR(N46="b",N46="o"),0,K46)-J46)/(MIN(G46:H46)*(1+(MAX(G46:H46^1.5/MIN(G46:H46)^1.5)))))))</f>
        <v>0.84531780662017386</v>
      </c>
      <c r="R46" s="223">
        <f t="shared" si="15"/>
        <v>0</v>
      </c>
      <c r="S46" s="223">
        <f t="shared" si="16"/>
        <v>0.84531780662017386</v>
      </c>
      <c r="T46" s="223" cm="1">
        <f t="array" ref="T46">IF($AC$4="EC",(1+(6*(I46+J46-K46))/(MIN(G46:H46)*(1+(MAX(G46:H46^1.5/MIN(G46:H46)^1.5))))),(1+(6*(I46+J46-IF(OR(N46="i",N46="b"),0,K46)))/(MIN(G46:H46)*(1+(MAX(G46:H46^1.5/MIN(G46:H46)^1.5))))))</f>
        <v>1.1182863831728083</v>
      </c>
      <c r="U46" s="223">
        <f t="shared" si="17"/>
        <v>0</v>
      </c>
      <c r="V46" s="223">
        <f t="shared" si="18"/>
        <v>1.1182863831728083</v>
      </c>
    </row>
    <row r="47" spans="3:22">
      <c r="C47" s="12" t="str">
        <f t="shared" si="3"/>
        <v>CW13</v>
      </c>
      <c r="D47" s="2">
        <f t="shared" si="4"/>
        <v>-43.8</v>
      </c>
      <c r="E47" s="3">
        <f t="shared" si="5"/>
        <v>9.8000000000000007</v>
      </c>
      <c r="F47" s="3">
        <f t="shared" si="6"/>
        <v>0</v>
      </c>
      <c r="G47" s="3">
        <f t="shared" si="7"/>
        <v>101</v>
      </c>
      <c r="H47" s="4">
        <f t="shared" si="8"/>
        <v>92</v>
      </c>
      <c r="I47" s="3">
        <f t="shared" si="9"/>
        <v>4.5</v>
      </c>
      <c r="J47" s="120">
        <f t="shared" si="10"/>
        <v>4</v>
      </c>
      <c r="K47" s="120">
        <f t="shared" si="11"/>
        <v>4.6000000000000005</v>
      </c>
      <c r="L47" s="120">
        <f t="shared" si="12"/>
        <v>0.84531780662017386</v>
      </c>
      <c r="M47" s="120">
        <f t="shared" si="13"/>
        <v>1.1182863831728083</v>
      </c>
      <c r="N47" s="222" t="str">
        <f>Geometry!N39</f>
        <v>n</v>
      </c>
      <c r="P47" s="120">
        <f t="shared" si="14"/>
        <v>0</v>
      </c>
      <c r="Q47" s="223" cm="1">
        <f t="array" ref="Q47">IF($AC$4="EC",(1-(6*(I47+K47-J47))/(MIN(G47:H47)*(1+(MAX(G47:H47^1.5/MIN(G47:H47)^1.5))))),(1-(6*(I47+IF(OR(N47="b",N47="o"),0,K47)-J47)/(MIN(G47:H47)*(1+(MAX(G47:H47^1.5/MIN(G47:H47)^1.5)))))))</f>
        <v>0.84531780662017386</v>
      </c>
      <c r="R47" s="223">
        <f t="shared" si="15"/>
        <v>0</v>
      </c>
      <c r="S47" s="223">
        <f t="shared" si="16"/>
        <v>0.84531780662017386</v>
      </c>
      <c r="T47" s="223" cm="1">
        <f t="array" ref="T47">IF($AC$4="EC",(1+(6*(I47+J47-K47))/(MIN(G47:H47)*(1+(MAX(G47:H47^1.5/MIN(G47:H47)^1.5))))),(1+(6*(I47+J47-IF(OR(N47="i",N47="b"),0,K47)))/(MIN(G47:H47)*(1+(MAX(G47:H47^1.5/MIN(G47:H47)^1.5))))))</f>
        <v>1.1182863831728083</v>
      </c>
      <c r="U47" s="223">
        <f t="shared" si="17"/>
        <v>0</v>
      </c>
      <c r="V47" s="223">
        <f t="shared" si="18"/>
        <v>1.1182863831728083</v>
      </c>
    </row>
    <row r="48" spans="3:22">
      <c r="C48" s="12" t="str">
        <f t="shared" si="3"/>
        <v>CW14</v>
      </c>
      <c r="D48" s="2">
        <f t="shared" si="4"/>
        <v>-47.8</v>
      </c>
      <c r="E48" s="3">
        <f t="shared" si="5"/>
        <v>9.8000000000000007</v>
      </c>
      <c r="F48" s="3">
        <f t="shared" si="6"/>
        <v>0</v>
      </c>
      <c r="G48" s="3">
        <f t="shared" si="7"/>
        <v>92</v>
      </c>
      <c r="H48" s="4">
        <f t="shared" si="8"/>
        <v>90</v>
      </c>
      <c r="I48" s="3">
        <f t="shared" si="9"/>
        <v>1</v>
      </c>
      <c r="J48" s="120">
        <f t="shared" si="10"/>
        <v>4</v>
      </c>
      <c r="K48" s="120">
        <f t="shared" si="11"/>
        <v>4.5</v>
      </c>
      <c r="L48" s="120">
        <f t="shared" si="12"/>
        <v>0.95082413435646018</v>
      </c>
      <c r="M48" s="120">
        <f t="shared" si="13"/>
        <v>1.0163919552145133</v>
      </c>
      <c r="N48" s="222" t="str">
        <f>Geometry!N40</f>
        <v>n</v>
      </c>
      <c r="P48" s="120">
        <f t="shared" si="14"/>
        <v>0</v>
      </c>
      <c r="Q48" s="223" cm="1">
        <f t="array" ref="Q48">IF($AC$4="EC",(1-(6*(I48+K48-J48))/(MIN(G48:H48)*(1+(MAX(G48:H48^1.5/MIN(G48:H48)^1.5))))),(1-(6*(I48+IF(OR(N48="b",N48="o"),0,K48)-J48)/(MIN(G48:H48)*(1+(MAX(G48:H48^1.5/MIN(G48:H48)^1.5)))))))</f>
        <v>0.95082413435646018</v>
      </c>
      <c r="R48" s="223">
        <f t="shared" si="15"/>
        <v>0</v>
      </c>
      <c r="S48" s="223">
        <f t="shared" si="16"/>
        <v>0.95082413435646018</v>
      </c>
      <c r="T48" s="223" cm="1">
        <f t="array" ref="T48">IF($AC$4="EC",(1+(6*(I48+J48-K48))/(MIN(G48:H48)*(1+(MAX(G48:H48^1.5/MIN(G48:H48)^1.5))))),(1+(6*(I48+J48-IF(OR(N48="i",N48="b"),0,K48)))/(MIN(G48:H48)*(1+(MAX(G48:H48^1.5/MIN(G48:H48)^1.5))))))</f>
        <v>1.0163919552145133</v>
      </c>
      <c r="U48" s="223">
        <f t="shared" si="17"/>
        <v>0</v>
      </c>
      <c r="V48" s="223">
        <f t="shared" si="18"/>
        <v>1.0163919552145133</v>
      </c>
    </row>
    <row r="49" spans="2:37">
      <c r="C49" s="12" t="str">
        <f t="shared" si="3"/>
        <v>CW15</v>
      </c>
      <c r="D49" s="2">
        <f t="shared" si="4"/>
        <v>-51.8</v>
      </c>
      <c r="E49" s="3">
        <f t="shared" si="5"/>
        <v>9.8000000000000007</v>
      </c>
      <c r="F49" s="3">
        <f t="shared" si="6"/>
        <v>0</v>
      </c>
      <c r="G49" s="3">
        <f t="shared" si="7"/>
        <v>90</v>
      </c>
      <c r="H49" s="4">
        <f t="shared" si="8"/>
        <v>80</v>
      </c>
      <c r="I49" s="3">
        <f t="shared" si="9"/>
        <v>5</v>
      </c>
      <c r="J49" s="120">
        <f t="shared" si="10"/>
        <v>4</v>
      </c>
      <c r="K49" s="120">
        <f t="shared" si="11"/>
        <v>4</v>
      </c>
      <c r="L49" s="120">
        <f t="shared" si="12"/>
        <v>0.82902028984128395</v>
      </c>
      <c r="M49" s="120">
        <f t="shared" si="13"/>
        <v>1.170979710158716</v>
      </c>
      <c r="N49" s="222" t="str">
        <f>Geometry!N41</f>
        <v>i</v>
      </c>
      <c r="P49" s="120">
        <f t="shared" si="14"/>
        <v>0</v>
      </c>
      <c r="Q49" s="223" cm="1">
        <f t="array" ref="Q49">IF($AC$4="EC",(1-(6*(I49+K49-J49))/(MIN(G49:H49)*(1+(MAX(G49:H49^1.5/MIN(G49:H49)^1.5))))),(1-(6*(I49+IF(OR(N49="b",N49="o"),0,K49)-J49)/(MIN(G49:H49)*(1+(MAX(G49:H49^1.5/MIN(G49:H49)^1.5)))))))</f>
        <v>0.82902028984128395</v>
      </c>
      <c r="R49" s="223">
        <f t="shared" si="15"/>
        <v>0</v>
      </c>
      <c r="S49" s="223">
        <f t="shared" si="16"/>
        <v>0.82902028984128395</v>
      </c>
      <c r="T49" s="223" cm="1">
        <f t="array" ref="T49">IF($AC$4="EC",(1+(6*(I49+J49-K49))/(MIN(G49:H49)*(1+(MAX(G49:H49^1.5/MIN(G49:H49)^1.5))))),(1+(6*(I49+J49-IF(OR(N49="i",N49="b"),0,K49)))/(MIN(G49:H49)*(1+(MAX(G49:H49^1.5/MIN(G49:H49)^1.5))))))</f>
        <v>1.170979710158716</v>
      </c>
      <c r="U49" s="223">
        <f t="shared" si="17"/>
        <v>0</v>
      </c>
      <c r="V49" s="223">
        <f t="shared" si="18"/>
        <v>1.170979710158716</v>
      </c>
    </row>
    <row r="50" spans="2:37">
      <c r="C50" s="12" t="str">
        <f t="shared" si="3"/>
        <v>CW16</v>
      </c>
      <c r="D50" s="2">
        <f t="shared" si="4"/>
        <v>-55.8</v>
      </c>
      <c r="E50" s="3">
        <f t="shared" si="5"/>
        <v>9.8000000000000007</v>
      </c>
      <c r="F50" s="3">
        <f t="shared" si="6"/>
        <v>0</v>
      </c>
      <c r="G50" s="3">
        <f t="shared" si="7"/>
        <v>80</v>
      </c>
      <c r="H50" s="4">
        <f t="shared" si="8"/>
        <v>80</v>
      </c>
      <c r="I50" s="3">
        <f t="shared" si="9"/>
        <v>0</v>
      </c>
      <c r="J50" s="120">
        <f t="shared" si="10"/>
        <v>4</v>
      </c>
      <c r="K50" s="120">
        <f t="shared" si="11"/>
        <v>4</v>
      </c>
      <c r="L50" s="120">
        <f t="shared" si="12"/>
        <v>1</v>
      </c>
      <c r="M50" s="120">
        <f t="shared" si="13"/>
        <v>1</v>
      </c>
      <c r="N50" s="222" t="str">
        <f>Geometry!N42</f>
        <v>b</v>
      </c>
      <c r="P50" s="120">
        <f t="shared" si="14"/>
        <v>0</v>
      </c>
      <c r="Q50" s="223" cm="1">
        <f t="array" ref="Q50">IF($AC$4="EC",(1-(6*(I50+K50-J50))/(MIN(G50:H50)*(1+(MAX(G50:H50^1.5/MIN(G50:H50)^1.5))))),(1-(6*(I50+IF(OR(N50="b",N50="o"),0,K50)-J50)/(MIN(G50:H50)*(1+(MAX(G50:H50^1.5/MIN(G50:H50)^1.5)))))))</f>
        <v>1</v>
      </c>
      <c r="R50" s="223">
        <f t="shared" si="15"/>
        <v>0</v>
      </c>
      <c r="S50" s="223">
        <f t="shared" si="16"/>
        <v>1</v>
      </c>
      <c r="T50" s="223" cm="1">
        <f t="array" ref="T50">IF($AC$4="EC",(1+(6*(I50+J50-K50))/(MIN(G50:H50)*(1+(MAX(G50:H50^1.5/MIN(G50:H50)^1.5))))),(1+(6*(I50+J50-IF(OR(N50="i",N50="b"),0,K50)))/(MIN(G50:H50)*(1+(MAX(G50:H50^1.5/MIN(G50:H50)^1.5))))))</f>
        <v>1</v>
      </c>
      <c r="U50" s="223">
        <f t="shared" si="17"/>
        <v>0</v>
      </c>
      <c r="V50" s="223">
        <f t="shared" si="18"/>
        <v>1</v>
      </c>
    </row>
    <row r="51" spans="2:37">
      <c r="C51" s="12" t="str">
        <f t="shared" si="3"/>
        <v>CW17</v>
      </c>
      <c r="D51" s="2">
        <f t="shared" si="4"/>
        <v>-59.8</v>
      </c>
      <c r="E51" s="3">
        <f t="shared" si="5"/>
        <v>9.8000000000000007</v>
      </c>
      <c r="F51" s="3">
        <f t="shared" si="6"/>
        <v>0</v>
      </c>
      <c r="G51" s="3">
        <f t="shared" si="7"/>
        <v>80</v>
      </c>
      <c r="H51" s="4">
        <f t="shared" si="8"/>
        <v>80</v>
      </c>
      <c r="I51" s="3">
        <f t="shared" si="9"/>
        <v>0</v>
      </c>
      <c r="J51" s="120">
        <f t="shared" si="10"/>
        <v>4</v>
      </c>
      <c r="K51" s="120">
        <f t="shared" si="11"/>
        <v>4</v>
      </c>
      <c r="L51" s="120">
        <f t="shared" si="12"/>
        <v>1</v>
      </c>
      <c r="M51" s="120">
        <f t="shared" si="13"/>
        <v>1</v>
      </c>
      <c r="N51" s="222" t="str">
        <f>Geometry!N43</f>
        <v>b</v>
      </c>
      <c r="P51" s="120">
        <f t="shared" si="14"/>
        <v>0</v>
      </c>
      <c r="Q51" s="223" cm="1">
        <f t="array" ref="Q51">IF($AC$4="EC",(1-(6*(I51+K51-J51))/(MIN(G51:H51)*(1+(MAX(G51:H51^1.5/MIN(G51:H51)^1.5))))),(1-(6*(I51+IF(OR(N51="b",N51="o"),0,K51)-J51)/(MIN(G51:H51)*(1+(MAX(G51:H51^1.5/MIN(G51:H51)^1.5)))))))</f>
        <v>1</v>
      </c>
      <c r="R51" s="223">
        <f t="shared" si="15"/>
        <v>0</v>
      </c>
      <c r="S51" s="223">
        <f t="shared" si="16"/>
        <v>1</v>
      </c>
      <c r="T51" s="223" cm="1">
        <f t="array" ref="T51">IF($AC$4="EC",(1+(6*(I51+J51-K51))/(MIN(G51:H51)*(1+(MAX(G51:H51^1.5/MIN(G51:H51)^1.5))))),(1+(6*(I51+J51-IF(OR(N51="i",N51="b"),0,K51)))/(MIN(G51:H51)*(1+(MAX(G51:H51^1.5/MIN(G51:H51)^1.5))))))</f>
        <v>1</v>
      </c>
      <c r="U51" s="223">
        <f t="shared" si="17"/>
        <v>0</v>
      </c>
      <c r="V51" s="223">
        <f t="shared" si="18"/>
        <v>1</v>
      </c>
    </row>
    <row r="52" spans="2:37">
      <c r="C52" s="12" t="str">
        <f t="shared" si="3"/>
        <v>CW18</v>
      </c>
      <c r="D52" s="2">
        <f t="shared" si="4"/>
        <v>-63.8</v>
      </c>
      <c r="E52" s="3">
        <f t="shared" si="5"/>
        <v>9.8000000000000007</v>
      </c>
      <c r="F52" s="3">
        <f t="shared" si="6"/>
        <v>0</v>
      </c>
      <c r="G52" s="3">
        <f t="shared" si="7"/>
        <v>80</v>
      </c>
      <c r="H52" s="4">
        <f t="shared" si="8"/>
        <v>80</v>
      </c>
      <c r="I52" s="3">
        <f t="shared" si="9"/>
        <v>0</v>
      </c>
      <c r="J52" s="120">
        <f t="shared" si="10"/>
        <v>4</v>
      </c>
      <c r="K52" s="120">
        <f t="shared" si="11"/>
        <v>4</v>
      </c>
      <c r="L52" s="120">
        <f t="shared" si="12"/>
        <v>1</v>
      </c>
      <c r="M52" s="120">
        <f t="shared" si="13"/>
        <v>1</v>
      </c>
      <c r="N52" s="222" t="str">
        <f>Geometry!N44</f>
        <v>b</v>
      </c>
      <c r="P52" s="120">
        <f t="shared" si="14"/>
        <v>0</v>
      </c>
      <c r="Q52" s="223" cm="1">
        <f t="array" ref="Q52">IF($AC$4="EC",(1-(6*(I52+K52-J52))/(MIN(G52:H52)*(1+(MAX(G52:H52^1.5/MIN(G52:H52)^1.5))))),(1-(6*(I52+IF(OR(N52="b",N52="o"),0,K52)-J52)/(MIN(G52:H52)*(1+(MAX(G52:H52^1.5/MIN(G52:H52)^1.5)))))))</f>
        <v>1</v>
      </c>
      <c r="R52" s="223">
        <f t="shared" si="15"/>
        <v>0</v>
      </c>
      <c r="S52" s="223">
        <f t="shared" si="16"/>
        <v>1</v>
      </c>
      <c r="T52" s="223" cm="1">
        <f t="array" ref="T52">IF($AC$4="EC",(1+(6*(I52+J52-K52))/(MIN(G52:H52)*(1+(MAX(G52:H52^1.5/MIN(G52:H52)^1.5))))),(1+(6*(I52+J52-IF(OR(N52="i",N52="b"),0,K52)))/(MIN(G52:H52)*(1+(MAX(G52:H52^1.5/MIN(G52:H52)^1.5))))))</f>
        <v>1</v>
      </c>
      <c r="U52" s="223">
        <f t="shared" si="17"/>
        <v>0</v>
      </c>
      <c r="V52" s="223">
        <f t="shared" si="18"/>
        <v>1</v>
      </c>
    </row>
    <row r="53" spans="2:37">
      <c r="C53" s="12" t="str">
        <f t="shared" si="3"/>
        <v>CW19</v>
      </c>
      <c r="D53" s="2">
        <f t="shared" si="4"/>
        <v>-67.8</v>
      </c>
      <c r="E53" s="3">
        <f t="shared" si="5"/>
        <v>9.8000000000000007</v>
      </c>
      <c r="F53" s="3">
        <f t="shared" si="6"/>
        <v>0</v>
      </c>
      <c r="G53" s="3">
        <f t="shared" si="7"/>
        <v>80</v>
      </c>
      <c r="H53" s="4">
        <f t="shared" si="8"/>
        <v>80</v>
      </c>
      <c r="I53" s="3">
        <f t="shared" si="9"/>
        <v>0</v>
      </c>
      <c r="J53" s="120">
        <f t="shared" si="10"/>
        <v>4</v>
      </c>
      <c r="K53" s="120">
        <f t="shared" si="11"/>
        <v>4</v>
      </c>
      <c r="L53" s="120">
        <f t="shared" si="12"/>
        <v>1</v>
      </c>
      <c r="M53" s="120">
        <f t="shared" si="13"/>
        <v>1</v>
      </c>
      <c r="N53" s="222" t="str">
        <f>Geometry!N45</f>
        <v>n</v>
      </c>
      <c r="P53" s="120">
        <f t="shared" si="14"/>
        <v>0</v>
      </c>
      <c r="Q53" s="223" cm="1">
        <f t="array" ref="Q53">IF($AC$4="EC",(1-(6*(I53+K53-J53))/(MIN(G53:H53)*(1+(MAX(G53:H53^1.5/MIN(G53:H53)^1.5))))),(1-(6*(I53+IF(OR(N53="b",N53="o"),0,K53)-J53)/(MIN(G53:H53)*(1+(MAX(G53:H53^1.5/MIN(G53:H53)^1.5)))))))</f>
        <v>1</v>
      </c>
      <c r="R53" s="223">
        <f t="shared" si="15"/>
        <v>0</v>
      </c>
      <c r="S53" s="223">
        <f t="shared" si="16"/>
        <v>1</v>
      </c>
      <c r="T53" s="223" cm="1">
        <f t="array" ref="T53">IF($AC$4="EC",(1+(6*(I53+J53-K53))/(MIN(G53:H53)*(1+(MAX(G53:H53^1.5/MIN(G53:H53)^1.5))))),(1+(6*(I53+J53-IF(OR(N53="i",N53="b"),0,K53)))/(MIN(G53:H53)*(1+(MAX(G53:H53^1.5/MIN(G53:H53)^1.5))))))</f>
        <v>1</v>
      </c>
      <c r="U53" s="223">
        <f t="shared" si="17"/>
        <v>0</v>
      </c>
      <c r="V53" s="223">
        <f t="shared" si="18"/>
        <v>1</v>
      </c>
    </row>
    <row r="54" spans="2:37">
      <c r="C54" s="12" t="str">
        <f t="shared" si="3"/>
        <v>CW20</v>
      </c>
      <c r="D54" s="2">
        <f t="shared" si="4"/>
        <v>-71.8</v>
      </c>
      <c r="E54" s="3">
        <f t="shared" si="5"/>
        <v>9.8000000000000007</v>
      </c>
      <c r="F54" s="3">
        <f t="shared" si="6"/>
        <v>0</v>
      </c>
      <c r="G54" s="3">
        <f t="shared" si="7"/>
        <v>80</v>
      </c>
      <c r="H54" s="4">
        <f t="shared" si="8"/>
        <v>87</v>
      </c>
      <c r="I54" s="3">
        <f t="shared" si="9"/>
        <v>3.5</v>
      </c>
      <c r="J54" s="120">
        <f t="shared" si="10"/>
        <v>4</v>
      </c>
      <c r="K54" s="120">
        <f t="shared" si="11"/>
        <v>4</v>
      </c>
      <c r="L54" s="120">
        <f t="shared" si="12"/>
        <v>0.87699620747970586</v>
      </c>
      <c r="M54" s="120">
        <f t="shared" si="13"/>
        <v>1.123003792520294</v>
      </c>
      <c r="N54" s="222" t="str">
        <f>Geometry!N46</f>
        <v>n</v>
      </c>
      <c r="P54" s="120">
        <f t="shared" si="14"/>
        <v>0</v>
      </c>
      <c r="Q54" s="223" cm="1">
        <f t="array" ref="Q54">IF($AC$4="EC",(1-(6*(I54+K54-J54))/(MIN(G54:H54)*(1+(MAX(G54:H54^1.5/MIN(G54:H54)^1.5))))),(1-(6*(I54+IF(OR(N54="b",N54="o"),0,K54)-J54)/(MIN(G54:H54)*(1+(MAX(G54:H54^1.5/MIN(G54:H54)^1.5)))))))</f>
        <v>0.87699620747970586</v>
      </c>
      <c r="R54" s="223">
        <f t="shared" si="15"/>
        <v>0</v>
      </c>
      <c r="S54" s="223">
        <f t="shared" si="16"/>
        <v>0.87699620747970586</v>
      </c>
      <c r="T54" s="223" cm="1">
        <f t="array" ref="T54">IF($AC$4="EC",(1+(6*(I54+J54-K54))/(MIN(G54:H54)*(1+(MAX(G54:H54^1.5/MIN(G54:H54)^1.5))))),(1+(6*(I54+J54-IF(OR(N54="i",N54="b"),0,K54)))/(MIN(G54:H54)*(1+(MAX(G54:H54^1.5/MIN(G54:H54)^1.5))))))</f>
        <v>1.123003792520294</v>
      </c>
      <c r="U54" s="223">
        <f t="shared" si="17"/>
        <v>0</v>
      </c>
      <c r="V54" s="223">
        <f t="shared" si="18"/>
        <v>1.123003792520294</v>
      </c>
    </row>
    <row r="55" spans="2:37">
      <c r="C55" s="12" t="str">
        <f t="shared" si="3"/>
        <v>CW21</v>
      </c>
      <c r="D55" s="2">
        <f t="shared" si="4"/>
        <v>-75.8</v>
      </c>
      <c r="E55" s="3">
        <f t="shared" si="5"/>
        <v>9.8000000000000007</v>
      </c>
      <c r="F55" s="3">
        <f t="shared" si="6"/>
        <v>0</v>
      </c>
      <c r="G55" s="3">
        <f t="shared" si="7"/>
        <v>87</v>
      </c>
      <c r="H55" s="4">
        <f t="shared" si="8"/>
        <v>95</v>
      </c>
      <c r="I55" s="3">
        <f t="shared" si="9"/>
        <v>4</v>
      </c>
      <c r="J55" s="120">
        <f t="shared" si="10"/>
        <v>4</v>
      </c>
      <c r="K55" s="120">
        <f t="shared" si="11"/>
        <v>4.3500000000000005</v>
      </c>
      <c r="L55" s="120">
        <f t="shared" si="12"/>
        <v>0.85988215241207833</v>
      </c>
      <c r="M55" s="120">
        <f t="shared" si="13"/>
        <v>1.1175701479760722</v>
      </c>
      <c r="N55" s="222" t="str">
        <f>Geometry!N47</f>
        <v>n</v>
      </c>
      <c r="P55" s="120">
        <f t="shared" si="14"/>
        <v>0</v>
      </c>
      <c r="Q55" s="223" cm="1">
        <f t="array" ref="Q55">IF($AC$4="EC",(1-(6*(I55+K55-J55))/(MIN(G55:H55)*(1+(MAX(G55:H55^1.5/MIN(G55:H55)^1.5))))),(1-(6*(I55+IF(OR(N55="b",N55="o"),0,K55)-J55)/(MIN(G55:H55)*(1+(MAX(G55:H55^1.5/MIN(G55:H55)^1.5)))))))</f>
        <v>0.85988215241207833</v>
      </c>
      <c r="R55" s="223">
        <f t="shared" si="15"/>
        <v>0</v>
      </c>
      <c r="S55" s="223">
        <f t="shared" si="16"/>
        <v>0.85988215241207833</v>
      </c>
      <c r="T55" s="223" cm="1">
        <f t="array" ref="T55">IF($AC$4="EC",(1+(6*(I55+J55-K55))/(MIN(G55:H55)*(1+(MAX(G55:H55^1.5/MIN(G55:H55)^1.5))))),(1+(6*(I55+J55-IF(OR(N55="i",N55="b"),0,K55)))/(MIN(G55:H55)*(1+(MAX(G55:H55^1.5/MIN(G55:H55)^1.5))))))</f>
        <v>1.1175701479760722</v>
      </c>
      <c r="U55" s="223">
        <f t="shared" si="17"/>
        <v>0</v>
      </c>
      <c r="V55" s="223">
        <f t="shared" si="18"/>
        <v>1.1175701479760722</v>
      </c>
    </row>
    <row r="56" spans="2:37">
      <c r="C56" s="12" t="str">
        <f t="shared" si="3"/>
        <v>CW22</v>
      </c>
      <c r="D56" s="2">
        <f t="shared" si="4"/>
        <v>-79.75</v>
      </c>
      <c r="E56" s="3">
        <f t="shared" si="5"/>
        <v>9.8000000000000007</v>
      </c>
      <c r="F56" s="3">
        <f t="shared" si="6"/>
        <v>0</v>
      </c>
      <c r="G56" s="3">
        <f t="shared" si="7"/>
        <v>95</v>
      </c>
      <c r="H56" s="4">
        <f t="shared" si="8"/>
        <v>105</v>
      </c>
      <c r="I56" s="3">
        <f t="shared" si="9"/>
        <v>5</v>
      </c>
      <c r="J56" s="120">
        <f t="shared" si="10"/>
        <v>4</v>
      </c>
      <c r="K56" s="120">
        <f t="shared" si="11"/>
        <v>4.75</v>
      </c>
      <c r="L56" s="120">
        <f t="shared" si="12"/>
        <v>0.83202529845837137</v>
      </c>
      <c r="M56" s="120">
        <f t="shared" si="13"/>
        <v>1.124155214182943</v>
      </c>
      <c r="N56" s="222" t="str">
        <f>Geometry!N48</f>
        <v>n</v>
      </c>
      <c r="P56" s="120">
        <f t="shared" si="14"/>
        <v>0</v>
      </c>
      <c r="Q56" s="223" cm="1">
        <f t="array" ref="Q56">IF($AC$4="EC",(1-(6*(I56+K56-J56))/(MIN(G56:H56)*(1+(MAX(G56:H56^1.5/MIN(G56:H56)^1.5))))),(1-(6*(I56+IF(OR(N56="b",N56="o"),0,K56)-J56)/(MIN(G56:H56)*(1+(MAX(G56:H56^1.5/MIN(G56:H56)^1.5)))))))</f>
        <v>0.83202529845837137</v>
      </c>
      <c r="R56" s="223">
        <f t="shared" si="15"/>
        <v>0</v>
      </c>
      <c r="S56" s="223">
        <f t="shared" si="16"/>
        <v>0.83202529845837137</v>
      </c>
      <c r="T56" s="223" cm="1">
        <f t="array" ref="T56">IF($AC$4="EC",(1+(6*(I56+J56-K56))/(MIN(G56:H56)*(1+(MAX(G56:H56^1.5/MIN(G56:H56)^1.5))))),(1+(6*(I56+J56-IF(OR(N56="i",N56="b"),0,K56)))/(MIN(G56:H56)*(1+(MAX(G56:H56^1.5/MIN(G56:H56)^1.5))))))</f>
        <v>1.124155214182943</v>
      </c>
      <c r="U56" s="223">
        <f t="shared" si="17"/>
        <v>0</v>
      </c>
      <c r="V56" s="223">
        <f t="shared" si="18"/>
        <v>1.124155214182943</v>
      </c>
    </row>
    <row r="58" spans="2:37">
      <c r="C58" s="35" t="s">
        <v>50</v>
      </c>
      <c r="M58" s="271" t="s">
        <v>60</v>
      </c>
      <c r="N58" s="267"/>
      <c r="O58" s="267"/>
      <c r="P58" s="267"/>
      <c r="Q58" s="267"/>
      <c r="R58" s="267"/>
      <c r="S58" s="267"/>
      <c r="T58" s="319"/>
      <c r="X58" s="109"/>
      <c r="Y58" s="109"/>
    </row>
    <row r="59" spans="2:37" ht="21" customHeight="1">
      <c r="B59" s="11"/>
      <c r="C59" s="315" t="s">
        <v>19</v>
      </c>
      <c r="D59" s="323" t="s">
        <v>282</v>
      </c>
      <c r="E59" s="30" t="s">
        <v>285</v>
      </c>
      <c r="F59" s="30" t="s">
        <v>285</v>
      </c>
      <c r="G59" s="311" t="s">
        <v>24</v>
      </c>
      <c r="H59" s="312"/>
      <c r="I59" s="311" t="s">
        <v>271</v>
      </c>
      <c r="J59" s="312"/>
      <c r="K59" s="315" t="s">
        <v>27</v>
      </c>
      <c r="L59" s="315"/>
      <c r="M59" s="315" t="s">
        <v>61</v>
      </c>
      <c r="N59" s="315"/>
      <c r="O59" s="311" t="s">
        <v>218</v>
      </c>
      <c r="P59" s="313"/>
      <c r="Q59" s="315" t="s">
        <v>62</v>
      </c>
      <c r="R59" s="315"/>
      <c r="S59" s="315" t="s">
        <v>63</v>
      </c>
      <c r="T59" s="315"/>
      <c r="X59" s="315" t="s">
        <v>31</v>
      </c>
      <c r="Y59" s="315"/>
      <c r="Z59" s="311" t="s">
        <v>48</v>
      </c>
      <c r="AA59" s="313"/>
      <c r="AB59" s="30" t="s">
        <v>21</v>
      </c>
      <c r="AC59" s="5" t="s">
        <v>22</v>
      </c>
      <c r="AD59" s="316" t="str">
        <f>IF(OR(Control!$F$39="EC",Control!$F$51="N"),"t","t_eff")</f>
        <v>t</v>
      </c>
      <c r="AE59" s="317"/>
      <c r="AF59" s="315" t="s">
        <v>35</v>
      </c>
      <c r="AG59" s="315"/>
      <c r="AH59" s="315"/>
      <c r="AI59" s="315"/>
      <c r="AJ59" s="316" t="s">
        <v>425</v>
      </c>
      <c r="AK59" s="317"/>
    </row>
    <row r="60" spans="2:37" ht="20.399999999999999">
      <c r="B60" s="11"/>
      <c r="C60" s="315">
        <v>0</v>
      </c>
      <c r="D60" s="324">
        <v>0</v>
      </c>
      <c r="E60" s="30" t="str">
        <f>IF(Control!$F$39="EC","m=4, N=2E6","m=5, N=1E7")</f>
        <v>m=4, N=2E6</v>
      </c>
      <c r="F60" s="30" t="str">
        <f>IF(Control!$F$39="EC","m=3, N=2E6","m=3, N=1E7")</f>
        <v>m=3, N=2E6</v>
      </c>
      <c r="G60" s="30" t="s">
        <v>25</v>
      </c>
      <c r="H60" s="30" t="s">
        <v>26</v>
      </c>
      <c r="I60" s="5" t="s">
        <v>25</v>
      </c>
      <c r="J60" s="5" t="s">
        <v>26</v>
      </c>
      <c r="K60" s="30" t="s">
        <v>25</v>
      </c>
      <c r="L60" s="30" t="s">
        <v>26</v>
      </c>
      <c r="M60" s="30" t="s">
        <v>25</v>
      </c>
      <c r="N60" s="30" t="s">
        <v>64</v>
      </c>
      <c r="O60" s="30" t="s">
        <v>25</v>
      </c>
      <c r="P60" s="30" t="s">
        <v>64</v>
      </c>
      <c r="Q60" s="30" t="s">
        <v>25</v>
      </c>
      <c r="R60" s="30" t="s">
        <v>64</v>
      </c>
      <c r="S60" s="30" t="s">
        <v>25</v>
      </c>
      <c r="T60" s="30" t="s">
        <v>64</v>
      </c>
      <c r="X60" s="30" t="s">
        <v>33</v>
      </c>
      <c r="Y60" s="30" t="s">
        <v>34</v>
      </c>
      <c r="Z60" s="30" t="s">
        <v>33</v>
      </c>
      <c r="AA60" s="30" t="s">
        <v>34</v>
      </c>
      <c r="AB60" s="311" t="s">
        <v>30</v>
      </c>
      <c r="AC60" s="313"/>
      <c r="AD60" s="30" t="s">
        <v>45</v>
      </c>
      <c r="AE60" s="30" t="s">
        <v>34</v>
      </c>
      <c r="AF60" s="30" t="s">
        <v>45</v>
      </c>
      <c r="AG60" s="30" t="s">
        <v>34</v>
      </c>
      <c r="AH60" s="30" t="s">
        <v>46</v>
      </c>
      <c r="AI60" s="30" t="s">
        <v>47</v>
      </c>
      <c r="AJ60" s="30" t="s">
        <v>45</v>
      </c>
      <c r="AK60" s="30" t="s">
        <v>34</v>
      </c>
    </row>
    <row r="61" spans="2:37">
      <c r="B61" s="11"/>
      <c r="C61" s="30" t="s">
        <v>16</v>
      </c>
      <c r="D61" s="30" t="str">
        <f>"[m"&amp;Control!$F$7&amp;"]"</f>
        <v>[mLAT]</v>
      </c>
      <c r="E61" s="311" t="s">
        <v>20</v>
      </c>
      <c r="F61" s="313"/>
      <c r="G61" s="311" t="s">
        <v>77</v>
      </c>
      <c r="H61" s="312"/>
      <c r="I61" s="312"/>
      <c r="J61" s="313"/>
      <c r="K61" s="311" t="s">
        <v>77</v>
      </c>
      <c r="L61" s="313"/>
      <c r="M61" s="308" t="s">
        <v>16</v>
      </c>
      <c r="N61" s="309"/>
      <c r="O61" s="309"/>
      <c r="P61" s="309"/>
      <c r="Q61" s="309"/>
      <c r="R61" s="309"/>
      <c r="S61" s="309"/>
      <c r="T61" s="310"/>
      <c r="X61" s="308" t="s">
        <v>32</v>
      </c>
      <c r="Y61" s="310"/>
      <c r="Z61" s="30" t="s">
        <v>10</v>
      </c>
      <c r="AA61" s="30" t="s">
        <v>10</v>
      </c>
      <c r="AB61" s="311" t="s">
        <v>23</v>
      </c>
      <c r="AC61" s="313"/>
      <c r="AD61" s="87" t="s">
        <v>10</v>
      </c>
      <c r="AE61" s="87" t="s">
        <v>10</v>
      </c>
      <c r="AF61" s="1" t="s">
        <v>16</v>
      </c>
      <c r="AG61" s="1" t="s">
        <v>16</v>
      </c>
      <c r="AH61" s="1" t="s">
        <v>16</v>
      </c>
      <c r="AI61" s="1" t="s">
        <v>16</v>
      </c>
      <c r="AJ61" s="1" t="s">
        <v>16</v>
      </c>
      <c r="AK61" s="1" t="s">
        <v>16</v>
      </c>
    </row>
    <row r="62" spans="2:37" ht="14.85" customHeight="1">
      <c r="C62" s="12" t="str">
        <f>C35</f>
        <v>CW1</v>
      </c>
      <c r="D62" s="2">
        <f>E6</f>
        <v>1.6</v>
      </c>
      <c r="E62" s="3">
        <f>IF(Geometry_loads!H19="-","-",Geometry_loads!H19*Control!$F$54)</f>
        <v>206447.85273540171</v>
      </c>
      <c r="F62" s="3">
        <f>IF(Geometry_loads!G19="-","-",Geometry_loads!G19*Control!$F$55)</f>
        <v>246282.70567200461</v>
      </c>
      <c r="G62" s="3">
        <f>IF(X62=0,E62/AB62*E35/2/1000,(E62*($AF$24/$Z$5)^(1/$AE$4)/AB62*E35/2/1000))</f>
        <v>39.766488073163863</v>
      </c>
      <c r="H62" s="3">
        <f>IF(Y62=0,E62/AB62*(E35-2*G35/1000)/2/1000,(E62*($AF$24/$Z$5)^(1/$AE$4)/AB62*(E35-2*G35/1000)/2/1000))</f>
        <v>38.621213216656741</v>
      </c>
      <c r="I62" s="3">
        <f>IF(X62=0,"-",(F62*($AF$23/$Z$5)^(1/3)/AC62*(E35-2*Z62/1000)/2/1000))</f>
        <v>40.729245986873401</v>
      </c>
      <c r="J62" s="3">
        <f>IF(Y62=0,"-",(F62*($AF$23/$Z$5)^(1/3))/AC62*(E35-2*(G35-AA62)/1000)/2/1000)</f>
        <v>39.585019530863107</v>
      </c>
      <c r="K62" s="3">
        <f>IF(OR(N35="b",N35="o"),$AC$6,$AC$7)</f>
        <v>112</v>
      </c>
      <c r="L62" s="3">
        <f>IF(OR(N35="b",N35="i"),$AC$6,$AC$7)</f>
        <v>112</v>
      </c>
      <c r="M62" s="3">
        <f>IF(D62&gt;$Z$9,$AD$13,$AD$14)*((((IF(D62&gt;$Z$9,$AD$11,$AD$12)/AF62*L35*G62*IF(OR(N35="b",N35="o"),$AE$19,1))/(AJ62*K62))^$AE$4)+(((IF(D62&gt;$Z$9,$AD$11,$AD$12)/AH62*L35*IF(X62=0,0,I62)*IF(OR(N35="b",N35="o"),$AE$19,1))/(0.7*IF(K62=65.5,58.48,K62)))^3))</f>
        <v>0.37276954268478335</v>
      </c>
      <c r="N62" s="3">
        <f>IF(D62&gt;$Z$9,$AD$13,$AD$14)*((((IF(D62&gt;$Z$9,$AD$11,$AD$12)/AG62*M35*H62*IF(OR(N35="b",N35="i"),$AE$19,1))/(AK62*L62))^$AE$4)+(((IF(D62&gt;$Z$9,$AD$11,$AD$12)/AI62*M35*IF(Y62=0,0,J62)*IF(OR(N35="b",N35="i"),$AE$19,1))/(0.7*IF(L62=65.5,58.48,L62)))^3))</f>
        <v>0.70585624382985335</v>
      </c>
      <c r="O62" s="3">
        <f>IF(Control!$F$47="N",Control!$F$48,'FLS MP (driving)'!M35)</f>
        <v>0.1</v>
      </c>
      <c r="P62" s="3">
        <f>IF(Control!$F$47="N",Control!$F$48,'FLS MP (driving)'!N35)</f>
        <v>0.1</v>
      </c>
      <c r="Q62" s="3">
        <f>Control!$F$46</f>
        <v>0.03</v>
      </c>
      <c r="R62" s="3">
        <f>Control!$F$46</f>
        <v>0.03</v>
      </c>
      <c r="S62" s="3">
        <f>M62+O62+Q62</f>
        <v>0.50276954268478335</v>
      </c>
      <c r="T62" s="3">
        <f>N62+P62+R62</f>
        <v>0.83585624382985335</v>
      </c>
      <c r="X62" s="37" t="str">
        <f>IF(OR(D62&gt;=$Z$13,D62&lt;=$Z$12,Geometry!P27="n"),0,"X")</f>
        <v>X</v>
      </c>
      <c r="Y62" s="37" t="str">
        <f>IF(OR(D62&gt;=$Z$15,D62&lt;=$Z$12,Geometry!Q27="n"),0,"X")</f>
        <v>X</v>
      </c>
      <c r="Z62" s="37">
        <f>0.5*IF(OR(D62&gt;=$Z$13,D62&lt;=$Z$12),0,$AF$23*$AF$25)</f>
        <v>1.7999999999999998</v>
      </c>
      <c r="AA62" s="37">
        <f>0.5*IF(OR(D62&gt;=$Z$15,D62&lt;=$Z$12),0,$AF$23*$AF$26)</f>
        <v>0.89999999999999991</v>
      </c>
      <c r="AB62" s="3">
        <f>(PI()/64*(E35^4-(E35-2*G35/1000)^4))</f>
        <v>17.134136087205629</v>
      </c>
      <c r="AC62" s="3">
        <f>(PI()/64*((E35-2*Z62/1000)^4-((E35-2*Z62/1000)-2*(G35-Z62-AA62)/1000)^4))</f>
        <v>16.699506330179677</v>
      </c>
      <c r="AD62" s="3">
        <f>IF(OR(Control!$F$39="EC",Control!$F$51="N"),G35,MIN(G35,14+0.66*(INDEX('Eff. thickness (DNVGL-RP-C203)'!$E$31:$E$1048576,MATCH(G35,'Eff. thickness (DNVGL-RP-C203)'!$C$31:$C$1048576,0)))))</f>
        <v>108</v>
      </c>
      <c r="AE62" s="3">
        <f>IF(OR(Control!$F$39="EC",Control!$F$51="N"),G35,MIN(G35,14+0.66*(INDEX('Eff. thickness (DNVGL-RP-C203)'!$D$31:$D$1048576,MATCH(G35,'Eff. thickness (DNVGL-RP-C203)'!$C$31:$C$1048576,0))+IF(I35&lt;0.001,0,'Eff. thickness (DNVGL-RP-C203)'!$L$29))))</f>
        <v>108</v>
      </c>
      <c r="AF62" s="3">
        <f>(25/AD62)^(IF(OR(N35="b",N35="o"),0.1,0.2))</f>
        <v>0.86387643087620181</v>
      </c>
      <c r="AG62" s="3">
        <f>(25/AE62)^(IF(OR(N35="b",N35="i"),0.1,0.2))</f>
        <v>0.86387643087620181</v>
      </c>
      <c r="AH62" s="3">
        <f>IF(X62=0,1,(25/AD62)^(IF(OR(N35="b",N35="o"),0.15,0.2)))</f>
        <v>0.80292954361282265</v>
      </c>
      <c r="AI62" s="3">
        <f>IF(Y62=0,1,(25/AE62)^(IF(OR(N35="b",N35="i"),0.15,0.2)))</f>
        <v>0.80292954361282265</v>
      </c>
      <c r="AJ62" s="3">
        <f>IF(Control!$F$39&lt;&gt;"DNV",1,IF(D62&gt;Control!$F$16,IF(ISBLANK(Control!$F$56),1,Control!$F$56),IF(D62&gt;Control!$F$22,IF(ISBLANK(Control!$F$57),1,Control!$F$57),1)))</f>
        <v>1</v>
      </c>
      <c r="AK62" s="3">
        <f>IF(Control!$F$39&lt;&gt;"DNV",1,IF(D62&gt;Control!$F$18,IF(ISBLANK(Control!$F$56),1,Control!$F$56),IF(D62&gt;Control!$F$22,IF(ISBLANK(Control!$F$57),1,Control!$F$57),1)))</f>
        <v>1</v>
      </c>
    </row>
    <row r="63" spans="2:37" ht="14.85" customHeight="1">
      <c r="C63" s="12" t="str">
        <f t="shared" ref="C63:C83" si="19">C36</f>
        <v>CW2</v>
      </c>
      <c r="D63" s="2">
        <f t="shared" ref="D63:D83" si="20">E7</f>
        <v>-2.2999999999999998</v>
      </c>
      <c r="E63" s="3">
        <f>IF(Geometry_loads!H20="-","-",Geometry_loads!H20*Control!$F$54)</f>
        <v>212463.64088225467</v>
      </c>
      <c r="F63" s="3">
        <f>IF(Geometry_loads!G20="-","-",Geometry_loads!G20*Control!$F$55)</f>
        <v>253469.73457588677</v>
      </c>
      <c r="G63" s="3">
        <f t="shared" ref="G63:G83" si="21">IF(X63=0,E63/AB63*E36/2/1000,(E63*($AF$24/$Z$5)^(1/$AE$4)/AB63*E36/2/1000))</f>
        <v>50.058927515623736</v>
      </c>
      <c r="H63" s="3">
        <f t="shared" ref="H63:H83" si="22">IF(Y63=0,E63/AB63*(E36-2*G36/1000)/2/1000,(E63*($AF$24/$Z$5)^(1/$AE$4)/AB63*(E36-2*G36/1000)/2/1000))</f>
        <v>48.724022781873764</v>
      </c>
      <c r="I63" s="3" t="str">
        <f t="shared" ref="I63:I83" si="23">IF(X63=0,"-",(F63*($AF$23/$Z$5)^(1/3)/AC63*(E36-2*Z63/1000)/2/1000))</f>
        <v>-</v>
      </c>
      <c r="J63" s="3" t="str">
        <f t="shared" ref="J63:J83" si="24">IF(Y63=0,"-",(F63*($AF$23/$Z$5)^(1/3))/AC63*(E36-2*(G36-AA63)/1000)/2/1000)</f>
        <v>-</v>
      </c>
      <c r="K63" s="3">
        <f t="shared" ref="K63:K83" si="25">IF(OR(N36="b",N36="o"),$AC$6,$AC$7)</f>
        <v>90</v>
      </c>
      <c r="L63" s="3">
        <f t="shared" ref="L63:L83" si="26">IF(OR(N36="b",N36="i"),$AC$6,$AC$7)</f>
        <v>90</v>
      </c>
      <c r="M63" s="3">
        <f t="shared" ref="M63:M83" si="27">IF(D63&gt;$Z$9,$AD$13,$AD$14)*((((IF(D63&gt;$Z$9,$AD$11,$AD$12)/AF63*L36*G63*IF(OR(N36="b",N36="o"),$AE$19,1))/(AJ63*K63))^$AE$4)+(((IF(D63&gt;$Z$9,$AD$11,$AD$12)/AH63*L36*IF(X63=0,0,I63)*IF(OR(N36="b",N36="o"),$AE$19,1))/(0.7*IF(K63=65.5,58.48,K63)))^3))</f>
        <v>0.59263535066974105</v>
      </c>
      <c r="N63" s="3">
        <f t="shared" ref="N63:N83" si="28">IF(D63&gt;$Z$9,$AD$13,$AD$14)*((((IF(D63&gt;$Z$9,$AD$11,$AD$12)/AG63*M36*H63*IF(OR(N36="b",N36="i"),$AE$19,1))/(AK63*L63))^$AE$4)+(((IF(D63&gt;$Z$9,$AD$11,$AD$12)/AI63*M36*IF(Y63=0,0,J63)*IF(OR(N36="b",N36="i"),$AE$19,1))/(0.7*IF(L63=65.5,58.48,L63)))^3))</f>
        <v>0.60203229063032837</v>
      </c>
      <c r="O63" s="3">
        <f>IF(Control!$F$47="N",Control!$F$48,'FLS MP (driving)'!M36)</f>
        <v>0.1</v>
      </c>
      <c r="P63" s="3">
        <f>IF(Control!$F$47="N",Control!$F$48,'FLS MP (driving)'!N36)</f>
        <v>0.1</v>
      </c>
      <c r="Q63" s="3">
        <f>Control!$F$46</f>
        <v>0.03</v>
      </c>
      <c r="R63" s="3">
        <f>Control!$F$46</f>
        <v>0.03</v>
      </c>
      <c r="S63" s="3">
        <f t="shared" ref="S63:S83" si="29">M63+O63+Q63</f>
        <v>0.72263535066974105</v>
      </c>
      <c r="T63" s="3">
        <f t="shared" ref="T63:T83" si="30">N63+P63+R63</f>
        <v>0.73203229063032837</v>
      </c>
      <c r="X63" s="37">
        <f>IF(OR(D63&gt;=$Z$13,D63&lt;=$Z$12,Geometry!P28="n"),0,"X")</f>
        <v>0</v>
      </c>
      <c r="Y63" s="37">
        <f>IF(OR(D63&gt;=$Z$15,D63&lt;=$Z$12,Geometry!Q28="n"),0,"X")</f>
        <v>0</v>
      </c>
      <c r="Z63" s="37">
        <f t="shared" ref="Z63:Z83" si="31">0.5*IF(OR(D63&gt;=$Z$13,D63&lt;=$Z$12),0,$AF$23*$AF$25)</f>
        <v>0</v>
      </c>
      <c r="AA63" s="37">
        <f t="shared" ref="AA63:AA83" si="32">0.5*IF(OR(D63&gt;=$Z$15,D63&lt;=$Z$12),0,$AF$23*$AF$26)</f>
        <v>0</v>
      </c>
      <c r="AB63" s="3">
        <f t="shared" ref="AB63:AB83" si="33">(PI()/64*(E36^4-(E36-2*G36/1000)^4))</f>
        <v>15.916015241432959</v>
      </c>
      <c r="AC63" s="3">
        <f t="shared" ref="AC63:AC83" si="34">(PI()/64*((E36-2*Z63/1000)^4-((E36-2*Z63/1000)-2*(G36-Z63-AA63)/1000)^4))</f>
        <v>15.916015241432959</v>
      </c>
      <c r="AD63" s="3">
        <f>IF(OR(Control!$F$39="EC",Control!$F$51="N"),G36,MIN(G36,14+0.66*(INDEX('Eff. thickness (DNVGL-RP-C203)'!$E$31:$E$1048576,MATCH(G36,'Eff. thickness (DNVGL-RP-C203)'!$C$31:$C$1048576,0)))))</f>
        <v>100</v>
      </c>
      <c r="AE63" s="3">
        <f>IF(OR(Control!$F$39="EC",Control!$F$51="N"),G36,MIN(G36,14+0.66*(INDEX('Eff. thickness (DNVGL-RP-C203)'!$D$31:$D$1048576,MATCH(G36,'Eff. thickness (DNVGL-RP-C203)'!$C$31:$C$1048576,0))+IF(I36&lt;0.001,0,'Eff. thickness (DNVGL-RP-C203)'!$L$29))))</f>
        <v>100</v>
      </c>
      <c r="AF63" s="3">
        <f t="shared" ref="AF63:AF83" si="35">(25/AD63)^(IF(OR(N36="b",N36="o"),0.1,0.2))</f>
        <v>0.75785828325519911</v>
      </c>
      <c r="AG63" s="3">
        <f t="shared" ref="AG63:AG83" si="36">(25/AE63)^(IF(OR(N36="b",N36="i"),0.1,0.2))</f>
        <v>0.75785828325519911</v>
      </c>
      <c r="AH63" s="3">
        <f t="shared" ref="AH63:AH83" si="37">IF(X63=0,1,(25/AD63)^(IF(OR(N36="b",N36="o"),0.15,0.2)))</f>
        <v>1</v>
      </c>
      <c r="AI63" s="3">
        <f t="shared" ref="AI63:AI83" si="38">IF(Y63=0,1,(25/AE63)^(IF(OR(N36="b",N36="i"),0.15,0.2)))</f>
        <v>1</v>
      </c>
      <c r="AJ63" s="3">
        <f>IF(Control!$F$39&lt;&gt;"DNV",1,IF(D63&gt;Control!$F$16,IF(ISBLANK(Control!$F$56),1,Control!$F$56),IF(D63&gt;Control!$F$22,IF(ISBLANK(Control!$F$57),1,Control!$F$57),1)))</f>
        <v>1</v>
      </c>
      <c r="AK63" s="3">
        <f>IF(Control!$F$39&lt;&gt;"DNV",1,IF(D63&gt;Control!$F$18,IF(ISBLANK(Control!$F$56),1,Control!$F$56),IF(D63&gt;Control!$F$22,IF(ISBLANK(Control!$F$57),1,Control!$F$57),1)))</f>
        <v>1</v>
      </c>
    </row>
    <row r="64" spans="2:37" ht="14.85" customHeight="1">
      <c r="C64" s="12" t="str">
        <f t="shared" si="19"/>
        <v>CW3</v>
      </c>
      <c r="D64" s="2">
        <f t="shared" si="20"/>
        <v>-6.2</v>
      </c>
      <c r="E64" s="3">
        <f>IF(Geometry_loads!H21="-","-",Geometry_loads!H21*Control!$F$54)</f>
        <v>217941.103467868</v>
      </c>
      <c r="F64" s="3">
        <f>IF(Geometry_loads!G21="-","-",Geometry_loads!G21*Control!$F$55)</f>
        <v>259948.83343784476</v>
      </c>
      <c r="G64" s="3">
        <f t="shared" si="21"/>
        <v>51.847332562892497</v>
      </c>
      <c r="H64" s="3">
        <f t="shared" si="22"/>
        <v>50.478562983232131</v>
      </c>
      <c r="I64" s="3" t="str">
        <f t="shared" si="23"/>
        <v>-</v>
      </c>
      <c r="J64" s="3" t="str">
        <f t="shared" si="24"/>
        <v>-</v>
      </c>
      <c r="K64" s="3">
        <f t="shared" si="25"/>
        <v>112</v>
      </c>
      <c r="L64" s="3">
        <f t="shared" si="26"/>
        <v>90</v>
      </c>
      <c r="M64" s="3">
        <f t="shared" si="27"/>
        <v>0.57407435950650376</v>
      </c>
      <c r="N64" s="3">
        <f t="shared" si="28"/>
        <v>0.72653090831049827</v>
      </c>
      <c r="O64" s="3">
        <f>IF(Control!$F$47="N",Control!$F$48,'FLS MP (driving)'!M37)</f>
        <v>0.1</v>
      </c>
      <c r="P64" s="3">
        <f>IF(Control!$F$47="N",Control!$F$48,'FLS MP (driving)'!N37)</f>
        <v>0.1</v>
      </c>
      <c r="Q64" s="3">
        <f>Control!$F$46</f>
        <v>0.03</v>
      </c>
      <c r="R64" s="3">
        <f>Control!$F$46</f>
        <v>0.03</v>
      </c>
      <c r="S64" s="3">
        <f t="shared" si="29"/>
        <v>0.70407435950650377</v>
      </c>
      <c r="T64" s="3">
        <f t="shared" si="30"/>
        <v>0.85653090831049827</v>
      </c>
      <c r="X64" s="37">
        <f>IF(OR(D64&gt;=$Z$13,D64&lt;=$Z$12,Geometry!P29="n"),0,"X")</f>
        <v>0</v>
      </c>
      <c r="Y64" s="37">
        <f>IF(OR(D64&gt;=$Z$15,D64&lt;=$Z$12,Geometry!Q29="n"),0,"X")</f>
        <v>0</v>
      </c>
      <c r="Z64" s="37">
        <f t="shared" si="31"/>
        <v>0</v>
      </c>
      <c r="AA64" s="37">
        <f t="shared" si="32"/>
        <v>0</v>
      </c>
      <c r="AB64" s="3">
        <f t="shared" si="33"/>
        <v>15.76318583049801</v>
      </c>
      <c r="AC64" s="3">
        <f t="shared" si="34"/>
        <v>15.76318583049801</v>
      </c>
      <c r="AD64" s="3">
        <f>IF(OR(Control!$F$39="EC",Control!$F$51="N"),G37,MIN(G37,14+0.66*(INDEX('Eff. thickness (DNVGL-RP-C203)'!$E$31:$E$1048576,MATCH(G37,'Eff. thickness (DNVGL-RP-C203)'!$C$31:$C$1048576,0)))))</f>
        <v>99</v>
      </c>
      <c r="AE64" s="3">
        <f>IF(OR(Control!$F$39="EC",Control!$F$51="N"),G37,MIN(G37,14+0.66*(INDEX('Eff. thickness (DNVGL-RP-C203)'!$D$31:$D$1048576,MATCH(G37,'Eff. thickness (DNVGL-RP-C203)'!$C$31:$C$1048576,0))+IF(I37&lt;0.001,0,'Eff. thickness (DNVGL-RP-C203)'!$L$29))))</f>
        <v>99</v>
      </c>
      <c r="AF64" s="3">
        <f t="shared" si="35"/>
        <v>0.87142593566561388</v>
      </c>
      <c r="AG64" s="3">
        <f t="shared" si="36"/>
        <v>0.75938316135069051</v>
      </c>
      <c r="AH64" s="3">
        <f t="shared" si="37"/>
        <v>1</v>
      </c>
      <c r="AI64" s="3">
        <f t="shared" si="38"/>
        <v>1</v>
      </c>
      <c r="AJ64" s="3">
        <f>IF(Control!$F$39&lt;&gt;"DNV",1,IF(D64&gt;Control!$F$16,IF(ISBLANK(Control!$F$56),1,Control!$F$56),IF(D64&gt;Control!$F$22,IF(ISBLANK(Control!$F$57),1,Control!$F$57),1)))</f>
        <v>1</v>
      </c>
      <c r="AK64" s="3">
        <f>IF(Control!$F$39&lt;&gt;"DNV",1,IF(D64&gt;Control!$F$18,IF(ISBLANK(Control!$F$56),1,Control!$F$56),IF(D64&gt;Control!$F$22,IF(ISBLANK(Control!$F$57),1,Control!$F$57),1)))</f>
        <v>1</v>
      </c>
    </row>
    <row r="65" spans="3:37" ht="14.85" customHeight="1">
      <c r="C65" s="12" t="str">
        <f t="shared" si="19"/>
        <v>CW4</v>
      </c>
      <c r="D65" s="2">
        <f t="shared" si="20"/>
        <v>-10.1</v>
      </c>
      <c r="E65" s="3">
        <f>IF(Geometry_loads!H22="-","-",Geometry_loads!H22*Control!$F$54)</f>
        <v>223997.26603181395</v>
      </c>
      <c r="F65" s="3">
        <f>IF(Geometry_loads!G22="-","-",Geometry_loads!G22*Control!$F$55)</f>
        <v>266920.40537244565</v>
      </c>
      <c r="G65" s="3">
        <f t="shared" si="21"/>
        <v>48.830746954978906</v>
      </c>
      <c r="H65" s="3">
        <f t="shared" si="22"/>
        <v>47.595678306985619</v>
      </c>
      <c r="I65" s="3" t="str">
        <f t="shared" si="23"/>
        <v>-</v>
      </c>
      <c r="J65" s="3" t="str">
        <f t="shared" si="24"/>
        <v>-</v>
      </c>
      <c r="K65" s="3">
        <f t="shared" si="25"/>
        <v>90</v>
      </c>
      <c r="L65" s="3">
        <f t="shared" si="26"/>
        <v>90</v>
      </c>
      <c r="M65" s="3">
        <f t="shared" si="27"/>
        <v>0.34596405686722381</v>
      </c>
      <c r="N65" s="3">
        <f t="shared" si="28"/>
        <v>0.80183357809193334</v>
      </c>
      <c r="O65" s="3">
        <f>IF(Control!$F$47="N",Control!$F$48,'FLS MP (driving)'!M38)</f>
        <v>0.1</v>
      </c>
      <c r="P65" s="3">
        <f>IF(Control!$F$47="N",Control!$F$48,'FLS MP (driving)'!N38)</f>
        <v>0.1</v>
      </c>
      <c r="Q65" s="3">
        <f>Control!$F$46</f>
        <v>0.03</v>
      </c>
      <c r="R65" s="3">
        <f>Control!$F$46</f>
        <v>0.03</v>
      </c>
      <c r="S65" s="3">
        <f t="shared" si="29"/>
        <v>0.47596405686722387</v>
      </c>
      <c r="T65" s="3">
        <f t="shared" si="30"/>
        <v>0.93183357809193335</v>
      </c>
      <c r="X65" s="37">
        <f>IF(OR(D65&gt;=$Z$13,D65&lt;=$Z$12,Geometry!P30="n"),0,"X")</f>
        <v>0</v>
      </c>
      <c r="Y65" s="37">
        <f>IF(OR(D65&gt;=$Z$15,D65&lt;=$Z$12,Geometry!Q30="n"),0,"X")</f>
        <v>0</v>
      </c>
      <c r="Z65" s="37">
        <f t="shared" si="31"/>
        <v>0</v>
      </c>
      <c r="AA65" s="37">
        <f t="shared" si="32"/>
        <v>0</v>
      </c>
      <c r="AB65" s="3">
        <f t="shared" si="33"/>
        <v>17.955058104001171</v>
      </c>
      <c r="AC65" s="3">
        <f t="shared" si="34"/>
        <v>17.955058104001171</v>
      </c>
      <c r="AD65" s="3">
        <f>IF(OR(Control!$F$39="EC",Control!$F$51="N"),G38,MIN(G38,14+0.66*(INDEX('Eff. thickness (DNVGL-RP-C203)'!$E$31:$E$1048576,MATCH(G38,'Eff. thickness (DNVGL-RP-C203)'!$C$31:$C$1048576,0)))))</f>
        <v>99</v>
      </c>
      <c r="AE65" s="3">
        <f>IF(OR(Control!$F$39="EC",Control!$F$51="N"),G38,MIN(G38,14+0.66*(INDEX('Eff. thickness (DNVGL-RP-C203)'!$D$31:$D$1048576,MATCH(G38,'Eff. thickness (DNVGL-RP-C203)'!$C$31:$C$1048576,0))+IF(I38&lt;0.001,0,'Eff. thickness (DNVGL-RP-C203)'!$L$29))))</f>
        <v>99</v>
      </c>
      <c r="AF65" s="3">
        <f t="shared" si="35"/>
        <v>0.75938316135069051</v>
      </c>
      <c r="AG65" s="3">
        <f t="shared" si="36"/>
        <v>0.75938316135069051</v>
      </c>
      <c r="AH65" s="3">
        <f t="shared" si="37"/>
        <v>1</v>
      </c>
      <c r="AI65" s="3">
        <f t="shared" si="38"/>
        <v>1</v>
      </c>
      <c r="AJ65" s="3">
        <f>IF(Control!$F$39&lt;&gt;"DNV",1,IF(D65&gt;Control!$F$16,IF(ISBLANK(Control!$F$56),1,Control!$F$56),IF(D65&gt;Control!$F$22,IF(ISBLANK(Control!$F$57),1,Control!$F$57),1)))</f>
        <v>1</v>
      </c>
      <c r="AK65" s="3">
        <f>IF(Control!$F$39&lt;&gt;"DNV",1,IF(D65&gt;Control!$F$18,IF(ISBLANK(Control!$F$56),1,Control!$F$56),IF(D65&gt;Control!$F$22,IF(ISBLANK(Control!$F$57),1,Control!$F$57),1)))</f>
        <v>1</v>
      </c>
    </row>
    <row r="66" spans="3:37" ht="14.85" customHeight="1">
      <c r="C66" s="12" t="str">
        <f t="shared" si="19"/>
        <v>CW5</v>
      </c>
      <c r="D66" s="2">
        <f t="shared" si="20"/>
        <v>-14</v>
      </c>
      <c r="E66" s="3">
        <f>IF(Geometry_loads!H23="-","-",Geometry_loads!H23*Control!$F$54)</f>
        <v>230147.63556897684</v>
      </c>
      <c r="F66" s="3">
        <f>IF(Geometry_loads!G23="-","-",Geometry_loads!G23*Control!$F$55)</f>
        <v>274076.65470928769</v>
      </c>
      <c r="G66" s="3">
        <f t="shared" si="21"/>
        <v>42.819579055195398</v>
      </c>
      <c r="H66" s="3">
        <f t="shared" si="22"/>
        <v>41.696146507588324</v>
      </c>
      <c r="I66" s="3" t="str">
        <f t="shared" si="23"/>
        <v>-</v>
      </c>
      <c r="J66" s="3" t="str">
        <f t="shared" si="24"/>
        <v>-</v>
      </c>
      <c r="K66" s="3">
        <f t="shared" si="25"/>
        <v>90</v>
      </c>
      <c r="L66" s="3">
        <f t="shared" si="26"/>
        <v>90</v>
      </c>
      <c r="M66" s="3">
        <f t="shared" si="27"/>
        <v>0.18020150537277368</v>
      </c>
      <c r="N66" s="3">
        <f t="shared" si="28"/>
        <v>0.59719737064102496</v>
      </c>
      <c r="O66" s="3">
        <f>IF(Control!$F$47="N",Control!$F$48,'FLS MP (driving)'!M39)</f>
        <v>0.1</v>
      </c>
      <c r="P66" s="3">
        <f>IF(Control!$F$47="N",Control!$F$48,'FLS MP (driving)'!N39)</f>
        <v>0.1</v>
      </c>
      <c r="Q66" s="3">
        <f>Control!$F$46</f>
        <v>0.03</v>
      </c>
      <c r="R66" s="3">
        <f>Control!$F$46</f>
        <v>0.03</v>
      </c>
      <c r="S66" s="3">
        <f t="shared" si="29"/>
        <v>0.31020150537277369</v>
      </c>
      <c r="T66" s="3">
        <f t="shared" si="30"/>
        <v>0.72719737064102496</v>
      </c>
      <c r="X66" s="37">
        <f>IF(OR(D66&gt;=$Z$13,D66&lt;=$Z$12,Geometry!P31="n"),0,"X")</f>
        <v>0</v>
      </c>
      <c r="Y66" s="37">
        <f>IF(OR(D66&gt;=$Z$15,D66&lt;=$Z$12,Geometry!Q31="n"),0,"X")</f>
        <v>0</v>
      </c>
      <c r="Z66" s="37">
        <f t="shared" si="31"/>
        <v>0</v>
      </c>
      <c r="AA66" s="37">
        <f t="shared" si="32"/>
        <v>0</v>
      </c>
      <c r="AB66" s="3">
        <f t="shared" si="33"/>
        <v>21.920138470559632</v>
      </c>
      <c r="AC66" s="3">
        <f t="shared" si="34"/>
        <v>21.920138470559632</v>
      </c>
      <c r="AD66" s="3">
        <f>IF(OR(Control!$F$39="EC",Control!$F$51="N"),G39,MIN(G39,14+0.66*(INDEX('Eff. thickness (DNVGL-RP-C203)'!$E$31:$E$1048576,MATCH(G39,'Eff. thickness (DNVGL-RP-C203)'!$C$31:$C$1048576,0)))))</f>
        <v>107</v>
      </c>
      <c r="AE66" s="3">
        <f>IF(OR(Control!$F$39="EC",Control!$F$51="N"),G39,MIN(G39,14+0.66*(INDEX('Eff. thickness (DNVGL-RP-C203)'!$D$31:$D$1048576,MATCH(G39,'Eff. thickness (DNVGL-RP-C203)'!$C$31:$C$1048576,0))+IF(I39&lt;0.001,0,'Eff. thickness (DNVGL-RP-C203)'!$L$29))))</f>
        <v>107</v>
      </c>
      <c r="AF66" s="3">
        <f t="shared" si="35"/>
        <v>0.74767222275629086</v>
      </c>
      <c r="AG66" s="3">
        <f t="shared" si="36"/>
        <v>0.74767222275629086</v>
      </c>
      <c r="AH66" s="3">
        <f t="shared" si="37"/>
        <v>1</v>
      </c>
      <c r="AI66" s="3">
        <f t="shared" si="38"/>
        <v>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3:37" ht="14.85" customHeight="1">
      <c r="C67" s="12" t="str">
        <f t="shared" si="19"/>
        <v>CW6</v>
      </c>
      <c r="D67" s="2">
        <f t="shared" si="20"/>
        <v>-17.899999999999999</v>
      </c>
      <c r="E67" s="3">
        <f>IF(Geometry_loads!H24="-","-",Geometry_loads!H24*Control!$F$54)</f>
        <v>237603.44459214588</v>
      </c>
      <c r="F67" s="3">
        <f>IF(Geometry_loads!G24="-","-",Geometry_loads!G24*Control!$F$55)</f>
        <v>282956.55980037979</v>
      </c>
      <c r="G67" s="3">
        <f t="shared" si="21"/>
        <v>45.287342291702359</v>
      </c>
      <c r="H67" s="3">
        <f t="shared" si="22"/>
        <v>44.262548575880317</v>
      </c>
      <c r="I67" s="3" t="str">
        <f t="shared" si="23"/>
        <v>-</v>
      </c>
      <c r="J67" s="3" t="str">
        <f t="shared" si="24"/>
        <v>-</v>
      </c>
      <c r="K67" s="3">
        <f t="shared" si="25"/>
        <v>90</v>
      </c>
      <c r="L67" s="3">
        <f t="shared" si="26"/>
        <v>90</v>
      </c>
      <c r="M67" s="3">
        <f t="shared" si="27"/>
        <v>0.32603692559739994</v>
      </c>
      <c r="N67" s="3">
        <f t="shared" si="28"/>
        <v>0.49820475608514664</v>
      </c>
      <c r="O67" s="3">
        <f>IF(Control!$F$47="N",Control!$F$48,'FLS MP (driving)'!M40)</f>
        <v>0.1</v>
      </c>
      <c r="P67" s="3">
        <f>IF(Control!$F$47="N",Control!$F$48,'FLS MP (driving)'!N40)</f>
        <v>0.1</v>
      </c>
      <c r="Q67" s="3">
        <f>Control!$F$46</f>
        <v>0.03</v>
      </c>
      <c r="R67" s="3">
        <f>Control!$F$46</f>
        <v>0.03</v>
      </c>
      <c r="S67" s="3">
        <f t="shared" si="29"/>
        <v>0.45603692559739994</v>
      </c>
      <c r="T67" s="3">
        <f t="shared" si="30"/>
        <v>0.6282047560851467</v>
      </c>
      <c r="X67" s="37">
        <f>IF(OR(D67&gt;=$Z$13,D67&lt;=$Z$12,Geometry!P32="n"),0,"X")</f>
        <v>0</v>
      </c>
      <c r="Y67" s="37">
        <f>IF(OR(D67&gt;=$Z$15,D67&lt;=$Z$12,Geometry!Q32="n"),0,"X")</f>
        <v>0</v>
      </c>
      <c r="Z67" s="37">
        <f t="shared" si="31"/>
        <v>0</v>
      </c>
      <c r="AA67" s="37">
        <f t="shared" si="32"/>
        <v>0</v>
      </c>
      <c r="AB67" s="3">
        <f t="shared" si="33"/>
        <v>22.258070408393323</v>
      </c>
      <c r="AC67" s="3">
        <f t="shared" si="34"/>
        <v>22.258070408393323</v>
      </c>
      <c r="AD67" s="3">
        <f>IF(OR(Control!$F$39="EC",Control!$F$51="N"),G40,MIN(G40,14+0.66*(INDEX('Eff. thickness (DNVGL-RP-C203)'!$E$31:$E$1048576,MATCH(G40,'Eff. thickness (DNVGL-RP-C203)'!$C$31:$C$1048576,0)))))</f>
        <v>96</v>
      </c>
      <c r="AE67" s="3">
        <f>IF(OR(Control!$F$39="EC",Control!$F$51="N"),G40,MIN(G40,14+0.66*(INDEX('Eff. thickness (DNVGL-RP-C203)'!$D$31:$D$1048576,MATCH(G40,'Eff. thickness (DNVGL-RP-C203)'!$C$31:$C$1048576,0))+IF(I40&lt;0.001,0,'Eff. thickness (DNVGL-RP-C203)'!$L$29))))</f>
        <v>96</v>
      </c>
      <c r="AF67" s="3">
        <f t="shared" si="35"/>
        <v>0.76407106790789936</v>
      </c>
      <c r="AG67" s="3">
        <f t="shared" si="36"/>
        <v>0.76407106790789936</v>
      </c>
      <c r="AH67" s="3">
        <f t="shared" si="37"/>
        <v>1</v>
      </c>
      <c r="AI67" s="3">
        <f t="shared" si="38"/>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3:37" ht="14.85" customHeight="1">
      <c r="C68" s="12" t="str">
        <f t="shared" si="19"/>
        <v>CW7</v>
      </c>
      <c r="D68" s="2">
        <f t="shared" si="20"/>
        <v>-21.8</v>
      </c>
      <c r="E68" s="3">
        <f>IF(Geometry_loads!H25="-","-",Geometry_loads!H25*Control!$F$54)</f>
        <v>246122.44659876317</v>
      </c>
      <c r="F68" s="3">
        <f>IF(Geometry_loads!G25="-","-",Geometry_loads!G25*Control!$F$55)</f>
        <v>293129.20670715946</v>
      </c>
      <c r="G68" s="3">
        <f t="shared" si="21"/>
        <v>45.252240487508978</v>
      </c>
      <c r="H68" s="3">
        <f t="shared" si="22"/>
        <v>44.307463706387509</v>
      </c>
      <c r="I68" s="3" t="str">
        <f t="shared" si="23"/>
        <v>-</v>
      </c>
      <c r="J68" s="3" t="str">
        <f t="shared" si="24"/>
        <v>-</v>
      </c>
      <c r="K68" s="3">
        <f t="shared" si="25"/>
        <v>90</v>
      </c>
      <c r="L68" s="3">
        <f t="shared" si="26"/>
        <v>90</v>
      </c>
      <c r="M68" s="3">
        <f t="shared" si="27"/>
        <v>0.4088683144198777</v>
      </c>
      <c r="N68" s="3">
        <f t="shared" si="28"/>
        <v>0.37577741247867225</v>
      </c>
      <c r="O68" s="3">
        <f>IF(Control!$F$47="N",Control!$F$48,'FLS MP (driving)'!M41)</f>
        <v>0.1</v>
      </c>
      <c r="P68" s="3">
        <f>IF(Control!$F$47="N",Control!$F$48,'FLS MP (driving)'!N41)</f>
        <v>0.1</v>
      </c>
      <c r="Q68" s="3">
        <f>Control!$F$46</f>
        <v>0.03</v>
      </c>
      <c r="R68" s="3">
        <f>Control!$F$46</f>
        <v>0.03</v>
      </c>
      <c r="S68" s="3">
        <f t="shared" si="29"/>
        <v>0.5388683144198777</v>
      </c>
      <c r="T68" s="3">
        <f t="shared" si="30"/>
        <v>0.50577741247867225</v>
      </c>
      <c r="X68" s="37">
        <f>IF(OR(D68&gt;=$Z$13,D68&lt;=$Z$12,Geometry!P33="n"),0,"X")</f>
        <v>0</v>
      </c>
      <c r="Y68" s="37">
        <f>IF(OR(D68&gt;=$Z$15,D68&lt;=$Z$12,Geometry!Q33="n"),0,"X")</f>
        <v>0</v>
      </c>
      <c r="Z68" s="37">
        <f t="shared" si="31"/>
        <v>0</v>
      </c>
      <c r="AA68" s="37">
        <f t="shared" si="32"/>
        <v>0</v>
      </c>
      <c r="AB68" s="3">
        <f t="shared" si="33"/>
        <v>23.966788282210018</v>
      </c>
      <c r="AC68" s="3">
        <f t="shared" si="34"/>
        <v>23.966788282210018</v>
      </c>
      <c r="AD68" s="3">
        <f>IF(OR(Control!$F$39="EC",Control!$F$51="N"),G41,MIN(G41,14+0.66*(INDEX('Eff. thickness (DNVGL-RP-C203)'!$E$31:$E$1048576,MATCH(G41,'Eff. thickness (DNVGL-RP-C203)'!$C$31:$C$1048576,0)))))</f>
        <v>92</v>
      </c>
      <c r="AE68" s="3">
        <f>IF(OR(Control!$F$39="EC",Control!$F$51="N"),G41,MIN(G41,14+0.66*(INDEX('Eff. thickness (DNVGL-RP-C203)'!$D$31:$D$1048576,MATCH(G41,'Eff. thickness (DNVGL-RP-C203)'!$C$31:$C$1048576,0))+IF(I41&lt;0.001,0,'Eff. thickness (DNVGL-RP-C203)'!$L$29))))</f>
        <v>92</v>
      </c>
      <c r="AF68" s="3">
        <f t="shared" si="35"/>
        <v>0.77060254017451113</v>
      </c>
      <c r="AG68" s="3">
        <f t="shared" si="36"/>
        <v>0.77060254017451113</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3:37" ht="14.85" customHeight="1">
      <c r="C69" s="12" t="str">
        <f t="shared" si="19"/>
        <v>CW8</v>
      </c>
      <c r="D69" s="2">
        <f t="shared" si="20"/>
        <v>-25.7</v>
      </c>
      <c r="E69" s="3">
        <f>IF(Geometry_loads!H26="-","-",Geometry_loads!H26*Control!$F$54)</f>
        <v>255718.09972785975</v>
      </c>
      <c r="F69" s="3">
        <f>IF(Geometry_loads!G26="-","-",Geometry_loads!G26*Control!$F$55)</f>
        <v>304856.22174946824</v>
      </c>
      <c r="G69" s="3">
        <f t="shared" si="21"/>
        <v>43.650802471568461</v>
      </c>
      <c r="H69" s="3">
        <f t="shared" si="22"/>
        <v>42.772190042972341</v>
      </c>
      <c r="I69" s="3" t="str">
        <f t="shared" si="23"/>
        <v>-</v>
      </c>
      <c r="J69" s="3" t="str">
        <f t="shared" si="24"/>
        <v>-</v>
      </c>
      <c r="K69" s="3">
        <f t="shared" si="25"/>
        <v>90</v>
      </c>
      <c r="L69" s="3">
        <f t="shared" si="26"/>
        <v>90</v>
      </c>
      <c r="M69" s="3">
        <f t="shared" si="27"/>
        <v>0.35399085169159006</v>
      </c>
      <c r="N69" s="3">
        <f t="shared" si="28"/>
        <v>0.3263390621877747</v>
      </c>
      <c r="O69" s="3">
        <f>IF(Control!$F$47="N",Control!$F$48,'FLS MP (driving)'!M42)</f>
        <v>0.1</v>
      </c>
      <c r="P69" s="3">
        <f>IF(Control!$F$47="N",Control!$F$48,'FLS MP (driving)'!N42)</f>
        <v>0.1</v>
      </c>
      <c r="Q69" s="3">
        <f>Control!$F$46</f>
        <v>0.03</v>
      </c>
      <c r="R69" s="3">
        <f>Control!$F$46</f>
        <v>0.03</v>
      </c>
      <c r="S69" s="3">
        <f t="shared" si="29"/>
        <v>0.48399085169159006</v>
      </c>
      <c r="T69" s="3">
        <f t="shared" si="30"/>
        <v>0.45633906218777476</v>
      </c>
      <c r="X69" s="37">
        <f>IF(OR(D69&gt;=$Z$13,D69&lt;=$Z$12,Geometry!P34="n"),0,"X")</f>
        <v>0</v>
      </c>
      <c r="Y69" s="37">
        <f>IF(OR(D69&gt;=$Z$15,D69&lt;=$Z$12,Geometry!Q34="n"),0,"X")</f>
        <v>0</v>
      </c>
      <c r="Z69" s="37">
        <f t="shared" si="31"/>
        <v>0</v>
      </c>
      <c r="AA69" s="37">
        <f t="shared" si="32"/>
        <v>0</v>
      </c>
      <c r="AB69" s="3">
        <f t="shared" si="33"/>
        <v>26.776385593080963</v>
      </c>
      <c r="AC69" s="3">
        <f t="shared" si="34"/>
        <v>26.776385593080963</v>
      </c>
      <c r="AD69" s="3">
        <f>IF(OR(Control!$F$39="EC",Control!$F$51="N"),G42,MIN(G42,14+0.66*(INDEX('Eff. thickness (DNVGL-RP-C203)'!$E$31:$E$1048576,MATCH(G42,'Eff. thickness (DNVGL-RP-C203)'!$C$31:$C$1048576,0)))))</f>
        <v>92</v>
      </c>
      <c r="AE69" s="3">
        <f>IF(OR(Control!$F$39="EC",Control!$F$51="N"),G42,MIN(G42,14+0.66*(INDEX('Eff. thickness (DNVGL-RP-C203)'!$D$31:$D$1048576,MATCH(G42,'Eff. thickness (DNVGL-RP-C203)'!$C$31:$C$1048576,0))+IF(I42&lt;0.001,0,'Eff. thickness (DNVGL-RP-C203)'!$L$29))))</f>
        <v>92</v>
      </c>
      <c r="AF69" s="3">
        <f t="shared" si="35"/>
        <v>0.77060254017451113</v>
      </c>
      <c r="AG69" s="3">
        <f t="shared" si="36"/>
        <v>0.77060254017451113</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3:37" ht="14.85" customHeight="1">
      <c r="C70" s="12" t="str">
        <f t="shared" si="19"/>
        <v>CW9</v>
      </c>
      <c r="D70" s="2">
        <f t="shared" si="20"/>
        <v>-29.6</v>
      </c>
      <c r="E70" s="3">
        <f>IF(Geometry_loads!H27="-","-",Geometry_loads!H27*Control!$F$54)</f>
        <v>267063.31093098514</v>
      </c>
      <c r="F70" s="3">
        <f>IF(Geometry_loads!G27="-","-",Geometry_loads!G27*Control!$F$55)</f>
        <v>318768.58605162986</v>
      </c>
      <c r="G70" s="3">
        <f t="shared" si="21"/>
        <v>42.436732603973589</v>
      </c>
      <c r="H70" s="3">
        <f t="shared" si="22"/>
        <v>41.612170178645314</v>
      </c>
      <c r="I70" s="3" t="str">
        <f t="shared" si="23"/>
        <v>-</v>
      </c>
      <c r="J70" s="3" t="str">
        <f t="shared" si="24"/>
        <v>-</v>
      </c>
      <c r="K70" s="3">
        <f t="shared" si="25"/>
        <v>90</v>
      </c>
      <c r="L70" s="3">
        <f t="shared" si="26"/>
        <v>90</v>
      </c>
      <c r="M70" s="3">
        <f t="shared" si="27"/>
        <v>0.31622111297038463</v>
      </c>
      <c r="N70" s="3">
        <f t="shared" si="28"/>
        <v>0.29235099327035852</v>
      </c>
      <c r="O70" s="3">
        <f>IF(Control!$F$47="N",Control!$F$48,'FLS MP (driving)'!M43)</f>
        <v>0.1</v>
      </c>
      <c r="P70" s="3">
        <f>IF(Control!$F$47="N",Control!$F$48,'FLS MP (driving)'!N43)</f>
        <v>0.1</v>
      </c>
      <c r="Q70" s="3">
        <f>Control!$F$46</f>
        <v>0.03</v>
      </c>
      <c r="R70" s="3">
        <f>Control!$F$46</f>
        <v>0.03</v>
      </c>
      <c r="S70" s="3">
        <f t="shared" si="29"/>
        <v>0.44622111297038469</v>
      </c>
      <c r="T70" s="3">
        <f t="shared" si="30"/>
        <v>0.42235099327035852</v>
      </c>
      <c r="X70" s="37">
        <f>IF(OR(D70&gt;=$Z$13,D70&lt;=$Z$12,Geometry!P35="n"),0,"X")</f>
        <v>0</v>
      </c>
      <c r="Y70" s="37">
        <f>IF(OR(D70&gt;=$Z$15,D70&lt;=$Z$12,Geometry!Q35="n"),0,"X")</f>
        <v>0</v>
      </c>
      <c r="Z70" s="37">
        <f t="shared" si="31"/>
        <v>0</v>
      </c>
      <c r="AA70" s="37">
        <f t="shared" si="32"/>
        <v>0</v>
      </c>
      <c r="AB70" s="3">
        <f t="shared" si="33"/>
        <v>29.797409936390167</v>
      </c>
      <c r="AC70" s="3">
        <f t="shared" si="34"/>
        <v>29.797409936390167</v>
      </c>
      <c r="AD70" s="3">
        <f>IF(OR(Control!$F$39="EC",Control!$F$51="N"),G43,MIN(G43,14+0.66*(INDEX('Eff. thickness (DNVGL-RP-C203)'!$E$31:$E$1048576,MATCH(G43,'Eff. thickness (DNVGL-RP-C203)'!$C$31:$C$1048576,0)))))</f>
        <v>92</v>
      </c>
      <c r="AE70" s="3">
        <f>IF(OR(Control!$F$39="EC",Control!$F$51="N"),G43,MIN(G43,14+0.66*(INDEX('Eff. thickness (DNVGL-RP-C203)'!$D$31:$D$1048576,MATCH(G43,'Eff. thickness (DNVGL-RP-C203)'!$C$31:$C$1048576,0))+IF(I43&lt;0.001,0,'Eff. thickness (DNVGL-RP-C203)'!$L$29))))</f>
        <v>92</v>
      </c>
      <c r="AF70" s="3">
        <f t="shared" si="35"/>
        <v>0.77060254017451113</v>
      </c>
      <c r="AG70" s="3">
        <f t="shared" si="36"/>
        <v>0.77060254017451113</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3:37" ht="14.85" customHeight="1">
      <c r="C71" s="12" t="str">
        <f t="shared" si="19"/>
        <v>CW10</v>
      </c>
      <c r="D71" s="2">
        <f t="shared" si="20"/>
        <v>-33.5</v>
      </c>
      <c r="E71" s="3">
        <f>IF(Geometry_loads!H28="-","-",Geometry_loads!H28*Control!$F$54)</f>
        <v>280198.45462523232</v>
      </c>
      <c r="F71" s="3">
        <f>IF(Geometry_loads!G28="-","-",Geometry_loads!G28*Control!$F$55)</f>
        <v>334912.46896420454</v>
      </c>
      <c r="G71" s="3">
        <f t="shared" si="21"/>
        <v>41.532282388806287</v>
      </c>
      <c r="H71" s="3">
        <f t="shared" si="22"/>
        <v>40.752492597016456</v>
      </c>
      <c r="I71" s="3" t="str">
        <f t="shared" si="23"/>
        <v>-</v>
      </c>
      <c r="J71" s="3" t="str">
        <f t="shared" si="24"/>
        <v>-</v>
      </c>
      <c r="K71" s="3">
        <f t="shared" si="25"/>
        <v>90</v>
      </c>
      <c r="L71" s="3">
        <f t="shared" si="26"/>
        <v>112</v>
      </c>
      <c r="M71" s="3">
        <f t="shared" si="27"/>
        <v>0.31397239234095098</v>
      </c>
      <c r="N71" s="3">
        <f t="shared" si="28"/>
        <v>0.25449818546215286</v>
      </c>
      <c r="O71" s="3">
        <f>IF(Control!$F$47="N",Control!$F$48,'FLS MP (driving)'!M44)</f>
        <v>0.1</v>
      </c>
      <c r="P71" s="3">
        <f>IF(Control!$F$47="N",Control!$F$48,'FLS MP (driving)'!N44)</f>
        <v>0.1</v>
      </c>
      <c r="Q71" s="3">
        <f>Control!$F$46</f>
        <v>0.03</v>
      </c>
      <c r="R71" s="3">
        <f>Control!$F$46</f>
        <v>0.03</v>
      </c>
      <c r="S71" s="3">
        <f t="shared" si="29"/>
        <v>0.44397239234095098</v>
      </c>
      <c r="T71" s="3">
        <f t="shared" si="30"/>
        <v>0.38449818546215286</v>
      </c>
      <c r="X71" s="37">
        <f>IF(OR(D71&gt;=$Z$13,D71&lt;=$Z$12,Geometry!P36="n"),0,"X")</f>
        <v>0</v>
      </c>
      <c r="Y71" s="37">
        <f>IF(OR(D71&gt;=$Z$15,D71&lt;=$Z$12,Geometry!Q36="n"),0,"X")</f>
        <v>0</v>
      </c>
      <c r="Z71" s="37">
        <f t="shared" si="31"/>
        <v>0</v>
      </c>
      <c r="AA71" s="37">
        <f t="shared" si="32"/>
        <v>0</v>
      </c>
      <c r="AB71" s="3">
        <f t="shared" si="33"/>
        <v>33.057957537957982</v>
      </c>
      <c r="AC71" s="3">
        <f t="shared" si="34"/>
        <v>33.057957537957982</v>
      </c>
      <c r="AD71" s="3">
        <f>IF(OR(Control!$F$39="EC",Control!$F$51="N"),G44,MIN(G44,14+0.66*(INDEX('Eff. thickness (DNVGL-RP-C203)'!$E$31:$E$1048576,MATCH(G44,'Eff. thickness (DNVGL-RP-C203)'!$C$31:$C$1048576,0)))))</f>
        <v>92</v>
      </c>
      <c r="AE71" s="3">
        <f>IF(OR(Control!$F$39="EC",Control!$F$51="N"),G44,MIN(G44,14+0.66*(INDEX('Eff. thickness (DNVGL-RP-C203)'!$D$31:$D$1048576,MATCH(G44,'Eff. thickness (DNVGL-RP-C203)'!$C$31:$C$1048576,0))+IF(I44&lt;0.001,0,'Eff. thickness (DNVGL-RP-C203)'!$L$29))))</f>
        <v>92</v>
      </c>
      <c r="AF71" s="3">
        <f t="shared" si="35"/>
        <v>0.77060254017451113</v>
      </c>
      <c r="AG71" s="3">
        <f t="shared" si="36"/>
        <v>0.8778397007281632</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3:37" ht="14.85" customHeight="1">
      <c r="C72" s="12" t="str">
        <f t="shared" si="19"/>
        <v>CW11</v>
      </c>
      <c r="D72" s="2">
        <f t="shared" si="20"/>
        <v>-36.799999999999997</v>
      </c>
      <c r="E72" s="3">
        <f>IF(Geometry_loads!H29="-","-",Geometry_loads!H29*Control!$F$54)</f>
        <v>292690.71337038372</v>
      </c>
      <c r="F72" s="3">
        <f>IF(Geometry_loads!G29="-","-",Geometry_loads!G29*Control!$F$55)</f>
        <v>350278.57589426392</v>
      </c>
      <c r="G72" s="3">
        <f t="shared" si="21"/>
        <v>43.383941487253516</v>
      </c>
      <c r="H72" s="3">
        <f t="shared" si="22"/>
        <v>42.569385851166302</v>
      </c>
      <c r="I72" s="3" t="str">
        <f t="shared" si="23"/>
        <v>-</v>
      </c>
      <c r="J72" s="3" t="str">
        <f t="shared" si="24"/>
        <v>-</v>
      </c>
      <c r="K72" s="3">
        <f t="shared" si="25"/>
        <v>90</v>
      </c>
      <c r="L72" s="3">
        <f t="shared" si="26"/>
        <v>90</v>
      </c>
      <c r="M72" s="3">
        <f t="shared" si="27"/>
        <v>0.34541336112857107</v>
      </c>
      <c r="N72" s="3">
        <f t="shared" si="28"/>
        <v>0.32019360116346629</v>
      </c>
      <c r="O72" s="3">
        <f>IF(Control!$F$47="N",Control!$F$48,'FLS MP (driving)'!M45)</f>
        <v>0.1</v>
      </c>
      <c r="P72" s="3">
        <f>IF(Control!$F$47="N",Control!$F$48,'FLS MP (driving)'!N45)</f>
        <v>0.1</v>
      </c>
      <c r="Q72" s="3">
        <f>Control!$F$46</f>
        <v>0.03</v>
      </c>
      <c r="R72" s="3">
        <f>Control!$F$46</f>
        <v>0.03</v>
      </c>
      <c r="S72" s="3">
        <f t="shared" si="29"/>
        <v>0.47541336112857113</v>
      </c>
      <c r="T72" s="3">
        <f t="shared" si="30"/>
        <v>0.45019360116346629</v>
      </c>
      <c r="X72" s="37">
        <f>IF(OR(D72&gt;=$Z$13,D72&lt;=$Z$12,Geometry!P37="n"),0,"X")</f>
        <v>0</v>
      </c>
      <c r="Y72" s="37">
        <f>IF(OR(D72&gt;=$Z$15,D72&lt;=$Z$12,Geometry!Q37="n"),0,"X")</f>
        <v>0</v>
      </c>
      <c r="Z72" s="37">
        <f t="shared" si="31"/>
        <v>0</v>
      </c>
      <c r="AA72" s="37">
        <f t="shared" si="32"/>
        <v>0</v>
      </c>
      <c r="AB72" s="3">
        <f t="shared" si="33"/>
        <v>33.057957537957982</v>
      </c>
      <c r="AC72" s="3">
        <f t="shared" si="34"/>
        <v>33.057957537957982</v>
      </c>
      <c r="AD72" s="3">
        <f>IF(OR(Control!$F$39="EC",Control!$F$51="N"),G45,MIN(G45,14+0.66*(INDEX('Eff. thickness (DNVGL-RP-C203)'!$E$31:$E$1048576,MATCH(G45,'Eff. thickness (DNVGL-RP-C203)'!$C$31:$C$1048576,0)))))</f>
        <v>92</v>
      </c>
      <c r="AE72" s="3">
        <f>IF(OR(Control!$F$39="EC",Control!$F$51="N"),G45,MIN(G45,14+0.66*(INDEX('Eff. thickness (DNVGL-RP-C203)'!$D$31:$D$1048576,MATCH(G45,'Eff. thickness (DNVGL-RP-C203)'!$C$31:$C$1048576,0))+IF(I45&lt;0.001,0,'Eff. thickness (DNVGL-RP-C203)'!$L$29))))</f>
        <v>92</v>
      </c>
      <c r="AF72" s="3">
        <f t="shared" si="35"/>
        <v>0.77060254017451113</v>
      </c>
      <c r="AG72" s="3">
        <f t="shared" si="36"/>
        <v>0.77060254017451113</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3:37" ht="14.85" customHeight="1">
      <c r="C73" s="12" t="str">
        <f t="shared" si="19"/>
        <v>CW12</v>
      </c>
      <c r="D73" s="2">
        <f t="shared" si="20"/>
        <v>-40.200000000000003</v>
      </c>
      <c r="E73" s="3">
        <f>IF(Geometry_loads!H30="-","-",Geometry_loads!H30*Control!$F$54)</f>
        <v>306730.65810409916</v>
      </c>
      <c r="F73" s="3">
        <f>IF(Geometry_loads!G30="-","-",Geometry_loads!G30*Control!$F$55)</f>
        <v>368010.76338807872</v>
      </c>
      <c r="G73" s="3">
        <f t="shared" si="21"/>
        <v>45.465005603698479</v>
      </c>
      <c r="H73" s="3">
        <f t="shared" si="22"/>
        <v>44.611376927057613</v>
      </c>
      <c r="I73" s="3" t="str">
        <f t="shared" si="23"/>
        <v>-</v>
      </c>
      <c r="J73" s="3" t="str">
        <f t="shared" si="24"/>
        <v>-</v>
      </c>
      <c r="K73" s="3">
        <f t="shared" si="25"/>
        <v>90</v>
      </c>
      <c r="L73" s="3">
        <f t="shared" si="26"/>
        <v>90</v>
      </c>
      <c r="M73" s="3">
        <f t="shared" si="27"/>
        <v>0.23021697069317745</v>
      </c>
      <c r="N73" s="3">
        <f t="shared" si="28"/>
        <v>0.65364648160856564</v>
      </c>
      <c r="O73" s="3">
        <f>IF(Control!$F$47="N",Control!$F$48,'FLS MP (driving)'!M46)</f>
        <v>0.1</v>
      </c>
      <c r="P73" s="3">
        <f>IF(Control!$F$47="N",Control!$F$48,'FLS MP (driving)'!N46)</f>
        <v>0.1</v>
      </c>
      <c r="Q73" s="3">
        <f>Control!$F$46</f>
        <v>0.03</v>
      </c>
      <c r="R73" s="3">
        <f>Control!$F$46</f>
        <v>0.03</v>
      </c>
      <c r="S73" s="3">
        <f t="shared" si="29"/>
        <v>0.36021697069317749</v>
      </c>
      <c r="T73" s="3">
        <f t="shared" si="30"/>
        <v>0.78364648160856565</v>
      </c>
      <c r="X73" s="37">
        <f>IF(OR(D73&gt;=$Z$13,D73&lt;=$Z$12,Geometry!P38="n"),0,"X")</f>
        <v>0</v>
      </c>
      <c r="Y73" s="37">
        <f>IF(OR(D73&gt;=$Z$15,D73&lt;=$Z$12,Geometry!Q38="n"),0,"X")</f>
        <v>0</v>
      </c>
      <c r="Z73" s="37">
        <f t="shared" si="31"/>
        <v>0</v>
      </c>
      <c r="AA73" s="37">
        <f t="shared" si="32"/>
        <v>0</v>
      </c>
      <c r="AB73" s="3">
        <f t="shared" si="33"/>
        <v>33.057957537957982</v>
      </c>
      <c r="AC73" s="3">
        <f t="shared" si="34"/>
        <v>33.057957537957982</v>
      </c>
      <c r="AD73" s="3">
        <f>IF(OR(Control!$F$39="EC",Control!$F$51="N"),G46,MIN(G46,14+0.66*(INDEX('Eff. thickness (DNVGL-RP-C203)'!$E$31:$E$1048576,MATCH(G46,'Eff. thickness (DNVGL-RP-C203)'!$C$31:$C$1048576,0)))))</f>
        <v>92</v>
      </c>
      <c r="AE73" s="3">
        <f>IF(OR(Control!$F$39="EC",Control!$F$51="N"),G46,MIN(G46,14+0.66*(INDEX('Eff. thickness (DNVGL-RP-C203)'!$D$31:$D$1048576,MATCH(G46,'Eff. thickness (DNVGL-RP-C203)'!$C$31:$C$1048576,0))+IF(I46&lt;0.001,0,'Eff. thickness (DNVGL-RP-C203)'!$L$29))))</f>
        <v>92</v>
      </c>
      <c r="AF73" s="3">
        <f t="shared" si="35"/>
        <v>0.77060254017451113</v>
      </c>
      <c r="AG73" s="3">
        <f t="shared" si="36"/>
        <v>0.77060254017451113</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3:37" ht="14.85" customHeight="1">
      <c r="C74" s="12" t="str">
        <f t="shared" si="19"/>
        <v>CW13</v>
      </c>
      <c r="D74" s="2">
        <f t="shared" si="20"/>
        <v>-43.8</v>
      </c>
      <c r="E74" s="3">
        <f>IF(Geometry_loads!H31="-","-",Geometry_loads!H31*Control!$F$54)</f>
        <v>323067.50862926076</v>
      </c>
      <c r="F74" s="3">
        <f>IF(Geometry_loads!G31="-","-",Geometry_loads!G31*Control!$F$55)</f>
        <v>388575.60748121649</v>
      </c>
      <c r="G74" s="3">
        <f t="shared" si="21"/>
        <v>43.740136385133141</v>
      </c>
      <c r="H74" s="3">
        <f t="shared" si="22"/>
        <v>42.838553982092641</v>
      </c>
      <c r="I74" s="3" t="str">
        <f t="shared" si="23"/>
        <v>-</v>
      </c>
      <c r="J74" s="3" t="str">
        <f t="shared" si="24"/>
        <v>-</v>
      </c>
      <c r="K74" s="3">
        <f t="shared" si="25"/>
        <v>90</v>
      </c>
      <c r="L74" s="3">
        <f t="shared" si="26"/>
        <v>90</v>
      </c>
      <c r="M74" s="3">
        <f t="shared" si="27"/>
        <v>0.21250820736681983</v>
      </c>
      <c r="N74" s="3">
        <f t="shared" si="28"/>
        <v>0.59886159739504341</v>
      </c>
      <c r="O74" s="3">
        <f>IF(Control!$F$47="N",Control!$F$48,'FLS MP (driving)'!M47)</f>
        <v>0.1</v>
      </c>
      <c r="P74" s="3">
        <f>IF(Control!$F$47="N",Control!$F$48,'FLS MP (driving)'!N47)</f>
        <v>0.1</v>
      </c>
      <c r="Q74" s="3">
        <f>Control!$F$46</f>
        <v>0.03</v>
      </c>
      <c r="R74" s="3">
        <f>Control!$F$46</f>
        <v>0.03</v>
      </c>
      <c r="S74" s="3">
        <f t="shared" si="29"/>
        <v>0.34250820736681986</v>
      </c>
      <c r="T74" s="3">
        <f t="shared" si="30"/>
        <v>0.72886159739504341</v>
      </c>
      <c r="X74" s="37">
        <f>IF(OR(D74&gt;=$Z$13,D74&lt;=$Z$12,Geometry!P39="n"),0,"X")</f>
        <v>0</v>
      </c>
      <c r="Y74" s="37">
        <f>IF(OR(D74&gt;=$Z$15,D74&lt;=$Z$12,Geometry!Q39="n"),0,"X")</f>
        <v>0</v>
      </c>
      <c r="Z74" s="37">
        <f t="shared" si="31"/>
        <v>0</v>
      </c>
      <c r="AA74" s="37">
        <f t="shared" si="32"/>
        <v>0</v>
      </c>
      <c r="AB74" s="3">
        <f t="shared" si="33"/>
        <v>36.191720536597025</v>
      </c>
      <c r="AC74" s="3">
        <f t="shared" si="34"/>
        <v>36.191720536597025</v>
      </c>
      <c r="AD74" s="3">
        <f>IF(OR(Control!$F$39="EC",Control!$F$51="N"),G47,MIN(G47,14+0.66*(INDEX('Eff. thickness (DNVGL-RP-C203)'!$E$31:$E$1048576,MATCH(G47,'Eff. thickness (DNVGL-RP-C203)'!$C$31:$C$1048576,0)))))</f>
        <v>101</v>
      </c>
      <c r="AE74" s="3">
        <f>IF(OR(Control!$F$39="EC",Control!$F$51="N"),G47,MIN(G47,14+0.66*(INDEX('Eff. thickness (DNVGL-RP-C203)'!$D$31:$D$1048576,MATCH(G47,'Eff. thickness (DNVGL-RP-C203)'!$C$31:$C$1048576,0))+IF(I47&lt;0.001,0,'Eff. thickness (DNVGL-RP-C203)'!$L$29))))</f>
        <v>101</v>
      </c>
      <c r="AF74" s="3">
        <f t="shared" si="35"/>
        <v>0.75635159482564784</v>
      </c>
      <c r="AG74" s="3">
        <f t="shared" si="36"/>
        <v>0.75635159482564784</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3:37" ht="14.85" customHeight="1">
      <c r="C75" s="12" t="str">
        <f t="shared" si="19"/>
        <v>CW14</v>
      </c>
      <c r="D75" s="2">
        <f t="shared" si="20"/>
        <v>-47.8</v>
      </c>
      <c r="E75" s="3">
        <f>IF(Geometry_loads!H32="-","-",Geometry_loads!H32*Control!$F$54)</f>
        <v>349530.0672837632</v>
      </c>
      <c r="F75" s="3" t="str">
        <f>IF(Geometry_loads!G32="-","-",Geometry_loads!G32*Control!$F$55)</f>
        <v>-</v>
      </c>
      <c r="G75" s="3">
        <f t="shared" si="21"/>
        <v>51.808927630325542</v>
      </c>
      <c r="H75" s="3">
        <f t="shared" si="22"/>
        <v>50.83618858093984</v>
      </c>
      <c r="I75" s="3" t="str">
        <f t="shared" si="23"/>
        <v>-</v>
      </c>
      <c r="J75" s="3" t="str">
        <f t="shared" si="24"/>
        <v>-</v>
      </c>
      <c r="K75" s="3">
        <f t="shared" si="25"/>
        <v>90</v>
      </c>
      <c r="L75" s="3">
        <f t="shared" si="26"/>
        <v>90</v>
      </c>
      <c r="M75" s="3">
        <f t="shared" si="27"/>
        <v>0.62139459088337412</v>
      </c>
      <c r="N75" s="3">
        <f t="shared" si="28"/>
        <v>0.75211642534423595</v>
      </c>
      <c r="O75" s="3">
        <f>IF(Control!$F$47="N",Control!$F$48,'FLS MP (driving)'!M48)</f>
        <v>0.1</v>
      </c>
      <c r="P75" s="3">
        <f>IF(Control!$F$47="N",Control!$F$48,'FLS MP (driving)'!N48)</f>
        <v>0.1</v>
      </c>
      <c r="Q75" s="3">
        <f>Control!$F$46</f>
        <v>0.03</v>
      </c>
      <c r="R75" s="3">
        <f>Control!$F$46</f>
        <v>0.03</v>
      </c>
      <c r="S75" s="3">
        <f t="shared" si="29"/>
        <v>0.75139459088337412</v>
      </c>
      <c r="T75" s="3">
        <f t="shared" si="30"/>
        <v>0.88211642534423595</v>
      </c>
      <c r="X75" s="37">
        <f>IF(OR(D75&gt;=$Z$13,D75&lt;=$Z$12,Geometry!P40="n"),0,"X")</f>
        <v>0</v>
      </c>
      <c r="Y75" s="37">
        <f>IF(OR(D75&gt;=$Z$15,D75&lt;=$Z$12,Geometry!Q40="n"),0,"X")</f>
        <v>0</v>
      </c>
      <c r="Z75" s="37">
        <f t="shared" si="31"/>
        <v>0</v>
      </c>
      <c r="AA75" s="37">
        <f t="shared" si="32"/>
        <v>0</v>
      </c>
      <c r="AB75" s="3">
        <f t="shared" si="33"/>
        <v>33.057957537957982</v>
      </c>
      <c r="AC75" s="3">
        <f t="shared" si="34"/>
        <v>33.057957537957982</v>
      </c>
      <c r="AD75" s="3">
        <f>IF(OR(Control!$F$39="EC",Control!$F$51="N"),G48,MIN(G48,14+0.66*(INDEX('Eff. thickness (DNVGL-RP-C203)'!$E$31:$E$1048576,MATCH(G48,'Eff. thickness (DNVGL-RP-C203)'!$C$31:$C$1048576,0)))))</f>
        <v>92</v>
      </c>
      <c r="AE75" s="3">
        <f>IF(OR(Control!$F$39="EC",Control!$F$51="N"),G48,MIN(G48,14+0.66*(INDEX('Eff. thickness (DNVGL-RP-C203)'!$D$31:$D$1048576,MATCH(G48,'Eff. thickness (DNVGL-RP-C203)'!$C$31:$C$1048576,0))+IF(I48&lt;0.001,0,'Eff. thickness (DNVGL-RP-C203)'!$L$29))))</f>
        <v>92</v>
      </c>
      <c r="AF75" s="3">
        <f t="shared" si="35"/>
        <v>0.77060254017451113</v>
      </c>
      <c r="AG75" s="3">
        <f t="shared" si="36"/>
        <v>0.77060254017451113</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3:37" ht="14.85" customHeight="1">
      <c r="C76" s="12" t="str">
        <f t="shared" si="19"/>
        <v>CW15</v>
      </c>
      <c r="D76" s="2">
        <f t="shared" si="20"/>
        <v>-51.8</v>
      </c>
      <c r="E76" s="3">
        <f>IF(Geometry_loads!H33="-","-",Geometry_loads!H33*Control!$F$54)</f>
        <v>373053.19744858553</v>
      </c>
      <c r="F76" s="3" t="str">
        <f>IF(Geometry_loads!G33="-","-",Geometry_loads!G33*Control!$F$55)</f>
        <v>-</v>
      </c>
      <c r="G76" s="3">
        <f t="shared" si="21"/>
        <v>56.48972401654148</v>
      </c>
      <c r="H76" s="3">
        <f t="shared" si="22"/>
        <v>55.452157657053981</v>
      </c>
      <c r="I76" s="3" t="str">
        <f t="shared" si="23"/>
        <v>-</v>
      </c>
      <c r="J76" s="3" t="str">
        <f t="shared" si="24"/>
        <v>-</v>
      </c>
      <c r="K76" s="3">
        <f t="shared" si="25"/>
        <v>90</v>
      </c>
      <c r="L76" s="3">
        <f t="shared" si="26"/>
        <v>112</v>
      </c>
      <c r="M76" s="3">
        <f t="shared" si="27"/>
        <v>0.49871274377313785</v>
      </c>
      <c r="N76" s="3">
        <f t="shared" si="28"/>
        <v>0.46042642298104486</v>
      </c>
      <c r="O76" s="3">
        <f>IF(Control!$F$47="N",Control!$F$48,'FLS MP (driving)'!M49)</f>
        <v>0.1</v>
      </c>
      <c r="P76" s="3">
        <f>IF(Control!$F$47="N",Control!$F$48,'FLS MP (driving)'!N49)</f>
        <v>0.1</v>
      </c>
      <c r="Q76" s="3">
        <f>Control!$F$46</f>
        <v>0.03</v>
      </c>
      <c r="R76" s="3">
        <f>Control!$F$46</f>
        <v>0.03</v>
      </c>
      <c r="S76" s="3">
        <f t="shared" si="29"/>
        <v>0.62871274377313791</v>
      </c>
      <c r="T76" s="3">
        <f t="shared" si="30"/>
        <v>0.59042642298104486</v>
      </c>
      <c r="X76" s="37">
        <f>IF(OR(D76&gt;=$Z$13,D76&lt;=$Z$12,Geometry!P41="n"),0,"X")</f>
        <v>0</v>
      </c>
      <c r="Y76" s="37">
        <f>IF(OR(D76&gt;=$Z$15,D76&lt;=$Z$12,Geometry!Q41="n"),0,"X")</f>
        <v>0</v>
      </c>
      <c r="Z76" s="37">
        <f t="shared" si="31"/>
        <v>0</v>
      </c>
      <c r="AA76" s="37">
        <f t="shared" si="32"/>
        <v>0</v>
      </c>
      <c r="AB76" s="3">
        <f t="shared" si="33"/>
        <v>32.359171501046823</v>
      </c>
      <c r="AC76" s="3">
        <f t="shared" si="34"/>
        <v>32.359171501046823</v>
      </c>
      <c r="AD76" s="3">
        <f>IF(OR(Control!$F$39="EC",Control!$F$51="N"),G49,MIN(G49,14+0.66*(INDEX('Eff. thickness (DNVGL-RP-C203)'!$E$31:$E$1048576,MATCH(G49,'Eff. thickness (DNVGL-RP-C203)'!$C$31:$C$1048576,0)))))</f>
        <v>90</v>
      </c>
      <c r="AE76" s="3">
        <f>IF(OR(Control!$F$39="EC",Control!$F$51="N"),G49,MIN(G49,14+0.66*(INDEX('Eff. thickness (DNVGL-RP-C203)'!$D$31:$D$1048576,MATCH(G49,'Eff. thickness (DNVGL-RP-C203)'!$C$31:$C$1048576,0))+IF(I49&lt;0.001,0,'Eff. thickness (DNVGL-RP-C203)'!$L$29))))</f>
        <v>90</v>
      </c>
      <c r="AF76" s="3">
        <f t="shared" si="35"/>
        <v>0.77399739650057642</v>
      </c>
      <c r="AG76" s="3">
        <f t="shared" si="36"/>
        <v>0.87977121827244176</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3:37" ht="14.85" customHeight="1">
      <c r="C77" s="12" t="str">
        <f t="shared" si="19"/>
        <v>CW16</v>
      </c>
      <c r="D77" s="2">
        <f t="shared" si="20"/>
        <v>-55.8</v>
      </c>
      <c r="E77" s="3">
        <f>IF(Geometry_loads!H34="-","-",Geometry_loads!H34*Control!$F$54)</f>
        <v>387858.40932400298</v>
      </c>
      <c r="F77" s="3" t="str">
        <f>IF(Geometry_loads!G34="-","-",Geometry_loads!G34*Control!$F$55)</f>
        <v>-</v>
      </c>
      <c r="G77" s="3">
        <f t="shared" si="21"/>
        <v>65.870537351744602</v>
      </c>
      <c r="H77" s="3">
        <f t="shared" si="22"/>
        <v>64.79510000722631</v>
      </c>
      <c r="I77" s="3" t="str">
        <f t="shared" si="23"/>
        <v>-</v>
      </c>
      <c r="J77" s="3" t="str">
        <f t="shared" si="24"/>
        <v>-</v>
      </c>
      <c r="K77" s="3">
        <f t="shared" si="25"/>
        <v>112</v>
      </c>
      <c r="L77" s="3">
        <f t="shared" si="26"/>
        <v>112</v>
      </c>
      <c r="M77" s="3">
        <f t="shared" si="27"/>
        <v>0.4651497349991357</v>
      </c>
      <c r="N77" s="3">
        <f t="shared" si="28"/>
        <v>0.43550847491028521</v>
      </c>
      <c r="O77" s="3">
        <f>IF(Control!$F$47="N",Control!$F$48,'FLS MP (driving)'!M50)</f>
        <v>0.1</v>
      </c>
      <c r="P77" s="3">
        <f>IF(Control!$F$47="N",Control!$F$48,'FLS MP (driving)'!N50)</f>
        <v>0.1</v>
      </c>
      <c r="Q77" s="3">
        <f>Control!$F$46</f>
        <v>0.03</v>
      </c>
      <c r="R77" s="3">
        <f>Control!$F$46</f>
        <v>0.03</v>
      </c>
      <c r="S77" s="3">
        <f t="shared" si="29"/>
        <v>0.5951497349991357</v>
      </c>
      <c r="T77" s="3">
        <f t="shared" si="30"/>
        <v>0.56550847491028522</v>
      </c>
      <c r="X77" s="37">
        <f>IF(OR(D77&gt;=$Z$13,D77&lt;=$Z$12,Geometry!P42="n"),0,"X")</f>
        <v>0</v>
      </c>
      <c r="Y77" s="37">
        <f>IF(OR(D77&gt;=$Z$15,D77&lt;=$Z$12,Geometry!Q42="n"),0,"X")</f>
        <v>0</v>
      </c>
      <c r="Z77" s="37">
        <f t="shared" si="31"/>
        <v>0</v>
      </c>
      <c r="AA77" s="37">
        <f t="shared" si="32"/>
        <v>0</v>
      </c>
      <c r="AB77" s="3">
        <f t="shared" si="33"/>
        <v>28.852143645633696</v>
      </c>
      <c r="AC77" s="3">
        <f t="shared" si="34"/>
        <v>28.852143645633696</v>
      </c>
      <c r="AD77" s="3">
        <f>IF(OR(Control!$F$39="EC",Control!$F$51="N"),G50,MIN(G50,14+0.66*(INDEX('Eff. thickness (DNVGL-RP-C203)'!$E$31:$E$1048576,MATCH(G50,'Eff. thickness (DNVGL-RP-C203)'!$C$31:$C$1048576,0)))))</f>
        <v>80</v>
      </c>
      <c r="AE77" s="3">
        <f>IF(OR(Control!$F$39="EC",Control!$F$51="N"),G50,MIN(G50,14+0.66*(INDEX('Eff. thickness (DNVGL-RP-C203)'!$D$31:$D$1048576,MATCH(G50,'Eff. thickness (DNVGL-RP-C203)'!$C$31:$C$1048576,0))+IF(I50&lt;0.001,0,'Eff. thickness (DNVGL-RP-C203)'!$L$29))))</f>
        <v>80</v>
      </c>
      <c r="AF77" s="3">
        <f t="shared" si="35"/>
        <v>0.89019469568772247</v>
      </c>
      <c r="AG77" s="3">
        <f t="shared" si="36"/>
        <v>0.89019469568772247</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3:37" ht="14.85" customHeight="1">
      <c r="C78" s="12" t="str">
        <f t="shared" si="19"/>
        <v>CW17</v>
      </c>
      <c r="D78" s="2">
        <f t="shared" si="20"/>
        <v>-59.8</v>
      </c>
      <c r="E78" s="3">
        <f>IF(Geometry_loads!H35="-","-",Geometry_loads!H35*Control!$F$54)</f>
        <v>390144.80966438522</v>
      </c>
      <c r="F78" s="3" t="str">
        <f>IF(Geometry_loads!G35="-","-",Geometry_loads!G35*Control!$F$55)</f>
        <v>-</v>
      </c>
      <c r="G78" s="3">
        <f t="shared" si="21"/>
        <v>66.258839926606072</v>
      </c>
      <c r="H78" s="3">
        <f t="shared" si="22"/>
        <v>65.177062948212509</v>
      </c>
      <c r="I78" s="3" t="str">
        <f t="shared" si="23"/>
        <v>-</v>
      </c>
      <c r="J78" s="3" t="str">
        <f t="shared" si="24"/>
        <v>-</v>
      </c>
      <c r="K78" s="3">
        <f t="shared" si="25"/>
        <v>112</v>
      </c>
      <c r="L78" s="3">
        <f t="shared" si="26"/>
        <v>112</v>
      </c>
      <c r="M78" s="3">
        <f t="shared" si="27"/>
        <v>0.47621521207370932</v>
      </c>
      <c r="N78" s="3">
        <f t="shared" si="28"/>
        <v>0.44586881413505419</v>
      </c>
      <c r="O78" s="3">
        <f>IF(Control!$F$47="N",Control!$F$48,'FLS MP (driving)'!M51)</f>
        <v>0.1</v>
      </c>
      <c r="P78" s="3">
        <f>IF(Control!$F$47="N",Control!$F$48,'FLS MP (driving)'!N51)</f>
        <v>0.1</v>
      </c>
      <c r="Q78" s="3">
        <f>Control!$F$46</f>
        <v>0.03</v>
      </c>
      <c r="R78" s="3">
        <f>Control!$F$46</f>
        <v>0.03</v>
      </c>
      <c r="S78" s="3">
        <f t="shared" si="29"/>
        <v>0.60621521207370932</v>
      </c>
      <c r="T78" s="3">
        <f t="shared" si="30"/>
        <v>0.5758688141350542</v>
      </c>
      <c r="X78" s="37">
        <f>IF(OR(D78&gt;=$Z$13,D78&lt;=$Z$12,Geometry!P43="n"),0,"X")</f>
        <v>0</v>
      </c>
      <c r="Y78" s="37">
        <f>IF(OR(D78&gt;=$Z$15,D78&lt;=$Z$12,Geometry!Q43="n"),0,"X")</f>
        <v>0</v>
      </c>
      <c r="Z78" s="37">
        <f t="shared" si="31"/>
        <v>0</v>
      </c>
      <c r="AA78" s="37">
        <f t="shared" si="32"/>
        <v>0</v>
      </c>
      <c r="AB78" s="3">
        <f t="shared" si="33"/>
        <v>28.852143645633696</v>
      </c>
      <c r="AC78" s="3">
        <f t="shared" si="34"/>
        <v>28.852143645633696</v>
      </c>
      <c r="AD78" s="3">
        <f>IF(OR(Control!$F$39="EC",Control!$F$51="N"),G51,MIN(G51,14+0.66*(INDEX('Eff. thickness (DNVGL-RP-C203)'!$E$31:$E$1048576,MATCH(G51,'Eff. thickness (DNVGL-RP-C203)'!$C$31:$C$1048576,0)))))</f>
        <v>80</v>
      </c>
      <c r="AE78" s="3">
        <f>IF(OR(Control!$F$39="EC",Control!$F$51="N"),G51,MIN(G51,14+0.66*(INDEX('Eff. thickness (DNVGL-RP-C203)'!$D$31:$D$1048576,MATCH(G51,'Eff. thickness (DNVGL-RP-C203)'!$C$31:$C$1048576,0))+IF(I51&lt;0.001,0,'Eff. thickness (DNVGL-RP-C203)'!$L$29))))</f>
        <v>80</v>
      </c>
      <c r="AF78" s="3">
        <f t="shared" si="35"/>
        <v>0.89019469568772247</v>
      </c>
      <c r="AG78" s="3">
        <f t="shared" si="36"/>
        <v>0.89019469568772247</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3:37" ht="14.85" customHeight="1">
      <c r="C79" s="12" t="str">
        <f t="shared" si="19"/>
        <v>CW18</v>
      </c>
      <c r="D79" s="2">
        <f t="shared" si="20"/>
        <v>-63.8</v>
      </c>
      <c r="E79" s="3">
        <f>IF(Geometry_loads!H36="-","-",Geometry_loads!H36*Control!$F$54)</f>
        <v>351684.25215857424</v>
      </c>
      <c r="F79" s="3" t="str">
        <f>IF(Geometry_loads!G36="-","-",Geometry_loads!G36*Control!$F$55)</f>
        <v>-</v>
      </c>
      <c r="G79" s="3">
        <f t="shared" si="21"/>
        <v>59.727029531748506</v>
      </c>
      <c r="H79" s="3">
        <f t="shared" si="22"/>
        <v>58.751894355719962</v>
      </c>
      <c r="I79" s="3" t="str">
        <f t="shared" si="23"/>
        <v>-</v>
      </c>
      <c r="J79" s="3" t="str">
        <f t="shared" si="24"/>
        <v>-</v>
      </c>
      <c r="K79" s="3">
        <f t="shared" si="25"/>
        <v>112</v>
      </c>
      <c r="L79" s="3">
        <f t="shared" si="26"/>
        <v>112</v>
      </c>
      <c r="M79" s="3">
        <f t="shared" si="27"/>
        <v>0.3144210523221842</v>
      </c>
      <c r="N79" s="3">
        <f t="shared" si="28"/>
        <v>0.29438484572451912</v>
      </c>
      <c r="O79" s="3">
        <f>IF(Control!$F$47="N",Control!$F$48,'FLS MP (driving)'!M52)</f>
        <v>0.1</v>
      </c>
      <c r="P79" s="3">
        <f>IF(Control!$F$47="N",Control!$F$48,'FLS MP (driving)'!N52)</f>
        <v>0.1</v>
      </c>
      <c r="Q79" s="3">
        <f>Control!$F$46</f>
        <v>0.03</v>
      </c>
      <c r="R79" s="3">
        <f>Control!$F$46</f>
        <v>0.03</v>
      </c>
      <c r="S79" s="3">
        <f t="shared" si="29"/>
        <v>0.44442105232218421</v>
      </c>
      <c r="T79" s="3">
        <f t="shared" si="30"/>
        <v>0.42438484572451918</v>
      </c>
      <c r="X79" s="37">
        <f>IF(OR(D79&gt;=$Z$13,D79&lt;=$Z$12,Geometry!P44="n"),0,"X")</f>
        <v>0</v>
      </c>
      <c r="Y79" s="37">
        <f>IF(OR(D79&gt;=$Z$15,D79&lt;=$Z$12,Geometry!Q44="n"),0,"X")</f>
        <v>0</v>
      </c>
      <c r="Z79" s="37">
        <f t="shared" si="31"/>
        <v>0</v>
      </c>
      <c r="AA79" s="37">
        <f t="shared" si="32"/>
        <v>0</v>
      </c>
      <c r="AB79" s="3">
        <f t="shared" si="33"/>
        <v>28.852143645633696</v>
      </c>
      <c r="AC79" s="3">
        <f t="shared" si="34"/>
        <v>28.852143645633696</v>
      </c>
      <c r="AD79" s="3">
        <f>IF(OR(Control!$F$39="EC",Control!$F$51="N"),G52,MIN(G52,14+0.66*(INDEX('Eff. thickness (DNVGL-RP-C203)'!$E$31:$E$1048576,MATCH(G52,'Eff. thickness (DNVGL-RP-C203)'!$C$31:$C$1048576,0)))))</f>
        <v>80</v>
      </c>
      <c r="AE79" s="3">
        <f>IF(OR(Control!$F$39="EC",Control!$F$51="N"),G52,MIN(G52,14+0.66*(INDEX('Eff. thickness (DNVGL-RP-C203)'!$D$31:$D$1048576,MATCH(G52,'Eff. thickness (DNVGL-RP-C203)'!$C$31:$C$1048576,0))+IF(I52&lt;0.001,0,'Eff. thickness (DNVGL-RP-C203)'!$L$29))))</f>
        <v>80</v>
      </c>
      <c r="AF79" s="3">
        <f t="shared" si="35"/>
        <v>0.89019469568772247</v>
      </c>
      <c r="AG79" s="3">
        <f t="shared" si="36"/>
        <v>0.89019469568772247</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3:37" ht="14.85" customHeight="1">
      <c r="C80" s="12" t="str">
        <f t="shared" si="19"/>
        <v>CW19</v>
      </c>
      <c r="D80" s="2">
        <f t="shared" si="20"/>
        <v>-67.8</v>
      </c>
      <c r="E80" s="3">
        <f>IF(Geometry_loads!H37="-","-",Geometry_loads!H37*Control!$F$54)</f>
        <v>284301.51280085149</v>
      </c>
      <c r="F80" s="3" t="str">
        <f>IF(Geometry_loads!G37="-","-",Geometry_loads!G37*Control!$F$55)</f>
        <v>-</v>
      </c>
      <c r="G80" s="3">
        <f t="shared" si="21"/>
        <v>48.283324450139844</v>
      </c>
      <c r="H80" s="3">
        <f t="shared" si="22"/>
        <v>47.49502527544368</v>
      </c>
      <c r="I80" s="3" t="str">
        <f t="shared" si="23"/>
        <v>-</v>
      </c>
      <c r="J80" s="3" t="str">
        <f t="shared" si="24"/>
        <v>-</v>
      </c>
      <c r="K80" s="3">
        <f t="shared" si="25"/>
        <v>90</v>
      </c>
      <c r="L80" s="3">
        <f t="shared" si="26"/>
        <v>90</v>
      </c>
      <c r="M80" s="3">
        <f t="shared" si="27"/>
        <v>0.51283618004586984</v>
      </c>
      <c r="N80" s="3">
        <f t="shared" si="28"/>
        <v>0.48015614294826653</v>
      </c>
      <c r="O80" s="3">
        <f>IF(Control!$F$47="N",Control!$F$48,'FLS MP (driving)'!M53)</f>
        <v>0.1</v>
      </c>
      <c r="P80" s="3">
        <f>IF(Control!$F$47="N",Control!$F$48,'FLS MP (driving)'!N53)</f>
        <v>0.1</v>
      </c>
      <c r="Q80" s="3">
        <f>Control!$F$46</f>
        <v>0.03</v>
      </c>
      <c r="R80" s="3">
        <f>Control!$F$46</f>
        <v>0.03</v>
      </c>
      <c r="S80" s="3">
        <f t="shared" si="29"/>
        <v>0.64283618004586984</v>
      </c>
      <c r="T80" s="3">
        <f t="shared" si="30"/>
        <v>0.61015614294826659</v>
      </c>
      <c r="X80" s="37">
        <f>IF(OR(D80&gt;=$Z$13,D80&lt;=$Z$12,Geometry!P45="n"),0,"X")</f>
        <v>0</v>
      </c>
      <c r="Y80" s="37">
        <f>IF(OR(D80&gt;=$Z$15,D80&lt;=$Z$12,Geometry!Q45="n"),0,"X")</f>
        <v>0</v>
      </c>
      <c r="Z80" s="37">
        <f t="shared" si="31"/>
        <v>0</v>
      </c>
      <c r="AA80" s="37">
        <f t="shared" si="32"/>
        <v>0</v>
      </c>
      <c r="AB80" s="3">
        <f t="shared" si="33"/>
        <v>28.852143645633696</v>
      </c>
      <c r="AC80" s="3">
        <f t="shared" si="34"/>
        <v>28.852143645633696</v>
      </c>
      <c r="AD80" s="3">
        <f>IF(OR(Control!$F$39="EC",Control!$F$51="N"),G53,MIN(G53,14+0.66*(INDEX('Eff. thickness (DNVGL-RP-C203)'!$E$31:$E$1048576,MATCH(G53,'Eff. thickness (DNVGL-RP-C203)'!$C$31:$C$1048576,0)))))</f>
        <v>80</v>
      </c>
      <c r="AE80" s="3">
        <f>IF(OR(Control!$F$39="EC",Control!$F$51="N"),G53,MIN(G53,14+0.66*(INDEX('Eff. thickness (DNVGL-RP-C203)'!$D$31:$D$1048576,MATCH(G53,'Eff. thickness (DNVGL-RP-C203)'!$C$31:$C$1048576,0))+IF(I53&lt;0.001,0,'Eff. thickness (DNVGL-RP-C203)'!$L$29))))</f>
        <v>80</v>
      </c>
      <c r="AF80" s="3">
        <f t="shared" si="35"/>
        <v>0.79244659623055669</v>
      </c>
      <c r="AG80" s="3">
        <f t="shared" si="36"/>
        <v>0.79244659623055669</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CW20</v>
      </c>
      <c r="D81" s="2">
        <f t="shared" si="20"/>
        <v>-71.8</v>
      </c>
      <c r="E81" s="3">
        <f>IF(Geometry_loads!H38="-","-",Geometry_loads!H38*Control!$F$54)</f>
        <v>203164.1659922429</v>
      </c>
      <c r="F81" s="3" t="str">
        <f>IF(Geometry_loads!G38="-","-",Geometry_loads!G38*Control!$F$55)</f>
        <v>-</v>
      </c>
      <c r="G81" s="3">
        <f t="shared" si="21"/>
        <v>34.503655104068628</v>
      </c>
      <c r="H81" s="3">
        <f t="shared" si="22"/>
        <v>33.940330122777709</v>
      </c>
      <c r="I81" s="3" t="str">
        <f t="shared" si="23"/>
        <v>-</v>
      </c>
      <c r="J81" s="3" t="str">
        <f t="shared" si="24"/>
        <v>-</v>
      </c>
      <c r="K81" s="3">
        <f t="shared" si="25"/>
        <v>90</v>
      </c>
      <c r="L81" s="3">
        <f t="shared" si="26"/>
        <v>90</v>
      </c>
      <c r="M81" s="3">
        <f t="shared" si="27"/>
        <v>7.9111801468963919E-2</v>
      </c>
      <c r="N81" s="3">
        <f t="shared" si="28"/>
        <v>0.19914946196448227</v>
      </c>
      <c r="O81" s="3">
        <f>IF(Control!$F$47="N",Control!$F$48,'FLS MP (driving)'!M54)</f>
        <v>0.1</v>
      </c>
      <c r="P81" s="3">
        <f>IF(Control!$F$47="N",Control!$F$48,'FLS MP (driving)'!N54)</f>
        <v>0.1</v>
      </c>
      <c r="Q81" s="3">
        <f>Control!$F$46</f>
        <v>0.03</v>
      </c>
      <c r="R81" s="3">
        <f>Control!$F$46</f>
        <v>0.03</v>
      </c>
      <c r="S81" s="3">
        <f t="shared" si="29"/>
        <v>0.20911180146896394</v>
      </c>
      <c r="T81" s="3">
        <f t="shared" si="30"/>
        <v>0.32914946196448225</v>
      </c>
      <c r="X81" s="37">
        <f>IF(OR(D81&gt;=$Z$13,D81&lt;=$Z$12,Geometry!P46="n"),0,"X")</f>
        <v>0</v>
      </c>
      <c r="Y81" s="37">
        <f>IF(OR(D81&gt;=$Z$15,D81&lt;=$Z$12,Geometry!Q46="n"),0,"X")</f>
        <v>0</v>
      </c>
      <c r="Z81" s="37">
        <f t="shared" si="31"/>
        <v>0</v>
      </c>
      <c r="AA81" s="37">
        <f t="shared" si="32"/>
        <v>0</v>
      </c>
      <c r="AB81" s="3">
        <f t="shared" si="33"/>
        <v>28.852143645633696</v>
      </c>
      <c r="AC81" s="3">
        <f t="shared" si="34"/>
        <v>28.852143645633696</v>
      </c>
      <c r="AD81" s="3">
        <f>IF(OR(Control!$F$39="EC",Control!$F$51="N"),G54,MIN(G54,14+0.66*(INDEX('Eff. thickness (DNVGL-RP-C203)'!$E$31:$E$1048576,MATCH(G54,'Eff. thickness (DNVGL-RP-C203)'!$C$31:$C$1048576,0)))))</f>
        <v>80</v>
      </c>
      <c r="AE81" s="3">
        <f>IF(OR(Control!$F$39="EC",Control!$F$51="N"),G54,MIN(G54,14+0.66*(INDEX('Eff. thickness (DNVGL-RP-C203)'!$D$31:$D$1048576,MATCH(G54,'Eff. thickness (DNVGL-RP-C203)'!$C$31:$C$1048576,0))+IF(I54&lt;0.001,0,'Eff. thickness (DNVGL-RP-C203)'!$L$29))))</f>
        <v>80</v>
      </c>
      <c r="AF81" s="3">
        <f t="shared" si="35"/>
        <v>0.79244659623055669</v>
      </c>
      <c r="AG81" s="3">
        <f t="shared" si="36"/>
        <v>0.79244659623055669</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CW21</v>
      </c>
      <c r="D82" s="2">
        <f t="shared" si="20"/>
        <v>-75.8</v>
      </c>
      <c r="E82" s="3">
        <f>IF(Geometry_loads!H39="-","-",Geometry_loads!H39*Control!$F$54)</f>
        <v>116387.32131975664</v>
      </c>
      <c r="F82" s="3" t="str">
        <f>IF(Geometry_loads!G39="-","-",Geometry_loads!G39*Control!$F$55)</f>
        <v>-</v>
      </c>
      <c r="G82" s="3">
        <f t="shared" si="21"/>
        <v>18.214934202114282</v>
      </c>
      <c r="H82" s="3">
        <f t="shared" si="22"/>
        <v>17.891526186688992</v>
      </c>
      <c r="I82" s="3" t="str">
        <f t="shared" si="23"/>
        <v>-</v>
      </c>
      <c r="J82" s="3" t="str">
        <f t="shared" si="24"/>
        <v>-</v>
      </c>
      <c r="K82" s="3">
        <f t="shared" si="25"/>
        <v>90</v>
      </c>
      <c r="L82" s="3">
        <f t="shared" si="26"/>
        <v>90</v>
      </c>
      <c r="M82" s="3">
        <f t="shared" si="27"/>
        <v>6.0729481906636584E-3</v>
      </c>
      <c r="N82" s="3">
        <f t="shared" si="28"/>
        <v>1.6129545630311468E-2</v>
      </c>
      <c r="O82" s="3">
        <f>IF(Control!$F$47="N",Control!$F$48,'FLS MP (driving)'!M55)</f>
        <v>0.1</v>
      </c>
      <c r="P82" s="3">
        <f>IF(Control!$F$47="N",Control!$F$48,'FLS MP (driving)'!N55)</f>
        <v>0.1</v>
      </c>
      <c r="Q82" s="3">
        <f>Control!$F$46</f>
        <v>0.03</v>
      </c>
      <c r="R82" s="3">
        <f>Control!$F$46</f>
        <v>0.03</v>
      </c>
      <c r="S82" s="3">
        <f t="shared" si="29"/>
        <v>0.13607294819066368</v>
      </c>
      <c r="T82" s="3">
        <f t="shared" si="30"/>
        <v>0.14612954563031147</v>
      </c>
      <c r="X82" s="37">
        <f>IF(OR(D82&gt;=$Z$13,D82&lt;=$Z$12,Geometry!P47="n"),0,"X")</f>
        <v>0</v>
      </c>
      <c r="Y82" s="37">
        <f>IF(OR(D82&gt;=$Z$15,D82&lt;=$Z$12,Geometry!Q47="n"),0,"X")</f>
        <v>0</v>
      </c>
      <c r="Z82" s="37">
        <f t="shared" si="31"/>
        <v>0</v>
      </c>
      <c r="AA82" s="37">
        <f t="shared" si="32"/>
        <v>0</v>
      </c>
      <c r="AB82" s="3">
        <f t="shared" si="33"/>
        <v>31.309356824391418</v>
      </c>
      <c r="AC82" s="3">
        <f t="shared" si="34"/>
        <v>31.309356824391418</v>
      </c>
      <c r="AD82" s="3">
        <f>IF(OR(Control!$F$39="EC",Control!$F$51="N"),G55,MIN(G55,14+0.66*(INDEX('Eff. thickness (DNVGL-RP-C203)'!$E$31:$E$1048576,MATCH(G55,'Eff. thickness (DNVGL-RP-C203)'!$C$31:$C$1048576,0)))))</f>
        <v>87</v>
      </c>
      <c r="AE82" s="3">
        <f>IF(OR(Control!$F$39="EC",Control!$F$51="N"),G55,MIN(G55,14+0.66*(INDEX('Eff. thickness (DNVGL-RP-C203)'!$D$31:$D$1048576,MATCH(G55,'Eff. thickness (DNVGL-RP-C203)'!$C$31:$C$1048576,0))+IF(I55&lt;0.001,0,'Eff. thickness (DNVGL-RP-C203)'!$L$29))))</f>
        <v>87</v>
      </c>
      <c r="AF82" s="3">
        <f t="shared" si="35"/>
        <v>0.77926317066550199</v>
      </c>
      <c r="AG82" s="3">
        <f t="shared" si="36"/>
        <v>0.77926317066550199</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CW22</v>
      </c>
      <c r="D83" s="2">
        <f t="shared" si="20"/>
        <v>-79.75</v>
      </c>
      <c r="E83" s="3">
        <f>IF(Geometry_loads!H40="-","-",Geometry_loads!H40*Control!$F$54)</f>
        <v>35058.370648614611</v>
      </c>
      <c r="F83" s="3" t="str">
        <f>IF(Geometry_loads!G40="-","-",Geometry_loads!G40*Control!$F$55)</f>
        <v>-</v>
      </c>
      <c r="G83" s="3">
        <f t="shared" si="21"/>
        <v>5.0370479599496418</v>
      </c>
      <c r="H83" s="3">
        <f t="shared" si="22"/>
        <v>4.9393909076649045</v>
      </c>
      <c r="I83" s="3" t="str">
        <f t="shared" si="23"/>
        <v>-</v>
      </c>
      <c r="J83" s="3" t="str">
        <f t="shared" si="24"/>
        <v>-</v>
      </c>
      <c r="K83" s="3">
        <f t="shared" si="25"/>
        <v>90</v>
      </c>
      <c r="L83" s="3">
        <f t="shared" si="26"/>
        <v>90</v>
      </c>
      <c r="M83" s="3">
        <f t="shared" si="27"/>
        <v>3.3400068837781536E-5</v>
      </c>
      <c r="N83" s="3">
        <f t="shared" si="28"/>
        <v>1.029190100668781E-4</v>
      </c>
      <c r="O83" s="3">
        <f>IF(Control!$F$47="N",Control!$F$48,'FLS MP (driving)'!M56)</f>
        <v>0.1</v>
      </c>
      <c r="P83" s="3">
        <f>IF(Control!$F$47="N",Control!$F$48,'FLS MP (driving)'!N56)</f>
        <v>0.1</v>
      </c>
      <c r="Q83" s="3">
        <f>Control!$F$46</f>
        <v>0.03</v>
      </c>
      <c r="R83" s="3">
        <f>Control!$F$46</f>
        <v>0.03</v>
      </c>
      <c r="S83" s="3">
        <f t="shared" si="29"/>
        <v>0.13003340006883779</v>
      </c>
      <c r="T83" s="3">
        <f t="shared" si="30"/>
        <v>0.13010291901006688</v>
      </c>
      <c r="X83" s="37">
        <f>IF(OR(D83&gt;=$Z$13,D83&lt;=$Z$12,Geometry!P48="n"),0,"X")</f>
        <v>0</v>
      </c>
      <c r="Y83" s="37">
        <f>IF(OR(D83&gt;=$Z$15,D83&lt;=$Z$12,Geometry!Q48="n"),0,"X")</f>
        <v>0</v>
      </c>
      <c r="Z83" s="37">
        <f t="shared" si="31"/>
        <v>0</v>
      </c>
      <c r="AA83" s="37">
        <f t="shared" si="32"/>
        <v>0</v>
      </c>
      <c r="AB83" s="3">
        <f t="shared" si="33"/>
        <v>34.104502784986202</v>
      </c>
      <c r="AC83" s="3">
        <f t="shared" si="34"/>
        <v>34.104502784986202</v>
      </c>
      <c r="AD83" s="3">
        <f>IF(OR(Control!$F$39="EC",Control!$F$51="N"),G56,MIN(G56,14+0.66*(INDEX('Eff. thickness (DNVGL-RP-C203)'!$E$31:$E$1048576,MATCH(G56,'Eff. thickness (DNVGL-RP-C203)'!$C$31:$C$1048576,0)))))</f>
        <v>95</v>
      </c>
      <c r="AE83" s="3">
        <f>IF(OR(Control!$F$39="EC",Control!$F$51="N"),G56,MIN(G56,14+0.66*(INDEX('Eff. thickness (DNVGL-RP-C203)'!$D$31:$D$1048576,MATCH(G56,'Eff. thickness (DNVGL-RP-C203)'!$C$31:$C$1048576,0))+IF(I56&lt;0.001,0,'Eff. thickness (DNVGL-RP-C203)'!$L$29))))</f>
        <v>95</v>
      </c>
      <c r="AF83" s="3">
        <f t="shared" si="35"/>
        <v>0.76567290811174582</v>
      </c>
      <c r="AG83" s="3">
        <f t="shared" si="36"/>
        <v>0.76567290811174582</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row r="85" spans="2:37">
      <c r="C85" s="35" t="s">
        <v>51</v>
      </c>
      <c r="M85" s="271" t="s">
        <v>60</v>
      </c>
      <c r="N85" s="267"/>
      <c r="O85" s="267"/>
      <c r="P85" s="267"/>
      <c r="Q85" s="267"/>
      <c r="R85" s="267"/>
      <c r="S85" s="267"/>
      <c r="T85" s="319"/>
    </row>
    <row r="86" spans="2:37" ht="20.399999999999999">
      <c r="B86" s="11"/>
      <c r="C86" s="315" t="s">
        <v>19</v>
      </c>
      <c r="D86" s="323" t="s">
        <v>282</v>
      </c>
      <c r="E86" s="30" t="s">
        <v>285</v>
      </c>
      <c r="F86" s="30" t="s">
        <v>285</v>
      </c>
      <c r="G86" s="311" t="s">
        <v>24</v>
      </c>
      <c r="H86" s="312"/>
      <c r="I86" s="311" t="s">
        <v>271</v>
      </c>
      <c r="J86" s="312"/>
      <c r="K86" s="315" t="s">
        <v>27</v>
      </c>
      <c r="L86" s="315"/>
      <c r="M86" s="315" t="s">
        <v>61</v>
      </c>
      <c r="N86" s="315"/>
      <c r="O86" s="311" t="s">
        <v>218</v>
      </c>
      <c r="P86" s="313"/>
      <c r="Q86" s="315" t="s">
        <v>62</v>
      </c>
      <c r="R86" s="315"/>
      <c r="S86" s="315" t="s">
        <v>63</v>
      </c>
      <c r="T86" s="315"/>
      <c r="X86" s="315" t="s">
        <v>31</v>
      </c>
      <c r="Y86" s="315"/>
      <c r="Z86" s="311" t="s">
        <v>48</v>
      </c>
      <c r="AA86" s="313"/>
      <c r="AB86" s="30" t="s">
        <v>21</v>
      </c>
      <c r="AC86" s="5" t="s">
        <v>22</v>
      </c>
      <c r="AD86" s="316" t="str">
        <f>IF(OR(Control!$F$39="EC",Control!$F$51="N"),"t","t_eff")</f>
        <v>t</v>
      </c>
      <c r="AE86" s="317"/>
      <c r="AF86" s="315" t="s">
        <v>35</v>
      </c>
      <c r="AG86" s="315"/>
      <c r="AH86" s="315"/>
      <c r="AI86" s="315"/>
      <c r="AJ86" s="316" t="s">
        <v>425</v>
      </c>
      <c r="AK86" s="317"/>
    </row>
    <row r="87" spans="2:37" ht="20.399999999999999">
      <c r="B87" s="11"/>
      <c r="C87" s="315">
        <v>0</v>
      </c>
      <c r="D87" s="324">
        <v>0</v>
      </c>
      <c r="E87" s="30" t="str">
        <f>IF(Control!$F$39="EC","m=4, N=2E6","m=5, N=1E7")</f>
        <v>m=4, N=2E6</v>
      </c>
      <c r="F87" s="30" t="str">
        <f>IF(Control!$F$39="EC","m=3, N=2E6","m=3, N=1E7")</f>
        <v>m=3, N=2E6</v>
      </c>
      <c r="G87" s="30" t="s">
        <v>25</v>
      </c>
      <c r="H87" s="30" t="s">
        <v>26</v>
      </c>
      <c r="I87" s="5" t="s">
        <v>25</v>
      </c>
      <c r="J87" s="5" t="s">
        <v>26</v>
      </c>
      <c r="K87" s="30" t="s">
        <v>25</v>
      </c>
      <c r="L87" s="30" t="s">
        <v>26</v>
      </c>
      <c r="M87" s="30" t="s">
        <v>25</v>
      </c>
      <c r="N87" s="30" t="s">
        <v>64</v>
      </c>
      <c r="O87" s="30" t="s">
        <v>25</v>
      </c>
      <c r="P87" s="30" t="s">
        <v>64</v>
      </c>
      <c r="Q87" s="30" t="s">
        <v>25</v>
      </c>
      <c r="R87" s="30" t="s">
        <v>64</v>
      </c>
      <c r="S87" s="30" t="s">
        <v>25</v>
      </c>
      <c r="T87" s="30" t="s">
        <v>64</v>
      </c>
      <c r="X87" s="30" t="s">
        <v>33</v>
      </c>
      <c r="Y87" s="30" t="s">
        <v>34</v>
      </c>
      <c r="Z87" s="30" t="s">
        <v>33</v>
      </c>
      <c r="AA87" s="30" t="s">
        <v>34</v>
      </c>
      <c r="AB87" s="311" t="s">
        <v>30</v>
      </c>
      <c r="AC87" s="313"/>
      <c r="AD87" s="30" t="s">
        <v>45</v>
      </c>
      <c r="AE87" s="30" t="s">
        <v>34</v>
      </c>
      <c r="AF87" s="30" t="s">
        <v>45</v>
      </c>
      <c r="AG87" s="30" t="s">
        <v>34</v>
      </c>
      <c r="AH87" s="30" t="s">
        <v>46</v>
      </c>
      <c r="AI87" s="30" t="s">
        <v>47</v>
      </c>
      <c r="AJ87" s="30" t="s">
        <v>45</v>
      </c>
      <c r="AK87" s="30" t="s">
        <v>34</v>
      </c>
    </row>
    <row r="88" spans="2:37">
      <c r="B88" s="11"/>
      <c r="C88" s="30" t="s">
        <v>16</v>
      </c>
      <c r="D88" s="30" t="str">
        <f>"[m"&amp;Control!$F$7&amp;"]"</f>
        <v>[mLAT]</v>
      </c>
      <c r="E88" s="311" t="s">
        <v>20</v>
      </c>
      <c r="F88" s="313"/>
      <c r="G88" s="311" t="s">
        <v>77</v>
      </c>
      <c r="H88" s="312"/>
      <c r="I88" s="312"/>
      <c r="J88" s="313"/>
      <c r="K88" s="311" t="s">
        <v>77</v>
      </c>
      <c r="L88" s="313"/>
      <c r="M88" s="308" t="s">
        <v>16</v>
      </c>
      <c r="N88" s="309"/>
      <c r="O88" s="309"/>
      <c r="P88" s="309"/>
      <c r="Q88" s="309"/>
      <c r="R88" s="309"/>
      <c r="S88" s="309"/>
      <c r="T88" s="310"/>
      <c r="X88" s="308" t="s">
        <v>32</v>
      </c>
      <c r="Y88" s="310"/>
      <c r="Z88" s="30" t="s">
        <v>10</v>
      </c>
      <c r="AA88" s="30" t="s">
        <v>10</v>
      </c>
      <c r="AB88" s="311" t="s">
        <v>23</v>
      </c>
      <c r="AC88" s="313"/>
      <c r="AD88" s="87" t="s">
        <v>10</v>
      </c>
      <c r="AE88" s="87" t="s">
        <v>10</v>
      </c>
      <c r="AF88" s="1" t="s">
        <v>16</v>
      </c>
      <c r="AG88" s="1" t="s">
        <v>16</v>
      </c>
      <c r="AH88" s="1" t="s">
        <v>16</v>
      </c>
      <c r="AI88" s="1" t="s">
        <v>16</v>
      </c>
      <c r="AJ88" s="1" t="s">
        <v>16</v>
      </c>
      <c r="AK88" s="1" t="s">
        <v>16</v>
      </c>
    </row>
    <row r="89" spans="2:37" ht="14.85" customHeight="1">
      <c r="C89" s="12" t="str">
        <f>C35</f>
        <v>CW1</v>
      </c>
      <c r="D89" s="2">
        <f>E6</f>
        <v>1.6</v>
      </c>
      <c r="E89" s="3">
        <f>IF(Geometry_loads!H19="-","-",Geometry_loads!H19*Control!$F$54)</f>
        <v>206447.85273540171</v>
      </c>
      <c r="F89" s="3">
        <f>IF(Geometry_loads!G19="-","-",Geometry_loads!G19*Control!$F$55)</f>
        <v>246282.70567200461</v>
      </c>
      <c r="G89" s="3">
        <f>IF(X89=0,E89/AB89*E35/2/1000,(E89*($AF$24/$Z$5)^(1/$AE$4)/AB89*E35/2/1000))</f>
        <v>42.809987802856881</v>
      </c>
      <c r="H89" s="3">
        <f>IF(Y89=0,E89/AB89*(E35-2*H35/1000)/2/1000,(E89*($AF$24/$Z$5)^(1/$AE$4)/AB89*(E35-2*H35/1000)/2/1000))</f>
        <v>41.668388128114024</v>
      </c>
      <c r="I89" s="3">
        <f>IF(X89=0,"-",(F89*($AF$23/$Z$5)^(1/3)/AC89*(E35-2*Z89/1000)/2/1000))</f>
        <v>43.936503303786793</v>
      </c>
      <c r="J89" s="3">
        <f>IF(Y89=0,"-",(F89*($AF$23/$Z$5)^(1/3))/AC89*(E35-2*(H35-AA89)/1000)/2/1000)</f>
        <v>42.795950032494318</v>
      </c>
      <c r="K89" s="3">
        <f>IF(OR(N35="b",N35="o"),$AC$6,$AC$7)</f>
        <v>112</v>
      </c>
      <c r="L89" s="3">
        <f>IF(OR(N35="b",N35="i"),$AC$6,$AC$7)</f>
        <v>112</v>
      </c>
      <c r="M89" s="3">
        <f>IF(D89&gt;$Z$9,$AD$13,$AD$14)*((((IF(D89&gt;$Z$9,$AD$11,$AD$12)/AF89*L35*G89*IF(OR(N35="b",N35="o"),$AE$19,1))/(AJ89*K89))^$AE$4)+(((IF(D89&gt;$Z$9,$AD$11,$AD$12)/AH89*L35*IF(X89=0,0,I89)*IF(OR(N35="b",N35="o"),$AE$19,1))/(0.7*IF(K89=65.5,58.48,K89)))^3))</f>
        <v>0.45541993800165914</v>
      </c>
      <c r="N89" s="3">
        <f>IF(D89&gt;$Z$9,$AD$13,$AD$14)*((((IF(D89&gt;$Z$9,$AD$11,$AD$12)/AG89*M35*H89*IF(OR(N35="b",N35="i"),$AE$19,1))/(AK89*L89))^$AE$4)+(((IF(D89&gt;$Z$9,$AD$11,$AD$12)/AI89*M35*IF(Y89=0,0,J89)*IF(OR(N35="b",N35="i"),$AE$19,1))/(0.7*IF(L89=65.5,58.48,L89)))^3))</f>
        <v>0.86957698403427575</v>
      </c>
      <c r="O89" s="3">
        <f>IF(Control!$F$47="N",Control!$F$48,'FLS MP (driving)'!O35)</f>
        <v>0.1</v>
      </c>
      <c r="P89" s="3">
        <f>IF(Control!$F$47="N",Control!$F$48,'FLS MP (driving)'!P35)</f>
        <v>0.1</v>
      </c>
      <c r="Q89" s="3">
        <f>Control!$F$46</f>
        <v>0.03</v>
      </c>
      <c r="R89" s="3">
        <f>Control!$F$46</f>
        <v>0.03</v>
      </c>
      <c r="S89" s="3">
        <f>M89+O89+Q89</f>
        <v>0.58541993800165915</v>
      </c>
      <c r="T89" s="3">
        <f>N89+P89+R89</f>
        <v>0.99957698403427575</v>
      </c>
      <c r="X89" s="36" t="str">
        <f>X62</f>
        <v>X</v>
      </c>
      <c r="Y89" s="36" t="str">
        <f>Y62</f>
        <v>X</v>
      </c>
      <c r="Z89" s="36">
        <f>Z62</f>
        <v>1.7999999999999998</v>
      </c>
      <c r="AA89" s="36">
        <f>AA62</f>
        <v>0.89999999999999991</v>
      </c>
      <c r="AB89" s="3">
        <f>(PI()/64*(E35^4-(E35-2*H35/1000)^4))</f>
        <v>15.916015241432959</v>
      </c>
      <c r="AC89" s="3">
        <f>(PI()/64*((E35-2*Z62/1000)^4-((E35-2*Z62/1000)-2*(H35-Z62-AA62)/1000)^4))</f>
        <v>15.480483198184235</v>
      </c>
      <c r="AD89" s="3">
        <f>IF(OR(Control!$F$39="EC",Control!$F$51="N"),H35,MIN(H35,14+0.66*(INDEX('Eff. thickness (DNVGL-RP-C203)'!$E$31:$E$1048576,MATCH(H35,'Eff. thickness (DNVGL-RP-C203)'!$C$31:$C$1048576,0)))))</f>
        <v>100</v>
      </c>
      <c r="AE89" s="3">
        <f>IF(OR(Control!$F$39="EC",Control!$F$51="N"),H35,MIN(H35,14+0.66*(INDEX('Eff. thickness (DNVGL-RP-C203)'!$D$31:$D$1048576,MATCH(H35,'Eff. thickness (DNVGL-RP-C203)'!$C$31:$C$1048576,0))+IF(I35&lt;0.001,0,'Eff. thickness (DNVGL-RP-C203)'!$L$29))))</f>
        <v>100</v>
      </c>
      <c r="AF89" s="3">
        <f>(25/AD89)^(IF(OR(N35="b",N35="o"),0.1,0.2))</f>
        <v>0.87055056329612412</v>
      </c>
      <c r="AG89" s="3">
        <f>(25/AE89)^(IF(OR(N35="b",N35="i"),0.1,0.2))</f>
        <v>0.87055056329612412</v>
      </c>
      <c r="AH89" s="3">
        <f>IF(X62=0,1,(25/AD89)^(IF(OR(N35="b",N35="o"),0.15,0.2)))</f>
        <v>0.81225239635623547</v>
      </c>
      <c r="AI89" s="3">
        <f>IF(Y62=0,1,(25/AE89)^(IF(OR(N35="b",N35="i"),0.15,0.2)))</f>
        <v>0.81225239635623547</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c r="C90" s="12" t="str">
        <f t="shared" ref="C90:C110" si="39">C36</f>
        <v>CW2</v>
      </c>
      <c r="D90" s="2">
        <f t="shared" ref="D90:D110" si="40">E7</f>
        <v>-2.2999999999999998</v>
      </c>
      <c r="E90" s="3">
        <f>IF(Geometry_loads!H20="-","-",Geometry_loads!H20*Control!$F$54)</f>
        <v>212463.64088225467</v>
      </c>
      <c r="F90" s="3">
        <f>IF(Geometry_loads!G20="-","-",Geometry_loads!G20*Control!$F$55)</f>
        <v>253469.73457588677</v>
      </c>
      <c r="G90" s="3">
        <f t="shared" ref="G90:G110" si="41">IF(X90=0,E90/AB90*E36/2/1000,(E90*($AF$24/$Z$5)^(1/$AE$4)/AB90*E36/2/1000))</f>
        <v>50.54426572621859</v>
      </c>
      <c r="H90" s="3">
        <f t="shared" ref="H90:H110" si="42">IF(Y90=0,E90/AB90*(E36-2*H36/1000)/2/1000,(E90*($AF$24/$Z$5)^(1/$AE$4)/AB90*(E36-2*H36/1000)/2/1000))</f>
        <v>49.209897111046409</v>
      </c>
      <c r="I90" s="3" t="str">
        <f t="shared" ref="I90:I110" si="43">IF(X90=0,"-",(F90*($AF$23/$Z$5)^(1/3)/AC90*(E36-2*Z90/1000)/2/1000))</f>
        <v>-</v>
      </c>
      <c r="J90" s="3" t="str">
        <f t="shared" ref="J90:J110" si="44">IF(Y90=0,"-",(F90*($AF$23/$Z$5)^(1/3))/AC90*(E36-2*(H36-AA90)/1000)/2/1000)</f>
        <v>-</v>
      </c>
      <c r="K90" s="3">
        <f t="shared" ref="K90:K110" si="45">IF(OR(N36="b",N36="o"),$AC$6,$AC$7)</f>
        <v>90</v>
      </c>
      <c r="L90" s="3">
        <f t="shared" ref="L90:L110" si="46">IF(OR(N36="b",N36="i"),$AC$6,$AC$7)</f>
        <v>90</v>
      </c>
      <c r="M90" s="3">
        <f t="shared" ref="M90:M110" si="47">IF(D90&gt;$Z$9,$AD$13,$AD$14)*((((IF(D90&gt;$Z$9,$AD$11,$AD$12)/AF90*L36*G90*IF(OR(N36="b",N36="o"),$AE$19,1))/(AJ90*K90))^$AE$4)+(((IF(D90&gt;$Z$9,$AD$11,$AD$12)/AH90*L36*IF(X90=0,0,I90)*IF(OR(N36="b",N36="o"),$AE$19,1))/(0.7*IF(K90=65.5,58.48,K90)))^3))</f>
        <v>0.61102237358983891</v>
      </c>
      <c r="N90" s="3">
        <f t="shared" ref="N90:N110" si="48">IF(D90&gt;$Z$9,$AD$13,$AD$14)*((((IF(D90&gt;$Z$9,$AD$11,$AD$12)/AG90*M36*H90*IF(OR(N36="b",N36="i"),$AE$19,1))/(AK90*L90))^$AE$4)+(((IF(D90&gt;$Z$9,$AD$11,$AD$12)/AI90*M36*IF(Y90=0,0,J90)*IF(OR(N36="b",N36="i"),$AE$19,1))/(0.7*IF(L90=65.5,58.48,L90)))^3))</f>
        <v>0.62139137239725917</v>
      </c>
      <c r="O90" s="3">
        <f>IF(Control!$F$47="N",Control!$F$48,'FLS MP (driving)'!O36)</f>
        <v>0.1</v>
      </c>
      <c r="P90" s="3">
        <f>IF(Control!$F$47="N",Control!$F$48,'FLS MP (driving)'!P36)</f>
        <v>0.1</v>
      </c>
      <c r="Q90" s="3">
        <f>Control!$F$46</f>
        <v>0.03</v>
      </c>
      <c r="R90" s="3">
        <f>Control!$F$46</f>
        <v>0.03</v>
      </c>
      <c r="S90" s="3">
        <f t="shared" ref="S90:S110" si="49">M90+O90+Q90</f>
        <v>0.74102237358983891</v>
      </c>
      <c r="T90" s="3">
        <f t="shared" ref="T90:T110" si="50">N90+P90+R90</f>
        <v>0.75139137239725917</v>
      </c>
      <c r="X90" s="36">
        <f t="shared" ref="X90:AA90" si="51">X63</f>
        <v>0</v>
      </c>
      <c r="Y90" s="36">
        <f t="shared" si="51"/>
        <v>0</v>
      </c>
      <c r="Z90" s="36">
        <f t="shared" si="51"/>
        <v>0</v>
      </c>
      <c r="AA90" s="36">
        <f t="shared" si="51"/>
        <v>0</v>
      </c>
      <c r="AB90" s="3">
        <f t="shared" ref="AB90:AB110" si="52">(PI()/64*(E36^4-(E36-2*H36/1000)^4))</f>
        <v>15.76318583049801</v>
      </c>
      <c r="AC90" s="3">
        <f t="shared" ref="AC90:AC110" si="53">(PI()/64*((E36-2*Z63/1000)^4-((E36-2*Z63/1000)-2*(H36-Z63-AA63)/1000)^4))</f>
        <v>15.76318583049801</v>
      </c>
      <c r="AD90" s="3">
        <f>IF(OR(Control!$F$39="EC",Control!$F$51="N"),H36,MIN(H36,14+0.66*(INDEX('Eff. thickness (DNVGL-RP-C203)'!$E$31:$E$1048576,MATCH(H36,'Eff. thickness (DNVGL-RP-C203)'!$C$31:$C$1048576,0)))))</f>
        <v>99</v>
      </c>
      <c r="AE90" s="3">
        <f>IF(OR(Control!$F$39="EC",Control!$F$51="N"),H36,MIN(H36,14+0.66*(INDEX('Eff. thickness (DNVGL-RP-C203)'!$D$31:$D$1048576,MATCH(H36,'Eff. thickness (DNVGL-RP-C203)'!$C$31:$C$1048576,0))+IF(I36&lt;0.001,0,'Eff. thickness (DNVGL-RP-C203)'!$L$29))))</f>
        <v>99</v>
      </c>
      <c r="AF90" s="3">
        <f t="shared" ref="AF90:AF110" si="54">(25/AD90)^(IF(OR(N36="b",N36="o"),0.1,0.2))</f>
        <v>0.75938316135069051</v>
      </c>
      <c r="AG90" s="3">
        <f t="shared" ref="AG90:AG110" si="55">(25/AE90)^(IF(OR(N36="b",N36="i"),0.1,0.2))</f>
        <v>0.75938316135069051</v>
      </c>
      <c r="AH90" s="3">
        <f t="shared" ref="AH90:AH110" si="56">IF(X63=0,1,(25/AD90)^(IF(OR(N36="b",N36="o"),0.15,0.2)))</f>
        <v>1</v>
      </c>
      <c r="AI90" s="3">
        <f t="shared" ref="AI90:AI110" si="57">IF(Y63=0,1,(25/AE90)^(IF(OR(N36="b",N36="i"),0.15,0.2)))</f>
        <v>1</v>
      </c>
      <c r="AJ90" s="3">
        <f>IF(Control!$F$39&lt;&gt;"DNV",1,IF(D90&gt;Control!$F$16,IF(ISBLANK(Control!$F$56),1,Control!$F$56),IF(D90&gt;Control!$F$22,IF(ISBLANK(Control!$F$57),1,Control!$F$57),1)))</f>
        <v>1</v>
      </c>
      <c r="AK90" s="3">
        <f>IF(Control!$F$39&lt;&gt;"DNV",1,IF(D90&gt;Control!$F$18,IF(ISBLANK(Control!$F$56),1,Control!$F$56),IF(D90&gt;Control!$F$22,IF(ISBLANK(Control!$F$57),1,Control!$F$57),1)))</f>
        <v>1</v>
      </c>
    </row>
    <row r="91" spans="2:37" ht="14.85" customHeight="1">
      <c r="C91" s="12" t="str">
        <f t="shared" si="39"/>
        <v>CW3</v>
      </c>
      <c r="D91" s="2">
        <f t="shared" si="40"/>
        <v>-6.2</v>
      </c>
      <c r="E91" s="3">
        <f>IF(Geometry_loads!H21="-","-",Geometry_loads!H21*Control!$F$54)</f>
        <v>217941.103467868</v>
      </c>
      <c r="F91" s="3">
        <f>IF(Geometry_loads!G21="-","-",Geometry_loads!G21*Control!$F$55)</f>
        <v>259948.83343784476</v>
      </c>
      <c r="G91" s="3">
        <f t="shared" si="41"/>
        <v>51.847332562892497</v>
      </c>
      <c r="H91" s="3">
        <f t="shared" si="42"/>
        <v>50.478562983232131</v>
      </c>
      <c r="I91" s="3" t="str">
        <f t="shared" si="43"/>
        <v>-</v>
      </c>
      <c r="J91" s="3" t="str">
        <f t="shared" si="44"/>
        <v>-</v>
      </c>
      <c r="K91" s="3">
        <f t="shared" si="45"/>
        <v>112</v>
      </c>
      <c r="L91" s="3">
        <f t="shared" si="46"/>
        <v>90</v>
      </c>
      <c r="M91" s="3">
        <f t="shared" si="47"/>
        <v>0.57407435950650376</v>
      </c>
      <c r="N91" s="3">
        <f t="shared" si="48"/>
        <v>0.72653090831049827</v>
      </c>
      <c r="O91" s="3">
        <f>IF(Control!$F$47="N",Control!$F$48,'FLS MP (driving)'!O37)</f>
        <v>0.1</v>
      </c>
      <c r="P91" s="3">
        <f>IF(Control!$F$47="N",Control!$F$48,'FLS MP (driving)'!P37)</f>
        <v>0.1</v>
      </c>
      <c r="Q91" s="3">
        <f>Control!$F$46</f>
        <v>0.03</v>
      </c>
      <c r="R91" s="3">
        <f>Control!$F$46</f>
        <v>0.03</v>
      </c>
      <c r="S91" s="3">
        <f t="shared" si="49"/>
        <v>0.70407435950650377</v>
      </c>
      <c r="T91" s="3">
        <f t="shared" si="50"/>
        <v>0.85653090831049827</v>
      </c>
      <c r="X91" s="36">
        <f t="shared" ref="X91:AA91" si="58">X64</f>
        <v>0</v>
      </c>
      <c r="Y91" s="36">
        <f t="shared" si="58"/>
        <v>0</v>
      </c>
      <c r="Z91" s="36">
        <f t="shared" si="58"/>
        <v>0</v>
      </c>
      <c r="AA91" s="36">
        <f t="shared" si="58"/>
        <v>0</v>
      </c>
      <c r="AB91" s="3">
        <f t="shared" si="52"/>
        <v>15.76318583049801</v>
      </c>
      <c r="AC91" s="3">
        <f t="shared" si="53"/>
        <v>15.76318583049801</v>
      </c>
      <c r="AD91" s="3">
        <f>IF(OR(Control!$F$39="EC",Control!$F$51="N"),H37,MIN(H37,14+0.66*(INDEX('Eff. thickness (DNVGL-RP-C203)'!$E$31:$E$1048576,MATCH(H37,'Eff. thickness (DNVGL-RP-C203)'!$C$31:$C$1048576,0)))))</f>
        <v>99</v>
      </c>
      <c r="AE91" s="3">
        <f>IF(OR(Control!$F$39="EC",Control!$F$51="N"),H37,MIN(H37,14+0.66*(INDEX('Eff. thickness (DNVGL-RP-C203)'!$D$31:$D$1048576,MATCH(H37,'Eff. thickness (DNVGL-RP-C203)'!$C$31:$C$1048576,0))+IF(I37&lt;0.001,0,'Eff. thickness (DNVGL-RP-C203)'!$L$29))))</f>
        <v>99</v>
      </c>
      <c r="AF91" s="3">
        <f t="shared" si="54"/>
        <v>0.87142593566561388</v>
      </c>
      <c r="AG91" s="3">
        <f t="shared" si="55"/>
        <v>0.75938316135069051</v>
      </c>
      <c r="AH91" s="3">
        <f t="shared" si="56"/>
        <v>1</v>
      </c>
      <c r="AI91" s="3">
        <f t="shared" si="57"/>
        <v>1</v>
      </c>
      <c r="AJ91" s="3">
        <f>IF(Control!$F$39&lt;&gt;"DNV",1,IF(D91&gt;Control!$F$16,IF(ISBLANK(Control!$F$56),1,Control!$F$56),IF(D91&gt;Control!$F$22,IF(ISBLANK(Control!$F$57),1,Control!$F$57),1)))</f>
        <v>1</v>
      </c>
      <c r="AK91" s="3">
        <f>IF(Control!$F$39&lt;&gt;"DNV",1,IF(D91&gt;Control!$F$18,IF(ISBLANK(Control!$F$56),1,Control!$F$56),IF(D91&gt;Control!$F$22,IF(ISBLANK(Control!$F$57),1,Control!$F$57),1)))</f>
        <v>1</v>
      </c>
    </row>
    <row r="92" spans="2:37" ht="14.85" customHeight="1">
      <c r="C92" s="12" t="str">
        <f t="shared" si="39"/>
        <v>CW4</v>
      </c>
      <c r="D92" s="2">
        <f t="shared" si="40"/>
        <v>-10.1</v>
      </c>
      <c r="E92" s="3">
        <f>IF(Geometry_loads!H22="-","-",Geometry_loads!H22*Control!$F$54)</f>
        <v>223997.26603181395</v>
      </c>
      <c r="F92" s="3">
        <f>IF(Geometry_loads!G22="-","-",Geometry_loads!G22*Control!$F$55)</f>
        <v>266920.40537244565</v>
      </c>
      <c r="G92" s="3">
        <f t="shared" si="41"/>
        <v>45.319159443231953</v>
      </c>
      <c r="H92" s="3">
        <f t="shared" si="42"/>
        <v>44.080282532427354</v>
      </c>
      <c r="I92" s="3" t="str">
        <f t="shared" si="43"/>
        <v>-</v>
      </c>
      <c r="J92" s="3" t="str">
        <f t="shared" si="44"/>
        <v>-</v>
      </c>
      <c r="K92" s="3">
        <f t="shared" si="45"/>
        <v>90</v>
      </c>
      <c r="L92" s="3">
        <f t="shared" si="46"/>
        <v>90</v>
      </c>
      <c r="M92" s="3">
        <f t="shared" si="47"/>
        <v>0.27313902934832235</v>
      </c>
      <c r="N92" s="3">
        <f t="shared" si="48"/>
        <v>0.62775546371497659</v>
      </c>
      <c r="O92" s="3">
        <f>IF(Control!$F$47="N",Control!$F$48,'FLS MP (driving)'!O38)</f>
        <v>0.1</v>
      </c>
      <c r="P92" s="3">
        <f>IF(Control!$F$47="N",Control!$F$48,'FLS MP (driving)'!P38)</f>
        <v>0.1</v>
      </c>
      <c r="Q92" s="3">
        <f>Control!$F$46</f>
        <v>0.03</v>
      </c>
      <c r="R92" s="3">
        <f>Control!$F$46</f>
        <v>0.03</v>
      </c>
      <c r="S92" s="3">
        <f t="shared" si="49"/>
        <v>0.40313902934832235</v>
      </c>
      <c r="T92" s="3">
        <f t="shared" si="50"/>
        <v>0.7577554637149766</v>
      </c>
      <c r="X92" s="36">
        <f t="shared" ref="X92:AA92" si="59">X65</f>
        <v>0</v>
      </c>
      <c r="Y92" s="36">
        <f t="shared" si="59"/>
        <v>0</v>
      </c>
      <c r="Z92" s="36">
        <f t="shared" si="59"/>
        <v>0</v>
      </c>
      <c r="AA92" s="36">
        <f t="shared" si="59"/>
        <v>0</v>
      </c>
      <c r="AB92" s="3">
        <f t="shared" si="52"/>
        <v>19.346318634543017</v>
      </c>
      <c r="AC92" s="3">
        <f t="shared" si="53"/>
        <v>19.346318634543017</v>
      </c>
      <c r="AD92" s="3">
        <f>IF(OR(Control!$F$39="EC",Control!$F$51="N"),H38,MIN(H38,14+0.66*(INDEX('Eff. thickness (DNVGL-RP-C203)'!$E$31:$E$1048576,MATCH(H38,'Eff. thickness (DNVGL-RP-C203)'!$C$31:$C$1048576,0)))))</f>
        <v>107</v>
      </c>
      <c r="AE92" s="3">
        <f>IF(OR(Control!$F$39="EC",Control!$F$51="N"),H38,MIN(H38,14+0.66*(INDEX('Eff. thickness (DNVGL-RP-C203)'!$D$31:$D$1048576,MATCH(H38,'Eff. thickness (DNVGL-RP-C203)'!$C$31:$C$1048576,0))+IF(I38&lt;0.001,0,'Eff. thickness (DNVGL-RP-C203)'!$L$29))))</f>
        <v>107</v>
      </c>
      <c r="AF92" s="3">
        <f t="shared" si="54"/>
        <v>0.74767222275629086</v>
      </c>
      <c r="AG92" s="3">
        <f t="shared" si="55"/>
        <v>0.74767222275629086</v>
      </c>
      <c r="AH92" s="3">
        <f t="shared" si="56"/>
        <v>1</v>
      </c>
      <c r="AI92" s="3">
        <f t="shared" si="57"/>
        <v>1</v>
      </c>
      <c r="AJ92" s="3">
        <f>IF(Control!$F$39&lt;&gt;"DNV",1,IF(D92&gt;Control!$F$16,IF(ISBLANK(Control!$F$56),1,Control!$F$56),IF(D92&gt;Control!$F$22,IF(ISBLANK(Control!$F$57),1,Control!$F$57),1)))</f>
        <v>1</v>
      </c>
      <c r="AK92" s="3">
        <f>IF(Control!$F$39&lt;&gt;"DNV",1,IF(D92&gt;Control!$F$18,IF(ISBLANK(Control!$F$56),1,Control!$F$56),IF(D92&gt;Control!$F$22,IF(ISBLANK(Control!$F$57),1,Control!$F$57),1)))</f>
        <v>1</v>
      </c>
    </row>
    <row r="93" spans="2:37" ht="14.85" customHeight="1">
      <c r="C93" s="12" t="str">
        <f t="shared" si="39"/>
        <v>CW5</v>
      </c>
      <c r="D93" s="2">
        <f t="shared" si="40"/>
        <v>-14</v>
      </c>
      <c r="E93" s="3">
        <f>IF(Geometry_loads!H23="-","-",Geometry_loads!H23*Control!$F$54)</f>
        <v>230147.63556897684</v>
      </c>
      <c r="F93" s="3">
        <f>IF(Geometry_loads!G23="-","-",Geometry_loads!G23*Control!$F$55)</f>
        <v>274076.65470928769</v>
      </c>
      <c r="G93" s="3">
        <f t="shared" si="41"/>
        <v>47.532522257152998</v>
      </c>
      <c r="H93" s="3">
        <f t="shared" si="42"/>
        <v>46.41364376937949</v>
      </c>
      <c r="I93" s="3" t="str">
        <f t="shared" si="43"/>
        <v>-</v>
      </c>
      <c r="J93" s="3" t="str">
        <f t="shared" si="44"/>
        <v>-</v>
      </c>
      <c r="K93" s="3">
        <f t="shared" si="45"/>
        <v>90</v>
      </c>
      <c r="L93" s="3">
        <f t="shared" si="46"/>
        <v>90</v>
      </c>
      <c r="M93" s="3">
        <f t="shared" si="47"/>
        <v>0.25087780749430172</v>
      </c>
      <c r="N93" s="3">
        <f t="shared" si="48"/>
        <v>0.8406724782694045</v>
      </c>
      <c r="O93" s="3">
        <f>IF(Control!$F$47="N",Control!$F$48,'FLS MP (driving)'!O39)</f>
        <v>0.1</v>
      </c>
      <c r="P93" s="3">
        <f>IF(Control!$F$47="N",Control!$F$48,'FLS MP (driving)'!P39)</f>
        <v>0.1</v>
      </c>
      <c r="Q93" s="3">
        <f>Control!$F$46</f>
        <v>0.03</v>
      </c>
      <c r="R93" s="3">
        <f>Control!$F$46</f>
        <v>0.03</v>
      </c>
      <c r="S93" s="3">
        <f t="shared" si="49"/>
        <v>0.38087780749430178</v>
      </c>
      <c r="T93" s="3">
        <f t="shared" si="50"/>
        <v>0.9706724782694045</v>
      </c>
      <c r="X93" s="36">
        <f t="shared" ref="X93:AA93" si="60">X66</f>
        <v>0</v>
      </c>
      <c r="Y93" s="36">
        <f t="shared" si="60"/>
        <v>0</v>
      </c>
      <c r="Z93" s="36">
        <f t="shared" si="60"/>
        <v>0</v>
      </c>
      <c r="AA93" s="36">
        <f t="shared" si="60"/>
        <v>0</v>
      </c>
      <c r="AB93" s="3">
        <f t="shared" si="52"/>
        <v>19.746713567250474</v>
      </c>
      <c r="AC93" s="3">
        <f t="shared" si="53"/>
        <v>19.746713567250474</v>
      </c>
      <c r="AD93" s="3">
        <f>IF(OR(Control!$F$39="EC",Control!$F$51="N"),H39,MIN(H39,14+0.66*(INDEX('Eff. thickness (DNVGL-RP-C203)'!$E$31:$E$1048576,MATCH(H39,'Eff. thickness (DNVGL-RP-C203)'!$C$31:$C$1048576,0)))))</f>
        <v>96</v>
      </c>
      <c r="AE93" s="3">
        <f>IF(OR(Control!$F$39="EC",Control!$F$51="N"),H39,MIN(H39,14+0.66*(INDEX('Eff. thickness (DNVGL-RP-C203)'!$D$31:$D$1048576,MATCH(H39,'Eff. thickness (DNVGL-RP-C203)'!$C$31:$C$1048576,0))+IF(I39&lt;0.001,0,'Eff. thickness (DNVGL-RP-C203)'!$L$29))))</f>
        <v>96</v>
      </c>
      <c r="AF93" s="3">
        <f t="shared" si="54"/>
        <v>0.76407106790789936</v>
      </c>
      <c r="AG93" s="3">
        <f t="shared" si="55"/>
        <v>0.76407106790789936</v>
      </c>
      <c r="AH93" s="3">
        <f t="shared" si="56"/>
        <v>1</v>
      </c>
      <c r="AI93" s="3">
        <f t="shared" si="57"/>
        <v>1</v>
      </c>
      <c r="AJ93" s="3">
        <f>IF(Control!$F$39&lt;&gt;"DNV",1,IF(D93&gt;Control!$F$16,IF(ISBLANK(Control!$F$56),1,Control!$F$56),IF(D93&gt;Control!$F$22,IF(ISBLANK(Control!$F$57),1,Control!$F$57),1)))</f>
        <v>1</v>
      </c>
      <c r="AK93" s="3">
        <f>IF(Control!$F$39&lt;&gt;"DNV",1,IF(D93&gt;Control!$F$18,IF(ISBLANK(Control!$F$56),1,Control!$F$56),IF(D93&gt;Control!$F$22,IF(ISBLANK(Control!$F$57),1,Control!$F$57),1)))</f>
        <v>1</v>
      </c>
    </row>
    <row r="94" spans="2:37" ht="14.85" customHeight="1">
      <c r="C94" s="12" t="str">
        <f t="shared" si="39"/>
        <v>CW6</v>
      </c>
      <c r="D94" s="2">
        <f t="shared" si="40"/>
        <v>-17.899999999999999</v>
      </c>
      <c r="E94" s="3">
        <f>IF(Geometry_loads!H24="-","-",Geometry_loads!H24*Control!$F$54)</f>
        <v>237603.44459214588</v>
      </c>
      <c r="F94" s="3">
        <f>IF(Geometry_loads!G24="-","-",Geometry_loads!G24*Control!$F$55)</f>
        <v>282956.55980037979</v>
      </c>
      <c r="G94" s="3">
        <f t="shared" si="41"/>
        <v>47.189331985666847</v>
      </c>
      <c r="H94" s="3">
        <f t="shared" si="42"/>
        <v>46.165991767233564</v>
      </c>
      <c r="I94" s="3" t="str">
        <f t="shared" si="43"/>
        <v>-</v>
      </c>
      <c r="J94" s="3" t="str">
        <f t="shared" si="44"/>
        <v>-</v>
      </c>
      <c r="K94" s="3">
        <f t="shared" si="45"/>
        <v>90</v>
      </c>
      <c r="L94" s="3">
        <f t="shared" si="46"/>
        <v>90</v>
      </c>
      <c r="M94" s="3">
        <f t="shared" si="47"/>
        <v>0.37149078386636059</v>
      </c>
      <c r="N94" s="3">
        <f t="shared" si="48"/>
        <v>0.56985473108671136</v>
      </c>
      <c r="O94" s="3">
        <f>IF(Control!$F$47="N",Control!$F$48,'FLS MP (driving)'!O40)</f>
        <v>0.1</v>
      </c>
      <c r="P94" s="3">
        <f>IF(Control!$F$47="N",Control!$F$48,'FLS MP (driving)'!P40)</f>
        <v>0.1</v>
      </c>
      <c r="Q94" s="3">
        <f>Control!$F$46</f>
        <v>0.03</v>
      </c>
      <c r="R94" s="3">
        <f>Control!$F$46</f>
        <v>0.03</v>
      </c>
      <c r="S94" s="3">
        <f t="shared" si="49"/>
        <v>0.50149078386636059</v>
      </c>
      <c r="T94" s="3">
        <f t="shared" si="50"/>
        <v>0.69985473108671137</v>
      </c>
      <c r="X94" s="36">
        <f t="shared" ref="X94:AA94" si="61">X67</f>
        <v>0</v>
      </c>
      <c r="Y94" s="36">
        <f t="shared" si="61"/>
        <v>0</v>
      </c>
      <c r="Z94" s="36">
        <f t="shared" si="61"/>
        <v>0</v>
      </c>
      <c r="AA94" s="36">
        <f t="shared" si="61"/>
        <v>0</v>
      </c>
      <c r="AB94" s="3">
        <f t="shared" si="52"/>
        <v>21.360947716824843</v>
      </c>
      <c r="AC94" s="3">
        <f t="shared" si="53"/>
        <v>21.360947716824843</v>
      </c>
      <c r="AD94" s="3">
        <f>IF(OR(Control!$F$39="EC",Control!$F$51="N"),H40,MIN(H40,14+0.66*(INDEX('Eff. thickness (DNVGL-RP-C203)'!$E$31:$E$1048576,MATCH(H40,'Eff. thickness (DNVGL-RP-C203)'!$C$31:$C$1048576,0)))))</f>
        <v>92</v>
      </c>
      <c r="AE94" s="3">
        <f>IF(OR(Control!$F$39="EC",Control!$F$51="N"),H40,MIN(H40,14+0.66*(INDEX('Eff. thickness (DNVGL-RP-C203)'!$D$31:$D$1048576,MATCH(H40,'Eff. thickness (DNVGL-RP-C203)'!$C$31:$C$1048576,0))+IF(I40&lt;0.001,0,'Eff. thickness (DNVGL-RP-C203)'!$L$29))))</f>
        <v>92</v>
      </c>
      <c r="AF94" s="3">
        <f t="shared" si="54"/>
        <v>0.77060254017451113</v>
      </c>
      <c r="AG94" s="3">
        <f t="shared" si="55"/>
        <v>0.77060254017451113</v>
      </c>
      <c r="AH94" s="3">
        <f t="shared" si="56"/>
        <v>1</v>
      </c>
      <c r="AI94" s="3">
        <f t="shared" si="57"/>
        <v>1</v>
      </c>
      <c r="AJ94" s="3">
        <f>IF(Control!$F$39&lt;&gt;"DNV",1,IF(D94&gt;Control!$F$16,IF(ISBLANK(Control!$F$56),1,Control!$F$56),IF(D94&gt;Control!$F$22,IF(ISBLANK(Control!$F$57),1,Control!$F$57),1)))</f>
        <v>1</v>
      </c>
      <c r="AK94" s="3">
        <f>IF(Control!$F$39&lt;&gt;"DNV",1,IF(D94&gt;Control!$F$18,IF(ISBLANK(Control!$F$56),1,Control!$F$56),IF(D94&gt;Control!$F$22,IF(ISBLANK(Control!$F$57),1,Control!$F$57),1)))</f>
        <v>1</v>
      </c>
    </row>
    <row r="95" spans="2:37" ht="14.85" customHeight="1">
      <c r="C95" s="12" t="str">
        <f t="shared" si="39"/>
        <v>CW7</v>
      </c>
      <c r="D95" s="2">
        <f t="shared" si="40"/>
        <v>-21.8</v>
      </c>
      <c r="E95" s="3">
        <f>IF(Geometry_loads!H25="-","-",Geometry_loads!H25*Control!$F$54)</f>
        <v>246122.44659876317</v>
      </c>
      <c r="F95" s="3">
        <f>IF(Geometry_loads!G25="-","-",Geometry_loads!G25*Control!$F$55)</f>
        <v>293129.20670715946</v>
      </c>
      <c r="G95" s="3">
        <f t="shared" si="41"/>
        <v>45.252240487508978</v>
      </c>
      <c r="H95" s="3">
        <f t="shared" si="42"/>
        <v>44.307463706387509</v>
      </c>
      <c r="I95" s="3" t="str">
        <f t="shared" si="43"/>
        <v>-</v>
      </c>
      <c r="J95" s="3" t="str">
        <f t="shared" si="44"/>
        <v>-</v>
      </c>
      <c r="K95" s="3">
        <f t="shared" si="45"/>
        <v>90</v>
      </c>
      <c r="L95" s="3">
        <f t="shared" si="46"/>
        <v>90</v>
      </c>
      <c r="M95" s="3">
        <f t="shared" si="47"/>
        <v>0.4088683144198777</v>
      </c>
      <c r="N95" s="3">
        <f t="shared" si="48"/>
        <v>0.37577741247867225</v>
      </c>
      <c r="O95" s="3">
        <f>IF(Control!$F$47="N",Control!$F$48,'FLS MP (driving)'!O41)</f>
        <v>0.1</v>
      </c>
      <c r="P95" s="3">
        <f>IF(Control!$F$47="N",Control!$F$48,'FLS MP (driving)'!P41)</f>
        <v>0.1</v>
      </c>
      <c r="Q95" s="3">
        <f>Control!$F$46</f>
        <v>0.03</v>
      </c>
      <c r="R95" s="3">
        <f>Control!$F$46</f>
        <v>0.03</v>
      </c>
      <c r="S95" s="3">
        <f t="shared" si="49"/>
        <v>0.5388683144198777</v>
      </c>
      <c r="T95" s="3">
        <f t="shared" si="50"/>
        <v>0.50577741247867225</v>
      </c>
      <c r="X95" s="36">
        <f t="shared" ref="X95:AA95" si="62">X68</f>
        <v>0</v>
      </c>
      <c r="Y95" s="36">
        <f t="shared" si="62"/>
        <v>0</v>
      </c>
      <c r="Z95" s="36">
        <f t="shared" si="62"/>
        <v>0</v>
      </c>
      <c r="AA95" s="36">
        <f t="shared" si="62"/>
        <v>0</v>
      </c>
      <c r="AB95" s="3">
        <f t="shared" si="52"/>
        <v>23.966788282210018</v>
      </c>
      <c r="AC95" s="3">
        <f t="shared" si="53"/>
        <v>23.966788282210018</v>
      </c>
      <c r="AD95" s="3">
        <f>IF(OR(Control!$F$39="EC",Control!$F$51="N"),H41,MIN(H41,14+0.66*(INDEX('Eff. thickness (DNVGL-RP-C203)'!$E$31:$E$1048576,MATCH(H41,'Eff. thickness (DNVGL-RP-C203)'!$C$31:$C$1048576,0)))))</f>
        <v>92</v>
      </c>
      <c r="AE95" s="3">
        <f>IF(OR(Control!$F$39="EC",Control!$F$51="N"),H41,MIN(H41,14+0.66*(INDEX('Eff. thickness (DNVGL-RP-C203)'!$D$31:$D$1048576,MATCH(H41,'Eff. thickness (DNVGL-RP-C203)'!$C$31:$C$1048576,0))+IF(I41&lt;0.001,0,'Eff. thickness (DNVGL-RP-C203)'!$L$29))))</f>
        <v>92</v>
      </c>
      <c r="AF95" s="3">
        <f t="shared" si="54"/>
        <v>0.77060254017451113</v>
      </c>
      <c r="AG95" s="3">
        <f t="shared" si="55"/>
        <v>0.77060254017451113</v>
      </c>
      <c r="AH95" s="3">
        <f t="shared" si="56"/>
        <v>1</v>
      </c>
      <c r="AI95" s="3">
        <f t="shared" si="57"/>
        <v>1</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si="39"/>
        <v>CW8</v>
      </c>
      <c r="D96" s="2">
        <f t="shared" si="40"/>
        <v>-25.7</v>
      </c>
      <c r="E96" s="3">
        <f>IF(Geometry_loads!H26="-","-",Geometry_loads!H26*Control!$F$54)</f>
        <v>255718.09972785975</v>
      </c>
      <c r="F96" s="3">
        <f>IF(Geometry_loads!G26="-","-",Geometry_loads!G26*Control!$F$55)</f>
        <v>304856.22174946824</v>
      </c>
      <c r="G96" s="3">
        <f t="shared" si="41"/>
        <v>43.650802471568461</v>
      </c>
      <c r="H96" s="3">
        <f t="shared" si="42"/>
        <v>42.772190042972341</v>
      </c>
      <c r="I96" s="3" t="str">
        <f t="shared" si="43"/>
        <v>-</v>
      </c>
      <c r="J96" s="3" t="str">
        <f t="shared" si="44"/>
        <v>-</v>
      </c>
      <c r="K96" s="3">
        <f t="shared" si="45"/>
        <v>90</v>
      </c>
      <c r="L96" s="3">
        <f t="shared" si="46"/>
        <v>90</v>
      </c>
      <c r="M96" s="3">
        <f t="shared" si="47"/>
        <v>0.35399085169159006</v>
      </c>
      <c r="N96" s="3">
        <f t="shared" si="48"/>
        <v>0.3263390621877747</v>
      </c>
      <c r="O96" s="3">
        <f>IF(Control!$F$47="N",Control!$F$48,'FLS MP (driving)'!O42)</f>
        <v>0.1</v>
      </c>
      <c r="P96" s="3">
        <f>IF(Control!$F$47="N",Control!$F$48,'FLS MP (driving)'!P42)</f>
        <v>0.1</v>
      </c>
      <c r="Q96" s="3">
        <f>Control!$F$46</f>
        <v>0.03</v>
      </c>
      <c r="R96" s="3">
        <f>Control!$F$46</f>
        <v>0.03</v>
      </c>
      <c r="S96" s="3">
        <f t="shared" si="49"/>
        <v>0.48399085169159006</v>
      </c>
      <c r="T96" s="3">
        <f t="shared" si="50"/>
        <v>0.45633906218777476</v>
      </c>
      <c r="X96" s="36">
        <f t="shared" ref="X96:AA96" si="63">X69</f>
        <v>0</v>
      </c>
      <c r="Y96" s="36">
        <f t="shared" si="63"/>
        <v>0</v>
      </c>
      <c r="Z96" s="36">
        <f t="shared" si="63"/>
        <v>0</v>
      </c>
      <c r="AA96" s="36">
        <f t="shared" si="63"/>
        <v>0</v>
      </c>
      <c r="AB96" s="3">
        <f t="shared" si="52"/>
        <v>26.776385593080963</v>
      </c>
      <c r="AC96" s="3">
        <f t="shared" si="53"/>
        <v>26.776385593080963</v>
      </c>
      <c r="AD96" s="3">
        <f>IF(OR(Control!$F$39="EC",Control!$F$51="N"),H42,MIN(H42,14+0.66*(INDEX('Eff. thickness (DNVGL-RP-C203)'!$E$31:$E$1048576,MATCH(H42,'Eff. thickness (DNVGL-RP-C203)'!$C$31:$C$1048576,0)))))</f>
        <v>92</v>
      </c>
      <c r="AE96" s="3">
        <f>IF(OR(Control!$F$39="EC",Control!$F$51="N"),H42,MIN(H42,14+0.66*(INDEX('Eff. thickness (DNVGL-RP-C203)'!$D$31:$D$1048576,MATCH(H42,'Eff. thickness (DNVGL-RP-C203)'!$C$31:$C$1048576,0))+IF(I42&lt;0.001,0,'Eff. thickness (DNVGL-RP-C203)'!$L$29))))</f>
        <v>92</v>
      </c>
      <c r="AF96" s="3">
        <f t="shared" si="54"/>
        <v>0.77060254017451113</v>
      </c>
      <c r="AG96" s="3">
        <f t="shared" si="55"/>
        <v>0.77060254017451113</v>
      </c>
      <c r="AH96" s="3">
        <f t="shared" si="56"/>
        <v>1</v>
      </c>
      <c r="AI96" s="3">
        <f t="shared" si="57"/>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CW9</v>
      </c>
      <c r="D97" s="2">
        <f t="shared" si="40"/>
        <v>-29.6</v>
      </c>
      <c r="E97" s="3">
        <f>IF(Geometry_loads!H27="-","-",Geometry_loads!H27*Control!$F$54)</f>
        <v>267063.31093098514</v>
      </c>
      <c r="F97" s="3">
        <f>IF(Geometry_loads!G27="-","-",Geometry_loads!G27*Control!$F$55)</f>
        <v>318768.58605162986</v>
      </c>
      <c r="G97" s="3">
        <f t="shared" si="41"/>
        <v>42.436732603973589</v>
      </c>
      <c r="H97" s="3">
        <f t="shared" si="42"/>
        <v>41.612170178645314</v>
      </c>
      <c r="I97" s="3" t="str">
        <f t="shared" si="43"/>
        <v>-</v>
      </c>
      <c r="J97" s="3" t="str">
        <f t="shared" si="44"/>
        <v>-</v>
      </c>
      <c r="K97" s="3">
        <f t="shared" si="45"/>
        <v>90</v>
      </c>
      <c r="L97" s="3">
        <f t="shared" si="46"/>
        <v>90</v>
      </c>
      <c r="M97" s="3">
        <f t="shared" si="47"/>
        <v>0.31622111297038463</v>
      </c>
      <c r="N97" s="3">
        <f t="shared" si="48"/>
        <v>0.29235099327035852</v>
      </c>
      <c r="O97" s="3">
        <f>IF(Control!$F$47="N",Control!$F$48,'FLS MP (driving)'!O43)</f>
        <v>0.1</v>
      </c>
      <c r="P97" s="3">
        <f>IF(Control!$F$47="N",Control!$F$48,'FLS MP (driving)'!P43)</f>
        <v>0.1</v>
      </c>
      <c r="Q97" s="3">
        <f>Control!$F$46</f>
        <v>0.03</v>
      </c>
      <c r="R97" s="3">
        <f>Control!$F$46</f>
        <v>0.03</v>
      </c>
      <c r="S97" s="3">
        <f t="shared" si="49"/>
        <v>0.44622111297038469</v>
      </c>
      <c r="T97" s="3">
        <f t="shared" si="50"/>
        <v>0.42235099327035852</v>
      </c>
      <c r="X97" s="36">
        <f t="shared" ref="X97:AA97" si="64">X70</f>
        <v>0</v>
      </c>
      <c r="Y97" s="36">
        <f t="shared" si="64"/>
        <v>0</v>
      </c>
      <c r="Z97" s="36">
        <f t="shared" si="64"/>
        <v>0</v>
      </c>
      <c r="AA97" s="36">
        <f t="shared" si="64"/>
        <v>0</v>
      </c>
      <c r="AB97" s="3">
        <f t="shared" si="52"/>
        <v>29.797409936390167</v>
      </c>
      <c r="AC97" s="3">
        <f t="shared" si="53"/>
        <v>29.797409936390167</v>
      </c>
      <c r="AD97" s="3">
        <f>IF(OR(Control!$F$39="EC",Control!$F$51="N"),H43,MIN(H43,14+0.66*(INDEX('Eff. thickness (DNVGL-RP-C203)'!$E$31:$E$1048576,MATCH(H43,'Eff. thickness (DNVGL-RP-C203)'!$C$31:$C$1048576,0)))))</f>
        <v>92</v>
      </c>
      <c r="AE97" s="3">
        <f>IF(OR(Control!$F$39="EC",Control!$F$51="N"),H43,MIN(H43,14+0.66*(INDEX('Eff. thickness (DNVGL-RP-C203)'!$D$31:$D$1048576,MATCH(H43,'Eff. thickness (DNVGL-RP-C203)'!$C$31:$C$1048576,0))+IF(I43&lt;0.001,0,'Eff. thickness (DNVGL-RP-C203)'!$L$29))))</f>
        <v>92</v>
      </c>
      <c r="AF97" s="3">
        <f t="shared" si="54"/>
        <v>0.77060254017451113</v>
      </c>
      <c r="AG97" s="3">
        <f t="shared" si="55"/>
        <v>0.77060254017451113</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CW10</v>
      </c>
      <c r="D98" s="2">
        <f t="shared" si="40"/>
        <v>-33.5</v>
      </c>
      <c r="E98" s="3">
        <f>IF(Geometry_loads!H28="-","-",Geometry_loads!H28*Control!$F$54)</f>
        <v>280198.45462523232</v>
      </c>
      <c r="F98" s="3">
        <f>IF(Geometry_loads!G28="-","-",Geometry_loads!G28*Control!$F$55)</f>
        <v>334912.46896420454</v>
      </c>
      <c r="G98" s="3">
        <f t="shared" si="41"/>
        <v>41.532282388806287</v>
      </c>
      <c r="H98" s="3">
        <f t="shared" si="42"/>
        <v>40.752492597016456</v>
      </c>
      <c r="I98" s="3" t="str">
        <f t="shared" si="43"/>
        <v>-</v>
      </c>
      <c r="J98" s="3" t="str">
        <f t="shared" si="44"/>
        <v>-</v>
      </c>
      <c r="K98" s="3">
        <f t="shared" si="45"/>
        <v>90</v>
      </c>
      <c r="L98" s="3">
        <f t="shared" si="46"/>
        <v>112</v>
      </c>
      <c r="M98" s="3">
        <f t="shared" si="47"/>
        <v>0.31397239234095098</v>
      </c>
      <c r="N98" s="3">
        <f t="shared" si="48"/>
        <v>0.25449818546215286</v>
      </c>
      <c r="O98" s="3">
        <f>IF(Control!$F$47="N",Control!$F$48,'FLS MP (driving)'!O44)</f>
        <v>0.1</v>
      </c>
      <c r="P98" s="3">
        <f>IF(Control!$F$47="N",Control!$F$48,'FLS MP (driving)'!P44)</f>
        <v>0.1</v>
      </c>
      <c r="Q98" s="3">
        <f>Control!$F$46</f>
        <v>0.03</v>
      </c>
      <c r="R98" s="3">
        <f>Control!$F$46</f>
        <v>0.03</v>
      </c>
      <c r="S98" s="3">
        <f t="shared" si="49"/>
        <v>0.44397239234095098</v>
      </c>
      <c r="T98" s="3">
        <f t="shared" si="50"/>
        <v>0.38449818546215286</v>
      </c>
      <c r="X98" s="36">
        <f t="shared" ref="X98:AA98" si="65">X71</f>
        <v>0</v>
      </c>
      <c r="Y98" s="36">
        <f t="shared" si="65"/>
        <v>0</v>
      </c>
      <c r="Z98" s="36">
        <f t="shared" si="65"/>
        <v>0</v>
      </c>
      <c r="AA98" s="36">
        <f t="shared" si="65"/>
        <v>0</v>
      </c>
      <c r="AB98" s="3">
        <f t="shared" si="52"/>
        <v>33.057957537957982</v>
      </c>
      <c r="AC98" s="3">
        <f t="shared" si="53"/>
        <v>33.057957537957982</v>
      </c>
      <c r="AD98" s="3">
        <f>IF(OR(Control!$F$39="EC",Control!$F$51="N"),H44,MIN(H44,14+0.66*(INDEX('Eff. thickness (DNVGL-RP-C203)'!$E$31:$E$1048576,MATCH(H44,'Eff. thickness (DNVGL-RP-C203)'!$C$31:$C$1048576,0)))))</f>
        <v>92</v>
      </c>
      <c r="AE98" s="3">
        <f>IF(OR(Control!$F$39="EC",Control!$F$51="N"),H44,MIN(H44,14+0.66*(INDEX('Eff. thickness (DNVGL-RP-C203)'!$D$31:$D$1048576,MATCH(H44,'Eff. thickness (DNVGL-RP-C203)'!$C$31:$C$1048576,0))+IF(I44&lt;0.001,0,'Eff. thickness (DNVGL-RP-C203)'!$L$29))))</f>
        <v>92</v>
      </c>
      <c r="AF98" s="3">
        <f t="shared" si="54"/>
        <v>0.77060254017451113</v>
      </c>
      <c r="AG98" s="3">
        <f t="shared" si="55"/>
        <v>0.8778397007281632</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CW11</v>
      </c>
      <c r="D99" s="2">
        <f t="shared" si="40"/>
        <v>-36.799999999999997</v>
      </c>
      <c r="E99" s="3">
        <f>IF(Geometry_loads!H29="-","-",Geometry_loads!H29*Control!$F$54)</f>
        <v>292690.71337038372</v>
      </c>
      <c r="F99" s="3">
        <f>IF(Geometry_loads!G29="-","-",Geometry_loads!G29*Control!$F$55)</f>
        <v>350278.57589426392</v>
      </c>
      <c r="G99" s="3">
        <f t="shared" si="41"/>
        <v>43.383941487253516</v>
      </c>
      <c r="H99" s="3">
        <f t="shared" si="42"/>
        <v>42.569385851166302</v>
      </c>
      <c r="I99" s="3" t="str">
        <f t="shared" si="43"/>
        <v>-</v>
      </c>
      <c r="J99" s="3" t="str">
        <f t="shared" si="44"/>
        <v>-</v>
      </c>
      <c r="K99" s="3">
        <f t="shared" si="45"/>
        <v>90</v>
      </c>
      <c r="L99" s="3">
        <f t="shared" si="46"/>
        <v>90</v>
      </c>
      <c r="M99" s="3">
        <f t="shared" si="47"/>
        <v>0.34541336112857107</v>
      </c>
      <c r="N99" s="3">
        <f t="shared" si="48"/>
        <v>0.32019360116346629</v>
      </c>
      <c r="O99" s="3">
        <f>IF(Control!$F$47="N",Control!$F$48,'FLS MP (driving)'!O45)</f>
        <v>0.1</v>
      </c>
      <c r="P99" s="3">
        <f>IF(Control!$F$47="N",Control!$F$48,'FLS MP (driving)'!P45)</f>
        <v>0.1</v>
      </c>
      <c r="Q99" s="3">
        <f>Control!$F$46</f>
        <v>0.03</v>
      </c>
      <c r="R99" s="3">
        <f>Control!$F$46</f>
        <v>0.03</v>
      </c>
      <c r="S99" s="3">
        <f t="shared" si="49"/>
        <v>0.47541336112857113</v>
      </c>
      <c r="T99" s="3">
        <f t="shared" si="50"/>
        <v>0.45019360116346629</v>
      </c>
      <c r="X99" s="36">
        <f t="shared" ref="X99:AA99" si="66">X72</f>
        <v>0</v>
      </c>
      <c r="Y99" s="36">
        <f t="shared" si="66"/>
        <v>0</v>
      </c>
      <c r="Z99" s="36">
        <f t="shared" si="66"/>
        <v>0</v>
      </c>
      <c r="AA99" s="36">
        <f t="shared" si="66"/>
        <v>0</v>
      </c>
      <c r="AB99" s="3">
        <f t="shared" si="52"/>
        <v>33.057957537957982</v>
      </c>
      <c r="AC99" s="3">
        <f t="shared" si="53"/>
        <v>33.057957537957982</v>
      </c>
      <c r="AD99" s="3">
        <f>IF(OR(Control!$F$39="EC",Control!$F$51="N"),H45,MIN(H45,14+0.66*(INDEX('Eff. thickness (DNVGL-RP-C203)'!$E$31:$E$1048576,MATCH(H45,'Eff. thickness (DNVGL-RP-C203)'!$C$31:$C$1048576,0)))))</f>
        <v>92</v>
      </c>
      <c r="AE99" s="3">
        <f>IF(OR(Control!$F$39="EC",Control!$F$51="N"),H45,MIN(H45,14+0.66*(INDEX('Eff. thickness (DNVGL-RP-C203)'!$D$31:$D$1048576,MATCH(H45,'Eff. thickness (DNVGL-RP-C203)'!$C$31:$C$1048576,0))+IF(I45&lt;0.001,0,'Eff. thickness (DNVGL-RP-C203)'!$L$29))))</f>
        <v>92</v>
      </c>
      <c r="AF99" s="3">
        <f t="shared" si="54"/>
        <v>0.77060254017451113</v>
      </c>
      <c r="AG99" s="3">
        <f t="shared" si="55"/>
        <v>0.77060254017451113</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CW12</v>
      </c>
      <c r="D100" s="2">
        <f t="shared" si="40"/>
        <v>-40.200000000000003</v>
      </c>
      <c r="E100" s="3">
        <f>IF(Geometry_loads!H30="-","-",Geometry_loads!H30*Control!$F$54)</f>
        <v>306730.65810409916</v>
      </c>
      <c r="F100" s="3">
        <f>IF(Geometry_loads!G30="-","-",Geometry_loads!G30*Control!$F$55)</f>
        <v>368010.76338807872</v>
      </c>
      <c r="G100" s="3">
        <f t="shared" si="41"/>
        <v>41.528288857952305</v>
      </c>
      <c r="H100" s="3">
        <f t="shared" si="42"/>
        <v>40.672297597819011</v>
      </c>
      <c r="I100" s="3" t="str">
        <f t="shared" si="43"/>
        <v>-</v>
      </c>
      <c r="J100" s="3" t="str">
        <f t="shared" si="44"/>
        <v>-</v>
      </c>
      <c r="K100" s="3">
        <f t="shared" si="45"/>
        <v>90</v>
      </c>
      <c r="L100" s="3">
        <f t="shared" si="46"/>
        <v>90</v>
      </c>
      <c r="M100" s="3">
        <f t="shared" si="47"/>
        <v>0.17267573890962512</v>
      </c>
      <c r="N100" s="3">
        <f t="shared" si="48"/>
        <v>0.48661117665111658</v>
      </c>
      <c r="O100" s="3">
        <f>IF(Control!$F$47="N",Control!$F$48,'FLS MP (driving)'!O46)</f>
        <v>0.1</v>
      </c>
      <c r="P100" s="3">
        <f>IF(Control!$F$47="N",Control!$F$48,'FLS MP (driving)'!P46)</f>
        <v>0.1</v>
      </c>
      <c r="Q100" s="3">
        <f>Control!$F$46</f>
        <v>0.03</v>
      </c>
      <c r="R100" s="3">
        <f>Control!$F$46</f>
        <v>0.03</v>
      </c>
      <c r="S100" s="3">
        <f t="shared" si="49"/>
        <v>0.30267573890962518</v>
      </c>
      <c r="T100" s="3">
        <f t="shared" si="50"/>
        <v>0.61661117665111664</v>
      </c>
      <c r="X100" s="36">
        <f t="shared" ref="X100:AA100" si="67">X73</f>
        <v>0</v>
      </c>
      <c r="Y100" s="36">
        <f t="shared" si="67"/>
        <v>0</v>
      </c>
      <c r="Z100" s="36">
        <f t="shared" si="67"/>
        <v>0</v>
      </c>
      <c r="AA100" s="36">
        <f t="shared" si="67"/>
        <v>0</v>
      </c>
      <c r="AB100" s="3">
        <f t="shared" si="52"/>
        <v>36.191720536597025</v>
      </c>
      <c r="AC100" s="3">
        <f t="shared" si="53"/>
        <v>36.191720536597025</v>
      </c>
      <c r="AD100" s="3">
        <f>IF(OR(Control!$F$39="EC",Control!$F$51="N"),H46,MIN(H46,14+0.66*(INDEX('Eff. thickness (DNVGL-RP-C203)'!$E$31:$E$1048576,MATCH(H46,'Eff. thickness (DNVGL-RP-C203)'!$C$31:$C$1048576,0)))))</f>
        <v>101</v>
      </c>
      <c r="AE100" s="3">
        <f>IF(OR(Control!$F$39="EC",Control!$F$51="N"),H46,MIN(H46,14+0.66*(INDEX('Eff. thickness (DNVGL-RP-C203)'!$D$31:$D$1048576,MATCH(H46,'Eff. thickness (DNVGL-RP-C203)'!$C$31:$C$1048576,0))+IF(I46&lt;0.001,0,'Eff. thickness (DNVGL-RP-C203)'!$L$29))))</f>
        <v>101</v>
      </c>
      <c r="AF100" s="3">
        <f t="shared" si="54"/>
        <v>0.75635159482564784</v>
      </c>
      <c r="AG100" s="3">
        <f t="shared" si="55"/>
        <v>0.75635159482564784</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CW13</v>
      </c>
      <c r="D101" s="2">
        <f t="shared" si="40"/>
        <v>-43.8</v>
      </c>
      <c r="E101" s="3">
        <f>IF(Geometry_loads!H31="-","-",Geometry_loads!H31*Control!$F$54)</f>
        <v>323067.50862926076</v>
      </c>
      <c r="F101" s="3">
        <f>IF(Geometry_loads!G31="-","-",Geometry_loads!G31*Control!$F$55)</f>
        <v>388575.60748121649</v>
      </c>
      <c r="G101" s="3">
        <f t="shared" si="41"/>
        <v>47.886527486330692</v>
      </c>
      <c r="H101" s="3">
        <f t="shared" si="42"/>
        <v>46.98743350087306</v>
      </c>
      <c r="I101" s="3" t="str">
        <f t="shared" si="43"/>
        <v>-</v>
      </c>
      <c r="J101" s="3" t="str">
        <f t="shared" si="44"/>
        <v>-</v>
      </c>
      <c r="K101" s="3">
        <f t="shared" si="45"/>
        <v>90</v>
      </c>
      <c r="L101" s="3">
        <f t="shared" si="46"/>
        <v>90</v>
      </c>
      <c r="M101" s="3">
        <f t="shared" si="47"/>
        <v>0.28332292687064758</v>
      </c>
      <c r="N101" s="3">
        <f t="shared" si="48"/>
        <v>0.80442824762409304</v>
      </c>
      <c r="O101" s="3">
        <f>IF(Control!$F$47="N",Control!$F$48,'FLS MP (driving)'!O47)</f>
        <v>0.1</v>
      </c>
      <c r="P101" s="3">
        <f>IF(Control!$F$47="N",Control!$F$48,'FLS MP (driving)'!P47)</f>
        <v>0.1</v>
      </c>
      <c r="Q101" s="3">
        <f>Control!$F$46</f>
        <v>0.03</v>
      </c>
      <c r="R101" s="3">
        <f>Control!$F$46</f>
        <v>0.03</v>
      </c>
      <c r="S101" s="3">
        <f t="shared" si="49"/>
        <v>0.41332292687064764</v>
      </c>
      <c r="T101" s="3">
        <f t="shared" si="50"/>
        <v>0.93442824762409304</v>
      </c>
      <c r="X101" s="36">
        <f t="shared" ref="X101:AA101" si="68">X74</f>
        <v>0</v>
      </c>
      <c r="Y101" s="36">
        <f t="shared" si="68"/>
        <v>0</v>
      </c>
      <c r="Z101" s="36">
        <f t="shared" si="68"/>
        <v>0</v>
      </c>
      <c r="AA101" s="36">
        <f t="shared" si="68"/>
        <v>0</v>
      </c>
      <c r="AB101" s="3">
        <f t="shared" si="52"/>
        <v>33.057957537957982</v>
      </c>
      <c r="AC101" s="3">
        <f t="shared" si="53"/>
        <v>33.057957537957982</v>
      </c>
      <c r="AD101" s="3">
        <f>IF(OR(Control!$F$39="EC",Control!$F$51="N"),H47,MIN(H47,14+0.66*(INDEX('Eff. thickness (DNVGL-RP-C203)'!$E$31:$E$1048576,MATCH(H47,'Eff. thickness (DNVGL-RP-C203)'!$C$31:$C$1048576,0)))))</f>
        <v>92</v>
      </c>
      <c r="AE101" s="3">
        <f>IF(OR(Control!$F$39="EC",Control!$F$51="N"),H47,MIN(H47,14+0.66*(INDEX('Eff. thickness (DNVGL-RP-C203)'!$D$31:$D$1048576,MATCH(H47,'Eff. thickness (DNVGL-RP-C203)'!$C$31:$C$1048576,0))+IF(I47&lt;0.001,0,'Eff. thickness (DNVGL-RP-C203)'!$L$29))))</f>
        <v>92</v>
      </c>
      <c r="AF101" s="3">
        <f t="shared" si="54"/>
        <v>0.77060254017451113</v>
      </c>
      <c r="AG101" s="3">
        <f t="shared" si="55"/>
        <v>0.77060254017451113</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CW14</v>
      </c>
      <c r="D102" s="2">
        <f t="shared" si="40"/>
        <v>-47.8</v>
      </c>
      <c r="E102" s="3">
        <f>IF(Geometry_loads!H32="-","-",Geometry_loads!H32*Control!$F$54)</f>
        <v>349530.0672837632</v>
      </c>
      <c r="F102" s="3" t="str">
        <f>IF(Geometry_loads!G32="-","-",Geometry_loads!G32*Control!$F$55)</f>
        <v>-</v>
      </c>
      <c r="G102" s="3">
        <f t="shared" si="41"/>
        <v>52.927724976983228</v>
      </c>
      <c r="H102" s="3">
        <f t="shared" si="42"/>
        <v>51.955583089650879</v>
      </c>
      <c r="I102" s="3" t="str">
        <f t="shared" si="43"/>
        <v>-</v>
      </c>
      <c r="J102" s="3" t="str">
        <f t="shared" si="44"/>
        <v>-</v>
      </c>
      <c r="K102" s="3">
        <f t="shared" si="45"/>
        <v>90</v>
      </c>
      <c r="L102" s="3">
        <f t="shared" si="46"/>
        <v>90</v>
      </c>
      <c r="M102" s="3">
        <f t="shared" si="47"/>
        <v>0.66503684804666618</v>
      </c>
      <c r="N102" s="3">
        <f t="shared" si="48"/>
        <v>0.80627980749566497</v>
      </c>
      <c r="O102" s="3">
        <f>IF(Control!$F$47="N",Control!$F$48,'FLS MP (driving)'!O48)</f>
        <v>0.1</v>
      </c>
      <c r="P102" s="3">
        <f>IF(Control!$F$47="N",Control!$F$48,'FLS MP (driving)'!P48)</f>
        <v>0.1</v>
      </c>
      <c r="Q102" s="3">
        <f>Control!$F$46</f>
        <v>0.03</v>
      </c>
      <c r="R102" s="3">
        <f>Control!$F$46</f>
        <v>0.03</v>
      </c>
      <c r="S102" s="3">
        <f t="shared" si="49"/>
        <v>0.79503684804666619</v>
      </c>
      <c r="T102" s="3">
        <f t="shared" si="50"/>
        <v>0.93627980749566497</v>
      </c>
      <c r="X102" s="36">
        <f t="shared" ref="X102:AA102" si="69">X75</f>
        <v>0</v>
      </c>
      <c r="Y102" s="36">
        <f t="shared" si="69"/>
        <v>0</v>
      </c>
      <c r="Z102" s="36">
        <f t="shared" si="69"/>
        <v>0</v>
      </c>
      <c r="AA102" s="36">
        <f t="shared" si="69"/>
        <v>0</v>
      </c>
      <c r="AB102" s="3">
        <f t="shared" si="52"/>
        <v>32.359171501046823</v>
      </c>
      <c r="AC102" s="3">
        <f t="shared" si="53"/>
        <v>32.359171501046823</v>
      </c>
      <c r="AD102" s="3">
        <f>IF(OR(Control!$F$39="EC",Control!$F$51="N"),H48,MIN(H48,14+0.66*(INDEX('Eff. thickness (DNVGL-RP-C203)'!$E$31:$E$1048576,MATCH(H48,'Eff. thickness (DNVGL-RP-C203)'!$C$31:$C$1048576,0)))))</f>
        <v>90</v>
      </c>
      <c r="AE102" s="3">
        <f>IF(OR(Control!$F$39="EC",Control!$F$51="N"),H48,MIN(H48,14+0.66*(INDEX('Eff. thickness (DNVGL-RP-C203)'!$D$31:$D$1048576,MATCH(H48,'Eff. thickness (DNVGL-RP-C203)'!$C$31:$C$1048576,0))+IF(I48&lt;0.001,0,'Eff. thickness (DNVGL-RP-C203)'!$L$29))))</f>
        <v>90</v>
      </c>
      <c r="AF102" s="3">
        <f t="shared" si="54"/>
        <v>0.77399739650057642</v>
      </c>
      <c r="AG102" s="3">
        <f t="shared" si="55"/>
        <v>0.77399739650057642</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CW15</v>
      </c>
      <c r="D103" s="2">
        <f t="shared" si="40"/>
        <v>-51.8</v>
      </c>
      <c r="E103" s="3">
        <f>IF(Geometry_loads!H33="-","-",Geometry_loads!H33*Control!$F$54)</f>
        <v>373053.19744858553</v>
      </c>
      <c r="F103" s="3" t="str">
        <f>IF(Geometry_loads!G33="-","-",Geometry_loads!G33*Control!$F$55)</f>
        <v>-</v>
      </c>
      <c r="G103" s="3">
        <f t="shared" si="41"/>
        <v>63.356147465136495</v>
      </c>
      <c r="H103" s="3">
        <f t="shared" si="42"/>
        <v>62.321761384073042</v>
      </c>
      <c r="I103" s="3" t="str">
        <f t="shared" si="43"/>
        <v>-</v>
      </c>
      <c r="J103" s="3" t="str">
        <f t="shared" si="44"/>
        <v>-</v>
      </c>
      <c r="K103" s="3">
        <f t="shared" si="45"/>
        <v>90</v>
      </c>
      <c r="L103" s="3">
        <f t="shared" si="46"/>
        <v>112</v>
      </c>
      <c r="M103" s="3">
        <f t="shared" si="47"/>
        <v>0.71813431625238922</v>
      </c>
      <c r="N103" s="3">
        <f t="shared" si="48"/>
        <v>0.70078421277144276</v>
      </c>
      <c r="O103" s="3">
        <f>IF(Control!$F$47="N",Control!$F$48,'FLS MP (driving)'!O49)</f>
        <v>0.1</v>
      </c>
      <c r="P103" s="3">
        <f>IF(Control!$F$47="N",Control!$F$48,'FLS MP (driving)'!P49)</f>
        <v>0.1</v>
      </c>
      <c r="Q103" s="3">
        <f>Control!$F$46</f>
        <v>0.03</v>
      </c>
      <c r="R103" s="3">
        <f>Control!$F$46</f>
        <v>0.03</v>
      </c>
      <c r="S103" s="3">
        <f t="shared" si="49"/>
        <v>0.84813431625238922</v>
      </c>
      <c r="T103" s="3">
        <f t="shared" si="50"/>
        <v>0.83078421277144276</v>
      </c>
      <c r="X103" s="36">
        <f t="shared" ref="X103:AA103" si="70">X76</f>
        <v>0</v>
      </c>
      <c r="Y103" s="36">
        <f t="shared" si="70"/>
        <v>0</v>
      </c>
      <c r="Z103" s="36">
        <f t="shared" si="70"/>
        <v>0</v>
      </c>
      <c r="AA103" s="36">
        <f t="shared" si="70"/>
        <v>0</v>
      </c>
      <c r="AB103" s="3">
        <f t="shared" si="52"/>
        <v>28.852143645633696</v>
      </c>
      <c r="AC103" s="3">
        <f t="shared" si="53"/>
        <v>28.852143645633696</v>
      </c>
      <c r="AD103" s="3">
        <f>IF(OR(Control!$F$39="EC",Control!$F$51="N"),H49,MIN(H49,14+0.66*(INDEX('Eff. thickness (DNVGL-RP-C203)'!$E$31:$E$1048576,MATCH(H49,'Eff. thickness (DNVGL-RP-C203)'!$C$31:$C$1048576,0)))))</f>
        <v>80</v>
      </c>
      <c r="AE103" s="3">
        <f>IF(OR(Control!$F$39="EC",Control!$F$51="N"),H49,MIN(H49,14+0.66*(INDEX('Eff. thickness (DNVGL-RP-C203)'!$D$31:$D$1048576,MATCH(H49,'Eff. thickness (DNVGL-RP-C203)'!$C$31:$C$1048576,0))+IF(I49&lt;0.001,0,'Eff. thickness (DNVGL-RP-C203)'!$L$29))))</f>
        <v>80</v>
      </c>
      <c r="AF103" s="3">
        <f t="shared" si="54"/>
        <v>0.79244659623055669</v>
      </c>
      <c r="AG103" s="3">
        <f t="shared" si="55"/>
        <v>0.89019469568772247</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CW16</v>
      </c>
      <c r="D104" s="2">
        <f t="shared" si="40"/>
        <v>-55.8</v>
      </c>
      <c r="E104" s="3">
        <f>IF(Geometry_loads!H34="-","-",Geometry_loads!H34*Control!$F$54)</f>
        <v>387858.40932400298</v>
      </c>
      <c r="F104" s="3" t="str">
        <f>IF(Geometry_loads!G34="-","-",Geometry_loads!G34*Control!$F$55)</f>
        <v>-</v>
      </c>
      <c r="G104" s="3">
        <f t="shared" si="41"/>
        <v>65.870537351744602</v>
      </c>
      <c r="H104" s="3">
        <f t="shared" si="42"/>
        <v>64.79510000722631</v>
      </c>
      <c r="I104" s="3" t="str">
        <f t="shared" si="43"/>
        <v>-</v>
      </c>
      <c r="J104" s="3" t="str">
        <f t="shared" si="44"/>
        <v>-</v>
      </c>
      <c r="K104" s="3">
        <f t="shared" si="45"/>
        <v>112</v>
      </c>
      <c r="L104" s="3">
        <f t="shared" si="46"/>
        <v>112</v>
      </c>
      <c r="M104" s="3">
        <f t="shared" si="47"/>
        <v>0.4651497349991357</v>
      </c>
      <c r="N104" s="3">
        <f t="shared" si="48"/>
        <v>0.43550847491028521</v>
      </c>
      <c r="O104" s="3">
        <f>IF(Control!$F$47="N",Control!$F$48,'FLS MP (driving)'!O50)</f>
        <v>0.1</v>
      </c>
      <c r="P104" s="3">
        <f>IF(Control!$F$47="N",Control!$F$48,'FLS MP (driving)'!P50)</f>
        <v>0.1</v>
      </c>
      <c r="Q104" s="3">
        <f>Control!$F$46</f>
        <v>0.03</v>
      </c>
      <c r="R104" s="3">
        <f>Control!$F$46</f>
        <v>0.03</v>
      </c>
      <c r="S104" s="3">
        <f t="shared" si="49"/>
        <v>0.5951497349991357</v>
      </c>
      <c r="T104" s="3">
        <f t="shared" si="50"/>
        <v>0.56550847491028522</v>
      </c>
      <c r="X104" s="36">
        <f t="shared" ref="X104:AA104" si="71">X77</f>
        <v>0</v>
      </c>
      <c r="Y104" s="36">
        <f t="shared" si="71"/>
        <v>0</v>
      </c>
      <c r="Z104" s="36">
        <f t="shared" si="71"/>
        <v>0</v>
      </c>
      <c r="AA104" s="36">
        <f t="shared" si="71"/>
        <v>0</v>
      </c>
      <c r="AB104" s="3">
        <f t="shared" si="52"/>
        <v>28.852143645633696</v>
      </c>
      <c r="AC104" s="3">
        <f t="shared" si="53"/>
        <v>28.852143645633696</v>
      </c>
      <c r="AD104" s="3">
        <f>IF(OR(Control!$F$39="EC",Control!$F$51="N"),H50,MIN(H50,14+0.66*(INDEX('Eff. thickness (DNVGL-RP-C203)'!$E$31:$E$1048576,MATCH(H50,'Eff. thickness (DNVGL-RP-C203)'!$C$31:$C$1048576,0)))))</f>
        <v>80</v>
      </c>
      <c r="AE104" s="3">
        <f>IF(OR(Control!$F$39="EC",Control!$F$51="N"),H50,MIN(H50,14+0.66*(INDEX('Eff. thickness (DNVGL-RP-C203)'!$D$31:$D$1048576,MATCH(H50,'Eff. thickness (DNVGL-RP-C203)'!$C$31:$C$1048576,0))+IF(I50&lt;0.001,0,'Eff. thickness (DNVGL-RP-C203)'!$L$29))))</f>
        <v>80</v>
      </c>
      <c r="AF104" s="3">
        <f t="shared" si="54"/>
        <v>0.89019469568772247</v>
      </c>
      <c r="AG104" s="3">
        <f t="shared" si="55"/>
        <v>0.89019469568772247</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CW17</v>
      </c>
      <c r="D105" s="2">
        <f t="shared" si="40"/>
        <v>-59.8</v>
      </c>
      <c r="E105" s="3">
        <f>IF(Geometry_loads!H35="-","-",Geometry_loads!H35*Control!$F$54)</f>
        <v>390144.80966438522</v>
      </c>
      <c r="F105" s="3" t="str">
        <f>IF(Geometry_loads!G35="-","-",Geometry_loads!G35*Control!$F$55)</f>
        <v>-</v>
      </c>
      <c r="G105" s="3">
        <f t="shared" si="41"/>
        <v>66.258839926606072</v>
      </c>
      <c r="H105" s="3">
        <f t="shared" si="42"/>
        <v>65.177062948212509</v>
      </c>
      <c r="I105" s="3" t="str">
        <f t="shared" si="43"/>
        <v>-</v>
      </c>
      <c r="J105" s="3" t="str">
        <f t="shared" si="44"/>
        <v>-</v>
      </c>
      <c r="K105" s="3">
        <f t="shared" si="45"/>
        <v>112</v>
      </c>
      <c r="L105" s="3">
        <f t="shared" si="46"/>
        <v>112</v>
      </c>
      <c r="M105" s="3">
        <f t="shared" si="47"/>
        <v>0.47621521207370932</v>
      </c>
      <c r="N105" s="3">
        <f t="shared" si="48"/>
        <v>0.44586881413505419</v>
      </c>
      <c r="O105" s="3">
        <f>IF(Control!$F$47="N",Control!$F$48,'FLS MP (driving)'!O51)</f>
        <v>0.1</v>
      </c>
      <c r="P105" s="3">
        <f>IF(Control!$F$47="N",Control!$F$48,'FLS MP (driving)'!P51)</f>
        <v>0.1</v>
      </c>
      <c r="Q105" s="3">
        <f>Control!$F$46</f>
        <v>0.03</v>
      </c>
      <c r="R105" s="3">
        <f>Control!$F$46</f>
        <v>0.03</v>
      </c>
      <c r="S105" s="3">
        <f t="shared" si="49"/>
        <v>0.60621521207370932</v>
      </c>
      <c r="T105" s="3">
        <f t="shared" si="50"/>
        <v>0.5758688141350542</v>
      </c>
      <c r="X105" s="36">
        <f t="shared" ref="X105:AA105" si="72">X78</f>
        <v>0</v>
      </c>
      <c r="Y105" s="36">
        <f t="shared" si="72"/>
        <v>0</v>
      </c>
      <c r="Z105" s="36">
        <f t="shared" si="72"/>
        <v>0</v>
      </c>
      <c r="AA105" s="36">
        <f t="shared" si="72"/>
        <v>0</v>
      </c>
      <c r="AB105" s="3">
        <f t="shared" si="52"/>
        <v>28.852143645633696</v>
      </c>
      <c r="AC105" s="3">
        <f t="shared" si="53"/>
        <v>28.852143645633696</v>
      </c>
      <c r="AD105" s="3">
        <f>IF(OR(Control!$F$39="EC",Control!$F$51="N"),H51,MIN(H51,14+0.66*(INDEX('Eff. thickness (DNVGL-RP-C203)'!$E$31:$E$1048576,MATCH(H51,'Eff. thickness (DNVGL-RP-C203)'!$C$31:$C$1048576,0)))))</f>
        <v>80</v>
      </c>
      <c r="AE105" s="3">
        <f>IF(OR(Control!$F$39="EC",Control!$F$51="N"),H51,MIN(H51,14+0.66*(INDEX('Eff. thickness (DNVGL-RP-C203)'!$D$31:$D$1048576,MATCH(H51,'Eff. thickness (DNVGL-RP-C203)'!$C$31:$C$1048576,0))+IF(I51&lt;0.001,0,'Eff. thickness (DNVGL-RP-C203)'!$L$29))))</f>
        <v>80</v>
      </c>
      <c r="AF105" s="3">
        <f t="shared" si="54"/>
        <v>0.89019469568772247</v>
      </c>
      <c r="AG105" s="3">
        <f t="shared" si="55"/>
        <v>0.89019469568772247</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CW18</v>
      </c>
      <c r="D106" s="2">
        <f t="shared" si="40"/>
        <v>-63.8</v>
      </c>
      <c r="E106" s="3">
        <f>IF(Geometry_loads!H36="-","-",Geometry_loads!H36*Control!$F$54)</f>
        <v>351684.25215857424</v>
      </c>
      <c r="F106" s="3" t="str">
        <f>IF(Geometry_loads!G36="-","-",Geometry_loads!G36*Control!$F$55)</f>
        <v>-</v>
      </c>
      <c r="G106" s="3">
        <f t="shared" si="41"/>
        <v>59.727029531748506</v>
      </c>
      <c r="H106" s="3">
        <f t="shared" si="42"/>
        <v>58.751894355719962</v>
      </c>
      <c r="I106" s="3" t="str">
        <f t="shared" si="43"/>
        <v>-</v>
      </c>
      <c r="J106" s="3" t="str">
        <f t="shared" si="44"/>
        <v>-</v>
      </c>
      <c r="K106" s="3">
        <f t="shared" si="45"/>
        <v>112</v>
      </c>
      <c r="L106" s="3">
        <f t="shared" si="46"/>
        <v>112</v>
      </c>
      <c r="M106" s="3">
        <f t="shared" si="47"/>
        <v>0.3144210523221842</v>
      </c>
      <c r="N106" s="3">
        <f t="shared" si="48"/>
        <v>0.29438484572451912</v>
      </c>
      <c r="O106" s="3">
        <f>IF(Control!$F$47="N",Control!$F$48,'FLS MP (driving)'!O52)</f>
        <v>0.1</v>
      </c>
      <c r="P106" s="3">
        <f>IF(Control!$F$47="N",Control!$F$48,'FLS MP (driving)'!P52)</f>
        <v>0.1</v>
      </c>
      <c r="Q106" s="3">
        <f>Control!$F$46</f>
        <v>0.03</v>
      </c>
      <c r="R106" s="3">
        <f>Control!$F$46</f>
        <v>0.03</v>
      </c>
      <c r="S106" s="3">
        <f t="shared" si="49"/>
        <v>0.44442105232218421</v>
      </c>
      <c r="T106" s="3">
        <f t="shared" si="50"/>
        <v>0.42438484572451918</v>
      </c>
      <c r="X106" s="36">
        <f t="shared" ref="X106:AA106" si="73">X79</f>
        <v>0</v>
      </c>
      <c r="Y106" s="36">
        <f t="shared" si="73"/>
        <v>0</v>
      </c>
      <c r="Z106" s="36">
        <f t="shared" si="73"/>
        <v>0</v>
      </c>
      <c r="AA106" s="36">
        <f t="shared" si="73"/>
        <v>0</v>
      </c>
      <c r="AB106" s="3">
        <f t="shared" si="52"/>
        <v>28.852143645633696</v>
      </c>
      <c r="AC106" s="3">
        <f t="shared" si="53"/>
        <v>28.852143645633696</v>
      </c>
      <c r="AD106" s="3">
        <f>IF(OR(Control!$F$39="EC",Control!$F$51="N"),H52,MIN(H52,14+0.66*(INDEX('Eff. thickness (DNVGL-RP-C203)'!$E$31:$E$1048576,MATCH(H52,'Eff. thickness (DNVGL-RP-C203)'!$C$31:$C$1048576,0)))))</f>
        <v>80</v>
      </c>
      <c r="AE106" s="3">
        <f>IF(OR(Control!$F$39="EC",Control!$F$51="N"),H52,MIN(H52,14+0.66*(INDEX('Eff. thickness (DNVGL-RP-C203)'!$D$31:$D$1048576,MATCH(H52,'Eff. thickness (DNVGL-RP-C203)'!$C$31:$C$1048576,0))+IF(I52&lt;0.001,0,'Eff. thickness (DNVGL-RP-C203)'!$L$29))))</f>
        <v>80</v>
      </c>
      <c r="AF106" s="3">
        <f t="shared" si="54"/>
        <v>0.89019469568772247</v>
      </c>
      <c r="AG106" s="3">
        <f t="shared" si="55"/>
        <v>0.89019469568772247</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CW19</v>
      </c>
      <c r="D107" s="2">
        <f t="shared" si="40"/>
        <v>-67.8</v>
      </c>
      <c r="E107" s="3">
        <f>IF(Geometry_loads!H37="-","-",Geometry_loads!H37*Control!$F$54)</f>
        <v>284301.51280085149</v>
      </c>
      <c r="F107" s="3" t="str">
        <f>IF(Geometry_loads!G37="-","-",Geometry_loads!G37*Control!$F$55)</f>
        <v>-</v>
      </c>
      <c r="G107" s="3">
        <f t="shared" si="41"/>
        <v>48.283324450139844</v>
      </c>
      <c r="H107" s="3">
        <f t="shared" si="42"/>
        <v>47.49502527544368</v>
      </c>
      <c r="I107" s="3" t="str">
        <f t="shared" si="43"/>
        <v>-</v>
      </c>
      <c r="J107" s="3" t="str">
        <f t="shared" si="44"/>
        <v>-</v>
      </c>
      <c r="K107" s="3">
        <f t="shared" si="45"/>
        <v>90</v>
      </c>
      <c r="L107" s="3">
        <f t="shared" si="46"/>
        <v>90</v>
      </c>
      <c r="M107" s="3">
        <f t="shared" si="47"/>
        <v>0.51283618004586984</v>
      </c>
      <c r="N107" s="3">
        <f t="shared" si="48"/>
        <v>0.48015614294826653</v>
      </c>
      <c r="O107" s="3">
        <f>IF(Control!$F$47="N",Control!$F$48,'FLS MP (driving)'!O53)</f>
        <v>0.1</v>
      </c>
      <c r="P107" s="3">
        <f>IF(Control!$F$47="N",Control!$F$48,'FLS MP (driving)'!P53)</f>
        <v>0.1</v>
      </c>
      <c r="Q107" s="3">
        <f>Control!$F$46</f>
        <v>0.03</v>
      </c>
      <c r="R107" s="3">
        <f>Control!$F$46</f>
        <v>0.03</v>
      </c>
      <c r="S107" s="3">
        <f t="shared" si="49"/>
        <v>0.64283618004586984</v>
      </c>
      <c r="T107" s="3">
        <f t="shared" si="50"/>
        <v>0.61015614294826659</v>
      </c>
      <c r="X107" s="36">
        <f t="shared" ref="X107:AA107" si="74">X80</f>
        <v>0</v>
      </c>
      <c r="Y107" s="36">
        <f t="shared" si="74"/>
        <v>0</v>
      </c>
      <c r="Z107" s="36">
        <f t="shared" si="74"/>
        <v>0</v>
      </c>
      <c r="AA107" s="36">
        <f t="shared" si="74"/>
        <v>0</v>
      </c>
      <c r="AB107" s="3">
        <f t="shared" si="52"/>
        <v>28.852143645633696</v>
      </c>
      <c r="AC107" s="3">
        <f t="shared" si="53"/>
        <v>28.852143645633696</v>
      </c>
      <c r="AD107" s="3">
        <f>IF(OR(Control!$F$39="EC",Control!$F$51="N"),H53,MIN(H53,14+0.66*(INDEX('Eff. thickness (DNVGL-RP-C203)'!$E$31:$E$1048576,MATCH(H53,'Eff. thickness (DNVGL-RP-C203)'!$C$31:$C$1048576,0)))))</f>
        <v>80</v>
      </c>
      <c r="AE107" s="3">
        <f>IF(OR(Control!$F$39="EC",Control!$F$51="N"),H53,MIN(H53,14+0.66*(INDEX('Eff. thickness (DNVGL-RP-C203)'!$D$31:$D$1048576,MATCH(H53,'Eff. thickness (DNVGL-RP-C203)'!$C$31:$C$1048576,0))+IF(I53&lt;0.001,0,'Eff. thickness (DNVGL-RP-C203)'!$L$29))))</f>
        <v>80</v>
      </c>
      <c r="AF107" s="3">
        <f t="shared" si="54"/>
        <v>0.79244659623055669</v>
      </c>
      <c r="AG107" s="3">
        <f t="shared" si="55"/>
        <v>0.79244659623055669</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CW20</v>
      </c>
      <c r="D108" s="2">
        <f t="shared" si="40"/>
        <v>-71.8</v>
      </c>
      <c r="E108" s="3">
        <f>IF(Geometry_loads!H38="-","-",Geometry_loads!H38*Control!$F$54)</f>
        <v>203164.1659922429</v>
      </c>
      <c r="F108" s="3" t="str">
        <f>IF(Geometry_loads!G38="-","-",Geometry_loads!G38*Control!$F$55)</f>
        <v>-</v>
      </c>
      <c r="G108" s="3">
        <f t="shared" si="41"/>
        <v>31.795747799790217</v>
      </c>
      <c r="H108" s="3">
        <f t="shared" si="42"/>
        <v>31.231211053140878</v>
      </c>
      <c r="I108" s="3" t="str">
        <f t="shared" si="43"/>
        <v>-</v>
      </c>
      <c r="J108" s="3" t="str">
        <f t="shared" si="44"/>
        <v>-</v>
      </c>
      <c r="K108" s="3">
        <f t="shared" si="45"/>
        <v>90</v>
      </c>
      <c r="L108" s="3">
        <f t="shared" si="46"/>
        <v>90</v>
      </c>
      <c r="M108" s="3">
        <f t="shared" si="47"/>
        <v>6.100991849301058E-2</v>
      </c>
      <c r="N108" s="3">
        <f t="shared" si="48"/>
        <v>0.15269105715795994</v>
      </c>
      <c r="O108" s="3">
        <f>IF(Control!$F$47="N",Control!$F$48,'FLS MP (driving)'!O54)</f>
        <v>0.1</v>
      </c>
      <c r="P108" s="3">
        <f>IF(Control!$F$47="N",Control!$F$48,'FLS MP (driving)'!P54)</f>
        <v>0.1</v>
      </c>
      <c r="Q108" s="3">
        <f>Control!$F$46</f>
        <v>0.03</v>
      </c>
      <c r="R108" s="3">
        <f>Control!$F$46</f>
        <v>0.03</v>
      </c>
      <c r="S108" s="3">
        <f t="shared" si="49"/>
        <v>0.19100991849301058</v>
      </c>
      <c r="T108" s="3">
        <f t="shared" si="50"/>
        <v>0.28269105715795995</v>
      </c>
      <c r="X108" s="36">
        <f t="shared" ref="X108:AA108" si="75">X81</f>
        <v>0</v>
      </c>
      <c r="Y108" s="36">
        <f t="shared" si="75"/>
        <v>0</v>
      </c>
      <c r="Z108" s="36">
        <f t="shared" si="75"/>
        <v>0</v>
      </c>
      <c r="AA108" s="36">
        <f t="shared" si="75"/>
        <v>0</v>
      </c>
      <c r="AB108" s="3">
        <f t="shared" si="52"/>
        <v>31.309356824391418</v>
      </c>
      <c r="AC108" s="3">
        <f t="shared" si="53"/>
        <v>31.309356824391418</v>
      </c>
      <c r="AD108" s="3">
        <f>IF(OR(Control!$F$39="EC",Control!$F$51="N"),H54,MIN(H54,14+0.66*(INDEX('Eff. thickness (DNVGL-RP-C203)'!$E$31:$E$1048576,MATCH(H54,'Eff. thickness (DNVGL-RP-C203)'!$C$31:$C$1048576,0)))))</f>
        <v>87</v>
      </c>
      <c r="AE108" s="3">
        <f>IF(OR(Control!$F$39="EC",Control!$F$51="N"),H54,MIN(H54,14+0.66*(INDEX('Eff. thickness (DNVGL-RP-C203)'!$D$31:$D$1048576,MATCH(H54,'Eff. thickness (DNVGL-RP-C203)'!$C$31:$C$1048576,0))+IF(I54&lt;0.001,0,'Eff. thickness (DNVGL-RP-C203)'!$L$29))))</f>
        <v>87</v>
      </c>
      <c r="AF108" s="3">
        <f t="shared" si="54"/>
        <v>0.77926317066550199</v>
      </c>
      <c r="AG108" s="3">
        <f t="shared" si="55"/>
        <v>0.77926317066550199</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CW21</v>
      </c>
      <c r="D109" s="2">
        <f t="shared" si="40"/>
        <v>-75.8</v>
      </c>
      <c r="E109" s="3">
        <f>IF(Geometry_loads!H39="-","-",Geometry_loads!H39*Control!$F$54)</f>
        <v>116387.32131975664</v>
      </c>
      <c r="F109" s="3" t="str">
        <f>IF(Geometry_loads!G39="-","-",Geometry_loads!G39*Control!$F$55)</f>
        <v>-</v>
      </c>
      <c r="G109" s="3">
        <f t="shared" si="41"/>
        <v>16.722069753143249</v>
      </c>
      <c r="H109" s="3">
        <f t="shared" si="42"/>
        <v>16.397866359970067</v>
      </c>
      <c r="I109" s="3" t="str">
        <f t="shared" si="43"/>
        <v>-</v>
      </c>
      <c r="J109" s="3" t="str">
        <f t="shared" si="44"/>
        <v>-</v>
      </c>
      <c r="K109" s="3">
        <f t="shared" si="45"/>
        <v>90</v>
      </c>
      <c r="L109" s="3">
        <f t="shared" si="46"/>
        <v>90</v>
      </c>
      <c r="M109" s="3">
        <f t="shared" si="47"/>
        <v>4.6282067762300804E-3</v>
      </c>
      <c r="N109" s="3">
        <f t="shared" si="48"/>
        <v>1.2210836959884959E-2</v>
      </c>
      <c r="O109" s="3">
        <f>IF(Control!$F$47="N",Control!$F$48,'FLS MP (driving)'!O55)</f>
        <v>0.1</v>
      </c>
      <c r="P109" s="3">
        <f>IF(Control!$F$47="N",Control!$F$48,'FLS MP (driving)'!P55)</f>
        <v>0.1</v>
      </c>
      <c r="Q109" s="3">
        <f>Control!$F$46</f>
        <v>0.03</v>
      </c>
      <c r="R109" s="3">
        <f>Control!$F$46</f>
        <v>0.03</v>
      </c>
      <c r="S109" s="3">
        <f t="shared" si="49"/>
        <v>0.13462820677623008</v>
      </c>
      <c r="T109" s="3">
        <f t="shared" si="50"/>
        <v>0.14221083695988496</v>
      </c>
      <c r="X109" s="36">
        <f t="shared" ref="X109:AA109" si="76">X82</f>
        <v>0</v>
      </c>
      <c r="Y109" s="36">
        <f t="shared" si="76"/>
        <v>0</v>
      </c>
      <c r="Z109" s="36">
        <f t="shared" si="76"/>
        <v>0</v>
      </c>
      <c r="AA109" s="36">
        <f t="shared" si="76"/>
        <v>0</v>
      </c>
      <c r="AB109" s="3">
        <f t="shared" si="52"/>
        <v>34.104502784986202</v>
      </c>
      <c r="AC109" s="3">
        <f t="shared" si="53"/>
        <v>34.104502784986202</v>
      </c>
      <c r="AD109" s="3">
        <f>IF(OR(Control!$F$39="EC",Control!$F$51="N"),H55,MIN(H55,14+0.66*(INDEX('Eff. thickness (DNVGL-RP-C203)'!$E$31:$E$1048576,MATCH(H55,'Eff. thickness (DNVGL-RP-C203)'!$C$31:$C$1048576,0)))))</f>
        <v>95</v>
      </c>
      <c r="AE109" s="3">
        <f>IF(OR(Control!$F$39="EC",Control!$F$51="N"),H55,MIN(H55,14+0.66*(INDEX('Eff. thickness (DNVGL-RP-C203)'!$D$31:$D$1048576,MATCH(H55,'Eff. thickness (DNVGL-RP-C203)'!$C$31:$C$1048576,0))+IF(I55&lt;0.001,0,'Eff.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CW22</v>
      </c>
      <c r="D110" s="2">
        <f t="shared" si="40"/>
        <v>-79.75</v>
      </c>
      <c r="E110" s="3">
        <f>IF(Geometry_loads!H40="-","-",Geometry_loads!H40*Control!$F$54)</f>
        <v>35058.370648614611</v>
      </c>
      <c r="F110" s="3" t="str">
        <f>IF(Geometry_loads!G40="-","-",Geometry_loads!G40*Control!$F$55)</f>
        <v>-</v>
      </c>
      <c r="G110" s="3">
        <f t="shared" si="41"/>
        <v>4.5713475941763502</v>
      </c>
      <c r="H110" s="3">
        <f t="shared" si="42"/>
        <v>4.4733901457297129</v>
      </c>
      <c r="I110" s="3" t="str">
        <f t="shared" si="43"/>
        <v>-</v>
      </c>
      <c r="J110" s="3" t="str">
        <f t="shared" si="44"/>
        <v>-</v>
      </c>
      <c r="K110" s="3">
        <f t="shared" si="45"/>
        <v>90</v>
      </c>
      <c r="L110" s="3">
        <f t="shared" si="46"/>
        <v>90</v>
      </c>
      <c r="M110" s="3">
        <f t="shared" si="47"/>
        <v>2.4546668296566007E-5</v>
      </c>
      <c r="N110" s="3">
        <f t="shared" si="48"/>
        <v>7.5010432634273284E-5</v>
      </c>
      <c r="O110" s="3">
        <f>IF(Control!$F$47="N",Control!$F$48,'FLS MP (driving)'!O56)</f>
        <v>0.1</v>
      </c>
      <c r="P110" s="3">
        <f>IF(Control!$F$47="N",Control!$F$48,'FLS MP (driving)'!P56)</f>
        <v>0.1</v>
      </c>
      <c r="Q110" s="3">
        <f>Control!$F$46</f>
        <v>0.03</v>
      </c>
      <c r="R110" s="3">
        <f>Control!$F$46</f>
        <v>0.03</v>
      </c>
      <c r="S110" s="3">
        <f t="shared" si="49"/>
        <v>0.13002454666829658</v>
      </c>
      <c r="T110" s="3">
        <f t="shared" si="50"/>
        <v>0.13007501043263428</v>
      </c>
      <c r="X110" s="36">
        <f t="shared" ref="X110:AA110" si="77">X83</f>
        <v>0</v>
      </c>
      <c r="Y110" s="36">
        <f t="shared" si="77"/>
        <v>0</v>
      </c>
      <c r="Z110" s="36">
        <f t="shared" si="77"/>
        <v>0</v>
      </c>
      <c r="AA110" s="36">
        <f t="shared" si="77"/>
        <v>0</v>
      </c>
      <c r="AB110" s="3">
        <f t="shared" si="52"/>
        <v>37.578856702355715</v>
      </c>
      <c r="AC110" s="3">
        <f t="shared" si="53"/>
        <v>37.578856702355715</v>
      </c>
      <c r="AD110" s="3">
        <f>IF(OR(Control!$F$39="EC",Control!$F$51="N"),H56,MIN(H56,14+0.66*(INDEX('Eff. thickness (DNVGL-RP-C203)'!$E$31:$E$1048576,MATCH(H56,'Eff. thickness (DNVGL-RP-C203)'!$C$31:$C$1048576,0)))))</f>
        <v>105</v>
      </c>
      <c r="AE110" s="3">
        <f>IF(OR(Control!$F$39="EC",Control!$F$51="N"),H56,MIN(H56,14+0.66*(INDEX('Eff. thickness (DNVGL-RP-C203)'!$D$31:$D$1048576,MATCH(H56,'Eff. thickness (DNVGL-RP-C203)'!$C$31:$C$1048576,0))+IF(I56&lt;0.001,0,'Eff. thickness (DNVGL-RP-C203)'!$L$29))))</f>
        <v>105</v>
      </c>
      <c r="AF110" s="3">
        <f t="shared" si="54"/>
        <v>0.75049904150010438</v>
      </c>
      <c r="AG110" s="3">
        <f t="shared" si="55"/>
        <v>0.75049904150010438</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row r="112" spans="3:37">
      <c r="C112" s="35" t="s">
        <v>443</v>
      </c>
      <c r="M112" s="271" t="s">
        <v>60</v>
      </c>
      <c r="N112" s="267"/>
      <c r="O112" s="267"/>
      <c r="P112" s="267"/>
      <c r="Q112" s="267"/>
      <c r="R112" s="267"/>
      <c r="S112" s="267"/>
      <c r="T112" s="319"/>
    </row>
    <row r="113" spans="3:37" ht="20.399999999999999">
      <c r="C113" s="315" t="s">
        <v>19</v>
      </c>
      <c r="D113" s="323" t="s">
        <v>282</v>
      </c>
      <c r="E113" s="30" t="s">
        <v>285</v>
      </c>
      <c r="F113" s="30" t="s">
        <v>285</v>
      </c>
      <c r="G113" s="315" t="s">
        <v>24</v>
      </c>
      <c r="H113" s="315"/>
      <c r="I113" s="315" t="s">
        <v>271</v>
      </c>
      <c r="J113" s="315"/>
      <c r="K113" s="315" t="s">
        <v>27</v>
      </c>
      <c r="L113" s="315"/>
      <c r="M113" s="315" t="s">
        <v>61</v>
      </c>
      <c r="N113" s="315"/>
      <c r="O113" s="315" t="s">
        <v>218</v>
      </c>
      <c r="P113" s="315"/>
      <c r="Q113" s="315" t="s">
        <v>62</v>
      </c>
      <c r="R113" s="315"/>
      <c r="S113" s="315" t="s">
        <v>63</v>
      </c>
      <c r="T113" s="315"/>
      <c r="X113" s="315" t="s">
        <v>31</v>
      </c>
      <c r="Y113" s="315"/>
      <c r="Z113" s="311" t="s">
        <v>48</v>
      </c>
      <c r="AA113" s="313"/>
      <c r="AB113" s="30" t="s">
        <v>21</v>
      </c>
      <c r="AC113" s="5" t="s">
        <v>22</v>
      </c>
      <c r="AD113" s="316" t="str">
        <f>IF(OR(Control!$F$39="EC",Control!$F$51="N"),"t","t_eff")</f>
        <v>t</v>
      </c>
      <c r="AE113" s="317"/>
      <c r="AF113" s="315" t="s">
        <v>35</v>
      </c>
      <c r="AG113" s="315"/>
      <c r="AH113" s="315"/>
      <c r="AI113" s="315"/>
      <c r="AJ113" s="316" t="s">
        <v>425</v>
      </c>
      <c r="AK113" s="317"/>
    </row>
    <row r="114" spans="3:37" ht="20.399999999999999">
      <c r="C114" s="315">
        <v>0</v>
      </c>
      <c r="D114" s="324">
        <v>0</v>
      </c>
      <c r="E114" s="30" t="str">
        <f>IF(Control!$F$39="EC","m=4, N=2E6","m=5, N=1e7")</f>
        <v>m=4, N=2E6</v>
      </c>
      <c r="F114" s="30" t="str">
        <f>IF(Control!$F$39="EC","m=3, N=2E6","m=3, N=1e7")</f>
        <v>m=3, N=2E6</v>
      </c>
      <c r="G114" s="30" t="s">
        <v>25</v>
      </c>
      <c r="H114" s="30" t="s">
        <v>26</v>
      </c>
      <c r="I114" s="5" t="s">
        <v>25</v>
      </c>
      <c r="J114" s="5" t="s">
        <v>26</v>
      </c>
      <c r="K114" s="30" t="s">
        <v>25</v>
      </c>
      <c r="L114" s="30" t="s">
        <v>26</v>
      </c>
      <c r="M114" s="30" t="s">
        <v>25</v>
      </c>
      <c r="N114" s="30" t="s">
        <v>64</v>
      </c>
      <c r="O114" s="30" t="s">
        <v>25</v>
      </c>
      <c r="P114" s="30" t="s">
        <v>64</v>
      </c>
      <c r="Q114" s="30" t="s">
        <v>25</v>
      </c>
      <c r="R114" s="30" t="s">
        <v>64</v>
      </c>
      <c r="S114" s="30" t="s">
        <v>25</v>
      </c>
      <c r="T114" s="30" t="s">
        <v>64</v>
      </c>
      <c r="X114" s="30" t="s">
        <v>33</v>
      </c>
      <c r="Y114" s="30" t="s">
        <v>34</v>
      </c>
      <c r="Z114" s="30" t="s">
        <v>33</v>
      </c>
      <c r="AA114" s="30" t="s">
        <v>34</v>
      </c>
      <c r="AB114" s="311" t="s">
        <v>30</v>
      </c>
      <c r="AC114" s="313"/>
      <c r="AD114" s="30" t="s">
        <v>45</v>
      </c>
      <c r="AE114" s="30" t="s">
        <v>34</v>
      </c>
      <c r="AF114" s="30" t="s">
        <v>45</v>
      </c>
      <c r="AG114" s="30" t="s">
        <v>34</v>
      </c>
      <c r="AH114" s="30" t="s">
        <v>46</v>
      </c>
      <c r="AI114" s="30" t="s">
        <v>47</v>
      </c>
      <c r="AJ114" s="30" t="s">
        <v>45</v>
      </c>
      <c r="AK114" s="30" t="s">
        <v>34</v>
      </c>
    </row>
    <row r="115" spans="3:37">
      <c r="C115" s="30" t="s">
        <v>16</v>
      </c>
      <c r="D115" s="30" t="str">
        <f>"[m"&amp;Control!$F$7&amp;"]"</f>
        <v>[mLAT]</v>
      </c>
      <c r="E115" s="311" t="s">
        <v>20</v>
      </c>
      <c r="F115" s="313"/>
      <c r="G115" s="311" t="s">
        <v>77</v>
      </c>
      <c r="H115" s="312"/>
      <c r="I115" s="312"/>
      <c r="J115" s="313"/>
      <c r="K115" s="311" t="s">
        <v>77</v>
      </c>
      <c r="L115" s="313"/>
      <c r="M115" s="308" t="s">
        <v>16</v>
      </c>
      <c r="N115" s="309"/>
      <c r="O115" s="309"/>
      <c r="P115" s="309"/>
      <c r="Q115" s="309"/>
      <c r="R115" s="309"/>
      <c r="S115" s="309"/>
      <c r="T115" s="310"/>
      <c r="X115" s="318" t="s">
        <v>32</v>
      </c>
      <c r="Y115" s="318"/>
      <c r="Z115" s="30" t="s">
        <v>10</v>
      </c>
      <c r="AA115" s="30" t="s">
        <v>10</v>
      </c>
      <c r="AB115" s="311" t="s">
        <v>23</v>
      </c>
      <c r="AC115" s="313"/>
      <c r="AD115" s="87" t="s">
        <v>10</v>
      </c>
      <c r="AE115" s="87" t="s">
        <v>10</v>
      </c>
      <c r="AF115" s="1" t="s">
        <v>16</v>
      </c>
      <c r="AG115" s="1" t="s">
        <v>16</v>
      </c>
      <c r="AH115" s="1" t="s">
        <v>16</v>
      </c>
      <c r="AI115" s="1" t="s">
        <v>16</v>
      </c>
      <c r="AJ115" s="1" t="s">
        <v>16</v>
      </c>
      <c r="AK115" s="1" t="s">
        <v>16</v>
      </c>
    </row>
    <row r="116" spans="3:37">
      <c r="C116" s="12" t="s">
        <v>433</v>
      </c>
      <c r="D116" s="2">
        <f>E6</f>
        <v>1.6</v>
      </c>
      <c r="E116" s="120">
        <f>IF(Geometry_loads!H19="-","-",Geometry_loads!H19*Control!$F$54)</f>
        <v>206447.85273540171</v>
      </c>
      <c r="F116" s="120">
        <f>IF(Geometry_loads!G19="-","-",Geometry_loads!G19*Control!$F$55)</f>
        <v>246282.70567200461</v>
      </c>
      <c r="G116" s="120">
        <f>IF(AND(Z116=0,AA116=0),E116/AB116*E35/2/1000,(E116*($AF$24/$Z$5)^(1/$AE$4)/AB116*E35/2/1000))</f>
        <v>39.766488073163863</v>
      </c>
      <c r="H116" s="120">
        <f>IF(AND(Z116=0,AA116=0),E116/AB116*(E35-2*G35/1000)/2/1000,(E116*($AF$24/$Z$5)^(1/$AE$4)/AB116*(E35-2*G35/1000)/2/1000))</f>
        <v>38.621213216656741</v>
      </c>
      <c r="I116" s="120">
        <f>IF(AND(Z116=0,AA116=0),"-",IF(X116=0,(E116*($AF$23/$Z$5)^(1/$AE$4)/AC116*(E35-2*Z116/1000)/2/1000),(F116*($AF$23/$Z$5)^(1/3)/AC116*(E35-2*Z116/1000)/2/1000)))</f>
        <v>40.729245986873401</v>
      </c>
      <c r="J116" s="120">
        <f>IF(AND(Z116=0,AA116=0),"-",IF(Y116=0,(E116*($AF$23/$Z$5)^(1/$AE$4))/AC116*(E35-2*(G35-AA116)/1000)/2/1000,(F116*($AF$23/$Z$5)^(1/3))/AC116*(E35-2*(G35-AA116)/1000)/2/1000))</f>
        <v>39.585019530863107</v>
      </c>
      <c r="K116" s="120">
        <f t="shared" ref="K116:L131" si="78">$AC$8</f>
        <v>112</v>
      </c>
      <c r="L116" s="120">
        <f t="shared" si="78"/>
        <v>112</v>
      </c>
      <c r="M116" s="120">
        <f>IF(AND(X116=0,Y116&lt;&gt;0),IF(D116&gt;$Z$9,$AD$13,$AD$14)*((((IF(D116&gt;$Z$9,$AD$11,$AD$12)/AF116*G116)/(AJ116*K116))^$AE$4)+(((IF(D116&gt;$Z$9,$AD$11,$AD$12)/AF116*I116)/((AJ116*K116)))^$AE$4)),IF(D116&gt;$Z$9,$AD$13,$AD$14)*((((IF(D116&gt;$Z$9,$AD$11,$AD$12)/AF116*G116)/(AJ116*K116))^$AE$4)+(((IF(D116&gt;$Z$9,$AD$11,$AD$12)/AH116*IF(X116=0,0,I116))/(0.7*K116))^3)))</f>
        <v>0.59868333533357343</v>
      </c>
      <c r="N116" s="120">
        <f>IF(AND(Y116=0,X116&lt;&gt;0),IF(D116&gt;$Z$9,$AD$13,$AD$14)*((((IF(D116&gt;$Z$9,$AD$11,$AD$12)/AG116*H116)/(AK116*L116))^$AE$4)+(((IF(D116&gt;$Z$9,$AD$11,$AD$12)/AG116*J116)/((AK116*L116)))^$AE$4)),IF(D116&gt;$Z$9,$AD$13,$AD$14)*((((IF(D116&gt;$Z$9,$AD$11,$AD$12)/AG116*H116)/(AK116*L116))^$AE$4)+(((IF(D116&gt;$Z$9,$AD$11,$AD$12)/AI116*IF(Y116=0,0,J116))/(0.7*L116))^3)))</f>
        <v>0.54765288242753996</v>
      </c>
      <c r="O116" s="120">
        <f>Control!$F$48</f>
        <v>0.1</v>
      </c>
      <c r="P116" s="120">
        <f>Control!$F$48</f>
        <v>0.1</v>
      </c>
      <c r="Q116" s="120">
        <f>Control!$F$46</f>
        <v>0.03</v>
      </c>
      <c r="R116" s="120">
        <f>Control!$F$46</f>
        <v>0.03</v>
      </c>
      <c r="S116" s="120">
        <f>M116+O116+Q116</f>
        <v>0.72868333533357343</v>
      </c>
      <c r="T116" s="120">
        <f>N116+P116+R116</f>
        <v>0.67765288242753996</v>
      </c>
      <c r="X116" s="36" t="str">
        <f>X62</f>
        <v>X</v>
      </c>
      <c r="Y116" s="36" t="str">
        <f>Y62</f>
        <v>X</v>
      </c>
      <c r="Z116" s="36">
        <f>Z62</f>
        <v>1.7999999999999998</v>
      </c>
      <c r="AA116" s="36">
        <f>AA62</f>
        <v>0.89999999999999991</v>
      </c>
      <c r="AB116" s="120">
        <f>(PI()/64*(E35^4-(E35-2*G35/1000)^4))</f>
        <v>17.134136087205629</v>
      </c>
      <c r="AC116" s="120">
        <f>(PI()/64*((E35-2*Z116/1000)^4-((E35-2*Z116/1000)-2*(G35-Z116-AA116)/1000)^4))</f>
        <v>16.699506330179677</v>
      </c>
      <c r="AD116" s="120">
        <f>IF(OR(Control!$F$39="EC",Control!$F$51="N"),G35,MIN(G35,14+0.66*(INDEX('Eff. thickness (DNVGL-RP-C203)'!$G$31:$G$1048576,MATCH(G35,'Eff. thickness (DNVGL-RP-C203)'!$C$31:$C$1048576,0)))))</f>
        <v>108</v>
      </c>
      <c r="AE116" s="120">
        <f>IF(OR(Control!$F$39="EC",Control!$F$51="N"),G35,MIN(G35,14+0.66*(INDEX('Eff. thickness (DNVGL-RP-C203)'!$F$31:$F$1048576,MATCH(G35,'Eff. thickness (DNVGL-RP-C203)'!$C$31:$C$1048576,0)))))</f>
        <v>108</v>
      </c>
      <c r="AF116" s="120">
        <f>(25/AD116)^0.1</f>
        <v>0.86387643087620181</v>
      </c>
      <c r="AG116" s="120">
        <f>(25/AE116)^0.1</f>
        <v>0.86387643087620181</v>
      </c>
      <c r="AH116" s="120">
        <f>IF(X116=0,1,(25/AD116)^0.15)</f>
        <v>0.80292954361282265</v>
      </c>
      <c r="AI116" s="120">
        <f>IF(Y116=0,1,(25/AE116)^0.15)</f>
        <v>0.80292954361282265</v>
      </c>
      <c r="AJ116" s="120">
        <f>IF(Control!$F$39&lt;&gt;"DNV",1,IF(D116&gt;Control!$F$16,IF(ISBLANK(Control!$F$56),1,Control!$F$56),IF(D116&gt;Control!$F$22,IF(ISBLANK(Control!$F$57),1,Control!$F$57),1)))</f>
        <v>1</v>
      </c>
      <c r="AK116" s="120">
        <f>IF(Control!$F$39&lt;&gt;"DNV",1,IF(D116&gt;Control!$F$18,IF(ISBLANK(Control!$F$56),1,Control!$F$56),IF(D116&gt;Control!$F$22,IF(ISBLANK(Control!$F$57),1,Control!$F$57),1)))</f>
        <v>1</v>
      </c>
    </row>
    <row r="117" spans="3:37">
      <c r="C117" s="12" t="s">
        <v>434</v>
      </c>
      <c r="D117" s="2">
        <f t="shared" ref="D117:D137" si="79">E7</f>
        <v>-2.2999999999999998</v>
      </c>
      <c r="E117" s="120">
        <f>IF(Geometry_loads!H20="-","-",Geometry_loads!H20*Control!$F$54)</f>
        <v>212463.64088225467</v>
      </c>
      <c r="F117" s="120">
        <f>IF(Geometry_loads!G20="-","-",Geometry_loads!G20*Control!$F$55)</f>
        <v>253469.73457588677</v>
      </c>
      <c r="G117" s="120">
        <f t="shared" ref="G117:G137" si="80">IF(AND(Z117=0,AA117=0),E117/AB117*E36/2/1000,(E117*($AF$24/$Z$5)^(1/$AE$4)/AB117*E36/2/1000))</f>
        <v>50.058927515623736</v>
      </c>
      <c r="H117" s="120">
        <f t="shared" ref="H117:H137" si="81">IF(AND(Z117=0,AA117=0),E117/AB117*(E36-2*G36/1000)/2/1000,(E117*($AF$24/$Z$5)^(1/$AE$4)/AB117*(E36-2*G36/1000)/2/1000))</f>
        <v>48.724022781873764</v>
      </c>
      <c r="I117" s="120" t="str">
        <f t="shared" ref="I117:I137" si="82">IF(AND(Z117=0,AA117=0),"-",IF(X117=0,(E117*($AF$23/$Z$5)^(1/$AE$4)/AC117*(E36-2*Z117/1000)/2/1000),(F117*($AF$23/$Z$5)^(1/3)/AC117*(E36-2*Z117/1000)/2/1000)))</f>
        <v>-</v>
      </c>
      <c r="J117" s="120" t="str">
        <f t="shared" ref="J117:J137" si="83">IF(AND(Z117=0,AA117=0),"-",IF(Y117=0,(E117*($AF$23/$Z$5)^(1/$AE$4))/AC117*(E36-2*(G36-AA117)/1000)/2/1000,(F117*($AF$23/$Z$5)^(1/3))/AC117*(E36-2*(G36-AA117)/1000)/2/1000))</f>
        <v>-</v>
      </c>
      <c r="K117" s="120">
        <f t="shared" si="78"/>
        <v>112</v>
      </c>
      <c r="L117" s="120">
        <f t="shared" si="78"/>
        <v>112</v>
      </c>
      <c r="M117" s="120">
        <f t="shared" ref="M117:M137" si="84">IF(AND(X117=0,Y117&lt;&gt;0),IF(D117&gt;$Z$9,$AD$13,$AD$14)*((((IF(D117&gt;$Z$9,$AD$11,$AD$12)/AF117*G117)/(AJ117*K117))^$AE$4)+(((IF(D117&gt;$Z$9,$AD$11,$AD$12)/AF117*I117)/((AJ117*K117)))^$AE$4)),IF(D117&gt;$Z$9,$AD$13,$AD$14)*((((IF(D117&gt;$Z$9,$AD$11,$AD$12)/AF117*G117)/(AJ117*K117))^$AE$4)+(((IF(D117&gt;$Z$9,$AD$11,$AD$12)/AH117*IF(X117=0,0,I117))/(0.7*K117))^3)))</f>
        <v>0.16963603828755827</v>
      </c>
      <c r="N117" s="120">
        <f t="shared" ref="N117:N137" si="85">IF(AND(Y117=0,X117&lt;&gt;0),IF(D117&gt;$Z$9,$AD$13,$AD$14)*((((IF(D117&gt;$Z$9,$AD$11,$AD$12)/AG117*H117)/(AK117*L117))^$AE$4)+(((IF(D117&gt;$Z$9,$AD$11,$AD$12)/AG117*J117)/((AK117*L117)))^$AE$4)),IF(D117&gt;$Z$9,$AD$13,$AD$14)*((((IF(D117&gt;$Z$9,$AD$11,$AD$12)/AG117*H117)/(AK117*L117))^$AE$4)+(((IF(D117&gt;$Z$9,$AD$11,$AD$12)/AI117*IF(Y117=0,0,J117))/(0.7*L117))^3)))</f>
        <v>0.15225252654065169</v>
      </c>
      <c r="O117" s="120">
        <f>Control!$F$48</f>
        <v>0.1</v>
      </c>
      <c r="P117" s="120">
        <f>Control!$F$48</f>
        <v>0.1</v>
      </c>
      <c r="Q117" s="120">
        <f>Control!$F$46</f>
        <v>0.03</v>
      </c>
      <c r="R117" s="120">
        <f>Control!$F$46</f>
        <v>0.03</v>
      </c>
      <c r="S117" s="120">
        <f t="shared" ref="S117:S137" si="86">M117+O117+Q117</f>
        <v>0.29963603828755825</v>
      </c>
      <c r="T117" s="120">
        <f t="shared" ref="T117:T137" si="87">N117+P117+R117</f>
        <v>0.28225252654065169</v>
      </c>
      <c r="X117" s="36">
        <f t="shared" ref="X117:AA117" si="88">X63</f>
        <v>0</v>
      </c>
      <c r="Y117" s="36">
        <f t="shared" si="88"/>
        <v>0</v>
      </c>
      <c r="Z117" s="36">
        <f t="shared" si="88"/>
        <v>0</v>
      </c>
      <c r="AA117" s="36">
        <f t="shared" si="88"/>
        <v>0</v>
      </c>
      <c r="AB117" s="120">
        <f t="shared" ref="AB117:AB137" si="89">(PI()/64*(E36^4-(E36-2*G36/1000)^4))</f>
        <v>15.916015241432959</v>
      </c>
      <c r="AC117" s="120">
        <f t="shared" ref="AC117:AC137" si="90">(PI()/64*((E36-2*Z117/1000)^4-((E36-2*Z117/1000)-2*(G36-Z117-AA117)/1000)^4))</f>
        <v>15.916015241432959</v>
      </c>
      <c r="AD117" s="120">
        <f>IF(OR(Control!$F$39="EC",Control!$F$51="N"),G36,MIN(G36,14+0.66*(INDEX('Eff. thickness (DNVGL-RP-C203)'!$G$31:$G$1048576,MATCH(G36,'Eff. thickness (DNVGL-RP-C203)'!$C$31:$C$1048576,0)))))</f>
        <v>100</v>
      </c>
      <c r="AE117" s="120">
        <f>IF(OR(Control!$F$39="EC",Control!$F$51="N"),G36,MIN(G36,14+0.66*(INDEX('Eff. thickness (DNVGL-RP-C203)'!$F$31:$F$1048576,MATCH(G36,'Eff. thickness (DNVGL-RP-C203)'!$C$31:$C$1048576,0)))))</f>
        <v>100</v>
      </c>
      <c r="AF117" s="120">
        <f t="shared" ref="AF117:AF137" si="91">(25/AD117)^0.1</f>
        <v>0.87055056329612412</v>
      </c>
      <c r="AG117" s="120">
        <f t="shared" ref="AG117:AG137" si="92">(25/AE117)^0.1</f>
        <v>0.87055056329612412</v>
      </c>
      <c r="AH117" s="120">
        <f t="shared" ref="AH117:AH137" si="93">IF(X117=0,1,(25/AD117)^0.15)</f>
        <v>1</v>
      </c>
      <c r="AI117" s="120">
        <f t="shared" ref="AI117:AI137" si="94">IF(Y117=0,1,(25/AE117)^0.15)</f>
        <v>1</v>
      </c>
      <c r="AJ117" s="120">
        <f>IF(Control!$F$39&lt;&gt;"DNV",1,IF(D117&gt;Control!$F$16,IF(ISBLANK(Control!$F$56),1,Control!$F$56),IF(D117&gt;Control!$F$22,IF(ISBLANK(Control!$F$57),1,Control!$F$57),1)))</f>
        <v>1</v>
      </c>
      <c r="AK117" s="120">
        <f>IF(Control!$F$39&lt;&gt;"DNV",1,IF(D117&gt;Control!$F$18,IF(ISBLANK(Control!$F$56),1,Control!$F$56),IF(D117&gt;Control!$F$22,IF(ISBLANK(Control!$F$57),1,Control!$F$57),1)))</f>
        <v>1</v>
      </c>
    </row>
    <row r="118" spans="3:37">
      <c r="C118" s="12" t="s">
        <v>435</v>
      </c>
      <c r="D118" s="2">
        <f t="shared" si="79"/>
        <v>-6.2</v>
      </c>
      <c r="E118" s="120">
        <f>IF(Geometry_loads!H21="-","-",Geometry_loads!H21*Control!$F$54)</f>
        <v>217941.103467868</v>
      </c>
      <c r="F118" s="120">
        <f>IF(Geometry_loads!G21="-","-",Geometry_loads!G21*Control!$F$55)</f>
        <v>259948.83343784476</v>
      </c>
      <c r="G118" s="120">
        <f t="shared" si="80"/>
        <v>51.847332562892497</v>
      </c>
      <c r="H118" s="120">
        <f t="shared" si="81"/>
        <v>50.478562983232131</v>
      </c>
      <c r="I118" s="120" t="str">
        <f t="shared" si="82"/>
        <v>-</v>
      </c>
      <c r="J118" s="120" t="str">
        <f t="shared" si="83"/>
        <v>-</v>
      </c>
      <c r="K118" s="120">
        <f t="shared" si="78"/>
        <v>112</v>
      </c>
      <c r="L118" s="120">
        <f t="shared" si="78"/>
        <v>112</v>
      </c>
      <c r="M118" s="120">
        <f t="shared" si="84"/>
        <v>0.19442482053099908</v>
      </c>
      <c r="N118" s="120">
        <f t="shared" si="85"/>
        <v>0.17469238239521601</v>
      </c>
      <c r="O118" s="120">
        <f>Control!$F$48</f>
        <v>0.1</v>
      </c>
      <c r="P118" s="120">
        <f>Control!$F$48</f>
        <v>0.1</v>
      </c>
      <c r="Q118" s="120">
        <f>Control!$F$46</f>
        <v>0.03</v>
      </c>
      <c r="R118" s="120">
        <f>Control!$F$46</f>
        <v>0.03</v>
      </c>
      <c r="S118" s="120">
        <f t="shared" si="86"/>
        <v>0.32442482053099908</v>
      </c>
      <c r="T118" s="120">
        <f t="shared" si="87"/>
        <v>0.30469238239521601</v>
      </c>
      <c r="X118" s="36">
        <f t="shared" ref="X118:AA118" si="95">X64</f>
        <v>0</v>
      </c>
      <c r="Y118" s="36">
        <f t="shared" si="95"/>
        <v>0</v>
      </c>
      <c r="Z118" s="36">
        <f t="shared" si="95"/>
        <v>0</v>
      </c>
      <c r="AA118" s="36">
        <f t="shared" si="95"/>
        <v>0</v>
      </c>
      <c r="AB118" s="120">
        <f t="shared" si="89"/>
        <v>15.76318583049801</v>
      </c>
      <c r="AC118" s="120">
        <f t="shared" si="90"/>
        <v>15.76318583049801</v>
      </c>
      <c r="AD118" s="120">
        <f>IF(OR(Control!$F$39="EC",Control!$F$51="N"),G37,MIN(G37,14+0.66*(INDEX('Eff. thickness (DNVGL-RP-C203)'!$G$31:$G$1048576,MATCH(G37,'Eff. thickness (DNVGL-RP-C203)'!$C$31:$C$1048576,0)))))</f>
        <v>99</v>
      </c>
      <c r="AE118" s="120">
        <f>IF(OR(Control!$F$39="EC",Control!$F$51="N"),G37,MIN(G37,14+0.66*(INDEX('Eff. thickness (DNVGL-RP-C203)'!$F$31:$F$1048576,MATCH(G37,'Eff. thickness (DNVGL-RP-C203)'!$C$31:$C$1048576,0)))))</f>
        <v>99</v>
      </c>
      <c r="AF118" s="120">
        <f t="shared" si="91"/>
        <v>0.87142593566561388</v>
      </c>
      <c r="AG118" s="120">
        <f t="shared" si="92"/>
        <v>0.87142593566561388</v>
      </c>
      <c r="AH118" s="120">
        <f t="shared" si="93"/>
        <v>1</v>
      </c>
      <c r="AI118" s="120">
        <f t="shared" si="94"/>
        <v>1</v>
      </c>
      <c r="AJ118" s="120">
        <f>IF(Control!$F$39&lt;&gt;"DNV",1,IF(D118&gt;Control!$F$16,IF(ISBLANK(Control!$F$56),1,Control!$F$56),IF(D118&gt;Control!$F$22,IF(ISBLANK(Control!$F$57),1,Control!$F$57),1)))</f>
        <v>1</v>
      </c>
      <c r="AK118" s="120">
        <f>IF(Control!$F$39&lt;&gt;"DNV",1,IF(D118&gt;Control!$F$18,IF(ISBLANK(Control!$F$56),1,Control!$F$56),IF(D118&gt;Control!$F$22,IF(ISBLANK(Control!$F$57),1,Control!$F$57),1)))</f>
        <v>1</v>
      </c>
    </row>
    <row r="119" spans="3:37">
      <c r="C119" s="12" t="s">
        <v>436</v>
      </c>
      <c r="D119" s="2">
        <f t="shared" si="79"/>
        <v>-10.1</v>
      </c>
      <c r="E119" s="120">
        <f>IF(Geometry_loads!H22="-","-",Geometry_loads!H22*Control!$F$54)</f>
        <v>223997.26603181395</v>
      </c>
      <c r="F119" s="120">
        <f>IF(Geometry_loads!G22="-","-",Geometry_loads!G22*Control!$F$55)</f>
        <v>266920.40537244565</v>
      </c>
      <c r="G119" s="120">
        <f t="shared" si="80"/>
        <v>48.830746954978906</v>
      </c>
      <c r="H119" s="120">
        <f t="shared" si="81"/>
        <v>47.595678306985619</v>
      </c>
      <c r="I119" s="120" t="str">
        <f t="shared" si="82"/>
        <v>-</v>
      </c>
      <c r="J119" s="120" t="str">
        <f t="shared" si="83"/>
        <v>-</v>
      </c>
      <c r="K119" s="120">
        <f t="shared" si="78"/>
        <v>112</v>
      </c>
      <c r="L119" s="120">
        <f t="shared" si="78"/>
        <v>112</v>
      </c>
      <c r="M119" s="120">
        <f t="shared" si="84"/>
        <v>0.15297466343167054</v>
      </c>
      <c r="N119" s="120">
        <f t="shared" si="85"/>
        <v>0.13807533888615542</v>
      </c>
      <c r="O119" s="120">
        <f>Control!$F$48</f>
        <v>0.1</v>
      </c>
      <c r="P119" s="120">
        <f>Control!$F$48</f>
        <v>0.1</v>
      </c>
      <c r="Q119" s="120">
        <f>Control!$F$46</f>
        <v>0.03</v>
      </c>
      <c r="R119" s="120">
        <f>Control!$F$46</f>
        <v>0.03</v>
      </c>
      <c r="S119" s="120">
        <f t="shared" si="86"/>
        <v>0.28297466343167055</v>
      </c>
      <c r="T119" s="120">
        <f t="shared" si="87"/>
        <v>0.26807533888615542</v>
      </c>
      <c r="X119" s="36">
        <f t="shared" ref="X119:AA119" si="96">X65</f>
        <v>0</v>
      </c>
      <c r="Y119" s="36">
        <f t="shared" si="96"/>
        <v>0</v>
      </c>
      <c r="Z119" s="36">
        <f t="shared" si="96"/>
        <v>0</v>
      </c>
      <c r="AA119" s="36">
        <f t="shared" si="96"/>
        <v>0</v>
      </c>
      <c r="AB119" s="120">
        <f t="shared" si="89"/>
        <v>17.955058104001171</v>
      </c>
      <c r="AC119" s="120">
        <f t="shared" si="90"/>
        <v>17.955058104001171</v>
      </c>
      <c r="AD119" s="120">
        <f>IF(OR(Control!$F$39="EC",Control!$F$51="N"),G38,MIN(G38,14+0.66*(INDEX('Eff. thickness (DNVGL-RP-C203)'!$G$31:$G$1048576,MATCH(G38,'Eff. thickness (DNVGL-RP-C203)'!$C$31:$C$1048576,0)))))</f>
        <v>99</v>
      </c>
      <c r="AE119" s="120">
        <f>IF(OR(Control!$F$39="EC",Control!$F$51="N"),G38,MIN(G38,14+0.66*(INDEX('Eff. thickness (DNVGL-RP-C203)'!$F$31:$F$1048576,MATCH(G38,'Eff. thickness (DNVGL-RP-C203)'!$C$31:$C$1048576,0)))))</f>
        <v>99</v>
      </c>
      <c r="AF119" s="120">
        <f t="shared" si="91"/>
        <v>0.87142593566561388</v>
      </c>
      <c r="AG119" s="120">
        <f t="shared" si="92"/>
        <v>0.87142593566561388</v>
      </c>
      <c r="AH119" s="120">
        <f t="shared" si="93"/>
        <v>1</v>
      </c>
      <c r="AI119" s="120">
        <f t="shared" si="94"/>
        <v>1</v>
      </c>
      <c r="AJ119" s="120">
        <f>IF(Control!$F$39&lt;&gt;"DNV",1,IF(D119&gt;Control!$F$16,IF(ISBLANK(Control!$F$56),1,Control!$F$56),IF(D119&gt;Control!$F$22,IF(ISBLANK(Control!$F$57),1,Control!$F$57),1)))</f>
        <v>1</v>
      </c>
      <c r="AK119" s="120">
        <f>IF(Control!$F$39&lt;&gt;"DNV",1,IF(D119&gt;Control!$F$18,IF(ISBLANK(Control!$F$56),1,Control!$F$56),IF(D119&gt;Control!$F$22,IF(ISBLANK(Control!$F$57),1,Control!$F$57),1)))</f>
        <v>1</v>
      </c>
    </row>
    <row r="120" spans="3:37">
      <c r="C120" s="12" t="s">
        <v>437</v>
      </c>
      <c r="D120" s="2">
        <f t="shared" si="79"/>
        <v>-14</v>
      </c>
      <c r="E120" s="120">
        <f>IF(Geometry_loads!H23="-","-",Geometry_loads!H23*Control!$F$54)</f>
        <v>230147.63556897684</v>
      </c>
      <c r="F120" s="120">
        <f>IF(Geometry_loads!G23="-","-",Geometry_loads!G23*Control!$F$55)</f>
        <v>274076.65470928769</v>
      </c>
      <c r="G120" s="120">
        <f t="shared" si="80"/>
        <v>42.819579055195398</v>
      </c>
      <c r="H120" s="120">
        <f t="shared" si="81"/>
        <v>41.696146507588324</v>
      </c>
      <c r="I120" s="120" t="str">
        <f t="shared" si="82"/>
        <v>-</v>
      </c>
      <c r="J120" s="120" t="str">
        <f t="shared" si="83"/>
        <v>-</v>
      </c>
      <c r="K120" s="120">
        <f t="shared" si="78"/>
        <v>112</v>
      </c>
      <c r="L120" s="120">
        <f t="shared" si="78"/>
        <v>112</v>
      </c>
      <c r="M120" s="120">
        <f t="shared" si="84"/>
        <v>9.3307175534301942E-2</v>
      </c>
      <c r="N120" s="120">
        <f t="shared" si="85"/>
        <v>8.3893661426803462E-2</v>
      </c>
      <c r="O120" s="120">
        <f>Control!$F$48</f>
        <v>0.1</v>
      </c>
      <c r="P120" s="120">
        <f>Control!$F$48</f>
        <v>0.1</v>
      </c>
      <c r="Q120" s="120">
        <f>Control!$F$46</f>
        <v>0.03</v>
      </c>
      <c r="R120" s="120">
        <f>Control!$F$46</f>
        <v>0.03</v>
      </c>
      <c r="S120" s="120">
        <f t="shared" si="86"/>
        <v>0.22330717553430193</v>
      </c>
      <c r="T120" s="120">
        <f t="shared" si="87"/>
        <v>0.21389366142680347</v>
      </c>
      <c r="X120" s="36">
        <f t="shared" ref="X120:AA120" si="97">X66</f>
        <v>0</v>
      </c>
      <c r="Y120" s="36">
        <f t="shared" si="97"/>
        <v>0</v>
      </c>
      <c r="Z120" s="36">
        <f t="shared" si="97"/>
        <v>0</v>
      </c>
      <c r="AA120" s="36">
        <f t="shared" si="97"/>
        <v>0</v>
      </c>
      <c r="AB120" s="120">
        <f t="shared" si="89"/>
        <v>21.920138470559632</v>
      </c>
      <c r="AC120" s="120">
        <f t="shared" si="90"/>
        <v>21.920138470559632</v>
      </c>
      <c r="AD120" s="120">
        <f>IF(OR(Control!$F$39="EC",Control!$F$51="N"),G39,MIN(G39,14+0.66*(INDEX('Eff. thickness (DNVGL-RP-C203)'!$G$31:$G$1048576,MATCH(G39,'Eff. thickness (DNVGL-RP-C203)'!$C$31:$C$1048576,0)))))</f>
        <v>107</v>
      </c>
      <c r="AE120" s="120">
        <f>IF(OR(Control!$F$39="EC",Control!$F$51="N"),G39,MIN(G39,14+0.66*(INDEX('Eff. thickness (DNVGL-RP-C203)'!$F$31:$F$1048576,MATCH(G39,'Eff. thickness (DNVGL-RP-C203)'!$C$31:$C$1048576,0)))))</f>
        <v>107</v>
      </c>
      <c r="AF120" s="120">
        <f t="shared" si="91"/>
        <v>0.86468041654491679</v>
      </c>
      <c r="AG120" s="120">
        <f t="shared" si="92"/>
        <v>0.86468041654491679</v>
      </c>
      <c r="AH120" s="120">
        <f t="shared" si="93"/>
        <v>1</v>
      </c>
      <c r="AI120" s="120">
        <f t="shared" si="94"/>
        <v>1</v>
      </c>
      <c r="AJ120" s="120">
        <f>IF(Control!$F$39&lt;&gt;"DNV",1,IF(D120&gt;Control!$F$16,IF(ISBLANK(Control!$F$56),1,Control!$F$56),IF(D120&gt;Control!$F$22,IF(ISBLANK(Control!$F$57),1,Control!$F$57),1)))</f>
        <v>1</v>
      </c>
      <c r="AK120" s="120">
        <f>IF(Control!$F$39&lt;&gt;"DNV",1,IF(D120&gt;Control!$F$18,IF(ISBLANK(Control!$F$56),1,Control!$F$56),IF(D120&gt;Control!$F$22,IF(ISBLANK(Control!$F$57),1,Control!$F$57),1)))</f>
        <v>1</v>
      </c>
    </row>
    <row r="121" spans="3:37">
      <c r="C121" s="12" t="s">
        <v>438</v>
      </c>
      <c r="D121" s="2">
        <f t="shared" si="79"/>
        <v>-17.899999999999999</v>
      </c>
      <c r="E121" s="120">
        <f>IF(Geometry_loads!H24="-","-",Geometry_loads!H24*Control!$F$54)</f>
        <v>237603.44459214588</v>
      </c>
      <c r="F121" s="120">
        <f>IF(Geometry_loads!G24="-","-",Geometry_loads!G24*Control!$F$55)</f>
        <v>282956.55980037979</v>
      </c>
      <c r="G121" s="120">
        <f t="shared" si="80"/>
        <v>45.287342291702359</v>
      </c>
      <c r="H121" s="120">
        <f t="shared" si="81"/>
        <v>44.262548575880317</v>
      </c>
      <c r="I121" s="120" t="str">
        <f t="shared" si="82"/>
        <v>-</v>
      </c>
      <c r="J121" s="120" t="str">
        <f t="shared" si="83"/>
        <v>-</v>
      </c>
      <c r="K121" s="120">
        <f t="shared" si="78"/>
        <v>112</v>
      </c>
      <c r="L121" s="120">
        <f t="shared" si="78"/>
        <v>112</v>
      </c>
      <c r="M121" s="120">
        <f t="shared" si="84"/>
        <v>0.1117912442022982</v>
      </c>
      <c r="N121" s="120">
        <f t="shared" si="85"/>
        <v>0.10201079135111993</v>
      </c>
      <c r="O121" s="120">
        <f>Control!$F$48</f>
        <v>0.1</v>
      </c>
      <c r="P121" s="120">
        <f>Control!$F$48</f>
        <v>0.1</v>
      </c>
      <c r="Q121" s="120">
        <f>Control!$F$46</f>
        <v>0.03</v>
      </c>
      <c r="R121" s="120">
        <f>Control!$F$46</f>
        <v>0.03</v>
      </c>
      <c r="S121" s="120">
        <f t="shared" si="86"/>
        <v>0.24179124420229822</v>
      </c>
      <c r="T121" s="120">
        <f t="shared" si="87"/>
        <v>0.23201079135111993</v>
      </c>
      <c r="X121" s="36">
        <f t="shared" ref="X121:AA121" si="98">X67</f>
        <v>0</v>
      </c>
      <c r="Y121" s="36">
        <f t="shared" si="98"/>
        <v>0</v>
      </c>
      <c r="Z121" s="36">
        <f t="shared" si="98"/>
        <v>0</v>
      </c>
      <c r="AA121" s="36">
        <f t="shared" si="98"/>
        <v>0</v>
      </c>
      <c r="AB121" s="120">
        <f t="shared" si="89"/>
        <v>22.258070408393323</v>
      </c>
      <c r="AC121" s="120">
        <f t="shared" si="90"/>
        <v>22.258070408393323</v>
      </c>
      <c r="AD121" s="120">
        <f>IF(OR(Control!$F$39="EC",Control!$F$51="N"),G40,MIN(G40,14+0.66*(INDEX('Eff. thickness (DNVGL-RP-C203)'!$G$31:$G$1048576,MATCH(G40,'Eff. thickness (DNVGL-RP-C203)'!$C$31:$C$1048576,0)))))</f>
        <v>96</v>
      </c>
      <c r="AE121" s="120">
        <f>IF(OR(Control!$F$39="EC",Control!$F$51="N"),G40,MIN(G40,14+0.66*(INDEX('Eff. thickness (DNVGL-RP-C203)'!$F$31:$F$1048576,MATCH(G40,'Eff. thickness (DNVGL-RP-C203)'!$C$31:$C$1048576,0)))))</f>
        <v>96</v>
      </c>
      <c r="AF121" s="120">
        <f t="shared" si="91"/>
        <v>0.8741115877895107</v>
      </c>
      <c r="AG121" s="120">
        <f t="shared" si="92"/>
        <v>0.8741115877895107</v>
      </c>
      <c r="AH121" s="120">
        <f t="shared" si="93"/>
        <v>1</v>
      </c>
      <c r="AI121" s="120">
        <f t="shared" si="94"/>
        <v>1</v>
      </c>
      <c r="AJ121" s="120">
        <f>IF(Control!$F$39&lt;&gt;"DNV",1,IF(D121&gt;Control!$F$16,IF(ISBLANK(Control!$F$56),1,Control!$F$56),IF(D121&gt;Control!$F$22,IF(ISBLANK(Control!$F$57),1,Control!$F$57),1)))</f>
        <v>1</v>
      </c>
      <c r="AK121" s="120">
        <f>IF(Control!$F$39&lt;&gt;"DNV",1,IF(D121&gt;Control!$F$18,IF(ISBLANK(Control!$F$56),1,Control!$F$56),IF(D121&gt;Control!$F$22,IF(ISBLANK(Control!$F$57),1,Control!$F$57),1)))</f>
        <v>1</v>
      </c>
    </row>
    <row r="122" spans="3:37">
      <c r="C122" s="12" t="s">
        <v>439</v>
      </c>
      <c r="D122" s="2">
        <f t="shared" si="79"/>
        <v>-21.8</v>
      </c>
      <c r="E122" s="120">
        <f>IF(Geometry_loads!H25="-","-",Geometry_loads!H25*Control!$F$54)</f>
        <v>246122.44659876317</v>
      </c>
      <c r="F122" s="120">
        <f>IF(Geometry_loads!G25="-","-",Geometry_loads!G25*Control!$F$55)</f>
        <v>293129.20670715946</v>
      </c>
      <c r="G122" s="120">
        <f t="shared" si="80"/>
        <v>45.252240487508978</v>
      </c>
      <c r="H122" s="120">
        <f t="shared" si="81"/>
        <v>44.307463706387509</v>
      </c>
      <c r="I122" s="120" t="str">
        <f t="shared" si="82"/>
        <v>-</v>
      </c>
      <c r="J122" s="120" t="str">
        <f t="shared" si="83"/>
        <v>-</v>
      </c>
      <c r="K122" s="120">
        <f t="shared" si="78"/>
        <v>112</v>
      </c>
      <c r="L122" s="120">
        <f t="shared" si="78"/>
        <v>112</v>
      </c>
      <c r="M122" s="120">
        <f t="shared" si="84"/>
        <v>0.10956388784515546</v>
      </c>
      <c r="N122" s="120">
        <f t="shared" si="85"/>
        <v>0.10069656371874215</v>
      </c>
      <c r="O122" s="120">
        <f>Control!$F$48</f>
        <v>0.1</v>
      </c>
      <c r="P122" s="120">
        <f>Control!$F$48</f>
        <v>0.1</v>
      </c>
      <c r="Q122" s="120">
        <f>Control!$F$46</f>
        <v>0.03</v>
      </c>
      <c r="R122" s="120">
        <f>Control!$F$46</f>
        <v>0.03</v>
      </c>
      <c r="S122" s="120">
        <f t="shared" si="86"/>
        <v>0.23956388784515545</v>
      </c>
      <c r="T122" s="120">
        <f t="shared" si="87"/>
        <v>0.23069656371874217</v>
      </c>
      <c r="X122" s="36">
        <f t="shared" ref="X122:AA122" si="99">X68</f>
        <v>0</v>
      </c>
      <c r="Y122" s="36">
        <f t="shared" si="99"/>
        <v>0</v>
      </c>
      <c r="Z122" s="36">
        <f t="shared" si="99"/>
        <v>0</v>
      </c>
      <c r="AA122" s="36">
        <f t="shared" si="99"/>
        <v>0</v>
      </c>
      <c r="AB122" s="120">
        <f t="shared" si="89"/>
        <v>23.966788282210018</v>
      </c>
      <c r="AC122" s="120">
        <f t="shared" si="90"/>
        <v>23.966788282210018</v>
      </c>
      <c r="AD122" s="120">
        <f>IF(OR(Control!$F$39="EC",Control!$F$51="N"),G41,MIN(G41,14+0.66*(INDEX('Eff. thickness (DNVGL-RP-C203)'!$G$31:$G$1048576,MATCH(G41,'Eff. thickness (DNVGL-RP-C203)'!$C$31:$C$1048576,0)))))</f>
        <v>92</v>
      </c>
      <c r="AE122" s="120">
        <f>IF(OR(Control!$F$39="EC",Control!$F$51="N"),G41,MIN(G41,14+0.66*(INDEX('Eff. thickness (DNVGL-RP-C203)'!$F$31:$F$1048576,MATCH(G41,'Eff. thickness (DNVGL-RP-C203)'!$C$31:$C$1048576,0)))))</f>
        <v>92</v>
      </c>
      <c r="AF122" s="120">
        <f t="shared" si="91"/>
        <v>0.8778397007281632</v>
      </c>
      <c r="AG122" s="120">
        <f t="shared" si="92"/>
        <v>0.8778397007281632</v>
      </c>
      <c r="AH122" s="120">
        <f t="shared" si="93"/>
        <v>1</v>
      </c>
      <c r="AI122" s="120">
        <f t="shared" si="94"/>
        <v>1</v>
      </c>
      <c r="AJ122" s="120">
        <f>IF(Control!$F$39&lt;&gt;"DNV",1,IF(D122&gt;Control!$F$16,IF(ISBLANK(Control!$F$56),1,Control!$F$56),IF(D122&gt;Control!$F$22,IF(ISBLANK(Control!$F$57),1,Control!$F$57),1)))</f>
        <v>1</v>
      </c>
      <c r="AK122" s="120">
        <f>IF(Control!$F$39&lt;&gt;"DNV",1,IF(D122&gt;Control!$F$18,IF(ISBLANK(Control!$F$56),1,Control!$F$56),IF(D122&gt;Control!$F$22,IF(ISBLANK(Control!$F$57),1,Control!$F$57),1)))</f>
        <v>1</v>
      </c>
    </row>
    <row r="123" spans="3:37">
      <c r="C123" s="12" t="s">
        <v>504</v>
      </c>
      <c r="D123" s="2">
        <f t="shared" si="79"/>
        <v>-25.7</v>
      </c>
      <c r="E123" s="120">
        <f>IF(Geometry_loads!H26="-","-",Geometry_loads!H26*Control!$F$54)</f>
        <v>255718.09972785975</v>
      </c>
      <c r="F123" s="120">
        <f>IF(Geometry_loads!G26="-","-",Geometry_loads!G26*Control!$F$55)</f>
        <v>304856.22174946824</v>
      </c>
      <c r="G123" s="120">
        <f t="shared" si="80"/>
        <v>43.650802471568461</v>
      </c>
      <c r="H123" s="120">
        <f t="shared" si="81"/>
        <v>42.772190042972341</v>
      </c>
      <c r="I123" s="120" t="str">
        <f t="shared" si="82"/>
        <v>-</v>
      </c>
      <c r="J123" s="120" t="str">
        <f t="shared" si="83"/>
        <v>-</v>
      </c>
      <c r="K123" s="120">
        <f t="shared" si="78"/>
        <v>112</v>
      </c>
      <c r="L123" s="120">
        <f t="shared" si="78"/>
        <v>112</v>
      </c>
      <c r="M123" s="120">
        <f t="shared" si="84"/>
        <v>9.4858448564247147E-2</v>
      </c>
      <c r="N123" s="120">
        <f t="shared" si="85"/>
        <v>8.744863602298325E-2</v>
      </c>
      <c r="O123" s="120">
        <f>Control!$F$48</f>
        <v>0.1</v>
      </c>
      <c r="P123" s="120">
        <f>Control!$F$48</f>
        <v>0.1</v>
      </c>
      <c r="Q123" s="120">
        <f>Control!$F$46</f>
        <v>0.03</v>
      </c>
      <c r="R123" s="120">
        <f>Control!$F$46</f>
        <v>0.03</v>
      </c>
      <c r="S123" s="120">
        <f t="shared" si="86"/>
        <v>0.22485844856424717</v>
      </c>
      <c r="T123" s="120">
        <f t="shared" si="87"/>
        <v>0.21744863602298325</v>
      </c>
      <c r="X123" s="36">
        <f t="shared" ref="X123:AA123" si="100">X69</f>
        <v>0</v>
      </c>
      <c r="Y123" s="36">
        <f t="shared" si="100"/>
        <v>0</v>
      </c>
      <c r="Z123" s="36">
        <f t="shared" si="100"/>
        <v>0</v>
      </c>
      <c r="AA123" s="36">
        <f t="shared" si="100"/>
        <v>0</v>
      </c>
      <c r="AB123" s="120">
        <f t="shared" si="89"/>
        <v>26.776385593080963</v>
      </c>
      <c r="AC123" s="120">
        <f t="shared" si="90"/>
        <v>26.776385593080963</v>
      </c>
      <c r="AD123" s="120">
        <f>IF(OR(Control!$F$39="EC",Control!$F$51="N"),G42,MIN(G42,14+0.66*(INDEX('Eff. thickness (DNVGL-RP-C203)'!$G$31:$G$1048576,MATCH(G42,'Eff. thickness (DNVGL-RP-C203)'!$C$31:$C$1048576,0)))))</f>
        <v>92</v>
      </c>
      <c r="AE123" s="120">
        <f>IF(OR(Control!$F$39="EC",Control!$F$51="N"),G42,MIN(G42,14+0.66*(INDEX('Eff. thickness (DNVGL-RP-C203)'!$F$31:$F$1048576,MATCH(G42,'Eff. thickness (DNVGL-RP-C203)'!$C$31:$C$1048576,0)))))</f>
        <v>92</v>
      </c>
      <c r="AF123" s="120">
        <f t="shared" si="91"/>
        <v>0.8778397007281632</v>
      </c>
      <c r="AG123" s="120">
        <f t="shared" si="92"/>
        <v>0.8778397007281632</v>
      </c>
      <c r="AH123" s="120">
        <f t="shared" si="93"/>
        <v>1</v>
      </c>
      <c r="AI123" s="120">
        <f t="shared" si="94"/>
        <v>1</v>
      </c>
      <c r="AJ123" s="120">
        <f>IF(Control!$F$39&lt;&gt;"DNV",1,IF(D123&gt;Control!$F$16,IF(ISBLANK(Control!$F$56),1,Control!$F$56),IF(D123&gt;Control!$F$22,IF(ISBLANK(Control!$F$57),1,Control!$F$57),1)))</f>
        <v>1</v>
      </c>
      <c r="AK123" s="120">
        <f>IF(Control!$F$39&lt;&gt;"DNV",1,IF(D123&gt;Control!$F$18,IF(ISBLANK(Control!$F$56),1,Control!$F$56),IF(D123&gt;Control!$F$22,IF(ISBLANK(Control!$F$57),1,Control!$F$57),1)))</f>
        <v>1</v>
      </c>
    </row>
    <row r="124" spans="3:37">
      <c r="C124" s="12" t="s">
        <v>505</v>
      </c>
      <c r="D124" s="2">
        <f t="shared" si="79"/>
        <v>-29.6</v>
      </c>
      <c r="E124" s="120">
        <f>IF(Geometry_loads!H27="-","-",Geometry_loads!H27*Control!$F$54)</f>
        <v>267063.31093098514</v>
      </c>
      <c r="F124" s="120">
        <f>IF(Geometry_loads!G27="-","-",Geometry_loads!G27*Control!$F$55)</f>
        <v>318768.58605162986</v>
      </c>
      <c r="G124" s="120">
        <f t="shared" si="80"/>
        <v>42.436732603973589</v>
      </c>
      <c r="H124" s="120">
        <f t="shared" si="81"/>
        <v>41.612170178645314</v>
      </c>
      <c r="I124" s="120" t="str">
        <f t="shared" si="82"/>
        <v>-</v>
      </c>
      <c r="J124" s="120" t="str">
        <f t="shared" si="83"/>
        <v>-</v>
      </c>
      <c r="K124" s="120">
        <f t="shared" si="78"/>
        <v>112</v>
      </c>
      <c r="L124" s="120">
        <f t="shared" si="78"/>
        <v>112</v>
      </c>
      <c r="M124" s="120">
        <f t="shared" si="84"/>
        <v>8.4737342889765033E-2</v>
      </c>
      <c r="N124" s="120">
        <f t="shared" si="85"/>
        <v>7.834089927839151E-2</v>
      </c>
      <c r="O124" s="120">
        <f>Control!$F$48</f>
        <v>0.1</v>
      </c>
      <c r="P124" s="120">
        <f>Control!$F$48</f>
        <v>0.1</v>
      </c>
      <c r="Q124" s="120">
        <f>Control!$F$46</f>
        <v>0.03</v>
      </c>
      <c r="R124" s="120">
        <f>Control!$F$46</f>
        <v>0.03</v>
      </c>
      <c r="S124" s="120">
        <f t="shared" si="86"/>
        <v>0.21473734288976504</v>
      </c>
      <c r="T124" s="120">
        <f t="shared" si="87"/>
        <v>0.20834089927839153</v>
      </c>
      <c r="X124" s="36">
        <f t="shared" ref="X124:AA124" si="101">X70</f>
        <v>0</v>
      </c>
      <c r="Y124" s="36">
        <f t="shared" si="101"/>
        <v>0</v>
      </c>
      <c r="Z124" s="36">
        <f t="shared" si="101"/>
        <v>0</v>
      </c>
      <c r="AA124" s="36">
        <f t="shared" si="101"/>
        <v>0</v>
      </c>
      <c r="AB124" s="120">
        <f t="shared" si="89"/>
        <v>29.797409936390167</v>
      </c>
      <c r="AC124" s="120">
        <f t="shared" si="90"/>
        <v>29.797409936390167</v>
      </c>
      <c r="AD124" s="120">
        <f>IF(OR(Control!$F$39="EC",Control!$F$51="N"),G43,MIN(G43,14+0.66*(INDEX('Eff. thickness (DNVGL-RP-C203)'!$G$31:$G$1048576,MATCH(G43,'Eff. thickness (DNVGL-RP-C203)'!$C$31:$C$1048576,0)))))</f>
        <v>92</v>
      </c>
      <c r="AE124" s="120">
        <f>IF(OR(Control!$F$39="EC",Control!$F$51="N"),G43,MIN(G43,14+0.66*(INDEX('Eff. thickness (DNVGL-RP-C203)'!$F$31:$F$1048576,MATCH(G43,'Eff. thickness (DNVGL-RP-C203)'!$C$31:$C$1048576,0)))))</f>
        <v>92</v>
      </c>
      <c r="AF124" s="120">
        <f t="shared" si="91"/>
        <v>0.8778397007281632</v>
      </c>
      <c r="AG124" s="120">
        <f t="shared" si="92"/>
        <v>0.8778397007281632</v>
      </c>
      <c r="AH124" s="120">
        <f t="shared" si="93"/>
        <v>1</v>
      </c>
      <c r="AI124" s="120">
        <f t="shared" si="94"/>
        <v>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506</v>
      </c>
      <c r="D125" s="2">
        <f t="shared" si="79"/>
        <v>-33.5</v>
      </c>
      <c r="E125" s="120">
        <f>IF(Geometry_loads!H28="-","-",Geometry_loads!H28*Control!$F$54)</f>
        <v>280198.45462523232</v>
      </c>
      <c r="F125" s="120">
        <f>IF(Geometry_loads!G28="-","-",Geometry_loads!G28*Control!$F$55)</f>
        <v>334912.46896420454</v>
      </c>
      <c r="G125" s="120">
        <f t="shared" si="80"/>
        <v>41.532282388806287</v>
      </c>
      <c r="H125" s="120">
        <f t="shared" si="81"/>
        <v>40.752492597016456</v>
      </c>
      <c r="I125" s="120" t="str">
        <f t="shared" si="82"/>
        <v>-</v>
      </c>
      <c r="J125" s="120" t="str">
        <f t="shared" si="83"/>
        <v>-</v>
      </c>
      <c r="K125" s="120">
        <f t="shared" si="78"/>
        <v>112</v>
      </c>
      <c r="L125" s="120">
        <f t="shared" si="78"/>
        <v>112</v>
      </c>
      <c r="M125" s="120">
        <f t="shared" si="84"/>
        <v>7.7741028460830586E-2</v>
      </c>
      <c r="N125" s="120">
        <f t="shared" si="85"/>
        <v>7.2064901542009022E-2</v>
      </c>
      <c r="O125" s="120">
        <f>Control!$F$48</f>
        <v>0.1</v>
      </c>
      <c r="P125" s="120">
        <f>Control!$F$48</f>
        <v>0.1</v>
      </c>
      <c r="Q125" s="120">
        <f>Control!$F$46</f>
        <v>0.03</v>
      </c>
      <c r="R125" s="120">
        <f>Control!$F$46</f>
        <v>0.03</v>
      </c>
      <c r="S125" s="120">
        <f t="shared" si="86"/>
        <v>0.20774102846083059</v>
      </c>
      <c r="T125" s="120">
        <f t="shared" si="87"/>
        <v>0.20206490154200904</v>
      </c>
      <c r="X125" s="36">
        <f t="shared" ref="X125:AA125" si="102">X71</f>
        <v>0</v>
      </c>
      <c r="Y125" s="36">
        <f t="shared" si="102"/>
        <v>0</v>
      </c>
      <c r="Z125" s="36">
        <f t="shared" si="102"/>
        <v>0</v>
      </c>
      <c r="AA125" s="36">
        <f t="shared" si="102"/>
        <v>0</v>
      </c>
      <c r="AB125" s="120">
        <f t="shared" si="89"/>
        <v>33.057957537957982</v>
      </c>
      <c r="AC125" s="120">
        <f t="shared" si="90"/>
        <v>33.057957537957982</v>
      </c>
      <c r="AD125" s="120">
        <f>IF(OR(Control!$F$39="EC",Control!$F$51="N"),G44,MIN(G44,14+0.66*(INDEX('Eff. thickness (DNVGL-RP-C203)'!$G$31:$G$1048576,MATCH(G44,'Eff. thickness (DNVGL-RP-C203)'!$C$31:$C$1048576,0)))))</f>
        <v>92</v>
      </c>
      <c r="AE125" s="120">
        <f>IF(OR(Control!$F$39="EC",Control!$F$51="N"),G44,MIN(G44,14+0.66*(INDEX('Eff. thickness (DNVGL-RP-C203)'!$F$31:$F$1048576,MATCH(G44,'Eff. thickness (DNVGL-RP-C203)'!$C$31:$C$1048576,0)))))</f>
        <v>92</v>
      </c>
      <c r="AF125" s="120">
        <f t="shared" si="91"/>
        <v>0.8778397007281632</v>
      </c>
      <c r="AG125" s="120">
        <f t="shared" si="92"/>
        <v>0.8778397007281632</v>
      </c>
      <c r="AH125" s="120">
        <f t="shared" si="93"/>
        <v>1</v>
      </c>
      <c r="AI125" s="120">
        <f t="shared" si="94"/>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507</v>
      </c>
      <c r="D126" s="2">
        <f t="shared" si="79"/>
        <v>-36.799999999999997</v>
      </c>
      <c r="E126" s="120">
        <f>IF(Geometry_loads!H29="-","-",Geometry_loads!H29*Control!$F$54)</f>
        <v>292690.71337038372</v>
      </c>
      <c r="F126" s="120">
        <f>IF(Geometry_loads!G29="-","-",Geometry_loads!G29*Control!$F$55)</f>
        <v>350278.57589426392</v>
      </c>
      <c r="G126" s="120">
        <f t="shared" si="80"/>
        <v>43.383941487253516</v>
      </c>
      <c r="H126" s="120">
        <f t="shared" si="81"/>
        <v>42.569385851166302</v>
      </c>
      <c r="I126" s="120" t="str">
        <f t="shared" si="82"/>
        <v>-</v>
      </c>
      <c r="J126" s="120" t="str">
        <f t="shared" si="83"/>
        <v>-</v>
      </c>
      <c r="K126" s="120">
        <f t="shared" si="78"/>
        <v>112</v>
      </c>
      <c r="L126" s="120">
        <f t="shared" si="78"/>
        <v>112</v>
      </c>
      <c r="M126" s="120">
        <f t="shared" si="84"/>
        <v>9.2559950047988046E-2</v>
      </c>
      <c r="N126" s="120">
        <f t="shared" si="85"/>
        <v>8.5801845164710386E-2</v>
      </c>
      <c r="O126" s="120">
        <f>Control!$F$48</f>
        <v>0.1</v>
      </c>
      <c r="P126" s="120">
        <f>Control!$F$48</f>
        <v>0.1</v>
      </c>
      <c r="Q126" s="120">
        <f>Control!$F$46</f>
        <v>0.03</v>
      </c>
      <c r="R126" s="120">
        <f>Control!$F$46</f>
        <v>0.03</v>
      </c>
      <c r="S126" s="120">
        <f t="shared" si="86"/>
        <v>0.22255995004798804</v>
      </c>
      <c r="T126" s="120">
        <f t="shared" si="87"/>
        <v>0.21580184516471038</v>
      </c>
      <c r="X126" s="36">
        <f t="shared" ref="X126:AA126" si="103">X72</f>
        <v>0</v>
      </c>
      <c r="Y126" s="36">
        <f t="shared" si="103"/>
        <v>0</v>
      </c>
      <c r="Z126" s="36">
        <f t="shared" si="103"/>
        <v>0</v>
      </c>
      <c r="AA126" s="36">
        <f t="shared" si="103"/>
        <v>0</v>
      </c>
      <c r="AB126" s="120">
        <f t="shared" si="89"/>
        <v>33.057957537957982</v>
      </c>
      <c r="AC126" s="120">
        <f t="shared" si="90"/>
        <v>33.057957537957982</v>
      </c>
      <c r="AD126" s="120">
        <f>IF(OR(Control!$F$39="EC",Control!$F$51="N"),G45,MIN(G45,14+0.66*(INDEX('Eff. thickness (DNVGL-RP-C203)'!$G$31:$G$1048576,MATCH(G45,'Eff. thickness (DNVGL-RP-C203)'!$C$31:$C$1048576,0)))))</f>
        <v>92</v>
      </c>
      <c r="AE126" s="120">
        <f>IF(OR(Control!$F$39="EC",Control!$F$51="N"),G45,MIN(G45,14+0.66*(INDEX('Eff. thickness (DNVGL-RP-C203)'!$F$31:$F$1048576,MATCH(G45,'Eff. thickness (DNVGL-RP-C203)'!$C$31:$C$1048576,0)))))</f>
        <v>92</v>
      </c>
      <c r="AF126" s="120">
        <f t="shared" si="91"/>
        <v>0.8778397007281632</v>
      </c>
      <c r="AG126" s="120">
        <f t="shared" si="92"/>
        <v>0.8778397007281632</v>
      </c>
      <c r="AH126" s="120">
        <f t="shared" si="93"/>
        <v>1</v>
      </c>
      <c r="AI126" s="120">
        <f t="shared" si="94"/>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508</v>
      </c>
      <c r="D127" s="2">
        <f t="shared" si="79"/>
        <v>-40.200000000000003</v>
      </c>
      <c r="E127" s="120">
        <f>IF(Geometry_loads!H30="-","-",Geometry_loads!H30*Control!$F$54)</f>
        <v>306730.65810409916</v>
      </c>
      <c r="F127" s="120">
        <f>IF(Geometry_loads!G30="-","-",Geometry_loads!G30*Control!$F$55)</f>
        <v>368010.76338807872</v>
      </c>
      <c r="G127" s="120">
        <f t="shared" si="80"/>
        <v>45.465005603698479</v>
      </c>
      <c r="H127" s="120">
        <f t="shared" si="81"/>
        <v>44.611376927057613</v>
      </c>
      <c r="I127" s="120" t="str">
        <f t="shared" si="82"/>
        <v>-</v>
      </c>
      <c r="J127" s="120" t="str">
        <f t="shared" si="83"/>
        <v>-</v>
      </c>
      <c r="K127" s="120">
        <f t="shared" si="78"/>
        <v>112</v>
      </c>
      <c r="L127" s="120">
        <f t="shared" si="78"/>
        <v>112</v>
      </c>
      <c r="M127" s="120">
        <f t="shared" si="84"/>
        <v>0.11163903777746392</v>
      </c>
      <c r="N127" s="120">
        <f t="shared" si="85"/>
        <v>0.10348790625700473</v>
      </c>
      <c r="O127" s="120">
        <f>Control!$F$48</f>
        <v>0.1</v>
      </c>
      <c r="P127" s="120">
        <f>Control!$F$48</f>
        <v>0.1</v>
      </c>
      <c r="Q127" s="120">
        <f>Control!$F$46</f>
        <v>0.03</v>
      </c>
      <c r="R127" s="120">
        <f>Control!$F$46</f>
        <v>0.03</v>
      </c>
      <c r="S127" s="120">
        <f t="shared" si="86"/>
        <v>0.24163903777746393</v>
      </c>
      <c r="T127" s="120">
        <f t="shared" si="87"/>
        <v>0.23348790625700475</v>
      </c>
      <c r="X127" s="36">
        <f t="shared" ref="X127:AA127" si="104">X73</f>
        <v>0</v>
      </c>
      <c r="Y127" s="36">
        <f t="shared" si="104"/>
        <v>0</v>
      </c>
      <c r="Z127" s="36">
        <f t="shared" si="104"/>
        <v>0</v>
      </c>
      <c r="AA127" s="36">
        <f t="shared" si="104"/>
        <v>0</v>
      </c>
      <c r="AB127" s="120">
        <f t="shared" si="89"/>
        <v>33.057957537957982</v>
      </c>
      <c r="AC127" s="120">
        <f t="shared" si="90"/>
        <v>33.057957537957982</v>
      </c>
      <c r="AD127" s="120">
        <f>IF(OR(Control!$F$39="EC",Control!$F$51="N"),G46,MIN(G46,14+0.66*(INDEX('Eff. thickness (DNVGL-RP-C203)'!$G$31:$G$1048576,MATCH(G46,'Eff. thickness (DNVGL-RP-C203)'!$C$31:$C$1048576,0)))))</f>
        <v>92</v>
      </c>
      <c r="AE127" s="120">
        <f>IF(OR(Control!$F$39="EC",Control!$F$51="N"),G46,MIN(G46,14+0.66*(INDEX('Eff. thickness (DNVGL-RP-C203)'!$F$31:$F$1048576,MATCH(G46,'Eff. thickness (DNVGL-RP-C203)'!$C$31:$C$1048576,0)))))</f>
        <v>92</v>
      </c>
      <c r="AF127" s="120">
        <f t="shared" si="91"/>
        <v>0.8778397007281632</v>
      </c>
      <c r="AG127" s="120">
        <f t="shared" si="92"/>
        <v>0.8778397007281632</v>
      </c>
      <c r="AH127" s="120">
        <f t="shared" si="93"/>
        <v>1</v>
      </c>
      <c r="AI127" s="120">
        <f t="shared" si="94"/>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509</v>
      </c>
      <c r="D128" s="2">
        <f t="shared" si="79"/>
        <v>-43.8</v>
      </c>
      <c r="E128" s="120">
        <f>IF(Geometry_loads!H31="-","-",Geometry_loads!H31*Control!$F$54)</f>
        <v>323067.50862926076</v>
      </c>
      <c r="F128" s="120">
        <f>IF(Geometry_loads!G31="-","-",Geometry_loads!G31*Control!$F$55)</f>
        <v>388575.60748121649</v>
      </c>
      <c r="G128" s="120">
        <f t="shared" si="80"/>
        <v>43.740136385133141</v>
      </c>
      <c r="H128" s="120">
        <f t="shared" si="81"/>
        <v>42.838553982092641</v>
      </c>
      <c r="I128" s="120" t="str">
        <f t="shared" si="82"/>
        <v>-</v>
      </c>
      <c r="J128" s="120" t="str">
        <f t="shared" si="83"/>
        <v>-</v>
      </c>
      <c r="K128" s="120">
        <f t="shared" si="78"/>
        <v>112</v>
      </c>
      <c r="L128" s="120">
        <f t="shared" si="78"/>
        <v>112</v>
      </c>
      <c r="M128" s="120">
        <f t="shared" si="84"/>
        <v>9.9275261307457868E-2</v>
      </c>
      <c r="N128" s="120">
        <f t="shared" si="85"/>
        <v>9.1339728944643692E-2</v>
      </c>
      <c r="O128" s="120">
        <f>Control!$F$48</f>
        <v>0.1</v>
      </c>
      <c r="P128" s="120">
        <f>Control!$F$48</f>
        <v>0.1</v>
      </c>
      <c r="Q128" s="120">
        <f>Control!$F$46</f>
        <v>0.03</v>
      </c>
      <c r="R128" s="120">
        <f>Control!$F$46</f>
        <v>0.03</v>
      </c>
      <c r="S128" s="120">
        <f t="shared" si="86"/>
        <v>0.22927526130745787</v>
      </c>
      <c r="T128" s="120">
        <f t="shared" si="87"/>
        <v>0.22133972894464368</v>
      </c>
      <c r="X128" s="36">
        <f t="shared" ref="X128:AA128" si="105">X74</f>
        <v>0</v>
      </c>
      <c r="Y128" s="36">
        <f t="shared" si="105"/>
        <v>0</v>
      </c>
      <c r="Z128" s="36">
        <f t="shared" si="105"/>
        <v>0</v>
      </c>
      <c r="AA128" s="36">
        <f t="shared" si="105"/>
        <v>0</v>
      </c>
      <c r="AB128" s="120">
        <f t="shared" si="89"/>
        <v>36.191720536597025</v>
      </c>
      <c r="AC128" s="120">
        <f t="shared" si="90"/>
        <v>36.191720536597025</v>
      </c>
      <c r="AD128" s="120">
        <f>IF(OR(Control!$F$39="EC",Control!$F$51="N"),G47,MIN(G47,14+0.66*(INDEX('Eff. thickness (DNVGL-RP-C203)'!$G$31:$G$1048576,MATCH(G47,'Eff. thickness (DNVGL-RP-C203)'!$C$31:$C$1048576,0)))))</f>
        <v>101</v>
      </c>
      <c r="AE128" s="120">
        <f>IF(OR(Control!$F$39="EC",Control!$F$51="N"),G47,MIN(G47,14+0.66*(INDEX('Eff. thickness (DNVGL-RP-C203)'!$F$31:$F$1048576,MATCH(G47,'Eff. thickness (DNVGL-RP-C203)'!$C$31:$C$1048576,0)))))</f>
        <v>101</v>
      </c>
      <c r="AF128" s="120">
        <f t="shared" si="91"/>
        <v>0.86968476750236801</v>
      </c>
      <c r="AG128" s="120">
        <f t="shared" si="92"/>
        <v>0.86968476750236801</v>
      </c>
      <c r="AH128" s="120">
        <f t="shared" si="93"/>
        <v>1</v>
      </c>
      <c r="AI128" s="120">
        <f t="shared" si="94"/>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510</v>
      </c>
      <c r="D129" s="2">
        <f t="shared" si="79"/>
        <v>-47.8</v>
      </c>
      <c r="E129" s="120">
        <f>IF(Geometry_loads!H32="-","-",Geometry_loads!H32*Control!$F$54)</f>
        <v>349530.0672837632</v>
      </c>
      <c r="F129" s="120" t="str">
        <f>IF(Geometry_loads!G32="-","-",Geometry_loads!G32*Control!$F$55)</f>
        <v>-</v>
      </c>
      <c r="G129" s="120">
        <f t="shared" si="80"/>
        <v>51.808927630325542</v>
      </c>
      <c r="H129" s="120">
        <f t="shared" si="81"/>
        <v>50.83618858093984</v>
      </c>
      <c r="I129" s="120" t="str">
        <f t="shared" si="82"/>
        <v>-</v>
      </c>
      <c r="J129" s="120" t="str">
        <f t="shared" si="83"/>
        <v>-</v>
      </c>
      <c r="K129" s="120">
        <f t="shared" si="78"/>
        <v>112</v>
      </c>
      <c r="L129" s="120">
        <f t="shared" si="78"/>
        <v>112</v>
      </c>
      <c r="M129" s="120">
        <f t="shared" si="84"/>
        <v>0.18824588927009087</v>
      </c>
      <c r="N129" s="120">
        <f t="shared" si="85"/>
        <v>0.17450144080319394</v>
      </c>
      <c r="O129" s="120">
        <f>Control!$F$48</f>
        <v>0.1</v>
      </c>
      <c r="P129" s="120">
        <f>Control!$F$48</f>
        <v>0.1</v>
      </c>
      <c r="Q129" s="120">
        <f>Control!$F$46</f>
        <v>0.03</v>
      </c>
      <c r="R129" s="120">
        <f>Control!$F$46</f>
        <v>0.03</v>
      </c>
      <c r="S129" s="120">
        <f t="shared" si="86"/>
        <v>0.3182458892700909</v>
      </c>
      <c r="T129" s="120">
        <f t="shared" si="87"/>
        <v>0.30450144080319397</v>
      </c>
      <c r="X129" s="36">
        <f t="shared" ref="X129:AA129" si="106">X75</f>
        <v>0</v>
      </c>
      <c r="Y129" s="36">
        <f t="shared" si="106"/>
        <v>0</v>
      </c>
      <c r="Z129" s="36">
        <f t="shared" si="106"/>
        <v>0</v>
      </c>
      <c r="AA129" s="36">
        <f t="shared" si="106"/>
        <v>0</v>
      </c>
      <c r="AB129" s="120">
        <f t="shared" si="89"/>
        <v>33.057957537957982</v>
      </c>
      <c r="AC129" s="120">
        <f t="shared" si="90"/>
        <v>33.057957537957982</v>
      </c>
      <c r="AD129" s="120">
        <f>IF(OR(Control!$F$39="EC",Control!$F$51="N"),G48,MIN(G48,14+0.66*(INDEX('Eff. thickness (DNVGL-RP-C203)'!$G$31:$G$1048576,MATCH(G48,'Eff. thickness (DNVGL-RP-C203)'!$C$31:$C$1048576,0)))))</f>
        <v>92</v>
      </c>
      <c r="AE129" s="120">
        <f>IF(OR(Control!$F$39="EC",Control!$F$51="N"),G48,MIN(G48,14+0.66*(INDEX('Eff. thickness (DNVGL-RP-C203)'!$F$31:$F$1048576,MATCH(G48,'Eff. thickness (DNVGL-RP-C203)'!$C$31:$C$1048576,0)))))</f>
        <v>92</v>
      </c>
      <c r="AF129" s="120">
        <f t="shared" si="91"/>
        <v>0.8778397007281632</v>
      </c>
      <c r="AG129" s="120">
        <f t="shared" si="92"/>
        <v>0.8778397007281632</v>
      </c>
      <c r="AH129" s="120">
        <f t="shared" si="93"/>
        <v>1</v>
      </c>
      <c r="AI129" s="120">
        <f t="shared" si="94"/>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511</v>
      </c>
      <c r="D130" s="2">
        <f t="shared" si="79"/>
        <v>-51.8</v>
      </c>
      <c r="E130" s="120">
        <f>IF(Geometry_loads!H33="-","-",Geometry_loads!H33*Control!$F$54)</f>
        <v>373053.19744858553</v>
      </c>
      <c r="F130" s="120" t="str">
        <f>IF(Geometry_loads!G33="-","-",Geometry_loads!G33*Control!$F$55)</f>
        <v>-</v>
      </c>
      <c r="G130" s="120">
        <f t="shared" si="80"/>
        <v>56.48972401654148</v>
      </c>
      <c r="H130" s="120">
        <f t="shared" si="81"/>
        <v>55.452157657053981</v>
      </c>
      <c r="I130" s="120" t="str">
        <f t="shared" si="82"/>
        <v>-</v>
      </c>
      <c r="J130" s="120" t="str">
        <f t="shared" si="83"/>
        <v>-</v>
      </c>
      <c r="K130" s="120">
        <f t="shared" si="78"/>
        <v>112</v>
      </c>
      <c r="L130" s="120">
        <f t="shared" si="78"/>
        <v>112</v>
      </c>
      <c r="M130" s="120">
        <f t="shared" si="84"/>
        <v>0.26373439586255099</v>
      </c>
      <c r="N130" s="120">
        <f t="shared" si="85"/>
        <v>0.24488532419007228</v>
      </c>
      <c r="O130" s="120">
        <f>Control!$F$48</f>
        <v>0.1</v>
      </c>
      <c r="P130" s="120">
        <f>Control!$F$48</f>
        <v>0.1</v>
      </c>
      <c r="Q130" s="120">
        <f>Control!$F$46</f>
        <v>0.03</v>
      </c>
      <c r="R130" s="120">
        <f>Control!$F$46</f>
        <v>0.03</v>
      </c>
      <c r="S130" s="120">
        <f t="shared" si="86"/>
        <v>0.39373439586255099</v>
      </c>
      <c r="T130" s="120">
        <f t="shared" si="87"/>
        <v>0.37488532419007226</v>
      </c>
      <c r="X130" s="36">
        <f t="shared" ref="X130:AA130" si="107">X76</f>
        <v>0</v>
      </c>
      <c r="Y130" s="36">
        <f t="shared" si="107"/>
        <v>0</v>
      </c>
      <c r="Z130" s="36">
        <f t="shared" si="107"/>
        <v>0</v>
      </c>
      <c r="AA130" s="36">
        <f t="shared" si="107"/>
        <v>0</v>
      </c>
      <c r="AB130" s="120">
        <f t="shared" si="89"/>
        <v>32.359171501046823</v>
      </c>
      <c r="AC130" s="120">
        <f t="shared" si="90"/>
        <v>32.359171501046823</v>
      </c>
      <c r="AD130" s="120">
        <f>IF(OR(Control!$F$39="EC",Control!$F$51="N"),G49,MIN(G49,14+0.66*(INDEX('Eff. thickness (DNVGL-RP-C203)'!$G$31:$G$1048576,MATCH(G49,'Eff. thickness (DNVGL-RP-C203)'!$C$31:$C$1048576,0)))))</f>
        <v>90</v>
      </c>
      <c r="AE130" s="120">
        <f>IF(OR(Control!$F$39="EC",Control!$F$51="N"),G49,MIN(G49,14+0.66*(INDEX('Eff. thickness (DNVGL-RP-C203)'!$F$31:$F$1048576,MATCH(G49,'Eff. thickness (DNVGL-RP-C203)'!$C$31:$C$1048576,0)))))</f>
        <v>90</v>
      </c>
      <c r="AF130" s="120">
        <f t="shared" si="91"/>
        <v>0.87977121827244176</v>
      </c>
      <c r="AG130" s="120">
        <f t="shared" si="92"/>
        <v>0.87977121827244176</v>
      </c>
      <c r="AH130" s="120">
        <f t="shared" si="93"/>
        <v>1</v>
      </c>
      <c r="AI130" s="120">
        <f t="shared" si="94"/>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512</v>
      </c>
      <c r="D131" s="2">
        <f t="shared" si="79"/>
        <v>-55.8</v>
      </c>
      <c r="E131" s="120">
        <f>IF(Geometry_loads!H34="-","-",Geometry_loads!H34*Control!$F$54)</f>
        <v>387858.40932400298</v>
      </c>
      <c r="F131" s="120" t="str">
        <f>IF(Geometry_loads!G34="-","-",Geometry_loads!G34*Control!$F$55)</f>
        <v>-</v>
      </c>
      <c r="G131" s="120">
        <f t="shared" si="80"/>
        <v>65.870537351744602</v>
      </c>
      <c r="H131" s="120">
        <f t="shared" si="81"/>
        <v>64.79510000722631</v>
      </c>
      <c r="I131" s="120" t="str">
        <f t="shared" si="82"/>
        <v>-</v>
      </c>
      <c r="J131" s="120" t="str">
        <f t="shared" si="83"/>
        <v>-</v>
      </c>
      <c r="K131" s="120">
        <f t="shared" si="78"/>
        <v>112</v>
      </c>
      <c r="L131" s="120">
        <f t="shared" si="78"/>
        <v>112</v>
      </c>
      <c r="M131" s="120">
        <f t="shared" si="84"/>
        <v>0.4651497349991357</v>
      </c>
      <c r="N131" s="120">
        <f t="shared" si="85"/>
        <v>0.43550847491028521</v>
      </c>
      <c r="O131" s="120">
        <f>Control!$F$48</f>
        <v>0.1</v>
      </c>
      <c r="P131" s="120">
        <f>Control!$F$48</f>
        <v>0.1</v>
      </c>
      <c r="Q131" s="120">
        <f>Control!$F$46</f>
        <v>0.03</v>
      </c>
      <c r="R131" s="120">
        <f>Control!$F$46</f>
        <v>0.03</v>
      </c>
      <c r="S131" s="120">
        <f t="shared" si="86"/>
        <v>0.5951497349991357</v>
      </c>
      <c r="T131" s="120">
        <f t="shared" si="87"/>
        <v>0.56550847491028522</v>
      </c>
      <c r="X131" s="36">
        <f t="shared" ref="X131:AA131" si="108">X77</f>
        <v>0</v>
      </c>
      <c r="Y131" s="36">
        <f t="shared" si="108"/>
        <v>0</v>
      </c>
      <c r="Z131" s="36">
        <f t="shared" si="108"/>
        <v>0</v>
      </c>
      <c r="AA131" s="36">
        <f t="shared" si="108"/>
        <v>0</v>
      </c>
      <c r="AB131" s="120">
        <f t="shared" si="89"/>
        <v>28.852143645633696</v>
      </c>
      <c r="AC131" s="120">
        <f t="shared" si="90"/>
        <v>28.852143645633696</v>
      </c>
      <c r="AD131" s="120">
        <f>IF(OR(Control!$F$39="EC",Control!$F$51="N"),G50,MIN(G50,14+0.66*(INDEX('Eff. thickness (DNVGL-RP-C203)'!$G$31:$G$1048576,MATCH(G50,'Eff. thickness (DNVGL-RP-C203)'!$C$31:$C$1048576,0)))))</f>
        <v>80</v>
      </c>
      <c r="AE131" s="120">
        <f>IF(OR(Control!$F$39="EC",Control!$F$51="N"),G50,MIN(G50,14+0.66*(INDEX('Eff. thickness (DNVGL-RP-C203)'!$F$31:$F$1048576,MATCH(G50,'Eff. thickness (DNVGL-RP-C203)'!$C$31:$C$1048576,0)))))</f>
        <v>80</v>
      </c>
      <c r="AF131" s="120">
        <f t="shared" si="91"/>
        <v>0.89019469568772247</v>
      </c>
      <c r="AG131" s="120">
        <f t="shared" si="92"/>
        <v>0.89019469568772247</v>
      </c>
      <c r="AH131" s="120">
        <f t="shared" si="93"/>
        <v>1</v>
      </c>
      <c r="AI131" s="120">
        <f t="shared" si="94"/>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513</v>
      </c>
      <c r="D132" s="2">
        <f t="shared" si="79"/>
        <v>-59.8</v>
      </c>
      <c r="E132" s="120">
        <f>IF(Geometry_loads!H35="-","-",Geometry_loads!H35*Control!$F$54)</f>
        <v>390144.80966438522</v>
      </c>
      <c r="F132" s="120" t="str">
        <f>IF(Geometry_loads!G35="-","-",Geometry_loads!G35*Control!$F$55)</f>
        <v>-</v>
      </c>
      <c r="G132" s="120">
        <f t="shared" si="80"/>
        <v>66.258839926606072</v>
      </c>
      <c r="H132" s="120">
        <f t="shared" si="81"/>
        <v>65.177062948212509</v>
      </c>
      <c r="I132" s="120" t="str">
        <f t="shared" si="82"/>
        <v>-</v>
      </c>
      <c r="J132" s="120" t="str">
        <f t="shared" si="83"/>
        <v>-</v>
      </c>
      <c r="K132" s="120">
        <f t="shared" ref="K132:L137" si="109">$AC$8</f>
        <v>112</v>
      </c>
      <c r="L132" s="120">
        <f t="shared" si="109"/>
        <v>112</v>
      </c>
      <c r="M132" s="120">
        <f t="shared" si="84"/>
        <v>0.47621521207370932</v>
      </c>
      <c r="N132" s="120">
        <f t="shared" si="85"/>
        <v>0.44586881413505419</v>
      </c>
      <c r="O132" s="120">
        <f>Control!$F$48</f>
        <v>0.1</v>
      </c>
      <c r="P132" s="120">
        <f>Control!$F$48</f>
        <v>0.1</v>
      </c>
      <c r="Q132" s="120">
        <f>Control!$F$46</f>
        <v>0.03</v>
      </c>
      <c r="R132" s="120">
        <f>Control!$F$46</f>
        <v>0.03</v>
      </c>
      <c r="S132" s="120">
        <f t="shared" si="86"/>
        <v>0.60621521207370932</v>
      </c>
      <c r="T132" s="120">
        <f t="shared" si="87"/>
        <v>0.5758688141350542</v>
      </c>
      <c r="X132" s="36">
        <f t="shared" ref="X132:AA132" si="110">X78</f>
        <v>0</v>
      </c>
      <c r="Y132" s="36">
        <f t="shared" si="110"/>
        <v>0</v>
      </c>
      <c r="Z132" s="36">
        <f t="shared" si="110"/>
        <v>0</v>
      </c>
      <c r="AA132" s="36">
        <f t="shared" si="110"/>
        <v>0</v>
      </c>
      <c r="AB132" s="120">
        <f t="shared" si="89"/>
        <v>28.852143645633696</v>
      </c>
      <c r="AC132" s="120">
        <f t="shared" si="90"/>
        <v>28.852143645633696</v>
      </c>
      <c r="AD132" s="120">
        <f>IF(OR(Control!$F$39="EC",Control!$F$51="N"),G51,MIN(G51,14+0.66*(INDEX('Eff. thickness (DNVGL-RP-C203)'!$G$31:$G$1048576,MATCH(G51,'Eff. thickness (DNVGL-RP-C203)'!$C$31:$C$1048576,0)))))</f>
        <v>80</v>
      </c>
      <c r="AE132" s="120">
        <f>IF(OR(Control!$F$39="EC",Control!$F$51="N"),G51,MIN(G51,14+0.66*(INDEX('Eff. thickness (DNVGL-RP-C203)'!$F$31:$F$1048576,MATCH(G51,'Eff. thickness (DNVGL-RP-C203)'!$C$31:$C$1048576,0)))))</f>
        <v>80</v>
      </c>
      <c r="AF132" s="120">
        <f t="shared" si="91"/>
        <v>0.89019469568772247</v>
      </c>
      <c r="AG132" s="120">
        <f t="shared" si="92"/>
        <v>0.89019469568772247</v>
      </c>
      <c r="AH132" s="120">
        <f t="shared" si="93"/>
        <v>1</v>
      </c>
      <c r="AI132" s="120">
        <f t="shared" si="94"/>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514</v>
      </c>
      <c r="D133" s="2">
        <f t="shared" si="79"/>
        <v>-63.8</v>
      </c>
      <c r="E133" s="120">
        <f>IF(Geometry_loads!H36="-","-",Geometry_loads!H36*Control!$F$54)</f>
        <v>351684.25215857424</v>
      </c>
      <c r="F133" s="120" t="str">
        <f>IF(Geometry_loads!G36="-","-",Geometry_loads!G36*Control!$F$55)</f>
        <v>-</v>
      </c>
      <c r="G133" s="120">
        <f t="shared" si="80"/>
        <v>59.727029531748506</v>
      </c>
      <c r="H133" s="120">
        <f t="shared" si="81"/>
        <v>58.751894355719962</v>
      </c>
      <c r="I133" s="120" t="str">
        <f t="shared" si="82"/>
        <v>-</v>
      </c>
      <c r="J133" s="120" t="str">
        <f t="shared" si="83"/>
        <v>-</v>
      </c>
      <c r="K133" s="120">
        <f t="shared" si="109"/>
        <v>112</v>
      </c>
      <c r="L133" s="120">
        <f t="shared" si="109"/>
        <v>112</v>
      </c>
      <c r="M133" s="120">
        <f t="shared" si="84"/>
        <v>0.3144210523221842</v>
      </c>
      <c r="N133" s="120">
        <f t="shared" si="85"/>
        <v>0.29438484572451912</v>
      </c>
      <c r="O133" s="120">
        <f>Control!$F$48</f>
        <v>0.1</v>
      </c>
      <c r="P133" s="120">
        <f>Control!$F$48</f>
        <v>0.1</v>
      </c>
      <c r="Q133" s="120">
        <f>Control!$F$46</f>
        <v>0.03</v>
      </c>
      <c r="R133" s="120">
        <f>Control!$F$46</f>
        <v>0.03</v>
      </c>
      <c r="S133" s="120">
        <f t="shared" si="86"/>
        <v>0.44442105232218421</v>
      </c>
      <c r="T133" s="120">
        <f t="shared" si="87"/>
        <v>0.42438484572451918</v>
      </c>
      <c r="X133" s="36">
        <f t="shared" ref="X133:AA133" si="111">X79</f>
        <v>0</v>
      </c>
      <c r="Y133" s="36">
        <f t="shared" si="111"/>
        <v>0</v>
      </c>
      <c r="Z133" s="36">
        <f t="shared" si="111"/>
        <v>0</v>
      </c>
      <c r="AA133" s="36">
        <f t="shared" si="111"/>
        <v>0</v>
      </c>
      <c r="AB133" s="120">
        <f t="shared" si="89"/>
        <v>28.852143645633696</v>
      </c>
      <c r="AC133" s="120">
        <f t="shared" si="90"/>
        <v>28.852143645633696</v>
      </c>
      <c r="AD133" s="120">
        <f>IF(OR(Control!$F$39="EC",Control!$F$51="N"),G52,MIN(G52,14+0.66*(INDEX('Eff. thickness (DNVGL-RP-C203)'!$G$31:$G$1048576,MATCH(G52,'Eff. thickness (DNVGL-RP-C203)'!$C$31:$C$1048576,0)))))</f>
        <v>80</v>
      </c>
      <c r="AE133" s="120">
        <f>IF(OR(Control!$F$39="EC",Control!$F$51="N"),G52,MIN(G52,14+0.66*(INDEX('Eff. thickness (DNVGL-RP-C203)'!$F$31:$F$1048576,MATCH(G52,'Eff. thickness (DNVGL-RP-C203)'!$C$31:$C$1048576,0)))))</f>
        <v>80</v>
      </c>
      <c r="AF133" s="120">
        <f t="shared" si="91"/>
        <v>0.89019469568772247</v>
      </c>
      <c r="AG133" s="120">
        <f t="shared" si="92"/>
        <v>0.89019469568772247</v>
      </c>
      <c r="AH133" s="120">
        <f t="shared" si="93"/>
        <v>1</v>
      </c>
      <c r="AI133" s="120">
        <f t="shared" si="94"/>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515</v>
      </c>
      <c r="D134" s="2">
        <f t="shared" si="79"/>
        <v>-67.8</v>
      </c>
      <c r="E134" s="120">
        <f>IF(Geometry_loads!H37="-","-",Geometry_loads!H37*Control!$F$54)</f>
        <v>284301.51280085149</v>
      </c>
      <c r="F134" s="120" t="str">
        <f>IF(Geometry_loads!G37="-","-",Geometry_loads!G37*Control!$F$55)</f>
        <v>-</v>
      </c>
      <c r="G134" s="120">
        <f t="shared" si="80"/>
        <v>48.283324450139844</v>
      </c>
      <c r="H134" s="120">
        <f t="shared" si="81"/>
        <v>47.49502527544368</v>
      </c>
      <c r="I134" s="120" t="str">
        <f t="shared" si="82"/>
        <v>-</v>
      </c>
      <c r="J134" s="120" t="str">
        <f t="shared" si="83"/>
        <v>-</v>
      </c>
      <c r="K134" s="120">
        <f t="shared" si="109"/>
        <v>112</v>
      </c>
      <c r="L134" s="120">
        <f t="shared" si="109"/>
        <v>112</v>
      </c>
      <c r="M134" s="120">
        <f t="shared" si="84"/>
        <v>0.13428163247012198</v>
      </c>
      <c r="N134" s="120">
        <f t="shared" si="85"/>
        <v>0.12572465287040308</v>
      </c>
      <c r="O134" s="120">
        <f>Control!$F$48</f>
        <v>0.1</v>
      </c>
      <c r="P134" s="120">
        <f>Control!$F$48</f>
        <v>0.1</v>
      </c>
      <c r="Q134" s="120">
        <f>Control!$F$46</f>
        <v>0.03</v>
      </c>
      <c r="R134" s="120">
        <f>Control!$F$46</f>
        <v>0.03</v>
      </c>
      <c r="S134" s="120">
        <f t="shared" si="86"/>
        <v>0.26428163247012199</v>
      </c>
      <c r="T134" s="120">
        <f t="shared" si="87"/>
        <v>0.25572465287040308</v>
      </c>
      <c r="X134" s="36">
        <f t="shared" ref="X134:AA134" si="112">X80</f>
        <v>0</v>
      </c>
      <c r="Y134" s="36">
        <f t="shared" si="112"/>
        <v>0</v>
      </c>
      <c r="Z134" s="36">
        <f t="shared" si="112"/>
        <v>0</v>
      </c>
      <c r="AA134" s="36">
        <f t="shared" si="112"/>
        <v>0</v>
      </c>
      <c r="AB134" s="120">
        <f t="shared" si="89"/>
        <v>28.852143645633696</v>
      </c>
      <c r="AC134" s="120">
        <f t="shared" si="90"/>
        <v>28.852143645633696</v>
      </c>
      <c r="AD134" s="120">
        <f>IF(OR(Control!$F$39="EC",Control!$F$51="N"),G53,MIN(G53,14+0.66*(INDEX('Eff. thickness (DNVGL-RP-C203)'!$G$31:$G$1048576,MATCH(G53,'Eff. thickness (DNVGL-RP-C203)'!$C$31:$C$1048576,0)))))</f>
        <v>80</v>
      </c>
      <c r="AE134" s="120">
        <f>IF(OR(Control!$F$39="EC",Control!$F$51="N"),G53,MIN(G53,14+0.66*(INDEX('Eff. thickness (DNVGL-RP-C203)'!$F$31:$F$1048576,MATCH(G53,'Eff. thickness (DNVGL-RP-C203)'!$C$31:$C$1048576,0)))))</f>
        <v>80</v>
      </c>
      <c r="AF134" s="120">
        <f t="shared" si="91"/>
        <v>0.89019469568772247</v>
      </c>
      <c r="AG134" s="120">
        <f t="shared" si="92"/>
        <v>0.89019469568772247</v>
      </c>
      <c r="AH134" s="120">
        <f t="shared" si="93"/>
        <v>1</v>
      </c>
      <c r="AI134" s="120">
        <f t="shared" si="94"/>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516</v>
      </c>
      <c r="D135" s="2">
        <f t="shared" si="79"/>
        <v>-71.8</v>
      </c>
      <c r="E135" s="120">
        <f>IF(Geometry_loads!H38="-","-",Geometry_loads!H38*Control!$F$54)</f>
        <v>203164.1659922429</v>
      </c>
      <c r="F135" s="120" t="str">
        <f>IF(Geometry_loads!G38="-","-",Geometry_loads!G38*Control!$F$55)</f>
        <v>-</v>
      </c>
      <c r="G135" s="120">
        <f t="shared" si="80"/>
        <v>34.503655104068628</v>
      </c>
      <c r="H135" s="120">
        <f t="shared" si="81"/>
        <v>33.940330122777709</v>
      </c>
      <c r="I135" s="120" t="str">
        <f t="shared" si="82"/>
        <v>-</v>
      </c>
      <c r="J135" s="120" t="str">
        <f t="shared" si="83"/>
        <v>-</v>
      </c>
      <c r="K135" s="120">
        <f t="shared" si="109"/>
        <v>112</v>
      </c>
      <c r="L135" s="120">
        <f t="shared" si="109"/>
        <v>112</v>
      </c>
      <c r="M135" s="120">
        <f t="shared" si="84"/>
        <v>3.5017760542858503E-2</v>
      </c>
      <c r="N135" s="120">
        <f t="shared" si="85"/>
        <v>3.2786284375336081E-2</v>
      </c>
      <c r="O135" s="120">
        <f>Control!$F$48</f>
        <v>0.1</v>
      </c>
      <c r="P135" s="120">
        <f>Control!$F$48</f>
        <v>0.1</v>
      </c>
      <c r="Q135" s="120">
        <f>Control!$F$46</f>
        <v>0.03</v>
      </c>
      <c r="R135" s="120">
        <f>Control!$F$46</f>
        <v>0.03</v>
      </c>
      <c r="S135" s="120">
        <f t="shared" si="86"/>
        <v>0.16501776054285852</v>
      </c>
      <c r="T135" s="120">
        <f t="shared" si="87"/>
        <v>0.16278628437533607</v>
      </c>
      <c r="X135" s="36">
        <f t="shared" ref="X135:AA135" si="113">X81</f>
        <v>0</v>
      </c>
      <c r="Y135" s="36">
        <f t="shared" si="113"/>
        <v>0</v>
      </c>
      <c r="Z135" s="36">
        <f t="shared" si="113"/>
        <v>0</v>
      </c>
      <c r="AA135" s="36">
        <f t="shared" si="113"/>
        <v>0</v>
      </c>
      <c r="AB135" s="120">
        <f t="shared" si="89"/>
        <v>28.852143645633696</v>
      </c>
      <c r="AC135" s="120">
        <f t="shared" si="90"/>
        <v>28.852143645633696</v>
      </c>
      <c r="AD135" s="120">
        <f>IF(OR(Control!$F$39="EC",Control!$F$51="N"),G54,MIN(G54,14+0.66*(INDEX('Eff. thickness (DNVGL-RP-C203)'!$G$31:$G$1048576,MATCH(G54,'Eff. thickness (DNVGL-RP-C203)'!$C$31:$C$1048576,0)))))</f>
        <v>80</v>
      </c>
      <c r="AE135" s="120">
        <f>IF(OR(Control!$F$39="EC",Control!$F$51="N"),G54,MIN(G54,14+0.66*(INDEX('Eff. thickness (DNVGL-RP-C203)'!$F$31:$F$1048576,MATCH(G54,'Eff. thickness (DNVGL-RP-C203)'!$C$31:$C$1048576,0)))))</f>
        <v>80</v>
      </c>
      <c r="AF135" s="120">
        <f t="shared" si="91"/>
        <v>0.89019469568772247</v>
      </c>
      <c r="AG135" s="120">
        <f t="shared" si="92"/>
        <v>0.89019469568772247</v>
      </c>
      <c r="AH135" s="120">
        <f t="shared" si="93"/>
        <v>1</v>
      </c>
      <c r="AI135" s="120">
        <f t="shared" si="94"/>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517</v>
      </c>
      <c r="D136" s="2">
        <f t="shared" si="79"/>
        <v>-75.8</v>
      </c>
      <c r="E136" s="120">
        <f>IF(Geometry_loads!H39="-","-",Geometry_loads!H39*Control!$F$54)</f>
        <v>116387.32131975664</v>
      </c>
      <c r="F136" s="120" t="str">
        <f>IF(Geometry_loads!G39="-","-",Geometry_loads!G39*Control!$F$55)</f>
        <v>-</v>
      </c>
      <c r="G136" s="120">
        <f t="shared" si="80"/>
        <v>18.214934202114282</v>
      </c>
      <c r="H136" s="120">
        <f t="shared" si="81"/>
        <v>17.891526186688992</v>
      </c>
      <c r="I136" s="120" t="str">
        <f t="shared" si="82"/>
        <v>-</v>
      </c>
      <c r="J136" s="120" t="str">
        <f t="shared" si="83"/>
        <v>-</v>
      </c>
      <c r="K136" s="120">
        <f t="shared" si="109"/>
        <v>112</v>
      </c>
      <c r="L136" s="120">
        <f t="shared" si="109"/>
        <v>112</v>
      </c>
      <c r="M136" s="120">
        <f t="shared" si="84"/>
        <v>2.8126136883106683E-3</v>
      </c>
      <c r="N136" s="120">
        <f t="shared" si="85"/>
        <v>2.6181179764242207E-3</v>
      </c>
      <c r="O136" s="120">
        <f>Control!$F$48</f>
        <v>0.1</v>
      </c>
      <c r="P136" s="120">
        <f>Control!$F$48</f>
        <v>0.1</v>
      </c>
      <c r="Q136" s="120">
        <f>Control!$F$46</f>
        <v>0.03</v>
      </c>
      <c r="R136" s="120">
        <f>Control!$F$46</f>
        <v>0.03</v>
      </c>
      <c r="S136" s="120">
        <f t="shared" si="86"/>
        <v>0.13281261368831065</v>
      </c>
      <c r="T136" s="120">
        <f t="shared" si="87"/>
        <v>0.13261811797642423</v>
      </c>
      <c r="X136" s="36">
        <f t="shared" ref="X136:AA136" si="114">X82</f>
        <v>0</v>
      </c>
      <c r="Y136" s="36">
        <f t="shared" si="114"/>
        <v>0</v>
      </c>
      <c r="Z136" s="36">
        <f t="shared" si="114"/>
        <v>0</v>
      </c>
      <c r="AA136" s="36">
        <f t="shared" si="114"/>
        <v>0</v>
      </c>
      <c r="AB136" s="120">
        <f t="shared" si="89"/>
        <v>31.309356824391418</v>
      </c>
      <c r="AC136" s="120">
        <f t="shared" si="90"/>
        <v>31.309356824391418</v>
      </c>
      <c r="AD136" s="120">
        <f>IF(OR(Control!$F$39="EC",Control!$F$51="N"),G55,MIN(G55,14+0.66*(INDEX('Eff. thickness (DNVGL-RP-C203)'!$G$31:$G$1048576,MATCH(G55,'Eff. thickness (DNVGL-RP-C203)'!$C$31:$C$1048576,0)))))</f>
        <v>87</v>
      </c>
      <c r="AE136" s="120">
        <f>IF(OR(Control!$F$39="EC",Control!$F$51="N"),G55,MIN(G55,14+0.66*(INDEX('Eff. thickness (DNVGL-RP-C203)'!$F$31:$F$1048576,MATCH(G55,'Eff. thickness (DNVGL-RP-C203)'!$C$31:$C$1048576,0)))))</f>
        <v>87</v>
      </c>
      <c r="AF136" s="120">
        <f t="shared" si="91"/>
        <v>0.88275884060455723</v>
      </c>
      <c r="AG136" s="120">
        <f t="shared" si="92"/>
        <v>0.88275884060455723</v>
      </c>
      <c r="AH136" s="120">
        <f t="shared" si="93"/>
        <v>1</v>
      </c>
      <c r="AI136" s="120">
        <f t="shared" si="94"/>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518</v>
      </c>
      <c r="D137" s="2">
        <f t="shared" si="79"/>
        <v>-79.75</v>
      </c>
      <c r="E137" s="120">
        <f>IF(Geometry_loads!H40="-","-",Geometry_loads!H40*Control!$F$54)</f>
        <v>35058.370648614611</v>
      </c>
      <c r="F137" s="120" t="str">
        <f>IF(Geometry_loads!G40="-","-",Geometry_loads!G40*Control!$F$55)</f>
        <v>-</v>
      </c>
      <c r="G137" s="120">
        <f t="shared" si="80"/>
        <v>5.0370479599496418</v>
      </c>
      <c r="H137" s="120">
        <f t="shared" si="81"/>
        <v>4.9393909076649045</v>
      </c>
      <c r="I137" s="120" t="str">
        <f t="shared" si="82"/>
        <v>-</v>
      </c>
      <c r="J137" s="120" t="str">
        <f t="shared" si="83"/>
        <v>-</v>
      </c>
      <c r="K137" s="120">
        <f t="shared" si="109"/>
        <v>112</v>
      </c>
      <c r="L137" s="120">
        <f t="shared" si="109"/>
        <v>112</v>
      </c>
      <c r="M137" s="120">
        <f t="shared" si="84"/>
        <v>1.7036710512573555E-5</v>
      </c>
      <c r="N137" s="120">
        <f t="shared" si="85"/>
        <v>1.5753425078821951E-5</v>
      </c>
      <c r="O137" s="120">
        <f>Control!$F$48</f>
        <v>0.1</v>
      </c>
      <c r="P137" s="120">
        <f>Control!$F$48</f>
        <v>0.1</v>
      </c>
      <c r="Q137" s="120">
        <f>Control!$F$46</f>
        <v>0.03</v>
      </c>
      <c r="R137" s="120">
        <f>Control!$F$46</f>
        <v>0.03</v>
      </c>
      <c r="S137" s="120">
        <f t="shared" si="86"/>
        <v>0.13001703671051257</v>
      </c>
      <c r="T137" s="120">
        <f t="shared" si="87"/>
        <v>0.13001575342507882</v>
      </c>
      <c r="X137" s="36">
        <f t="shared" ref="X137:AA137" si="115">X83</f>
        <v>0</v>
      </c>
      <c r="Y137" s="36">
        <f t="shared" si="115"/>
        <v>0</v>
      </c>
      <c r="Z137" s="36">
        <f t="shared" si="115"/>
        <v>0</v>
      </c>
      <c r="AA137" s="36">
        <f t="shared" si="115"/>
        <v>0</v>
      </c>
      <c r="AB137" s="120">
        <f t="shared" si="89"/>
        <v>34.104502784986202</v>
      </c>
      <c r="AC137" s="120">
        <f t="shared" si="90"/>
        <v>34.104502784986202</v>
      </c>
      <c r="AD137" s="120">
        <f>IF(OR(Control!$F$39="EC",Control!$F$51="N"),G56,MIN(G56,14+0.66*(INDEX('Eff. thickness (DNVGL-RP-C203)'!$G$31:$G$1048576,MATCH(G56,'Eff. thickness (DNVGL-RP-C203)'!$C$31:$C$1048576,0)))))</f>
        <v>95</v>
      </c>
      <c r="AE137" s="120">
        <f>IF(OR(Control!$F$39="EC",Control!$F$51="N"),G56,MIN(G56,14+0.66*(INDEX('Eff. thickness (DNVGL-RP-C203)'!$F$31:$F$1048576,MATCH(G56,'Eff. thickness (DNVGL-RP-C203)'!$C$31:$C$1048576,0)))))</f>
        <v>95</v>
      </c>
      <c r="AF137" s="120">
        <f t="shared" si="91"/>
        <v>0.87502737563561173</v>
      </c>
      <c r="AG137" s="120">
        <f t="shared" si="92"/>
        <v>0.87502737563561173</v>
      </c>
      <c r="AH137" s="120">
        <f t="shared" si="93"/>
        <v>1</v>
      </c>
      <c r="AI137" s="120">
        <f t="shared" si="94"/>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40" spans="3:37">
      <c r="C140" s="35" t="s">
        <v>208</v>
      </c>
    </row>
    <row r="141" spans="3:37">
      <c r="C141" s="323" t="s">
        <v>54</v>
      </c>
      <c r="D141" s="323" t="s">
        <v>282</v>
      </c>
      <c r="E141" s="323" t="s">
        <v>17</v>
      </c>
      <c r="F141" s="323" t="s">
        <v>55</v>
      </c>
      <c r="G141" s="323" t="s">
        <v>193</v>
      </c>
      <c r="H141" s="323" t="s">
        <v>194</v>
      </c>
      <c r="I141" s="323" t="s">
        <v>533</v>
      </c>
    </row>
    <row r="142" spans="3:37">
      <c r="C142" s="324">
        <v>0</v>
      </c>
      <c r="D142" s="324">
        <v>0</v>
      </c>
      <c r="E142" s="324"/>
      <c r="F142" s="324"/>
      <c r="G142" s="324"/>
      <c r="H142" s="324"/>
      <c r="I142" s="324"/>
    </row>
    <row r="143" spans="3:37">
      <c r="C143" s="30" t="s">
        <v>16</v>
      </c>
      <c r="D143" s="30" t="str">
        <f>"[m"&amp;Control!$F$7&amp;"]"</f>
        <v>[mLAT]</v>
      </c>
      <c r="E143" s="30" t="s">
        <v>9</v>
      </c>
      <c r="F143" s="30" t="s">
        <v>10</v>
      </c>
      <c r="G143" s="30" t="s">
        <v>16</v>
      </c>
      <c r="H143" s="30" t="s">
        <v>16</v>
      </c>
      <c r="I143" s="31" t="s">
        <v>16</v>
      </c>
    </row>
    <row r="144" spans="3:37">
      <c r="C144" s="13" t="str">
        <f>Geometry!AD26</f>
        <v>MP1-01-01</v>
      </c>
      <c r="D144" s="2">
        <f>Geometry!AF26</f>
        <v>4.3999999999999995</v>
      </c>
      <c r="E144" s="3">
        <f>Geometry!AL26</f>
        <v>7.5</v>
      </c>
      <c r="F144" s="3">
        <f>Geometry!AM26</f>
        <v>108</v>
      </c>
      <c r="G144" s="3">
        <f>Geometry!AG26</f>
        <v>1.08</v>
      </c>
      <c r="H144" s="3" t="str">
        <f>Geometry!AH26</f>
        <v>I</v>
      </c>
      <c r="I144" s="9" t="str">
        <f>Geometry!AI26</f>
        <v>n</v>
      </c>
    </row>
    <row r="145" spans="3:35">
      <c r="C145" s="13" t="str">
        <f>Geometry!AD27</f>
        <v>MP1-01-02</v>
      </c>
      <c r="D145" s="2">
        <f>Geometry!AF27</f>
        <v>3.3999999999999995</v>
      </c>
      <c r="E145" s="3">
        <f>Geometry!AL27</f>
        <v>7.5</v>
      </c>
      <c r="F145" s="3">
        <f>Geometry!AM27</f>
        <v>108</v>
      </c>
      <c r="G145" s="3">
        <f>Geometry!AG27</f>
        <v>1.4</v>
      </c>
      <c r="H145" s="3" t="str">
        <f>Geometry!AH27</f>
        <v>I</v>
      </c>
      <c r="I145" s="9" t="str">
        <f>Geometry!AI27</f>
        <v>g</v>
      </c>
    </row>
    <row r="146" spans="3:35">
      <c r="C146" s="13" t="str">
        <f>Geometry!AD28</f>
        <v>MP5-01</v>
      </c>
      <c r="D146" s="2">
        <f>Geometry!AF28</f>
        <v>-12.3575</v>
      </c>
      <c r="E146" s="3">
        <f>Geometry!AL28</f>
        <v>8.018335192307692</v>
      </c>
      <c r="F146" s="3">
        <f>Geometry!AM28</f>
        <v>107</v>
      </c>
      <c r="G146" s="3">
        <f>Geometry!AG28</f>
        <v>2</v>
      </c>
      <c r="H146" s="3" t="str">
        <f>Geometry!AH28</f>
        <v>O</v>
      </c>
      <c r="I146" s="9" t="str">
        <f>Geometry!AI28</f>
        <v>o</v>
      </c>
    </row>
    <row r="147" spans="3:35">
      <c r="C147" s="13" t="str">
        <f>Geometry!AD29</f>
        <v>MP8-01</v>
      </c>
      <c r="D147" s="2">
        <f>Geometry!AF29</f>
        <v>-22.715</v>
      </c>
      <c r="E147" s="3">
        <f>Geometry!AL29</f>
        <v>8.8901242307692314</v>
      </c>
      <c r="F147" s="3">
        <f>Geometry!AM29</f>
        <v>92</v>
      </c>
      <c r="G147" s="3">
        <f>Geometry!AG29</f>
        <v>1.6</v>
      </c>
      <c r="H147" s="3" t="str">
        <f>Geometry!AH29</f>
        <v>O</v>
      </c>
      <c r="I147" s="9" t="str">
        <f>Geometry!AI29</f>
        <v>o</v>
      </c>
    </row>
    <row r="148" spans="3:35">
      <c r="C148" s="13" t="str">
        <f>Geometry!AD30</f>
        <v>MP8-02</v>
      </c>
      <c r="D148" s="2">
        <f>Geometry!AF30</f>
        <v>-23.715</v>
      </c>
      <c r="E148" s="3">
        <f>Geometry!AL30</f>
        <v>8.9743037179487182</v>
      </c>
      <c r="F148" s="3">
        <f>Geometry!AM30</f>
        <v>92</v>
      </c>
      <c r="G148" s="3">
        <f>Geometry!AG30</f>
        <v>1.25</v>
      </c>
      <c r="H148" s="3" t="str">
        <f>Geometry!AH30</f>
        <v>O</v>
      </c>
      <c r="I148" s="9" t="str">
        <f>Geometry!AI30</f>
        <v>g</v>
      </c>
    </row>
    <row r="149" spans="3:35">
      <c r="C149" s="13" t="str">
        <f>Geometry!AD31</f>
        <v>MP11-01</v>
      </c>
      <c r="D149" s="2">
        <f>Geometry!AF31</f>
        <v>-35.572499999999998</v>
      </c>
      <c r="E149" s="3">
        <f>Geometry!AL31</f>
        <v>9.8000000000000007</v>
      </c>
      <c r="F149" s="3">
        <f>Geometry!AM31</f>
        <v>92</v>
      </c>
      <c r="G149" s="3">
        <f>Geometry!AG31</f>
        <v>2</v>
      </c>
      <c r="H149" s="3" t="str">
        <f>Geometry!AH31</f>
        <v>O</v>
      </c>
      <c r="I149" s="9" t="str">
        <f>Geometry!AI31</f>
        <v>o</v>
      </c>
    </row>
    <row r="150" spans="3:35">
      <c r="C150" s="13" t="str">
        <f>Geometry!AD32</f>
        <v>MP13-01</v>
      </c>
      <c r="D150" s="2">
        <f>Geometry!AF32</f>
        <v>-41.03</v>
      </c>
      <c r="E150" s="3">
        <f>Geometry!AL32</f>
        <v>9.8000000000000007</v>
      </c>
      <c r="F150" s="3">
        <f>Geometry!AM32</f>
        <v>101</v>
      </c>
      <c r="G150" s="3">
        <f>Geometry!AG32</f>
        <v>2.1</v>
      </c>
      <c r="H150" s="3" t="str">
        <f>Geometry!AH32</f>
        <v>O</v>
      </c>
      <c r="I150" s="9" t="str">
        <f>Geometry!AI32</f>
        <v>o</v>
      </c>
    </row>
    <row r="152" spans="3:35">
      <c r="C152" s="35" t="s">
        <v>209</v>
      </c>
      <c r="M152" s="320" t="s">
        <v>60</v>
      </c>
      <c r="N152" s="321"/>
      <c r="O152" s="321"/>
      <c r="P152" s="321"/>
      <c r="Q152" s="321"/>
      <c r="R152" s="321"/>
      <c r="S152" s="321"/>
      <c r="T152" s="322"/>
    </row>
    <row r="153" spans="3:35" ht="21.75" customHeight="1">
      <c r="C153" s="315" t="s">
        <v>54</v>
      </c>
      <c r="D153" s="323" t="s">
        <v>282</v>
      </c>
      <c r="E153" s="30" t="s">
        <v>285</v>
      </c>
      <c r="F153" s="30" t="s">
        <v>285</v>
      </c>
      <c r="G153" s="311" t="s">
        <v>24</v>
      </c>
      <c r="H153" s="312"/>
      <c r="I153" s="311" t="s">
        <v>271</v>
      </c>
      <c r="J153" s="312"/>
      <c r="K153" s="315" t="s">
        <v>27</v>
      </c>
      <c r="L153" s="315"/>
      <c r="M153" s="315" t="s">
        <v>61</v>
      </c>
      <c r="N153" s="315"/>
      <c r="O153" s="311" t="s">
        <v>218</v>
      </c>
      <c r="P153" s="313"/>
      <c r="Q153" s="315" t="s">
        <v>62</v>
      </c>
      <c r="R153" s="315"/>
      <c r="S153" s="315" t="s">
        <v>63</v>
      </c>
      <c r="T153" s="315"/>
      <c r="X153" s="315" t="s">
        <v>31</v>
      </c>
      <c r="Y153" s="315"/>
      <c r="Z153" s="311" t="s">
        <v>48</v>
      </c>
      <c r="AA153" s="313"/>
      <c r="AB153" s="30" t="s">
        <v>21</v>
      </c>
      <c r="AC153" s="5" t="s">
        <v>22</v>
      </c>
      <c r="AD153" s="311" t="s">
        <v>35</v>
      </c>
      <c r="AE153" s="312"/>
      <c r="AF153" s="312"/>
      <c r="AG153" s="313"/>
      <c r="AH153" s="316" t="s">
        <v>425</v>
      </c>
      <c r="AI153" s="317"/>
    </row>
    <row r="154" spans="3:35" ht="20.399999999999999">
      <c r="C154" s="315">
        <v>0</v>
      </c>
      <c r="D154" s="324">
        <v>0</v>
      </c>
      <c r="E154" s="30" t="str">
        <f>IF(Control!$F$39="EC","m=4, N=2E6","m=5, N=1E7")</f>
        <v>m=4, N=2E6</v>
      </c>
      <c r="F154" s="30" t="str">
        <f>IF(Control!$F$39="EC","m=3, N=2E6","m=3, N=1E7")</f>
        <v>m=3, N=2E6</v>
      </c>
      <c r="G154" s="30" t="s">
        <v>25</v>
      </c>
      <c r="H154" s="30" t="s">
        <v>26</v>
      </c>
      <c r="I154" s="5" t="s">
        <v>25</v>
      </c>
      <c r="J154" s="5" t="s">
        <v>26</v>
      </c>
      <c r="K154" s="30" t="s">
        <v>25</v>
      </c>
      <c r="L154" s="30" t="s">
        <v>26</v>
      </c>
      <c r="M154" s="30" t="s">
        <v>25</v>
      </c>
      <c r="N154" s="30" t="s">
        <v>64</v>
      </c>
      <c r="O154" s="30" t="s">
        <v>25</v>
      </c>
      <c r="P154" s="30" t="s">
        <v>64</v>
      </c>
      <c r="Q154" s="30" t="s">
        <v>25</v>
      </c>
      <c r="R154" s="30" t="s">
        <v>64</v>
      </c>
      <c r="S154" s="30" t="s">
        <v>25</v>
      </c>
      <c r="T154" s="30" t="s">
        <v>64</v>
      </c>
      <c r="X154" s="30" t="s">
        <v>33</v>
      </c>
      <c r="Y154" s="30" t="s">
        <v>34</v>
      </c>
      <c r="Z154" s="30" t="s">
        <v>33</v>
      </c>
      <c r="AA154" s="30" t="s">
        <v>34</v>
      </c>
      <c r="AB154" s="311" t="s">
        <v>30</v>
      </c>
      <c r="AC154" s="313"/>
      <c r="AD154" s="30" t="s">
        <v>45</v>
      </c>
      <c r="AE154" s="30" t="s">
        <v>34</v>
      </c>
      <c r="AF154" s="30" t="s">
        <v>46</v>
      </c>
      <c r="AG154" s="30" t="s">
        <v>47</v>
      </c>
      <c r="AH154" s="30" t="s">
        <v>45</v>
      </c>
      <c r="AI154" s="30" t="s">
        <v>34</v>
      </c>
    </row>
    <row r="155" spans="3:35">
      <c r="C155" s="30" t="s">
        <v>16</v>
      </c>
      <c r="D155" s="30" t="str">
        <f>"[m"&amp;Control!$F$7&amp;"]"</f>
        <v>[mLAT]</v>
      </c>
      <c r="E155" s="311" t="s">
        <v>20</v>
      </c>
      <c r="F155" s="313"/>
      <c r="G155" s="311" t="s">
        <v>77</v>
      </c>
      <c r="H155" s="312"/>
      <c r="I155" s="312"/>
      <c r="J155" s="313"/>
      <c r="K155" s="311" t="s">
        <v>77</v>
      </c>
      <c r="L155" s="313"/>
      <c r="M155" s="308" t="s">
        <v>16</v>
      </c>
      <c r="N155" s="309"/>
      <c r="O155" s="309"/>
      <c r="P155" s="309"/>
      <c r="Q155" s="309"/>
      <c r="R155" s="309"/>
      <c r="S155" s="309"/>
      <c r="T155" s="310"/>
      <c r="X155" s="318" t="s">
        <v>32</v>
      </c>
      <c r="Y155" s="318"/>
      <c r="Z155" s="30" t="s">
        <v>10</v>
      </c>
      <c r="AA155" s="30" t="s">
        <v>10</v>
      </c>
      <c r="AB155" s="311" t="s">
        <v>23</v>
      </c>
      <c r="AC155" s="313"/>
      <c r="AD155" s="1" t="s">
        <v>16</v>
      </c>
      <c r="AE155" s="1" t="s">
        <v>16</v>
      </c>
      <c r="AF155" s="1" t="s">
        <v>16</v>
      </c>
      <c r="AG155" s="1" t="s">
        <v>16</v>
      </c>
      <c r="AH155" s="1" t="s">
        <v>16</v>
      </c>
      <c r="AI155" s="1" t="s">
        <v>16</v>
      </c>
    </row>
    <row r="156" spans="3:35">
      <c r="C156" s="12" t="str">
        <f>C144</f>
        <v>MP1-01-01</v>
      </c>
      <c r="D156" s="13">
        <f>D144</f>
        <v>4.3999999999999995</v>
      </c>
      <c r="E156" s="3">
        <f>IF(Geometry_loads!H62="-","-",Geometry_loads!H62*Control!$F$54)</f>
        <v>202099.83858692768</v>
      </c>
      <c r="F156" s="3">
        <f>IF(Geometry_loads!G62="-","-",Geometry_loads!G62*Control!$F$55)</f>
        <v>240968.10042973343</v>
      </c>
      <c r="G156" s="3">
        <f>IF(X156=0,E156/AB156*E144/2/1000,(E156*($AF$24/$Z$5)^(1/$AE$4)/AB156*E144/2/1000))</f>
        <v>38.928963000917896</v>
      </c>
      <c r="H156" s="3">
        <f>IF(Y156=0,E156/AB156*(E144-2*F144/1000)/2/1000,(E156*($AF$24/$Z$5)^(1/$AE$4)/AB156*(E144-2*F144/1000)/2/1000))</f>
        <v>42.957964637809241</v>
      </c>
      <c r="I156" s="3">
        <f>IF(X156=0,"-",(F156*($AF$23/$Z$5)^(1/3)/AC156*(E144-2*Z156/1000)/2/1000))</f>
        <v>39.526921116380116</v>
      </c>
      <c r="J156" s="120" t="str">
        <f>IF(Y156=0,"-",(F156*($AF$23/$Z$5)^(1/3))/AC156*((E144-2*Z156/1000)-2*F144/1000-Z156/1000-AA156/1000)/2/1000)</f>
        <v>-</v>
      </c>
      <c r="K156" s="120" t="str">
        <f>IF(H144="O",IF(I144="n",$AF$7,IF(I144="g",$AF$8,IF(I144="o",$AF$6,IF(I144="nn",$AF$9,IF(I144="gn",$AF$9,"Falsch"))))),"")</f>
        <v/>
      </c>
      <c r="L156" s="120">
        <f>IF(H144="I",IF(I144="n",$AF$7,IF(I144="g",$AF$8,IF(I144="o",$AF$6,IF(I144="nn",$AF$9,IF(I144="gn",$AF$9,"Falsch"))))),"")</f>
        <v>100</v>
      </c>
      <c r="M156" s="120" t="str">
        <f>IF(K156="","",IF($D156&gt;$Z$9,$AD$13,$AD$14)*((((IF($D156&gt;$Z$9,$AD$11,$AD$12)/AD156*$G144*$G156*IF($I144="g",$AE$19,1))/(AH156*K156*IF($I144="gn",$AH$9,1)))^$AE$4)+(((IF($D156&gt;$Z$9,$AD$11,$AD$12)/AF156*$G144*IF(X156=0,0,I156)*IF($I144="g",$AE$19,1))/(0.7*IF(K156=65.5,58.48,K156)*IF($I144="gn",$AH$9*(58.48/65.5),1))))^3))</f>
        <v/>
      </c>
      <c r="N156" s="120">
        <f>IF(L156="","",IF($D156&gt;$Z$9,$AD$13,$AD$14)*((((IF($D156&gt;$Z$9,$AD$11,$AD$12)/AE156*$G144*$H156*IF($I144="g",$AE$19,1))/(AI156*L156*IF($I144="gn",$AH$9,1)))^$AE$4)+(((IF($D156&gt;$Z$9,$AD$11,$AD$12)/AG156*$G144*IF(Y156=0,0,J156)*IF($I144="g",$AE$19,1))/(0.7*IF(L156=65.5,58.48,L156)*IF($I144="gn",$AH$9*(58.48/65.5),1))))^3))</f>
        <v>0.65477238507726154</v>
      </c>
      <c r="O156" s="120" t="str">
        <f>IF(K156="","",IF(Control!$F$47="N",Control!$F$49,'FLS MP (driving)'!$J63))</f>
        <v/>
      </c>
      <c r="P156" s="3">
        <f>IF(L156="","",IF(Control!$F$47="N",Control!$F$49,'FLS MP (driving)'!$J63))</f>
        <v>0.3</v>
      </c>
      <c r="Q156" s="3" t="str">
        <f>IF(K156="","",Control!$F$46)</f>
        <v/>
      </c>
      <c r="R156" s="3">
        <f>IF(L156="","",Control!$F$46)</f>
        <v>0.03</v>
      </c>
      <c r="S156" s="3" t="str">
        <f>IF(K156="","",M156+O156+Q156)</f>
        <v/>
      </c>
      <c r="T156" s="3">
        <f>IF(L156="","",N156+P156+R156)</f>
        <v>0.98477238507726161</v>
      </c>
      <c r="X156" s="37" t="str">
        <f>IF(OR(D156&gt;=$Z$13,D156&lt;=$Z$12,Geometry!AP26="n"),0,"X")</f>
        <v>X</v>
      </c>
      <c r="Y156" s="37">
        <f>IF(OR(D156&gt;=$Z$15,D156&lt;=$Z$12,Geometry!AQ26="n"),0,"X")</f>
        <v>0</v>
      </c>
      <c r="Z156" s="37">
        <f>0.5*IF(OR(D156&gt;=$Z$13,D156&lt;=$Z$12),0,$AF$23*$AF$25)</f>
        <v>1.7999999999999998</v>
      </c>
      <c r="AA156" s="37">
        <f>0.5*IF(OR(D156&gt;=$Z$15,D156&lt;=$Z$12),0,$AF$23*$AF$26)</f>
        <v>0</v>
      </c>
      <c r="AB156" s="3">
        <f>(PI()/64*(E144^4-(E144-2*F144/1000)^4))</f>
        <v>17.134136087205629</v>
      </c>
      <c r="AC156" s="120">
        <f>(PI()/64*((E144-2*Z156/1000)^4-((E144-2*Z156/1000)-2*(F144-Z156-AA156)/1000)^4))</f>
        <v>16.836144861565153</v>
      </c>
      <c r="AD156" s="120">
        <f>(25/F144)^(IF(I144="n",$AG$11,IF(I144="g",$AG$12,IF(I144="o",$AG$14,IF(I144="nn",0,IF(I144="gn",0,"Falsch"))))))</f>
        <v>0.64469585200629576</v>
      </c>
      <c r="AE156" s="120">
        <f>(25/F144)^(IF(I144="n",$AG$11,IF(I144="g",$AG$12,IF(I144="o",$AG$14,IF(I144="nn",0,IF(I144="gn",0,"Falsch"))))))</f>
        <v>0.64469585200629576</v>
      </c>
      <c r="AF156" s="120">
        <f>IF(X156=0,1,(25/F144)^(IF(I144="n",$AG$11,IF(I144="g",$AG$12,IF(I144="o",$AG$14,IF(I144="nn",0,IF(I144="gn",0,"Falsch")))))))</f>
        <v>0.64469585200629576</v>
      </c>
      <c r="AG156" s="120">
        <f>IF(Y156=0,1,(25/F144)^(IF(I144="n",$AG$11,IF(I144="g",$AG$12,IF(I144="o",$AG$14,IF(I144="nn",0,IF(I144="gn",0,"Falsch")))))))</f>
        <v>1</v>
      </c>
      <c r="AH156" s="120">
        <f>IF(Control!$F$39&lt;&gt;"DNV",1,IF(D156&gt;Control!$F$16,IF(ISBLANK(Control!$F$56),1,Control!$F$56),IF(D156&gt;Control!$F$22,IF(ISBLANK(Control!$F$57),1,Control!$F$57),1)))</f>
        <v>1</v>
      </c>
      <c r="AI156" s="3">
        <f>IF(Control!$F$39&lt;&gt;"DNV",1,IF(D156&gt;Control!$F$18,IF(ISBLANK(Control!$F$56),1,Control!$F$56),IF(D156&gt;Control!$F$22,IF(ISBLANK(Control!$F$57),1,Control!$F$57),1)))</f>
        <v>1</v>
      </c>
    </row>
    <row r="157" spans="3:35">
      <c r="C157" s="12" t="str">
        <f t="shared" ref="C157:D157" si="116">C145</f>
        <v>MP1-01-02</v>
      </c>
      <c r="D157" s="13">
        <f t="shared" si="116"/>
        <v>3.3999999999999995</v>
      </c>
      <c r="E157" s="3">
        <f>IF(Geometry_loads!H63="-","-",Geometry_loads!H63*Control!$F$54)</f>
        <v>203652.70078281124</v>
      </c>
      <c r="F157" s="3">
        <f>IF(Geometry_loads!G63="-","-",Geometry_loads!G63*Control!$F$55)</f>
        <v>242866.17373054457</v>
      </c>
      <c r="G157" s="3">
        <f t="shared" ref="G157:G162" si="117">IF(X157=0,E157/AB157*E145/2/1000,(E157*($AF$24/$Z$5)^(1/$AE$4)/AB157*E145/2/1000))</f>
        <v>39.228079098148598</v>
      </c>
      <c r="H157" s="3">
        <f t="shared" ref="H157:H162" si="118">IF(Y157=0,E157/AB157*(E145-2*F145/1000)/2/1000,(E157*($AF$24/$Z$5)^(1/$AE$4)/AB157*(E145-2*F145/1000)/2/1000))</f>
        <v>43.288038129033055</v>
      </c>
      <c r="I157" s="3">
        <f t="shared" ref="I157:I162" si="119">IF(X157=0,"-",(F157*($AF$23/$Z$5)^(1/3)/AC157*(E145-2*Z157/1000)/2/1000))</f>
        <v>39.83826935500786</v>
      </c>
      <c r="J157" s="120" t="str">
        <f t="shared" ref="J157:J162" si="120">IF(Y157=0,"-",(F157*($AF$23/$Z$5)^(1/3))/AC157*((E145-2*Z157/1000)-2*F145/1000-Z157/1000-AA157/1000)/2/1000)</f>
        <v>-</v>
      </c>
      <c r="K157" s="120" t="str">
        <f t="shared" ref="K157:K162" si="121">IF(H145="O",IF(I145="n",$AF$7,IF(I145="g",$AF$8,IF(I145="o",$AF$6,IF(I145="nn",$AF$9,IF(I145="gn",$AF$9,"Falsch"))))),"")</f>
        <v/>
      </c>
      <c r="L157" s="120">
        <f t="shared" ref="L157:L162" si="122">IF(H145="I",IF(I145="n",$AF$7,IF(I145="g",$AF$8,IF(I145="o",$AF$6,IF(I145="nn",$AF$9,IF(I145="gn",$AF$9,"Falsch"))))),"")</f>
        <v>112</v>
      </c>
      <c r="M157" s="120" t="str">
        <f t="shared" ref="M157:M162" si="123">IF(K157="","",IF($D157&gt;$Z$9,$AD$13,$AD$14)*((((IF($D157&gt;$Z$9,$AD$11,$AD$12)/AD157*$G145*$G157*IF($I145="g",$AE$19,1))/(AH157*K157*IF($I145="gn",$AH$9,1)))^$AE$4)+(((IF($D157&gt;$Z$9,$AD$11,$AD$12)/AF157*$G145*IF(X157=0,0,I157)*IF($I145="g",$AE$19,1))/(0.7*IF(K157=65.5,58.48,K157)*IF($I145="gn",$AH$9*(58.48/65.5),1))))^3))</f>
        <v/>
      </c>
      <c r="N157" s="120">
        <f t="shared" ref="N157:N162" si="124">IF(L157="","",IF($D157&gt;$Z$9,$AD$13,$AD$14)*((((IF($D157&gt;$Z$9,$AD$11,$AD$12)/AE157*$G145*$H157*IF($I145="g",$AE$19,1))/(AI157*L157*IF($I145="gn",$AH$9,1)))^$AE$4)+(((IF($D157&gt;$Z$9,$AD$11,$AD$12)/AG157*$G145*IF(Y157=0,0,J157)*IF($I145="g",$AE$19,1))/(0.7*IF(L157=65.5,58.48,L157)*IF($I145="gn",$AH$9*(58.48/65.5),1))))^3))</f>
        <v>0.67474350900321622</v>
      </c>
      <c r="O157" s="120" t="str">
        <f>IF(K157="","",IF(Control!$F$47="N",Control!$F$49,'FLS MP (driving)'!$J64))</f>
        <v/>
      </c>
      <c r="P157" s="3">
        <f>IF(L157="","",IF(Control!$F$47="N",Control!$F$49,'FLS MP (driving)'!$J64))</f>
        <v>0.3</v>
      </c>
      <c r="Q157" s="3" t="str">
        <f>IF(K157="","",Control!$F$46)</f>
        <v/>
      </c>
      <c r="R157" s="3">
        <f>IF(L157="","",Control!$F$46)</f>
        <v>0.03</v>
      </c>
      <c r="S157" s="3" t="str">
        <f t="shared" ref="S157:S162" si="125">IF(K157="","",M157+O157+Q157)</f>
        <v/>
      </c>
      <c r="T157" s="3">
        <f t="shared" ref="T157:T162" si="126">IF(L157="","",N157+P157+R157)</f>
        <v>1.0047435090032162</v>
      </c>
      <c r="X157" s="37" t="str">
        <f>IF(OR(D157&gt;=$Z$13,D157&lt;=$Z$12,Geometry!AP27="n"),0,"X")</f>
        <v>X</v>
      </c>
      <c r="Y157" s="37">
        <f>IF(OR(D157&gt;=$Z$15,D157&lt;=$Z$12,Geometry!AQ27="n"),0,"X")</f>
        <v>0</v>
      </c>
      <c r="Z157" s="37">
        <f t="shared" ref="Z157:Z162" si="127">0.5*IF(OR(D157&gt;=$Z$13,D157&lt;=$Z$12),0,$AF$23*$AF$25)</f>
        <v>1.7999999999999998</v>
      </c>
      <c r="AA157" s="37">
        <f t="shared" ref="AA157:AA162" si="128">0.5*IF(OR(D157&gt;=$Z$15,D157&lt;=$Z$12),0,$AF$23*$AF$26)</f>
        <v>0</v>
      </c>
      <c r="AB157" s="3">
        <f t="shared" ref="AB157:AB162" si="129">(PI()/64*(E145^4-(E145-2*F145/1000)^4))</f>
        <v>17.134136087205629</v>
      </c>
      <c r="AC157" s="120">
        <f t="shared" ref="AC157:AC162" si="130">(PI()/64*((E145-2*Z157/1000)^4-((E145-2*Z157/1000)-2*(F145-Z157-AA157)/1000)^4))</f>
        <v>16.836144861565153</v>
      </c>
      <c r="AD157" s="120">
        <f t="shared" ref="AD157:AD162" si="131">(25/F145)^(IF(I145="n",$AG$11,IF(I145="g",$AG$12,IF(I145="o",$AG$14,IF(I145="nn",0,IF(I145="gn",0,"Falsch"))))))</f>
        <v>0.74628248782340512</v>
      </c>
      <c r="AE157" s="120">
        <f t="shared" ref="AE157:AE162" si="132">(25/F145)^(IF(I145="n",$AG$11,IF(I145="g",$AG$12,IF(I145="o",$AG$14,IF(I145="nn",0,IF(I145="gn",0,"Falsch"))))))</f>
        <v>0.74628248782340512</v>
      </c>
      <c r="AF157" s="120">
        <f t="shared" ref="AF157:AF162" si="133">IF(X157=0,1,(25/F145)^(IF(I145="n",$AG$11,IF(I145="g",$AG$12,IF(I145="o",$AG$14,IF(I145="nn",0,IF(I145="gn",0,"Falsch")))))))</f>
        <v>0.74628248782340512</v>
      </c>
      <c r="AG157" s="120">
        <f t="shared" ref="AG157:AG162" si="134">IF(Y157=0,1,(25/F145)^(IF(I145="n",$AG$11,IF(I145="g",$AG$12,IF(I145="o",$AG$14,IF(I145="nn",0,IF(I145="gn",0,"Falsch")))))))</f>
        <v>1</v>
      </c>
      <c r="AH157" s="120">
        <f>IF(Control!$F$39&lt;&gt;"DNV",1,IF(D157&gt;Control!$F$16,IF(ISBLANK(Control!$F$56),1,Control!$F$56),IF(D157&gt;Control!$F$22,IF(ISBLANK(Control!$F$57),1,Control!$F$57),1)))</f>
        <v>1</v>
      </c>
      <c r="AI157" s="3">
        <f>IF(Control!$F$39&lt;&gt;"DNV",1,IF(D157&gt;Control!$F$18,IF(ISBLANK(Control!$F$56),1,Control!$F$56),IF(D157&gt;Control!$F$22,IF(ISBLANK(Control!$F$57),1,Control!$F$57),1)))</f>
        <v>1</v>
      </c>
    </row>
    <row r="158" spans="3:35">
      <c r="C158" s="12" t="str">
        <f t="shared" ref="C158:D158" si="135">C146</f>
        <v>MP5-01</v>
      </c>
      <c r="D158" s="13">
        <f t="shared" si="135"/>
        <v>-12.3575</v>
      </c>
      <c r="E158" s="3">
        <f>IF(Geometry_loads!H64="-","-",Geometry_loads!H64*Control!$F$54)</f>
        <v>227557.38378313323</v>
      </c>
      <c r="F158" s="3">
        <f>IF(Geometry_loads!G64="-","-",Geometry_loads!G64*Control!$F$55)</f>
        <v>271062.77277704078</v>
      </c>
      <c r="G158" s="3">
        <f t="shared" si="117"/>
        <v>43.84021638090843</v>
      </c>
      <c r="H158" s="3">
        <f t="shared" si="118"/>
        <v>42.670172215816066</v>
      </c>
      <c r="I158" s="3" t="str">
        <f t="shared" si="119"/>
        <v>-</v>
      </c>
      <c r="J158" s="120" t="str">
        <f t="shared" si="120"/>
        <v>-</v>
      </c>
      <c r="K158" s="120">
        <f t="shared" si="121"/>
        <v>140</v>
      </c>
      <c r="L158" s="120" t="str">
        <f t="shared" si="122"/>
        <v/>
      </c>
      <c r="M158" s="120">
        <f t="shared" si="123"/>
        <v>0.67191781448671872</v>
      </c>
      <c r="N158" s="120" t="str">
        <f t="shared" si="124"/>
        <v/>
      </c>
      <c r="O158" s="120">
        <f>IF(K158="","",IF(Control!$F$47="N",Control!$F$49,'FLS MP (driving)'!$J65))</f>
        <v>0.3</v>
      </c>
      <c r="P158" s="3" t="str">
        <f>IF(L158="","",IF(Control!$F$47="N",Control!$F$49,'FLS MP (driving)'!$J65))</f>
        <v/>
      </c>
      <c r="Q158" s="3">
        <f>IF(K158="","",Control!$F$46)</f>
        <v>0.03</v>
      </c>
      <c r="R158" s="3" t="str">
        <f>IF(L158="","",Control!$F$46)</f>
        <v/>
      </c>
      <c r="S158" s="3">
        <f t="shared" si="125"/>
        <v>1.0019178144867187</v>
      </c>
      <c r="T158" s="3" t="str">
        <f t="shared" si="126"/>
        <v/>
      </c>
      <c r="X158" s="37">
        <f>IF(OR(D158&gt;=$Z$13,D158&lt;=$Z$12,Geometry!AP28="n"),0,"X")</f>
        <v>0</v>
      </c>
      <c r="Y158" s="37">
        <f>IF(OR(D158&gt;=$Z$15,D158&lt;=$Z$12,Geometry!AQ28="n"),0,"X")</f>
        <v>0</v>
      </c>
      <c r="Z158" s="37">
        <f t="shared" si="127"/>
        <v>0</v>
      </c>
      <c r="AA158" s="37">
        <f t="shared" si="128"/>
        <v>0</v>
      </c>
      <c r="AB158" s="3">
        <f t="shared" si="129"/>
        <v>20.810017938829752</v>
      </c>
      <c r="AC158" s="120">
        <f t="shared" si="130"/>
        <v>20.810017938829752</v>
      </c>
      <c r="AD158" s="120">
        <f t="shared" si="131"/>
        <v>0.86468041654491679</v>
      </c>
      <c r="AE158" s="120">
        <f t="shared" si="132"/>
        <v>0.86468041654491679</v>
      </c>
      <c r="AF158" s="120">
        <f t="shared" si="133"/>
        <v>1</v>
      </c>
      <c r="AG158" s="120">
        <f t="shared" si="134"/>
        <v>1</v>
      </c>
      <c r="AH158" s="120">
        <f>IF(Control!$F$39&lt;&gt;"DNV",1,IF(D158&gt;Control!$F$16,IF(ISBLANK(Control!$F$56),1,Control!$F$56),IF(D158&gt;Control!$F$22,IF(ISBLANK(Control!$F$57),1,Control!$F$57),1)))</f>
        <v>1</v>
      </c>
      <c r="AI158" s="3">
        <f>IF(Control!$F$39&lt;&gt;"DNV",1,IF(D158&gt;Control!$F$18,IF(ISBLANK(Control!$F$56),1,Control!$F$56),IF(D158&gt;Control!$F$22,IF(ISBLANK(Control!$F$57),1,Control!$F$57),1)))</f>
        <v>1</v>
      </c>
    </row>
    <row r="159" spans="3:35">
      <c r="C159" s="12" t="str">
        <f t="shared" ref="C159:D159" si="136">C147</f>
        <v>MP8-01</v>
      </c>
      <c r="D159" s="13">
        <f t="shared" si="136"/>
        <v>-22.715</v>
      </c>
      <c r="E159" s="3">
        <f>IF(Geometry_loads!H65="-","-",Geometry_loads!H65*Control!$F$54)</f>
        <v>248373.73444828196</v>
      </c>
      <c r="F159" s="3">
        <f>IF(Geometry_loads!G65="-","-",Geometry_loads!G65*Control!$F$55)</f>
        <v>295880.54485170112</v>
      </c>
      <c r="G159" s="3">
        <f t="shared" si="117"/>
        <v>44.866070400579687</v>
      </c>
      <c r="H159" s="3">
        <f t="shared" si="118"/>
        <v>43.937471796171621</v>
      </c>
      <c r="I159" s="3" t="str">
        <f t="shared" si="119"/>
        <v>-</v>
      </c>
      <c r="J159" s="120" t="str">
        <f t="shared" si="120"/>
        <v>-</v>
      </c>
      <c r="K159" s="120">
        <f t="shared" si="121"/>
        <v>140</v>
      </c>
      <c r="L159" s="120" t="str">
        <f t="shared" si="122"/>
        <v/>
      </c>
      <c r="M159" s="120">
        <f t="shared" si="123"/>
        <v>0.28419674617671992</v>
      </c>
      <c r="N159" s="120" t="str">
        <f t="shared" si="124"/>
        <v/>
      </c>
      <c r="O159" s="120">
        <f>IF(K159="","",IF(Control!$F$47="N",Control!$F$49,'FLS MP (driving)'!$J66))</f>
        <v>0.3</v>
      </c>
      <c r="P159" s="3" t="str">
        <f>IF(L159="","",IF(Control!$F$47="N",Control!$F$49,'FLS MP (driving)'!$J66))</f>
        <v/>
      </c>
      <c r="Q159" s="3">
        <f>IF(K159="","",Control!$F$46)</f>
        <v>0.03</v>
      </c>
      <c r="R159" s="3" t="str">
        <f>IF(L159="","",Control!$F$46)</f>
        <v/>
      </c>
      <c r="S159" s="3">
        <f t="shared" si="125"/>
        <v>0.61419674617671993</v>
      </c>
      <c r="T159" s="3" t="str">
        <f t="shared" si="126"/>
        <v/>
      </c>
      <c r="X159" s="37">
        <f>IF(OR(D159&gt;=$Z$13,D159&lt;=$Z$12,Geometry!AP29="n"),0,"X")</f>
        <v>0</v>
      </c>
      <c r="Y159" s="37">
        <f>IF(OR(D159&gt;=$Z$15,D159&lt;=$Z$12,Geometry!AQ29="n"),0,"X")</f>
        <v>0</v>
      </c>
      <c r="Z159" s="37">
        <f t="shared" si="127"/>
        <v>0</v>
      </c>
      <c r="AA159" s="37">
        <f t="shared" si="128"/>
        <v>0</v>
      </c>
      <c r="AB159" s="3">
        <f t="shared" si="129"/>
        <v>24.607385215496663</v>
      </c>
      <c r="AC159" s="120">
        <f t="shared" si="130"/>
        <v>24.607385215496663</v>
      </c>
      <c r="AD159" s="120">
        <f t="shared" si="131"/>
        <v>0.8778397007281632</v>
      </c>
      <c r="AE159" s="120">
        <f t="shared" si="132"/>
        <v>0.8778397007281632</v>
      </c>
      <c r="AF159" s="120">
        <f t="shared" si="133"/>
        <v>1</v>
      </c>
      <c r="AG159" s="120">
        <f t="shared" si="134"/>
        <v>1</v>
      </c>
      <c r="AH159" s="120">
        <f>IF(Control!$F$39&lt;&gt;"DNV",1,IF(D159&gt;Control!$F$16,IF(ISBLANK(Control!$F$56),1,Control!$F$56),IF(D159&gt;Control!$F$22,IF(ISBLANK(Control!$F$57),1,Control!$F$57),1)))</f>
        <v>1</v>
      </c>
      <c r="AI159" s="3">
        <f>IF(Control!$F$39&lt;&gt;"DNV",1,IF(D159&gt;Control!$F$18,IF(ISBLANK(Control!$F$56),1,Control!$F$56),IF(D159&gt;Control!$F$22,IF(ISBLANK(Control!$F$57),1,Control!$F$57),1)))</f>
        <v>1</v>
      </c>
    </row>
    <row r="160" spans="3:35">
      <c r="C160" s="12" t="str">
        <f t="shared" ref="C160:D160" si="137">C148</f>
        <v>MP8-02</v>
      </c>
      <c r="D160" s="13">
        <f t="shared" si="137"/>
        <v>-23.715</v>
      </c>
      <c r="E160" s="3">
        <f>IF(Geometry_loads!H66="-","-",Geometry_loads!H66*Control!$F$54)</f>
        <v>250834.15832753753</v>
      </c>
      <c r="F160" s="3">
        <f>IF(Geometry_loads!G66="-","-",Geometry_loads!G66*Control!$F$55)</f>
        <v>298887.47178562643</v>
      </c>
      <c r="G160" s="3">
        <f t="shared" si="117"/>
        <v>44.451486192389858</v>
      </c>
      <c r="H160" s="3">
        <f t="shared" si="118"/>
        <v>43.540098109652988</v>
      </c>
      <c r="I160" s="3" t="str">
        <f t="shared" si="119"/>
        <v>-</v>
      </c>
      <c r="J160" s="120" t="str">
        <f t="shared" si="120"/>
        <v>-</v>
      </c>
      <c r="K160" s="120">
        <f t="shared" si="121"/>
        <v>112</v>
      </c>
      <c r="L160" s="120" t="str">
        <f t="shared" si="122"/>
        <v/>
      </c>
      <c r="M160" s="120">
        <f t="shared" si="123"/>
        <v>0.41940288287898064</v>
      </c>
      <c r="N160" s="120" t="str">
        <f t="shared" si="124"/>
        <v/>
      </c>
      <c r="O160" s="120">
        <f>IF(K160="","",IF(Control!$F$47="N",Control!$F$49,'FLS MP (driving)'!$J67))</f>
        <v>0.3</v>
      </c>
      <c r="P160" s="3" t="str">
        <f>IF(L160="","",IF(Control!$F$47="N",Control!$F$49,'FLS MP (driving)'!$J67))</f>
        <v/>
      </c>
      <c r="Q160" s="3">
        <f>IF(K160="","",Control!$F$46)</f>
        <v>0.03</v>
      </c>
      <c r="R160" s="3" t="str">
        <f>IF(L160="","",Control!$F$46)</f>
        <v/>
      </c>
      <c r="S160" s="3">
        <f t="shared" si="125"/>
        <v>0.74940288287898071</v>
      </c>
      <c r="T160" s="3" t="str">
        <f t="shared" si="126"/>
        <v/>
      </c>
      <c r="X160" s="37">
        <f>IF(OR(D160&gt;=$Z$13,D160&lt;=$Z$12,Geometry!AP30="n"),0,"X")</f>
        <v>0</v>
      </c>
      <c r="Y160" s="37">
        <f>IF(OR(D160&gt;=$Z$15,D160&lt;=$Z$12,Geometry!AQ30="n"),0,"X")</f>
        <v>0</v>
      </c>
      <c r="Z160" s="37">
        <f t="shared" si="127"/>
        <v>0</v>
      </c>
      <c r="AA160" s="37">
        <f t="shared" si="128"/>
        <v>0</v>
      </c>
      <c r="AB160" s="3">
        <f t="shared" si="129"/>
        <v>25.320434843556949</v>
      </c>
      <c r="AC160" s="120">
        <f t="shared" si="130"/>
        <v>25.320434843556949</v>
      </c>
      <c r="AD160" s="120">
        <f t="shared" si="131"/>
        <v>0.77060254017451113</v>
      </c>
      <c r="AE160" s="120">
        <f t="shared" si="132"/>
        <v>0.77060254017451113</v>
      </c>
      <c r="AF160" s="120">
        <f t="shared" si="133"/>
        <v>1</v>
      </c>
      <c r="AG160" s="120">
        <f t="shared" si="134"/>
        <v>1</v>
      </c>
      <c r="AH160" s="120">
        <f>IF(Control!$F$39&lt;&gt;"DNV",1,IF(D160&gt;Control!$F$16,IF(ISBLANK(Control!$F$56),1,Control!$F$56),IF(D160&gt;Control!$F$22,IF(ISBLANK(Control!$F$57),1,Control!$F$57),1)))</f>
        <v>1</v>
      </c>
      <c r="AI160" s="3">
        <f>IF(Control!$F$39&lt;&gt;"DNV",1,IF(D160&gt;Control!$F$18,IF(ISBLANK(Control!$F$56),1,Control!$F$56),IF(D160&gt;Control!$F$22,IF(ISBLANK(Control!$F$57),1,Control!$F$57),1)))</f>
        <v>1</v>
      </c>
    </row>
    <row r="161" spans="3:35">
      <c r="C161" s="12" t="str">
        <f t="shared" ref="C161:D161" si="138">C149</f>
        <v>MP11-01</v>
      </c>
      <c r="D161" s="13">
        <f t="shared" si="138"/>
        <v>-35.572499999999998</v>
      </c>
      <c r="E161" s="3">
        <f>IF(Geometry_loads!H67="-","-",Geometry_loads!H67*Control!$F$54)</f>
        <v>288043.97167048272</v>
      </c>
      <c r="F161" s="3">
        <f>IF(Geometry_loads!G67="-","-",Geometry_loads!G67*Control!$F$55)</f>
        <v>344562.84975588572</v>
      </c>
      <c r="G161" s="3">
        <f t="shared" si="117"/>
        <v>42.695180413512922</v>
      </c>
      <c r="H161" s="3">
        <f t="shared" si="118"/>
        <v>41.893556617993902</v>
      </c>
      <c r="I161" s="3" t="str">
        <f t="shared" si="119"/>
        <v>-</v>
      </c>
      <c r="J161" s="120" t="str">
        <f t="shared" si="120"/>
        <v>-</v>
      </c>
      <c r="K161" s="120">
        <f t="shared" si="121"/>
        <v>140</v>
      </c>
      <c r="L161" s="120" t="str">
        <f t="shared" si="122"/>
        <v/>
      </c>
      <c r="M161" s="120">
        <f t="shared" si="123"/>
        <v>0.56898711498874366</v>
      </c>
      <c r="N161" s="120" t="str">
        <f t="shared" si="124"/>
        <v/>
      </c>
      <c r="O161" s="120">
        <f>IF(K161="","",IF(Control!$F$47="N",Control!$F$49,'FLS MP (driving)'!$J68))</f>
        <v>0.3</v>
      </c>
      <c r="P161" s="3" t="str">
        <f>IF(L161="","",IF(Control!$F$47="N",Control!$F$49,'FLS MP (driving)'!$J68))</f>
        <v/>
      </c>
      <c r="Q161" s="3">
        <f>IF(K161="","",Control!$F$46)</f>
        <v>0.03</v>
      </c>
      <c r="R161" s="3" t="str">
        <f>IF(L161="","",Control!$F$46)</f>
        <v/>
      </c>
      <c r="S161" s="3">
        <f t="shared" si="125"/>
        <v>0.89898711498874362</v>
      </c>
      <c r="T161" s="3" t="str">
        <f t="shared" si="126"/>
        <v/>
      </c>
      <c r="X161" s="37">
        <f>IF(OR(D161&gt;=$Z$13,D161&lt;=$Z$12,Geometry!AP31="n"),0,"X")</f>
        <v>0</v>
      </c>
      <c r="Y161" s="37">
        <f>IF(OR(D161&gt;=$Z$15,D161&lt;=$Z$12,Geometry!AQ31="n"),0,"X")</f>
        <v>0</v>
      </c>
      <c r="Z161" s="37">
        <f t="shared" si="127"/>
        <v>0</v>
      </c>
      <c r="AA161" s="37">
        <f t="shared" si="128"/>
        <v>0</v>
      </c>
      <c r="AB161" s="3">
        <f t="shared" si="129"/>
        <v>33.057957537957982</v>
      </c>
      <c r="AC161" s="120">
        <f t="shared" si="130"/>
        <v>33.057957537957982</v>
      </c>
      <c r="AD161" s="120">
        <f t="shared" si="131"/>
        <v>0.8778397007281632</v>
      </c>
      <c r="AE161" s="120">
        <f t="shared" si="132"/>
        <v>0.8778397007281632</v>
      </c>
      <c r="AF161" s="120">
        <f t="shared" si="133"/>
        <v>1</v>
      </c>
      <c r="AG161" s="120">
        <f t="shared" si="134"/>
        <v>1</v>
      </c>
      <c r="AH161" s="120">
        <f>IF(Control!$F$39&lt;&gt;"DNV",1,IF(D161&gt;Control!$F$16,IF(ISBLANK(Control!$F$56),1,Control!$F$56),IF(D161&gt;Control!$F$22,IF(ISBLANK(Control!$F$57),1,Control!$F$57),1)))</f>
        <v>1</v>
      </c>
      <c r="AI161" s="3">
        <f>IF(Control!$F$39&lt;&gt;"DNV",1,IF(D161&gt;Control!$F$18,IF(ISBLANK(Control!$F$56),1,Control!$F$56),IF(D161&gt;Control!$F$22,IF(ISBLANK(Control!$F$57),1,Control!$F$57),1)))</f>
        <v>1</v>
      </c>
    </row>
    <row r="162" spans="3:35">
      <c r="C162" s="12" t="str">
        <f t="shared" ref="C162:D162" si="139">C150</f>
        <v>MP13-01</v>
      </c>
      <c r="D162" s="13">
        <f t="shared" si="139"/>
        <v>-41.03</v>
      </c>
      <c r="E162" s="3">
        <f>IF(Geometry_loads!H68="-","-",Geometry_loads!H68*Control!$F$54)</f>
        <v>310219.21478922473</v>
      </c>
      <c r="F162" s="3">
        <f>IF(Geometry_loads!G68="-","-",Geometry_loads!G68*Control!$F$55)</f>
        <v>372438.91709959268</v>
      </c>
      <c r="G162" s="3">
        <f t="shared" si="117"/>
        <v>42.000604832536325</v>
      </c>
      <c r="H162" s="3">
        <f t="shared" si="118"/>
        <v>41.134878079865679</v>
      </c>
      <c r="I162" s="3" t="str">
        <f t="shared" si="119"/>
        <v>-</v>
      </c>
      <c r="J162" s="120" t="str">
        <f t="shared" si="120"/>
        <v>-</v>
      </c>
      <c r="K162" s="120">
        <f t="shared" si="121"/>
        <v>140</v>
      </c>
      <c r="L162" s="120" t="str">
        <f t="shared" si="122"/>
        <v/>
      </c>
      <c r="M162" s="120">
        <f t="shared" si="123"/>
        <v>0.67232585436568992</v>
      </c>
      <c r="N162" s="120" t="str">
        <f t="shared" si="124"/>
        <v/>
      </c>
      <c r="O162" s="120">
        <f>IF(K162="","",IF(Control!$F$47="N",Control!$F$49,'FLS MP (driving)'!$J69))</f>
        <v>0.3</v>
      </c>
      <c r="P162" s="3" t="str">
        <f>IF(L162="","",IF(Control!$F$47="N",Control!$F$49,'FLS MP (driving)'!$J69))</f>
        <v/>
      </c>
      <c r="Q162" s="3">
        <f>IF(K162="","",Control!$F$46)</f>
        <v>0.03</v>
      </c>
      <c r="R162" s="3" t="str">
        <f>IF(L162="","",Control!$F$46)</f>
        <v/>
      </c>
      <c r="S162" s="3">
        <f t="shared" si="125"/>
        <v>1.0023258543656899</v>
      </c>
      <c r="T162" s="3" t="str">
        <f t="shared" si="126"/>
        <v/>
      </c>
      <c r="X162" s="37">
        <f>IF(OR(D162&gt;=$Z$13,D162&lt;=$Z$12,Geometry!AP32="n"),0,"X")</f>
        <v>0</v>
      </c>
      <c r="Y162" s="37">
        <f>IF(OR(D162&gt;=$Z$15,D162&lt;=$Z$12,Geometry!AQ32="n"),0,"X")</f>
        <v>0</v>
      </c>
      <c r="Z162" s="37">
        <f t="shared" si="127"/>
        <v>0</v>
      </c>
      <c r="AA162" s="37">
        <f t="shared" si="128"/>
        <v>0</v>
      </c>
      <c r="AB162" s="3">
        <f t="shared" si="129"/>
        <v>36.191720536597025</v>
      </c>
      <c r="AC162" s="120">
        <f t="shared" si="130"/>
        <v>36.191720536597025</v>
      </c>
      <c r="AD162" s="120">
        <f t="shared" si="131"/>
        <v>0.86968476750236801</v>
      </c>
      <c r="AE162" s="120">
        <f t="shared" si="132"/>
        <v>0.86968476750236801</v>
      </c>
      <c r="AF162" s="120">
        <f t="shared" si="133"/>
        <v>1</v>
      </c>
      <c r="AG162" s="120">
        <f t="shared" si="134"/>
        <v>1</v>
      </c>
      <c r="AH162" s="120">
        <f>IF(Control!$F$39&lt;&gt;"DNV",1,IF(D162&gt;Control!$F$16,IF(ISBLANK(Control!$F$56),1,Control!$F$56),IF(D162&gt;Control!$F$22,IF(ISBLANK(Control!$F$57),1,Control!$F$57),1)))</f>
        <v>1</v>
      </c>
      <c r="AI162" s="3">
        <f>IF(Control!$F$39&lt;&gt;"DNV",1,IF(D162&gt;Control!$F$18,IF(ISBLANK(Control!$F$56),1,Control!$F$56),IF(D162&gt;Control!$F$22,IF(ISBLANK(Control!$F$57),1,Control!$F$57),1)))</f>
        <v>1</v>
      </c>
    </row>
  </sheetData>
  <sheetProtection sheet="1" objects="1" scenarios="1"/>
  <mergeCells count="117">
    <mergeCell ref="C4:C5"/>
    <mergeCell ref="E115:F115"/>
    <mergeCell ref="G115:J115"/>
    <mergeCell ref="K115:L115"/>
    <mergeCell ref="X115:Y115"/>
    <mergeCell ref="M115:T115"/>
    <mergeCell ref="C113:C114"/>
    <mergeCell ref="D113:D114"/>
    <mergeCell ref="G113:H113"/>
    <mergeCell ref="I113:J113"/>
    <mergeCell ref="K113:L113"/>
    <mergeCell ref="X61:Y61"/>
    <mergeCell ref="G34:K34"/>
    <mergeCell ref="L34:M34"/>
    <mergeCell ref="C32:C33"/>
    <mergeCell ref="D32:D33"/>
    <mergeCell ref="E32:E33"/>
    <mergeCell ref="F32:F33"/>
    <mergeCell ref="G32:G33"/>
    <mergeCell ref="H32:H33"/>
    <mergeCell ref="I32:I33"/>
    <mergeCell ref="J32:J33"/>
    <mergeCell ref="K32:K33"/>
    <mergeCell ref="L32:L33"/>
    <mergeCell ref="AH153:AI153"/>
    <mergeCell ref="AD153:AG153"/>
    <mergeCell ref="AD86:AE86"/>
    <mergeCell ref="AD59:AE59"/>
    <mergeCell ref="AF113:AI113"/>
    <mergeCell ref="AJ113:AK113"/>
    <mergeCell ref="AB155:AC155"/>
    <mergeCell ref="AB154:AC154"/>
    <mergeCell ref="AF86:AI86"/>
    <mergeCell ref="AB61:AC61"/>
    <mergeCell ref="AB87:AC87"/>
    <mergeCell ref="AB88:AC88"/>
    <mergeCell ref="AD113:AE113"/>
    <mergeCell ref="AB114:AC114"/>
    <mergeCell ref="AB115:AC115"/>
    <mergeCell ref="AF59:AI59"/>
    <mergeCell ref="AB60:AC60"/>
    <mergeCell ref="C86:C87"/>
    <mergeCell ref="D86:D87"/>
    <mergeCell ref="K86:L86"/>
    <mergeCell ref="M86:N86"/>
    <mergeCell ref="Q86:R86"/>
    <mergeCell ref="O86:P86"/>
    <mergeCell ref="AJ59:AK59"/>
    <mergeCell ref="AJ86:AK86"/>
    <mergeCell ref="C59:C60"/>
    <mergeCell ref="D59:D60"/>
    <mergeCell ref="K59:L59"/>
    <mergeCell ref="M59:N59"/>
    <mergeCell ref="Q59:R59"/>
    <mergeCell ref="O59:P59"/>
    <mergeCell ref="C153:C154"/>
    <mergeCell ref="D153:D154"/>
    <mergeCell ref="K153:L153"/>
    <mergeCell ref="M153:N153"/>
    <mergeCell ref="G153:H153"/>
    <mergeCell ref="I153:J153"/>
    <mergeCell ref="I141:I142"/>
    <mergeCell ref="M152:T152"/>
    <mergeCell ref="S153:T153"/>
    <mergeCell ref="H141:H142"/>
    <mergeCell ref="C141:C142"/>
    <mergeCell ref="D141:D142"/>
    <mergeCell ref="E141:E142"/>
    <mergeCell ref="F141:F142"/>
    <mergeCell ref="G141:G142"/>
    <mergeCell ref="L31:M31"/>
    <mergeCell ref="X153:Y153"/>
    <mergeCell ref="X86:Y86"/>
    <mergeCell ref="X59:Y59"/>
    <mergeCell ref="N32:N34"/>
    <mergeCell ref="M113:N113"/>
    <mergeCell ref="Q113:R113"/>
    <mergeCell ref="S113:T113"/>
    <mergeCell ref="X113:Y113"/>
    <mergeCell ref="M112:T112"/>
    <mergeCell ref="O113:P113"/>
    <mergeCell ref="X88:Y88"/>
    <mergeCell ref="Q153:R153"/>
    <mergeCell ref="O153:P153"/>
    <mergeCell ref="S59:T59"/>
    <mergeCell ref="K88:L88"/>
    <mergeCell ref="M88:T88"/>
    <mergeCell ref="K61:L61"/>
    <mergeCell ref="M61:T61"/>
    <mergeCell ref="M85:T85"/>
    <mergeCell ref="S86:T86"/>
    <mergeCell ref="S32:S33"/>
    <mergeCell ref="T32:T33"/>
    <mergeCell ref="U32:U33"/>
    <mergeCell ref="V32:V33"/>
    <mergeCell ref="Z153:AA153"/>
    <mergeCell ref="E155:F155"/>
    <mergeCell ref="G155:J155"/>
    <mergeCell ref="K155:L155"/>
    <mergeCell ref="M155:T155"/>
    <mergeCell ref="X155:Y155"/>
    <mergeCell ref="Z113:AA113"/>
    <mergeCell ref="E88:F88"/>
    <mergeCell ref="G88:J88"/>
    <mergeCell ref="E61:F61"/>
    <mergeCell ref="G61:J61"/>
    <mergeCell ref="G86:H86"/>
    <mergeCell ref="I86:J86"/>
    <mergeCell ref="Z86:AA86"/>
    <mergeCell ref="M32:M33"/>
    <mergeCell ref="G59:H59"/>
    <mergeCell ref="I59:J59"/>
    <mergeCell ref="M58:T58"/>
    <mergeCell ref="Z59:AA59"/>
    <mergeCell ref="P32:P34"/>
    <mergeCell ref="Q32:Q33"/>
    <mergeCell ref="R32:R33"/>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9" t="s">
        <v>562</v>
      </c>
      <c r="Q1" s="199"/>
      <c r="R1" s="199"/>
      <c r="S1" s="199"/>
      <c r="T1" s="32"/>
      <c r="U1" s="209" t="s">
        <v>563</v>
      </c>
      <c r="V1" s="209"/>
      <c r="W1" s="209"/>
      <c r="X1" s="209"/>
      <c r="Y1" s="209"/>
      <c r="Z1" s="32"/>
      <c r="AA1" s="209" t="s">
        <v>565</v>
      </c>
      <c r="AB1" s="209"/>
      <c r="AC1" s="209"/>
      <c r="AD1" s="209"/>
      <c r="AE1" s="11"/>
      <c r="AF1" s="11"/>
    </row>
    <row r="2" spans="3:34">
      <c r="P2" s="32" t="s">
        <v>137</v>
      </c>
      <c r="Q2" s="32"/>
      <c r="R2" s="210">
        <f>Control!$F$8</f>
        <v>-45.43</v>
      </c>
      <c r="S2" s="32" t="str">
        <f>"m"&amp;Control!$F$7</f>
        <v>mLAT</v>
      </c>
      <c r="T2" s="32"/>
      <c r="U2" s="32" t="s">
        <v>92</v>
      </c>
      <c r="V2" s="32"/>
      <c r="W2" s="210">
        <v>210000000</v>
      </c>
      <c r="X2" s="32" t="s">
        <v>93</v>
      </c>
      <c r="Y2" s="32"/>
      <c r="Z2" s="32"/>
      <c r="AA2" s="32" t="s">
        <v>566</v>
      </c>
      <c r="AB2" s="32"/>
      <c r="AC2" s="205" t="str">
        <f>Control!$F$30</f>
        <v>C</v>
      </c>
      <c r="AD2" s="32"/>
      <c r="AE2" s="11"/>
      <c r="AF2" s="11"/>
      <c r="AG2" s="40"/>
    </row>
    <row r="3" spans="3:34">
      <c r="C3" s="35" t="s">
        <v>445</v>
      </c>
      <c r="T3" s="32"/>
      <c r="U3" s="32" t="s">
        <v>143</v>
      </c>
      <c r="V3" s="32"/>
      <c r="W3" s="210">
        <f>Control!$F$11</f>
        <v>1.0249999999999999</v>
      </c>
      <c r="X3" s="32" t="s">
        <v>144</v>
      </c>
      <c r="Y3" s="32"/>
      <c r="Z3" s="32"/>
      <c r="AA3" s="32" t="s">
        <v>568</v>
      </c>
      <c r="AB3" s="32"/>
      <c r="AC3" s="32"/>
      <c r="AD3" s="32"/>
      <c r="AE3" s="11"/>
      <c r="AF3" s="11"/>
      <c r="AG3" s="40"/>
    </row>
    <row r="4" spans="3:34">
      <c r="C4" s="326" t="s">
        <v>0</v>
      </c>
      <c r="D4" s="12" t="s">
        <v>1</v>
      </c>
      <c r="E4" s="12" t="s">
        <v>2</v>
      </c>
      <c r="F4" s="12" t="s">
        <v>104</v>
      </c>
      <c r="G4" s="12" t="s">
        <v>103</v>
      </c>
      <c r="H4" s="12" t="s">
        <v>5</v>
      </c>
      <c r="I4" s="12" t="s">
        <v>6</v>
      </c>
      <c r="J4" s="12" t="s">
        <v>7</v>
      </c>
      <c r="K4" s="12" t="s">
        <v>8</v>
      </c>
      <c r="L4" s="20"/>
      <c r="P4" s="32" t="s">
        <v>199</v>
      </c>
      <c r="Q4" s="32"/>
      <c r="R4" s="205">
        <f>SUM(I6:I9)</f>
        <v>15.299999999999999</v>
      </c>
      <c r="S4" s="32" t="s">
        <v>91</v>
      </c>
      <c r="T4" s="32"/>
      <c r="U4" s="209" t="s">
        <v>564</v>
      </c>
      <c r="V4" s="209"/>
      <c r="W4" s="209"/>
      <c r="X4" s="209"/>
      <c r="Y4" s="209"/>
      <c r="Z4" s="32"/>
      <c r="AA4" s="32"/>
      <c r="AB4" s="32" t="s">
        <v>567</v>
      </c>
      <c r="AC4" s="210">
        <f>IF(AC2="A",40,IF(AC2="B",25,16))</f>
        <v>16</v>
      </c>
      <c r="AD4" s="32"/>
      <c r="AE4" s="11"/>
      <c r="AF4" s="11"/>
      <c r="AG4" s="40"/>
    </row>
    <row r="5" spans="3:34">
      <c r="C5" s="327"/>
      <c r="D5" s="12" t="str">
        <f>"[m"&amp;Control!$F$7&amp;"]"</f>
        <v>[mLAT]</v>
      </c>
      <c r="E5" s="12" t="str">
        <f>"[m"&amp;Control!$F$7&amp;"]"</f>
        <v>[mLAT]</v>
      </c>
      <c r="F5" s="12" t="s">
        <v>9</v>
      </c>
      <c r="G5" s="12" t="s">
        <v>9</v>
      </c>
      <c r="H5" s="12" t="s">
        <v>10</v>
      </c>
      <c r="I5" s="12" t="s">
        <v>9</v>
      </c>
      <c r="J5" s="12" t="s">
        <v>11</v>
      </c>
      <c r="K5" s="12" t="s">
        <v>12</v>
      </c>
      <c r="L5" s="20"/>
      <c r="P5" s="199" t="s">
        <v>521</v>
      </c>
      <c r="Q5" s="199"/>
      <c r="R5" s="199"/>
      <c r="S5" s="199"/>
      <c r="T5" s="32"/>
      <c r="U5" s="32" t="s">
        <v>139</v>
      </c>
      <c r="V5" s="32"/>
      <c r="W5" s="205">
        <f>Control!$F$71</f>
        <v>105</v>
      </c>
      <c r="X5" s="32" t="str">
        <f>"m"&amp;Control!$F$7</f>
        <v>mLAT</v>
      </c>
      <c r="Y5" s="32"/>
      <c r="Z5" s="32"/>
      <c r="AA5" s="32"/>
      <c r="AB5" s="32" t="s">
        <v>569</v>
      </c>
      <c r="AC5" s="210">
        <f>IF(AC2="A",0.75,IF(AC2="B",0.65,0.5))</f>
        <v>0.5</v>
      </c>
      <c r="AD5" s="32"/>
      <c r="AE5" s="11"/>
      <c r="AF5" s="11"/>
      <c r="AG5" s="40"/>
    </row>
    <row r="6" spans="3:34">
      <c r="C6" s="12">
        <v>1</v>
      </c>
      <c r="D6" s="44">
        <f>Geometry!D11</f>
        <v>20.9</v>
      </c>
      <c r="E6" s="44">
        <f>Geometry!E11</f>
        <v>17.5</v>
      </c>
      <c r="F6" s="44">
        <f>Geometry!F11</f>
        <v>7.5</v>
      </c>
      <c r="G6" s="44">
        <f>Geometry!G11</f>
        <v>7.5</v>
      </c>
      <c r="H6" s="44">
        <f>Geometry!H11</f>
        <v>86</v>
      </c>
      <c r="I6" s="56">
        <f>D6-E6</f>
        <v>3.3999999999999986</v>
      </c>
      <c r="J6" s="57">
        <f>ATAN((G6-F6)/(2*I6))/PI()*180</f>
        <v>0</v>
      </c>
      <c r="K6" s="58">
        <f>IF(J6=0,PI()/4*(F6^2-(F6-(2*H6/1000))^2)*I6*7850/1000,(I6*PI()/12)*((G6^2+G6*F6+F6^2)-((G6-2*(H6/1000))^2+(G6-(2*H6/1000))*(F6-(2*H6/1000))+(F6-(2*H6/1000))^2))*7850/1000)</f>
        <v>53.462526608972709</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570</v>
      </c>
      <c r="AC6" s="210">
        <f>IF(AC2="A",0.75,IF(AC2="B",0.65,0.5))</f>
        <v>0.5</v>
      </c>
      <c r="AD6" s="32"/>
      <c r="AE6" s="11"/>
      <c r="AF6" s="11"/>
      <c r="AG6" s="29"/>
      <c r="AH6" s="29"/>
    </row>
    <row r="7" spans="3:34">
      <c r="C7" s="12">
        <v>2</v>
      </c>
      <c r="D7" s="44">
        <f>Geometry!D12</f>
        <v>17.5</v>
      </c>
      <c r="E7" s="44">
        <f>Geometry!E12</f>
        <v>13.5</v>
      </c>
      <c r="F7" s="44">
        <f>Geometry!F12</f>
        <v>7.5</v>
      </c>
      <c r="G7" s="44">
        <f>Geometry!G12</f>
        <v>7.5</v>
      </c>
      <c r="H7" s="44">
        <f>Geometry!H12</f>
        <v>86</v>
      </c>
      <c r="I7" s="56">
        <f t="shared" ref="I7:I9" si="0">D7-E7</f>
        <v>4</v>
      </c>
      <c r="J7" s="57">
        <f t="shared" ref="J7:J9" si="1">ATAN((G7-F7)/(2*I7))/PI()*180</f>
        <v>0</v>
      </c>
      <c r="K7" s="58">
        <f t="shared" ref="K7:K9" si="2">IF(J7=0,PI()/4*(F7^2-(F7-(2*H7/1000))^2)*I7*7850/1000,(I7*PI()/12)*((G7^2+G7*F7+F7^2)-((G7-2*(H7/1000))^2+(G7-(2*H7/1000))*(F7-(2*H7/1000))+(F7-(2*H7/1000))^2))*7850/1000)</f>
        <v>62.89709012820321</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614</v>
      </c>
      <c r="AC7">
        <v>3</v>
      </c>
      <c r="AE7" s="212"/>
      <c r="AF7" s="11"/>
    </row>
    <row r="8" spans="3:34">
      <c r="C8" s="12">
        <v>3</v>
      </c>
      <c r="D8" s="44">
        <f>Geometry!D13</f>
        <v>13.5</v>
      </c>
      <c r="E8" s="44">
        <f>Geometry!E13</f>
        <v>9.5</v>
      </c>
      <c r="F8" s="44">
        <f>Geometry!F13</f>
        <v>7.5</v>
      </c>
      <c r="G8" s="44">
        <f>Geometry!G13</f>
        <v>7.5</v>
      </c>
      <c r="H8" s="44">
        <f>Geometry!H13</f>
        <v>93</v>
      </c>
      <c r="I8" s="56">
        <f t="shared" si="0"/>
        <v>4</v>
      </c>
      <c r="J8" s="57">
        <f t="shared" si="1"/>
        <v>0</v>
      </c>
      <c r="K8" s="58">
        <f t="shared" si="2"/>
        <v>67.952402167964621</v>
      </c>
      <c r="P8" s="32" t="str">
        <f>Control!$E$18</f>
        <v>Internal upper limit</v>
      </c>
      <c r="Q8" s="32"/>
      <c r="R8" s="205">
        <f>Control!$F$18</f>
        <v>3</v>
      </c>
      <c r="S8" s="32" t="str">
        <f>"m"&amp;Control!$F$7</f>
        <v>mLAT</v>
      </c>
      <c r="T8" s="32"/>
      <c r="U8" s="209" t="s">
        <v>525</v>
      </c>
      <c r="V8" s="209"/>
      <c r="W8" s="209"/>
      <c r="X8" s="209"/>
      <c r="Y8" s="209"/>
      <c r="Z8" s="32"/>
      <c r="AA8" s="206" t="s">
        <v>523</v>
      </c>
      <c r="AB8" s="209"/>
      <c r="AC8" s="209"/>
      <c r="AD8" s="209"/>
      <c r="AE8" s="11"/>
      <c r="AF8" s="11"/>
      <c r="AG8" s="40"/>
    </row>
    <row r="9" spans="3:34">
      <c r="C9" s="12">
        <v>4</v>
      </c>
      <c r="D9" s="44">
        <f>Geometry!D14</f>
        <v>9.5</v>
      </c>
      <c r="E9" s="44">
        <f>Geometry!E14</f>
        <v>5.6</v>
      </c>
      <c r="F9" s="44">
        <f>Geometry!F14</f>
        <v>7.5</v>
      </c>
      <c r="G9" s="44">
        <f>Geometry!G14</f>
        <v>7.5</v>
      </c>
      <c r="H9" s="44">
        <f>Geometry!H14</f>
        <v>100</v>
      </c>
      <c r="I9" s="56">
        <f t="shared" si="0"/>
        <v>3.9000000000000004</v>
      </c>
      <c r="J9" s="57">
        <f t="shared" si="1"/>
        <v>0</v>
      </c>
      <c r="K9" s="58">
        <f t="shared" si="2"/>
        <v>71.17309572634214</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571</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571</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581</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23" t="s">
        <v>225</v>
      </c>
      <c r="D21" s="323" t="s">
        <v>53</v>
      </c>
      <c r="E21" s="323" t="s">
        <v>105</v>
      </c>
      <c r="F21" s="323" t="s">
        <v>101</v>
      </c>
      <c r="G21" s="330" t="s">
        <v>98</v>
      </c>
      <c r="H21" s="330" t="s">
        <v>269</v>
      </c>
      <c r="I21" s="331" t="s">
        <v>102</v>
      </c>
      <c r="J21" s="323" t="s">
        <v>100</v>
      </c>
      <c r="K21" s="330" t="s">
        <v>94</v>
      </c>
      <c r="L21" s="330" t="s">
        <v>216</v>
      </c>
      <c r="M21" s="333" t="s">
        <v>217</v>
      </c>
      <c r="N21" s="323" t="s">
        <v>106</v>
      </c>
      <c r="O21" s="323" t="s">
        <v>107</v>
      </c>
      <c r="P21" s="323" t="s">
        <v>136</v>
      </c>
      <c r="Q21" s="323" t="s">
        <v>290</v>
      </c>
      <c r="R21" s="323" t="s">
        <v>108</v>
      </c>
      <c r="T21" s="323" t="s">
        <v>73</v>
      </c>
      <c r="U21" s="323" t="s">
        <v>78</v>
      </c>
      <c r="V21" s="323" t="s">
        <v>79</v>
      </c>
      <c r="W21" s="323" t="s">
        <v>80</v>
      </c>
      <c r="X21" s="323" t="s">
        <v>84</v>
      </c>
      <c r="Y21" s="323" t="s">
        <v>85</v>
      </c>
      <c r="Z21" s="323" t="s">
        <v>86</v>
      </c>
      <c r="AA21" s="323" t="s">
        <v>87</v>
      </c>
      <c r="AB21" s="323" t="s">
        <v>578</v>
      </c>
      <c r="AC21" s="323" t="s">
        <v>552</v>
      </c>
      <c r="AD21" s="323" t="s">
        <v>553</v>
      </c>
      <c r="AE21" s="328" t="s">
        <v>555</v>
      </c>
      <c r="AF21" s="323" t="s">
        <v>554</v>
      </c>
      <c r="AG21" s="328" t="s">
        <v>556</v>
      </c>
      <c r="AH21" s="328" t="s">
        <v>557</v>
      </c>
      <c r="AI21" s="323" t="s">
        <v>560</v>
      </c>
      <c r="AJ21" s="328" t="s">
        <v>561</v>
      </c>
      <c r="AK21" s="328" t="s">
        <v>558</v>
      </c>
      <c r="AL21" s="328" t="s">
        <v>559</v>
      </c>
      <c r="AM21" s="323" t="s">
        <v>97</v>
      </c>
      <c r="AN21" s="323" t="s">
        <v>205</v>
      </c>
      <c r="AO21" s="323" t="s">
        <v>206</v>
      </c>
      <c r="AP21" s="323" t="s">
        <v>572</v>
      </c>
      <c r="AQ21" s="323" t="s">
        <v>573</v>
      </c>
      <c r="AR21" s="323" t="s">
        <v>574</v>
      </c>
      <c r="AS21" s="323" t="s">
        <v>575</v>
      </c>
      <c r="AT21" s="323" t="s">
        <v>576</v>
      </c>
      <c r="AU21" s="323" t="s">
        <v>147</v>
      </c>
      <c r="AV21" s="323" t="s">
        <v>145</v>
      </c>
      <c r="AW21" s="323" t="s">
        <v>146</v>
      </c>
      <c r="AX21" s="323" t="s">
        <v>577</v>
      </c>
    </row>
    <row r="22" spans="3:50" ht="18.75" customHeight="1">
      <c r="C22" s="324">
        <v>0</v>
      </c>
      <c r="D22" s="324">
        <v>0</v>
      </c>
      <c r="E22" s="324"/>
      <c r="F22" s="324"/>
      <c r="G22" s="324"/>
      <c r="H22" s="324"/>
      <c r="I22" s="332"/>
      <c r="J22" s="324"/>
      <c r="K22" s="324"/>
      <c r="L22" s="324"/>
      <c r="M22" s="315"/>
      <c r="N22" s="324"/>
      <c r="O22" s="324"/>
      <c r="P22" s="324"/>
      <c r="Q22" s="324"/>
      <c r="R22" s="324"/>
      <c r="T22" s="324"/>
      <c r="U22" s="324"/>
      <c r="V22" s="324"/>
      <c r="W22" s="324"/>
      <c r="X22" s="324"/>
      <c r="Y22" s="324"/>
      <c r="Z22" s="324"/>
      <c r="AA22" s="324"/>
      <c r="AB22" s="324"/>
      <c r="AC22" s="324"/>
      <c r="AD22" s="324"/>
      <c r="AE22" s="324"/>
      <c r="AF22" s="324"/>
      <c r="AG22" s="324"/>
      <c r="AH22" s="324"/>
      <c r="AI22" s="324"/>
      <c r="AJ22" s="329"/>
      <c r="AK22" s="324"/>
      <c r="AL22" s="324"/>
      <c r="AM22" s="324"/>
      <c r="AN22" s="324"/>
      <c r="AO22" s="324"/>
      <c r="AP22" s="324"/>
      <c r="AQ22" s="324"/>
      <c r="AR22" s="324"/>
      <c r="AS22" s="324"/>
      <c r="AT22" s="324"/>
      <c r="AU22" s="324"/>
      <c r="AV22" s="324"/>
      <c r="AW22" s="324"/>
      <c r="AX22" s="324"/>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546</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20.9</v>
      </c>
      <c r="E24" s="3">
        <f>F6</f>
        <v>7.5</v>
      </c>
      <c r="F24" s="120">
        <f>H6</f>
        <v>86</v>
      </c>
      <c r="G24" s="120">
        <f>ABS(T24/(2*PI()*AB24*AC24))+ABS(V24/(PI()*(AB24^2)*AC24))</f>
        <v>147.12290297992431</v>
      </c>
      <c r="H24" s="120">
        <f>ABS(W24/(PI()*AB24*AC24))+ABS(U24/(2*PI()*(AB24^2)*AC24))</f>
        <v>10.739518496150193</v>
      </c>
      <c r="I24" s="120">
        <f>IF(OR(D24&lt;$R$2,D24&gt;$W$6),0,IF(D24&lt;=$W$5,$W$7*AB24/(AC24/1000),$W$7*AB24/(AC24/1000)*($W$6-D24)/($W$6-$W$5)))</f>
        <v>11.702557177325581</v>
      </c>
      <c r="J24" s="120">
        <f>VLOOKUP(R24,'Steel grades'!$B$5:$J$22,IF(F24&gt;200,10,IF(F24&gt;150,9,IF(F24&gt;120,8,IF(F24&gt;100,7,IF(F24&gt;80,6,IF(F24&gt;63,5,IF(F24&gt;40,4,IF(F24&gt;16,3,2)))))))),FALSE)</f>
        <v>315</v>
      </c>
      <c r="K24" s="3">
        <f>AH24*J24/$W$9*AM24</f>
        <v>235.7600184434724</v>
      </c>
      <c r="L24" s="3">
        <f>AK24*J24/$W$9</f>
        <v>93.980858366508869</v>
      </c>
      <c r="M24" s="3">
        <f>AL24*J24/$W$9/SQRT(3)</f>
        <v>150.27144162434297</v>
      </c>
      <c r="N24" s="3">
        <f>MAX(G24/K24,H24/M24,I24/L24,(G24/K24)^(1.25+0.75*AH24)-(AH24*AK24)^2*(G24/K24)*(I24/L24)+(I24/L24)^(1.25+0.75*AK24)+(H24/M24)^(1.75+0.25*AL24),AS24,AX24)</f>
        <v>0.62403669609145196</v>
      </c>
      <c r="O24" s="3">
        <f>MAX(SQRT(G24^2+I24^2-IF(G24&gt;0,-G24,G24)*I24+3*H24^2)/(J24/$W$10),AU24)</f>
        <v>0.49026629692449269</v>
      </c>
      <c r="P24" s="3">
        <f>(ABS(Geometry_loads!S7)/Z24+ABS(Geometry_loads!T7)/AA24)/(1000*J24)</f>
        <v>0.35489323068904638</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-22572.85</v>
      </c>
      <c r="U24" s="3">
        <f>Geometry_loads!M7</f>
        <v>-46307.77</v>
      </c>
      <c r="V24" s="3">
        <f>Geometry_loads!N7</f>
        <v>504389</v>
      </c>
      <c r="W24" s="3">
        <f>Geometry_loads!O7</f>
        <v>4510.1319999999996</v>
      </c>
      <c r="X24" s="3">
        <f t="shared" ref="X24" si="3">IF(OR(D24&gt;=$R$6,D24&lt;=$R$7),0,$AC$9*$AC$11)</f>
        <v>0</v>
      </c>
      <c r="Y24" s="3">
        <f t="shared" ref="Y24" si="4">IF(OR(D24&gt;=$R$8,D24&lt;=$R$9),0,$AC$10*$AC$11)</f>
        <v>0</v>
      </c>
      <c r="Z24" s="18">
        <f>PI()/4*((E24-2*X24/1000)^2-((E24-2*X24/1000)-2*(F24-X24-Y24)/1000)^2)</f>
        <v>2.0030920422994654</v>
      </c>
      <c r="AA24" s="224">
        <f>PI()/32*((E24-2*X24/1000)^4-((E24-2*X24/1000)-2*(F24-X24-Y24)/1000)^4)/(E24-2*X24/1000)</f>
        <v>3.6706522794089409</v>
      </c>
      <c r="AB24" s="224">
        <f>(0.5*E24-(X24/1000))-(0.5*(AC24/1000))</f>
        <v>3.7069999999999999</v>
      </c>
      <c r="AC24" s="120">
        <f>F24-X24-Y24</f>
        <v>86</v>
      </c>
      <c r="AD24" s="224">
        <f>$R$4/SQRT(AB24*AC24/1000)</f>
        <v>27.097605273196379</v>
      </c>
      <c r="AE24" s="224">
        <f>(J24/((0.605*$W$2*IF(AD24&gt;0.5*(AB24)/(AC24/1000),MAX(0.6,1+0.2/$AC$7*(1-2*AD24*(AC24/1000)/(AB24))),IF(AD24&lt;=1.7,1.36-(1.83/AD24)+(2.07/AD24^2),1)))*((AC24/1000)/(AB24)/1000)))^0.5</f>
        <v>0.32975169279290162</v>
      </c>
      <c r="AF24" s="224">
        <f>0.62/(1+1.91*((((AB24)/(AC24/1000))^0.5*(AC24/1000)/$AC$4)/(AC24/1000))^1.44)</f>
        <v>0.40533149887049186</v>
      </c>
      <c r="AG24" s="224">
        <f>IF(AND((AB24)/(AC24/1000)&lt;=150,AD24&lt;=6*(AB24)/(AC24/1000),$W$2/(J24*1000)&lt;=1000,500&lt;=$W$2/(J24*1000)),0.2+0.1*(ABS(V24/(PI()*(AB24^2)*AC24))/G24),0.2)</f>
        <v>0.29234041562873198</v>
      </c>
      <c r="AH24" s="224">
        <f>IF(AE24&lt;=AG24,1,IF(AE24&gt;=(AF24/(1-0.6))^0.5,AF24/(AE24^2),1-0.6*((AE24-(AG24))/((AF24/(1-0.6))^0.5-AG24))))</f>
        <v>0.96857523917019472</v>
      </c>
      <c r="AI24" s="224">
        <f>IF(AD24/1.25&gt;1.63*((AB24)/(AC24/1000)),$W$2/1000*(AC24/(AB24*1000))^2*(0.275+2.03*(1.25/AD24*AB24*1000/AC24)^4),IF(AD24/1.25&lt;20,0.92*$W$2/1000*((1.25+(8/AD24^2)-(4/AD24^3))/AD24)*((AC24/1000)/(AB24)),0.92*$W$2/1000*(1.25/AD24)*((AC24/1000)/(AB24))))</f>
        <v>206.75788840631955</v>
      </c>
      <c r="AJ24" s="224">
        <f>SQRT(J24/AI24)</f>
        <v>1.2343099582435917</v>
      </c>
      <c r="AK24" s="224">
        <f>IF(AJ24&lt;0.4,1,IF(AJ24&lt;SQRT($AC$5/(1-0.6)),1-0.6*((AJ24-0.4)/(SQRT($AC$5/(1-0.6))-0.4)^1),$AC$5/AJ24^2))</f>
        <v>0.32818712445447545</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0.90890650476819324</v>
      </c>
      <c r="AM24" s="224">
        <f>IF(_xlfn.MINIFS(Geometry!$AJ$11:$AJ$18,Geometry!$AI$11:$AI$18,"o",Geometry!$AK$11:$AK$18,C6)&lt;=0,1,_xlfn.MINIFS(Geometry!$AJ$11:$AJ$18,Geometry!$AI$11:$AI$18,"o",Geometry!$AK$11:$AK$18,C6))</f>
        <v>0.85</v>
      </c>
      <c r="AN24" s="224">
        <f>IF(NOT(ISNUMBER(D23)),0,ABS(J5-J6))</f>
        <v>0</v>
      </c>
      <c r="AO24" s="224">
        <f>MAX(AN24,J6)</f>
        <v>0</v>
      </c>
      <c r="AP24" s="224">
        <f>((ABS(T24/(PI()*((E24-2*X24/1000)-((AC24))/1000*COS(AO24*PI()/180))*(AC24)/1000))/1000)+ABS((4*V24)/(PI()*((E24-X24/1000)-((F24-X24-Y24)/1000)*COS(AO24*PI()/180))^2*((AC24)/1000))/1000))/COS(AO24*PI()/180)</f>
        <v>147.12290297992433</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7.5</v>
      </c>
      <c r="F25" s="120">
        <f t="shared" ref="F25:F27" si="8">H7</f>
        <v>86</v>
      </c>
      <c r="G25" s="120">
        <f t="shared" ref="G25:G27" si="9">ABS(T25/(2*PI()*AB25*AC25))+ABS(V25/(PI()*(AB25^2)*AC25))</f>
        <v>152.02078198351342</v>
      </c>
      <c r="H25" s="120">
        <f t="shared" ref="H25:H27" si="10">ABS(W25/(PI()*AB25*AC25))+ABS(U25/(2*PI()*(AB25^2)*AC25))</f>
        <v>10.851004765440834</v>
      </c>
      <c r="I25" s="120">
        <f t="shared" ref="I25:I27" si="11">IF(OR(D25&lt;$R$2,D25&gt;$W$6),0,IF(D25&lt;=$W$5,$W$7*AB25/(AC25/1000),$W$7*AB25/(AC25/1000)*($W$6-D25)/($W$6-$W$5)))</f>
        <v>11.702557177325581</v>
      </c>
      <c r="J25" s="120">
        <f>VLOOKUP(R25,'Steel grades'!$B$5:$J$22,IF(F25&gt;200,10,IF(F25&gt;150,9,IF(F25&gt;120,8,IF(F25&gt;100,7,IF(F25&gt;80,6,IF(F25&gt;63,5,IF(F25&gt;40,4,IF(F25&gt;16,3,2)))))))),FALSE)</f>
        <v>315</v>
      </c>
      <c r="K25" s="3">
        <f t="shared" ref="K25:K27" si="12">AH25*J25/$W$9*AM25</f>
        <v>277.32231526688304</v>
      </c>
      <c r="L25" s="3">
        <f t="shared" ref="L25:L27" si="13">AK25*J25/$W$9</f>
        <v>93.980858366508869</v>
      </c>
      <c r="M25" s="3">
        <f t="shared" ref="M25:M27" si="14">AL25*J25/$W$9/SQRT(3)</f>
        <v>150.27144162434297</v>
      </c>
      <c r="N25" s="3">
        <f t="shared" ref="N25:N27" si="15">MAX(G25/K25,H25/M25,I25/L25,(G25/K25)^(1.25+0.75*AH25)-(AH25*AK25)^2*(G25/K25)*(I25/L25)+(I25/L25)^(1.25+0.75*AK25)+(H25/M25)^(1.75+0.25*AL25),AS25,AX25)</f>
        <v>0.54817363628749161</v>
      </c>
      <c r="O25" s="3">
        <f t="shared" ref="O25:O27" si="16">MAX(SQRT(G25^2+I25^2-IF(G25&gt;0,-G25,G25)*I25+3*H25^2)/(J25/$W$10),AU25)</f>
        <v>0.50574460401879828</v>
      </c>
      <c r="P25" s="3">
        <f>(ABS(Geometry_loads!S8)/Z25+ABS(Geometry_loads!T8)/AA25)/(1000*J25)</f>
        <v>0.36669360636931236</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-23891.065789473683</v>
      </c>
      <c r="U25" s="3">
        <f>Geometry_loads!M8</f>
        <v>-46316.797894736839</v>
      </c>
      <c r="V25" s="3">
        <f>Geometry_loads!N8</f>
        <v>520130.19473684207</v>
      </c>
      <c r="W25" s="3">
        <f>Geometry_loads!O8</f>
        <v>4620.5729473684205</v>
      </c>
      <c r="X25" s="3">
        <f t="shared" ref="X25:X27" si="17">IF(OR(D25&gt;=$R$6,D25&lt;=$R$7),0,$AC$9*$AC$11)</f>
        <v>0</v>
      </c>
      <c r="Y25" s="3">
        <f t="shared" ref="Y25:Y27" si="18">IF(OR(D25&gt;=$R$8,D25&lt;=$R$9),0,$AC$10*$AC$11)</f>
        <v>0</v>
      </c>
      <c r="Z25" s="18">
        <f t="shared" ref="Z25:Z27" si="19">PI()/4*((E25-2*X25/1000)^2-((E25-2*X25/1000)-2*(F25-X25-Y25)/1000)^2)</f>
        <v>2.0030920422994654</v>
      </c>
      <c r="AA25" s="224">
        <f t="shared" ref="AA25:AA27" si="20">PI()/32*((E25-2*X25/1000)^4-((E25-2*X25/1000)-2*(F25-X25-Y25)/1000)^4)/(E25-2*X25/1000)</f>
        <v>3.6706522794089409</v>
      </c>
      <c r="AB25" s="224">
        <f t="shared" ref="AB25:AB27" si="21">(0.5*E25-(X25/1000))-(0.5*(AC25/1000))</f>
        <v>3.7069999999999999</v>
      </c>
      <c r="AC25" s="120">
        <f t="shared" ref="AC25:AC27" si="22">F25-X25-Y25</f>
        <v>86</v>
      </c>
      <c r="AD25" s="224">
        <f t="shared" ref="AD25:AD27" si="23">$R$4/SQRT(AB25*AC25/1000)</f>
        <v>27.097605273196379</v>
      </c>
      <c r="AE25" s="224">
        <f t="shared" ref="AE25:AE27" si="24">(J25/((0.605*$W$2*IF(AD25&gt;0.5*(AB25)/(AC25/1000),MAX(0.6,1+0.2/$AC$7*(1-2*AD25*(AC25/1000)/(AB25))),IF(AD25&lt;=1.7,1.36-(1.83/AD25)+(2.07/AD25^2),1)))*((AC25/1000)/(AB25)/1000)))^0.5</f>
        <v>0.32975169279290162</v>
      </c>
      <c r="AF25" s="224">
        <f t="shared" ref="AF25:AF27" si="25">0.62/(1+1.91*((((AB25)/(AC25/1000))^0.5*(AC25/1000)/$AC$4)/(AC25/1000))^1.44)</f>
        <v>0.40533149887049186</v>
      </c>
      <c r="AG25" s="224">
        <f t="shared" ref="AG25:AG27" si="26">IF(AND((AB25)/(AC25/1000)&lt;=150,AD25&lt;=6*(AB25)/(AC25/1000),$W$2/(J25*1000)&lt;=1000,500&lt;=$W$2/(J25*1000)),0.2+0.1*(ABS(V25/(PI()*(AB25^2)*AC25))/G25),0.2)</f>
        <v>0.29215430074721832</v>
      </c>
      <c r="AH25" s="224">
        <f t="shared" ref="AH25:AH27" si="27">IF(AE25&lt;=AG25,1,IF(AE25&gt;=(AF25/(1-0.6))^0.5,AF25/(AE25^2),1-0.6*((AE25-(AG25))/((AF25/(1-0.6))^0.5-AG25))))</f>
        <v>0.96842713267800429</v>
      </c>
      <c r="AI25" s="224">
        <f t="shared" ref="AI25:AI27" si="28">IF(AD25/1.25&gt;1.63*((AB25)/(AC25/1000)),$W$2/1000*(AC25/(AB25*1000))^2*(0.275+2.03*(1.25/AD25*AB25*1000/AC25)^4),IF(AD25/1.25&lt;20,0.92*$W$2/1000*((1.25+(8/AD25^2)-(4/AD25^3))/AD25)*((AC25/1000)/(AB25)),0.92*$W$2/1000*(1.25/AD25)*((AC25/1000)/(AB25))))</f>
        <v>206.75788840631955</v>
      </c>
      <c r="AJ25" s="224">
        <f t="shared" ref="AJ25:AJ27" si="29">SQRT(J25/AI25)</f>
        <v>1.2343099582435917</v>
      </c>
      <c r="AK25" s="224">
        <f t="shared" ref="AK25:AK27" si="30">IF(AJ25&lt;0.4,1,IF(AJ25&lt;SQRT($AC$5/(1-0.6)),1-0.6*((AJ25-0.4)/(SQRT($AC$5/(1-0.6))-0.4)^1),$AC$5/AJ25^2))</f>
        <v>0.32818712445447545</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0.90890650476819324</v>
      </c>
      <c r="AM25" s="224">
        <f>IF(_xlfn.MINIFS(Geometry!$AJ$11:$AJ$18,Geometry!$AI$11:$AI$18,"o",Geometry!$AK$11:$AK$18,C7)&lt;=0,1,_xlfn.MINIFS(Geometry!$AJ$11:$AJ$18,Geometry!$AI$11:$AI$18,"o",Geometry!$AK$11:$AK$18,C7))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152.02078198351344</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7.5</v>
      </c>
      <c r="F26" s="120">
        <f t="shared" si="8"/>
        <v>93</v>
      </c>
      <c r="G26" s="120">
        <f t="shared" si="9"/>
        <v>146.05436883765074</v>
      </c>
      <c r="H26" s="120">
        <f t="shared" si="10"/>
        <v>10.305914811642502</v>
      </c>
      <c r="I26" s="120">
        <f t="shared" si="11"/>
        <v>10.811502108870966</v>
      </c>
      <c r="J26" s="120">
        <f>VLOOKUP(R26,'Steel grades'!$B$5:$J$22,IF(F26&gt;200,10,IF(F26&gt;150,9,IF(F26&gt;120,8,IF(F26&gt;100,7,IF(F26&gt;80,6,IF(F26&gt;63,5,IF(F26&gt;40,4,IF(F26&gt;16,3,2)))))))),FALSE)</f>
        <v>315</v>
      </c>
      <c r="K26" s="3">
        <f t="shared" si="12"/>
        <v>238.29226179464067</v>
      </c>
      <c r="L26" s="3">
        <f t="shared" si="13"/>
        <v>105.73560918753194</v>
      </c>
      <c r="M26" s="3">
        <f t="shared" si="14"/>
        <v>153.65170488707179</v>
      </c>
      <c r="N26" s="3">
        <f t="shared" si="15"/>
        <v>0.61292115714407802</v>
      </c>
      <c r="O26" s="3">
        <f t="shared" si="16"/>
        <v>0.48506513308536137</v>
      </c>
      <c r="P26" s="3">
        <f>(ABS(Geometry_loads!S9)/Z26+ABS(Geometry_loads!T9)/AA26)/(1000*J26)</f>
        <v>0.35259336831344296</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-24865.362307692307</v>
      </c>
      <c r="U26" s="3">
        <f>Geometry_loads!M9</f>
        <v>-46326.979999999996</v>
      </c>
      <c r="V26" s="3">
        <f>Geometry_loads!N9</f>
        <v>539246.86923076923</v>
      </c>
      <c r="W26" s="3">
        <f>Geometry_loads!O9</f>
        <v>4896.973384615384</v>
      </c>
      <c r="X26" s="3">
        <f t="shared" si="17"/>
        <v>0</v>
      </c>
      <c r="Y26" s="3">
        <f t="shared" si="18"/>
        <v>0</v>
      </c>
      <c r="Z26" s="18">
        <f t="shared" si="19"/>
        <v>2.1640892410179817</v>
      </c>
      <c r="AA26" s="224">
        <f t="shared" si="20"/>
        <v>3.9582849910577509</v>
      </c>
      <c r="AB26" s="224">
        <f t="shared" si="21"/>
        <v>3.7035</v>
      </c>
      <c r="AC26" s="120">
        <f t="shared" si="22"/>
        <v>93</v>
      </c>
      <c r="AD26" s="224">
        <f t="shared" si="23"/>
        <v>26.070165131339436</v>
      </c>
      <c r="AE26" s="224">
        <f t="shared" si="24"/>
        <v>0.31750989112461003</v>
      </c>
      <c r="AF26" s="224">
        <f t="shared" si="25"/>
        <v>0.41326234169058035</v>
      </c>
      <c r="AG26" s="224">
        <f t="shared" si="26"/>
        <v>0.29213307384755</v>
      </c>
      <c r="AH26" s="224">
        <f t="shared" si="27"/>
        <v>0.97897847982858932</v>
      </c>
      <c r="AI26" s="224">
        <f t="shared" si="28"/>
        <v>232.61834021257033</v>
      </c>
      <c r="AJ26" s="224">
        <f t="shared" si="29"/>
        <v>1.1636792775178575</v>
      </c>
      <c r="AK26" s="224">
        <f t="shared" si="30"/>
        <v>0.36923546065487345</v>
      </c>
      <c r="AL26" s="224">
        <f t="shared" si="31"/>
        <v>0.92935179519805167</v>
      </c>
      <c r="AM26" s="224">
        <f>IF(_xlfn.MINIFS(Geometry!$AJ$11:$AJ$18,Geometry!$AI$11:$AI$18,"o",Geometry!$AK$11:$AK$18,C8)&lt;=0,1,_xlfn.MINIFS(Geometry!$AJ$11:$AJ$18,Geometry!$AI$11:$AI$18,"o",Geometry!$AK$11:$AK$18,C8))</f>
        <v>0.85</v>
      </c>
      <c r="AN26" s="224">
        <f t="shared" si="32"/>
        <v>0</v>
      </c>
      <c r="AO26" s="224">
        <f t="shared" si="33"/>
        <v>0</v>
      </c>
      <c r="AP26" s="224">
        <f t="shared" si="34"/>
        <v>146.05436883765077</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7.5</v>
      </c>
      <c r="F27" s="120">
        <f t="shared" si="8"/>
        <v>100</v>
      </c>
      <c r="G27" s="120">
        <f t="shared" si="9"/>
        <v>140.94755134798675</v>
      </c>
      <c r="H27" s="120">
        <f t="shared" si="10"/>
        <v>15.493419785657055</v>
      </c>
      <c r="I27" s="120">
        <f t="shared" si="11"/>
        <v>10.045194749999999</v>
      </c>
      <c r="J27" s="120">
        <f>VLOOKUP(R27,'Steel grades'!$B$5:$J$22,IF(F27&gt;200,10,IF(F27&gt;150,9,IF(F27&gt;120,8,IF(F27&gt;100,7,IF(F27&gt;80,6,IF(F27&gt;63,5,IF(F27&gt;40,4,IF(F27&gt;16,3,2)))))))),FALSE)</f>
        <v>315</v>
      </c>
      <c r="K27" s="3">
        <f t="shared" si="12"/>
        <v>282.98225292677893</v>
      </c>
      <c r="L27" s="3">
        <f t="shared" si="13"/>
        <v>118.43609925950022</v>
      </c>
      <c r="M27" s="3">
        <f t="shared" si="14"/>
        <v>156.64282332218943</v>
      </c>
      <c r="N27" s="3">
        <f t="shared" si="15"/>
        <v>0.49807911941550848</v>
      </c>
      <c r="O27" s="3">
        <f t="shared" si="16"/>
        <v>0.47197180972980712</v>
      </c>
      <c r="P27" s="3">
        <f>(ABS(Geometry_loads!S10)/Z27+ABS(Geometry_loads!T10)/AA27)/(1000*J27)</f>
        <v>0.34055240588557029</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-25729.462051282051</v>
      </c>
      <c r="U27" s="3">
        <f>Geometry_loads!M10</f>
        <v>-46336.420769230768</v>
      </c>
      <c r="V27" s="3">
        <f>Geometry_loads!N10</f>
        <v>558593.41025641025</v>
      </c>
      <c r="W27" s="3">
        <f>Geometry_loads!O10</f>
        <v>11747.70661538461</v>
      </c>
      <c r="X27" s="3">
        <f t="shared" si="17"/>
        <v>0</v>
      </c>
      <c r="Y27" s="3">
        <f t="shared" si="18"/>
        <v>0</v>
      </c>
      <c r="Z27" s="18">
        <f t="shared" si="19"/>
        <v>2.3247785636564475</v>
      </c>
      <c r="AA27" s="224">
        <f t="shared" si="20"/>
        <v>4.2442707310487888</v>
      </c>
      <c r="AB27" s="224">
        <f t="shared" si="21"/>
        <v>3.7</v>
      </c>
      <c r="AC27" s="120">
        <f t="shared" si="22"/>
        <v>100</v>
      </c>
      <c r="AD27" s="224">
        <f t="shared" si="23"/>
        <v>25.153045057719666</v>
      </c>
      <c r="AE27" s="224">
        <f t="shared" si="24"/>
        <v>0.30657611702852844</v>
      </c>
      <c r="AF27" s="224">
        <f t="shared" si="25"/>
        <v>0.42049098550361969</v>
      </c>
      <c r="AG27" s="224">
        <f t="shared" si="26"/>
        <v>0.29214779592221973</v>
      </c>
      <c r="AH27" s="224">
        <f t="shared" si="27"/>
        <v>0.98819199434748206</v>
      </c>
      <c r="AI27" s="224">
        <f t="shared" si="28"/>
        <v>259.49251917806396</v>
      </c>
      <c r="AJ27" s="224">
        <f t="shared" si="29"/>
        <v>1.1017748529979456</v>
      </c>
      <c r="AK27" s="224">
        <f t="shared" si="30"/>
        <v>0.4135863783665088</v>
      </c>
      <c r="AL27" s="224">
        <f t="shared" si="31"/>
        <v>0.94744336983674238</v>
      </c>
      <c r="AM27" s="224">
        <f>IF(_xlfn.MINIFS(Geometry!$AJ$11:$AJ$18,Geometry!$AI$11:$AI$18,"o",Geometry!$AK$11:$AK$18,C9)&lt;=0,1,_xlfn.MINIFS(Geometry!$AJ$11:$AJ$18,Geometry!$AI$11:$AI$18,"o",Geometry!$AK$11:$AK$18,C9))</f>
        <v>1</v>
      </c>
      <c r="AN27" s="224">
        <f t="shared" si="32"/>
        <v>0</v>
      </c>
      <c r="AO27" s="224">
        <f t="shared" si="33"/>
        <v>0</v>
      </c>
      <c r="AP27" s="224">
        <f t="shared" si="34"/>
        <v>140.94755134798675</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23" t="s">
        <v>225</v>
      </c>
      <c r="D30" s="323" t="s">
        <v>53</v>
      </c>
      <c r="E30" s="323" t="s">
        <v>105</v>
      </c>
      <c r="F30" s="323" t="s">
        <v>101</v>
      </c>
      <c r="G30" s="330" t="s">
        <v>98</v>
      </c>
      <c r="H30" s="330" t="s">
        <v>269</v>
      </c>
      <c r="I30" s="331" t="s">
        <v>102</v>
      </c>
      <c r="J30" s="323" t="s">
        <v>100</v>
      </c>
      <c r="K30" s="330" t="s">
        <v>94</v>
      </c>
      <c r="L30" s="330" t="s">
        <v>216</v>
      </c>
      <c r="M30" s="333" t="s">
        <v>217</v>
      </c>
      <c r="N30" s="323" t="s">
        <v>106</v>
      </c>
      <c r="O30" s="323" t="s">
        <v>107</v>
      </c>
      <c r="P30" s="323" t="s">
        <v>136</v>
      </c>
      <c r="Q30" s="323" t="s">
        <v>290</v>
      </c>
      <c r="R30" s="323" t="s">
        <v>108</v>
      </c>
      <c r="T30" s="323" t="s">
        <v>73</v>
      </c>
      <c r="U30" s="323" t="s">
        <v>78</v>
      </c>
      <c r="V30" s="323" t="s">
        <v>79</v>
      </c>
      <c r="W30" s="323" t="s">
        <v>80</v>
      </c>
      <c r="X30" s="323" t="s">
        <v>84</v>
      </c>
      <c r="Y30" s="323" t="s">
        <v>85</v>
      </c>
      <c r="Z30" s="323" t="s">
        <v>86</v>
      </c>
      <c r="AA30" s="323" t="s">
        <v>87</v>
      </c>
      <c r="AB30" s="323" t="s">
        <v>578</v>
      </c>
      <c r="AC30" s="323" t="s">
        <v>552</v>
      </c>
      <c r="AD30" s="323" t="s">
        <v>553</v>
      </c>
      <c r="AE30" s="328" t="s">
        <v>555</v>
      </c>
      <c r="AF30" s="323" t="s">
        <v>554</v>
      </c>
      <c r="AG30" s="328" t="s">
        <v>556</v>
      </c>
      <c r="AH30" s="328" t="s">
        <v>557</v>
      </c>
      <c r="AI30" s="323" t="s">
        <v>560</v>
      </c>
      <c r="AJ30" s="328" t="s">
        <v>561</v>
      </c>
      <c r="AK30" s="328" t="s">
        <v>558</v>
      </c>
      <c r="AL30" s="328" t="s">
        <v>559</v>
      </c>
      <c r="AM30" s="323" t="s">
        <v>97</v>
      </c>
      <c r="AN30" s="323" t="s">
        <v>205</v>
      </c>
      <c r="AO30" s="323" t="s">
        <v>206</v>
      </c>
      <c r="AP30" s="323" t="s">
        <v>572</v>
      </c>
      <c r="AQ30" s="323" t="s">
        <v>573</v>
      </c>
      <c r="AR30" s="323" t="s">
        <v>574</v>
      </c>
      <c r="AS30" s="323" t="s">
        <v>575</v>
      </c>
      <c r="AT30" s="323" t="s">
        <v>576</v>
      </c>
      <c r="AU30" s="323" t="s">
        <v>147</v>
      </c>
      <c r="AV30" s="323" t="s">
        <v>145</v>
      </c>
      <c r="AW30" s="323" t="s">
        <v>146</v>
      </c>
      <c r="AX30" s="323" t="s">
        <v>577</v>
      </c>
    </row>
    <row r="31" spans="3:50" ht="18.75" customHeight="1">
      <c r="C31" s="324">
        <v>0</v>
      </c>
      <c r="D31" s="324">
        <v>0</v>
      </c>
      <c r="E31" s="324"/>
      <c r="F31" s="324"/>
      <c r="G31" s="324"/>
      <c r="H31" s="324"/>
      <c r="I31" s="332"/>
      <c r="J31" s="324"/>
      <c r="K31" s="324"/>
      <c r="L31" s="324"/>
      <c r="M31" s="315"/>
      <c r="N31" s="324"/>
      <c r="O31" s="324"/>
      <c r="P31" s="324"/>
      <c r="Q31" s="324"/>
      <c r="R31" s="324"/>
      <c r="T31" s="324"/>
      <c r="U31" s="324"/>
      <c r="V31" s="324"/>
      <c r="W31" s="324"/>
      <c r="X31" s="324"/>
      <c r="Y31" s="324"/>
      <c r="Z31" s="324"/>
      <c r="AA31" s="324"/>
      <c r="AB31" s="324"/>
      <c r="AC31" s="324"/>
      <c r="AD31" s="324"/>
      <c r="AE31" s="324"/>
      <c r="AF31" s="324"/>
      <c r="AG31" s="324"/>
      <c r="AH31" s="324"/>
      <c r="AI31" s="324"/>
      <c r="AJ31" s="329"/>
      <c r="AK31" s="324"/>
      <c r="AL31" s="324"/>
      <c r="AM31" s="324"/>
      <c r="AN31" s="324"/>
      <c r="AO31" s="324"/>
      <c r="AP31" s="324"/>
      <c r="AQ31" s="324"/>
      <c r="AR31" s="324"/>
      <c r="AS31" s="324"/>
      <c r="AT31" s="324"/>
      <c r="AU31" s="324"/>
      <c r="AV31" s="324"/>
      <c r="AW31" s="324"/>
      <c r="AX31" s="324"/>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546</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7.5</v>
      </c>
      <c r="F33" s="120">
        <f>H6</f>
        <v>86</v>
      </c>
      <c r="G33" s="120">
        <f>ABS(T33/(2*PI()*AB33*AC33))+ABS(V33/(PI()*(AB33^2)*AC33))</f>
        <v>152.02078198351342</v>
      </c>
      <c r="H33" s="120">
        <f>ABS(W33/(PI()*AB33*AC33))+ABS(U33/(2*PI()*(AB33^2)*AC33))</f>
        <v>10.851004765440834</v>
      </c>
      <c r="I33" s="120">
        <f>IF(OR(D33&lt;$R$2,D33&gt;$W$6),0,IF(D33&lt;=$W$5,$W$7*AB33/(AC33/1000),$W$7*AB33/(AC33/1000)*($W$6-D33)/($W$6-$W$5)))</f>
        <v>11.702557177325581</v>
      </c>
      <c r="J33" s="120">
        <f>VLOOKUP(R33,'Steel grades'!$B$5:$J$22,IF(F33&gt;200,10,IF(F33&gt;150,9,IF(F33&gt;120,8,IF(F33&gt;100,7,IF(F33&gt;80,6,IF(F33&gt;63,5,IF(F33&gt;40,4,IF(F33&gt;16,3,2)))))))),FALSE)</f>
        <v>315</v>
      </c>
      <c r="K33" s="3">
        <f>AH33*J33/$W$9*AM33</f>
        <v>235.72396797685059</v>
      </c>
      <c r="L33" s="3">
        <f>AK33*J33/$W$9</f>
        <v>93.980858366508869</v>
      </c>
      <c r="M33" s="3">
        <f>AL33*J33/$W$9/SQRT(3)</f>
        <v>150.27144162434297</v>
      </c>
      <c r="N33" s="3">
        <f>MAX(G33/K33,H33/M33,I33/L33,(G33/K33)^(1.25+0.75*AH33)-(AH33*AK33)^2*(G33/K33)*(I33/L33)+(I33/L33)^(1.25+0.75*AK33)+(H33/M33)^(1.75+0.25*AL33),AS33,AX33)</f>
        <v>0.64491016033822535</v>
      </c>
      <c r="O33" s="3">
        <f>MAX(SQRT(G33^2+I33^2-IF(G33&gt;0,-G33,G33)*I33+3*H33^2)/(J33/$W$10),AU33)</f>
        <v>0.50574460401879828</v>
      </c>
      <c r="P33" s="3">
        <f>(ABS(Geometry_loads!S8)/Z33+ABS(Geometry_loads!T8)/AA33)/(1000*J33)</f>
        <v>0.36669360636931236</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-23891.065789473683</v>
      </c>
      <c r="U33" s="3">
        <f>Geometry_loads!M8</f>
        <v>-46316.797894736839</v>
      </c>
      <c r="V33" s="3">
        <f>Geometry_loads!N8</f>
        <v>520130.19473684207</v>
      </c>
      <c r="W33" s="3">
        <f>Geometry_loads!O8</f>
        <v>4620.5729473684205</v>
      </c>
      <c r="X33" s="3">
        <f>X24</f>
        <v>0</v>
      </c>
      <c r="Y33" s="3">
        <f>Y24</f>
        <v>0</v>
      </c>
      <c r="Z33" s="18">
        <f>PI()/4*((E33-2*X33/1000)^2-((E33-2*X33/1000)-2*(F33-X33-Y33)/1000)^2)</f>
        <v>2.0030920422994654</v>
      </c>
      <c r="AA33" s="224">
        <f>PI()/32*((E33-2*X33/1000)^4-((E33-2*X33/1000)-2*(F33-X33-Y33)/1000)^4)/(E33-2*X33/1000)</f>
        <v>3.6706522794089409</v>
      </c>
      <c r="AB33" s="224">
        <f>(0.5*E33-(X33/1000))-(0.5*(AC33/1000))</f>
        <v>3.7069999999999999</v>
      </c>
      <c r="AC33" s="120">
        <f>F33-X33-Y33</f>
        <v>86</v>
      </c>
      <c r="AD33" s="224">
        <f>$R$4/SQRT(AB33*AC33/1000)</f>
        <v>27.097605273196379</v>
      </c>
      <c r="AE33" s="224">
        <f>(J33/((0.605*$W$2*IF(AD33&gt;0.5*(AB33)/(AC33/1000),MAX(0.6,1+0.2/$AC$7*(1-2*AD33*(AC33/1000)/(AB33))),IF(AD33&lt;=1.7,1.36-(1.83/AD33)+(2.07/AD33^2),1)))*((AC33/1000)/(AB33)/1000)))^0.5</f>
        <v>0.32975169279290162</v>
      </c>
      <c r="AF33" s="224">
        <f>0.62/(1+1.91*((((AB33)/(AC33/1000))^0.5*(AC33/1000)/$AC$4)/(AC33/1000))^1.44)</f>
        <v>0.40533149887049186</v>
      </c>
      <c r="AG33" s="224">
        <f>IF(AND((AB33)/(AC33/1000)&lt;=150,AD33&lt;=6*(AB33)/(AC33/1000),$W$2/(J33*1000)&lt;=1000,500&lt;=$W$2/(J33*1000)),0.2+0.1*(ABS(V33/(PI()*(AB33^2)*AC33))/G33),0.2)</f>
        <v>0.29215430074721832</v>
      </c>
      <c r="AH33" s="224">
        <f>IF(AE33&lt;=AG33,1,IF(AE33&gt;=(AF33/(1-0.6))^0.5,AF33/(AE33^2),1-0.6*((AE33-(AG33))/((AF33/(1-0.6))^0.5-AG33))))</f>
        <v>0.96842713267800429</v>
      </c>
      <c r="AI33" s="224">
        <f>IF(AD33/1.25&gt;1.63*((AB33)/(AC33/1000)),$W$2/1000*(AC33/(AB33*1000))^2*(0.275+2.03*(1.25/AD33*AB33*1000/AC33)^4),IF(AD33/1.25&lt;20,0.92*$W$2/1000*((1.25+(8/AD33^2)-(4/AD33^3))/AD33)*((AC33/1000)/(AB33)),0.92*$W$2/1000*(1.25/AD33)*((AC33/1000)/(AB33))))</f>
        <v>206.75788840631955</v>
      </c>
      <c r="AJ33" s="224">
        <f>SQRT(J33/AI33)</f>
        <v>1.2343099582435917</v>
      </c>
      <c r="AK33" s="224">
        <f>IF(AJ33&lt;0.4,1,IF(AJ33&lt;SQRT($AC$5/(1-0.6)),1-0.6*((AJ33-0.4)/(SQRT($AC$5/(1-0.6))-0.4)^1),$AC$5/AJ33^2))</f>
        <v>0.32818712445447545</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0.90890650476819324</v>
      </c>
      <c r="AM33" s="224">
        <f>AM24</f>
        <v>0.85</v>
      </c>
      <c r="AN33" s="224">
        <f>IF(NOT(ISNUMBER(D34)),0,ABS(J6-J7))</f>
        <v>0</v>
      </c>
      <c r="AO33" s="224">
        <f>MAX(AN33,J6)</f>
        <v>0</v>
      </c>
      <c r="AP33" s="224">
        <f>((ABS(T33/(PI()*((E33-2*X33/1000)-((AC33))/1000*COS(AO33*PI()/180))*(AC33)/1000))/1000)+ABS((4*V33)/(PI()*((E33-X33/1000)-((F33-X33-Y33)/1000)*COS(AO33*PI()/180))^2*((AC33)/1000))/1000))/COS(AO33*PI()/180)</f>
        <v>152.02078198351344</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7.5</v>
      </c>
      <c r="F34" s="120">
        <f t="shared" si="45"/>
        <v>86</v>
      </c>
      <c r="G34" s="120">
        <f t="shared" ref="G34:G36" si="46">ABS(T34/(2*PI()*AB34*AC34))+ABS(V34/(PI()*(AB34^2)*AC34))</f>
        <v>157.65613033615324</v>
      </c>
      <c r="H34" s="120">
        <f t="shared" ref="H34:H36" si="47">ABS(W34/(PI()*AB34*AC34))+ABS(U34/(2*PI()*(AB34^2)*AC34))</f>
        <v>11.128349783342767</v>
      </c>
      <c r="I34" s="120">
        <f t="shared" ref="I34:I36" si="48">IF(OR(D34&lt;$R$2,D34&gt;$W$6),0,IF(D34&lt;=$W$5,$W$7*AB34/(AC34/1000),$W$7*AB34/(AC34/1000)*($W$6-D34)/($W$6-$W$5)))</f>
        <v>11.702557177325581</v>
      </c>
      <c r="J34" s="120">
        <f>VLOOKUP(R34,'Steel grades'!$B$5:$J$22,IF(F34&gt;200,10,IF(F34&gt;150,9,IF(F34&gt;120,8,IF(F34&gt;100,7,IF(F34&gt;80,6,IF(F34&gt;63,5,IF(F34&gt;40,4,IF(F34&gt;16,3,2)))))))),FALSE)</f>
        <v>315</v>
      </c>
      <c r="K34" s="3">
        <f t="shared" ref="K34:K36" si="49">AH34*J34/$W$9*AM34</f>
        <v>277.31591911960993</v>
      </c>
      <c r="L34" s="3">
        <f t="shared" ref="L34:L36" si="50">AK34*J34/$W$9</f>
        <v>93.980858366508869</v>
      </c>
      <c r="M34" s="3">
        <f t="shared" ref="M34:M36" si="51">AL34*J34/$W$9/SQRT(3)</f>
        <v>150.27144162434297</v>
      </c>
      <c r="N34" s="3">
        <f t="shared" ref="N34:N36" si="52">MAX(G34/K34,H34/M34,I34/L34,(G34/K34)^(1.25+0.75*AH34)-(AH34*AK34)^2*(G34/K34)*(I34/L34)+(I34/L34)^(1.25+0.75*AK34)+(H34/M34)^(1.75+0.25*AL34),AS34,AX34)</f>
        <v>0.56850732131304049</v>
      </c>
      <c r="O34" s="3">
        <f t="shared" ref="O34:O36" si="53">MAX(SQRT(G34^2+I34^2-IF(G34&gt;0,-G34,G34)*I34+3*H34^2)/(J34/$W$10),AU34)</f>
        <v>0.52365467324760517</v>
      </c>
      <c r="P34" s="3">
        <f>(ABS(Geometry_loads!S9)/Z34+ABS(Geometry_loads!T9)/AA34)/(1000*J34)</f>
        <v>0.38027704623841224</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-24865.362307692307</v>
      </c>
      <c r="U34" s="3">
        <f>Geometry_loads!M9</f>
        <v>-46326.979999999996</v>
      </c>
      <c r="V34" s="3">
        <f>Geometry_loads!N9</f>
        <v>539246.86923076923</v>
      </c>
      <c r="W34" s="3">
        <f>Geometry_loads!O9</f>
        <v>4896.973384615384</v>
      </c>
      <c r="X34" s="3">
        <f t="shared" ref="X34:Y34" si="54">X25</f>
        <v>0</v>
      </c>
      <c r="Y34" s="3">
        <f t="shared" si="54"/>
        <v>0</v>
      </c>
      <c r="Z34" s="18">
        <f t="shared" ref="Z34:Z36" si="55">PI()/4*((E34-2*X34/1000)^2-((E34-2*X34/1000)-2*(F34-X34-Y34)/1000)^2)</f>
        <v>2.0030920422994654</v>
      </c>
      <c r="AA34" s="224">
        <f t="shared" ref="AA34:AA36" si="56">PI()/32*((E34-2*X34/1000)^4-((E34-2*X34/1000)-2*(F34-X34-Y34)/1000)^4)/(E34-2*X34/1000)</f>
        <v>3.6706522794089409</v>
      </c>
      <c r="AB34" s="224">
        <f t="shared" ref="AB34:AB36" si="57">(0.5*E34-(X34/1000))-(0.5*(AC34/1000))</f>
        <v>3.7069999999999999</v>
      </c>
      <c r="AC34" s="120">
        <f t="shared" ref="AC34:AC36" si="58">F34-X34-Y34</f>
        <v>86</v>
      </c>
      <c r="AD34" s="224">
        <f t="shared" ref="AD34:AD36" si="59">$R$4/SQRT(AB34*AC34/1000)</f>
        <v>27.097605273196379</v>
      </c>
      <c r="AE34" s="224">
        <f t="shared" ref="AE34:AE36" si="60">(J34/((0.605*$W$2*IF(AD34&gt;0.5*(AB34)/(AC34/1000),MAX(0.6,1+0.2/$AC$7*(1-2*AD34*(AC34/1000)/(AB34))),IF(AD34&lt;=1.7,1.36-(1.83/AD34)+(2.07/AD34^2),1)))*((AC34/1000)/(AB34)/1000)))^0.5</f>
        <v>0.32975169279290162</v>
      </c>
      <c r="AF34" s="224">
        <f t="shared" ref="AF34:AF36" si="61">0.62/(1+1.91*((((AB34)/(AC34/1000))^0.5*(AC34/1000)/$AC$4)/(AC34/1000))^1.44)</f>
        <v>0.40533149887049186</v>
      </c>
      <c r="AG34" s="224">
        <f t="shared" ref="AG34:AG36" si="62">IF(AND((AB34)/(AC34/1000)&lt;=150,AD34&lt;=6*(AB34)/(AC34/1000),$W$2/(J34*1000)&lt;=1000,500&lt;=$W$2/(J34*1000)),0.2+0.1*(ABS(V34/(PI()*(AB34^2)*AC34))/G34),0.2)</f>
        <v>0.29212622458139847</v>
      </c>
      <c r="AH34" s="224">
        <f t="shared" ref="AH34:AH36" si="63">IF(AE34&lt;=AG34,1,IF(AE34&gt;=(AF34/(1-0.6))^0.5,AF34/(AE34^2),1-0.6*((AE34-(AG34))/((AF34/(1-0.6))^0.5-AG34))))</f>
        <v>0.96840479692562198</v>
      </c>
      <c r="AI34" s="224">
        <f t="shared" ref="AI34:AI36" si="64">IF(AD34/1.25&gt;1.63*((AB34)/(AC34/1000)),$W$2/1000*(AC34/(AB34*1000))^2*(0.275+2.03*(1.25/AD34*AB34*1000/AC34)^4),IF(AD34/1.25&lt;20,0.92*$W$2/1000*((1.25+(8/AD34^2)-(4/AD34^3))/AD34)*((AC34/1000)/(AB34)),0.92*$W$2/1000*(1.25/AD34)*((AC34/1000)/(AB34))))</f>
        <v>206.75788840631955</v>
      </c>
      <c r="AJ34" s="224">
        <f t="shared" ref="AJ34:AJ36" si="65">SQRT(J34/AI34)</f>
        <v>1.2343099582435917</v>
      </c>
      <c r="AK34" s="224">
        <f t="shared" ref="AK34:AK36" si="66">IF(AJ34&lt;0.4,1,IF(AJ34&lt;SQRT($AC$5/(1-0.6)),1-0.6*((AJ34-0.4)/(SQRT($AC$5/(1-0.6))-0.4)^1),$AC$5/AJ34^2))</f>
        <v>0.32818712445447545</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0.90890650476819324</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157.65613033615324</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7.5</v>
      </c>
      <c r="F35" s="120">
        <f t="shared" si="80"/>
        <v>93</v>
      </c>
      <c r="G35" s="120">
        <f t="shared" si="46"/>
        <v>151.28142061855957</v>
      </c>
      <c r="H35" s="120">
        <f t="shared" si="47"/>
        <v>16.638378071331164</v>
      </c>
      <c r="I35" s="120">
        <f t="shared" si="48"/>
        <v>10.811502108870966</v>
      </c>
      <c r="J35" s="120">
        <f>VLOOKUP(R35,'Steel grades'!$B$5:$J$22,IF(F35&gt;200,10,IF(F35&gt;150,9,IF(F35&gt;120,8,IF(F35&gt;100,7,IF(F35&gt;80,6,IF(F35&gt;63,5,IF(F35&gt;40,4,IF(F35&gt;16,3,2)))))))),FALSE)</f>
        <v>315</v>
      </c>
      <c r="K35" s="3">
        <f t="shared" si="49"/>
        <v>238.29379464314241</v>
      </c>
      <c r="L35" s="3">
        <f t="shared" si="50"/>
        <v>105.73560918753194</v>
      </c>
      <c r="M35" s="3">
        <f t="shared" si="51"/>
        <v>153.65170488707179</v>
      </c>
      <c r="N35" s="3">
        <f t="shared" si="52"/>
        <v>0.63485253925773233</v>
      </c>
      <c r="O35" s="3">
        <f t="shared" si="53"/>
        <v>0.50663566634290746</v>
      </c>
      <c r="P35" s="3">
        <f>(ABS(Geometry_loads!S10)/Z35+ABS(Geometry_loads!T10)/AA35)/(1000*J35)</f>
        <v>0.36520940955384046</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-25729.462051282051</v>
      </c>
      <c r="U35" s="3">
        <f>Geometry_loads!M10</f>
        <v>-46336.420769230768</v>
      </c>
      <c r="V35" s="3">
        <f>Geometry_loads!N10</f>
        <v>558593.41025641025</v>
      </c>
      <c r="W35" s="3">
        <f>Geometry_loads!O10</f>
        <v>11747.70661538461</v>
      </c>
      <c r="X35" s="3">
        <f t="shared" ref="X35:Y35" si="81">X26</f>
        <v>0</v>
      </c>
      <c r="Y35" s="3">
        <f t="shared" si="81"/>
        <v>0</v>
      </c>
      <c r="Z35" s="18">
        <f t="shared" si="55"/>
        <v>2.1640892410179817</v>
      </c>
      <c r="AA35" s="224">
        <f t="shared" si="56"/>
        <v>3.9582849910577509</v>
      </c>
      <c r="AB35" s="224">
        <f t="shared" si="57"/>
        <v>3.7035</v>
      </c>
      <c r="AC35" s="120">
        <f t="shared" si="58"/>
        <v>93</v>
      </c>
      <c r="AD35" s="224">
        <f t="shared" si="59"/>
        <v>26.070165131339436</v>
      </c>
      <c r="AE35" s="224">
        <f t="shared" si="60"/>
        <v>0.31750989112461003</v>
      </c>
      <c r="AF35" s="224">
        <f t="shared" si="61"/>
        <v>0.41326234169058035</v>
      </c>
      <c r="AG35" s="224">
        <f t="shared" si="62"/>
        <v>0.29214095191288408</v>
      </c>
      <c r="AH35" s="224">
        <f t="shared" si="63"/>
        <v>0.978984777245403</v>
      </c>
      <c r="AI35" s="224">
        <f t="shared" si="64"/>
        <v>232.61834021257033</v>
      </c>
      <c r="AJ35" s="224">
        <f t="shared" si="65"/>
        <v>1.1636792775178575</v>
      </c>
      <c r="AK35" s="224">
        <f t="shared" si="66"/>
        <v>0.36923546065487345</v>
      </c>
      <c r="AL35" s="224">
        <f t="shared" si="67"/>
        <v>0.92935179519805167</v>
      </c>
      <c r="AM35" s="224">
        <f t="shared" si="68"/>
        <v>0.85</v>
      </c>
      <c r="AN35" s="224">
        <f t="shared" si="69"/>
        <v>0</v>
      </c>
      <c r="AO35" s="224">
        <f t="shared" si="70"/>
        <v>0</v>
      </c>
      <c r="AP35" s="224">
        <f t="shared" si="71"/>
        <v>151.28142061855957</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5.6</v>
      </c>
      <c r="E36" s="3">
        <f t="shared" ref="E36:F36" si="82">G9</f>
        <v>7.5</v>
      </c>
      <c r="F36" s="120">
        <f t="shared" si="82"/>
        <v>100</v>
      </c>
      <c r="G36" s="120">
        <f t="shared" si="46"/>
        <v>146.04286113315376</v>
      </c>
      <c r="H36" s="120">
        <f t="shared" si="47"/>
        <v>15.370131035622062</v>
      </c>
      <c r="I36" s="120">
        <f t="shared" si="48"/>
        <v>10.045194749999999</v>
      </c>
      <c r="J36" s="120">
        <f>VLOOKUP(R36,'Steel grades'!$B$5:$J$22,IF(F36&gt;200,10,IF(F36&gt;150,9,IF(F36&gt;120,8,IF(F36&gt;100,7,IF(F36&gt;80,6,IF(F36&gt;63,5,IF(F36&gt;40,4,IF(F36&gt;16,3,2)))))))),FALSE)</f>
        <v>315</v>
      </c>
      <c r="K36" s="3">
        <f t="shared" si="49"/>
        <v>282.93310853306451</v>
      </c>
      <c r="L36" s="3">
        <f t="shared" si="50"/>
        <v>118.43609925950022</v>
      </c>
      <c r="M36" s="3">
        <f t="shared" si="51"/>
        <v>156.64282332218943</v>
      </c>
      <c r="N36" s="3">
        <f t="shared" si="52"/>
        <v>0.51617451874172127</v>
      </c>
      <c r="O36" s="3">
        <f t="shared" si="53"/>
        <v>0.4877452609434384</v>
      </c>
      <c r="P36" s="3">
        <f>(ABS(Geometry_loads!S11)/Z36+ABS(Geometry_loads!T11)/AA36)/(1000*J36)</f>
        <v>0.35284326377901126</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-27386.059736842104</v>
      </c>
      <c r="U36" s="3">
        <f>Geometry_loads!M11</f>
        <v>-46345.049473684208</v>
      </c>
      <c r="V36" s="3">
        <f>Geometry_loads!N11</f>
        <v>577442.81842105277</v>
      </c>
      <c r="W36" s="3">
        <f>Geometry_loads!O11</f>
        <v>11603.23105263158</v>
      </c>
      <c r="X36" s="3">
        <f t="shared" ref="X36:Y36" si="83">X27</f>
        <v>0</v>
      </c>
      <c r="Y36" s="3">
        <f t="shared" si="83"/>
        <v>0</v>
      </c>
      <c r="Z36" s="18">
        <f t="shared" si="55"/>
        <v>2.3247785636564475</v>
      </c>
      <c r="AA36" s="224">
        <f t="shared" si="56"/>
        <v>4.2442707310487888</v>
      </c>
      <c r="AB36" s="224">
        <f t="shared" si="57"/>
        <v>3.7</v>
      </c>
      <c r="AC36" s="120">
        <f t="shared" si="58"/>
        <v>100</v>
      </c>
      <c r="AD36" s="224">
        <f t="shared" si="59"/>
        <v>25.153045057719666</v>
      </c>
      <c r="AE36" s="224">
        <f t="shared" si="60"/>
        <v>0.30657611702852844</v>
      </c>
      <c r="AF36" s="224">
        <f t="shared" si="61"/>
        <v>0.42049098550361969</v>
      </c>
      <c r="AG36" s="224">
        <f t="shared" si="62"/>
        <v>0.29193382525918771</v>
      </c>
      <c r="AH36" s="224">
        <f t="shared" si="63"/>
        <v>0.98802037900435236</v>
      </c>
      <c r="AI36" s="224">
        <f t="shared" si="64"/>
        <v>259.49251917806396</v>
      </c>
      <c r="AJ36" s="224">
        <f t="shared" si="65"/>
        <v>1.1017748529979456</v>
      </c>
      <c r="AK36" s="224">
        <f t="shared" si="66"/>
        <v>0.4135863783665088</v>
      </c>
      <c r="AL36" s="224">
        <f t="shared" si="67"/>
        <v>0.94744336983674238</v>
      </c>
      <c r="AM36" s="224">
        <f t="shared" si="68"/>
        <v>1</v>
      </c>
      <c r="AN36" s="224">
        <f t="shared" si="69"/>
        <v>0</v>
      </c>
      <c r="AO36" s="224">
        <f t="shared" si="70"/>
        <v>0</v>
      </c>
      <c r="AP36" s="224">
        <f t="shared" si="71"/>
        <v>146.04286113315376</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 ref="R21:R22"/>
    <mergeCell ref="T21:T22"/>
    <mergeCell ref="U21:U22"/>
    <mergeCell ref="V21:V22"/>
    <mergeCell ref="AM30:AM31"/>
    <mergeCell ref="AC21:AC22"/>
    <mergeCell ref="AD21:AD22"/>
    <mergeCell ref="AG21:AG22"/>
    <mergeCell ref="AK21:AK22"/>
    <mergeCell ref="AL21:AL22"/>
    <mergeCell ref="AM21:AM22"/>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C30:C31"/>
    <mergeCell ref="D30:D31"/>
    <mergeCell ref="E30:E31"/>
    <mergeCell ref="F30:F31"/>
    <mergeCell ref="G30:G31"/>
    <mergeCell ref="M21:M22"/>
    <mergeCell ref="N21:N22"/>
    <mergeCell ref="P21:P22"/>
    <mergeCell ref="Q21:Q22"/>
    <mergeCell ref="O21:O22"/>
    <mergeCell ref="H21:H22"/>
    <mergeCell ref="I21:I22"/>
    <mergeCell ref="J21:J22"/>
    <mergeCell ref="K21:K22"/>
    <mergeCell ref="L21:L22"/>
    <mergeCell ref="C21:C22"/>
    <mergeCell ref="D21:D22"/>
    <mergeCell ref="E21:E22"/>
    <mergeCell ref="F21:F22"/>
    <mergeCell ref="G21:G22"/>
    <mergeCell ref="AU30:AU31"/>
    <mergeCell ref="AV30:AV31"/>
    <mergeCell ref="AW21:AW22"/>
    <mergeCell ref="AW30:AW31"/>
    <mergeCell ref="AX30:AX31"/>
    <mergeCell ref="AX21:AX22"/>
    <mergeCell ref="AU21:AU22"/>
    <mergeCell ref="AV21:AV22"/>
    <mergeCell ref="AS21:AS22"/>
    <mergeCell ref="AE21:AE22"/>
    <mergeCell ref="AF21:AF22"/>
    <mergeCell ref="AH21:AH22"/>
    <mergeCell ref="AI21:AI22"/>
    <mergeCell ref="AJ21:AJ22"/>
    <mergeCell ref="AP21:AP22"/>
    <mergeCell ref="AQ21:AQ22"/>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s>
  <phoneticPr fontId="15" type="noConversion"/>
  <conditionalFormatting sqref="Q24:Q27 Q33:Q36">
    <cfRule type="cellIs" dxfId="21" priority="32" operator="greaterThan">
      <formula>F24</formula>
    </cfRule>
  </conditionalFormatting>
  <conditionalFormatting sqref="Q24:Q27 Q33:Q36">
    <cfRule type="cellIs" dxfId="20" priority="31" operator="lessThan">
      <formula>F24</formula>
    </cfRule>
  </conditionalFormatting>
  <conditionalFormatting sqref="N24:N27">
    <cfRule type="cellIs" dxfId="19" priority="13" operator="greaterThan">
      <formula>1</formula>
    </cfRule>
    <cfRule type="cellIs" dxfId="18" priority="14" operator="lessThan">
      <formula>0.9</formula>
    </cfRule>
    <cfRule type="cellIs" dxfId="17" priority="15" operator="greaterThan">
      <formula>0.9</formula>
    </cfRule>
  </conditionalFormatting>
  <conditionalFormatting sqref="N33:N36">
    <cfRule type="cellIs" dxfId="16" priority="10" operator="greaterThan">
      <formula>1</formula>
    </cfRule>
    <cfRule type="cellIs" dxfId="15" priority="11" operator="lessThan">
      <formula>0.9</formula>
    </cfRule>
    <cfRule type="cellIs" dxfId="14" priority="12" operator="greaterThan">
      <formula>0.9</formula>
    </cfRule>
  </conditionalFormatting>
  <conditionalFormatting sqref="O24:O27">
    <cfRule type="cellIs" dxfId="13" priority="4" operator="greaterThan">
      <formula>1</formula>
    </cfRule>
    <cfRule type="cellIs" dxfId="12" priority="5" operator="lessThan">
      <formula>0.9</formula>
    </cfRule>
    <cfRule type="cellIs" dxfId="11" priority="6" operator="greaterThan">
      <formula>0.9</formula>
    </cfRule>
  </conditionalFormatting>
  <conditionalFormatting sqref="O33:O36">
    <cfRule type="cellIs" dxfId="10" priority="1" operator="greaterThan">
      <formula>1</formula>
    </cfRule>
    <cfRule type="cellIs" dxfId="9" priority="2" operator="lessThan">
      <formula>0.9</formula>
    </cfRule>
    <cfRule type="cellIs" dxfId="8"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85"/>
  <sheetViews>
    <sheetView topLeftCell="A4"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9" t="s">
        <v>562</v>
      </c>
      <c r="Q1" s="215"/>
      <c r="R1" s="215"/>
      <c r="S1" s="215"/>
      <c r="T1" s="216"/>
      <c r="U1" s="217" t="s">
        <v>563</v>
      </c>
      <c r="V1" s="217"/>
      <c r="W1" s="217"/>
      <c r="X1" s="217"/>
      <c r="Y1" s="217"/>
      <c r="Z1" s="218"/>
      <c r="AA1" s="209" t="s">
        <v>565</v>
      </c>
      <c r="AB1" s="217"/>
      <c r="AC1" s="217"/>
      <c r="AD1" s="217"/>
    </row>
    <row r="2" spans="3:32">
      <c r="P2" s="32" t="s">
        <v>137</v>
      </c>
      <c r="Q2" s="218"/>
      <c r="R2" s="210">
        <f>Control!$F$8</f>
        <v>-45.43</v>
      </c>
      <c r="S2" s="32" t="str">
        <f>"m"&amp;Control!$F$7</f>
        <v>mLAT</v>
      </c>
      <c r="T2" s="218"/>
      <c r="U2" s="32" t="s">
        <v>92</v>
      </c>
      <c r="V2" s="218"/>
      <c r="W2" s="210">
        <v>210000000</v>
      </c>
      <c r="X2" s="32" t="s">
        <v>93</v>
      </c>
      <c r="Y2" s="218"/>
      <c r="Z2" s="198"/>
      <c r="AA2" s="32" t="s">
        <v>566</v>
      </c>
      <c r="AB2" s="218"/>
      <c r="AC2" s="205" t="str">
        <f>Control!$F$31</f>
        <v>C</v>
      </c>
      <c r="AD2" s="218"/>
    </row>
    <row r="3" spans="3:32">
      <c r="C3" s="35" t="s">
        <v>445</v>
      </c>
      <c r="P3" s="32" t="s">
        <v>542</v>
      </c>
      <c r="Q3" s="218"/>
      <c r="R3" s="219">
        <f>MAX(R2-MIN(E6:E28),0)</f>
        <v>37.32</v>
      </c>
      <c r="S3" s="32" t="str">
        <f>"m"&amp;Control!$F$7</f>
        <v>mLAT</v>
      </c>
      <c r="T3" s="218"/>
      <c r="U3" s="32" t="s">
        <v>143</v>
      </c>
      <c r="V3" s="32"/>
      <c r="W3" s="210">
        <f>Control!$F$11</f>
        <v>1.0249999999999999</v>
      </c>
      <c r="X3" s="32" t="s">
        <v>144</v>
      </c>
      <c r="Y3" s="218"/>
      <c r="Z3" s="218"/>
      <c r="AA3" s="32" t="s">
        <v>568</v>
      </c>
      <c r="AB3" s="218"/>
      <c r="AC3" s="218"/>
      <c r="AD3" s="218"/>
    </row>
    <row r="4" spans="3:32">
      <c r="C4" s="326" t="s">
        <v>0</v>
      </c>
      <c r="D4" s="12" t="s">
        <v>1</v>
      </c>
      <c r="E4" s="12" t="s">
        <v>2</v>
      </c>
      <c r="F4" s="12" t="s">
        <v>104</v>
      </c>
      <c r="G4" s="12" t="s">
        <v>103</v>
      </c>
      <c r="H4" s="12" t="s">
        <v>5</v>
      </c>
      <c r="I4" s="12" t="s">
        <v>6</v>
      </c>
      <c r="J4" s="12" t="s">
        <v>7</v>
      </c>
      <c r="K4" s="12" t="s">
        <v>8</v>
      </c>
      <c r="L4" s="20"/>
      <c r="P4" s="32" t="s">
        <v>199</v>
      </c>
      <c r="Q4" s="32"/>
      <c r="R4" s="210">
        <f>MIN(SUM(I6:I28),D6-R2+R3*Control!F32)</f>
        <v>75.91</v>
      </c>
      <c r="S4" s="32" t="s">
        <v>91</v>
      </c>
      <c r="T4" s="218"/>
      <c r="U4" s="217" t="s">
        <v>564</v>
      </c>
      <c r="V4" s="217"/>
      <c r="W4" s="217"/>
      <c r="X4" s="217"/>
      <c r="Y4" s="217"/>
      <c r="Z4" s="218"/>
      <c r="AA4" s="218"/>
      <c r="AB4" s="218" t="s">
        <v>567</v>
      </c>
      <c r="AC4" s="210">
        <f>IF(AC2="A",40,IF(AC2="B",25,16))</f>
        <v>16</v>
      </c>
      <c r="AD4" s="218"/>
    </row>
    <row r="5" spans="3:32">
      <c r="C5" s="327"/>
      <c r="D5" s="12" t="str">
        <f>"[m"&amp;Control!$F$7&amp;"]"</f>
        <v>[mLAT]</v>
      </c>
      <c r="E5" s="12" t="str">
        <f>"[m"&amp;Control!$F$7&amp;"]"</f>
        <v>[mLAT]</v>
      </c>
      <c r="F5" s="12" t="s">
        <v>9</v>
      </c>
      <c r="G5" s="12" t="s">
        <v>9</v>
      </c>
      <c r="H5" s="12" t="s">
        <v>10</v>
      </c>
      <c r="I5" s="12" t="s">
        <v>9</v>
      </c>
      <c r="J5" s="12" t="s">
        <v>11</v>
      </c>
      <c r="K5" s="12" t="s">
        <v>12</v>
      </c>
      <c r="L5" s="20"/>
      <c r="P5" s="199" t="s">
        <v>521</v>
      </c>
      <c r="Q5" s="215"/>
      <c r="R5" s="215"/>
      <c r="S5" s="199"/>
      <c r="T5" s="218"/>
      <c r="U5" s="32" t="s">
        <v>139</v>
      </c>
      <c r="V5" s="32"/>
      <c r="W5" s="205">
        <f>Control!$F$35</f>
        <v>3.8</v>
      </c>
      <c r="X5" s="32" t="str">
        <f>"m"&amp;Control!$F$7</f>
        <v>mLAT</v>
      </c>
      <c r="Y5" s="218"/>
      <c r="Z5" s="218"/>
      <c r="AA5" s="32"/>
      <c r="AB5" s="204" t="s">
        <v>569</v>
      </c>
      <c r="AC5" s="210">
        <f>IF(AC2="A",0.75,IF(AC2="B",0.65,0.5))</f>
        <v>0.5</v>
      </c>
      <c r="AD5" s="32"/>
      <c r="AE5" s="32"/>
    </row>
    <row r="6" spans="3:32">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570</v>
      </c>
      <c r="AC6" s="210">
        <f>IF(AC2="A",0.75,IF(AC2="B",0.65,0.5))</f>
        <v>0.5</v>
      </c>
      <c r="AD6" s="218"/>
    </row>
    <row r="7" spans="3:32">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614</v>
      </c>
      <c r="AC7">
        <v>3</v>
      </c>
    </row>
    <row r="8" spans="3:32">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P8" s="32" t="str">
        <f>Control!$E$18</f>
        <v>Internal upper limit</v>
      </c>
      <c r="Q8" s="218"/>
      <c r="R8" s="205">
        <f>Control!$F$18</f>
        <v>3</v>
      </c>
      <c r="S8" s="32" t="str">
        <f>"m"&amp;Control!$F$7</f>
        <v>mLAT</v>
      </c>
      <c r="T8" s="32"/>
      <c r="U8" s="209" t="s">
        <v>525</v>
      </c>
      <c r="V8" s="217"/>
      <c r="W8" s="217"/>
      <c r="X8" s="217"/>
      <c r="Y8" s="209"/>
      <c r="Z8" s="32"/>
      <c r="AA8" s="206" t="s">
        <v>523</v>
      </c>
      <c r="AB8" s="217"/>
      <c r="AC8" s="217"/>
      <c r="AD8" s="217"/>
    </row>
    <row r="9" spans="3:32">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571</v>
      </c>
    </row>
    <row r="10" spans="3:32">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571</v>
      </c>
    </row>
    <row r="11" spans="3:32">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c r="P14" s="200" t="s">
        <v>581</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c r="T15" s="32"/>
      <c r="U15" s="218"/>
      <c r="V15" s="218"/>
      <c r="W15" s="218"/>
      <c r="X15" s="218"/>
      <c r="Y15" s="218"/>
      <c r="Z15" s="32"/>
      <c r="AA15" s="32"/>
      <c r="AB15" s="32"/>
      <c r="AC15" s="218"/>
      <c r="AD15" s="218"/>
    </row>
    <row r="16" spans="3:32">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row>
    <row r="17" spans="3:50">
      <c r="C17" s="12">
        <v>12</v>
      </c>
      <c r="D17" s="44">
        <f>Geometry!D37</f>
        <v>-36.799999999999997</v>
      </c>
      <c r="E17" s="44">
        <f>Geometry!E37</f>
        <v>-40.200000000000003</v>
      </c>
      <c r="F17" s="44">
        <f>Geometry!F37</f>
        <v>9.8000000000000007</v>
      </c>
      <c r="G17" s="44">
        <f>Geometry!G37</f>
        <v>9.8000000000000007</v>
      </c>
      <c r="H17" s="44">
        <f>Geometry!H37</f>
        <v>92</v>
      </c>
      <c r="I17" s="56">
        <f t="shared" si="0"/>
        <v>3.4000000000000057</v>
      </c>
      <c r="J17" s="57">
        <f t="shared" si="1"/>
        <v>0</v>
      </c>
      <c r="K17" s="58">
        <f t="shared" si="2"/>
        <v>74.88865685508793</v>
      </c>
      <c r="W17" s="32"/>
      <c r="X17" s="32"/>
    </row>
    <row r="18" spans="3:50">
      <c r="C18" s="12">
        <v>13</v>
      </c>
      <c r="D18" s="44">
        <f>Geometry!D38</f>
        <v>-40.200000000000003</v>
      </c>
      <c r="E18" s="44">
        <f>Geometry!E38</f>
        <v>-43.8</v>
      </c>
      <c r="F18" s="44">
        <f>Geometry!F38</f>
        <v>9.8000000000000007</v>
      </c>
      <c r="G18" s="44">
        <f>Geometry!G38</f>
        <v>9.8000000000000007</v>
      </c>
      <c r="H18" s="44">
        <f>Geometry!H38</f>
        <v>101</v>
      </c>
      <c r="I18" s="56">
        <f t="shared" si="0"/>
        <v>3.5999999999999943</v>
      </c>
      <c r="J18" s="57">
        <f t="shared" si="1"/>
        <v>0</v>
      </c>
      <c r="K18" s="58">
        <f t="shared" si="2"/>
        <v>86.970178877873934</v>
      </c>
      <c r="W18" s="32"/>
      <c r="X18" s="32"/>
    </row>
    <row r="19" spans="3:50">
      <c r="C19" s="12">
        <v>14</v>
      </c>
      <c r="D19" s="44">
        <f>Geometry!D39</f>
        <v>-43.8</v>
      </c>
      <c r="E19" s="44">
        <f>Geometry!E39</f>
        <v>-47.8</v>
      </c>
      <c r="F19" s="44">
        <f>Geometry!F39</f>
        <v>9.8000000000000007</v>
      </c>
      <c r="G19" s="44">
        <f>Geometry!G39</f>
        <v>9.8000000000000007</v>
      </c>
      <c r="H19" s="44">
        <f>Geometry!H39</f>
        <v>92</v>
      </c>
      <c r="I19" s="56">
        <f t="shared" si="0"/>
        <v>4</v>
      </c>
      <c r="J19" s="57">
        <f t="shared" si="1"/>
        <v>0</v>
      </c>
      <c r="K19" s="58">
        <f t="shared" si="2"/>
        <v>88.104302182456252</v>
      </c>
      <c r="W19" s="32"/>
      <c r="X19" s="32"/>
      <c r="Y19" s="32"/>
      <c r="Z19" s="32"/>
      <c r="AA19" s="32"/>
      <c r="AB19" s="32"/>
    </row>
    <row r="20" spans="3:50">
      <c r="C20" s="12">
        <v>15</v>
      </c>
      <c r="D20" s="44">
        <f>Geometry!D40</f>
        <v>-47.8</v>
      </c>
      <c r="E20" s="44">
        <f>Geometry!E40</f>
        <v>-51.8</v>
      </c>
      <c r="F20" s="44">
        <f>Geometry!F40</f>
        <v>9.8000000000000007</v>
      </c>
      <c r="G20" s="44">
        <f>Geometry!G40</f>
        <v>9.8000000000000007</v>
      </c>
      <c r="H20" s="44">
        <f>Geometry!H40</f>
        <v>90</v>
      </c>
      <c r="I20" s="56">
        <f t="shared" si="0"/>
        <v>4</v>
      </c>
      <c r="J20" s="57">
        <f t="shared" si="1"/>
        <v>0</v>
      </c>
      <c r="K20" s="58">
        <f t="shared" si="2"/>
        <v>86.206747547124479</v>
      </c>
      <c r="W20" s="32"/>
      <c r="X20" s="32"/>
      <c r="Y20" s="32"/>
      <c r="Z20" s="32"/>
      <c r="AA20" s="32"/>
      <c r="AB20" s="32"/>
    </row>
    <row r="21" spans="3:50">
      <c r="C21" s="12">
        <v>16</v>
      </c>
      <c r="D21" s="44">
        <f>Geometry!D41</f>
        <v>-51.8</v>
      </c>
      <c r="E21" s="44">
        <f>Geometry!E41</f>
        <v>-55.8</v>
      </c>
      <c r="F21" s="44">
        <f>Geometry!F41</f>
        <v>9.8000000000000007</v>
      </c>
      <c r="G21" s="44">
        <f>Geometry!G41</f>
        <v>9.8000000000000007</v>
      </c>
      <c r="H21" s="44">
        <f>Geometry!H41</f>
        <v>80</v>
      </c>
      <c r="I21" s="56">
        <f t="shared" si="0"/>
        <v>4</v>
      </c>
      <c r="J21" s="57">
        <f t="shared" si="1"/>
        <v>0</v>
      </c>
      <c r="K21" s="58">
        <f t="shared" si="2"/>
        <v>76.707136849346995</v>
      </c>
      <c r="W21" s="32"/>
      <c r="X21" s="32"/>
      <c r="Y21" s="32"/>
      <c r="Z21" s="32"/>
      <c r="AA21" s="32"/>
      <c r="AB21" s="32"/>
    </row>
    <row r="22" spans="3:50">
      <c r="C22" s="12">
        <v>17</v>
      </c>
      <c r="D22" s="44">
        <f>Geometry!D42</f>
        <v>-55.8</v>
      </c>
      <c r="E22" s="44">
        <f>Geometry!E42</f>
        <v>-59.8</v>
      </c>
      <c r="F22" s="44">
        <f>Geometry!F42</f>
        <v>9.8000000000000007</v>
      </c>
      <c r="G22" s="44">
        <f>Geometry!G42</f>
        <v>9.8000000000000007</v>
      </c>
      <c r="H22" s="44">
        <f>Geometry!H42</f>
        <v>80</v>
      </c>
      <c r="I22" s="56">
        <f t="shared" si="0"/>
        <v>4</v>
      </c>
      <c r="J22" s="57">
        <f t="shared" si="1"/>
        <v>0</v>
      </c>
      <c r="K22" s="58">
        <f t="shared" si="2"/>
        <v>76.707136849346995</v>
      </c>
      <c r="W22" s="32"/>
      <c r="X22" s="32"/>
      <c r="Y22" s="32"/>
      <c r="Z22" s="32"/>
      <c r="AA22" s="32"/>
      <c r="AB22" s="32"/>
    </row>
    <row r="23" spans="3:50">
      <c r="C23" s="12">
        <v>18</v>
      </c>
      <c r="D23" s="44">
        <f>Geometry!D43</f>
        <v>-59.8</v>
      </c>
      <c r="E23" s="44">
        <f>Geometry!E43</f>
        <v>-63.8</v>
      </c>
      <c r="F23" s="44">
        <f>Geometry!F43</f>
        <v>9.8000000000000007</v>
      </c>
      <c r="G23" s="44">
        <f>Geometry!G43</f>
        <v>9.8000000000000007</v>
      </c>
      <c r="H23" s="44">
        <f>Geometry!H43</f>
        <v>80</v>
      </c>
      <c r="I23" s="56">
        <f t="shared" si="0"/>
        <v>4</v>
      </c>
      <c r="J23" s="57">
        <f t="shared" si="1"/>
        <v>0</v>
      </c>
      <c r="K23" s="58">
        <f t="shared" si="2"/>
        <v>76.707136849346995</v>
      </c>
      <c r="W23" s="32"/>
      <c r="X23" s="32"/>
      <c r="Y23" s="32"/>
      <c r="Z23" s="32"/>
      <c r="AA23" s="32"/>
      <c r="AB23" s="32"/>
    </row>
    <row r="24" spans="3:50">
      <c r="C24" s="12">
        <v>19</v>
      </c>
      <c r="D24" s="44">
        <f>Geometry!D44</f>
        <v>-63.8</v>
      </c>
      <c r="E24" s="44">
        <f>Geometry!E44</f>
        <v>-67.8</v>
      </c>
      <c r="F24" s="44">
        <f>Geometry!F44</f>
        <v>9.8000000000000007</v>
      </c>
      <c r="G24" s="44">
        <f>Geometry!G44</f>
        <v>9.8000000000000007</v>
      </c>
      <c r="H24" s="44">
        <f>Geometry!H44</f>
        <v>80</v>
      </c>
      <c r="I24" s="56">
        <f t="shared" si="0"/>
        <v>4</v>
      </c>
      <c r="J24" s="57">
        <f t="shared" si="1"/>
        <v>0</v>
      </c>
      <c r="K24" s="58">
        <f t="shared" si="2"/>
        <v>76.707136849346995</v>
      </c>
      <c r="W24" s="32"/>
      <c r="X24" s="32"/>
      <c r="Y24" s="32"/>
      <c r="Z24" s="32"/>
      <c r="AA24" s="32"/>
      <c r="AB24" s="32"/>
    </row>
    <row r="25" spans="3:50">
      <c r="C25" s="12">
        <v>20</v>
      </c>
      <c r="D25" s="44">
        <f>Geometry!D45</f>
        <v>-67.8</v>
      </c>
      <c r="E25" s="44">
        <f>Geometry!E45</f>
        <v>-71.8</v>
      </c>
      <c r="F25" s="44">
        <f>Geometry!F45</f>
        <v>9.8000000000000007</v>
      </c>
      <c r="G25" s="44">
        <f>Geometry!G45</f>
        <v>9.8000000000000007</v>
      </c>
      <c r="H25" s="44">
        <f>Geometry!H45</f>
        <v>80</v>
      </c>
      <c r="I25" s="56">
        <f t="shared" si="0"/>
        <v>4</v>
      </c>
      <c r="J25" s="57">
        <f t="shared" si="1"/>
        <v>0</v>
      </c>
      <c r="K25" s="58">
        <f t="shared" si="2"/>
        <v>76.707136849346995</v>
      </c>
      <c r="W25" s="32"/>
      <c r="X25" s="32"/>
      <c r="Y25" s="32"/>
      <c r="Z25" s="32"/>
      <c r="AA25" s="32"/>
      <c r="AB25" s="32"/>
    </row>
    <row r="26" spans="3:50">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c r="W26" s="32"/>
      <c r="X26" s="32"/>
      <c r="Y26" s="32"/>
      <c r="Z26" s="32"/>
      <c r="AA26" s="32"/>
      <c r="AB26" s="32"/>
    </row>
    <row r="27" spans="3:50">
      <c r="C27" s="12">
        <v>22</v>
      </c>
      <c r="D27" s="44">
        <f>Geometry!D47</f>
        <v>-75.8</v>
      </c>
      <c r="E27" s="44">
        <f>Geometry!E47</f>
        <v>-79.75</v>
      </c>
      <c r="F27" s="44">
        <f>Geometry!F47</f>
        <v>9.8000000000000007</v>
      </c>
      <c r="G27" s="44">
        <f>Geometry!G47</f>
        <v>9.8000000000000007</v>
      </c>
      <c r="H27" s="44">
        <f>Geometry!H47</f>
        <v>95</v>
      </c>
      <c r="I27" s="56">
        <f t="shared" si="0"/>
        <v>3.9500000000000028</v>
      </c>
      <c r="J27" s="57">
        <f t="shared" si="1"/>
        <v>0</v>
      </c>
      <c r="K27" s="58">
        <f t="shared" si="2"/>
        <v>89.81229001474793</v>
      </c>
      <c r="W27" s="32"/>
      <c r="X27" s="32"/>
      <c r="Y27" s="32"/>
      <c r="Z27" s="32"/>
      <c r="AA27" s="32"/>
      <c r="AB27" s="32"/>
    </row>
    <row r="28" spans="3:50">
      <c r="C28" s="12">
        <v>23</v>
      </c>
      <c r="D28" s="44">
        <f>Geometry!D48</f>
        <v>-79.75</v>
      </c>
      <c r="E28" s="44">
        <f>Geometry!E48</f>
        <v>-82.75</v>
      </c>
      <c r="F28" s="44">
        <f>Geometry!F48</f>
        <v>9.8000000000000007</v>
      </c>
      <c r="G28" s="44">
        <f>Geometry!G48</f>
        <v>9.8000000000000007</v>
      </c>
      <c r="H28" s="44">
        <f>Geometry!H48</f>
        <v>105</v>
      </c>
      <c r="I28" s="56">
        <f t="shared" si="0"/>
        <v>3</v>
      </c>
      <c r="J28" s="57">
        <f t="shared" si="1"/>
        <v>0</v>
      </c>
      <c r="K28" s="58">
        <f t="shared" si="2"/>
        <v>75.314378505222052</v>
      </c>
      <c r="W28" s="32"/>
      <c r="X28" s="32"/>
      <c r="Y28" s="32"/>
      <c r="Z28" s="32"/>
      <c r="AA28" s="32"/>
      <c r="AB28" s="32"/>
    </row>
    <row r="29" spans="3:50">
      <c r="W29" s="32"/>
      <c r="X29" s="32"/>
      <c r="Y29" s="32"/>
      <c r="Z29" s="32"/>
      <c r="AA29" s="32"/>
      <c r="AB29" s="32"/>
    </row>
    <row r="30" spans="3:50">
      <c r="W30" s="32"/>
      <c r="X30" s="32"/>
      <c r="Y30" s="32"/>
      <c r="Z30" s="32"/>
      <c r="AA30" s="32"/>
      <c r="AB30" s="32"/>
    </row>
    <row r="31" spans="3:50">
      <c r="C31" s="35" t="s">
        <v>224</v>
      </c>
      <c r="I31" s="19"/>
      <c r="J31" s="19"/>
      <c r="N31" s="19"/>
    </row>
    <row r="32" spans="3:50" ht="15" customHeight="1">
      <c r="C32" s="323" t="s">
        <v>225</v>
      </c>
      <c r="D32" s="323" t="s">
        <v>53</v>
      </c>
      <c r="E32" s="323" t="s">
        <v>105</v>
      </c>
      <c r="F32" s="323" t="s">
        <v>101</v>
      </c>
      <c r="G32" s="330" t="s">
        <v>547</v>
      </c>
      <c r="H32" s="333" t="s">
        <v>548</v>
      </c>
      <c r="I32" s="330" t="s">
        <v>549</v>
      </c>
      <c r="J32" s="323" t="s">
        <v>100</v>
      </c>
      <c r="K32" s="330" t="s">
        <v>94</v>
      </c>
      <c r="L32" s="330" t="s">
        <v>550</v>
      </c>
      <c r="M32" s="333" t="s">
        <v>551</v>
      </c>
      <c r="N32" s="323" t="s">
        <v>106</v>
      </c>
      <c r="O32" s="323" t="s">
        <v>107</v>
      </c>
      <c r="P32" s="323" t="s">
        <v>136</v>
      </c>
      <c r="Q32" s="323" t="s">
        <v>290</v>
      </c>
      <c r="R32" s="323" t="s">
        <v>108</v>
      </c>
      <c r="T32" s="323" t="s">
        <v>73</v>
      </c>
      <c r="U32" s="323" t="s">
        <v>78</v>
      </c>
      <c r="V32" s="323" t="s">
        <v>79</v>
      </c>
      <c r="W32" s="323" t="s">
        <v>80</v>
      </c>
      <c r="X32" s="323" t="s">
        <v>84</v>
      </c>
      <c r="Y32" s="323" t="s">
        <v>85</v>
      </c>
      <c r="Z32" s="323" t="s">
        <v>86</v>
      </c>
      <c r="AA32" s="323" t="s">
        <v>87</v>
      </c>
      <c r="AB32" s="323" t="s">
        <v>578</v>
      </c>
      <c r="AC32" s="323" t="s">
        <v>552</v>
      </c>
      <c r="AD32" s="323" t="s">
        <v>553</v>
      </c>
      <c r="AE32" s="328" t="s">
        <v>555</v>
      </c>
      <c r="AF32" s="323" t="s">
        <v>554</v>
      </c>
      <c r="AG32" s="328" t="s">
        <v>556</v>
      </c>
      <c r="AH32" s="328" t="s">
        <v>557</v>
      </c>
      <c r="AI32" s="323" t="s">
        <v>560</v>
      </c>
      <c r="AJ32" s="328" t="s">
        <v>561</v>
      </c>
      <c r="AK32" s="328" t="s">
        <v>558</v>
      </c>
      <c r="AL32" s="328" t="s">
        <v>559</v>
      </c>
      <c r="AM32" s="323" t="s">
        <v>97</v>
      </c>
      <c r="AN32" s="323" t="s">
        <v>205</v>
      </c>
      <c r="AO32" s="323" t="s">
        <v>206</v>
      </c>
      <c r="AP32" s="323" t="s">
        <v>572</v>
      </c>
      <c r="AQ32" s="323" t="s">
        <v>573</v>
      </c>
      <c r="AR32" s="323" t="s">
        <v>574</v>
      </c>
      <c r="AS32" s="323" t="s">
        <v>575</v>
      </c>
      <c r="AT32" s="323" t="s">
        <v>576</v>
      </c>
      <c r="AU32" s="323" t="s">
        <v>147</v>
      </c>
      <c r="AV32" s="323" t="s">
        <v>145</v>
      </c>
      <c r="AW32" s="323" t="s">
        <v>146</v>
      </c>
      <c r="AX32" s="323" t="s">
        <v>577</v>
      </c>
    </row>
    <row r="33" spans="3:50" ht="18.75" customHeight="1">
      <c r="C33" s="324">
        <v>0</v>
      </c>
      <c r="D33" s="324">
        <v>0</v>
      </c>
      <c r="E33" s="324"/>
      <c r="F33" s="324"/>
      <c r="G33" s="324"/>
      <c r="H33" s="315"/>
      <c r="I33" s="324"/>
      <c r="J33" s="324"/>
      <c r="K33" s="324"/>
      <c r="L33" s="324"/>
      <c r="M33" s="315"/>
      <c r="N33" s="324"/>
      <c r="O33" s="324"/>
      <c r="P33" s="324"/>
      <c r="Q33" s="324"/>
      <c r="R33" s="324"/>
      <c r="T33" s="324"/>
      <c r="U33" s="324"/>
      <c r="V33" s="324"/>
      <c r="W33" s="324"/>
      <c r="X33" s="324"/>
      <c r="Y33" s="324"/>
      <c r="Z33" s="324"/>
      <c r="AA33" s="324"/>
      <c r="AB33" s="324"/>
      <c r="AC33" s="324"/>
      <c r="AD33" s="324"/>
      <c r="AE33" s="324"/>
      <c r="AF33" s="324"/>
      <c r="AG33" s="324"/>
      <c r="AH33" s="324"/>
      <c r="AI33" s="324"/>
      <c r="AJ33" s="329"/>
      <c r="AK33" s="324"/>
      <c r="AL33" s="324"/>
      <c r="AM33" s="324"/>
      <c r="AN33" s="324"/>
      <c r="AO33" s="324"/>
      <c r="AP33" s="324"/>
      <c r="AQ33" s="324"/>
      <c r="AR33" s="324"/>
      <c r="AS33" s="324"/>
      <c r="AT33" s="324"/>
      <c r="AU33" s="324"/>
      <c r="AV33" s="324"/>
      <c r="AW33" s="324"/>
      <c r="AX33" s="324"/>
    </row>
    <row r="34" spans="3:50">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Q34" s="30" t="s">
        <v>10</v>
      </c>
      <c r="R34" s="30" t="s">
        <v>16</v>
      </c>
      <c r="T34" s="34" t="s">
        <v>81</v>
      </c>
      <c r="U34" s="34" t="s">
        <v>82</v>
      </c>
      <c r="V34" s="34" t="s">
        <v>83</v>
      </c>
      <c r="W34" s="34" t="s">
        <v>81</v>
      </c>
      <c r="X34" s="34" t="s">
        <v>88</v>
      </c>
      <c r="Y34" s="34" t="s">
        <v>88</v>
      </c>
      <c r="Z34" s="34" t="s">
        <v>89</v>
      </c>
      <c r="AA34" s="34" t="s">
        <v>90</v>
      </c>
      <c r="AB34" s="34" t="s">
        <v>546</v>
      </c>
      <c r="AC34" s="34" t="s">
        <v>10</v>
      </c>
      <c r="AD34" s="34" t="s">
        <v>16</v>
      </c>
      <c r="AE34" s="34" t="s">
        <v>16</v>
      </c>
      <c r="AF34" s="34" t="s">
        <v>16</v>
      </c>
      <c r="AG34" s="34" t="s">
        <v>16</v>
      </c>
      <c r="AH34" s="34" t="s">
        <v>16</v>
      </c>
      <c r="AI34" s="34" t="s">
        <v>16</v>
      </c>
      <c r="AJ34" s="34" t="s">
        <v>16</v>
      </c>
      <c r="AK34" s="34" t="s">
        <v>16</v>
      </c>
      <c r="AL34" s="34" t="s">
        <v>16</v>
      </c>
      <c r="AM34" s="34" t="s">
        <v>16</v>
      </c>
      <c r="AN34" s="34" t="s">
        <v>11</v>
      </c>
      <c r="AO34" s="34" t="s">
        <v>11</v>
      </c>
      <c r="AP34" s="30" t="s">
        <v>77</v>
      </c>
      <c r="AQ34" s="30" t="s">
        <v>77</v>
      </c>
      <c r="AR34" s="30" t="s">
        <v>77</v>
      </c>
      <c r="AS34" s="34" t="s">
        <v>16</v>
      </c>
      <c r="AT34" s="30" t="s">
        <v>77</v>
      </c>
      <c r="AU34" s="34" t="s">
        <v>16</v>
      </c>
      <c r="AV34" s="34" t="s">
        <v>16</v>
      </c>
      <c r="AW34" s="34" t="s">
        <v>16</v>
      </c>
      <c r="AX34" s="34" t="s">
        <v>16</v>
      </c>
    </row>
    <row r="35" spans="3:50" ht="14.85" customHeight="1">
      <c r="C35" s="12" t="str">
        <f>"Can"&amp;TEXT(C6,"0")</f>
        <v>Can1</v>
      </c>
      <c r="D35" s="2">
        <f>D6</f>
        <v>5.6</v>
      </c>
      <c r="E35" s="43">
        <f>F6</f>
        <v>7.5</v>
      </c>
      <c r="F35" s="120">
        <f>H6</f>
        <v>108</v>
      </c>
      <c r="G35" s="120">
        <f>ABS(T35/(2*PI()*AB35*AC35))+ABS(V35/(PI()*(AB35^2)*AC35))</f>
        <v>140.30965517520434</v>
      </c>
      <c r="H35" s="120">
        <f>ABS(W35/(PI()*AB35*AC35))+ABS(U35/(2*PI()*(AB35^2)*AC35))</f>
        <v>14.753577615884094</v>
      </c>
      <c r="I35" s="120">
        <f>IF(OR(D35&lt;$R$2,D35&gt;$W$6),0,IF(D35&lt;=$W$5,$W$7*AB35/(AC35/1000),$W$7*AB35/(AC35/1000)*($W$6-D35)/($W$6-$W$5)))</f>
        <v>5.619949438383621</v>
      </c>
      <c r="J35" s="120">
        <f>VLOOKUP(R35,'Steel grades'!$B$5:$J$22,IF(F35&gt;200,10,IF(F35&gt;150,9,IF(F35&gt;120,8,IF(F35&gt;100,7,IF(F35&gt;80,6,IF(F35&gt;63,5,IF(F35&gt;40,4,IF(F35&gt;16,3,2)))))))),FALSE)</f>
        <v>295</v>
      </c>
      <c r="K35" s="120">
        <f>AH35*J35/$W$9*AM35</f>
        <v>251.57242725868693</v>
      </c>
      <c r="L35" s="3">
        <f>AK35*J35/$W$9</f>
        <v>23.618236281855452</v>
      </c>
      <c r="M35" s="3">
        <f>AL35*J35/$W$9/SQRT(3)</f>
        <v>122.43422242794924</v>
      </c>
      <c r="N35" s="3">
        <f>MAX(G35/K35,H35/M35,I35/L35,(G35/K35)^(1.25+0.75*AH35)-(AH35*AK35)^2*(G35/K35)*(I35/L35)+(I35/L35)^(1.25+0.75*AK35)+(H35/M35)^(1.75+0.25*AL35),AS35,AX35)</f>
        <v>0.55773065714760028</v>
      </c>
      <c r="O35" s="3">
        <f>MAX(SQRT(G35^2+I35^2-IF(G35&gt;0,-G35,G35)*I35+3*H35^2)/(J35/$W$10),AU35)</f>
        <v>0.49309999687768391</v>
      </c>
      <c r="P35" s="3">
        <f>(ABS(Geometry_loads!S18)/Z35+ABS(Geometry_loads!T18)/AA35)/(1000*J35)</f>
        <v>0.36217271319334521</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Geometry!M26</f>
        <v>S355 NL/ML</v>
      </c>
      <c r="T35" s="3">
        <f>Geometry_loads!L18</f>
        <v>-27386.059736842104</v>
      </c>
      <c r="U35" s="3">
        <f>Geometry_loads!M18</f>
        <v>-46345.049473684208</v>
      </c>
      <c r="V35" s="3">
        <f>Geometry_loads!N18</f>
        <v>577442.81842105277</v>
      </c>
      <c r="W35" s="3">
        <f>Geometry_loads!O18</f>
        <v>11603.23105263158</v>
      </c>
      <c r="X35" s="3">
        <f t="shared" ref="X35" si="3">IF(OR(D35&gt;=$R$6,D35&lt;=$R$7),0,$AC$9*$AC$11)</f>
        <v>3.5999999999999996</v>
      </c>
      <c r="Y35" s="3">
        <f t="shared" ref="Y35" si="4">IF(OR(D35&gt;=$R$8,D35&lt;=$R$9),0,$AC$10*$AC$11)</f>
        <v>0</v>
      </c>
      <c r="Z35" s="18">
        <f>PI()/4*((E35-2*X35/1000)^2-((E35-2*X35/1000)-2*(F35-X35-Y35)/1000)^2)</f>
        <v>2.4232642260901303</v>
      </c>
      <c r="AA35" s="224">
        <f>PI()/32*((E35-2*X35/1000)^4-((E35-2*X35/1000)-2*(F35-X35-Y35)/1000)^4)/(E35-2*X35/1000)</f>
        <v>4.4145266496493258</v>
      </c>
      <c r="AB35" s="224">
        <f>(0.5*E35-(X35/1000))-(0.5*(AC35/1000))</f>
        <v>3.6941999999999999</v>
      </c>
      <c r="AC35" s="120">
        <f>F35-X35-Y35</f>
        <v>104.4</v>
      </c>
      <c r="AD35" s="224">
        <f>$R$4/SQRT(AB35*AC35/1000)</f>
        <v>122.23301947578862</v>
      </c>
      <c r="AE35" s="224">
        <f>(J35/((0.605*$W$2*IF(AD35&gt;0.5*(AB35)/(AC35/1000),MAX(0.6,1+0.2/$AC$7*(1-2*AD35*(AC35/1000)/(AB35))),IF(AD35&lt;=1.7,1.36-(1.83/AD35)+(2.07/AD35^2),1)))*((AC35/1000)/(AB35)/1000)))^0.5</f>
        <v>0.36818588347422093</v>
      </c>
      <c r="AF35" s="224">
        <f>0.62/(1+1.91*((((AB35)/(AC35/1000))^0.5*(AC35/1000)/$AC$4)/(AC35/1000))^1.44)</f>
        <v>0.42481366719080393</v>
      </c>
      <c r="AG35" s="224">
        <f>IF(AND((AB35)/(AC35/1000)&lt;=150,AD35&lt;=6*(AB35)/(AC35/1000),$W$2/(J35*1000)&lt;=1000,500&lt;=$W$2/(J35*1000)),0.2+0.1*(ABS(V35/(PI()*(AB35^2)*AC35))/G35),0.2)</f>
        <v>0.2919454510938792</v>
      </c>
      <c r="AH35" s="224">
        <f>IF(AE35&lt;=AG35,1,IF(AE35&gt;=(AF35/(1-0.6))^0.5,AF35/(AE35^2),1-0.6*((AE35-(AG35))/((AF35/(1-0.6))^0.5-AG35))))</f>
        <v>0.93806667791374787</v>
      </c>
      <c r="AI35" s="224">
        <f>IF(AD35/1.25&gt;1.63*((AB35)/(AC35/1000)),$W$2/1000*(AC35/(AB35*1000))^2*(0.275+2.03*(1.25/AD35*AB35*1000/AC35)^4),IF(AD35/1.25&lt;20,0.92*$W$2/1000*((1.25+(8/AD35^2)-(4/AD35^3))/AD35)*((AC35/1000)/(AB35)),0.92*$W$2/1000*(1.25/AD35)*((AC35/1000)/(AB35))))</f>
        <v>51.960119820081992</v>
      </c>
      <c r="AJ35" s="224">
        <f>SQRT(J35/AI35)</f>
        <v>2.3827360524501047</v>
      </c>
      <c r="AK35" s="224">
        <f>IF(AJ35&lt;0.4,1,IF(AJ35&lt;SQRT($AC$5/(1-0.6)),1-0.6*((AJ35-0.4)/(SQRT($AC$5/(1-0.6))-0.4)^1),$AC$5/AJ35^2))</f>
        <v>8.806799969505423E-2</v>
      </c>
      <c r="AL35" s="224">
        <f>IF(((J35/SQRT(3)/(0.75*$W$2*(IF(AD35&lt;10,SQRT(1+42/(AD35^3)),IF(AD35&gt;8.7*(AB35)/(AC35/1000),(1/3)*SQRT(AD35*(AC35/1000)/(AB35)),1)))*(1/AD35)^0.5*((AC35/1000)/(AB35))/1000))^0.5)&lt;=0.4,1,IF(((J35/SQRT(3)/(0.75*$W$2*(IF(AD35&lt;10,SQRT(1+42/(AD35^3)),IF(AD35&gt;8.7*(AB35)/(AC35/1000),(1/3)*SQRT(AD35*(AC35/1000)/(AB35)),1)))*(1/AD35)^0.5*((AC35/1000)/(AB35))/1000))^0.5)&gt;=($AC$6/(1-0.6))^0.5,$AC$6/(((J35/SQRT(3)/(0.75*$W$2*(IF(AD35&lt;10,SQRT(1+42/(AD35^3)),IF(AD35&gt;8.7*(AB35)/(AC35/1000),(1/3)*SQRT(AD35*(AC35/1000)/(AB35)),1)))*(1/AD35)^0.5*((AC35/1000)/(AB35))/1000))^0.5)^2),1-0.6*((((J35/SQRT(3)/(0.75*$W$2*(IF(AD35&lt;10,SQRT(1+42/(AD35^3)),IF(AD35&gt;8.7*(AB35)/(AC35/1000),(1/3)*SQRT(AD35*(AC35/1000)/(AB35)),1)))*(1/AD35)^0.5*((AC35/1000)/(AB35))/1000))^0.5)-(0.4))/(($AC$6/(1-0.6))^0.5-0.4))))</f>
        <v>0.79074075665571775</v>
      </c>
      <c r="AM35" s="224">
        <f>IF(_xlfn.MINIFS(Geometry!$AJ$26:$AJ$32,Geometry!$AI$26:$AI$32,"o",Geometry!$AK$26:$AK$32,C6)&lt;=0,1,_xlfn.MINIFS(Geometry!$AJ$26:$AJ$32,Geometry!$AI$26:$AI$32,"o",Geometry!$AK$26:$AK$32,C6))</f>
        <v>1</v>
      </c>
      <c r="AN35" s="224">
        <f>IF(NOT(ISNUMBER(D34)),0,ABS(J5-J6))</f>
        <v>0</v>
      </c>
      <c r="AO35" s="224">
        <f>MAX(AN35,J6)</f>
        <v>0</v>
      </c>
      <c r="AP35" s="224">
        <f>((ABS(T35/(PI()*((E35-2*X35/1000)-((AC35))/1000*COS(AO35*PI()/180))*(AC35)/1000))/1000)+ABS((4*V35)/(PI()*((E35-X35/1000)-((F35-X35-Y35)/1000)*COS(AO35*PI()/180))^2*((AC35)/1000))/1000))/COS(AO35*PI()/180)</f>
        <v>140.18402829435109</v>
      </c>
      <c r="AQ35" s="224">
        <f>((0.6*(F35-X35-Y35)*((E35*1000-2*X35)*(2*(AC35)))^0.5)/((AC35)^2))*(G35*TAN(AN35*PI()/180))</f>
        <v>0</v>
      </c>
      <c r="AR35" s="224">
        <f>IF(AN35=0,0,0.45*((E35*1000-2*X35)/(AC35))^0.5*G35*TAN(AN35*PI()/180)+I35)</f>
        <v>0</v>
      </c>
      <c r="AS35" s="224">
        <f>IF(AO35=0,0,1.18*AP35/IF(J35/(2*0.3*$W$2/1000*(AC35)/1000/(E35-2*X35/1000))&lt;=0.17,J35,(1.047-0.274*(J35/(2*0.3*$W$2/1000*(AC35)/1000/(E35-2*X35/1000))))*J35))</f>
        <v>0</v>
      </c>
      <c r="AT35" s="224">
        <f>IF(AN35=0,0,MAX(G35+AQ35,AP35+AQ35))</f>
        <v>0</v>
      </c>
      <c r="AU35" s="224">
        <f>(AT35^2+AR35^2+AR35*AT35)^0.5/(J35/$W$10)</f>
        <v>0</v>
      </c>
      <c r="AV35" s="224">
        <f>1.1*AT35/J35</f>
        <v>0</v>
      </c>
      <c r="AW35" s="224">
        <f>1.25*AR35/IF(0.4*$W$2/1000*(AC35)/1000/(E35-2*X35/1000)/J35&gt;2.44,J35,IF(0.4*$W$2/1000*(AC35)/1000/(E35-2*X35/1000)/J35&lt;=0.55,0.4*$W$2/1000*(AC35)/1000/(E35-2*X35/1000),MIN(0.7*(0.4*$W$2/1000*(AC35)/1000/(E35-2*X35/1000)/J35)^0.4*J35,J35)))</f>
        <v>0</v>
      </c>
      <c r="AX35" s="224">
        <f>MAX(AV35^2+AW35^(2*(5-4*(IF(0.4*$W$2/1000*(AC35)/1000/(E35-2*(X35/1000))/J35&gt;2.44,J35,IF(0.4*$W$2/1000*(AC35)/1000/(E35-2*(X35/1000))/J35&lt;=0.55,0.4*$W$2/1000*(AC35)/1000/(E35-2*(X35/1000)),MIN(0.7*(0.4*$W$2/1000*(AC35)/1000/(E35-2*(X35/1000))/J35)^0.4*J35,J35)))/J35)))+2*0.3*AV35*AW35,AW35,AT35/(IF(J35/(2*0.3*$W$2/1000*(AC35)/1000/(E35-2*(X35/1000)))&lt;=0.17,J35,(1.047-0.274*(J35/(2*0.3*$W$2/1000*(AC35)/1000/(E35-2*(X35/1000)))))*J35)/1.18))</f>
        <v>0</v>
      </c>
    </row>
    <row r="36" spans="3:50" ht="14.85" customHeight="1">
      <c r="C36" s="12" t="str">
        <f t="shared" ref="C36:C57" si="5">"Can"&amp;TEXT(C7,"0")</f>
        <v>Can2</v>
      </c>
      <c r="D36" s="2">
        <f t="shared" ref="D36:D57" si="6">D7</f>
        <v>1.6</v>
      </c>
      <c r="E36" s="43">
        <f t="shared" ref="E36:E57" si="7">F7</f>
        <v>7.5</v>
      </c>
      <c r="F36" s="120">
        <f t="shared" ref="F36:F57" si="8">H7</f>
        <v>100</v>
      </c>
      <c r="G36" s="120">
        <f t="shared" ref="G36:G57" si="9">ABS(T36/(2*PI()*AB36*AC36))+ABS(V36/(PI()*(AB36^2)*AC36))</f>
        <v>160.33048346921555</v>
      </c>
      <c r="H36" s="120">
        <f t="shared" ref="H36:H57" si="10">ABS(W36/(PI()*AB36*AC36))+ABS(U36/(2*PI()*(AB36^2)*AC36))</f>
        <v>15.657395750320326</v>
      </c>
      <c r="I36" s="120">
        <f t="shared" ref="I36:I57" si="11">IF(OR(D36&lt;$R$2,D36&gt;$W$6),0,IF(D36&lt;=$W$5,$W$7*AB36/(AC36/1000),$W$7*AB36/(AC36/1000)*($W$6-D36)/($W$6-$W$5)))</f>
        <v>7.1658109343221463</v>
      </c>
      <c r="J36" s="120">
        <f>VLOOKUP(R36,'Steel grades'!$B$5:$J$22,IF(F36&gt;200,10,IF(F36&gt;150,9,IF(F36&gt;120,8,IF(F36&gt;100,7,IF(F36&gt;80,6,IF(F36&gt;63,5,IF(F36&gt;40,4,IF(F36&gt;16,3,2)))))))),FALSE)</f>
        <v>315</v>
      </c>
      <c r="K36" s="120">
        <f t="shared" ref="K36:K57" si="12">AH36*J36/$W$9*AM36</f>
        <v>262.50352084447007</v>
      </c>
      <c r="L36" s="3">
        <f t="shared" ref="L36:L57" si="13">AK36*J36/$W$9</f>
        <v>19.835591351360762</v>
      </c>
      <c r="M36" s="3">
        <f t="shared" ref="M36:M57" si="14">AL36*J36/$W$9/SQRT(3)</f>
        <v>121.78916590785138</v>
      </c>
      <c r="N36" s="3">
        <f t="shared" ref="N36:N57" si="15">MAX(G36/K36,H36/M36,I36/L36,(G36/K36)^(1.25+0.75*AH36)-(AH36*AK36)^2*(G36/K36)*(I36/L36)+(I36/L36)^(1.25+0.75*AK36)+(H36/M36)^(1.75+0.25*AL36),AS36,AX36)</f>
        <v>0.66839284137990551</v>
      </c>
      <c r="O36" s="3">
        <f t="shared" ref="O36:O57" si="16">MAX(SQRT(G36^2+I36^2-IF(G36&gt;0,-G36,G36)*I36+3*H36^2)/(J36/$W$10),AU36)</f>
        <v>0.52780174508095168</v>
      </c>
      <c r="P36" s="3">
        <f>(ABS(Geometry_loads!S19)/Z36+ABS(Geometry_loads!T19)/AA36)/(1000*J36)</f>
        <v>0.38708747187544396</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Geometry!M27</f>
        <v>S355 NL/ML</v>
      </c>
      <c r="T36" s="3">
        <f>Geometry_loads!L19</f>
        <v>-29625.58</v>
      </c>
      <c r="U36" s="3">
        <f>Geometry_loads!M19</f>
        <v>-46354.1</v>
      </c>
      <c r="V36" s="3">
        <f>Geometry_loads!N19</f>
        <v>597208.5</v>
      </c>
      <c r="W36" s="3">
        <f>Geometry_loads!O19</f>
        <v>10947.41</v>
      </c>
      <c r="X36" s="3">
        <f t="shared" ref="X36:X57" si="17">IF(OR(D36&gt;=$R$6,D36&lt;=$R$7),0,$AC$9*$AC$11)</f>
        <v>3.5999999999999996</v>
      </c>
      <c r="Y36" s="3">
        <f t="shared" ref="Y36:Y57" si="18">IF(OR(D36&gt;=$R$8,D36&lt;=$R$9),0,$AC$10*$AC$11)</f>
        <v>1.7999999999999998</v>
      </c>
      <c r="Z36" s="18">
        <f t="shared" ref="Z36:Z57" si="19">PI()/4*((E36-2*X36/1000)^2-((E36-2*X36/1000)-2*(F36-X36-Y36)/1000)^2)</f>
        <v>2.1987055708219416</v>
      </c>
      <c r="AA36" s="224">
        <f t="shared" ref="AA36:AA57" si="20">PI()/32*((E36-2*X36/1000)^4-((E36-2*X36/1000)-2*(F36-X36-Y36)/1000)^4)/(E36-2*X36/1000)</f>
        <v>4.0159295334706364</v>
      </c>
      <c r="AB36" s="224">
        <f t="shared" ref="AB36:AB57" si="21">(0.5*E36-(X36/1000))-(0.5*(AC36/1000))</f>
        <v>3.6991000000000001</v>
      </c>
      <c r="AC36" s="120">
        <f t="shared" ref="AC36:AC57" si="22">F36-X36-Y36</f>
        <v>94.600000000000009</v>
      </c>
      <c r="AD36" s="224">
        <f t="shared" ref="AD36:AD57" si="23">$R$4/SQRT(AB36*AC36/1000)</f>
        <v>128.32326090457309</v>
      </c>
      <c r="AE36" s="224">
        <f t="shared" ref="AE36:AE57" si="24">(J36/((0.605*$W$2*IF(AD36&gt;0.5*(AB36)/(AC36/1000),MAX(0.6,1+0.2/$AC$7*(1-2*AD36*(AC36/1000)/(AB36))),IF(AD36&lt;=1.7,1.36-(1.83/AD36)+(2.07/AD36^2),1)))*((AC36/1000)/(AB36)/1000)))^0.5</f>
        <v>0.39256250281152671</v>
      </c>
      <c r="AF36" s="224">
        <f t="shared" ref="AF36:AF57" si="25">0.62/(1+1.91*((((AB36)/(AC36/1000))^0.5*(AC36/1000)/$AC$4)/(AC36/1000))^1.44)</f>
        <v>0.41506875192459314</v>
      </c>
      <c r="AG36" s="224">
        <f t="shared" ref="AG36:AG57" si="26">IF(AND((AB36)/(AC36/1000)&lt;=150,AD36&lt;=6*(AB36)/(AC36/1000),$W$2/(J36*1000)&lt;=1000,500&lt;=$W$2/(J36*1000)),0.2+0.1*(ABS(V36/(PI()*(AB36^2)*AC36))/G36),0.2)</f>
        <v>0.29159604568935543</v>
      </c>
      <c r="AH36" s="224">
        <f t="shared" ref="AH36:AH57" si="27">IF(AE36&lt;=AG36,1,IF(AE36&gt;=(AF36/(1-0.6))^0.5,AF36/(AE36^2),1-0.6*((AE36-(AG36))/((AF36/(1-0.6))^0.5-AG36))))</f>
        <v>0.91667896167910179</v>
      </c>
      <c r="AI36" s="224">
        <f t="shared" ref="AI36:AI57" si="28">IF(AD36/1.25&gt;1.63*((AB36)/(AC36/1000)),$W$2/1000*(AC36/(AB36*1000))^2*(0.275+2.03*(1.25/AD36*AB36*1000/AC36)^4),IF(AD36/1.25&lt;20,0.92*$W$2/1000*((1.25+(8/AD36^2)-(4/AD36^3))/AD36)*((AC36/1000)/(AB36)),0.92*$W$2/1000*(1.25/AD36)*((AC36/1000)/(AB36))))</f>
        <v>43.638300972993676</v>
      </c>
      <c r="AJ36" s="224">
        <f t="shared" ref="AJ36:AJ57" si="29">SQRT(J36/AI36)</f>
        <v>2.6867135167775333</v>
      </c>
      <c r="AK36" s="224">
        <f t="shared" ref="AK36:AK57" si="30">IF(AJ36&lt;0.4,1,IF(AJ36&lt;SQRT($AC$5/(1-0.6)),1-0.6*((AJ36-0.4)/(SQRT($AC$5/(1-0.6))-0.4)^1),$AC$5/AJ36^2))</f>
        <v>6.9267144401577274E-2</v>
      </c>
      <c r="AL36" s="224">
        <f t="shared" ref="AL36:AL57" si="31">IF(((J36/SQRT(3)/(0.75*$W$2*(IF(AD36&lt;10,SQRT(1+42/(AD36^3)),IF(AD36&gt;8.7*(AB36)/(AC36/1000),(1/3)*SQRT(AD36*(AC36/1000)/(AB36)),1)))*(1/AD36)^0.5*((AC36/1000)/(AB36))/1000))^0.5)&lt;=0.4,1,IF(((J36/SQRT(3)/(0.75*$W$2*(IF(AD36&lt;10,SQRT(1+42/(AD36^3)),IF(AD36&gt;8.7*(AB36)/(AC36/1000),(1/3)*SQRT(AD36*(AC36/1000)/(AB36)),1)))*(1/AD36)^0.5*((AC36/1000)/(AB36))/1000))^0.5)&gt;=($AC$6/(1-0.6))^0.5,$AC$6/(((J36/SQRT(3)/(0.75*$W$2*(IF(AD36&lt;10,SQRT(1+42/(AD36^3)),IF(AD36&gt;8.7*(AB36)/(AC36/1000),(1/3)*SQRT(AD36*(AC36/1000)/(AB36)),1)))*(1/AD36)^0.5*((AC36/1000)/(AB36))/1000))^0.5)^2),1-0.6*((((J36/SQRT(3)/(0.75*$W$2*(IF(AD36&lt;10,SQRT(1+42/(AD36^3)),IF(AD36&gt;8.7*(AB36)/(AC36/1000),(1/3)*SQRT(AD36*(AC36/1000)/(AB36)),1)))*(1/AD36)^0.5*((AC36/1000)/(AB36))/1000))^0.5)-(0.4))/(($AC$6/(1-0.6))^0.5-0.4))))</f>
        <v>0.73663341422291229</v>
      </c>
      <c r="AM36" s="224">
        <f>IF(_xlfn.MINIFS(Geometry!$AJ$26:$AJ$32,Geometry!$AI$26:$AI$32,"o",Geometry!$AK$26:$AK$32,C7)&lt;=0,1,_xlfn.MINIFS(Geometry!$AJ$26:$AJ$32,Geometry!$AI$26:$AI$32,"o",Geometry!$AK$26:$AK$32,C7))</f>
        <v>1</v>
      </c>
      <c r="AN36" s="224">
        <f t="shared" ref="AN36:AN57" si="32">IF(NOT(ISNUMBER(D35)),0,ABS(J6-J7))</f>
        <v>0</v>
      </c>
      <c r="AO36" s="224">
        <f t="shared" ref="AO36:AO57" si="33">MAX(AN36,J7)</f>
        <v>0</v>
      </c>
      <c r="AP36" s="224">
        <f t="shared" ref="AP36:AP57" si="34">((ABS(T36/(PI()*((E36-2*X36/1000)-((AC36))/1000*COS(AO36*PI()/180))*(AC36)/1000))/1000)+ABS((4*V36)/(PI()*((E36-X36/1000)-((F36-X36-Y36)/1000)*COS(AO36*PI()/180))^2*((AC36)/1000))/1000))/COS(AO36*PI()/180)</f>
        <v>160.18766566513455</v>
      </c>
      <c r="AQ36" s="224">
        <f t="shared" ref="AQ36:AQ57" si="35">((0.6*(F36-X36-Y36)*((E36*1000-2*X36)*(2*(AC36)))^0.5)/((AC36)^2))*(G36*TAN(AN36*PI()/180))</f>
        <v>0</v>
      </c>
      <c r="AR36" s="224">
        <f t="shared" ref="AR36:AR57" si="36">IF(AN36=0,0,0.45*((E36*1000-2*X36)/(AC36))^0.5*G36*TAN(AN36*PI()/180)+I36)</f>
        <v>0</v>
      </c>
      <c r="AS36" s="224">
        <f t="shared" ref="AS36:AS57" si="37">IF(AO36=0,0,1.18*AP36/IF(J36/(2*0.3*$W$2/1000*(AC36)/1000/(E36-2*X36/1000))&lt;=0.17,J36,(1.047-0.274*(J36/(2*0.3*$W$2/1000*(AC36)/1000/(E36-2*X36/1000))))*J36))</f>
        <v>0</v>
      </c>
      <c r="AT36" s="224">
        <f t="shared" ref="AT36:AT57" si="38">IF(AN36=0,0,MAX(G36+AQ36,AP36+AQ36))</f>
        <v>0</v>
      </c>
      <c r="AU36" s="224">
        <f t="shared" ref="AU36:AU57" si="39">(AT36^2+AR36^2+AR36*AT36)^0.5/(J36/$W$10)</f>
        <v>0</v>
      </c>
      <c r="AV36" s="224">
        <f t="shared" ref="AV36:AV57" si="40">1.1*AT36/J36</f>
        <v>0</v>
      </c>
      <c r="AW36" s="224">
        <f t="shared" ref="AW36:AW57" si="41">1.25*AR36/IF(0.4*$W$2/1000*(AC36)/1000/(E36-2*X36/1000)/J36&gt;2.44,J36,IF(0.4*$W$2/1000*(AC36)/1000/(E36-2*X36/1000)/J36&lt;=0.55,0.4*$W$2/1000*(AC36)/1000/(E36-2*X36/1000),MIN(0.7*(0.4*$W$2/1000*(AC36)/1000/(E36-2*X36/1000)/J36)^0.4*J36,J36)))</f>
        <v>0</v>
      </c>
      <c r="AX36" s="224">
        <f t="shared" ref="AX36:AX57" si="42">MAX(AV36^2+AW36^(2*(5-4*(IF(0.4*$W$2/1000*(AC36)/1000/(E36-2*(X36/1000))/J36&gt;2.44,J36,IF(0.4*$W$2/1000*(AC36)/1000/(E36-2*(X36/1000))/J36&lt;=0.55,0.4*$W$2/1000*(AC36)/1000/(E36-2*(X36/1000)),MIN(0.7*(0.4*$W$2/1000*(AC36)/1000/(E36-2*(X36/1000))/J36)^0.4*J36,J36)))/J36)))+2*0.3*AV36*AW36,AW36,AT36/(IF(J36/(2*0.3*$W$2/1000*(AC36)/1000/(E36-2*(X36/1000)))&lt;=0.17,J36,(1.047-0.274*(J36/(2*0.3*$W$2/1000*(AC36)/1000/(E36-2*(X36/1000)))))*J36)/1.18))</f>
        <v>0</v>
      </c>
    </row>
    <row r="37" spans="3:50" ht="14.85" customHeight="1">
      <c r="C37" s="12" t="str">
        <f t="shared" si="5"/>
        <v>Can3</v>
      </c>
      <c r="D37" s="2">
        <f t="shared" si="6"/>
        <v>-2.2999999999999998</v>
      </c>
      <c r="E37" s="43">
        <f t="shared" si="7"/>
        <v>7.5</v>
      </c>
      <c r="F37" s="120">
        <f t="shared" si="8"/>
        <v>99</v>
      </c>
      <c r="G37" s="120">
        <f t="shared" si="9"/>
        <v>164.46334637174886</v>
      </c>
      <c r="H37" s="120">
        <f t="shared" si="10"/>
        <v>15.529997700653594</v>
      </c>
      <c r="I37" s="120">
        <f t="shared" si="11"/>
        <v>7.104951903714622</v>
      </c>
      <c r="J37" s="120">
        <f>VLOOKUP(R37,'Steel grades'!$B$5:$J$22,IF(F37&gt;200,10,IF(F37&gt;150,9,IF(F37&gt;120,8,IF(F37&gt;100,7,IF(F37&gt;80,6,IF(F37&gt;63,5,IF(F37&gt;40,4,IF(F37&gt;16,3,2)))))))),FALSE)</f>
        <v>315</v>
      </c>
      <c r="K37" s="120">
        <f t="shared" si="12"/>
        <v>262.78059017535077</v>
      </c>
      <c r="L37" s="3">
        <f t="shared" si="13"/>
        <v>20.129809732420032</v>
      </c>
      <c r="M37" s="3">
        <f t="shared" si="14"/>
        <v>122.31181254534351</v>
      </c>
      <c r="N37" s="3">
        <f t="shared" si="15"/>
        <v>0.67823827416589788</v>
      </c>
      <c r="O37" s="3">
        <f t="shared" si="16"/>
        <v>0.54052892820566179</v>
      </c>
      <c r="P37" s="3">
        <f>(ABS(Geometry_loads!S20)/Z37+ABS(Geometry_loads!T20)/AA37)/(1000*J37)</f>
        <v>0.39713136111620273</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145</v>
      </c>
      <c r="R37" s="3" t="str">
        <f>Geometry!M28</f>
        <v>S355 NL/ML</v>
      </c>
      <c r="T37" s="3">
        <f>Geometry_loads!L20</f>
        <v>-30823.42</v>
      </c>
      <c r="U37" s="3">
        <f>Geometry_loads!M20</f>
        <v>-46363.46</v>
      </c>
      <c r="V37" s="3">
        <f>Geometry_loads!N20</f>
        <v>617316</v>
      </c>
      <c r="W37" s="3">
        <f>Geometry_loads!O20</f>
        <v>10947.93</v>
      </c>
      <c r="X37" s="3">
        <f t="shared" si="17"/>
        <v>3.5999999999999996</v>
      </c>
      <c r="Y37" s="3">
        <f t="shared" si="18"/>
        <v>0</v>
      </c>
      <c r="Z37" s="18">
        <f t="shared" si="19"/>
        <v>2.2170595090864604</v>
      </c>
      <c r="AA37" s="224">
        <f t="shared" si="20"/>
        <v>4.0485886140130827</v>
      </c>
      <c r="AB37" s="224">
        <f t="shared" si="21"/>
        <v>3.6987000000000001</v>
      </c>
      <c r="AC37" s="120">
        <f t="shared" si="22"/>
        <v>95.4</v>
      </c>
      <c r="AD37" s="224">
        <f t="shared" si="23"/>
        <v>127.79099464350551</v>
      </c>
      <c r="AE37" s="224">
        <f t="shared" si="24"/>
        <v>0.39148903092985526</v>
      </c>
      <c r="AF37" s="224">
        <f t="shared" si="25"/>
        <v>0.41591039199352853</v>
      </c>
      <c r="AG37" s="224">
        <f t="shared" si="26"/>
        <v>0.29154654294009863</v>
      </c>
      <c r="AH37" s="224">
        <f t="shared" si="27"/>
        <v>0.91764650537424086</v>
      </c>
      <c r="AI37" s="224">
        <f t="shared" si="28"/>
        <v>44.285581411324074</v>
      </c>
      <c r="AJ37" s="224">
        <f t="shared" si="29"/>
        <v>2.6670066680363451</v>
      </c>
      <c r="AK37" s="224">
        <f t="shared" si="30"/>
        <v>7.0294573668768373E-2</v>
      </c>
      <c r="AL37" s="224">
        <f t="shared" si="31"/>
        <v>0.73979460655178697</v>
      </c>
      <c r="AM37" s="224">
        <f>IF(_xlfn.MINIFS(Geometry!$AJ$26:$AJ$32,Geometry!$AI$26:$AI$32,"o",Geometry!$AK$26:$AK$32,C8)&lt;=0,1,_xlfn.MINIFS(Geometry!$AJ$26:$AJ$32,Geometry!$AI$26:$AI$32,"o",Geometry!$AK$26:$AK$32,C8))</f>
        <v>1</v>
      </c>
      <c r="AN37" s="224">
        <f t="shared" si="32"/>
        <v>0</v>
      </c>
      <c r="AO37" s="224">
        <f t="shared" si="33"/>
        <v>0</v>
      </c>
      <c r="AP37" s="224">
        <f t="shared" si="34"/>
        <v>164.31691048350007</v>
      </c>
      <c r="AQ37" s="224">
        <f t="shared" si="35"/>
        <v>0</v>
      </c>
      <c r="AR37" s="224">
        <f t="shared" si="36"/>
        <v>0</v>
      </c>
      <c r="AS37" s="224">
        <f t="shared" si="37"/>
        <v>0</v>
      </c>
      <c r="AT37" s="224">
        <f t="shared" si="38"/>
        <v>0</v>
      </c>
      <c r="AU37" s="224">
        <f t="shared" si="39"/>
        <v>0</v>
      </c>
      <c r="AV37" s="224">
        <f t="shared" si="40"/>
        <v>0</v>
      </c>
      <c r="AW37" s="224">
        <f t="shared" si="41"/>
        <v>0</v>
      </c>
      <c r="AX37" s="224">
        <f t="shared" si="42"/>
        <v>0</v>
      </c>
    </row>
    <row r="38" spans="3:50" ht="14.85" customHeight="1">
      <c r="C38" s="12" t="str">
        <f t="shared" si="5"/>
        <v>Can4</v>
      </c>
      <c r="D38" s="2">
        <f t="shared" si="6"/>
        <v>-6.2</v>
      </c>
      <c r="E38" s="43">
        <f t="shared" si="7"/>
        <v>7.5</v>
      </c>
      <c r="F38" s="120">
        <f t="shared" si="8"/>
        <v>99</v>
      </c>
      <c r="G38" s="120">
        <f t="shared" si="9"/>
        <v>164.49498997904328</v>
      </c>
      <c r="H38" s="120">
        <f t="shared" si="10"/>
        <v>14.728722375456439</v>
      </c>
      <c r="I38" s="120">
        <f t="shared" si="11"/>
        <v>6.849921960511363</v>
      </c>
      <c r="J38" s="120">
        <f>VLOOKUP(R38,'Steel grades'!$B$5:$J$22,IF(F38&gt;200,10,IF(F38&gt;150,9,IF(F38&gt;120,8,IF(F38&gt;100,7,IF(F38&gt;80,6,IF(F38&gt;63,5,IF(F38&gt;40,4,IF(F38&gt;16,3,2)))))))),FALSE)</f>
        <v>315</v>
      </c>
      <c r="K38" s="120">
        <f t="shared" si="12"/>
        <v>264.01183545381025</v>
      </c>
      <c r="L38" s="3">
        <f t="shared" si="13"/>
        <v>21.459570359529454</v>
      </c>
      <c r="M38" s="3">
        <f t="shared" si="14"/>
        <v>124.5434584928656</v>
      </c>
      <c r="N38" s="3">
        <f t="shared" si="15"/>
        <v>0.81225911077232194</v>
      </c>
      <c r="O38" s="3">
        <f t="shared" si="16"/>
        <v>0.74478145871350065</v>
      </c>
      <c r="P38" s="3">
        <f>(ABS(Geometry_loads!S21)/Z38+ABS(Geometry_loads!T21)/AA38)/(1000*J38)</f>
        <v>0.39741363124621182</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145</v>
      </c>
      <c r="R38" s="3" t="str">
        <f>Geometry!M29</f>
        <v>S355 NL/ML</v>
      </c>
      <c r="T38" s="3">
        <f>Geometry_loads!L21</f>
        <v>-32020.5</v>
      </c>
      <c r="U38" s="3">
        <f>Geometry_loads!M21</f>
        <v>-46371.59</v>
      </c>
      <c r="V38" s="3">
        <f>Geometry_loads!N21</f>
        <v>641335.4</v>
      </c>
      <c r="W38" s="3">
        <f>Geometry_loads!O21</f>
        <v>10686.01</v>
      </c>
      <c r="X38" s="3">
        <f t="shared" si="17"/>
        <v>0</v>
      </c>
      <c r="Y38" s="3">
        <f t="shared" si="18"/>
        <v>0</v>
      </c>
      <c r="Z38" s="18">
        <f t="shared" si="19"/>
        <v>2.3018417956925941</v>
      </c>
      <c r="AA38" s="224">
        <f t="shared" si="20"/>
        <v>4.2035162214661357</v>
      </c>
      <c r="AB38" s="224">
        <f t="shared" si="21"/>
        <v>3.7004999999999999</v>
      </c>
      <c r="AC38" s="120">
        <f t="shared" si="22"/>
        <v>99</v>
      </c>
      <c r="AD38" s="224">
        <f t="shared" si="23"/>
        <v>125.41549305180978</v>
      </c>
      <c r="AE38" s="224">
        <f t="shared" si="24"/>
        <v>0.38683913471120146</v>
      </c>
      <c r="AF38" s="224">
        <f t="shared" si="25"/>
        <v>0.41949739654534002</v>
      </c>
      <c r="AG38" s="224">
        <f t="shared" si="26"/>
        <v>0.29154331873011385</v>
      </c>
      <c r="AH38" s="224">
        <f t="shared" si="27"/>
        <v>0.9219460920609247</v>
      </c>
      <c r="AI38" s="224">
        <f t="shared" si="28"/>
        <v>47.211054790964802</v>
      </c>
      <c r="AJ38" s="224">
        <f t="shared" si="29"/>
        <v>2.5830536414041529</v>
      </c>
      <c r="AK38" s="224">
        <f t="shared" si="30"/>
        <v>7.4938182207880635E-2</v>
      </c>
      <c r="AL38" s="224">
        <f t="shared" si="31"/>
        <v>0.75329256395551647</v>
      </c>
      <c r="AM38" s="224">
        <f>IF(_xlfn.MINIFS(Geometry!$AJ$26:$AJ$32,Geometry!$AI$26:$AI$32,"o",Geometry!$AK$26:$AK$32,C9)&lt;=0,1,_xlfn.MINIFS(Geometry!$AJ$26:$AJ$32,Geometry!$AI$26:$AI$32,"o",Geometry!$AK$26:$AK$32,C9))</f>
        <v>1</v>
      </c>
      <c r="AN38" s="224">
        <f t="shared" si="32"/>
        <v>2.4101421139187913</v>
      </c>
      <c r="AO38" s="224">
        <f t="shared" si="33"/>
        <v>2.4101421139187913</v>
      </c>
      <c r="AP38" s="224">
        <f t="shared" si="34"/>
        <v>164.63689923589007</v>
      </c>
      <c r="AQ38" s="224">
        <f t="shared" si="35"/>
        <v>51.133819944015478</v>
      </c>
      <c r="AR38" s="224">
        <f t="shared" si="36"/>
        <v>33.967725083300309</v>
      </c>
      <c r="AS38" s="224">
        <f t="shared" si="37"/>
        <v>0.61976815891389192</v>
      </c>
      <c r="AT38" s="224">
        <f t="shared" si="38"/>
        <v>215.77071917990554</v>
      </c>
      <c r="AU38" s="224">
        <f t="shared" si="39"/>
        <v>0.74478145871350065</v>
      </c>
      <c r="AV38" s="224">
        <f t="shared" si="40"/>
        <v>0.75348505110443209</v>
      </c>
      <c r="AW38" s="224">
        <f t="shared" si="41"/>
        <v>0.13479255985436631</v>
      </c>
      <c r="AX38" s="224">
        <f t="shared" si="42"/>
        <v>0.81225911077232194</v>
      </c>
    </row>
    <row r="39" spans="3:50" ht="14.85" customHeight="1">
      <c r="C39" s="12" t="str">
        <f t="shared" si="5"/>
        <v>Can5</v>
      </c>
      <c r="D39" s="2">
        <f t="shared" si="6"/>
        <v>-10.1</v>
      </c>
      <c r="E39" s="43">
        <f t="shared" si="7"/>
        <v>7.8282999999999996</v>
      </c>
      <c r="F39" s="120">
        <f t="shared" si="8"/>
        <v>107</v>
      </c>
      <c r="G39" s="120">
        <f t="shared" si="9"/>
        <v>146.27281949748649</v>
      </c>
      <c r="H39" s="120">
        <f t="shared" si="10"/>
        <v>13.057493982508539</v>
      </c>
      <c r="I39" s="120">
        <f t="shared" si="11"/>
        <v>6.6120642208440419</v>
      </c>
      <c r="J39" s="120">
        <f>VLOOKUP(R39,'Steel grades'!$B$5:$J$22,IF(F39&gt;200,10,IF(F39&gt;150,9,IF(F39&gt;120,8,IF(F39&gt;100,7,IF(F39&gt;80,6,IF(F39&gt;63,5,IF(F39&gt;40,4,IF(F39&gt;16,3,2)))))))),FALSE)</f>
        <v>295</v>
      </c>
      <c r="K39" s="120">
        <f t="shared" si="12"/>
        <v>214.85283803672371</v>
      </c>
      <c r="L39" s="3">
        <f t="shared" si="13"/>
        <v>23.329002673033603</v>
      </c>
      <c r="M39" s="3">
        <f t="shared" si="14"/>
        <v>122.33719189440997</v>
      </c>
      <c r="N39" s="3">
        <f t="shared" si="15"/>
        <v>0.68080468861428223</v>
      </c>
      <c r="O39" s="3">
        <f t="shared" si="16"/>
        <v>0.51317731320661042</v>
      </c>
      <c r="P39" s="3">
        <f>(ABS(Geometry_loads!S22)/Z39+ABS(Geometry_loads!T22)/AA39)/(1000*J39)</f>
        <v>0.37752110095224706</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Geometry!M30</f>
        <v>S355 NL/ML</v>
      </c>
      <c r="T39" s="3">
        <f>Geometry_loads!L22</f>
        <v>-33077.980000000003</v>
      </c>
      <c r="U39" s="3">
        <f>Geometry_loads!M22</f>
        <v>-46378.85</v>
      </c>
      <c r="V39" s="3">
        <f>Geometry_loads!N22</f>
        <v>669003.9</v>
      </c>
      <c r="W39" s="3">
        <f>Geometry_loads!O22</f>
        <v>10938.87</v>
      </c>
      <c r="X39" s="3">
        <f t="shared" si="17"/>
        <v>0</v>
      </c>
      <c r="Y39" s="3">
        <f t="shared" si="18"/>
        <v>0</v>
      </c>
      <c r="Z39" s="18">
        <f t="shared" si="19"/>
        <v>2.5955181911094356</v>
      </c>
      <c r="AA39" s="224">
        <f t="shared" si="20"/>
        <v>4.9426615317611793</v>
      </c>
      <c r="AB39" s="224">
        <f t="shared" si="21"/>
        <v>3.8606499999999997</v>
      </c>
      <c r="AC39" s="120">
        <f t="shared" si="22"/>
        <v>107</v>
      </c>
      <c r="AD39" s="224">
        <f t="shared" si="23"/>
        <v>118.10733961683401</v>
      </c>
      <c r="AE39" s="224">
        <f t="shared" si="24"/>
        <v>0.36460163052431749</v>
      </c>
      <c r="AF39" s="224">
        <f t="shared" si="25"/>
        <v>0.42293378921533714</v>
      </c>
      <c r="AG39" s="224">
        <f t="shared" si="26"/>
        <v>0.29128732989164441</v>
      </c>
      <c r="AH39" s="224">
        <f t="shared" si="27"/>
        <v>0.94031241282882194</v>
      </c>
      <c r="AI39" s="224">
        <f t="shared" si="28"/>
        <v>51.32380588067393</v>
      </c>
      <c r="AJ39" s="224">
        <f t="shared" si="29"/>
        <v>2.3974611656050611</v>
      </c>
      <c r="AK39" s="224">
        <f t="shared" si="30"/>
        <v>8.6989501492667681E-2</v>
      </c>
      <c r="AL39" s="224">
        <f t="shared" si="31"/>
        <v>0.79011408548496154</v>
      </c>
      <c r="AM39" s="224">
        <f>IF(_xlfn.MINIFS(Geometry!$AJ$26:$AJ$32,Geometry!$AI$26:$AI$32,"o",Geometry!$AK$26:$AK$32,C10)&lt;=0,1,_xlfn.MINIFS(Geometry!$AJ$26:$AJ$32,Geometry!$AI$26:$AI$32,"o",Geometry!$AK$26:$AK$32,C10))</f>
        <v>0.85199999999999998</v>
      </c>
      <c r="AN39" s="224">
        <f t="shared" si="32"/>
        <v>8.8817841970012523E-16</v>
      </c>
      <c r="AO39" s="224">
        <f t="shared" si="33"/>
        <v>2.4101421139187904</v>
      </c>
      <c r="AP39" s="224">
        <f t="shared" si="34"/>
        <v>146.39889378196008</v>
      </c>
      <c r="AQ39" s="224">
        <f t="shared" si="35"/>
        <v>1.645694837625441E-14</v>
      </c>
      <c r="AR39" s="224">
        <f t="shared" si="36"/>
        <v>6.6120642208440508</v>
      </c>
      <c r="AS39" s="224">
        <f t="shared" si="37"/>
        <v>0.58555681115401748</v>
      </c>
      <c r="AT39" s="224">
        <f t="shared" si="38"/>
        <v>146.39889378196011</v>
      </c>
      <c r="AU39" s="224">
        <f t="shared" si="39"/>
        <v>0.50784542298245561</v>
      </c>
      <c r="AV39" s="224">
        <f t="shared" si="40"/>
        <v>0.54589418020391911</v>
      </c>
      <c r="AW39" s="224">
        <f t="shared" si="41"/>
        <v>2.8017221274762923E-2</v>
      </c>
      <c r="AX39" s="224">
        <f t="shared" si="42"/>
        <v>0.58555681115401759</v>
      </c>
    </row>
    <row r="40" spans="3:50" ht="14.85" customHeight="1">
      <c r="C40" s="12" t="str">
        <f t="shared" si="5"/>
        <v>Can6</v>
      </c>
      <c r="D40" s="2">
        <f t="shared" si="6"/>
        <v>-14</v>
      </c>
      <c r="E40" s="43">
        <f t="shared" si="7"/>
        <v>8.1565999999999992</v>
      </c>
      <c r="F40" s="120">
        <f t="shared" si="8"/>
        <v>96</v>
      </c>
      <c r="G40" s="120">
        <f t="shared" si="9"/>
        <v>156.74372125689118</v>
      </c>
      <c r="H40" s="120">
        <f t="shared" si="10"/>
        <v>14.337213529649901</v>
      </c>
      <c r="I40" s="120">
        <f t="shared" si="11"/>
        <v>7.69354593767578</v>
      </c>
      <c r="J40" s="120">
        <f>VLOOKUP(R40,'Steel grades'!$B$5:$J$22,IF(F40&gt;200,10,IF(F40&gt;150,9,IF(F40&gt;120,8,IF(F40&gt;100,7,IF(F40&gt;80,6,IF(F40&gt;63,5,IF(F40&gt;40,4,IF(F40&gt;16,3,2)))))))),FALSE)</f>
        <v>315</v>
      </c>
      <c r="K40" s="120">
        <f t="shared" si="12"/>
        <v>262.34547440384625</v>
      </c>
      <c r="L40" s="3">
        <f t="shared" si="13"/>
        <v>18.652629148083829</v>
      </c>
      <c r="M40" s="3">
        <f t="shared" si="14"/>
        <v>119.49285039093006</v>
      </c>
      <c r="N40" s="3">
        <f t="shared" si="15"/>
        <v>0.70107512723327481</v>
      </c>
      <c r="O40" s="3">
        <f t="shared" si="16"/>
        <v>0.51630377032215713</v>
      </c>
      <c r="P40" s="3">
        <f>(ABS(Geometry_loads!S23)/Z40+ABS(Geometry_loads!T23)/AA40)/(1000*J40)</f>
        <v>0.37824375963186319</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Geometry!M31</f>
        <v>S355 NL/ML</v>
      </c>
      <c r="T40" s="3">
        <f>Geometry_loads!L23</f>
        <v>-34256.61</v>
      </c>
      <c r="U40" s="3">
        <f>Geometry_loads!M23</f>
        <v>-46385.24</v>
      </c>
      <c r="V40" s="3">
        <f>Geometry_loads!N23</f>
        <v>698834.8</v>
      </c>
      <c r="W40" s="3">
        <f>Geometry_loads!O23</f>
        <v>11672.46</v>
      </c>
      <c r="X40" s="3">
        <f t="shared" si="17"/>
        <v>0</v>
      </c>
      <c r="Y40" s="3">
        <f t="shared" si="18"/>
        <v>0</v>
      </c>
      <c r="Z40" s="18">
        <f t="shared" si="19"/>
        <v>2.4310196873784937</v>
      </c>
      <c r="AA40" s="224">
        <f t="shared" si="20"/>
        <v>4.8418982338843328</v>
      </c>
      <c r="AB40" s="224">
        <f t="shared" si="21"/>
        <v>4.0302999999999995</v>
      </c>
      <c r="AC40" s="120">
        <f t="shared" si="22"/>
        <v>96</v>
      </c>
      <c r="AD40" s="224">
        <f t="shared" si="23"/>
        <v>122.03788927539799</v>
      </c>
      <c r="AE40" s="224">
        <f t="shared" si="24"/>
        <v>0.39150751415788421</v>
      </c>
      <c r="AF40" s="224">
        <f t="shared" si="25"/>
        <v>0.40798955457954122</v>
      </c>
      <c r="AG40" s="224">
        <f t="shared" si="26"/>
        <v>0.29100987450241778</v>
      </c>
      <c r="AH40" s="224">
        <f t="shared" si="27"/>
        <v>0.91612705347374879</v>
      </c>
      <c r="AI40" s="224">
        <f t="shared" si="28"/>
        <v>41.035784125784417</v>
      </c>
      <c r="AJ40" s="224">
        <f t="shared" si="29"/>
        <v>2.7706005024988114</v>
      </c>
      <c r="AK40" s="224">
        <f t="shared" si="30"/>
        <v>6.5136165279022898E-2</v>
      </c>
      <c r="AL40" s="224">
        <f t="shared" si="31"/>
        <v>0.72274430736555295</v>
      </c>
      <c r="AM40" s="224">
        <f>IF(_xlfn.MINIFS(Geometry!$AJ$26:$AJ$32,Geometry!$AI$26:$AI$32,"o",Geometry!$AK$26:$AK$32,C11)&lt;=0,1,_xlfn.MINIFS(Geometry!$AJ$26:$AJ$32,Geometry!$AI$26:$AI$32,"o",Geometry!$AK$26:$AK$32,C11))</f>
        <v>1</v>
      </c>
      <c r="AN40" s="224">
        <f t="shared" si="32"/>
        <v>7.3326266252182748E-4</v>
      </c>
      <c r="AO40" s="224">
        <f t="shared" si="33"/>
        <v>2.4094088512562686</v>
      </c>
      <c r="AP40" s="224">
        <f t="shared" si="34"/>
        <v>156.87925965509658</v>
      </c>
      <c r="AQ40" s="224">
        <f t="shared" si="35"/>
        <v>1.5689615709177016E-2</v>
      </c>
      <c r="AR40" s="224">
        <f t="shared" si="36"/>
        <v>7.7018666129224078</v>
      </c>
      <c r="AS40" s="224">
        <f t="shared" si="37"/>
        <v>0.59433164089778034</v>
      </c>
      <c r="AT40" s="224">
        <f t="shared" si="38"/>
        <v>156.89494927080574</v>
      </c>
      <c r="AU40" s="224">
        <f t="shared" si="39"/>
        <v>0.5107435119722894</v>
      </c>
      <c r="AV40" s="224">
        <f t="shared" si="40"/>
        <v>0.54788712443773435</v>
      </c>
      <c r="AW40" s="224">
        <f t="shared" si="41"/>
        <v>3.0562962749692092E-2</v>
      </c>
      <c r="AX40" s="224">
        <f t="shared" si="42"/>
        <v>0.59439108046340539</v>
      </c>
    </row>
    <row r="41" spans="3:50" ht="14.85" customHeight="1">
      <c r="C41" s="12" t="str">
        <f t="shared" si="5"/>
        <v>Can7</v>
      </c>
      <c r="D41" s="2">
        <f t="shared" si="6"/>
        <v>-17.899999999999999</v>
      </c>
      <c r="E41" s="43">
        <f t="shared" si="7"/>
        <v>8.4847999999999999</v>
      </c>
      <c r="F41" s="120">
        <f t="shared" si="8"/>
        <v>92</v>
      </c>
      <c r="G41" s="120">
        <f t="shared" si="9"/>
        <v>158.35754214363772</v>
      </c>
      <c r="H41" s="120">
        <f t="shared" si="10"/>
        <v>14.912717906978667</v>
      </c>
      <c r="I41" s="120">
        <f t="shared" si="11"/>
        <v>8.3589063727989128</v>
      </c>
      <c r="J41" s="120">
        <f>VLOOKUP(R41,'Steel grades'!$B$5:$J$22,IF(F41&gt;200,10,IF(F41&gt;150,9,IF(F41&gt;120,8,IF(F41&gt;100,7,IF(F41&gt;80,6,IF(F41&gt;63,5,IF(F41&gt;40,4,IF(F41&gt;16,3,2)))))))),FALSE)</f>
        <v>315</v>
      </c>
      <c r="K41" s="120">
        <f t="shared" si="12"/>
        <v>260.0668341710562</v>
      </c>
      <c r="L41" s="3">
        <f t="shared" si="13"/>
        <v>17.035046333262617</v>
      </c>
      <c r="M41" s="3">
        <f t="shared" si="14"/>
        <v>115.18310803496428</v>
      </c>
      <c r="N41" s="3">
        <f t="shared" si="15"/>
        <v>0.80020454861707579</v>
      </c>
      <c r="O41" s="3">
        <f t="shared" si="16"/>
        <v>0.52297042752529466</v>
      </c>
      <c r="P41" s="3">
        <f>(ABS(Geometry_loads!S24)/Z41+ABS(Geometry_loads!T24)/AA41)/(1000*J41)</f>
        <v>0.38186840255263382</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Geometry!M32</f>
        <v>S355 NL/ML</v>
      </c>
      <c r="T41" s="3">
        <f>Geometry_loads!L24</f>
        <v>-35492.58</v>
      </c>
      <c r="U41" s="3">
        <f>Geometry_loads!M24</f>
        <v>-46391.3</v>
      </c>
      <c r="V41" s="3">
        <f>Geometry_loads!N24</f>
        <v>731520.5</v>
      </c>
      <c r="W41" s="3">
        <f>Geometry_loads!O24</f>
        <v>12559.69</v>
      </c>
      <c r="X41" s="3">
        <f t="shared" si="17"/>
        <v>0</v>
      </c>
      <c r="Y41" s="3">
        <f t="shared" si="18"/>
        <v>0</v>
      </c>
      <c r="Z41" s="18">
        <f t="shared" si="19"/>
        <v>2.425741811720445</v>
      </c>
      <c r="AA41" s="224">
        <f t="shared" si="20"/>
        <v>5.0351093053047435</v>
      </c>
      <c r="AB41" s="224">
        <f t="shared" si="21"/>
        <v>4.1963999999999997</v>
      </c>
      <c r="AC41" s="120">
        <f t="shared" si="22"/>
        <v>92</v>
      </c>
      <c r="AD41" s="224">
        <f t="shared" si="23"/>
        <v>122.17058081486726</v>
      </c>
      <c r="AE41" s="224">
        <f t="shared" si="24"/>
        <v>0.39922941006963658</v>
      </c>
      <c r="AF41" s="224">
        <f t="shared" si="25"/>
        <v>0.39958083297351799</v>
      </c>
      <c r="AG41" s="224">
        <f t="shared" si="26"/>
        <v>0.29076037716812919</v>
      </c>
      <c r="AH41" s="224">
        <f t="shared" si="27"/>
        <v>0.90816989710527563</v>
      </c>
      <c r="AI41" s="224">
        <f t="shared" si="28"/>
        <v>37.477101933177778</v>
      </c>
      <c r="AJ41" s="224">
        <f t="shared" si="29"/>
        <v>2.8991606200465405</v>
      </c>
      <c r="AK41" s="224">
        <f t="shared" si="30"/>
        <v>5.9487463385996454E-2</v>
      </c>
      <c r="AL41" s="224">
        <f t="shared" si="31"/>
        <v>0.69667712641040769</v>
      </c>
      <c r="AM41" s="224">
        <f>IF(_xlfn.MINIFS(Geometry!$AJ$26:$AJ$32,Geometry!$AI$26:$AI$32,"o",Geometry!$AK$26:$AK$32,C12)&lt;=0,1,_xlfn.MINIFS(Geometry!$AJ$26:$AJ$32,Geometry!$AI$26:$AI$32,"o",Geometry!$AK$26:$AK$32,C12))</f>
        <v>1</v>
      </c>
      <c r="AN41" s="224">
        <f t="shared" si="32"/>
        <v>7.3326266252715655E-4</v>
      </c>
      <c r="AO41" s="224">
        <f t="shared" si="33"/>
        <v>2.4101421139187957</v>
      </c>
      <c r="AP41" s="224">
        <f t="shared" si="34"/>
        <v>158.4948171671017</v>
      </c>
      <c r="AQ41" s="224">
        <f t="shared" si="35"/>
        <v>1.6514629350603598E-2</v>
      </c>
      <c r="AR41" s="224">
        <f t="shared" si="36"/>
        <v>8.3676645776008591</v>
      </c>
      <c r="AS41" s="224">
        <f t="shared" si="37"/>
        <v>0.60348795565638202</v>
      </c>
      <c r="AT41" s="224">
        <f t="shared" si="38"/>
        <v>158.51133179645231</v>
      </c>
      <c r="AU41" s="224">
        <f t="shared" si="39"/>
        <v>0.51700466621567887</v>
      </c>
      <c r="AV41" s="224">
        <f t="shared" si="40"/>
        <v>0.55353163484475409</v>
      </c>
      <c r="AW41" s="224">
        <f t="shared" si="41"/>
        <v>3.3205018165082777E-2</v>
      </c>
      <c r="AX41" s="224">
        <f t="shared" si="42"/>
        <v>0.6035508370810454</v>
      </c>
    </row>
    <row r="42" spans="3:50" ht="14.85" customHeight="1">
      <c r="C42" s="12" t="str">
        <f t="shared" si="5"/>
        <v>Can8</v>
      </c>
      <c r="D42" s="2">
        <f t="shared" si="6"/>
        <v>-21.8</v>
      </c>
      <c r="E42" s="43">
        <f t="shared" si="7"/>
        <v>8.8131000000000004</v>
      </c>
      <c r="F42" s="120">
        <f t="shared" si="8"/>
        <v>92</v>
      </c>
      <c r="G42" s="120">
        <f t="shared" si="9"/>
        <v>154.16451160752752</v>
      </c>
      <c r="H42" s="120">
        <f t="shared" si="10"/>
        <v>14.862938780151001</v>
      </c>
      <c r="I42" s="120">
        <f t="shared" si="11"/>
        <v>8.6858805604585605</v>
      </c>
      <c r="J42" s="120">
        <f>VLOOKUP(R42,'Steel grades'!$B$5:$J$22,IF(F42&gt;200,10,IF(F42&gt;150,9,IF(F42&gt;120,8,IF(F42&gt;100,7,IF(F42&gt;80,6,IF(F42&gt;63,5,IF(F42&gt;40,4,IF(F42&gt;16,3,2)))))))),FALSE)</f>
        <v>315</v>
      </c>
      <c r="K42" s="120">
        <f t="shared" si="12"/>
        <v>259.31719820879346</v>
      </c>
      <c r="L42" s="3">
        <f t="shared" si="13"/>
        <v>16.835952434002852</v>
      </c>
      <c r="M42" s="3">
        <f t="shared" si="14"/>
        <v>113.65536920753912</v>
      </c>
      <c r="N42" s="3">
        <f t="shared" si="15"/>
        <v>0.8105378024677885</v>
      </c>
      <c r="O42" s="3">
        <f t="shared" si="16"/>
        <v>0.51035057822706476</v>
      </c>
      <c r="P42" s="3">
        <f>(ABS(Geometry_loads!S25)/Z42+ABS(Geometry_loads!T25)/AA42)/(1000*J42)</f>
        <v>0.37169047308329328</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Geometry!M33</f>
        <v>S355 NL/ML</v>
      </c>
      <c r="T42" s="3">
        <f>Geometry_loads!L25</f>
        <v>-36785.86</v>
      </c>
      <c r="U42" s="3">
        <f>Geometry_loads!M25</f>
        <v>-46396.94</v>
      </c>
      <c r="V42" s="3">
        <f>Geometry_loads!N25</f>
        <v>767033.20000000007</v>
      </c>
      <c r="W42" s="3">
        <f>Geometry_loads!O25</f>
        <v>13411.9</v>
      </c>
      <c r="X42" s="3">
        <f t="shared" si="17"/>
        <v>0</v>
      </c>
      <c r="Y42" s="3">
        <f t="shared" si="18"/>
        <v>0</v>
      </c>
      <c r="Z42" s="18">
        <f t="shared" si="19"/>
        <v>2.52062921959241</v>
      </c>
      <c r="AA42" s="224">
        <f t="shared" si="20"/>
        <v>5.4389007913696696</v>
      </c>
      <c r="AB42" s="224">
        <f t="shared" si="21"/>
        <v>4.3605499999999999</v>
      </c>
      <c r="AC42" s="120">
        <f t="shared" si="22"/>
        <v>92</v>
      </c>
      <c r="AD42" s="224">
        <f t="shared" si="23"/>
        <v>119.84900764823969</v>
      </c>
      <c r="AE42" s="224">
        <f t="shared" si="24"/>
        <v>0.40135276799533054</v>
      </c>
      <c r="AF42" s="224">
        <f t="shared" si="25"/>
        <v>0.39564071428975733</v>
      </c>
      <c r="AG42" s="224">
        <f t="shared" si="26"/>
        <v>0.29053354148790106</v>
      </c>
      <c r="AH42" s="224">
        <f t="shared" si="27"/>
        <v>0.90555212072912006</v>
      </c>
      <c r="AI42" s="224">
        <f t="shared" si="28"/>
        <v>37.039095354806271</v>
      </c>
      <c r="AJ42" s="224">
        <f t="shared" si="29"/>
        <v>2.9162522806618743</v>
      </c>
      <c r="AK42" s="224">
        <f t="shared" si="30"/>
        <v>5.8792214848898849E-2</v>
      </c>
      <c r="AL42" s="224">
        <f t="shared" si="31"/>
        <v>0.68743670292858017</v>
      </c>
      <c r="AM42" s="224">
        <f>IF(_xlfn.MINIFS(Geometry!$AJ$26:$AJ$32,Geometry!$AI$26:$AI$32,"o",Geometry!$AK$26:$AK$32,C13)&lt;=0,1,_xlfn.MINIFS(Geometry!$AJ$26:$AJ$32,Geometry!$AI$26:$AI$32,"o",Geometry!$AK$26:$AK$32,C13))</f>
        <v>1</v>
      </c>
      <c r="AN42" s="224">
        <f t="shared" si="32"/>
        <v>2.6645352591003757E-15</v>
      </c>
      <c r="AO42" s="224">
        <f t="shared" si="33"/>
        <v>2.4101421139187984</v>
      </c>
      <c r="AP42" s="224">
        <f t="shared" si="34"/>
        <v>154.29826253609966</v>
      </c>
      <c r="AQ42" s="224">
        <f t="shared" si="35"/>
        <v>5.9541522297803052E-14</v>
      </c>
      <c r="AR42" s="224">
        <f t="shared" si="36"/>
        <v>8.6858805604585925</v>
      </c>
      <c r="AS42" s="224">
        <f t="shared" si="37"/>
        <v>0.58897243075376793</v>
      </c>
      <c r="AT42" s="224">
        <f t="shared" si="38"/>
        <v>154.29826253609971</v>
      </c>
      <c r="AU42" s="224">
        <f t="shared" si="39"/>
        <v>0.50418869941144617</v>
      </c>
      <c r="AV42" s="224">
        <f t="shared" si="40"/>
        <v>0.53881932949114186</v>
      </c>
      <c r="AW42" s="224">
        <f t="shared" si="41"/>
        <v>3.4467780001819812E-2</v>
      </c>
      <c r="AX42" s="224">
        <f t="shared" si="42"/>
        <v>0.58897243075376804</v>
      </c>
    </row>
    <row r="43" spans="3:50" ht="14.85" customHeight="1">
      <c r="C43" s="12" t="str">
        <f t="shared" si="5"/>
        <v>Can9</v>
      </c>
      <c r="D43" s="2">
        <f t="shared" si="6"/>
        <v>-25.7</v>
      </c>
      <c r="E43" s="43">
        <f t="shared" si="7"/>
        <v>9.1414000000000009</v>
      </c>
      <c r="F43" s="120">
        <f t="shared" si="8"/>
        <v>92</v>
      </c>
      <c r="G43" s="120">
        <f t="shared" si="9"/>
        <v>150.68586727410695</v>
      </c>
      <c r="H43" s="120">
        <f t="shared" si="10"/>
        <v>14.911372695422944</v>
      </c>
      <c r="I43" s="120">
        <f t="shared" si="11"/>
        <v>9.0128547481182082</v>
      </c>
      <c r="J43" s="120">
        <f>VLOOKUP(R43,'Steel grades'!$B$5:$J$22,IF(F43&gt;200,10,IF(F43&gt;150,9,IF(F43&gt;120,8,IF(F43&gt;100,7,IF(F43&gt;80,6,IF(F43&gt;63,5,IF(F43&gt;40,4,IF(F43&gt;16,3,2)))))))),FALSE)</f>
        <v>315</v>
      </c>
      <c r="K43" s="120">
        <f t="shared" si="12"/>
        <v>258.47731657203605</v>
      </c>
      <c r="L43" s="3">
        <f t="shared" si="13"/>
        <v>16.824061092786256</v>
      </c>
      <c r="M43" s="3">
        <f t="shared" si="14"/>
        <v>112.16316591937444</v>
      </c>
      <c r="N43" s="3">
        <f t="shared" si="15"/>
        <v>0.81931271714269316</v>
      </c>
      <c r="O43" s="3">
        <f t="shared" si="16"/>
        <v>0.50006418422184817</v>
      </c>
      <c r="P43" s="3">
        <f>(ABS(Geometry_loads!S26)/Z43+ABS(Geometry_loads!T26)/AA43)/(1000*J43)</f>
        <v>0.36325760273960978</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Geometry!M34</f>
        <v>S355 NL/ML</v>
      </c>
      <c r="T43" s="3">
        <f>Geometry_loads!L26</f>
        <v>-38136.42</v>
      </c>
      <c r="U43" s="3">
        <f>Geometry_loads!M26</f>
        <v>-46402.080000000002</v>
      </c>
      <c r="V43" s="3">
        <f>Geometry_loads!N26</f>
        <v>805362.6</v>
      </c>
      <c r="W43" s="3">
        <f>Geometry_loads!O26</f>
        <v>14372.83</v>
      </c>
      <c r="X43" s="3">
        <f t="shared" si="17"/>
        <v>0</v>
      </c>
      <c r="Y43" s="3">
        <f t="shared" si="18"/>
        <v>0</v>
      </c>
      <c r="Z43" s="18">
        <f t="shared" si="19"/>
        <v>2.6155166274643751</v>
      </c>
      <c r="AA43" s="224">
        <f t="shared" si="20"/>
        <v>5.858268009950546</v>
      </c>
      <c r="AB43" s="224">
        <f t="shared" si="21"/>
        <v>4.5247000000000002</v>
      </c>
      <c r="AC43" s="120">
        <f t="shared" si="22"/>
        <v>92</v>
      </c>
      <c r="AD43" s="224">
        <f t="shared" si="23"/>
        <v>117.65494440586355</v>
      </c>
      <c r="AE43" s="224">
        <f t="shared" si="24"/>
        <v>0.40383651605411552</v>
      </c>
      <c r="AF43" s="224">
        <f t="shared" si="25"/>
        <v>0.39181766592386941</v>
      </c>
      <c r="AG43" s="224">
        <f t="shared" si="26"/>
        <v>0.29032368685532828</v>
      </c>
      <c r="AH43" s="224">
        <f t="shared" si="27"/>
        <v>0.90261920072774493</v>
      </c>
      <c r="AI43" s="224">
        <f t="shared" si="28"/>
        <v>37.012934404129766</v>
      </c>
      <c r="AJ43" s="224">
        <f t="shared" si="29"/>
        <v>2.9172827103910057</v>
      </c>
      <c r="AK43" s="224">
        <f t="shared" si="30"/>
        <v>5.8750689530364705E-2</v>
      </c>
      <c r="AL43" s="224">
        <f t="shared" si="31"/>
        <v>0.6784112137179299</v>
      </c>
      <c r="AM43" s="224">
        <f>IF(_xlfn.MINIFS(Geometry!$AJ$26:$AJ$32,Geometry!$AI$26:$AI$32,"o",Geometry!$AK$26:$AK$32,C14)&lt;=0,1,_xlfn.MINIFS(Geometry!$AJ$26:$AJ$32,Geometry!$AI$26:$AI$32,"o",Geometry!$AK$26:$AK$32,C14))</f>
        <v>1</v>
      </c>
      <c r="AN43" s="224">
        <f t="shared" si="32"/>
        <v>1.5543122344752192E-14</v>
      </c>
      <c r="AO43" s="224">
        <f t="shared" si="33"/>
        <v>2.4101421139187829</v>
      </c>
      <c r="AP43" s="224">
        <f t="shared" si="34"/>
        <v>150.81670030833564</v>
      </c>
      <c r="AQ43" s="224">
        <f t="shared" si="35"/>
        <v>3.4575370775429316E-13</v>
      </c>
      <c r="AR43" s="224">
        <f t="shared" si="36"/>
        <v>9.0128547481183912</v>
      </c>
      <c r="AS43" s="224">
        <f t="shared" si="37"/>
        <v>0.57712043000603175</v>
      </c>
      <c r="AT43" s="224">
        <f t="shared" si="38"/>
        <v>150.81670030833598</v>
      </c>
      <c r="AU43" s="224">
        <f t="shared" si="39"/>
        <v>0.49371150196887581</v>
      </c>
      <c r="AV43" s="224">
        <f t="shared" si="40"/>
        <v>0.52666149314022093</v>
      </c>
      <c r="AW43" s="224">
        <f t="shared" si="41"/>
        <v>3.5765296619517425E-2</v>
      </c>
      <c r="AX43" s="224">
        <f t="shared" si="42"/>
        <v>0.57712043000603319</v>
      </c>
    </row>
    <row r="44" spans="3:50" ht="14.85" customHeight="1">
      <c r="C44" s="12" t="str">
        <f t="shared" si="5"/>
        <v>Can10</v>
      </c>
      <c r="D44" s="2">
        <f t="shared" si="6"/>
        <v>-29.6</v>
      </c>
      <c r="E44" s="43">
        <f t="shared" si="7"/>
        <v>9.4696999999999996</v>
      </c>
      <c r="F44" s="120">
        <f t="shared" si="8"/>
        <v>92</v>
      </c>
      <c r="G44" s="120">
        <f t="shared" si="9"/>
        <v>147.74389399429924</v>
      </c>
      <c r="H44" s="120">
        <f t="shared" si="10"/>
        <v>14.99061925822123</v>
      </c>
      <c r="I44" s="120">
        <f t="shared" si="11"/>
        <v>9.3398289357778523</v>
      </c>
      <c r="J44" s="120">
        <f>VLOOKUP(R44,'Steel grades'!$B$5:$J$22,IF(F44&gt;200,10,IF(F44&gt;150,9,IF(F44&gt;120,8,IF(F44&gt;100,7,IF(F44&gt;80,6,IF(F44&gt;63,5,IF(F44&gt;40,4,IF(F44&gt;16,3,2)))))))),FALSE)</f>
        <v>315</v>
      </c>
      <c r="K44" s="120">
        <f t="shared" si="12"/>
        <v>257.56249390754084</v>
      </c>
      <c r="L44" s="3">
        <f t="shared" si="13"/>
        <v>16.992393070714897</v>
      </c>
      <c r="M44" s="3">
        <f t="shared" si="14"/>
        <v>110.70442590798848</v>
      </c>
      <c r="N44" s="3">
        <f t="shared" si="15"/>
        <v>0.82469008611554417</v>
      </c>
      <c r="O44" s="3">
        <f t="shared" si="16"/>
        <v>0.49149531262672808</v>
      </c>
      <c r="P44" s="3">
        <f>(ABS(Geometry_loads!S27)/Z44+ABS(Geometry_loads!T27)/AA44)/(1000*J44)</f>
        <v>0.35614535761383848</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Geometry!M35</f>
        <v>S355 NL/ML</v>
      </c>
      <c r="T44" s="3">
        <f>Geometry_loads!L27</f>
        <v>-39544.53</v>
      </c>
      <c r="U44" s="3">
        <f>Geometry_loads!M27</f>
        <v>-46406.65</v>
      </c>
      <c r="V44" s="3">
        <f>Geometry_loads!N27</f>
        <v>846105.59999999998</v>
      </c>
      <c r="W44" s="3">
        <f>Geometry_loads!O27</f>
        <v>15366.7</v>
      </c>
      <c r="X44" s="3">
        <f t="shared" si="17"/>
        <v>0</v>
      </c>
      <c r="Y44" s="3">
        <f t="shared" si="18"/>
        <v>0</v>
      </c>
      <c r="Z44" s="18">
        <f t="shared" si="19"/>
        <v>2.710404035336329</v>
      </c>
      <c r="AA44" s="224">
        <f t="shared" si="20"/>
        <v>6.2932109647380949</v>
      </c>
      <c r="AB44" s="224">
        <f t="shared" si="21"/>
        <v>4.6888499999999995</v>
      </c>
      <c r="AC44" s="120">
        <f t="shared" si="22"/>
        <v>92</v>
      </c>
      <c r="AD44" s="224">
        <f t="shared" si="23"/>
        <v>115.57713055284464</v>
      </c>
      <c r="AE44" s="224">
        <f t="shared" si="24"/>
        <v>0.40660706125124213</v>
      </c>
      <c r="AF44" s="224">
        <f t="shared" si="25"/>
        <v>0.38810534288933707</v>
      </c>
      <c r="AG44" s="224">
        <f t="shared" si="26"/>
        <v>0.29012486954278138</v>
      </c>
      <c r="AH44" s="224">
        <f t="shared" si="27"/>
        <v>0.89942458189934915</v>
      </c>
      <c r="AI44" s="224">
        <f t="shared" si="28"/>
        <v>37.383264755572775</v>
      </c>
      <c r="AJ44" s="224">
        <f t="shared" si="29"/>
        <v>2.902796987088156</v>
      </c>
      <c r="AK44" s="224">
        <f t="shared" si="30"/>
        <v>5.9338515485036152E-2</v>
      </c>
      <c r="AL44" s="224">
        <f t="shared" si="31"/>
        <v>0.66958812484101082</v>
      </c>
      <c r="AM44" s="224">
        <f>IF(_xlfn.MINIFS(Geometry!$AJ$26:$AJ$32,Geometry!$AI$26:$AI$32,"o",Geometry!$AK$26:$AK$32,C15)&lt;=0,1,_xlfn.MINIFS(Geometry!$AJ$26:$AJ$32,Geometry!$AI$26:$AI$32,"o",Geometry!$AK$26:$AK$32,C15))</f>
        <v>1</v>
      </c>
      <c r="AN44" s="224">
        <f t="shared" si="32"/>
        <v>1.4665087042359026E-2</v>
      </c>
      <c r="AO44" s="224">
        <f t="shared" si="33"/>
        <v>2.4248072009611419</v>
      </c>
      <c r="AP44" s="224">
        <f t="shared" si="34"/>
        <v>147.87383193445416</v>
      </c>
      <c r="AQ44" s="224">
        <f t="shared" si="35"/>
        <v>0.32554573371811985</v>
      </c>
      <c r="AR44" s="224">
        <f t="shared" si="36"/>
        <v>9.5124756327016762</v>
      </c>
      <c r="AS44" s="224">
        <f t="shared" si="37"/>
        <v>0.56727563691782867</v>
      </c>
      <c r="AT44" s="224">
        <f t="shared" si="38"/>
        <v>148.19937766817227</v>
      </c>
      <c r="AU44" s="224">
        <f t="shared" si="39"/>
        <v>0.4862771477011647</v>
      </c>
      <c r="AV44" s="224">
        <f t="shared" si="40"/>
        <v>0.51752163630155401</v>
      </c>
      <c r="AW44" s="224">
        <f t="shared" si="41"/>
        <v>3.7747919177387609E-2</v>
      </c>
      <c r="AX44" s="224">
        <f t="shared" si="42"/>
        <v>0.56852449995887488</v>
      </c>
    </row>
    <row r="45" spans="3:50" ht="14.85" customHeight="1">
      <c r="C45" s="12" t="str">
        <f t="shared" si="5"/>
        <v>Can11</v>
      </c>
      <c r="D45" s="2">
        <f t="shared" si="6"/>
        <v>-33.5</v>
      </c>
      <c r="E45" s="43">
        <f t="shared" si="7"/>
        <v>9.8000000000000007</v>
      </c>
      <c r="F45" s="120">
        <f t="shared" si="8"/>
        <v>92</v>
      </c>
      <c r="G45" s="120">
        <f t="shared" si="9"/>
        <v>145.30193824883315</v>
      </c>
      <c r="H45" s="120">
        <f t="shared" si="10"/>
        <v>15.077494543276135</v>
      </c>
      <c r="I45" s="120">
        <f t="shared" si="11"/>
        <v>9.6687950466032611</v>
      </c>
      <c r="J45" s="120">
        <f>VLOOKUP(R45,'Steel grades'!$B$5:$J$22,IF(F45&gt;200,10,IF(F45&gt;150,9,IF(F45&gt;120,8,IF(F45&gt;100,7,IF(F45&gt;80,6,IF(F45&gt;63,5,IF(F45&gt;40,4,IF(F45&gt;16,3,2)))))))),FALSE)</f>
        <v>315</v>
      </c>
      <c r="K45" s="120">
        <f t="shared" si="12"/>
        <v>217.067124714763</v>
      </c>
      <c r="L45" s="3">
        <f t="shared" si="13"/>
        <v>17.339123288773166</v>
      </c>
      <c r="M45" s="3">
        <f t="shared" si="14"/>
        <v>109.26866431594883</v>
      </c>
      <c r="N45" s="3">
        <f t="shared" si="15"/>
        <v>0.95301167933576347</v>
      </c>
      <c r="O45" s="3">
        <f t="shared" si="16"/>
        <v>0.70138078811428572</v>
      </c>
      <c r="P45" s="3">
        <f>(ABS(Geometry_loads!S28)/Z45+ABS(Geometry_loads!T28)/AA45)/(1000*J45)</f>
        <v>0.35025721895538448</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Geometry!M36</f>
        <v>S355 NL/ML</v>
      </c>
      <c r="T45" s="3">
        <f>Geometry_loads!L28</f>
        <v>-41010.39</v>
      </c>
      <c r="U45" s="3">
        <f>Geometry_loads!M28</f>
        <v>-46410.559999999998</v>
      </c>
      <c r="V45" s="3">
        <f>Geometry_loads!N28</f>
        <v>889951.5</v>
      </c>
      <c r="W45" s="3">
        <f>Geometry_loads!O28</f>
        <v>16372.09</v>
      </c>
      <c r="X45" s="3">
        <f t="shared" si="17"/>
        <v>0</v>
      </c>
      <c r="Y45" s="3">
        <f t="shared" si="18"/>
        <v>0</v>
      </c>
      <c r="Z45" s="18">
        <f t="shared" si="19"/>
        <v>2.8058694962565682</v>
      </c>
      <c r="AA45" s="224">
        <f t="shared" si="20"/>
        <v>6.7465219465220363</v>
      </c>
      <c r="AB45" s="224">
        <f t="shared" si="21"/>
        <v>4.8540000000000001</v>
      </c>
      <c r="AC45" s="120">
        <f t="shared" si="22"/>
        <v>92</v>
      </c>
      <c r="AD45" s="224">
        <f t="shared" si="23"/>
        <v>113.59394744600246</v>
      </c>
      <c r="AE45" s="224">
        <f t="shared" si="24"/>
        <v>0.4096263212375163</v>
      </c>
      <c r="AF45" s="224">
        <f t="shared" si="25"/>
        <v>0.38447624918747192</v>
      </c>
      <c r="AG45" s="224">
        <f t="shared" si="26"/>
        <v>0.28994099499898318</v>
      </c>
      <c r="AH45" s="224">
        <f t="shared" si="27"/>
        <v>0.89599548645817584</v>
      </c>
      <c r="AI45" s="224">
        <f t="shared" si="28"/>
        <v>38.146071235300973</v>
      </c>
      <c r="AJ45" s="224">
        <f t="shared" si="29"/>
        <v>2.8736268254446693</v>
      </c>
      <c r="AK45" s="224">
        <f t="shared" si="30"/>
        <v>6.0549319421112649E-2</v>
      </c>
      <c r="AL45" s="224">
        <f t="shared" si="31"/>
        <v>0.66090401935699328</v>
      </c>
      <c r="AM45" s="224">
        <f>IF(_xlfn.MINIFS(Geometry!$AJ$26:$AJ$32,Geometry!$AI$26:$AI$32,"o",Geometry!$AK$26:$AK$32,C16)&lt;=0,1,_xlfn.MINIFS(Geometry!$AJ$26:$AJ$32,Geometry!$AI$26:$AI$32,"o",Geometry!$AK$26:$AK$32,C16))</f>
        <v>0.84599999999999997</v>
      </c>
      <c r="AN45" s="224">
        <f t="shared" si="32"/>
        <v>2.4248072009611419</v>
      </c>
      <c r="AO45" s="224">
        <f t="shared" si="33"/>
        <v>2.4248072009611419</v>
      </c>
      <c r="AP45" s="224">
        <f t="shared" si="34"/>
        <v>145.42981344119596</v>
      </c>
      <c r="AQ45" s="224">
        <f t="shared" si="35"/>
        <v>53.885355324811364</v>
      </c>
      <c r="AR45" s="224">
        <f t="shared" si="36"/>
        <v>38.245820164218827</v>
      </c>
      <c r="AS45" s="224">
        <f t="shared" si="37"/>
        <v>0.5593084801336653</v>
      </c>
      <c r="AT45" s="224">
        <f t="shared" si="38"/>
        <v>199.31516876600733</v>
      </c>
      <c r="AU45" s="224">
        <f t="shared" si="39"/>
        <v>0.70138078811428572</v>
      </c>
      <c r="AV45" s="224">
        <f t="shared" si="40"/>
        <v>0.69602122426224788</v>
      </c>
      <c r="AW45" s="224">
        <f t="shared" si="41"/>
        <v>0.15176912763578901</v>
      </c>
      <c r="AX45" s="224">
        <f t="shared" si="42"/>
        <v>0.76654615358615286</v>
      </c>
    </row>
    <row r="46" spans="3:50" ht="14.85" customHeight="1">
      <c r="C46" s="12" t="str">
        <f t="shared" si="5"/>
        <v>Can12</v>
      </c>
      <c r="D46" s="2">
        <f t="shared" si="6"/>
        <v>-36.799999999999997</v>
      </c>
      <c r="E46" s="43">
        <f t="shared" si="7"/>
        <v>9.8000000000000007</v>
      </c>
      <c r="F46" s="120">
        <f t="shared" si="8"/>
        <v>92</v>
      </c>
      <c r="G46" s="120">
        <f t="shared" si="9"/>
        <v>152.31097905806237</v>
      </c>
      <c r="H46" s="120">
        <f t="shared" si="10"/>
        <v>15.688844682497169</v>
      </c>
      <c r="I46" s="120">
        <f t="shared" si="11"/>
        <v>9.6687950466032611</v>
      </c>
      <c r="J46" s="120">
        <f>VLOOKUP(R46,'Steel grades'!$B$5:$J$22,IF(F46&gt;200,10,IF(F46&gt;150,9,IF(F46&gt;120,8,IF(F46&gt;100,7,IF(F46&gt;80,6,IF(F46&gt;63,5,IF(F46&gt;40,4,IF(F46&gt;16,3,2)))))))),FALSE)</f>
        <v>315</v>
      </c>
      <c r="K46" s="120">
        <f t="shared" si="12"/>
        <v>256.61866911734438</v>
      </c>
      <c r="L46" s="3">
        <f t="shared" si="13"/>
        <v>17.339123288773166</v>
      </c>
      <c r="M46" s="3">
        <f t="shared" si="14"/>
        <v>109.26866431594883</v>
      </c>
      <c r="N46" s="3">
        <f t="shared" si="15"/>
        <v>0.85947648886937555</v>
      </c>
      <c r="O46" s="3">
        <f t="shared" si="16"/>
        <v>0.50697531198221835</v>
      </c>
      <c r="P46" s="3">
        <f>(ABS(Geometry_loads!S29)/Z46+ABS(Geometry_loads!T29)/AA46)/(1000*J46)</f>
        <v>0.36725140157013242</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Geometry!M37</f>
        <v>S355 NL/ML</v>
      </c>
      <c r="T46" s="3">
        <f>Geometry_loads!L29</f>
        <v>-42196.418461538458</v>
      </c>
      <c r="U46" s="3">
        <f>Geometry_loads!M29</f>
        <v>-46413.081538461542</v>
      </c>
      <c r="V46" s="3">
        <f>Geometry_loads!N29</f>
        <v>934803.4923076923</v>
      </c>
      <c r="W46" s="3">
        <f>Geometry_loads!O29</f>
        <v>17229.514615384614</v>
      </c>
      <c r="X46" s="3">
        <f t="shared" si="17"/>
        <v>0</v>
      </c>
      <c r="Y46" s="3">
        <f t="shared" si="18"/>
        <v>0</v>
      </c>
      <c r="Z46" s="18">
        <f t="shared" si="19"/>
        <v>2.8058694962565682</v>
      </c>
      <c r="AA46" s="224">
        <f t="shared" si="20"/>
        <v>6.7465219465220363</v>
      </c>
      <c r="AB46" s="224">
        <f t="shared" si="21"/>
        <v>4.8540000000000001</v>
      </c>
      <c r="AC46" s="120">
        <f t="shared" si="22"/>
        <v>92</v>
      </c>
      <c r="AD46" s="224">
        <f t="shared" si="23"/>
        <v>113.59394744600246</v>
      </c>
      <c r="AE46" s="224">
        <f t="shared" si="24"/>
        <v>0.4096263212375163</v>
      </c>
      <c r="AF46" s="224">
        <f t="shared" si="25"/>
        <v>0.38447624918747192</v>
      </c>
      <c r="AG46" s="224">
        <f t="shared" si="26"/>
        <v>0.29012636853461315</v>
      </c>
      <c r="AH46" s="224">
        <f t="shared" si="27"/>
        <v>0.89612868580659955</v>
      </c>
      <c r="AI46" s="224">
        <f t="shared" si="28"/>
        <v>38.146071235300973</v>
      </c>
      <c r="AJ46" s="224">
        <f t="shared" si="29"/>
        <v>2.8736268254446693</v>
      </c>
      <c r="AK46" s="224">
        <f t="shared" si="30"/>
        <v>6.0549319421112649E-2</v>
      </c>
      <c r="AL46" s="224">
        <f t="shared" si="31"/>
        <v>0.66090401935699328</v>
      </c>
      <c r="AM46" s="224">
        <f>IF(_xlfn.MINIFS(Geometry!$AJ$26:$AJ$32,Geometry!$AI$26:$AI$32,"o",Geometry!$AK$26:$AK$32,C17)&lt;=0,1,_xlfn.MINIFS(Geometry!$AJ$26:$AJ$32,Geometry!$AI$26:$AI$32,"o",Geometry!$AK$26:$AK$32,C17))</f>
        <v>1</v>
      </c>
      <c r="AN46" s="224">
        <f t="shared" si="32"/>
        <v>0</v>
      </c>
      <c r="AO46" s="224">
        <f t="shared" si="33"/>
        <v>0</v>
      </c>
      <c r="AP46" s="224">
        <f t="shared" si="34"/>
        <v>152.31097905806237</v>
      </c>
      <c r="AQ46" s="224">
        <f t="shared" si="35"/>
        <v>0</v>
      </c>
      <c r="AR46" s="224">
        <f t="shared" si="36"/>
        <v>0</v>
      </c>
      <c r="AS46" s="224">
        <f t="shared" si="37"/>
        <v>0</v>
      </c>
      <c r="AT46" s="224">
        <f t="shared" si="38"/>
        <v>0</v>
      </c>
      <c r="AU46" s="224">
        <f t="shared" si="39"/>
        <v>0</v>
      </c>
      <c r="AV46" s="224">
        <f t="shared" si="40"/>
        <v>0</v>
      </c>
      <c r="AW46" s="224">
        <f t="shared" si="41"/>
        <v>0</v>
      </c>
      <c r="AX46" s="224">
        <f t="shared" si="42"/>
        <v>0</v>
      </c>
    </row>
    <row r="47" spans="3:50" ht="14.85" customHeight="1">
      <c r="C47" s="12" t="str">
        <f t="shared" si="5"/>
        <v>Can13</v>
      </c>
      <c r="D47" s="2">
        <f t="shared" si="6"/>
        <v>-40.200000000000003</v>
      </c>
      <c r="E47" s="43">
        <f t="shared" si="7"/>
        <v>9.8000000000000007</v>
      </c>
      <c r="F47" s="120">
        <f t="shared" si="8"/>
        <v>101</v>
      </c>
      <c r="G47" s="120">
        <f t="shared" si="9"/>
        <v>146.00075407386021</v>
      </c>
      <c r="H47" s="120">
        <f t="shared" si="10"/>
        <v>14.857139988344247</v>
      </c>
      <c r="I47" s="120">
        <f t="shared" si="11"/>
        <v>8.7990543375928212</v>
      </c>
      <c r="J47" s="120">
        <f>VLOOKUP(R47,'Steel grades'!$B$5:$J$22,IF(F47&gt;200,10,IF(F47&gt;150,9,IF(F47&gt;120,8,IF(F47&gt;100,7,IF(F47&gt;80,6,IF(F47&gt;63,5,IF(F47&gt;40,4,IF(F47&gt;16,3,2)))))))),FALSE)</f>
        <v>340</v>
      </c>
      <c r="K47" s="120">
        <f t="shared" si="12"/>
        <v>234.86088942201349</v>
      </c>
      <c r="L47" s="3">
        <f t="shared" si="13"/>
        <v>19.266152693339762</v>
      </c>
      <c r="M47" s="3">
        <f t="shared" si="14"/>
        <v>120.37825978198441</v>
      </c>
      <c r="N47" s="3">
        <f t="shared" si="15"/>
        <v>0.7798475519260607</v>
      </c>
      <c r="O47" s="3">
        <f t="shared" si="16"/>
        <v>0.44934127047303296</v>
      </c>
      <c r="P47" s="3">
        <f>(ABS(Geometry_loads!S30)/Z47+ABS(Geometry_loads!T30)/AA47)/(1000*J47)</f>
        <v>0.32651861679294042</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130</v>
      </c>
      <c r="R47" s="3" t="str">
        <f>Geometry!M38</f>
        <v>S420 NL</v>
      </c>
      <c r="T47" s="3">
        <f>Geometry_loads!L30</f>
        <v>-42697.566666666666</v>
      </c>
      <c r="U47" s="3">
        <f>Geometry_loads!M30</f>
        <v>-46414.76051282051</v>
      </c>
      <c r="V47" s="3">
        <f>Geometry_loads!N30</f>
        <v>985951.61025641044</v>
      </c>
      <c r="W47" s="3">
        <f>Geometry_loads!O30</f>
        <v>18075.91153846154</v>
      </c>
      <c r="X47" s="3">
        <f t="shared" si="17"/>
        <v>0</v>
      </c>
      <c r="Y47" s="3">
        <f t="shared" si="18"/>
        <v>0</v>
      </c>
      <c r="Z47" s="18">
        <f t="shared" si="19"/>
        <v>3.0775010218639087</v>
      </c>
      <c r="AA47" s="224">
        <f t="shared" si="20"/>
        <v>7.3860654156320455</v>
      </c>
      <c r="AB47" s="224">
        <f t="shared" si="21"/>
        <v>4.8494999999999999</v>
      </c>
      <c r="AC47" s="120">
        <f t="shared" si="22"/>
        <v>101</v>
      </c>
      <c r="AD47" s="224">
        <f t="shared" si="23"/>
        <v>108.46505047727562</v>
      </c>
      <c r="AE47" s="224">
        <f t="shared" si="24"/>
        <v>0.4097098299938231</v>
      </c>
      <c r="AF47" s="224">
        <f t="shared" si="25"/>
        <v>0.39430454944807303</v>
      </c>
      <c r="AG47" s="224">
        <f t="shared" si="26"/>
        <v>0.29049723869396266</v>
      </c>
      <c r="AH47" s="224">
        <f t="shared" si="27"/>
        <v>0.8981608203456225</v>
      </c>
      <c r="AI47" s="224">
        <f t="shared" si="28"/>
        <v>42.385535925347483</v>
      </c>
      <c r="AJ47" s="224">
        <f t="shared" si="29"/>
        <v>2.8322436980594436</v>
      </c>
      <c r="AK47" s="224">
        <f t="shared" si="30"/>
        <v>6.2331670478452179E-2</v>
      </c>
      <c r="AL47" s="224">
        <f t="shared" si="31"/>
        <v>0.67456290669421892</v>
      </c>
      <c r="AM47" s="224">
        <f>IF(_xlfn.MINIFS(Geometry!$AJ$26:$AJ$32,Geometry!$AI$26:$AI$32,"o",Geometry!$AK$26:$AK$32,C18)&lt;=0,1,_xlfn.MINIFS(Geometry!$AJ$26:$AJ$32,Geometry!$AI$26:$AI$32,"o",Geometry!$AK$26:$AK$32,C18))</f>
        <v>0.84599999999999997</v>
      </c>
      <c r="AN47" s="224">
        <f t="shared" si="32"/>
        <v>0</v>
      </c>
      <c r="AO47" s="224">
        <f t="shared" si="33"/>
        <v>0</v>
      </c>
      <c r="AP47" s="224">
        <f t="shared" si="34"/>
        <v>146.00075407386021</v>
      </c>
      <c r="AQ47" s="224">
        <f t="shared" si="35"/>
        <v>0</v>
      </c>
      <c r="AR47" s="224">
        <f t="shared" si="36"/>
        <v>0</v>
      </c>
      <c r="AS47" s="224">
        <f t="shared" si="37"/>
        <v>0</v>
      </c>
      <c r="AT47" s="224">
        <f t="shared" si="38"/>
        <v>0</v>
      </c>
      <c r="AU47" s="224">
        <f t="shared" si="39"/>
        <v>0</v>
      </c>
      <c r="AV47" s="224">
        <f t="shared" si="40"/>
        <v>0</v>
      </c>
      <c r="AW47" s="224">
        <f t="shared" si="41"/>
        <v>0</v>
      </c>
      <c r="AX47" s="224">
        <f t="shared" si="42"/>
        <v>0</v>
      </c>
    </row>
    <row r="48" spans="3:50" ht="14.85" customHeight="1">
      <c r="C48" s="12" t="str">
        <f t="shared" si="5"/>
        <v>Can14</v>
      </c>
      <c r="D48" s="2">
        <f t="shared" si="6"/>
        <v>-43.8</v>
      </c>
      <c r="E48" s="43">
        <f t="shared" si="7"/>
        <v>9.8000000000000007</v>
      </c>
      <c r="F48" s="120">
        <f t="shared" si="8"/>
        <v>92</v>
      </c>
      <c r="G48" s="120">
        <f t="shared" si="9"/>
        <v>168.72265777886525</v>
      </c>
      <c r="H48" s="120">
        <f t="shared" si="10"/>
        <v>16.869905035946712</v>
      </c>
      <c r="I48" s="120">
        <f t="shared" si="11"/>
        <v>9.6687950466032611</v>
      </c>
      <c r="J48" s="120">
        <f>VLOOKUP(R48,'Steel grades'!$B$5:$J$22,IF(F48&gt;200,10,IF(F48&gt;150,9,IF(F48&gt;120,8,IF(F48&gt;100,7,IF(F48&gt;80,6,IF(F48&gt;63,5,IF(F48&gt;40,4,IF(F48&gt;16,3,2)))))))),FALSE)</f>
        <v>315</v>
      </c>
      <c r="K48" s="120">
        <f t="shared" si="12"/>
        <v>256.75513156561129</v>
      </c>
      <c r="L48" s="3">
        <f t="shared" si="13"/>
        <v>17.339123288773166</v>
      </c>
      <c r="M48" s="3">
        <f t="shared" si="14"/>
        <v>109.26866431594883</v>
      </c>
      <c r="N48" s="3">
        <f t="shared" si="15"/>
        <v>0.94222253155602287</v>
      </c>
      <c r="O48" s="3">
        <f t="shared" si="16"/>
        <v>0.55936063572424566</v>
      </c>
      <c r="P48" s="3">
        <f>(ABS(Geometry_loads!S31)/Z48+ABS(Geometry_loads!T31)/AA48)/(1000*J48)</f>
        <v>0.40707851211212071</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Geometry!M39</f>
        <v>S355 NL/ML</v>
      </c>
      <c r="T48" s="3">
        <f>Geometry_loads!L31</f>
        <v>-43607.330673575125</v>
      </c>
      <c r="U48" s="3">
        <f>Geometry_loads!M31</f>
        <v>-46415.744870466318</v>
      </c>
      <c r="V48" s="3">
        <f>Geometry_loads!N31</f>
        <v>1043140.2010362694</v>
      </c>
      <c r="W48" s="3">
        <f>Geometry_loads!O31</f>
        <v>18886.190880829014</v>
      </c>
      <c r="X48" s="3">
        <f t="shared" si="17"/>
        <v>0</v>
      </c>
      <c r="Y48" s="3">
        <f t="shared" si="18"/>
        <v>0</v>
      </c>
      <c r="Z48" s="18">
        <f t="shared" si="19"/>
        <v>2.8058694962565682</v>
      </c>
      <c r="AA48" s="224">
        <f t="shared" si="20"/>
        <v>6.7465219465220363</v>
      </c>
      <c r="AB48" s="224">
        <f t="shared" si="21"/>
        <v>4.8540000000000001</v>
      </c>
      <c r="AC48" s="120">
        <f t="shared" si="22"/>
        <v>92</v>
      </c>
      <c r="AD48" s="224">
        <f t="shared" si="23"/>
        <v>113.59394744600246</v>
      </c>
      <c r="AE48" s="224">
        <f t="shared" si="24"/>
        <v>0.4096263212375163</v>
      </c>
      <c r="AF48" s="224">
        <f t="shared" si="25"/>
        <v>0.38447624918747192</v>
      </c>
      <c r="AG48" s="224">
        <f t="shared" si="26"/>
        <v>0.29078874877124017</v>
      </c>
      <c r="AH48" s="224">
        <f t="shared" si="27"/>
        <v>0.89660522134022991</v>
      </c>
      <c r="AI48" s="224">
        <f t="shared" si="28"/>
        <v>38.146071235300973</v>
      </c>
      <c r="AJ48" s="224">
        <f t="shared" si="29"/>
        <v>2.8736268254446693</v>
      </c>
      <c r="AK48" s="224">
        <f t="shared" si="30"/>
        <v>6.0549319421112649E-2</v>
      </c>
      <c r="AL48" s="224">
        <f t="shared" si="31"/>
        <v>0.66090401935699328</v>
      </c>
      <c r="AM48" s="224">
        <f>IF(_xlfn.MINIFS(Geometry!$AJ$26:$AJ$32,Geometry!$AI$26:$AI$32,"o",Geometry!$AK$26:$AK$32,C19)&lt;=0,1,_xlfn.MINIFS(Geometry!$AJ$26:$AJ$32,Geometry!$AI$26:$AI$32,"o",Geometry!$AK$26:$AK$32,C19))</f>
        <v>1</v>
      </c>
      <c r="AN48" s="224">
        <f t="shared" si="32"/>
        <v>0</v>
      </c>
      <c r="AO48" s="224">
        <f t="shared" si="33"/>
        <v>0</v>
      </c>
      <c r="AP48" s="224">
        <f t="shared" si="34"/>
        <v>168.72265777886525</v>
      </c>
      <c r="AQ48" s="224">
        <f t="shared" si="35"/>
        <v>0</v>
      </c>
      <c r="AR48" s="224">
        <f t="shared" si="36"/>
        <v>0</v>
      </c>
      <c r="AS48" s="224">
        <f t="shared" si="37"/>
        <v>0</v>
      </c>
      <c r="AT48" s="224">
        <f t="shared" si="38"/>
        <v>0</v>
      </c>
      <c r="AU48" s="224">
        <f t="shared" si="39"/>
        <v>0</v>
      </c>
      <c r="AV48" s="224">
        <f t="shared" si="40"/>
        <v>0</v>
      </c>
      <c r="AW48" s="224">
        <f t="shared" si="41"/>
        <v>0</v>
      </c>
      <c r="AX48" s="224">
        <f t="shared" si="42"/>
        <v>0</v>
      </c>
    </row>
    <row r="49" spans="3:50" ht="14.85" customHeight="1">
      <c r="C49" s="12" t="str">
        <f t="shared" si="5"/>
        <v>Can15</v>
      </c>
      <c r="D49" s="2">
        <f t="shared" si="6"/>
        <v>-47.8</v>
      </c>
      <c r="E49" s="43">
        <f t="shared" si="7"/>
        <v>9.8000000000000007</v>
      </c>
      <c r="F49" s="120">
        <f t="shared" si="8"/>
        <v>90</v>
      </c>
      <c r="G49" s="120">
        <f t="shared" si="9"/>
        <v>183.48232692984229</v>
      </c>
      <c r="H49" s="120">
        <f t="shared" si="10"/>
        <v>16.737090577979686</v>
      </c>
      <c r="I49" s="120">
        <f t="shared" si="11"/>
        <v>0</v>
      </c>
      <c r="J49" s="120">
        <f>VLOOKUP(R49,'Steel grades'!$B$5:$J$22,IF(F49&gt;200,10,IF(F49&gt;150,9,IF(F49&gt;120,8,IF(F49&gt;100,7,IF(F49&gt;80,6,IF(F49&gt;63,5,IF(F49&gt;40,4,IF(F49&gt;16,3,2)))))))),FALSE)</f>
        <v>315</v>
      </c>
      <c r="K49" s="120">
        <f t="shared" si="12"/>
        <v>255.78965845174665</v>
      </c>
      <c r="L49" s="3">
        <f t="shared" si="13"/>
        <v>16.936388252763969</v>
      </c>
      <c r="M49" s="3">
        <f t="shared" si="14"/>
        <v>107.72014165256439</v>
      </c>
      <c r="N49" s="3">
        <f t="shared" si="15"/>
        <v>0.71731722087761907</v>
      </c>
      <c r="O49" s="3">
        <f t="shared" si="16"/>
        <v>0.58970896476616619</v>
      </c>
      <c r="P49" s="3">
        <f>(ABS(Geometry_loads!S32)/Z49+ABS(Geometry_loads!T32)/AA49)/(1000*J49)</f>
        <v>0.44238607509256572</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180</v>
      </c>
      <c r="R49" s="3" t="str">
        <f>Geometry!M40</f>
        <v>S355 NL/ML</v>
      </c>
      <c r="T49" s="3">
        <f>Geometry_loads!L32</f>
        <v>-44127.25</v>
      </c>
      <c r="U49" s="3">
        <f>Geometry_loads!M32</f>
        <v>-46415.88</v>
      </c>
      <c r="V49" s="3">
        <f>Geometry_loads!N32</f>
        <v>1115708.2990745939</v>
      </c>
      <c r="W49" s="3">
        <f>Geometry_loads!O32</f>
        <v>18195.106522389811</v>
      </c>
      <c r="X49" s="3">
        <f t="shared" si="17"/>
        <v>0</v>
      </c>
      <c r="Y49" s="3">
        <f t="shared" si="18"/>
        <v>0</v>
      </c>
      <c r="Z49" s="18">
        <f t="shared" si="19"/>
        <v>2.7454378199721172</v>
      </c>
      <c r="AA49" s="224">
        <f t="shared" si="20"/>
        <v>6.6039125512340453</v>
      </c>
      <c r="AB49" s="224">
        <f t="shared" si="21"/>
        <v>4.8550000000000004</v>
      </c>
      <c r="AC49" s="120">
        <f t="shared" si="22"/>
        <v>90</v>
      </c>
      <c r="AD49" s="224">
        <f t="shared" si="23"/>
        <v>114.83733875510096</v>
      </c>
      <c r="AE49" s="224">
        <f t="shared" si="24"/>
        <v>0.41334127704360718</v>
      </c>
      <c r="AF49" s="224">
        <f t="shared" si="25"/>
        <v>0.38213887965963755</v>
      </c>
      <c r="AG49" s="224">
        <f t="shared" si="26"/>
        <v>0.29124006241349437</v>
      </c>
      <c r="AH49" s="224">
        <f t="shared" si="27"/>
        <v>0.89323372792673439</v>
      </c>
      <c r="AI49" s="224">
        <f t="shared" si="28"/>
        <v>37.260054156080741</v>
      </c>
      <c r="AJ49" s="224">
        <f t="shared" si="29"/>
        <v>2.9075924735886254</v>
      </c>
      <c r="AK49" s="224">
        <f t="shared" si="30"/>
        <v>5.9142943104890058E-2</v>
      </c>
      <c r="AL49" s="224">
        <f t="shared" si="31"/>
        <v>0.65153788626931375</v>
      </c>
      <c r="AM49" s="224">
        <f>IF(_xlfn.MINIFS(Geometry!$AJ$26:$AJ$32,Geometry!$AI$26:$AI$32,"o",Geometry!$AK$26:$AK$32,C20)&lt;=0,1,_xlfn.MINIFS(Geometry!$AJ$26:$AJ$32,Geometry!$AI$26:$AI$32,"o",Geometry!$AK$26:$AK$32,C20))</f>
        <v>1</v>
      </c>
      <c r="AN49" s="224">
        <f t="shared" si="32"/>
        <v>0</v>
      </c>
      <c r="AO49" s="224">
        <f t="shared" si="33"/>
        <v>0</v>
      </c>
      <c r="AP49" s="224">
        <f t="shared" si="34"/>
        <v>183.48232692984232</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Can16</v>
      </c>
      <c r="D50" s="2">
        <f t="shared" si="6"/>
        <v>-51.8</v>
      </c>
      <c r="E50" s="43">
        <f t="shared" si="7"/>
        <v>9.8000000000000007</v>
      </c>
      <c r="F50" s="120">
        <f t="shared" si="8"/>
        <v>80</v>
      </c>
      <c r="G50" s="120">
        <f t="shared" si="9"/>
        <v>217.45466026606482</v>
      </c>
      <c r="H50" s="120">
        <f t="shared" si="10"/>
        <v>16.51871495523746</v>
      </c>
      <c r="I50" s="120">
        <f t="shared" si="11"/>
        <v>0</v>
      </c>
      <c r="J50" s="120">
        <f>VLOOKUP(R50,'Steel grades'!$B$5:$J$22,IF(F50&gt;200,10,IF(F50&gt;150,9,IF(F50&gt;120,8,IF(F50&gt;100,7,IF(F50&gt;80,6,IF(F50&gt;63,5,IF(F50&gt;40,4,IF(F50&gt;16,3,2)))))))),FALSE)</f>
        <v>325</v>
      </c>
      <c r="K50" s="120">
        <f t="shared" si="12"/>
        <v>255.94484868464622</v>
      </c>
      <c r="L50" s="3">
        <f t="shared" si="13"/>
        <v>14.842679463244707</v>
      </c>
      <c r="M50" s="3">
        <f t="shared" si="14"/>
        <v>100.22014848951719</v>
      </c>
      <c r="N50" s="3">
        <f t="shared" si="15"/>
        <v>0.84961530338902902</v>
      </c>
      <c r="O50" s="3">
        <f t="shared" si="16"/>
        <v>0.6748579204596109</v>
      </c>
      <c r="P50" s="3">
        <f>(ABS(Geometry_loads!S33)/Z50+ABS(Geometry_loads!T33)/AA50)/(1000*J50)</f>
        <v>0.50638491762616777</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178.72301647476644</v>
      </c>
      <c r="R50" s="3" t="str">
        <f>Geometry!M41</f>
        <v>S355 NL/ML</v>
      </c>
      <c r="T50" s="3">
        <f>Geometry_loads!L33</f>
        <v>-44127.25</v>
      </c>
      <c r="U50" s="3">
        <f>Geometry_loads!M33</f>
        <v>-46415.88</v>
      </c>
      <c r="V50" s="3">
        <f>Geometry_loads!N33</f>
        <v>1183636.6503994924</v>
      </c>
      <c r="W50" s="3">
        <f>Geometry_loads!O33</f>
        <v>15401.508299989528</v>
      </c>
      <c r="X50" s="3">
        <f t="shared" si="17"/>
        <v>0</v>
      </c>
      <c r="Y50" s="3">
        <f t="shared" si="18"/>
        <v>0</v>
      </c>
      <c r="Z50" s="18">
        <f t="shared" si="19"/>
        <v>2.4429024474314329</v>
      </c>
      <c r="AA50" s="224">
        <f t="shared" si="20"/>
        <v>5.8881925807415705</v>
      </c>
      <c r="AB50" s="224">
        <f t="shared" si="21"/>
        <v>4.8600000000000003</v>
      </c>
      <c r="AC50" s="120">
        <f t="shared" si="22"/>
        <v>80</v>
      </c>
      <c r="AD50" s="224">
        <f t="shared" si="23"/>
        <v>121.74071926162358</v>
      </c>
      <c r="AE50" s="224">
        <f t="shared" si="24"/>
        <v>0.44088563307023187</v>
      </c>
      <c r="AF50" s="224">
        <f t="shared" si="25"/>
        <v>0.36947915868453485</v>
      </c>
      <c r="AG50" s="224">
        <f t="shared" si="26"/>
        <v>0.29169323318816354</v>
      </c>
      <c r="AH50" s="224">
        <f t="shared" si="27"/>
        <v>0.86627487247111024</v>
      </c>
      <c r="AI50" s="224">
        <f t="shared" si="28"/>
        <v>32.653894819138358</v>
      </c>
      <c r="AJ50" s="224">
        <f t="shared" si="29"/>
        <v>3.1548170968836802</v>
      </c>
      <c r="AK50" s="224">
        <f t="shared" si="30"/>
        <v>5.0236761260212856E-2</v>
      </c>
      <c r="AL50" s="224">
        <f t="shared" si="31"/>
        <v>0.58752316319549269</v>
      </c>
      <c r="AM50" s="224">
        <f>IF(_xlfn.MINIFS(Geometry!$AJ$26:$AJ$32,Geometry!$AI$26:$AI$32,"o",Geometry!$AK$26:$AK$32,C21)&lt;=0,1,_xlfn.MINIFS(Geometry!$AJ$26:$AJ$32,Geometry!$AI$26:$AI$32,"o",Geometry!$AK$26:$AK$32,C21))</f>
        <v>1</v>
      </c>
      <c r="AN50" s="224">
        <f t="shared" si="32"/>
        <v>0</v>
      </c>
      <c r="AO50" s="224">
        <f t="shared" si="33"/>
        <v>0</v>
      </c>
      <c r="AP50" s="224">
        <f t="shared" si="34"/>
        <v>217.45466026606482</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Can17</v>
      </c>
      <c r="D51" s="2">
        <f t="shared" si="6"/>
        <v>-55.8</v>
      </c>
      <c r="E51" s="43">
        <f t="shared" si="7"/>
        <v>9.8000000000000007</v>
      </c>
      <c r="F51" s="120">
        <f t="shared" si="8"/>
        <v>80</v>
      </c>
      <c r="G51" s="120">
        <f t="shared" si="9"/>
        <v>226.85224199743394</v>
      </c>
      <c r="H51" s="120">
        <f t="shared" si="10"/>
        <v>13.834379411808921</v>
      </c>
      <c r="I51" s="120">
        <f t="shared" si="11"/>
        <v>0</v>
      </c>
      <c r="J51" s="120">
        <f>VLOOKUP(R51,'Steel grades'!$B$5:$J$22,IF(F51&gt;200,10,IF(F51&gt;150,9,IF(F51&gt;120,8,IF(F51&gt;100,7,IF(F51&gt;80,6,IF(F51&gt;63,5,IF(F51&gt;40,4,IF(F51&gt;16,3,2)))))))),FALSE)</f>
        <v>325</v>
      </c>
      <c r="K51" s="120">
        <f t="shared" si="12"/>
        <v>256.01570460231244</v>
      </c>
      <c r="L51" s="3">
        <f t="shared" si="13"/>
        <v>14.842679463244707</v>
      </c>
      <c r="M51" s="3">
        <f t="shared" si="14"/>
        <v>100.22014848951719</v>
      </c>
      <c r="N51" s="3">
        <f t="shared" si="15"/>
        <v>0.88608721230527554</v>
      </c>
      <c r="O51" s="3">
        <f t="shared" si="16"/>
        <v>0.70188999195632129</v>
      </c>
      <c r="P51" s="3">
        <f>(ABS(Geometry_loads!S34)/Z51+ABS(Geometry_loads!T34)/AA51)/(1000*J51)</f>
        <v>0.52613706000548166</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174.77258799890367</v>
      </c>
      <c r="R51" s="3" t="str">
        <f>Geometry!M42</f>
        <v>S355 NL/ML</v>
      </c>
      <c r="T51" s="3">
        <f>Geometry_loads!L34</f>
        <v>-44127.25</v>
      </c>
      <c r="U51" s="3">
        <f>Geometry_loads!M34</f>
        <v>-46415.88</v>
      </c>
      <c r="V51" s="3">
        <f>Geometry_loads!N34</f>
        <v>1239423.0726494335</v>
      </c>
      <c r="W51" s="3">
        <f>Geometry_loads!O34</f>
        <v>12122.723365605159</v>
      </c>
      <c r="X51" s="3">
        <f t="shared" si="17"/>
        <v>0</v>
      </c>
      <c r="Y51" s="3">
        <f t="shared" si="18"/>
        <v>0</v>
      </c>
      <c r="Z51" s="18">
        <f t="shared" si="19"/>
        <v>2.4429024474314329</v>
      </c>
      <c r="AA51" s="224">
        <f t="shared" si="20"/>
        <v>5.8881925807415705</v>
      </c>
      <c r="AB51" s="224">
        <f t="shared" si="21"/>
        <v>4.8600000000000003</v>
      </c>
      <c r="AC51" s="120">
        <f t="shared" si="22"/>
        <v>80</v>
      </c>
      <c r="AD51" s="224">
        <f t="shared" si="23"/>
        <v>121.74071926162358</v>
      </c>
      <c r="AE51" s="224">
        <f t="shared" si="24"/>
        <v>0.44088563307023187</v>
      </c>
      <c r="AF51" s="224">
        <f t="shared" si="25"/>
        <v>0.36947915868453485</v>
      </c>
      <c r="AG51" s="224">
        <f t="shared" si="26"/>
        <v>0.29203734933773434</v>
      </c>
      <c r="AH51" s="224">
        <f t="shared" si="27"/>
        <v>0.86651469250013435</v>
      </c>
      <c r="AI51" s="224">
        <f t="shared" si="28"/>
        <v>32.653894819138358</v>
      </c>
      <c r="AJ51" s="224">
        <f t="shared" si="29"/>
        <v>3.1548170968836802</v>
      </c>
      <c r="AK51" s="224">
        <f t="shared" si="30"/>
        <v>5.0236761260212856E-2</v>
      </c>
      <c r="AL51" s="224">
        <f t="shared" si="31"/>
        <v>0.58752316319549269</v>
      </c>
      <c r="AM51" s="224">
        <f>IF(_xlfn.MINIFS(Geometry!$AJ$26:$AJ$32,Geometry!$AI$26:$AI$32,"o",Geometry!$AK$26:$AK$32,C22)&lt;=0,1,_xlfn.MINIFS(Geometry!$AJ$26:$AJ$32,Geometry!$AI$26:$AI$32,"o",Geometry!$AK$26:$AK$32,C22))</f>
        <v>1</v>
      </c>
      <c r="AN51" s="224">
        <f t="shared" si="32"/>
        <v>0</v>
      </c>
      <c r="AO51" s="224">
        <f t="shared" si="33"/>
        <v>0</v>
      </c>
      <c r="AP51" s="224">
        <f t="shared" si="34"/>
        <v>226.85224199743394</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Can18</v>
      </c>
      <c r="D52" s="2">
        <f t="shared" si="6"/>
        <v>-59.8</v>
      </c>
      <c r="E52" s="43">
        <f t="shared" si="7"/>
        <v>9.8000000000000007</v>
      </c>
      <c r="F52" s="120">
        <f t="shared" si="8"/>
        <v>80</v>
      </c>
      <c r="G52" s="120">
        <f t="shared" si="9"/>
        <v>232.65543274545755</v>
      </c>
      <c r="H52" s="120">
        <f t="shared" si="10"/>
        <v>4.3500344008113814</v>
      </c>
      <c r="I52" s="120">
        <f t="shared" si="11"/>
        <v>0</v>
      </c>
      <c r="J52" s="120">
        <f>VLOOKUP(R52,'Steel grades'!$B$5:$J$22,IF(F52&gt;200,10,IF(F52&gt;150,9,IF(F52&gt;120,8,IF(F52&gt;100,7,IF(F52&gt;80,6,IF(F52&gt;63,5,IF(F52&gt;40,4,IF(F52&gt;16,3,2)))))))),FALSE)</f>
        <v>325</v>
      </c>
      <c r="K52" s="120">
        <f t="shared" si="12"/>
        <v>256.05663393273289</v>
      </c>
      <c r="L52" s="3">
        <f t="shared" si="13"/>
        <v>14.842679463244707</v>
      </c>
      <c r="M52" s="3">
        <f t="shared" si="14"/>
        <v>100.22014848951719</v>
      </c>
      <c r="N52" s="3">
        <f t="shared" si="15"/>
        <v>0.90860927589393004</v>
      </c>
      <c r="O52" s="3">
        <f t="shared" si="16"/>
        <v>0.71623815935211288</v>
      </c>
      <c r="P52" s="3">
        <f>(ABS(Geometry_loads!S35)/Z52+ABS(Geometry_loads!T35)/AA52)/(1000*J52)</f>
        <v>0.53667033141030329</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172.66593371793934</v>
      </c>
      <c r="R52" s="3" t="str">
        <f>Geometry!M43</f>
        <v>S355 NL/ML</v>
      </c>
      <c r="T52" s="3">
        <f>Geometry_loads!L35</f>
        <v>-44127.25</v>
      </c>
      <c r="U52" s="3">
        <f>Geometry_loads!M35</f>
        <v>-46415.88</v>
      </c>
      <c r="V52" s="3">
        <f>Geometry_loads!N35</f>
        <v>1273872.2808308911</v>
      </c>
      <c r="W52" s="3">
        <f>Geometry_loads!O35</f>
        <v>-538.05854578020774</v>
      </c>
      <c r="X52" s="3">
        <f t="shared" si="17"/>
        <v>0</v>
      </c>
      <c r="Y52" s="3">
        <f t="shared" si="18"/>
        <v>0</v>
      </c>
      <c r="Z52" s="18">
        <f t="shared" si="19"/>
        <v>2.4429024474314329</v>
      </c>
      <c r="AA52" s="224">
        <f t="shared" si="20"/>
        <v>5.8881925807415705</v>
      </c>
      <c r="AB52" s="224">
        <f t="shared" si="21"/>
        <v>4.8600000000000003</v>
      </c>
      <c r="AC52" s="120">
        <f t="shared" si="22"/>
        <v>80</v>
      </c>
      <c r="AD52" s="224">
        <f t="shared" si="23"/>
        <v>121.74071926162358</v>
      </c>
      <c r="AE52" s="224">
        <f t="shared" si="24"/>
        <v>0.44088563307023187</v>
      </c>
      <c r="AF52" s="224">
        <f t="shared" si="25"/>
        <v>0.36947915868453485</v>
      </c>
      <c r="AG52" s="224">
        <f t="shared" si="26"/>
        <v>0.29223596400195134</v>
      </c>
      <c r="AH52" s="224">
        <f t="shared" si="27"/>
        <v>0.86665322254155752</v>
      </c>
      <c r="AI52" s="224">
        <f t="shared" si="28"/>
        <v>32.653894819138358</v>
      </c>
      <c r="AJ52" s="224">
        <f t="shared" si="29"/>
        <v>3.1548170968836802</v>
      </c>
      <c r="AK52" s="224">
        <f t="shared" si="30"/>
        <v>5.0236761260212856E-2</v>
      </c>
      <c r="AL52" s="224">
        <f t="shared" si="31"/>
        <v>0.58752316319549269</v>
      </c>
      <c r="AM52" s="224">
        <f>IF(_xlfn.MINIFS(Geometry!$AJ$26:$AJ$32,Geometry!$AI$26:$AI$32,"o",Geometry!$AK$26:$AK$32,C23)&lt;=0,1,_xlfn.MINIFS(Geometry!$AJ$26:$AJ$32,Geometry!$AI$26:$AI$32,"o",Geometry!$AK$26:$AK$32,C23))</f>
        <v>1</v>
      </c>
      <c r="AN52" s="224">
        <f t="shared" si="32"/>
        <v>0</v>
      </c>
      <c r="AO52" s="224">
        <f t="shared" si="33"/>
        <v>0</v>
      </c>
      <c r="AP52" s="224">
        <f t="shared" si="34"/>
        <v>232.65543274545755</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Can19</v>
      </c>
      <c r="D53" s="2">
        <f t="shared" si="6"/>
        <v>-63.8</v>
      </c>
      <c r="E53" s="43">
        <f t="shared" si="7"/>
        <v>9.8000000000000007</v>
      </c>
      <c r="F53" s="120">
        <f t="shared" si="8"/>
        <v>80</v>
      </c>
      <c r="G53" s="120">
        <f t="shared" si="9"/>
        <v>222.47270163512718</v>
      </c>
      <c r="H53" s="120">
        <f t="shared" si="10"/>
        <v>29.483223874762142</v>
      </c>
      <c r="I53" s="120">
        <f t="shared" si="11"/>
        <v>0</v>
      </c>
      <c r="J53" s="120">
        <f>VLOOKUP(R53,'Steel grades'!$B$5:$J$22,IF(F53&gt;200,10,IF(F53&gt;150,9,IF(F53&gt;120,8,IF(F53&gt;100,7,IF(F53&gt;80,6,IF(F53&gt;63,5,IF(F53&gt;40,4,IF(F53&gt;16,3,2)))))))),FALSE)</f>
        <v>325</v>
      </c>
      <c r="K53" s="120">
        <f t="shared" si="12"/>
        <v>255.9834195037985</v>
      </c>
      <c r="L53" s="3">
        <f t="shared" si="13"/>
        <v>14.842679463244707</v>
      </c>
      <c r="M53" s="3">
        <f t="shared" si="14"/>
        <v>100.22014848951719</v>
      </c>
      <c r="N53" s="3">
        <f t="shared" si="15"/>
        <v>0.86909027962190322</v>
      </c>
      <c r="O53" s="3">
        <f t="shared" si="16"/>
        <v>0.70233345267765068</v>
      </c>
      <c r="P53" s="3">
        <f>(ABS(Geometry_loads!S36)/Z53+ABS(Geometry_loads!T36)/AA53)/(1000*J53)</f>
        <v>0.51017711733306603</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177.96457653338678</v>
      </c>
      <c r="R53" s="3" t="str">
        <f>Geometry!M44</f>
        <v>S355 NL/ML</v>
      </c>
      <c r="T53" s="3">
        <f>Geometry_loads!L36</f>
        <v>-44127.25</v>
      </c>
      <c r="U53" s="3">
        <f>Geometry_loads!M36</f>
        <v>-46415.88</v>
      </c>
      <c r="V53" s="3">
        <f>Geometry_loads!N36</f>
        <v>1213425.0132660531</v>
      </c>
      <c r="W53" s="3">
        <f>Geometry_loads!O36</f>
        <v>-31237.023584616207</v>
      </c>
      <c r="X53" s="3">
        <f t="shared" si="17"/>
        <v>0</v>
      </c>
      <c r="Y53" s="3">
        <f t="shared" si="18"/>
        <v>0</v>
      </c>
      <c r="Z53" s="18">
        <f t="shared" si="19"/>
        <v>2.4429024474314329</v>
      </c>
      <c r="AA53" s="224">
        <f t="shared" si="20"/>
        <v>5.8881925807415705</v>
      </c>
      <c r="AB53" s="224">
        <f t="shared" si="21"/>
        <v>4.8600000000000003</v>
      </c>
      <c r="AC53" s="120">
        <f t="shared" si="22"/>
        <v>80</v>
      </c>
      <c r="AD53" s="224">
        <f t="shared" si="23"/>
        <v>121.74071926162358</v>
      </c>
      <c r="AE53" s="224">
        <f t="shared" si="24"/>
        <v>0.44088563307023187</v>
      </c>
      <c r="AF53" s="224">
        <f t="shared" si="25"/>
        <v>0.36947915868453485</v>
      </c>
      <c r="AG53" s="224">
        <f t="shared" si="26"/>
        <v>0.2918805986455818</v>
      </c>
      <c r="AH53" s="224">
        <f t="shared" si="27"/>
        <v>0.86640541985901032</v>
      </c>
      <c r="AI53" s="224">
        <f t="shared" si="28"/>
        <v>32.653894819138358</v>
      </c>
      <c r="AJ53" s="224">
        <f t="shared" si="29"/>
        <v>3.1548170968836802</v>
      </c>
      <c r="AK53" s="224">
        <f t="shared" si="30"/>
        <v>5.0236761260212856E-2</v>
      </c>
      <c r="AL53" s="224">
        <f t="shared" si="31"/>
        <v>0.58752316319549269</v>
      </c>
      <c r="AM53" s="224">
        <f>IF(_xlfn.MINIFS(Geometry!$AJ$26:$AJ$32,Geometry!$AI$26:$AI$32,"o",Geometry!$AK$26:$AK$32,C24)&lt;=0,1,_xlfn.MINIFS(Geometry!$AJ$26:$AJ$32,Geometry!$AI$26:$AI$32,"o",Geometry!$AK$26:$AK$32,C24))</f>
        <v>1</v>
      </c>
      <c r="AN53" s="224">
        <f t="shared" si="32"/>
        <v>0</v>
      </c>
      <c r="AO53" s="224">
        <f t="shared" si="33"/>
        <v>0</v>
      </c>
      <c r="AP53" s="224">
        <f t="shared" si="34"/>
        <v>222.47270163512715</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Can20</v>
      </c>
      <c r="D54" s="2">
        <f t="shared" si="6"/>
        <v>-67.8</v>
      </c>
      <c r="E54" s="43">
        <f t="shared" si="7"/>
        <v>9.8000000000000007</v>
      </c>
      <c r="F54" s="120">
        <f t="shared" si="8"/>
        <v>80</v>
      </c>
      <c r="G54" s="120">
        <f t="shared" si="9"/>
        <v>193.55795421193585</v>
      </c>
      <c r="H54" s="120">
        <f t="shared" si="10"/>
        <v>50.362989912587594</v>
      </c>
      <c r="I54" s="120">
        <f t="shared" si="11"/>
        <v>0</v>
      </c>
      <c r="J54" s="120">
        <f>VLOOKUP(R54,'Steel grades'!$B$5:$J$22,IF(F54&gt;200,10,IF(F54&gt;150,9,IF(F54&gt;120,8,IF(F54&gt;100,7,IF(F54&gt;80,6,IF(F54&gt;63,5,IF(F54&gt;40,4,IF(F54&gt;16,3,2)))))))),FALSE)</f>
        <v>325</v>
      </c>
      <c r="K54" s="120">
        <f t="shared" si="12"/>
        <v>255.73411112721718</v>
      </c>
      <c r="L54" s="3">
        <f t="shared" si="13"/>
        <v>14.842679463244707</v>
      </c>
      <c r="M54" s="3">
        <f t="shared" si="14"/>
        <v>100.22014848951719</v>
      </c>
      <c r="N54" s="3">
        <f t="shared" si="15"/>
        <v>0.8602728388717531</v>
      </c>
      <c r="O54" s="3">
        <f t="shared" si="16"/>
        <v>0.65325021817864548</v>
      </c>
      <c r="P54" s="3">
        <f>(ABS(Geometry_loads!S37)/Z54+ABS(Geometry_loads!T37)/AA54)/(1000*J54)</f>
        <v>0.44129009712287975</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Geometry!M45</f>
        <v>S355 NL/ML</v>
      </c>
      <c r="T54" s="3">
        <f>Geometry_loads!L37</f>
        <v>-44127.25</v>
      </c>
      <c r="U54" s="3">
        <f>Geometry_loads!M37</f>
        <v>-46415.88</v>
      </c>
      <c r="V54" s="3">
        <f>Geometry_loads!N37</f>
        <v>1041779.7586559026</v>
      </c>
      <c r="W54" s="3">
        <f>Geometry_loads!O37</f>
        <v>-56740.639362415859</v>
      </c>
      <c r="X54" s="3">
        <f t="shared" si="17"/>
        <v>0</v>
      </c>
      <c r="Y54" s="3">
        <f t="shared" si="18"/>
        <v>0</v>
      </c>
      <c r="Z54" s="18">
        <f t="shared" si="19"/>
        <v>2.4429024474314329</v>
      </c>
      <c r="AA54" s="224">
        <f t="shared" si="20"/>
        <v>5.8881925807415705</v>
      </c>
      <c r="AB54" s="224">
        <f t="shared" si="21"/>
        <v>4.8600000000000003</v>
      </c>
      <c r="AC54" s="120">
        <f t="shared" si="22"/>
        <v>80</v>
      </c>
      <c r="AD54" s="224">
        <f t="shared" si="23"/>
        <v>121.74071926162358</v>
      </c>
      <c r="AE54" s="224">
        <f t="shared" si="24"/>
        <v>0.44088563307023187</v>
      </c>
      <c r="AF54" s="224">
        <f t="shared" si="25"/>
        <v>0.36947915868453485</v>
      </c>
      <c r="AG54" s="224">
        <f t="shared" si="26"/>
        <v>0.29066767799684706</v>
      </c>
      <c r="AH54" s="224">
        <f t="shared" si="27"/>
        <v>0.86556160689211969</v>
      </c>
      <c r="AI54" s="224">
        <f t="shared" si="28"/>
        <v>32.653894819138358</v>
      </c>
      <c r="AJ54" s="224">
        <f t="shared" si="29"/>
        <v>3.1548170968836802</v>
      </c>
      <c r="AK54" s="224">
        <f t="shared" si="30"/>
        <v>5.0236761260212856E-2</v>
      </c>
      <c r="AL54" s="224">
        <f t="shared" si="31"/>
        <v>0.58752316319549269</v>
      </c>
      <c r="AM54" s="224">
        <f>IF(_xlfn.MINIFS(Geometry!$AJ$26:$AJ$32,Geometry!$AI$26:$AI$32,"o",Geometry!$AK$26:$AK$32,C25)&lt;=0,1,_xlfn.MINIFS(Geometry!$AJ$26:$AJ$32,Geometry!$AI$26:$AI$32,"o",Geometry!$AK$26:$AK$32,C25))</f>
        <v>1</v>
      </c>
      <c r="AN54" s="224">
        <f t="shared" si="32"/>
        <v>0</v>
      </c>
      <c r="AO54" s="224">
        <f t="shared" si="33"/>
        <v>0</v>
      </c>
      <c r="AP54" s="224">
        <f t="shared" si="34"/>
        <v>193.55795421193582</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Can21</v>
      </c>
      <c r="D55" s="2">
        <f t="shared" si="6"/>
        <v>-71.8</v>
      </c>
      <c r="E55" s="43">
        <f t="shared" si="7"/>
        <v>9.8000000000000007</v>
      </c>
      <c r="F55" s="120">
        <f t="shared" si="8"/>
        <v>87</v>
      </c>
      <c r="G55" s="120">
        <f t="shared" si="9"/>
        <v>136.85657229771019</v>
      </c>
      <c r="H55" s="120">
        <f t="shared" si="10"/>
        <v>62.074005110276815</v>
      </c>
      <c r="I55" s="120">
        <f t="shared" si="11"/>
        <v>0</v>
      </c>
      <c r="J55" s="120">
        <f>VLOOKUP(R55,'Steel grades'!$B$5:$J$22,IF(F55&gt;200,10,IF(F55&gt;150,9,IF(F55&gt;120,8,IF(F55&gt;100,7,IF(F55&gt;80,6,IF(F55&gt;63,5,IF(F55&gt;40,4,IF(F55&gt;16,3,2)))))))),FALSE)</f>
        <v>315</v>
      </c>
      <c r="K55" s="120">
        <f t="shared" si="12"/>
        <v>253.42392684561133</v>
      </c>
      <c r="L55" s="3">
        <f t="shared" si="13"/>
        <v>16.349618193630775</v>
      </c>
      <c r="M55" s="3">
        <f t="shared" si="14"/>
        <v>105.28964956400503</v>
      </c>
      <c r="N55" s="3">
        <f t="shared" si="15"/>
        <v>0.67220865340947711</v>
      </c>
      <c r="O55" s="3">
        <f t="shared" si="16"/>
        <v>0.55250197280721247</v>
      </c>
      <c r="P55" s="3">
        <f>(ABS(Geometry_loads!S38)/Z55+ABS(Geometry_loads!T38)/AA55)/(1000*J55)</f>
        <v>0.32060734030231791</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Geometry!M46</f>
        <v>S355 NL/ML</v>
      </c>
      <c r="T55" s="3">
        <f>Geometry_loads!L38</f>
        <v>-44127.25</v>
      </c>
      <c r="U55" s="3">
        <f>Geometry_loads!M38</f>
        <v>-46415.88</v>
      </c>
      <c r="V55" s="3">
        <f>Geometry_loads!N38</f>
        <v>775077.49362442084</v>
      </c>
      <c r="W55" s="3">
        <f>Geometry_loads!O38</f>
        <v>-77616.533138165105</v>
      </c>
      <c r="X55" s="3">
        <f t="shared" si="17"/>
        <v>0</v>
      </c>
      <c r="Y55" s="3">
        <f t="shared" si="18"/>
        <v>0</v>
      </c>
      <c r="Z55" s="18">
        <f t="shared" si="19"/>
        <v>2.6547431816556326</v>
      </c>
      <c r="AA55" s="224">
        <f t="shared" si="20"/>
        <v>6.3896646580390648</v>
      </c>
      <c r="AB55" s="224">
        <f t="shared" si="21"/>
        <v>4.8565000000000005</v>
      </c>
      <c r="AC55" s="120">
        <f t="shared" si="22"/>
        <v>87</v>
      </c>
      <c r="AD55" s="224">
        <f t="shared" si="23"/>
        <v>116.78247324055174</v>
      </c>
      <c r="AE55" s="224">
        <f t="shared" si="24"/>
        <v>0.41916257388480527</v>
      </c>
      <c r="AF55" s="224">
        <f t="shared" si="25"/>
        <v>0.37851754309364416</v>
      </c>
      <c r="AG55" s="224">
        <f t="shared" si="26"/>
        <v>0.2878544079270865</v>
      </c>
      <c r="AH55" s="224">
        <f t="shared" si="27"/>
        <v>0.88497244295292854</v>
      </c>
      <c r="AI55" s="224">
        <f t="shared" si="28"/>
        <v>35.969160025987705</v>
      </c>
      <c r="AJ55" s="224">
        <f t="shared" si="29"/>
        <v>2.9593077322141301</v>
      </c>
      <c r="AK55" s="224">
        <f t="shared" si="30"/>
        <v>5.7093904803155092E-2</v>
      </c>
      <c r="AL55" s="224">
        <f t="shared" si="31"/>
        <v>0.63683722162405365</v>
      </c>
      <c r="AM55" s="224">
        <f>IF(_xlfn.MINIFS(Geometry!$AJ$26:$AJ$32,Geometry!$AI$26:$AI$32,"o",Geometry!$AK$26:$AK$32,C26)&lt;=0,1,_xlfn.MINIFS(Geometry!$AJ$26:$AJ$32,Geometry!$AI$26:$AI$32,"o",Geometry!$AK$26:$AK$32,C26))</f>
        <v>1</v>
      </c>
      <c r="AN55" s="224">
        <f t="shared" si="32"/>
        <v>0</v>
      </c>
      <c r="AO55" s="224">
        <f t="shared" si="33"/>
        <v>0</v>
      </c>
      <c r="AP55" s="224">
        <f t="shared" si="34"/>
        <v>136.85657229771019</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Can22</v>
      </c>
      <c r="D56" s="2">
        <f t="shared" si="6"/>
        <v>-75.8</v>
      </c>
      <c r="E56" s="43">
        <f t="shared" si="7"/>
        <v>9.8000000000000007</v>
      </c>
      <c r="F56" s="120">
        <f t="shared" si="8"/>
        <v>95</v>
      </c>
      <c r="G56" s="120">
        <f t="shared" si="9"/>
        <v>78.370513938026022</v>
      </c>
      <c r="H56" s="120">
        <f t="shared" si="10"/>
        <v>63.317576734879786</v>
      </c>
      <c r="I56" s="120">
        <f t="shared" si="11"/>
        <v>0</v>
      </c>
      <c r="J56" s="120">
        <f>VLOOKUP(R56,'Steel grades'!$B$5:$J$22,IF(F56&gt;200,10,IF(F56&gt;150,9,IF(F56&gt;120,8,IF(F56&gt;100,7,IF(F56&gt;80,6,IF(F56&gt;63,5,IF(F56&gt;40,4,IF(F56&gt;16,3,2)))))))),FALSE)</f>
        <v>315</v>
      </c>
      <c r="K56" s="120">
        <f t="shared" si="12"/>
        <v>256.17445737133875</v>
      </c>
      <c r="L56" s="3">
        <f t="shared" si="13"/>
        <v>17.960586647077072</v>
      </c>
      <c r="M56" s="3">
        <f t="shared" si="14"/>
        <v>111.4917169939298</v>
      </c>
      <c r="N56" s="3">
        <f t="shared" si="15"/>
        <v>0.56791283193106745</v>
      </c>
      <c r="O56" s="3">
        <f t="shared" si="16"/>
        <v>0.42791583042741654</v>
      </c>
      <c r="P56" s="3">
        <f>(ABS(Geometry_loads!S39)/Z56+ABS(Geometry_loads!T39)/AA56)/(1000*J56)</f>
        <v>0.18353627085885552</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Geometry!M47</f>
        <v>S355 NL/ML</v>
      </c>
      <c r="T56" s="3">
        <f>Geometry_loads!L39</f>
        <v>-44127.25</v>
      </c>
      <c r="U56" s="3">
        <f>Geometry_loads!M39</f>
        <v>-46415.88</v>
      </c>
      <c r="V56" s="3">
        <f>Geometry_loads!N39</f>
        <v>443689.75354203791</v>
      </c>
      <c r="W56" s="3">
        <f>Geometry_loads!O39</f>
        <v>-86916.050188022709</v>
      </c>
      <c r="X56" s="3">
        <f t="shared" si="17"/>
        <v>0</v>
      </c>
      <c r="Y56" s="3">
        <f t="shared" si="18"/>
        <v>0</v>
      </c>
      <c r="Z56" s="18">
        <f t="shared" si="19"/>
        <v>2.8964698867934486</v>
      </c>
      <c r="AA56" s="224">
        <f t="shared" si="20"/>
        <v>6.9601026091808569</v>
      </c>
      <c r="AB56" s="224">
        <f t="shared" si="21"/>
        <v>4.8525</v>
      </c>
      <c r="AC56" s="120">
        <f t="shared" si="22"/>
        <v>95</v>
      </c>
      <c r="AD56" s="224">
        <f t="shared" si="23"/>
        <v>111.80324705096992</v>
      </c>
      <c r="AE56" s="224">
        <f t="shared" si="24"/>
        <v>0.40428519431312732</v>
      </c>
      <c r="AF56" s="224">
        <f t="shared" si="25"/>
        <v>0.38787344180203998</v>
      </c>
      <c r="AG56" s="224">
        <f t="shared" si="26"/>
        <v>0.28056049729921878</v>
      </c>
      <c r="AH56" s="224">
        <f t="shared" si="27"/>
        <v>0.8945774701856275</v>
      </c>
      <c r="AI56" s="224">
        <f t="shared" si="28"/>
        <v>39.51329062356956</v>
      </c>
      <c r="AJ56" s="224">
        <f t="shared" si="29"/>
        <v>2.8234732499603452</v>
      </c>
      <c r="AK56" s="224">
        <f t="shared" si="30"/>
        <v>6.271950892630089E-2</v>
      </c>
      <c r="AL56" s="224">
        <f t="shared" si="31"/>
        <v>0.67435000095947473</v>
      </c>
      <c r="AM56" s="224">
        <f>IF(_xlfn.MINIFS(Geometry!$AJ$26:$AJ$32,Geometry!$AI$26:$AI$32,"o",Geometry!$AK$26:$AK$32,C27)&lt;=0,1,_xlfn.MINIFS(Geometry!$AJ$26:$AJ$32,Geometry!$AI$26:$AI$32,"o",Geometry!$AK$26:$AK$32,C27))</f>
        <v>1</v>
      </c>
      <c r="AN56" s="224">
        <f t="shared" si="32"/>
        <v>0</v>
      </c>
      <c r="AO56" s="224">
        <f t="shared" si="33"/>
        <v>0</v>
      </c>
      <c r="AP56" s="224">
        <f t="shared" si="34"/>
        <v>78.370513938026022</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Can23</v>
      </c>
      <c r="D57" s="2">
        <f t="shared" si="6"/>
        <v>-79.75</v>
      </c>
      <c r="E57" s="43">
        <f t="shared" si="7"/>
        <v>9.8000000000000007</v>
      </c>
      <c r="F57" s="120">
        <f t="shared" si="8"/>
        <v>105</v>
      </c>
      <c r="G57" s="120">
        <f t="shared" si="9"/>
        <v>29.685628821689278</v>
      </c>
      <c r="H57" s="120">
        <f t="shared" si="10"/>
        <v>43.363600496938005</v>
      </c>
      <c r="I57" s="120">
        <f t="shared" si="11"/>
        <v>0</v>
      </c>
      <c r="J57" s="120">
        <f>VLOOKUP(R57,'Steel grades'!$B$5:$J$22,IF(F57&gt;200,10,IF(F57&gt;150,9,IF(F57&gt;120,8,IF(F57&gt;100,7,IF(F57&gt;80,6,IF(F57&gt;63,5,IF(F57&gt;40,4,IF(F57&gt;16,3,2)))))))),FALSE)</f>
        <v>295</v>
      </c>
      <c r="K57" s="120">
        <f t="shared" si="12"/>
        <v>241.76798975332406</v>
      </c>
      <c r="L57" s="3">
        <f t="shared" si="13"/>
        <v>20.18305278455966</v>
      </c>
      <c r="M57" s="3">
        <f t="shared" si="14"/>
        <v>113.7411793222344</v>
      </c>
      <c r="N57" s="3">
        <f t="shared" si="15"/>
        <v>0.38124802956444448</v>
      </c>
      <c r="O57" s="3">
        <f t="shared" si="16"/>
        <v>0.27376826294338541</v>
      </c>
      <c r="P57" s="3">
        <f>(ABS(Geometry_loads!S40)/Z57+ABS(Geometry_loads!T40)/AA57)/(1000*J57)</f>
        <v>7.4425711679576415E-2</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Geometry!M48</f>
        <v>S355 NL/ML</v>
      </c>
      <c r="T57" s="3">
        <f>Geometry_loads!L40</f>
        <v>-44127.25</v>
      </c>
      <c r="U57" s="3">
        <f>Geometry_loads!M40</f>
        <v>-46415.88</v>
      </c>
      <c r="V57" s="3">
        <f>Geometry_loads!N40</f>
        <v>123148.9310335544</v>
      </c>
      <c r="W57" s="3">
        <f>Geometry_loads!O40</f>
        <v>-64552.148303068338</v>
      </c>
      <c r="X57" s="3">
        <f t="shared" si="17"/>
        <v>0</v>
      </c>
      <c r="Y57" s="3">
        <f t="shared" si="18"/>
        <v>0</v>
      </c>
      <c r="Z57" s="18">
        <f t="shared" si="19"/>
        <v>3.1980627815380913</v>
      </c>
      <c r="AA57" s="224">
        <f t="shared" si="20"/>
        <v>7.6691544290521865</v>
      </c>
      <c r="AB57" s="224">
        <f t="shared" si="21"/>
        <v>4.8475000000000001</v>
      </c>
      <c r="AC57" s="120">
        <f t="shared" si="22"/>
        <v>105</v>
      </c>
      <c r="AD57" s="224">
        <f t="shared" si="23"/>
        <v>106.40093222407737</v>
      </c>
      <c r="AE57" s="224">
        <f t="shared" si="24"/>
        <v>0.37571693425508157</v>
      </c>
      <c r="AF57" s="224">
        <f t="shared" si="25"/>
        <v>0.39834533985198139</v>
      </c>
      <c r="AG57" s="224">
        <f t="shared" si="26"/>
        <v>0.25351919670080381</v>
      </c>
      <c r="AH57" s="224">
        <f t="shared" si="27"/>
        <v>0.90150775840222541</v>
      </c>
      <c r="AI57" s="224">
        <f t="shared" si="28"/>
        <v>44.402716126031251</v>
      </c>
      <c r="AJ57" s="224">
        <f t="shared" si="29"/>
        <v>2.5775449016590044</v>
      </c>
      <c r="AK57" s="224">
        <f t="shared" si="30"/>
        <v>7.5258840891578402E-2</v>
      </c>
      <c r="AL57" s="224">
        <f t="shared" si="31"/>
        <v>0.73459678525018257</v>
      </c>
      <c r="AM57" s="224">
        <f>IF(_xlfn.MINIFS(Geometry!$AJ$26:$AJ$32,Geometry!$AI$26:$AI$32,"o",Geometry!$AK$26:$AK$32,C28)&lt;=0,1,_xlfn.MINIFS(Geometry!$AJ$26:$AJ$32,Geometry!$AI$26:$AI$32,"o",Geometry!$AK$26:$AK$32,C28))</f>
        <v>1</v>
      </c>
      <c r="AN57" s="224">
        <f t="shared" si="32"/>
        <v>0</v>
      </c>
      <c r="AO57" s="224">
        <f t="shared" si="33"/>
        <v>0</v>
      </c>
      <c r="AP57" s="224">
        <f t="shared" si="34"/>
        <v>29.685628821689278</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row r="59" spans="3:50">
      <c r="C59" s="35" t="s">
        <v>226</v>
      </c>
    </row>
    <row r="60" spans="3:50" ht="15" customHeight="1">
      <c r="C60" s="323" t="s">
        <v>225</v>
      </c>
      <c r="D60" s="323" t="s">
        <v>53</v>
      </c>
      <c r="E60" s="323" t="s">
        <v>105</v>
      </c>
      <c r="F60" s="323" t="s">
        <v>101</v>
      </c>
      <c r="G60" s="330" t="s">
        <v>98</v>
      </c>
      <c r="H60" s="330" t="s">
        <v>269</v>
      </c>
      <c r="I60" s="331" t="s">
        <v>102</v>
      </c>
      <c r="J60" s="323" t="s">
        <v>100</v>
      </c>
      <c r="K60" s="330" t="s">
        <v>94</v>
      </c>
      <c r="L60" s="330" t="s">
        <v>216</v>
      </c>
      <c r="M60" s="333" t="s">
        <v>217</v>
      </c>
      <c r="N60" s="323" t="s">
        <v>106</v>
      </c>
      <c r="O60" s="323" t="s">
        <v>107</v>
      </c>
      <c r="P60" s="323" t="s">
        <v>136</v>
      </c>
      <c r="Q60" s="323" t="s">
        <v>290</v>
      </c>
      <c r="R60" s="323" t="s">
        <v>108</v>
      </c>
      <c r="T60" s="323" t="s">
        <v>73</v>
      </c>
      <c r="U60" s="323" t="s">
        <v>78</v>
      </c>
      <c r="V60" s="323" t="s">
        <v>79</v>
      </c>
      <c r="W60" s="323" t="s">
        <v>80</v>
      </c>
      <c r="X60" s="323" t="s">
        <v>84</v>
      </c>
      <c r="Y60" s="323" t="s">
        <v>85</v>
      </c>
      <c r="Z60" s="323" t="s">
        <v>86</v>
      </c>
      <c r="AA60" s="323" t="s">
        <v>87</v>
      </c>
      <c r="AB60" s="323" t="s">
        <v>578</v>
      </c>
      <c r="AC60" s="323" t="s">
        <v>552</v>
      </c>
      <c r="AD60" s="323" t="s">
        <v>553</v>
      </c>
      <c r="AE60" s="328" t="s">
        <v>555</v>
      </c>
      <c r="AF60" s="323" t="s">
        <v>554</v>
      </c>
      <c r="AG60" s="328" t="s">
        <v>556</v>
      </c>
      <c r="AH60" s="328" t="s">
        <v>557</v>
      </c>
      <c r="AI60" s="323" t="s">
        <v>560</v>
      </c>
      <c r="AJ60" s="328" t="s">
        <v>561</v>
      </c>
      <c r="AK60" s="328" t="s">
        <v>558</v>
      </c>
      <c r="AL60" s="328" t="s">
        <v>559</v>
      </c>
      <c r="AM60" s="323" t="s">
        <v>97</v>
      </c>
      <c r="AN60" s="323" t="s">
        <v>205</v>
      </c>
      <c r="AO60" s="323" t="s">
        <v>206</v>
      </c>
      <c r="AP60" s="323" t="s">
        <v>572</v>
      </c>
      <c r="AQ60" s="323" t="s">
        <v>573</v>
      </c>
      <c r="AR60" s="323" t="s">
        <v>574</v>
      </c>
      <c r="AS60" s="323" t="s">
        <v>575</v>
      </c>
      <c r="AT60" s="323" t="s">
        <v>576</v>
      </c>
      <c r="AU60" s="323" t="s">
        <v>147</v>
      </c>
      <c r="AV60" s="323" t="s">
        <v>145</v>
      </c>
      <c r="AW60" s="323" t="s">
        <v>146</v>
      </c>
      <c r="AX60" s="323" t="s">
        <v>577</v>
      </c>
    </row>
    <row r="61" spans="3:50" ht="18.75" customHeight="1">
      <c r="C61" s="324">
        <v>0</v>
      </c>
      <c r="D61" s="324">
        <v>0</v>
      </c>
      <c r="E61" s="324"/>
      <c r="F61" s="324"/>
      <c r="G61" s="324"/>
      <c r="H61" s="324"/>
      <c r="I61" s="332"/>
      <c r="J61" s="324"/>
      <c r="K61" s="324"/>
      <c r="L61" s="324"/>
      <c r="M61" s="315"/>
      <c r="N61" s="324"/>
      <c r="O61" s="324"/>
      <c r="P61" s="324"/>
      <c r="Q61" s="324"/>
      <c r="R61" s="324"/>
      <c r="T61" s="324"/>
      <c r="U61" s="324"/>
      <c r="V61" s="324"/>
      <c r="W61" s="324"/>
      <c r="X61" s="324"/>
      <c r="Y61" s="324"/>
      <c r="Z61" s="324"/>
      <c r="AA61" s="324"/>
      <c r="AB61" s="324"/>
      <c r="AC61" s="324"/>
      <c r="AD61" s="324"/>
      <c r="AE61" s="324"/>
      <c r="AF61" s="324"/>
      <c r="AG61" s="324"/>
      <c r="AH61" s="324"/>
      <c r="AI61" s="324"/>
      <c r="AJ61" s="329"/>
      <c r="AK61" s="324"/>
      <c r="AL61" s="324"/>
      <c r="AM61" s="324"/>
      <c r="AN61" s="324"/>
      <c r="AO61" s="324"/>
      <c r="AP61" s="324"/>
      <c r="AQ61" s="324"/>
      <c r="AR61" s="324"/>
      <c r="AS61" s="324"/>
      <c r="AT61" s="324"/>
      <c r="AU61" s="324"/>
      <c r="AV61" s="324"/>
      <c r="AW61" s="324"/>
      <c r="AX61" s="324"/>
    </row>
    <row r="62" spans="3:50">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Q62" s="30" t="s">
        <v>10</v>
      </c>
      <c r="R62" s="30" t="s">
        <v>16</v>
      </c>
      <c r="T62" s="34" t="s">
        <v>81</v>
      </c>
      <c r="U62" s="34" t="s">
        <v>82</v>
      </c>
      <c r="V62" s="34" t="s">
        <v>83</v>
      </c>
      <c r="W62" s="34" t="s">
        <v>81</v>
      </c>
      <c r="X62" s="34" t="s">
        <v>88</v>
      </c>
      <c r="Y62" s="34" t="s">
        <v>88</v>
      </c>
      <c r="Z62" s="34" t="s">
        <v>89</v>
      </c>
      <c r="AA62" s="34" t="s">
        <v>90</v>
      </c>
      <c r="AB62" s="34" t="s">
        <v>546</v>
      </c>
      <c r="AC62" s="34" t="s">
        <v>10</v>
      </c>
      <c r="AD62" s="34" t="s">
        <v>16</v>
      </c>
      <c r="AE62" s="34" t="s">
        <v>16</v>
      </c>
      <c r="AF62" s="34" t="s">
        <v>16</v>
      </c>
      <c r="AG62" s="34" t="s">
        <v>16</v>
      </c>
      <c r="AH62" s="34" t="s">
        <v>16</v>
      </c>
      <c r="AI62" s="34" t="s">
        <v>16</v>
      </c>
      <c r="AJ62" s="34" t="s">
        <v>16</v>
      </c>
      <c r="AK62" s="34" t="s">
        <v>16</v>
      </c>
      <c r="AL62" s="34" t="s">
        <v>16</v>
      </c>
      <c r="AM62" s="34" t="s">
        <v>16</v>
      </c>
      <c r="AN62" s="34" t="s">
        <v>11</v>
      </c>
      <c r="AO62" s="34" t="s">
        <v>11</v>
      </c>
      <c r="AP62" s="30" t="s">
        <v>77</v>
      </c>
      <c r="AQ62" s="30" t="s">
        <v>77</v>
      </c>
      <c r="AR62" s="30" t="s">
        <v>77</v>
      </c>
      <c r="AS62" s="34" t="s">
        <v>16</v>
      </c>
      <c r="AT62" s="30" t="s">
        <v>77</v>
      </c>
      <c r="AU62" s="34" t="s">
        <v>16</v>
      </c>
      <c r="AV62" s="34" t="s">
        <v>16</v>
      </c>
      <c r="AW62" s="34" t="s">
        <v>16</v>
      </c>
      <c r="AX62" s="34" t="s">
        <v>16</v>
      </c>
    </row>
    <row r="63" spans="3:50" ht="15" customHeight="1">
      <c r="C63" s="12" t="str">
        <f>"Can"&amp;TEXT(C6,"0")</f>
        <v>Can1</v>
      </c>
      <c r="D63" s="2">
        <f>E6</f>
        <v>1.6</v>
      </c>
      <c r="E63" s="3">
        <f>G6</f>
        <v>7.5</v>
      </c>
      <c r="F63" s="120">
        <f>H6</f>
        <v>108</v>
      </c>
      <c r="G63" s="120">
        <f>ABS(T63/(2*PI()*AB63*AC63))+ABS(V63/(PI()*(AB63^2)*AC63))</f>
        <v>145.64974428071719</v>
      </c>
      <c r="H63" s="120">
        <f>ABS(W63/(PI()*AB63*AC63))+ABS(U63/(2*PI()*(AB63^2)*AC63))</f>
        <v>14.213317844561757</v>
      </c>
      <c r="I63" s="120">
        <f>IF(OR(D63&lt;$R$2,D63&gt;$W$6),0,IF(D63&lt;=$W$5,$W$7*AB63/(AC63/1000),$W$7*AB63/(AC63/1000)*($W$6-D63)/($W$6-$W$5)))</f>
        <v>6.4845570442887928</v>
      </c>
      <c r="J63" s="120">
        <f>VLOOKUP(R63,'Steel grades'!$B$5:$J$22,IF(F63&gt;200,10,IF(F63&gt;150,9,IF(F63&gt;120,8,IF(F63&gt;100,7,IF(F63&gt;80,6,IF(F63&gt;63,5,IF(F63&gt;40,4,IF(F63&gt;16,3,2)))))))),FALSE)</f>
        <v>295</v>
      </c>
      <c r="K63" s="3">
        <f>AH63*J63/$W$9*AM63</f>
        <v>252.23191665553054</v>
      </c>
      <c r="L63" s="3">
        <f>AK63*J63/$W$9</f>
        <v>23.890823482031688</v>
      </c>
      <c r="M63" s="3">
        <f>AL63*J63/$W$9/SQRT(3)</f>
        <v>122.94697279331915</v>
      </c>
      <c r="N63" s="3">
        <f>MAX(G63/K63,H63/M63,I63/L63,(G63/K63)^(1.25+0.75*AH63)-(AH63*AK63)^2*(G63/K63)*(I63/L63)+(I63/L63)^(1.25+0.75*AK63)+(H63/M63)^(1.75+0.25*AL63),AS63,AX63)</f>
        <v>0.58258068518446937</v>
      </c>
      <c r="O63" s="3">
        <f>MAX(SQRT(G63^2+I63^2-G63*I63+3*H63^2)/(J63/$W$10),AU63)</f>
        <v>0.49026698782213479</v>
      </c>
      <c r="P63" s="3">
        <f>(ABS(Geometry_loads!S19)/Z63+ABS(Geometry_loads!T19)/AA63)/(1000*J63)</f>
        <v>0.37592979517391129</v>
      </c>
      <c r="Q63" s="22">
        <f>IF(D63&gt;=$R$14,IF(P63&gt;0.75,"Redesign",IF(P63&lt;0.5,VLOOKUP(R63,'Steel grades'!$B$5:$AB$22,27,FALSE),(VLOOKUP(R63,'Steel grades'!$B$5:$AB$22,27,FALSE)-VLOOKUP(R63,'Steel grades'!$B$5:$AB$22,25,FALSE))/(0.5-0.75)*(P63-0.75)+VLOOKUP(R63,'Steel grades'!$B$5:$AB$22,25,FALSE))),IF(D63&lt;$R$2,IF(P63&gt;0.75,"Redesign",IF(P63&lt;0.5,VLOOKUP(R63,'Steel grades'!$B$5:$AB$22,18,FALSE),(VLOOKUP(R63,'Steel grades'!$B$5:$AB$22,18,FALSE)-VLOOKUP(R63,'Steel grades'!$B$5:$AB$22,11,FALSE))/(0.5-0.75)*(P63-0.75)+VLOOKUP(R63,'Steel grades'!$B$5:$AB$22,11,FALSE))),IF(P63&gt;0.75,"Redesign",IF(P63&lt;0.5,VLOOKUP(R63,'Steel grades'!$B$5:$AB$22,26,FALSE),(VLOOKUP(R63,'Steel grades'!$B$5:$AB$22,26,FALSE)-VLOOKUP(R63,'Steel grades'!$B$5:$AB$22,24,FALSE))/(0.5-0.75)*(P63-0.75)+VLOOKUP(R63,'Steel grades'!$B$5:$AB$22,24,FALSE)))))</f>
        <v>122.5</v>
      </c>
      <c r="R63" s="3" t="str">
        <f>Geometry!M26</f>
        <v>S355 NL/ML</v>
      </c>
      <c r="T63" s="3">
        <f>Geometry_loads!L19</f>
        <v>-29625.58</v>
      </c>
      <c r="U63" s="3">
        <f>Geometry_loads!M19</f>
        <v>-46354.1</v>
      </c>
      <c r="V63" s="3">
        <f>Geometry_loads!N19</f>
        <v>597208.5</v>
      </c>
      <c r="W63" s="3">
        <f>Geometry_loads!O19</f>
        <v>10947.41</v>
      </c>
      <c r="X63" s="3">
        <f>X35</f>
        <v>3.5999999999999996</v>
      </c>
      <c r="Y63" s="120">
        <f>Y35</f>
        <v>0</v>
      </c>
      <c r="Z63" s="224">
        <f>PI()/4*((E63-2*X63/1000)^2-((E63-2*X63/1000)-2*(F63-X63-Y63)/1000)^2)</f>
        <v>2.4232642260901303</v>
      </c>
      <c r="AA63" s="224">
        <f>PI()/32*((E63-2*X63/1000)^4-((E63-2*X63/1000)-2*(F63-X63-Y63)/1000)^4)/(E63-2*X63/1000)</f>
        <v>4.4145266496493258</v>
      </c>
      <c r="AB63" s="224">
        <f>(0.5*E63-(X63/1000))-(0.5*(AC63/1000))</f>
        <v>3.6941999999999999</v>
      </c>
      <c r="AC63" s="120">
        <f>F63-X63-Y63</f>
        <v>104.4</v>
      </c>
      <c r="AD63" s="224">
        <f>$R$4/SQRT(E63/2*F63/1000)</f>
        <v>119.28105724415738</v>
      </c>
      <c r="AE63" s="224">
        <f>(J63/((0.605*$W$2*IF(AD63&gt;0.5*(AB63)/(AC63/1000),MAX(0.6,1+0.2/$AC$7*(1-2*AD63*(AC63/1000)/(AB63))),IF(AD63&lt;=1.7,1.36-(1.83/AD63)+(2.07/AD63^2),1)))*((AC63/1000)/(AB63)/1000)))^0.5</f>
        <v>0.3648531109502986</v>
      </c>
      <c r="AF63" s="224">
        <f>0.62/(1+1.91*((((AB63)/(AC63/1000))^0.5*(AC63/1000)/$AC$4)/(AC63/1000))^1.44)</f>
        <v>0.42481366719080393</v>
      </c>
      <c r="AG63" s="224">
        <f>IF(AND((AB63)/(AC63/1000)&lt;=150,AD63&lt;=6*(AB63)/(AC63/1000),$W$2/(J63*1000)&lt;=1000,500&lt;=$W$2/(J63*1000)),0.2+0.1*(ABS(V63/(PI()*(AB63^2)*AC63))/G63),0.2)</f>
        <v>0.29160624354277376</v>
      </c>
      <c r="AH63" s="224">
        <f>IF(AE63&lt;=AG63,1,IF(AE63&gt;=(AF63/(1-0.6))^0.5,AF63/(AE63^2),1-0.6*((AE63-(AG63))/((AF63/(1-0.6))^0.5-AG63))))</f>
        <v>0.94052579091892752</v>
      </c>
      <c r="AI63" s="224">
        <f>IF(AD63/1.25&gt;1.63*((AB63)/(AC63/1000)),$W$2/1000*(AC63/(AB63*1000))^2*(0.275+2.03*(1.25/AD63*AB63*1000/AC63)^4),IF(AD63/1.25&lt;20,0.92*$W$2/1000*((1.25+(8/AD63^2)-(4/AD63^3))/AD63)*((AC63/1000)/(AB63)),0.92*$W$2/1000*(1.25/AD63)*((AC63/1000)/(AB63))))</f>
        <v>52.559811660469713</v>
      </c>
      <c r="AJ63" s="224">
        <f>SQRT(J63/AI63)</f>
        <v>2.3691039008628993</v>
      </c>
      <c r="AK63" s="224">
        <f>IF(AJ63&lt;0.4,1,IF(AJ63&lt;SQRT($AC$5/(1-0.6)),1-0.6*((AJ63-0.4)/(SQRT($AC$5/(1-0.6))-0.4)^1),$AC$5/AJ63^2))</f>
        <v>8.9084426543169018E-2</v>
      </c>
      <c r="AL63" s="224">
        <f>IF(((J63/SQRT(3)/(0.75*$W$2*(IF(AD63&lt;10,SQRT(1+42/(AD63^3)),IF(AD63&gt;8.7*(AB63)/(AC63/1000),(1/3)*SQRT(AD63*(AC63/1000)/(AB63)),1)))*(1/AD63)^0.5*((AC63/1000)/(AB63))/1000))^0.5)&lt;=0.4,1,IF(((J63/SQRT(3)/(0.75*$W$2*(IF(AD63&lt;10,SQRT(1+42/(AD63^3)),IF(AD63&gt;8.7*(AB63)/(AC63/1000),(1/3)*SQRT(AD63*(AC63/1000)/(AB63)),1)))*(1/AD63)^0.5*((AC63/1000)/(AB63))/1000))^0.5)&gt;=($AC$6/(1-0.6))^0.5,$AC$6/(((J63/SQRT(3)/(0.75*$W$2*(IF(AD63&lt;10,SQRT(1+42/(AD63^3)),IF(AD63&gt;8.7*(AB63)/(AC63/1000),(1/3)*SQRT(AD63*(AC63/1000)/(AB63)),1)))*(1/AD63)^0.5*((AC63/1000)/(AB63))/1000))^0.5)^2),1-0.6*((((J63/SQRT(3)/(0.75*$W$2*(IF(AD63&lt;10,SQRT(1+42/(AD63^3)),IF(AD63&gt;8.7*(AB63)/(AC63/1000),(1/3)*SQRT(AD63*(AC63/1000)/(AB63)),1)))*(1/AD63)^0.5*((AC63/1000)/(AB63))/1000))^0.5)-(0.4))/(($AC$6/(1-0.6))^0.5-0.4))))</f>
        <v>0.79405235208914893</v>
      </c>
      <c r="AM63" s="224">
        <f>AM35</f>
        <v>1</v>
      </c>
      <c r="AN63" s="224">
        <f>IF(NOT(ISNUMBER(D64)),0,ABS(J6-J7))</f>
        <v>0</v>
      </c>
      <c r="AO63" s="224">
        <f>MAX(AN63,J12)</f>
        <v>2.4101421139187957</v>
      </c>
      <c r="AP63" s="224">
        <f>((ABS(T63/(PI()*((E63-2*X63/1000)-((AC63))/1000*COS(AO63*PI()/180))*(AC63)/1000))/1000)+ABS((4*V63)/(PI()*((E63-X63/1000)-((F63-X63-Y63)/1000)*COS(AO63*PI()/180))^2*((AC63)/1000))/1000))/COS(AO63*PI()/180)</f>
        <v>145.64517129611735</v>
      </c>
      <c r="AQ63" s="224">
        <f>((0.6*(F63-X63-Y63)*((E63*1000-2*X63)*(2*(AC63)))^0.5)/((AC63)^2))*(G63*TAN(AN63*PI()/180))</f>
        <v>0</v>
      </c>
      <c r="AR63" s="224">
        <f>IF(AN63=0,0,0.45*((E63*1000-2*X63)/(AC63))^0.5*G63*TAN(AN63*PI()/180)+I63)</f>
        <v>0</v>
      </c>
      <c r="AS63" s="224">
        <f>IF(AO63=0,0,1.18*AP63/IF(J63/(2*0.3*$W$2/1000*(AC63)/1000/(E63-2*X63/1000))&lt;=0.17,J63,(1.047-0.274*(J63/(2*0.3*$W$2/1000*(AC63)/1000/(E63-2*X63/1000))))*J63))</f>
        <v>0.58258068518446937</v>
      </c>
      <c r="AT63" s="224">
        <f>IF(AN63=0,0,MAX(G63+AQ63,AP63+AQ63))</f>
        <v>0</v>
      </c>
      <c r="AU63" s="224">
        <f>(AT63^2+AR63^2+AR63*AT63)^0.5/(J63/$W$10)</f>
        <v>0</v>
      </c>
      <c r="AV63" s="224">
        <f>1.1*AT63/J63</f>
        <v>0</v>
      </c>
      <c r="AW63" s="224">
        <f>1.25*AR63/IF(0.4*$W$2/1000*(AC63)/1000/(E63-2*X63/1000)/J63&gt;2.44,J63,IF(0.4*$W$2/1000*(AC63)/1000/(E63-2*X63/1000)/J63&lt;=0.55,0.4*$W$2/1000*(AC63)/1000/(E63-2*X63/1000),MIN(0.7*(0.4*$W$2/1000*(AC63)/1000/(E63-2*X63/1000)/J63)^0.4*J63,J63)))</f>
        <v>0</v>
      </c>
      <c r="AX63" s="224">
        <f>MAX(AV63^2+AW63^(2*(5-4*(IF(0.4*$W$2/1000*(AC63)/1000/(E63-2*(X63/1000))/J63&gt;2.44,J63,IF(0.4*$W$2/1000*(AC63)/1000/(E63-2*(X63/1000))/J63&lt;=0.55,0.4*$W$2/1000*(AC63)/1000/(E63-2*(X63/1000)),MIN(0.7*(0.4*$W$2/1000*(AC63)/1000/(E63-2*(X63/1000))/J63)^0.4*J63,J63)))/J63)))+2*0.3*AV63*AW63,AW63,AT63/(IF(J63/(2*0.3*$W$2/1000*(AC63)/1000/(E63-2*(X63/1000)))&lt;=0.17,J63,(1.047-0.274*(J63/(2*0.3*$W$2/1000*(AC63)/1000/(E63-2*(X63/1000)))))*J63)/1.18))</f>
        <v>0</v>
      </c>
    </row>
    <row r="64" spans="3:50">
      <c r="C64" s="12" t="str">
        <f t="shared" ref="C64:C85" si="43">"Can"&amp;TEXT(C7,"0")</f>
        <v>Can2</v>
      </c>
      <c r="D64" s="2">
        <f t="shared" ref="D64:D85" si="44">E7</f>
        <v>-2.2999999999999998</v>
      </c>
      <c r="E64" s="3">
        <f t="shared" ref="E64:F64" si="45">G7</f>
        <v>7.5</v>
      </c>
      <c r="F64" s="120">
        <f t="shared" si="45"/>
        <v>100</v>
      </c>
      <c r="G64" s="120">
        <f t="shared" ref="G64:G85" si="46">ABS(T64/(2*PI()*AB64*AC64))+ABS(V64/(PI()*(AB64^2)*AC64))</f>
        <v>165.81980569289837</v>
      </c>
      <c r="H64" s="120">
        <f t="shared" ref="H64:H85" si="47">ABS(W64/(PI()*AB64*AC64))+ABS(U64/(2*PI()*(AB64^2)*AC64))</f>
        <v>15.659019589940552</v>
      </c>
      <c r="I64" s="120">
        <f t="shared" ref="I64:I85" si="48">IF(OR(D64&lt;$R$2,D64&gt;$W$6),0,IF(D64&lt;=$W$5,$W$7*AB64/(AC64/1000),$W$7*AB64/(AC64/1000)*($W$6-D64)/($W$6-$W$5)))</f>
        <v>7.1658109343221463</v>
      </c>
      <c r="J64" s="120">
        <f>VLOOKUP(R64,'Steel grades'!$B$5:$J$22,IF(F64&gt;200,10,IF(F64&gt;150,9,IF(F64&gt;120,8,IF(F64&gt;100,7,IF(F64&gt;80,6,IF(F64&gt;63,5,IF(F64&gt;40,4,IF(F64&gt;16,3,2)))))))),FALSE)</f>
        <v>315</v>
      </c>
      <c r="K64" s="3">
        <f t="shared" ref="K64:K85" si="49">AH64*J64/$W$9*AM64</f>
        <v>263.5709705662631</v>
      </c>
      <c r="L64" s="3">
        <f t="shared" ref="L64:L85" si="50">AK64*J64/$W$9</f>
        <v>20.231427751430182</v>
      </c>
      <c r="M64" s="3">
        <f t="shared" ref="M64:M85" si="51">AL64*J64/$W$9/SQRT(3)</f>
        <v>122.63988249312285</v>
      </c>
      <c r="N64" s="3">
        <f t="shared" ref="N64:N85" si="52">MAX(G64/K64,H64/M64,I64/L64,(G64/K64)^(1.25+0.75*AH64)-(AH64*AK64)^2*(G64/K64)*(I64/L64)+(I64/L64)^(1.25+0.75*AK64)+(H64/M64)^(1.75+0.25*AL64),AS64,AX64)</f>
        <v>0.68320246207515467</v>
      </c>
      <c r="O64" s="3">
        <f t="shared" ref="O64:O85" si="53">MAX(SQRT(G64^2+I64^2-G64*I64+3*H64^2)/(J64/$W$10),AU64)</f>
        <v>0.52255682929272351</v>
      </c>
      <c r="P64" s="3">
        <f>(ABS(Geometry_loads!S20)/Z64+ABS(Geometry_loads!T20)/AA64)/(1000*J64)</f>
        <v>0.40036802227239704</v>
      </c>
      <c r="Q64" s="22">
        <f>IF(D64&gt;=$R$14,IF(P64&gt;0.75,"Redesign",IF(P64&lt;0.5,VLOOKUP(R64,'Steel grades'!$B$5:$AB$22,27,FALSE),(VLOOKUP(R64,'Steel grades'!$B$5:$AB$22,27,FALSE)-VLOOKUP(R64,'Steel grades'!$B$5:$AB$22,25,FALSE))/(0.5-0.75)*(P64-0.75)+VLOOKUP(R64,'Steel grades'!$B$5:$AB$22,25,FALSE))),IF(D64&lt;$R$2,IF(P64&gt;0.75,"Redesign",IF(P64&lt;0.5,VLOOKUP(R64,'Steel grades'!$B$5:$AB$22,18,FALSE),(VLOOKUP(R64,'Steel grades'!$B$5:$AB$22,18,FALSE)-VLOOKUP(R64,'Steel grades'!$B$5:$AB$22,11,FALSE))/(0.5-0.75)*(P64-0.75)+VLOOKUP(R64,'Steel grades'!$B$5:$AB$22,11,FALSE))),IF(P64&gt;0.75,"Redesign",IF(P64&lt;0.5,VLOOKUP(R64,'Steel grades'!$B$5:$AB$22,26,FALSE),(VLOOKUP(R64,'Steel grades'!$B$5:$AB$22,26,FALSE)-VLOOKUP(R64,'Steel grades'!$B$5:$AB$22,24,FALSE))/(0.5-0.75)*(P64-0.75)+VLOOKUP(R64,'Steel grades'!$B$5:$AB$22,24,FALSE)))))</f>
        <v>145</v>
      </c>
      <c r="R64" s="3" t="str">
        <f>Geometry!M27</f>
        <v>S355 NL/ML</v>
      </c>
      <c r="T64" s="3">
        <f>Geometry_loads!L20</f>
        <v>-30823.42</v>
      </c>
      <c r="U64" s="3">
        <f>Geometry_loads!M20</f>
        <v>-46363.46</v>
      </c>
      <c r="V64" s="3">
        <f>Geometry_loads!N20</f>
        <v>617316</v>
      </c>
      <c r="W64" s="3">
        <f>Geometry_loads!O20</f>
        <v>10947.93</v>
      </c>
      <c r="X64" s="3">
        <f t="shared" ref="X64:Y64" si="54">X36</f>
        <v>3.5999999999999996</v>
      </c>
      <c r="Y64" s="120">
        <f t="shared" si="54"/>
        <v>1.7999999999999998</v>
      </c>
      <c r="Z64" s="224">
        <f t="shared" ref="Z64:Z85" si="55">PI()/4*((E64-2*X64/1000)^2-((E64-2*X64/1000)-2*(F64-X64-Y64)/1000)^2)</f>
        <v>2.1987055708219416</v>
      </c>
      <c r="AA64" s="224">
        <f t="shared" ref="AA64:AA85" si="56">PI()/32*((E64-2*X64/1000)^4-((E64-2*X64/1000)-2*(F64-X64-Y64)/1000)^4)/(E64-2*X64/1000)</f>
        <v>4.0159295334706364</v>
      </c>
      <c r="AB64" s="224">
        <f t="shared" ref="AB64:AB85" si="57">(0.5*E64-(X64/1000))-(0.5*(AC64/1000))</f>
        <v>3.6991000000000001</v>
      </c>
      <c r="AC64" s="120">
        <f t="shared" ref="AC64:AC85" si="58">F64-X64-Y64</f>
        <v>94.600000000000009</v>
      </c>
      <c r="AD64" s="224">
        <f t="shared" ref="AD64:AD85" si="59">$R$4/SQRT(E64/2*F64/1000)</f>
        <v>123.96051091644738</v>
      </c>
      <c r="AE64" s="224">
        <f t="shared" ref="AE64:AE85" si="60">(J64/((0.605*$W$2*IF(AD64&gt;0.5*(AB64)/(AC64/1000),MAX(0.6,1+0.2/$AC$7*(1-2*AD64*(AC64/1000)/(AB64))),IF(AD64&lt;=1.7,1.36-(1.83/AD64)+(2.07/AD64^2),1)))*((AC64/1000)/(AB64)/1000)))^0.5</f>
        <v>0.38800182109104264</v>
      </c>
      <c r="AF64" s="224">
        <f t="shared" ref="AF64:AF85" si="61">0.62/(1+1.91*((((AB64)/(AC64/1000))^0.5*(AC64/1000)/$AC$4)/(AC64/1000))^1.44)</f>
        <v>0.41506875192459314</v>
      </c>
      <c r="AG64" s="224">
        <f t="shared" ref="AG64:AG85" si="62">IF(AND((AB64)/(AC64/1000)&lt;=150,AD64&lt;=6*(AB64)/(AC64/1000),$W$2/(J64*1000)&lt;=1000,500&lt;=$W$2/(J64*1000)),0.2+0.1*(ABS(V64/(PI()*(AB64^2)*AC64))/G64),0.2)</f>
        <v>0.29154570602151114</v>
      </c>
      <c r="AH64" s="224">
        <f t="shared" ref="AH64:AH85" si="63">IF(AE64&lt;=AG64,1,IF(AE64&gt;=(AF64/(1-0.6))^0.5,AF64/(AE64^2),1-0.6*((AE64-(AG64))/((AF64/(1-0.6))^0.5-AG64))))</f>
        <v>0.92040656388218878</v>
      </c>
      <c r="AI64" s="224">
        <f t="shared" ref="AI64:AI85" si="64">IF(AD64/1.25&gt;1.63*((AB64)/(AC64/1000)),$W$2/1000*(AC64/(AB64*1000))^2*(0.275+2.03*(1.25/AD64*AB64*1000/AC64)^4),IF(AD64/1.25&lt;20,0.92*$W$2/1000*((1.25+(8/AD64^2)-(4/AD64^3))/AD64)*((AC64/1000)/(AB64)),0.92*$W$2/1000*(1.25/AD64)*((AC64/1000)/(AB64))))</f>
        <v>44.509141053146401</v>
      </c>
      <c r="AJ64" s="224">
        <f t="shared" ref="AJ64:AJ85" si="65">SQRT(J64/AI64)</f>
        <v>2.6603003419094811</v>
      </c>
      <c r="AK64" s="224">
        <f t="shared" ref="AK64:AK85" si="66">IF(AJ64&lt;0.4,1,IF(AJ64&lt;SQRT($AC$5/(1-0.6)),1-0.6*((AJ64-0.4)/(SQRT($AC$5/(1-0.6))-0.4)^1),$AC$5/AJ64^2))</f>
        <v>7.0649430243089534E-2</v>
      </c>
      <c r="AL64" s="224">
        <f t="shared" ref="AL64:AL85" si="67">IF(((J64/SQRT(3)/(0.75*$W$2*(IF(AD64&lt;10,SQRT(1+42/(AD64^3)),IF(AD64&gt;8.7*(AB64)/(AC64/1000),(1/3)*SQRT(AD64*(AC64/1000)/(AB64)),1)))*(1/AD64)^0.5*((AC64/1000)/(AB64))/1000))^0.5)&lt;=0.4,1,IF(((J64/SQRT(3)/(0.75*$W$2*(IF(AD64&lt;10,SQRT(1+42/(AD64^3)),IF(AD64&gt;8.7*(AB64)/(AC64/1000),(1/3)*SQRT(AD64*(AC64/1000)/(AB64)),1)))*(1/AD64)^0.5*((AC64/1000)/(AB64))/1000))^0.5)&gt;=($AC$6/(1-0.6))^0.5,$AC$6/(((J64/SQRT(3)/(0.75*$W$2*(IF(AD64&lt;10,SQRT(1+42/(AD64^3)),IF(AD64&gt;8.7*(AB64)/(AC64/1000),(1/3)*SQRT(AD64*(AC64/1000)/(AB64)),1)))*(1/AD64)^0.5*((AC64/1000)/(AB64))/1000))^0.5)^2),1-0.6*((((J64/SQRT(3)/(0.75*$W$2*(IF(AD64&lt;10,SQRT(1+42/(AD64^3)),IF(AD64&gt;8.7*(AB64)/(AC64/1000),(1/3)*SQRT(AD64*(AC64/1000)/(AB64)),1)))*(1/AD64)^0.5*((AC64/1000)/(AB64))/1000))^0.5)-(0.4))/(($AC$6/(1-0.6))^0.5-0.4))))</f>
        <v>0.74177891512254668</v>
      </c>
      <c r="AM64" s="224">
        <f t="shared" ref="AM64:AM85" si="68">AM36</f>
        <v>1</v>
      </c>
      <c r="AN64" s="224">
        <f t="shared" ref="AN64:AN85" si="69">IF(NOT(ISNUMBER(D65)),0,ABS(J7-J8))</f>
        <v>0</v>
      </c>
      <c r="AO64" s="224">
        <f t="shared" ref="AO64:AO85" si="70">MAX(AN64,J13)</f>
        <v>2.4101421139187984</v>
      </c>
      <c r="AP64" s="224">
        <f t="shared" ref="AP64:AP85" si="71">((ABS(T64/(PI()*((E64-2*X64/1000)-((AC64))/1000*COS(AO64*PI()/180))*(AC64)/1000))/1000)+ABS((4*V64)/(PI()*((E64-X64/1000)-((F64-X64-Y64)/1000)*COS(AO64*PI()/180))^2*((AC64)/1000))/1000))/COS(AO64*PI()/180)</f>
        <v>165.8152715867551</v>
      </c>
      <c r="AQ64" s="224">
        <f t="shared" ref="AQ64:AQ85" si="72">((0.6*(F64-X64-Y64)*((E64*1000-2*X64)*(2*(AC64)))^0.5)/((AC64)^2))*(G64*TAN(AN64*PI()/180))</f>
        <v>0</v>
      </c>
      <c r="AR64" s="224">
        <f t="shared" ref="AR64:AR85" si="73">IF(AN64=0,0,0.45*((E64*1000-2*X64)/(AC64))^0.5*G64*TAN(AN64*PI()/180)+I64)</f>
        <v>0</v>
      </c>
      <c r="AS64" s="224">
        <f t="shared" ref="AS64:AS85" si="74">IF(AO64=0,0,1.18*AP64/IF(J64/(2*0.3*$W$2/1000*(AC64)/1000/(E64-2*X64/1000))&lt;=0.17,J64,(1.047-0.274*(J64/(2*0.3*$W$2/1000*(AC64)/1000/(E64-2*X64/1000))))*J64))</f>
        <v>0.62568894224903782</v>
      </c>
      <c r="AT64" s="224">
        <f t="shared" ref="AT64:AT85" si="75">IF(AN64=0,0,MAX(G64+AQ64,AP64+AQ64))</f>
        <v>0</v>
      </c>
      <c r="AU64" s="224">
        <f t="shared" ref="AU64:AU85" si="76">(AT64^2+AR64^2+AR64*AT64)^0.5/(J64/$W$10)</f>
        <v>0</v>
      </c>
      <c r="AV64" s="224">
        <f t="shared" ref="AV64:AV85" si="77">1.1*AT64/J64</f>
        <v>0</v>
      </c>
      <c r="AW64" s="224">
        <f t="shared" ref="AW64:AW85" si="78">1.25*AR64/IF(0.4*$W$2/1000*(AC64)/1000/(E64-2*X64/1000)/J64&gt;2.44,J64,IF(0.4*$W$2/1000*(AC64)/1000/(E64-2*X64/1000)/J64&lt;=0.55,0.4*$W$2/1000*(AC64)/1000/(E64-2*X64/1000),MIN(0.7*(0.4*$W$2/1000*(AC64)/1000/(E64-2*X64/1000)/J64)^0.4*J64,J64)))</f>
        <v>0</v>
      </c>
      <c r="AX64" s="224">
        <f t="shared" ref="AX64:AX85" si="79">MAX(AV64^2+AW64^(2*(5-4*(IF(0.4*$W$2/1000*(AC64)/1000/(E64-2*(X64/1000))/J64&gt;2.44,J64,IF(0.4*$W$2/1000*(AC64)/1000/(E64-2*(X64/1000))/J64&lt;=0.55,0.4*$W$2/1000*(AC64)/1000/(E64-2*(X64/1000)),MIN(0.7*(0.4*$W$2/1000*(AC64)/1000/(E64-2*(X64/1000))/J64)^0.4*J64,J64)))/J64)))+2*0.3*AV64*AW64,AW64,AT64/(IF(J64/(2*0.3*$W$2/1000*(AC64)/1000/(E64-2*(X64/1000)))&lt;=0.17,J64,(1.047-0.274*(J64/(2*0.3*$W$2/1000*(AC64)/1000/(E64-2*(X64/1000)))))*J64)/1.18))</f>
        <v>0</v>
      </c>
    </row>
    <row r="65" spans="3:50">
      <c r="C65" s="12" t="str">
        <f t="shared" si="43"/>
        <v>Can3</v>
      </c>
      <c r="D65" s="2">
        <f t="shared" si="44"/>
        <v>-6.2</v>
      </c>
      <c r="E65" s="3">
        <f t="shared" ref="E65:F65" si="80">G8</f>
        <v>7.5</v>
      </c>
      <c r="F65" s="120">
        <f t="shared" si="80"/>
        <v>99</v>
      </c>
      <c r="G65" s="120">
        <f t="shared" si="46"/>
        <v>170.86150698074093</v>
      </c>
      <c r="H65" s="120">
        <f t="shared" si="47"/>
        <v>15.294712211802224</v>
      </c>
      <c r="I65" s="120">
        <f t="shared" si="48"/>
        <v>7.104951903714622</v>
      </c>
      <c r="J65" s="120">
        <f>VLOOKUP(R65,'Steel grades'!$B$5:$J$22,IF(F65&gt;200,10,IF(F65&gt;150,9,IF(F65&gt;120,8,IF(F65&gt;100,7,IF(F65&gt;80,6,IF(F65&gt;63,5,IF(F65&gt;40,4,IF(F65&gt;16,3,2)))))))),FALSE)</f>
        <v>315</v>
      </c>
      <c r="K65" s="3">
        <f t="shared" si="49"/>
        <v>263.58212482958442</v>
      </c>
      <c r="L65" s="3">
        <f t="shared" si="50"/>
        <v>20.415054043639909</v>
      </c>
      <c r="M65" s="3">
        <f t="shared" si="51"/>
        <v>122.93411711520929</v>
      </c>
      <c r="N65" s="3">
        <f t="shared" si="52"/>
        <v>0.84840666707033074</v>
      </c>
      <c r="O65" s="3">
        <f t="shared" si="53"/>
        <v>0.77715346842787647</v>
      </c>
      <c r="P65" s="3">
        <f>(ABS(Geometry_loads!S21)/Z65+ABS(Geometry_loads!T21)/AA65)/(1000*J65)</f>
        <v>0.41262062798612476</v>
      </c>
      <c r="Q65" s="22">
        <f>IF(D65&gt;=$R$14,IF(P65&gt;0.75,"Redesign",IF(P65&lt;0.5,VLOOKUP(R65,'Steel grades'!$B$5:$AB$22,27,FALSE),(VLOOKUP(R65,'Steel grades'!$B$5:$AB$22,27,FALSE)-VLOOKUP(R65,'Steel grades'!$B$5:$AB$22,25,FALSE))/(0.5-0.75)*(P65-0.75)+VLOOKUP(R65,'Steel grades'!$B$5:$AB$22,25,FALSE))),IF(D65&lt;$R$2,IF(P65&gt;0.75,"Redesign",IF(P65&lt;0.5,VLOOKUP(R65,'Steel grades'!$B$5:$AB$22,18,FALSE),(VLOOKUP(R65,'Steel grades'!$B$5:$AB$22,18,FALSE)-VLOOKUP(R65,'Steel grades'!$B$5:$AB$22,11,FALSE))/(0.5-0.75)*(P65-0.75)+VLOOKUP(R65,'Steel grades'!$B$5:$AB$22,11,FALSE))),IF(P65&gt;0.75,"Redesign",IF(P65&lt;0.5,VLOOKUP(R65,'Steel grades'!$B$5:$AB$22,26,FALSE),(VLOOKUP(R65,'Steel grades'!$B$5:$AB$22,26,FALSE)-VLOOKUP(R65,'Steel grades'!$B$5:$AB$22,24,FALSE))/(0.5-0.75)*(P65-0.75)+VLOOKUP(R65,'Steel grades'!$B$5:$AB$22,24,FALSE)))))</f>
        <v>145</v>
      </c>
      <c r="R65" s="3" t="str">
        <f>Geometry!M28</f>
        <v>S355 NL/ML</v>
      </c>
      <c r="T65" s="3">
        <f>Geometry_loads!L21</f>
        <v>-32020.5</v>
      </c>
      <c r="U65" s="3">
        <f>Geometry_loads!M21</f>
        <v>-46371.59</v>
      </c>
      <c r="V65" s="3">
        <f>Geometry_loads!N21</f>
        <v>641335.4</v>
      </c>
      <c r="W65" s="3">
        <f>Geometry_loads!O21</f>
        <v>10686.01</v>
      </c>
      <c r="X65" s="3">
        <f t="shared" ref="X65:Y65" si="81">X37</f>
        <v>3.5999999999999996</v>
      </c>
      <c r="Y65" s="120">
        <f t="shared" si="81"/>
        <v>0</v>
      </c>
      <c r="Z65" s="224">
        <f t="shared" si="55"/>
        <v>2.2170595090864604</v>
      </c>
      <c r="AA65" s="224">
        <f t="shared" si="56"/>
        <v>4.0485886140130827</v>
      </c>
      <c r="AB65" s="224">
        <f t="shared" si="57"/>
        <v>3.6987000000000001</v>
      </c>
      <c r="AC65" s="120">
        <f t="shared" si="58"/>
        <v>95.4</v>
      </c>
      <c r="AD65" s="224">
        <f t="shared" si="59"/>
        <v>124.58500106988195</v>
      </c>
      <c r="AE65" s="224">
        <f t="shared" si="60"/>
        <v>0.38809268050985213</v>
      </c>
      <c r="AF65" s="224">
        <f t="shared" si="61"/>
        <v>0.41591039199352853</v>
      </c>
      <c r="AG65" s="224">
        <f t="shared" si="62"/>
        <v>0.29154708452426881</v>
      </c>
      <c r="AH65" s="224">
        <f t="shared" si="63"/>
        <v>0.92044551527791407</v>
      </c>
      <c r="AI65" s="224">
        <f t="shared" si="64"/>
        <v>44.913118896007795</v>
      </c>
      <c r="AJ65" s="224">
        <f t="shared" si="65"/>
        <v>2.6483090797437687</v>
      </c>
      <c r="AK65" s="224">
        <f t="shared" si="66"/>
        <v>7.1290664914298099E-2</v>
      </c>
      <c r="AL65" s="224">
        <f t="shared" si="67"/>
        <v>0.7435585730472436</v>
      </c>
      <c r="AM65" s="224">
        <f t="shared" si="68"/>
        <v>1</v>
      </c>
      <c r="AN65" s="224">
        <f t="shared" si="69"/>
        <v>2.4101421139187913</v>
      </c>
      <c r="AO65" s="224">
        <f t="shared" si="70"/>
        <v>2.4101421139187913</v>
      </c>
      <c r="AP65" s="224">
        <f t="shared" si="71"/>
        <v>170.85678455176264</v>
      </c>
      <c r="AQ65" s="224">
        <f t="shared" si="72"/>
        <v>54.079746054713837</v>
      </c>
      <c r="AR65" s="224">
        <f t="shared" si="73"/>
        <v>35.785068273815568</v>
      </c>
      <c r="AS65" s="224">
        <f t="shared" si="74"/>
        <v>0.64441730083661819</v>
      </c>
      <c r="AT65" s="224">
        <f t="shared" si="75"/>
        <v>224.94125303545476</v>
      </c>
      <c r="AU65" s="224">
        <f t="shared" si="76"/>
        <v>0.77715346842787647</v>
      </c>
      <c r="AV65" s="224">
        <f t="shared" si="77"/>
        <v>0.78550913758412788</v>
      </c>
      <c r="AW65" s="224">
        <f t="shared" si="78"/>
        <v>0.14200423918180782</v>
      </c>
      <c r="AX65" s="224">
        <f t="shared" si="79"/>
        <v>0.84840666707033074</v>
      </c>
    </row>
    <row r="66" spans="3:50">
      <c r="C66" s="12" t="str">
        <f t="shared" si="43"/>
        <v>Can4</v>
      </c>
      <c r="D66" s="2">
        <f t="shared" si="44"/>
        <v>-10.1</v>
      </c>
      <c r="E66" s="3">
        <f t="shared" ref="E66:F66" si="82">G9</f>
        <v>7.8282999999999996</v>
      </c>
      <c r="F66" s="120">
        <f t="shared" si="82"/>
        <v>99</v>
      </c>
      <c r="G66" s="120">
        <f t="shared" si="46"/>
        <v>157.77999710473205</v>
      </c>
      <c r="H66" s="120">
        <f t="shared" si="47"/>
        <v>14.092865800079522</v>
      </c>
      <c r="I66" s="120">
        <f t="shared" si="48"/>
        <v>7.1537767611647727</v>
      </c>
      <c r="J66" s="120">
        <f>VLOOKUP(R66,'Steel grades'!$B$5:$J$22,IF(F66&gt;200,10,IF(F66&gt;150,9,IF(F66&gt;120,8,IF(F66&gt;100,7,IF(F66&gt;80,6,IF(F66&gt;63,5,IF(F66&gt;40,4,IF(F66&gt;16,3,2)))))))),FALSE)</f>
        <v>315</v>
      </c>
      <c r="K66" s="3">
        <f t="shared" si="49"/>
        <v>264.03545763974626</v>
      </c>
      <c r="L66" s="3">
        <f t="shared" si="50"/>
        <v>20.485906528019349</v>
      </c>
      <c r="M66" s="3">
        <f t="shared" si="51"/>
        <v>123.12252291075694</v>
      </c>
      <c r="N66" s="3">
        <f t="shared" si="52"/>
        <v>0.63585272211699262</v>
      </c>
      <c r="O66" s="3">
        <f t="shared" si="53"/>
        <v>0.51305909271339045</v>
      </c>
      <c r="P66" s="3">
        <f>(ABS(Geometry_loads!S22)/Z66+ABS(Geometry_loads!T22)/AA66)/(1000*J66)</f>
        <v>0.38101274143735536</v>
      </c>
      <c r="Q66" s="22">
        <f>IF(D66&gt;=$R$14,IF(P66&gt;0.75,"Redesign",IF(P66&lt;0.5,VLOOKUP(R66,'Steel grades'!$B$5:$AB$22,27,FALSE),(VLOOKUP(R66,'Steel grades'!$B$5:$AB$22,27,FALSE)-VLOOKUP(R66,'Steel grades'!$B$5:$AB$22,25,FALSE))/(0.5-0.75)*(P66-0.75)+VLOOKUP(R66,'Steel grades'!$B$5:$AB$22,25,FALSE))),IF(D66&lt;$R$2,IF(P66&gt;0.75,"Redesign",IF(P66&lt;0.5,VLOOKUP(R66,'Steel grades'!$B$5:$AB$22,18,FALSE),(VLOOKUP(R66,'Steel grades'!$B$5:$AB$22,18,FALSE)-VLOOKUP(R66,'Steel grades'!$B$5:$AB$22,11,FALSE))/(0.5-0.75)*(P66-0.75)+VLOOKUP(R66,'Steel grades'!$B$5:$AB$22,11,FALSE))),IF(P66&gt;0.75,"Redesign",IF(P66&lt;0.5,VLOOKUP(R66,'Steel grades'!$B$5:$AB$22,26,FALSE),(VLOOKUP(R66,'Steel grades'!$B$5:$AB$22,26,FALSE)-VLOOKUP(R66,'Steel grades'!$B$5:$AB$22,24,FALSE))/(0.5-0.75)*(P66-0.75)+VLOOKUP(R66,'Steel grades'!$B$5:$AB$22,24,FALSE)))))</f>
        <v>145</v>
      </c>
      <c r="R66" s="3" t="str">
        <f>Geometry!M29</f>
        <v>S355 NL/ML</v>
      </c>
      <c r="T66" s="3">
        <f>Geometry_loads!L22</f>
        <v>-33077.980000000003</v>
      </c>
      <c r="U66" s="3">
        <f>Geometry_loads!M22</f>
        <v>-46378.85</v>
      </c>
      <c r="V66" s="3">
        <f>Geometry_loads!N22</f>
        <v>669003.9</v>
      </c>
      <c r="W66" s="3">
        <f>Geometry_loads!O22</f>
        <v>10938.87</v>
      </c>
      <c r="X66" s="3">
        <f t="shared" ref="X66:Y66" si="83">X38</f>
        <v>0</v>
      </c>
      <c r="Y66" s="120">
        <f t="shared" si="83"/>
        <v>0</v>
      </c>
      <c r="Z66" s="224">
        <f t="shared" si="55"/>
        <v>2.4039488976417709</v>
      </c>
      <c r="AA66" s="224">
        <f t="shared" si="56"/>
        <v>4.5872176855769888</v>
      </c>
      <c r="AB66" s="224">
        <f t="shared" si="57"/>
        <v>3.8646499999999997</v>
      </c>
      <c r="AC66" s="120">
        <f t="shared" si="58"/>
        <v>99</v>
      </c>
      <c r="AD66" s="224">
        <f t="shared" si="59"/>
        <v>121.94462476833324</v>
      </c>
      <c r="AE66" s="224">
        <f t="shared" si="60"/>
        <v>0.38583066072365585</v>
      </c>
      <c r="AF66" s="224">
        <f t="shared" si="61"/>
        <v>0.41523474721301668</v>
      </c>
      <c r="AG66" s="224">
        <f t="shared" si="62"/>
        <v>0.29127908998801311</v>
      </c>
      <c r="AH66" s="224">
        <f t="shared" si="63"/>
        <v>0.92202858223403461</v>
      </c>
      <c r="AI66" s="224">
        <f t="shared" si="64"/>
        <v>45.068994361642567</v>
      </c>
      <c r="AJ66" s="224">
        <f t="shared" si="65"/>
        <v>2.643725396791849</v>
      </c>
      <c r="AK66" s="224">
        <f t="shared" si="66"/>
        <v>7.1538086288321548E-2</v>
      </c>
      <c r="AL66" s="224">
        <f t="shared" si="67"/>
        <v>0.74469813257537643</v>
      </c>
      <c r="AM66" s="224">
        <f t="shared" si="68"/>
        <v>1</v>
      </c>
      <c r="AN66" s="224">
        <f t="shared" si="69"/>
        <v>8.8817841970012523E-16</v>
      </c>
      <c r="AO66" s="224">
        <f t="shared" si="70"/>
        <v>2.4248072009611419</v>
      </c>
      <c r="AP66" s="224">
        <f t="shared" si="71"/>
        <v>157.91793477127587</v>
      </c>
      <c r="AQ66" s="224">
        <f t="shared" si="72"/>
        <v>1.8454909054495003E-14</v>
      </c>
      <c r="AR66" s="224">
        <f t="shared" si="73"/>
        <v>7.1537767611647824</v>
      </c>
      <c r="AS66" s="224">
        <f t="shared" si="74"/>
        <v>0.59583505905516565</v>
      </c>
      <c r="AT66" s="224">
        <f t="shared" si="75"/>
        <v>157.9179347712759</v>
      </c>
      <c r="AU66" s="224">
        <f t="shared" si="76"/>
        <v>0.51305909271339045</v>
      </c>
      <c r="AV66" s="224">
        <f t="shared" si="77"/>
        <v>0.55145945475683655</v>
      </c>
      <c r="AW66" s="224">
        <f t="shared" si="78"/>
        <v>2.8388003020495167E-2</v>
      </c>
      <c r="AX66" s="224">
        <f t="shared" si="79"/>
        <v>0.59583505905516576</v>
      </c>
    </row>
    <row r="67" spans="3:50">
      <c r="C67" s="12" t="str">
        <f t="shared" si="43"/>
        <v>Can5</v>
      </c>
      <c r="D67" s="2">
        <f t="shared" si="44"/>
        <v>-14</v>
      </c>
      <c r="E67" s="3">
        <f t="shared" ref="E67:F67" si="84">G10</f>
        <v>8.1565999999999992</v>
      </c>
      <c r="F67" s="120">
        <f t="shared" si="84"/>
        <v>107</v>
      </c>
      <c r="G67" s="120">
        <f t="shared" si="46"/>
        <v>140.9971922255553</v>
      </c>
      <c r="H67" s="120">
        <f t="shared" si="47"/>
        <v>12.8866847924895</v>
      </c>
      <c r="I67" s="120">
        <f t="shared" si="48"/>
        <v>6.8932009055607484</v>
      </c>
      <c r="J67" s="120">
        <f>VLOOKUP(R67,'Steel grades'!$B$5:$J$22,IF(F67&gt;200,10,IF(F67&gt;150,9,IF(F67&gt;120,8,IF(F67&gt;100,7,IF(F67&gt;80,6,IF(F67&gt;63,5,IF(F67&gt;40,4,IF(F67&gt;16,3,2)))))))),FALSE)</f>
        <v>295</v>
      </c>
      <c r="K67" s="3">
        <f t="shared" si="49"/>
        <v>214.8366630586884</v>
      </c>
      <c r="L67" s="3">
        <f t="shared" si="50"/>
        <v>22.39144407101227</v>
      </c>
      <c r="M67" s="3">
        <f t="shared" si="51"/>
        <v>121.15244333970726</v>
      </c>
      <c r="N67" s="3">
        <f t="shared" si="52"/>
        <v>0.66347322302753775</v>
      </c>
      <c r="O67" s="3">
        <f t="shared" si="53"/>
        <v>0.49011610966190056</v>
      </c>
      <c r="P67" s="3">
        <f>(ABS(Geometry_loads!S23)/Z67+ABS(Geometry_loads!T23)/AA67)/(1000*J67)</f>
        <v>0.36375534218198657</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145</v>
      </c>
      <c r="R67" s="3" t="str">
        <f>Geometry!M30</f>
        <v>S355 NL/ML</v>
      </c>
      <c r="T67" s="3">
        <f>Geometry_loads!L23</f>
        <v>-34256.61</v>
      </c>
      <c r="U67" s="3">
        <f>Geometry_loads!M23</f>
        <v>-46385.24</v>
      </c>
      <c r="V67" s="3">
        <f>Geometry_loads!N23</f>
        <v>698834.8</v>
      </c>
      <c r="W67" s="3">
        <f>Geometry_loads!O23</f>
        <v>11672.46</v>
      </c>
      <c r="X67" s="3">
        <f t="shared" ref="X67:Y67" si="85">X39</f>
        <v>0</v>
      </c>
      <c r="Y67" s="120">
        <f t="shared" si="85"/>
        <v>0</v>
      </c>
      <c r="Z67" s="224">
        <f t="shared" si="55"/>
        <v>2.7058763720040022</v>
      </c>
      <c r="AA67" s="224">
        <f t="shared" si="56"/>
        <v>5.3748224678320948</v>
      </c>
      <c r="AB67" s="224">
        <f t="shared" si="57"/>
        <v>4.0247999999999999</v>
      </c>
      <c r="AC67" s="120">
        <f t="shared" si="58"/>
        <v>107</v>
      </c>
      <c r="AD67" s="224">
        <f t="shared" si="59"/>
        <v>114.91256476919119</v>
      </c>
      <c r="AE67" s="224">
        <f t="shared" si="60"/>
        <v>0.36395703283692549</v>
      </c>
      <c r="AF67" s="224">
        <f t="shared" si="61"/>
        <v>0.41888170956016224</v>
      </c>
      <c r="AG67" s="224">
        <f t="shared" si="62"/>
        <v>0.29102104140864937</v>
      </c>
      <c r="AH67" s="224">
        <f t="shared" si="63"/>
        <v>0.94024162236236686</v>
      </c>
      <c r="AI67" s="224">
        <f t="shared" si="64"/>
        <v>49.26117695622699</v>
      </c>
      <c r="AJ67" s="224">
        <f t="shared" si="65"/>
        <v>2.4471388739737319</v>
      </c>
      <c r="AK67" s="224">
        <f t="shared" si="66"/>
        <v>8.3493520264791524E-2</v>
      </c>
      <c r="AL67" s="224">
        <f t="shared" si="67"/>
        <v>0.78246239341705381</v>
      </c>
      <c r="AM67" s="224">
        <f t="shared" si="68"/>
        <v>0.85199999999999998</v>
      </c>
      <c r="AN67" s="224">
        <f t="shared" si="69"/>
        <v>7.3326266252182748E-4</v>
      </c>
      <c r="AO67" s="224">
        <f t="shared" si="70"/>
        <v>7.3326266252182748E-4</v>
      </c>
      <c r="AP67" s="224">
        <f t="shared" si="71"/>
        <v>140.99719223680879</v>
      </c>
      <c r="AQ67" s="224">
        <f t="shared" si="72"/>
        <v>1.3368304992855351E-2</v>
      </c>
      <c r="AR67" s="224">
        <f t="shared" si="73"/>
        <v>6.9002905198958118</v>
      </c>
      <c r="AS67" s="224">
        <f t="shared" si="74"/>
        <v>0.56506357074049074</v>
      </c>
      <c r="AT67" s="224">
        <f t="shared" si="75"/>
        <v>141.01056054180165</v>
      </c>
      <c r="AU67" s="224">
        <f t="shared" si="76"/>
        <v>0.49011610966190056</v>
      </c>
      <c r="AV67" s="224">
        <f t="shared" si="77"/>
        <v>0.52580209015587065</v>
      </c>
      <c r="AW67" s="224">
        <f t="shared" si="78"/>
        <v>2.9238519152100899E-2</v>
      </c>
      <c r="AX67" s="224">
        <f t="shared" si="79"/>
        <v>0.56511714586517348</v>
      </c>
    </row>
    <row r="68" spans="3:50">
      <c r="C68" s="12" t="str">
        <f t="shared" si="43"/>
        <v>Can6</v>
      </c>
      <c r="D68" s="2">
        <f t="shared" si="44"/>
        <v>-17.899999999999999</v>
      </c>
      <c r="E68" s="3">
        <f t="shared" ref="E68:F68" si="86">G11</f>
        <v>8.4847999999999999</v>
      </c>
      <c r="F68" s="120">
        <f t="shared" si="86"/>
        <v>96</v>
      </c>
      <c r="G68" s="120">
        <f t="shared" si="46"/>
        <v>151.89738213040988</v>
      </c>
      <c r="H68" s="120">
        <f t="shared" si="47"/>
        <v>14.300252679562115</v>
      </c>
      <c r="I68" s="120">
        <f t="shared" si="48"/>
        <v>8.0068007545312501</v>
      </c>
      <c r="J68" s="120">
        <f>VLOOKUP(R68,'Steel grades'!$B$5:$J$22,IF(F68&gt;200,10,IF(F68&gt;150,9,IF(F68&gt;120,8,IF(F68&gt;100,7,IF(F68&gt;80,6,IF(F68&gt;63,5,IF(F68&gt;40,4,IF(F68&gt;16,3,2)))))))),FALSE)</f>
        <v>315</v>
      </c>
      <c r="K68" s="3">
        <f t="shared" si="49"/>
        <v>261.92225251805678</v>
      </c>
      <c r="L68" s="3">
        <f t="shared" si="50"/>
        <v>18.262209093124213</v>
      </c>
      <c r="M68" s="3">
        <f t="shared" si="51"/>
        <v>118.1142556767951</v>
      </c>
      <c r="N68" s="3">
        <f t="shared" si="52"/>
        <v>0.70740625478659924</v>
      </c>
      <c r="O68" s="3">
        <f t="shared" si="53"/>
        <v>0.49547564717186388</v>
      </c>
      <c r="P68" s="3">
        <f>(ABS(Geometry_loads!S24)/Z68+ABS(Geometry_loads!T24)/AA68)/(1000*J68)</f>
        <v>0.36644589388689297</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Geometry!M31</f>
        <v>S355 NL/ML</v>
      </c>
      <c r="T68" s="3">
        <f>Geometry_loads!L24</f>
        <v>-35492.58</v>
      </c>
      <c r="U68" s="3">
        <f>Geometry_loads!M24</f>
        <v>-46391.3</v>
      </c>
      <c r="V68" s="3">
        <f>Geometry_loads!N24</f>
        <v>731520.5</v>
      </c>
      <c r="W68" s="3">
        <f>Geometry_loads!O24</f>
        <v>12559.69</v>
      </c>
      <c r="X68" s="3">
        <f t="shared" ref="X68:Y68" si="87">X40</f>
        <v>0</v>
      </c>
      <c r="Y68" s="120">
        <f t="shared" si="87"/>
        <v>0</v>
      </c>
      <c r="Z68" s="224">
        <f t="shared" si="55"/>
        <v>2.530002475433673</v>
      </c>
      <c r="AA68" s="224">
        <f t="shared" si="56"/>
        <v>5.2465751481221297</v>
      </c>
      <c r="AB68" s="224">
        <f t="shared" si="57"/>
        <v>4.1943999999999999</v>
      </c>
      <c r="AC68" s="120">
        <f t="shared" si="58"/>
        <v>96</v>
      </c>
      <c r="AD68" s="224">
        <f t="shared" si="59"/>
        <v>118.94811603919847</v>
      </c>
      <c r="AE68" s="224">
        <f t="shared" si="60"/>
        <v>0.3923570448331386</v>
      </c>
      <c r="AF68" s="224">
        <f t="shared" si="61"/>
        <v>0.40396266175734508</v>
      </c>
      <c r="AG68" s="224">
        <f t="shared" si="62"/>
        <v>0.29076437406348199</v>
      </c>
      <c r="AH68" s="224">
        <f t="shared" si="63"/>
        <v>0.9146491357773413</v>
      </c>
      <c r="AI68" s="224">
        <f t="shared" si="64"/>
        <v>40.176860004873276</v>
      </c>
      <c r="AJ68" s="224">
        <f t="shared" si="65"/>
        <v>2.8000596355131284</v>
      </c>
      <c r="AK68" s="224">
        <f t="shared" si="66"/>
        <v>6.3772793658529003E-2</v>
      </c>
      <c r="AL68" s="224">
        <f t="shared" si="67"/>
        <v>0.71440597182040877</v>
      </c>
      <c r="AM68" s="224">
        <f t="shared" si="68"/>
        <v>1</v>
      </c>
      <c r="AN68" s="224">
        <f t="shared" si="69"/>
        <v>7.3326266252715655E-4</v>
      </c>
      <c r="AO68" s="224">
        <f t="shared" si="70"/>
        <v>7.3326266252715655E-4</v>
      </c>
      <c r="AP68" s="224">
        <f t="shared" si="71"/>
        <v>151.89738214257756</v>
      </c>
      <c r="AQ68" s="224">
        <f t="shared" si="72"/>
        <v>1.5507388411223441E-2</v>
      </c>
      <c r="AR68" s="224">
        <f t="shared" si="73"/>
        <v>8.0150247891593018</v>
      </c>
      <c r="AS68" s="224">
        <f t="shared" si="74"/>
        <v>0.57682410414426</v>
      </c>
      <c r="AT68" s="224">
        <f t="shared" si="75"/>
        <v>151.91288953098879</v>
      </c>
      <c r="AU68" s="224">
        <f t="shared" si="76"/>
        <v>0.49547564717186388</v>
      </c>
      <c r="AV68" s="224">
        <f t="shared" si="77"/>
        <v>0.53048945550504034</v>
      </c>
      <c r="AW68" s="224">
        <f t="shared" si="78"/>
        <v>3.1805653925235322E-2</v>
      </c>
      <c r="AX68" s="224">
        <f t="shared" si="79"/>
        <v>0.57688299281832256</v>
      </c>
    </row>
    <row r="69" spans="3:50">
      <c r="C69" s="12" t="str">
        <f t="shared" si="43"/>
        <v>Can7</v>
      </c>
      <c r="D69" s="2">
        <f t="shared" si="44"/>
        <v>-21.8</v>
      </c>
      <c r="E69" s="3">
        <f t="shared" ref="E69:F69" si="88">G12</f>
        <v>8.8131000000000004</v>
      </c>
      <c r="F69" s="120">
        <f t="shared" si="88"/>
        <v>92</v>
      </c>
      <c r="G69" s="120">
        <f t="shared" si="46"/>
        <v>154.16451160752752</v>
      </c>
      <c r="H69" s="120">
        <f t="shared" si="47"/>
        <v>14.862938780151001</v>
      </c>
      <c r="I69" s="120">
        <f t="shared" si="48"/>
        <v>8.6858805604585605</v>
      </c>
      <c r="J69" s="120">
        <f>VLOOKUP(R69,'Steel grades'!$B$5:$J$22,IF(F69&gt;200,10,IF(F69&gt;150,9,IF(F69&gt;120,8,IF(F69&gt;100,7,IF(F69&gt;80,6,IF(F69&gt;63,5,IF(F69&gt;40,4,IF(F69&gt;16,3,2)))))))),FALSE)</f>
        <v>315</v>
      </c>
      <c r="K69" s="3">
        <f t="shared" si="49"/>
        <v>259.43543544532662</v>
      </c>
      <c r="L69" s="3">
        <f t="shared" si="50"/>
        <v>16.945205358597271</v>
      </c>
      <c r="M69" s="3">
        <f t="shared" si="51"/>
        <v>113.79555195347086</v>
      </c>
      <c r="N69" s="3">
        <f t="shared" si="52"/>
        <v>0.80647393668651823</v>
      </c>
      <c r="O69" s="3">
        <f t="shared" si="53"/>
        <v>0.50376457021100018</v>
      </c>
      <c r="P69" s="3">
        <f>(ABS(Geometry_loads!S25)/Z69+ABS(Geometry_loads!T25)/AA69)/(1000*J69)</f>
        <v>0.37169047308329328</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Geometry!M32</f>
        <v>S355 NL/ML</v>
      </c>
      <c r="T69" s="3">
        <f>Geometry_loads!L25</f>
        <v>-36785.86</v>
      </c>
      <c r="U69" s="3">
        <f>Geometry_loads!M25</f>
        <v>-46396.94</v>
      </c>
      <c r="V69" s="3">
        <f>Geometry_loads!N25</f>
        <v>767033.20000000007</v>
      </c>
      <c r="W69" s="3">
        <f>Geometry_loads!O25</f>
        <v>13411.9</v>
      </c>
      <c r="X69" s="3">
        <f t="shared" ref="X69:Y69" si="89">X41</f>
        <v>0</v>
      </c>
      <c r="Y69" s="120">
        <f t="shared" si="89"/>
        <v>0</v>
      </c>
      <c r="Z69" s="224">
        <f t="shared" si="55"/>
        <v>2.52062921959241</v>
      </c>
      <c r="AA69" s="224">
        <f t="shared" si="56"/>
        <v>5.4389007913696696</v>
      </c>
      <c r="AB69" s="224">
        <f t="shared" si="57"/>
        <v>4.3605499999999999</v>
      </c>
      <c r="AC69" s="120">
        <f t="shared" si="58"/>
        <v>92</v>
      </c>
      <c r="AD69" s="224">
        <f t="shared" si="59"/>
        <v>119.22181430613455</v>
      </c>
      <c r="AE69" s="224">
        <f t="shared" si="60"/>
        <v>0.40086830645470289</v>
      </c>
      <c r="AF69" s="224">
        <f t="shared" si="61"/>
        <v>0.39564071428975733</v>
      </c>
      <c r="AG69" s="224">
        <f t="shared" si="62"/>
        <v>0.29053354148790106</v>
      </c>
      <c r="AH69" s="224">
        <f t="shared" si="63"/>
        <v>0.90596501266622009</v>
      </c>
      <c r="AI69" s="224">
        <f t="shared" si="64"/>
        <v>37.279451788913988</v>
      </c>
      <c r="AJ69" s="224">
        <f t="shared" si="65"/>
        <v>2.9068359207539349</v>
      </c>
      <c r="AK69" s="224">
        <f t="shared" si="66"/>
        <v>5.9173732998276184E-2</v>
      </c>
      <c r="AL69" s="224">
        <f t="shared" si="67"/>
        <v>0.68828458864962183</v>
      </c>
      <c r="AM69" s="224">
        <f t="shared" si="68"/>
        <v>1</v>
      </c>
      <c r="AN69" s="224">
        <f t="shared" si="69"/>
        <v>2.6645352591003757E-15</v>
      </c>
      <c r="AO69" s="224">
        <f t="shared" si="70"/>
        <v>2.6645352591003757E-15</v>
      </c>
      <c r="AP69" s="224">
        <f t="shared" si="71"/>
        <v>154.16451160752746</v>
      </c>
      <c r="AQ69" s="224">
        <f t="shared" si="72"/>
        <v>5.9541522297803052E-14</v>
      </c>
      <c r="AR69" s="224">
        <f t="shared" si="73"/>
        <v>8.6858805604585925</v>
      </c>
      <c r="AS69" s="224">
        <f t="shared" si="74"/>
        <v>0.58846188962244239</v>
      </c>
      <c r="AT69" s="224">
        <f t="shared" si="75"/>
        <v>154.16451160752757</v>
      </c>
      <c r="AU69" s="224">
        <f t="shared" si="76"/>
        <v>0.50376457021100018</v>
      </c>
      <c r="AV69" s="224">
        <f t="shared" si="77"/>
        <v>0.53835226275644554</v>
      </c>
      <c r="AW69" s="224">
        <f t="shared" si="78"/>
        <v>3.4467780001819812E-2</v>
      </c>
      <c r="AX69" s="224">
        <f t="shared" si="79"/>
        <v>0.58846188962244272</v>
      </c>
    </row>
    <row r="70" spans="3:50">
      <c r="C70" s="12" t="str">
        <f t="shared" si="43"/>
        <v>Can8</v>
      </c>
      <c r="D70" s="2">
        <f t="shared" si="44"/>
        <v>-25.7</v>
      </c>
      <c r="E70" s="3">
        <f t="shared" ref="E70:F70" si="90">G13</f>
        <v>9.1414000000000009</v>
      </c>
      <c r="F70" s="120">
        <f t="shared" si="90"/>
        <v>92</v>
      </c>
      <c r="G70" s="120">
        <f t="shared" si="46"/>
        <v>150.68586727410695</v>
      </c>
      <c r="H70" s="120">
        <f t="shared" si="47"/>
        <v>14.911372695422944</v>
      </c>
      <c r="I70" s="120">
        <f t="shared" si="48"/>
        <v>9.0128547481182082</v>
      </c>
      <c r="J70" s="120">
        <f>VLOOKUP(R70,'Steel grades'!$B$5:$J$22,IF(F70&gt;200,10,IF(F70&gt;150,9,IF(F70&gt;120,8,IF(F70&gt;100,7,IF(F70&gt;80,6,IF(F70&gt;63,5,IF(F70&gt;40,4,IF(F70&gt;16,3,2)))))))),FALSE)</f>
        <v>315</v>
      </c>
      <c r="K70" s="3">
        <f t="shared" si="49"/>
        <v>258.58389855572636</v>
      </c>
      <c r="L70" s="3">
        <f t="shared" si="50"/>
        <v>16.946099337449557</v>
      </c>
      <c r="M70" s="3">
        <f t="shared" si="51"/>
        <v>112.30017738469965</v>
      </c>
      <c r="N70" s="3">
        <f t="shared" si="52"/>
        <v>0.81467465441827336</v>
      </c>
      <c r="O70" s="3">
        <f t="shared" si="53"/>
        <v>0.49329668288606798</v>
      </c>
      <c r="P70" s="3">
        <f>(ABS(Geometry_loads!S26)/Z70+ABS(Geometry_loads!T26)/AA70)/(1000*J70)</f>
        <v>0.36325760273960978</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Geometry!M33</f>
        <v>S355 NL/ML</v>
      </c>
      <c r="T70" s="3">
        <f>Geometry_loads!L26</f>
        <v>-38136.42</v>
      </c>
      <c r="U70" s="3">
        <f>Geometry_loads!M26</f>
        <v>-46402.080000000002</v>
      </c>
      <c r="V70" s="3">
        <f>Geometry_loads!N26</f>
        <v>805362.6</v>
      </c>
      <c r="W70" s="3">
        <f>Geometry_loads!O26</f>
        <v>14372.83</v>
      </c>
      <c r="X70" s="3">
        <f t="shared" ref="X70:Y70" si="91">X42</f>
        <v>0</v>
      </c>
      <c r="Y70" s="120">
        <f t="shared" si="91"/>
        <v>0</v>
      </c>
      <c r="Z70" s="224">
        <f t="shared" si="55"/>
        <v>2.6155166274643751</v>
      </c>
      <c r="AA70" s="224">
        <f t="shared" si="56"/>
        <v>5.858268009950546</v>
      </c>
      <c r="AB70" s="224">
        <f t="shared" si="57"/>
        <v>4.5247000000000002</v>
      </c>
      <c r="AC70" s="120">
        <f t="shared" si="58"/>
        <v>92</v>
      </c>
      <c r="AD70" s="224">
        <f t="shared" si="59"/>
        <v>117.06140146366965</v>
      </c>
      <c r="AE70" s="224">
        <f t="shared" si="60"/>
        <v>0.40340266811000797</v>
      </c>
      <c r="AF70" s="224">
        <f t="shared" si="61"/>
        <v>0.39181766592386941</v>
      </c>
      <c r="AG70" s="224">
        <f t="shared" si="62"/>
        <v>0.29032368685532828</v>
      </c>
      <c r="AH70" s="224">
        <f t="shared" si="63"/>
        <v>0.90299139178190169</v>
      </c>
      <c r="AI70" s="224">
        <f t="shared" si="64"/>
        <v>37.281418542389034</v>
      </c>
      <c r="AJ70" s="224">
        <f t="shared" si="65"/>
        <v>2.9067592457604206</v>
      </c>
      <c r="AK70" s="224">
        <f t="shared" si="66"/>
        <v>5.9176854829188927E-2</v>
      </c>
      <c r="AL70" s="224">
        <f t="shared" si="67"/>
        <v>0.67923991816579976</v>
      </c>
      <c r="AM70" s="224">
        <f t="shared" si="68"/>
        <v>1</v>
      </c>
      <c r="AN70" s="224">
        <f t="shared" si="69"/>
        <v>1.5543122344752192E-14</v>
      </c>
      <c r="AO70" s="224">
        <f t="shared" si="70"/>
        <v>1.5543122344752192E-14</v>
      </c>
      <c r="AP70" s="224">
        <f t="shared" si="71"/>
        <v>150.68586727410695</v>
      </c>
      <c r="AQ70" s="224">
        <f t="shared" si="72"/>
        <v>3.4575370775429316E-13</v>
      </c>
      <c r="AR70" s="224">
        <f t="shared" si="73"/>
        <v>9.0128547481183912</v>
      </c>
      <c r="AS70" s="224">
        <f t="shared" si="74"/>
        <v>0.57661977976757217</v>
      </c>
      <c r="AT70" s="224">
        <f t="shared" si="75"/>
        <v>150.6858672741073</v>
      </c>
      <c r="AU70" s="224">
        <f t="shared" si="76"/>
        <v>0.49329668288606798</v>
      </c>
      <c r="AV70" s="224">
        <f t="shared" si="77"/>
        <v>0.52620461587783507</v>
      </c>
      <c r="AW70" s="224">
        <f t="shared" si="78"/>
        <v>3.5765296619517425E-2</v>
      </c>
      <c r="AX70" s="224">
        <f t="shared" si="79"/>
        <v>0.57661977976757361</v>
      </c>
    </row>
    <row r="71" spans="3:50">
      <c r="C71" s="12" t="str">
        <f t="shared" si="43"/>
        <v>Can9</v>
      </c>
      <c r="D71" s="2">
        <f t="shared" si="44"/>
        <v>-29.6</v>
      </c>
      <c r="E71" s="3">
        <f t="shared" ref="E71:F71" si="92">G14</f>
        <v>9.4696999999999996</v>
      </c>
      <c r="F71" s="120">
        <f t="shared" si="92"/>
        <v>92</v>
      </c>
      <c r="G71" s="120">
        <f t="shared" si="46"/>
        <v>147.74389399429924</v>
      </c>
      <c r="H71" s="120">
        <f t="shared" si="47"/>
        <v>14.99061925822123</v>
      </c>
      <c r="I71" s="120">
        <f t="shared" si="48"/>
        <v>9.3398289357778523</v>
      </c>
      <c r="J71" s="120">
        <f>VLOOKUP(R71,'Steel grades'!$B$5:$J$22,IF(F71&gt;200,10,IF(F71&gt;150,9,IF(F71&gt;120,8,IF(F71&gt;100,7,IF(F71&gt;80,6,IF(F71&gt;63,5,IF(F71&gt;40,4,IF(F71&gt;16,3,2)))))))),FALSE)</f>
        <v>315</v>
      </c>
      <c r="K71" s="3">
        <f t="shared" si="49"/>
        <v>257.65919158488219</v>
      </c>
      <c r="L71" s="3">
        <f t="shared" si="50"/>
        <v>17.128177102843065</v>
      </c>
      <c r="M71" s="3">
        <f t="shared" si="51"/>
        <v>110.83844611309179</v>
      </c>
      <c r="N71" s="3">
        <f t="shared" si="52"/>
        <v>0.81950568965792225</v>
      </c>
      <c r="O71" s="3">
        <f t="shared" si="53"/>
        <v>0.48586525885867238</v>
      </c>
      <c r="P71" s="3">
        <f>(ABS(Geometry_loads!S27)/Z71+ABS(Geometry_loads!T27)/AA71)/(1000*J71)</f>
        <v>0.35614535761383848</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Geometry!M34</f>
        <v>S355 NL/ML</v>
      </c>
      <c r="T71" s="3">
        <f>Geometry_loads!L27</f>
        <v>-39544.53</v>
      </c>
      <c r="U71" s="3">
        <f>Geometry_loads!M27</f>
        <v>-46406.65</v>
      </c>
      <c r="V71" s="3">
        <f>Geometry_loads!N27</f>
        <v>846105.59999999998</v>
      </c>
      <c r="W71" s="3">
        <f>Geometry_loads!O27</f>
        <v>15366.7</v>
      </c>
      <c r="X71" s="3">
        <f t="shared" ref="X71:Y71" si="93">X43</f>
        <v>0</v>
      </c>
      <c r="Y71" s="120">
        <f t="shared" si="93"/>
        <v>0</v>
      </c>
      <c r="Z71" s="224">
        <f t="shared" si="55"/>
        <v>2.710404035336329</v>
      </c>
      <c r="AA71" s="224">
        <f t="shared" si="56"/>
        <v>6.2932109647380949</v>
      </c>
      <c r="AB71" s="224">
        <f t="shared" si="57"/>
        <v>4.6888499999999995</v>
      </c>
      <c r="AC71" s="120">
        <f t="shared" si="58"/>
        <v>92</v>
      </c>
      <c r="AD71" s="224">
        <f t="shared" si="59"/>
        <v>115.01433300467487</v>
      </c>
      <c r="AE71" s="224">
        <f t="shared" si="60"/>
        <v>0.40621598102215023</v>
      </c>
      <c r="AF71" s="224">
        <f t="shared" si="61"/>
        <v>0.38810534288933707</v>
      </c>
      <c r="AG71" s="224">
        <f t="shared" si="62"/>
        <v>0.29012486954278138</v>
      </c>
      <c r="AH71" s="224">
        <f t="shared" si="63"/>
        <v>0.8997622563281602</v>
      </c>
      <c r="AI71" s="224">
        <f t="shared" si="64"/>
        <v>37.681989626254733</v>
      </c>
      <c r="AJ71" s="224">
        <f t="shared" si="65"/>
        <v>2.8912680965926798</v>
      </c>
      <c r="AK71" s="224">
        <f t="shared" si="66"/>
        <v>5.9812681946436103E-2</v>
      </c>
      <c r="AL71" s="224">
        <f t="shared" si="67"/>
        <v>0.67039873685665441</v>
      </c>
      <c r="AM71" s="224">
        <f t="shared" si="68"/>
        <v>1</v>
      </c>
      <c r="AN71" s="224">
        <f t="shared" si="69"/>
        <v>1.4665087042359026E-2</v>
      </c>
      <c r="AO71" s="224">
        <f t="shared" si="70"/>
        <v>1.4665087042359026E-2</v>
      </c>
      <c r="AP71" s="224">
        <f t="shared" si="71"/>
        <v>147.74389874356558</v>
      </c>
      <c r="AQ71" s="224">
        <f t="shared" si="72"/>
        <v>0.32554573371811985</v>
      </c>
      <c r="AR71" s="224">
        <f t="shared" si="73"/>
        <v>9.5124756327016762</v>
      </c>
      <c r="AS71" s="224">
        <f t="shared" si="74"/>
        <v>0.5667771854159378</v>
      </c>
      <c r="AT71" s="224">
        <f t="shared" si="75"/>
        <v>148.0694444772837</v>
      </c>
      <c r="AU71" s="224">
        <f t="shared" si="76"/>
        <v>0.48586525885867238</v>
      </c>
      <c r="AV71" s="224">
        <f t="shared" si="77"/>
        <v>0.51706790134924463</v>
      </c>
      <c r="AW71" s="224">
        <f t="shared" si="78"/>
        <v>3.7747919177387609E-2</v>
      </c>
      <c r="AX71" s="224">
        <f t="shared" si="79"/>
        <v>0.56802604845698401</v>
      </c>
    </row>
    <row r="72" spans="3:50">
      <c r="C72" s="12" t="str">
        <f t="shared" si="43"/>
        <v>Can10</v>
      </c>
      <c r="D72" s="2">
        <f t="shared" si="44"/>
        <v>-33.5</v>
      </c>
      <c r="E72" s="3">
        <f t="shared" ref="E72:F72" si="94">G15</f>
        <v>9.8000000000000007</v>
      </c>
      <c r="F72" s="120">
        <f t="shared" si="94"/>
        <v>92</v>
      </c>
      <c r="G72" s="120">
        <f t="shared" si="46"/>
        <v>145.30193824883315</v>
      </c>
      <c r="H72" s="120">
        <f t="shared" si="47"/>
        <v>15.077494543276135</v>
      </c>
      <c r="I72" s="120">
        <f t="shared" si="48"/>
        <v>9.6687950466032611</v>
      </c>
      <c r="J72" s="120">
        <f>VLOOKUP(R72,'Steel grades'!$B$5:$J$22,IF(F72&gt;200,10,IF(F72&gt;150,9,IF(F72&gt;120,8,IF(F72&gt;100,7,IF(F72&gt;80,6,IF(F72&gt;63,5,IF(F72&gt;40,4,IF(F72&gt;16,3,2)))))))),FALSE)</f>
        <v>315</v>
      </c>
      <c r="K72" s="3">
        <f t="shared" si="49"/>
        <v>256.66870923122764</v>
      </c>
      <c r="L72" s="3">
        <f t="shared" si="50"/>
        <v>17.489741284824117</v>
      </c>
      <c r="M72" s="3">
        <f t="shared" si="51"/>
        <v>109.39984058014642</v>
      </c>
      <c r="N72" s="3">
        <f t="shared" si="52"/>
        <v>0.82042149722255564</v>
      </c>
      <c r="O72" s="3">
        <f t="shared" si="53"/>
        <v>0.70138078811428572</v>
      </c>
      <c r="P72" s="3">
        <f>(ABS(Geometry_loads!S28)/Z72+ABS(Geometry_loads!T28)/AA72)/(1000*J72)</f>
        <v>0.35025721895538448</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Geometry!M35</f>
        <v>S355 NL/ML</v>
      </c>
      <c r="T72" s="3">
        <f>Geometry_loads!L28</f>
        <v>-41010.39</v>
      </c>
      <c r="U72" s="3">
        <f>Geometry_loads!M28</f>
        <v>-46410.559999999998</v>
      </c>
      <c r="V72" s="3">
        <f>Geometry_loads!N28</f>
        <v>889951.5</v>
      </c>
      <c r="W72" s="3">
        <f>Geometry_loads!O28</f>
        <v>16372.09</v>
      </c>
      <c r="X72" s="3">
        <f t="shared" ref="X72:Y72" si="95">X44</f>
        <v>0</v>
      </c>
      <c r="Y72" s="120">
        <f t="shared" si="95"/>
        <v>0</v>
      </c>
      <c r="Z72" s="224">
        <f t="shared" si="55"/>
        <v>2.8058694962565682</v>
      </c>
      <c r="AA72" s="224">
        <f t="shared" si="56"/>
        <v>6.7465219465220363</v>
      </c>
      <c r="AB72" s="224">
        <f t="shared" si="57"/>
        <v>4.8540000000000001</v>
      </c>
      <c r="AC72" s="120">
        <f t="shared" si="58"/>
        <v>92</v>
      </c>
      <c r="AD72" s="224">
        <f t="shared" si="59"/>
        <v>113.0594940790896</v>
      </c>
      <c r="AE72" s="224">
        <f t="shared" si="60"/>
        <v>0.40927194997344252</v>
      </c>
      <c r="AF72" s="224">
        <f t="shared" si="61"/>
        <v>0.38447624918747192</v>
      </c>
      <c r="AG72" s="224">
        <f t="shared" si="62"/>
        <v>0.28994099499898318</v>
      </c>
      <c r="AH72" s="224">
        <f t="shared" si="63"/>
        <v>0.8963034290614299</v>
      </c>
      <c r="AI72" s="224">
        <f t="shared" si="64"/>
        <v>38.477430826613052</v>
      </c>
      <c r="AJ72" s="224">
        <f t="shared" si="65"/>
        <v>2.8612265337660681</v>
      </c>
      <c r="AK72" s="224">
        <f t="shared" si="66"/>
        <v>6.1075287026369933E-2</v>
      </c>
      <c r="AL72" s="224">
        <f t="shared" si="67"/>
        <v>0.66169742999118708</v>
      </c>
      <c r="AM72" s="224">
        <f t="shared" si="68"/>
        <v>1</v>
      </c>
      <c r="AN72" s="224">
        <f t="shared" si="69"/>
        <v>2.4248072009611419</v>
      </c>
      <c r="AO72" s="224">
        <f t="shared" si="70"/>
        <v>2.4248072009611419</v>
      </c>
      <c r="AP72" s="224">
        <f t="shared" si="71"/>
        <v>145.42981344119596</v>
      </c>
      <c r="AQ72" s="224">
        <f t="shared" si="72"/>
        <v>53.885355324811364</v>
      </c>
      <c r="AR72" s="224">
        <f t="shared" si="73"/>
        <v>38.245820164218827</v>
      </c>
      <c r="AS72" s="224">
        <f t="shared" si="74"/>
        <v>0.5593084801336653</v>
      </c>
      <c r="AT72" s="224">
        <f t="shared" si="75"/>
        <v>199.31516876600733</v>
      </c>
      <c r="AU72" s="224">
        <f t="shared" si="76"/>
        <v>0.70138078811428572</v>
      </c>
      <c r="AV72" s="224">
        <f t="shared" si="77"/>
        <v>0.69602122426224788</v>
      </c>
      <c r="AW72" s="224">
        <f t="shared" si="78"/>
        <v>0.15176912763578901</v>
      </c>
      <c r="AX72" s="224">
        <f t="shared" si="79"/>
        <v>0.76654615358615286</v>
      </c>
    </row>
    <row r="73" spans="3:50">
      <c r="C73" s="12" t="str">
        <f t="shared" si="43"/>
        <v>Can11</v>
      </c>
      <c r="D73" s="2">
        <f t="shared" si="44"/>
        <v>-36.799999999999997</v>
      </c>
      <c r="E73" s="3">
        <f t="shared" ref="E73:F73" si="96">G16</f>
        <v>9.8000000000000007</v>
      </c>
      <c r="F73" s="120">
        <f t="shared" si="96"/>
        <v>92</v>
      </c>
      <c r="G73" s="120">
        <f t="shared" si="46"/>
        <v>152.31097905806237</v>
      </c>
      <c r="H73" s="120">
        <f t="shared" si="47"/>
        <v>15.688844682497169</v>
      </c>
      <c r="I73" s="120">
        <f t="shared" si="48"/>
        <v>9.6687950466032611</v>
      </c>
      <c r="J73" s="120">
        <f>VLOOKUP(R73,'Steel grades'!$B$5:$J$22,IF(F73&gt;200,10,IF(F73&gt;150,9,IF(F73&gt;120,8,IF(F73&gt;100,7,IF(F73&gt;80,6,IF(F73&gt;63,5,IF(F73&gt;40,4,IF(F73&gt;16,3,2)))))))),FALSE)</f>
        <v>315</v>
      </c>
      <c r="K73" s="3">
        <f t="shared" si="49"/>
        <v>217.17401740280778</v>
      </c>
      <c r="L73" s="3">
        <f t="shared" si="50"/>
        <v>17.489741284824117</v>
      </c>
      <c r="M73" s="3">
        <f t="shared" si="51"/>
        <v>109.39984058014642</v>
      </c>
      <c r="N73" s="3">
        <f t="shared" si="52"/>
        <v>0.99260543461750173</v>
      </c>
      <c r="O73" s="3">
        <f t="shared" si="53"/>
        <v>0.47680252562646241</v>
      </c>
      <c r="P73" s="3">
        <f>(ABS(Geometry_loads!S29)/Z73+ABS(Geometry_loads!T29)/AA73)/(1000*J73)</f>
        <v>0.36725140157013242</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Geometry!M36</f>
        <v>S355 NL/ML</v>
      </c>
      <c r="T73" s="3">
        <f>Geometry_loads!L29</f>
        <v>-42196.418461538458</v>
      </c>
      <c r="U73" s="3">
        <f>Geometry_loads!M29</f>
        <v>-46413.081538461542</v>
      </c>
      <c r="V73" s="3">
        <f>Geometry_loads!N29</f>
        <v>934803.4923076923</v>
      </c>
      <c r="W73" s="3">
        <f>Geometry_loads!O29</f>
        <v>17229.514615384614</v>
      </c>
      <c r="X73" s="3">
        <f t="shared" ref="X73:Y73" si="97">X45</f>
        <v>0</v>
      </c>
      <c r="Y73" s="120">
        <f t="shared" si="97"/>
        <v>0</v>
      </c>
      <c r="Z73" s="224">
        <f t="shared" si="55"/>
        <v>2.8058694962565682</v>
      </c>
      <c r="AA73" s="224">
        <f t="shared" si="56"/>
        <v>6.7465219465220363</v>
      </c>
      <c r="AB73" s="224">
        <f t="shared" si="57"/>
        <v>4.8540000000000001</v>
      </c>
      <c r="AC73" s="120">
        <f t="shared" si="58"/>
        <v>92</v>
      </c>
      <c r="AD73" s="224">
        <f t="shared" si="59"/>
        <v>113.0594940790896</v>
      </c>
      <c r="AE73" s="224">
        <f t="shared" si="60"/>
        <v>0.40927194997344252</v>
      </c>
      <c r="AF73" s="224">
        <f t="shared" si="61"/>
        <v>0.38447624918747192</v>
      </c>
      <c r="AG73" s="224">
        <f t="shared" si="62"/>
        <v>0.29012636853461315</v>
      </c>
      <c r="AH73" s="224">
        <f t="shared" si="63"/>
        <v>0.89643671110769096</v>
      </c>
      <c r="AI73" s="224">
        <f t="shared" si="64"/>
        <v>38.477430826613052</v>
      </c>
      <c r="AJ73" s="224">
        <f t="shared" si="65"/>
        <v>2.8612265337660681</v>
      </c>
      <c r="AK73" s="224">
        <f t="shared" si="66"/>
        <v>6.1075287026369933E-2</v>
      </c>
      <c r="AL73" s="224">
        <f t="shared" si="67"/>
        <v>0.66169742999118708</v>
      </c>
      <c r="AM73" s="224">
        <f t="shared" si="68"/>
        <v>0.84599999999999997</v>
      </c>
      <c r="AN73" s="224">
        <f t="shared" si="69"/>
        <v>0</v>
      </c>
      <c r="AO73" s="224">
        <f t="shared" si="70"/>
        <v>0</v>
      </c>
      <c r="AP73" s="224">
        <f t="shared" si="71"/>
        <v>152.31097905806237</v>
      </c>
      <c r="AQ73" s="224">
        <f t="shared" si="72"/>
        <v>0</v>
      </c>
      <c r="AR73" s="224">
        <f t="shared" si="73"/>
        <v>0</v>
      </c>
      <c r="AS73" s="224">
        <f t="shared" si="74"/>
        <v>0</v>
      </c>
      <c r="AT73" s="224">
        <f t="shared" si="75"/>
        <v>0</v>
      </c>
      <c r="AU73" s="224">
        <f t="shared" si="76"/>
        <v>0</v>
      </c>
      <c r="AV73" s="224">
        <f t="shared" si="77"/>
        <v>0</v>
      </c>
      <c r="AW73" s="224">
        <f t="shared" si="78"/>
        <v>0</v>
      </c>
      <c r="AX73" s="224">
        <f t="shared" si="79"/>
        <v>0</v>
      </c>
    </row>
    <row r="74" spans="3:50">
      <c r="C74" s="12" t="str">
        <f t="shared" si="43"/>
        <v>Can12</v>
      </c>
      <c r="D74" s="2">
        <f t="shared" si="44"/>
        <v>-40.200000000000003</v>
      </c>
      <c r="E74" s="3">
        <f t="shared" ref="E74:F74" si="98">G17</f>
        <v>9.8000000000000007</v>
      </c>
      <c r="F74" s="120">
        <f t="shared" si="98"/>
        <v>92</v>
      </c>
      <c r="G74" s="120">
        <f t="shared" si="46"/>
        <v>160.00049366320758</v>
      </c>
      <c r="H74" s="120">
        <f t="shared" si="47"/>
        <v>16.292272512415384</v>
      </c>
      <c r="I74" s="120">
        <f t="shared" si="48"/>
        <v>9.6687950466032611</v>
      </c>
      <c r="J74" s="120">
        <f>VLOOKUP(R74,'Steel grades'!$B$5:$J$22,IF(F74&gt;200,10,IF(F74&gt;150,9,IF(F74&gt;120,8,IF(F74&gt;100,7,IF(F74&gt;80,6,IF(F74&gt;63,5,IF(F74&gt;40,4,IF(F74&gt;16,3,2)))))))),FALSE)</f>
        <v>315</v>
      </c>
      <c r="K74" s="3">
        <f t="shared" si="49"/>
        <v>256.78165247102589</v>
      </c>
      <c r="L74" s="3">
        <f t="shared" si="50"/>
        <v>17.489741284824117</v>
      </c>
      <c r="M74" s="3">
        <f t="shared" si="51"/>
        <v>109.39984058014642</v>
      </c>
      <c r="N74" s="3">
        <f t="shared" si="52"/>
        <v>0.89168955696960484</v>
      </c>
      <c r="O74" s="3">
        <f t="shared" si="53"/>
        <v>0.50137574421769249</v>
      </c>
      <c r="P74" s="3">
        <f>(ABS(Geometry_loads!S30)/Z74+ABS(Geometry_loads!T30)/AA74)/(1000*J74)</f>
        <v>0.38590767364684742</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Geometry!M37</f>
        <v>S355 NL/ML</v>
      </c>
      <c r="T74" s="3">
        <f>Geometry_loads!L30</f>
        <v>-42697.566666666666</v>
      </c>
      <c r="U74" s="3">
        <f>Geometry_loads!M30</f>
        <v>-46414.76051282051</v>
      </c>
      <c r="V74" s="3">
        <f>Geometry_loads!N30</f>
        <v>985951.61025641044</v>
      </c>
      <c r="W74" s="3">
        <f>Geometry_loads!O30</f>
        <v>18075.91153846154</v>
      </c>
      <c r="X74" s="3">
        <f t="shared" ref="X74:Y74" si="99">X46</f>
        <v>0</v>
      </c>
      <c r="Y74" s="120">
        <f t="shared" si="99"/>
        <v>0</v>
      </c>
      <c r="Z74" s="224">
        <f t="shared" si="55"/>
        <v>2.8058694962565682</v>
      </c>
      <c r="AA74" s="224">
        <f t="shared" si="56"/>
        <v>6.7465219465220363</v>
      </c>
      <c r="AB74" s="224">
        <f t="shared" si="57"/>
        <v>4.8540000000000001</v>
      </c>
      <c r="AC74" s="120">
        <f t="shared" si="58"/>
        <v>92</v>
      </c>
      <c r="AD74" s="224">
        <f t="shared" si="59"/>
        <v>113.0594940790896</v>
      </c>
      <c r="AE74" s="224">
        <f t="shared" si="60"/>
        <v>0.40927194997344252</v>
      </c>
      <c r="AF74" s="224">
        <f t="shared" si="61"/>
        <v>0.38447624918747192</v>
      </c>
      <c r="AG74" s="224">
        <f t="shared" si="62"/>
        <v>0.29048925943785503</v>
      </c>
      <c r="AH74" s="224">
        <f t="shared" si="63"/>
        <v>0.89669783402580494</v>
      </c>
      <c r="AI74" s="224">
        <f t="shared" si="64"/>
        <v>38.477430826613052</v>
      </c>
      <c r="AJ74" s="224">
        <f t="shared" si="65"/>
        <v>2.8612265337660681</v>
      </c>
      <c r="AK74" s="224">
        <f t="shared" si="66"/>
        <v>6.1075287026369933E-2</v>
      </c>
      <c r="AL74" s="224">
        <f t="shared" si="67"/>
        <v>0.66169742999118708</v>
      </c>
      <c r="AM74" s="224">
        <f t="shared" si="68"/>
        <v>1</v>
      </c>
      <c r="AN74" s="224">
        <f t="shared" si="69"/>
        <v>0</v>
      </c>
      <c r="AO74" s="224">
        <f t="shared" si="70"/>
        <v>0</v>
      </c>
      <c r="AP74" s="224">
        <f t="shared" si="71"/>
        <v>160.00049366320758</v>
      </c>
      <c r="AQ74" s="224">
        <f t="shared" si="72"/>
        <v>0</v>
      </c>
      <c r="AR74" s="224">
        <f t="shared" si="73"/>
        <v>0</v>
      </c>
      <c r="AS74" s="224">
        <f t="shared" si="74"/>
        <v>0</v>
      </c>
      <c r="AT74" s="224">
        <f t="shared" si="75"/>
        <v>0</v>
      </c>
      <c r="AU74" s="224">
        <f t="shared" si="76"/>
        <v>0</v>
      </c>
      <c r="AV74" s="224">
        <f t="shared" si="77"/>
        <v>0</v>
      </c>
      <c r="AW74" s="224">
        <f t="shared" si="78"/>
        <v>0</v>
      </c>
      <c r="AX74" s="224">
        <f t="shared" si="79"/>
        <v>0</v>
      </c>
    </row>
    <row r="75" spans="3:50">
      <c r="C75" s="12" t="str">
        <f t="shared" si="43"/>
        <v>Can13</v>
      </c>
      <c r="D75" s="2">
        <f t="shared" si="44"/>
        <v>-43.8</v>
      </c>
      <c r="E75" s="3">
        <f t="shared" ref="E75:F75" si="100">G18</f>
        <v>9.8000000000000007</v>
      </c>
      <c r="F75" s="120">
        <f t="shared" si="100"/>
        <v>101</v>
      </c>
      <c r="G75" s="120">
        <f t="shared" si="46"/>
        <v>153.96017288339621</v>
      </c>
      <c r="H75" s="120">
        <f t="shared" si="47"/>
        <v>15.383788608275028</v>
      </c>
      <c r="I75" s="120">
        <f t="shared" si="48"/>
        <v>8.7990543375928212</v>
      </c>
      <c r="J75" s="120">
        <f>VLOOKUP(R75,'Steel grades'!$B$5:$J$22,IF(F75&gt;200,10,IF(F75&gt;150,9,IF(F75&gt;120,8,IF(F75&gt;100,7,IF(F75&gt;80,6,IF(F75&gt;63,5,IF(F75&gt;40,4,IF(F75&gt;16,3,2)))))))),FALSE)</f>
        <v>340</v>
      </c>
      <c r="K75" s="3">
        <f t="shared" si="49"/>
        <v>235.00934200674891</v>
      </c>
      <c r="L75" s="3">
        <f t="shared" si="50"/>
        <v>19.431122470295708</v>
      </c>
      <c r="M75" s="3">
        <f t="shared" si="51"/>
        <v>120.53060636984671</v>
      </c>
      <c r="N75" s="3">
        <f t="shared" si="52"/>
        <v>0.81935232499596766</v>
      </c>
      <c r="O75" s="3">
        <f t="shared" si="53"/>
        <v>0.44737254008511523</v>
      </c>
      <c r="P75" s="3">
        <f>(ABS(Geometry_loads!S31)/Z75+ABS(Geometry_loads!T31)/AA75)/(1000*J75)</f>
        <v>0.34443324442782408</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130</v>
      </c>
      <c r="R75" s="3" t="str">
        <f>Geometry!M38</f>
        <v>S420 NL</v>
      </c>
      <c r="T75" s="3">
        <f>Geometry_loads!L31</f>
        <v>-43607.330673575125</v>
      </c>
      <c r="U75" s="3">
        <f>Geometry_loads!M31</f>
        <v>-46415.744870466318</v>
      </c>
      <c r="V75" s="3">
        <f>Geometry_loads!N31</f>
        <v>1043140.2010362694</v>
      </c>
      <c r="W75" s="3">
        <f>Geometry_loads!O31</f>
        <v>18886.190880829014</v>
      </c>
      <c r="X75" s="3">
        <f t="shared" ref="X75:Y75" si="101">X47</f>
        <v>0</v>
      </c>
      <c r="Y75" s="120">
        <f t="shared" si="101"/>
        <v>0</v>
      </c>
      <c r="Z75" s="224">
        <f t="shared" si="55"/>
        <v>3.0775010218639087</v>
      </c>
      <c r="AA75" s="224">
        <f t="shared" si="56"/>
        <v>7.3860654156320455</v>
      </c>
      <c r="AB75" s="224">
        <f t="shared" si="57"/>
        <v>4.8494999999999999</v>
      </c>
      <c r="AC75" s="120">
        <f t="shared" si="58"/>
        <v>101</v>
      </c>
      <c r="AD75" s="224">
        <f t="shared" si="59"/>
        <v>107.90467586977182</v>
      </c>
      <c r="AE75" s="224">
        <f t="shared" si="60"/>
        <v>0.40929401573913649</v>
      </c>
      <c r="AF75" s="224">
        <f t="shared" si="61"/>
        <v>0.39430454944807303</v>
      </c>
      <c r="AG75" s="224">
        <f t="shared" si="62"/>
        <v>0.29079650231938808</v>
      </c>
      <c r="AH75" s="224">
        <f t="shared" si="63"/>
        <v>0.89872853639071004</v>
      </c>
      <c r="AI75" s="224">
        <f t="shared" si="64"/>
        <v>42.748469434650559</v>
      </c>
      <c r="AJ75" s="224">
        <f t="shared" si="65"/>
        <v>2.8201952292474175</v>
      </c>
      <c r="AK75" s="224">
        <f t="shared" si="66"/>
        <v>6.2865396227427289E-2</v>
      </c>
      <c r="AL75" s="224">
        <f t="shared" si="67"/>
        <v>0.67541661032242761</v>
      </c>
      <c r="AM75" s="224">
        <f t="shared" si="68"/>
        <v>0.84599999999999997</v>
      </c>
      <c r="AN75" s="224">
        <f t="shared" si="69"/>
        <v>0</v>
      </c>
      <c r="AO75" s="224">
        <f t="shared" si="70"/>
        <v>0</v>
      </c>
      <c r="AP75" s="224">
        <f t="shared" si="71"/>
        <v>153.96017288339615</v>
      </c>
      <c r="AQ75" s="224">
        <f t="shared" si="72"/>
        <v>0</v>
      </c>
      <c r="AR75" s="224">
        <f t="shared" si="73"/>
        <v>0</v>
      </c>
      <c r="AS75" s="224">
        <f t="shared" si="74"/>
        <v>0</v>
      </c>
      <c r="AT75" s="224">
        <f t="shared" si="75"/>
        <v>0</v>
      </c>
      <c r="AU75" s="224">
        <f t="shared" si="76"/>
        <v>0</v>
      </c>
      <c r="AV75" s="224">
        <f t="shared" si="77"/>
        <v>0</v>
      </c>
      <c r="AW75" s="224">
        <f t="shared" si="78"/>
        <v>0</v>
      </c>
      <c r="AX75" s="224">
        <f t="shared" si="79"/>
        <v>0</v>
      </c>
    </row>
    <row r="76" spans="3:50">
      <c r="C76" s="12" t="str">
        <f t="shared" si="43"/>
        <v>Can14</v>
      </c>
      <c r="D76" s="2">
        <f t="shared" si="44"/>
        <v>-47.8</v>
      </c>
      <c r="E76" s="3">
        <f t="shared" ref="E76:F76" si="102">G19</f>
        <v>9.8000000000000007</v>
      </c>
      <c r="F76" s="120">
        <f t="shared" si="102"/>
        <v>92</v>
      </c>
      <c r="G76" s="120">
        <f t="shared" si="46"/>
        <v>179.56430532654684</v>
      </c>
      <c r="H76" s="120">
        <f t="shared" si="47"/>
        <v>16.377315883128777</v>
      </c>
      <c r="I76" s="120">
        <f t="shared" si="48"/>
        <v>0</v>
      </c>
      <c r="J76" s="120">
        <f>VLOOKUP(R76,'Steel grades'!$B$5:$J$22,IF(F76&gt;200,10,IF(F76&gt;150,9,IF(F76&gt;120,8,IF(F76&gt;100,7,IF(F76&gt;80,6,IF(F76&gt;63,5,IF(F76&gt;40,4,IF(F76&gt;16,3,2)))))))),FALSE)</f>
        <v>315</v>
      </c>
      <c r="K76" s="3">
        <f t="shared" si="49"/>
        <v>256.93695062462922</v>
      </c>
      <c r="L76" s="3">
        <f t="shared" si="50"/>
        <v>17.489741284824117</v>
      </c>
      <c r="M76" s="3">
        <f t="shared" si="51"/>
        <v>109.39984058014642</v>
      </c>
      <c r="N76" s="3">
        <f t="shared" si="52"/>
        <v>0.69886524647395087</v>
      </c>
      <c r="O76" s="3">
        <f t="shared" si="53"/>
        <v>0.57711447337972344</v>
      </c>
      <c r="P76" s="3">
        <f>(ABS(Geometry_loads!S32)/Z76+ABS(Geometry_loads!T32)/AA76)/(1000*J76)</f>
        <v>0.43301973020914641</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180</v>
      </c>
      <c r="R76" s="3" t="str">
        <f>Geometry!M39</f>
        <v>S355 NL/ML</v>
      </c>
      <c r="T76" s="3">
        <f>Geometry_loads!L32</f>
        <v>-44127.25</v>
      </c>
      <c r="U76" s="3">
        <f>Geometry_loads!M32</f>
        <v>-46415.88</v>
      </c>
      <c r="V76" s="3">
        <f>Geometry_loads!N32</f>
        <v>1115708.2990745939</v>
      </c>
      <c r="W76" s="3">
        <f>Geometry_loads!O32</f>
        <v>18195.106522389811</v>
      </c>
      <c r="X76" s="3">
        <f t="shared" ref="X76:Y76" si="103">X48</f>
        <v>0</v>
      </c>
      <c r="Y76" s="120">
        <f t="shared" si="103"/>
        <v>0</v>
      </c>
      <c r="Z76" s="224">
        <f t="shared" si="55"/>
        <v>2.8058694962565682</v>
      </c>
      <c r="AA76" s="224">
        <f t="shared" si="56"/>
        <v>6.7465219465220363</v>
      </c>
      <c r="AB76" s="224">
        <f t="shared" si="57"/>
        <v>4.8540000000000001</v>
      </c>
      <c r="AC76" s="120">
        <f t="shared" si="58"/>
        <v>92</v>
      </c>
      <c r="AD76" s="224">
        <f t="shared" si="59"/>
        <v>113.0594940790896</v>
      </c>
      <c r="AE76" s="224">
        <f t="shared" si="60"/>
        <v>0.40927194997344252</v>
      </c>
      <c r="AF76" s="224">
        <f t="shared" si="61"/>
        <v>0.38447624918747192</v>
      </c>
      <c r="AG76" s="224">
        <f t="shared" si="62"/>
        <v>0.29124170869912464</v>
      </c>
      <c r="AH76" s="224">
        <f t="shared" si="63"/>
        <v>0.89724014503838778</v>
      </c>
      <c r="AI76" s="224">
        <f t="shared" si="64"/>
        <v>38.477430826613052</v>
      </c>
      <c r="AJ76" s="224">
        <f t="shared" si="65"/>
        <v>2.8612265337660681</v>
      </c>
      <c r="AK76" s="224">
        <f t="shared" si="66"/>
        <v>6.1075287026369933E-2</v>
      </c>
      <c r="AL76" s="224">
        <f t="shared" si="67"/>
        <v>0.66169742999118708</v>
      </c>
      <c r="AM76" s="224">
        <f t="shared" si="68"/>
        <v>1</v>
      </c>
      <c r="AN76" s="224">
        <f t="shared" si="69"/>
        <v>0</v>
      </c>
      <c r="AO76" s="224">
        <f t="shared" si="70"/>
        <v>0</v>
      </c>
      <c r="AP76" s="224">
        <f t="shared" si="71"/>
        <v>179.56430532654684</v>
      </c>
      <c r="AQ76" s="224">
        <f t="shared" si="72"/>
        <v>0</v>
      </c>
      <c r="AR76" s="224">
        <f t="shared" si="73"/>
        <v>0</v>
      </c>
      <c r="AS76" s="224">
        <f t="shared" si="74"/>
        <v>0</v>
      </c>
      <c r="AT76" s="224">
        <f t="shared" si="75"/>
        <v>0</v>
      </c>
      <c r="AU76" s="224">
        <f t="shared" si="76"/>
        <v>0</v>
      </c>
      <c r="AV76" s="224">
        <f t="shared" si="77"/>
        <v>0</v>
      </c>
      <c r="AW76" s="224">
        <f t="shared" si="78"/>
        <v>0</v>
      </c>
      <c r="AX76" s="224">
        <f t="shared" si="79"/>
        <v>0</v>
      </c>
    </row>
    <row r="77" spans="3:50">
      <c r="C77" s="12" t="str">
        <f t="shared" si="43"/>
        <v>Can15</v>
      </c>
      <c r="D77" s="2">
        <f t="shared" si="44"/>
        <v>-51.8</v>
      </c>
      <c r="E77" s="3">
        <f t="shared" ref="E77:F77" si="104">G20</f>
        <v>9.8000000000000007</v>
      </c>
      <c r="F77" s="120">
        <f t="shared" si="104"/>
        <v>90</v>
      </c>
      <c r="G77" s="120">
        <f t="shared" si="46"/>
        <v>193.67481527275999</v>
      </c>
      <c r="H77" s="120">
        <f t="shared" si="47"/>
        <v>14.702006627377843</v>
      </c>
      <c r="I77" s="120">
        <f t="shared" si="48"/>
        <v>0</v>
      </c>
      <c r="J77" s="120">
        <f>VLOOKUP(R77,'Steel grades'!$B$5:$J$22,IF(F77&gt;200,10,IF(F77&gt;150,9,IF(F77&gt;120,8,IF(F77&gt;100,7,IF(F77&gt;80,6,IF(F77&gt;63,5,IF(F77&gt;40,4,IF(F77&gt;16,3,2)))))))),FALSE)</f>
        <v>315</v>
      </c>
      <c r="K77" s="3">
        <f t="shared" si="49"/>
        <v>255.97092595677796</v>
      </c>
      <c r="L77" s="3">
        <f t="shared" si="50"/>
        <v>17.083807773222528</v>
      </c>
      <c r="M77" s="3">
        <f t="shared" si="51"/>
        <v>107.85023953903776</v>
      </c>
      <c r="N77" s="3">
        <f t="shared" si="52"/>
        <v>0.75662817778556224</v>
      </c>
      <c r="O77" s="3">
        <f t="shared" si="53"/>
        <v>0.6201323915862671</v>
      </c>
      <c r="P77" s="3">
        <f>(ABS(Geometry_loads!S33)/Z77+ABS(Geometry_loads!T33)/AA77)/(1000*J77)</f>
        <v>0.46576009883080682</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180</v>
      </c>
      <c r="R77" s="3" t="str">
        <f>Geometry!M40</f>
        <v>S355 NL/ML</v>
      </c>
      <c r="T77" s="3">
        <f>Geometry_loads!L33</f>
        <v>-44127.25</v>
      </c>
      <c r="U77" s="3">
        <f>Geometry_loads!M33</f>
        <v>-46415.88</v>
      </c>
      <c r="V77" s="3">
        <f>Geometry_loads!N33</f>
        <v>1183636.6503994924</v>
      </c>
      <c r="W77" s="3">
        <f>Geometry_loads!O33</f>
        <v>15401.508299989528</v>
      </c>
      <c r="X77" s="3">
        <f t="shared" ref="X77:Y77" si="105">X49</f>
        <v>0</v>
      </c>
      <c r="Y77" s="120">
        <f t="shared" si="105"/>
        <v>0</v>
      </c>
      <c r="Z77" s="224">
        <f t="shared" si="55"/>
        <v>2.7454378199721172</v>
      </c>
      <c r="AA77" s="224">
        <f t="shared" si="56"/>
        <v>6.6039125512340453</v>
      </c>
      <c r="AB77" s="224">
        <f t="shared" si="57"/>
        <v>4.8550000000000004</v>
      </c>
      <c r="AC77" s="120">
        <f t="shared" si="58"/>
        <v>90</v>
      </c>
      <c r="AD77" s="224">
        <f t="shared" si="59"/>
        <v>114.3088081825627</v>
      </c>
      <c r="AE77" s="224">
        <f t="shared" si="60"/>
        <v>0.41299682186934783</v>
      </c>
      <c r="AF77" s="224">
        <f t="shared" si="61"/>
        <v>0.38213887965963755</v>
      </c>
      <c r="AG77" s="224">
        <f t="shared" si="62"/>
        <v>0.2917010700133178</v>
      </c>
      <c r="AH77" s="224">
        <f t="shared" si="63"/>
        <v>0.89386672556335167</v>
      </c>
      <c r="AI77" s="224">
        <f t="shared" si="64"/>
        <v>37.584377101089565</v>
      </c>
      <c r="AJ77" s="224">
        <f t="shared" si="65"/>
        <v>2.8950202004477075</v>
      </c>
      <c r="AK77" s="224">
        <f t="shared" si="66"/>
        <v>5.9657741430300892E-2</v>
      </c>
      <c r="AL77" s="224">
        <f t="shared" si="67"/>
        <v>0.65232477440982839</v>
      </c>
      <c r="AM77" s="224">
        <f t="shared" si="68"/>
        <v>1</v>
      </c>
      <c r="AN77" s="224">
        <f t="shared" si="69"/>
        <v>0</v>
      </c>
      <c r="AO77" s="224">
        <f t="shared" si="70"/>
        <v>0</v>
      </c>
      <c r="AP77" s="224">
        <f t="shared" si="71"/>
        <v>193.67481527276001</v>
      </c>
      <c r="AQ77" s="224">
        <f t="shared" si="72"/>
        <v>0</v>
      </c>
      <c r="AR77" s="224">
        <f t="shared" si="73"/>
        <v>0</v>
      </c>
      <c r="AS77" s="224">
        <f t="shared" si="74"/>
        <v>0</v>
      </c>
      <c r="AT77" s="224">
        <f t="shared" si="75"/>
        <v>0</v>
      </c>
      <c r="AU77" s="224">
        <f t="shared" si="76"/>
        <v>0</v>
      </c>
      <c r="AV77" s="224">
        <f t="shared" si="77"/>
        <v>0</v>
      </c>
      <c r="AW77" s="224">
        <f t="shared" si="78"/>
        <v>0</v>
      </c>
      <c r="AX77" s="224">
        <f t="shared" si="79"/>
        <v>0</v>
      </c>
    </row>
    <row r="78" spans="3:50">
      <c r="C78" s="12" t="str">
        <f t="shared" si="43"/>
        <v>Can16</v>
      </c>
      <c r="D78" s="2">
        <f t="shared" si="44"/>
        <v>-55.8</v>
      </c>
      <c r="E78" s="3">
        <f t="shared" ref="E78:F78" si="106">G21</f>
        <v>9.8000000000000007</v>
      </c>
      <c r="F78" s="120">
        <f t="shared" si="106"/>
        <v>80</v>
      </c>
      <c r="G78" s="120">
        <f t="shared" si="46"/>
        <v>226.85224199743394</v>
      </c>
      <c r="H78" s="120">
        <f t="shared" si="47"/>
        <v>13.834379411808921</v>
      </c>
      <c r="I78" s="120">
        <f t="shared" si="48"/>
        <v>0</v>
      </c>
      <c r="J78" s="120">
        <f>VLOOKUP(R78,'Steel grades'!$B$5:$J$22,IF(F78&gt;200,10,IF(F78&gt;150,9,IF(F78&gt;120,8,IF(F78&gt;100,7,IF(F78&gt;80,6,IF(F78&gt;63,5,IF(F78&gt;40,4,IF(F78&gt;16,3,2)))))))),FALSE)</f>
        <v>325</v>
      </c>
      <c r="K78" s="3">
        <f t="shared" si="49"/>
        <v>256.09546356463289</v>
      </c>
      <c r="L78" s="3">
        <f t="shared" si="50"/>
        <v>14.903635282210788</v>
      </c>
      <c r="M78" s="3">
        <f t="shared" si="51"/>
        <v>100.35059114634771</v>
      </c>
      <c r="N78" s="3">
        <f t="shared" si="52"/>
        <v>0.88581124725851068</v>
      </c>
      <c r="O78" s="3">
        <f t="shared" si="53"/>
        <v>0.70188999195632129</v>
      </c>
      <c r="P78" s="3">
        <f>(ABS(Geometry_loads!S34)/Z78+ABS(Geometry_loads!T34)/AA78)/(1000*J78)</f>
        <v>0.52613706000548166</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174.77258799890367</v>
      </c>
      <c r="R78" s="3" t="str">
        <f>Geometry!M41</f>
        <v>S355 NL/ML</v>
      </c>
      <c r="T78" s="3">
        <f>Geometry_loads!L34</f>
        <v>-44127.25</v>
      </c>
      <c r="U78" s="3">
        <f>Geometry_loads!M34</f>
        <v>-46415.88</v>
      </c>
      <c r="V78" s="3">
        <f>Geometry_loads!N34</f>
        <v>1239423.0726494335</v>
      </c>
      <c r="W78" s="3">
        <f>Geometry_loads!O34</f>
        <v>12122.723365605159</v>
      </c>
      <c r="X78" s="3">
        <f t="shared" ref="X78:Y78" si="107">X50</f>
        <v>0</v>
      </c>
      <c r="Y78" s="120">
        <f t="shared" si="107"/>
        <v>0</v>
      </c>
      <c r="Z78" s="224">
        <f t="shared" si="55"/>
        <v>2.4429024474314329</v>
      </c>
      <c r="AA78" s="224">
        <f t="shared" si="56"/>
        <v>5.8881925807415705</v>
      </c>
      <c r="AB78" s="224">
        <f t="shared" si="57"/>
        <v>4.8600000000000003</v>
      </c>
      <c r="AC78" s="120">
        <f t="shared" si="58"/>
        <v>80</v>
      </c>
      <c r="AD78" s="224">
        <f t="shared" si="59"/>
        <v>121.24280012286358</v>
      </c>
      <c r="AE78" s="224">
        <f t="shared" si="60"/>
        <v>0.44058461041345109</v>
      </c>
      <c r="AF78" s="224">
        <f t="shared" si="61"/>
        <v>0.36947915868453485</v>
      </c>
      <c r="AG78" s="224">
        <f t="shared" si="62"/>
        <v>0.29203734933773434</v>
      </c>
      <c r="AH78" s="224">
        <f t="shared" si="63"/>
        <v>0.8667846459110653</v>
      </c>
      <c r="AI78" s="224">
        <f t="shared" si="64"/>
        <v>32.787997620863734</v>
      </c>
      <c r="AJ78" s="224">
        <f t="shared" si="65"/>
        <v>3.1483588908662945</v>
      </c>
      <c r="AK78" s="224">
        <f t="shared" si="66"/>
        <v>5.0443073262867281E-2</v>
      </c>
      <c r="AL78" s="224">
        <f t="shared" si="67"/>
        <v>0.58828786054938575</v>
      </c>
      <c r="AM78" s="224">
        <f t="shared" si="68"/>
        <v>1</v>
      </c>
      <c r="AN78" s="224">
        <f t="shared" si="69"/>
        <v>0</v>
      </c>
      <c r="AO78" s="224">
        <f t="shared" si="70"/>
        <v>0</v>
      </c>
      <c r="AP78" s="224">
        <f t="shared" si="71"/>
        <v>226.85224199743394</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Can17</v>
      </c>
      <c r="D79" s="2">
        <f t="shared" si="44"/>
        <v>-59.8</v>
      </c>
      <c r="E79" s="3">
        <f t="shared" ref="E79:F79" si="108">G22</f>
        <v>9.8000000000000007</v>
      </c>
      <c r="F79" s="120">
        <f t="shared" si="108"/>
        <v>80</v>
      </c>
      <c r="G79" s="120">
        <f t="shared" si="46"/>
        <v>232.65543274545755</v>
      </c>
      <c r="H79" s="120">
        <f t="shared" si="47"/>
        <v>4.3500344008113814</v>
      </c>
      <c r="I79" s="120">
        <f t="shared" si="48"/>
        <v>0</v>
      </c>
      <c r="J79" s="120">
        <f>VLOOKUP(R79,'Steel grades'!$B$5:$J$22,IF(F79&gt;200,10,IF(F79&gt;150,9,IF(F79&gt;120,8,IF(F79&gt;100,7,IF(F79&gt;80,6,IF(F79&gt;63,5,IF(F79&gt;40,4,IF(F79&gt;16,3,2)))))))),FALSE)</f>
        <v>325</v>
      </c>
      <c r="K79" s="3">
        <f t="shared" si="49"/>
        <v>256.13641657922142</v>
      </c>
      <c r="L79" s="3">
        <f t="shared" si="50"/>
        <v>14.903635282210788</v>
      </c>
      <c r="M79" s="3">
        <f t="shared" si="51"/>
        <v>100.35059114634771</v>
      </c>
      <c r="N79" s="3">
        <f t="shared" si="52"/>
        <v>0.90832625775217968</v>
      </c>
      <c r="O79" s="3">
        <f t="shared" si="53"/>
        <v>0.71623815935211288</v>
      </c>
      <c r="P79" s="3">
        <f>(ABS(Geometry_loads!S35)/Z79+ABS(Geometry_loads!T35)/AA79)/(1000*J79)</f>
        <v>0.53667033141030329</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172.66593371793934</v>
      </c>
      <c r="R79" s="3" t="str">
        <f>Geometry!M42</f>
        <v>S355 NL/ML</v>
      </c>
      <c r="T79" s="3">
        <f>Geometry_loads!L35</f>
        <v>-44127.25</v>
      </c>
      <c r="U79" s="3">
        <f>Geometry_loads!M35</f>
        <v>-46415.88</v>
      </c>
      <c r="V79" s="3">
        <f>Geometry_loads!N35</f>
        <v>1273872.2808308911</v>
      </c>
      <c r="W79" s="3">
        <f>Geometry_loads!O35</f>
        <v>-538.05854578020774</v>
      </c>
      <c r="X79" s="3">
        <f t="shared" ref="X79:Y79" si="109">X51</f>
        <v>0</v>
      </c>
      <c r="Y79" s="120">
        <f t="shared" si="109"/>
        <v>0</v>
      </c>
      <c r="Z79" s="224">
        <f t="shared" si="55"/>
        <v>2.4429024474314329</v>
      </c>
      <c r="AA79" s="224">
        <f t="shared" si="56"/>
        <v>5.8881925807415705</v>
      </c>
      <c r="AB79" s="224">
        <f t="shared" si="57"/>
        <v>4.8600000000000003</v>
      </c>
      <c r="AC79" s="120">
        <f t="shared" si="58"/>
        <v>80</v>
      </c>
      <c r="AD79" s="224">
        <f t="shared" si="59"/>
        <v>121.24280012286358</v>
      </c>
      <c r="AE79" s="224">
        <f t="shared" si="60"/>
        <v>0.44058461041345109</v>
      </c>
      <c r="AF79" s="224">
        <f t="shared" si="61"/>
        <v>0.36947915868453485</v>
      </c>
      <c r="AG79" s="224">
        <f t="shared" si="62"/>
        <v>0.29223596400195134</v>
      </c>
      <c r="AH79" s="224">
        <f t="shared" si="63"/>
        <v>0.866923256114288</v>
      </c>
      <c r="AI79" s="224">
        <f t="shared" si="64"/>
        <v>32.787997620863734</v>
      </c>
      <c r="AJ79" s="224">
        <f t="shared" si="65"/>
        <v>3.1483588908662945</v>
      </c>
      <c r="AK79" s="224">
        <f t="shared" si="66"/>
        <v>5.0443073262867281E-2</v>
      </c>
      <c r="AL79" s="224">
        <f t="shared" si="67"/>
        <v>0.58828786054938575</v>
      </c>
      <c r="AM79" s="224">
        <f t="shared" si="68"/>
        <v>1</v>
      </c>
      <c r="AN79" s="224">
        <f t="shared" si="69"/>
        <v>0</v>
      </c>
      <c r="AO79" s="224">
        <f t="shared" si="70"/>
        <v>0</v>
      </c>
      <c r="AP79" s="224">
        <f t="shared" si="71"/>
        <v>232.65543274545755</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Can18</v>
      </c>
      <c r="D80" s="2">
        <f t="shared" si="44"/>
        <v>-63.8</v>
      </c>
      <c r="E80" s="3">
        <f t="shared" ref="E80:F80" si="110">G23</f>
        <v>9.8000000000000007</v>
      </c>
      <c r="F80" s="120">
        <f t="shared" si="110"/>
        <v>80</v>
      </c>
      <c r="G80" s="120">
        <f t="shared" si="46"/>
        <v>222.47270163512718</v>
      </c>
      <c r="H80" s="120">
        <f t="shared" si="47"/>
        <v>29.483223874762142</v>
      </c>
      <c r="I80" s="120">
        <f t="shared" si="48"/>
        <v>0</v>
      </c>
      <c r="J80" s="120">
        <f>VLOOKUP(R80,'Steel grades'!$B$5:$J$22,IF(F80&gt;200,10,IF(F80&gt;150,9,IF(F80&gt;120,8,IF(F80&gt;100,7,IF(F80&gt;80,6,IF(F80&gt;63,5,IF(F80&gt;40,4,IF(F80&gt;16,3,2)))))))),FALSE)</f>
        <v>325</v>
      </c>
      <c r="K80" s="3">
        <f t="shared" si="49"/>
        <v>256.06315978402256</v>
      </c>
      <c r="L80" s="3">
        <f t="shared" si="50"/>
        <v>14.903635282210788</v>
      </c>
      <c r="M80" s="3">
        <f t="shared" si="51"/>
        <v>100.35059114634771</v>
      </c>
      <c r="N80" s="3">
        <f t="shared" si="52"/>
        <v>0.86881963740029067</v>
      </c>
      <c r="O80" s="3">
        <f t="shared" si="53"/>
        <v>0.70233345267765068</v>
      </c>
      <c r="P80" s="3">
        <f>(ABS(Geometry_loads!S36)/Z80+ABS(Geometry_loads!T36)/AA80)/(1000*J80)</f>
        <v>0.51017711733306603</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177.96457653338678</v>
      </c>
      <c r="R80" s="3" t="str">
        <f>Geometry!M43</f>
        <v>S355 NL/ML</v>
      </c>
      <c r="T80" s="3">
        <f>Geometry_loads!L36</f>
        <v>-44127.25</v>
      </c>
      <c r="U80" s="3">
        <f>Geometry_loads!M36</f>
        <v>-46415.88</v>
      </c>
      <c r="V80" s="3">
        <f>Geometry_loads!N36</f>
        <v>1213425.0132660531</v>
      </c>
      <c r="W80" s="3">
        <f>Geometry_loads!O36</f>
        <v>-31237.023584616207</v>
      </c>
      <c r="X80" s="3">
        <f t="shared" ref="X80:Y80" si="111">X52</f>
        <v>0</v>
      </c>
      <c r="Y80" s="120">
        <f t="shared" si="111"/>
        <v>0</v>
      </c>
      <c r="Z80" s="224">
        <f t="shared" si="55"/>
        <v>2.4429024474314329</v>
      </c>
      <c r="AA80" s="224">
        <f t="shared" si="56"/>
        <v>5.8881925807415705</v>
      </c>
      <c r="AB80" s="224">
        <f t="shared" si="57"/>
        <v>4.8600000000000003</v>
      </c>
      <c r="AC80" s="120">
        <f t="shared" si="58"/>
        <v>80</v>
      </c>
      <c r="AD80" s="224">
        <f t="shared" si="59"/>
        <v>121.24280012286358</v>
      </c>
      <c r="AE80" s="224">
        <f t="shared" si="60"/>
        <v>0.44058461041345109</v>
      </c>
      <c r="AF80" s="224">
        <f t="shared" si="61"/>
        <v>0.36947915868453485</v>
      </c>
      <c r="AG80" s="224">
        <f t="shared" si="62"/>
        <v>0.2918805986455818</v>
      </c>
      <c r="AH80" s="224">
        <f t="shared" si="63"/>
        <v>0.86667531003823028</v>
      </c>
      <c r="AI80" s="224">
        <f t="shared" si="64"/>
        <v>32.787997620863734</v>
      </c>
      <c r="AJ80" s="224">
        <f t="shared" si="65"/>
        <v>3.1483588908662945</v>
      </c>
      <c r="AK80" s="224">
        <f t="shared" si="66"/>
        <v>5.0443073262867281E-2</v>
      </c>
      <c r="AL80" s="224">
        <f t="shared" si="67"/>
        <v>0.58828786054938575</v>
      </c>
      <c r="AM80" s="224">
        <f t="shared" si="68"/>
        <v>1</v>
      </c>
      <c r="AN80" s="224">
        <f t="shared" si="69"/>
        <v>0</v>
      </c>
      <c r="AO80" s="224">
        <f t="shared" si="70"/>
        <v>0</v>
      </c>
      <c r="AP80" s="224">
        <f t="shared" si="71"/>
        <v>222.47270163512715</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Can19</v>
      </c>
      <c r="D81" s="2">
        <f t="shared" si="44"/>
        <v>-67.8</v>
      </c>
      <c r="E81" s="3">
        <f t="shared" ref="E81:F81" si="112">G24</f>
        <v>9.8000000000000007</v>
      </c>
      <c r="F81" s="120">
        <f t="shared" si="112"/>
        <v>80</v>
      </c>
      <c r="G81" s="120">
        <f t="shared" si="46"/>
        <v>193.55795421193585</v>
      </c>
      <c r="H81" s="120">
        <f t="shared" si="47"/>
        <v>50.362989912587594</v>
      </c>
      <c r="I81" s="120">
        <f t="shared" si="48"/>
        <v>0</v>
      </c>
      <c r="J81" s="120">
        <f>VLOOKUP(R81,'Steel grades'!$B$5:$J$22,IF(F81&gt;200,10,IF(F81&gt;150,9,IF(F81&gt;120,8,IF(F81&gt;100,7,IF(F81&gt;80,6,IF(F81&gt;63,5,IF(F81&gt;40,4,IF(F81&gt;16,3,2)))))))),FALSE)</f>
        <v>325</v>
      </c>
      <c r="K81" s="3">
        <f t="shared" si="49"/>
        <v>255.81370714264597</v>
      </c>
      <c r="L81" s="3">
        <f t="shared" si="50"/>
        <v>14.903635282210788</v>
      </c>
      <c r="M81" s="3">
        <f t="shared" si="51"/>
        <v>100.35059114634771</v>
      </c>
      <c r="N81" s="3">
        <f t="shared" si="52"/>
        <v>0.85918785305199519</v>
      </c>
      <c r="O81" s="3">
        <f t="shared" si="53"/>
        <v>0.65325021817864548</v>
      </c>
      <c r="P81" s="3">
        <f>(ABS(Geometry_loads!S37)/Z81+ABS(Geometry_loads!T37)/AA81)/(1000*J81)</f>
        <v>0.44129009712287975</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Geometry!M44</f>
        <v>S355 NL/ML</v>
      </c>
      <c r="T81" s="3">
        <f>Geometry_loads!L37</f>
        <v>-44127.25</v>
      </c>
      <c r="U81" s="3">
        <f>Geometry_loads!M37</f>
        <v>-46415.88</v>
      </c>
      <c r="V81" s="3">
        <f>Geometry_loads!N37</f>
        <v>1041779.7586559026</v>
      </c>
      <c r="W81" s="3">
        <f>Geometry_loads!O37</f>
        <v>-56740.639362415859</v>
      </c>
      <c r="X81" s="3">
        <f t="shared" ref="X81:Y81" si="113">X53</f>
        <v>0</v>
      </c>
      <c r="Y81" s="120">
        <f t="shared" si="113"/>
        <v>0</v>
      </c>
      <c r="Z81" s="224">
        <f t="shared" si="55"/>
        <v>2.4429024474314329</v>
      </c>
      <c r="AA81" s="224">
        <f t="shared" si="56"/>
        <v>5.8881925807415705</v>
      </c>
      <c r="AB81" s="224">
        <f t="shared" si="57"/>
        <v>4.8600000000000003</v>
      </c>
      <c r="AC81" s="120">
        <f t="shared" si="58"/>
        <v>80</v>
      </c>
      <c r="AD81" s="224">
        <f t="shared" si="59"/>
        <v>121.24280012286358</v>
      </c>
      <c r="AE81" s="224">
        <f t="shared" si="60"/>
        <v>0.44058461041345109</v>
      </c>
      <c r="AF81" s="224">
        <f t="shared" si="61"/>
        <v>0.36947915868453485</v>
      </c>
      <c r="AG81" s="224">
        <f t="shared" si="62"/>
        <v>0.29066767799684706</v>
      </c>
      <c r="AH81" s="224">
        <f t="shared" si="63"/>
        <v>0.86583100879049402</v>
      </c>
      <c r="AI81" s="224">
        <f t="shared" si="64"/>
        <v>32.787997620863734</v>
      </c>
      <c r="AJ81" s="224">
        <f t="shared" si="65"/>
        <v>3.1483588908662945</v>
      </c>
      <c r="AK81" s="224">
        <f t="shared" si="66"/>
        <v>5.0443073262867281E-2</v>
      </c>
      <c r="AL81" s="224">
        <f t="shared" si="67"/>
        <v>0.58828786054938575</v>
      </c>
      <c r="AM81" s="224">
        <f t="shared" si="68"/>
        <v>1</v>
      </c>
      <c r="AN81" s="224">
        <f t="shared" si="69"/>
        <v>0</v>
      </c>
      <c r="AO81" s="224">
        <f t="shared" si="70"/>
        <v>0</v>
      </c>
      <c r="AP81" s="224">
        <f t="shared" si="71"/>
        <v>193.55795421193582</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Can20</v>
      </c>
      <c r="D82" s="2">
        <f t="shared" si="44"/>
        <v>-71.8</v>
      </c>
      <c r="E82" s="3">
        <f t="shared" ref="E82:F82" si="114">G25</f>
        <v>9.8000000000000007</v>
      </c>
      <c r="F82" s="120">
        <f t="shared" si="114"/>
        <v>80</v>
      </c>
      <c r="G82" s="120">
        <f t="shared" si="46"/>
        <v>148.63024183157688</v>
      </c>
      <c r="H82" s="120">
        <f t="shared" si="47"/>
        <v>67.454047967483802</v>
      </c>
      <c r="I82" s="120">
        <f t="shared" si="48"/>
        <v>0</v>
      </c>
      <c r="J82" s="120">
        <f>VLOOKUP(R82,'Steel grades'!$B$5:$J$22,IF(F82&gt;200,10,IF(F82&gt;150,9,IF(F82&gt;120,8,IF(F82&gt;100,7,IF(F82&gt;80,6,IF(F82&gt;63,5,IF(F82&gt;40,4,IF(F82&gt;16,3,2)))))))),FALSE)</f>
        <v>325</v>
      </c>
      <c r="K82" s="3">
        <f t="shared" si="49"/>
        <v>255.23701694777006</v>
      </c>
      <c r="L82" s="3">
        <f t="shared" si="50"/>
        <v>14.903635282210788</v>
      </c>
      <c r="M82" s="3">
        <f t="shared" si="51"/>
        <v>100.35059114634771</v>
      </c>
      <c r="N82" s="3">
        <f t="shared" si="52"/>
        <v>0.82903254966961737</v>
      </c>
      <c r="O82" s="3">
        <f t="shared" si="53"/>
        <v>0.58170200832968311</v>
      </c>
      <c r="P82" s="3">
        <f>(ABS(Geometry_loads!S38)/Z82+ABS(Geometry_loads!T38)/AA82)/(1000*J82)</f>
        <v>0.33726586731537717</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Geometry!M45</f>
        <v>S355 NL/ML</v>
      </c>
      <c r="T82" s="3">
        <f>Geometry_loads!L38</f>
        <v>-44127.25</v>
      </c>
      <c r="U82" s="3">
        <f>Geometry_loads!M38</f>
        <v>-46415.88</v>
      </c>
      <c r="V82" s="3">
        <f>Geometry_loads!N38</f>
        <v>775077.49362442084</v>
      </c>
      <c r="W82" s="3">
        <f>Geometry_loads!O38</f>
        <v>-77616.533138165105</v>
      </c>
      <c r="X82" s="3">
        <f t="shared" ref="X82:Y82" si="115">X54</f>
        <v>0</v>
      </c>
      <c r="Y82" s="120">
        <f t="shared" si="115"/>
        <v>0</v>
      </c>
      <c r="Z82" s="224">
        <f t="shared" si="55"/>
        <v>2.4429024474314329</v>
      </c>
      <c r="AA82" s="224">
        <f t="shared" si="56"/>
        <v>5.8881925807415705</v>
      </c>
      <c r="AB82" s="224">
        <f t="shared" si="57"/>
        <v>4.8600000000000003</v>
      </c>
      <c r="AC82" s="120">
        <f t="shared" si="58"/>
        <v>80</v>
      </c>
      <c r="AD82" s="224">
        <f t="shared" si="59"/>
        <v>121.24280012286358</v>
      </c>
      <c r="AE82" s="224">
        <f t="shared" si="60"/>
        <v>0.44058461041345109</v>
      </c>
      <c r="AF82" s="224">
        <f t="shared" si="61"/>
        <v>0.36947915868453485</v>
      </c>
      <c r="AG82" s="224">
        <f t="shared" si="62"/>
        <v>0.2878467185902569</v>
      </c>
      <c r="AH82" s="224">
        <f t="shared" si="63"/>
        <v>0.86387913428476026</v>
      </c>
      <c r="AI82" s="224">
        <f t="shared" si="64"/>
        <v>32.787997620863734</v>
      </c>
      <c r="AJ82" s="224">
        <f t="shared" si="65"/>
        <v>3.1483588908662945</v>
      </c>
      <c r="AK82" s="224">
        <f t="shared" si="66"/>
        <v>5.0443073262867281E-2</v>
      </c>
      <c r="AL82" s="224">
        <f t="shared" si="67"/>
        <v>0.58828786054938575</v>
      </c>
      <c r="AM82" s="224">
        <f t="shared" si="68"/>
        <v>1</v>
      </c>
      <c r="AN82" s="224">
        <f t="shared" si="69"/>
        <v>0</v>
      </c>
      <c r="AO82" s="224">
        <f t="shared" si="70"/>
        <v>0</v>
      </c>
      <c r="AP82" s="224">
        <f t="shared" si="71"/>
        <v>148.63024183157688</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Can21</v>
      </c>
      <c r="D83" s="2">
        <f t="shared" si="44"/>
        <v>-75.8</v>
      </c>
      <c r="E83" s="3">
        <f t="shared" ref="E83:F83" si="116">G26</f>
        <v>9.8000000000000007</v>
      </c>
      <c r="F83" s="120">
        <f t="shared" si="116"/>
        <v>87</v>
      </c>
      <c r="G83" s="120">
        <f t="shared" si="46"/>
        <v>85.449777576404372</v>
      </c>
      <c r="H83" s="120">
        <f t="shared" si="47"/>
        <v>69.079968710912524</v>
      </c>
      <c r="I83" s="120">
        <f t="shared" si="48"/>
        <v>0</v>
      </c>
      <c r="J83" s="120">
        <f>VLOOKUP(R83,'Steel grades'!$B$5:$J$22,IF(F83&gt;200,10,IF(F83&gt;150,9,IF(F83&gt;120,8,IF(F83&gt;100,7,IF(F83&gt;80,6,IF(F83&gt;63,5,IF(F83&gt;40,4,IF(F83&gt;16,3,2)))))))),FALSE)</f>
        <v>315</v>
      </c>
      <c r="K83" s="3">
        <f t="shared" si="49"/>
        <v>252.03984725365919</v>
      </c>
      <c r="L83" s="3">
        <f t="shared" si="50"/>
        <v>16.492233726884972</v>
      </c>
      <c r="M83" s="3">
        <f t="shared" si="51"/>
        <v>105.41810152383609</v>
      </c>
      <c r="N83" s="3">
        <f t="shared" si="52"/>
        <v>0.65529513159837027</v>
      </c>
      <c r="O83" s="3">
        <f t="shared" si="53"/>
        <v>0.46676157893647019</v>
      </c>
      <c r="P83" s="3">
        <f>(ABS(Geometry_loads!S39)/Z83+ABS(Geometry_loads!T39)/AA83)/(1000*J83)</f>
        <v>0.19998524315731803</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Geometry!M46</f>
        <v>S355 NL/ML</v>
      </c>
      <c r="T83" s="3">
        <f>Geometry_loads!L39</f>
        <v>-44127.25</v>
      </c>
      <c r="U83" s="3">
        <f>Geometry_loads!M39</f>
        <v>-46415.88</v>
      </c>
      <c r="V83" s="3">
        <f>Geometry_loads!N39</f>
        <v>443689.75354203791</v>
      </c>
      <c r="W83" s="3">
        <f>Geometry_loads!O39</f>
        <v>-86916.050188022709</v>
      </c>
      <c r="X83" s="3">
        <f t="shared" ref="X83:Y83" si="117">X55</f>
        <v>0</v>
      </c>
      <c r="Y83" s="120">
        <f t="shared" si="117"/>
        <v>0</v>
      </c>
      <c r="Z83" s="224">
        <f t="shared" si="55"/>
        <v>2.6547431816556326</v>
      </c>
      <c r="AA83" s="224">
        <f t="shared" si="56"/>
        <v>6.3896646580390648</v>
      </c>
      <c r="AB83" s="224">
        <f t="shared" si="57"/>
        <v>4.8565000000000005</v>
      </c>
      <c r="AC83" s="120">
        <f t="shared" si="58"/>
        <v>87</v>
      </c>
      <c r="AD83" s="224">
        <f t="shared" si="59"/>
        <v>116.26294645648143</v>
      </c>
      <c r="AE83" s="224">
        <f t="shared" si="60"/>
        <v>0.41883280682617635</v>
      </c>
      <c r="AF83" s="224">
        <f t="shared" si="61"/>
        <v>0.37851754309364416</v>
      </c>
      <c r="AG83" s="224">
        <f t="shared" si="62"/>
        <v>0.28054759009596097</v>
      </c>
      <c r="AH83" s="224">
        <f t="shared" si="63"/>
        <v>0.88013914913976232</v>
      </c>
      <c r="AI83" s="224">
        <f t="shared" si="64"/>
        <v>36.282914199146944</v>
      </c>
      <c r="AJ83" s="224">
        <f t="shared" si="65"/>
        <v>2.9464847386256481</v>
      </c>
      <c r="AK83" s="224">
        <f t="shared" si="66"/>
        <v>5.7591927300233242E-2</v>
      </c>
      <c r="AL83" s="224">
        <f t="shared" si="67"/>
        <v>0.63761415449019676</v>
      </c>
      <c r="AM83" s="224">
        <f t="shared" si="68"/>
        <v>1</v>
      </c>
      <c r="AN83" s="224">
        <f t="shared" si="69"/>
        <v>0</v>
      </c>
      <c r="AO83" s="224">
        <f t="shared" si="70"/>
        <v>0</v>
      </c>
      <c r="AP83" s="224">
        <f t="shared" si="71"/>
        <v>85.449777576404387</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Can22</v>
      </c>
      <c r="D84" s="2">
        <f t="shared" si="44"/>
        <v>-79.75</v>
      </c>
      <c r="E84" s="3">
        <f t="shared" ref="E84:F84" si="118">G27</f>
        <v>9.8000000000000007</v>
      </c>
      <c r="F84" s="120">
        <f t="shared" si="118"/>
        <v>95</v>
      </c>
      <c r="G84" s="120">
        <f t="shared" si="46"/>
        <v>32.758549096379021</v>
      </c>
      <c r="H84" s="120">
        <f t="shared" si="47"/>
        <v>47.875398663619094</v>
      </c>
      <c r="I84" s="120">
        <f t="shared" si="48"/>
        <v>0</v>
      </c>
      <c r="J84" s="120">
        <f>VLOOKUP(R84,'Steel grades'!$B$5:$J$22,IF(F84&gt;200,10,IF(F84&gt;150,9,IF(F84&gt;120,8,IF(F84&gt;100,7,IF(F84&gt;80,6,IF(F84&gt;63,5,IF(F84&gt;40,4,IF(F84&gt;16,3,2)))))))),FALSE)</f>
        <v>315</v>
      </c>
      <c r="K84" s="3">
        <f t="shared" si="49"/>
        <v>251.01878640324625</v>
      </c>
      <c r="L84" s="3">
        <f t="shared" si="50"/>
        <v>18.115996086850675</v>
      </c>
      <c r="M84" s="3">
        <f t="shared" si="51"/>
        <v>111.62448378504548</v>
      </c>
      <c r="N84" s="3">
        <f t="shared" si="52"/>
        <v>0.42889693228783415</v>
      </c>
      <c r="O84" s="3">
        <f t="shared" si="53"/>
        <v>0.28304367267256186</v>
      </c>
      <c r="P84" s="3">
        <f>(ABS(Geometry_loads!S40)/Z84+ABS(Geometry_loads!T40)/AA84)/(1000*J84)</f>
        <v>7.6873921580722301E-2</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Geometry!M47</f>
        <v>S355 NL/ML</v>
      </c>
      <c r="T84" s="3">
        <f>Geometry_loads!L40</f>
        <v>-44127.25</v>
      </c>
      <c r="U84" s="3">
        <f>Geometry_loads!M40</f>
        <v>-46415.88</v>
      </c>
      <c r="V84" s="3">
        <f>Geometry_loads!N40</f>
        <v>123148.9310335544</v>
      </c>
      <c r="W84" s="3">
        <f>Geometry_loads!O40</f>
        <v>-64552.148303068338</v>
      </c>
      <c r="X84" s="3">
        <f t="shared" ref="X84:Y84" si="119">X56</f>
        <v>0</v>
      </c>
      <c r="Y84" s="120">
        <f t="shared" si="119"/>
        <v>0</v>
      </c>
      <c r="Z84" s="224">
        <f t="shared" si="55"/>
        <v>2.8964698867934486</v>
      </c>
      <c r="AA84" s="224">
        <f t="shared" si="56"/>
        <v>6.9601026091808569</v>
      </c>
      <c r="AB84" s="224">
        <f t="shared" si="57"/>
        <v>4.8525</v>
      </c>
      <c r="AC84" s="120">
        <f t="shared" si="58"/>
        <v>95</v>
      </c>
      <c r="AD84" s="224">
        <f t="shared" si="59"/>
        <v>111.26002386683433</v>
      </c>
      <c r="AE84" s="224">
        <f t="shared" si="60"/>
        <v>0.40391576173822807</v>
      </c>
      <c r="AF84" s="224">
        <f t="shared" si="61"/>
        <v>0.38787344180203998</v>
      </c>
      <c r="AG84" s="224">
        <f t="shared" si="62"/>
        <v>0.25349355025225245</v>
      </c>
      <c r="AH84" s="224">
        <f t="shared" si="63"/>
        <v>0.87657353982086006</v>
      </c>
      <c r="AI84" s="224">
        <f t="shared" si="64"/>
        <v>39.855191391071486</v>
      </c>
      <c r="AJ84" s="224">
        <f t="shared" si="65"/>
        <v>2.8113364756467711</v>
      </c>
      <c r="AK84" s="224">
        <f t="shared" si="66"/>
        <v>6.3262208557256325E-2</v>
      </c>
      <c r="AL84" s="224">
        <f t="shared" si="67"/>
        <v>0.6751530317866089</v>
      </c>
      <c r="AM84" s="224">
        <f t="shared" si="68"/>
        <v>1</v>
      </c>
      <c r="AN84" s="224">
        <f t="shared" si="69"/>
        <v>0</v>
      </c>
      <c r="AO84" s="224">
        <f t="shared" si="70"/>
        <v>0</v>
      </c>
      <c r="AP84" s="224">
        <f t="shared" si="71"/>
        <v>32.758549096379014</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Can23</v>
      </c>
      <c r="D85" s="2">
        <f t="shared" si="44"/>
        <v>-82.75</v>
      </c>
      <c r="E85" s="3">
        <f t="shared" ref="E85:F85" si="120">G28</f>
        <v>9.8000000000000007</v>
      </c>
      <c r="F85" s="120">
        <f t="shared" si="120"/>
        <v>105</v>
      </c>
      <c r="G85" s="120">
        <f t="shared" si="46"/>
        <v>13.798118740740817</v>
      </c>
      <c r="H85" s="120">
        <f t="shared" si="47"/>
        <v>8.3715000604718171</v>
      </c>
      <c r="I85" s="120">
        <f t="shared" si="48"/>
        <v>0</v>
      </c>
      <c r="J85" s="120">
        <f>VLOOKUP(R85,'Steel grades'!$B$5:$J$22,IF(F85&gt;200,10,IF(F85&gt;150,9,IF(F85&gt;120,8,IF(F85&gt;100,7,IF(F85&gt;80,6,IF(F85&gt;63,5,IF(F85&gt;40,4,IF(F85&gt;16,3,2)))))))),FALSE)</f>
        <v>295</v>
      </c>
      <c r="K85" s="3">
        <f t="shared" si="49"/>
        <v>232.82925805652232</v>
      </c>
      <c r="L85" s="3">
        <f t="shared" si="50"/>
        <v>20.354379433707926</v>
      </c>
      <c r="M85" s="3">
        <f t="shared" si="51"/>
        <v>113.8661142567255</v>
      </c>
      <c r="N85" s="3">
        <f t="shared" si="52"/>
        <v>7.3520556270122786E-2</v>
      </c>
      <c r="O85" s="3">
        <f t="shared" si="53"/>
        <v>6.7850327919658518E-2</v>
      </c>
      <c r="P85" s="3">
        <f>(ABS(Geometry_loads!S41)/Z85+ABS(Geometry_loads!T41)/AA85)/(1000*J85)</f>
        <v>3.4646874975560259E-2</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Geometry!M48</f>
        <v>S355 NL/ML</v>
      </c>
      <c r="T85" s="3">
        <f>Geometry_loads!L41</f>
        <v>-44127.25</v>
      </c>
      <c r="U85" s="3">
        <f>Geometry_loads!M41</f>
        <v>-46415.88</v>
      </c>
      <c r="V85" s="3">
        <f>Geometry_loads!N41</f>
        <v>1.4901161193847699E-8</v>
      </c>
      <c r="W85" s="3">
        <f>Geometry_loads!O41</f>
        <v>-8598.6812762160607</v>
      </c>
      <c r="X85" s="3">
        <f t="shared" ref="X85:Y85" si="121">X57</f>
        <v>0</v>
      </c>
      <c r="Y85" s="120">
        <f t="shared" si="121"/>
        <v>0</v>
      </c>
      <c r="Z85" s="224">
        <f t="shared" si="55"/>
        <v>3.1980627815380913</v>
      </c>
      <c r="AA85" s="224">
        <f t="shared" si="56"/>
        <v>7.6691544290521865</v>
      </c>
      <c r="AB85" s="224">
        <f t="shared" si="57"/>
        <v>4.8475000000000001</v>
      </c>
      <c r="AC85" s="120">
        <f t="shared" si="58"/>
        <v>105</v>
      </c>
      <c r="AD85" s="224">
        <f t="shared" si="59"/>
        <v>105.82939219646164</v>
      </c>
      <c r="AE85" s="224">
        <f t="shared" si="60"/>
        <v>0.37530924806681493</v>
      </c>
      <c r="AF85" s="224">
        <f t="shared" si="61"/>
        <v>0.39834533985198139</v>
      </c>
      <c r="AG85" s="224">
        <f t="shared" si="62"/>
        <v>0.20000000000001394</v>
      </c>
      <c r="AH85" s="224">
        <f t="shared" si="63"/>
        <v>0.86817689444804935</v>
      </c>
      <c r="AI85" s="224">
        <f t="shared" si="64"/>
        <v>44.779634754157435</v>
      </c>
      <c r="AJ85" s="224">
        <f t="shared" si="65"/>
        <v>2.5666741373069568</v>
      </c>
      <c r="AK85" s="224">
        <f t="shared" si="66"/>
        <v>7.5897686023995659E-2</v>
      </c>
      <c r="AL85" s="224">
        <f t="shared" si="67"/>
        <v>0.73540367684203589</v>
      </c>
      <c r="AM85" s="224">
        <f t="shared" si="68"/>
        <v>1</v>
      </c>
      <c r="AN85" s="224">
        <f t="shared" si="69"/>
        <v>0</v>
      </c>
      <c r="AO85" s="224">
        <f t="shared" si="70"/>
        <v>0</v>
      </c>
      <c r="AP85" s="224">
        <f t="shared" si="71"/>
        <v>13.798118740740815</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sheetData>
  <sheetProtection sheet="1" objects="1" scenarios="1"/>
  <mergeCells count="95">
    <mergeCell ref="AI60:AI61"/>
    <mergeCell ref="AJ60:AJ61"/>
    <mergeCell ref="AM60:AM61"/>
    <mergeCell ref="AQ60:AQ61"/>
    <mergeCell ref="AR60:AR61"/>
    <mergeCell ref="AK60:AK61"/>
    <mergeCell ref="AL60:AL61"/>
    <mergeCell ref="L32:L33"/>
    <mergeCell ref="M32:M33"/>
    <mergeCell ref="N32:N33"/>
    <mergeCell ref="O32:O33"/>
    <mergeCell ref="AE32:AE33"/>
    <mergeCell ref="P32:P33"/>
    <mergeCell ref="T32:T33"/>
    <mergeCell ref="U32:U33"/>
    <mergeCell ref="V32:V33"/>
    <mergeCell ref="X32:X33"/>
    <mergeCell ref="Y32:Y33"/>
    <mergeCell ref="Z32:Z33"/>
    <mergeCell ref="AA32:AA33"/>
    <mergeCell ref="AD32:AD33"/>
    <mergeCell ref="W32:W33"/>
    <mergeCell ref="AB32:AB33"/>
    <mergeCell ref="G32:G33"/>
    <mergeCell ref="H32:H33"/>
    <mergeCell ref="I32:I33"/>
    <mergeCell ref="J32:J33"/>
    <mergeCell ref="K32:K33"/>
    <mergeCell ref="C4:C5"/>
    <mergeCell ref="C32:C33"/>
    <mergeCell ref="D32:D33"/>
    <mergeCell ref="E32:E33"/>
    <mergeCell ref="F32:F33"/>
    <mergeCell ref="C60:C61"/>
    <mergeCell ref="D60:D61"/>
    <mergeCell ref="E60:E61"/>
    <mergeCell ref="F60:F61"/>
    <mergeCell ref="G60:G61"/>
    <mergeCell ref="M60:M61"/>
    <mergeCell ref="N60:N61"/>
    <mergeCell ref="O60:O61"/>
    <mergeCell ref="Q32:Q33"/>
    <mergeCell ref="R32:R33"/>
    <mergeCell ref="R60:R61"/>
    <mergeCell ref="P60:P61"/>
    <mergeCell ref="Q60:Q61"/>
    <mergeCell ref="H60:H61"/>
    <mergeCell ref="I60:I61"/>
    <mergeCell ref="J60:J61"/>
    <mergeCell ref="K60:K61"/>
    <mergeCell ref="L60:L61"/>
    <mergeCell ref="AW60:AW61"/>
    <mergeCell ref="T60:T61"/>
    <mergeCell ref="U60:U61"/>
    <mergeCell ref="V60:V61"/>
    <mergeCell ref="W60:W61"/>
    <mergeCell ref="AA60:AA61"/>
    <mergeCell ref="X60:X61"/>
    <mergeCell ref="Y60:Y61"/>
    <mergeCell ref="AF60:AF61"/>
    <mergeCell ref="Z60:Z61"/>
    <mergeCell ref="AD60:AD61"/>
    <mergeCell ref="AC60:AC61"/>
    <mergeCell ref="AE60:AE61"/>
    <mergeCell ref="AB60:AB61"/>
    <mergeCell ref="AG60:AG61"/>
    <mergeCell ref="AH60:AH61"/>
    <mergeCell ref="AC32:AC33"/>
    <mergeCell ref="AX60:AX61"/>
    <mergeCell ref="AU32:AU33"/>
    <mergeCell ref="AV32:AV33"/>
    <mergeCell ref="AT32:AT33"/>
    <mergeCell ref="AM32:AM33"/>
    <mergeCell ref="AN32:AN33"/>
    <mergeCell ref="AP32:AP33"/>
    <mergeCell ref="AQ32:AQ33"/>
    <mergeCell ref="AN60:AN61"/>
    <mergeCell ref="AO60:AO61"/>
    <mergeCell ref="AP60:AP61"/>
    <mergeCell ref="AS60:AS61"/>
    <mergeCell ref="AT60:AT61"/>
    <mergeCell ref="AU60:AU61"/>
    <mergeCell ref="AV60:AV61"/>
    <mergeCell ref="AW32:AW33"/>
    <mergeCell ref="AX32:AX33"/>
    <mergeCell ref="AI32:AI33"/>
    <mergeCell ref="AJ32:AJ33"/>
    <mergeCell ref="AF32:AF33"/>
    <mergeCell ref="AG32:AG33"/>
    <mergeCell ref="AR32:AR33"/>
    <mergeCell ref="AS32:AS33"/>
    <mergeCell ref="AH32:AH33"/>
    <mergeCell ref="AK32:AK33"/>
    <mergeCell ref="AL32:AL33"/>
    <mergeCell ref="AO32:AO33"/>
  </mergeCells>
  <conditionalFormatting sqref="N35:O57 N63:O85">
    <cfRule type="cellIs" dxfId="7" priority="3" operator="greaterThan">
      <formula>1</formula>
    </cfRule>
    <cfRule type="cellIs" dxfId="6" priority="4" operator="lessThan">
      <formula>0.9</formula>
    </cfRule>
    <cfRule type="cellIs" dxfId="5" priority="5" operator="greaterThan">
      <formula>0.9</formula>
    </cfRule>
  </conditionalFormatting>
  <conditionalFormatting sqref="Q35:Q57 Q63:Q85">
    <cfRule type="cellIs" dxfId="4" priority="2" operator="greaterThan">
      <formula>F35</formula>
    </cfRule>
  </conditionalFormatting>
  <conditionalFormatting sqref="Q35:Q57 Q63:Q85">
    <cfRule type="cellIs" dxfId="3" priority="1" operator="lessThan">
      <formula>F35</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R35:R58 R63:R85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9" t="s">
        <v>562</v>
      </c>
      <c r="Q1" s="199"/>
      <c r="R1" s="199"/>
      <c r="S1" s="199"/>
      <c r="T1" s="32"/>
      <c r="U1" s="209" t="s">
        <v>563</v>
      </c>
      <c r="V1" s="209"/>
      <c r="W1" s="209"/>
      <c r="X1" s="209"/>
      <c r="Y1" s="209"/>
      <c r="Z1" s="32"/>
      <c r="AA1" s="209" t="s">
        <v>565</v>
      </c>
      <c r="AB1" s="209"/>
      <c r="AC1" s="209"/>
      <c r="AD1" s="209"/>
    </row>
    <row r="2" spans="3:55">
      <c r="P2" s="32" t="s">
        <v>199</v>
      </c>
      <c r="Q2" s="32"/>
      <c r="R2" s="198" t="e">
        <f>SUM(I6:I28)</f>
        <v>#REF!</v>
      </c>
      <c r="S2" s="32" t="s">
        <v>91</v>
      </c>
      <c r="T2" s="32"/>
      <c r="U2" s="32" t="s">
        <v>92</v>
      </c>
      <c r="V2" s="32"/>
      <c r="W2" s="32">
        <v>210000000</v>
      </c>
      <c r="X2" s="32" t="s">
        <v>93</v>
      </c>
      <c r="Y2" s="32"/>
      <c r="Z2" s="32"/>
      <c r="AA2" s="32" t="s">
        <v>566</v>
      </c>
      <c r="AB2" s="32"/>
      <c r="AC2" s="198" t="str">
        <f>Control!$F$31</f>
        <v>C</v>
      </c>
      <c r="AD2" s="32"/>
    </row>
    <row r="3" spans="3:55">
      <c r="C3" s="35" t="s">
        <v>445</v>
      </c>
      <c r="P3" s="32"/>
      <c r="Q3" s="32"/>
      <c r="R3" s="32"/>
      <c r="S3" s="32"/>
      <c r="T3" s="32"/>
      <c r="U3" s="209" t="s">
        <v>525</v>
      </c>
      <c r="V3" s="209"/>
      <c r="W3" s="209"/>
      <c r="X3" s="209"/>
      <c r="Y3" s="209"/>
      <c r="Z3" s="32"/>
      <c r="AA3" s="32" t="s">
        <v>568</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567</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569</v>
      </c>
      <c r="AC5" s="32">
        <f>IF(AC2="A",0.75,IF(AC2="B",0.65,0.5))</f>
        <v>0.5</v>
      </c>
      <c r="AD5" s="32"/>
      <c r="AU5" s="196"/>
      <c r="AV5" s="197"/>
      <c r="AW5" s="197"/>
      <c r="AX5" s="197"/>
      <c r="AY5" s="197"/>
      <c r="AZ5" s="197"/>
      <c r="BA5" s="197"/>
      <c r="BB5" s="197"/>
      <c r="BC5" s="197"/>
    </row>
    <row r="6" spans="3:55">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L6" s="21"/>
      <c r="P6" s="32"/>
      <c r="Q6" s="32"/>
      <c r="R6" s="32"/>
      <c r="S6" s="32"/>
      <c r="T6" s="32"/>
      <c r="U6" s="32"/>
      <c r="V6" s="32"/>
      <c r="W6" s="32"/>
      <c r="X6" s="32"/>
      <c r="Y6" s="32"/>
      <c r="Z6" s="32"/>
      <c r="AA6" s="32"/>
      <c r="AB6" s="32" t="s">
        <v>570</v>
      </c>
      <c r="AC6" s="32">
        <f>IF(AC2="A",0.75,IF(AC2="B",0.65,0.5))</f>
        <v>0.5</v>
      </c>
      <c r="AD6" s="32"/>
      <c r="AU6" s="196"/>
      <c r="AV6" s="197"/>
      <c r="AW6" s="197"/>
      <c r="AX6" s="197"/>
      <c r="AY6" s="197"/>
      <c r="AZ6" s="197"/>
      <c r="BA6" s="197"/>
      <c r="BB6" s="197"/>
      <c r="BC6" s="197"/>
    </row>
    <row r="7" spans="3:55">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R7" s="29"/>
      <c r="S7" s="29"/>
      <c r="AB7" s="32" t="s">
        <v>614</v>
      </c>
      <c r="AC7">
        <v>3</v>
      </c>
      <c r="AU7" s="196"/>
      <c r="AV7" s="197"/>
      <c r="AW7" s="197"/>
      <c r="AX7" s="197"/>
      <c r="AY7" s="197"/>
      <c r="AZ7" s="197"/>
      <c r="BA7" s="197"/>
      <c r="BB7" s="197"/>
      <c r="BC7" s="197"/>
    </row>
    <row r="8" spans="3:55">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R8" s="29"/>
      <c r="S8" s="29"/>
      <c r="AU8" s="196"/>
      <c r="AV8" s="197"/>
      <c r="AW8" s="197"/>
      <c r="AX8" s="197"/>
      <c r="AY8" s="197"/>
      <c r="AZ8" s="197"/>
      <c r="BA8" s="197"/>
      <c r="BB8" s="197"/>
      <c r="BC8" s="197"/>
    </row>
    <row r="9" spans="3:55">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P9" s="29"/>
      <c r="AU9" s="196"/>
      <c r="AV9" s="197"/>
      <c r="AW9" s="197"/>
      <c r="AX9" s="197"/>
      <c r="AY9" s="197"/>
      <c r="AZ9" s="197"/>
      <c r="BA9" s="197"/>
      <c r="BB9" s="197"/>
      <c r="BC9" s="197"/>
    </row>
    <row r="10" spans="3:55">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P10" s="29"/>
    </row>
    <row r="11" spans="3:55">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P11" s="29"/>
    </row>
    <row r="12" spans="3:55">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P12" s="29"/>
    </row>
    <row r="13" spans="3:55">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row>
    <row r="14" spans="3:55">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row>
    <row r="15" spans="3:55">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row>
    <row r="16" spans="3:55">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row>
    <row r="17" spans="3:48">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48">
      <c r="C18" s="12">
        <v>13</v>
      </c>
      <c r="D18" s="44">
        <f>Geometry!D38</f>
        <v>-40.200000000000003</v>
      </c>
      <c r="E18" s="44">
        <f>Geometry!E38</f>
        <v>-43.8</v>
      </c>
      <c r="F18" s="44">
        <f>Geometry!F38</f>
        <v>9.8000000000000007</v>
      </c>
      <c r="G18" s="44">
        <f>Geometry!G38</f>
        <v>9.8000000000000007</v>
      </c>
      <c r="H18" s="44">
        <f>Geometry!H38</f>
        <v>101</v>
      </c>
      <c r="I18" s="56">
        <f t="shared" si="0"/>
        <v>3.5999999999999943</v>
      </c>
      <c r="J18" s="57">
        <f t="shared" si="1"/>
        <v>0</v>
      </c>
      <c r="K18" s="58">
        <f t="shared" si="2"/>
        <v>86.970178877873934</v>
      </c>
    </row>
    <row r="19" spans="3:48">
      <c r="C19" s="12">
        <v>14</v>
      </c>
      <c r="D19" s="44">
        <f>Geometry!D40</f>
        <v>-47.8</v>
      </c>
      <c r="E19" s="44">
        <f>Geometry!E40</f>
        <v>-51.8</v>
      </c>
      <c r="F19" s="44">
        <f>Geometry!F40</f>
        <v>9.8000000000000007</v>
      </c>
      <c r="G19" s="44">
        <f>Geometry!G40</f>
        <v>9.8000000000000007</v>
      </c>
      <c r="H19" s="44">
        <f>Geometry!H40</f>
        <v>90</v>
      </c>
      <c r="I19" s="56">
        <f t="shared" si="0"/>
        <v>4</v>
      </c>
      <c r="J19" s="57">
        <f t="shared" si="1"/>
        <v>0</v>
      </c>
      <c r="K19" s="58">
        <f t="shared" si="2"/>
        <v>86.206747547124479</v>
      </c>
    </row>
    <row r="20" spans="3:48">
      <c r="C20" s="12">
        <v>15</v>
      </c>
      <c r="D20" s="44">
        <f>Geometry!D41</f>
        <v>-51.8</v>
      </c>
      <c r="E20" s="44">
        <f>Geometry!E41</f>
        <v>-55.8</v>
      </c>
      <c r="F20" s="44">
        <f>Geometry!F41</f>
        <v>9.8000000000000007</v>
      </c>
      <c r="G20" s="44">
        <f>Geometry!G41</f>
        <v>9.8000000000000007</v>
      </c>
      <c r="H20" s="44">
        <f>Geometry!H41</f>
        <v>80</v>
      </c>
      <c r="I20" s="56">
        <f t="shared" si="0"/>
        <v>4</v>
      </c>
      <c r="J20" s="57">
        <f t="shared" si="1"/>
        <v>0</v>
      </c>
      <c r="K20" s="58">
        <f t="shared" si="2"/>
        <v>76.707136849346995</v>
      </c>
    </row>
    <row r="21" spans="3:48">
      <c r="C21" s="12">
        <v>16</v>
      </c>
      <c r="D21" s="44">
        <f>Geometry!D42</f>
        <v>-55.8</v>
      </c>
      <c r="E21" s="44">
        <f>Geometry!E42</f>
        <v>-59.8</v>
      </c>
      <c r="F21" s="44">
        <f>Geometry!F42</f>
        <v>9.8000000000000007</v>
      </c>
      <c r="G21" s="44">
        <f>Geometry!G42</f>
        <v>9.8000000000000007</v>
      </c>
      <c r="H21" s="44">
        <f>Geometry!H42</f>
        <v>80</v>
      </c>
      <c r="I21" s="56">
        <f t="shared" si="0"/>
        <v>4</v>
      </c>
      <c r="J21" s="57">
        <f t="shared" si="1"/>
        <v>0</v>
      </c>
      <c r="K21" s="58">
        <f t="shared" si="2"/>
        <v>76.707136849346995</v>
      </c>
    </row>
    <row r="22" spans="3:48">
      <c r="C22" s="12">
        <v>17</v>
      </c>
      <c r="D22" s="44">
        <f>Geometry!D43</f>
        <v>-59.8</v>
      </c>
      <c r="E22" s="44">
        <f>Geometry!E43</f>
        <v>-63.8</v>
      </c>
      <c r="F22" s="44">
        <f>Geometry!F43</f>
        <v>9.8000000000000007</v>
      </c>
      <c r="G22" s="44">
        <f>Geometry!G43</f>
        <v>9.8000000000000007</v>
      </c>
      <c r="H22" s="44">
        <f>Geometry!H43</f>
        <v>80</v>
      </c>
      <c r="I22" s="56">
        <f t="shared" si="0"/>
        <v>4</v>
      </c>
      <c r="J22" s="57">
        <f t="shared" si="1"/>
        <v>0</v>
      </c>
      <c r="K22" s="58">
        <f t="shared" si="2"/>
        <v>76.707136849346995</v>
      </c>
    </row>
    <row r="23" spans="3:48">
      <c r="C23" s="12">
        <v>18</v>
      </c>
      <c r="D23" s="44">
        <f>Geometry!D44</f>
        <v>-63.8</v>
      </c>
      <c r="E23" s="44">
        <f>Geometry!E44</f>
        <v>-67.8</v>
      </c>
      <c r="F23" s="44">
        <f>Geometry!F44</f>
        <v>9.8000000000000007</v>
      </c>
      <c r="G23" s="44">
        <f>Geometry!G44</f>
        <v>9.8000000000000007</v>
      </c>
      <c r="H23" s="44">
        <f>Geometry!H44</f>
        <v>80</v>
      </c>
      <c r="I23" s="56">
        <f t="shared" si="0"/>
        <v>4</v>
      </c>
      <c r="J23" s="57">
        <f t="shared" si="1"/>
        <v>0</v>
      </c>
      <c r="K23" s="58">
        <f t="shared" si="2"/>
        <v>76.707136849346995</v>
      </c>
    </row>
    <row r="24" spans="3:48">
      <c r="C24" s="12">
        <v>19</v>
      </c>
      <c r="D24" s="44">
        <f>Geometry!D45</f>
        <v>-67.8</v>
      </c>
      <c r="E24" s="44">
        <f>Geometry!E45</f>
        <v>-71.8</v>
      </c>
      <c r="F24" s="44">
        <f>Geometry!F45</f>
        <v>9.8000000000000007</v>
      </c>
      <c r="G24" s="44">
        <f>Geometry!G45</f>
        <v>9.8000000000000007</v>
      </c>
      <c r="H24" s="44">
        <f>Geometry!H45</f>
        <v>80</v>
      </c>
      <c r="I24" s="56">
        <f t="shared" si="0"/>
        <v>4</v>
      </c>
      <c r="J24" s="57">
        <f t="shared" si="1"/>
        <v>0</v>
      </c>
      <c r="K24" s="58">
        <f t="shared" si="2"/>
        <v>76.707136849346995</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row>
    <row r="27" spans="3:48">
      <c r="C27" s="12">
        <v>22</v>
      </c>
      <c r="D27" s="44">
        <f>Geometry!D47</f>
        <v>-75.8</v>
      </c>
      <c r="E27" s="44">
        <f>Geometry!E47</f>
        <v>-79.75</v>
      </c>
      <c r="F27" s="44">
        <f>Geometry!F47</f>
        <v>9.8000000000000007</v>
      </c>
      <c r="G27" s="44">
        <f>Geometry!G47</f>
        <v>9.8000000000000007</v>
      </c>
      <c r="H27" s="44">
        <f>Geometry!H47</f>
        <v>95</v>
      </c>
      <c r="I27" s="56">
        <f t="shared" si="0"/>
        <v>3.9500000000000028</v>
      </c>
      <c r="J27" s="57">
        <f t="shared" si="1"/>
        <v>0</v>
      </c>
      <c r="K27" s="58">
        <f t="shared" si="2"/>
        <v>89.81229001474793</v>
      </c>
    </row>
    <row r="28" spans="3:48">
      <c r="C28" s="12">
        <v>23</v>
      </c>
      <c r="D28" s="44">
        <f>Geometry!D48</f>
        <v>-79.75</v>
      </c>
      <c r="E28" s="44">
        <f>Geometry!E48</f>
        <v>-82.75</v>
      </c>
      <c r="F28" s="44">
        <f>Geometry!F48</f>
        <v>9.8000000000000007</v>
      </c>
      <c r="G28" s="44">
        <f>Geometry!G48</f>
        <v>9.8000000000000007</v>
      </c>
      <c r="H28" s="44">
        <f>Geometry!H48</f>
        <v>105</v>
      </c>
      <c r="I28" s="56">
        <f t="shared" si="0"/>
        <v>3</v>
      </c>
      <c r="J28" s="57">
        <f t="shared" si="1"/>
        <v>0</v>
      </c>
      <c r="K28" s="58">
        <f t="shared" si="2"/>
        <v>75.314378505222052</v>
      </c>
    </row>
    <row r="30" spans="3:48">
      <c r="N30" s="184"/>
      <c r="O30" s="184"/>
      <c r="AK30" s="184" t="s">
        <v>543</v>
      </c>
    </row>
    <row r="31" spans="3:48">
      <c r="C31" s="35" t="s">
        <v>224</v>
      </c>
      <c r="F31" t="s">
        <v>544</v>
      </c>
      <c r="I31" s="19"/>
      <c r="J31" s="19"/>
      <c r="N31" s="19"/>
    </row>
    <row r="32" spans="3:48" ht="15" customHeight="1">
      <c r="C32" s="323" t="s">
        <v>225</v>
      </c>
      <c r="D32" s="323" t="s">
        <v>53</v>
      </c>
      <c r="E32" s="323" t="s">
        <v>105</v>
      </c>
      <c r="F32" s="323" t="s">
        <v>101</v>
      </c>
      <c r="G32" s="330" t="s">
        <v>98</v>
      </c>
      <c r="H32" s="323" t="s">
        <v>99</v>
      </c>
      <c r="I32" s="331" t="s">
        <v>102</v>
      </c>
      <c r="J32" s="323" t="s">
        <v>100</v>
      </c>
      <c r="K32" s="330" t="s">
        <v>94</v>
      </c>
      <c r="L32" s="330" t="s">
        <v>216</v>
      </c>
      <c r="M32" s="333" t="s">
        <v>217</v>
      </c>
      <c r="N32" s="323" t="s">
        <v>106</v>
      </c>
      <c r="O32" s="323" t="s">
        <v>107</v>
      </c>
      <c r="P32" s="323" t="s">
        <v>108</v>
      </c>
      <c r="R32" s="323" t="s">
        <v>73</v>
      </c>
      <c r="S32" s="323" t="s">
        <v>78</v>
      </c>
      <c r="T32" s="323" t="s">
        <v>79</v>
      </c>
      <c r="U32" s="323" t="s">
        <v>80</v>
      </c>
      <c r="V32" s="323" t="s">
        <v>84</v>
      </c>
      <c r="W32" s="323" t="s">
        <v>85</v>
      </c>
      <c r="X32" s="323" t="s">
        <v>86</v>
      </c>
      <c r="Y32" s="323" t="s">
        <v>87</v>
      </c>
      <c r="Z32" s="323" t="s">
        <v>578</v>
      </c>
      <c r="AA32" s="323" t="s">
        <v>552</v>
      </c>
      <c r="AB32" s="323" t="s">
        <v>553</v>
      </c>
      <c r="AC32" s="328" t="s">
        <v>555</v>
      </c>
      <c r="AD32" s="323" t="s">
        <v>554</v>
      </c>
      <c r="AE32" s="328" t="s">
        <v>556</v>
      </c>
      <c r="AF32" s="328" t="s">
        <v>557</v>
      </c>
      <c r="AG32" s="323" t="s">
        <v>560</v>
      </c>
      <c r="AH32" s="328" t="s">
        <v>561</v>
      </c>
      <c r="AI32" s="328" t="s">
        <v>558</v>
      </c>
      <c r="AJ32" s="328" t="s">
        <v>559</v>
      </c>
      <c r="AK32" s="334" t="s">
        <v>97</v>
      </c>
      <c r="AL32" s="323" t="s">
        <v>205</v>
      </c>
      <c r="AM32" s="323" t="s">
        <v>206</v>
      </c>
      <c r="AN32" s="323" t="s">
        <v>572</v>
      </c>
      <c r="AO32" s="323" t="s">
        <v>573</v>
      </c>
      <c r="AP32" s="323" t="s">
        <v>574</v>
      </c>
      <c r="AQ32" s="323" t="s">
        <v>575</v>
      </c>
      <c r="AR32" s="323" t="s">
        <v>576</v>
      </c>
      <c r="AS32" s="323" t="s">
        <v>147</v>
      </c>
      <c r="AT32" s="323" t="s">
        <v>145</v>
      </c>
      <c r="AU32" s="323" t="s">
        <v>146</v>
      </c>
      <c r="AV32" s="323" t="s">
        <v>577</v>
      </c>
    </row>
    <row r="33" spans="3:48" ht="18.75" customHeight="1">
      <c r="C33" s="324">
        <v>0</v>
      </c>
      <c r="D33" s="324">
        <v>0</v>
      </c>
      <c r="E33" s="324"/>
      <c r="F33" s="324"/>
      <c r="G33" s="324"/>
      <c r="H33" s="324"/>
      <c r="I33" s="332"/>
      <c r="J33" s="324"/>
      <c r="K33" s="324"/>
      <c r="L33" s="324"/>
      <c r="M33" s="315"/>
      <c r="N33" s="324"/>
      <c r="O33" s="324"/>
      <c r="P33" s="324"/>
      <c r="R33" s="324"/>
      <c r="S33" s="324"/>
      <c r="T33" s="324"/>
      <c r="U33" s="324"/>
      <c r="V33" s="324"/>
      <c r="W33" s="324"/>
      <c r="X33" s="324"/>
      <c r="Y33" s="324"/>
      <c r="Z33" s="324"/>
      <c r="AA33" s="324"/>
      <c r="AB33" s="324"/>
      <c r="AC33" s="324"/>
      <c r="AD33" s="324"/>
      <c r="AE33" s="324"/>
      <c r="AF33" s="324"/>
      <c r="AG33" s="324"/>
      <c r="AH33" s="329"/>
      <c r="AI33" s="324"/>
      <c r="AJ33" s="324"/>
      <c r="AK33" s="335"/>
      <c r="AL33" s="324"/>
      <c r="AM33" s="324"/>
      <c r="AN33" s="324"/>
      <c r="AO33" s="324"/>
      <c r="AP33" s="324"/>
      <c r="AQ33" s="324"/>
      <c r="AR33" s="324"/>
      <c r="AS33" s="324"/>
      <c r="AT33" s="324"/>
      <c r="AU33" s="324"/>
      <c r="AV33" s="324"/>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546</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5.6</v>
      </c>
      <c r="E35" s="3">
        <f>F6</f>
        <v>7.5</v>
      </c>
      <c r="F35" s="3">
        <f>H6</f>
        <v>108</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Geometry!M26</f>
        <v>S355 NL/ML</v>
      </c>
      <c r="R35" s="220">
        <f>-G35*2*PI()*Z35*AA35</f>
        <v>-353634.55829017278</v>
      </c>
      <c r="S35" s="3"/>
      <c r="T35" s="3"/>
      <c r="U35" s="3"/>
      <c r="V35" s="3"/>
      <c r="W35" s="3"/>
      <c r="X35" s="18">
        <f>PI()/4*((E35-2*V35/1000)^2-((E35-2*V35/1000)-2*(F35-V35-W35)/1000)^2)</f>
        <v>2.5080465126962634</v>
      </c>
      <c r="Y35" s="18">
        <f>PI()/32*((E35-2*V35/1000)^4-((E35-2*V35/1000)-2*(F35-V35-W35)/1000)^4)/(E35-2*V35/1000)</f>
        <v>4.5691029565881678</v>
      </c>
      <c r="Z35" s="194">
        <f>(0.5*E35)-(0.5*(AA35/1000))</f>
        <v>3.6960000000000002</v>
      </c>
      <c r="AA35" s="194">
        <f>F35</f>
        <v>108</v>
      </c>
      <c r="AB35" s="194" t="e">
        <f t="shared" ref="AB35:AB57" si="6">$R$2/SQRT(Z35*AA35/1000)</f>
        <v>#REF!</v>
      </c>
      <c r="AC35" s="194" t="e">
        <f>(J35/((0.605*$W$2*IF(AB35&gt;0.5*(Z35)/(AA35/1000),MAX(0.6,1+0.2/$AC$7*(1-2*AB35*(AA35/1000)/(Z35))),IF(AB35&lt;=1.7,1.36-(1.83/AB35)+(2.07/AB35^2),1)))*((AA35/1000)/(Z35)/1000)))^0.5</f>
        <v>#REF!</v>
      </c>
      <c r="AD35" s="194">
        <f>0.62/(1+1.91*((((Z35)/(AA35/1000))^0.5*(AA35/1000)/$AC$4)/(AA35/1000))^1.44)</f>
        <v>0.42801677229468893</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MP'!AM35</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1.6</v>
      </c>
      <c r="E36" s="3">
        <f t="shared" ref="E36:E57" si="15">F7</f>
        <v>7.5</v>
      </c>
      <c r="F36" s="3">
        <f t="shared" ref="F36:F57" si="16">H7</f>
        <v>100</v>
      </c>
      <c r="G36" s="3">
        <v>141</v>
      </c>
      <c r="H36" s="3">
        <v>0</v>
      </c>
      <c r="I36" s="3">
        <v>0</v>
      </c>
      <c r="J36" s="192">
        <f>VLOOKUP(P36,'Steel grades'!$B$5:$J$22,IF(F36&gt;200,10,IF(F36&gt;150,9,IF(F36&gt;120,8,IF(F36&gt;100,7,IF(F36&gt;80,6,IF(F36&gt;63,5,IF(F36&gt;40,4,IF(F36&gt;16,3,2)))))))),FALSE)</f>
        <v>315</v>
      </c>
      <c r="K36" s="3" t="e">
        <f t="shared" si="3"/>
        <v>#REF!</v>
      </c>
      <c r="L36" s="3">
        <v>0</v>
      </c>
      <c r="M36" s="3">
        <v>0</v>
      </c>
      <c r="N36" s="3" t="e">
        <f t="shared" si="4"/>
        <v>#REF!</v>
      </c>
      <c r="O36" s="3">
        <f t="shared" si="5"/>
        <v>0.44761904761904764</v>
      </c>
      <c r="P36" s="3" t="str">
        <f>Geometry!M27</f>
        <v>S355 NL/ML</v>
      </c>
      <c r="R36" s="220">
        <f t="shared" ref="R36:R57" si="17">-G36*2*PI()*Z36*AA36</f>
        <v>-327793.77747555898</v>
      </c>
      <c r="S36" s="3"/>
      <c r="T36" s="3"/>
      <c r="U36" s="3"/>
      <c r="V36" s="3"/>
      <c r="W36" s="3"/>
      <c r="X36" s="18">
        <f t="shared" ref="X36:X57" si="18">PI()/4*((E36-2*V36/1000)^2-((E36-2*V36/1000)-2*(F36-V36-W36)/1000)^2)</f>
        <v>2.3247785636564475</v>
      </c>
      <c r="Y36" s="18">
        <f t="shared" ref="Y36:Y57" si="19">PI()/32*((E36-2*V36/1000)^4-((E36-2*V36/1000)-2*(F36-V36-W36)/1000)^4)/(E36-2*V36/1000)</f>
        <v>4.2442707310487888</v>
      </c>
      <c r="Z36" s="194">
        <f t="shared" ref="Z36:Z57" si="20">(0.5*E36)-(0.5*(AA36/1000))</f>
        <v>3.7</v>
      </c>
      <c r="AA36" s="194">
        <f t="shared" ref="AA36:AA57" si="21">F36</f>
        <v>100</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0.42049098550361969</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MP'!AM36</f>
        <v>1</v>
      </c>
      <c r="AL36" s="18">
        <f t="shared" si="7"/>
        <v>0</v>
      </c>
      <c r="AM36" s="18">
        <f t="shared" si="8"/>
        <v>0</v>
      </c>
      <c r="AN36" s="194">
        <f t="shared" ref="AN36:AN57" si="26">((ABS(R36/(PI()*((E36-2*V36/1000)-((AA36))/1000*COS(AM36*PI()/180))*(AA36)/1000))/1000)+ABS((4*T36)/(PI()*((E36-V36/1000)-((AA36)/1000)*COS(AM36*PI()/180))^2*((AA36)/1000))/1000))/COS(AM36*PI()/180)</f>
        <v>141</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-2.2999999999999998</v>
      </c>
      <c r="E37" s="3">
        <f t="shared" si="15"/>
        <v>7.5</v>
      </c>
      <c r="F37" s="3">
        <f t="shared" si="16"/>
        <v>99</v>
      </c>
      <c r="G37" s="3">
        <v>141</v>
      </c>
      <c r="H37" s="3">
        <v>0</v>
      </c>
      <c r="I37" s="3">
        <v>0</v>
      </c>
      <c r="J37" s="192">
        <f>VLOOKUP(P37,'Steel grades'!$B$5:$J$22,IF(F37&gt;200,10,IF(F37&gt;150,9,IF(F37&gt;120,8,IF(F37&gt;100,7,IF(F37&gt;80,6,IF(F37&gt;63,5,IF(F37&gt;40,4,IF(F37&gt;16,3,2)))))))),FALSE)</f>
        <v>315</v>
      </c>
      <c r="K37" s="3" t="e">
        <f t="shared" si="3"/>
        <v>#REF!</v>
      </c>
      <c r="L37" s="3">
        <v>0</v>
      </c>
      <c r="M37" s="3">
        <v>0</v>
      </c>
      <c r="N37" s="3" t="e">
        <f t="shared" si="4"/>
        <v>#REF!</v>
      </c>
      <c r="O37" s="3">
        <f t="shared" si="5"/>
        <v>0.44761904761904764</v>
      </c>
      <c r="P37" s="3" t="str">
        <f>Geometry!M28</f>
        <v>S355 NL/ML</v>
      </c>
      <c r="R37" s="220">
        <f t="shared" si="17"/>
        <v>-324559.69319265487</v>
      </c>
      <c r="S37" s="3"/>
      <c r="T37" s="3"/>
      <c r="U37" s="3"/>
      <c r="V37" s="3"/>
      <c r="W37" s="3"/>
      <c r="X37" s="18">
        <f t="shared" si="18"/>
        <v>2.3018417956925941</v>
      </c>
      <c r="Y37" s="18">
        <f t="shared" si="19"/>
        <v>4.2035162214661357</v>
      </c>
      <c r="Z37" s="194">
        <f t="shared" si="20"/>
        <v>3.7004999999999999</v>
      </c>
      <c r="AA37" s="194">
        <f t="shared" si="21"/>
        <v>99</v>
      </c>
      <c r="AB37" s="194" t="e">
        <f t="shared" si="6"/>
        <v>#REF!</v>
      </c>
      <c r="AC37" s="194" t="e">
        <f t="shared" si="22"/>
        <v>#REF!</v>
      </c>
      <c r="AD37" s="194">
        <f t="shared" si="23"/>
        <v>0.41949739654534002</v>
      </c>
      <c r="AE37" s="194" t="e">
        <f t="shared" si="24"/>
        <v>#REF!</v>
      </c>
      <c r="AF37" s="194" t="e">
        <f t="shared" si="25"/>
        <v>#REF!</v>
      </c>
      <c r="AG37" s="18"/>
      <c r="AH37" s="18"/>
      <c r="AI37" s="18"/>
      <c r="AJ37" s="18"/>
      <c r="AK37" s="194" t="e">
        <f>'ULS MP'!#REF!</f>
        <v>#REF!</v>
      </c>
      <c r="AL37" s="18">
        <f t="shared" si="7"/>
        <v>0</v>
      </c>
      <c r="AM37" s="18">
        <f t="shared" si="8"/>
        <v>0</v>
      </c>
      <c r="AN37" s="194">
        <f t="shared" si="26"/>
        <v>141</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-6.2</v>
      </c>
      <c r="E38" s="3">
        <f t="shared" si="15"/>
        <v>7.5</v>
      </c>
      <c r="F38" s="3">
        <f t="shared" si="16"/>
        <v>99</v>
      </c>
      <c r="G38" s="3">
        <v>141</v>
      </c>
      <c r="H38" s="3">
        <v>0</v>
      </c>
      <c r="I38" s="3">
        <v>0</v>
      </c>
      <c r="J38" s="192">
        <f>VLOOKUP(P38,'Steel grades'!$B$5:$J$22,IF(F38&gt;200,10,IF(F38&gt;150,9,IF(F38&gt;120,8,IF(F38&gt;100,7,IF(F38&gt;80,6,IF(F38&gt;63,5,IF(F38&gt;40,4,IF(F38&gt;16,3,2)))))))),FALSE)</f>
        <v>315</v>
      </c>
      <c r="K38" s="3" t="e">
        <f t="shared" si="3"/>
        <v>#REF!</v>
      </c>
      <c r="L38" s="3">
        <v>0</v>
      </c>
      <c r="M38" s="3">
        <v>0</v>
      </c>
      <c r="N38" s="3" t="e">
        <f t="shared" si="4"/>
        <v>#REF!</v>
      </c>
      <c r="O38" s="3">
        <f t="shared" si="5"/>
        <v>0.62731364948740553</v>
      </c>
      <c r="P38" s="3" t="str">
        <f>Geometry!M29</f>
        <v>S355 NL/ML</v>
      </c>
      <c r="R38" s="220">
        <f t="shared" si="17"/>
        <v>-324559.69319265487</v>
      </c>
      <c r="S38" s="3"/>
      <c r="T38" s="3"/>
      <c r="U38" s="3"/>
      <c r="V38" s="3"/>
      <c r="W38" s="3"/>
      <c r="X38" s="18">
        <f t="shared" si="18"/>
        <v>2.3018417956925941</v>
      </c>
      <c r="Y38" s="18">
        <f t="shared" si="19"/>
        <v>4.2035162214661357</v>
      </c>
      <c r="Z38" s="194">
        <f t="shared" si="20"/>
        <v>3.7004999999999999</v>
      </c>
      <c r="AA38" s="194">
        <f t="shared" si="21"/>
        <v>99</v>
      </c>
      <c r="AB38" s="194" t="e">
        <f t="shared" si="6"/>
        <v>#REF!</v>
      </c>
      <c r="AC38" s="194" t="e">
        <f t="shared" si="22"/>
        <v>#REF!</v>
      </c>
      <c r="AD38" s="194">
        <f t="shared" si="23"/>
        <v>0.41949739654534002</v>
      </c>
      <c r="AE38" s="194" t="e">
        <f t="shared" si="24"/>
        <v>#REF!</v>
      </c>
      <c r="AF38" s="194" t="e">
        <f t="shared" si="25"/>
        <v>#REF!</v>
      </c>
      <c r="AG38" s="18"/>
      <c r="AH38" s="18"/>
      <c r="AI38" s="18"/>
      <c r="AJ38" s="18"/>
      <c r="AK38" s="194" t="e">
        <f>'ULS MP'!#REF!</f>
        <v>#REF!</v>
      </c>
      <c r="AL38" s="18">
        <f t="shared" si="7"/>
        <v>2.4101421139187913</v>
      </c>
      <c r="AM38" s="18">
        <f t="shared" si="8"/>
        <v>2.4101421139187913</v>
      </c>
      <c r="AN38" s="194">
        <f t="shared" si="26"/>
        <v>141.1231688695826</v>
      </c>
      <c r="AO38" s="194">
        <f t="shared" si="27"/>
        <v>43.830323422158457</v>
      </c>
      <c r="AP38" s="194">
        <f t="shared" si="9"/>
        <v>23.244539185055856</v>
      </c>
      <c r="AQ38" s="194">
        <f t="shared" si="28"/>
        <v>0.53125178472341406</v>
      </c>
      <c r="AR38" s="18">
        <f t="shared" si="10"/>
        <v>184.95349229174104</v>
      </c>
      <c r="AS38" s="18">
        <f t="shared" si="11"/>
        <v>0.62731364948740553</v>
      </c>
      <c r="AT38" s="18">
        <f t="shared" si="12"/>
        <v>0.64586933816163539</v>
      </c>
      <c r="AU38" s="194">
        <f t="shared" si="29"/>
        <v>9.2240234861332759E-2</v>
      </c>
      <c r="AV38" s="194">
        <f t="shared" si="30"/>
        <v>0.69624905433932405</v>
      </c>
    </row>
    <row r="39" spans="3:48" ht="14.85" customHeight="1">
      <c r="C39" s="12" t="str">
        <f t="shared" si="13"/>
        <v>Can5</v>
      </c>
      <c r="D39" s="2">
        <f t="shared" si="14"/>
        <v>-10.1</v>
      </c>
      <c r="E39" s="3">
        <f t="shared" si="15"/>
        <v>7.8282999999999996</v>
      </c>
      <c r="F39" s="3">
        <f t="shared" si="16"/>
        <v>107</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0.47838341965660991</v>
      </c>
      <c r="P39" s="3" t="str">
        <f>Geometry!M30</f>
        <v>S355 NL/ML</v>
      </c>
      <c r="R39" s="220">
        <f t="shared" si="17"/>
        <v>-365968.06494642916</v>
      </c>
      <c r="S39" s="3"/>
      <c r="T39" s="3"/>
      <c r="U39" s="3"/>
      <c r="V39" s="3"/>
      <c r="W39" s="3"/>
      <c r="X39" s="18">
        <f t="shared" si="18"/>
        <v>2.5955181911094356</v>
      </c>
      <c r="Y39" s="18">
        <f t="shared" si="19"/>
        <v>4.9426615317611793</v>
      </c>
      <c r="Z39" s="194">
        <f t="shared" si="20"/>
        <v>3.8606499999999997</v>
      </c>
      <c r="AA39" s="194">
        <f t="shared" si="21"/>
        <v>107</v>
      </c>
      <c r="AB39" s="194" t="e">
        <f t="shared" si="6"/>
        <v>#REF!</v>
      </c>
      <c r="AC39" s="194" t="e">
        <f t="shared" si="22"/>
        <v>#REF!</v>
      </c>
      <c r="AD39" s="194">
        <f t="shared" si="23"/>
        <v>0.42293378921533714</v>
      </c>
      <c r="AE39" s="194" t="e">
        <f t="shared" si="24"/>
        <v>#REF!</v>
      </c>
      <c r="AF39" s="194" t="e">
        <f t="shared" si="25"/>
        <v>#REF!</v>
      </c>
      <c r="AG39" s="18"/>
      <c r="AH39" s="18"/>
      <c r="AI39" s="18"/>
      <c r="AJ39" s="18"/>
      <c r="AK39" s="194" t="e">
        <f>'ULS MP'!#REF!</f>
        <v>#REF!</v>
      </c>
      <c r="AL39" s="18">
        <f t="shared" si="7"/>
        <v>8.8817841970012523E-16</v>
      </c>
      <c r="AM39" s="18">
        <f t="shared" si="8"/>
        <v>2.4101421139187904</v>
      </c>
      <c r="AN39" s="194">
        <f t="shared" si="26"/>
        <v>141.12310879869989</v>
      </c>
      <c r="AO39" s="194">
        <f t="shared" si="27"/>
        <v>1.5863710900108448E-14</v>
      </c>
      <c r="AP39" s="194">
        <f t="shared" si="9"/>
        <v>8.4130031641872242E-15</v>
      </c>
      <c r="AQ39" s="194">
        <f t="shared" si="28"/>
        <v>0.56445506816043234</v>
      </c>
      <c r="AR39" s="18">
        <f t="shared" si="10"/>
        <v>141.12310879869992</v>
      </c>
      <c r="AS39" s="18">
        <f t="shared" si="11"/>
        <v>0.47838341965660991</v>
      </c>
      <c r="AT39" s="18">
        <f t="shared" si="12"/>
        <v>0.52622176162227086</v>
      </c>
      <c r="AU39" s="194">
        <f t="shared" si="29"/>
        <v>3.5648318492318744E-17</v>
      </c>
      <c r="AV39" s="194">
        <f t="shared" si="30"/>
        <v>0.56445506816043245</v>
      </c>
    </row>
    <row r="40" spans="3:48" ht="14.85" customHeight="1">
      <c r="C40" s="12" t="str">
        <f t="shared" si="13"/>
        <v>Can6</v>
      </c>
      <c r="D40" s="2">
        <f t="shared" si="14"/>
        <v>-14</v>
      </c>
      <c r="E40" s="3">
        <f t="shared" si="15"/>
        <v>8.1565999999999992</v>
      </c>
      <c r="F40" s="3">
        <f t="shared" si="16"/>
        <v>96</v>
      </c>
      <c r="G40" s="3">
        <v>141</v>
      </c>
      <c r="H40" s="3">
        <v>0</v>
      </c>
      <c r="I40" s="3">
        <v>0</v>
      </c>
      <c r="J40" s="192">
        <f>VLOOKUP(P40,'Steel grades'!$B$5:$J$22,IF(F40&gt;200,10,IF(F40&gt;150,9,IF(F40&gt;120,8,IF(F40&gt;100,7,IF(F40&gt;80,6,IF(F40&gt;63,5,IF(F40&gt;40,4,IF(F40&gt;16,3,2)))))))),FALSE)</f>
        <v>315</v>
      </c>
      <c r="K40" s="3" t="e">
        <f t="shared" si="3"/>
        <v>#REF!</v>
      </c>
      <c r="L40" s="3">
        <v>0</v>
      </c>
      <c r="M40" s="3">
        <v>0</v>
      </c>
      <c r="N40" s="3" t="e">
        <f t="shared" si="4"/>
        <v>#REF!</v>
      </c>
      <c r="O40" s="3">
        <f t="shared" si="5"/>
        <v>0.44806708952594282</v>
      </c>
      <c r="P40" s="3" t="str">
        <f>Geometry!M31</f>
        <v>S355 NL/ML</v>
      </c>
      <c r="R40" s="220">
        <f t="shared" si="17"/>
        <v>-342773.77592036634</v>
      </c>
      <c r="S40" s="3"/>
      <c r="T40" s="3"/>
      <c r="U40" s="3"/>
      <c r="V40" s="3"/>
      <c r="W40" s="3"/>
      <c r="X40" s="18">
        <f t="shared" si="18"/>
        <v>2.4310196873784937</v>
      </c>
      <c r="Y40" s="18">
        <f t="shared" si="19"/>
        <v>4.8418982338843328</v>
      </c>
      <c r="Z40" s="194">
        <f t="shared" si="20"/>
        <v>4.0302999999999995</v>
      </c>
      <c r="AA40" s="194">
        <f t="shared" si="21"/>
        <v>96</v>
      </c>
      <c r="AB40" s="194" t="e">
        <f t="shared" si="6"/>
        <v>#REF!</v>
      </c>
      <c r="AC40" s="194" t="e">
        <f t="shared" si="22"/>
        <v>#REF!</v>
      </c>
      <c r="AD40" s="194">
        <f t="shared" si="23"/>
        <v>0.40798955457954122</v>
      </c>
      <c r="AE40" s="194" t="e">
        <f t="shared" si="24"/>
        <v>#REF!</v>
      </c>
      <c r="AF40" s="194" t="e">
        <f t="shared" si="25"/>
        <v>#REF!</v>
      </c>
      <c r="AG40" s="18"/>
      <c r="AH40" s="18"/>
      <c r="AI40" s="18"/>
      <c r="AJ40" s="18"/>
      <c r="AK40" s="194" t="e">
        <f>'ULS MP'!#REF!</f>
        <v>#REF!</v>
      </c>
      <c r="AL40" s="18">
        <f t="shared" si="7"/>
        <v>7.3326266252182748E-4</v>
      </c>
      <c r="AM40" s="18">
        <f t="shared" si="8"/>
        <v>2.4094088512562686</v>
      </c>
      <c r="AN40" s="194">
        <f t="shared" si="26"/>
        <v>141.12327687616374</v>
      </c>
      <c r="AO40" s="194">
        <f t="shared" si="27"/>
        <v>1.4113712480822573E-2</v>
      </c>
      <c r="AP40" s="194">
        <f t="shared" si="9"/>
        <v>7.4849263521801395E-3</v>
      </c>
      <c r="AQ40" s="194">
        <f t="shared" si="28"/>
        <v>0.53464064592784011</v>
      </c>
      <c r="AR40" s="18">
        <f t="shared" si="10"/>
        <v>141.13739058864456</v>
      </c>
      <c r="AS40" s="18">
        <f t="shared" si="11"/>
        <v>0.44806708952594282</v>
      </c>
      <c r="AT40" s="18">
        <f t="shared" si="12"/>
        <v>0.49286072903971123</v>
      </c>
      <c r="AU40" s="194">
        <f t="shared" si="29"/>
        <v>2.9702088699127536E-5</v>
      </c>
      <c r="AV40" s="194">
        <f t="shared" si="30"/>
        <v>0.53469411523867394</v>
      </c>
    </row>
    <row r="41" spans="3:48" ht="14.85" customHeight="1">
      <c r="C41" s="12" t="str">
        <f t="shared" si="13"/>
        <v>Can7</v>
      </c>
      <c r="D41" s="2">
        <f t="shared" si="14"/>
        <v>-17.899999999999999</v>
      </c>
      <c r="E41" s="3">
        <f t="shared" si="15"/>
        <v>8.4847999999999999</v>
      </c>
      <c r="F41" s="3">
        <f t="shared" si="16"/>
        <v>92</v>
      </c>
      <c r="G41" s="3">
        <v>141</v>
      </c>
      <c r="H41" s="3">
        <v>0</v>
      </c>
      <c r="I41" s="3">
        <v>0</v>
      </c>
      <c r="J41" s="192">
        <f>VLOOKUP(P41,'Steel grades'!$B$5:$J$22,IF(F41&gt;200,10,IF(F41&gt;150,9,IF(F41&gt;120,8,IF(F41&gt;100,7,IF(F41&gt;80,6,IF(F41&gt;63,5,IF(F41&gt;40,4,IF(F41&gt;16,3,2)))))))),FALSE)</f>
        <v>315</v>
      </c>
      <c r="K41" s="3" t="e">
        <f t="shared" si="3"/>
        <v>#REF!</v>
      </c>
      <c r="L41" s="3">
        <v>0</v>
      </c>
      <c r="M41" s="3">
        <v>0</v>
      </c>
      <c r="N41" s="3" t="e">
        <f t="shared" si="4"/>
        <v>#REF!</v>
      </c>
      <c r="O41" s="3">
        <f t="shared" si="5"/>
        <v>0.44807007637484236</v>
      </c>
      <c r="P41" s="3" t="str">
        <f>Geometry!M32</f>
        <v>S355 NL/ML</v>
      </c>
      <c r="R41" s="220">
        <f t="shared" si="17"/>
        <v>-342029.59545258404</v>
      </c>
      <c r="S41" s="3"/>
      <c r="T41" s="3"/>
      <c r="U41" s="3"/>
      <c r="V41" s="3"/>
      <c r="W41" s="3"/>
      <c r="X41" s="18">
        <f t="shared" si="18"/>
        <v>2.425741811720445</v>
      </c>
      <c r="Y41" s="18">
        <f t="shared" si="19"/>
        <v>5.0351093053047435</v>
      </c>
      <c r="Z41" s="194">
        <f t="shared" si="20"/>
        <v>4.1963999999999997</v>
      </c>
      <c r="AA41" s="194">
        <f t="shared" si="21"/>
        <v>92</v>
      </c>
      <c r="AB41" s="194" t="e">
        <f t="shared" si="6"/>
        <v>#REF!</v>
      </c>
      <c r="AC41" s="194" t="e">
        <f t="shared" si="22"/>
        <v>#REF!</v>
      </c>
      <c r="AD41" s="194">
        <f t="shared" si="23"/>
        <v>0.39958083297351799</v>
      </c>
      <c r="AE41" s="194" t="e">
        <f t="shared" si="24"/>
        <v>#REF!</v>
      </c>
      <c r="AF41" s="194" t="e">
        <f t="shared" si="25"/>
        <v>#REF!</v>
      </c>
      <c r="AG41" s="18"/>
      <c r="AH41" s="18"/>
      <c r="AI41" s="18"/>
      <c r="AJ41" s="18"/>
      <c r="AK41" s="194" t="e">
        <f>'ULS MP'!#REF!</f>
        <v>#REF!</v>
      </c>
      <c r="AL41" s="18">
        <f t="shared" si="7"/>
        <v>7.3326266252715655E-4</v>
      </c>
      <c r="AM41" s="18">
        <f t="shared" si="8"/>
        <v>2.4101421139187957</v>
      </c>
      <c r="AN41" s="194">
        <f t="shared" si="26"/>
        <v>141.12347032298817</v>
      </c>
      <c r="AO41" s="194">
        <f t="shared" si="27"/>
        <v>1.4704463752809397E-2</v>
      </c>
      <c r="AP41" s="194">
        <f t="shared" si="9"/>
        <v>7.7982195249924856E-3</v>
      </c>
      <c r="AQ41" s="194">
        <f t="shared" si="28"/>
        <v>0.53734447676331942</v>
      </c>
      <c r="AR41" s="18">
        <f t="shared" si="10"/>
        <v>141.13817478674099</v>
      </c>
      <c r="AS41" s="18">
        <f t="shared" si="11"/>
        <v>0.44807007637484236</v>
      </c>
      <c r="AT41" s="18">
        <f t="shared" si="12"/>
        <v>0.4928634675092543</v>
      </c>
      <c r="AU41" s="194">
        <f t="shared" si="29"/>
        <v>3.0945315575367009E-5</v>
      </c>
      <c r="AV41" s="194">
        <f t="shared" si="30"/>
        <v>0.53740046576616396</v>
      </c>
    </row>
    <row r="42" spans="3:48" ht="14.85" customHeight="1">
      <c r="C42" s="12" t="str">
        <f t="shared" si="13"/>
        <v>Can8</v>
      </c>
      <c r="D42" s="2">
        <f t="shared" si="14"/>
        <v>-21.8</v>
      </c>
      <c r="E42" s="3">
        <f t="shared" si="15"/>
        <v>8.8131000000000004</v>
      </c>
      <c r="F42" s="3">
        <f t="shared" si="16"/>
        <v>92</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0.44801118043356297</v>
      </c>
      <c r="P42" s="3" t="str">
        <f>Geometry!M33</f>
        <v>S355 NL/ML</v>
      </c>
      <c r="R42" s="220">
        <f t="shared" si="17"/>
        <v>-355408.71996253106</v>
      </c>
      <c r="S42" s="3"/>
      <c r="T42" s="3"/>
      <c r="U42" s="3"/>
      <c r="V42" s="3"/>
      <c r="W42" s="3"/>
      <c r="X42" s="18">
        <f t="shared" si="18"/>
        <v>2.52062921959241</v>
      </c>
      <c r="Y42" s="18">
        <f t="shared" si="19"/>
        <v>5.4389007913696696</v>
      </c>
      <c r="Z42" s="194">
        <f t="shared" si="20"/>
        <v>4.3605499999999999</v>
      </c>
      <c r="AA42" s="194">
        <f t="shared" si="21"/>
        <v>92</v>
      </c>
      <c r="AB42" s="194" t="e">
        <f t="shared" si="6"/>
        <v>#REF!</v>
      </c>
      <c r="AC42" s="194" t="e">
        <f t="shared" si="22"/>
        <v>#REF!</v>
      </c>
      <c r="AD42" s="194">
        <f t="shared" si="23"/>
        <v>0.39564071428975733</v>
      </c>
      <c r="AE42" s="194" t="e">
        <f t="shared" si="24"/>
        <v>#REF!</v>
      </c>
      <c r="AF42" s="194" t="e">
        <f t="shared" si="25"/>
        <v>#REF!</v>
      </c>
      <c r="AG42" s="18"/>
      <c r="AH42" s="18"/>
      <c r="AI42" s="18"/>
      <c r="AJ42" s="18"/>
      <c r="AK42" s="194" t="e">
        <f>'ULS MP'!#REF!</f>
        <v>#REF!</v>
      </c>
      <c r="AL42" s="18">
        <f t="shared" si="7"/>
        <v>2.6645352591003757E-15</v>
      </c>
      <c r="AM42" s="18">
        <f t="shared" si="8"/>
        <v>2.4101421139187984</v>
      </c>
      <c r="AN42" s="194">
        <f t="shared" si="26"/>
        <v>141.12352183657225</v>
      </c>
      <c r="AO42" s="194">
        <f t="shared" si="27"/>
        <v>5.4457115690562757E-14</v>
      </c>
      <c r="AP42" s="194">
        <f t="shared" si="9"/>
        <v>2.8880246841492947E-14</v>
      </c>
      <c r="AQ42" s="194">
        <f t="shared" si="28"/>
        <v>0.53868308253420638</v>
      </c>
      <c r="AR42" s="18">
        <f t="shared" si="10"/>
        <v>141.12352183657231</v>
      </c>
      <c r="AS42" s="18">
        <f t="shared" si="11"/>
        <v>0.44801118043356297</v>
      </c>
      <c r="AT42" s="18">
        <f t="shared" si="12"/>
        <v>0.49281229847691921</v>
      </c>
      <c r="AU42" s="194">
        <f t="shared" si="29"/>
        <v>1.1460415413290852E-16</v>
      </c>
      <c r="AV42" s="194">
        <f t="shared" si="30"/>
        <v>0.53868308253420649</v>
      </c>
    </row>
    <row r="43" spans="3:48" ht="14.85" customHeight="1">
      <c r="C43" s="12" t="str">
        <f t="shared" si="13"/>
        <v>Can9</v>
      </c>
      <c r="D43" s="2">
        <f t="shared" si="14"/>
        <v>-25.7</v>
      </c>
      <c r="E43" s="3">
        <f t="shared" si="15"/>
        <v>9.1414000000000009</v>
      </c>
      <c r="F43" s="3">
        <f t="shared" si="16"/>
        <v>92</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0.44801133210318728</v>
      </c>
      <c r="P43" s="3" t="str">
        <f>Geometry!M34</f>
        <v>S355 NL/ML</v>
      </c>
      <c r="R43" s="220">
        <f t="shared" si="17"/>
        <v>-368787.84447247809</v>
      </c>
      <c r="S43" s="3"/>
      <c r="T43" s="3"/>
      <c r="U43" s="3"/>
      <c r="V43" s="3"/>
      <c r="W43" s="3"/>
      <c r="X43" s="18">
        <f t="shared" si="18"/>
        <v>2.6155166274643751</v>
      </c>
      <c r="Y43" s="18">
        <f t="shared" si="19"/>
        <v>5.858268009950546</v>
      </c>
      <c r="Z43" s="194">
        <f t="shared" si="20"/>
        <v>4.5247000000000002</v>
      </c>
      <c r="AA43" s="194">
        <f t="shared" si="21"/>
        <v>92</v>
      </c>
      <c r="AB43" s="194" t="e">
        <f t="shared" si="6"/>
        <v>#REF!</v>
      </c>
      <c r="AC43" s="194" t="e">
        <f t="shared" si="22"/>
        <v>#REF!</v>
      </c>
      <c r="AD43" s="194">
        <f t="shared" si="23"/>
        <v>0.39181766592386941</v>
      </c>
      <c r="AE43" s="194" t="e">
        <f t="shared" si="24"/>
        <v>#REF!</v>
      </c>
      <c r="AF43" s="194" t="e">
        <f t="shared" si="25"/>
        <v>#REF!</v>
      </c>
      <c r="AG43" s="18"/>
      <c r="AH43" s="18"/>
      <c r="AI43" s="18"/>
      <c r="AJ43" s="18"/>
      <c r="AK43" s="194" t="e">
        <f>'ULS MP'!#REF!</f>
        <v>#REF!</v>
      </c>
      <c r="AL43" s="18">
        <f t="shared" si="7"/>
        <v>1.5543122344752192E-14</v>
      </c>
      <c r="AM43" s="18">
        <f t="shared" si="8"/>
        <v>2.4101421139187829</v>
      </c>
      <c r="AN43" s="194">
        <f t="shared" si="26"/>
        <v>141.12356961250359</v>
      </c>
      <c r="AO43" s="194">
        <f t="shared" si="27"/>
        <v>3.2352916484645331E-13</v>
      </c>
      <c r="AP43" s="194">
        <f t="shared" si="9"/>
        <v>1.715772497809107E-13</v>
      </c>
      <c r="AQ43" s="194">
        <f t="shared" si="28"/>
        <v>0.54002835900960733</v>
      </c>
      <c r="AR43" s="18">
        <f t="shared" si="10"/>
        <v>141.1235696125039</v>
      </c>
      <c r="AS43" s="18">
        <f t="shared" si="11"/>
        <v>0.44801133210318728</v>
      </c>
      <c r="AT43" s="18">
        <f t="shared" si="12"/>
        <v>0.49281246531350575</v>
      </c>
      <c r="AU43" s="194">
        <f t="shared" si="29"/>
        <v>6.8086210230520125E-16</v>
      </c>
      <c r="AV43" s="194">
        <f t="shared" si="30"/>
        <v>0.54002835900960855</v>
      </c>
    </row>
    <row r="44" spans="3:48" ht="14.85" customHeight="1">
      <c r="C44" s="12" t="str">
        <f t="shared" si="13"/>
        <v>Can10</v>
      </c>
      <c r="D44" s="2">
        <f t="shared" si="14"/>
        <v>-29.6</v>
      </c>
      <c r="E44" s="3">
        <f t="shared" si="15"/>
        <v>9.4696999999999996</v>
      </c>
      <c r="F44" s="3">
        <f t="shared" si="16"/>
        <v>92</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0.44926433325482268</v>
      </c>
      <c r="P44" s="3" t="str">
        <f>Geometry!M35</f>
        <v>S355 NL/ML</v>
      </c>
      <c r="R44" s="220">
        <f t="shared" si="17"/>
        <v>-382166.96898242505</v>
      </c>
      <c r="S44" s="3"/>
      <c r="T44" s="3"/>
      <c r="U44" s="3"/>
      <c r="V44" s="3"/>
      <c r="W44" s="3"/>
      <c r="X44" s="18">
        <f t="shared" si="18"/>
        <v>2.710404035336329</v>
      </c>
      <c r="Y44" s="18">
        <f t="shared" si="19"/>
        <v>6.2932109647380949</v>
      </c>
      <c r="Z44" s="194">
        <f t="shared" si="20"/>
        <v>4.6888499999999995</v>
      </c>
      <c r="AA44" s="194">
        <f t="shared" si="21"/>
        <v>92</v>
      </c>
      <c r="AB44" s="194" t="e">
        <f t="shared" si="6"/>
        <v>#REF!</v>
      </c>
      <c r="AC44" s="194" t="e">
        <f t="shared" si="22"/>
        <v>#REF!</v>
      </c>
      <c r="AD44" s="194">
        <f t="shared" si="23"/>
        <v>0.38810534288933707</v>
      </c>
      <c r="AE44" s="194" t="e">
        <f t="shared" si="24"/>
        <v>#REF!</v>
      </c>
      <c r="AF44" s="194" t="e">
        <f t="shared" si="25"/>
        <v>#REF!</v>
      </c>
      <c r="AG44" s="18"/>
      <c r="AH44" s="18"/>
      <c r="AI44" s="18"/>
      <c r="AJ44" s="18"/>
      <c r="AK44" s="194" t="e">
        <f>'ULS MP'!#REF!</f>
        <v>#REF!</v>
      </c>
      <c r="AL44" s="18">
        <f t="shared" si="7"/>
        <v>1.4665087042359026E-2</v>
      </c>
      <c r="AM44" s="18">
        <f t="shared" si="8"/>
        <v>2.4248072009611419</v>
      </c>
      <c r="AN44" s="194">
        <f t="shared" si="26"/>
        <v>141.12512406551889</v>
      </c>
      <c r="AO44" s="194">
        <f t="shared" si="27"/>
        <v>0.31068592557893487</v>
      </c>
      <c r="AP44" s="194">
        <f t="shared" si="9"/>
        <v>0.16476609359706296</v>
      </c>
      <c r="AQ44" s="194">
        <f t="shared" si="28"/>
        <v>0.54138615055881167</v>
      </c>
      <c r="AR44" s="18">
        <f t="shared" si="10"/>
        <v>141.43580999109781</v>
      </c>
      <c r="AS44" s="18">
        <f t="shared" si="11"/>
        <v>0.44926433325482268</v>
      </c>
      <c r="AT44" s="18">
        <f t="shared" si="12"/>
        <v>0.49390282854034157</v>
      </c>
      <c r="AU44" s="194">
        <f t="shared" si="29"/>
        <v>6.5383370475024984E-4</v>
      </c>
      <c r="AV44" s="194">
        <f t="shared" si="30"/>
        <v>0.5425780081985887</v>
      </c>
    </row>
    <row r="45" spans="3:48" ht="14.85" customHeight="1">
      <c r="C45" s="12" t="str">
        <f t="shared" si="13"/>
        <v>Can11</v>
      </c>
      <c r="D45" s="2">
        <f t="shared" si="14"/>
        <v>-33.5</v>
      </c>
      <c r="E45" s="3">
        <f t="shared" si="15"/>
        <v>9.8000000000000007</v>
      </c>
      <c r="F45" s="3">
        <f t="shared" si="16"/>
        <v>92</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0.66243561930173944</v>
      </c>
      <c r="P45" s="3" t="str">
        <f>Geometry!M36</f>
        <v>S355 NL/ML</v>
      </c>
      <c r="R45" s="220">
        <f t="shared" si="17"/>
        <v>-395627.59897217684</v>
      </c>
      <c r="S45" s="3"/>
      <c r="T45" s="3"/>
      <c r="U45" s="3"/>
      <c r="V45" s="3"/>
      <c r="W45" s="3"/>
      <c r="X45" s="18">
        <f t="shared" si="18"/>
        <v>2.8058694962565682</v>
      </c>
      <c r="Y45" s="18">
        <f t="shared" si="19"/>
        <v>6.7465219465220363</v>
      </c>
      <c r="Z45" s="194">
        <f t="shared" si="20"/>
        <v>4.8540000000000001</v>
      </c>
      <c r="AA45" s="194">
        <f t="shared" si="21"/>
        <v>92</v>
      </c>
      <c r="AB45" s="194" t="e">
        <f t="shared" si="6"/>
        <v>#REF!</v>
      </c>
      <c r="AC45" s="194" t="e">
        <f t="shared" si="22"/>
        <v>#REF!</v>
      </c>
      <c r="AD45" s="194">
        <f t="shared" si="23"/>
        <v>0.38447624918747192</v>
      </c>
      <c r="AE45" s="194" t="e">
        <f t="shared" si="24"/>
        <v>#REF!</v>
      </c>
      <c r="AF45" s="194" t="e">
        <f t="shared" si="25"/>
        <v>#REF!</v>
      </c>
      <c r="AG45" s="18"/>
      <c r="AH45" s="18"/>
      <c r="AI45" s="18"/>
      <c r="AJ45" s="18"/>
      <c r="AK45" s="194" t="e">
        <f>'ULS MP'!#REF!</f>
        <v>#REF!</v>
      </c>
      <c r="AL45" s="18">
        <f t="shared" si="7"/>
        <v>2.4248072009611419</v>
      </c>
      <c r="AM45" s="18">
        <f t="shared" si="8"/>
        <v>2.4248072009611419</v>
      </c>
      <c r="AN45" s="194">
        <f t="shared" si="26"/>
        <v>141.12516624345199</v>
      </c>
      <c r="AO45" s="194">
        <f t="shared" si="27"/>
        <v>52.289977631178751</v>
      </c>
      <c r="AP45" s="194">
        <f t="shared" si="9"/>
        <v>27.730948328324537</v>
      </c>
      <c r="AQ45" s="194">
        <f t="shared" si="28"/>
        <v>0.54275323864148439</v>
      </c>
      <c r="AR45" s="18">
        <f t="shared" si="10"/>
        <v>193.41514387463073</v>
      </c>
      <c r="AS45" s="18">
        <f t="shared" si="11"/>
        <v>0.66243561930173944</v>
      </c>
      <c r="AT45" s="18">
        <f t="shared" si="12"/>
        <v>0.67541796273680577</v>
      </c>
      <c r="AU45" s="194">
        <f t="shared" si="29"/>
        <v>0.11004344574731958</v>
      </c>
      <c r="AV45" s="194">
        <f t="shared" si="30"/>
        <v>0.74385524945403037</v>
      </c>
    </row>
    <row r="46" spans="3:48" ht="14.85" customHeight="1">
      <c r="C46" s="12" t="str">
        <f t="shared" si="13"/>
        <v>Can12</v>
      </c>
      <c r="D46" s="2" t="e">
        <f t="shared" si="14"/>
        <v>#REF!</v>
      </c>
      <c r="E46" s="3" t="e">
        <f t="shared" si="15"/>
        <v>#REF!</v>
      </c>
      <c r="F46" s="3" t="e">
        <f t="shared" si="16"/>
        <v>#REF!</v>
      </c>
      <c r="G46" s="3">
        <v>141</v>
      </c>
      <c r="H46" s="3">
        <v>0</v>
      </c>
      <c r="I46" s="3">
        <v>0</v>
      </c>
      <c r="J46" s="192" t="e">
        <f>VLOOKUP(P46,'Steel grades'!$B$5:$J$22,IF(F46&gt;200,10,IF(F46&gt;150,9,IF(F46&gt;120,8,IF(F46&gt;100,7,IF(F46&gt;80,6,IF(F46&gt;63,5,IF(F46&gt;40,4,IF(F46&gt;16,3,2)))))))),FALSE)</f>
        <v>#REF!</v>
      </c>
      <c r="K46" s="3" t="e">
        <f t="shared" si="3"/>
        <v>#REF!</v>
      </c>
      <c r="L46" s="3">
        <v>0</v>
      </c>
      <c r="M46" s="3">
        <v>0</v>
      </c>
      <c r="N46" s="3" t="e">
        <f t="shared" si="4"/>
        <v>#REF!</v>
      </c>
      <c r="O46" s="3" t="e">
        <f t="shared" si="5"/>
        <v>#REF!</v>
      </c>
      <c r="P46" s="3" t="e">
        <f>Geometry!#REF!</f>
        <v>#REF!</v>
      </c>
      <c r="R46" s="220" t="e">
        <f t="shared" si="17"/>
        <v>#REF!</v>
      </c>
      <c r="S46" s="3"/>
      <c r="T46" s="3"/>
      <c r="U46" s="3"/>
      <c r="V46" s="3"/>
      <c r="W46" s="3"/>
      <c r="X46" s="18" t="e">
        <f t="shared" si="18"/>
        <v>#REF!</v>
      </c>
      <c r="Y46" s="18" t="e">
        <f t="shared" si="19"/>
        <v>#REF!</v>
      </c>
      <c r="Z46" s="194" t="e">
        <f t="shared" si="20"/>
        <v>#REF!</v>
      </c>
      <c r="AA46" s="194" t="e">
        <f t="shared" si="21"/>
        <v>#REF!</v>
      </c>
      <c r="AB46" s="194" t="e">
        <f t="shared" si="6"/>
        <v>#REF!</v>
      </c>
      <c r="AC46" s="194" t="e">
        <f t="shared" si="22"/>
        <v>#REF!</v>
      </c>
      <c r="AD46" s="194" t="e">
        <f t="shared" si="23"/>
        <v>#REF!</v>
      </c>
      <c r="AE46" s="194" t="e">
        <f t="shared" si="24"/>
        <v>#REF!</v>
      </c>
      <c r="AF46" s="194" t="e">
        <f t="shared" si="25"/>
        <v>#REF!</v>
      </c>
      <c r="AG46" s="18"/>
      <c r="AH46" s="18"/>
      <c r="AI46" s="18"/>
      <c r="AJ46" s="18"/>
      <c r="AK46" s="194" t="e">
        <f>'ULS MP'!#REF!</f>
        <v>#REF!</v>
      </c>
      <c r="AL46" s="18" t="e">
        <f t="shared" si="7"/>
        <v>#REF!</v>
      </c>
      <c r="AM46" s="18" t="e">
        <f t="shared" si="8"/>
        <v>#REF!</v>
      </c>
      <c r="AN46" s="194" t="e">
        <f t="shared" si="26"/>
        <v>#REF!</v>
      </c>
      <c r="AO46" s="194" t="e">
        <f t="shared" si="27"/>
        <v>#REF!</v>
      </c>
      <c r="AP46" s="194" t="e">
        <f t="shared" si="9"/>
        <v>#REF!</v>
      </c>
      <c r="AQ46" s="194" t="e">
        <f t="shared" si="28"/>
        <v>#REF!</v>
      </c>
      <c r="AR46" s="18" t="e">
        <f t="shared" si="10"/>
        <v>#REF!</v>
      </c>
      <c r="AS46" s="18" t="e">
        <f t="shared" si="11"/>
        <v>#REF!</v>
      </c>
      <c r="AT46" s="18" t="e">
        <f t="shared" si="12"/>
        <v>#REF!</v>
      </c>
      <c r="AU46" s="194" t="e">
        <f t="shared" si="29"/>
        <v>#REF!</v>
      </c>
      <c r="AV46" s="194" t="e">
        <f t="shared" si="30"/>
        <v>#REF!</v>
      </c>
    </row>
    <row r="47" spans="3:48" ht="14.85" customHeight="1">
      <c r="C47" s="12" t="str">
        <f t="shared" si="13"/>
        <v>Can13</v>
      </c>
      <c r="D47" s="2">
        <f t="shared" si="14"/>
        <v>-40.200000000000003</v>
      </c>
      <c r="E47" s="3">
        <f t="shared" si="15"/>
        <v>9.8000000000000007</v>
      </c>
      <c r="F47" s="3">
        <f t="shared" si="16"/>
        <v>101</v>
      </c>
      <c r="G47" s="3">
        <v>141</v>
      </c>
      <c r="H47" s="3">
        <v>0</v>
      </c>
      <c r="I47" s="3">
        <v>0</v>
      </c>
      <c r="J47" s="192">
        <f>VLOOKUP(P47,'Steel grades'!$B$5:$J$22,IF(F47&gt;200,10,IF(F47&gt;150,9,IF(F47&gt;120,8,IF(F47&gt;100,7,IF(F47&gt;80,6,IF(F47&gt;63,5,IF(F47&gt;40,4,IF(F47&gt;16,3,2)))))))),FALSE)</f>
        <v>340</v>
      </c>
      <c r="K47" s="3" t="e">
        <f t="shared" si="3"/>
        <v>#REF!</v>
      </c>
      <c r="L47" s="3">
        <v>0</v>
      </c>
      <c r="M47" s="3">
        <v>0</v>
      </c>
      <c r="N47" s="3" t="e">
        <f t="shared" si="4"/>
        <v>#REF!</v>
      </c>
      <c r="O47" s="3">
        <f t="shared" si="5"/>
        <v>0.4147058823529412</v>
      </c>
      <c r="P47" s="3" t="str">
        <f>Geometry!M38</f>
        <v>S420 NL</v>
      </c>
      <c r="R47" s="220">
        <f t="shared" si="17"/>
        <v>-433927.64408281096</v>
      </c>
      <c r="S47" s="3"/>
      <c r="T47" s="3"/>
      <c r="U47" s="3"/>
      <c r="V47" s="3"/>
      <c r="W47" s="3"/>
      <c r="X47" s="18">
        <f t="shared" si="18"/>
        <v>3.0775010218639087</v>
      </c>
      <c r="Y47" s="18">
        <f t="shared" si="19"/>
        <v>7.3860654156320455</v>
      </c>
      <c r="Z47" s="194">
        <f t="shared" si="20"/>
        <v>4.8494999999999999</v>
      </c>
      <c r="AA47" s="194">
        <f t="shared" si="21"/>
        <v>101</v>
      </c>
      <c r="AB47" s="194" t="e">
        <f t="shared" si="6"/>
        <v>#REF!</v>
      </c>
      <c r="AC47" s="194" t="e">
        <f t="shared" si="22"/>
        <v>#REF!</v>
      </c>
      <c r="AD47" s="194">
        <f t="shared" si="23"/>
        <v>0.39430454944807303</v>
      </c>
      <c r="AE47" s="194" t="e">
        <f t="shared" si="24"/>
        <v>#REF!</v>
      </c>
      <c r="AF47" s="194" t="e">
        <f t="shared" si="25"/>
        <v>#REF!</v>
      </c>
      <c r="AG47" s="18"/>
      <c r="AH47" s="18"/>
      <c r="AI47" s="18"/>
      <c r="AJ47" s="18"/>
      <c r="AK47" s="194" t="e">
        <f>'ULS MP'!#REF!</f>
        <v>#REF!</v>
      </c>
      <c r="AL47" s="18">
        <f t="shared" si="7"/>
        <v>0</v>
      </c>
      <c r="AM47" s="18">
        <f t="shared" si="8"/>
        <v>0</v>
      </c>
      <c r="AN47" s="194">
        <f t="shared" si="26"/>
        <v>141</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-47.8</v>
      </c>
      <c r="E48" s="3">
        <f t="shared" si="15"/>
        <v>9.8000000000000007</v>
      </c>
      <c r="F48" s="3">
        <f t="shared" si="16"/>
        <v>90</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Geometry!M40</f>
        <v>S355 NL/ML</v>
      </c>
      <c r="R48" s="220">
        <f t="shared" si="17"/>
        <v>-387106.73261606897</v>
      </c>
      <c r="S48" s="3"/>
      <c r="T48" s="3"/>
      <c r="U48" s="3"/>
      <c r="V48" s="3"/>
      <c r="W48" s="3"/>
      <c r="X48" s="18">
        <f t="shared" si="18"/>
        <v>2.7454378199721172</v>
      </c>
      <c r="Y48" s="18">
        <f t="shared" si="19"/>
        <v>6.6039125512340453</v>
      </c>
      <c r="Z48" s="194">
        <f t="shared" si="20"/>
        <v>4.8550000000000004</v>
      </c>
      <c r="AA48" s="194">
        <f t="shared" si="21"/>
        <v>90</v>
      </c>
      <c r="AB48" s="194" t="e">
        <f t="shared" si="6"/>
        <v>#REF!</v>
      </c>
      <c r="AC48" s="194" t="e">
        <f t="shared" si="22"/>
        <v>#REF!</v>
      </c>
      <c r="AD48" s="194">
        <f t="shared" si="23"/>
        <v>0.38213887965963755</v>
      </c>
      <c r="AE48" s="194" t="e">
        <f t="shared" si="24"/>
        <v>#REF!</v>
      </c>
      <c r="AF48" s="194" t="e">
        <f t="shared" si="25"/>
        <v>#REF!</v>
      </c>
      <c r="AG48" s="18"/>
      <c r="AH48" s="18"/>
      <c r="AI48" s="18"/>
      <c r="AJ48" s="18"/>
      <c r="AK48" s="194" t="e">
        <f>'ULS MP'!#REF!</f>
        <v>#REF!</v>
      </c>
      <c r="AL48" s="18">
        <f t="shared" si="7"/>
        <v>0</v>
      </c>
      <c r="AM48" s="18">
        <f t="shared" si="8"/>
        <v>0</v>
      </c>
      <c r="AN48" s="194">
        <f t="shared" si="26"/>
        <v>141</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-51.8</v>
      </c>
      <c r="E49" s="3">
        <f t="shared" si="15"/>
        <v>9.8000000000000007</v>
      </c>
      <c r="F49" s="3">
        <f t="shared" si="16"/>
        <v>80</v>
      </c>
      <c r="G49" s="3">
        <v>141</v>
      </c>
      <c r="H49" s="3">
        <v>0</v>
      </c>
      <c r="I49" s="3">
        <v>0</v>
      </c>
      <c r="J49" s="192">
        <f>VLOOKUP(P49,'Steel grades'!$B$5:$J$22,IF(F49&gt;200,10,IF(F49&gt;150,9,IF(F49&gt;120,8,IF(F49&gt;100,7,IF(F49&gt;80,6,IF(F49&gt;63,5,IF(F49&gt;40,4,IF(F49&gt;16,3,2)))))))),FALSE)</f>
        <v>325</v>
      </c>
      <c r="K49" s="3" t="e">
        <f t="shared" si="3"/>
        <v>#REF!</v>
      </c>
      <c r="L49" s="3">
        <v>0</v>
      </c>
      <c r="M49" s="3">
        <v>0</v>
      </c>
      <c r="N49" s="3" t="e">
        <f t="shared" si="4"/>
        <v>#REF!</v>
      </c>
      <c r="O49" s="3">
        <f t="shared" si="5"/>
        <v>0.43384615384615383</v>
      </c>
      <c r="P49" s="3" t="str">
        <f>Geometry!M41</f>
        <v>S355 NL/ML</v>
      </c>
      <c r="R49" s="220">
        <f t="shared" si="17"/>
        <v>-344449.24508783064</v>
      </c>
      <c r="S49" s="3"/>
      <c r="T49" s="3"/>
      <c r="U49" s="3"/>
      <c r="V49" s="3"/>
      <c r="W49" s="3"/>
      <c r="X49" s="18">
        <f t="shared" si="18"/>
        <v>2.4429024474314329</v>
      </c>
      <c r="Y49" s="18">
        <f t="shared" si="19"/>
        <v>5.8881925807415705</v>
      </c>
      <c r="Z49" s="194">
        <f t="shared" si="20"/>
        <v>4.8600000000000003</v>
      </c>
      <c r="AA49" s="194">
        <f t="shared" si="21"/>
        <v>80</v>
      </c>
      <c r="AB49" s="194" t="e">
        <f t="shared" si="6"/>
        <v>#REF!</v>
      </c>
      <c r="AC49" s="194" t="e">
        <f t="shared" si="22"/>
        <v>#REF!</v>
      </c>
      <c r="AD49" s="194">
        <f t="shared" si="23"/>
        <v>0.36947915868453485</v>
      </c>
      <c r="AE49" s="194" t="e">
        <f t="shared" si="24"/>
        <v>#REF!</v>
      </c>
      <c r="AF49" s="194" t="e">
        <f t="shared" si="25"/>
        <v>#REF!</v>
      </c>
      <c r="AG49" s="18"/>
      <c r="AH49" s="18"/>
      <c r="AI49" s="18"/>
      <c r="AJ49" s="18"/>
      <c r="AK49" s="194" t="e">
        <f>'ULS MP'!#REF!</f>
        <v>#REF!</v>
      </c>
      <c r="AL49" s="18">
        <f t="shared" si="7"/>
        <v>0</v>
      </c>
      <c r="AM49" s="18">
        <f t="shared" si="8"/>
        <v>0</v>
      </c>
      <c r="AN49" s="194">
        <f t="shared" si="26"/>
        <v>141</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-55.8</v>
      </c>
      <c r="E50" s="3">
        <f t="shared" si="15"/>
        <v>9.8000000000000007</v>
      </c>
      <c r="F50" s="3">
        <f t="shared" si="16"/>
        <v>80</v>
      </c>
      <c r="G50" s="3">
        <v>141</v>
      </c>
      <c r="H50" s="3">
        <v>0</v>
      </c>
      <c r="I50" s="3">
        <v>0</v>
      </c>
      <c r="J50" s="192">
        <f>VLOOKUP(P50,'Steel grades'!$B$5:$J$22,IF(F50&gt;200,10,IF(F50&gt;150,9,IF(F50&gt;120,8,IF(F50&gt;100,7,IF(F50&gt;80,6,IF(F50&gt;63,5,IF(F50&gt;40,4,IF(F50&gt;16,3,2)))))))),FALSE)</f>
        <v>325</v>
      </c>
      <c r="K50" s="3" t="e">
        <f t="shared" si="3"/>
        <v>#REF!</v>
      </c>
      <c r="L50" s="3">
        <v>0</v>
      </c>
      <c r="M50" s="3">
        <v>0</v>
      </c>
      <c r="N50" s="3" t="e">
        <f t="shared" si="4"/>
        <v>#REF!</v>
      </c>
      <c r="O50" s="3">
        <f t="shared" si="5"/>
        <v>0.43384615384615383</v>
      </c>
      <c r="P50" s="3" t="str">
        <f>Geometry!M42</f>
        <v>S355 NL/ML</v>
      </c>
      <c r="R50" s="220">
        <f t="shared" si="17"/>
        <v>-344449.24508783064</v>
      </c>
      <c r="S50" s="3"/>
      <c r="T50" s="3"/>
      <c r="U50" s="3"/>
      <c r="V50" s="3"/>
      <c r="W50" s="3"/>
      <c r="X50" s="18">
        <f t="shared" si="18"/>
        <v>2.4429024474314329</v>
      </c>
      <c r="Y50" s="18">
        <f t="shared" si="19"/>
        <v>5.8881925807415705</v>
      </c>
      <c r="Z50" s="194">
        <f t="shared" si="20"/>
        <v>4.8600000000000003</v>
      </c>
      <c r="AA50" s="194">
        <f t="shared" si="21"/>
        <v>80</v>
      </c>
      <c r="AB50" s="194" t="e">
        <f t="shared" si="6"/>
        <v>#REF!</v>
      </c>
      <c r="AC50" s="194" t="e">
        <f t="shared" si="22"/>
        <v>#REF!</v>
      </c>
      <c r="AD50" s="194">
        <f t="shared" si="23"/>
        <v>0.36947915868453485</v>
      </c>
      <c r="AE50" s="194" t="e">
        <f t="shared" si="24"/>
        <v>#REF!</v>
      </c>
      <c r="AF50" s="194" t="e">
        <f t="shared" si="25"/>
        <v>#REF!</v>
      </c>
      <c r="AG50" s="18"/>
      <c r="AH50" s="18"/>
      <c r="AI50" s="18"/>
      <c r="AJ50" s="18"/>
      <c r="AK50" s="194" t="e">
        <f>'ULS MP'!#REF!</f>
        <v>#REF!</v>
      </c>
      <c r="AL50" s="18">
        <f t="shared" si="7"/>
        <v>0</v>
      </c>
      <c r="AM50" s="18">
        <f t="shared" si="8"/>
        <v>0</v>
      </c>
      <c r="AN50" s="194">
        <f t="shared" si="26"/>
        <v>141</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-59.8</v>
      </c>
      <c r="E51" s="3">
        <f t="shared" si="15"/>
        <v>9.8000000000000007</v>
      </c>
      <c r="F51" s="3">
        <f t="shared" si="16"/>
        <v>80</v>
      </c>
      <c r="G51" s="3">
        <v>141</v>
      </c>
      <c r="H51" s="3">
        <v>0</v>
      </c>
      <c r="I51" s="3">
        <v>0</v>
      </c>
      <c r="J51" s="192">
        <f>VLOOKUP(P51,'Steel grades'!$B$5:$J$22,IF(F51&gt;200,10,IF(F51&gt;150,9,IF(F51&gt;120,8,IF(F51&gt;100,7,IF(F51&gt;80,6,IF(F51&gt;63,5,IF(F51&gt;40,4,IF(F51&gt;16,3,2)))))))),FALSE)</f>
        <v>325</v>
      </c>
      <c r="K51" s="3" t="e">
        <f t="shared" si="3"/>
        <v>#REF!</v>
      </c>
      <c r="L51" s="3">
        <v>0</v>
      </c>
      <c r="M51" s="3">
        <v>0</v>
      </c>
      <c r="N51" s="3" t="e">
        <f t="shared" si="4"/>
        <v>#REF!</v>
      </c>
      <c r="O51" s="3">
        <f t="shared" si="5"/>
        <v>0.43384615384615383</v>
      </c>
      <c r="P51" s="3" t="str">
        <f>Geometry!M43</f>
        <v>S355 NL/ML</v>
      </c>
      <c r="R51" s="220">
        <f t="shared" si="17"/>
        <v>-344449.24508783064</v>
      </c>
      <c r="S51" s="3"/>
      <c r="T51" s="3"/>
      <c r="U51" s="3"/>
      <c r="V51" s="3"/>
      <c r="W51" s="3"/>
      <c r="X51" s="18">
        <f t="shared" si="18"/>
        <v>2.4429024474314329</v>
      </c>
      <c r="Y51" s="18">
        <f t="shared" si="19"/>
        <v>5.8881925807415705</v>
      </c>
      <c r="Z51" s="194">
        <f t="shared" si="20"/>
        <v>4.8600000000000003</v>
      </c>
      <c r="AA51" s="194">
        <f t="shared" si="21"/>
        <v>80</v>
      </c>
      <c r="AB51" s="194" t="e">
        <f t="shared" si="6"/>
        <v>#REF!</v>
      </c>
      <c r="AC51" s="194" t="e">
        <f t="shared" si="22"/>
        <v>#REF!</v>
      </c>
      <c r="AD51" s="194">
        <f t="shared" si="23"/>
        <v>0.36947915868453485</v>
      </c>
      <c r="AE51" s="194" t="e">
        <f t="shared" si="24"/>
        <v>#REF!</v>
      </c>
      <c r="AF51" s="194" t="e">
        <f t="shared" si="25"/>
        <v>#REF!</v>
      </c>
      <c r="AG51" s="18"/>
      <c r="AH51" s="18"/>
      <c r="AI51" s="18"/>
      <c r="AJ51" s="18"/>
      <c r="AK51" s="194" t="e">
        <f>'ULS MP'!#REF!</f>
        <v>#REF!</v>
      </c>
      <c r="AL51" s="18">
        <f t="shared" si="7"/>
        <v>0</v>
      </c>
      <c r="AM51" s="18">
        <f t="shared" si="8"/>
        <v>0</v>
      </c>
      <c r="AN51" s="194">
        <f t="shared" si="26"/>
        <v>141</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-63.8</v>
      </c>
      <c r="E52" s="3">
        <f t="shared" si="15"/>
        <v>9.8000000000000007</v>
      </c>
      <c r="F52" s="3">
        <f t="shared" si="16"/>
        <v>80</v>
      </c>
      <c r="G52" s="3">
        <v>141</v>
      </c>
      <c r="H52" s="3">
        <v>0</v>
      </c>
      <c r="I52" s="3">
        <v>0</v>
      </c>
      <c r="J52" s="192">
        <f>VLOOKUP(P52,'Steel grades'!$B$5:$J$22,IF(F52&gt;200,10,IF(F52&gt;150,9,IF(F52&gt;120,8,IF(F52&gt;100,7,IF(F52&gt;80,6,IF(F52&gt;63,5,IF(F52&gt;40,4,IF(F52&gt;16,3,2)))))))),FALSE)</f>
        <v>325</v>
      </c>
      <c r="K52" s="3" t="e">
        <f t="shared" si="3"/>
        <v>#REF!</v>
      </c>
      <c r="L52" s="3">
        <v>0</v>
      </c>
      <c r="M52" s="3">
        <v>0</v>
      </c>
      <c r="N52" s="3" t="e">
        <f t="shared" si="4"/>
        <v>#REF!</v>
      </c>
      <c r="O52" s="3">
        <f t="shared" si="5"/>
        <v>0.43384615384615383</v>
      </c>
      <c r="P52" s="3" t="str">
        <f>Geometry!M44</f>
        <v>S355 NL/ML</v>
      </c>
      <c r="R52" s="220">
        <f t="shared" si="17"/>
        <v>-344449.24508783064</v>
      </c>
      <c r="S52" s="3"/>
      <c r="T52" s="3"/>
      <c r="U52" s="3"/>
      <c r="V52" s="3"/>
      <c r="W52" s="3"/>
      <c r="X52" s="18">
        <f t="shared" si="18"/>
        <v>2.4429024474314329</v>
      </c>
      <c r="Y52" s="18">
        <f t="shared" si="19"/>
        <v>5.8881925807415705</v>
      </c>
      <c r="Z52" s="194">
        <f t="shared" si="20"/>
        <v>4.8600000000000003</v>
      </c>
      <c r="AA52" s="194">
        <f t="shared" si="21"/>
        <v>80</v>
      </c>
      <c r="AB52" s="194" t="e">
        <f t="shared" si="6"/>
        <v>#REF!</v>
      </c>
      <c r="AC52" s="194" t="e">
        <f t="shared" si="22"/>
        <v>#REF!</v>
      </c>
      <c r="AD52" s="194">
        <f t="shared" si="23"/>
        <v>0.36947915868453485</v>
      </c>
      <c r="AE52" s="194" t="e">
        <f t="shared" si="24"/>
        <v>#REF!</v>
      </c>
      <c r="AF52" s="194" t="e">
        <f t="shared" si="25"/>
        <v>#REF!</v>
      </c>
      <c r="AG52" s="18"/>
      <c r="AH52" s="18"/>
      <c r="AI52" s="18"/>
      <c r="AJ52" s="18"/>
      <c r="AK52" s="194" t="e">
        <f>'ULS MP'!#REF!</f>
        <v>#REF!</v>
      </c>
      <c r="AL52" s="18">
        <f t="shared" si="7"/>
        <v>0</v>
      </c>
      <c r="AM52" s="18">
        <f t="shared" si="8"/>
        <v>0</v>
      </c>
      <c r="AN52" s="194">
        <f t="shared" si="26"/>
        <v>141</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-67.8</v>
      </c>
      <c r="E53" s="3">
        <f t="shared" si="15"/>
        <v>9.8000000000000007</v>
      </c>
      <c r="F53" s="3">
        <f t="shared" si="16"/>
        <v>80</v>
      </c>
      <c r="G53" s="3">
        <v>141</v>
      </c>
      <c r="H53" s="3">
        <v>0</v>
      </c>
      <c r="I53" s="3">
        <v>0</v>
      </c>
      <c r="J53" s="192">
        <f>VLOOKUP(P53,'Steel grades'!$B$5:$J$22,IF(F53&gt;200,10,IF(F53&gt;150,9,IF(F53&gt;120,8,IF(F53&gt;100,7,IF(F53&gt;80,6,IF(F53&gt;63,5,IF(F53&gt;40,4,IF(F53&gt;16,3,2)))))))),FALSE)</f>
        <v>325</v>
      </c>
      <c r="K53" s="3" t="e">
        <f t="shared" si="3"/>
        <v>#REF!</v>
      </c>
      <c r="L53" s="3">
        <v>0</v>
      </c>
      <c r="M53" s="3">
        <v>0</v>
      </c>
      <c r="N53" s="3" t="e">
        <f t="shared" si="4"/>
        <v>#REF!</v>
      </c>
      <c r="O53" s="3">
        <f t="shared" si="5"/>
        <v>0.43384615384615383</v>
      </c>
      <c r="P53" s="3" t="str">
        <f>Geometry!M45</f>
        <v>S355 NL/ML</v>
      </c>
      <c r="R53" s="220">
        <f t="shared" si="17"/>
        <v>-344449.24508783064</v>
      </c>
      <c r="S53" s="3"/>
      <c r="T53" s="3"/>
      <c r="U53" s="3"/>
      <c r="V53" s="3"/>
      <c r="W53" s="3"/>
      <c r="X53" s="18">
        <f t="shared" si="18"/>
        <v>2.4429024474314329</v>
      </c>
      <c r="Y53" s="18">
        <f t="shared" si="19"/>
        <v>5.8881925807415705</v>
      </c>
      <c r="Z53" s="194">
        <f t="shared" si="20"/>
        <v>4.8600000000000003</v>
      </c>
      <c r="AA53" s="194">
        <f t="shared" si="21"/>
        <v>80</v>
      </c>
      <c r="AB53" s="194" t="e">
        <f t="shared" si="6"/>
        <v>#REF!</v>
      </c>
      <c r="AC53" s="194" t="e">
        <f t="shared" si="22"/>
        <v>#REF!</v>
      </c>
      <c r="AD53" s="194">
        <f t="shared" si="23"/>
        <v>0.36947915868453485</v>
      </c>
      <c r="AE53" s="194" t="e">
        <f t="shared" si="24"/>
        <v>#REF!</v>
      </c>
      <c r="AF53" s="194" t="e">
        <f t="shared" si="25"/>
        <v>#REF!</v>
      </c>
      <c r="AG53" s="18"/>
      <c r="AH53" s="18"/>
      <c r="AI53" s="18"/>
      <c r="AJ53" s="18"/>
      <c r="AK53" s="194" t="e">
        <f>'ULS MP'!#REF!</f>
        <v>#REF!</v>
      </c>
      <c r="AL53" s="18">
        <f t="shared" si="7"/>
        <v>0</v>
      </c>
      <c r="AM53" s="18">
        <f t="shared" si="8"/>
        <v>0</v>
      </c>
      <c r="AN53" s="194">
        <f t="shared" si="26"/>
        <v>141</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-71.8</v>
      </c>
      <c r="E55" s="3">
        <f t="shared" si="15"/>
        <v>9.8000000000000007</v>
      </c>
      <c r="F55" s="3">
        <f t="shared" si="16"/>
        <v>87</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Geometry!M46</f>
        <v>S355 NL/ML</v>
      </c>
      <c r="R55" s="220">
        <f t="shared" si="17"/>
        <v>-374318.78861344472</v>
      </c>
      <c r="S55" s="3"/>
      <c r="T55" s="3"/>
      <c r="U55" s="3"/>
      <c r="V55" s="3"/>
      <c r="W55" s="3"/>
      <c r="X55" s="18">
        <f t="shared" si="18"/>
        <v>2.6547431816556326</v>
      </c>
      <c r="Y55" s="18">
        <f t="shared" si="19"/>
        <v>6.3896646580390648</v>
      </c>
      <c r="Z55" s="194">
        <f t="shared" si="20"/>
        <v>4.8565000000000005</v>
      </c>
      <c r="AA55" s="194">
        <f t="shared" si="21"/>
        <v>87</v>
      </c>
      <c r="AB55" s="194" t="e">
        <f t="shared" si="6"/>
        <v>#REF!</v>
      </c>
      <c r="AC55" s="194" t="e">
        <f t="shared" si="22"/>
        <v>#REF!</v>
      </c>
      <c r="AD55" s="194">
        <f t="shared" si="23"/>
        <v>0.37851754309364416</v>
      </c>
      <c r="AE55" s="194" t="e">
        <f t="shared" si="24"/>
        <v>#REF!</v>
      </c>
      <c r="AF55" s="194" t="e">
        <f t="shared" si="25"/>
        <v>#REF!</v>
      </c>
      <c r="AG55" s="18"/>
      <c r="AH55" s="18"/>
      <c r="AI55" s="18"/>
      <c r="AJ55" s="18"/>
      <c r="AK55" s="194" t="e">
        <f>'ULS MP'!#REF!</f>
        <v>#REF!</v>
      </c>
      <c r="AL55" s="18">
        <f t="shared" si="7"/>
        <v>0</v>
      </c>
      <c r="AM55" s="18">
        <f t="shared" si="8"/>
        <v>0</v>
      </c>
      <c r="AN55" s="194">
        <f t="shared" si="26"/>
        <v>140.99999999999997</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-75.8</v>
      </c>
      <c r="E56" s="3">
        <f t="shared" si="15"/>
        <v>9.8000000000000007</v>
      </c>
      <c r="F56" s="3">
        <f t="shared" si="16"/>
        <v>95</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Geometry!M47</f>
        <v>S355 NL/ML</v>
      </c>
      <c r="R56" s="220">
        <f t="shared" si="17"/>
        <v>-408402.25403787638</v>
      </c>
      <c r="S56" s="3"/>
      <c r="T56" s="3"/>
      <c r="U56" s="3"/>
      <c r="V56" s="3"/>
      <c r="W56" s="3"/>
      <c r="X56" s="18">
        <f t="shared" si="18"/>
        <v>2.8964698867934486</v>
      </c>
      <c r="Y56" s="18">
        <f t="shared" si="19"/>
        <v>6.9601026091808569</v>
      </c>
      <c r="Z56" s="194">
        <f t="shared" si="20"/>
        <v>4.8525</v>
      </c>
      <c r="AA56" s="194">
        <f t="shared" si="21"/>
        <v>95</v>
      </c>
      <c r="AB56" s="194" t="e">
        <f t="shared" si="6"/>
        <v>#REF!</v>
      </c>
      <c r="AC56" s="194" t="e">
        <f t="shared" si="22"/>
        <v>#REF!</v>
      </c>
      <c r="AD56" s="194">
        <f t="shared" si="23"/>
        <v>0.38787344180203998</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-79.75</v>
      </c>
      <c r="E57" s="3">
        <f t="shared" si="15"/>
        <v>9.8000000000000007</v>
      </c>
      <c r="F57" s="3">
        <f t="shared" si="16"/>
        <v>105</v>
      </c>
      <c r="G57" s="3">
        <v>141</v>
      </c>
      <c r="H57" s="3">
        <v>0</v>
      </c>
      <c r="I57" s="3">
        <v>0</v>
      </c>
      <c r="J57" s="192">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Geometry!M48</f>
        <v>S355 NL/ML</v>
      </c>
      <c r="R57" s="220">
        <f t="shared" si="17"/>
        <v>-450926.85219686775</v>
      </c>
      <c r="S57" s="3"/>
      <c r="T57" s="3"/>
      <c r="U57" s="3"/>
      <c r="V57" s="3"/>
      <c r="W57" s="3"/>
      <c r="X57" s="18">
        <f t="shared" si="18"/>
        <v>3.1980627815380913</v>
      </c>
      <c r="Y57" s="18">
        <f t="shared" si="19"/>
        <v>7.6691544290521865</v>
      </c>
      <c r="Z57" s="194">
        <f t="shared" si="20"/>
        <v>4.8475000000000001</v>
      </c>
      <c r="AA57" s="194">
        <f t="shared" si="21"/>
        <v>105</v>
      </c>
      <c r="AB57" s="194" t="e">
        <f t="shared" si="6"/>
        <v>#REF!</v>
      </c>
      <c r="AC57" s="194" t="e">
        <f t="shared" si="22"/>
        <v>#REF!</v>
      </c>
      <c r="AD57" s="194">
        <f t="shared" si="23"/>
        <v>0.39834533985198139</v>
      </c>
      <c r="AE57" s="194" t="e">
        <f t="shared" si="24"/>
        <v>#REF!</v>
      </c>
      <c r="AF57" s="194" t="e">
        <f t="shared" si="25"/>
        <v>#REF!</v>
      </c>
      <c r="AG57" s="18"/>
      <c r="AH57" s="18"/>
      <c r="AI57" s="18"/>
      <c r="AJ57" s="18"/>
      <c r="AK57" s="194" t="e">
        <f>'ULS MP'!#REF!</f>
        <v>#REF!</v>
      </c>
      <c r="AL57" s="18">
        <f t="shared" si="7"/>
        <v>0</v>
      </c>
      <c r="AM57" s="18">
        <f t="shared" si="8"/>
        <v>0</v>
      </c>
      <c r="AN57" s="194">
        <f t="shared" si="26"/>
        <v>140.99999999999997</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23" t="s">
        <v>225</v>
      </c>
      <c r="D60" s="323" t="s">
        <v>53</v>
      </c>
      <c r="E60" s="323" t="s">
        <v>105</v>
      </c>
      <c r="F60" s="323" t="s">
        <v>101</v>
      </c>
      <c r="G60" s="330" t="s">
        <v>98</v>
      </c>
      <c r="H60" s="323" t="s">
        <v>99</v>
      </c>
      <c r="I60" s="331" t="s">
        <v>102</v>
      </c>
      <c r="J60" s="323" t="s">
        <v>100</v>
      </c>
      <c r="K60" s="330" t="s">
        <v>94</v>
      </c>
      <c r="L60" s="330" t="s">
        <v>216</v>
      </c>
      <c r="M60" s="333" t="s">
        <v>217</v>
      </c>
      <c r="N60" s="323" t="s">
        <v>106</v>
      </c>
      <c r="O60" s="323" t="s">
        <v>107</v>
      </c>
      <c r="P60" s="323" t="s">
        <v>108</v>
      </c>
      <c r="R60" s="323" t="s">
        <v>73</v>
      </c>
      <c r="S60" s="323" t="s">
        <v>78</v>
      </c>
      <c r="T60" s="323" t="s">
        <v>79</v>
      </c>
      <c r="U60" s="323" t="s">
        <v>80</v>
      </c>
      <c r="V60" s="323" t="s">
        <v>84</v>
      </c>
      <c r="W60" s="323" t="s">
        <v>85</v>
      </c>
      <c r="X60" s="323" t="s">
        <v>86</v>
      </c>
      <c r="Y60" s="323" t="s">
        <v>87</v>
      </c>
      <c r="Z60" s="323" t="s">
        <v>578</v>
      </c>
      <c r="AA60" s="323" t="s">
        <v>552</v>
      </c>
      <c r="AB60" s="323" t="s">
        <v>553</v>
      </c>
      <c r="AC60" s="328" t="s">
        <v>555</v>
      </c>
      <c r="AD60" s="323" t="s">
        <v>554</v>
      </c>
      <c r="AE60" s="328" t="s">
        <v>556</v>
      </c>
      <c r="AF60" s="328" t="s">
        <v>557</v>
      </c>
      <c r="AG60" s="323" t="s">
        <v>560</v>
      </c>
      <c r="AH60" s="328" t="s">
        <v>561</v>
      </c>
      <c r="AI60" s="328" t="s">
        <v>558</v>
      </c>
      <c r="AJ60" s="328" t="s">
        <v>559</v>
      </c>
      <c r="AK60" s="334" t="s">
        <v>97</v>
      </c>
      <c r="AL60" s="323" t="s">
        <v>205</v>
      </c>
      <c r="AM60" s="323" t="s">
        <v>206</v>
      </c>
      <c r="AN60" s="323" t="s">
        <v>572</v>
      </c>
      <c r="AO60" s="323" t="s">
        <v>573</v>
      </c>
      <c r="AP60" s="323" t="s">
        <v>574</v>
      </c>
      <c r="AQ60" s="323" t="s">
        <v>575</v>
      </c>
      <c r="AR60" s="323" t="s">
        <v>576</v>
      </c>
      <c r="AS60" s="323" t="s">
        <v>147</v>
      </c>
      <c r="AT60" s="323" t="s">
        <v>145</v>
      </c>
      <c r="AU60" s="323" t="s">
        <v>146</v>
      </c>
      <c r="AV60" s="323" t="s">
        <v>577</v>
      </c>
    </row>
    <row r="61" spans="3:48" ht="18.75" customHeight="1">
      <c r="C61" s="324">
        <v>0</v>
      </c>
      <c r="D61" s="324">
        <v>0</v>
      </c>
      <c r="E61" s="324"/>
      <c r="F61" s="324"/>
      <c r="G61" s="324"/>
      <c r="H61" s="324"/>
      <c r="I61" s="332"/>
      <c r="J61" s="324"/>
      <c r="K61" s="324"/>
      <c r="L61" s="324"/>
      <c r="M61" s="315"/>
      <c r="N61" s="324"/>
      <c r="O61" s="324"/>
      <c r="P61" s="324"/>
      <c r="R61" s="324"/>
      <c r="S61" s="324"/>
      <c r="T61" s="324"/>
      <c r="U61" s="324"/>
      <c r="V61" s="324"/>
      <c r="W61" s="324"/>
      <c r="X61" s="324"/>
      <c r="Y61" s="324"/>
      <c r="Z61" s="324"/>
      <c r="AA61" s="324"/>
      <c r="AB61" s="324"/>
      <c r="AC61" s="324"/>
      <c r="AD61" s="324"/>
      <c r="AE61" s="324"/>
      <c r="AF61" s="324"/>
      <c r="AG61" s="324"/>
      <c r="AH61" s="329"/>
      <c r="AI61" s="324"/>
      <c r="AJ61" s="324"/>
      <c r="AK61" s="335"/>
      <c r="AL61" s="324"/>
      <c r="AM61" s="324"/>
      <c r="AN61" s="324"/>
      <c r="AO61" s="324"/>
      <c r="AP61" s="324"/>
      <c r="AQ61" s="324"/>
      <c r="AR61" s="324"/>
      <c r="AS61" s="324"/>
      <c r="AT61" s="324"/>
      <c r="AU61" s="324"/>
      <c r="AV61" s="324"/>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546</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1.6</v>
      </c>
      <c r="E63" s="3">
        <f t="shared" ref="E63:E85" si="31">G6</f>
        <v>7.5</v>
      </c>
      <c r="F63" s="3">
        <f t="shared" ref="F63:F85" si="32">H6</f>
        <v>108</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Geometry!M26</f>
        <v>S355 NL/ML</v>
      </c>
      <c r="R63" s="220">
        <f>-G63*2*PI()*Z63*AA63</f>
        <v>-344103.98154192703</v>
      </c>
      <c r="S63" s="3"/>
      <c r="T63" s="3"/>
      <c r="U63" s="3"/>
      <c r="V63" s="3"/>
      <c r="W63" s="3"/>
      <c r="X63" s="18">
        <f>PI()/4*((E63-2*V63/1000)^2-((E63-2*V63/1000)-2*(F63-V63-W63)/1000)^2)</f>
        <v>2.5080465126962634</v>
      </c>
      <c r="Y63" s="18">
        <f>PI()/32*((E63-2*V63/1000)^4-((E63-2*V63/1000)-2*(F63-V63-W63)/1000)^4)/(E63-2*V63/1000)</f>
        <v>4.5691029565881678</v>
      </c>
      <c r="Z63" s="194">
        <f>(0.5*E63)-(0.5*(AA63/1000))</f>
        <v>3.6960000000000002</v>
      </c>
      <c r="AA63" s="194">
        <f>F63</f>
        <v>108</v>
      </c>
      <c r="AB63" s="194" t="e">
        <f t="shared" ref="AB63:AB85" si="36">$R$2/SQRT(Z63*AA63/1000)</f>
        <v>#REF!</v>
      </c>
      <c r="AC63" s="194" t="e">
        <f>(J63/((0.605*$W$2*IF(AB63&gt;0.5*(Z63)/(AA63/1000),MAX(0.6,1+0.2/$AC$7*(1-2*AB63*(AA63/1000)/(Z63))),IF(AB63&lt;=1.7,1.36-(1.83/AB63)+(2.07/AB63^2),1)))*((AA63/1000)/(Z63)/1000)))^0.5</f>
        <v>#REF!</v>
      </c>
      <c r="AD63" s="194">
        <f>0.62/(1+1.91*((((Z63)/(AA63/1000))^0.5*(AA63/1000)/$AC$4)/(AA63/1000))^1.44)</f>
        <v>0.42801677229468893</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MP'!AM63</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137.19999999999999</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-2.2999999999999998</v>
      </c>
      <c r="E64" s="3">
        <f t="shared" si="31"/>
        <v>7.5</v>
      </c>
      <c r="F64" s="3">
        <f t="shared" si="32"/>
        <v>100</v>
      </c>
      <c r="G64" s="3">
        <v>137.19999999999999</v>
      </c>
      <c r="H64" s="3">
        <v>0</v>
      </c>
      <c r="I64" s="3">
        <v>0</v>
      </c>
      <c r="J64" s="192">
        <f>VLOOKUP(P64,'Steel grades'!$B$5:$J$22,IF(F64&gt;200,10,IF(F64&gt;150,9,IF(F64&gt;120,8,IF(F64&gt;100,7,IF(F64&gt;80,6,IF(F64&gt;63,5,IF(F64&gt;40,4,IF(F64&gt;16,3,2)))))))),FALSE)</f>
        <v>315</v>
      </c>
      <c r="K64" s="3" t="e">
        <f t="shared" si="33"/>
        <v>#REF!</v>
      </c>
      <c r="L64" s="3">
        <v>0</v>
      </c>
      <c r="M64" s="3">
        <v>0</v>
      </c>
      <c r="N64" s="3" t="e">
        <f t="shared" si="34"/>
        <v>#REF!</v>
      </c>
      <c r="O64" s="3">
        <f t="shared" si="35"/>
        <v>0.43555555555555553</v>
      </c>
      <c r="P64" s="3" t="str">
        <f>Geometry!M27</f>
        <v>S355 NL/ML</v>
      </c>
      <c r="R64" s="220">
        <f t="shared" ref="R64:R85" si="45">-G64*2*PI()*Z64*AA64</f>
        <v>-318959.61893366446</v>
      </c>
      <c r="S64" s="3"/>
      <c r="T64" s="3"/>
      <c r="U64" s="3"/>
      <c r="V64" s="3"/>
      <c r="W64" s="3"/>
      <c r="X64" s="18">
        <f t="shared" ref="X64:X85" si="46">PI()/4*((E64-2*V64/1000)^2-((E64-2*V64/1000)-2*(F64-V64-W64)/1000)^2)</f>
        <v>2.3247785636564475</v>
      </c>
      <c r="Y64" s="18">
        <f t="shared" ref="Y64:Y85" si="47">PI()/32*((E64-2*V64/1000)^4-((E64-2*V64/1000)-2*(F64-V64-W64)/1000)^4)/(E64-2*V64/1000)</f>
        <v>4.2442707310487888</v>
      </c>
      <c r="Z64" s="194">
        <f t="shared" ref="Z64:Z85" si="48">(0.5*E64)-(0.5*(F64/1000))</f>
        <v>3.7</v>
      </c>
      <c r="AA64" s="194">
        <f t="shared" ref="AA64:AA85" si="49">F64</f>
        <v>100</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0.42049098550361969</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MP'!AM64</f>
        <v>1</v>
      </c>
      <c r="AL64" s="18">
        <f t="shared" si="37"/>
        <v>0</v>
      </c>
      <c r="AM64" s="18">
        <f t="shared" si="38"/>
        <v>0</v>
      </c>
      <c r="AN64" s="194">
        <f t="shared" ref="AN64:AN85" si="54">((ABS(R64/(PI()*((E64-2*V64/1000)-((F64-V64-W64))/1000*COS(AM64*PI()/180))*(F64-V64-W64)/1000))/1000)+ABS((4*T64)/(PI()*((E64-V64/1000)-((F64-V64-W64)/1000)*COS(AM64*PI()/180))^2*((F64-V64-W64)/1000))/1000))/COS(AM64*PI()/180)</f>
        <v>137.19999999999999</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-6.2</v>
      </c>
      <c r="E65" s="3">
        <f t="shared" si="31"/>
        <v>7.5</v>
      </c>
      <c r="F65" s="3">
        <f t="shared" si="32"/>
        <v>99</v>
      </c>
      <c r="G65" s="3">
        <v>137.19999999999999</v>
      </c>
      <c r="H65" s="3">
        <v>0</v>
      </c>
      <c r="I65" s="3">
        <v>0</v>
      </c>
      <c r="J65" s="192">
        <f>VLOOKUP(P65,'Steel grades'!$B$5:$J$22,IF(F65&gt;200,10,IF(F65&gt;150,9,IF(F65&gt;120,8,IF(F65&gt;100,7,IF(F65&gt;80,6,IF(F65&gt;63,5,IF(F65&gt;40,4,IF(F65&gt;16,3,2)))))))),FALSE)</f>
        <v>315</v>
      </c>
      <c r="K65" s="3" t="e">
        <f t="shared" si="33"/>
        <v>#REF!</v>
      </c>
      <c r="L65" s="3">
        <v>0</v>
      </c>
      <c r="M65" s="3">
        <v>0</v>
      </c>
      <c r="N65" s="3" t="e">
        <f t="shared" si="34"/>
        <v>#REF!</v>
      </c>
      <c r="O65" s="3">
        <f t="shared" si="35"/>
        <v>0.61040732418207122</v>
      </c>
      <c r="P65" s="3" t="str">
        <f>Geometry!M28</f>
        <v>S355 NL/ML</v>
      </c>
      <c r="R65" s="220">
        <f t="shared" si="45"/>
        <v>-315812.69436902303</v>
      </c>
      <c r="S65" s="3"/>
      <c r="T65" s="3"/>
      <c r="U65" s="3"/>
      <c r="V65" s="3"/>
      <c r="W65" s="3"/>
      <c r="X65" s="18">
        <f t="shared" si="46"/>
        <v>2.3018417956925941</v>
      </c>
      <c r="Y65" s="18">
        <f t="shared" si="47"/>
        <v>4.2035162214661357</v>
      </c>
      <c r="Z65" s="194">
        <f t="shared" si="48"/>
        <v>3.7004999999999999</v>
      </c>
      <c r="AA65" s="194">
        <f t="shared" si="49"/>
        <v>99</v>
      </c>
      <c r="AB65" s="194" t="e">
        <f t="shared" si="36"/>
        <v>#REF!</v>
      </c>
      <c r="AC65" s="194" t="e">
        <f t="shared" si="50"/>
        <v>#REF!</v>
      </c>
      <c r="AD65" s="194">
        <f t="shared" si="51"/>
        <v>0.41949739654534002</v>
      </c>
      <c r="AE65" s="194" t="e">
        <f t="shared" si="52"/>
        <v>#REF!</v>
      </c>
      <c r="AF65" s="194" t="e">
        <f t="shared" si="53"/>
        <v>#REF!</v>
      </c>
      <c r="AG65" s="18"/>
      <c r="AH65" s="18"/>
      <c r="AI65" s="18"/>
      <c r="AJ65" s="18"/>
      <c r="AK65" s="194" t="e">
        <f>'ULS MP'!#REF!</f>
        <v>#REF!</v>
      </c>
      <c r="AL65" s="18">
        <f t="shared" si="37"/>
        <v>2.4101421139187913</v>
      </c>
      <c r="AM65" s="18">
        <f t="shared" si="38"/>
        <v>2.4101421139187913</v>
      </c>
      <c r="AN65" s="194">
        <f t="shared" si="54"/>
        <v>137.31984942487043</v>
      </c>
      <c r="AO65" s="194">
        <f t="shared" si="55"/>
        <v>42.649080663263412</v>
      </c>
      <c r="AP65" s="194">
        <f t="shared" si="39"/>
        <v>22.618090611274209</v>
      </c>
      <c r="AQ65" s="194">
        <f t="shared" si="56"/>
        <v>0.51693436073796017</v>
      </c>
      <c r="AR65" s="18">
        <f t="shared" si="40"/>
        <v>179.96893008813385</v>
      </c>
      <c r="AS65" s="18">
        <f t="shared" si="41"/>
        <v>0.61040732418207122</v>
      </c>
      <c r="AT65" s="18">
        <f t="shared" si="42"/>
        <v>0.62846293046649915</v>
      </c>
      <c r="AU65" s="194">
        <f t="shared" si="57"/>
        <v>8.9754327822516702E-2</v>
      </c>
      <c r="AV65" s="194">
        <f t="shared" si="58"/>
        <v>0.67748489542805146</v>
      </c>
    </row>
    <row r="66" spans="3:48">
      <c r="C66" s="12" t="str">
        <f t="shared" si="43"/>
        <v>Can4</v>
      </c>
      <c r="D66" s="2">
        <f t="shared" si="44"/>
        <v>-10.1</v>
      </c>
      <c r="E66" s="3">
        <f t="shared" si="31"/>
        <v>7.8282999999999996</v>
      </c>
      <c r="F66" s="3">
        <f t="shared" si="32"/>
        <v>99</v>
      </c>
      <c r="G66" s="3">
        <v>137.19999999999999</v>
      </c>
      <c r="H66" s="3">
        <v>0</v>
      </c>
      <c r="I66" s="3">
        <v>0</v>
      </c>
      <c r="J66" s="192">
        <f>VLOOKUP(P66,'Steel grades'!$B$5:$J$22,IF(F66&gt;200,10,IF(F66&gt;150,9,IF(F66&gt;120,8,IF(F66&gt;100,7,IF(F66&gt;80,6,IF(F66&gt;63,5,IF(F66&gt;40,4,IF(F66&gt;16,3,2)))))))),FALSE)</f>
        <v>315</v>
      </c>
      <c r="K66" s="3" t="e">
        <f t="shared" si="33"/>
        <v>#REF!</v>
      </c>
      <c r="L66" s="3">
        <v>0</v>
      </c>
      <c r="M66" s="3">
        <v>0</v>
      </c>
      <c r="N66" s="3" t="e">
        <f t="shared" si="34"/>
        <v>#REF!</v>
      </c>
      <c r="O66" s="3">
        <f t="shared" si="35"/>
        <v>0.43593624901869926</v>
      </c>
      <c r="P66" s="3" t="str">
        <f>Geometry!M29</f>
        <v>S355 NL/ML</v>
      </c>
      <c r="R66" s="220">
        <f t="shared" si="45"/>
        <v>-329821.78875645041</v>
      </c>
      <c r="S66" s="3"/>
      <c r="T66" s="3"/>
      <c r="U66" s="3"/>
      <c r="V66" s="3"/>
      <c r="W66" s="3"/>
      <c r="X66" s="18">
        <f t="shared" si="46"/>
        <v>2.4039488976417709</v>
      </c>
      <c r="Y66" s="18">
        <f t="shared" si="47"/>
        <v>4.5872176855769888</v>
      </c>
      <c r="Z66" s="194">
        <f t="shared" si="48"/>
        <v>3.8646499999999997</v>
      </c>
      <c r="AA66" s="194">
        <f t="shared" si="49"/>
        <v>99</v>
      </c>
      <c r="AB66" s="194" t="e">
        <f t="shared" si="36"/>
        <v>#REF!</v>
      </c>
      <c r="AC66" s="194" t="e">
        <f t="shared" si="50"/>
        <v>#REF!</v>
      </c>
      <c r="AD66" s="194">
        <f t="shared" si="51"/>
        <v>0.41523474721301668</v>
      </c>
      <c r="AE66" s="194" t="e">
        <f t="shared" si="52"/>
        <v>#REF!</v>
      </c>
      <c r="AF66" s="194" t="e">
        <f t="shared" si="53"/>
        <v>#REF!</v>
      </c>
      <c r="AG66" s="18"/>
      <c r="AH66" s="18"/>
      <c r="AI66" s="18"/>
      <c r="AJ66" s="18"/>
      <c r="AK66" s="194" t="e">
        <f>'ULS MP'!#REF!</f>
        <v>#REF!</v>
      </c>
      <c r="AL66" s="18">
        <f t="shared" si="37"/>
        <v>8.8817841970012523E-16</v>
      </c>
      <c r="AM66" s="18">
        <f t="shared" si="38"/>
        <v>2.4101421139187913</v>
      </c>
      <c r="AN66" s="194">
        <f t="shared" si="54"/>
        <v>137.31991844089023</v>
      </c>
      <c r="AO66" s="194">
        <f t="shared" si="55"/>
        <v>1.6047747298385363E-14</v>
      </c>
      <c r="AP66" s="194">
        <f t="shared" si="39"/>
        <v>8.5106032030922907E-15</v>
      </c>
      <c r="AQ66" s="194">
        <f t="shared" si="56"/>
        <v>0.51811734893939887</v>
      </c>
      <c r="AR66" s="18">
        <f t="shared" si="40"/>
        <v>137.31991844089026</v>
      </c>
      <c r="AS66" s="18">
        <f t="shared" si="41"/>
        <v>0.43593624901869926</v>
      </c>
      <c r="AT66" s="18">
        <f t="shared" si="42"/>
        <v>0.47952987392056923</v>
      </c>
      <c r="AU66" s="194">
        <f t="shared" si="57"/>
        <v>3.3772234932905916E-17</v>
      </c>
      <c r="AV66" s="194">
        <f t="shared" si="58"/>
        <v>0.51811734893939898</v>
      </c>
    </row>
    <row r="67" spans="3:48">
      <c r="C67" s="12" t="str">
        <f t="shared" si="43"/>
        <v>Can5</v>
      </c>
      <c r="D67" s="2">
        <f t="shared" si="44"/>
        <v>-14</v>
      </c>
      <c r="E67" s="3">
        <f t="shared" si="31"/>
        <v>8.1565999999999992</v>
      </c>
      <c r="F67" s="3">
        <f t="shared" si="32"/>
        <v>107</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0.46554683858334917</v>
      </c>
      <c r="P67" s="3" t="str">
        <f>Geometry!M30</f>
        <v>S355 NL/ML</v>
      </c>
      <c r="R67" s="220">
        <f t="shared" si="45"/>
        <v>-371246.23823894799</v>
      </c>
      <c r="S67" s="3"/>
      <c r="T67" s="3"/>
      <c r="U67" s="3"/>
      <c r="V67" s="3"/>
      <c r="W67" s="3"/>
      <c r="X67" s="18">
        <f t="shared" si="46"/>
        <v>2.7058763720040022</v>
      </c>
      <c r="Y67" s="18">
        <f t="shared" si="47"/>
        <v>5.3748224678320948</v>
      </c>
      <c r="Z67" s="194">
        <f t="shared" si="48"/>
        <v>4.0247999999999999</v>
      </c>
      <c r="AA67" s="194">
        <f t="shared" si="49"/>
        <v>107</v>
      </c>
      <c r="AB67" s="194" t="e">
        <f t="shared" si="36"/>
        <v>#REF!</v>
      </c>
      <c r="AC67" s="194" t="e">
        <f t="shared" si="50"/>
        <v>#REF!</v>
      </c>
      <c r="AD67" s="194">
        <f t="shared" si="51"/>
        <v>0.41888170956016224</v>
      </c>
      <c r="AE67" s="194" t="e">
        <f t="shared" si="52"/>
        <v>#REF!</v>
      </c>
      <c r="AF67" s="194" t="e">
        <f t="shared" si="53"/>
        <v>#REF!</v>
      </c>
      <c r="AG67" s="18"/>
      <c r="AH67" s="18"/>
      <c r="AI67" s="18"/>
      <c r="AJ67" s="18"/>
      <c r="AK67" s="194" t="e">
        <f>'ULS MP'!#REF!</f>
        <v>#REF!</v>
      </c>
      <c r="AL67" s="18">
        <f t="shared" si="37"/>
        <v>7.3326266252182748E-4</v>
      </c>
      <c r="AM67" s="18">
        <f t="shared" si="38"/>
        <v>2.4101421139187904</v>
      </c>
      <c r="AN67" s="194">
        <f t="shared" si="54"/>
        <v>137.31985962662174</v>
      </c>
      <c r="AO67" s="194">
        <f t="shared" si="55"/>
        <v>1.3008283470536539E-2</v>
      </c>
      <c r="AP67" s="194">
        <f t="shared" si="39"/>
        <v>6.8986840902099476E-3</v>
      </c>
      <c r="AQ67" s="194">
        <f t="shared" si="56"/>
        <v>0.55032620850973923</v>
      </c>
      <c r="AR67" s="18">
        <f t="shared" si="40"/>
        <v>137.33286791009226</v>
      </c>
      <c r="AS67" s="18">
        <f t="shared" si="41"/>
        <v>0.46554683858334917</v>
      </c>
      <c r="AT67" s="18">
        <f t="shared" si="42"/>
        <v>0.51208866000373399</v>
      </c>
      <c r="AU67" s="194">
        <f t="shared" si="57"/>
        <v>2.9231712246652318E-5</v>
      </c>
      <c r="AV67" s="194">
        <f t="shared" si="58"/>
        <v>0.55037834080393921</v>
      </c>
    </row>
    <row r="68" spans="3:48">
      <c r="C68" s="12" t="str">
        <f t="shared" si="43"/>
        <v>Can6</v>
      </c>
      <c r="D68" s="2">
        <f t="shared" si="44"/>
        <v>-17.899999999999999</v>
      </c>
      <c r="E68" s="3">
        <f t="shared" si="31"/>
        <v>8.4847999999999999</v>
      </c>
      <c r="F68" s="3">
        <f t="shared" si="32"/>
        <v>96</v>
      </c>
      <c r="G68" s="3">
        <v>137.19999999999999</v>
      </c>
      <c r="H68" s="3">
        <v>0</v>
      </c>
      <c r="I68" s="3">
        <v>0</v>
      </c>
      <c r="J68" s="192">
        <f>VLOOKUP(P68,'Steel grades'!$B$5:$J$22,IF(F68&gt;200,10,IF(F68&gt;150,9,IF(F68&gt;120,8,IF(F68&gt;100,7,IF(F68&gt;80,6,IF(F68&gt;63,5,IF(F68&gt;40,4,IF(F68&gt;16,3,2)))))))),FALSE)</f>
        <v>315</v>
      </c>
      <c r="K68" s="3" t="e">
        <f t="shared" si="33"/>
        <v>#REF!</v>
      </c>
      <c r="L68" s="3">
        <v>0</v>
      </c>
      <c r="M68" s="3">
        <v>0</v>
      </c>
      <c r="N68" s="3" t="e">
        <f t="shared" si="34"/>
        <v>#REF!</v>
      </c>
      <c r="O68" s="3">
        <f t="shared" si="35"/>
        <v>0.43599280093976317</v>
      </c>
      <c r="P68" s="3" t="str">
        <f>Geometry!M31</f>
        <v>S355 NL/ML</v>
      </c>
      <c r="R68" s="220">
        <f t="shared" si="45"/>
        <v>-347116.33962949936</v>
      </c>
      <c r="S68" s="3"/>
      <c r="T68" s="3"/>
      <c r="U68" s="3"/>
      <c r="V68" s="3"/>
      <c r="W68" s="3"/>
      <c r="X68" s="18">
        <f t="shared" si="46"/>
        <v>2.530002475433673</v>
      </c>
      <c r="Y68" s="18">
        <f t="shared" si="47"/>
        <v>5.2465751481221297</v>
      </c>
      <c r="Z68" s="194">
        <f t="shared" si="48"/>
        <v>4.1943999999999999</v>
      </c>
      <c r="AA68" s="194">
        <f t="shared" si="49"/>
        <v>96</v>
      </c>
      <c r="AB68" s="194" t="e">
        <f t="shared" si="36"/>
        <v>#REF!</v>
      </c>
      <c r="AC68" s="194" t="e">
        <f t="shared" si="50"/>
        <v>#REF!</v>
      </c>
      <c r="AD68" s="194">
        <f t="shared" si="51"/>
        <v>0.40396266175734508</v>
      </c>
      <c r="AE68" s="194" t="e">
        <f t="shared" si="52"/>
        <v>#REF!</v>
      </c>
      <c r="AF68" s="194" t="e">
        <f t="shared" si="53"/>
        <v>#REF!</v>
      </c>
      <c r="AG68" s="18"/>
      <c r="AH68" s="18"/>
      <c r="AI68" s="18"/>
      <c r="AJ68" s="18"/>
      <c r="AK68" s="194" t="e">
        <f>'ULS MP'!#REF!</f>
        <v>#REF!</v>
      </c>
      <c r="AL68" s="18">
        <f t="shared" si="37"/>
        <v>7.3326266252715655E-4</v>
      </c>
      <c r="AM68" s="18">
        <f t="shared" si="38"/>
        <v>2.4094088512562686</v>
      </c>
      <c r="AN68" s="194">
        <f t="shared" si="54"/>
        <v>137.32001108639219</v>
      </c>
      <c r="AO68" s="194">
        <f t="shared" si="55"/>
        <v>1.4006914801159747E-2</v>
      </c>
      <c r="AP68" s="194">
        <f t="shared" si="39"/>
        <v>7.4282883295517113E-3</v>
      </c>
      <c r="AQ68" s="194">
        <f t="shared" si="56"/>
        <v>0.5214671329992937</v>
      </c>
      <c r="AR68" s="18">
        <f t="shared" si="40"/>
        <v>137.33401800119336</v>
      </c>
      <c r="AS68" s="18">
        <f t="shared" si="41"/>
        <v>0.43599280093976317</v>
      </c>
      <c r="AT68" s="18">
        <f t="shared" si="42"/>
        <v>0.47957911048035778</v>
      </c>
      <c r="AU68" s="194">
        <f t="shared" si="57"/>
        <v>2.9477334641078221E-5</v>
      </c>
      <c r="AV68" s="194">
        <f t="shared" si="58"/>
        <v>0.52152032368611168</v>
      </c>
    </row>
    <row r="69" spans="3:48">
      <c r="C69" s="12" t="str">
        <f t="shared" si="43"/>
        <v>Can7</v>
      </c>
      <c r="D69" s="2">
        <f t="shared" si="44"/>
        <v>-21.8</v>
      </c>
      <c r="E69" s="3">
        <f t="shared" si="31"/>
        <v>8.8131000000000004</v>
      </c>
      <c r="F69" s="3">
        <f t="shared" si="32"/>
        <v>92</v>
      </c>
      <c r="G69" s="3">
        <v>137.19999999999999</v>
      </c>
      <c r="H69" s="3">
        <v>0</v>
      </c>
      <c r="I69" s="3">
        <v>0</v>
      </c>
      <c r="J69" s="192">
        <f>VLOOKUP(P69,'Steel grades'!$B$5:$J$22,IF(F69&gt;200,10,IF(F69&gt;150,9,IF(F69&gt;120,8,IF(F69&gt;100,7,IF(F69&gt;80,6,IF(F69&gt;63,5,IF(F69&gt;40,4,IF(F69&gt;16,3,2)))))))),FALSE)</f>
        <v>315</v>
      </c>
      <c r="K69" s="3" t="e">
        <f t="shared" si="33"/>
        <v>#REF!</v>
      </c>
      <c r="L69" s="3">
        <v>0</v>
      </c>
      <c r="M69" s="3">
        <v>0</v>
      </c>
      <c r="N69" s="3" t="e">
        <f t="shared" si="34"/>
        <v>#REF!</v>
      </c>
      <c r="O69" s="3">
        <f t="shared" si="35"/>
        <v>0.43593712025166559</v>
      </c>
      <c r="P69" s="3" t="str">
        <f>Geometry!M32</f>
        <v>S355 NL/ML</v>
      </c>
      <c r="R69" s="220">
        <f t="shared" si="45"/>
        <v>-345830.32892807981</v>
      </c>
      <c r="S69" s="3"/>
      <c r="T69" s="3"/>
      <c r="U69" s="3"/>
      <c r="V69" s="3"/>
      <c r="W69" s="3"/>
      <c r="X69" s="18">
        <f t="shared" si="46"/>
        <v>2.52062921959241</v>
      </c>
      <c r="Y69" s="18">
        <f t="shared" si="47"/>
        <v>5.4389007913696696</v>
      </c>
      <c r="Z69" s="194">
        <f t="shared" si="48"/>
        <v>4.3605499999999999</v>
      </c>
      <c r="AA69" s="194">
        <f t="shared" si="49"/>
        <v>92</v>
      </c>
      <c r="AB69" s="194" t="e">
        <f t="shared" si="36"/>
        <v>#REF!</v>
      </c>
      <c r="AC69" s="194" t="e">
        <f t="shared" si="50"/>
        <v>#REF!</v>
      </c>
      <c r="AD69" s="194">
        <f t="shared" si="51"/>
        <v>0.39564071428975733</v>
      </c>
      <c r="AE69" s="194" t="e">
        <f t="shared" si="52"/>
        <v>#REF!</v>
      </c>
      <c r="AF69" s="194" t="e">
        <f t="shared" si="53"/>
        <v>#REF!</v>
      </c>
      <c r="AG69" s="18"/>
      <c r="AH69" s="18"/>
      <c r="AI69" s="18"/>
      <c r="AJ69" s="18"/>
      <c r="AK69" s="194" t="e">
        <f>'ULS MP'!#REF!</f>
        <v>#REF!</v>
      </c>
      <c r="AL69" s="18">
        <f t="shared" si="37"/>
        <v>2.6645352591003757E-15</v>
      </c>
      <c r="AM69" s="18">
        <f t="shared" si="38"/>
        <v>2.4101421139187957</v>
      </c>
      <c r="AN69" s="194">
        <f t="shared" si="54"/>
        <v>137.32019287927457</v>
      </c>
      <c r="AO69" s="194">
        <f t="shared" si="55"/>
        <v>5.2989477111668155E-14</v>
      </c>
      <c r="AP69" s="194">
        <f t="shared" si="39"/>
        <v>2.8101913947892431E-14</v>
      </c>
      <c r="AQ69" s="194">
        <f t="shared" si="56"/>
        <v>0.52416538243753974</v>
      </c>
      <c r="AR69" s="18">
        <f t="shared" si="40"/>
        <v>137.32019287927463</v>
      </c>
      <c r="AS69" s="18">
        <f t="shared" si="41"/>
        <v>0.43593712025166559</v>
      </c>
      <c r="AT69" s="18">
        <f t="shared" si="42"/>
        <v>0.47953083227683208</v>
      </c>
      <c r="AU69" s="194">
        <f t="shared" si="57"/>
        <v>1.1151553153925567E-16</v>
      </c>
      <c r="AV69" s="194">
        <f t="shared" si="58"/>
        <v>0.52416538243753996</v>
      </c>
    </row>
    <row r="70" spans="3:48">
      <c r="C70" s="12" t="str">
        <f t="shared" si="43"/>
        <v>Can8</v>
      </c>
      <c r="D70" s="2">
        <f t="shared" si="44"/>
        <v>-25.7</v>
      </c>
      <c r="E70" s="3">
        <f t="shared" si="31"/>
        <v>9.1414000000000009</v>
      </c>
      <c r="F70" s="3">
        <f t="shared" si="32"/>
        <v>92</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0.43593726783373954</v>
      </c>
      <c r="P70" s="3" t="str">
        <f>Geometry!M33</f>
        <v>S355 NL/ML</v>
      </c>
      <c r="R70" s="220">
        <f t="shared" si="45"/>
        <v>-358848.88128811336</v>
      </c>
      <c r="S70" s="3"/>
      <c r="T70" s="3"/>
      <c r="U70" s="3"/>
      <c r="V70" s="3"/>
      <c r="W70" s="3"/>
      <c r="X70" s="18">
        <f t="shared" si="46"/>
        <v>2.6155166274643751</v>
      </c>
      <c r="Y70" s="18">
        <f t="shared" si="47"/>
        <v>5.858268009950546</v>
      </c>
      <c r="Z70" s="194">
        <f t="shared" si="48"/>
        <v>4.5247000000000002</v>
      </c>
      <c r="AA70" s="194">
        <f t="shared" si="49"/>
        <v>92</v>
      </c>
      <c r="AB70" s="194" t="e">
        <f t="shared" si="36"/>
        <v>#REF!</v>
      </c>
      <c r="AC70" s="194" t="e">
        <f t="shared" si="50"/>
        <v>#REF!</v>
      </c>
      <c r="AD70" s="194">
        <f t="shared" si="51"/>
        <v>0.39181766592386941</v>
      </c>
      <c r="AE70" s="194" t="e">
        <f t="shared" si="52"/>
        <v>#REF!</v>
      </c>
      <c r="AF70" s="194" t="e">
        <f t="shared" si="53"/>
        <v>#REF!</v>
      </c>
      <c r="AG70" s="18"/>
      <c r="AH70" s="18"/>
      <c r="AI70" s="18"/>
      <c r="AJ70" s="18"/>
      <c r="AK70" s="194" t="e">
        <f>'ULS MP'!#REF!</f>
        <v>#REF!</v>
      </c>
      <c r="AL70" s="18">
        <f t="shared" si="37"/>
        <v>1.5543122344752192E-14</v>
      </c>
      <c r="AM70" s="18">
        <f t="shared" si="38"/>
        <v>2.4101421139187984</v>
      </c>
      <c r="AN70" s="194">
        <f t="shared" si="54"/>
        <v>137.32023936762755</v>
      </c>
      <c r="AO70" s="194">
        <f t="shared" si="55"/>
        <v>3.1480993912718721E-13</v>
      </c>
      <c r="AP70" s="194">
        <f t="shared" si="39"/>
        <v>1.6695318205631874E-13</v>
      </c>
      <c r="AQ70" s="194">
        <f t="shared" si="56"/>
        <v>0.52547440323488004</v>
      </c>
      <c r="AR70" s="18">
        <f t="shared" si="40"/>
        <v>137.32023936762786</v>
      </c>
      <c r="AS70" s="18">
        <f t="shared" si="41"/>
        <v>0.43593726783373954</v>
      </c>
      <c r="AT70" s="18">
        <f t="shared" si="42"/>
        <v>0.47953099461711324</v>
      </c>
      <c r="AU70" s="194">
        <f t="shared" si="57"/>
        <v>6.6251262720761404E-16</v>
      </c>
      <c r="AV70" s="194">
        <f t="shared" si="58"/>
        <v>0.52547440323488137</v>
      </c>
    </row>
    <row r="71" spans="3:48">
      <c r="C71" s="12" t="str">
        <f t="shared" si="43"/>
        <v>Can9</v>
      </c>
      <c r="D71" s="2">
        <f t="shared" si="44"/>
        <v>-29.6</v>
      </c>
      <c r="E71" s="3">
        <f t="shared" si="31"/>
        <v>9.4696999999999996</v>
      </c>
      <c r="F71" s="3">
        <f t="shared" si="32"/>
        <v>92</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0.4371518356336308</v>
      </c>
      <c r="P71" s="3" t="str">
        <f>Geometry!M34</f>
        <v>S355 NL/ML</v>
      </c>
      <c r="R71" s="220">
        <f t="shared" si="45"/>
        <v>-371867.43364814686</v>
      </c>
      <c r="S71" s="3"/>
      <c r="T71" s="3"/>
      <c r="U71" s="3"/>
      <c r="V71" s="3"/>
      <c r="W71" s="3"/>
      <c r="X71" s="18">
        <f t="shared" si="46"/>
        <v>2.710404035336329</v>
      </c>
      <c r="Y71" s="18">
        <f t="shared" si="47"/>
        <v>6.2932109647380949</v>
      </c>
      <c r="Z71" s="194">
        <f t="shared" si="48"/>
        <v>4.6888499999999995</v>
      </c>
      <c r="AA71" s="194">
        <f t="shared" si="49"/>
        <v>92</v>
      </c>
      <c r="AB71" s="194" t="e">
        <f t="shared" si="36"/>
        <v>#REF!</v>
      </c>
      <c r="AC71" s="194" t="e">
        <f t="shared" si="50"/>
        <v>#REF!</v>
      </c>
      <c r="AD71" s="194">
        <f t="shared" si="51"/>
        <v>0.38810534288933707</v>
      </c>
      <c r="AE71" s="194" t="e">
        <f t="shared" si="52"/>
        <v>#REF!</v>
      </c>
      <c r="AF71" s="194" t="e">
        <f t="shared" si="53"/>
        <v>#REF!</v>
      </c>
      <c r="AG71" s="18"/>
      <c r="AH71" s="18"/>
      <c r="AI71" s="18"/>
      <c r="AJ71" s="18"/>
      <c r="AK71" s="194" t="e">
        <f>'ULS MP'!#REF!</f>
        <v>#REF!</v>
      </c>
      <c r="AL71" s="18">
        <f t="shared" si="37"/>
        <v>1.4665087042359026E-2</v>
      </c>
      <c r="AM71" s="18">
        <f t="shared" si="38"/>
        <v>2.4101421139187829</v>
      </c>
      <c r="AN71" s="194">
        <f t="shared" si="54"/>
        <v>137.32028260102598</v>
      </c>
      <c r="AO71" s="194">
        <f t="shared" si="55"/>
        <v>0.30231282971226853</v>
      </c>
      <c r="AP71" s="194">
        <f t="shared" si="39"/>
        <v>0.16032558894692933</v>
      </c>
      <c r="AQ71" s="194">
        <f t="shared" si="56"/>
        <v>0.52678996516951115</v>
      </c>
      <c r="AR71" s="18">
        <f t="shared" si="40"/>
        <v>137.62259543073824</v>
      </c>
      <c r="AS71" s="18">
        <f t="shared" si="41"/>
        <v>0.4371518356336308</v>
      </c>
      <c r="AT71" s="18">
        <f t="shared" si="42"/>
        <v>0.48058684118670503</v>
      </c>
      <c r="AU71" s="194">
        <f t="shared" si="57"/>
        <v>6.3621265455130686E-4</v>
      </c>
      <c r="AV71" s="194">
        <f t="shared" si="58"/>
        <v>0.52794970182325152</v>
      </c>
    </row>
    <row r="72" spans="3:48">
      <c r="C72" s="12" t="str">
        <f t="shared" si="43"/>
        <v>Can10</v>
      </c>
      <c r="D72" s="2">
        <f t="shared" si="44"/>
        <v>-33.5</v>
      </c>
      <c r="E72" s="3">
        <f t="shared" si="31"/>
        <v>9.8000000000000007</v>
      </c>
      <c r="F72" s="3">
        <f t="shared" si="32"/>
        <v>92</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0.6445827444553095</v>
      </c>
      <c r="P72" s="3" t="str">
        <f>Geometry!M35</f>
        <v>S355 NL/ML</v>
      </c>
      <c r="R72" s="220">
        <f t="shared" si="45"/>
        <v>-384965.2948864018</v>
      </c>
      <c r="S72" s="3"/>
      <c r="T72" s="3"/>
      <c r="U72" s="3"/>
      <c r="V72" s="3"/>
      <c r="W72" s="3"/>
      <c r="X72" s="18">
        <f t="shared" si="46"/>
        <v>2.8058694962565682</v>
      </c>
      <c r="Y72" s="18">
        <f t="shared" si="47"/>
        <v>6.7465219465220363</v>
      </c>
      <c r="Z72" s="194">
        <f t="shared" si="48"/>
        <v>4.8540000000000001</v>
      </c>
      <c r="AA72" s="194">
        <f t="shared" si="49"/>
        <v>92</v>
      </c>
      <c r="AB72" s="194" t="e">
        <f t="shared" si="36"/>
        <v>#REF!</v>
      </c>
      <c r="AC72" s="194" t="e">
        <f t="shared" si="50"/>
        <v>#REF!</v>
      </c>
      <c r="AD72" s="194">
        <f t="shared" si="51"/>
        <v>0.38447624918747192</v>
      </c>
      <c r="AE72" s="194" t="e">
        <f t="shared" si="52"/>
        <v>#REF!</v>
      </c>
      <c r="AF72" s="194" t="e">
        <f t="shared" si="53"/>
        <v>#REF!</v>
      </c>
      <c r="AG72" s="18"/>
      <c r="AH72" s="18"/>
      <c r="AI72" s="18"/>
      <c r="AJ72" s="18"/>
      <c r="AK72" s="194" t="e">
        <f>'ULS MP'!#REF!</f>
        <v>#REF!</v>
      </c>
      <c r="AL72" s="18">
        <f t="shared" si="37"/>
        <v>2.4248072009611419</v>
      </c>
      <c r="AM72" s="18">
        <f t="shared" si="38"/>
        <v>2.4248072009611419</v>
      </c>
      <c r="AN72" s="194">
        <f t="shared" si="54"/>
        <v>137.32179296880574</v>
      </c>
      <c r="AO72" s="194">
        <f t="shared" si="55"/>
        <v>50.880744191473219</v>
      </c>
      <c r="AP72" s="194">
        <f t="shared" si="39"/>
        <v>26.983589437206568</v>
      </c>
      <c r="AQ72" s="194">
        <f t="shared" si="56"/>
        <v>0.52812584639440874</v>
      </c>
      <c r="AR72" s="18">
        <f t="shared" si="40"/>
        <v>188.20253716027895</v>
      </c>
      <c r="AS72" s="18">
        <f t="shared" si="41"/>
        <v>0.6445827444553095</v>
      </c>
      <c r="AT72" s="18">
        <f t="shared" si="42"/>
        <v>0.65721520913113285</v>
      </c>
      <c r="AU72" s="194">
        <f t="shared" si="57"/>
        <v>0.10707773586193083</v>
      </c>
      <c r="AV72" s="194">
        <f t="shared" si="58"/>
        <v>0.72380808670278685</v>
      </c>
    </row>
    <row r="73" spans="3:48">
      <c r="C73" s="12" t="str">
        <f t="shared" si="43"/>
        <v>Can11</v>
      </c>
      <c r="D73" s="2">
        <f t="shared" si="44"/>
        <v>-36.799999999999997</v>
      </c>
      <c r="E73" s="3">
        <f t="shared" si="31"/>
        <v>9.8000000000000007</v>
      </c>
      <c r="F73" s="3">
        <f t="shared" si="32"/>
        <v>92</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0.43555555555555553</v>
      </c>
      <c r="P73" s="3" t="str">
        <f>Geometry!M36</f>
        <v>S355 NL/ML</v>
      </c>
      <c r="R73" s="220">
        <f t="shared" si="45"/>
        <v>-384965.2948864018</v>
      </c>
      <c r="S73" s="3"/>
      <c r="T73" s="3"/>
      <c r="U73" s="3"/>
      <c r="V73" s="3"/>
      <c r="W73" s="3"/>
      <c r="X73" s="18">
        <f t="shared" si="46"/>
        <v>2.8058694962565682</v>
      </c>
      <c r="Y73" s="18">
        <f t="shared" si="47"/>
        <v>6.7465219465220363</v>
      </c>
      <c r="Z73" s="194">
        <f t="shared" si="48"/>
        <v>4.8540000000000001</v>
      </c>
      <c r="AA73" s="194">
        <f t="shared" si="49"/>
        <v>92</v>
      </c>
      <c r="AB73" s="194" t="e">
        <f t="shared" si="36"/>
        <v>#REF!</v>
      </c>
      <c r="AC73" s="194" t="e">
        <f t="shared" si="50"/>
        <v>#REF!</v>
      </c>
      <c r="AD73" s="194">
        <f t="shared" si="51"/>
        <v>0.38447624918747192</v>
      </c>
      <c r="AE73" s="194" t="e">
        <f t="shared" si="52"/>
        <v>#REF!</v>
      </c>
      <c r="AF73" s="194" t="e">
        <f t="shared" si="53"/>
        <v>#REF!</v>
      </c>
      <c r="AG73" s="18"/>
      <c r="AH73" s="18"/>
      <c r="AI73" s="18"/>
      <c r="AJ73" s="18"/>
      <c r="AK73" s="194" t="e">
        <f>'ULS MP'!#REF!</f>
        <v>#REF!</v>
      </c>
      <c r="AL73" s="18">
        <f t="shared" si="37"/>
        <v>0</v>
      </c>
      <c r="AM73" s="18">
        <f t="shared" si="38"/>
        <v>0</v>
      </c>
      <c r="AN73" s="194">
        <f t="shared" si="54"/>
        <v>137.19999999999999</v>
      </c>
      <c r="AO73" s="194">
        <f t="shared" si="55"/>
        <v>0</v>
      </c>
      <c r="AP73" s="194">
        <f t="shared" si="39"/>
        <v>0</v>
      </c>
      <c r="AQ73" s="194">
        <f t="shared" si="56"/>
        <v>0</v>
      </c>
      <c r="AR73" s="18">
        <f t="shared" si="40"/>
        <v>0</v>
      </c>
      <c r="AS73" s="18">
        <f t="shared" si="41"/>
        <v>0</v>
      </c>
      <c r="AT73" s="18">
        <f t="shared" si="42"/>
        <v>0</v>
      </c>
      <c r="AU73" s="194">
        <f t="shared" si="57"/>
        <v>0</v>
      </c>
      <c r="AV73" s="194">
        <f t="shared" si="58"/>
        <v>0</v>
      </c>
    </row>
    <row r="74" spans="3:48">
      <c r="C74" s="12" t="str">
        <f t="shared" si="43"/>
        <v>Can12</v>
      </c>
      <c r="D74" s="2" t="e">
        <f t="shared" si="44"/>
        <v>#REF!</v>
      </c>
      <c r="E74" s="3" t="e">
        <f t="shared" si="31"/>
        <v>#REF!</v>
      </c>
      <c r="F74" s="3" t="e">
        <f t="shared" si="32"/>
        <v>#REF!</v>
      </c>
      <c r="G74" s="3">
        <v>137.19999999999999</v>
      </c>
      <c r="H74" s="3">
        <v>0</v>
      </c>
      <c r="I74" s="3">
        <v>0</v>
      </c>
      <c r="J74" s="192" t="e">
        <f>VLOOKUP(P74,'Steel grades'!$B$5:$J$22,IF(F74&gt;200,10,IF(F74&gt;150,9,IF(F74&gt;120,8,IF(F74&gt;100,7,IF(F74&gt;80,6,IF(F74&gt;63,5,IF(F74&gt;40,4,IF(F74&gt;16,3,2)))))))),FALSE)</f>
        <v>#REF!</v>
      </c>
      <c r="K74" s="3" t="e">
        <f t="shared" si="33"/>
        <v>#REF!</v>
      </c>
      <c r="L74" s="3">
        <v>0</v>
      </c>
      <c r="M74" s="3">
        <v>0</v>
      </c>
      <c r="N74" s="3" t="e">
        <f t="shared" si="34"/>
        <v>#REF!</v>
      </c>
      <c r="O74" s="3" t="e">
        <f t="shared" si="35"/>
        <v>#REF!</v>
      </c>
      <c r="P74" s="3" t="e">
        <f>Geometry!#REF!</f>
        <v>#REF!</v>
      </c>
      <c r="R74" s="220" t="e">
        <f t="shared" si="45"/>
        <v>#REF!</v>
      </c>
      <c r="S74" s="3"/>
      <c r="T74" s="3"/>
      <c r="U74" s="3"/>
      <c r="V74" s="3"/>
      <c r="W74" s="3"/>
      <c r="X74" s="18" t="e">
        <f t="shared" si="46"/>
        <v>#REF!</v>
      </c>
      <c r="Y74" s="18" t="e">
        <f t="shared" si="47"/>
        <v>#REF!</v>
      </c>
      <c r="Z74" s="194" t="e">
        <f t="shared" si="48"/>
        <v>#REF!</v>
      </c>
      <c r="AA74" s="194" t="e">
        <f t="shared" si="49"/>
        <v>#REF!</v>
      </c>
      <c r="AB74" s="194" t="e">
        <f t="shared" si="36"/>
        <v>#REF!</v>
      </c>
      <c r="AC74" s="194" t="e">
        <f t="shared" si="50"/>
        <v>#REF!</v>
      </c>
      <c r="AD74" s="194" t="e">
        <f t="shared" si="51"/>
        <v>#REF!</v>
      </c>
      <c r="AE74" s="194" t="e">
        <f t="shared" si="52"/>
        <v>#REF!</v>
      </c>
      <c r="AF74" s="194" t="e">
        <f t="shared" si="53"/>
        <v>#REF!</v>
      </c>
      <c r="AG74" s="18"/>
      <c r="AH74" s="18"/>
      <c r="AI74" s="18"/>
      <c r="AJ74" s="18"/>
      <c r="AK74" s="194" t="e">
        <f>'ULS MP'!#REF!</f>
        <v>#REF!</v>
      </c>
      <c r="AL74" s="18" t="e">
        <f t="shared" si="37"/>
        <v>#REF!</v>
      </c>
      <c r="AM74" s="18" t="e">
        <f t="shared" si="38"/>
        <v>#REF!</v>
      </c>
      <c r="AN74" s="194" t="e">
        <f t="shared" si="54"/>
        <v>#REF!</v>
      </c>
      <c r="AO74" s="194" t="e">
        <f t="shared" si="55"/>
        <v>#REF!</v>
      </c>
      <c r="AP74" s="194" t="e">
        <f t="shared" si="39"/>
        <v>#REF!</v>
      </c>
      <c r="AQ74" s="194" t="e">
        <f t="shared" si="56"/>
        <v>#REF!</v>
      </c>
      <c r="AR74" s="18" t="e">
        <f t="shared" si="40"/>
        <v>#REF!</v>
      </c>
      <c r="AS74" s="18" t="e">
        <f t="shared" si="41"/>
        <v>#REF!</v>
      </c>
      <c r="AT74" s="18" t="e">
        <f t="shared" si="42"/>
        <v>#REF!</v>
      </c>
      <c r="AU74" s="194" t="e">
        <f t="shared" si="57"/>
        <v>#REF!</v>
      </c>
      <c r="AV74" s="194" t="e">
        <f t="shared" si="58"/>
        <v>#REF!</v>
      </c>
    </row>
    <row r="75" spans="3:48">
      <c r="C75" s="12" t="str">
        <f t="shared" si="43"/>
        <v>Can13</v>
      </c>
      <c r="D75" s="2">
        <f t="shared" si="44"/>
        <v>-43.8</v>
      </c>
      <c r="E75" s="3">
        <f t="shared" si="31"/>
        <v>9.8000000000000007</v>
      </c>
      <c r="F75" s="3">
        <f t="shared" si="32"/>
        <v>101</v>
      </c>
      <c r="G75" s="3">
        <v>137.19999999999999</v>
      </c>
      <c r="H75" s="3">
        <v>0</v>
      </c>
      <c r="I75" s="3">
        <v>0</v>
      </c>
      <c r="J75" s="192">
        <f>VLOOKUP(P75,'Steel grades'!$B$5:$J$22,IF(F75&gt;200,10,IF(F75&gt;150,9,IF(F75&gt;120,8,IF(F75&gt;100,7,IF(F75&gt;80,6,IF(F75&gt;63,5,IF(F75&gt;40,4,IF(F75&gt;16,3,2)))))))),FALSE)</f>
        <v>340</v>
      </c>
      <c r="K75" s="3" t="e">
        <f t="shared" si="33"/>
        <v>#REF!</v>
      </c>
      <c r="L75" s="3">
        <v>0</v>
      </c>
      <c r="M75" s="3">
        <v>0</v>
      </c>
      <c r="N75" s="3" t="e">
        <f t="shared" si="34"/>
        <v>#REF!</v>
      </c>
      <c r="O75" s="3">
        <f t="shared" si="35"/>
        <v>0.40352941176470586</v>
      </c>
      <c r="P75" s="3" t="str">
        <f>Geometry!M38</f>
        <v>S420 NL</v>
      </c>
      <c r="R75" s="220">
        <f t="shared" si="45"/>
        <v>-422233.14019972808</v>
      </c>
      <c r="S75" s="3"/>
      <c r="T75" s="3"/>
      <c r="U75" s="3"/>
      <c r="V75" s="3"/>
      <c r="W75" s="3"/>
      <c r="X75" s="18">
        <f t="shared" si="46"/>
        <v>3.0775010218639087</v>
      </c>
      <c r="Y75" s="18">
        <f t="shared" si="47"/>
        <v>7.3860654156320455</v>
      </c>
      <c r="Z75" s="194">
        <f t="shared" si="48"/>
        <v>4.8494999999999999</v>
      </c>
      <c r="AA75" s="194">
        <f t="shared" si="49"/>
        <v>101</v>
      </c>
      <c r="AB75" s="194" t="e">
        <f t="shared" si="36"/>
        <v>#REF!</v>
      </c>
      <c r="AC75" s="194" t="e">
        <f t="shared" si="50"/>
        <v>#REF!</v>
      </c>
      <c r="AD75" s="194">
        <f t="shared" si="51"/>
        <v>0.39430454944807303</v>
      </c>
      <c r="AE75" s="194" t="e">
        <f t="shared" si="52"/>
        <v>#REF!</v>
      </c>
      <c r="AF75" s="194" t="e">
        <f t="shared" si="53"/>
        <v>#REF!</v>
      </c>
      <c r="AG75" s="18"/>
      <c r="AH75" s="18"/>
      <c r="AI75" s="18"/>
      <c r="AJ75" s="18"/>
      <c r="AK75" s="194" t="e">
        <f>'ULS MP'!#REF!</f>
        <v>#REF!</v>
      </c>
      <c r="AL75" s="18">
        <f t="shared" si="37"/>
        <v>0</v>
      </c>
      <c r="AM75" s="18">
        <f t="shared" si="38"/>
        <v>0</v>
      </c>
      <c r="AN75" s="194">
        <f t="shared" si="54"/>
        <v>137.19999999999996</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-51.8</v>
      </c>
      <c r="E76" s="3">
        <f t="shared" si="31"/>
        <v>9.8000000000000007</v>
      </c>
      <c r="F76" s="3">
        <f t="shared" si="32"/>
        <v>90</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Geometry!M40</f>
        <v>S355 NL/ML</v>
      </c>
      <c r="R76" s="220">
        <f t="shared" si="45"/>
        <v>-376674.06890017493</v>
      </c>
      <c r="S76" s="3"/>
      <c r="T76" s="3"/>
      <c r="U76" s="3"/>
      <c r="V76" s="3"/>
      <c r="W76" s="3"/>
      <c r="X76" s="18">
        <f t="shared" si="46"/>
        <v>2.7454378199721172</v>
      </c>
      <c r="Y76" s="18">
        <f t="shared" si="47"/>
        <v>6.6039125512340453</v>
      </c>
      <c r="Z76" s="194">
        <f t="shared" si="48"/>
        <v>4.8550000000000004</v>
      </c>
      <c r="AA76" s="194">
        <f t="shared" si="49"/>
        <v>90</v>
      </c>
      <c r="AB76" s="194" t="e">
        <f t="shared" si="36"/>
        <v>#REF!</v>
      </c>
      <c r="AC76" s="194" t="e">
        <f t="shared" si="50"/>
        <v>#REF!</v>
      </c>
      <c r="AD76" s="194">
        <f t="shared" si="51"/>
        <v>0.38213887965963755</v>
      </c>
      <c r="AE76" s="194" t="e">
        <f t="shared" si="52"/>
        <v>#REF!</v>
      </c>
      <c r="AF76" s="194" t="e">
        <f t="shared" si="53"/>
        <v>#REF!</v>
      </c>
      <c r="AG76" s="18"/>
      <c r="AH76" s="18"/>
      <c r="AI76" s="18"/>
      <c r="AJ76" s="18"/>
      <c r="AK76" s="194" t="e">
        <f>'ULS MP'!#REF!</f>
        <v>#REF!</v>
      </c>
      <c r="AL76" s="18">
        <f t="shared" si="37"/>
        <v>0</v>
      </c>
      <c r="AM76" s="18">
        <f t="shared" si="38"/>
        <v>0</v>
      </c>
      <c r="AN76" s="194">
        <f t="shared" si="54"/>
        <v>137.19999999999999</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-55.8</v>
      </c>
      <c r="E77" s="3">
        <f t="shared" si="31"/>
        <v>9.8000000000000007</v>
      </c>
      <c r="F77" s="3">
        <f t="shared" si="32"/>
        <v>80</v>
      </c>
      <c r="G77" s="3">
        <v>137.19999999999999</v>
      </c>
      <c r="H77" s="3">
        <v>0</v>
      </c>
      <c r="I77" s="3">
        <v>0</v>
      </c>
      <c r="J77" s="192">
        <f>VLOOKUP(P77,'Steel grades'!$B$5:$J$22,IF(F77&gt;200,10,IF(F77&gt;150,9,IF(F77&gt;120,8,IF(F77&gt;100,7,IF(F77&gt;80,6,IF(F77&gt;63,5,IF(F77&gt;40,4,IF(F77&gt;16,3,2)))))))),FALSE)</f>
        <v>325</v>
      </c>
      <c r="K77" s="3" t="e">
        <f t="shared" si="33"/>
        <v>#REF!</v>
      </c>
      <c r="L77" s="3">
        <v>0</v>
      </c>
      <c r="M77" s="3">
        <v>0</v>
      </c>
      <c r="N77" s="3" t="e">
        <f t="shared" si="34"/>
        <v>#REF!</v>
      </c>
      <c r="O77" s="3">
        <f t="shared" si="35"/>
        <v>0.4221538461538461</v>
      </c>
      <c r="P77" s="3" t="str">
        <f>Geometry!M41</f>
        <v>S355 NL/ML</v>
      </c>
      <c r="R77" s="220">
        <f t="shared" si="45"/>
        <v>-335166.21578759118</v>
      </c>
      <c r="S77" s="3"/>
      <c r="T77" s="3"/>
      <c r="U77" s="3"/>
      <c r="V77" s="3"/>
      <c r="W77" s="3"/>
      <c r="X77" s="18">
        <f t="shared" si="46"/>
        <v>2.4429024474314329</v>
      </c>
      <c r="Y77" s="18">
        <f t="shared" si="47"/>
        <v>5.8881925807415705</v>
      </c>
      <c r="Z77" s="194">
        <f t="shared" si="48"/>
        <v>4.8600000000000003</v>
      </c>
      <c r="AA77" s="194">
        <f t="shared" si="49"/>
        <v>80</v>
      </c>
      <c r="AB77" s="194" t="e">
        <f t="shared" si="36"/>
        <v>#REF!</v>
      </c>
      <c r="AC77" s="194" t="e">
        <f t="shared" si="50"/>
        <v>#REF!</v>
      </c>
      <c r="AD77" s="194">
        <f t="shared" si="51"/>
        <v>0.36947915868453485</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-59.8</v>
      </c>
      <c r="E78" s="3">
        <f t="shared" si="31"/>
        <v>9.8000000000000007</v>
      </c>
      <c r="F78" s="3">
        <f t="shared" si="32"/>
        <v>80</v>
      </c>
      <c r="G78" s="3">
        <v>137.19999999999999</v>
      </c>
      <c r="H78" s="3">
        <v>0</v>
      </c>
      <c r="I78" s="3">
        <v>0</v>
      </c>
      <c r="J78" s="192">
        <f>VLOOKUP(P78,'Steel grades'!$B$5:$J$22,IF(F78&gt;200,10,IF(F78&gt;150,9,IF(F78&gt;120,8,IF(F78&gt;100,7,IF(F78&gt;80,6,IF(F78&gt;63,5,IF(F78&gt;40,4,IF(F78&gt;16,3,2)))))))),FALSE)</f>
        <v>325</v>
      </c>
      <c r="K78" s="3" t="e">
        <f t="shared" si="33"/>
        <v>#REF!</v>
      </c>
      <c r="L78" s="3">
        <v>0</v>
      </c>
      <c r="M78" s="3">
        <v>0</v>
      </c>
      <c r="N78" s="3" t="e">
        <f t="shared" si="34"/>
        <v>#REF!</v>
      </c>
      <c r="O78" s="3">
        <f t="shared" si="35"/>
        <v>0.4221538461538461</v>
      </c>
      <c r="P78" s="3" t="str">
        <f>Geometry!M42</f>
        <v>S355 NL/ML</v>
      </c>
      <c r="R78" s="220">
        <f t="shared" si="45"/>
        <v>-335166.21578759118</v>
      </c>
      <c r="S78" s="3"/>
      <c r="T78" s="3"/>
      <c r="U78" s="3"/>
      <c r="V78" s="3"/>
      <c r="W78" s="3"/>
      <c r="X78" s="18">
        <f t="shared" si="46"/>
        <v>2.4429024474314329</v>
      </c>
      <c r="Y78" s="18">
        <f t="shared" si="47"/>
        <v>5.8881925807415705</v>
      </c>
      <c r="Z78" s="194">
        <f t="shared" si="48"/>
        <v>4.8600000000000003</v>
      </c>
      <c r="AA78" s="194">
        <f t="shared" si="49"/>
        <v>80</v>
      </c>
      <c r="AB78" s="194" t="e">
        <f t="shared" si="36"/>
        <v>#REF!</v>
      </c>
      <c r="AC78" s="194" t="e">
        <f t="shared" si="50"/>
        <v>#REF!</v>
      </c>
      <c r="AD78" s="194">
        <f t="shared" si="51"/>
        <v>0.36947915868453485</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-63.8</v>
      </c>
      <c r="E79" s="3">
        <f t="shared" si="31"/>
        <v>9.8000000000000007</v>
      </c>
      <c r="F79" s="3">
        <f t="shared" si="32"/>
        <v>80</v>
      </c>
      <c r="G79" s="3">
        <v>137.19999999999999</v>
      </c>
      <c r="H79" s="3">
        <v>0</v>
      </c>
      <c r="I79" s="3">
        <v>0</v>
      </c>
      <c r="J79" s="192">
        <f>VLOOKUP(P79,'Steel grades'!$B$5:$J$22,IF(F79&gt;200,10,IF(F79&gt;150,9,IF(F79&gt;120,8,IF(F79&gt;100,7,IF(F79&gt;80,6,IF(F79&gt;63,5,IF(F79&gt;40,4,IF(F79&gt;16,3,2)))))))),FALSE)</f>
        <v>325</v>
      </c>
      <c r="K79" s="3" t="e">
        <f t="shared" si="33"/>
        <v>#REF!</v>
      </c>
      <c r="L79" s="3">
        <v>0</v>
      </c>
      <c r="M79" s="3">
        <v>0</v>
      </c>
      <c r="N79" s="3" t="e">
        <f t="shared" si="34"/>
        <v>#REF!</v>
      </c>
      <c r="O79" s="3">
        <f t="shared" si="35"/>
        <v>0.4221538461538461</v>
      </c>
      <c r="P79" s="3" t="str">
        <f>Geometry!M43</f>
        <v>S355 NL/ML</v>
      </c>
      <c r="R79" s="220">
        <f t="shared" si="45"/>
        <v>-335166.21578759118</v>
      </c>
      <c r="S79" s="3"/>
      <c r="T79" s="3"/>
      <c r="U79" s="3"/>
      <c r="V79" s="3"/>
      <c r="W79" s="3"/>
      <c r="X79" s="18">
        <f t="shared" si="46"/>
        <v>2.4429024474314329</v>
      </c>
      <c r="Y79" s="18">
        <f t="shared" si="47"/>
        <v>5.8881925807415705</v>
      </c>
      <c r="Z79" s="194">
        <f t="shared" si="48"/>
        <v>4.8600000000000003</v>
      </c>
      <c r="AA79" s="194">
        <f t="shared" si="49"/>
        <v>80</v>
      </c>
      <c r="AB79" s="194" t="e">
        <f t="shared" si="36"/>
        <v>#REF!</v>
      </c>
      <c r="AC79" s="194" t="e">
        <f t="shared" si="50"/>
        <v>#REF!</v>
      </c>
      <c r="AD79" s="194">
        <f t="shared" si="51"/>
        <v>0.36947915868453485</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-67.8</v>
      </c>
      <c r="E80" s="3">
        <f t="shared" si="31"/>
        <v>9.8000000000000007</v>
      </c>
      <c r="F80" s="3">
        <f t="shared" si="32"/>
        <v>80</v>
      </c>
      <c r="G80" s="3">
        <v>137.19999999999999</v>
      </c>
      <c r="H80" s="3">
        <v>0</v>
      </c>
      <c r="I80" s="3">
        <v>0</v>
      </c>
      <c r="J80" s="192">
        <f>VLOOKUP(P80,'Steel grades'!$B$5:$J$22,IF(F80&gt;200,10,IF(F80&gt;150,9,IF(F80&gt;120,8,IF(F80&gt;100,7,IF(F80&gt;80,6,IF(F80&gt;63,5,IF(F80&gt;40,4,IF(F80&gt;16,3,2)))))))),FALSE)</f>
        <v>325</v>
      </c>
      <c r="K80" s="3" t="e">
        <f t="shared" si="33"/>
        <v>#REF!</v>
      </c>
      <c r="L80" s="3">
        <v>0</v>
      </c>
      <c r="M80" s="3">
        <v>0</v>
      </c>
      <c r="N80" s="3" t="e">
        <f t="shared" si="34"/>
        <v>#REF!</v>
      </c>
      <c r="O80" s="3">
        <f t="shared" si="35"/>
        <v>0.4221538461538461</v>
      </c>
      <c r="P80" s="3" t="str">
        <f>Geometry!M44</f>
        <v>S355 NL/ML</v>
      </c>
      <c r="R80" s="220">
        <f t="shared" si="45"/>
        <v>-335166.21578759118</v>
      </c>
      <c r="S80" s="3"/>
      <c r="T80" s="3"/>
      <c r="U80" s="3"/>
      <c r="V80" s="3"/>
      <c r="W80" s="3"/>
      <c r="X80" s="18">
        <f t="shared" si="46"/>
        <v>2.4429024474314329</v>
      </c>
      <c r="Y80" s="18">
        <f t="shared" si="47"/>
        <v>5.8881925807415705</v>
      </c>
      <c r="Z80" s="194">
        <f t="shared" si="48"/>
        <v>4.8600000000000003</v>
      </c>
      <c r="AA80" s="194">
        <f t="shared" si="49"/>
        <v>80</v>
      </c>
      <c r="AB80" s="194" t="e">
        <f t="shared" si="36"/>
        <v>#REF!</v>
      </c>
      <c r="AC80" s="194" t="e">
        <f t="shared" si="50"/>
        <v>#REF!</v>
      </c>
      <c r="AD80" s="194">
        <f t="shared" si="51"/>
        <v>0.36947915868453485</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-71.8</v>
      </c>
      <c r="E81" s="3">
        <f t="shared" si="31"/>
        <v>9.8000000000000007</v>
      </c>
      <c r="F81" s="3">
        <f t="shared" si="32"/>
        <v>80</v>
      </c>
      <c r="G81" s="3">
        <v>137.19999999999999</v>
      </c>
      <c r="H81" s="3">
        <v>0</v>
      </c>
      <c r="I81" s="3">
        <v>0</v>
      </c>
      <c r="J81" s="192">
        <f>VLOOKUP(P81,'Steel grades'!$B$5:$J$22,IF(F81&gt;200,10,IF(F81&gt;150,9,IF(F81&gt;120,8,IF(F81&gt;100,7,IF(F81&gt;80,6,IF(F81&gt;63,5,IF(F81&gt;40,4,IF(F81&gt;16,3,2)))))))),FALSE)</f>
        <v>325</v>
      </c>
      <c r="K81" s="3" t="e">
        <f t="shared" si="33"/>
        <v>#REF!</v>
      </c>
      <c r="L81" s="3">
        <v>0</v>
      </c>
      <c r="M81" s="3">
        <v>0</v>
      </c>
      <c r="N81" s="3" t="e">
        <f t="shared" si="34"/>
        <v>#REF!</v>
      </c>
      <c r="O81" s="3">
        <f t="shared" si="35"/>
        <v>0.4221538461538461</v>
      </c>
      <c r="P81" s="3" t="str">
        <f>Geometry!M45</f>
        <v>S355 NL/ML</v>
      </c>
      <c r="R81" s="220">
        <f t="shared" si="45"/>
        <v>-335166.21578759118</v>
      </c>
      <c r="S81" s="3"/>
      <c r="T81" s="3"/>
      <c r="U81" s="3"/>
      <c r="V81" s="3"/>
      <c r="W81" s="3"/>
      <c r="X81" s="18">
        <f t="shared" si="46"/>
        <v>2.4429024474314329</v>
      </c>
      <c r="Y81" s="18">
        <f t="shared" si="47"/>
        <v>5.8881925807415705</v>
      </c>
      <c r="Z81" s="194">
        <f t="shared" si="48"/>
        <v>4.8600000000000003</v>
      </c>
      <c r="AA81" s="194">
        <f t="shared" si="49"/>
        <v>80</v>
      </c>
      <c r="AB81" s="194" t="e">
        <f t="shared" si="36"/>
        <v>#REF!</v>
      </c>
      <c r="AC81" s="194" t="e">
        <f t="shared" si="50"/>
        <v>#REF!</v>
      </c>
      <c r="AD81" s="194">
        <f t="shared" si="51"/>
        <v>0.36947915868453485</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-75.8</v>
      </c>
      <c r="E83" s="3">
        <f t="shared" si="31"/>
        <v>9.8000000000000007</v>
      </c>
      <c r="F83" s="3">
        <f t="shared" si="32"/>
        <v>87</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Geometry!M46</f>
        <v>S355 NL/ML</v>
      </c>
      <c r="R83" s="220">
        <f t="shared" si="45"/>
        <v>-364230.76452315331</v>
      </c>
      <c r="S83" s="3"/>
      <c r="T83" s="3"/>
      <c r="U83" s="3"/>
      <c r="V83" s="3"/>
      <c r="W83" s="3"/>
      <c r="X83" s="18">
        <f t="shared" si="46"/>
        <v>2.6547431816556326</v>
      </c>
      <c r="Y83" s="18">
        <f t="shared" si="47"/>
        <v>6.3896646580390648</v>
      </c>
      <c r="Z83" s="194">
        <f t="shared" si="48"/>
        <v>4.8565000000000005</v>
      </c>
      <c r="AA83" s="194">
        <f t="shared" si="49"/>
        <v>87</v>
      </c>
      <c r="AB83" s="194" t="e">
        <f t="shared" si="36"/>
        <v>#REF!</v>
      </c>
      <c r="AC83" s="194" t="e">
        <f t="shared" si="50"/>
        <v>#REF!</v>
      </c>
      <c r="AD83" s="194">
        <f t="shared" si="51"/>
        <v>0.37851754309364416</v>
      </c>
      <c r="AE83" s="194" t="e">
        <f t="shared" si="52"/>
        <v>#REF!</v>
      </c>
      <c r="AF83" s="194" t="e">
        <f t="shared" si="53"/>
        <v>#REF!</v>
      </c>
      <c r="AG83" s="18"/>
      <c r="AH83" s="18"/>
      <c r="AI83" s="18"/>
      <c r="AJ83" s="18"/>
      <c r="AK83" s="194" t="e">
        <f>'ULS MP'!#REF!</f>
        <v>#REF!</v>
      </c>
      <c r="AL83" s="18">
        <f t="shared" si="37"/>
        <v>0</v>
      </c>
      <c r="AM83" s="18">
        <f t="shared" si="38"/>
        <v>0</v>
      </c>
      <c r="AN83" s="194">
        <f t="shared" si="54"/>
        <v>137.19999999999999</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-79.75</v>
      </c>
      <c r="E84" s="3">
        <f t="shared" si="31"/>
        <v>9.8000000000000007</v>
      </c>
      <c r="F84" s="3">
        <f t="shared" si="32"/>
        <v>95</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Geometry!M47</f>
        <v>S355 NL/ML</v>
      </c>
      <c r="R84" s="220">
        <f t="shared" si="45"/>
        <v>-397395.66846806119</v>
      </c>
      <c r="S84" s="3"/>
      <c r="T84" s="3"/>
      <c r="U84" s="3"/>
      <c r="V84" s="3"/>
      <c r="W84" s="3"/>
      <c r="X84" s="18">
        <f t="shared" si="46"/>
        <v>2.8964698867934486</v>
      </c>
      <c r="Y84" s="18">
        <f t="shared" si="47"/>
        <v>6.9601026091808569</v>
      </c>
      <c r="Z84" s="194">
        <f t="shared" si="48"/>
        <v>4.8525</v>
      </c>
      <c r="AA84" s="194">
        <f t="shared" si="49"/>
        <v>95</v>
      </c>
      <c r="AB84" s="194" t="e">
        <f t="shared" si="36"/>
        <v>#REF!</v>
      </c>
      <c r="AC84" s="194" t="e">
        <f t="shared" si="50"/>
        <v>#REF!</v>
      </c>
      <c r="AD84" s="194">
        <f t="shared" si="51"/>
        <v>0.38787344180203998</v>
      </c>
      <c r="AE84" s="194" t="e">
        <f t="shared" si="52"/>
        <v>#REF!</v>
      </c>
      <c r="AF84" s="194" t="e">
        <f t="shared" si="53"/>
        <v>#REF!</v>
      </c>
      <c r="AG84" s="18"/>
      <c r="AH84" s="18"/>
      <c r="AI84" s="18"/>
      <c r="AJ84" s="18"/>
      <c r="AK84" s="194" t="e">
        <f>'ULS MP'!#REF!</f>
        <v>#REF!</v>
      </c>
      <c r="AL84" s="18">
        <f t="shared" si="37"/>
        <v>0</v>
      </c>
      <c r="AM84" s="18">
        <f t="shared" si="38"/>
        <v>0</v>
      </c>
      <c r="AN84" s="194">
        <f t="shared" si="54"/>
        <v>137.19999999999996</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-82.75</v>
      </c>
      <c r="E85" s="3">
        <f t="shared" si="31"/>
        <v>9.8000000000000007</v>
      </c>
      <c r="F85" s="3">
        <f t="shared" si="32"/>
        <v>105</v>
      </c>
      <c r="G85" s="3">
        <v>137.19999999999999</v>
      </c>
      <c r="H85" s="3">
        <v>0</v>
      </c>
      <c r="I85" s="3">
        <v>0</v>
      </c>
      <c r="J85" s="192">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Geometry!M48</f>
        <v>S355 NL/ML</v>
      </c>
      <c r="R85" s="220">
        <f t="shared" si="45"/>
        <v>-438774.21362702304</v>
      </c>
      <c r="S85" s="3"/>
      <c r="T85" s="3"/>
      <c r="U85" s="3"/>
      <c r="V85" s="3"/>
      <c r="W85" s="3"/>
      <c r="X85" s="18">
        <f t="shared" si="46"/>
        <v>3.1980627815380913</v>
      </c>
      <c r="Y85" s="18">
        <f t="shared" si="47"/>
        <v>7.6691544290521865</v>
      </c>
      <c r="Z85" s="194">
        <f t="shared" si="48"/>
        <v>4.8475000000000001</v>
      </c>
      <c r="AA85" s="194">
        <f t="shared" si="49"/>
        <v>105</v>
      </c>
      <c r="AB85" s="194" t="e">
        <f t="shared" si="36"/>
        <v>#REF!</v>
      </c>
      <c r="AC85" s="194" t="e">
        <f t="shared" si="50"/>
        <v>#REF!</v>
      </c>
      <c r="AD85" s="194">
        <f t="shared" si="51"/>
        <v>0.39834533985198139</v>
      </c>
      <c r="AE85" s="194" t="e">
        <f t="shared" si="52"/>
        <v>#REF!</v>
      </c>
      <c r="AF85" s="194" t="e">
        <f t="shared" si="53"/>
        <v>#REF!</v>
      </c>
      <c r="AG85" s="18"/>
      <c r="AH85" s="18"/>
      <c r="AI85" s="18"/>
      <c r="AJ85" s="18"/>
      <c r="AK85" s="194" t="e">
        <f>'ULS MP'!#REF!</f>
        <v>#REF!</v>
      </c>
      <c r="AL85" s="18">
        <f t="shared" si="37"/>
        <v>0</v>
      </c>
      <c r="AM85" s="18">
        <f t="shared" si="38"/>
        <v>0</v>
      </c>
      <c r="AN85" s="194">
        <f t="shared" si="54"/>
        <v>137.19999999999993</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H32:H33"/>
    <mergeCell ref="I32:I33"/>
    <mergeCell ref="J32:J33"/>
    <mergeCell ref="C32:C33"/>
    <mergeCell ref="D32:D33"/>
    <mergeCell ref="E32:E33"/>
    <mergeCell ref="F32:F33"/>
    <mergeCell ref="G32:G33"/>
    <mergeCell ref="K32:K33"/>
    <mergeCell ref="L32:L33"/>
    <mergeCell ref="M32:M33"/>
    <mergeCell ref="N32:N33"/>
    <mergeCell ref="O32:O33"/>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H60:H61"/>
    <mergeCell ref="I60:I61"/>
    <mergeCell ref="J60:J61"/>
    <mergeCell ref="K60:K61"/>
    <mergeCell ref="L60:L61"/>
    <mergeCell ref="AR60:AR61"/>
    <mergeCell ref="AK60:AK61"/>
    <mergeCell ref="AL60:AL61"/>
    <mergeCell ref="AM60:AM61"/>
    <mergeCell ref="AN60:AN61"/>
    <mergeCell ref="AO60:AO61"/>
    <mergeCell ref="AP60:AP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Z32:Z33"/>
    <mergeCell ref="Z60:Z61"/>
    <mergeCell ref="AA32:AA33"/>
    <mergeCell ref="AF32:AF33"/>
    <mergeCell ref="X60:X61"/>
    <mergeCell ref="AG32:AG33"/>
    <mergeCell ref="AN32:AN33"/>
    <mergeCell ref="AO32:AO33"/>
    <mergeCell ref="AP32:AP33"/>
    <mergeCell ref="AQ32:AQ33"/>
    <mergeCell ref="AS32:AS33"/>
    <mergeCell ref="AT32:AT33"/>
    <mergeCell ref="AU32:AU33"/>
    <mergeCell ref="AV32:AV33"/>
    <mergeCell ref="AS60:AS61"/>
    <mergeCell ref="AT60:AT61"/>
    <mergeCell ref="AU60:AU61"/>
    <mergeCell ref="AV60:AV61"/>
  </mergeCells>
  <conditionalFormatting sqref="N35:O57 N63:O85">
    <cfRule type="cellIs" dxfId="2" priority="3" operator="greaterThan">
      <formula>1</formula>
    </cfRule>
    <cfRule type="cellIs" dxfId="1" priority="4" operator="lessThan">
      <formula>0.9</formula>
    </cfRule>
    <cfRule type="cellIs" dxfId="0"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5" t="s">
        <v>538</v>
      </c>
      <c r="S1" s="185"/>
      <c r="T1" s="185"/>
      <c r="U1" s="185"/>
    </row>
    <row r="2" spans="3:34">
      <c r="S2" t="s">
        <v>238</v>
      </c>
      <c r="T2" t="s">
        <v>450</v>
      </c>
    </row>
    <row r="3" spans="3:34">
      <c r="C3" s="35" t="s">
        <v>445</v>
      </c>
      <c r="R3" s="8" t="s">
        <v>441</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Geometry!D26</f>
        <v>5.6</v>
      </c>
      <c r="E6" s="44">
        <f>Geometry!E26</f>
        <v>1.6</v>
      </c>
      <c r="F6" s="44">
        <f>Geometry!F26</f>
        <v>7.5</v>
      </c>
      <c r="G6" s="44">
        <f>Geometry!G26</f>
        <v>7.5</v>
      </c>
      <c r="H6" s="44">
        <f>Geometry!H26</f>
        <v>108</v>
      </c>
      <c r="I6" s="56">
        <f>D6-E6</f>
        <v>3.9999999999999996</v>
      </c>
      <c r="J6" s="57">
        <f>ATAN((G6-F6)/(2*I6))/PI()*180</f>
        <v>0</v>
      </c>
      <c r="K6" s="58">
        <f>IF(J6=0,PI()/4*(F6^2-(F6-(2*H6/1000))^2)*I6*7850/1000,(I6*PI()/12)*((G6^2+G6*F6+F6^2)-((G6-2*(H6/1000))^2+(G6-(2*H6/1000))*(F6-(2*H6/1000))+(F6-(2*H6/1000))^2))*7850/1000)</f>
        <v>78.752660498662664</v>
      </c>
      <c r="R6" s="185" t="s">
        <v>539</v>
      </c>
      <c r="S6" s="185"/>
      <c r="T6" s="185"/>
      <c r="U6" s="185"/>
      <c r="Y6" s="6"/>
      <c r="Z6" s="6"/>
      <c r="AA6" s="6"/>
      <c r="AB6" s="6"/>
      <c r="AC6" s="6"/>
      <c r="AD6" s="6"/>
      <c r="AE6" s="6"/>
      <c r="AF6" s="6"/>
      <c r="AG6" s="6"/>
      <c r="AH6" s="6"/>
    </row>
    <row r="7" spans="3:34">
      <c r="C7" s="12">
        <v>2</v>
      </c>
      <c r="D7" s="44">
        <f>Geometry!D27</f>
        <v>1.6</v>
      </c>
      <c r="E7" s="44">
        <f>Geometry!E27</f>
        <v>-2.2999999999999998</v>
      </c>
      <c r="F7" s="44">
        <f>Geometry!F27</f>
        <v>7.5</v>
      </c>
      <c r="G7" s="44">
        <f>Geometry!G27</f>
        <v>7.5</v>
      </c>
      <c r="H7" s="44">
        <f>Geometry!H27</f>
        <v>100</v>
      </c>
      <c r="I7" s="56">
        <f t="shared" ref="I7:I28" si="0">D7-E7</f>
        <v>3.9</v>
      </c>
      <c r="J7" s="57">
        <f t="shared" ref="J7:J28" si="1">ATAN((G7-F7)/(2*I7))/PI()*180</f>
        <v>0</v>
      </c>
      <c r="K7" s="58">
        <f t="shared" ref="K7:K28" si="2">IF(J7=0,PI()/4*(F7^2-(F7-(2*H7/1000))^2)*I7*7850/1000,(I7*PI()/12)*((G7^2+G7*F7+F7^2)-((G7-2*(H7/1000))^2+(G7-(2*H7/1000))*(F7-(2*H7/1000))+(F7-(2*H7/1000))^2))*7850/1000)</f>
        <v>71.17309572634214</v>
      </c>
      <c r="R7" t="s">
        <v>236</v>
      </c>
      <c r="S7" t="s">
        <v>240</v>
      </c>
      <c r="T7" t="s">
        <v>302</v>
      </c>
      <c r="U7" t="s">
        <v>239</v>
      </c>
    </row>
    <row r="8" spans="3:34">
      <c r="C8" s="12">
        <v>3</v>
      </c>
      <c r="D8" s="44">
        <f>Geometry!D28</f>
        <v>-2.2999999999999998</v>
      </c>
      <c r="E8" s="44">
        <f>Geometry!E28</f>
        <v>-6.2</v>
      </c>
      <c r="F8" s="44">
        <f>Geometry!F28</f>
        <v>7.5</v>
      </c>
      <c r="G8" s="44">
        <f>Geometry!G28</f>
        <v>7.5</v>
      </c>
      <c r="H8" s="44">
        <f>Geometry!H28</f>
        <v>99</v>
      </c>
      <c r="I8" s="56">
        <f t="shared" si="0"/>
        <v>3.9000000000000004</v>
      </c>
      <c r="J8" s="57">
        <f t="shared" si="1"/>
        <v>0</v>
      </c>
      <c r="K8" s="58">
        <f t="shared" si="2"/>
        <v>70.470886575128787</v>
      </c>
      <c r="R8" t="s">
        <v>238</v>
      </c>
      <c r="S8">
        <f>IF($S$3="EC",90,52.63)</f>
        <v>90</v>
      </c>
      <c r="T8">
        <f>IF($S$3="EC",112,65.5)</f>
        <v>112</v>
      </c>
    </row>
    <row r="9" spans="3:34">
      <c r="C9" s="12">
        <v>4</v>
      </c>
      <c r="D9" s="44">
        <f>Geometry!D29</f>
        <v>-6.2</v>
      </c>
      <c r="E9" s="44">
        <f>Geometry!E29</f>
        <v>-10.1</v>
      </c>
      <c r="F9" s="44">
        <f>Geometry!F29</f>
        <v>7.5</v>
      </c>
      <c r="G9" s="44">
        <f>Geometry!G29</f>
        <v>7.8282999999999996</v>
      </c>
      <c r="H9" s="44">
        <f>Geometry!H29</f>
        <v>99</v>
      </c>
      <c r="I9" s="56">
        <f t="shared" si="0"/>
        <v>3.8999999999999995</v>
      </c>
      <c r="J9" s="57">
        <f t="shared" si="1"/>
        <v>2.4101421139187913</v>
      </c>
      <c r="K9" s="58">
        <f t="shared" si="2"/>
        <v>72.033891038215856</v>
      </c>
      <c r="R9" t="s">
        <v>237</v>
      </c>
      <c r="S9">
        <f>IF($S$3="EC",100,52.63)</f>
        <v>100</v>
      </c>
      <c r="T9">
        <f>IF($S$3="EC",112,65.5)</f>
        <v>112</v>
      </c>
      <c r="U9">
        <f>IF($T$3="EC",140,93.59)</f>
        <v>140</v>
      </c>
    </row>
    <row r="10" spans="3:34">
      <c r="C10" s="12">
        <v>5</v>
      </c>
      <c r="D10" s="44">
        <f>Geometry!D30</f>
        <v>-10.1</v>
      </c>
      <c r="E10" s="44">
        <f>Geometry!E30</f>
        <v>-14</v>
      </c>
      <c r="F10" s="44">
        <f>Geometry!F30</f>
        <v>7.8282999999999996</v>
      </c>
      <c r="G10" s="44">
        <f>Geometry!G30</f>
        <v>8.1565999999999992</v>
      </c>
      <c r="H10" s="44">
        <f>Geometry!H30</f>
        <v>107</v>
      </c>
      <c r="I10" s="56">
        <f t="shared" si="0"/>
        <v>3.9000000000000004</v>
      </c>
      <c r="J10" s="57">
        <f t="shared" si="1"/>
        <v>2.4101421139187904</v>
      </c>
      <c r="K10" s="58">
        <f t="shared" si="2"/>
        <v>81.151097274858657</v>
      </c>
      <c r="R10" t="s">
        <v>537</v>
      </c>
      <c r="S10">
        <f>IF(S3="EC",225,131.62)</f>
        <v>225</v>
      </c>
    </row>
    <row r="11" spans="3:34">
      <c r="C11" s="12">
        <v>6</v>
      </c>
      <c r="D11" s="44">
        <f>Geometry!D31</f>
        <v>-14</v>
      </c>
      <c r="E11" s="44">
        <f>Geometry!E31</f>
        <v>-17.899999999999999</v>
      </c>
      <c r="F11" s="44">
        <f>Geometry!F31</f>
        <v>8.1565999999999992</v>
      </c>
      <c r="G11" s="44">
        <f>Geometry!G31</f>
        <v>8.4847999999999999</v>
      </c>
      <c r="H11" s="44">
        <f>Geometry!H31</f>
        <v>96</v>
      </c>
      <c r="I11" s="56">
        <f t="shared" si="0"/>
        <v>3.8999999999999986</v>
      </c>
      <c r="J11" s="57">
        <f t="shared" si="1"/>
        <v>2.4094088512562686</v>
      </c>
      <c r="K11" s="58">
        <f t="shared" si="2"/>
        <v>75.940846757247002</v>
      </c>
      <c r="R11" t="s">
        <v>527</v>
      </c>
      <c r="S11">
        <v>1.3</v>
      </c>
    </row>
    <row r="12" spans="3:34">
      <c r="C12" s="12">
        <v>7</v>
      </c>
      <c r="D12" s="44">
        <f>Geometry!D32</f>
        <v>-17.899999999999999</v>
      </c>
      <c r="E12" s="44">
        <f>Geometry!E32</f>
        <v>-21.8</v>
      </c>
      <c r="F12" s="44">
        <f>Geometry!F32</f>
        <v>8.4847999999999999</v>
      </c>
      <c r="G12" s="44">
        <f>Geometry!G32</f>
        <v>8.8131000000000004</v>
      </c>
      <c r="H12" s="44">
        <f>Geometry!H32</f>
        <v>92</v>
      </c>
      <c r="I12" s="56">
        <f t="shared" si="0"/>
        <v>3.9000000000000021</v>
      </c>
      <c r="J12" s="57">
        <f t="shared" si="1"/>
        <v>2.4101421139187957</v>
      </c>
      <c r="K12" s="58">
        <f t="shared" si="2"/>
        <v>75.716574561821574</v>
      </c>
      <c r="S12" t="s">
        <v>91</v>
      </c>
      <c r="T12" t="s">
        <v>71</v>
      </c>
    </row>
    <row r="13" spans="3:34">
      <c r="C13" s="12">
        <v>8</v>
      </c>
      <c r="D13" s="44">
        <f>Geometry!D33</f>
        <v>-21.8</v>
      </c>
      <c r="E13" s="44">
        <f>Geometry!E33</f>
        <v>-25.7</v>
      </c>
      <c r="F13" s="44">
        <f>Geometry!F33</f>
        <v>8.8131000000000004</v>
      </c>
      <c r="G13" s="44">
        <f>Geometry!G33</f>
        <v>9.1414000000000009</v>
      </c>
      <c r="H13" s="44">
        <f>Geometry!H33</f>
        <v>92</v>
      </c>
      <c r="I13" s="56">
        <f t="shared" si="0"/>
        <v>3.8999999999999986</v>
      </c>
      <c r="J13" s="57">
        <f t="shared" si="1"/>
        <v>2.4101421139187984</v>
      </c>
      <c r="K13" s="58">
        <f t="shared" si="2"/>
        <v>78.621552553821928</v>
      </c>
      <c r="R13" t="s">
        <v>235</v>
      </c>
      <c r="S13">
        <f>IF($T$3="EC",3,4)</f>
        <v>3</v>
      </c>
      <c r="T13">
        <f>IF($T$3="EC",2000000,10000000)</f>
        <v>2000000</v>
      </c>
    </row>
    <row r="14" spans="3:34">
      <c r="C14" s="12">
        <v>9</v>
      </c>
      <c r="D14" s="44">
        <f>Geometry!D34</f>
        <v>-25.7</v>
      </c>
      <c r="E14" s="44">
        <f>Geometry!E34</f>
        <v>-29.6</v>
      </c>
      <c r="F14" s="44">
        <f>Geometry!F34</f>
        <v>9.1414000000000009</v>
      </c>
      <c r="G14" s="44">
        <f>Geometry!G34</f>
        <v>9.4696999999999996</v>
      </c>
      <c r="H14" s="44">
        <f>Geometry!H34</f>
        <v>92</v>
      </c>
      <c r="I14" s="56">
        <f t="shared" si="0"/>
        <v>3.9000000000000021</v>
      </c>
      <c r="J14" s="57">
        <f t="shared" si="1"/>
        <v>2.4101421139187829</v>
      </c>
      <c r="K14" s="58">
        <f t="shared" si="2"/>
        <v>81.526530545821771</v>
      </c>
    </row>
    <row r="15" spans="3:34">
      <c r="C15" s="12">
        <v>10</v>
      </c>
      <c r="D15" s="44">
        <f>Geometry!D35</f>
        <v>-29.6</v>
      </c>
      <c r="E15" s="44">
        <f>Geometry!E35</f>
        <v>-33.5</v>
      </c>
      <c r="F15" s="44">
        <f>Geometry!F35</f>
        <v>9.4696999999999996</v>
      </c>
      <c r="G15" s="44">
        <f>Geometry!G35</f>
        <v>9.8000000000000007</v>
      </c>
      <c r="H15" s="44">
        <f>Geometry!H35</f>
        <v>92</v>
      </c>
      <c r="I15" s="56">
        <f t="shared" si="0"/>
        <v>3.8999999999999986</v>
      </c>
      <c r="J15" s="57">
        <f t="shared" si="1"/>
        <v>2.4248072009611419</v>
      </c>
      <c r="K15" s="58">
        <f t="shared" si="2"/>
        <v>84.440357084858348</v>
      </c>
    </row>
    <row r="16" spans="3:34">
      <c r="C16" s="12">
        <v>11</v>
      </c>
      <c r="D16" s="44">
        <f>Geometry!D36</f>
        <v>-33.5</v>
      </c>
      <c r="E16" s="44">
        <f>Geometry!E36</f>
        <v>-36.799999999999997</v>
      </c>
      <c r="F16" s="44">
        <f>Geometry!F36</f>
        <v>9.8000000000000007</v>
      </c>
      <c r="G16" s="44">
        <f>Geometry!G36</f>
        <v>9.8000000000000007</v>
      </c>
      <c r="H16" s="44">
        <f>Geometry!H36</f>
        <v>92</v>
      </c>
      <c r="I16" s="56">
        <f t="shared" si="0"/>
        <v>3.2999999999999972</v>
      </c>
      <c r="J16" s="57">
        <f t="shared" si="1"/>
        <v>0</v>
      </c>
      <c r="K16" s="58">
        <f t="shared" si="2"/>
        <v>72.686049300526335</v>
      </c>
    </row>
    <row r="17" spans="3:16">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16">
      <c r="C18" s="12">
        <v>13</v>
      </c>
      <c r="D18" s="44">
        <f>Geometry!D38</f>
        <v>-40.200000000000003</v>
      </c>
      <c r="E18" s="44">
        <f>Geometry!E38</f>
        <v>-43.8</v>
      </c>
      <c r="F18" s="44">
        <f>Geometry!F38</f>
        <v>9.8000000000000007</v>
      </c>
      <c r="G18" s="44">
        <f>Geometry!G38</f>
        <v>9.8000000000000007</v>
      </c>
      <c r="H18" s="44">
        <f>Geometry!H38</f>
        <v>101</v>
      </c>
      <c r="I18" s="56">
        <f t="shared" si="0"/>
        <v>3.5999999999999943</v>
      </c>
      <c r="J18" s="57">
        <f t="shared" si="1"/>
        <v>0</v>
      </c>
      <c r="K18" s="58">
        <f t="shared" si="2"/>
        <v>86.970178877873934</v>
      </c>
    </row>
    <row r="19" spans="3:16">
      <c r="C19" s="12">
        <v>14</v>
      </c>
      <c r="D19" s="44">
        <f>Geometry!D40</f>
        <v>-47.8</v>
      </c>
      <c r="E19" s="44">
        <f>Geometry!E40</f>
        <v>-51.8</v>
      </c>
      <c r="F19" s="44">
        <f>Geometry!F40</f>
        <v>9.8000000000000007</v>
      </c>
      <c r="G19" s="44">
        <f>Geometry!G40</f>
        <v>9.8000000000000007</v>
      </c>
      <c r="H19" s="44">
        <f>Geometry!H40</f>
        <v>90</v>
      </c>
      <c r="I19" s="56">
        <f t="shared" si="0"/>
        <v>4</v>
      </c>
      <c r="J19" s="57">
        <f t="shared" si="1"/>
        <v>0</v>
      </c>
      <c r="K19" s="58">
        <f t="shared" si="2"/>
        <v>86.206747547124479</v>
      </c>
    </row>
    <row r="20" spans="3:16">
      <c r="C20" s="12">
        <v>15</v>
      </c>
      <c r="D20" s="44">
        <f>Geometry!D41</f>
        <v>-51.8</v>
      </c>
      <c r="E20" s="44">
        <f>Geometry!E41</f>
        <v>-55.8</v>
      </c>
      <c r="F20" s="44">
        <f>Geometry!F41</f>
        <v>9.8000000000000007</v>
      </c>
      <c r="G20" s="44">
        <f>Geometry!G41</f>
        <v>9.8000000000000007</v>
      </c>
      <c r="H20" s="44">
        <f>Geometry!H41</f>
        <v>80</v>
      </c>
      <c r="I20" s="56">
        <f t="shared" si="0"/>
        <v>4</v>
      </c>
      <c r="J20" s="57">
        <f t="shared" si="1"/>
        <v>0</v>
      </c>
      <c r="K20" s="58">
        <f t="shared" si="2"/>
        <v>76.707136849346995</v>
      </c>
    </row>
    <row r="21" spans="3:16">
      <c r="C21" s="12">
        <v>16</v>
      </c>
      <c r="D21" s="44">
        <f>Geometry!D42</f>
        <v>-55.8</v>
      </c>
      <c r="E21" s="44">
        <f>Geometry!E42</f>
        <v>-59.8</v>
      </c>
      <c r="F21" s="44">
        <f>Geometry!F42</f>
        <v>9.8000000000000007</v>
      </c>
      <c r="G21" s="44">
        <f>Geometry!G42</f>
        <v>9.8000000000000007</v>
      </c>
      <c r="H21" s="44">
        <f>Geometry!H42</f>
        <v>80</v>
      </c>
      <c r="I21" s="56">
        <f t="shared" si="0"/>
        <v>4</v>
      </c>
      <c r="J21" s="57">
        <f t="shared" si="1"/>
        <v>0</v>
      </c>
      <c r="K21" s="58">
        <f t="shared" si="2"/>
        <v>76.707136849346995</v>
      </c>
    </row>
    <row r="22" spans="3:16">
      <c r="C22" s="12">
        <v>17</v>
      </c>
      <c r="D22" s="44">
        <f>Geometry!D43</f>
        <v>-59.8</v>
      </c>
      <c r="E22" s="44">
        <f>Geometry!E43</f>
        <v>-63.8</v>
      </c>
      <c r="F22" s="44">
        <f>Geometry!F43</f>
        <v>9.8000000000000007</v>
      </c>
      <c r="G22" s="44">
        <f>Geometry!G43</f>
        <v>9.8000000000000007</v>
      </c>
      <c r="H22" s="44">
        <f>Geometry!H43</f>
        <v>80</v>
      </c>
      <c r="I22" s="56">
        <f t="shared" si="0"/>
        <v>4</v>
      </c>
      <c r="J22" s="57">
        <f t="shared" si="1"/>
        <v>0</v>
      </c>
      <c r="K22" s="58">
        <f t="shared" si="2"/>
        <v>76.707136849346995</v>
      </c>
    </row>
    <row r="23" spans="3:16">
      <c r="C23" s="12">
        <v>18</v>
      </c>
      <c r="D23" s="44">
        <f>Geometry!D44</f>
        <v>-63.8</v>
      </c>
      <c r="E23" s="44">
        <f>Geometry!E44</f>
        <v>-67.8</v>
      </c>
      <c r="F23" s="44">
        <f>Geometry!F44</f>
        <v>9.8000000000000007</v>
      </c>
      <c r="G23" s="44">
        <f>Geometry!G44</f>
        <v>9.8000000000000007</v>
      </c>
      <c r="H23" s="44">
        <f>Geometry!H44</f>
        <v>80</v>
      </c>
      <c r="I23" s="56">
        <f t="shared" si="0"/>
        <v>4</v>
      </c>
      <c r="J23" s="57">
        <f t="shared" si="1"/>
        <v>0</v>
      </c>
      <c r="K23" s="58">
        <f t="shared" si="2"/>
        <v>76.707136849346995</v>
      </c>
    </row>
    <row r="24" spans="3:16">
      <c r="C24" s="12">
        <v>19</v>
      </c>
      <c r="D24" s="44">
        <f>Geometry!D45</f>
        <v>-67.8</v>
      </c>
      <c r="E24" s="44">
        <f>Geometry!E45</f>
        <v>-71.8</v>
      </c>
      <c r="F24" s="44">
        <f>Geometry!F45</f>
        <v>9.8000000000000007</v>
      </c>
      <c r="G24" s="44">
        <f>Geometry!G45</f>
        <v>9.8000000000000007</v>
      </c>
      <c r="H24" s="44">
        <f>Geometry!H45</f>
        <v>80</v>
      </c>
      <c r="I24" s="56">
        <f t="shared" si="0"/>
        <v>4</v>
      </c>
      <c r="J24" s="57">
        <f t="shared" si="1"/>
        <v>0</v>
      </c>
      <c r="K24" s="58">
        <f t="shared" si="2"/>
        <v>76.707136849346995</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Geometry!D46</f>
        <v>-71.8</v>
      </c>
      <c r="E26" s="44">
        <f>Geometry!E46</f>
        <v>-75.8</v>
      </c>
      <c r="F26" s="44">
        <f>Geometry!F46</f>
        <v>9.8000000000000007</v>
      </c>
      <c r="G26" s="44">
        <f>Geometry!G46</f>
        <v>9.8000000000000007</v>
      </c>
      <c r="H26" s="44">
        <f>Geometry!H46</f>
        <v>87</v>
      </c>
      <c r="I26" s="56">
        <f t="shared" si="0"/>
        <v>4</v>
      </c>
      <c r="J26" s="57">
        <f t="shared" si="1"/>
        <v>0</v>
      </c>
      <c r="K26" s="58">
        <f t="shared" si="2"/>
        <v>83.358935903986861</v>
      </c>
    </row>
    <row r="27" spans="3:16">
      <c r="C27" s="12">
        <v>22</v>
      </c>
      <c r="D27" s="44">
        <f>Geometry!D47</f>
        <v>-75.8</v>
      </c>
      <c r="E27" s="44">
        <f>Geometry!E47</f>
        <v>-79.75</v>
      </c>
      <c r="F27" s="44">
        <f>Geometry!F47</f>
        <v>9.8000000000000007</v>
      </c>
      <c r="G27" s="44">
        <f>Geometry!G47</f>
        <v>9.8000000000000007</v>
      </c>
      <c r="H27" s="44">
        <f>Geometry!H47</f>
        <v>95</v>
      </c>
      <c r="I27" s="56">
        <f t="shared" si="0"/>
        <v>3.9500000000000028</v>
      </c>
      <c r="J27" s="57">
        <f t="shared" si="1"/>
        <v>0</v>
      </c>
      <c r="K27" s="58">
        <f t="shared" si="2"/>
        <v>89.81229001474793</v>
      </c>
    </row>
    <row r="28" spans="3:16">
      <c r="C28" s="12">
        <v>23</v>
      </c>
      <c r="D28" s="44">
        <f>Geometry!D48</f>
        <v>-79.75</v>
      </c>
      <c r="E28" s="44">
        <f>Geometry!E48</f>
        <v>-82.75</v>
      </c>
      <c r="F28" s="44">
        <f>Geometry!F48</f>
        <v>9.8000000000000007</v>
      </c>
      <c r="G28" s="44">
        <f>Geometry!G48</f>
        <v>9.8000000000000007</v>
      </c>
      <c r="H28" s="44">
        <f>Geometry!H48</f>
        <v>105</v>
      </c>
      <c r="I28" s="56">
        <f t="shared" si="0"/>
        <v>3</v>
      </c>
      <c r="J28" s="57">
        <f t="shared" si="1"/>
        <v>0</v>
      </c>
      <c r="K28" s="58">
        <f t="shared" si="2"/>
        <v>75.314378505222052</v>
      </c>
    </row>
    <row r="31" spans="3:16">
      <c r="C31" s="35" t="s">
        <v>232</v>
      </c>
      <c r="M31" s="311" t="s">
        <v>286</v>
      </c>
      <c r="N31" s="313"/>
      <c r="O31" s="311" t="s">
        <v>287</v>
      </c>
      <c r="P31" s="313"/>
    </row>
    <row r="32" spans="3:16" ht="15" customHeight="1">
      <c r="C32" s="323" t="s">
        <v>19</v>
      </c>
      <c r="D32" s="323" t="s">
        <v>282</v>
      </c>
      <c r="E32" s="323" t="s">
        <v>284</v>
      </c>
      <c r="F32" s="323" t="s">
        <v>283</v>
      </c>
      <c r="G32" s="323" t="s">
        <v>244</v>
      </c>
      <c r="H32" s="323" t="s">
        <v>245</v>
      </c>
      <c r="I32" s="323" t="s">
        <v>228</v>
      </c>
      <c r="J32" s="323" t="s">
        <v>229</v>
      </c>
      <c r="K32" s="323" t="s">
        <v>288</v>
      </c>
      <c r="L32" s="323" t="s">
        <v>230</v>
      </c>
      <c r="M32" s="323" t="s">
        <v>279</v>
      </c>
      <c r="N32" s="323" t="s">
        <v>280</v>
      </c>
      <c r="O32" s="323" t="s">
        <v>279</v>
      </c>
      <c r="P32" s="323" t="s">
        <v>280</v>
      </c>
    </row>
    <row r="33" spans="3:16">
      <c r="C33" s="324">
        <v>0</v>
      </c>
      <c r="D33" s="324">
        <v>0</v>
      </c>
      <c r="E33" s="324"/>
      <c r="F33" s="324"/>
      <c r="G33" s="324"/>
      <c r="H33" s="324"/>
      <c r="I33" s="324"/>
      <c r="J33" s="324"/>
      <c r="K33" s="324"/>
      <c r="L33" s="324"/>
      <c r="M33" s="324"/>
      <c r="N33" s="324"/>
      <c r="O33" s="324"/>
      <c r="P33" s="324"/>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1.6</v>
      </c>
      <c r="E35" s="3">
        <f>H6</f>
        <v>108</v>
      </c>
      <c r="F35" s="4">
        <f>H7</f>
        <v>100</v>
      </c>
      <c r="G35" s="3">
        <f>'FLS MP'!L35</f>
        <v>0.85864851454153157</v>
      </c>
      <c r="H35" s="3">
        <f>'FLS MP'!M35</f>
        <v>1.0848108912750811</v>
      </c>
      <c r="I35" s="3">
        <f>IF(OR('FLS MP'!N35="n",'FLS MP'!N35="i"),$S$8,$T$8)</f>
        <v>112</v>
      </c>
      <c r="J35" s="3">
        <f>IF(OR('FLS MP'!N35="n",'FLS MP'!N35="o"),$S$8,$T$8)</f>
        <v>112</v>
      </c>
      <c r="K35" s="3">
        <f>IF(OR('FLS MP'!N35="n",'FLS MP'!N35="i"),0.2,0.1)</f>
        <v>0.1</v>
      </c>
      <c r="L35" s="3">
        <f>IF(OR('FLS MP'!N35="n",'FLS MP'!N35="o"),0.2,0.1)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-2.2999999999999998</v>
      </c>
      <c r="E36" s="3">
        <f t="shared" ref="E36:E56" si="5">H7</f>
        <v>100</v>
      </c>
      <c r="F36" s="4">
        <f t="shared" ref="F36:F56" si="6">H8</f>
        <v>99</v>
      </c>
      <c r="G36" s="3">
        <f>'FLS MP'!L36</f>
        <v>0.95639180403771129</v>
      </c>
      <c r="H36" s="3">
        <f>'FLS MP'!M36</f>
        <v>0.98646642194273804</v>
      </c>
      <c r="I36" s="3">
        <f>IF(OR('FLS MP'!N36="n",'FLS MP'!N36="i"),$S$8,$T$8)</f>
        <v>90</v>
      </c>
      <c r="J36" s="3">
        <f>IF(OR('FLS MP'!N36="n",'FLS MP'!N36="o"),$S$8,$T$8)</f>
        <v>90</v>
      </c>
      <c r="K36" s="3">
        <f>IF(OR('FLS MP'!N36="n",'FLS MP'!N36="i"),0.2,0.1)</f>
        <v>0.2</v>
      </c>
      <c r="L36" s="3">
        <f>IF(OR('FLS MP'!N36="n",'FLS MP'!N36="o"),0.2,0.1)</f>
        <v>0.2</v>
      </c>
      <c r="M36" s="46">
        <f>IF(Control!$F$47="N",Control!$F$48,1.1)</f>
        <v>0.1</v>
      </c>
      <c r="N36" s="46">
        <f>IF(Control!$F$47="N",Control!$F$48,1.1)</f>
        <v>0.1</v>
      </c>
      <c r="O36" s="46">
        <f>IF(Control!$F$47="N",Control!$F$48,1.1)</f>
        <v>0.1</v>
      </c>
      <c r="P36" s="46">
        <f>IF(Control!$F$47="N",Control!$F$48,1.1)</f>
        <v>0.1</v>
      </c>
    </row>
    <row r="37" spans="3:16">
      <c r="C37" s="12" t="str">
        <f t="shared" si="3"/>
        <v>CW3</v>
      </c>
      <c r="D37" s="2">
        <f t="shared" si="4"/>
        <v>-6.2</v>
      </c>
      <c r="E37" s="3">
        <f t="shared" si="5"/>
        <v>99</v>
      </c>
      <c r="F37" s="4">
        <f t="shared" si="6"/>
        <v>99</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-10.1</v>
      </c>
      <c r="E38" s="3">
        <f t="shared" si="5"/>
        <v>99</v>
      </c>
      <c r="F38" s="4">
        <f t="shared" si="6"/>
        <v>107</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-14</v>
      </c>
      <c r="E39" s="3">
        <f t="shared" si="5"/>
        <v>107</v>
      </c>
      <c r="F39" s="4">
        <f t="shared" si="6"/>
        <v>96</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-17.899999999999999</v>
      </c>
      <c r="E40" s="3">
        <f t="shared" si="5"/>
        <v>96</v>
      </c>
      <c r="F40" s="4">
        <f t="shared" si="6"/>
        <v>92</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-21.8</v>
      </c>
      <c r="E41" s="3">
        <f t="shared" si="5"/>
        <v>92</v>
      </c>
      <c r="F41" s="4">
        <f t="shared" si="6"/>
        <v>92</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-25.7</v>
      </c>
      <c r="E42" s="3">
        <f t="shared" si="5"/>
        <v>92</v>
      </c>
      <c r="F42" s="4">
        <f t="shared" si="6"/>
        <v>92</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-29.6</v>
      </c>
      <c r="E43" s="3">
        <f t="shared" si="5"/>
        <v>92</v>
      </c>
      <c r="F43" s="4">
        <f t="shared" si="6"/>
        <v>92</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-33.5</v>
      </c>
      <c r="E44" s="3">
        <f t="shared" si="5"/>
        <v>92</v>
      </c>
      <c r="F44" s="4">
        <f t="shared" si="6"/>
        <v>92</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-36.799999999999997</v>
      </c>
      <c r="E45" s="3">
        <f t="shared" si="5"/>
        <v>92</v>
      </c>
      <c r="F45" s="4" t="e">
        <f t="shared" si="6"/>
        <v>#REF!</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t="e">
        <f t="shared" si="4"/>
        <v>#REF!</v>
      </c>
      <c r="E46" s="3" t="e">
        <f t="shared" si="5"/>
        <v>#REF!</v>
      </c>
      <c r="F46" s="4">
        <f t="shared" si="6"/>
        <v>101</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-43.8</v>
      </c>
      <c r="E47" s="3">
        <f t="shared" si="5"/>
        <v>101</v>
      </c>
      <c r="F47" s="4">
        <f t="shared" si="6"/>
        <v>90</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-51.8</v>
      </c>
      <c r="E48" s="3">
        <f t="shared" si="5"/>
        <v>90</v>
      </c>
      <c r="F48" s="4">
        <f t="shared" si="6"/>
        <v>80</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-55.8</v>
      </c>
      <c r="E49" s="3">
        <f t="shared" si="5"/>
        <v>80</v>
      </c>
      <c r="F49" s="4">
        <f t="shared" si="6"/>
        <v>80</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-59.8</v>
      </c>
      <c r="E50" s="3">
        <f t="shared" si="5"/>
        <v>80</v>
      </c>
      <c r="F50" s="4">
        <f t="shared" si="6"/>
        <v>80</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-63.8</v>
      </c>
      <c r="E51" s="3">
        <f t="shared" si="5"/>
        <v>80</v>
      </c>
      <c r="F51" s="4">
        <f t="shared" si="6"/>
        <v>80</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-67.8</v>
      </c>
      <c r="E52" s="3">
        <f t="shared" si="5"/>
        <v>80</v>
      </c>
      <c r="F52" s="4">
        <f t="shared" si="6"/>
        <v>80</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-71.8</v>
      </c>
      <c r="E53" s="3">
        <f t="shared" si="5"/>
        <v>80</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87</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-75.8</v>
      </c>
      <c r="E55" s="3">
        <f t="shared" si="5"/>
        <v>87</v>
      </c>
      <c r="F55" s="4">
        <f t="shared" si="6"/>
        <v>95</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-79.75</v>
      </c>
      <c r="E56" s="3">
        <f t="shared" si="5"/>
        <v>95</v>
      </c>
      <c r="F56" s="4">
        <f t="shared" si="6"/>
        <v>105</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23" t="s">
        <v>150</v>
      </c>
      <c r="D60" s="323" t="s">
        <v>282</v>
      </c>
      <c r="E60" s="323" t="s">
        <v>5</v>
      </c>
      <c r="F60" s="323" t="s">
        <v>193</v>
      </c>
      <c r="G60" s="323" t="s">
        <v>231</v>
      </c>
      <c r="H60" s="323" t="s">
        <v>91</v>
      </c>
      <c r="I60" s="323" t="s">
        <v>49</v>
      </c>
      <c r="J60" s="323" t="s">
        <v>60</v>
      </c>
      <c r="L60" s="323" t="s">
        <v>541</v>
      </c>
    </row>
    <row r="61" spans="3:16">
      <c r="C61" s="324">
        <v>0</v>
      </c>
      <c r="D61" s="324">
        <v>0</v>
      </c>
      <c r="E61" s="324"/>
      <c r="F61" s="324"/>
      <c r="G61" s="324"/>
      <c r="H61" s="324"/>
      <c r="I61" s="324"/>
      <c r="J61" s="324"/>
      <c r="L61" s="324"/>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Geometry!AD26</f>
        <v>MP1-01-01</v>
      </c>
      <c r="D63" s="2">
        <f>Geometry!AF26</f>
        <v>4.3999999999999995</v>
      </c>
      <c r="E63" s="3">
        <f>Geometry!AM26</f>
        <v>108</v>
      </c>
      <c r="F63" s="4">
        <f>Geometry!AG26</f>
        <v>1.08</v>
      </c>
      <c r="G63" s="192">
        <f>IF(Geometry!AI26="n",$S$9,IF(Geometry!AI26="g",$T$9,IF(Geometry!AI26="o",$U$9,IF(OR(Geometry!AI26="nn",Geometry!AI26="gn"),$S$10))))</f>
        <v>100</v>
      </c>
      <c r="H63" s="47">
        <f>IF(AND(Geometry!AI26="o",'FLS MP'!$AG$11,$T$3="DNV"),4,3)</f>
        <v>3</v>
      </c>
      <c r="I63" s="192">
        <f>IF(Geometry!AI26="n",'FLS MP'!$AG$11,IF(Geometry!AI26="g",'FLS MP'!$AG$12,IF(Geometry!AI26="o",'FLS MP'!$AG$14,IF(OR(Geometry!AI26="nn",Geometry!AI26="gn"),0))))</f>
        <v>0.3</v>
      </c>
      <c r="J63" s="46">
        <f>IF(UPPER(Control!$F$47)="N",Control!$F$58,1.1)</f>
        <v>0</v>
      </c>
      <c r="L63" s="192">
        <f>IF(AND(Geometry!AI26="gn",OR(G63=131.62,G63=225)),$S$11,1)</f>
        <v>1</v>
      </c>
    </row>
    <row r="64" spans="3:16">
      <c r="C64" s="12" t="str">
        <f>Geometry!AD27</f>
        <v>MP1-01-02</v>
      </c>
      <c r="D64" s="2">
        <f>Geometry!AF27</f>
        <v>3.3999999999999995</v>
      </c>
      <c r="E64" s="3">
        <f>Geometry!AM27</f>
        <v>108</v>
      </c>
      <c r="F64" s="4">
        <f>Geometry!AG27</f>
        <v>1.4</v>
      </c>
      <c r="G64" s="192">
        <f>IF(Geometry!AI27="n",$S$9,IF(Geometry!AI27="g",$T$9,IF(Geometry!AI27="o",$U$9,IF(OR(Geometry!AI27="nn",Geometry!AI27="gn"),$S$10))))</f>
        <v>112</v>
      </c>
      <c r="H64" s="47">
        <f>IF(AND(Geometry!AI27="o",'FLS MP'!$AG$11,$T$3="DNV"),4,3)</f>
        <v>3</v>
      </c>
      <c r="I64" s="192">
        <f>IF(Geometry!AI27="n",'FLS MP'!$AG$11,IF(Geometry!AI27="g",'FLS MP'!$AG$12,IF(Geometry!AI27="o",'FLS MP'!$AG$14,IF(OR(Geometry!AI27="nn",Geometry!AI27="gn"),0))))</f>
        <v>0.2</v>
      </c>
      <c r="J64" s="46">
        <f>IF(UPPER(Control!$F$47)="N",Control!$F$58,1.1)</f>
        <v>0</v>
      </c>
      <c r="L64" s="192">
        <f>IF(AND(Geometry!AI27="gn",OR(G64=131.62,G64=225)),$S$11,1)</f>
        <v>1</v>
      </c>
    </row>
    <row r="65" spans="3:12">
      <c r="C65" s="12" t="str">
        <f>Geometry!AD28</f>
        <v>MP5-01</v>
      </c>
      <c r="D65" s="2">
        <f>Geometry!AF28</f>
        <v>-12.3575</v>
      </c>
      <c r="E65" s="3">
        <f>Geometry!AM28</f>
        <v>107</v>
      </c>
      <c r="F65" s="4">
        <f>Geometry!AG28</f>
        <v>2</v>
      </c>
      <c r="G65" s="192">
        <f>IF(Geometry!AI28="n",$S$9,IF(Geometry!AI28="g",$T$9,IF(Geometry!AI28="o",$U$9,IF(OR(Geometry!AI28="nn",Geometry!AI28="gn"),$S$10))))</f>
        <v>140</v>
      </c>
      <c r="H65" s="47">
        <f>IF(AND(Geometry!AI28="o",'FLS MP'!$AG$11,$T$3="DNV"),4,3)</f>
        <v>3</v>
      </c>
      <c r="I65" s="192">
        <f>IF(Geometry!AI28="n",'FLS MP'!$AG$11,IF(Geometry!AI28="g",'FLS MP'!$AG$12,IF(Geometry!AI28="o",'FLS MP'!$AG$14,IF(OR(Geometry!AI28="nn",Geometry!AI28="gn"),0))))</f>
        <v>0.1</v>
      </c>
      <c r="J65" s="46">
        <f>IF(UPPER(Control!$F$47)="N",Control!$F$58,1.1)</f>
        <v>0</v>
      </c>
      <c r="L65" s="192">
        <f>IF(AND(Geometry!AI28="gn",OR(G65=131.62,G65=225)),$S$11,1)</f>
        <v>1</v>
      </c>
    </row>
    <row r="66" spans="3:12">
      <c r="C66" s="12" t="str">
        <f>Geometry!AD29</f>
        <v>MP8-01</v>
      </c>
      <c r="D66" s="2">
        <f>Geometry!AF29</f>
        <v>-22.715</v>
      </c>
      <c r="E66" s="3">
        <f>Geometry!AM29</f>
        <v>92</v>
      </c>
      <c r="F66" s="4">
        <f>Geometry!AG29</f>
        <v>1.6</v>
      </c>
      <c r="G66" s="192">
        <f>IF(Geometry!AI29="n",$S$9,IF(Geometry!AI29="g",$T$9,IF(Geometry!AI29="o",$U$9,IF(OR(Geometry!AI29="nn",Geometry!AI29="gn"),$S$10))))</f>
        <v>140</v>
      </c>
      <c r="H66" s="47">
        <f>IF(AND(Geometry!AI29="o",'FLS MP'!$AG$11,$T$3="DNV"),4,3)</f>
        <v>3</v>
      </c>
      <c r="I66" s="192">
        <f>IF(Geometry!AI29="n",'FLS MP'!$AG$11,IF(Geometry!AI29="g",'FLS MP'!$AG$12,IF(Geometry!AI29="o",'FLS MP'!$AG$14,IF(OR(Geometry!AI29="nn",Geometry!AI29="gn"),0))))</f>
        <v>0.1</v>
      </c>
      <c r="J66" s="46">
        <f>IF(UPPER(Control!$F$47)="N",Control!$F$58,1.1)</f>
        <v>0</v>
      </c>
      <c r="L66" s="192">
        <f>IF(AND(Geometry!AI29="gn",OR(G66=131.62,G66=225)),$S$11,1)</f>
        <v>1</v>
      </c>
    </row>
    <row r="67" spans="3:12">
      <c r="C67" s="12" t="str">
        <f>Geometry!AD30</f>
        <v>MP8-02</v>
      </c>
      <c r="D67" s="2">
        <f>Geometry!AF30</f>
        <v>-23.715</v>
      </c>
      <c r="E67" s="3">
        <f>Geometry!AM30</f>
        <v>92</v>
      </c>
      <c r="F67" s="4">
        <f>Geometry!AG30</f>
        <v>1.25</v>
      </c>
      <c r="G67" s="192">
        <f>IF(Geometry!AI30="n",$S$9,IF(Geometry!AI30="g",$T$9,IF(Geometry!AI30="o",$U$9,IF(OR(Geometry!AI30="nn",Geometry!AI30="gn"),$S$10))))</f>
        <v>112</v>
      </c>
      <c r="H67" s="47">
        <f>IF(AND(Geometry!AI30="o",'FLS MP'!$AG$11,$T$3="DNV"),4,3)</f>
        <v>3</v>
      </c>
      <c r="I67" s="192">
        <f>IF(Geometry!AI30="n",'FLS MP'!$AG$11,IF(Geometry!AI30="g",'FLS MP'!$AG$12,IF(Geometry!AI30="o",'FLS MP'!$AG$14,IF(OR(Geometry!AI30="nn",Geometry!AI30="gn"),0))))</f>
        <v>0.2</v>
      </c>
      <c r="J67" s="46">
        <f>IF(UPPER(Control!$F$47)="N",Control!$F$58,1.1)</f>
        <v>0</v>
      </c>
      <c r="L67" s="192">
        <f>IF(AND(Geometry!AI30="gn",OR(G67=131.62,G67=225)),$S$11,1)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C60:C61"/>
    <mergeCell ref="D60:D61"/>
    <mergeCell ref="E60:E61"/>
    <mergeCell ref="G32:G33"/>
    <mergeCell ref="H32:H33"/>
    <mergeCell ref="F32:F33"/>
    <mergeCell ref="E32:E33"/>
    <mergeCell ref="C32:C33"/>
    <mergeCell ref="D32:D33"/>
    <mergeCell ref="H60:H61"/>
    <mergeCell ref="F60:F61"/>
    <mergeCell ref="I60:I61"/>
    <mergeCell ref="J60:J61"/>
    <mergeCell ref="L32:L33"/>
    <mergeCell ref="M32:M33"/>
    <mergeCell ref="G60:G61"/>
    <mergeCell ref="I32:I33"/>
    <mergeCell ref="J32:J33"/>
    <mergeCell ref="K32:K33"/>
    <mergeCell ref="L60:L61"/>
    <mergeCell ref="M31:N31"/>
    <mergeCell ref="O31:P31"/>
    <mergeCell ref="N32:N33"/>
    <mergeCell ref="O32:O33"/>
    <mergeCell ref="P32:P33"/>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442</v>
      </c>
      <c r="D4" s="48" t="str">
        <f>'FLS MP (driving)'!$S$3</f>
        <v>EC</v>
      </c>
      <c r="M4" t="s">
        <v>149</v>
      </c>
      <c r="N4" t="s">
        <v>259</v>
      </c>
    </row>
    <row r="5" spans="3:14">
      <c r="C5" s="89" t="s">
        <v>241</v>
      </c>
      <c r="D5" s="90">
        <f>'FLS MP (driving)'!I35</f>
        <v>112</v>
      </c>
      <c r="F5" s="89" t="s">
        <v>244</v>
      </c>
      <c r="G5" s="92">
        <f>'FLS MP (driving)'!G35</f>
        <v>0.85864851454153157</v>
      </c>
      <c r="I5" s="89" t="s">
        <v>246</v>
      </c>
      <c r="J5" s="92">
        <f>(25/'FLS MP (driving)'!E35)^'FLS MP (driving)'!K35</f>
        <v>0.86387643087620181</v>
      </c>
      <c r="L5" t="s">
        <v>122</v>
      </c>
      <c r="M5">
        <v>1.25</v>
      </c>
      <c r="N5">
        <v>1</v>
      </c>
    </row>
    <row r="6" spans="3:14">
      <c r="C6" s="89" t="s">
        <v>243</v>
      </c>
      <c r="D6" s="90">
        <f>'FLS MP (driving)'!J35</f>
        <v>112</v>
      </c>
      <c r="F6" s="89" t="s">
        <v>245</v>
      </c>
      <c r="G6" s="92">
        <f>'FLS MP (driving)'!H35</f>
        <v>1.0848108912750811</v>
      </c>
      <c r="I6" s="89" t="s">
        <v>248</v>
      </c>
      <c r="J6" s="92">
        <f>(25/'FLS MP (driving)'!E35)^'FLS MP (driving)'!L35</f>
        <v>0.86387643087620181</v>
      </c>
      <c r="L6" t="s">
        <v>234</v>
      </c>
      <c r="M6">
        <v>1</v>
      </c>
      <c r="N6">
        <v>3</v>
      </c>
    </row>
    <row r="7" spans="3:14">
      <c r="C7" s="89" t="s">
        <v>91</v>
      </c>
      <c r="D7" s="91">
        <v>3</v>
      </c>
      <c r="I7" s="89" t="s">
        <v>247</v>
      </c>
      <c r="J7" s="92">
        <f>(25/'FLS MP (driving)'!F35)^'FLS MP (driving)'!K35</f>
        <v>0.87055056329612412</v>
      </c>
      <c r="M7" t="s">
        <v>461</v>
      </c>
      <c r="N7" t="s">
        <v>462</v>
      </c>
    </row>
    <row r="8" spans="3:14">
      <c r="C8" s="89" t="s">
        <v>71</v>
      </c>
      <c r="D8" s="91">
        <f>IF($D$4="EC",2000000,10000000)</f>
        <v>2000000</v>
      </c>
      <c r="I8" s="89" t="s">
        <v>249</v>
      </c>
      <c r="J8" s="92">
        <f>(25/'FLS MP (driving)'!F35)^'FLS MP (driving)'!L35</f>
        <v>0.87055056329612412</v>
      </c>
      <c r="L8" t="s">
        <v>460</v>
      </c>
      <c r="M8">
        <f>IF(AND(D4="DNV",D5=65.5),'FLS MP'!AE19,1)</f>
        <v>1</v>
      </c>
      <c r="N8">
        <f>IF(AND(D4="DNV",D6=65.5),'FLS MP'!AE19,1)</f>
        <v>1</v>
      </c>
    </row>
    <row r="9" spans="3:14">
      <c r="C9" s="89" t="s">
        <v>242</v>
      </c>
      <c r="D9" s="91">
        <f>MAX(1,Control!$K$3)</f>
        <v>1.2</v>
      </c>
    </row>
    <row r="10" spans="3:14">
      <c r="C10" s="89" t="s">
        <v>122</v>
      </c>
      <c r="D10" s="91">
        <f>IF(Control!$F$39="DNV",N5,M5)</f>
        <v>1.25</v>
      </c>
      <c r="G10" s="336" t="s">
        <v>250</v>
      </c>
      <c r="H10" s="337"/>
      <c r="I10" s="337"/>
      <c r="J10" s="338"/>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441</v>
      </c>
      <c r="D4" s="48" t="str">
        <f>IF(OR(D5=100,D5=112,D5=140),"EC","DNV")</f>
        <v>EC</v>
      </c>
      <c r="J4" t="s">
        <v>149</v>
      </c>
      <c r="K4" t="s">
        <v>259</v>
      </c>
    </row>
    <row r="5" spans="3:18">
      <c r="C5" s="89" t="s">
        <v>260</v>
      </c>
      <c r="D5" s="90">
        <f>'FLS MP (driving)'!G63</f>
        <v>100</v>
      </c>
      <c r="F5" s="89" t="s">
        <v>215</v>
      </c>
      <c r="G5" s="92">
        <f>'FLS MP (driving)'!F63</f>
        <v>1.08</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0.86387643087620181</v>
      </c>
      <c r="I7" t="s">
        <v>540</v>
      </c>
      <c r="J7">
        <v>1.3</v>
      </c>
      <c r="M7" s="184"/>
      <c r="N7" s="184"/>
      <c r="O7" s="184"/>
      <c r="P7" s="184"/>
      <c r="Q7" s="184"/>
      <c r="R7" s="184"/>
    </row>
    <row r="8" spans="3:18">
      <c r="C8" s="89" t="s">
        <v>242</v>
      </c>
      <c r="D8" s="91">
        <f>MAX(1,Control!$K$3)</f>
        <v>1.2</v>
      </c>
      <c r="I8" t="s">
        <v>460</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customXml/itemProps2.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4617CFA-40FA-4125-B192-38DEB63ABEC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2025-03-19T13:21:48Z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