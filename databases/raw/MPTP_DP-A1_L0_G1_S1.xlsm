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AB7D33E5-EA85-40CE-862C-67FA4032B620}" xr6:coauthVersionLast="47" xr6:coauthVersionMax="47" xr10:uidLastSave="{00000000-0000-0000-0000-000000000000}"/>
  <bookViews>
    <workbookView xWindow="-108" yWindow="-108" windowWidth="46296" windowHeight="25536" firstSheet="2" activeTab="13"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67" i="19" l="1"/>
  <c r="Q168" i="19"/>
  <c r="Q169" i="19"/>
  <c r="Q170" i="19"/>
  <c r="Q171" i="19"/>
  <c r="Q172" i="19"/>
  <c r="R167" i="19"/>
  <c r="R168" i="19"/>
  <c r="R169" i="19"/>
  <c r="R170" i="19"/>
  <c r="R171" i="19"/>
  <c r="R172" i="19"/>
  <c r="R166" i="19"/>
  <c r="Q166" i="19"/>
  <c r="Q125" i="19"/>
  <c r="R125" i="19"/>
  <c r="Q126" i="19"/>
  <c r="R126" i="19"/>
  <c r="Q127" i="19"/>
  <c r="R127" i="19"/>
  <c r="Q128" i="19"/>
  <c r="R128" i="19"/>
  <c r="Q129" i="19"/>
  <c r="R129" i="19"/>
  <c r="Q130" i="19"/>
  <c r="R130" i="19"/>
  <c r="Q131" i="19"/>
  <c r="R131" i="19"/>
  <c r="Q132" i="19"/>
  <c r="R132" i="19"/>
  <c r="Q133" i="19"/>
  <c r="R133" i="19"/>
  <c r="Q134" i="19"/>
  <c r="R134" i="19"/>
  <c r="Q135" i="19"/>
  <c r="R135" i="19"/>
  <c r="Q136" i="19"/>
  <c r="R136" i="19"/>
  <c r="Q137" i="19"/>
  <c r="R137" i="19"/>
  <c r="Q138" i="19"/>
  <c r="R138" i="19"/>
  <c r="Q139" i="19"/>
  <c r="R139" i="19"/>
  <c r="Q140" i="19"/>
  <c r="R140" i="19"/>
  <c r="Q141" i="19"/>
  <c r="R141" i="19"/>
  <c r="Q142" i="19"/>
  <c r="R142" i="19"/>
  <c r="Q143" i="19"/>
  <c r="R143" i="19"/>
  <c r="Q144" i="19"/>
  <c r="R144" i="19"/>
  <c r="Q145" i="19"/>
  <c r="R145" i="19"/>
  <c r="Q146" i="19"/>
  <c r="R146" i="19"/>
  <c r="Q147" i="19"/>
  <c r="R147" i="19"/>
  <c r="R124" i="19"/>
  <c r="Q124" i="19"/>
  <c r="Q96" i="19"/>
  <c r="R96" i="19"/>
  <c r="Q97" i="19"/>
  <c r="R97" i="19"/>
  <c r="Q98" i="19"/>
  <c r="R98" i="19"/>
  <c r="Q99" i="19"/>
  <c r="R99" i="19"/>
  <c r="Q100" i="19"/>
  <c r="R100" i="19"/>
  <c r="Q101" i="19"/>
  <c r="R101" i="19"/>
  <c r="Q102" i="19"/>
  <c r="R102" i="19"/>
  <c r="Q103" i="19"/>
  <c r="R103" i="19"/>
  <c r="Q104" i="19"/>
  <c r="R104" i="19"/>
  <c r="Q105" i="19"/>
  <c r="R105" i="19"/>
  <c r="Q106" i="19"/>
  <c r="R106" i="19"/>
  <c r="Q107" i="19"/>
  <c r="R107" i="19"/>
  <c r="Q108" i="19"/>
  <c r="R108" i="19"/>
  <c r="Q109" i="19"/>
  <c r="R109" i="19"/>
  <c r="Q110" i="19"/>
  <c r="R110" i="19"/>
  <c r="Q111" i="19"/>
  <c r="R111" i="19"/>
  <c r="Q112" i="19"/>
  <c r="R112" i="19"/>
  <c r="Q113" i="19"/>
  <c r="R113" i="19"/>
  <c r="Q114" i="19"/>
  <c r="R114" i="19"/>
  <c r="Q115" i="19"/>
  <c r="R115" i="19"/>
  <c r="Q116" i="19"/>
  <c r="R116" i="19"/>
  <c r="Q117" i="19"/>
  <c r="R117" i="19"/>
  <c r="Q118" i="19"/>
  <c r="R118" i="19"/>
  <c r="R95" i="19"/>
  <c r="Q95" i="19"/>
  <c r="Q67" i="19"/>
  <c r="R67" i="19"/>
  <c r="Q68" i="19"/>
  <c r="R68" i="19"/>
  <c r="Q69" i="19"/>
  <c r="R69" i="19"/>
  <c r="Q70" i="19"/>
  <c r="R70" i="19"/>
  <c r="Q71" i="19"/>
  <c r="R71" i="19"/>
  <c r="Q72" i="19"/>
  <c r="R72" i="19"/>
  <c r="Q73" i="19"/>
  <c r="R73" i="19"/>
  <c r="Q74" i="19"/>
  <c r="R74" i="19"/>
  <c r="Q75" i="19"/>
  <c r="R75" i="19"/>
  <c r="Q76" i="19"/>
  <c r="R76" i="19"/>
  <c r="Q77" i="19"/>
  <c r="R77" i="19"/>
  <c r="Q78" i="19"/>
  <c r="R78" i="19"/>
  <c r="Q79" i="19"/>
  <c r="R79" i="19"/>
  <c r="Q80" i="19"/>
  <c r="R80" i="19"/>
  <c r="Q81" i="19"/>
  <c r="R81" i="19"/>
  <c r="Q82" i="19"/>
  <c r="R82" i="19"/>
  <c r="Q83" i="19"/>
  <c r="R83" i="19"/>
  <c r="Q84" i="19"/>
  <c r="R84" i="19"/>
  <c r="Q85" i="19"/>
  <c r="R85" i="19"/>
  <c r="Q86" i="19"/>
  <c r="R86" i="19"/>
  <c r="Q87" i="19"/>
  <c r="R87" i="19"/>
  <c r="Q88" i="19"/>
  <c r="R88" i="19"/>
  <c r="Q89" i="19"/>
  <c r="R89" i="19"/>
  <c r="R66" i="19"/>
  <c r="Q66" i="19"/>
  <c r="C68" i="18"/>
  <c r="D68" i="18"/>
  <c r="E68" i="18"/>
  <c r="F68" i="18"/>
  <c r="R68" i="18"/>
  <c r="J68" i="18" s="1"/>
  <c r="T68" i="18"/>
  <c r="U68" i="18"/>
  <c r="V68" i="18"/>
  <c r="W68" i="18"/>
  <c r="C69" i="18"/>
  <c r="D69" i="18"/>
  <c r="AN68" i="18" s="1"/>
  <c r="E69" i="18"/>
  <c r="F69" i="18"/>
  <c r="R69" i="18"/>
  <c r="J69" i="18" s="1"/>
  <c r="T69" i="18"/>
  <c r="U69" i="18"/>
  <c r="V69" i="18"/>
  <c r="W69" i="18"/>
  <c r="C70" i="18"/>
  <c r="D70" i="18"/>
  <c r="E70" i="18"/>
  <c r="F70" i="18"/>
  <c r="J70" i="18"/>
  <c r="R70" i="18"/>
  <c r="T70" i="18"/>
  <c r="U70" i="18"/>
  <c r="V70" i="18"/>
  <c r="W70" i="18"/>
  <c r="C71" i="18"/>
  <c r="D71" i="18"/>
  <c r="AN70" i="18" s="1"/>
  <c r="E71" i="18"/>
  <c r="F71" i="18"/>
  <c r="R71" i="18"/>
  <c r="J71" i="18" s="1"/>
  <c r="T71" i="18"/>
  <c r="U71" i="18"/>
  <c r="V71" i="18"/>
  <c r="W71" i="18"/>
  <c r="C72" i="18"/>
  <c r="D72" i="18"/>
  <c r="E72" i="18"/>
  <c r="F72" i="18"/>
  <c r="R72" i="18"/>
  <c r="J72" i="18" s="1"/>
  <c r="T72" i="18"/>
  <c r="U72" i="18"/>
  <c r="V72" i="18"/>
  <c r="W72" i="18"/>
  <c r="C73" i="18"/>
  <c r="D73" i="18"/>
  <c r="AN72" i="18" s="1"/>
  <c r="E73" i="18"/>
  <c r="F73" i="18"/>
  <c r="R73" i="18"/>
  <c r="J73" i="18" s="1"/>
  <c r="T73" i="18"/>
  <c r="U73" i="18"/>
  <c r="V73" i="18"/>
  <c r="W73" i="18"/>
  <c r="C74" i="18"/>
  <c r="D74" i="18"/>
  <c r="E74" i="18"/>
  <c r="F74" i="18"/>
  <c r="R74" i="18"/>
  <c r="J74" i="18" s="1"/>
  <c r="T74" i="18"/>
  <c r="U74" i="18"/>
  <c r="V74" i="18"/>
  <c r="W74" i="18"/>
  <c r="AN74" i="18"/>
  <c r="AO74" i="18"/>
  <c r="C75" i="18"/>
  <c r="D75" i="18"/>
  <c r="E75" i="18"/>
  <c r="F75" i="18"/>
  <c r="R75" i="18"/>
  <c r="J75" i="18" s="1"/>
  <c r="T75" i="18"/>
  <c r="U75" i="18"/>
  <c r="V75" i="18"/>
  <c r="W75" i="18"/>
  <c r="C76" i="18"/>
  <c r="D76" i="18"/>
  <c r="E76" i="18"/>
  <c r="F76" i="18"/>
  <c r="J76" i="18"/>
  <c r="R76" i="18"/>
  <c r="T76" i="18"/>
  <c r="U76" i="18"/>
  <c r="V76" i="18"/>
  <c r="W76" i="18"/>
  <c r="AN76" i="18"/>
  <c r="AO76" i="18"/>
  <c r="C77" i="18"/>
  <c r="D77" i="18"/>
  <c r="E77" i="18"/>
  <c r="F77" i="18"/>
  <c r="R77" i="18"/>
  <c r="J77" i="18" s="1"/>
  <c r="T77" i="18"/>
  <c r="U77" i="18"/>
  <c r="V77" i="18"/>
  <c r="W77" i="18"/>
  <c r="AN77" i="18"/>
  <c r="AO77" i="18" s="1"/>
  <c r="C78" i="18"/>
  <c r="D78" i="18"/>
  <c r="E78" i="18"/>
  <c r="F78" i="18"/>
  <c r="J78" i="18"/>
  <c r="R78" i="18"/>
  <c r="T78" i="18"/>
  <c r="U78" i="18"/>
  <c r="V78" i="18"/>
  <c r="W78" i="18"/>
  <c r="AN78" i="18"/>
  <c r="AT78" i="18" s="1"/>
  <c r="AR78" i="18"/>
  <c r="C79" i="18"/>
  <c r="D79" i="18"/>
  <c r="E79" i="18"/>
  <c r="F79" i="18"/>
  <c r="R79" i="18"/>
  <c r="J79" i="18" s="1"/>
  <c r="T79" i="18"/>
  <c r="U79" i="18"/>
  <c r="V79" i="18"/>
  <c r="W79" i="18"/>
  <c r="AN79" i="18"/>
  <c r="AO79" i="18" s="1"/>
  <c r="AS79" i="18" s="1"/>
  <c r="C80" i="18"/>
  <c r="D80" i="18"/>
  <c r="E80" i="18"/>
  <c r="F80" i="18"/>
  <c r="R80" i="18"/>
  <c r="J80" i="18" s="1"/>
  <c r="T80" i="18"/>
  <c r="U80" i="18"/>
  <c r="V80" i="18"/>
  <c r="W80" i="18"/>
  <c r="AN80" i="18"/>
  <c r="AO80" i="18" s="1"/>
  <c r="AS80" i="18" s="1"/>
  <c r="AR80" i="18"/>
  <c r="AT80" i="18"/>
  <c r="C81" i="18"/>
  <c r="D81" i="18"/>
  <c r="E81" i="18"/>
  <c r="F81" i="18"/>
  <c r="R81" i="18"/>
  <c r="J81" i="18" s="1"/>
  <c r="T81" i="18"/>
  <c r="U81" i="18"/>
  <c r="V81" i="18"/>
  <c r="W81" i="18"/>
  <c r="AN81" i="18"/>
  <c r="AO81" i="18" s="1"/>
  <c r="AS81" i="18" s="1"/>
  <c r="AR81" i="18"/>
  <c r="C82" i="18"/>
  <c r="D82" i="18"/>
  <c r="E82" i="18"/>
  <c r="F82" i="18"/>
  <c r="J82" i="18"/>
  <c r="R82" i="18"/>
  <c r="T82" i="18"/>
  <c r="U82" i="18"/>
  <c r="V82" i="18"/>
  <c r="W82" i="18"/>
  <c r="AN82" i="18"/>
  <c r="AO82" i="18" s="1"/>
  <c r="AT82" i="18"/>
  <c r="AV82" i="18"/>
  <c r="C83" i="18"/>
  <c r="D83" i="18"/>
  <c r="E83" i="18"/>
  <c r="F83" i="18"/>
  <c r="R83" i="18"/>
  <c r="J83" i="18" s="1"/>
  <c r="T83" i="18"/>
  <c r="U83" i="18"/>
  <c r="V83" i="18"/>
  <c r="W83" i="18"/>
  <c r="AN83" i="18"/>
  <c r="AO83" i="18" s="1"/>
  <c r="AS83" i="18" s="1"/>
  <c r="C84" i="18"/>
  <c r="D84" i="18"/>
  <c r="E84" i="18"/>
  <c r="F84" i="18"/>
  <c r="R84" i="18"/>
  <c r="J84" i="18" s="1"/>
  <c r="T84" i="18"/>
  <c r="U84" i="18"/>
  <c r="V84" i="18"/>
  <c r="W84" i="18"/>
  <c r="AN84" i="18"/>
  <c r="AO84" i="18" s="1"/>
  <c r="AS84" i="18" s="1"/>
  <c r="AR84" i="18"/>
  <c r="AT84" i="18"/>
  <c r="C85" i="18"/>
  <c r="D85" i="18"/>
  <c r="E85" i="18"/>
  <c r="F85" i="18"/>
  <c r="R85" i="18"/>
  <c r="J85" i="18" s="1"/>
  <c r="T85" i="18"/>
  <c r="U85" i="18"/>
  <c r="V85" i="18"/>
  <c r="W85" i="18"/>
  <c r="C86" i="18"/>
  <c r="D86" i="18"/>
  <c r="AN85" i="18" s="1"/>
  <c r="E86" i="18"/>
  <c r="F86" i="18"/>
  <c r="R86" i="18"/>
  <c r="J86" i="18" s="1"/>
  <c r="T86" i="18"/>
  <c r="U86" i="18"/>
  <c r="V86" i="18"/>
  <c r="W86" i="18"/>
  <c r="C87" i="18"/>
  <c r="D87" i="18"/>
  <c r="E87" i="18"/>
  <c r="F87" i="18"/>
  <c r="R87" i="18"/>
  <c r="J87" i="18" s="1"/>
  <c r="T87" i="18"/>
  <c r="U87" i="18"/>
  <c r="V87" i="18"/>
  <c r="W87" i="18"/>
  <c r="C88" i="18"/>
  <c r="D88" i="18"/>
  <c r="AN87" i="18" s="1"/>
  <c r="E88" i="18"/>
  <c r="F88" i="18"/>
  <c r="R88" i="18"/>
  <c r="J88" i="18" s="1"/>
  <c r="T88" i="18"/>
  <c r="U88" i="18"/>
  <c r="V88" i="18"/>
  <c r="W88" i="18"/>
  <c r="C89" i="18"/>
  <c r="D89" i="18"/>
  <c r="E89" i="18"/>
  <c r="F89" i="18"/>
  <c r="R89" i="18"/>
  <c r="J89" i="18" s="1"/>
  <c r="T89" i="18"/>
  <c r="U89" i="18"/>
  <c r="V89" i="18"/>
  <c r="W89" i="18"/>
  <c r="AN89" i="18"/>
  <c r="AO89" i="18" s="1"/>
  <c r="AS89" i="18" s="1"/>
  <c r="C90" i="18"/>
  <c r="D90" i="18"/>
  <c r="E90" i="18"/>
  <c r="F90" i="18"/>
  <c r="R90" i="18"/>
  <c r="J90" i="18" s="1"/>
  <c r="T90" i="18"/>
  <c r="U90" i="18"/>
  <c r="V90" i="18"/>
  <c r="W90" i="18"/>
  <c r="C91" i="18"/>
  <c r="D91" i="18"/>
  <c r="E91" i="18"/>
  <c r="F91" i="18"/>
  <c r="R91" i="18"/>
  <c r="J91" i="18" s="1"/>
  <c r="T91" i="18"/>
  <c r="U91" i="18"/>
  <c r="V91" i="18"/>
  <c r="W91" i="18"/>
  <c r="AN91" i="18"/>
  <c r="AR91" i="18" s="1"/>
  <c r="AO91" i="18"/>
  <c r="AS91" i="18" s="1"/>
  <c r="AN67" i="18"/>
  <c r="W67" i="18"/>
  <c r="V67" i="18"/>
  <c r="U67" i="18"/>
  <c r="T67" i="18"/>
  <c r="C38" i="18"/>
  <c r="D38" i="18"/>
  <c r="E38" i="18"/>
  <c r="F38" i="18"/>
  <c r="R38" i="18"/>
  <c r="J38" i="18" s="1"/>
  <c r="T38" i="18"/>
  <c r="U38" i="18"/>
  <c r="V38" i="18"/>
  <c r="W38" i="18"/>
  <c r="AN38" i="18"/>
  <c r="AO38" i="18"/>
  <c r="AR38" i="18"/>
  <c r="AS38" i="18"/>
  <c r="AT38" i="18"/>
  <c r="C39" i="18"/>
  <c r="D39" i="18"/>
  <c r="AN40" i="18" s="1"/>
  <c r="E39" i="18"/>
  <c r="F39" i="18"/>
  <c r="R39" i="18"/>
  <c r="J39" i="18" s="1"/>
  <c r="T39" i="18"/>
  <c r="U39" i="18"/>
  <c r="V39" i="18"/>
  <c r="W39" i="18"/>
  <c r="AN39" i="18"/>
  <c r="AO39" i="18"/>
  <c r="AR39" i="18"/>
  <c r="AS39" i="18"/>
  <c r="AT39" i="18"/>
  <c r="C40" i="18"/>
  <c r="D40" i="18"/>
  <c r="E40" i="18"/>
  <c r="F40" i="18"/>
  <c r="R40" i="18"/>
  <c r="J40" i="18" s="1"/>
  <c r="T40" i="18"/>
  <c r="U40" i="18"/>
  <c r="V40" i="18"/>
  <c r="W40" i="18"/>
  <c r="C41" i="18"/>
  <c r="D41" i="18"/>
  <c r="AN42" i="18" s="1"/>
  <c r="E41" i="18"/>
  <c r="F41" i="18"/>
  <c r="R41" i="18"/>
  <c r="J41" i="18" s="1"/>
  <c r="T41" i="18"/>
  <c r="U41" i="18"/>
  <c r="V41" i="18"/>
  <c r="W41" i="18"/>
  <c r="C42" i="18"/>
  <c r="D42" i="18"/>
  <c r="E42" i="18"/>
  <c r="F42" i="18"/>
  <c r="R42" i="18"/>
  <c r="J42" i="18" s="1"/>
  <c r="T42" i="18"/>
  <c r="U42" i="18"/>
  <c r="V42" i="18"/>
  <c r="W42" i="18"/>
  <c r="C43" i="18"/>
  <c r="D43" i="18"/>
  <c r="E43" i="18"/>
  <c r="F43" i="18"/>
  <c r="R43" i="18"/>
  <c r="J43" i="18" s="1"/>
  <c r="T43" i="18"/>
  <c r="U43" i="18"/>
  <c r="V43" i="18"/>
  <c r="W43" i="18"/>
  <c r="C44" i="18"/>
  <c r="D44" i="18"/>
  <c r="E44" i="18"/>
  <c r="F44" i="18"/>
  <c r="R44" i="18"/>
  <c r="J44" i="18" s="1"/>
  <c r="T44" i="18"/>
  <c r="U44" i="18"/>
  <c r="V44" i="18"/>
  <c r="W44" i="18"/>
  <c r="AN44" i="18"/>
  <c r="AO44" i="18"/>
  <c r="C45" i="18"/>
  <c r="D45" i="18"/>
  <c r="E45" i="18"/>
  <c r="F45" i="18"/>
  <c r="R45" i="18"/>
  <c r="J45" i="18" s="1"/>
  <c r="T45" i="18"/>
  <c r="U45" i="18"/>
  <c r="V45" i="18"/>
  <c r="W45" i="18"/>
  <c r="C46" i="18"/>
  <c r="D46" i="18"/>
  <c r="E46" i="18"/>
  <c r="F46" i="18"/>
  <c r="J46" i="18"/>
  <c r="R46" i="18"/>
  <c r="T46" i="18"/>
  <c r="U46" i="18"/>
  <c r="V46" i="18"/>
  <c r="W46" i="18"/>
  <c r="AN46" i="18"/>
  <c r="AO46" i="18"/>
  <c r="C47" i="18"/>
  <c r="D47" i="18"/>
  <c r="E47" i="18"/>
  <c r="F47" i="18"/>
  <c r="R47" i="18"/>
  <c r="J47" i="18" s="1"/>
  <c r="T47" i="18"/>
  <c r="U47" i="18"/>
  <c r="V47" i="18"/>
  <c r="W47" i="18"/>
  <c r="C48" i="18"/>
  <c r="D48" i="18"/>
  <c r="E48" i="18"/>
  <c r="F48" i="18"/>
  <c r="J48" i="18"/>
  <c r="R48" i="18"/>
  <c r="T48" i="18"/>
  <c r="U48" i="18"/>
  <c r="V48" i="18"/>
  <c r="W48" i="18"/>
  <c r="AN48" i="18"/>
  <c r="C49" i="18"/>
  <c r="D49" i="18"/>
  <c r="E49" i="18"/>
  <c r="F49" i="18"/>
  <c r="R49" i="18"/>
  <c r="J49" i="18" s="1"/>
  <c r="T49" i="18"/>
  <c r="U49" i="18"/>
  <c r="V49" i="18"/>
  <c r="W49" i="18"/>
  <c r="C50" i="18"/>
  <c r="D50" i="18"/>
  <c r="E50" i="18"/>
  <c r="F50" i="18"/>
  <c r="R50" i="18"/>
  <c r="T50" i="18"/>
  <c r="U50" i="18"/>
  <c r="V50" i="18"/>
  <c r="W50" i="18"/>
  <c r="AN50" i="18"/>
  <c r="AO50" i="18" s="1"/>
  <c r="AS50" i="18" s="1"/>
  <c r="AR50" i="18"/>
  <c r="AT50" i="18"/>
  <c r="C51" i="18"/>
  <c r="D51" i="18"/>
  <c r="E51" i="18"/>
  <c r="F51" i="18"/>
  <c r="R51" i="18"/>
  <c r="J51" i="18" s="1"/>
  <c r="T51" i="18"/>
  <c r="U51" i="18"/>
  <c r="V51" i="18"/>
  <c r="W51" i="18"/>
  <c r="C52" i="18"/>
  <c r="D52" i="18"/>
  <c r="E52" i="18"/>
  <c r="F52" i="18"/>
  <c r="J52" i="18"/>
  <c r="R52" i="18"/>
  <c r="T52" i="18"/>
  <c r="U52" i="18"/>
  <c r="V52" i="18"/>
  <c r="W52" i="18"/>
  <c r="AN52" i="18"/>
  <c r="AO52" i="18"/>
  <c r="AS52" i="18" s="1"/>
  <c r="AR52" i="18"/>
  <c r="AT52" i="18"/>
  <c r="AV52" i="18"/>
  <c r="C53" i="18"/>
  <c r="D53" i="18"/>
  <c r="E53" i="18"/>
  <c r="F53" i="18"/>
  <c r="R53" i="18"/>
  <c r="J53" i="18" s="1"/>
  <c r="T53" i="18"/>
  <c r="U53" i="18"/>
  <c r="V53" i="18"/>
  <c r="W53" i="18"/>
  <c r="C54" i="18"/>
  <c r="D54" i="18"/>
  <c r="AN55" i="18" s="1"/>
  <c r="E54" i="18"/>
  <c r="F54" i="18"/>
  <c r="R54" i="18"/>
  <c r="J54" i="18" s="1"/>
  <c r="T54" i="18"/>
  <c r="U54" i="18"/>
  <c r="V54" i="18"/>
  <c r="W54" i="18"/>
  <c r="AN54" i="18"/>
  <c r="AO54" i="18"/>
  <c r="AR54" i="18"/>
  <c r="AS54" i="18"/>
  <c r="AT54" i="18"/>
  <c r="C55" i="18"/>
  <c r="D55" i="18"/>
  <c r="E55" i="18"/>
  <c r="F55" i="18"/>
  <c r="R55" i="18"/>
  <c r="J55" i="18" s="1"/>
  <c r="T55" i="18"/>
  <c r="U55" i="18"/>
  <c r="V55" i="18"/>
  <c r="W55" i="18"/>
  <c r="C56" i="18"/>
  <c r="D56" i="18"/>
  <c r="AN57" i="18" s="1"/>
  <c r="E56" i="18"/>
  <c r="F56" i="18"/>
  <c r="R56" i="18"/>
  <c r="J56" i="18" s="1"/>
  <c r="T56" i="18"/>
  <c r="U56" i="18"/>
  <c r="V56" i="18"/>
  <c r="W56" i="18"/>
  <c r="AN56" i="18"/>
  <c r="AO56" i="18" s="1"/>
  <c r="AS56" i="18" s="1"/>
  <c r="AR56" i="18"/>
  <c r="AT56" i="18"/>
  <c r="C57" i="18"/>
  <c r="D57" i="18"/>
  <c r="E57" i="18"/>
  <c r="F57" i="18"/>
  <c r="R57" i="18"/>
  <c r="J57" i="18" s="1"/>
  <c r="T57" i="18"/>
  <c r="U57" i="18"/>
  <c r="V57" i="18"/>
  <c r="W57" i="18"/>
  <c r="C58" i="18"/>
  <c r="D58" i="18"/>
  <c r="E58" i="18"/>
  <c r="F58" i="18"/>
  <c r="R58" i="18"/>
  <c r="J58" i="18" s="1"/>
  <c r="T58" i="18"/>
  <c r="U58" i="18"/>
  <c r="V58" i="18"/>
  <c r="W58" i="18"/>
  <c r="C59" i="18"/>
  <c r="D59" i="18"/>
  <c r="E59" i="18"/>
  <c r="F59" i="18"/>
  <c r="R59" i="18"/>
  <c r="J59" i="18" s="1"/>
  <c r="T59" i="18"/>
  <c r="U59" i="18"/>
  <c r="V59" i="18"/>
  <c r="W59" i="18"/>
  <c r="AN59" i="18"/>
  <c r="AO59" i="18" s="1"/>
  <c r="AS59" i="18" s="1"/>
  <c r="C60" i="18"/>
  <c r="D60" i="18"/>
  <c r="E60" i="18"/>
  <c r="F60" i="18"/>
  <c r="R60" i="18"/>
  <c r="J60" i="18" s="1"/>
  <c r="T60" i="18"/>
  <c r="U60" i="18"/>
  <c r="V60" i="18"/>
  <c r="W60" i="18"/>
  <c r="C61" i="18"/>
  <c r="D61" i="18"/>
  <c r="E61" i="18"/>
  <c r="F61" i="18"/>
  <c r="R61" i="18"/>
  <c r="J61" i="18" s="1"/>
  <c r="T61" i="18"/>
  <c r="U61" i="18"/>
  <c r="V61" i="18"/>
  <c r="W61" i="18"/>
  <c r="AN61" i="18"/>
  <c r="AR61" i="18" s="1"/>
  <c r="AO61" i="18"/>
  <c r="AS61" i="18" s="1"/>
  <c r="W37" i="18"/>
  <c r="V37" i="18"/>
  <c r="U37" i="18"/>
  <c r="T37" i="18"/>
  <c r="D7" i="18"/>
  <c r="E7" i="18"/>
  <c r="F7" i="18"/>
  <c r="G7" i="18"/>
  <c r="H7" i="18"/>
  <c r="I7" i="18"/>
  <c r="J7" i="18"/>
  <c r="K7" i="18" s="1"/>
  <c r="D8" i="18"/>
  <c r="E8" i="18"/>
  <c r="F8" i="18"/>
  <c r="G8" i="18"/>
  <c r="H8" i="18"/>
  <c r="I8" i="18"/>
  <c r="J8" i="18"/>
  <c r="K8" i="18" s="1"/>
  <c r="D9" i="18"/>
  <c r="E9" i="18"/>
  <c r="F9" i="18"/>
  <c r="G9" i="18"/>
  <c r="H9" i="18"/>
  <c r="D10" i="18"/>
  <c r="I10" i="18" s="1"/>
  <c r="J10" i="18" s="1"/>
  <c r="K10" i="18" s="1"/>
  <c r="E10" i="18"/>
  <c r="F10" i="18"/>
  <c r="G10" i="18"/>
  <c r="H10" i="18"/>
  <c r="D11" i="18"/>
  <c r="I11" i="18" s="1"/>
  <c r="J11" i="18" s="1"/>
  <c r="K11" i="18" s="1"/>
  <c r="E11" i="18"/>
  <c r="F11" i="18"/>
  <c r="G11" i="18"/>
  <c r="H11" i="18"/>
  <c r="D12" i="18"/>
  <c r="E12" i="18"/>
  <c r="F12" i="18"/>
  <c r="G12" i="18"/>
  <c r="H12" i="18"/>
  <c r="I12" i="18"/>
  <c r="J12" i="18" s="1"/>
  <c r="K12" i="18" s="1"/>
  <c r="D13" i="18"/>
  <c r="I13" i="18" s="1"/>
  <c r="E13" i="18"/>
  <c r="F13" i="18"/>
  <c r="J13" i="18" s="1"/>
  <c r="K13" i="18" s="1"/>
  <c r="G13" i="18"/>
  <c r="H13" i="18"/>
  <c r="D14" i="18"/>
  <c r="E14" i="18"/>
  <c r="F14" i="18"/>
  <c r="G14" i="18"/>
  <c r="J14" i="18" s="1"/>
  <c r="K14" i="18" s="1"/>
  <c r="H14" i="18"/>
  <c r="I14" i="18"/>
  <c r="D15" i="18"/>
  <c r="I15" i="18" s="1"/>
  <c r="E15" i="18"/>
  <c r="F15" i="18"/>
  <c r="G15" i="18"/>
  <c r="J15" i="18" s="1"/>
  <c r="K15" i="18" s="1"/>
  <c r="H15" i="18"/>
  <c r="D16" i="18"/>
  <c r="E16" i="18"/>
  <c r="F16" i="18"/>
  <c r="G16" i="18"/>
  <c r="H16" i="18"/>
  <c r="I16" i="18"/>
  <c r="J16" i="18" s="1"/>
  <c r="K16" i="18" s="1"/>
  <c r="D17" i="18"/>
  <c r="E17" i="18"/>
  <c r="F17" i="18"/>
  <c r="G17" i="18"/>
  <c r="H17" i="18"/>
  <c r="D18" i="18"/>
  <c r="E18" i="18"/>
  <c r="F18" i="18"/>
  <c r="G18" i="18"/>
  <c r="H18" i="18"/>
  <c r="I18" i="18"/>
  <c r="D19" i="18"/>
  <c r="E19" i="18"/>
  <c r="F19" i="18"/>
  <c r="G19" i="18"/>
  <c r="J19" i="18" s="1"/>
  <c r="K19" i="18" s="1"/>
  <c r="H19" i="18"/>
  <c r="I19" i="18"/>
  <c r="D20" i="18"/>
  <c r="E20" i="18"/>
  <c r="F20" i="18"/>
  <c r="G20" i="18"/>
  <c r="J20" i="18" s="1"/>
  <c r="K20" i="18" s="1"/>
  <c r="H20" i="18"/>
  <c r="I20" i="18"/>
  <c r="D21" i="18"/>
  <c r="I21" i="18" s="1"/>
  <c r="E21" i="18"/>
  <c r="F21" i="18"/>
  <c r="G21" i="18"/>
  <c r="H21" i="18"/>
  <c r="D22" i="18"/>
  <c r="E22" i="18"/>
  <c r="I22" i="18" s="1"/>
  <c r="J22" i="18" s="1"/>
  <c r="K22" i="18" s="1"/>
  <c r="F22" i="18"/>
  <c r="G22" i="18"/>
  <c r="H22" i="18"/>
  <c r="D23" i="18"/>
  <c r="E23" i="18"/>
  <c r="F23" i="18"/>
  <c r="J23" i="18" s="1"/>
  <c r="K23" i="18" s="1"/>
  <c r="G23" i="18"/>
  <c r="H23" i="18"/>
  <c r="I23" i="18"/>
  <c r="D24" i="18"/>
  <c r="E24" i="18"/>
  <c r="F24" i="18"/>
  <c r="G24" i="18"/>
  <c r="J24" i="18" s="1"/>
  <c r="K24" i="18" s="1"/>
  <c r="H24" i="18"/>
  <c r="I24" i="18"/>
  <c r="D25" i="18"/>
  <c r="E25" i="18"/>
  <c r="F25" i="18"/>
  <c r="G25" i="18"/>
  <c r="H25" i="18"/>
  <c r="D26" i="18"/>
  <c r="I26" i="18" s="1"/>
  <c r="J26" i="18" s="1"/>
  <c r="K26" i="18" s="1"/>
  <c r="E26" i="18"/>
  <c r="F26" i="18"/>
  <c r="G26" i="18"/>
  <c r="H26" i="18"/>
  <c r="D27" i="18"/>
  <c r="I27" i="18" s="1"/>
  <c r="J27" i="18" s="1"/>
  <c r="K27" i="18" s="1"/>
  <c r="E27" i="18"/>
  <c r="F27" i="18"/>
  <c r="G27" i="18"/>
  <c r="H27" i="18"/>
  <c r="D28" i="18"/>
  <c r="E28" i="18"/>
  <c r="F28" i="18"/>
  <c r="G28" i="18"/>
  <c r="H28" i="18"/>
  <c r="I28" i="18"/>
  <c r="J28" i="18"/>
  <c r="K28" i="18" s="1"/>
  <c r="D29" i="18"/>
  <c r="E29" i="18"/>
  <c r="F29" i="18"/>
  <c r="G29" i="18"/>
  <c r="H29" i="18"/>
  <c r="D30" i="18"/>
  <c r="E30" i="18"/>
  <c r="F30" i="18"/>
  <c r="G30" i="18"/>
  <c r="H30" i="18"/>
  <c r="I30" i="18"/>
  <c r="J30" i="18" s="1"/>
  <c r="K30" i="18" s="1"/>
  <c r="E6" i="18"/>
  <c r="F6" i="18"/>
  <c r="G6" i="18"/>
  <c r="H6" i="18"/>
  <c r="D6" i="18"/>
  <c r="C167" i="19"/>
  <c r="D167" i="19"/>
  <c r="K167" i="19"/>
  <c r="M167" i="19"/>
  <c r="O167" i="19"/>
  <c r="S167" i="19"/>
  <c r="AB167" i="19"/>
  <c r="AH167" i="19"/>
  <c r="AI167" i="19"/>
  <c r="C168" i="19"/>
  <c r="D168" i="19"/>
  <c r="L168" i="19"/>
  <c r="N168" i="19"/>
  <c r="P168" i="19"/>
  <c r="T168" i="19"/>
  <c r="AH168" i="19"/>
  <c r="AI168" i="19"/>
  <c r="C169" i="19"/>
  <c r="D169" i="19"/>
  <c r="L169" i="19"/>
  <c r="P169" i="19" s="1"/>
  <c r="N169" i="19"/>
  <c r="AH169" i="19"/>
  <c r="AI169" i="19"/>
  <c r="C170" i="19"/>
  <c r="D170" i="19"/>
  <c r="L170" i="19"/>
  <c r="N170" i="19" s="1"/>
  <c r="AH170" i="19"/>
  <c r="AI170" i="19"/>
  <c r="C171" i="19"/>
  <c r="D171" i="19"/>
  <c r="L171" i="19"/>
  <c r="N171" i="19" s="1"/>
  <c r="T171" i="19"/>
  <c r="AH171" i="19"/>
  <c r="AI171" i="19"/>
  <c r="C172" i="19"/>
  <c r="D172" i="19"/>
  <c r="L172" i="19"/>
  <c r="N172" i="19" s="1"/>
  <c r="AH172" i="19"/>
  <c r="AI172" i="19"/>
  <c r="C155" i="19"/>
  <c r="D155" i="19"/>
  <c r="E155" i="19"/>
  <c r="F155" i="19"/>
  <c r="G155" i="19"/>
  <c r="H155" i="19"/>
  <c r="I155" i="19"/>
  <c r="C156" i="19"/>
  <c r="D156" i="19"/>
  <c r="G156" i="19"/>
  <c r="H156" i="19"/>
  <c r="I156" i="19"/>
  <c r="C157" i="19"/>
  <c r="D157" i="19"/>
  <c r="G157" i="19"/>
  <c r="H157" i="19"/>
  <c r="I157" i="19"/>
  <c r="C158" i="19"/>
  <c r="D158" i="19"/>
  <c r="G158" i="19"/>
  <c r="H158" i="19"/>
  <c r="I158" i="19"/>
  <c r="C159" i="19"/>
  <c r="D159" i="19"/>
  <c r="G159" i="19"/>
  <c r="H159" i="19"/>
  <c r="I159" i="19"/>
  <c r="C160" i="19"/>
  <c r="D160" i="19"/>
  <c r="G160" i="19"/>
  <c r="H160" i="19"/>
  <c r="I160" i="19"/>
  <c r="I154" i="19"/>
  <c r="H154" i="19"/>
  <c r="G154" i="19"/>
  <c r="F154" i="19"/>
  <c r="E154" i="19"/>
  <c r="D154" i="19"/>
  <c r="C154" i="19"/>
  <c r="O125" i="19"/>
  <c r="P125" i="19"/>
  <c r="AD125" i="19"/>
  <c r="AF125" i="19" s="1"/>
  <c r="AJ125" i="19"/>
  <c r="AK125" i="19"/>
  <c r="D126" i="19"/>
  <c r="O126" i="19"/>
  <c r="P126" i="19"/>
  <c r="AJ126" i="19"/>
  <c r="AK126" i="19"/>
  <c r="O127" i="19"/>
  <c r="P127" i="19"/>
  <c r="AJ127" i="19"/>
  <c r="AK127" i="19"/>
  <c r="O128" i="19"/>
  <c r="P128" i="19"/>
  <c r="AJ128" i="19"/>
  <c r="AK128" i="19"/>
  <c r="O129" i="19"/>
  <c r="P129" i="19"/>
  <c r="AJ129" i="19"/>
  <c r="AK129" i="19"/>
  <c r="D130" i="19"/>
  <c r="O130" i="19"/>
  <c r="P130" i="19"/>
  <c r="AJ130" i="19"/>
  <c r="AK130" i="19"/>
  <c r="O131" i="19"/>
  <c r="P131" i="19"/>
  <c r="AJ131" i="19"/>
  <c r="AK131" i="19"/>
  <c r="O132" i="19"/>
  <c r="P132" i="19"/>
  <c r="AB132" i="19"/>
  <c r="AD132" i="19"/>
  <c r="AE132" i="19"/>
  <c r="AG132" i="19" s="1"/>
  <c r="AF132" i="19"/>
  <c r="AJ132" i="19"/>
  <c r="AK132" i="19"/>
  <c r="O133" i="19"/>
  <c r="P133" i="19"/>
  <c r="AJ133" i="19"/>
  <c r="AK133" i="19"/>
  <c r="D134" i="19"/>
  <c r="O134" i="19"/>
  <c r="P134" i="19"/>
  <c r="AJ134" i="19"/>
  <c r="AK134" i="19"/>
  <c r="O135" i="19"/>
  <c r="P135" i="19"/>
  <c r="AJ135" i="19"/>
  <c r="AK135" i="19"/>
  <c r="O136" i="19"/>
  <c r="P136" i="19"/>
  <c r="AJ136" i="19"/>
  <c r="AK136" i="19"/>
  <c r="O137" i="19"/>
  <c r="P137" i="19"/>
  <c r="AJ137" i="19"/>
  <c r="AK137" i="19"/>
  <c r="F138" i="19"/>
  <c r="O138" i="19"/>
  <c r="P138" i="19"/>
  <c r="AJ138" i="19"/>
  <c r="AK138" i="19"/>
  <c r="F139" i="19"/>
  <c r="O139" i="19"/>
  <c r="P139" i="19"/>
  <c r="AJ139" i="19"/>
  <c r="AK139" i="19"/>
  <c r="F140" i="19"/>
  <c r="O140" i="19"/>
  <c r="P140" i="19"/>
  <c r="AJ140" i="19"/>
  <c r="AK140" i="19"/>
  <c r="D141" i="19"/>
  <c r="F141" i="19"/>
  <c r="O141" i="19"/>
  <c r="P141" i="19"/>
  <c r="AJ141" i="19"/>
  <c r="AK141" i="19"/>
  <c r="D142" i="19"/>
  <c r="F142" i="19"/>
  <c r="O142" i="19"/>
  <c r="P142" i="19"/>
  <c r="AJ142" i="19"/>
  <c r="AK142" i="19"/>
  <c r="D143" i="19"/>
  <c r="F143" i="19"/>
  <c r="O143" i="19"/>
  <c r="P143" i="19"/>
  <c r="AJ143" i="19"/>
  <c r="AK143" i="19"/>
  <c r="F144" i="19"/>
  <c r="O144" i="19"/>
  <c r="P144" i="19"/>
  <c r="AJ144" i="19"/>
  <c r="AK144" i="19"/>
  <c r="F145" i="19"/>
  <c r="O145" i="19"/>
  <c r="P145" i="19"/>
  <c r="AE145" i="19"/>
  <c r="AG145" i="19"/>
  <c r="AJ145" i="19"/>
  <c r="AK145" i="19"/>
  <c r="F146" i="19"/>
  <c r="O146" i="19"/>
  <c r="P146" i="19"/>
  <c r="AJ146" i="19"/>
  <c r="AK146" i="19"/>
  <c r="F147" i="19"/>
  <c r="O147" i="19"/>
  <c r="P147" i="19"/>
  <c r="AJ147" i="19"/>
  <c r="AK147" i="19"/>
  <c r="O96" i="19"/>
  <c r="P96" i="19"/>
  <c r="AJ96" i="19"/>
  <c r="AK96" i="19"/>
  <c r="O97" i="19"/>
  <c r="P97" i="19"/>
  <c r="AJ97" i="19"/>
  <c r="AK97" i="19"/>
  <c r="O98" i="19"/>
  <c r="P98" i="19"/>
  <c r="AJ98" i="19"/>
  <c r="AK98" i="19"/>
  <c r="O99" i="19"/>
  <c r="P99" i="19"/>
  <c r="AJ99" i="19"/>
  <c r="AK99" i="19"/>
  <c r="O100" i="19"/>
  <c r="P100" i="19"/>
  <c r="AJ100" i="19"/>
  <c r="AK100" i="19"/>
  <c r="O101" i="19"/>
  <c r="P101" i="19"/>
  <c r="AJ101" i="19"/>
  <c r="AK101" i="19"/>
  <c r="O102" i="19"/>
  <c r="P102" i="19"/>
  <c r="AJ102" i="19"/>
  <c r="AK102" i="19"/>
  <c r="O103" i="19"/>
  <c r="P103" i="19"/>
  <c r="AJ103" i="19"/>
  <c r="AK103" i="19"/>
  <c r="O104" i="19"/>
  <c r="P104" i="19"/>
  <c r="AJ104" i="19"/>
  <c r="AK104" i="19"/>
  <c r="C105" i="19"/>
  <c r="O105" i="19"/>
  <c r="P105" i="19"/>
  <c r="AJ105" i="19"/>
  <c r="AK105" i="19"/>
  <c r="O106" i="19"/>
  <c r="P106" i="19"/>
  <c r="AJ106" i="19"/>
  <c r="AK106" i="19"/>
  <c r="O107" i="19"/>
  <c r="P107" i="19"/>
  <c r="AJ107" i="19"/>
  <c r="AK107" i="19"/>
  <c r="O108" i="19"/>
  <c r="P108" i="19"/>
  <c r="AJ108" i="19"/>
  <c r="AK108" i="19"/>
  <c r="F109" i="19"/>
  <c r="O109" i="19"/>
  <c r="P109" i="19"/>
  <c r="AJ109" i="19"/>
  <c r="AK109" i="19"/>
  <c r="F110" i="19"/>
  <c r="O110" i="19"/>
  <c r="P110" i="19"/>
  <c r="AJ110" i="19"/>
  <c r="AK110" i="19"/>
  <c r="F111" i="19"/>
  <c r="O111" i="19"/>
  <c r="P111" i="19"/>
  <c r="AJ111" i="19"/>
  <c r="AK111" i="19"/>
  <c r="F112" i="19"/>
  <c r="O112" i="19"/>
  <c r="P112" i="19"/>
  <c r="AJ112" i="19"/>
  <c r="AK112" i="19"/>
  <c r="F113" i="19"/>
  <c r="O113" i="19"/>
  <c r="P113" i="19"/>
  <c r="AJ113" i="19"/>
  <c r="AK113" i="19"/>
  <c r="F114" i="19"/>
  <c r="O114" i="19"/>
  <c r="P114" i="19"/>
  <c r="AJ114" i="19"/>
  <c r="AK114" i="19"/>
  <c r="F115" i="19"/>
  <c r="O115" i="19"/>
  <c r="P115" i="19"/>
  <c r="AJ115" i="19"/>
  <c r="AK115" i="19"/>
  <c r="F116" i="19"/>
  <c r="O116" i="19"/>
  <c r="P116" i="19"/>
  <c r="AJ116" i="19"/>
  <c r="AK116" i="19"/>
  <c r="F117" i="19"/>
  <c r="O117" i="19"/>
  <c r="P117" i="19"/>
  <c r="AJ117" i="19"/>
  <c r="AK117" i="19"/>
  <c r="F118" i="19"/>
  <c r="O118" i="19"/>
  <c r="P118" i="19"/>
  <c r="AJ118" i="19"/>
  <c r="AK118" i="19"/>
  <c r="O67" i="19"/>
  <c r="P67" i="19"/>
  <c r="AJ67" i="19"/>
  <c r="AK67" i="19"/>
  <c r="O68" i="19"/>
  <c r="P68" i="19"/>
  <c r="AJ68" i="19"/>
  <c r="AK68" i="19"/>
  <c r="O69" i="19"/>
  <c r="P69" i="19"/>
  <c r="AJ69" i="19"/>
  <c r="AK69" i="19"/>
  <c r="O70" i="19"/>
  <c r="P70" i="19"/>
  <c r="AJ70" i="19"/>
  <c r="AK70" i="19"/>
  <c r="O71" i="19"/>
  <c r="P71" i="19"/>
  <c r="AJ71" i="19"/>
  <c r="AK71" i="19"/>
  <c r="O72" i="19"/>
  <c r="P72" i="19"/>
  <c r="AJ72" i="19"/>
  <c r="AK72" i="19"/>
  <c r="O73" i="19"/>
  <c r="P73" i="19"/>
  <c r="AJ73" i="19"/>
  <c r="AK73" i="19"/>
  <c r="O74" i="19"/>
  <c r="P74" i="19"/>
  <c r="AJ74" i="19"/>
  <c r="AK74" i="19"/>
  <c r="O75" i="19"/>
  <c r="P75" i="19"/>
  <c r="AJ75" i="19"/>
  <c r="AK75" i="19"/>
  <c r="O76" i="19"/>
  <c r="P76" i="19"/>
  <c r="AJ76" i="19"/>
  <c r="AK76" i="19"/>
  <c r="O77" i="19"/>
  <c r="P77" i="19"/>
  <c r="AJ77" i="19"/>
  <c r="AK77" i="19"/>
  <c r="O78" i="19"/>
  <c r="P78" i="19"/>
  <c r="AJ78" i="19"/>
  <c r="AK78" i="19"/>
  <c r="O79" i="19"/>
  <c r="P79" i="19"/>
  <c r="AJ79" i="19"/>
  <c r="AK79" i="19"/>
  <c r="F80" i="19"/>
  <c r="O80" i="19"/>
  <c r="P80" i="19"/>
  <c r="AJ80" i="19"/>
  <c r="AK80" i="19"/>
  <c r="F81" i="19"/>
  <c r="O81" i="19"/>
  <c r="P81" i="19"/>
  <c r="AJ81" i="19"/>
  <c r="AK81" i="19"/>
  <c r="F82" i="19"/>
  <c r="O82" i="19"/>
  <c r="P82" i="19"/>
  <c r="AJ82" i="19"/>
  <c r="AK82" i="19"/>
  <c r="F83" i="19"/>
  <c r="O83" i="19"/>
  <c r="P83" i="19"/>
  <c r="AJ83" i="19"/>
  <c r="AK83" i="19"/>
  <c r="F84" i="19"/>
  <c r="O84" i="19"/>
  <c r="P84" i="19"/>
  <c r="AJ84" i="19"/>
  <c r="AK84" i="19"/>
  <c r="F85" i="19"/>
  <c r="O85" i="19"/>
  <c r="P85" i="19"/>
  <c r="AJ85" i="19"/>
  <c r="AK85" i="19"/>
  <c r="F86" i="19"/>
  <c r="O86" i="19"/>
  <c r="P86" i="19"/>
  <c r="AJ86" i="19"/>
  <c r="AK86" i="19"/>
  <c r="F87" i="19"/>
  <c r="O87" i="19"/>
  <c r="P87" i="19"/>
  <c r="AJ87" i="19"/>
  <c r="AK87" i="19"/>
  <c r="F88" i="19"/>
  <c r="O88" i="19"/>
  <c r="P88" i="19"/>
  <c r="AJ88" i="19"/>
  <c r="AK88" i="19"/>
  <c r="F89" i="19"/>
  <c r="O89" i="19"/>
  <c r="P89" i="19"/>
  <c r="AJ89" i="19"/>
  <c r="AK89" i="19"/>
  <c r="C38" i="19"/>
  <c r="C67" i="19" s="1"/>
  <c r="N38" i="19"/>
  <c r="C39" i="19"/>
  <c r="C68" i="19" s="1"/>
  <c r="N39" i="19"/>
  <c r="C40" i="19"/>
  <c r="C69" i="19" s="1"/>
  <c r="N40" i="19"/>
  <c r="C41" i="19"/>
  <c r="C70" i="19" s="1"/>
  <c r="N41" i="19"/>
  <c r="C42" i="19"/>
  <c r="C100" i="19" s="1"/>
  <c r="N42" i="19"/>
  <c r="C43" i="19"/>
  <c r="C72" i="19" s="1"/>
  <c r="N43" i="19"/>
  <c r="C44" i="19"/>
  <c r="C73" i="19" s="1"/>
  <c r="N44" i="19"/>
  <c r="C45" i="19"/>
  <c r="C103" i="19" s="1"/>
  <c r="N45" i="19"/>
  <c r="C46" i="19"/>
  <c r="C75" i="19" s="1"/>
  <c r="N46" i="19"/>
  <c r="C47" i="19"/>
  <c r="C76" i="19" s="1"/>
  <c r="N47" i="19"/>
  <c r="C48" i="19"/>
  <c r="C77" i="19" s="1"/>
  <c r="N48" i="19"/>
  <c r="C49" i="19"/>
  <c r="C78" i="19" s="1"/>
  <c r="N49" i="19"/>
  <c r="C50" i="19"/>
  <c r="C79" i="19" s="1"/>
  <c r="N50" i="19"/>
  <c r="C51" i="19"/>
  <c r="C80" i="19" s="1"/>
  <c r="N51" i="19"/>
  <c r="C52" i="19"/>
  <c r="C81" i="19" s="1"/>
  <c r="N52" i="19"/>
  <c r="C53" i="19"/>
  <c r="C82" i="19" s="1"/>
  <c r="E53" i="19"/>
  <c r="N53" i="19"/>
  <c r="C54" i="19"/>
  <c r="C83" i="19" s="1"/>
  <c r="N54" i="19"/>
  <c r="C55" i="19"/>
  <c r="C84" i="19" s="1"/>
  <c r="N55" i="19"/>
  <c r="C56" i="19"/>
  <c r="C85" i="19" s="1"/>
  <c r="N56" i="19"/>
  <c r="C57" i="19"/>
  <c r="C86" i="19" s="1"/>
  <c r="N57" i="19"/>
  <c r="C58" i="19"/>
  <c r="C116" i="19" s="1"/>
  <c r="N58" i="19"/>
  <c r="C59" i="19"/>
  <c r="C88" i="19" s="1"/>
  <c r="N59" i="19"/>
  <c r="C60" i="19"/>
  <c r="C89" i="19" s="1"/>
  <c r="N60" i="19"/>
  <c r="N37" i="19"/>
  <c r="D7" i="19"/>
  <c r="E7" i="19"/>
  <c r="D38" i="19" s="1"/>
  <c r="F7" i="19"/>
  <c r="G7" i="19"/>
  <c r="E38" i="19" s="1"/>
  <c r="AB125" i="19" s="1"/>
  <c r="H7" i="19"/>
  <c r="G38" i="19" s="1"/>
  <c r="AD67" i="19" s="1"/>
  <c r="AF67" i="19" s="1"/>
  <c r="D8" i="19"/>
  <c r="E8" i="19"/>
  <c r="D68" i="19" s="1"/>
  <c r="F8" i="19"/>
  <c r="G8" i="19"/>
  <c r="E39" i="19" s="1"/>
  <c r="H8" i="19"/>
  <c r="H38" i="19" s="1"/>
  <c r="AD96" i="19" s="1"/>
  <c r="D9" i="19"/>
  <c r="E9" i="19"/>
  <c r="D40" i="19" s="1"/>
  <c r="F9" i="19"/>
  <c r="G9" i="19"/>
  <c r="E40" i="19" s="1"/>
  <c r="H9" i="19"/>
  <c r="G40" i="19" s="1"/>
  <c r="AD69" i="19" s="1"/>
  <c r="D10" i="19"/>
  <c r="E10" i="19"/>
  <c r="D41" i="19" s="1"/>
  <c r="F10" i="19"/>
  <c r="G10" i="19"/>
  <c r="E41" i="19" s="1"/>
  <c r="AB99" i="19" s="1"/>
  <c r="H10" i="19"/>
  <c r="H40" i="19" s="1"/>
  <c r="I40" i="19" s="1"/>
  <c r="D11" i="19"/>
  <c r="I11" i="19" s="1"/>
  <c r="E11" i="19"/>
  <c r="D42" i="19" s="1"/>
  <c r="F11" i="19"/>
  <c r="G11" i="19"/>
  <c r="H11" i="19"/>
  <c r="H41" i="19" s="1"/>
  <c r="AD99" i="19" s="1"/>
  <c r="D12" i="19"/>
  <c r="E12" i="19"/>
  <c r="D101" i="19" s="1"/>
  <c r="F12" i="19"/>
  <c r="G12" i="19"/>
  <c r="H12" i="19"/>
  <c r="G43" i="19" s="1"/>
  <c r="AD72" i="19" s="1"/>
  <c r="D13" i="19"/>
  <c r="E13" i="19"/>
  <c r="I13" i="19" s="1"/>
  <c r="F13" i="19"/>
  <c r="G13" i="19"/>
  <c r="E44" i="19" s="1"/>
  <c r="H13" i="19"/>
  <c r="H43" i="19" s="1"/>
  <c r="D14" i="19"/>
  <c r="E14" i="19"/>
  <c r="D45" i="19" s="1"/>
  <c r="F14" i="19"/>
  <c r="G14" i="19"/>
  <c r="E45" i="19" s="1"/>
  <c r="AB74" i="19" s="1"/>
  <c r="H14" i="19"/>
  <c r="G45" i="19" s="1"/>
  <c r="AD74" i="19" s="1"/>
  <c r="AF74" i="19" s="1"/>
  <c r="D15" i="19"/>
  <c r="E15" i="19"/>
  <c r="D75" i="19" s="1"/>
  <c r="F15" i="19"/>
  <c r="G15" i="19"/>
  <c r="E46" i="19" s="1"/>
  <c r="H15" i="19"/>
  <c r="H45" i="19" s="1"/>
  <c r="AD103" i="19" s="1"/>
  <c r="AF103" i="19" s="1"/>
  <c r="D16" i="19"/>
  <c r="E16" i="19"/>
  <c r="D105" i="19" s="1"/>
  <c r="F16" i="19"/>
  <c r="G16" i="19"/>
  <c r="E47" i="19" s="1"/>
  <c r="H16" i="19"/>
  <c r="H46" i="19" s="1"/>
  <c r="D17" i="19"/>
  <c r="E17" i="19"/>
  <c r="I17" i="19" s="1"/>
  <c r="F17" i="19"/>
  <c r="G17" i="19"/>
  <c r="E48" i="19" s="1"/>
  <c r="AB106" i="19" s="1"/>
  <c r="H17" i="19"/>
  <c r="G48" i="19" s="1"/>
  <c r="AD77" i="19" s="1"/>
  <c r="AF77" i="19" s="1"/>
  <c r="D18" i="19"/>
  <c r="E18" i="19"/>
  <c r="D49" i="19" s="1"/>
  <c r="F18" i="19"/>
  <c r="G18" i="19"/>
  <c r="E49" i="19" s="1"/>
  <c r="H18" i="19"/>
  <c r="H48" i="19" s="1"/>
  <c r="AD106" i="19" s="1"/>
  <c r="AF106" i="19" s="1"/>
  <c r="D19" i="19"/>
  <c r="E19" i="19"/>
  <c r="D50" i="19" s="1"/>
  <c r="F19" i="19"/>
  <c r="G19" i="19"/>
  <c r="E50" i="19" s="1"/>
  <c r="H19" i="19"/>
  <c r="H49" i="19" s="1"/>
  <c r="AD107" i="19" s="1"/>
  <c r="AF107" i="19" s="1"/>
  <c r="D20" i="19"/>
  <c r="E20" i="19"/>
  <c r="D109" i="19" s="1"/>
  <c r="F20" i="19"/>
  <c r="G20" i="19"/>
  <c r="E51" i="19" s="1"/>
  <c r="AB109" i="19" s="1"/>
  <c r="H20" i="19"/>
  <c r="G51" i="19" s="1"/>
  <c r="AD80" i="19" s="1"/>
  <c r="AF80" i="19" s="1"/>
  <c r="D21" i="19"/>
  <c r="E21" i="19"/>
  <c r="D81" i="19" s="1"/>
  <c r="F21" i="19"/>
  <c r="G21" i="19"/>
  <c r="E52" i="19" s="1"/>
  <c r="H21" i="19"/>
  <c r="H51" i="19" s="1"/>
  <c r="AD109" i="19" s="1"/>
  <c r="AF109" i="19" s="1"/>
  <c r="D22" i="19"/>
  <c r="E22" i="19"/>
  <c r="D53" i="19" s="1"/>
  <c r="F22" i="19"/>
  <c r="G22" i="19"/>
  <c r="H22" i="19"/>
  <c r="H52" i="19" s="1"/>
  <c r="AD110" i="19" s="1"/>
  <c r="AF110" i="19" s="1"/>
  <c r="D23" i="19"/>
  <c r="I23" i="19" s="1"/>
  <c r="E23" i="19"/>
  <c r="D83" i="19" s="1"/>
  <c r="F23" i="19"/>
  <c r="G23" i="19"/>
  <c r="E54" i="19" s="1"/>
  <c r="H23" i="19"/>
  <c r="H53" i="19" s="1"/>
  <c r="D24" i="19"/>
  <c r="E24" i="19"/>
  <c r="D55" i="19" s="1"/>
  <c r="F24" i="19"/>
  <c r="G24" i="19"/>
  <c r="E55" i="19" s="1"/>
  <c r="AB113" i="19" s="1"/>
  <c r="H24" i="19"/>
  <c r="G55" i="19" s="1"/>
  <c r="AD84" i="19" s="1"/>
  <c r="AF84" i="19" s="1"/>
  <c r="D25" i="19"/>
  <c r="E25" i="19"/>
  <c r="D56" i="19" s="1"/>
  <c r="F25" i="19"/>
  <c r="G25" i="19"/>
  <c r="E56" i="19" s="1"/>
  <c r="AB114" i="19" s="1"/>
  <c r="H25" i="19"/>
  <c r="H55" i="19" s="1"/>
  <c r="AD113" i="19" s="1"/>
  <c r="D26" i="19"/>
  <c r="E26" i="19"/>
  <c r="D86" i="19" s="1"/>
  <c r="F26" i="19"/>
  <c r="G26" i="19"/>
  <c r="E57" i="19" s="1"/>
  <c r="H26" i="19"/>
  <c r="H56" i="19" s="1"/>
  <c r="AD114" i="19" s="1"/>
  <c r="D27" i="19"/>
  <c r="E27" i="19"/>
  <c r="D58" i="19" s="1"/>
  <c r="F27" i="19"/>
  <c r="G27" i="19"/>
  <c r="H27" i="19"/>
  <c r="G58" i="19" s="1"/>
  <c r="AD87" i="19" s="1"/>
  <c r="D28" i="19"/>
  <c r="E28" i="19"/>
  <c r="I28" i="19" s="1"/>
  <c r="F28" i="19"/>
  <c r="G28" i="19"/>
  <c r="E59" i="19" s="1"/>
  <c r="H28" i="19"/>
  <c r="H58" i="19" s="1"/>
  <c r="AD116" i="19" s="1"/>
  <c r="D29" i="19"/>
  <c r="E29" i="19"/>
  <c r="I29" i="19" s="1"/>
  <c r="F29" i="19"/>
  <c r="G29" i="19"/>
  <c r="E60" i="19" s="1"/>
  <c r="H29" i="19"/>
  <c r="H59" i="19" s="1"/>
  <c r="AD117" i="19" s="1"/>
  <c r="AF117" i="19" s="1"/>
  <c r="D30" i="19"/>
  <c r="E30" i="19"/>
  <c r="F30" i="19"/>
  <c r="G30" i="19"/>
  <c r="H30" i="19"/>
  <c r="H60" i="19" s="1"/>
  <c r="AD118" i="19" s="1"/>
  <c r="AF118" i="19" s="1"/>
  <c r="E6" i="19"/>
  <c r="F6" i="19"/>
  <c r="G6" i="19"/>
  <c r="H6" i="19"/>
  <c r="D6" i="19"/>
  <c r="C34" i="17"/>
  <c r="D34" i="17"/>
  <c r="E34" i="17"/>
  <c r="F34" i="17"/>
  <c r="R34" i="17"/>
  <c r="J34" i="17" s="1"/>
  <c r="T34" i="17"/>
  <c r="U34" i="17"/>
  <c r="V34" i="17"/>
  <c r="W34" i="17"/>
  <c r="C35" i="17"/>
  <c r="D35" i="17"/>
  <c r="AN34" i="17" s="1"/>
  <c r="E35" i="17"/>
  <c r="F35" i="17"/>
  <c r="R35" i="17"/>
  <c r="J35" i="17" s="1"/>
  <c r="T35" i="17"/>
  <c r="U35" i="17"/>
  <c r="V35" i="17"/>
  <c r="W35" i="17"/>
  <c r="C36" i="17"/>
  <c r="D36" i="17"/>
  <c r="E36" i="17"/>
  <c r="F36" i="17"/>
  <c r="R36" i="17"/>
  <c r="J36" i="17" s="1"/>
  <c r="T36" i="17"/>
  <c r="U36" i="17"/>
  <c r="V36" i="17"/>
  <c r="W36" i="17"/>
  <c r="AN36" i="17"/>
  <c r="AO36" i="17"/>
  <c r="AR36" i="17"/>
  <c r="AS36" i="17"/>
  <c r="AT36" i="17"/>
  <c r="AN33" i="17"/>
  <c r="W33" i="17"/>
  <c r="V33" i="17"/>
  <c r="U33" i="17"/>
  <c r="T33" i="17"/>
  <c r="C25" i="17"/>
  <c r="D25" i="17"/>
  <c r="E25" i="17"/>
  <c r="F25" i="17"/>
  <c r="R25" i="17"/>
  <c r="J25" i="17" s="1"/>
  <c r="T25" i="17"/>
  <c r="U25" i="17"/>
  <c r="V25" i="17"/>
  <c r="W25" i="17"/>
  <c r="AN25" i="17"/>
  <c r="AO25" i="17" s="1"/>
  <c r="AS25" i="17" s="1"/>
  <c r="AR25" i="17"/>
  <c r="AT25" i="17"/>
  <c r="C26" i="17"/>
  <c r="D26" i="17"/>
  <c r="AN27" i="17" s="1"/>
  <c r="E26" i="17"/>
  <c r="F26" i="17"/>
  <c r="R26" i="17"/>
  <c r="J26" i="17" s="1"/>
  <c r="T26" i="17"/>
  <c r="U26" i="17"/>
  <c r="V26" i="17"/>
  <c r="W26" i="17"/>
  <c r="AN26" i="17"/>
  <c r="AO26" i="17"/>
  <c r="AR26" i="17"/>
  <c r="AS26" i="17"/>
  <c r="AT26" i="17"/>
  <c r="C27" i="17"/>
  <c r="D27" i="17"/>
  <c r="E27" i="17"/>
  <c r="F27" i="17"/>
  <c r="R27" i="17"/>
  <c r="J27" i="17" s="1"/>
  <c r="T27" i="17"/>
  <c r="U27" i="17"/>
  <c r="V27" i="17"/>
  <c r="W27" i="17"/>
  <c r="W24" i="17"/>
  <c r="V24" i="17"/>
  <c r="U24" i="17"/>
  <c r="T24" i="17"/>
  <c r="D7" i="17"/>
  <c r="E7" i="17"/>
  <c r="F7" i="17"/>
  <c r="G7" i="17"/>
  <c r="H7" i="17"/>
  <c r="I7" i="17"/>
  <c r="J7" i="17" s="1"/>
  <c r="K7" i="17" s="1"/>
  <c r="D8" i="17"/>
  <c r="E8" i="17"/>
  <c r="F8" i="17"/>
  <c r="G8" i="17"/>
  <c r="H8" i="17"/>
  <c r="I8" i="17"/>
  <c r="J8" i="17" s="1"/>
  <c r="K8" i="17" s="1"/>
  <c r="D9" i="17"/>
  <c r="E9" i="17"/>
  <c r="F9" i="17"/>
  <c r="G9" i="17"/>
  <c r="H9" i="17"/>
  <c r="I9" i="17"/>
  <c r="J9" i="17"/>
  <c r="K9" i="17" s="1"/>
  <c r="E6" i="17"/>
  <c r="F6" i="17"/>
  <c r="G6" i="17"/>
  <c r="H6" i="17"/>
  <c r="D6" i="17"/>
  <c r="C81" i="5"/>
  <c r="D81" i="5"/>
  <c r="L81" i="5"/>
  <c r="N81" i="5" s="1"/>
  <c r="R81" i="5"/>
  <c r="AF81" i="5"/>
  <c r="AG81" i="5"/>
  <c r="C82" i="5"/>
  <c r="K82" i="5"/>
  <c r="M82" i="5" s="1"/>
  <c r="AF82" i="5"/>
  <c r="AG82" i="5"/>
  <c r="C83" i="5"/>
  <c r="D83" i="5"/>
  <c r="K83" i="5"/>
  <c r="M83" i="5" s="1"/>
  <c r="AF83" i="5"/>
  <c r="AG83" i="5"/>
  <c r="C84" i="5"/>
  <c r="D84" i="5"/>
  <c r="L84" i="5"/>
  <c r="P84" i="5" s="1"/>
  <c r="AF84" i="5"/>
  <c r="AG84" i="5"/>
  <c r="C85" i="5"/>
  <c r="L85" i="5"/>
  <c r="N85" i="5" s="1"/>
  <c r="R85" i="5"/>
  <c r="AF85" i="5"/>
  <c r="AG85" i="5"/>
  <c r="C86" i="5"/>
  <c r="D86" i="5"/>
  <c r="L86" i="5"/>
  <c r="N86" i="5" s="1"/>
  <c r="P86" i="5"/>
  <c r="R86" i="5"/>
  <c r="AF86" i="5"/>
  <c r="AG86" i="5"/>
  <c r="C87" i="5"/>
  <c r="L87" i="5"/>
  <c r="P87" i="5" s="1"/>
  <c r="AF87" i="5"/>
  <c r="AG87" i="5"/>
  <c r="C68" i="5"/>
  <c r="D68" i="5"/>
  <c r="G68" i="5"/>
  <c r="H68" i="5"/>
  <c r="I68" i="5"/>
  <c r="C69" i="5"/>
  <c r="D69" i="5"/>
  <c r="D82" i="5" s="1"/>
  <c r="G69" i="5"/>
  <c r="H69" i="5"/>
  <c r="I69" i="5"/>
  <c r="C70" i="5"/>
  <c r="D70" i="5"/>
  <c r="G70" i="5"/>
  <c r="H70" i="5"/>
  <c r="I70" i="5"/>
  <c r="C71" i="5"/>
  <c r="D71" i="5"/>
  <c r="G71" i="5"/>
  <c r="H71" i="5"/>
  <c r="I71" i="5"/>
  <c r="C72" i="5"/>
  <c r="D72" i="5"/>
  <c r="D85" i="5" s="1"/>
  <c r="G72" i="5"/>
  <c r="H72" i="5"/>
  <c r="I72" i="5"/>
  <c r="C73" i="5"/>
  <c r="D73" i="5"/>
  <c r="G73" i="5"/>
  <c r="H73" i="5"/>
  <c r="I73" i="5"/>
  <c r="C74" i="5"/>
  <c r="D74" i="5"/>
  <c r="D87" i="5" s="1"/>
  <c r="G74" i="5"/>
  <c r="H74" i="5"/>
  <c r="I74" i="5"/>
  <c r="I67" i="5"/>
  <c r="H67" i="5"/>
  <c r="G67" i="5"/>
  <c r="D67" i="5"/>
  <c r="C67" i="5"/>
  <c r="O59" i="5"/>
  <c r="P59" i="5"/>
  <c r="AH59" i="5"/>
  <c r="AI59" i="5"/>
  <c r="O60" i="5"/>
  <c r="P60" i="5"/>
  <c r="AH60" i="5"/>
  <c r="AI60" i="5"/>
  <c r="O51" i="5"/>
  <c r="P51" i="5"/>
  <c r="AH51" i="5"/>
  <c r="AI51" i="5"/>
  <c r="O52" i="5"/>
  <c r="P52" i="5"/>
  <c r="AH52" i="5"/>
  <c r="AI52" i="5"/>
  <c r="O43" i="5"/>
  <c r="P43" i="5"/>
  <c r="AH43" i="5"/>
  <c r="AI43" i="5"/>
  <c r="O44" i="5"/>
  <c r="P44" i="5"/>
  <c r="AH44" i="5"/>
  <c r="AI44" i="5"/>
  <c r="C35" i="5"/>
  <c r="C43" i="5" s="1"/>
  <c r="N35" i="5"/>
  <c r="C36" i="5"/>
  <c r="C44" i="5" s="1"/>
  <c r="N36" i="5"/>
  <c r="N34" i="5"/>
  <c r="D7" i="5"/>
  <c r="E7" i="5"/>
  <c r="D35" i="5" s="1"/>
  <c r="D59" i="5" s="1"/>
  <c r="F7" i="5"/>
  <c r="G7" i="5"/>
  <c r="E35" i="5" s="1"/>
  <c r="Z59" i="5" s="1"/>
  <c r="H7" i="5"/>
  <c r="G35" i="5" s="1"/>
  <c r="AB59" i="5" s="1"/>
  <c r="AD59" i="5" s="1"/>
  <c r="D8" i="5"/>
  <c r="E8" i="5"/>
  <c r="D44" i="5" s="1"/>
  <c r="D52" i="5" s="1"/>
  <c r="F8" i="5"/>
  <c r="G8" i="5"/>
  <c r="E36" i="5" s="1"/>
  <c r="H8" i="5"/>
  <c r="H35" i="5" s="1"/>
  <c r="Z51" i="5" s="1"/>
  <c r="D9" i="5"/>
  <c r="I9" i="5" s="1"/>
  <c r="J9" i="5" s="1"/>
  <c r="K9" i="5" s="1"/>
  <c r="E9" i="5"/>
  <c r="F9" i="5"/>
  <c r="G9" i="5"/>
  <c r="H9" i="5"/>
  <c r="H36" i="5" s="1"/>
  <c r="E6" i="5"/>
  <c r="F6" i="5"/>
  <c r="G6" i="5"/>
  <c r="H6" i="5"/>
  <c r="D6" i="5"/>
  <c r="C51" i="21"/>
  <c r="K51" i="21" s="1"/>
  <c r="L51" i="21" s="1"/>
  <c r="E51" i="21"/>
  <c r="F51" i="21"/>
  <c r="G51" i="21" s="1"/>
  <c r="J51" i="21"/>
  <c r="C52" i="21"/>
  <c r="J52" i="21" s="1"/>
  <c r="E52" i="21"/>
  <c r="F52" i="21"/>
  <c r="G52" i="21" s="1"/>
  <c r="Q52" i="21"/>
  <c r="R52" i="21"/>
  <c r="C53" i="21"/>
  <c r="R53" i="21" s="1"/>
  <c r="E53" i="21"/>
  <c r="F53" i="21"/>
  <c r="G53" i="21" s="1"/>
  <c r="J53" i="21"/>
  <c r="K53" i="21"/>
  <c r="L53" i="21" s="1"/>
  <c r="Q53" i="21"/>
  <c r="C54" i="21"/>
  <c r="J54" i="21" s="1"/>
  <c r="E54" i="21"/>
  <c r="C55" i="21"/>
  <c r="E55" i="21"/>
  <c r="F55" i="21"/>
  <c r="G55" i="21" s="1"/>
  <c r="J55" i="21"/>
  <c r="K55" i="21"/>
  <c r="L55" i="21" s="1"/>
  <c r="Q55" i="21"/>
  <c r="R55" i="21"/>
  <c r="S55" i="21" s="1"/>
  <c r="U55" i="21"/>
  <c r="C56" i="21"/>
  <c r="J56" i="21" s="1"/>
  <c r="E56" i="21"/>
  <c r="C57" i="21"/>
  <c r="J57" i="21" s="1"/>
  <c r="R57" i="21"/>
  <c r="C50" i="21"/>
  <c r="R50" i="21"/>
  <c r="C65" i="21"/>
  <c r="E65" i="21" s="1"/>
  <c r="Q65" i="21"/>
  <c r="R65" i="21"/>
  <c r="C66" i="21"/>
  <c r="E66" i="21"/>
  <c r="F66" i="21"/>
  <c r="G66" i="21" s="1"/>
  <c r="J66" i="21"/>
  <c r="K66" i="21"/>
  <c r="L66" i="21" s="1"/>
  <c r="O66" i="21"/>
  <c r="Q66" i="21"/>
  <c r="R66" i="21"/>
  <c r="S66" i="21" s="1"/>
  <c r="T66" i="21"/>
  <c r="U66" i="21"/>
  <c r="C67" i="21"/>
  <c r="Q67" i="21" s="1"/>
  <c r="E67" i="21"/>
  <c r="F67" i="21"/>
  <c r="G67" i="21" s="1"/>
  <c r="J67" i="21"/>
  <c r="K67" i="21"/>
  <c r="L67" i="21" s="1"/>
  <c r="M67" i="21"/>
  <c r="N67" i="21"/>
  <c r="C68" i="21"/>
  <c r="E68" i="21" s="1"/>
  <c r="Q68" i="21"/>
  <c r="R68" i="21"/>
  <c r="C69" i="21"/>
  <c r="E69" i="21" s="1"/>
  <c r="J69" i="21"/>
  <c r="K69" i="21"/>
  <c r="L69" i="21" s="1"/>
  <c r="O69" i="21"/>
  <c r="Q69" i="21"/>
  <c r="R69" i="21"/>
  <c r="S69" i="21"/>
  <c r="T69" i="21"/>
  <c r="U69" i="21"/>
  <c r="C70" i="21"/>
  <c r="E70" i="21" s="1"/>
  <c r="C64" i="21"/>
  <c r="R64" i="21" s="1"/>
  <c r="C9" i="21"/>
  <c r="Q9" i="21" s="1"/>
  <c r="C10" i="21"/>
  <c r="E10" i="21" s="1"/>
  <c r="C11" i="21"/>
  <c r="Q11" i="21" s="1"/>
  <c r="C8" i="21"/>
  <c r="E8" i="21" s="1"/>
  <c r="C7" i="21"/>
  <c r="R7" i="21" s="1"/>
  <c r="E20" i="21"/>
  <c r="H20" i="21" s="1"/>
  <c r="F20" i="21"/>
  <c r="J20" i="21"/>
  <c r="N20" i="21" s="1"/>
  <c r="K20" i="21"/>
  <c r="M20" i="21" s="1"/>
  <c r="Q20" i="21"/>
  <c r="R20" i="21"/>
  <c r="S20" i="21" s="1"/>
  <c r="E21" i="21"/>
  <c r="F21" i="21"/>
  <c r="G21" i="21" s="1"/>
  <c r="J21" i="21"/>
  <c r="K21" i="21"/>
  <c r="L21" i="21"/>
  <c r="M21" i="21"/>
  <c r="N21" i="21"/>
  <c r="O21" i="21"/>
  <c r="Q21" i="21"/>
  <c r="R21" i="21"/>
  <c r="S21" i="21" s="1"/>
  <c r="E23" i="21"/>
  <c r="F23" i="21"/>
  <c r="G23" i="21"/>
  <c r="H23" i="21"/>
  <c r="J23" i="21"/>
  <c r="K23" i="21"/>
  <c r="M23" i="21" s="1"/>
  <c r="L23" i="21"/>
  <c r="O23" i="21"/>
  <c r="Q23" i="21"/>
  <c r="R23" i="21"/>
  <c r="S23" i="21" s="1"/>
  <c r="U23" i="21"/>
  <c r="E24" i="21"/>
  <c r="F24" i="21"/>
  <c r="G24" i="21"/>
  <c r="H24" i="21"/>
  <c r="J24" i="21"/>
  <c r="K24" i="21"/>
  <c r="L24" i="21" s="1"/>
  <c r="M24" i="21"/>
  <c r="N24" i="21"/>
  <c r="O24" i="21"/>
  <c r="Q24" i="21"/>
  <c r="E25" i="21"/>
  <c r="J25" i="21"/>
  <c r="E26" i="21"/>
  <c r="J26" i="21"/>
  <c r="K26" i="21"/>
  <c r="L26" i="21" s="1"/>
  <c r="Q26" i="21"/>
  <c r="R26" i="21"/>
  <c r="S26" i="21" s="1"/>
  <c r="E27" i="21"/>
  <c r="F27" i="21"/>
  <c r="G27" i="21"/>
  <c r="J27" i="21"/>
  <c r="K27" i="21"/>
  <c r="N27" i="21" s="1"/>
  <c r="L27" i="21"/>
  <c r="M27" i="21"/>
  <c r="Q27" i="21"/>
  <c r="R27" i="21"/>
  <c r="E28" i="21"/>
  <c r="F28" i="21"/>
  <c r="G28" i="21" s="1"/>
  <c r="H28" i="21"/>
  <c r="J28" i="21"/>
  <c r="O28" i="21" s="1"/>
  <c r="K28" i="21"/>
  <c r="L28" i="21" s="1"/>
  <c r="K29" i="21"/>
  <c r="Q29" i="21"/>
  <c r="R29" i="21"/>
  <c r="J30" i="21"/>
  <c r="K30" i="21"/>
  <c r="L30" i="21" s="1"/>
  <c r="N30" i="21"/>
  <c r="Q30" i="21"/>
  <c r="R30" i="21"/>
  <c r="S30" i="21" s="1"/>
  <c r="T30" i="21"/>
  <c r="U30" i="21"/>
  <c r="E31" i="21"/>
  <c r="F31" i="21"/>
  <c r="G31" i="21"/>
  <c r="H31" i="21"/>
  <c r="J31" i="21"/>
  <c r="R31" i="21"/>
  <c r="Q32" i="21"/>
  <c r="R32" i="21"/>
  <c r="J33" i="21"/>
  <c r="Q33" i="21"/>
  <c r="R33" i="21"/>
  <c r="E34" i="21"/>
  <c r="F34" i="21"/>
  <c r="G34" i="21"/>
  <c r="H34" i="21"/>
  <c r="J34" i="21"/>
  <c r="K34" i="21"/>
  <c r="L34" i="21" s="1"/>
  <c r="O34" i="21"/>
  <c r="Q34" i="21"/>
  <c r="F35" i="21"/>
  <c r="G35" i="21" s="1"/>
  <c r="Q35" i="21"/>
  <c r="E36" i="21"/>
  <c r="H36" i="21" s="1"/>
  <c r="F36" i="21"/>
  <c r="G36" i="21" s="1"/>
  <c r="K36" i="21"/>
  <c r="Q36" i="21"/>
  <c r="R36" i="21"/>
  <c r="S36" i="21" s="1"/>
  <c r="U36" i="21"/>
  <c r="E37" i="21"/>
  <c r="F37" i="21"/>
  <c r="H37" i="21" s="1"/>
  <c r="G37" i="21"/>
  <c r="J37" i="21"/>
  <c r="K37" i="21"/>
  <c r="L37" i="21" s="1"/>
  <c r="N37" i="21"/>
  <c r="E38" i="21"/>
  <c r="Q39" i="21"/>
  <c r="R39" i="21"/>
  <c r="E40" i="21"/>
  <c r="F40" i="21"/>
  <c r="H40" i="21" s="1"/>
  <c r="G40" i="21"/>
  <c r="R40" i="21"/>
  <c r="J43" i="21"/>
  <c r="K43" i="21"/>
  <c r="M43" i="21" s="1"/>
  <c r="L43" i="21"/>
  <c r="Q43" i="21"/>
  <c r="C20" i="21"/>
  <c r="C21" i="21"/>
  <c r="C22" i="21"/>
  <c r="J22" i="21" s="1"/>
  <c r="C23" i="21"/>
  <c r="C24" i="21"/>
  <c r="R24" i="21" s="1"/>
  <c r="C25" i="21"/>
  <c r="F25" i="21" s="1"/>
  <c r="C26" i="21"/>
  <c r="F26" i="21" s="1"/>
  <c r="G26" i="21" s="1"/>
  <c r="C27" i="21"/>
  <c r="C28" i="21"/>
  <c r="Q28" i="21" s="1"/>
  <c r="C29" i="21"/>
  <c r="E29" i="21" s="1"/>
  <c r="C30" i="21"/>
  <c r="E30" i="21" s="1"/>
  <c r="C31" i="21"/>
  <c r="K31" i="21" s="1"/>
  <c r="C32" i="21"/>
  <c r="E32" i="21" s="1"/>
  <c r="C33" i="21"/>
  <c r="E33" i="21" s="1"/>
  <c r="C34" i="21"/>
  <c r="R34" i="21" s="1"/>
  <c r="C35" i="21"/>
  <c r="E35" i="21" s="1"/>
  <c r="C36" i="21"/>
  <c r="J36" i="21" s="1"/>
  <c r="C37" i="21"/>
  <c r="Q37" i="21" s="1"/>
  <c r="C38" i="21"/>
  <c r="F38" i="21" s="1"/>
  <c r="C39" i="21"/>
  <c r="E39" i="21" s="1"/>
  <c r="C40" i="21"/>
  <c r="J40" i="21" s="1"/>
  <c r="C41" i="21"/>
  <c r="E41" i="21" s="1"/>
  <c r="C42" i="21"/>
  <c r="R42" i="21" s="1"/>
  <c r="C43" i="21"/>
  <c r="R43" i="21" s="1"/>
  <c r="C19" i="21"/>
  <c r="J19" i="21" s="1"/>
  <c r="C18" i="21"/>
  <c r="R18" i="21" s="1"/>
  <c r="K18" i="21"/>
  <c r="J18" i="21"/>
  <c r="F18" i="21"/>
  <c r="E18" i="21"/>
  <c r="N87" i="5" l="1"/>
  <c r="S53" i="21"/>
  <c r="U53" i="21"/>
  <c r="R56" i="21"/>
  <c r="R51" i="21"/>
  <c r="N53" i="21"/>
  <c r="Q56" i="21"/>
  <c r="Q51" i="21"/>
  <c r="T51" i="21" s="1"/>
  <c r="F56" i="21"/>
  <c r="G56" i="21" s="1"/>
  <c r="O51" i="21"/>
  <c r="Q54" i="21"/>
  <c r="M55" i="21"/>
  <c r="R54" i="21"/>
  <c r="F54" i="21"/>
  <c r="G54" i="21" s="1"/>
  <c r="Q57" i="21"/>
  <c r="F57" i="21"/>
  <c r="G57" i="21" s="1"/>
  <c r="E57" i="21"/>
  <c r="K57" i="21"/>
  <c r="L57" i="21" s="1"/>
  <c r="AV80" i="18"/>
  <c r="T169" i="19"/>
  <c r="P171" i="19"/>
  <c r="P81" i="5"/>
  <c r="R87" i="5"/>
  <c r="P85" i="5"/>
  <c r="T170" i="19"/>
  <c r="P170" i="19"/>
  <c r="N84" i="5"/>
  <c r="AO85" i="18"/>
  <c r="AS85" i="18" s="1"/>
  <c r="AR85" i="18"/>
  <c r="AT85" i="18"/>
  <c r="AO68" i="18"/>
  <c r="AR68" i="18"/>
  <c r="AT68" i="18"/>
  <c r="AV84" i="18"/>
  <c r="AO70" i="18"/>
  <c r="AO72" i="18"/>
  <c r="AR87" i="18"/>
  <c r="AO87" i="18"/>
  <c r="AS87" i="18" s="1"/>
  <c r="AT87" i="18"/>
  <c r="AS82" i="18"/>
  <c r="AV78" i="18"/>
  <c r="AO78" i="18"/>
  <c r="AS78" i="18" s="1"/>
  <c r="AR82" i="18"/>
  <c r="AN69" i="18"/>
  <c r="AN86" i="18"/>
  <c r="AN71" i="18"/>
  <c r="AN88" i="18"/>
  <c r="AT79" i="18"/>
  <c r="AN73" i="18"/>
  <c r="AN90" i="18"/>
  <c r="AT81" i="18"/>
  <c r="AR79" i="18"/>
  <c r="AN75" i="18"/>
  <c r="AT83" i="18"/>
  <c r="AR83" i="18"/>
  <c r="AT89" i="18"/>
  <c r="AT91" i="18"/>
  <c r="AR89" i="18"/>
  <c r="AV39" i="18"/>
  <c r="AO40" i="18"/>
  <c r="AO42" i="18"/>
  <c r="AO57" i="18"/>
  <c r="AS57" i="18" s="1"/>
  <c r="AR57" i="18"/>
  <c r="AT57" i="18"/>
  <c r="AV54" i="18"/>
  <c r="AO55" i="18"/>
  <c r="AS55" i="18" s="1"/>
  <c r="AR55" i="18"/>
  <c r="AT55" i="18"/>
  <c r="J50" i="18"/>
  <c r="AV50" i="18" s="1"/>
  <c r="AO48" i="18"/>
  <c r="AV56" i="18"/>
  <c r="AN41" i="18"/>
  <c r="AN58" i="18"/>
  <c r="AN43" i="18"/>
  <c r="AN60" i="18"/>
  <c r="AN45" i="18"/>
  <c r="AV38" i="18"/>
  <c r="AN47" i="18"/>
  <c r="AN49" i="18"/>
  <c r="AN51" i="18"/>
  <c r="AT59" i="18"/>
  <c r="AN53" i="18"/>
  <c r="AT61" i="18"/>
  <c r="AR59" i="18"/>
  <c r="I25" i="18"/>
  <c r="I29" i="18"/>
  <c r="I9" i="18"/>
  <c r="J18" i="18"/>
  <c r="K18" i="18" s="1"/>
  <c r="J29" i="18"/>
  <c r="K29" i="18" s="1"/>
  <c r="J9" i="18"/>
  <c r="K9" i="18" s="1"/>
  <c r="I17" i="18"/>
  <c r="J17" i="18" s="1"/>
  <c r="K17" i="18" s="1"/>
  <c r="J25" i="18"/>
  <c r="K25" i="18" s="1"/>
  <c r="J21" i="18"/>
  <c r="K21" i="18" s="1"/>
  <c r="T172" i="19"/>
  <c r="P172" i="19"/>
  <c r="AB136" i="19"/>
  <c r="AB141" i="19"/>
  <c r="AB147" i="19"/>
  <c r="AD145" i="19"/>
  <c r="AF145" i="19" s="1"/>
  <c r="C87" i="19"/>
  <c r="D135" i="19"/>
  <c r="AE125" i="19"/>
  <c r="AG125" i="19" s="1"/>
  <c r="D144" i="19"/>
  <c r="AE142" i="19"/>
  <c r="AG142" i="19" s="1"/>
  <c r="I10" i="19"/>
  <c r="AF69" i="19"/>
  <c r="G53" i="19"/>
  <c r="AE107" i="19"/>
  <c r="AG107" i="19" s="1"/>
  <c r="C101" i="19"/>
  <c r="AD142" i="19"/>
  <c r="AF142" i="19" s="1"/>
  <c r="D136" i="19"/>
  <c r="D127" i="19"/>
  <c r="AF116" i="19"/>
  <c r="AB98" i="19"/>
  <c r="D147" i="19"/>
  <c r="AB107" i="19"/>
  <c r="AB142" i="19"/>
  <c r="AB117" i="19"/>
  <c r="D137" i="19"/>
  <c r="D131" i="19"/>
  <c r="AB110" i="19"/>
  <c r="AF96" i="19"/>
  <c r="AF87" i="19"/>
  <c r="D138" i="19"/>
  <c r="AE103" i="19"/>
  <c r="AG103" i="19" s="1"/>
  <c r="D145" i="19"/>
  <c r="AE135" i="19"/>
  <c r="AG135" i="19" s="1"/>
  <c r="AB143" i="19"/>
  <c r="AD135" i="19"/>
  <c r="AF135" i="19" s="1"/>
  <c r="D139" i="19"/>
  <c r="AE130" i="19"/>
  <c r="AG130" i="19" s="1"/>
  <c r="D128" i="19"/>
  <c r="AB135" i="19"/>
  <c r="AD130" i="19"/>
  <c r="AF130" i="19" s="1"/>
  <c r="AF99" i="19"/>
  <c r="AF114" i="19"/>
  <c r="AE99" i="19"/>
  <c r="AG99" i="19" s="1"/>
  <c r="D132" i="19"/>
  <c r="D125" i="19"/>
  <c r="D140" i="19"/>
  <c r="D117" i="19"/>
  <c r="AF113" i="19"/>
  <c r="C117" i="19"/>
  <c r="AE138" i="19"/>
  <c r="AG138" i="19" s="1"/>
  <c r="D133" i="19"/>
  <c r="AE127" i="19"/>
  <c r="AG127" i="19" s="1"/>
  <c r="AF72" i="19"/>
  <c r="D113" i="19"/>
  <c r="AD138" i="19"/>
  <c r="AF138" i="19" s="1"/>
  <c r="AD127" i="19"/>
  <c r="AF127" i="19" s="1"/>
  <c r="C113" i="19"/>
  <c r="D129" i="19"/>
  <c r="C109" i="19"/>
  <c r="AB138" i="19"/>
  <c r="AB127" i="19"/>
  <c r="D146" i="19"/>
  <c r="AE111" i="19"/>
  <c r="AG111" i="19" s="1"/>
  <c r="AD111" i="19"/>
  <c r="AF111" i="19" s="1"/>
  <c r="AB118" i="19"/>
  <c r="AD104" i="19"/>
  <c r="AF104" i="19" s="1"/>
  <c r="AE104" i="19"/>
  <c r="AG104" i="19" s="1"/>
  <c r="AB111" i="19"/>
  <c r="AB104" i="19"/>
  <c r="AB97" i="19"/>
  <c r="AD101" i="19"/>
  <c r="AF101" i="19" s="1"/>
  <c r="AE101" i="19"/>
  <c r="AG101" i="19" s="1"/>
  <c r="C97" i="19"/>
  <c r="D51" i="19"/>
  <c r="I19" i="19"/>
  <c r="J19" i="19" s="1"/>
  <c r="K19" i="19" s="1"/>
  <c r="D118" i="19"/>
  <c r="AE116" i="19"/>
  <c r="AG116" i="19" s="1"/>
  <c r="D114" i="19"/>
  <c r="D110" i="19"/>
  <c r="D106" i="19"/>
  <c r="D102" i="19"/>
  <c r="D98" i="19"/>
  <c r="AE96" i="19"/>
  <c r="AG96" i="19" s="1"/>
  <c r="AB67" i="19"/>
  <c r="D60" i="19"/>
  <c r="C118" i="19"/>
  <c r="C114" i="19"/>
  <c r="C110" i="19"/>
  <c r="C106" i="19"/>
  <c r="C102" i="19"/>
  <c r="C98" i="19"/>
  <c r="I18" i="19"/>
  <c r="C71" i="19"/>
  <c r="AB96" i="19"/>
  <c r="J23" i="19"/>
  <c r="K23" i="19" s="1"/>
  <c r="H47" i="19"/>
  <c r="G47" i="19"/>
  <c r="AB103" i="19"/>
  <c r="AB76" i="19"/>
  <c r="D74" i="19"/>
  <c r="D57" i="19"/>
  <c r="C74" i="19"/>
  <c r="AE117" i="19"/>
  <c r="AG117" i="19" s="1"/>
  <c r="D115" i="19"/>
  <c r="AE113" i="19"/>
  <c r="AG113" i="19" s="1"/>
  <c r="D111" i="19"/>
  <c r="AE109" i="19"/>
  <c r="AG109" i="19" s="1"/>
  <c r="D107" i="19"/>
  <c r="D103" i="19"/>
  <c r="D99" i="19"/>
  <c r="C115" i="19"/>
  <c r="C111" i="19"/>
  <c r="C107" i="19"/>
  <c r="C99" i="19"/>
  <c r="D46" i="19"/>
  <c r="AB105" i="19"/>
  <c r="I14" i="19"/>
  <c r="J14" i="19" s="1"/>
  <c r="F45" i="19" s="1"/>
  <c r="P45" i="19" s="1"/>
  <c r="D77" i="19"/>
  <c r="AE69" i="19"/>
  <c r="AG69" i="19" s="1"/>
  <c r="G54" i="19"/>
  <c r="G44" i="19"/>
  <c r="AB131" i="19" s="1"/>
  <c r="D97" i="19"/>
  <c r="D54" i="19"/>
  <c r="AB69" i="19"/>
  <c r="AE118" i="19"/>
  <c r="AG118" i="19" s="1"/>
  <c r="D116" i="19"/>
  <c r="AE114" i="19"/>
  <c r="AG114" i="19" s="1"/>
  <c r="D112" i="19"/>
  <c r="AE110" i="19"/>
  <c r="AG110" i="19" s="1"/>
  <c r="D108" i="19"/>
  <c r="AE106" i="19"/>
  <c r="AG106" i="19" s="1"/>
  <c r="D104" i="19"/>
  <c r="D100" i="19"/>
  <c r="AE98" i="19"/>
  <c r="AG98" i="19" s="1"/>
  <c r="D96" i="19"/>
  <c r="C112" i="19"/>
  <c r="C108" i="19"/>
  <c r="C104" i="19"/>
  <c r="AD98" i="19"/>
  <c r="AF98" i="19" s="1"/>
  <c r="C96" i="19"/>
  <c r="I15" i="19"/>
  <c r="J15" i="19" s="1"/>
  <c r="K15" i="19" s="1"/>
  <c r="I21" i="19"/>
  <c r="J21" i="19" s="1"/>
  <c r="AB80" i="19"/>
  <c r="AB70" i="19"/>
  <c r="AB84" i="19"/>
  <c r="AB75" i="19"/>
  <c r="AB77" i="19"/>
  <c r="AB83" i="19"/>
  <c r="AB81" i="19"/>
  <c r="D87" i="19"/>
  <c r="D71" i="19"/>
  <c r="I12" i="19"/>
  <c r="J12" i="19" s="1"/>
  <c r="G60" i="19"/>
  <c r="D84" i="19"/>
  <c r="J11" i="19"/>
  <c r="D78" i="19"/>
  <c r="G59" i="19"/>
  <c r="AB146" i="19" s="1"/>
  <c r="AE67" i="19"/>
  <c r="AG67" i="19" s="1"/>
  <c r="D44" i="19"/>
  <c r="D88" i="19"/>
  <c r="AE80" i="19"/>
  <c r="AG80" i="19" s="1"/>
  <c r="D72" i="19"/>
  <c r="I16" i="19"/>
  <c r="J16" i="19" s="1"/>
  <c r="D85" i="19"/>
  <c r="AE77" i="19"/>
  <c r="AG77" i="19" s="1"/>
  <c r="D69" i="19"/>
  <c r="D82" i="19"/>
  <c r="AE74" i="19"/>
  <c r="AG74" i="19" s="1"/>
  <c r="H57" i="19"/>
  <c r="H50" i="19"/>
  <c r="AB108" i="19" s="1"/>
  <c r="H42" i="19"/>
  <c r="AE87" i="19"/>
  <c r="AG87" i="19" s="1"/>
  <c r="D79" i="19"/>
  <c r="I7" i="19"/>
  <c r="J7" i="19" s="1"/>
  <c r="K7" i="19" s="1"/>
  <c r="I30" i="19"/>
  <c r="J30" i="19" s="1"/>
  <c r="K30" i="19" s="1"/>
  <c r="G57" i="19"/>
  <c r="G42" i="19"/>
  <c r="H54" i="19"/>
  <c r="E42" i="19"/>
  <c r="AE84" i="19"/>
  <c r="AG84" i="19" s="1"/>
  <c r="D76" i="19"/>
  <c r="G49" i="19"/>
  <c r="D89" i="19"/>
  <c r="D73" i="19"/>
  <c r="D70" i="19"/>
  <c r="I20" i="19"/>
  <c r="J20" i="19" s="1"/>
  <c r="I8" i="19"/>
  <c r="J8" i="19" s="1"/>
  <c r="D48" i="19"/>
  <c r="D67" i="19"/>
  <c r="D80" i="19"/>
  <c r="AE72" i="19"/>
  <c r="AG72" i="19" s="1"/>
  <c r="J58" i="19"/>
  <c r="I58" i="19"/>
  <c r="J40" i="19"/>
  <c r="K40" i="19"/>
  <c r="J48" i="19"/>
  <c r="I48" i="19"/>
  <c r="K48" i="19"/>
  <c r="K51" i="19"/>
  <c r="I51" i="19"/>
  <c r="J51" i="19"/>
  <c r="I45" i="19"/>
  <c r="J45" i="19"/>
  <c r="K45" i="19"/>
  <c r="I38" i="19"/>
  <c r="J38" i="19"/>
  <c r="K38" i="19"/>
  <c r="I55" i="19"/>
  <c r="I43" i="19"/>
  <c r="J43" i="19"/>
  <c r="K43" i="19"/>
  <c r="J10" i="19"/>
  <c r="I27" i="19"/>
  <c r="J27" i="19" s="1"/>
  <c r="G50" i="19"/>
  <c r="AB137" i="19" s="1"/>
  <c r="H39" i="19"/>
  <c r="G39" i="19"/>
  <c r="G56" i="19"/>
  <c r="D47" i="19"/>
  <c r="H44" i="19"/>
  <c r="AB102" i="19" s="1"/>
  <c r="D39" i="19"/>
  <c r="I26" i="19"/>
  <c r="J26" i="19" s="1"/>
  <c r="D59" i="19"/>
  <c r="I25" i="19"/>
  <c r="J25" i="19" s="1"/>
  <c r="J49" i="19"/>
  <c r="G41" i="19"/>
  <c r="AB128" i="19" s="1"/>
  <c r="J13" i="19"/>
  <c r="G52" i="19"/>
  <c r="G46" i="19"/>
  <c r="J18" i="19"/>
  <c r="E58" i="19"/>
  <c r="AB145" i="19" s="1"/>
  <c r="D52" i="19"/>
  <c r="E43" i="19"/>
  <c r="D43" i="19"/>
  <c r="K11" i="19"/>
  <c r="I22" i="19"/>
  <c r="J22" i="19" s="1"/>
  <c r="J29" i="19"/>
  <c r="J17" i="19"/>
  <c r="K60" i="19"/>
  <c r="J28" i="19"/>
  <c r="K28" i="19" s="1"/>
  <c r="K55" i="19"/>
  <c r="K58" i="19"/>
  <c r="J55" i="19"/>
  <c r="I9" i="19"/>
  <c r="J9" i="19" s="1"/>
  <c r="I24" i="19"/>
  <c r="J24" i="19" s="1"/>
  <c r="AO34" i="17"/>
  <c r="AS34" i="17" s="1"/>
  <c r="AR34" i="17"/>
  <c r="AT34" i="17"/>
  <c r="AV36" i="17"/>
  <c r="AN35" i="17"/>
  <c r="AV26" i="17"/>
  <c r="AO27" i="17"/>
  <c r="AS27" i="17" s="1"/>
  <c r="AR27" i="17"/>
  <c r="AT27" i="17"/>
  <c r="AV25" i="17"/>
  <c r="Q82" i="5"/>
  <c r="O82" i="5"/>
  <c r="Q83" i="5"/>
  <c r="O83" i="5"/>
  <c r="R84" i="5"/>
  <c r="AC59" i="5"/>
  <c r="AE59" i="5" s="1"/>
  <c r="AB51" i="5"/>
  <c r="AD51" i="5" s="1"/>
  <c r="AC51" i="5"/>
  <c r="AE51" i="5" s="1"/>
  <c r="Z52" i="5"/>
  <c r="AB52" i="5"/>
  <c r="AD52" i="5" s="1"/>
  <c r="AC52" i="5"/>
  <c r="AE52" i="5" s="1"/>
  <c r="C52" i="5"/>
  <c r="C51" i="5"/>
  <c r="Z43" i="5"/>
  <c r="AB43" i="5"/>
  <c r="AD43" i="5" s="1"/>
  <c r="AC43" i="5"/>
  <c r="AE43" i="5" s="1"/>
  <c r="I8" i="5"/>
  <c r="J8" i="5" s="1"/>
  <c r="F36" i="5" s="1"/>
  <c r="P36" i="5" s="1"/>
  <c r="I7" i="5"/>
  <c r="J7" i="5" s="1"/>
  <c r="K7" i="5" s="1"/>
  <c r="G36" i="5"/>
  <c r="D36" i="5"/>
  <c r="D60" i="5" s="1"/>
  <c r="D43" i="5"/>
  <c r="D51" i="5" s="1"/>
  <c r="I35" i="5"/>
  <c r="J35" i="5"/>
  <c r="K35" i="5"/>
  <c r="K8" i="5"/>
  <c r="K56" i="21"/>
  <c r="K54" i="21"/>
  <c r="K52" i="21"/>
  <c r="H56" i="21"/>
  <c r="H54" i="21"/>
  <c r="H52" i="21"/>
  <c r="T57" i="21"/>
  <c r="T55" i="21"/>
  <c r="T53" i="21"/>
  <c r="O55" i="21"/>
  <c r="O53" i="21"/>
  <c r="N55" i="21"/>
  <c r="N51" i="21"/>
  <c r="M53" i="21"/>
  <c r="M51" i="21"/>
  <c r="H57" i="21"/>
  <c r="H55" i="21"/>
  <c r="H53" i="21"/>
  <c r="H51" i="21"/>
  <c r="E50" i="21"/>
  <c r="F50" i="21"/>
  <c r="J50" i="21"/>
  <c r="K50" i="21"/>
  <c r="Q50" i="21"/>
  <c r="U24" i="21"/>
  <c r="S24" i="21"/>
  <c r="T24" i="21"/>
  <c r="S43" i="21"/>
  <c r="U43" i="21"/>
  <c r="H38" i="21"/>
  <c r="G38" i="21"/>
  <c r="M36" i="21"/>
  <c r="N36" i="21"/>
  <c r="S34" i="21"/>
  <c r="T34" i="21"/>
  <c r="M31" i="21"/>
  <c r="L31" i="21"/>
  <c r="O31" i="21"/>
  <c r="L36" i="21"/>
  <c r="O29" i="21"/>
  <c r="E9" i="21"/>
  <c r="R8" i="21"/>
  <c r="M69" i="21"/>
  <c r="K9" i="21"/>
  <c r="Q42" i="21"/>
  <c r="Q8" i="21"/>
  <c r="U8" i="21" s="1"/>
  <c r="F69" i="21"/>
  <c r="G69" i="21" s="1"/>
  <c r="U33" i="21"/>
  <c r="K11" i="21"/>
  <c r="K42" i="21"/>
  <c r="H27" i="21"/>
  <c r="O20" i="21"/>
  <c r="J11" i="21"/>
  <c r="J42" i="21"/>
  <c r="K39" i="21"/>
  <c r="O36" i="21"/>
  <c r="F42" i="21"/>
  <c r="G42" i="21" s="1"/>
  <c r="J39" i="21"/>
  <c r="F30" i="21"/>
  <c r="U26" i="21"/>
  <c r="N23" i="21"/>
  <c r="K8" i="21"/>
  <c r="T68" i="21"/>
  <c r="N66" i="21"/>
  <c r="E42" i="21"/>
  <c r="F39" i="21"/>
  <c r="G39" i="21" s="1"/>
  <c r="K33" i="21"/>
  <c r="T26" i="21"/>
  <c r="L20" i="21"/>
  <c r="F11" i="21"/>
  <c r="J8" i="21"/>
  <c r="M66" i="21"/>
  <c r="E11" i="21"/>
  <c r="F8" i="21"/>
  <c r="G8" i="21" s="1"/>
  <c r="F33" i="21"/>
  <c r="G33" i="21" s="1"/>
  <c r="R10" i="21"/>
  <c r="H18" i="21"/>
  <c r="R38" i="21"/>
  <c r="R35" i="21"/>
  <c r="O26" i="21"/>
  <c r="G20" i="21"/>
  <c r="Q10" i="21"/>
  <c r="S10" i="21" s="1"/>
  <c r="H66" i="21"/>
  <c r="R11" i="21"/>
  <c r="R41" i="21"/>
  <c r="Q38" i="21"/>
  <c r="S29" i="21"/>
  <c r="J29" i="21"/>
  <c r="R19" i="21"/>
  <c r="K68" i="21"/>
  <c r="N31" i="21"/>
  <c r="K32" i="21"/>
  <c r="Q19" i="21"/>
  <c r="J68" i="21"/>
  <c r="K41" i="21"/>
  <c r="J32" i="21"/>
  <c r="L32" i="21" s="1"/>
  <c r="F29" i="21"/>
  <c r="R25" i="21"/>
  <c r="S25" i="21" s="1"/>
  <c r="K10" i="21"/>
  <c r="R70" i="21"/>
  <c r="J9" i="21"/>
  <c r="F9" i="21"/>
  <c r="E43" i="21"/>
  <c r="S32" i="21"/>
  <c r="Q41" i="21"/>
  <c r="J41" i="21"/>
  <c r="L41" i="21" s="1"/>
  <c r="K38" i="21"/>
  <c r="K35" i="21"/>
  <c r="Q25" i="21"/>
  <c r="R22" i="21"/>
  <c r="J10" i="21"/>
  <c r="Q70" i="21"/>
  <c r="F68" i="21"/>
  <c r="J38" i="21"/>
  <c r="J35" i="21"/>
  <c r="K25" i="21"/>
  <c r="L25" i="21" s="1"/>
  <c r="Q22" i="21"/>
  <c r="F10" i="21"/>
  <c r="G10" i="21" s="1"/>
  <c r="F41" i="21"/>
  <c r="H35" i="21"/>
  <c r="F32" i="21"/>
  <c r="R28" i="21"/>
  <c r="O18" i="21"/>
  <c r="K22" i="21"/>
  <c r="K19" i="21"/>
  <c r="G25" i="21"/>
  <c r="K70" i="21"/>
  <c r="Q40" i="21"/>
  <c r="Q31" i="21"/>
  <c r="S31" i="21" s="1"/>
  <c r="N28" i="21"/>
  <c r="F22" i="21"/>
  <c r="F19" i="21"/>
  <c r="J70" i="21"/>
  <c r="K40" i="21"/>
  <c r="N40" i="21" s="1"/>
  <c r="R37" i="21"/>
  <c r="M28" i="21"/>
  <c r="E22" i="21"/>
  <c r="H22" i="21" s="1"/>
  <c r="E19" i="21"/>
  <c r="H19" i="21" s="1"/>
  <c r="R9" i="21"/>
  <c r="R67" i="21"/>
  <c r="K65" i="21"/>
  <c r="F70" i="21"/>
  <c r="J65" i="21"/>
  <c r="F43" i="21"/>
  <c r="S40" i="21"/>
  <c r="O37" i="21"/>
  <c r="T21" i="21"/>
  <c r="O67" i="21"/>
  <c r="N69" i="21"/>
  <c r="H67" i="21"/>
  <c r="F65" i="21"/>
  <c r="E64" i="21"/>
  <c r="F64" i="21"/>
  <c r="J64" i="21"/>
  <c r="K64" i="21"/>
  <c r="Q64" i="21"/>
  <c r="T8" i="21"/>
  <c r="H8" i="21"/>
  <c r="H10" i="21"/>
  <c r="E7" i="21"/>
  <c r="F7" i="21"/>
  <c r="J7" i="21"/>
  <c r="K7" i="21"/>
  <c r="Q7" i="21"/>
  <c r="T35" i="21"/>
  <c r="M29" i="21"/>
  <c r="H25" i="21"/>
  <c r="U20" i="21"/>
  <c r="H42" i="21"/>
  <c r="U37" i="21"/>
  <c r="T20" i="21"/>
  <c r="O33" i="21"/>
  <c r="T43" i="21"/>
  <c r="M37" i="21"/>
  <c r="O43" i="21"/>
  <c r="U32" i="21"/>
  <c r="N26" i="21"/>
  <c r="T32" i="21"/>
  <c r="M26" i="21"/>
  <c r="N43" i="21"/>
  <c r="H39" i="21"/>
  <c r="U34" i="21"/>
  <c r="O30" i="21"/>
  <c r="T19" i="21"/>
  <c r="T36" i="21"/>
  <c r="O32" i="21"/>
  <c r="M30" i="21"/>
  <c r="H26" i="21"/>
  <c r="U21" i="21"/>
  <c r="U38" i="21"/>
  <c r="U40" i="21"/>
  <c r="N34" i="21"/>
  <c r="T23" i="21"/>
  <c r="T40" i="21"/>
  <c r="M34" i="21"/>
  <c r="U25" i="21"/>
  <c r="U42" i="21"/>
  <c r="T25" i="21"/>
  <c r="U27" i="21"/>
  <c r="T27" i="21"/>
  <c r="U29" i="21"/>
  <c r="S27" i="21"/>
  <c r="T29" i="21"/>
  <c r="O25" i="21"/>
  <c r="U31" i="21"/>
  <c r="N25" i="21"/>
  <c r="L40" i="21"/>
  <c r="T31" i="21"/>
  <c r="O27" i="21"/>
  <c r="M25" i="21"/>
  <c r="H21" i="21"/>
  <c r="O40" i="21"/>
  <c r="G18" i="21"/>
  <c r="L18" i="21"/>
  <c r="M18" i="21"/>
  <c r="N18" i="21"/>
  <c r="Q18" i="21"/>
  <c r="U18" i="21" s="1"/>
  <c r="U57" i="21" l="1"/>
  <c r="S51" i="21"/>
  <c r="U51" i="21"/>
  <c r="N57" i="21"/>
  <c r="O57" i="21"/>
  <c r="S57" i="21"/>
  <c r="M57" i="21"/>
  <c r="AO75" i="18"/>
  <c r="AO90" i="18"/>
  <c r="AR90" i="18"/>
  <c r="AT90" i="18"/>
  <c r="AV87" i="18"/>
  <c r="AV89" i="18"/>
  <c r="AV81" i="18"/>
  <c r="AV79" i="18"/>
  <c r="AR86" i="18"/>
  <c r="AO86" i="18"/>
  <c r="AT86" i="18"/>
  <c r="AO88" i="18"/>
  <c r="AT88" i="18"/>
  <c r="AR88" i="18"/>
  <c r="AV68" i="18"/>
  <c r="AV85" i="18"/>
  <c r="AV83" i="18"/>
  <c r="AO71" i="18"/>
  <c r="AV91" i="18"/>
  <c r="AO69" i="18"/>
  <c r="AO73" i="18"/>
  <c r="AO47" i="18"/>
  <c r="AV55" i="18"/>
  <c r="AO53" i="18"/>
  <c r="AR53" i="18"/>
  <c r="AT53" i="18"/>
  <c r="AO45" i="18"/>
  <c r="AV59" i="18"/>
  <c r="AV57" i="18"/>
  <c r="AO60" i="18"/>
  <c r="AR60" i="18"/>
  <c r="AT60" i="18"/>
  <c r="AO51" i="18"/>
  <c r="AR51" i="18"/>
  <c r="AT51" i="18"/>
  <c r="AV61" i="18"/>
  <c r="AO49" i="18"/>
  <c r="AR49" i="18"/>
  <c r="AT49" i="18"/>
  <c r="AO58" i="18"/>
  <c r="AS58" i="18" s="1"/>
  <c r="AR58" i="18"/>
  <c r="AT58" i="18"/>
  <c r="AO41" i="18"/>
  <c r="AO43" i="18"/>
  <c r="AB82" i="19"/>
  <c r="AD140" i="19"/>
  <c r="AF140" i="19" s="1"/>
  <c r="AE140" i="19"/>
  <c r="AG140" i="19" s="1"/>
  <c r="AB129" i="19"/>
  <c r="K42" i="19"/>
  <c r="AD129" i="19"/>
  <c r="AF129" i="19" s="1"/>
  <c r="AE129" i="19"/>
  <c r="AG129" i="19" s="1"/>
  <c r="AB130" i="19"/>
  <c r="I53" i="19"/>
  <c r="AD82" i="19"/>
  <c r="AF82" i="19" s="1"/>
  <c r="AD133" i="19"/>
  <c r="AF133" i="19" s="1"/>
  <c r="AE133" i="19"/>
  <c r="AG133" i="19" s="1"/>
  <c r="AD128" i="19"/>
  <c r="AF128" i="19" s="1"/>
  <c r="AE128" i="19"/>
  <c r="AG128" i="19" s="1"/>
  <c r="J57" i="19"/>
  <c r="AD144" i="19"/>
  <c r="AF144" i="19" s="1"/>
  <c r="AE144" i="19"/>
  <c r="AG144" i="19" s="1"/>
  <c r="AB140" i="19"/>
  <c r="AD134" i="19"/>
  <c r="AF134" i="19" s="1"/>
  <c r="AE134" i="19"/>
  <c r="AG134" i="19" s="1"/>
  <c r="AB134" i="19"/>
  <c r="J42" i="19"/>
  <c r="AD126" i="19"/>
  <c r="AF126" i="19" s="1"/>
  <c r="AE126" i="19"/>
  <c r="AG126" i="19" s="1"/>
  <c r="AD146" i="19"/>
  <c r="AF146" i="19" s="1"/>
  <c r="AE146" i="19"/>
  <c r="AG146" i="19" s="1"/>
  <c r="AB126" i="19"/>
  <c r="AD137" i="19"/>
  <c r="AF137" i="19" s="1"/>
  <c r="AE137" i="19"/>
  <c r="AG137" i="19" s="1"/>
  <c r="AB89" i="19"/>
  <c r="AD147" i="19"/>
  <c r="AF147" i="19" s="1"/>
  <c r="AE147" i="19"/>
  <c r="AG147" i="19" s="1"/>
  <c r="AE82" i="19"/>
  <c r="AG82" i="19" s="1"/>
  <c r="J52" i="19"/>
  <c r="AD139" i="19"/>
  <c r="AF139" i="19" s="1"/>
  <c r="AE139" i="19"/>
  <c r="AG139" i="19" s="1"/>
  <c r="AB139" i="19"/>
  <c r="J56" i="19"/>
  <c r="AD143" i="19"/>
  <c r="AF143" i="19" s="1"/>
  <c r="AE143" i="19"/>
  <c r="AG143" i="19" s="1"/>
  <c r="J53" i="19"/>
  <c r="I59" i="19"/>
  <c r="AD136" i="19"/>
  <c r="AF136" i="19" s="1"/>
  <c r="AE136" i="19"/>
  <c r="AG136" i="19" s="1"/>
  <c r="AD131" i="19"/>
  <c r="AF131" i="19" s="1"/>
  <c r="AE131" i="19"/>
  <c r="AG131" i="19" s="1"/>
  <c r="AB144" i="19"/>
  <c r="K53" i="19"/>
  <c r="AD76" i="19"/>
  <c r="AF76" i="19" s="1"/>
  <c r="AE83" i="19"/>
  <c r="AG83" i="19" s="1"/>
  <c r="AE141" i="19"/>
  <c r="AG141" i="19" s="1"/>
  <c r="AD141" i="19"/>
  <c r="AF141" i="19" s="1"/>
  <c r="AB133" i="19"/>
  <c r="J60" i="19"/>
  <c r="J54" i="19"/>
  <c r="AD112" i="19"/>
  <c r="AF112" i="19" s="1"/>
  <c r="AE112" i="19"/>
  <c r="AG112" i="19" s="1"/>
  <c r="AB101" i="19"/>
  <c r="AD73" i="19"/>
  <c r="AF73" i="19" s="1"/>
  <c r="AE73" i="19"/>
  <c r="AG73" i="19" s="1"/>
  <c r="AD100" i="19"/>
  <c r="AF100" i="19" s="1"/>
  <c r="AE100" i="19"/>
  <c r="AG100" i="19" s="1"/>
  <c r="K47" i="19"/>
  <c r="J47" i="19"/>
  <c r="AD108" i="19"/>
  <c r="AF108" i="19" s="1"/>
  <c r="AE108" i="19"/>
  <c r="AG108" i="19" s="1"/>
  <c r="AE115" i="19"/>
  <c r="AG115" i="19" s="1"/>
  <c r="AD115" i="19"/>
  <c r="AF115" i="19" s="1"/>
  <c r="AB73" i="19"/>
  <c r="AD105" i="19"/>
  <c r="AF105" i="19" s="1"/>
  <c r="AE105" i="19"/>
  <c r="AG105" i="19" s="1"/>
  <c r="AB100" i="19"/>
  <c r="AB112" i="19"/>
  <c r="AD83" i="19"/>
  <c r="AF83" i="19" s="1"/>
  <c r="AD97" i="19"/>
  <c r="AF97" i="19" s="1"/>
  <c r="AE97" i="19"/>
  <c r="AG97" i="19" s="1"/>
  <c r="AB116" i="19"/>
  <c r="AD102" i="19"/>
  <c r="AF102" i="19" s="1"/>
  <c r="AE102" i="19"/>
  <c r="AG102" i="19" s="1"/>
  <c r="I47" i="19"/>
  <c r="AB115" i="19"/>
  <c r="AE76" i="19"/>
  <c r="AG76" i="19" s="1"/>
  <c r="K20" i="19"/>
  <c r="F50" i="19"/>
  <c r="P50" i="19" s="1"/>
  <c r="F47" i="19"/>
  <c r="P47" i="19" s="1"/>
  <c r="F46" i="19"/>
  <c r="P46" i="19" s="1"/>
  <c r="K16" i="19"/>
  <c r="R45" i="19"/>
  <c r="U45" i="19"/>
  <c r="K49" i="19"/>
  <c r="AD78" i="19"/>
  <c r="AF78" i="19" s="1"/>
  <c r="AE78" i="19"/>
  <c r="AG78" i="19" s="1"/>
  <c r="AD70" i="19"/>
  <c r="AF70" i="19" s="1"/>
  <c r="AE70" i="19"/>
  <c r="AG70" i="19" s="1"/>
  <c r="AB71" i="19"/>
  <c r="I50" i="19"/>
  <c r="AD79" i="19"/>
  <c r="AF79" i="19" s="1"/>
  <c r="AE79" i="19"/>
  <c r="AG79" i="19" s="1"/>
  <c r="I49" i="19"/>
  <c r="I42" i="19"/>
  <c r="AD71" i="19"/>
  <c r="AF71" i="19" s="1"/>
  <c r="AE71" i="19"/>
  <c r="AG71" i="19" s="1"/>
  <c r="I54" i="19"/>
  <c r="K57" i="19"/>
  <c r="I57" i="19"/>
  <c r="AD86" i="19"/>
  <c r="AF86" i="19" s="1"/>
  <c r="AE86" i="19"/>
  <c r="AG86" i="19" s="1"/>
  <c r="K54" i="19"/>
  <c r="J59" i="19"/>
  <c r="AD88" i="19"/>
  <c r="AF88" i="19" s="1"/>
  <c r="AE88" i="19"/>
  <c r="AG88" i="19" s="1"/>
  <c r="AD68" i="19"/>
  <c r="AF68" i="19" s="1"/>
  <c r="AE68" i="19"/>
  <c r="AG68" i="19" s="1"/>
  <c r="AB86" i="19"/>
  <c r="AB78" i="19"/>
  <c r="F38" i="19"/>
  <c r="P38" i="19" s="1"/>
  <c r="R38" i="19" s="1"/>
  <c r="AB68" i="19"/>
  <c r="AB72" i="19"/>
  <c r="AB87" i="19"/>
  <c r="I60" i="19"/>
  <c r="AD89" i="19"/>
  <c r="AF89" i="19" s="1"/>
  <c r="AE89" i="19"/>
  <c r="AG89" i="19" s="1"/>
  <c r="K14" i="19"/>
  <c r="AB88" i="19"/>
  <c r="I56" i="19"/>
  <c r="AE85" i="19"/>
  <c r="AG85" i="19" s="1"/>
  <c r="AD85" i="19"/>
  <c r="AF85" i="19" s="1"/>
  <c r="AB85" i="19"/>
  <c r="K59" i="19"/>
  <c r="AD75" i="19"/>
  <c r="AF75" i="19" s="1"/>
  <c r="AE75" i="19"/>
  <c r="AG75" i="19" s="1"/>
  <c r="K56" i="19"/>
  <c r="I52" i="19"/>
  <c r="AD81" i="19"/>
  <c r="AF81" i="19" s="1"/>
  <c r="AE81" i="19"/>
  <c r="AG81" i="19" s="1"/>
  <c r="AB79" i="19"/>
  <c r="K22" i="19"/>
  <c r="F53" i="19"/>
  <c r="P53" i="19" s="1"/>
  <c r="K27" i="19"/>
  <c r="F58" i="19"/>
  <c r="P58" i="19" s="1"/>
  <c r="K26" i="19"/>
  <c r="F57" i="19"/>
  <c r="P57" i="19" s="1"/>
  <c r="K50" i="19"/>
  <c r="K12" i="19"/>
  <c r="F43" i="19"/>
  <c r="P43" i="19" s="1"/>
  <c r="F42" i="19"/>
  <c r="P42" i="19" s="1"/>
  <c r="I46" i="19"/>
  <c r="J46" i="19"/>
  <c r="K46" i="19"/>
  <c r="R46" i="19"/>
  <c r="U46" i="19"/>
  <c r="K13" i="19"/>
  <c r="F44" i="19"/>
  <c r="P44" i="19" s="1"/>
  <c r="I41" i="19"/>
  <c r="J41" i="19"/>
  <c r="K41" i="19"/>
  <c r="K24" i="19"/>
  <c r="F55" i="19"/>
  <c r="P55" i="19" s="1"/>
  <c r="F54" i="19"/>
  <c r="P54" i="19" s="1"/>
  <c r="K9" i="19"/>
  <c r="F40" i="19"/>
  <c r="P40" i="19" s="1"/>
  <c r="K25" i="19"/>
  <c r="F56" i="19"/>
  <c r="P56" i="19" s="1"/>
  <c r="K10" i="19"/>
  <c r="F41" i="19"/>
  <c r="P41" i="19" s="1"/>
  <c r="K18" i="19"/>
  <c r="F49" i="19"/>
  <c r="P49" i="19" s="1"/>
  <c r="K52" i="19"/>
  <c r="K21" i="19"/>
  <c r="F52" i="19"/>
  <c r="P52" i="19" s="1"/>
  <c r="F51" i="19"/>
  <c r="P51" i="19" s="1"/>
  <c r="K29" i="19"/>
  <c r="F60" i="19"/>
  <c r="P60" i="19" s="1"/>
  <c r="I44" i="19"/>
  <c r="J44" i="19"/>
  <c r="K44" i="19"/>
  <c r="F59" i="19"/>
  <c r="P59" i="19" s="1"/>
  <c r="J50" i="19"/>
  <c r="J39" i="19"/>
  <c r="K39" i="19"/>
  <c r="I39" i="19"/>
  <c r="K8" i="19"/>
  <c r="F39" i="19"/>
  <c r="P39" i="19" s="1"/>
  <c r="K17" i="19"/>
  <c r="F48" i="19"/>
  <c r="P48" i="19" s="1"/>
  <c r="AV34" i="17"/>
  <c r="AO35" i="17"/>
  <c r="AR35" i="17"/>
  <c r="AT35" i="17"/>
  <c r="AV27" i="17"/>
  <c r="R36" i="5"/>
  <c r="U36" i="5"/>
  <c r="AB60" i="5"/>
  <c r="AD60" i="5" s="1"/>
  <c r="AC60" i="5"/>
  <c r="AE60" i="5" s="1"/>
  <c r="F35" i="5"/>
  <c r="P35" i="5" s="1"/>
  <c r="Z60" i="5"/>
  <c r="AB44" i="5"/>
  <c r="AD44" i="5" s="1"/>
  <c r="AC44" i="5"/>
  <c r="AE44" i="5" s="1"/>
  <c r="I36" i="5"/>
  <c r="J36" i="5"/>
  <c r="K36" i="5"/>
  <c r="Z44" i="5"/>
  <c r="R35" i="5"/>
  <c r="U35" i="5"/>
  <c r="U52" i="21"/>
  <c r="O52" i="21"/>
  <c r="N52" i="21"/>
  <c r="S52" i="21"/>
  <c r="T52" i="21"/>
  <c r="L52" i="21"/>
  <c r="M52" i="21"/>
  <c r="T54" i="21"/>
  <c r="U54" i="21"/>
  <c r="N54" i="21"/>
  <c r="S54" i="21"/>
  <c r="O54" i="21"/>
  <c r="L54" i="21"/>
  <c r="M54" i="21"/>
  <c r="S56" i="21"/>
  <c r="M56" i="21"/>
  <c r="U56" i="21"/>
  <c r="N56" i="21"/>
  <c r="O56" i="21"/>
  <c r="T56" i="21"/>
  <c r="L56" i="21"/>
  <c r="O50" i="21"/>
  <c r="N50" i="21"/>
  <c r="M50" i="21"/>
  <c r="L50" i="21"/>
  <c r="H50" i="21"/>
  <c r="G50" i="21"/>
  <c r="S50" i="21"/>
  <c r="T50" i="21"/>
  <c r="U50" i="21"/>
  <c r="G68" i="21"/>
  <c r="H68" i="21"/>
  <c r="U11" i="21"/>
  <c r="T11" i="21"/>
  <c r="M42" i="21"/>
  <c r="L42" i="21"/>
  <c r="G43" i="21"/>
  <c r="H43" i="21"/>
  <c r="G70" i="21"/>
  <c r="H70" i="21"/>
  <c r="S22" i="21"/>
  <c r="T22" i="21"/>
  <c r="L11" i="21"/>
  <c r="N11" i="21"/>
  <c r="O11" i="21"/>
  <c r="L65" i="21"/>
  <c r="M65" i="21"/>
  <c r="N65" i="21"/>
  <c r="O65" i="21"/>
  <c r="S67" i="21"/>
  <c r="T67" i="21"/>
  <c r="U67" i="21"/>
  <c r="L35" i="21"/>
  <c r="M35" i="21"/>
  <c r="O35" i="21"/>
  <c r="N35" i="21"/>
  <c r="U35" i="21"/>
  <c r="S9" i="21"/>
  <c r="T9" i="21"/>
  <c r="U9" i="21"/>
  <c r="L38" i="21"/>
  <c r="O38" i="21"/>
  <c r="M38" i="21"/>
  <c r="N38" i="21"/>
  <c r="T38" i="21"/>
  <c r="T10" i="21"/>
  <c r="O9" i="21"/>
  <c r="N9" i="21"/>
  <c r="L9" i="21"/>
  <c r="M9" i="21"/>
  <c r="T37" i="21"/>
  <c r="S37" i="21"/>
  <c r="S8" i="21"/>
  <c r="G9" i="21"/>
  <c r="H9" i="21"/>
  <c r="G19" i="21"/>
  <c r="T65" i="21"/>
  <c r="S65" i="21"/>
  <c r="G22" i="21"/>
  <c r="S70" i="21"/>
  <c r="T70" i="21"/>
  <c r="U70" i="21"/>
  <c r="G11" i="21"/>
  <c r="H11" i="21"/>
  <c r="U10" i="21"/>
  <c r="L10" i="21"/>
  <c r="M10" i="21"/>
  <c r="N10" i="21"/>
  <c r="O10" i="21"/>
  <c r="N42" i="21"/>
  <c r="H29" i="21"/>
  <c r="G29" i="21"/>
  <c r="M33" i="21"/>
  <c r="T33" i="21"/>
  <c r="L33" i="21"/>
  <c r="N33" i="21"/>
  <c r="S33" i="21"/>
  <c r="M11" i="21"/>
  <c r="L70" i="21"/>
  <c r="M70" i="21"/>
  <c r="N70" i="21"/>
  <c r="O70" i="21"/>
  <c r="S11" i="21"/>
  <c r="M41" i="21"/>
  <c r="N41" i="21"/>
  <c r="O41" i="21"/>
  <c r="M40" i="21"/>
  <c r="L19" i="21"/>
  <c r="M19" i="21"/>
  <c r="N19" i="21"/>
  <c r="O19" i="21"/>
  <c r="S35" i="21"/>
  <c r="O42" i="21"/>
  <c r="L22" i="21"/>
  <c r="O22" i="21"/>
  <c r="U65" i="21"/>
  <c r="S42" i="21"/>
  <c r="L8" i="21"/>
  <c r="M8" i="21"/>
  <c r="N8" i="21"/>
  <c r="O8" i="21"/>
  <c r="T28" i="21"/>
  <c r="S28" i="21"/>
  <c r="G32" i="21"/>
  <c r="H32" i="21"/>
  <c r="N32" i="21"/>
  <c r="M32" i="21"/>
  <c r="M22" i="21"/>
  <c r="H30" i="21"/>
  <c r="G30" i="21"/>
  <c r="N22" i="21"/>
  <c r="H69" i="21"/>
  <c r="G41" i="21"/>
  <c r="H41" i="21"/>
  <c r="L68" i="21"/>
  <c r="M68" i="21"/>
  <c r="N68" i="21"/>
  <c r="O68" i="21"/>
  <c r="U68" i="21"/>
  <c r="U28" i="21"/>
  <c r="S19" i="21"/>
  <c r="U19" i="21"/>
  <c r="H33" i="21"/>
  <c r="L29" i="21"/>
  <c r="N29" i="21"/>
  <c r="S68" i="21"/>
  <c r="S39" i="21"/>
  <c r="U39" i="21"/>
  <c r="O39" i="21"/>
  <c r="M39" i="21"/>
  <c r="L39" i="21"/>
  <c r="T39" i="21"/>
  <c r="N39" i="21"/>
  <c r="S38" i="21"/>
  <c r="T42" i="21"/>
  <c r="U22" i="21"/>
  <c r="S41" i="21"/>
  <c r="T41" i="21"/>
  <c r="U41" i="21"/>
  <c r="G65" i="21"/>
  <c r="H65" i="21"/>
  <c r="O64" i="21"/>
  <c r="N64" i="21"/>
  <c r="M64" i="21"/>
  <c r="L64" i="21"/>
  <c r="H64" i="21"/>
  <c r="G64" i="21"/>
  <c r="S64" i="21"/>
  <c r="T64" i="21"/>
  <c r="U64" i="21"/>
  <c r="O7" i="21"/>
  <c r="N7" i="21"/>
  <c r="M7" i="21"/>
  <c r="L7" i="21"/>
  <c r="H7" i="21"/>
  <c r="G7" i="21"/>
  <c r="S7" i="21"/>
  <c r="T7" i="21"/>
  <c r="U7" i="21"/>
  <c r="S18" i="21"/>
  <c r="T18" i="21"/>
  <c r="AV86" i="18" l="1"/>
  <c r="AS90" i="18"/>
  <c r="AV90" i="18"/>
  <c r="AV88" i="18"/>
  <c r="AS86" i="18"/>
  <c r="AS88" i="18"/>
  <c r="AS49" i="18"/>
  <c r="AV53" i="18"/>
  <c r="AV60" i="18"/>
  <c r="AS60" i="18"/>
  <c r="AS53" i="18"/>
  <c r="AS51" i="18"/>
  <c r="AV58" i="18"/>
  <c r="AV51" i="18"/>
  <c r="AV49" i="18"/>
  <c r="U38" i="19"/>
  <c r="R47" i="19"/>
  <c r="S47" i="19" s="1"/>
  <c r="L47" i="19" s="1"/>
  <c r="U47" i="19"/>
  <c r="V47" i="19" s="1"/>
  <c r="M47" i="19" s="1"/>
  <c r="U50" i="19"/>
  <c r="R50" i="19"/>
  <c r="R55" i="19"/>
  <c r="U55" i="19"/>
  <c r="R56" i="19"/>
  <c r="U56" i="19"/>
  <c r="R40" i="19"/>
  <c r="U40" i="19"/>
  <c r="R44" i="19"/>
  <c r="U44" i="19"/>
  <c r="U39" i="19"/>
  <c r="V39" i="19" s="1"/>
  <c r="M39" i="19" s="1"/>
  <c r="R39" i="19"/>
  <c r="S39" i="19" s="1"/>
  <c r="L39" i="19" s="1"/>
  <c r="R42" i="19"/>
  <c r="U42" i="19"/>
  <c r="R43" i="19"/>
  <c r="U43" i="19"/>
  <c r="U60" i="19"/>
  <c r="R60" i="19"/>
  <c r="R41" i="19"/>
  <c r="U41" i="19"/>
  <c r="R51" i="19"/>
  <c r="U51" i="19"/>
  <c r="R52" i="19"/>
  <c r="U52" i="19"/>
  <c r="R59" i="19"/>
  <c r="U59" i="19"/>
  <c r="U57" i="19"/>
  <c r="R57" i="19"/>
  <c r="U58" i="19"/>
  <c r="R58" i="19"/>
  <c r="R48" i="19"/>
  <c r="U48" i="19"/>
  <c r="R49" i="19"/>
  <c r="U49" i="19"/>
  <c r="U53" i="19"/>
  <c r="R53" i="19"/>
  <c r="R54" i="19"/>
  <c r="U54" i="19"/>
  <c r="AV35" i="17"/>
  <c r="AS35" i="17"/>
  <c r="D39" i="574" l="1"/>
  <c r="D40" i="574"/>
  <c r="D41" i="574"/>
  <c r="D42" i="574"/>
  <c r="D43" i="574"/>
  <c r="D44" i="574"/>
  <c r="D45" i="574"/>
  <c r="D46" i="574"/>
  <c r="D47" i="574"/>
  <c r="D48" i="574"/>
  <c r="D49" i="574"/>
  <c r="D38" i="574"/>
  <c r="L38" i="574"/>
  <c r="I38" i="574" l="1"/>
  <c r="J38" i="574" s="1"/>
  <c r="K38" i="574" s="1"/>
  <c r="D14" i="574"/>
  <c r="E49" i="574"/>
  <c r="D50" i="574" l="1"/>
  <c r="I41" i="574" l="1"/>
  <c r="J41" i="574" s="1"/>
  <c r="K41" i="574" s="1"/>
  <c r="L40" i="574"/>
  <c r="L41" i="574"/>
  <c r="I40" i="574" l="1"/>
  <c r="J40" i="574" s="1"/>
  <c r="K40" i="574" s="1"/>
  <c r="M4" i="4" l="1"/>
  <c r="P3" i="575"/>
  <c r="D28" i="574"/>
  <c r="D29" i="574"/>
  <c r="D30" i="574"/>
  <c r="D31" i="574"/>
  <c r="D32" i="574"/>
  <c r="D33" i="574"/>
  <c r="D34" i="574"/>
  <c r="D35" i="574"/>
  <c r="D36" i="574"/>
  <c r="D37" i="574"/>
  <c r="D27" i="574"/>
  <c r="D13" i="574"/>
  <c r="D12" i="574"/>
  <c r="AK17" i="574" l="1"/>
  <c r="AL17" i="574" s="1"/>
  <c r="E73" i="5" s="1"/>
  <c r="AK18" i="574"/>
  <c r="AK11" i="574"/>
  <c r="AK16" i="574"/>
  <c r="AK15" i="574"/>
  <c r="AK13" i="574"/>
  <c r="AK32" i="574"/>
  <c r="AK31" i="574"/>
  <c r="AK30" i="574"/>
  <c r="D62" i="20"/>
  <c r="D34" i="20"/>
  <c r="E5" i="20"/>
  <c r="D5" i="20"/>
  <c r="X6" i="18"/>
  <c r="X5" i="18"/>
  <c r="S14" i="18"/>
  <c r="S9" i="18"/>
  <c r="S8" i="18"/>
  <c r="S7" i="18"/>
  <c r="S6" i="18"/>
  <c r="D66" i="18"/>
  <c r="D36" i="18"/>
  <c r="AN37" i="18" s="1"/>
  <c r="E5" i="18"/>
  <c r="D5" i="18"/>
  <c r="S3" i="18"/>
  <c r="S2" i="18"/>
  <c r="X6" i="17"/>
  <c r="X5" i="17"/>
  <c r="S14" i="17"/>
  <c r="S9" i="17"/>
  <c r="S8" i="17"/>
  <c r="S7" i="17"/>
  <c r="S6" i="17"/>
  <c r="S2" i="17"/>
  <c r="D32" i="17"/>
  <c r="D23" i="17"/>
  <c r="AN24" i="17" s="1"/>
  <c r="E5" i="17"/>
  <c r="D5" i="17"/>
  <c r="D165" i="19"/>
  <c r="D153" i="19"/>
  <c r="D123" i="19"/>
  <c r="D94" i="19"/>
  <c r="D65" i="19"/>
  <c r="D36" i="19"/>
  <c r="E5" i="19"/>
  <c r="D5" i="19"/>
  <c r="D79" i="5"/>
  <c r="D66" i="5"/>
  <c r="D57" i="5"/>
  <c r="D49" i="5"/>
  <c r="D41" i="5"/>
  <c r="D33" i="5"/>
  <c r="E5" i="5"/>
  <c r="D5" i="5"/>
  <c r="AN17" i="574" l="1" a="1"/>
  <c r="AN17" i="574" s="1"/>
  <c r="AM17" i="574"/>
  <c r="F73" i="5" s="1"/>
  <c r="Z86" i="5" s="1"/>
  <c r="AL18" i="574"/>
  <c r="E74" i="5" s="1"/>
  <c r="AM18" i="574"/>
  <c r="F74" i="5" s="1"/>
  <c r="AN18" i="574" a="1"/>
  <c r="AN18" i="574" s="1"/>
  <c r="AL11" i="574"/>
  <c r="E67" i="5" s="1"/>
  <c r="AN11" i="574" a="1"/>
  <c r="AN11" i="574" s="1"/>
  <c r="AM11" i="574"/>
  <c r="F67" i="5" s="1"/>
  <c r="AL16" i="574"/>
  <c r="E72" i="5" s="1"/>
  <c r="Z85" i="5" s="1"/>
  <c r="AM16" i="574"/>
  <c r="F72" i="5" s="1"/>
  <c r="AN16" i="574" a="1"/>
  <c r="AN16" i="574" s="1"/>
  <c r="AL15" i="574"/>
  <c r="E71" i="5" s="1"/>
  <c r="Z84" i="5" s="1"/>
  <c r="AN15" i="574" a="1"/>
  <c r="AN15" i="574" s="1"/>
  <c r="AM15" i="574"/>
  <c r="F71" i="5" s="1"/>
  <c r="AL13" i="574"/>
  <c r="E69" i="5" s="1"/>
  <c r="Z82" i="5" s="1"/>
  <c r="AN13" i="574" a="1"/>
  <c r="AN13" i="574" s="1"/>
  <c r="AM13" i="574"/>
  <c r="F69" i="5" s="1"/>
  <c r="AL30" i="574"/>
  <c r="E158" i="19" s="1"/>
  <c r="AN30" i="574" a="1"/>
  <c r="AN30" i="574" s="1"/>
  <c r="AM30" i="574"/>
  <c r="F158" i="19" s="1"/>
  <c r="AN31" i="574" a="1"/>
  <c r="AN31" i="574" s="1"/>
  <c r="AL31" i="574"/>
  <c r="E159" i="19" s="1"/>
  <c r="AB171" i="19" s="1"/>
  <c r="AM31" i="574"/>
  <c r="F159" i="19" s="1"/>
  <c r="AM32" i="574"/>
  <c r="F160" i="19" s="1"/>
  <c r="AN32" i="574" a="1"/>
  <c r="AN32" i="574" s="1"/>
  <c r="AL32" i="574"/>
  <c r="E160" i="19" s="1"/>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AB26" i="19"/>
  <c r="AB25" i="19"/>
  <c r="AF26" i="19"/>
  <c r="AF25" i="19"/>
  <c r="W6" i="17"/>
  <c r="W5" i="17"/>
  <c r="X16" i="19"/>
  <c r="X15" i="19"/>
  <c r="X14" i="19"/>
  <c r="X13" i="19"/>
  <c r="Z16" i="19"/>
  <c r="Z15" i="19"/>
  <c r="Z14" i="19"/>
  <c r="Z13" i="19"/>
  <c r="Z12" i="19"/>
  <c r="Z9" i="19"/>
  <c r="Z6" i="19"/>
  <c r="Z5" i="19"/>
  <c r="Z4" i="19"/>
  <c r="T3" i="23"/>
  <c r="D8" i="51"/>
  <c r="D9" i="24"/>
  <c r="P124" i="19"/>
  <c r="O124" i="19"/>
  <c r="Z8" i="19"/>
  <c r="AC4" i="19"/>
  <c r="AD121" i="19"/>
  <c r="AD92" i="19"/>
  <c r="AD63" i="19"/>
  <c r="AB55" i="5"/>
  <c r="AB47" i="5"/>
  <c r="AB39" i="5"/>
  <c r="P58" i="5"/>
  <c r="O58" i="5"/>
  <c r="P50" i="5"/>
  <c r="O50" i="5"/>
  <c r="P42" i="5"/>
  <c r="O42" i="5"/>
  <c r="AB27" i="5"/>
  <c r="AB26" i="5"/>
  <c r="X14" i="5"/>
  <c r="X15" i="5"/>
  <c r="X16" i="5"/>
  <c r="X13" i="5"/>
  <c r="D62" i="23"/>
  <c r="D34" i="23"/>
  <c r="E5" i="23"/>
  <c r="D5" i="23"/>
  <c r="C63" i="21"/>
  <c r="C49" i="21"/>
  <c r="C17" i="21"/>
  <c r="G4" i="4"/>
  <c r="C4" i="4"/>
  <c r="C4" i="574"/>
  <c r="AF25" i="574"/>
  <c r="E25" i="574"/>
  <c r="D25" i="574"/>
  <c r="AF10" i="574"/>
  <c r="E10" i="574"/>
  <c r="D10" i="574"/>
  <c r="D10" i="51"/>
  <c r="G10" i="51" s="1"/>
  <c r="D9" i="51"/>
  <c r="D11" i="24"/>
  <c r="D10" i="24"/>
  <c r="S5" i="23"/>
  <c r="S4" i="23"/>
  <c r="S3" i="23"/>
  <c r="F164" i="19"/>
  <c r="E164" i="19"/>
  <c r="F122" i="19"/>
  <c r="E122" i="19"/>
  <c r="F93" i="19"/>
  <c r="E93" i="19"/>
  <c r="F64" i="19"/>
  <c r="E64" i="19"/>
  <c r="F78" i="5"/>
  <c r="E78" i="5"/>
  <c r="F56" i="5"/>
  <c r="E56" i="5"/>
  <c r="F48" i="5"/>
  <c r="E48" i="5"/>
  <c r="F40" i="5"/>
  <c r="E40" i="5"/>
  <c r="H62" i="21"/>
  <c r="H48" i="21"/>
  <c r="H16" i="21"/>
  <c r="H5" i="21"/>
  <c r="E3" i="4"/>
  <c r="C3" i="574"/>
  <c r="C2" i="574"/>
  <c r="AF27" i="5"/>
  <c r="AF26" i="5"/>
  <c r="AC4" i="5"/>
  <c r="Z16" i="5"/>
  <c r="Z15" i="5"/>
  <c r="Z14" i="5"/>
  <c r="Z13" i="5"/>
  <c r="Z12" i="5"/>
  <c r="Z9" i="5"/>
  <c r="Z8" i="5"/>
  <c r="Z6" i="5"/>
  <c r="Z5" i="5"/>
  <c r="Z4" i="5"/>
  <c r="Z87" i="5" l="1"/>
  <c r="X25" i="17"/>
  <c r="X26" i="17"/>
  <c r="X27" i="17"/>
  <c r="AU52" i="18"/>
  <c r="AU80" i="18"/>
  <c r="AU84" i="18"/>
  <c r="AU54" i="18"/>
  <c r="AU56" i="18"/>
  <c r="AU38" i="18"/>
  <c r="AU78" i="18"/>
  <c r="AU39" i="18"/>
  <c r="AU79" i="18"/>
  <c r="AU68" i="18"/>
  <c r="AU85" i="18"/>
  <c r="AU59" i="18"/>
  <c r="AU83" i="18"/>
  <c r="AU87" i="18"/>
  <c r="AU55" i="18"/>
  <c r="AU57" i="18"/>
  <c r="AU61" i="18"/>
  <c r="AU50" i="18"/>
  <c r="AU91" i="18"/>
  <c r="AU89" i="18"/>
  <c r="AU82" i="18"/>
  <c r="AU81" i="18"/>
  <c r="AU88" i="18"/>
  <c r="AU53" i="18"/>
  <c r="AU86" i="18"/>
  <c r="AU60" i="18"/>
  <c r="AU58" i="18"/>
  <c r="AU90" i="18"/>
  <c r="AU51" i="18"/>
  <c r="AU49" i="18"/>
  <c r="Y25" i="17"/>
  <c r="Y34" i="17" s="1"/>
  <c r="Y26" i="17"/>
  <c r="Y35" i="17" s="1"/>
  <c r="Y27" i="17"/>
  <c r="Y36" i="17" s="1"/>
  <c r="AB172" i="19"/>
  <c r="AB170" i="19"/>
  <c r="R3" i="18"/>
  <c r="I82" i="18"/>
  <c r="I88" i="18"/>
  <c r="I60" i="18"/>
  <c r="I84" i="18"/>
  <c r="I86" i="18"/>
  <c r="I53" i="18"/>
  <c r="I55" i="18"/>
  <c r="I91" i="18"/>
  <c r="I58" i="18"/>
  <c r="I81" i="18"/>
  <c r="I61" i="18"/>
  <c r="I52" i="18"/>
  <c r="I83" i="18"/>
  <c r="I85" i="18"/>
  <c r="I54" i="18"/>
  <c r="I56" i="18"/>
  <c r="I59" i="18"/>
  <c r="I90" i="18"/>
  <c r="I87" i="18"/>
  <c r="I57" i="18"/>
  <c r="I89" i="18"/>
  <c r="Y167" i="19"/>
  <c r="AA167" i="19"/>
  <c r="Y172" i="19"/>
  <c r="AA168" i="19"/>
  <c r="AA169" i="19"/>
  <c r="Y168" i="19"/>
  <c r="Y169" i="19"/>
  <c r="AA170" i="19"/>
  <c r="AA171" i="19"/>
  <c r="Y170" i="19"/>
  <c r="AA172" i="19"/>
  <c r="Y171" i="19"/>
  <c r="X45" i="18"/>
  <c r="X43" i="18"/>
  <c r="X60" i="18"/>
  <c r="X51" i="18"/>
  <c r="X53" i="18"/>
  <c r="X55" i="18"/>
  <c r="X49" i="18"/>
  <c r="X47" i="18"/>
  <c r="X58" i="18"/>
  <c r="X48" i="18"/>
  <c r="X50" i="18"/>
  <c r="X52" i="18"/>
  <c r="X40" i="18"/>
  <c r="X57" i="18"/>
  <c r="X54" i="18"/>
  <c r="X42" i="18"/>
  <c r="X59" i="18"/>
  <c r="X44" i="18"/>
  <c r="X61" i="18"/>
  <c r="X56" i="18"/>
  <c r="X46" i="18"/>
  <c r="X41" i="18"/>
  <c r="AU36" i="17"/>
  <c r="AU25" i="17"/>
  <c r="AU26" i="17"/>
  <c r="AU27" i="17"/>
  <c r="AU34" i="17"/>
  <c r="AU35" i="17"/>
  <c r="X167" i="19"/>
  <c r="X172" i="19"/>
  <c r="Z168" i="19"/>
  <c r="Z169" i="19"/>
  <c r="X168" i="19"/>
  <c r="Z170" i="19"/>
  <c r="AC170" i="19" s="1"/>
  <c r="X169" i="19"/>
  <c r="Z171" i="19"/>
  <c r="AC171" i="19" s="1"/>
  <c r="X170" i="19"/>
  <c r="Z172" i="19"/>
  <c r="X171" i="19"/>
  <c r="V86" i="5"/>
  <c r="AD86" i="5" s="1"/>
  <c r="V87" i="5"/>
  <c r="V81" i="5"/>
  <c r="AD81" i="5" s="1"/>
  <c r="V85" i="5"/>
  <c r="AD85" i="5" s="1"/>
  <c r="X81" i="5"/>
  <c r="V83" i="5"/>
  <c r="AD83" i="5" s="1"/>
  <c r="V82" i="5"/>
  <c r="AD82" i="5" s="1"/>
  <c r="V84" i="5"/>
  <c r="AD84" i="5" s="1"/>
  <c r="W86" i="5"/>
  <c r="AE86" i="5" s="1"/>
  <c r="W87" i="5"/>
  <c r="AE87" i="5" s="1"/>
  <c r="W81" i="5"/>
  <c r="AE81" i="5" s="1"/>
  <c r="W84" i="5"/>
  <c r="AE84" i="5" s="1"/>
  <c r="W85" i="5"/>
  <c r="AE85" i="5" s="1"/>
  <c r="W82" i="5"/>
  <c r="AE82" i="5" s="1"/>
  <c r="W83" i="5"/>
  <c r="AE83" i="5" s="1"/>
  <c r="Y45" i="18"/>
  <c r="Y75" i="18" s="1"/>
  <c r="Y60" i="18"/>
  <c r="Y90" i="18" s="1"/>
  <c r="Y51" i="18"/>
  <c r="Y81" i="18" s="1"/>
  <c r="Y53" i="18"/>
  <c r="Y83" i="18" s="1"/>
  <c r="Y55" i="18"/>
  <c r="Y85" i="18" s="1"/>
  <c r="Y49" i="18"/>
  <c r="Y47" i="18"/>
  <c r="Y77" i="18" s="1"/>
  <c r="Y43" i="18"/>
  <c r="Y73" i="18" s="1"/>
  <c r="Y50" i="18"/>
  <c r="Y80" i="18" s="1"/>
  <c r="Y40" i="18"/>
  <c r="Y70" i="18" s="1"/>
  <c r="Y52" i="18"/>
  <c r="Y82" i="18" s="1"/>
  <c r="Y54" i="18"/>
  <c r="Y84" i="18" s="1"/>
  <c r="Y57" i="18"/>
  <c r="Y87" i="18" s="1"/>
  <c r="Y42" i="18"/>
  <c r="Y59" i="18"/>
  <c r="Y89" i="18" s="1"/>
  <c r="Y39" i="18"/>
  <c r="Y61" i="18"/>
  <c r="Y91" i="18" s="1"/>
  <c r="Y44" i="18"/>
  <c r="Y74" i="18" s="1"/>
  <c r="Y56" i="18"/>
  <c r="Y86" i="18" s="1"/>
  <c r="Y46" i="18"/>
  <c r="Y76" i="18" s="1"/>
  <c r="Y41" i="18"/>
  <c r="Y71" i="18" s="1"/>
  <c r="Y58" i="18"/>
  <c r="Y48" i="18"/>
  <c r="Y78" i="18" s="1"/>
  <c r="Y74" i="19"/>
  <c r="Y132" i="19" s="1"/>
  <c r="Y75" i="19"/>
  <c r="Y133" i="19" s="1"/>
  <c r="Y86" i="19"/>
  <c r="Y144" i="19" s="1"/>
  <c r="AA77" i="19"/>
  <c r="Y77" i="19"/>
  <c r="Y135" i="19" s="1"/>
  <c r="AA83" i="19"/>
  <c r="AA81" i="19"/>
  <c r="AA75" i="19"/>
  <c r="AA86" i="19"/>
  <c r="Y68" i="19"/>
  <c r="Y126" i="19" s="1"/>
  <c r="AI126" i="19" s="1"/>
  <c r="AA74" i="19"/>
  <c r="AA68" i="19"/>
  <c r="Y81" i="19"/>
  <c r="Y139" i="19" s="1"/>
  <c r="Y83" i="19"/>
  <c r="Y141" i="19" s="1"/>
  <c r="Y80" i="19"/>
  <c r="Y138" i="19" s="1"/>
  <c r="Y84" i="19"/>
  <c r="Y142" i="19" s="1"/>
  <c r="AA67" i="19"/>
  <c r="Y76" i="19"/>
  <c r="Y134" i="19" s="1"/>
  <c r="AA88" i="19"/>
  <c r="AA80" i="19"/>
  <c r="AA84" i="19"/>
  <c r="Y73" i="19"/>
  <c r="Y131" i="19" s="1"/>
  <c r="Y67" i="19"/>
  <c r="Y125" i="19" s="1"/>
  <c r="AI125" i="19" s="1"/>
  <c r="AA78" i="19"/>
  <c r="AA73" i="19"/>
  <c r="AA72" i="19"/>
  <c r="Y78" i="19"/>
  <c r="Y136" i="19" s="1"/>
  <c r="Y72" i="19"/>
  <c r="Y130" i="19" s="1"/>
  <c r="Y69" i="19"/>
  <c r="Y127" i="19" s="1"/>
  <c r="AI127" i="19" s="1"/>
  <c r="Y82" i="19"/>
  <c r="Y140" i="19" s="1"/>
  <c r="AI140" i="19" s="1"/>
  <c r="AA82" i="19"/>
  <c r="AA69" i="19"/>
  <c r="Y71" i="19"/>
  <c r="Y129" i="19" s="1"/>
  <c r="AA76" i="19"/>
  <c r="Y89" i="19"/>
  <c r="Y147" i="19" s="1"/>
  <c r="AI147" i="19" s="1"/>
  <c r="AA71" i="19"/>
  <c r="AA89" i="19"/>
  <c r="AA70" i="19"/>
  <c r="Y85" i="19"/>
  <c r="Y143" i="19" s="1"/>
  <c r="AA79" i="19"/>
  <c r="Y87" i="19"/>
  <c r="Y145" i="19" s="1"/>
  <c r="AI145" i="19" s="1"/>
  <c r="AA85" i="19"/>
  <c r="Y79" i="19"/>
  <c r="Y137" i="19" s="1"/>
  <c r="AA87" i="19"/>
  <c r="Y88" i="19"/>
  <c r="Y146" i="19" s="1"/>
  <c r="AI146" i="19" s="1"/>
  <c r="Y70" i="19"/>
  <c r="Y128" i="19" s="1"/>
  <c r="AI128" i="19" s="1"/>
  <c r="X81" i="19"/>
  <c r="X139" i="19" s="1"/>
  <c r="AH139" i="19" s="1"/>
  <c r="X75" i="19"/>
  <c r="X133" i="19" s="1"/>
  <c r="X77" i="19"/>
  <c r="X135" i="19" s="1"/>
  <c r="X74" i="19"/>
  <c r="X132" i="19" s="1"/>
  <c r="Z75" i="19"/>
  <c r="Z133" i="19" s="1"/>
  <c r="Z86" i="19"/>
  <c r="Z144" i="19" s="1"/>
  <c r="Z83" i="19"/>
  <c r="Z141" i="19" s="1"/>
  <c r="X68" i="19"/>
  <c r="X126" i="19" s="1"/>
  <c r="Z77" i="19"/>
  <c r="Z135" i="19" s="1"/>
  <c r="Z81" i="19"/>
  <c r="Z139" i="19" s="1"/>
  <c r="Z68" i="19"/>
  <c r="Z126" i="19" s="1"/>
  <c r="Z74" i="19"/>
  <c r="Z132" i="19" s="1"/>
  <c r="X86" i="19"/>
  <c r="X144" i="19" s="1"/>
  <c r="X83" i="19"/>
  <c r="X141" i="19" s="1"/>
  <c r="X73" i="19"/>
  <c r="X131" i="19" s="1"/>
  <c r="X82" i="19"/>
  <c r="X140" i="19" s="1"/>
  <c r="AH140" i="19" s="1"/>
  <c r="Z80" i="19"/>
  <c r="Z138" i="19" s="1"/>
  <c r="Z84" i="19"/>
  <c r="Z142" i="19" s="1"/>
  <c r="Z70" i="19"/>
  <c r="Z128" i="19" s="1"/>
  <c r="Z78" i="19"/>
  <c r="Z136" i="19" s="1"/>
  <c r="Z73" i="19"/>
  <c r="Z131" i="19" s="1"/>
  <c r="X72" i="19"/>
  <c r="X130" i="19" s="1"/>
  <c r="X84" i="19"/>
  <c r="X142" i="19" s="1"/>
  <c r="Z82" i="19"/>
  <c r="Z140" i="19" s="1"/>
  <c r="Z76" i="19"/>
  <c r="Z134" i="19" s="1"/>
  <c r="X69" i="19"/>
  <c r="X127" i="19" s="1"/>
  <c r="X78" i="19"/>
  <c r="X136" i="19" s="1"/>
  <c r="Z72" i="19"/>
  <c r="Z130" i="19" s="1"/>
  <c r="Z69" i="19"/>
  <c r="Z127" i="19" s="1"/>
  <c r="X71" i="19"/>
  <c r="X129" i="19" s="1"/>
  <c r="X76" i="19"/>
  <c r="X134" i="19" s="1"/>
  <c r="X80" i="19"/>
  <c r="X138" i="19" s="1"/>
  <c r="X89" i="19"/>
  <c r="X147" i="19" s="1"/>
  <c r="Z67" i="19"/>
  <c r="Z125" i="19" s="1"/>
  <c r="Z71" i="19"/>
  <c r="Z129" i="19" s="1"/>
  <c r="Z89" i="19"/>
  <c r="Z147" i="19" s="1"/>
  <c r="X85" i="19"/>
  <c r="X143" i="19" s="1"/>
  <c r="X87" i="19"/>
  <c r="X145" i="19" s="1"/>
  <c r="AH145" i="19" s="1"/>
  <c r="Z85" i="19"/>
  <c r="Z143" i="19" s="1"/>
  <c r="X79" i="19"/>
  <c r="X137" i="19" s="1"/>
  <c r="Z87" i="19"/>
  <c r="Z145" i="19" s="1"/>
  <c r="Z79" i="19"/>
  <c r="Z137" i="19" s="1"/>
  <c r="X67" i="19"/>
  <c r="X125" i="19" s="1"/>
  <c r="Z88" i="19"/>
  <c r="Z146" i="19" s="1"/>
  <c r="X88" i="19"/>
  <c r="X146" i="19" s="1"/>
  <c r="X70" i="19"/>
  <c r="X128" i="19" s="1"/>
  <c r="Q57" i="19" a="1"/>
  <c r="Q57" i="19" s="1"/>
  <c r="S57" i="19" s="1"/>
  <c r="L57" i="19" s="1"/>
  <c r="Q60" i="19" a="1"/>
  <c r="Q60" i="19" s="1"/>
  <c r="S60" i="19" s="1"/>
  <c r="L60" i="19" s="1"/>
  <c r="Q51" i="19" a="1"/>
  <c r="Q51" i="19" s="1"/>
  <c r="S51" i="19" s="1"/>
  <c r="L51" i="19" s="1"/>
  <c r="T60" i="19" a="1"/>
  <c r="T60" i="19" s="1"/>
  <c r="V60" i="19" s="1"/>
  <c r="M60" i="19" s="1"/>
  <c r="Q48" i="19" a="1"/>
  <c r="Q48" i="19" s="1"/>
  <c r="S48" i="19" s="1"/>
  <c r="L48" i="19" s="1"/>
  <c r="Q38" i="19" a="1"/>
  <c r="Q38" i="19" s="1"/>
  <c r="S38" i="19" s="1"/>
  <c r="L38" i="19" s="1"/>
  <c r="T44" i="19" a="1"/>
  <c r="T44" i="19" s="1"/>
  <c r="V44" i="19" s="1"/>
  <c r="M44" i="19" s="1"/>
  <c r="T38" i="19" a="1"/>
  <c r="T38" i="19" s="1"/>
  <c r="V38" i="19" s="1"/>
  <c r="M38" i="19" s="1"/>
  <c r="Q44" i="19" a="1"/>
  <c r="Q44" i="19" s="1"/>
  <c r="S44" i="19" s="1"/>
  <c r="L44" i="19" s="1"/>
  <c r="Q41" i="19" a="1"/>
  <c r="Q41" i="19" s="1"/>
  <c r="S41" i="19" s="1"/>
  <c r="L41" i="19" s="1"/>
  <c r="T41" i="19" a="1"/>
  <c r="T41" i="19" s="1"/>
  <c r="V41" i="19" s="1"/>
  <c r="M41" i="19" s="1"/>
  <c r="Q54" i="19" a="1"/>
  <c r="Q54" i="19" s="1"/>
  <c r="S54" i="19" s="1"/>
  <c r="L54" i="19" s="1"/>
  <c r="Q46" i="19" a="1"/>
  <c r="Q46" i="19" s="1"/>
  <c r="S46" i="19" s="1"/>
  <c r="L46" i="19" s="1"/>
  <c r="Q43" i="19" a="1"/>
  <c r="Q43" i="19" s="1"/>
  <c r="S43" i="19" s="1"/>
  <c r="L43" i="19" s="1"/>
  <c r="T46" i="19" a="1"/>
  <c r="T46" i="19" s="1"/>
  <c r="V46" i="19" s="1"/>
  <c r="M46" i="19" s="1"/>
  <c r="Q59" i="19" a="1"/>
  <c r="Q59" i="19" s="1"/>
  <c r="S59" i="19" s="1"/>
  <c r="L59" i="19" s="1"/>
  <c r="Q40" i="19" a="1"/>
  <c r="Q40" i="19" s="1"/>
  <c r="S40" i="19" s="1"/>
  <c r="L40" i="19" s="1"/>
  <c r="T40" i="19" a="1"/>
  <c r="T40" i="19" s="1"/>
  <c r="V40" i="19" s="1"/>
  <c r="M40" i="19" s="1"/>
  <c r="Q47" i="19" a="1"/>
  <c r="Q47" i="19" s="1"/>
  <c r="T53" i="19" a="1"/>
  <c r="T53" i="19" s="1"/>
  <c r="V53" i="19" s="1"/>
  <c r="M53" i="19" s="1"/>
  <c r="Q42" i="19" a="1"/>
  <c r="Q42" i="19" s="1"/>
  <c r="S42" i="19" s="1"/>
  <c r="L42" i="19" s="1"/>
  <c r="T43" i="19" a="1"/>
  <c r="T43" i="19" s="1"/>
  <c r="V43" i="19" s="1"/>
  <c r="M43" i="19" s="1"/>
  <c r="T49" i="19" a="1"/>
  <c r="T49" i="19" s="1"/>
  <c r="V49" i="19" s="1"/>
  <c r="M49" i="19" s="1"/>
  <c r="T39" i="19" a="1"/>
  <c r="T39" i="19" s="1"/>
  <c r="Q45" i="19" a="1"/>
  <c r="Q45" i="19" s="1"/>
  <c r="S45" i="19" s="1"/>
  <c r="L45" i="19" s="1"/>
  <c r="T45" i="19" a="1"/>
  <c r="T45" i="19" s="1"/>
  <c r="V45" i="19" s="1"/>
  <c r="M45" i="19" s="1"/>
  <c r="Q50" i="19" a="1"/>
  <c r="Q50" i="19" s="1"/>
  <c r="S50" i="19" s="1"/>
  <c r="L50" i="19" s="1"/>
  <c r="Q56" i="19" a="1"/>
  <c r="Q56" i="19" s="1"/>
  <c r="S56" i="19" s="1"/>
  <c r="L56" i="19" s="1"/>
  <c r="T50" i="19" a="1"/>
  <c r="T50" i="19" s="1"/>
  <c r="V50" i="19" s="1"/>
  <c r="M50" i="19" s="1"/>
  <c r="T42" i="19" a="1"/>
  <c r="T42" i="19" s="1"/>
  <c r="V42" i="19" s="1"/>
  <c r="M42" i="19" s="1"/>
  <c r="T57" i="19" a="1"/>
  <c r="T57" i="19" s="1"/>
  <c r="V57" i="19" s="1"/>
  <c r="M57" i="19" s="1"/>
  <c r="Q49" i="19" a="1"/>
  <c r="Q49" i="19" s="1"/>
  <c r="S49" i="19" s="1"/>
  <c r="L49" i="19" s="1"/>
  <c r="T59" i="19" a="1"/>
  <c r="T59" i="19" s="1"/>
  <c r="V59" i="19" s="1"/>
  <c r="M59" i="19" s="1"/>
  <c r="T47" i="19" a="1"/>
  <c r="T47" i="19" s="1"/>
  <c r="Q53" i="19" a="1"/>
  <c r="Q53" i="19" s="1"/>
  <c r="S53" i="19" s="1"/>
  <c r="L53" i="19" s="1"/>
  <c r="T56" i="19" a="1"/>
  <c r="T56" i="19" s="1"/>
  <c r="V56" i="19" s="1"/>
  <c r="M56" i="19" s="1"/>
  <c r="T52" i="19" a="1"/>
  <c r="T52" i="19" s="1"/>
  <c r="V52" i="19" s="1"/>
  <c r="M52" i="19" s="1"/>
  <c r="T51" i="19" a="1"/>
  <c r="T51" i="19" s="1"/>
  <c r="V51" i="19" s="1"/>
  <c r="M51" i="19" s="1"/>
  <c r="T48" i="19" a="1"/>
  <c r="T48" i="19" s="1"/>
  <c r="V48" i="19" s="1"/>
  <c r="M48" i="19" s="1"/>
  <c r="Q58" i="19" a="1"/>
  <c r="Q58" i="19" s="1"/>
  <c r="S58" i="19" s="1"/>
  <c r="L58" i="19" s="1"/>
  <c r="T55" i="19" a="1"/>
  <c r="T55" i="19" s="1"/>
  <c r="V55" i="19" s="1"/>
  <c r="M55" i="19" s="1"/>
  <c r="Q55" i="19" a="1"/>
  <c r="Q55" i="19" s="1"/>
  <c r="S55" i="19" s="1"/>
  <c r="L55" i="19" s="1"/>
  <c r="T58" i="19" a="1"/>
  <c r="T58" i="19" s="1"/>
  <c r="V58" i="19" s="1"/>
  <c r="M58" i="19" s="1"/>
  <c r="T54" i="19" a="1"/>
  <c r="T54" i="19" s="1"/>
  <c r="V54" i="19" s="1"/>
  <c r="M54" i="19" s="1"/>
  <c r="Q39" i="19" a="1"/>
  <c r="Q39" i="19" s="1"/>
  <c r="Q52" i="19" a="1"/>
  <c r="Q52" i="19" s="1"/>
  <c r="S52" i="19" s="1"/>
  <c r="L52" i="19" s="1"/>
  <c r="W44" i="5"/>
  <c r="W60" i="5" s="1"/>
  <c r="AG60" i="5" s="1"/>
  <c r="W43" i="5"/>
  <c r="W59" i="5" s="1"/>
  <c r="AG59" i="5" s="1"/>
  <c r="V44" i="5"/>
  <c r="V60" i="5" s="1"/>
  <c r="V43" i="5"/>
  <c r="V59" i="5" s="1"/>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AF9" i="19"/>
  <c r="AD7" i="5"/>
  <c r="AG9" i="5"/>
  <c r="Y86" i="5" l="1"/>
  <c r="Y83" i="5"/>
  <c r="Y84" i="5"/>
  <c r="Y87" i="5"/>
  <c r="X71" i="18"/>
  <c r="AA41" i="18"/>
  <c r="Z41" i="18"/>
  <c r="P41" i="18" s="1"/>
  <c r="AC41" i="18"/>
  <c r="AB41" i="18" s="1"/>
  <c r="AP41" i="18"/>
  <c r="AS41" i="18" s="1"/>
  <c r="AA42" i="18"/>
  <c r="Y72" i="18"/>
  <c r="X43" i="5"/>
  <c r="X59" i="5" s="1"/>
  <c r="AA84" i="18"/>
  <c r="X76" i="18"/>
  <c r="AC46" i="18"/>
  <c r="Z46" i="18"/>
  <c r="AB46" i="18"/>
  <c r="AA46" i="18"/>
  <c r="AP46" i="18"/>
  <c r="AS46" i="18" s="1"/>
  <c r="J172" i="19"/>
  <c r="AG172" i="19"/>
  <c r="X44" i="5"/>
  <c r="X60" i="5" s="1"/>
  <c r="X82" i="5"/>
  <c r="Z56" i="18"/>
  <c r="P56" i="18" s="1"/>
  <c r="Q56" i="18" s="1"/>
  <c r="X86" i="18"/>
  <c r="AA56" i="18"/>
  <c r="AC56" i="18"/>
  <c r="AW56" i="18" s="1"/>
  <c r="AX56" i="18" s="1"/>
  <c r="AG167" i="19"/>
  <c r="J167" i="19"/>
  <c r="AC61" i="18"/>
  <c r="AW61" i="18" s="1"/>
  <c r="AX61" i="18" s="1"/>
  <c r="X91" i="18"/>
  <c r="AA61" i="18"/>
  <c r="Z61" i="18"/>
  <c r="P61" i="18" s="1"/>
  <c r="Q61" i="18" s="1"/>
  <c r="AB61" i="18"/>
  <c r="AP61" i="18"/>
  <c r="Y44" i="5"/>
  <c r="X74" i="18"/>
  <c r="AA44" i="18"/>
  <c r="Z44" i="18"/>
  <c r="P44" i="18" s="1"/>
  <c r="AC44" i="18"/>
  <c r="AB44" i="18" s="1"/>
  <c r="X89" i="18"/>
  <c r="Z59" i="18"/>
  <c r="P59" i="18" s="1"/>
  <c r="Q59" i="18" s="1"/>
  <c r="AC59" i="18"/>
  <c r="AW59" i="18" s="1"/>
  <c r="AX59" i="18" s="1"/>
  <c r="AA59" i="18"/>
  <c r="X86" i="5"/>
  <c r="X84" i="18"/>
  <c r="AA54" i="18"/>
  <c r="Z54" i="18"/>
  <c r="P54" i="18" s="1"/>
  <c r="Q54" i="18" s="1"/>
  <c r="AC54" i="18"/>
  <c r="AW54" i="18" s="1"/>
  <c r="AX54" i="18" s="1"/>
  <c r="Y43" i="5"/>
  <c r="AA43" i="5" s="1"/>
  <c r="AC57" i="18"/>
  <c r="AW57" i="18" s="1"/>
  <c r="AX57" i="18" s="1"/>
  <c r="X87" i="18"/>
  <c r="AP57" i="18"/>
  <c r="AB57" i="18"/>
  <c r="Z57" i="18"/>
  <c r="AA57" i="18"/>
  <c r="Z49" i="18"/>
  <c r="Y79" i="18"/>
  <c r="Z42" i="18"/>
  <c r="P42" i="18" s="1"/>
  <c r="X72" i="18"/>
  <c r="AC42" i="18"/>
  <c r="AB42" i="18" s="1"/>
  <c r="AP42" i="18"/>
  <c r="AS42" i="18" s="1"/>
  <c r="I171" i="19"/>
  <c r="AF171" i="19"/>
  <c r="X70" i="18"/>
  <c r="AC40" i="18"/>
  <c r="Z40" i="18"/>
  <c r="P40" i="18" s="1"/>
  <c r="AA40" i="18"/>
  <c r="AB40" i="18"/>
  <c r="AP40" i="18"/>
  <c r="AS40" i="18" s="1"/>
  <c r="AC172" i="19"/>
  <c r="X82" i="18"/>
  <c r="Z52" i="18"/>
  <c r="AP52" i="18"/>
  <c r="AC52" i="18"/>
  <c r="AW52" i="18" s="1"/>
  <c r="AX52" i="18" s="1"/>
  <c r="AA52" i="18"/>
  <c r="P52" i="18" s="1"/>
  <c r="Q52" i="18" s="1"/>
  <c r="I170" i="19"/>
  <c r="AF170" i="19"/>
  <c r="X80" i="18"/>
  <c r="Z50" i="18"/>
  <c r="AC50" i="18"/>
  <c r="AW50" i="18" s="1"/>
  <c r="AX50" i="18" s="1"/>
  <c r="AA50" i="18"/>
  <c r="AP50" i="18"/>
  <c r="X78" i="18"/>
  <c r="Z48" i="18"/>
  <c r="AA48" i="18"/>
  <c r="AC48" i="18"/>
  <c r="AB48" i="18" s="1"/>
  <c r="Y82" i="5"/>
  <c r="I169" i="19"/>
  <c r="AF169" i="19"/>
  <c r="X88" i="18"/>
  <c r="AA58" i="18"/>
  <c r="AC58" i="18"/>
  <c r="AW58" i="18" s="1"/>
  <c r="AX58" i="18" s="1"/>
  <c r="Z47" i="18"/>
  <c r="P47" i="18" s="1"/>
  <c r="AA47" i="18"/>
  <c r="X77" i="18"/>
  <c r="AC47" i="18"/>
  <c r="AB47" i="18" s="1"/>
  <c r="Y85" i="5"/>
  <c r="I168" i="19"/>
  <c r="AF168" i="19"/>
  <c r="AA49" i="18"/>
  <c r="AC49" i="18"/>
  <c r="AP49" i="18" s="1"/>
  <c r="X79" i="18"/>
  <c r="X85" i="18"/>
  <c r="Z55" i="18"/>
  <c r="P55" i="18" s="1"/>
  <c r="Q55" i="18" s="1"/>
  <c r="AA55" i="18"/>
  <c r="AC55" i="18"/>
  <c r="AP55" i="18"/>
  <c r="X83" i="18"/>
  <c r="Z53" i="18"/>
  <c r="P53" i="18" s="1"/>
  <c r="Q53" i="18" s="1"/>
  <c r="AA53" i="18"/>
  <c r="AC53" i="18"/>
  <c r="AP53" i="18"/>
  <c r="I172" i="19"/>
  <c r="AF172" i="19"/>
  <c r="AC51" i="18"/>
  <c r="AW51" i="18" s="1"/>
  <c r="AX51" i="18" s="1"/>
  <c r="X81" i="18"/>
  <c r="AA81" i="18" s="1"/>
  <c r="AA51" i="18"/>
  <c r="Z51" i="18"/>
  <c r="AB51" i="18"/>
  <c r="AP51" i="18"/>
  <c r="X90" i="18"/>
  <c r="AC60" i="18"/>
  <c r="AW60" i="18" s="1"/>
  <c r="AX60" i="18" s="1"/>
  <c r="Z60" i="18"/>
  <c r="AB60" i="18"/>
  <c r="AA60" i="18"/>
  <c r="AP60" i="18"/>
  <c r="X73" i="18"/>
  <c r="AC43" i="18"/>
  <c r="AB43" i="18" s="1"/>
  <c r="Z43" i="18"/>
  <c r="AA43" i="18"/>
  <c r="AP43" i="18"/>
  <c r="Y81" i="5"/>
  <c r="Z58" i="18"/>
  <c r="Y88" i="18"/>
  <c r="X75" i="18"/>
  <c r="Z45" i="18"/>
  <c r="AA45" i="18"/>
  <c r="AC45" i="18"/>
  <c r="AB45" i="18"/>
  <c r="AP45" i="18"/>
  <c r="AS45" i="18" s="1"/>
  <c r="AG171" i="19"/>
  <c r="J171" i="19"/>
  <c r="J170" i="19"/>
  <c r="AG170" i="19"/>
  <c r="X85" i="5"/>
  <c r="Y69" i="18"/>
  <c r="X84" i="5"/>
  <c r="J169" i="19"/>
  <c r="AG169" i="19"/>
  <c r="X36" i="17"/>
  <c r="Z27" i="17"/>
  <c r="AC27" i="17"/>
  <c r="AW27" i="17" s="1"/>
  <c r="AX27" i="17" s="1"/>
  <c r="AA27" i="17"/>
  <c r="AB27" i="17"/>
  <c r="AP27" i="17"/>
  <c r="X83" i="5"/>
  <c r="J168" i="19"/>
  <c r="AG168" i="19"/>
  <c r="X35" i="17"/>
  <c r="AC26" i="17"/>
  <c r="AW26" i="17" s="1"/>
  <c r="AX26" i="17" s="1"/>
  <c r="Z26" i="17"/>
  <c r="AP26" i="17"/>
  <c r="AB26" i="17"/>
  <c r="AA26" i="17"/>
  <c r="AA25" i="17"/>
  <c r="AC25" i="17"/>
  <c r="AW25" i="17" s="1"/>
  <c r="AX25" i="17" s="1"/>
  <c r="X34" i="17"/>
  <c r="Z25" i="17"/>
  <c r="P25" i="17" s="1"/>
  <c r="AI130" i="19"/>
  <c r="AA101" i="19"/>
  <c r="AA130" i="19"/>
  <c r="AA113" i="19"/>
  <c r="AA142" i="19"/>
  <c r="AA109" i="19"/>
  <c r="AA138" i="19"/>
  <c r="I142" i="19"/>
  <c r="J142" i="19"/>
  <c r="AC142" i="19"/>
  <c r="AH146" i="19"/>
  <c r="AA117" i="19"/>
  <c r="AA146" i="19"/>
  <c r="AC146" i="19" s="1"/>
  <c r="AH141" i="19"/>
  <c r="AH132" i="19"/>
  <c r="AI134" i="19"/>
  <c r="AH125" i="19"/>
  <c r="AH135" i="19"/>
  <c r="AA96" i="19"/>
  <c r="AA125" i="19"/>
  <c r="J125" i="19" s="1"/>
  <c r="AH128" i="19"/>
  <c r="AA107" i="19"/>
  <c r="AA136" i="19"/>
  <c r="I125" i="19"/>
  <c r="AH133" i="19"/>
  <c r="AI142" i="19"/>
  <c r="AH147" i="19"/>
  <c r="AI138" i="19"/>
  <c r="AH144" i="19"/>
  <c r="AH138" i="19"/>
  <c r="AI141" i="19"/>
  <c r="AH134" i="19"/>
  <c r="AI139" i="19"/>
  <c r="AH129" i="19"/>
  <c r="AA116" i="19"/>
  <c r="AA145" i="19"/>
  <c r="AC145" i="19" s="1"/>
  <c r="AA97" i="19"/>
  <c r="AA126" i="19"/>
  <c r="I143" i="19"/>
  <c r="J143" i="19"/>
  <c r="AI137" i="19"/>
  <c r="AA103" i="19"/>
  <c r="AA132" i="19"/>
  <c r="I130" i="19"/>
  <c r="AC130" i="19"/>
  <c r="AA114" i="19"/>
  <c r="AA143" i="19"/>
  <c r="AC143" i="19" s="1"/>
  <c r="AH136" i="19"/>
  <c r="AA115" i="19"/>
  <c r="AA144" i="19"/>
  <c r="J144" i="19" s="1"/>
  <c r="AI131" i="19"/>
  <c r="AH127" i="19"/>
  <c r="AA108" i="19"/>
  <c r="AA137" i="19"/>
  <c r="I137" i="19" s="1"/>
  <c r="AA104" i="19"/>
  <c r="AA133" i="19"/>
  <c r="AC133" i="19" s="1"/>
  <c r="AI143" i="19"/>
  <c r="AA110" i="19"/>
  <c r="AA139" i="19"/>
  <c r="AC139" i="19" s="1"/>
  <c r="AA102" i="19"/>
  <c r="AA131" i="19"/>
  <c r="I131" i="19" s="1"/>
  <c r="AH137" i="19"/>
  <c r="AH143" i="19"/>
  <c r="AA99" i="19"/>
  <c r="AA128" i="19"/>
  <c r="AA112" i="19"/>
  <c r="AA141" i="19"/>
  <c r="AA111" i="19"/>
  <c r="AA140" i="19"/>
  <c r="AH142" i="19"/>
  <c r="AA118" i="19"/>
  <c r="AA147" i="19"/>
  <c r="AC147" i="19" s="1"/>
  <c r="AI135" i="19"/>
  <c r="AA98" i="19"/>
  <c r="AA127" i="19"/>
  <c r="AH130" i="19"/>
  <c r="AA100" i="19"/>
  <c r="AA129" i="19"/>
  <c r="AA106" i="19"/>
  <c r="AA135" i="19"/>
  <c r="I135" i="19" s="1"/>
  <c r="AI136" i="19"/>
  <c r="AH126" i="19"/>
  <c r="J131" i="19"/>
  <c r="AI144" i="19"/>
  <c r="AH131" i="19"/>
  <c r="I147" i="19"/>
  <c r="AA105" i="19"/>
  <c r="AA134" i="19"/>
  <c r="AI133" i="19"/>
  <c r="AI129" i="19"/>
  <c r="AI132" i="19"/>
  <c r="AH106" i="19"/>
  <c r="X106" i="19"/>
  <c r="X105" i="19"/>
  <c r="AH105" i="19"/>
  <c r="AH98" i="19"/>
  <c r="X98" i="19"/>
  <c r="Y113" i="19"/>
  <c r="AI113" i="19"/>
  <c r="AI114" i="19"/>
  <c r="Y114" i="19"/>
  <c r="Y109" i="19"/>
  <c r="AI109" i="19"/>
  <c r="Y108" i="19"/>
  <c r="AI108" i="19"/>
  <c r="X113" i="19"/>
  <c r="AH113" i="19"/>
  <c r="AI106" i="19"/>
  <c r="Y106" i="19"/>
  <c r="X101" i="19"/>
  <c r="AH101" i="19"/>
  <c r="AI118" i="19"/>
  <c r="Y118" i="19"/>
  <c r="AI115" i="19"/>
  <c r="Y115" i="19"/>
  <c r="Y104" i="19"/>
  <c r="AI104" i="19"/>
  <c r="X104" i="19"/>
  <c r="AH104" i="19"/>
  <c r="AC70" i="19"/>
  <c r="Z99" i="19"/>
  <c r="AC99" i="19"/>
  <c r="Y100" i="19"/>
  <c r="AI100" i="19"/>
  <c r="Y103" i="19"/>
  <c r="AI103" i="19"/>
  <c r="Y105" i="19"/>
  <c r="AI105" i="19"/>
  <c r="AC67" i="19"/>
  <c r="Z96" i="19"/>
  <c r="AC96" i="19"/>
  <c r="Y110" i="19"/>
  <c r="AI110" i="19"/>
  <c r="AC76" i="19"/>
  <c r="Z105" i="19"/>
  <c r="AC105" i="19"/>
  <c r="Z113" i="19"/>
  <c r="AC113" i="19"/>
  <c r="Z109" i="19"/>
  <c r="AC109" i="19"/>
  <c r="AI99" i="19"/>
  <c r="Y99" i="19"/>
  <c r="Z98" i="19"/>
  <c r="AC98" i="19"/>
  <c r="X111" i="19"/>
  <c r="AH111" i="19"/>
  <c r="AI111" i="19"/>
  <c r="Y111" i="19"/>
  <c r="AH103" i="19"/>
  <c r="X103" i="19"/>
  <c r="X109" i="19"/>
  <c r="AH109" i="19"/>
  <c r="Y97" i="19"/>
  <c r="AI97" i="19"/>
  <c r="AH102" i="19"/>
  <c r="X102" i="19"/>
  <c r="AI98" i="19"/>
  <c r="Y98" i="19"/>
  <c r="AH118" i="19"/>
  <c r="X118" i="19"/>
  <c r="X100" i="19"/>
  <c r="AH100" i="19"/>
  <c r="AH99" i="19"/>
  <c r="X99" i="19"/>
  <c r="X112" i="19"/>
  <c r="AH112" i="19"/>
  <c r="Y101" i="19"/>
  <c r="AI101" i="19"/>
  <c r="Y117" i="19"/>
  <c r="AI117" i="19"/>
  <c r="Y116" i="19"/>
  <c r="AI116" i="19"/>
  <c r="X117" i="19"/>
  <c r="AH117" i="19"/>
  <c r="AH115" i="19"/>
  <c r="X115" i="19"/>
  <c r="Y107" i="19"/>
  <c r="AI107" i="19"/>
  <c r="Z107" i="19"/>
  <c r="AC107" i="19"/>
  <c r="Z117" i="19"/>
  <c r="AC117" i="19"/>
  <c r="AC74" i="19"/>
  <c r="Z103" i="19"/>
  <c r="AC103" i="19"/>
  <c r="AC89" i="19"/>
  <c r="Z118" i="19"/>
  <c r="AC118" i="19"/>
  <c r="AH107" i="19"/>
  <c r="X107" i="19"/>
  <c r="X96" i="19"/>
  <c r="AH96" i="19"/>
  <c r="AC68" i="19"/>
  <c r="Z97" i="19"/>
  <c r="AC97" i="19"/>
  <c r="Y112" i="19"/>
  <c r="AI112" i="19"/>
  <c r="Z101" i="19"/>
  <c r="AC101" i="19"/>
  <c r="AC79" i="19"/>
  <c r="Z108" i="19"/>
  <c r="AC108" i="19"/>
  <c r="AC81" i="19"/>
  <c r="Z110" i="19"/>
  <c r="AC110" i="19"/>
  <c r="AC87" i="19"/>
  <c r="Z116" i="19"/>
  <c r="AC116" i="19"/>
  <c r="AC77" i="19"/>
  <c r="Z106" i="19"/>
  <c r="AC106" i="19"/>
  <c r="Y96" i="19"/>
  <c r="AI96" i="19"/>
  <c r="Z111" i="19"/>
  <c r="AC111" i="19"/>
  <c r="X108" i="19"/>
  <c r="AH108" i="19"/>
  <c r="X97" i="19"/>
  <c r="AH97" i="19"/>
  <c r="AI102" i="19"/>
  <c r="Y102" i="19"/>
  <c r="AC71" i="19"/>
  <c r="Z100" i="19"/>
  <c r="AC100" i="19"/>
  <c r="Z114" i="19"/>
  <c r="AC114" i="19"/>
  <c r="Z112" i="19"/>
  <c r="AC112" i="19"/>
  <c r="AH110" i="19"/>
  <c r="X110" i="19"/>
  <c r="X116" i="19"/>
  <c r="AH116" i="19"/>
  <c r="Z115" i="19"/>
  <c r="AC115" i="19"/>
  <c r="Z102" i="19"/>
  <c r="AC102" i="19"/>
  <c r="X114" i="19"/>
  <c r="AH114" i="19"/>
  <c r="Z104" i="19"/>
  <c r="AC104" i="19"/>
  <c r="AI67" i="19"/>
  <c r="J67" i="19"/>
  <c r="AI73" i="19"/>
  <c r="J73" i="19"/>
  <c r="AH77" i="19"/>
  <c r="I77" i="19"/>
  <c r="AH84" i="19"/>
  <c r="I84" i="19"/>
  <c r="AH72" i="19"/>
  <c r="I72" i="19"/>
  <c r="AI76" i="19"/>
  <c r="J76" i="19"/>
  <c r="AH76" i="19"/>
  <c r="I76" i="19"/>
  <c r="AC73" i="19"/>
  <c r="AI72" i="19"/>
  <c r="J72" i="19"/>
  <c r="AC78" i="19"/>
  <c r="AI84" i="19"/>
  <c r="J84" i="19"/>
  <c r="AI69" i="19"/>
  <c r="J69" i="19"/>
  <c r="AH71" i="19"/>
  <c r="I71" i="19"/>
  <c r="AI80" i="19"/>
  <c r="J80" i="19"/>
  <c r="AH81" i="19"/>
  <c r="I81" i="19"/>
  <c r="AC84" i="19"/>
  <c r="AI70" i="19"/>
  <c r="J70" i="19"/>
  <c r="AI83" i="19"/>
  <c r="J83" i="19"/>
  <c r="AC80" i="19"/>
  <c r="AI88" i="19"/>
  <c r="J88" i="19"/>
  <c r="AI81" i="19"/>
  <c r="J81" i="19"/>
  <c r="AH69" i="19"/>
  <c r="I69" i="19"/>
  <c r="AH82" i="19"/>
  <c r="I82" i="19"/>
  <c r="AH73" i="19"/>
  <c r="I73" i="19"/>
  <c r="AI79" i="19"/>
  <c r="J79" i="19"/>
  <c r="AH80" i="19"/>
  <c r="I80" i="19"/>
  <c r="AH70" i="19"/>
  <c r="I70" i="19"/>
  <c r="AH83" i="19"/>
  <c r="I83" i="19"/>
  <c r="AI68" i="19"/>
  <c r="J68" i="19"/>
  <c r="AH75" i="19"/>
  <c r="I75" i="19"/>
  <c r="AH88" i="19"/>
  <c r="I88" i="19"/>
  <c r="AH86" i="19"/>
  <c r="I86" i="19"/>
  <c r="AI87" i="19"/>
  <c r="J87" i="19"/>
  <c r="AH89" i="19"/>
  <c r="I89" i="19"/>
  <c r="AC88" i="19"/>
  <c r="AC72" i="19"/>
  <c r="AC82" i="19"/>
  <c r="AH67" i="19"/>
  <c r="I67" i="19"/>
  <c r="AI85" i="19"/>
  <c r="J85" i="19"/>
  <c r="AH74" i="19"/>
  <c r="I74" i="19"/>
  <c r="AI82" i="19"/>
  <c r="J82" i="19"/>
  <c r="AC69" i="19"/>
  <c r="AI77" i="19"/>
  <c r="J77" i="19"/>
  <c r="AH79" i="19"/>
  <c r="I79" i="19"/>
  <c r="AH68" i="19"/>
  <c r="I68" i="19"/>
  <c r="AH78" i="19"/>
  <c r="I78" i="19"/>
  <c r="AC85" i="19"/>
  <c r="AC83" i="19"/>
  <c r="AI89" i="19"/>
  <c r="J89" i="19"/>
  <c r="AI86" i="19"/>
  <c r="J86" i="19"/>
  <c r="AI78" i="19"/>
  <c r="J78" i="19"/>
  <c r="AH87" i="19"/>
  <c r="I87" i="19"/>
  <c r="AC86" i="19"/>
  <c r="AI75" i="19"/>
  <c r="J75" i="19"/>
  <c r="AH85" i="19"/>
  <c r="I85" i="19"/>
  <c r="AC75" i="19"/>
  <c r="AI71" i="19"/>
  <c r="J71" i="19"/>
  <c r="AI74" i="19"/>
  <c r="J74" i="19"/>
  <c r="AF59" i="5"/>
  <c r="AF60" i="5"/>
  <c r="Y52" i="5"/>
  <c r="Y60" i="5"/>
  <c r="Y51" i="5"/>
  <c r="Y59" i="5"/>
  <c r="X51" i="5"/>
  <c r="AA51" i="5"/>
  <c r="V51" i="5"/>
  <c r="AF51" i="5"/>
  <c r="X52" i="5"/>
  <c r="AA52" i="5"/>
  <c r="AF44" i="5"/>
  <c r="V52" i="5"/>
  <c r="AF52" i="5"/>
  <c r="AG43" i="5"/>
  <c r="W51" i="5"/>
  <c r="AG51" i="5"/>
  <c r="AG44" i="5"/>
  <c r="W52" i="5"/>
  <c r="AG52" i="5"/>
  <c r="J43" i="5"/>
  <c r="AF43" i="5"/>
  <c r="AA44" i="5"/>
  <c r="I44" i="5"/>
  <c r="J44" i="5"/>
  <c r="K44" i="5"/>
  <c r="L44" i="5"/>
  <c r="K43" i="5"/>
  <c r="L43" i="5"/>
  <c r="AG7" i="5"/>
  <c r="K86" i="5" s="1"/>
  <c r="O86" i="5" s="1"/>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6" i="19" s="1"/>
  <c r="O35" i="23"/>
  <c r="O95" i="19" s="1"/>
  <c r="P35" i="23"/>
  <c r="P95" i="19" s="1"/>
  <c r="M35" i="23"/>
  <c r="O66"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I33" i="574"/>
  <c r="J33" i="574" s="1"/>
  <c r="K33" i="574" s="1"/>
  <c r="L33" i="574"/>
  <c r="I34" i="574"/>
  <c r="J34" i="574" s="1"/>
  <c r="K34" i="574" s="1"/>
  <c r="L34" i="574"/>
  <c r="I35" i="574"/>
  <c r="J35" i="574" s="1"/>
  <c r="K35" i="574" s="1"/>
  <c r="L35" i="574"/>
  <c r="I36" i="574"/>
  <c r="J36" i="574" s="1"/>
  <c r="K36" i="574" s="1"/>
  <c r="L36" i="574"/>
  <c r="I37" i="574"/>
  <c r="J37" i="574" s="1"/>
  <c r="K37" i="574" s="1"/>
  <c r="L37" i="574"/>
  <c r="I39" i="574"/>
  <c r="J39" i="574" s="1"/>
  <c r="K39" i="574" s="1"/>
  <c r="L39" i="574"/>
  <c r="G42" i="18" l="1"/>
  <c r="AQ42" i="18" s="1"/>
  <c r="AT42" i="18" s="1"/>
  <c r="H42" i="18"/>
  <c r="H43" i="18"/>
  <c r="G43" i="18"/>
  <c r="I136" i="19"/>
  <c r="AP48" i="18"/>
  <c r="AS48" i="18" s="1"/>
  <c r="AB59" i="18"/>
  <c r="AB56" i="18"/>
  <c r="AA84" i="5"/>
  <c r="J84" i="5"/>
  <c r="I84" i="5"/>
  <c r="AA85" i="18"/>
  <c r="AC85" i="18"/>
  <c r="AW85" i="18" s="1"/>
  <c r="AX85" i="18" s="1"/>
  <c r="AB85" i="18"/>
  <c r="AP85" i="18"/>
  <c r="G48" i="18"/>
  <c r="H48" i="18"/>
  <c r="AP56" i="18"/>
  <c r="P48" i="18"/>
  <c r="AC89" i="18"/>
  <c r="AW89" i="18" s="1"/>
  <c r="AX89" i="18" s="1"/>
  <c r="AB89" i="18"/>
  <c r="AA89" i="18"/>
  <c r="Z89" i="18"/>
  <c r="AP89" i="18"/>
  <c r="AC136" i="19"/>
  <c r="J130" i="19"/>
  <c r="AP25" i="17"/>
  <c r="I85" i="5"/>
  <c r="J85" i="5"/>
  <c r="AA85" i="5"/>
  <c r="P60" i="18"/>
  <c r="Q60" i="18" s="1"/>
  <c r="AA79" i="18"/>
  <c r="AC79" i="18"/>
  <c r="AW79" i="18" s="1"/>
  <c r="AX79" i="18" s="1"/>
  <c r="AB79" i="18"/>
  <c r="AA78" i="18"/>
  <c r="AC78" i="18"/>
  <c r="AW78" i="18" s="1"/>
  <c r="AX78" i="18" s="1"/>
  <c r="Z78" i="18"/>
  <c r="AP59" i="18"/>
  <c r="AA86" i="18"/>
  <c r="AC86" i="18"/>
  <c r="AW86" i="18" s="1"/>
  <c r="AX86" i="18" s="1"/>
  <c r="Z86" i="18"/>
  <c r="AB86" i="18"/>
  <c r="AP86" i="18"/>
  <c r="G60" i="18"/>
  <c r="O60" i="18" s="1"/>
  <c r="H60" i="18"/>
  <c r="AB49" i="18"/>
  <c r="AW49" i="18"/>
  <c r="AX49" i="18" s="1"/>
  <c r="AA34" i="17"/>
  <c r="AC34" i="17"/>
  <c r="AW34" i="17" s="1"/>
  <c r="AX34" i="17" s="1"/>
  <c r="Z34" i="17"/>
  <c r="P34" i="17" s="1"/>
  <c r="I82" i="5"/>
  <c r="J82" i="5"/>
  <c r="AA82" i="5"/>
  <c r="J136" i="19"/>
  <c r="AB25" i="17"/>
  <c r="AC90" i="18"/>
  <c r="AW90" i="18" s="1"/>
  <c r="AX90" i="18" s="1"/>
  <c r="AB90" i="18"/>
  <c r="Z90" i="18"/>
  <c r="AA90" i="18"/>
  <c r="P90" i="18" s="1"/>
  <c r="Q90" i="18" s="1"/>
  <c r="G44" i="18"/>
  <c r="AQ44" i="18" s="1"/>
  <c r="H44" i="18"/>
  <c r="AC72" i="18"/>
  <c r="AP72" i="18"/>
  <c r="AS72" i="18" s="1"/>
  <c r="AB72" i="18"/>
  <c r="AA72" i="18"/>
  <c r="P72" i="18" s="1"/>
  <c r="Z72" i="18"/>
  <c r="H51" i="18"/>
  <c r="G51" i="18"/>
  <c r="AB50" i="18"/>
  <c r="AP44" i="18"/>
  <c r="AS44" i="18" s="1"/>
  <c r="P51" i="18"/>
  <c r="AP47" i="18"/>
  <c r="P50" i="18"/>
  <c r="Z79" i="18"/>
  <c r="P79" i="18" s="1"/>
  <c r="J147" i="19"/>
  <c r="Z80" i="18"/>
  <c r="AA80" i="18"/>
  <c r="AC80" i="18"/>
  <c r="AW80" i="18" s="1"/>
  <c r="AX80" i="18" s="1"/>
  <c r="P49" i="18"/>
  <c r="Z74" i="18"/>
  <c r="AC74" i="18"/>
  <c r="AB74" i="18" s="1"/>
  <c r="AA74" i="18"/>
  <c r="P74" i="18" s="1"/>
  <c r="AP74" i="18"/>
  <c r="AS74" i="18" s="1"/>
  <c r="AC140" i="19"/>
  <c r="AC81" i="18"/>
  <c r="AP81" i="18" s="1"/>
  <c r="Z81" i="18"/>
  <c r="P81" i="18" s="1"/>
  <c r="Q81" i="18" s="1"/>
  <c r="AD26" i="17"/>
  <c r="H26" i="17"/>
  <c r="G26" i="17"/>
  <c r="AG26" i="17"/>
  <c r="H47" i="18"/>
  <c r="G47" i="18"/>
  <c r="H45" i="18"/>
  <c r="G45" i="18"/>
  <c r="Z77" i="18"/>
  <c r="P77" i="18" s="1"/>
  <c r="AA77" i="18"/>
  <c r="AC77" i="18"/>
  <c r="AB77" i="18" s="1"/>
  <c r="AP77" i="18"/>
  <c r="AS77" i="18" s="1"/>
  <c r="P57" i="18"/>
  <c r="Q57" i="18" s="1"/>
  <c r="I140" i="19"/>
  <c r="I146" i="19"/>
  <c r="P26" i="17"/>
  <c r="H57" i="18"/>
  <c r="G57" i="18"/>
  <c r="G46" i="18"/>
  <c r="H46" i="18"/>
  <c r="J146" i="19"/>
  <c r="AB52" i="18"/>
  <c r="H61" i="18"/>
  <c r="G61" i="18"/>
  <c r="P46" i="18"/>
  <c r="AB35" i="17"/>
  <c r="AA35" i="17"/>
  <c r="P35" i="17" s="1"/>
  <c r="AC35" i="17"/>
  <c r="AW35" i="17" s="1"/>
  <c r="AX35" i="17" s="1"/>
  <c r="Z35" i="17"/>
  <c r="AP35" i="17"/>
  <c r="P45" i="18"/>
  <c r="AC87" i="18"/>
  <c r="AW87" i="18" s="1"/>
  <c r="AX87" i="18" s="1"/>
  <c r="AB87" i="18"/>
  <c r="AA87" i="18"/>
  <c r="Z87" i="18"/>
  <c r="P87" i="18" s="1"/>
  <c r="Q87" i="18" s="1"/>
  <c r="AP87" i="18"/>
  <c r="Z75" i="18"/>
  <c r="P75" i="18" s="1"/>
  <c r="AC75" i="18"/>
  <c r="AB75" i="18" s="1"/>
  <c r="AA75" i="18"/>
  <c r="AA76" i="18"/>
  <c r="AC76" i="18"/>
  <c r="Z76" i="18"/>
  <c r="P76" i="18" s="1"/>
  <c r="AP76" i="18"/>
  <c r="AS76" i="18" s="1"/>
  <c r="AB76" i="18"/>
  <c r="AC132" i="19"/>
  <c r="Z91" i="18"/>
  <c r="AC91" i="18"/>
  <c r="AA91" i="18"/>
  <c r="AB91" i="18"/>
  <c r="J132" i="19"/>
  <c r="I145" i="19"/>
  <c r="P58" i="18"/>
  <c r="Q58" i="18" s="1"/>
  <c r="AB53" i="18"/>
  <c r="AW53" i="18"/>
  <c r="AX53" i="18" s="1"/>
  <c r="AP58" i="18"/>
  <c r="I132" i="19"/>
  <c r="J145" i="19"/>
  <c r="J83" i="5"/>
  <c r="I83" i="5"/>
  <c r="AB58" i="18"/>
  <c r="AA82" i="18"/>
  <c r="AC82" i="18"/>
  <c r="AW82" i="18" s="1"/>
  <c r="AX82" i="18" s="1"/>
  <c r="AP82" i="18"/>
  <c r="AB82" i="18"/>
  <c r="Z82" i="18"/>
  <c r="P82" i="18" s="1"/>
  <c r="Q82" i="18" s="1"/>
  <c r="AB54" i="18"/>
  <c r="AT43" i="18"/>
  <c r="AS43" i="18"/>
  <c r="AA83" i="18"/>
  <c r="AC83" i="18"/>
  <c r="AB83" i="18"/>
  <c r="Z83" i="18"/>
  <c r="P83" i="18" s="1"/>
  <c r="Q83" i="18" s="1"/>
  <c r="J140" i="19"/>
  <c r="I43" i="5"/>
  <c r="H27" i="17"/>
  <c r="G27" i="17"/>
  <c r="AD27" i="17"/>
  <c r="AG27" i="17"/>
  <c r="AQ43" i="18"/>
  <c r="AA88" i="18"/>
  <c r="AC88" i="18"/>
  <c r="AW88" i="18" s="1"/>
  <c r="AX88" i="18" s="1"/>
  <c r="Z88" i="18"/>
  <c r="AP88" i="18"/>
  <c r="AP54" i="18"/>
  <c r="P43" i="18"/>
  <c r="Z85" i="18"/>
  <c r="P85" i="18" s="1"/>
  <c r="Q85" i="18" s="1"/>
  <c r="H40" i="18"/>
  <c r="G40" i="18"/>
  <c r="Z84" i="18"/>
  <c r="P84" i="18" s="1"/>
  <c r="Q84" i="18" s="1"/>
  <c r="AC84" i="18"/>
  <c r="AW84" i="18" s="1"/>
  <c r="AX84" i="18" s="1"/>
  <c r="J81" i="5"/>
  <c r="P27" i="17"/>
  <c r="AA86" i="5"/>
  <c r="J86" i="5"/>
  <c r="I86" i="5"/>
  <c r="I81" i="5"/>
  <c r="H41" i="18"/>
  <c r="G41" i="18"/>
  <c r="AC36" i="17"/>
  <c r="AW36" i="17" s="1"/>
  <c r="AX36" i="17" s="1"/>
  <c r="Z36" i="17"/>
  <c r="P36" i="17" s="1"/>
  <c r="AA36" i="17"/>
  <c r="AB36" i="17"/>
  <c r="AB73" i="18"/>
  <c r="AA73" i="18"/>
  <c r="Z73" i="18"/>
  <c r="AC73" i="18"/>
  <c r="AP73" i="18"/>
  <c r="AS73" i="18" s="1"/>
  <c r="AB55" i="18"/>
  <c r="AW55" i="18"/>
  <c r="AX55" i="18" s="1"/>
  <c r="J128" i="19"/>
  <c r="AQ48" i="18"/>
  <c r="AT48" i="18" s="1"/>
  <c r="Z70" i="18"/>
  <c r="P70" i="18" s="1"/>
  <c r="AA70" i="18"/>
  <c r="AC70" i="18"/>
  <c r="AB70" i="18"/>
  <c r="AP70" i="18"/>
  <c r="AS70" i="18" s="1"/>
  <c r="AC71" i="18"/>
  <c r="AB71" i="18" s="1"/>
  <c r="AA71" i="18"/>
  <c r="P71" i="18" s="1"/>
  <c r="Z71" i="18"/>
  <c r="AP71" i="18"/>
  <c r="AC125" i="19"/>
  <c r="AC144" i="19"/>
  <c r="I144" i="19"/>
  <c r="AC126" i="19"/>
  <c r="J126" i="19"/>
  <c r="I126" i="19"/>
  <c r="AC135" i="19"/>
  <c r="AC141" i="19"/>
  <c r="J135" i="19"/>
  <c r="J141" i="19"/>
  <c r="AC134" i="19"/>
  <c r="AC137" i="19"/>
  <c r="I141" i="19"/>
  <c r="J134" i="19"/>
  <c r="J137" i="19"/>
  <c r="I134" i="19"/>
  <c r="AC138" i="19"/>
  <c r="AC129" i="19"/>
  <c r="J139" i="19"/>
  <c r="J127" i="19"/>
  <c r="J138" i="19"/>
  <c r="J129" i="19"/>
  <c r="I139" i="19"/>
  <c r="AC127" i="19"/>
  <c r="I138" i="19"/>
  <c r="I129" i="19"/>
  <c r="I127" i="19"/>
  <c r="I128" i="19"/>
  <c r="J133" i="19"/>
  <c r="AC131" i="19"/>
  <c r="I133" i="19"/>
  <c r="AC128" i="19"/>
  <c r="J97" i="19"/>
  <c r="I109" i="19"/>
  <c r="I104" i="19"/>
  <c r="I103" i="19"/>
  <c r="J115" i="19"/>
  <c r="J107" i="19"/>
  <c r="I111" i="19"/>
  <c r="J118" i="19"/>
  <c r="I115" i="19"/>
  <c r="J99" i="19"/>
  <c r="I101" i="19"/>
  <c r="J111" i="19"/>
  <c r="I114" i="19"/>
  <c r="I117" i="19"/>
  <c r="J106" i="19"/>
  <c r="I97" i="19"/>
  <c r="J116" i="19"/>
  <c r="I113" i="19"/>
  <c r="J117" i="19"/>
  <c r="J108" i="19"/>
  <c r="I116" i="19"/>
  <c r="J101" i="19"/>
  <c r="J96" i="19"/>
  <c r="I110" i="19"/>
  <c r="J109" i="19"/>
  <c r="I112" i="19"/>
  <c r="J114" i="19"/>
  <c r="J112" i="19"/>
  <c r="I99" i="19"/>
  <c r="J110" i="19"/>
  <c r="J100" i="19"/>
  <c r="J113" i="19"/>
  <c r="I100" i="19"/>
  <c r="I98" i="19"/>
  <c r="I118" i="19"/>
  <c r="I96" i="19"/>
  <c r="J105" i="19"/>
  <c r="I107" i="19"/>
  <c r="J98" i="19"/>
  <c r="I105" i="19"/>
  <c r="I108" i="19"/>
  <c r="J102" i="19"/>
  <c r="J103" i="19"/>
  <c r="I106" i="19"/>
  <c r="J104" i="19"/>
  <c r="I102" i="19"/>
  <c r="I60" i="5"/>
  <c r="J60" i="5"/>
  <c r="AA60" i="5"/>
  <c r="I59" i="5"/>
  <c r="J59" i="5"/>
  <c r="AA59" i="5"/>
  <c r="J52" i="5"/>
  <c r="I52" i="5"/>
  <c r="J51" i="5"/>
  <c r="I51" i="5"/>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66" i="19"/>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G75" i="18" l="1"/>
  <c r="H75" i="18"/>
  <c r="G71" i="18"/>
  <c r="H71" i="18"/>
  <c r="H90" i="18"/>
  <c r="G90" i="18"/>
  <c r="H70" i="18"/>
  <c r="G70" i="18"/>
  <c r="AQ45" i="18"/>
  <c r="AT45" i="18" s="1"/>
  <c r="AD25" i="17"/>
  <c r="AG25" i="17"/>
  <c r="H25" i="17"/>
  <c r="G25" i="17"/>
  <c r="H91" i="18"/>
  <c r="G91" i="18"/>
  <c r="AD35" i="17"/>
  <c r="G35" i="17"/>
  <c r="H35" i="17"/>
  <c r="AG35" i="17"/>
  <c r="AP78" i="18"/>
  <c r="AV48" i="18"/>
  <c r="H83" i="18"/>
  <c r="G83" i="18"/>
  <c r="AS47" i="18"/>
  <c r="G85" i="18"/>
  <c r="H85" i="18"/>
  <c r="AP83" i="18"/>
  <c r="AW83" i="18"/>
  <c r="AX83" i="18" s="1"/>
  <c r="AP91" i="18"/>
  <c r="AW91" i="18"/>
  <c r="AX91" i="18" s="1"/>
  <c r="O61" i="18"/>
  <c r="AQ61" i="18"/>
  <c r="AQ47" i="18"/>
  <c r="AT47" i="18" s="1"/>
  <c r="P78" i="18"/>
  <c r="P91" i="18"/>
  <c r="Q91" i="18" s="1"/>
  <c r="AB78" i="18"/>
  <c r="AP84" i="18"/>
  <c r="AQ26" i="17"/>
  <c r="G50" i="18"/>
  <c r="H50" i="18"/>
  <c r="H79" i="18"/>
  <c r="G79" i="18"/>
  <c r="G55" i="18"/>
  <c r="H55" i="18"/>
  <c r="AB84" i="18"/>
  <c r="AV43" i="18"/>
  <c r="H52" i="18"/>
  <c r="G52" i="18"/>
  <c r="AP79" i="18"/>
  <c r="AQ51" i="18"/>
  <c r="AI26" i="17"/>
  <c r="AJ26" i="17" s="1"/>
  <c r="AE26" i="17"/>
  <c r="AH26" i="17" s="1"/>
  <c r="AP34" i="17"/>
  <c r="H56" i="18"/>
  <c r="G56" i="18"/>
  <c r="AQ40" i="18"/>
  <c r="AT40" i="18" s="1"/>
  <c r="H59" i="18"/>
  <c r="G59" i="18"/>
  <c r="P73" i="18"/>
  <c r="H82" i="18"/>
  <c r="G82" i="18"/>
  <c r="AQ46" i="18"/>
  <c r="AT46" i="18" s="1"/>
  <c r="AB81" i="18"/>
  <c r="AW81" i="18"/>
  <c r="AX81" i="18" s="1"/>
  <c r="G54" i="18"/>
  <c r="H54" i="18"/>
  <c r="G73" i="18"/>
  <c r="H73" i="18"/>
  <c r="AB34" i="17"/>
  <c r="AP75" i="18"/>
  <c r="AS75" i="18" s="1"/>
  <c r="H76" i="18"/>
  <c r="G76" i="18"/>
  <c r="O57" i="18"/>
  <c r="AQ57" i="18"/>
  <c r="G58" i="18"/>
  <c r="H58" i="18"/>
  <c r="AT71" i="18"/>
  <c r="AS71" i="18"/>
  <c r="G72" i="18"/>
  <c r="H72" i="18"/>
  <c r="H49" i="18"/>
  <c r="G49" i="18"/>
  <c r="H36" i="17"/>
  <c r="AD36" i="17"/>
  <c r="AG36" i="17" s="1"/>
  <c r="G36" i="17"/>
  <c r="G74" i="18"/>
  <c r="H74" i="18"/>
  <c r="AP36" i="17"/>
  <c r="AB88" i="18"/>
  <c r="P88" i="18"/>
  <c r="Q88" i="18" s="1"/>
  <c r="P89" i="18"/>
  <c r="Q89" i="18" s="1"/>
  <c r="AQ71" i="18"/>
  <c r="G89" i="18"/>
  <c r="H89" i="18"/>
  <c r="AP80" i="18"/>
  <c r="AT41" i="18"/>
  <c r="AQ41" i="18"/>
  <c r="G87" i="18"/>
  <c r="H87" i="18"/>
  <c r="P80" i="18"/>
  <c r="AT44" i="18"/>
  <c r="G86" i="18"/>
  <c r="H86" i="18"/>
  <c r="AQ60" i="18"/>
  <c r="AV42" i="18"/>
  <c r="AE27" i="17"/>
  <c r="AH27" i="17" s="1"/>
  <c r="AI27" i="17"/>
  <c r="AJ27" i="17" s="1"/>
  <c r="G77" i="18"/>
  <c r="H77" i="18"/>
  <c r="AB80" i="18"/>
  <c r="AP90" i="18"/>
  <c r="P86" i="18"/>
  <c r="Q86" i="18" s="1"/>
  <c r="AQ27" i="17"/>
  <c r="G53" i="18"/>
  <c r="H53" i="18"/>
  <c r="AL49" i="20"/>
  <c r="AO49" i="20" s="1"/>
  <c r="AM85" i="20"/>
  <c r="AQ85" i="20" s="1"/>
  <c r="AL50" i="20"/>
  <c r="AO50" i="20" s="1"/>
  <c r="J55" i="20"/>
  <c r="X37" i="20"/>
  <c r="J43" i="20"/>
  <c r="J37" i="20"/>
  <c r="J44" i="20"/>
  <c r="R65" i="20"/>
  <c r="X47" i="20"/>
  <c r="X68" i="20"/>
  <c r="J38" i="20"/>
  <c r="Y81" i="20"/>
  <c r="AL84" i="20"/>
  <c r="AR84" i="20" s="1"/>
  <c r="AL57" i="20"/>
  <c r="AR57" i="20" s="1"/>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66"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AV45" i="18" l="1"/>
  <c r="AV47" i="18"/>
  <c r="AQ25" i="17"/>
  <c r="O87" i="18"/>
  <c r="AQ87" i="18"/>
  <c r="AI25" i="17"/>
  <c r="AJ25" i="17" s="1"/>
  <c r="AE25" i="17"/>
  <c r="AH25" i="17" s="1"/>
  <c r="AQ72" i="18"/>
  <c r="AT72" i="18" s="1"/>
  <c r="AV46" i="18"/>
  <c r="AQ89" i="18"/>
  <c r="O89" i="18"/>
  <c r="AV71" i="18"/>
  <c r="G84" i="18"/>
  <c r="H84" i="18"/>
  <c r="O85" i="18"/>
  <c r="AQ85" i="18"/>
  <c r="O82" i="18"/>
  <c r="AQ82" i="18"/>
  <c r="H81" i="18"/>
  <c r="G81" i="18"/>
  <c r="AQ49" i="18"/>
  <c r="AQ77" i="18"/>
  <c r="AT77" i="18" s="1"/>
  <c r="O58" i="18"/>
  <c r="AQ58" i="18"/>
  <c r="AQ55" i="18"/>
  <c r="O55" i="18"/>
  <c r="G80" i="18"/>
  <c r="H80" i="18"/>
  <c r="O83" i="18"/>
  <c r="AQ83" i="18"/>
  <c r="O54" i="18"/>
  <c r="AQ54" i="18"/>
  <c r="AQ53" i="18"/>
  <c r="O53" i="18"/>
  <c r="Y42" i="574" s="1"/>
  <c r="O52" i="18"/>
  <c r="Y41" i="574" s="1"/>
  <c r="AQ52" i="18"/>
  <c r="O90" i="18"/>
  <c r="Y49" i="574" s="1"/>
  <c r="G88" i="18"/>
  <c r="H88" i="18"/>
  <c r="O59" i="18"/>
  <c r="AQ59" i="18"/>
  <c r="AQ76" i="18"/>
  <c r="AT76" i="18" s="1"/>
  <c r="Y46" i="574"/>
  <c r="AQ79" i="18"/>
  <c r="AV40" i="18"/>
  <c r="AQ70" i="18"/>
  <c r="AT70" i="18" s="1"/>
  <c r="AQ50" i="18"/>
  <c r="AQ86" i="18"/>
  <c r="O86" i="18"/>
  <c r="AD34" i="17"/>
  <c r="H34" i="17"/>
  <c r="G34" i="17"/>
  <c r="AG34" i="17" s="1"/>
  <c r="O56" i="18"/>
  <c r="AQ56" i="18"/>
  <c r="AV44" i="18"/>
  <c r="AQ35" i="17"/>
  <c r="AV41" i="18"/>
  <c r="AQ36" i="17"/>
  <c r="G78" i="18"/>
  <c r="H78" i="18"/>
  <c r="AI35" i="17"/>
  <c r="AJ35" i="17" s="1"/>
  <c r="AE35" i="17"/>
  <c r="AH35" i="17" s="1"/>
  <c r="AT75" i="18"/>
  <c r="AQ75" i="18"/>
  <c r="AQ90" i="18"/>
  <c r="AE36" i="17"/>
  <c r="AH36" i="17" s="1"/>
  <c r="AI36" i="17"/>
  <c r="AJ36" i="17" s="1"/>
  <c r="O91" i="18"/>
  <c r="Y50" i="574" s="1"/>
  <c r="AQ91" i="18"/>
  <c r="AT74" i="18"/>
  <c r="AQ74" i="18"/>
  <c r="F132" i="19"/>
  <c r="F70" i="19"/>
  <c r="F74" i="19"/>
  <c r="F78" i="19"/>
  <c r="F60" i="5"/>
  <c r="F42" i="5"/>
  <c r="F168" i="19"/>
  <c r="F172" i="19"/>
  <c r="F77" i="19"/>
  <c r="F170" i="19"/>
  <c r="F125" i="19"/>
  <c r="F99" i="19"/>
  <c r="F103" i="19"/>
  <c r="F95" i="19"/>
  <c r="F58" i="5"/>
  <c r="F136" i="19"/>
  <c r="F107" i="19"/>
  <c r="F82" i="5"/>
  <c r="F129" i="19"/>
  <c r="F67" i="19"/>
  <c r="F71" i="19"/>
  <c r="F75" i="19"/>
  <c r="F79" i="19"/>
  <c r="F51" i="5"/>
  <c r="F85" i="5"/>
  <c r="F127" i="19"/>
  <c r="F124" i="19"/>
  <c r="F169" i="19"/>
  <c r="F167" i="19"/>
  <c r="F87" i="5"/>
  <c r="F50" i="5"/>
  <c r="F73" i="19"/>
  <c r="F133" i="19"/>
  <c r="F96" i="19"/>
  <c r="F100" i="19"/>
  <c r="F104" i="19"/>
  <c r="F52" i="5"/>
  <c r="F137" i="19"/>
  <c r="F108" i="19"/>
  <c r="F106" i="19"/>
  <c r="F126" i="19"/>
  <c r="F130" i="19"/>
  <c r="F68" i="19"/>
  <c r="F72" i="19"/>
  <c r="F76" i="19"/>
  <c r="F166" i="19"/>
  <c r="F83" i="5"/>
  <c r="F81" i="5"/>
  <c r="F69" i="19"/>
  <c r="F80" i="5"/>
  <c r="F131" i="19"/>
  <c r="F135" i="19"/>
  <c r="F97" i="19"/>
  <c r="F101" i="19"/>
  <c r="F43" i="5"/>
  <c r="F171" i="19"/>
  <c r="F134" i="19"/>
  <c r="F105" i="19"/>
  <c r="F86" i="5"/>
  <c r="F59" i="5"/>
  <c r="F44" i="5"/>
  <c r="F84" i="5"/>
  <c r="F98" i="19"/>
  <c r="F102" i="19"/>
  <c r="F128" i="19"/>
  <c r="F66" i="19"/>
  <c r="AT73" i="18"/>
  <c r="AQ73" i="18"/>
  <c r="AU85" i="20"/>
  <c r="AM57" i="20"/>
  <c r="AQ57" i="20" s="1"/>
  <c r="AP47" i="20"/>
  <c r="AU47" i="20" s="1"/>
  <c r="AP84" i="20"/>
  <c r="AU84" i="20" s="1"/>
  <c r="AP57" i="20"/>
  <c r="AU57" i="20" s="1"/>
  <c r="AM49" i="20"/>
  <c r="AQ49" i="20" s="1"/>
  <c r="AP49" i="20"/>
  <c r="AU49" i="20" s="1"/>
  <c r="AR50" i="20"/>
  <c r="AT50" i="20" s="1"/>
  <c r="AO44" i="20"/>
  <c r="AO57" i="20"/>
  <c r="AR49" i="20"/>
  <c r="AT49" i="20" s="1"/>
  <c r="AR54" i="20"/>
  <c r="AT54" i="20" s="1"/>
  <c r="AO46" i="20"/>
  <c r="AM54" i="20"/>
  <c r="AQ54" i="20" s="1"/>
  <c r="AN85" i="20"/>
  <c r="AO84" i="20"/>
  <c r="AM84" i="20"/>
  <c r="AQ84" i="20" s="1"/>
  <c r="AT85" i="20"/>
  <c r="AP80" i="20"/>
  <c r="AU80" i="20" s="1"/>
  <c r="AO68" i="20"/>
  <c r="AP46" i="20"/>
  <c r="AU46" i="20" s="1"/>
  <c r="AR53" i="20"/>
  <c r="AT53" i="20" s="1"/>
  <c r="AP50" i="20"/>
  <c r="AU50" i="20" s="1"/>
  <c r="AM50" i="20"/>
  <c r="AQ50" i="20" s="1"/>
  <c r="AM45" i="20"/>
  <c r="AN45" i="20" s="1"/>
  <c r="AQ45" i="20" s="1"/>
  <c r="AP45" i="20"/>
  <c r="AU45" i="20" s="1"/>
  <c r="AP53" i="20"/>
  <c r="AU53" i="20" s="1"/>
  <c r="AM53" i="20"/>
  <c r="AQ53" i="20" s="1"/>
  <c r="AR81" i="20"/>
  <c r="AT81" i="20" s="1"/>
  <c r="AP81" i="20"/>
  <c r="AU81" i="20" s="1"/>
  <c r="AM81" i="20"/>
  <c r="AN81" i="20" s="1"/>
  <c r="AR80" i="20"/>
  <c r="AT80" i="20" s="1"/>
  <c r="AM80" i="20"/>
  <c r="AQ80" i="20" s="1"/>
  <c r="AM47" i="20"/>
  <c r="AN47" i="20" s="1"/>
  <c r="AR47" i="20" s="1"/>
  <c r="AS85" i="20"/>
  <c r="O85" i="20" s="1"/>
  <c r="AM68" i="20"/>
  <c r="AP68" i="20"/>
  <c r="AU68" i="20" s="1"/>
  <c r="AU54" i="20"/>
  <c r="AO54" i="20"/>
  <c r="AT57" i="20"/>
  <c r="AM44" i="20"/>
  <c r="AP44" i="20"/>
  <c r="AU44" i="20" s="1"/>
  <c r="AO56" i="20"/>
  <c r="AR56" i="20"/>
  <c r="AM56" i="20"/>
  <c r="AP56" i="20"/>
  <c r="AU56" i="20" s="1"/>
  <c r="AT84" i="20"/>
  <c r="AO82" i="20"/>
  <c r="AP82" i="20"/>
  <c r="AU82" i="20" s="1"/>
  <c r="AR82" i="20"/>
  <c r="AM82" i="20"/>
  <c r="AO74" i="20"/>
  <c r="AP74" i="20"/>
  <c r="AU74" i="20" s="1"/>
  <c r="AM74" i="20"/>
  <c r="AP42" i="20"/>
  <c r="AU42" i="20" s="1"/>
  <c r="AO38" i="20"/>
  <c r="AM38" i="20"/>
  <c r="AP38" i="20"/>
  <c r="AU38" i="20" s="1"/>
  <c r="AO76" i="20"/>
  <c r="AM76" i="20"/>
  <c r="AP76" i="20"/>
  <c r="AU76" i="20" s="1"/>
  <c r="AR76" i="20"/>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R51" i="20"/>
  <c r="AO40" i="20"/>
  <c r="AP40" i="20"/>
  <c r="AU40" i="20" s="1"/>
  <c r="AM40" i="20"/>
  <c r="AO39" i="20"/>
  <c r="AM39" i="20"/>
  <c r="AP39" i="20"/>
  <c r="AU39" i="20" s="1"/>
  <c r="AO55" i="20"/>
  <c r="AM55" i="20"/>
  <c r="AP55" i="20"/>
  <c r="AU55" i="20" s="1"/>
  <c r="AR55" i="20"/>
  <c r="AO78" i="20"/>
  <c r="AM78" i="20"/>
  <c r="AP78" i="20"/>
  <c r="AU78" i="20" s="1"/>
  <c r="AR78" i="20"/>
  <c r="AO65" i="20"/>
  <c r="AM65" i="20"/>
  <c r="AP65" i="20"/>
  <c r="AU65" i="20" s="1"/>
  <c r="AO48" i="20"/>
  <c r="AP48" i="20"/>
  <c r="AU48" i="20" s="1"/>
  <c r="AR48" i="20"/>
  <c r="AM48" i="20"/>
  <c r="AM52" i="20"/>
  <c r="AO52" i="20"/>
  <c r="AP52" i="20"/>
  <c r="AU52" i="20" s="1"/>
  <c r="AR52" i="20"/>
  <c r="AO69" i="20"/>
  <c r="AM69" i="20"/>
  <c r="AP69" i="20"/>
  <c r="AU69" i="20" s="1"/>
  <c r="AO75" i="20"/>
  <c r="AM75" i="20"/>
  <c r="AP75" i="20"/>
  <c r="AU75" i="20" s="1"/>
  <c r="AR75" i="20"/>
  <c r="AO77" i="20"/>
  <c r="AM77" i="20"/>
  <c r="AP77" i="20"/>
  <c r="AU77" i="20" s="1"/>
  <c r="AR77" i="20"/>
  <c r="AO79" i="20"/>
  <c r="AR79" i="20"/>
  <c r="AP79" i="20"/>
  <c r="AU79" i="20" s="1"/>
  <c r="AM79" i="20"/>
  <c r="AO83" i="20"/>
  <c r="AM83" i="20"/>
  <c r="AP83" i="20"/>
  <c r="AU83" i="20" s="1"/>
  <c r="AR83" i="20"/>
  <c r="AO41" i="20"/>
  <c r="AM41" i="20"/>
  <c r="AP41" i="20"/>
  <c r="AU41" i="20" s="1"/>
  <c r="AO37" i="20"/>
  <c r="AM37" i="20"/>
  <c r="AP37" i="20"/>
  <c r="AU37" i="20" s="1"/>
  <c r="AR37" i="20"/>
  <c r="AO64" i="20"/>
  <c r="AP64" i="20"/>
  <c r="AU64" i="20" s="1"/>
  <c r="AR64" i="20"/>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7" i="18"/>
  <c r="R37" i="18"/>
  <c r="R33" i="17"/>
  <c r="R24" i="17"/>
  <c r="L50" i="574"/>
  <c r="I50" i="574"/>
  <c r="J50" i="574" s="1"/>
  <c r="K50" i="574" s="1"/>
  <c r="L49" i="574"/>
  <c r="I49" i="574"/>
  <c r="J49" i="574" s="1"/>
  <c r="K49" i="574" s="1"/>
  <c r="L48" i="574"/>
  <c r="I48" i="574"/>
  <c r="J48" i="574" s="1"/>
  <c r="K48"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32" i="574"/>
  <c r="I32" i="574"/>
  <c r="J32" i="574" s="1"/>
  <c r="K32" i="574" s="1"/>
  <c r="L31" i="574"/>
  <c r="I31" i="574"/>
  <c r="J31" i="574" s="1"/>
  <c r="K31" i="574" s="1"/>
  <c r="L30" i="574"/>
  <c r="I30" i="574"/>
  <c r="J30" i="574" s="1"/>
  <c r="K30" i="574" s="1"/>
  <c r="AK29" i="574"/>
  <c r="L29" i="574"/>
  <c r="I29" i="574"/>
  <c r="J29" i="574" s="1"/>
  <c r="K29" i="574" s="1"/>
  <c r="AK28" i="574"/>
  <c r="L28" i="574"/>
  <c r="I28" i="574"/>
  <c r="J28" i="574" s="1"/>
  <c r="K28" i="574" s="1"/>
  <c r="AK27" i="574"/>
  <c r="L27" i="574"/>
  <c r="I27" i="574"/>
  <c r="J27" i="574" s="1"/>
  <c r="K27" i="574" s="1"/>
  <c r="AK26" i="574"/>
  <c r="L26" i="574"/>
  <c r="I26" i="574"/>
  <c r="J26" i="574" s="1"/>
  <c r="K26" i="574" s="1"/>
  <c r="L14" i="574"/>
  <c r="I14" i="574"/>
  <c r="J14" i="574" s="1"/>
  <c r="K14" i="574" s="1"/>
  <c r="L13" i="574"/>
  <c r="I13" i="574"/>
  <c r="J13" i="574" s="1"/>
  <c r="K13" i="574" s="1"/>
  <c r="AK14" i="574"/>
  <c r="L12" i="574"/>
  <c r="I12" i="574"/>
  <c r="AK12" i="574"/>
  <c r="L11" i="574"/>
  <c r="I11" i="574"/>
  <c r="J11" i="574" s="1"/>
  <c r="K11" i="574" s="1"/>
  <c r="AM26" i="17" l="1"/>
  <c r="AM25" i="17"/>
  <c r="AM34" i="17" s="1"/>
  <c r="AM24" i="17"/>
  <c r="AM33" i="17" s="1"/>
  <c r="AM27" i="17"/>
  <c r="AI34" i="17"/>
  <c r="AJ34" i="17" s="1"/>
  <c r="AE34" i="17"/>
  <c r="AH34" i="17" s="1"/>
  <c r="O84" i="18"/>
  <c r="AQ84" i="18"/>
  <c r="Y43" i="574"/>
  <c r="AV74" i="18"/>
  <c r="AV75" i="18"/>
  <c r="AV70" i="18"/>
  <c r="AQ80" i="18"/>
  <c r="E143" i="19"/>
  <c r="E66" i="19"/>
  <c r="E80" i="5"/>
  <c r="E51" i="5"/>
  <c r="E168" i="19"/>
  <c r="E147" i="19"/>
  <c r="E42" i="5"/>
  <c r="E170" i="19"/>
  <c r="E125" i="19"/>
  <c r="E99" i="19"/>
  <c r="E103" i="19"/>
  <c r="E136" i="19"/>
  <c r="E140" i="19"/>
  <c r="E107" i="19"/>
  <c r="E111" i="19"/>
  <c r="E115" i="19"/>
  <c r="E82" i="5"/>
  <c r="E172" i="19"/>
  <c r="E129" i="19"/>
  <c r="E95" i="19"/>
  <c r="E58" i="5"/>
  <c r="E67" i="19"/>
  <c r="E71" i="19"/>
  <c r="E75" i="19"/>
  <c r="E79" i="19"/>
  <c r="E83" i="19"/>
  <c r="E87" i="19"/>
  <c r="E144" i="19"/>
  <c r="E85" i="5"/>
  <c r="E97" i="19"/>
  <c r="E77" i="19"/>
  <c r="E167" i="19"/>
  <c r="E124" i="19"/>
  <c r="E87" i="5"/>
  <c r="E133" i="19"/>
  <c r="E96" i="19"/>
  <c r="E100" i="19"/>
  <c r="E104" i="19"/>
  <c r="E52" i="5"/>
  <c r="E68" i="19"/>
  <c r="E86" i="5"/>
  <c r="E137" i="19"/>
  <c r="E108" i="19"/>
  <c r="E112" i="19"/>
  <c r="E116" i="19"/>
  <c r="E72" i="19"/>
  <c r="E126" i="19"/>
  <c r="E141" i="19"/>
  <c r="E83" i="5"/>
  <c r="E81" i="19"/>
  <c r="E130" i="19"/>
  <c r="E76" i="19"/>
  <c r="E80" i="19"/>
  <c r="E84" i="19"/>
  <c r="E88" i="19"/>
  <c r="E131" i="19"/>
  <c r="E142" i="19"/>
  <c r="E69" i="19"/>
  <c r="E73" i="19"/>
  <c r="E89" i="19"/>
  <c r="E128" i="19"/>
  <c r="E145" i="19"/>
  <c r="E101" i="19"/>
  <c r="E85" i="19"/>
  <c r="E81" i="5"/>
  <c r="E166" i="19"/>
  <c r="E169" i="19"/>
  <c r="E50" i="5"/>
  <c r="E171" i="19"/>
  <c r="E134" i="19"/>
  <c r="E138" i="19"/>
  <c r="E105" i="19"/>
  <c r="E109" i="19"/>
  <c r="E113" i="19"/>
  <c r="E117" i="19"/>
  <c r="E43" i="5"/>
  <c r="E127" i="19"/>
  <c r="E59" i="5"/>
  <c r="E44" i="5"/>
  <c r="E146" i="19"/>
  <c r="E60" i="5"/>
  <c r="E98" i="19"/>
  <c r="E102" i="19"/>
  <c r="E84" i="5"/>
  <c r="E135" i="19"/>
  <c r="E139" i="19"/>
  <c r="E106" i="19"/>
  <c r="E110" i="19"/>
  <c r="E114" i="19"/>
  <c r="E118" i="19"/>
  <c r="E132" i="19"/>
  <c r="E70" i="19"/>
  <c r="E74" i="19"/>
  <c r="E78" i="19"/>
  <c r="E82" i="19"/>
  <c r="E86" i="19"/>
  <c r="Y44" i="574"/>
  <c r="AQ34" i="17"/>
  <c r="AQ78" i="18"/>
  <c r="AV72" i="18"/>
  <c r="AV76" i="18"/>
  <c r="AV77" i="18"/>
  <c r="AM39" i="18"/>
  <c r="AM69" i="18" s="1"/>
  <c r="AM37" i="18"/>
  <c r="AM47" i="18"/>
  <c r="AM77" i="18" s="1"/>
  <c r="AM52" i="18"/>
  <c r="AM82" i="18" s="1"/>
  <c r="AM42" i="18"/>
  <c r="AM72" i="18" s="1"/>
  <c r="AM54" i="18"/>
  <c r="AM84" i="18" s="1"/>
  <c r="AM56" i="18"/>
  <c r="AM86" i="18" s="1"/>
  <c r="AM59" i="18"/>
  <c r="AM89" i="18" s="1"/>
  <c r="AM50" i="18"/>
  <c r="AM80" i="18" s="1"/>
  <c r="AM45" i="18"/>
  <c r="AM75" i="18" s="1"/>
  <c r="AM48" i="18"/>
  <c r="AM78" i="18" s="1"/>
  <c r="AM43" i="18"/>
  <c r="AM73" i="18" s="1"/>
  <c r="AM40" i="18"/>
  <c r="AM70" i="18" s="1"/>
  <c r="AM57" i="18"/>
  <c r="AM87" i="18" s="1"/>
  <c r="AM38" i="18"/>
  <c r="AM68" i="18" s="1"/>
  <c r="AM46" i="18"/>
  <c r="AM76" i="18" s="1"/>
  <c r="AM60" i="18"/>
  <c r="AM90" i="18" s="1"/>
  <c r="AM51" i="18"/>
  <c r="AM81" i="18" s="1"/>
  <c r="AM44" i="18"/>
  <c r="AM74" i="18" s="1"/>
  <c r="AM53" i="18"/>
  <c r="AM83" i="18" s="1"/>
  <c r="AM55" i="18"/>
  <c r="AM85" i="18" s="1"/>
  <c r="AM41" i="18"/>
  <c r="AM71" i="18" s="1"/>
  <c r="AM58" i="18"/>
  <c r="AM88" i="18" s="1"/>
  <c r="AM49" i="18"/>
  <c r="AM79" i="18" s="1"/>
  <c r="AM61" i="18"/>
  <c r="AM91" i="18" s="1"/>
  <c r="Y48" i="574"/>
  <c r="AV73" i="18"/>
  <c r="O88" i="18"/>
  <c r="Y47" i="574" s="1"/>
  <c r="AQ88" i="18"/>
  <c r="O81" i="18"/>
  <c r="AQ81" i="18"/>
  <c r="Y45" i="574"/>
  <c r="AN57" i="20"/>
  <c r="AV85" i="20"/>
  <c r="AN49" i="20"/>
  <c r="AR46" i="20"/>
  <c r="AT46" i="20" s="1"/>
  <c r="AV46" i="20" s="1"/>
  <c r="AS84" i="20"/>
  <c r="O84" i="20" s="1"/>
  <c r="AN50" i="20"/>
  <c r="AS47" i="20"/>
  <c r="O47" i="20" s="1"/>
  <c r="AS80" i="20"/>
  <c r="O80" i="20" s="1"/>
  <c r="AV57" i="20"/>
  <c r="AV49" i="20"/>
  <c r="AS54" i="20"/>
  <c r="O54" i="20" s="1"/>
  <c r="AS49" i="20"/>
  <c r="O49" i="20" s="1"/>
  <c r="AS57" i="20"/>
  <c r="O57" i="20" s="1"/>
  <c r="AN54" i="20"/>
  <c r="AN84" i="20"/>
  <c r="AV80" i="20"/>
  <c r="AV84" i="20"/>
  <c r="AT47" i="20"/>
  <c r="AV47" i="20" s="1"/>
  <c r="AN53" i="20"/>
  <c r="AS81" i="20"/>
  <c r="O81" i="20" s="1"/>
  <c r="AN68" i="20"/>
  <c r="AR68" i="20" s="1"/>
  <c r="AV81" i="20"/>
  <c r="AV50" i="20"/>
  <c r="AS50" i="20"/>
  <c r="O50" i="20" s="1"/>
  <c r="AQ81" i="20"/>
  <c r="AV54" i="20"/>
  <c r="AV53" i="20"/>
  <c r="AQ47" i="20"/>
  <c r="AS53" i="20"/>
  <c r="O53" i="20" s="1"/>
  <c r="AR45" i="20"/>
  <c r="AT45" i="20" s="1"/>
  <c r="AV45" i="20" s="1"/>
  <c r="AN80" i="20"/>
  <c r="AN44" i="20"/>
  <c r="AQ44" i="20" s="1"/>
  <c r="AR70" i="20"/>
  <c r="AS70" i="20" s="1"/>
  <c r="O70" i="20" s="1"/>
  <c r="AQ72" i="20"/>
  <c r="AR72" i="20"/>
  <c r="AS72" i="20" s="1"/>
  <c r="O72" i="20" s="1"/>
  <c r="AR43" i="20"/>
  <c r="AS43" i="20" s="1"/>
  <c r="O43" i="20" s="1"/>
  <c r="AR71" i="20"/>
  <c r="AS71" i="20" s="1"/>
  <c r="O71" i="20" s="1"/>
  <c r="AS83" i="20"/>
  <c r="O83" i="20" s="1"/>
  <c r="AT83" i="20"/>
  <c r="AV83" i="20" s="1"/>
  <c r="AS77" i="20"/>
  <c r="O77" i="20" s="1"/>
  <c r="AT77" i="20"/>
  <c r="AV77" i="20" s="1"/>
  <c r="AQ56" i="20"/>
  <c r="AN56" i="20"/>
  <c r="AN52" i="20"/>
  <c r="AQ52" i="20"/>
  <c r="AN65" i="20"/>
  <c r="AR65" i="20" s="1"/>
  <c r="AQ82" i="20"/>
  <c r="AN82" i="20"/>
  <c r="AT56" i="20"/>
  <c r="AV56" i="20" s="1"/>
  <c r="AS56" i="20"/>
  <c r="O56" i="20" s="1"/>
  <c r="AN73" i="20"/>
  <c r="AR73" i="20" s="1"/>
  <c r="AS73" i="20" s="1"/>
  <c r="O73" i="20" s="1"/>
  <c r="AQ77" i="20"/>
  <c r="AN77" i="20"/>
  <c r="AT75" i="20"/>
  <c r="AV75" i="20" s="1"/>
  <c r="AS75" i="20"/>
  <c r="O75" i="20" s="1"/>
  <c r="AN41" i="20"/>
  <c r="AR41" i="20" s="1"/>
  <c r="AS51" i="20"/>
  <c r="O51" i="20" s="1"/>
  <c r="AT51" i="20"/>
  <c r="AV51" i="20" s="1"/>
  <c r="AN74" i="20"/>
  <c r="AR74" i="20" s="1"/>
  <c r="AT74" i="20" s="1"/>
  <c r="AV74" i="20" s="1"/>
  <c r="AQ79" i="20"/>
  <c r="AN79" i="20"/>
  <c r="AQ75" i="20"/>
  <c r="AN75" i="20"/>
  <c r="AN69" i="20"/>
  <c r="AQ69" i="20" s="1"/>
  <c r="AQ48" i="20"/>
  <c r="AN48" i="20"/>
  <c r="AT78" i="20"/>
  <c r="AV78" i="20" s="1"/>
  <c r="AS78" i="20"/>
  <c r="O78" i="20" s="1"/>
  <c r="AS55" i="20"/>
  <c r="O55" i="20" s="1"/>
  <c r="AT55" i="20"/>
  <c r="AV55" i="20" s="1"/>
  <c r="AQ76" i="20"/>
  <c r="AN76" i="20"/>
  <c r="AQ83" i="20"/>
  <c r="AN83" i="20"/>
  <c r="AN40" i="20"/>
  <c r="AR40" i="20" s="1"/>
  <c r="AS40" i="20" s="1"/>
  <c r="O40" i="20" s="1"/>
  <c r="AS82" i="20"/>
  <c r="O82" i="20" s="1"/>
  <c r="AT82" i="20"/>
  <c r="AV82" i="20" s="1"/>
  <c r="AT48" i="20"/>
  <c r="AV48" i="20" s="1"/>
  <c r="AS48" i="20"/>
  <c r="O48" i="20" s="1"/>
  <c r="AN39" i="20"/>
  <c r="AR39" i="20" s="1"/>
  <c r="AQ51" i="20"/>
  <c r="AN51" i="20"/>
  <c r="AN66" i="20"/>
  <c r="AR66" i="20" s="1"/>
  <c r="AS66" i="20" s="1"/>
  <c r="O66" i="20" s="1"/>
  <c r="AT76" i="20"/>
  <c r="AV76" i="20" s="1"/>
  <c r="AS76" i="20"/>
  <c r="O76" i="20" s="1"/>
  <c r="AT79" i="20"/>
  <c r="AV79" i="20" s="1"/>
  <c r="AS79" i="20"/>
  <c r="O79" i="20" s="1"/>
  <c r="AS52" i="20"/>
  <c r="O52" i="20" s="1"/>
  <c r="AT52" i="20"/>
  <c r="AV52" i="20" s="1"/>
  <c r="AQ78" i="20"/>
  <c r="AN78" i="20"/>
  <c r="AQ55" i="20"/>
  <c r="AN55" i="20"/>
  <c r="AN67" i="20"/>
  <c r="AR67" i="20" s="1"/>
  <c r="AS67" i="20" s="1"/>
  <c r="O67" i="20" s="1"/>
  <c r="AN38" i="20"/>
  <c r="AR38" i="20" s="1"/>
  <c r="AS64" i="20"/>
  <c r="O64" i="20" s="1"/>
  <c r="AT64" i="20"/>
  <c r="AV64" i="20" s="1"/>
  <c r="AQ64" i="20"/>
  <c r="AN64" i="20"/>
  <c r="AT37" i="20"/>
  <c r="AV37" i="20" s="1"/>
  <c r="AS37" i="20"/>
  <c r="O37" i="20" s="1"/>
  <c r="AQ37" i="20"/>
  <c r="AN37" i="20"/>
  <c r="J12" i="574"/>
  <c r="K12" i="574" s="1"/>
  <c r="R42" i="20"/>
  <c r="AN42" i="20" s="1"/>
  <c r="AQ42" i="20" s="1"/>
  <c r="AL29" i="574"/>
  <c r="E157" i="19" s="1"/>
  <c r="AN29" i="574" a="1"/>
  <c r="AN29" i="574" s="1"/>
  <c r="AM12" i="574"/>
  <c r="F68" i="5" s="1"/>
  <c r="AN12" i="574" a="1"/>
  <c r="AN12" i="574" s="1"/>
  <c r="AM26" i="574"/>
  <c r="AN26" i="574" a="1"/>
  <c r="AN26" i="574" s="1"/>
  <c r="AM27" i="574"/>
  <c r="AN27" i="574" a="1"/>
  <c r="AN27" i="574" s="1"/>
  <c r="AL14" i="574"/>
  <c r="E70" i="5" s="1"/>
  <c r="AN14" i="574" a="1"/>
  <c r="AN14" i="574" s="1"/>
  <c r="AM28" i="574"/>
  <c r="F156" i="19" s="1"/>
  <c r="AN28" i="574" a="1"/>
  <c r="AN28" i="574" s="1"/>
  <c r="AM14" i="574"/>
  <c r="F70" i="5" s="1"/>
  <c r="AM29" i="574"/>
  <c r="F157" i="19" s="1"/>
  <c r="AL12" i="574"/>
  <c r="E68" i="5" s="1"/>
  <c r="AL28" i="574"/>
  <c r="E156" i="19" s="1"/>
  <c r="AL27" i="574"/>
  <c r="AL26" i="574"/>
  <c r="K34" i="17" l="1"/>
  <c r="Z81" i="5"/>
  <c r="AA81" i="5"/>
  <c r="AM36" i="17"/>
  <c r="K36" i="17" s="1"/>
  <c r="K27" i="17"/>
  <c r="AM35" i="17"/>
  <c r="K35" i="17" s="1"/>
  <c r="K26" i="17"/>
  <c r="Z83" i="5"/>
  <c r="AA83" i="5"/>
  <c r="K25" i="17"/>
  <c r="G136" i="19"/>
  <c r="H136" i="19"/>
  <c r="G43" i="5"/>
  <c r="H43" i="5"/>
  <c r="G112" i="19"/>
  <c r="H112" i="19"/>
  <c r="H117" i="19"/>
  <c r="G117" i="19"/>
  <c r="G108" i="19"/>
  <c r="H108" i="19"/>
  <c r="H103" i="19"/>
  <c r="G103" i="19"/>
  <c r="H113" i="19"/>
  <c r="G113" i="19"/>
  <c r="G137" i="19"/>
  <c r="H137" i="19"/>
  <c r="H99" i="19"/>
  <c r="G99" i="19"/>
  <c r="H109" i="19"/>
  <c r="G109" i="19"/>
  <c r="H86" i="5"/>
  <c r="G86" i="5"/>
  <c r="H125" i="19"/>
  <c r="G125" i="19"/>
  <c r="G105" i="19"/>
  <c r="H105" i="19"/>
  <c r="H68" i="19"/>
  <c r="G68" i="19"/>
  <c r="G170" i="19"/>
  <c r="H170" i="19"/>
  <c r="H134" i="19"/>
  <c r="G134" i="19"/>
  <c r="H104" i="19"/>
  <c r="G104" i="19"/>
  <c r="G147" i="19"/>
  <c r="H147" i="19"/>
  <c r="H171" i="19"/>
  <c r="G171" i="19"/>
  <c r="H100" i="19"/>
  <c r="G100" i="19"/>
  <c r="H96" i="19"/>
  <c r="G96" i="19"/>
  <c r="H51" i="5"/>
  <c r="G51" i="5"/>
  <c r="H81" i="5"/>
  <c r="G81" i="5"/>
  <c r="G143" i="19"/>
  <c r="H143" i="19"/>
  <c r="G169" i="19"/>
  <c r="H169" i="19"/>
  <c r="G133" i="19"/>
  <c r="H133" i="19"/>
  <c r="H167" i="19"/>
  <c r="H77" i="19"/>
  <c r="G77" i="19"/>
  <c r="G52" i="5"/>
  <c r="H52" i="5"/>
  <c r="G97" i="19"/>
  <c r="H97" i="19"/>
  <c r="G128" i="19"/>
  <c r="H128" i="19"/>
  <c r="G85" i="5"/>
  <c r="H85" i="5"/>
  <c r="H145" i="19"/>
  <c r="G145" i="19"/>
  <c r="H74" i="19"/>
  <c r="G74" i="19"/>
  <c r="H70" i="19"/>
  <c r="G70" i="19"/>
  <c r="H89" i="19"/>
  <c r="G89" i="19"/>
  <c r="H144" i="19"/>
  <c r="G144" i="19"/>
  <c r="G132" i="19"/>
  <c r="H132" i="19"/>
  <c r="G73" i="19"/>
  <c r="H73" i="19"/>
  <c r="H87" i="19"/>
  <c r="G87" i="19"/>
  <c r="G118" i="19"/>
  <c r="H118" i="19"/>
  <c r="G69" i="19"/>
  <c r="H69" i="19"/>
  <c r="G83" i="19"/>
  <c r="H83" i="19"/>
  <c r="G79" i="19"/>
  <c r="H79" i="19"/>
  <c r="G110" i="19"/>
  <c r="H110" i="19"/>
  <c r="H75" i="19"/>
  <c r="G75" i="19"/>
  <c r="G86" i="19"/>
  <c r="H86" i="19"/>
  <c r="H78" i="19"/>
  <c r="G78" i="19"/>
  <c r="G131" i="19"/>
  <c r="H131" i="19"/>
  <c r="G106" i="19"/>
  <c r="H106" i="19"/>
  <c r="H88" i="19"/>
  <c r="G88" i="19"/>
  <c r="H71" i="19"/>
  <c r="G71" i="19"/>
  <c r="H101" i="19"/>
  <c r="G101" i="19"/>
  <c r="G139" i="19"/>
  <c r="H139" i="19"/>
  <c r="G84" i="19"/>
  <c r="H84" i="19"/>
  <c r="H67" i="19"/>
  <c r="G67" i="19"/>
  <c r="G138" i="19"/>
  <c r="H138" i="19"/>
  <c r="H114" i="19"/>
  <c r="G114" i="19"/>
  <c r="G142" i="19"/>
  <c r="H142" i="19"/>
  <c r="H135" i="19"/>
  <c r="G135" i="19"/>
  <c r="H80" i="19"/>
  <c r="G80" i="19"/>
  <c r="G84" i="5"/>
  <c r="H84" i="5"/>
  <c r="H76" i="19"/>
  <c r="G76" i="19"/>
  <c r="H102" i="19"/>
  <c r="G102" i="19"/>
  <c r="G130" i="19"/>
  <c r="H130" i="19"/>
  <c r="G129" i="19"/>
  <c r="H129" i="19"/>
  <c r="AB169" i="19"/>
  <c r="AC169" i="19"/>
  <c r="H82" i="19"/>
  <c r="G82" i="19"/>
  <c r="H98" i="19"/>
  <c r="G98" i="19"/>
  <c r="H81" i="19"/>
  <c r="G81" i="19"/>
  <c r="G172" i="19"/>
  <c r="H172" i="19"/>
  <c r="H60" i="5"/>
  <c r="G60" i="5"/>
  <c r="H83" i="5"/>
  <c r="G83" i="5"/>
  <c r="H82" i="5"/>
  <c r="G82" i="5"/>
  <c r="AB168" i="19"/>
  <c r="H168" i="19" s="1"/>
  <c r="AC168" i="19"/>
  <c r="G146" i="19"/>
  <c r="H146" i="19"/>
  <c r="G141" i="19"/>
  <c r="H141" i="19"/>
  <c r="G115" i="19"/>
  <c r="H115" i="19"/>
  <c r="G85" i="19"/>
  <c r="H85" i="19"/>
  <c r="G44" i="5"/>
  <c r="H44" i="5"/>
  <c r="G126" i="19"/>
  <c r="H126" i="19"/>
  <c r="G111" i="19"/>
  <c r="H111" i="19"/>
  <c r="H59" i="5"/>
  <c r="G59" i="5"/>
  <c r="G72" i="19"/>
  <c r="H72" i="19"/>
  <c r="G107" i="19"/>
  <c r="H107" i="19"/>
  <c r="H127" i="19"/>
  <c r="G127" i="19"/>
  <c r="G116" i="19"/>
  <c r="H116" i="19"/>
  <c r="G140" i="19"/>
  <c r="H140" i="19"/>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7"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G168" i="19" l="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G63" i="23" s="1"/>
  <c r="L63" i="23" s="1"/>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24" i="19"/>
  <c r="D95" i="19"/>
  <c r="AK124" i="19" l="1"/>
  <c r="AJ124" i="19"/>
  <c r="AK95" i="19"/>
  <c r="AJ95" i="19"/>
  <c r="D63" i="20" l="1"/>
  <c r="E63" i="20"/>
  <c r="F63" i="20"/>
  <c r="D35" i="20"/>
  <c r="C80" i="5"/>
  <c r="D42" i="5"/>
  <c r="F35" i="23"/>
  <c r="C35" i="23"/>
  <c r="E35" i="23"/>
  <c r="D35" i="23"/>
  <c r="C63" i="20"/>
  <c r="C35" i="20"/>
  <c r="C67" i="18"/>
  <c r="C37" i="18"/>
  <c r="E67" i="18"/>
  <c r="E37" i="18"/>
  <c r="D67" i="18"/>
  <c r="AC5" i="18"/>
  <c r="C33" i="17"/>
  <c r="C24" i="17"/>
  <c r="F24" i="17"/>
  <c r="E33" i="17"/>
  <c r="E24" i="17"/>
  <c r="D33" i="17"/>
  <c r="D24" i="17"/>
  <c r="AC6" i="17"/>
  <c r="D166" i="19"/>
  <c r="C166" i="19"/>
  <c r="H37" i="19"/>
  <c r="C37" i="19"/>
  <c r="C95" i="19" s="1"/>
  <c r="G37" i="19"/>
  <c r="E37" i="19"/>
  <c r="D37" i="19"/>
  <c r="L80" i="5"/>
  <c r="P80" i="5" s="1"/>
  <c r="D80"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AL26" i="17" l="1"/>
  <c r="M26" i="17" s="1"/>
  <c r="AL27" i="17"/>
  <c r="M27" i="17" s="1"/>
  <c r="AL25" i="17"/>
  <c r="M25" i="17" s="1"/>
  <c r="AL35" i="17"/>
  <c r="M35" i="17" s="1"/>
  <c r="AL36" i="17"/>
  <c r="M36" i="17" s="1"/>
  <c r="AL34" i="17"/>
  <c r="M34" i="17" s="1"/>
  <c r="Y166" i="19"/>
  <c r="X166" i="19"/>
  <c r="V80" i="5"/>
  <c r="W80" i="5"/>
  <c r="W42" i="5"/>
  <c r="V42" i="5"/>
  <c r="AG166" i="19"/>
  <c r="W58" i="5"/>
  <c r="AG58" i="5" s="1"/>
  <c r="X42" i="5"/>
  <c r="AE124" i="19"/>
  <c r="AG124" i="19" s="1"/>
  <c r="AD124" i="19"/>
  <c r="AF124" i="19" s="1"/>
  <c r="AE66" i="19"/>
  <c r="AD66" i="19"/>
  <c r="AF66" i="19" s="1"/>
  <c r="AI42" i="5"/>
  <c r="AH42" i="5"/>
  <c r="AE95" i="19"/>
  <c r="AD95" i="19"/>
  <c r="AF95" i="19" s="1"/>
  <c r="AG80" i="5"/>
  <c r="AF80" i="5"/>
  <c r="AI166" i="19"/>
  <c r="AH166"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24" i="19"/>
  <c r="AB95" i="19"/>
  <c r="AE58" i="5"/>
  <c r="AD58" i="5"/>
  <c r="AD42" i="5"/>
  <c r="Z42" i="5"/>
  <c r="Z58" i="5"/>
  <c r="AD50" i="5"/>
  <c r="Z50" i="5"/>
  <c r="AE20" i="5"/>
  <c r="AD6" i="5"/>
  <c r="AD8" i="5"/>
  <c r="N80" i="5"/>
  <c r="D50" i="5"/>
  <c r="C2" i="24"/>
  <c r="I6" i="23"/>
  <c r="J6" i="23" s="1"/>
  <c r="K6" i="23" s="1"/>
  <c r="I35" i="23"/>
  <c r="G5" i="51"/>
  <c r="C2" i="51"/>
  <c r="R12" i="18"/>
  <c r="AC4" i="18"/>
  <c r="R11" i="18"/>
  <c r="AC6" i="18"/>
  <c r="W7" i="18"/>
  <c r="D37" i="18"/>
  <c r="I6" i="18"/>
  <c r="R4" i="18" s="1"/>
  <c r="F67" i="18"/>
  <c r="J67" i="18" s="1"/>
  <c r="F37" i="18"/>
  <c r="J37" i="18" s="1"/>
  <c r="AD14" i="19"/>
  <c r="AC7" i="19"/>
  <c r="I6" i="19"/>
  <c r="J6" i="19" s="1"/>
  <c r="AA166" i="19"/>
  <c r="AF23" i="19"/>
  <c r="AB66" i="19"/>
  <c r="AF6" i="19"/>
  <c r="AE4" i="19"/>
  <c r="AG11" i="19"/>
  <c r="I37" i="19"/>
  <c r="C66" i="19"/>
  <c r="AG12" i="19"/>
  <c r="L35" i="23"/>
  <c r="K35" i="23"/>
  <c r="D66" i="19"/>
  <c r="AD11" i="19"/>
  <c r="AE19" i="19"/>
  <c r="AD12" i="19"/>
  <c r="AG14" i="19"/>
  <c r="AD13" i="19"/>
  <c r="AC6" i="19"/>
  <c r="J37" i="19"/>
  <c r="K37"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X87" i="5" s="1"/>
  <c r="C42" i="5"/>
  <c r="AG13" i="5"/>
  <c r="AD12" i="5"/>
  <c r="AD13" i="5"/>
  <c r="AG15" i="5"/>
  <c r="AD14" i="5"/>
  <c r="AD15" i="5"/>
  <c r="AG6" i="5"/>
  <c r="AE4" i="5"/>
  <c r="AK26" i="17" l="1"/>
  <c r="L26" i="17" s="1"/>
  <c r="AK27" i="17"/>
  <c r="L27" i="17" s="1"/>
  <c r="AK25" i="17"/>
  <c r="L25" i="17" s="1"/>
  <c r="AK36" i="17"/>
  <c r="L36" i="17" s="1"/>
  <c r="AK35" i="17"/>
  <c r="L35" i="17" s="1"/>
  <c r="AK34" i="17"/>
  <c r="L34" i="17" s="1"/>
  <c r="AF26" i="17"/>
  <c r="AF27" i="17"/>
  <c r="AF36" i="17"/>
  <c r="AF35" i="17"/>
  <c r="AF25" i="17"/>
  <c r="AF34" i="17"/>
  <c r="AF41" i="18"/>
  <c r="AF42" i="18"/>
  <c r="AF44" i="18"/>
  <c r="AF60" i="18"/>
  <c r="AF43" i="18"/>
  <c r="AF46" i="18"/>
  <c r="AF57" i="18"/>
  <c r="AF40" i="18"/>
  <c r="AF51" i="18"/>
  <c r="AF61" i="18"/>
  <c r="AF47" i="18"/>
  <c r="AF48" i="18"/>
  <c r="AF45" i="18"/>
  <c r="AF75" i="18"/>
  <c r="AF87" i="18"/>
  <c r="AF49" i="18"/>
  <c r="AF86" i="18"/>
  <c r="AF73" i="18"/>
  <c r="AF71" i="18"/>
  <c r="AF56" i="18"/>
  <c r="AF50" i="18"/>
  <c r="AF74" i="18"/>
  <c r="AF76" i="18"/>
  <c r="AF90" i="18"/>
  <c r="AF79" i="18"/>
  <c r="AF83" i="18"/>
  <c r="AF59" i="18"/>
  <c r="AF70" i="18"/>
  <c r="AF72" i="18"/>
  <c r="AF55" i="18"/>
  <c r="AF58" i="18"/>
  <c r="AF77" i="18"/>
  <c r="AF54" i="18"/>
  <c r="AF53" i="18"/>
  <c r="AF82" i="18"/>
  <c r="AF89" i="18"/>
  <c r="AF52" i="18"/>
  <c r="AF85" i="18"/>
  <c r="AF91" i="18"/>
  <c r="AF81" i="18"/>
  <c r="AF88" i="18"/>
  <c r="AF78" i="18"/>
  <c r="AF80" i="18"/>
  <c r="AF84" i="18"/>
  <c r="I77" i="18"/>
  <c r="I49" i="18"/>
  <c r="O49" i="18" s="1"/>
  <c r="I71" i="18"/>
  <c r="AR71" i="18" s="1"/>
  <c r="I47" i="18"/>
  <c r="AR47" i="18" s="1"/>
  <c r="I75" i="18"/>
  <c r="AR75" i="18" s="1"/>
  <c r="I79" i="18"/>
  <c r="O79" i="18" s="1"/>
  <c r="I78" i="18"/>
  <c r="O78" i="18" s="1"/>
  <c r="I43" i="18"/>
  <c r="AR43" i="18" s="1"/>
  <c r="I76" i="18"/>
  <c r="AR76" i="18" s="1"/>
  <c r="I74" i="18"/>
  <c r="AR74" i="18" s="1"/>
  <c r="I51" i="18"/>
  <c r="O51" i="18" s="1"/>
  <c r="Y40" i="574" s="1"/>
  <c r="I45" i="18"/>
  <c r="AR45" i="18" s="1"/>
  <c r="I80" i="18"/>
  <c r="O80" i="18" s="1"/>
  <c r="I73" i="18"/>
  <c r="AR73" i="18" s="1"/>
  <c r="I72" i="18"/>
  <c r="AR72" i="18" s="1"/>
  <c r="I48" i="18"/>
  <c r="AR48" i="18" s="1"/>
  <c r="I50" i="18"/>
  <c r="O50" i="18" s="1"/>
  <c r="Y39" i="574" s="1"/>
  <c r="I40" i="18"/>
  <c r="AR40" i="18" s="1"/>
  <c r="I41" i="18"/>
  <c r="AR41" i="18" s="1"/>
  <c r="I46" i="18"/>
  <c r="AR46" i="18" s="1"/>
  <c r="I44" i="18"/>
  <c r="AR44" i="18" s="1"/>
  <c r="I42" i="18"/>
  <c r="AR42" i="18" s="1"/>
  <c r="I70" i="18"/>
  <c r="AR70" i="18" s="1"/>
  <c r="AD172" i="19"/>
  <c r="AE172" i="19"/>
  <c r="AD171" i="19"/>
  <c r="AE171" i="19"/>
  <c r="AD168" i="19"/>
  <c r="AD169" i="19"/>
  <c r="AE168" i="19"/>
  <c r="AE169" i="19"/>
  <c r="I26" i="17"/>
  <c r="O26" i="17" s="1"/>
  <c r="I35" i="17"/>
  <c r="O35" i="17" s="1"/>
  <c r="Y13" i="574" s="1"/>
  <c r="I36" i="17"/>
  <c r="O36" i="17" s="1"/>
  <c r="I27" i="17"/>
  <c r="O27" i="17" s="1"/>
  <c r="I25" i="17"/>
  <c r="O25" i="17" s="1"/>
  <c r="I34" i="17"/>
  <c r="O34" i="17" s="1"/>
  <c r="Y12" i="574" s="1"/>
  <c r="AC81" i="5"/>
  <c r="AB84" i="5"/>
  <c r="AC84" i="5"/>
  <c r="AC85" i="5"/>
  <c r="AB85" i="5"/>
  <c r="AB81" i="5"/>
  <c r="K85" i="5"/>
  <c r="K84" i="5"/>
  <c r="K81" i="5"/>
  <c r="AB82" i="5"/>
  <c r="AC82" i="5"/>
  <c r="AC83" i="5"/>
  <c r="AB83" i="5"/>
  <c r="AB87" i="5"/>
  <c r="AC87" i="5"/>
  <c r="N36" i="17"/>
  <c r="AB86" i="5"/>
  <c r="M86" i="5" s="1"/>
  <c r="Q86" i="5" s="1"/>
  <c r="AS17" i="574" s="1"/>
  <c r="AC86" i="5"/>
  <c r="N35" i="17"/>
  <c r="L82" i="5"/>
  <c r="K87" i="5"/>
  <c r="L83" i="5"/>
  <c r="AD167" i="19"/>
  <c r="AE167" i="19"/>
  <c r="AD170" i="19"/>
  <c r="AE170" i="19"/>
  <c r="AF167" i="19"/>
  <c r="N25" i="17"/>
  <c r="K168" i="19"/>
  <c r="K172" i="19"/>
  <c r="K171" i="19"/>
  <c r="K169" i="19"/>
  <c r="Z167" i="19"/>
  <c r="AC167" i="19" s="1"/>
  <c r="I167" i="19"/>
  <c r="AA87" i="5"/>
  <c r="I87" i="5"/>
  <c r="J87" i="5"/>
  <c r="AD79" i="18"/>
  <c r="AD81" i="18"/>
  <c r="AD83" i="18"/>
  <c r="AD85" i="18"/>
  <c r="AD73" i="18"/>
  <c r="AD68" i="18"/>
  <c r="AD70" i="18"/>
  <c r="AD87" i="18"/>
  <c r="AD75" i="18"/>
  <c r="AD72" i="18"/>
  <c r="AD80" i="18"/>
  <c r="AD89" i="18"/>
  <c r="AD47" i="18"/>
  <c r="AD74" i="18"/>
  <c r="AD82" i="18"/>
  <c r="AD91" i="18"/>
  <c r="AD49" i="18"/>
  <c r="AD84" i="18"/>
  <c r="AD55" i="18"/>
  <c r="AD53" i="18"/>
  <c r="AD69" i="18"/>
  <c r="AD86" i="18"/>
  <c r="AD77" i="18"/>
  <c r="AD76" i="18"/>
  <c r="AD71" i="18"/>
  <c r="AD88" i="18"/>
  <c r="AD78" i="18"/>
  <c r="AD90" i="18"/>
  <c r="AD43" i="18"/>
  <c r="AD45" i="18"/>
  <c r="AD51" i="18"/>
  <c r="AD50" i="18"/>
  <c r="AD60" i="18"/>
  <c r="AD59" i="18"/>
  <c r="AD54" i="18"/>
  <c r="AD48" i="18"/>
  <c r="AD44" i="18"/>
  <c r="AD61" i="18"/>
  <c r="AD41" i="18"/>
  <c r="AD57" i="18"/>
  <c r="AD40" i="18"/>
  <c r="AD46" i="18"/>
  <c r="AD42" i="18"/>
  <c r="AD52" i="18"/>
  <c r="AD56" i="18"/>
  <c r="AD58" i="18"/>
  <c r="N26" i="17"/>
  <c r="N138" i="19"/>
  <c r="T138" i="19" s="1"/>
  <c r="N143" i="19"/>
  <c r="T143" i="19" s="1"/>
  <c r="M129" i="19"/>
  <c r="S129" i="19" s="1"/>
  <c r="M146" i="19"/>
  <c r="S146" i="19" s="1"/>
  <c r="N140" i="19"/>
  <c r="T140" i="19" s="1"/>
  <c r="M139" i="19"/>
  <c r="S139" i="19" s="1"/>
  <c r="K126" i="19"/>
  <c r="M126" i="19" s="1"/>
  <c r="S126" i="19" s="1"/>
  <c r="L135" i="19"/>
  <c r="N135" i="19" s="1"/>
  <c r="T135" i="19" s="1"/>
  <c r="L126" i="19"/>
  <c r="N126" i="19" s="1"/>
  <c r="T126" i="19" s="1"/>
  <c r="K143" i="19"/>
  <c r="M143" i="19" s="1"/>
  <c r="S143" i="19" s="1"/>
  <c r="L143" i="19"/>
  <c r="K146" i="19"/>
  <c r="K142" i="19"/>
  <c r="M142" i="19" s="1"/>
  <c r="S142" i="19" s="1"/>
  <c r="L146" i="19"/>
  <c r="N146" i="19" s="1"/>
  <c r="T146" i="19" s="1"/>
  <c r="K134" i="19"/>
  <c r="M134" i="19" s="1"/>
  <c r="S134" i="19" s="1"/>
  <c r="L142" i="19"/>
  <c r="N142" i="19" s="1"/>
  <c r="T142" i="19" s="1"/>
  <c r="K129" i="19"/>
  <c r="L134" i="19"/>
  <c r="N134" i="19" s="1"/>
  <c r="T134" i="19" s="1"/>
  <c r="K141" i="19"/>
  <c r="M141" i="19" s="1"/>
  <c r="S141" i="19" s="1"/>
  <c r="K130" i="19"/>
  <c r="M130" i="19" s="1"/>
  <c r="S130" i="19" s="1"/>
  <c r="L129" i="19"/>
  <c r="N129" i="19" s="1"/>
  <c r="T129" i="19" s="1"/>
  <c r="L141" i="19"/>
  <c r="N141" i="19" s="1"/>
  <c r="T141" i="19" s="1"/>
  <c r="K131" i="19"/>
  <c r="M131" i="19" s="1"/>
  <c r="S131" i="19" s="1"/>
  <c r="K125" i="19"/>
  <c r="M125" i="19" s="1"/>
  <c r="S125" i="19" s="1"/>
  <c r="L125" i="19"/>
  <c r="N125" i="19" s="1"/>
  <c r="T125" i="19" s="1"/>
  <c r="K133" i="19"/>
  <c r="M133" i="19" s="1"/>
  <c r="S133" i="19" s="1"/>
  <c r="K140" i="19"/>
  <c r="M140" i="19" s="1"/>
  <c r="S140" i="19" s="1"/>
  <c r="L133" i="19"/>
  <c r="N133" i="19" s="1"/>
  <c r="T133" i="19" s="1"/>
  <c r="L140" i="19"/>
  <c r="L138" i="19"/>
  <c r="K128" i="19"/>
  <c r="M128" i="19" s="1"/>
  <c r="S128" i="19" s="1"/>
  <c r="L130" i="19"/>
  <c r="N130" i="19" s="1"/>
  <c r="T130" i="19" s="1"/>
  <c r="L128" i="19"/>
  <c r="N128" i="19" s="1"/>
  <c r="T128" i="19" s="1"/>
  <c r="K132" i="19"/>
  <c r="M132" i="19" s="1"/>
  <c r="S132" i="19" s="1"/>
  <c r="K145" i="19"/>
  <c r="M145" i="19" s="1"/>
  <c r="S145" i="19" s="1"/>
  <c r="L132" i="19"/>
  <c r="N132" i="19" s="1"/>
  <c r="T132" i="19" s="1"/>
  <c r="K139" i="19"/>
  <c r="L145" i="19"/>
  <c r="N145" i="19" s="1"/>
  <c r="T145" i="19" s="1"/>
  <c r="L139" i="19"/>
  <c r="N139" i="19" s="1"/>
  <c r="T139" i="19" s="1"/>
  <c r="K147" i="19"/>
  <c r="M147" i="19" s="1"/>
  <c r="S147" i="19" s="1"/>
  <c r="K138" i="19"/>
  <c r="M138" i="19" s="1"/>
  <c r="S138" i="19" s="1"/>
  <c r="K127" i="19"/>
  <c r="M127" i="19" s="1"/>
  <c r="S127" i="19" s="1"/>
  <c r="L131" i="19"/>
  <c r="N131" i="19" s="1"/>
  <c r="T131" i="19" s="1"/>
  <c r="L147" i="19"/>
  <c r="N147" i="19" s="1"/>
  <c r="T147" i="19" s="1"/>
  <c r="L127" i="19"/>
  <c r="N127" i="19" s="1"/>
  <c r="T127" i="19" s="1"/>
  <c r="K137" i="19"/>
  <c r="M137" i="19" s="1"/>
  <c r="S137" i="19" s="1"/>
  <c r="L137" i="19"/>
  <c r="N137" i="19" s="1"/>
  <c r="T137" i="19" s="1"/>
  <c r="K135" i="19"/>
  <c r="M135" i="19" s="1"/>
  <c r="S135" i="19" s="1"/>
  <c r="K136" i="19"/>
  <c r="M136" i="19" s="1"/>
  <c r="S136" i="19" s="1"/>
  <c r="K144" i="19"/>
  <c r="M144" i="19" s="1"/>
  <c r="S144" i="19" s="1"/>
  <c r="L136" i="19"/>
  <c r="N136" i="19" s="1"/>
  <c r="T136" i="19" s="1"/>
  <c r="L144" i="19"/>
  <c r="N144" i="19" s="1"/>
  <c r="T144" i="19" s="1"/>
  <c r="K109" i="19"/>
  <c r="M109" i="19" s="1"/>
  <c r="S109" i="19" s="1"/>
  <c r="U41" i="574" s="1"/>
  <c r="L117" i="19"/>
  <c r="N117" i="19" s="1"/>
  <c r="T117" i="19" s="1"/>
  <c r="V49" i="574" s="1"/>
  <c r="L97" i="19"/>
  <c r="N97" i="19" s="1"/>
  <c r="T97" i="19" s="1"/>
  <c r="V29" i="574" s="1"/>
  <c r="K101" i="19"/>
  <c r="M101" i="19" s="1"/>
  <c r="S101" i="19" s="1"/>
  <c r="U33" i="574" s="1"/>
  <c r="K105" i="19"/>
  <c r="L101" i="19"/>
  <c r="K117" i="19"/>
  <c r="L113" i="19"/>
  <c r="N113" i="19" s="1"/>
  <c r="T113" i="19" s="1"/>
  <c r="V45" i="574" s="1"/>
  <c r="L109" i="19"/>
  <c r="K113" i="19"/>
  <c r="M113" i="19" s="1"/>
  <c r="S113" i="19" s="1"/>
  <c r="U45" i="574" s="1"/>
  <c r="K108" i="19"/>
  <c r="M108" i="19" s="1"/>
  <c r="S108" i="19" s="1"/>
  <c r="U40" i="574" s="1"/>
  <c r="K102" i="19"/>
  <c r="M102" i="19" s="1"/>
  <c r="S102" i="19" s="1"/>
  <c r="U34" i="574" s="1"/>
  <c r="K107" i="19"/>
  <c r="M107" i="19" s="1"/>
  <c r="S107" i="19" s="1"/>
  <c r="U39" i="574" s="1"/>
  <c r="K106" i="19"/>
  <c r="M106" i="19" s="1"/>
  <c r="S106" i="19" s="1"/>
  <c r="U38" i="574" s="1"/>
  <c r="K118" i="19"/>
  <c r="K110" i="19"/>
  <c r="M110" i="19" s="1"/>
  <c r="S110" i="19" s="1"/>
  <c r="U42" i="574" s="1"/>
  <c r="K115" i="19"/>
  <c r="K100" i="19"/>
  <c r="K114" i="19"/>
  <c r="M114" i="19" s="1"/>
  <c r="S114" i="19" s="1"/>
  <c r="U46" i="574" s="1"/>
  <c r="K104" i="19"/>
  <c r="M104" i="19" s="1"/>
  <c r="S104" i="19" s="1"/>
  <c r="U36" i="574" s="1"/>
  <c r="K98" i="19"/>
  <c r="M98" i="19" s="1"/>
  <c r="S98" i="19" s="1"/>
  <c r="U30" i="574" s="1"/>
  <c r="L118" i="19"/>
  <c r="N118" i="19" s="1"/>
  <c r="T118" i="19" s="1"/>
  <c r="V50" i="574" s="1"/>
  <c r="L114" i="19"/>
  <c r="L115" i="19"/>
  <c r="L110" i="19"/>
  <c r="N110" i="19" s="1"/>
  <c r="T110" i="19" s="1"/>
  <c r="V42" i="574" s="1"/>
  <c r="L111" i="19"/>
  <c r="N111" i="19" s="1"/>
  <c r="T111" i="19" s="1"/>
  <c r="V43" i="574" s="1"/>
  <c r="L106" i="19"/>
  <c r="N106" i="19" s="1"/>
  <c r="T106" i="19" s="1"/>
  <c r="V38" i="574" s="1"/>
  <c r="L107" i="19"/>
  <c r="N107" i="19" s="1"/>
  <c r="T107" i="19" s="1"/>
  <c r="V39" i="574" s="1"/>
  <c r="L102" i="19"/>
  <c r="N102" i="19" s="1"/>
  <c r="T102" i="19" s="1"/>
  <c r="V34" i="574" s="1"/>
  <c r="L103" i="19"/>
  <c r="N103" i="19" s="1"/>
  <c r="T103" i="19" s="1"/>
  <c r="V35" i="574" s="1"/>
  <c r="L116" i="19"/>
  <c r="N116" i="19" s="1"/>
  <c r="T116" i="19" s="1"/>
  <c r="V48" i="574" s="1"/>
  <c r="K103" i="19"/>
  <c r="M103" i="19" s="1"/>
  <c r="S103" i="19" s="1"/>
  <c r="U35" i="574" s="1"/>
  <c r="L99" i="19"/>
  <c r="N99" i="19" s="1"/>
  <c r="T99" i="19" s="1"/>
  <c r="V31" i="574" s="1"/>
  <c r="L112" i="19"/>
  <c r="K111" i="19"/>
  <c r="M111" i="19" s="1"/>
  <c r="S111" i="19" s="1"/>
  <c r="U43" i="574" s="1"/>
  <c r="L108" i="19"/>
  <c r="N108" i="19" s="1"/>
  <c r="T108" i="19" s="1"/>
  <c r="V40" i="574" s="1"/>
  <c r="K116" i="19"/>
  <c r="K99" i="19"/>
  <c r="L104" i="19"/>
  <c r="N104" i="19" s="1"/>
  <c r="T104" i="19" s="1"/>
  <c r="V36" i="574" s="1"/>
  <c r="K96" i="19"/>
  <c r="L100" i="19"/>
  <c r="K97" i="19"/>
  <c r="M97" i="19" s="1"/>
  <c r="S97" i="19" s="1"/>
  <c r="U29" i="574" s="1"/>
  <c r="L105" i="19"/>
  <c r="N105" i="19" s="1"/>
  <c r="T105" i="19" s="1"/>
  <c r="V37" i="574" s="1"/>
  <c r="K112" i="19"/>
  <c r="L98" i="19"/>
  <c r="N98" i="19" s="1"/>
  <c r="T98" i="19" s="1"/>
  <c r="V30" i="574" s="1"/>
  <c r="L96" i="19"/>
  <c r="N96" i="19" s="1"/>
  <c r="T96" i="19" s="1"/>
  <c r="V28" i="574" s="1"/>
  <c r="M118" i="19"/>
  <c r="S118" i="19" s="1"/>
  <c r="U50" i="574" s="1"/>
  <c r="N109" i="19"/>
  <c r="T109" i="19" s="1"/>
  <c r="V41" i="574" s="1"/>
  <c r="M99" i="19"/>
  <c r="S99" i="19" s="1"/>
  <c r="U31" i="574" s="1"/>
  <c r="M105" i="19"/>
  <c r="S105" i="19" s="1"/>
  <c r="U37" i="574" s="1"/>
  <c r="M100" i="19"/>
  <c r="S100" i="19" s="1"/>
  <c r="U32" i="574" s="1"/>
  <c r="M115" i="19"/>
  <c r="S115" i="19" s="1"/>
  <c r="U47" i="574" s="1"/>
  <c r="M96" i="19"/>
  <c r="S96" i="19" s="1"/>
  <c r="U28" i="574" s="1"/>
  <c r="N115" i="19"/>
  <c r="T115" i="19" s="1"/>
  <c r="V47" i="574" s="1"/>
  <c r="M117" i="19"/>
  <c r="S117" i="19" s="1"/>
  <c r="U49" i="574" s="1"/>
  <c r="N100" i="19"/>
  <c r="T100" i="19" s="1"/>
  <c r="V32" i="574" s="1"/>
  <c r="N114" i="19"/>
  <c r="T114" i="19" s="1"/>
  <c r="V46" i="574" s="1"/>
  <c r="M112" i="19"/>
  <c r="S112" i="19" s="1"/>
  <c r="U44" i="574" s="1"/>
  <c r="N112" i="19"/>
  <c r="T112" i="19" s="1"/>
  <c r="V44" i="574" s="1"/>
  <c r="M116" i="19"/>
  <c r="S116" i="19" s="1"/>
  <c r="U48" i="574" s="1"/>
  <c r="N101" i="19"/>
  <c r="T101" i="19" s="1"/>
  <c r="V33" i="574" s="1"/>
  <c r="K71" i="19"/>
  <c r="M71" i="19" s="1"/>
  <c r="S71" i="19" s="1"/>
  <c r="S32" i="574" s="1"/>
  <c r="L71" i="19"/>
  <c r="N71" i="19" s="1"/>
  <c r="T71" i="19" s="1"/>
  <c r="T32" i="574" s="1"/>
  <c r="K78" i="19"/>
  <c r="M78" i="19" s="1"/>
  <c r="S78" i="19" s="1"/>
  <c r="S39" i="574" s="1"/>
  <c r="K87" i="19"/>
  <c r="M87" i="19" s="1"/>
  <c r="S87" i="19" s="1"/>
  <c r="S48" i="574" s="1"/>
  <c r="K75" i="19"/>
  <c r="M75" i="19" s="1"/>
  <c r="S75" i="19" s="1"/>
  <c r="S36" i="574" s="1"/>
  <c r="K69" i="19"/>
  <c r="M69" i="19" s="1"/>
  <c r="S69" i="19" s="1"/>
  <c r="S30" i="574" s="1"/>
  <c r="L75" i="19"/>
  <c r="N75" i="19" s="1"/>
  <c r="T75" i="19" s="1"/>
  <c r="T36" i="574" s="1"/>
  <c r="L87" i="19"/>
  <c r="N87" i="19" s="1"/>
  <c r="T87" i="19" s="1"/>
  <c r="T48" i="574" s="1"/>
  <c r="L78" i="19"/>
  <c r="N78" i="19" s="1"/>
  <c r="T78" i="19" s="1"/>
  <c r="T39" i="574" s="1"/>
  <c r="K81" i="19"/>
  <c r="M81" i="19" s="1"/>
  <c r="S81" i="19" s="1"/>
  <c r="S42" i="574" s="1"/>
  <c r="K84" i="19"/>
  <c r="M84" i="19" s="1"/>
  <c r="S84" i="19" s="1"/>
  <c r="S45" i="574" s="1"/>
  <c r="L68" i="19"/>
  <c r="N68" i="19" s="1"/>
  <c r="T68" i="19" s="1"/>
  <c r="T29" i="574" s="1"/>
  <c r="L84" i="19"/>
  <c r="N84" i="19" s="1"/>
  <c r="T84" i="19" s="1"/>
  <c r="T45" i="574" s="1"/>
  <c r="K79" i="19"/>
  <c r="M79" i="19" s="1"/>
  <c r="S79" i="19" s="1"/>
  <c r="S40" i="574" s="1"/>
  <c r="K74" i="19"/>
  <c r="M74" i="19" s="1"/>
  <c r="S74" i="19" s="1"/>
  <c r="S35" i="574" s="1"/>
  <c r="K67" i="19"/>
  <c r="M67" i="19" s="1"/>
  <c r="S67" i="19" s="1"/>
  <c r="S28" i="574" s="1"/>
  <c r="K85" i="19"/>
  <c r="M85" i="19" s="1"/>
  <c r="S85" i="19" s="1"/>
  <c r="S46" i="574" s="1"/>
  <c r="L70" i="19"/>
  <c r="N70" i="19" s="1"/>
  <c r="T70" i="19" s="1"/>
  <c r="T31" i="574" s="1"/>
  <c r="K89" i="19"/>
  <c r="M89" i="19" s="1"/>
  <c r="S89" i="19" s="1"/>
  <c r="S50" i="574" s="1"/>
  <c r="L80" i="19"/>
  <c r="N80" i="19" s="1"/>
  <c r="T80" i="19" s="1"/>
  <c r="T41" i="574" s="1"/>
  <c r="K73" i="19"/>
  <c r="M73" i="19" s="1"/>
  <c r="S73" i="19" s="1"/>
  <c r="S34" i="574" s="1"/>
  <c r="L89" i="19"/>
  <c r="N89" i="19" s="1"/>
  <c r="T89" i="19" s="1"/>
  <c r="T50" i="574" s="1"/>
  <c r="L88" i="19"/>
  <c r="N88" i="19" s="1"/>
  <c r="T88" i="19" s="1"/>
  <c r="T49" i="574" s="1"/>
  <c r="K77" i="19"/>
  <c r="M77" i="19" s="1"/>
  <c r="S77" i="19" s="1"/>
  <c r="S38" i="574" s="1"/>
  <c r="L73" i="19"/>
  <c r="N73" i="19" s="1"/>
  <c r="T73" i="19" s="1"/>
  <c r="T34" i="574" s="1"/>
  <c r="L72" i="19"/>
  <c r="N72" i="19" s="1"/>
  <c r="T72" i="19" s="1"/>
  <c r="T33" i="574" s="1"/>
  <c r="L77" i="19"/>
  <c r="N77" i="19" s="1"/>
  <c r="T77" i="19" s="1"/>
  <c r="T38" i="574" s="1"/>
  <c r="K76" i="19"/>
  <c r="M76" i="19" s="1"/>
  <c r="S76" i="19" s="1"/>
  <c r="S37" i="574" s="1"/>
  <c r="L85" i="19"/>
  <c r="N85" i="19" s="1"/>
  <c r="T85" i="19" s="1"/>
  <c r="T46" i="574" s="1"/>
  <c r="K82" i="19"/>
  <c r="M82" i="19" s="1"/>
  <c r="S82" i="19" s="1"/>
  <c r="S43" i="574" s="1"/>
  <c r="K88" i="19"/>
  <c r="M88" i="19" s="1"/>
  <c r="S88" i="19" s="1"/>
  <c r="S49" i="574" s="1"/>
  <c r="L83" i="19"/>
  <c r="N83" i="19" s="1"/>
  <c r="T83" i="19" s="1"/>
  <c r="T44" i="574" s="1"/>
  <c r="K70" i="19"/>
  <c r="M70" i="19" s="1"/>
  <c r="S70" i="19" s="1"/>
  <c r="S31" i="574" s="1"/>
  <c r="L81" i="19"/>
  <c r="N81" i="19" s="1"/>
  <c r="T81" i="19" s="1"/>
  <c r="T42" i="574" s="1"/>
  <c r="L86" i="19"/>
  <c r="N86" i="19" s="1"/>
  <c r="T86" i="19" s="1"/>
  <c r="T47" i="574" s="1"/>
  <c r="K86" i="19"/>
  <c r="M86" i="19" s="1"/>
  <c r="S86" i="19" s="1"/>
  <c r="S47" i="574" s="1"/>
  <c r="L82" i="19"/>
  <c r="N82" i="19" s="1"/>
  <c r="T82" i="19" s="1"/>
  <c r="T43" i="574" s="1"/>
  <c r="L74" i="19"/>
  <c r="N74" i="19" s="1"/>
  <c r="T74" i="19" s="1"/>
  <c r="T35" i="574" s="1"/>
  <c r="K72" i="19"/>
  <c r="M72" i="19" s="1"/>
  <c r="S72" i="19" s="1"/>
  <c r="S33" i="574" s="1"/>
  <c r="K80" i="19"/>
  <c r="M80" i="19" s="1"/>
  <c r="S80" i="19" s="1"/>
  <c r="S41" i="574" s="1"/>
  <c r="L79" i="19"/>
  <c r="N79" i="19" s="1"/>
  <c r="T79" i="19" s="1"/>
  <c r="T40" i="574" s="1"/>
  <c r="L69" i="19"/>
  <c r="N69" i="19" s="1"/>
  <c r="T69" i="19" s="1"/>
  <c r="T30" i="574" s="1"/>
  <c r="K68" i="19"/>
  <c r="M68" i="19" s="1"/>
  <c r="S68" i="19" s="1"/>
  <c r="S29" i="574" s="1"/>
  <c r="L76" i="19"/>
  <c r="N76" i="19" s="1"/>
  <c r="T76" i="19" s="1"/>
  <c r="T37" i="574" s="1"/>
  <c r="L67" i="19"/>
  <c r="N67" i="19" s="1"/>
  <c r="T67" i="19" s="1"/>
  <c r="T28" i="574" s="1"/>
  <c r="K83" i="19"/>
  <c r="M83" i="19" s="1"/>
  <c r="S83" i="19" s="1"/>
  <c r="S44" i="574" s="1"/>
  <c r="Y66" i="19"/>
  <c r="X66" i="19"/>
  <c r="AH95" i="19" s="1"/>
  <c r="K60" i="5"/>
  <c r="M60" i="5" s="1"/>
  <c r="Q60" i="5" s="1"/>
  <c r="K59" i="5"/>
  <c r="L59" i="5"/>
  <c r="L60" i="5"/>
  <c r="M59" i="5"/>
  <c r="Q59" i="5" s="1"/>
  <c r="N59" i="5"/>
  <c r="R59" i="5" s="1"/>
  <c r="N60" i="5"/>
  <c r="R60" i="5" s="1"/>
  <c r="M43" i="5"/>
  <c r="Q43" i="5" s="1"/>
  <c r="S13" i="574" s="1"/>
  <c r="M44" i="5"/>
  <c r="Q44" i="5" s="1"/>
  <c r="S14" i="574" s="1"/>
  <c r="N44" i="5"/>
  <c r="N43" i="5"/>
  <c r="AF166" i="19"/>
  <c r="Z166" i="19"/>
  <c r="AC166" i="19" s="1"/>
  <c r="I166" i="19" s="1"/>
  <c r="AG14" i="5"/>
  <c r="AD87" i="5" s="1"/>
  <c r="I63" i="23"/>
  <c r="AE166" i="19"/>
  <c r="AD166" i="19"/>
  <c r="T37" i="19" a="1"/>
  <c r="T37" i="19" s="1"/>
  <c r="Q37" i="19" a="1"/>
  <c r="Q37" i="19" s="1"/>
  <c r="H63" i="23"/>
  <c r="AF24" i="19"/>
  <c r="G167" i="19" s="1"/>
  <c r="AF8" i="19"/>
  <c r="AC11" i="18"/>
  <c r="AG8" i="5"/>
  <c r="AG66"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6" i="19"/>
  <c r="AJ66"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7" i="18"/>
  <c r="AR37"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24" i="19"/>
  <c r="K124"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0" i="5"/>
  <c r="AA66" i="19"/>
  <c r="AA124" i="19" s="1"/>
  <c r="AC80" i="5"/>
  <c r="X58" i="5"/>
  <c r="X50" i="5"/>
  <c r="AF42" i="5"/>
  <c r="V58" i="5"/>
  <c r="AF58" i="5" s="1"/>
  <c r="AE42" i="5"/>
  <c r="L42" i="5"/>
  <c r="K42" i="5"/>
  <c r="L58" i="5"/>
  <c r="K58" i="5"/>
  <c r="Z80" i="5"/>
  <c r="X80" i="5"/>
  <c r="Y80" i="5"/>
  <c r="Y42" i="5"/>
  <c r="AB166" i="19"/>
  <c r="H166" i="19" s="1"/>
  <c r="J6" i="18"/>
  <c r="AB80" i="5"/>
  <c r="J35" i="23"/>
  <c r="Y37" i="18"/>
  <c r="Y67" i="18" s="1"/>
  <c r="AF7" i="19"/>
  <c r="K66" i="19"/>
  <c r="L66" i="19"/>
  <c r="L95" i="19"/>
  <c r="AG95" i="19"/>
  <c r="K95" i="19"/>
  <c r="F37" i="19"/>
  <c r="P37" i="19" s="1"/>
  <c r="K6" i="19"/>
  <c r="J166" i="19"/>
  <c r="J5" i="24"/>
  <c r="G7" i="51"/>
  <c r="J7" i="24"/>
  <c r="J8" i="24"/>
  <c r="J6" i="24"/>
  <c r="Z66" i="19"/>
  <c r="AI3" i="54"/>
  <c r="AF3" i="54"/>
  <c r="AB3" i="54"/>
  <c r="AA24" i="17"/>
  <c r="AC3" i="54"/>
  <c r="AA3" i="54"/>
  <c r="AH3" i="54"/>
  <c r="J6" i="17"/>
  <c r="J6" i="20"/>
  <c r="Y35" i="20"/>
  <c r="X35" i="20"/>
  <c r="AE50" i="5"/>
  <c r="AF25" i="5"/>
  <c r="G87" i="5" s="1"/>
  <c r="AC11" i="17"/>
  <c r="K6" i="5"/>
  <c r="V50" i="5"/>
  <c r="AF50" i="5"/>
  <c r="W50" i="5"/>
  <c r="AG50" i="5"/>
  <c r="AG42" i="5"/>
  <c r="AD80" i="5"/>
  <c r="AE80" i="5"/>
  <c r="W37" i="574" l="1"/>
  <c r="W38" i="574"/>
  <c r="W29" i="574"/>
  <c r="W40" i="574"/>
  <c r="W47" i="574"/>
  <c r="W43" i="574"/>
  <c r="W36" i="574"/>
  <c r="AE86" i="18"/>
  <c r="AI86" i="18"/>
  <c r="AJ86" i="18" s="1"/>
  <c r="AK86" i="18" s="1"/>
  <c r="L86" i="18" s="1"/>
  <c r="AL86" i="18"/>
  <c r="M86" i="18" s="1"/>
  <c r="AG86" i="18"/>
  <c r="O171" i="19"/>
  <c r="M171" i="19"/>
  <c r="AW43" i="18"/>
  <c r="AX43" i="18" s="1"/>
  <c r="AU43" i="18"/>
  <c r="O43" i="18" s="1"/>
  <c r="M172" i="19"/>
  <c r="O172" i="19"/>
  <c r="W39" i="574"/>
  <c r="AI53" i="18"/>
  <c r="AJ53" i="18" s="1"/>
  <c r="AK53" i="18" s="1"/>
  <c r="L53" i="18" s="1"/>
  <c r="AL53" i="18"/>
  <c r="M53" i="18" s="1"/>
  <c r="AE53" i="18"/>
  <c r="AG53" i="18"/>
  <c r="O168" i="19"/>
  <c r="M168" i="19"/>
  <c r="S168" i="19" s="1"/>
  <c r="AS28" i="574" s="1"/>
  <c r="AI55" i="18"/>
  <c r="AJ55" i="18" s="1"/>
  <c r="AK55" i="18" s="1"/>
  <c r="L55" i="18" s="1"/>
  <c r="AE55" i="18"/>
  <c r="AH55" i="18" s="1"/>
  <c r="K55" i="18" s="1"/>
  <c r="AL55" i="18"/>
  <c r="M55" i="18" s="1"/>
  <c r="AG55" i="18"/>
  <c r="Y14" i="574"/>
  <c r="AW75" i="18"/>
  <c r="AX75" i="18" s="1"/>
  <c r="AU75" i="18"/>
  <c r="O75" i="18" s="1"/>
  <c r="X38" i="18"/>
  <c r="Y38" i="18"/>
  <c r="Y68" i="18" s="1"/>
  <c r="X39" i="18"/>
  <c r="W32" i="574"/>
  <c r="AI84" i="18"/>
  <c r="AJ84" i="18" s="1"/>
  <c r="AK84" i="18" s="1"/>
  <c r="L84" i="18" s="1"/>
  <c r="AE84" i="18"/>
  <c r="AL84" i="18"/>
  <c r="M84" i="18" s="1"/>
  <c r="AG84" i="18"/>
  <c r="AH84" i="18" s="1"/>
  <c r="K84" i="18" s="1"/>
  <c r="N84" i="18" s="1"/>
  <c r="AW47" i="18"/>
  <c r="AX47" i="18" s="1"/>
  <c r="AU47" i="18"/>
  <c r="O47" i="18" s="1"/>
  <c r="P24" i="17"/>
  <c r="AI49" i="18"/>
  <c r="AJ49" i="18" s="1"/>
  <c r="AK49" i="18" s="1"/>
  <c r="L49" i="18" s="1"/>
  <c r="AE49" i="18"/>
  <c r="AL49" i="18"/>
  <c r="M49" i="18" s="1"/>
  <c r="AG49" i="18"/>
  <c r="AW71" i="18"/>
  <c r="AX71" i="18" s="1"/>
  <c r="AU71" i="18"/>
  <c r="O71" i="18" s="1"/>
  <c r="AL91" i="18"/>
  <c r="M91" i="18" s="1"/>
  <c r="AE91" i="18"/>
  <c r="AI91" i="18"/>
  <c r="AJ91" i="18" s="1"/>
  <c r="AK91" i="18" s="1"/>
  <c r="L91" i="18" s="1"/>
  <c r="AG91" i="18"/>
  <c r="Y38" i="574"/>
  <c r="AI58" i="18"/>
  <c r="AJ58" i="18" s="1"/>
  <c r="AK58" i="18" s="1"/>
  <c r="L58" i="18" s="1"/>
  <c r="AL58" i="18"/>
  <c r="M58" i="18" s="1"/>
  <c r="AE58" i="18"/>
  <c r="AH58" i="18" s="1"/>
  <c r="K58" i="18" s="1"/>
  <c r="AG58" i="18"/>
  <c r="AI82" i="18"/>
  <c r="AJ82" i="18" s="1"/>
  <c r="AK82" i="18" s="1"/>
  <c r="L82" i="18" s="1"/>
  <c r="AL82" i="18"/>
  <c r="M82" i="18" s="1"/>
  <c r="AE82" i="18"/>
  <c r="AG82" i="18"/>
  <c r="AH82" i="18" s="1"/>
  <c r="K82" i="18" s="1"/>
  <c r="N167" i="19"/>
  <c r="AR77" i="18"/>
  <c r="W49" i="574"/>
  <c r="AL56" i="18"/>
  <c r="M56" i="18" s="1"/>
  <c r="AE56" i="18"/>
  <c r="AI56" i="18"/>
  <c r="AJ56" i="18" s="1"/>
  <c r="AK56" i="18" s="1"/>
  <c r="L56" i="18" s="1"/>
  <c r="AG56" i="18"/>
  <c r="AL74" i="18"/>
  <c r="M74" i="18" s="1"/>
  <c r="AE74" i="18"/>
  <c r="AI74" i="18"/>
  <c r="AJ74" i="18" s="1"/>
  <c r="AK74" i="18" s="1"/>
  <c r="L74" i="18" s="1"/>
  <c r="AG74" i="18"/>
  <c r="W31" i="574"/>
  <c r="AL52" i="18"/>
  <c r="M52" i="18" s="1"/>
  <c r="AI52" i="18"/>
  <c r="AJ52" i="18" s="1"/>
  <c r="AK52" i="18" s="1"/>
  <c r="L52" i="18" s="1"/>
  <c r="AE52" i="18"/>
  <c r="AG52" i="18"/>
  <c r="AI47" i="18"/>
  <c r="AJ47" i="18" s="1"/>
  <c r="AK47" i="18" s="1"/>
  <c r="L47" i="18" s="1"/>
  <c r="AE47" i="18"/>
  <c r="AH47" i="18" s="1"/>
  <c r="K47" i="18" s="1"/>
  <c r="AL47" i="18"/>
  <c r="M47" i="18" s="1"/>
  <c r="AG47" i="18"/>
  <c r="P83" i="5"/>
  <c r="N83" i="5"/>
  <c r="R83" i="5" s="1"/>
  <c r="AS14" i="574" s="1"/>
  <c r="AL42" i="18"/>
  <c r="M42" i="18" s="1"/>
  <c r="AE42" i="18"/>
  <c r="AI42" i="18"/>
  <c r="AJ42" i="18" s="1"/>
  <c r="AK42" i="18" s="1"/>
  <c r="L42" i="18" s="1"/>
  <c r="AG42" i="18"/>
  <c r="AE89" i="18"/>
  <c r="AL89" i="18"/>
  <c r="M89" i="18" s="1"/>
  <c r="AI89" i="18"/>
  <c r="AJ89" i="18" s="1"/>
  <c r="AK89" i="18" s="1"/>
  <c r="L89" i="18" s="1"/>
  <c r="AG89" i="18"/>
  <c r="O87" i="5"/>
  <c r="M87" i="5"/>
  <c r="Q87" i="5" s="1"/>
  <c r="AS18" i="574" s="1"/>
  <c r="W48" i="574"/>
  <c r="AE80" i="18"/>
  <c r="AI80" i="18"/>
  <c r="AJ80" i="18" s="1"/>
  <c r="AK80" i="18" s="1"/>
  <c r="L80" i="18" s="1"/>
  <c r="AL80" i="18"/>
  <c r="M80" i="18" s="1"/>
  <c r="AG80" i="18"/>
  <c r="P82" i="5"/>
  <c r="N82" i="5"/>
  <c r="W44" i="574"/>
  <c r="AE46" i="18"/>
  <c r="AH46" i="18" s="1"/>
  <c r="K46" i="18" s="1"/>
  <c r="AI46" i="18"/>
  <c r="AJ46" i="18" s="1"/>
  <c r="AK46" i="18" s="1"/>
  <c r="L46" i="18" s="1"/>
  <c r="AL46" i="18"/>
  <c r="M46" i="18" s="1"/>
  <c r="AG46" i="18"/>
  <c r="AL72" i="18"/>
  <c r="M72" i="18" s="1"/>
  <c r="AE72" i="18"/>
  <c r="AI72" i="18"/>
  <c r="AJ72" i="18" s="1"/>
  <c r="AK72" i="18" s="1"/>
  <c r="L72" i="18" s="1"/>
  <c r="AG72" i="18"/>
  <c r="AH72" i="18" s="1"/>
  <c r="K72" i="18" s="1"/>
  <c r="X13" i="574"/>
  <c r="AL40" i="18"/>
  <c r="M40" i="18" s="1"/>
  <c r="AI40" i="18"/>
  <c r="AJ40" i="18" s="1"/>
  <c r="AK40" i="18" s="1"/>
  <c r="L40" i="18" s="1"/>
  <c r="AE40" i="18"/>
  <c r="AG40" i="18"/>
  <c r="AI57" i="18"/>
  <c r="AJ57" i="18" s="1"/>
  <c r="AK57" i="18" s="1"/>
  <c r="L57" i="18" s="1"/>
  <c r="AL57" i="18"/>
  <c r="M57" i="18" s="1"/>
  <c r="AE57" i="18"/>
  <c r="AH57" i="18" s="1"/>
  <c r="K57" i="18" s="1"/>
  <c r="AG57" i="18"/>
  <c r="AL75" i="18"/>
  <c r="M75" i="18" s="1"/>
  <c r="AI75" i="18"/>
  <c r="AJ75" i="18" s="1"/>
  <c r="AK75" i="18" s="1"/>
  <c r="L75" i="18" s="1"/>
  <c r="AE75" i="18"/>
  <c r="AG75" i="18"/>
  <c r="AH75" i="18" s="1"/>
  <c r="K75" i="18" s="1"/>
  <c r="AE41" i="18"/>
  <c r="AH41" i="18" s="1"/>
  <c r="K41" i="18" s="1"/>
  <c r="AI41" i="18"/>
  <c r="AJ41" i="18" s="1"/>
  <c r="AK41" i="18" s="1"/>
  <c r="L41" i="18" s="1"/>
  <c r="AL41" i="18"/>
  <c r="M41" i="18" s="1"/>
  <c r="AG41" i="18"/>
  <c r="AL87" i="18"/>
  <c r="M87" i="18" s="1"/>
  <c r="AI87" i="18"/>
  <c r="AJ87" i="18" s="1"/>
  <c r="AK87" i="18" s="1"/>
  <c r="L87" i="18" s="1"/>
  <c r="AE87" i="18"/>
  <c r="AG87" i="18"/>
  <c r="AW70" i="18"/>
  <c r="AX70" i="18" s="1"/>
  <c r="AU70" i="18"/>
  <c r="O70" i="18" s="1"/>
  <c r="W34" i="574"/>
  <c r="AL61" i="18"/>
  <c r="M61" i="18" s="1"/>
  <c r="AI61" i="18"/>
  <c r="AJ61" i="18" s="1"/>
  <c r="AK61" i="18" s="1"/>
  <c r="L61" i="18" s="1"/>
  <c r="AE61" i="18"/>
  <c r="AG61" i="18"/>
  <c r="AE70" i="18"/>
  <c r="AI70" i="18"/>
  <c r="AJ70" i="18" s="1"/>
  <c r="AK70" i="18" s="1"/>
  <c r="L70" i="18" s="1"/>
  <c r="AL70" i="18"/>
  <c r="M70" i="18" s="1"/>
  <c r="AG70" i="18"/>
  <c r="AH70" i="18" s="1"/>
  <c r="K70" i="18" s="1"/>
  <c r="N70" i="18" s="1"/>
  <c r="AW42" i="18"/>
  <c r="AX42" i="18" s="1"/>
  <c r="AU42" i="18"/>
  <c r="O42" i="18" s="1"/>
  <c r="Y31" i="574" s="1"/>
  <c r="AI44" i="18"/>
  <c r="AJ44" i="18" s="1"/>
  <c r="AK44" i="18" s="1"/>
  <c r="L44" i="18" s="1"/>
  <c r="AE44" i="18"/>
  <c r="AL44" i="18"/>
  <c r="M44" i="18" s="1"/>
  <c r="AG44" i="18"/>
  <c r="W50" i="574"/>
  <c r="AL48" i="18"/>
  <c r="M48" i="18" s="1"/>
  <c r="AI48" i="18"/>
  <c r="AJ48" i="18" s="1"/>
  <c r="AK48" i="18" s="1"/>
  <c r="L48" i="18" s="1"/>
  <c r="AE48" i="18"/>
  <c r="AH48" i="18" s="1"/>
  <c r="K48" i="18" s="1"/>
  <c r="AG48" i="18"/>
  <c r="AL73" i="18"/>
  <c r="M73" i="18" s="1"/>
  <c r="AI73" i="18"/>
  <c r="AJ73" i="18" s="1"/>
  <c r="AK73" i="18" s="1"/>
  <c r="L73" i="18" s="1"/>
  <c r="AE73" i="18"/>
  <c r="AG73" i="18"/>
  <c r="AH73" i="18" s="1"/>
  <c r="K73" i="18" s="1"/>
  <c r="AW44" i="18"/>
  <c r="AX44" i="18" s="1"/>
  <c r="AU44" i="18"/>
  <c r="O44" i="18" s="1"/>
  <c r="AL54" i="18"/>
  <c r="M54" i="18" s="1"/>
  <c r="AE54" i="18"/>
  <c r="AI54" i="18"/>
  <c r="AJ54" i="18" s="1"/>
  <c r="AK54" i="18" s="1"/>
  <c r="L54" i="18" s="1"/>
  <c r="AG54" i="18"/>
  <c r="AL85" i="18"/>
  <c r="M85" i="18" s="1"/>
  <c r="AE85" i="18"/>
  <c r="AI85" i="18"/>
  <c r="AJ85" i="18" s="1"/>
  <c r="AK85" i="18" s="1"/>
  <c r="L85" i="18" s="1"/>
  <c r="AG85" i="18"/>
  <c r="AH85" i="18" s="1"/>
  <c r="K85" i="18" s="1"/>
  <c r="AW46" i="18"/>
  <c r="AX46" i="18" s="1"/>
  <c r="AU46" i="18"/>
  <c r="O46" i="18" s="1"/>
  <c r="W46" i="574"/>
  <c r="AL59" i="18"/>
  <c r="M59" i="18" s="1"/>
  <c r="AI59" i="18"/>
  <c r="AJ59" i="18" s="1"/>
  <c r="AK59" i="18" s="1"/>
  <c r="L59" i="18" s="1"/>
  <c r="AE59" i="18"/>
  <c r="AH59" i="18" s="1"/>
  <c r="K59" i="18" s="1"/>
  <c r="AG59" i="18"/>
  <c r="AE83" i="18"/>
  <c r="AH83" i="18" s="1"/>
  <c r="K83" i="18" s="1"/>
  <c r="AL83" i="18"/>
  <c r="M83" i="18" s="1"/>
  <c r="AI83" i="18"/>
  <c r="AJ83" i="18" s="1"/>
  <c r="AK83" i="18" s="1"/>
  <c r="L83" i="18" s="1"/>
  <c r="AG83" i="18"/>
  <c r="AW41" i="18"/>
  <c r="AX41" i="18" s="1"/>
  <c r="AU41" i="18"/>
  <c r="O41" i="18" s="1"/>
  <c r="Y30" i="574" s="1"/>
  <c r="W28" i="574"/>
  <c r="AE60" i="18"/>
  <c r="AH60" i="18" s="1"/>
  <c r="K60" i="18" s="1"/>
  <c r="AI60" i="18"/>
  <c r="AJ60" i="18" s="1"/>
  <c r="AK60" i="18" s="1"/>
  <c r="L60" i="18" s="1"/>
  <c r="AL60" i="18"/>
  <c r="M60" i="18" s="1"/>
  <c r="AG60" i="18"/>
  <c r="AI81" i="18"/>
  <c r="AJ81" i="18" s="1"/>
  <c r="AK81" i="18" s="1"/>
  <c r="L81" i="18" s="1"/>
  <c r="AL81" i="18"/>
  <c r="M81" i="18" s="1"/>
  <c r="AE81" i="18"/>
  <c r="AG81" i="18"/>
  <c r="AH81" i="18" s="1"/>
  <c r="K81" i="18" s="1"/>
  <c r="AW40" i="18"/>
  <c r="AX40" i="18" s="1"/>
  <c r="AU40" i="18"/>
  <c r="O40" i="18" s="1"/>
  <c r="Y29" i="574" s="1"/>
  <c r="W35" i="574"/>
  <c r="AI50" i="18"/>
  <c r="AJ50" i="18" s="1"/>
  <c r="AK50" i="18" s="1"/>
  <c r="L50" i="18" s="1"/>
  <c r="AE50" i="18"/>
  <c r="AL50" i="18"/>
  <c r="M50" i="18" s="1"/>
  <c r="AG50" i="18"/>
  <c r="AE79" i="18"/>
  <c r="AL79" i="18"/>
  <c r="M79" i="18" s="1"/>
  <c r="AI79" i="18"/>
  <c r="AJ79" i="18" s="1"/>
  <c r="AK79" i="18" s="1"/>
  <c r="L79" i="18" s="1"/>
  <c r="AG79" i="18"/>
  <c r="AH79" i="18" s="1"/>
  <c r="K79" i="18" s="1"/>
  <c r="N79" i="18" s="1"/>
  <c r="M81" i="5"/>
  <c r="O81" i="5"/>
  <c r="AG51" i="18"/>
  <c r="AL51" i="18"/>
  <c r="M51" i="18" s="1"/>
  <c r="AI51" i="18"/>
  <c r="AJ51" i="18" s="1"/>
  <c r="AK51" i="18" s="1"/>
  <c r="L51" i="18" s="1"/>
  <c r="AE51" i="18"/>
  <c r="AH51" i="18" s="1"/>
  <c r="K51" i="18" s="1"/>
  <c r="N51" i="18" s="1"/>
  <c r="O84" i="5"/>
  <c r="M84" i="5"/>
  <c r="AW48" i="18"/>
  <c r="AX48" i="18" s="1"/>
  <c r="AU48" i="18"/>
  <c r="O48" i="18" s="1"/>
  <c r="Y37" i="574" s="1"/>
  <c r="AG45" i="18"/>
  <c r="AI45" i="18"/>
  <c r="AJ45" i="18" s="1"/>
  <c r="AK45" i="18" s="1"/>
  <c r="L45" i="18" s="1"/>
  <c r="AE45" i="18"/>
  <c r="AL45" i="18"/>
  <c r="M45" i="18" s="1"/>
  <c r="H87" i="5"/>
  <c r="O85" i="5"/>
  <c r="M85" i="5"/>
  <c r="Q85" i="5" s="1"/>
  <c r="AS16" i="574" s="1"/>
  <c r="AW72" i="18"/>
  <c r="AX72" i="18" s="1"/>
  <c r="N72" i="18" s="1"/>
  <c r="AU72" i="18"/>
  <c r="O72" i="18" s="1"/>
  <c r="AI43" i="18"/>
  <c r="AJ43" i="18" s="1"/>
  <c r="AK43" i="18" s="1"/>
  <c r="L43" i="18" s="1"/>
  <c r="AE43" i="18"/>
  <c r="AL43" i="18"/>
  <c r="M43" i="18" s="1"/>
  <c r="AG43" i="18"/>
  <c r="N34" i="17"/>
  <c r="X12" i="574" s="1"/>
  <c r="AW73" i="18"/>
  <c r="AX73" i="18" s="1"/>
  <c r="AU73" i="18"/>
  <c r="O73" i="18" s="1"/>
  <c r="AE90" i="18"/>
  <c r="AL90" i="18"/>
  <c r="M90" i="18" s="1"/>
  <c r="AI90" i="18"/>
  <c r="AJ90" i="18" s="1"/>
  <c r="AK90" i="18" s="1"/>
  <c r="L90" i="18" s="1"/>
  <c r="AG90" i="18"/>
  <c r="W45" i="574"/>
  <c r="W42" i="574"/>
  <c r="AL78" i="18"/>
  <c r="M78" i="18" s="1"/>
  <c r="AE78" i="18"/>
  <c r="AH78" i="18" s="1"/>
  <c r="K78" i="18" s="1"/>
  <c r="AI78" i="18"/>
  <c r="AJ78" i="18" s="1"/>
  <c r="AK78" i="18" s="1"/>
  <c r="L78" i="18" s="1"/>
  <c r="AG78" i="18"/>
  <c r="AW45" i="18"/>
  <c r="AX45" i="18" s="1"/>
  <c r="AU45" i="18"/>
  <c r="O45" i="18" s="1"/>
  <c r="Y34" i="574" s="1"/>
  <c r="AL88" i="18"/>
  <c r="M88" i="18" s="1"/>
  <c r="AE88" i="18"/>
  <c r="AI88" i="18"/>
  <c r="AJ88" i="18" s="1"/>
  <c r="AK88" i="18" s="1"/>
  <c r="L88" i="18" s="1"/>
  <c r="AG88" i="18"/>
  <c r="N27" i="17"/>
  <c r="X14" i="574" s="1"/>
  <c r="W41" i="574"/>
  <c r="AI71" i="18"/>
  <c r="AJ71" i="18" s="1"/>
  <c r="AK71" i="18" s="1"/>
  <c r="L71" i="18" s="1"/>
  <c r="AE71" i="18"/>
  <c r="AL71" i="18"/>
  <c r="M71" i="18" s="1"/>
  <c r="AG71" i="18"/>
  <c r="K170" i="19"/>
  <c r="L167" i="19"/>
  <c r="W33" i="574"/>
  <c r="AE76" i="18"/>
  <c r="AL76" i="18"/>
  <c r="M76" i="18" s="1"/>
  <c r="AI76" i="18"/>
  <c r="AJ76" i="18" s="1"/>
  <c r="AK76" i="18" s="1"/>
  <c r="L76" i="18" s="1"/>
  <c r="AG76" i="18"/>
  <c r="AH76" i="18" s="1"/>
  <c r="K76" i="18" s="1"/>
  <c r="AW74" i="18"/>
  <c r="AX74" i="18" s="1"/>
  <c r="AU74" i="18"/>
  <c r="O74" i="18" s="1"/>
  <c r="W30" i="574"/>
  <c r="AL77" i="18"/>
  <c r="M77" i="18" s="1"/>
  <c r="AI77" i="18"/>
  <c r="AJ77" i="18" s="1"/>
  <c r="AK77" i="18" s="1"/>
  <c r="L77" i="18" s="1"/>
  <c r="AE77" i="18"/>
  <c r="AG77" i="18"/>
  <c r="O169" i="19"/>
  <c r="M169" i="19"/>
  <c r="AW76" i="18"/>
  <c r="AX76" i="18" s="1"/>
  <c r="N76" i="18" s="1"/>
  <c r="AU76" i="18"/>
  <c r="O76" i="18" s="1"/>
  <c r="R43" i="5"/>
  <c r="T13" i="574" s="1"/>
  <c r="K51" i="5"/>
  <c r="M51" i="5" s="1"/>
  <c r="Q51" i="5" s="1"/>
  <c r="U13" i="574" s="1"/>
  <c r="L51" i="5"/>
  <c r="N51" i="5" s="1"/>
  <c r="R51" i="5" s="1"/>
  <c r="V13" i="574" s="1"/>
  <c r="R44" i="5"/>
  <c r="T14" i="574" s="1"/>
  <c r="W14" i="574" s="1"/>
  <c r="K52" i="5"/>
  <c r="M52" i="5" s="1"/>
  <c r="Q52" i="5" s="1"/>
  <c r="U14" i="574" s="1"/>
  <c r="L52" i="5"/>
  <c r="N52" i="5" s="1"/>
  <c r="R52" i="5" s="1"/>
  <c r="V14" i="574" s="1"/>
  <c r="X37" i="18"/>
  <c r="Z37" i="18" s="1"/>
  <c r="L166" i="19"/>
  <c r="N166" i="19" s="1"/>
  <c r="AC63" i="20"/>
  <c r="AO35" i="20"/>
  <c r="R35" i="20"/>
  <c r="AE75" i="20"/>
  <c r="AO37" i="18"/>
  <c r="AS37" i="18" s="1"/>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O67" i="18"/>
  <c r="AR67" i="18"/>
  <c r="AT67" i="18"/>
  <c r="AE71" i="20"/>
  <c r="AE40" i="20"/>
  <c r="AE85" i="20"/>
  <c r="AE37" i="20"/>
  <c r="AE48" i="20"/>
  <c r="AE42" i="20"/>
  <c r="AE77" i="20"/>
  <c r="AE82" i="20"/>
  <c r="AE39" i="20"/>
  <c r="AE36" i="20"/>
  <c r="AE69" i="20"/>
  <c r="U37" i="19"/>
  <c r="R37" i="19"/>
  <c r="S37" i="19"/>
  <c r="L37" i="19" s="1"/>
  <c r="G35" i="23" s="1"/>
  <c r="V37" i="19"/>
  <c r="M37" i="19" s="1"/>
  <c r="H35" i="23" s="1"/>
  <c r="Z33" i="17"/>
  <c r="P33" i="17" s="1"/>
  <c r="AW24" i="17"/>
  <c r="AV37" i="18"/>
  <c r="AU37"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24" i="19"/>
  <c r="AH124" i="19" s="1"/>
  <c r="Z124" i="19"/>
  <c r="H124" i="19" s="1"/>
  <c r="AC66" i="19"/>
  <c r="J66" i="19" s="1"/>
  <c r="AA95" i="19"/>
  <c r="H66" i="19"/>
  <c r="Y124" i="19"/>
  <c r="AI124" i="19" s="1"/>
  <c r="Y50" i="5"/>
  <c r="I50" i="5" s="1"/>
  <c r="Y58" i="5"/>
  <c r="I58" i="5" s="1"/>
  <c r="G42" i="5"/>
  <c r="M42" i="5" s="1"/>
  <c r="AA42" i="5"/>
  <c r="H42" i="5"/>
  <c r="N42" i="5" s="1"/>
  <c r="K50" i="5" s="1"/>
  <c r="I42" i="5"/>
  <c r="J42" i="5"/>
  <c r="K80" i="5"/>
  <c r="O80" i="5" s="1"/>
  <c r="AA80" i="5"/>
  <c r="J80" i="5" s="1"/>
  <c r="G80" i="5"/>
  <c r="H80" i="5"/>
  <c r="AA50" i="5"/>
  <c r="I80" i="5"/>
  <c r="G166" i="19"/>
  <c r="M166" i="19" s="1"/>
  <c r="K6" i="18"/>
  <c r="D5" i="24"/>
  <c r="M8" i="24" s="1"/>
  <c r="D6" i="24"/>
  <c r="N8" i="24" s="1"/>
  <c r="AD67" i="18"/>
  <c r="D6" i="51"/>
  <c r="X95" i="19"/>
  <c r="AH66" i="19"/>
  <c r="G66" i="19"/>
  <c r="Y95" i="19"/>
  <c r="AI95" i="19"/>
  <c r="AI66" i="19"/>
  <c r="Z95" i="19"/>
  <c r="AC95" i="19"/>
  <c r="AG3" i="54"/>
  <c r="K6" i="17"/>
  <c r="AO24" i="17"/>
  <c r="AP35" i="20"/>
  <c r="AU35" i="20" s="1"/>
  <c r="K6" i="20"/>
  <c r="AM35" i="20"/>
  <c r="Q81" i="5" l="1"/>
  <c r="AS12" i="574" s="1"/>
  <c r="Q84" i="5"/>
  <c r="AS15" i="574" s="1"/>
  <c r="R82" i="5"/>
  <c r="AS13" i="574" s="1"/>
  <c r="W13" i="574"/>
  <c r="S172" i="19"/>
  <c r="AS32" i="574" s="1"/>
  <c r="S171" i="19"/>
  <c r="AS31" i="574" s="1"/>
  <c r="S169" i="19"/>
  <c r="AS29" i="574" s="1"/>
  <c r="N75" i="18"/>
  <c r="N82" i="18"/>
  <c r="AH45" i="18"/>
  <c r="K45" i="18" s="1"/>
  <c r="N60" i="18"/>
  <c r="AH89" i="18"/>
  <c r="K89" i="18" s="1"/>
  <c r="N89" i="18" s="1"/>
  <c r="N55" i="18"/>
  <c r="AH88" i="18"/>
  <c r="K88" i="18" s="1"/>
  <c r="N88" i="18" s="1"/>
  <c r="N41" i="18"/>
  <c r="X30" i="574" s="1"/>
  <c r="N48" i="18"/>
  <c r="N57" i="18"/>
  <c r="X46" i="574" s="1"/>
  <c r="N58" i="18"/>
  <c r="X47" i="574" s="1"/>
  <c r="AH42" i="18"/>
  <c r="K42" i="18" s="1"/>
  <c r="N42" i="18" s="1"/>
  <c r="X31" i="574" s="1"/>
  <c r="N83" i="18"/>
  <c r="AH44" i="18"/>
  <c r="K44" i="18" s="1"/>
  <c r="N44" i="18" s="1"/>
  <c r="N45" i="18"/>
  <c r="X34" i="574" s="1"/>
  <c r="AH40" i="18"/>
  <c r="K40" i="18" s="1"/>
  <c r="N40" i="18" s="1"/>
  <c r="X29" i="574" s="1"/>
  <c r="AH53" i="18"/>
  <c r="K53" i="18" s="1"/>
  <c r="N53" i="18" s="1"/>
  <c r="X42" i="574" s="1"/>
  <c r="N59" i="18"/>
  <c r="X48" i="574" s="1"/>
  <c r="AH91" i="18"/>
  <c r="K91" i="18" s="1"/>
  <c r="N91" i="18" s="1"/>
  <c r="N47" i="18"/>
  <c r="X36" i="574" s="1"/>
  <c r="Y35" i="574"/>
  <c r="N46" i="18"/>
  <c r="X35" i="574" s="1"/>
  <c r="AH90" i="18"/>
  <c r="K90" i="18" s="1"/>
  <c r="N90" i="18" s="1"/>
  <c r="N85" i="18"/>
  <c r="AH52" i="18"/>
  <c r="K52" i="18" s="1"/>
  <c r="N52" i="18" s="1"/>
  <c r="X41" i="574" s="1"/>
  <c r="AH77" i="18"/>
  <c r="K77" i="18" s="1"/>
  <c r="N77" i="18" s="1"/>
  <c r="AH61" i="18"/>
  <c r="K61" i="18" s="1"/>
  <c r="N61" i="18" s="1"/>
  <c r="X50" i="574" s="1"/>
  <c r="AH49" i="18"/>
  <c r="K49" i="18" s="1"/>
  <c r="N49" i="18" s="1"/>
  <c r="X38" i="574" s="1"/>
  <c r="Y32" i="574"/>
  <c r="N73" i="18"/>
  <c r="AH50" i="18"/>
  <c r="K50" i="18" s="1"/>
  <c r="N50" i="18" s="1"/>
  <c r="AH54" i="18"/>
  <c r="K54" i="18" s="1"/>
  <c r="N54" i="18" s="1"/>
  <c r="X43" i="574" s="1"/>
  <c r="AH74" i="18"/>
  <c r="K74" i="18" s="1"/>
  <c r="N74" i="18" s="1"/>
  <c r="Y33" i="574"/>
  <c r="AH43" i="18"/>
  <c r="K43" i="18" s="1"/>
  <c r="N43" i="18" s="1"/>
  <c r="X32" i="574" s="1"/>
  <c r="AH87" i="18"/>
  <c r="K87" i="18" s="1"/>
  <c r="N87" i="18" s="1"/>
  <c r="AH80" i="18"/>
  <c r="K80" i="18" s="1"/>
  <c r="N80" i="18" s="1"/>
  <c r="N81" i="18"/>
  <c r="X40" i="574" s="1"/>
  <c r="AH56" i="18"/>
  <c r="K56" i="18" s="1"/>
  <c r="N56" i="18" s="1"/>
  <c r="N78" i="18"/>
  <c r="X69" i="18"/>
  <c r="AC39" i="18"/>
  <c r="AW39" i="18" s="1"/>
  <c r="AX39" i="18" s="1"/>
  <c r="Z39" i="18"/>
  <c r="P39" i="18" s="1"/>
  <c r="AB39" i="18"/>
  <c r="AP39" i="18"/>
  <c r="AA39" i="18"/>
  <c r="P167" i="19"/>
  <c r="AH86" i="18"/>
  <c r="K86" i="18" s="1"/>
  <c r="N86" i="18" s="1"/>
  <c r="O170" i="19"/>
  <c r="M170" i="19"/>
  <c r="Z38" i="18"/>
  <c r="AA38" i="18"/>
  <c r="AC38" i="18"/>
  <c r="AW38" i="18" s="1"/>
  <c r="AX38" i="18" s="1"/>
  <c r="X68" i="18"/>
  <c r="AH71" i="18"/>
  <c r="K71" i="18" s="1"/>
  <c r="N71" i="18" s="1"/>
  <c r="AW77" i="18"/>
  <c r="AX77" i="18" s="1"/>
  <c r="AU77" i="18"/>
  <c r="O77" i="18" s="1"/>
  <c r="Y36" i="574" s="1"/>
  <c r="AA37" i="18"/>
  <c r="P37" i="18" s="1"/>
  <c r="X67" i="18"/>
  <c r="Z67" i="18" s="1"/>
  <c r="AC37" i="18"/>
  <c r="AW37" i="18" s="1"/>
  <c r="AX37" i="18" s="1"/>
  <c r="P166"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V67" i="18"/>
  <c r="AU67" i="18"/>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R36" i="20"/>
  <c r="AF40" i="20"/>
  <c r="K40" i="20" s="1"/>
  <c r="N40" i="20" s="1"/>
  <c r="AF38" i="20"/>
  <c r="K38" i="20" s="1"/>
  <c r="N38" i="20" s="1"/>
  <c r="AF46" i="20"/>
  <c r="K46" i="20" s="1"/>
  <c r="N46" i="20" s="1"/>
  <c r="AF45" i="20"/>
  <c r="K45" i="20" s="1"/>
  <c r="N45" i="20" s="1"/>
  <c r="AF51" i="20"/>
  <c r="K51" i="20" s="1"/>
  <c r="N51" i="20" s="1"/>
  <c r="AR33" i="17"/>
  <c r="AW33" i="17" s="1"/>
  <c r="AT33" i="17"/>
  <c r="AX24" i="17"/>
  <c r="AS24" i="17"/>
  <c r="AP24" i="17"/>
  <c r="AQ35" i="20"/>
  <c r="AN35" i="20"/>
  <c r="AS35" i="20"/>
  <c r="O35" i="20" s="1"/>
  <c r="AV35" i="20"/>
  <c r="AB33" i="17"/>
  <c r="I33" i="17" s="1"/>
  <c r="AD24" i="17"/>
  <c r="AE24" i="17" s="1"/>
  <c r="G24" i="17"/>
  <c r="H24" i="17"/>
  <c r="AF24" i="17"/>
  <c r="AB21" i="54"/>
  <c r="G124"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AB18" i="54"/>
  <c r="AB22" i="54"/>
  <c r="AC124" i="19"/>
  <c r="I124" i="19" s="1"/>
  <c r="I66" i="19"/>
  <c r="M66" i="19" s="1"/>
  <c r="I95" i="19"/>
  <c r="J95" i="19"/>
  <c r="H95" i="19"/>
  <c r="AA58" i="5"/>
  <c r="J50" i="5"/>
  <c r="J58" i="5"/>
  <c r="H58" i="5"/>
  <c r="N58" i="5" s="1"/>
  <c r="G58" i="5"/>
  <c r="M58" i="5" s="1"/>
  <c r="G50" i="5"/>
  <c r="M50" i="5" s="1"/>
  <c r="Q50" i="5" s="1"/>
  <c r="U12" i="574" s="1"/>
  <c r="H50" i="5"/>
  <c r="Q42" i="5"/>
  <c r="S12" i="574" s="1"/>
  <c r="R42" i="5"/>
  <c r="T12" i="574" s="1"/>
  <c r="L50" i="5"/>
  <c r="M80" i="5"/>
  <c r="Q80" i="5" s="1"/>
  <c r="AS11" i="574" s="1"/>
  <c r="N66" i="19"/>
  <c r="D5" i="51"/>
  <c r="G5" i="24"/>
  <c r="G6" i="24"/>
  <c r="G95" i="19"/>
  <c r="AO33" i="17"/>
  <c r="AS33" i="17" s="1"/>
  <c r="AP63" i="20"/>
  <c r="AU63" i="20" s="1"/>
  <c r="T167" i="19" l="1"/>
  <c r="AS27" i="574" s="1"/>
  <c r="Z68" i="18"/>
  <c r="AA68" i="18"/>
  <c r="AC68" i="18"/>
  <c r="AW68" i="18" s="1"/>
  <c r="AX68" i="18" s="1"/>
  <c r="AP68" i="18"/>
  <c r="AS68" i="18" s="1"/>
  <c r="AB38" i="18"/>
  <c r="P38" i="18"/>
  <c r="Q38" i="18" s="1"/>
  <c r="S170" i="19"/>
  <c r="AS30" i="574" s="1"/>
  <c r="Q49" i="18"/>
  <c r="Q79" i="18"/>
  <c r="Q40" i="18"/>
  <c r="Q41" i="18"/>
  <c r="Q44" i="18"/>
  <c r="Q47" i="18"/>
  <c r="Q42" i="18"/>
  <c r="Q51" i="18"/>
  <c r="Q43" i="18"/>
  <c r="Q75" i="18"/>
  <c r="Q50" i="18"/>
  <c r="Q77" i="18"/>
  <c r="Q71" i="18"/>
  <c r="Q74" i="18"/>
  <c r="Q48" i="18"/>
  <c r="Q76" i="18"/>
  <c r="Q46" i="18"/>
  <c r="Q72" i="18"/>
  <c r="Q45" i="18"/>
  <c r="Q70" i="18"/>
  <c r="Q78" i="18"/>
  <c r="Q73" i="18"/>
  <c r="Q80" i="18"/>
  <c r="AF39" i="18"/>
  <c r="H39" i="18"/>
  <c r="G39" i="18"/>
  <c r="I39" i="18"/>
  <c r="AD39" i="18"/>
  <c r="Q39" i="18"/>
  <c r="X33" i="574"/>
  <c r="Q24" i="17"/>
  <c r="Q25" i="17"/>
  <c r="Q26" i="17"/>
  <c r="Q27" i="17"/>
  <c r="Q34" i="17"/>
  <c r="Q36" i="17"/>
  <c r="Q35" i="17"/>
  <c r="Z69" i="18"/>
  <c r="AB69" i="18"/>
  <c r="AA69" i="18"/>
  <c r="P69" i="18" s="1"/>
  <c r="Q69" i="18" s="1"/>
  <c r="AC69" i="18"/>
  <c r="AP69" i="18"/>
  <c r="X45" i="574"/>
  <c r="X37" i="574"/>
  <c r="X44" i="574"/>
  <c r="P67" i="18"/>
  <c r="X49" i="574"/>
  <c r="X39" i="574"/>
  <c r="AP38" i="18"/>
  <c r="AA67" i="18"/>
  <c r="AB37" i="18"/>
  <c r="H37" i="18" s="1"/>
  <c r="AC67" i="18"/>
  <c r="AP67" i="18" s="1"/>
  <c r="AS67" i="18" s="1"/>
  <c r="AP37" i="18"/>
  <c r="M95" i="19"/>
  <c r="M124" i="19"/>
  <c r="AQ63" i="20"/>
  <c r="AD33" i="17"/>
  <c r="AQ36" i="20"/>
  <c r="AN36" i="20"/>
  <c r="AS36" i="20"/>
  <c r="O36" i="20" s="1"/>
  <c r="AT36" i="20"/>
  <c r="AV36" i="20" s="1"/>
  <c r="AV33" i="17"/>
  <c r="AX33" i="17" s="1"/>
  <c r="AU33" i="17"/>
  <c r="AP33" i="17"/>
  <c r="G33" i="17"/>
  <c r="H33" i="17"/>
  <c r="AF33" i="17"/>
  <c r="AG24" i="17"/>
  <c r="O24" i="17"/>
  <c r="AQ24" i="17"/>
  <c r="AI24" i="17"/>
  <c r="AJ24" i="17" s="1"/>
  <c r="AK24" i="17" s="1"/>
  <c r="L24" i="17" s="1"/>
  <c r="AL24" i="17"/>
  <c r="M24" i="17" s="1"/>
  <c r="K35" i="20"/>
  <c r="N35" i="20" s="1"/>
  <c r="Q33" i="17"/>
  <c r="Q37" i="18"/>
  <c r="J124" i="19"/>
  <c r="N124" i="19" s="1"/>
  <c r="N95" i="19"/>
  <c r="N50" i="5"/>
  <c r="R50" i="5" s="1"/>
  <c r="V12" i="574" s="1"/>
  <c r="W12" i="574" s="1"/>
  <c r="D4" i="51"/>
  <c r="R58" i="5"/>
  <c r="Q58" i="5"/>
  <c r="AR63" i="20"/>
  <c r="AF63" i="20"/>
  <c r="K63" i="20" s="1"/>
  <c r="G69" i="18" l="1"/>
  <c r="AF69" i="18"/>
  <c r="AG69" i="18"/>
  <c r="H69" i="18"/>
  <c r="I69" i="18"/>
  <c r="AL69" i="18"/>
  <c r="M69" i="18" s="1"/>
  <c r="AI69" i="18"/>
  <c r="AJ69" i="18" s="1"/>
  <c r="AK69" i="18" s="1"/>
  <c r="L69" i="18" s="1"/>
  <c r="AE69" i="18"/>
  <c r="AH69" i="18" s="1"/>
  <c r="K69" i="18" s="1"/>
  <c r="I38" i="18"/>
  <c r="H38" i="18"/>
  <c r="G38" i="18"/>
  <c r="AF38" i="18"/>
  <c r="AD38" i="18"/>
  <c r="AE39" i="18"/>
  <c r="AL39" i="18"/>
  <c r="M39" i="18" s="1"/>
  <c r="AI39" i="18"/>
  <c r="AJ39" i="18" s="1"/>
  <c r="AK39" i="18" s="1"/>
  <c r="L39" i="18" s="1"/>
  <c r="AS69" i="18"/>
  <c r="AG39" i="18"/>
  <c r="O39" i="18"/>
  <c r="AQ39" i="18"/>
  <c r="AB68" i="18"/>
  <c r="P68" i="18"/>
  <c r="Q68" i="18" s="1"/>
  <c r="Q67" i="18"/>
  <c r="AD37" i="18"/>
  <c r="AI37" i="18" s="1"/>
  <c r="AJ37" i="18" s="1"/>
  <c r="AK37" i="18" s="1"/>
  <c r="L37" i="18" s="1"/>
  <c r="I37" i="18"/>
  <c r="G37" i="18"/>
  <c r="AF37" i="18"/>
  <c r="AW67" i="18"/>
  <c r="AX67" i="18" s="1"/>
  <c r="AB67" i="18"/>
  <c r="AE67" i="18" s="1"/>
  <c r="AI33" i="17"/>
  <c r="AJ33" i="17" s="1"/>
  <c r="AK33" i="17" s="1"/>
  <c r="L33" i="17" s="1"/>
  <c r="AE33" i="17"/>
  <c r="AG33" i="17"/>
  <c r="AL33" i="17"/>
  <c r="M33" i="17" s="1"/>
  <c r="N36" i="20"/>
  <c r="AQ33" i="17"/>
  <c r="AH24" i="17"/>
  <c r="K24" i="17" s="1"/>
  <c r="N24" i="17" s="1"/>
  <c r="O33" i="17"/>
  <c r="J12" i="24"/>
  <c r="H12" i="24"/>
  <c r="I12" i="24"/>
  <c r="G12" i="24"/>
  <c r="D7" i="51"/>
  <c r="J8" i="51"/>
  <c r="S124" i="19"/>
  <c r="T66" i="19"/>
  <c r="T27" i="574" s="1"/>
  <c r="S66" i="19"/>
  <c r="S27" i="574" s="1"/>
  <c r="T124" i="19"/>
  <c r="AT63" i="20"/>
  <c r="AS63" i="20"/>
  <c r="O63" i="20" s="1"/>
  <c r="AL38" i="18" l="1"/>
  <c r="M38" i="18" s="1"/>
  <c r="AI38" i="18"/>
  <c r="AJ38" i="18" s="1"/>
  <c r="AK38" i="18" s="1"/>
  <c r="L38" i="18" s="1"/>
  <c r="AE38" i="18"/>
  <c r="AH39" i="18"/>
  <c r="K39" i="18" s="1"/>
  <c r="N39" i="18" s="1"/>
  <c r="AG38" i="18"/>
  <c r="O38" i="18"/>
  <c r="AQ38" i="18"/>
  <c r="I68" i="18"/>
  <c r="AF68" i="18"/>
  <c r="H68" i="18"/>
  <c r="G68" i="18"/>
  <c r="AI68" i="18"/>
  <c r="AJ68" i="18" s="1"/>
  <c r="AK68" i="18" s="1"/>
  <c r="L68" i="18" s="1"/>
  <c r="AL68" i="18"/>
  <c r="M68" i="18" s="1"/>
  <c r="AE68" i="18"/>
  <c r="AR69" i="18"/>
  <c r="AW69" i="18" s="1"/>
  <c r="AQ69" i="18"/>
  <c r="AT69" i="18" s="1"/>
  <c r="AL67" i="18"/>
  <c r="M67" i="18" s="1"/>
  <c r="AF67" i="18"/>
  <c r="I67" i="18"/>
  <c r="AI67" i="18"/>
  <c r="AJ67" i="18" s="1"/>
  <c r="AK67" i="18" s="1"/>
  <c r="L67" i="18" s="1"/>
  <c r="H67" i="18"/>
  <c r="G67" i="18"/>
  <c r="AQ67" i="18" s="1"/>
  <c r="O37" i="18"/>
  <c r="AG37" i="18"/>
  <c r="AL37" i="18"/>
  <c r="M37" i="18" s="1"/>
  <c r="AE37" i="18"/>
  <c r="AQ37" i="18"/>
  <c r="AH33" i="17"/>
  <c r="K33" i="17" s="1"/>
  <c r="N33" i="17" s="1"/>
  <c r="AV63" i="20"/>
  <c r="N63" i="20" s="1"/>
  <c r="S95" i="19"/>
  <c r="U27" i="574" s="1"/>
  <c r="W27" i="574" s="1"/>
  <c r="T95" i="19"/>
  <c r="V27" i="574" s="1"/>
  <c r="T166" i="19"/>
  <c r="AS26" i="574" s="1"/>
  <c r="S166" i="19"/>
  <c r="AV69" i="18" l="1"/>
  <c r="AX69" i="18" s="1"/>
  <c r="N69" i="18" s="1"/>
  <c r="AU69" i="18"/>
  <c r="O69" i="18" s="1"/>
  <c r="Y28" i="574" s="1"/>
  <c r="O68" i="18"/>
  <c r="AQ68" i="18"/>
  <c r="Y27" i="574"/>
  <c r="AH38" i="18"/>
  <c r="K38" i="18" s="1"/>
  <c r="N38" i="18" s="1"/>
  <c r="AG68" i="18"/>
  <c r="X28" i="574"/>
  <c r="AG67" i="18"/>
  <c r="AH67" i="18" s="1"/>
  <c r="K67" i="18" s="1"/>
  <c r="N67" i="18" s="1"/>
  <c r="AH68" i="18"/>
  <c r="K68" i="18" s="1"/>
  <c r="N68" i="18" s="1"/>
  <c r="O67" i="18"/>
  <c r="Y26" i="574" s="1"/>
  <c r="AH37" i="18"/>
  <c r="K37" i="18" s="1"/>
  <c r="N37" i="18" s="1"/>
  <c r="Y11" i="574"/>
  <c r="X11" i="574"/>
  <c r="X27" i="574" l="1"/>
  <c r="X26" i="5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4"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4"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4"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<sst xmlns="http://schemas.openxmlformats.org/spreadsheetml/2006/main" count="2438" uniqueCount="650">
  <si>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</si>
  <si>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</si>
  <si>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</si>
  <si>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</si>
  <si>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</si>
  <si>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</si>
  <si>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</si>
  <si>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</si>
  <si>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</si>
  <si>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</si>
  <si>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</si>
  <si>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</si>
  <si>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</si>
  <si>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</si>
  <si>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</si>
  <si>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</si>
  <si>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</si>
  <si>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</si>
  <si>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</si>
  <si>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</si>
  <si>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</si>
  <si>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</si>
  <si>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</si>
  <si>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</si>
  <si>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</si>
  <si>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</si>
  <si>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</si>
  <si>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</si>
  <si>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</si>
  <si>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</si>
  <si>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</si>
  <si>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</si>
  <si>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</si>
  <si>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</si>
  <si>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</si>
  <si>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</si>
  <si>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</si>
  <si>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</si>
  <si>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</si>
  <si>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</si>
  <si>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</si>
  <si>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</si>
  <si>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</si>
  <si>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</si>
  <si>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</si>
  <si>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</si>
  <si>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</si>
  <si>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</si>
  <si>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</si>
  <si>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</si>
  <si>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</si>
  <si>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</si>
  <si>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</si>
  <si>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</si>
  <si>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</si>
  <si>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</si>
  <si>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</si>
  <si>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</si>
  <si>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</si>
  <si>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</si>
  <si>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</si>
  <si>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</si>
  <si>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</si>
  <si>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</si>
  <si>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</si>
  <si>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</si>
  <si>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</si>
  <si>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</si>
  <si>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</si>
  <si>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</si>
  <si>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</si>
  <si>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</si>
  <si>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</si>
  <si>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</si>
  <si>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</si>
  <si>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</si>
  <si>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</si>
  <si>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</si>
  <si>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</si>
  <si>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</si>
  <si>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</si>
  <si>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</si>
  <si>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</si>
  <si>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</si>
  <si>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</si>
  <si>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</si>
  <si>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</si>
  <si>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</si>
  <si>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</si>
  <si>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</si>
  <si>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</si>
  <si>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</si>
  <si>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</si>
  <si>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</si>
  <si>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</si>
  <si>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</si>
  <si>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</si>
  <si>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</si>
  <si>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</si>
  <si>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</si>
  <si>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</si>
  <si>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</si>
  <si>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</si>
  <si>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</si>
  <si>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</si>
  <si>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</si>
  <si>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</si>
  <si>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</si>
  <si>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</si>
  <si>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</si>
  <si>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</si>
  <si>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</si>
  <si>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</si>
  <si>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</si>
  <si>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</si>
  <si>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</si>
  <si>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</si>
  <si>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</si>
  <si>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</si>
  <si>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</si>
  <si>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</si>
  <si>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</si>
  <si>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</si>
  <si>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</si>
  <si>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</si>
  <si>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</si>
  <si>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</si>
  <si>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</si>
  <si>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</si>
  <si>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</si>
  <si>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</si>
  <si>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</si>
  <si>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</si>
  <si>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</si>
  <si>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</si>
  <si>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</si>
  <si>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</si>
  <si>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</si>
  <si>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</si>
  <si>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</si>
  <si>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</si>
  <si>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</si>
  <si>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</si>
  <si>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</si>
  <si>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</si>
  <si>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</si>
  <si>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</si>
  <si>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</si>
  <si>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</si>
  <si>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</si>
  <si>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</si>
  <si>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</si>
  <si>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</si>
  <si>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Issued on</t>
  </si>
  <si>
    <t>Reference Number</t>
  </si>
  <si>
    <t>Status</t>
  </si>
  <si>
    <t>Employer</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</si>
  <si>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</si>
  <si>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</si>
  <si>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</si>
  <si>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</si>
  <si>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</si>
  <si>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</si>
  <si>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</si>
  <si>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</si>
  <si>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</si>
  <si>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</si>
  <si>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</si>
  <si>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</si>
  <si>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</si>
  <si>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</si>
  <si>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</si>
  <si>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</si>
  <si>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</si>
  <si>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</si>
  <si>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</si>
  <si>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</si>
  <si>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</si>
  <si>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</si>
  <si>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</si>
  <si>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</si>
  <si>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</si>
  <si>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</si>
  <si>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</si>
  <si>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</si>
  <si>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</si>
  <si>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</si>
  <si>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</si>
  <si>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</si>
  <si>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</si>
  <si>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</si>
  <si>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</si>
  <si>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</si>
  <si>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</si>
  <si>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</si>
  <si>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</si>
  <si>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</si>
  <si>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</si>
  <si>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</si>
  <si>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</si>
  <si>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</si>
  <si>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</si>
  <si>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</si>
  <si>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</si>
  <si>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</si>
  <si>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</si>
  <si>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</si>
  <si>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</si>
  <si>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</si>
  <si>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</si>
  <si>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</si>
  <si>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</si>
  <si>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</si>
  <si>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</si>
  <si>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</si>
  <si>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</si>
  <si>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</si>
  <si>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</si>
  <si>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</si>
  <si>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</si>
  <si>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</si>
  <si>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</si>
  <si>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</si>
  <si>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</si>
  <si>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</si>
  <si>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</si>
  <si>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</si>
  <si>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</si>
  <si>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</si>
  <si>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</si>
  <si>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</si>
  <si>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</si>
  <si>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</si>
  <si>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</si>
  <si>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</si>
  <si>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</si>
  <si>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</si>
  <si>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</si>
  <si>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</si>
  <si>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</si>
  <si>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</si>
  <si>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</si>
  <si>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</si>
  <si>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</si>
  <si>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</si>
  <si>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</si>
  <si>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</si>
  <si>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</si>
  <si>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</si>
  <si>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</si>
  <si>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</si>
  <si>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</si>
  <si>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</si>
  <si>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</si>
  <si>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</si>
  <si>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</si>
  <si>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</si>
  <si>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</si>
  <si>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</si>
  <si>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</si>
  <si>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</si>
  <si>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</si>
  <si>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</si>
  <si>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</si>
  <si>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</si>
  <si>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</si>
  <si>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</si>
  <si>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</si>
  <si>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</si>
  <si>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</si>
  <si>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</si>
  <si>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</si>
  <si>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</si>
  <si>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</si>
  <si>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</si>
  <si>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</si>
  <si>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</si>
  <si>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</si>
  <si>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</si>
  <si>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</si>
  <si>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</si>
  <si>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</si>
  <si>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</si>
  <si>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</si>
  <si>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</si>
  <si>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</si>
  <si>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</si>
  <si>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</si>
  <si>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</si>
  <si>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</si>
  <si>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</si>
  <si>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</si>
  <si>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</si>
  <si>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</si>
  <si>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</si>
  <si>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</si>
  <si>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</si>
  <si>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</si>
  <si>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</si>
  <si>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</si>
  <si>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</si>
  <si>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</si>
  <si>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</si>
  <si>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</si>
  <si>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</si>
  <si>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</si>
  <si>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</si>
  <si>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</si>
  <si>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</si>
  <si>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</si>
  <si>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</si>
  <si>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</si>
  <si>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</si>
  <si>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</si>
  <si>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</si>
  <si>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</si>
  <si>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</si>
  <si>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</si>
  <si>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</si>
  <si>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</si>
  <si>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</si>
  <si>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</si>
  <si>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</si>
  <si>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</si>
  <si>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</si>
  <si>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</si>
  <si>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</si>
  <si>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</si>
  <si>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</si>
  <si>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</si>
  <si>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</si>
  <si>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</si>
  <si>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</si>
  <si>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</si>
  <si>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</si>
  <si>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</si>
  <si>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</si>
  <si>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</si>
  <si>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</si>
  <si>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</si>
  <si>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</si>
  <si>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</si>
  <si>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</si>
  <si>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</si>
  <si>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</si>
  <si>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</si>
  <si>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</si>
  <si>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</si>
  <si>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</si>
  <si>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</si>
  <si>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</si>
  <si>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</si>
  <si>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</si>
  <si>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</si>
  <si>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</si>
  <si>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</si>
  <si>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</si>
  <si>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</si>
  <si>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</si>
  <si>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</si>
  <si>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</si>
  <si>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</si>
  <si>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</si>
  <si>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</si>
  <si>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</si>
  <si>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</si>
  <si>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</si>
  <si>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</si>
  <si>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</si>
  <si>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</si>
  <si>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</si>
  <si>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</si>
  <si>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</si>
  <si>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</si>
  <si>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</si>
  <si>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</si>
  <si>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</si>
  <si>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</si>
  <si>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</si>
  <si>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</si>
  <si>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</si>
  <si>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</si>
  <si>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</si>
  <si>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</si>
  <si>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</si>
  <si>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</si>
  <si>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</si>
  <si>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</si>
  <si>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</si>
  <si>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</si>
  <si>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</si>
  <si>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</si>
  <si>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</si>
  <si>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Drawing Name</t>
  </si>
  <si>
    <t>Project Name</t>
  </si>
  <si>
    <t>JBO Drawing Number</t>
  </si>
  <si>
    <t>Designed by:</t>
  </si>
  <si>
    <t>TP or MP?</t>
  </si>
  <si>
    <t>MP</t>
  </si>
  <si>
    <t>English or German Drawing output?</t>
  </si>
  <si>
    <t>EN</t>
  </si>
  <si>
    <t>Draft?</t>
  </si>
  <si>
    <t>No</t>
  </si>
  <si>
    <t>Direction for Drawing</t>
  </si>
  <si>
    <t>A4 or A3?</t>
  </si>
  <si>
    <t>A4</t>
  </si>
  <si>
    <t>Drawing Name (pdf)</t>
  </si>
  <si>
    <t>Scale:                                    1:</t>
  </si>
  <si>
    <t>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</si>
  <si>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</si>
  <si>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</si>
  <si>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</si>
  <si>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</si>
  <si>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</si>
  <si>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</si>
  <si>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</si>
  <si>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</si>
  <si>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</si>
  <si>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</si>
  <si>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</si>
  <si>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</si>
  <si>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</si>
  <si>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</si>
  <si>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</si>
  <si>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</si>
  <si>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</si>
  <si>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</si>
  <si>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</si>
  <si>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</si>
  <si>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</si>
  <si>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</si>
  <si>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</si>
  <si>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</si>
  <si>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</si>
  <si>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</si>
  <si>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</si>
  <si>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</si>
  <si>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</si>
  <si>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</si>
  <si>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</si>
  <si>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</si>
  <si>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</si>
  <si>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</si>
  <si>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</si>
  <si>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</si>
  <si>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</si>
  <si>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</si>
  <si>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</si>
  <si>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</si>
  <si>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</si>
  <si>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</si>
  <si>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</si>
  <si>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</si>
  <si>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</si>
  <si>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</si>
  <si>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</si>
  <si>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</si>
  <si>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</si>
  <si>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</si>
  <si>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</si>
  <si>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</si>
  <si>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</si>
  <si>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</si>
  <si>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</si>
  <si>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</si>
  <si>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</si>
  <si>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</si>
  <si>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</si>
  <si>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</si>
  <si>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</si>
  <si>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</si>
  <si>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</si>
  <si>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</si>
  <si>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</si>
  <si>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</si>
  <si>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</si>
  <si>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</si>
  <si>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</si>
  <si>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</si>
  <si>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</si>
  <si>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</si>
  <si>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</si>
  <si>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</si>
  <si>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</si>
  <si>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</si>
  <si>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</si>
  <si>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</si>
  <si>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</si>
  <si>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</si>
  <si>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</si>
  <si>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</si>
  <si>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</si>
  <si>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</si>
  <si>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</si>
  <si>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</si>
  <si>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</si>
  <si>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</si>
  <si>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MP9-01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</si>
  <si>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</si>
  <si>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</si>
  <si>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</si>
  <si>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</si>
  <si>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</si>
  <si>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</si>
  <si>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</si>
  <si>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</si>
  <si>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</si>
  <si>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</si>
  <si>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</si>
  <si>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</si>
  <si>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</si>
  <si>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</si>
  <si>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</si>
  <si>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</si>
  <si>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</si>
  <si>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</si>
  <si>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</si>
  <si>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</si>
  <si>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</si>
  <si>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</si>
  <si>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</si>
  <si>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</si>
  <si>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</si>
  <si>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</si>
  <si>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</si>
  <si>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</si>
  <si>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</si>
  <si>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</si>
  <si>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</si>
  <si>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</si>
  <si>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</si>
  <si>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</si>
  <si>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</si>
  <si>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</si>
  <si>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</si>
  <si>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</si>
  <si>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</si>
  <si>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</si>
  <si>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</si>
  <si>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</si>
  <si>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</si>
  <si>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</si>
  <si>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</si>
  <si>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</si>
  <si>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</si>
  <si>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</si>
  <si>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</si>
  <si>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</si>
  <si>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</si>
  <si>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</si>
  <si>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</si>
  <si>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</si>
  <si>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</si>
  <si>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</si>
  <si>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</si>
  <si>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</si>
  <si>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</si>
  <si>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</si>
  <si>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</si>
  <si>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</si>
  <si>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</si>
  <si>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</si>
  <si>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</si>
  <si>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</si>
  <si>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</si>
  <si>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</si>
  <si>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</si>
  <si>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</si>
  <si>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</si>
  <si>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</si>
  <si>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</si>
  <si>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</si>
  <si>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</si>
  <si>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</si>
  <si>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</si>
  <si>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</si>
  <si>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</si>
  <si>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</si>
  <si>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</si>
  <si>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</si>
  <si>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</si>
  <si>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</si>
  <si>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</si>
  <si>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</si>
  <si>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</si>
  <si>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</si>
  <si>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</si>
  <si>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</si>
  <si>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</si>
  <si>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</si>
  <si>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</si>
  <si>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</si>
  <si>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</si>
  <si>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</si>
  <si>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</si>
  <si>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</si>
  <si>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Output_Stress_Table</t>
  </si>
  <si>
    <t>ATP support ring</t>
  </si>
  <si>
    <t>ATP support stiffener (bottom)</t>
  </si>
  <si>
    <t>Water replenishment hole</t>
  </si>
  <si>
    <t>Sonar transponder cable hole</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</si>
  <si>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</si>
  <si>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</si>
  <si>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</si>
  <si>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</si>
  <si>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</si>
  <si>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</si>
  <si>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</si>
  <si>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 Cable opening </t>
  </si>
  <si>
    <t xml:space="preserve"> Ventilation Opening </t>
  </si>
  <si>
    <t xml:space="preserve"> ICCP Cable opening </t>
  </si>
  <si>
    <t xml:space="preserve"> ICCP Cable pipe support </t>
  </si>
  <si>
    <t>LW23</t>
  </si>
  <si>
    <t>TP1-01</t>
  </si>
  <si>
    <t>MAP support</t>
  </si>
  <si>
    <t>Stud Junction Box Platform</t>
  </si>
  <si>
    <t>TP4-01</t>
  </si>
  <si>
    <t>LW24</t>
  </si>
  <si>
    <t>i:\2024\A\24A525_EnBW_Dreekant_FEED\03_Lasten\01_LILA\08_Load_Summaries\02_py-WaveLoadGenWaves\2025-03-04_Load_summary_V3.03_DP-A1_FLS-UNIdirectional-FullULS_L0G1S1.xlsm</t>
  </si>
  <si>
    <t>Applied load contingencies: 0.001 (m=3), 0.001 (m=4)[FILE :i:\2024\A\24A525_EnBW_Dreekant_FEED\03_Lasten\01_LILA\08_Load_Summaries\02_py-WaveLoadGenWaves\2025-03-04_Load_summary_V3.03_DP-A1_FLS-UNIdirectional-FullULS_L0G1S1.xlsm]</t>
  </si>
  <si>
    <t>E:\Projekte\24A525_Dreekant\02_MP\01_FEED\</t>
  </si>
  <si>
    <t>y</t>
  </si>
  <si>
    <t>24A525-JBO-DWMPCD-EN-4019</t>
  </si>
  <si>
    <t>DKT_xxxx444</t>
  </si>
  <si>
    <t>24A525-JBO-DWSSCD-EN-4020</t>
  </si>
  <si>
    <t>DKT_xxxx445</t>
  </si>
  <si>
    <t>E:\Projekte\24A525_Dreekant\02_MP\DrawGen\24A525_DrawingGenLayout.xlsm</t>
  </si>
  <si>
    <t>24A525-JBO-DWMPCD-EN-4020</t>
  </si>
  <si>
    <t>DP A1</t>
  </si>
  <si>
    <t>Preliminary TP Layout Drawing</t>
  </si>
  <si>
    <t>Preliminary MP Layout Drawing</t>
  </si>
  <si>
    <t>TP1-02</t>
  </si>
  <si>
    <t>TP1-03</t>
  </si>
  <si>
    <t>Bolting Platform</t>
  </si>
  <si>
    <t>TP2-01</t>
  </si>
  <si>
    <t>TP3-01</t>
  </si>
  <si>
    <t>TP3-02</t>
  </si>
  <si>
    <t>MP1-01-01</t>
  </si>
  <si>
    <t>MP1-01-02</t>
  </si>
  <si>
    <t>MP6-01</t>
  </si>
  <si>
    <t>MP9-02</t>
  </si>
  <si>
    <t>MP12-01</t>
  </si>
  <si>
    <t>E:\Projekte\24A525_Dreekant\02_MP\Header\24A525_Header.xlsm</t>
  </si>
  <si>
    <t>Empl. PDN Number</t>
  </si>
  <si>
    <t>JBO</t>
  </si>
  <si>
    <t>Fixed. Do not change!</t>
  </si>
  <si>
    <t>A3</t>
  </si>
  <si>
    <t>24A525-JBO-TNMPCD-1003-01_Preliminary MP-TP Concept Design - Annex A3</t>
  </si>
  <si>
    <t>Monopile Foundation Conceptual Design for DP A1</t>
  </si>
  <si>
    <t>I:\2024\A\24A525_EnBW_Dreekant_FEED\03_Lasten\01_LILA\05_JBOOST\DP-A1_22MW\L0G1S2\FLS-reloading-init\Results_JBOOST_Text\JBOOST.out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</si>
</sst>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43" fillId="8" borderId="3" xfId="0" applyFont="1" applyFill="1" applyBorder="1"/>
    <xf numFmtId="0" fontId="43" fillId="9" borderId="8" xfId="0" applyFont="1" applyFill="1" applyBorder="1"/>
    <xf numFmtId="0" fontId="43" fillId="8" borderId="8" xfId="0" applyFont="1" applyFill="1" applyBorder="1"/>
    <xf numFmtId="0" fontId="43" fillId="9" borderId="4" xfId="0" applyFont="1" applyFill="1" applyBorder="1"/>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1" xfId="1" applyFont="1" applyFill="1" applyBorder="1" applyAlignment="1">
      <alignment horizontal="center" vertical="center" wrapText="1"/>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center" vertical="center"/>
      <protection locked="0"/>
    </xf>
    <xf numFmtId="0" fontId="13" fillId="8" borderId="6"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wrapText="1"/>
    </xf>
    <xf numFmtId="166" fontId="8" fillId="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1" xfId="9" applyFont="1" applyFill="1" applyBorder="1" applyAlignment="1">
      <alignment horizontal="center" vertical="center"/>
    </xf>
    <xf numFmtId="166" fontId="8" fillId="2" borderId="6" xfId="9" applyFont="1" applyFill="1" applyBorder="1" applyAlignment="1">
      <alignment horizontal="center" vertical="center" wrapText="1"/>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0" fontId="8" fillId="2" borderId="2" xfId="0"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8"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48" fillId="2" borderId="3"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21</xdr:row>
      <xdr:rowOff>0</xdr:rowOff>
    </xdr:from>
    <xdr:to>
      <xdr:col>5</xdr:col>
      <xdr:colOff>360000</xdr:colOff>
      <xdr:row>23</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21</xdr:row>
      <xdr:rowOff>0</xdr:rowOff>
    </xdr:from>
    <xdr:to>
      <xdr:col>5</xdr:col>
      <xdr:colOff>0</xdr:colOff>
      <xdr:row>23</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21</xdr:row>
      <xdr:rowOff>9525</xdr:rowOff>
    </xdr:from>
    <xdr:to>
      <xdr:col>31</xdr:col>
      <xdr:colOff>0</xdr:colOff>
      <xdr:row>23</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21</xdr:row>
      <xdr:rowOff>0</xdr:rowOff>
    </xdr:from>
    <xdr:to>
      <xdr:col>31</xdr:col>
      <xdr:colOff>360000</xdr:colOff>
      <xdr:row>22</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307</v>
      </c>
      <c r="C2" s="77" t="s">
        <v>315</v>
      </c>
    </row>
    <row r="4" spans="2:3" ht="86.4">
      <c r="B4" s="76" t="s">
        <v>308</v>
      </c>
      <c r="C4" s="77" t="s">
        <v>309</v>
      </c>
    </row>
    <row r="5" spans="2:3" ht="288">
      <c r="B5" s="76" t="s">
        <v>310</v>
      </c>
      <c r="C5" s="77" t="s">
        <v>415</v>
      </c>
    </row>
    <row r="6" spans="2:3" ht="144">
      <c r="B6" s="76" t="s">
        <v>311</v>
      </c>
      <c r="C6" s="77" t="s">
        <v>314</v>
      </c>
    </row>
    <row r="7" spans="2:3" ht="57.6">
      <c r="B7" s="76" t="s">
        <v>312</v>
      </c>
      <c r="C7" s="77" t="s">
        <v>313</v>
      </c>
    </row>
    <row r="8" spans="2:3" ht="100.8">
      <c r="B8" s="76" t="s">
        <v>349</v>
      </c>
      <c r="C8" s="77" t="s">
        <v>352</v>
      </c>
    </row>
    <row r="9" spans="2:3" ht="100.8">
      <c r="B9" s="76" t="s">
        <v>414</v>
      </c>
      <c r="C9" s="77" t="s">
        <v>416</v>
      </c>
    </row>
    <row r="10" spans="2:3" ht="86.4">
      <c r="B10" s="76" t="s">
        <v>347</v>
      </c>
      <c r="C10" s="77" t="s">
        <v>351</v>
      </c>
    </row>
    <row r="11" spans="2:3" ht="72">
      <c r="B11" s="76" t="s">
        <v>348</v>
      </c>
      <c r="C11" s="77" t="s">
        <v>350</v>
      </c>
    </row>
    <row r="12" spans="2:3" ht="129.6">
      <c r="B12" s="76" t="s">
        <v>322</v>
      </c>
      <c r="C12" s="77" t="s">
        <v>603</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316</v>
      </c>
      <c r="C2" s="230"/>
      <c r="D2" s="230"/>
      <c r="E2" s="231"/>
    </row>
    <row r="3" spans="2:5" ht="26.4">
      <c r="B3" s="78" t="s">
        <v>305</v>
      </c>
      <c r="C3" s="78" t="s">
        <v>321</v>
      </c>
      <c r="D3" s="78" t="s">
        <v>317</v>
      </c>
      <c r="E3" s="78" t="s">
        <v>318</v>
      </c>
    </row>
    <row r="4" spans="2:5">
      <c r="B4" s="81" t="s">
        <v>320</v>
      </c>
      <c r="C4" s="81" t="s">
        <v>306</v>
      </c>
      <c r="D4" s="79">
        <v>44614</v>
      </c>
      <c r="E4" s="82" t="s">
        <v>319</v>
      </c>
    </row>
    <row r="5" spans="2:5">
      <c r="B5" s="83" t="s">
        <v>409</v>
      </c>
      <c r="C5" s="83" t="s">
        <v>410</v>
      </c>
      <c r="D5" s="80">
        <v>44643</v>
      </c>
      <c r="E5" s="85" t="s">
        <v>411</v>
      </c>
    </row>
    <row r="6" spans="2:5" ht="26.4">
      <c r="B6" s="84" t="s">
        <v>412</v>
      </c>
      <c r="C6" s="84" t="s">
        <v>410</v>
      </c>
      <c r="D6" s="79">
        <v>44722</v>
      </c>
      <c r="E6" s="82" t="s">
        <v>413</v>
      </c>
    </row>
    <row r="7" spans="2:5" ht="39.6">
      <c r="B7" s="83" t="s">
        <v>419</v>
      </c>
      <c r="C7" s="83" t="s">
        <v>410</v>
      </c>
      <c r="D7" s="80">
        <v>44743</v>
      </c>
      <c r="E7" s="85" t="s">
        <v>420</v>
      </c>
    </row>
    <row r="8" spans="2:5" ht="26.4">
      <c r="B8" s="84">
        <v>1.4</v>
      </c>
      <c r="C8" s="84" t="s">
        <v>410</v>
      </c>
      <c r="D8" s="79">
        <v>44811</v>
      </c>
      <c r="E8" s="82" t="s">
        <v>422</v>
      </c>
    </row>
    <row r="9" spans="2:5" ht="66">
      <c r="B9" s="83">
        <v>1.5</v>
      </c>
      <c r="C9" s="83" t="s">
        <v>410</v>
      </c>
      <c r="D9" s="80">
        <v>44951</v>
      </c>
      <c r="E9" s="85" t="s">
        <v>455</v>
      </c>
    </row>
    <row r="10" spans="2:5" ht="118.8">
      <c r="B10" s="81" t="s">
        <v>605</v>
      </c>
      <c r="C10" s="84" t="s">
        <v>575</v>
      </c>
      <c r="D10" s="79">
        <v>45300</v>
      </c>
      <c r="E10" s="82" t="s">
        <v>592</v>
      </c>
    </row>
    <row r="11" spans="2:5" ht="39.6">
      <c r="B11" s="83" t="s">
        <v>594</v>
      </c>
      <c r="C11" s="83" t="s">
        <v>410</v>
      </c>
      <c r="D11" s="80">
        <v>45390</v>
      </c>
      <c r="E11" s="85" t="s">
        <v>602</v>
      </c>
    </row>
    <row r="12" spans="2:5" ht="52.8">
      <c r="B12" s="81" t="s">
        <v>606</v>
      </c>
      <c r="C12" s="84" t="s">
        <v>410</v>
      </c>
      <c r="D12" s="79">
        <v>45418</v>
      </c>
      <c r="E12" s="82" t="s">
        <v>607</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workbookViewId="0">
      <selection activeCell="F47" sqref="F47"/>
    </sheetView>
  </sheetViews>
  <sheetFormatPr baseColWidth="10" defaultRowHeight="14.4"/>
  <cols>
    <col min="3" max="3" width="10.77734375" style="150"/>
    <col min="4" max="4" width="10.77734375" style="151" customWidth="1"/>
    <col min="5" max="5" width="53.21875" customWidth="1"/>
    <col min="6" max="7" width="10.77734375" customWidth="1"/>
    <col min="8" max="8" width="10.77734375" style="150" customWidth="1"/>
    <col min="9" max="9" width="10.77734375" style="151" customWidth="1"/>
    <col min="10" max="10" width="59.21875" customWidth="1"/>
    <col min="11" max="11" width="75.5546875" customWidth="1"/>
    <col min="12" max="12" width="10.77734375" style="150" customWidth="1"/>
    <col min="13" max="13" width="10.77734375" style="151" customWidth="1"/>
    <col min="14" max="14" width="10.77734375" customWidth="1"/>
    <col min="15" max="15" width="75.5546875" customWidth="1"/>
    <col min="16" max="16" width="10.77734375" style="150" customWidth="1"/>
    <col min="17" max="17" width="10.77734375" style="151" customWidth="1"/>
    <col min="18" max="18" width="10.77734375" customWidth="1"/>
    <col min="19" max="19" width="75.5546875" customWidth="1"/>
    <col min="20" max="20" width="10.77734375" style="150" customWidth="1"/>
    <col min="21" max="21" width="10.77734375" style="151" customWidth="1"/>
    <col min="22" max="22" width="22.21875" customWidth="1"/>
    <col min="23" max="23" width="75.5546875" customWidth="1"/>
    <col min="24" max="24" width="10.77734375" style="150" customWidth="1"/>
    <col min="25" max="25" width="10.77734375" style="151" customWidth="1"/>
    <col min="26" max="26" width="16.77734375" customWidth="1"/>
    <col min="27" max="27" width="60.5546875" customWidth="1"/>
    <col min="28" max="28" width="10.77734375" style="150" customWidth="1"/>
    <col min="29" max="29" width="10.77734375" style="151" customWidth="1"/>
    <col min="30" max="30" width="26.77734375" customWidth="1"/>
    <col min="31" max="31" width="75.5546875" customWidth="1"/>
    <col min="32" max="32" width="10.77734375" style="150" customWidth="1"/>
    <col min="33" max="33" width="10.77734375" style="151" customWidth="1"/>
    <col min="34" max="35" width="14.21875" customWidth="1"/>
    <col min="36" max="36" width="75.5546875" customWidth="1"/>
    <col min="37" max="37" width="10.77734375" style="150" customWidth="1"/>
    <col min="38" max="38" width="10.77734375" style="151"/>
  </cols>
  <sheetData>
    <row r="2" spans="5:36">
      <c r="E2" s="152" t="s">
        <v>469</v>
      </c>
      <c r="J2" s="152" t="s">
        <v>185</v>
      </c>
      <c r="R2" s="152" t="s">
        <v>201</v>
      </c>
      <c r="V2" s="152" t="s">
        <v>186</v>
      </c>
      <c r="AD2" s="152" t="s">
        <v>323</v>
      </c>
      <c r="AH2" s="152" t="s">
        <v>462</v>
      </c>
      <c r="AI2" s="152"/>
    </row>
    <row r="3" spans="5:36">
      <c r="E3" s="153" t="s">
        <v>470</v>
      </c>
      <c r="F3" s="179" t="s">
        <v>71</v>
      </c>
      <c r="J3" s="154" t="s">
        <v>230</v>
      </c>
      <c r="K3" s="123">
        <v>1.2</v>
      </c>
      <c r="R3" s="154" t="s">
        <v>288</v>
      </c>
      <c r="S3" s="123" t="s">
        <v>649</v>
      </c>
      <c r="V3" s="155" t="s">
        <v>187</v>
      </c>
      <c r="W3" s="123" t="s">
        <v>170</v>
      </c>
      <c r="AD3" s="155" t="s">
        <v>328</v>
      </c>
      <c r="AE3" s="123" t="s">
        <v>170</v>
      </c>
      <c r="AH3" s="154" t="s">
        <v>483</v>
      </c>
      <c r="AI3" s="232"/>
      <c r="AJ3" s="233"/>
    </row>
    <row r="4" spans="5:36">
      <c r="J4" s="156" t="s">
        <v>302</v>
      </c>
      <c r="K4" s="125" t="s">
        <v>595</v>
      </c>
      <c r="R4" s="157" t="s">
        <v>287</v>
      </c>
      <c r="S4" s="126">
        <v>5</v>
      </c>
      <c r="V4" s="158" t="s">
        <v>303</v>
      </c>
      <c r="W4" s="127" t="s">
        <v>620</v>
      </c>
      <c r="AD4" s="158" t="str">
        <f>IF(UPPER(AE3)="Y","  Path (Draw. Gen., MP, excel)","")</f>
        <v xml:space="preserve">  Path (Draw. Gen., MP, excel)</v>
      </c>
      <c r="AE4" s="125" t="s">
        <v>626</v>
      </c>
      <c r="AH4" s="157" t="s">
        <v>466</v>
      </c>
      <c r="AI4" s="234"/>
      <c r="AJ4" s="235"/>
    </row>
    <row r="5" spans="5:36">
      <c r="J5" s="159" t="s">
        <v>184</v>
      </c>
      <c r="K5" s="129" t="s">
        <v>596</v>
      </c>
      <c r="N5" s="152" t="s">
        <v>463</v>
      </c>
      <c r="V5" s="159" t="s">
        <v>304</v>
      </c>
      <c r="W5" s="129" t="s">
        <v>647</v>
      </c>
      <c r="AD5" s="159" t="str">
        <f>IF(UPPER(AE3)="Y","  Path (for saving, MP)","")</f>
        <v xml:space="preserve">  Path (for saving, MP)</v>
      </c>
      <c r="AE5" s="129" t="s">
        <v>620</v>
      </c>
    </row>
    <row r="6" spans="5:36">
      <c r="E6" s="152" t="s">
        <v>269</v>
      </c>
      <c r="J6" s="156" t="str">
        <f>IF(F39="DNV","SN curves for driving (base material)","")</f>
        <v/>
      </c>
      <c r="K6" s="125" t="s">
        <v>149</v>
      </c>
      <c r="N6" s="154" t="s">
        <v>465</v>
      </c>
      <c r="O6" s="123" t="s">
        <v>618</v>
      </c>
      <c r="V6" s="158" t="s">
        <v>188</v>
      </c>
      <c r="W6" s="130" t="s">
        <v>646</v>
      </c>
      <c r="AD6" s="158" t="str">
        <f>IF(UPPER(AE3)="Y","  File name (for saving, MP)","")</f>
        <v xml:space="preserve">  File name (for saving, MP)</v>
      </c>
      <c r="AE6" s="125" t="s">
        <v>622</v>
      </c>
      <c r="AH6" s="152" t="s">
        <v>475</v>
      </c>
    </row>
    <row r="7" spans="5:36">
      <c r="E7" s="155" t="s">
        <v>132</v>
      </c>
      <c r="F7" s="122" t="s">
        <v>52</v>
      </c>
      <c r="G7" s="160"/>
      <c r="J7" s="161" t="s">
        <v>342</v>
      </c>
      <c r="K7" s="131" t="s">
        <v>71</v>
      </c>
      <c r="N7" s="157" t="s">
        <v>464</v>
      </c>
      <c r="O7" s="126" t="s">
        <v>593</v>
      </c>
      <c r="V7" s="159" t="s">
        <v>189</v>
      </c>
      <c r="W7" s="129" t="s">
        <v>648</v>
      </c>
      <c r="AD7" s="159" t="s">
        <v>329</v>
      </c>
      <c r="AE7" s="129" t="s">
        <v>170</v>
      </c>
      <c r="AH7" s="155" t="s">
        <v>476</v>
      </c>
      <c r="AI7" s="123" t="s">
        <v>71</v>
      </c>
    </row>
    <row r="8" spans="5:36">
      <c r="E8" s="158" t="s">
        <v>137</v>
      </c>
      <c r="F8" s="124">
        <v>-43.5</v>
      </c>
      <c r="G8" s="162" t="str">
        <f>"m"&amp;$F$7</f>
        <v>mLAT</v>
      </c>
      <c r="V8" s="158" t="s">
        <v>300</v>
      </c>
      <c r="W8" s="127"/>
      <c r="AD8" s="158" t="str">
        <f>IF(UPPER(AE7)="Y","  Path (Draw. Gen., TP, excel)","")</f>
        <v xml:space="preserve">  Path (Draw. Gen., TP, excel)</v>
      </c>
      <c r="AE8" s="125" t="s">
        <v>626</v>
      </c>
      <c r="AH8" s="158" t="s">
        <v>482</v>
      </c>
      <c r="AI8" s="127" t="s">
        <v>71</v>
      </c>
    </row>
    <row r="9" spans="5:36">
      <c r="E9" s="159" t="s">
        <v>182</v>
      </c>
      <c r="F9" s="128">
        <v>21.47</v>
      </c>
      <c r="G9" s="163" t="str">
        <f>"m"&amp;$F$7</f>
        <v>mLAT</v>
      </c>
      <c r="V9" s="159" t="s">
        <v>301</v>
      </c>
      <c r="W9" s="129"/>
      <c r="AD9" s="159" t="str">
        <f>IF(UPPER(AE7)="Y","  Path (for saving, TP)","")</f>
        <v xml:space="preserve">  Path (for saving, TP)</v>
      </c>
      <c r="AE9" s="129" t="s">
        <v>620</v>
      </c>
      <c r="AH9" s="159" t="s">
        <v>478</v>
      </c>
      <c r="AI9" s="129" t="s">
        <v>71</v>
      </c>
    </row>
    <row r="10" spans="5:36">
      <c r="E10" s="158" t="s">
        <v>183</v>
      </c>
      <c r="F10" s="124">
        <v>5.8</v>
      </c>
      <c r="G10" s="162" t="str">
        <f>"m"&amp;$F$7</f>
        <v>mLAT</v>
      </c>
      <c r="V10" s="158" t="s">
        <v>324</v>
      </c>
      <c r="W10" s="127" t="s">
        <v>170</v>
      </c>
      <c r="AD10" s="164" t="str">
        <f>IF(UPPER(AE7)="Y","  File name (for saving, TP)","")</f>
        <v xml:space="preserve">  File name (for saving, TP)</v>
      </c>
      <c r="AE10" s="126" t="s">
        <v>627</v>
      </c>
      <c r="AH10" s="158" t="s">
        <v>479</v>
      </c>
      <c r="AI10" s="127" t="s">
        <v>71</v>
      </c>
    </row>
    <row r="11" spans="5:36">
      <c r="E11" s="159" t="s">
        <v>143</v>
      </c>
      <c r="F11" s="128">
        <v>1.0249999999999999</v>
      </c>
      <c r="G11" s="163" t="s">
        <v>144</v>
      </c>
      <c r="V11" s="159" t="s">
        <v>325</v>
      </c>
      <c r="W11" s="129" t="s">
        <v>170</v>
      </c>
      <c r="Z11" s="152" t="s">
        <v>468</v>
      </c>
      <c r="AH11" s="159" t="s">
        <v>477</v>
      </c>
      <c r="AI11" s="129" t="s">
        <v>71</v>
      </c>
    </row>
    <row r="12" spans="5:36">
      <c r="E12" s="158" t="s">
        <v>417</v>
      </c>
      <c r="F12" s="124">
        <v>0.3</v>
      </c>
      <c r="G12" s="162" t="s">
        <v>259</v>
      </c>
      <c r="V12" s="158" t="s">
        <v>326</v>
      </c>
      <c r="W12" s="127" t="s">
        <v>71</v>
      </c>
      <c r="Z12" s="153" t="s">
        <v>467</v>
      </c>
      <c r="AA12" s="133" t="s">
        <v>642</v>
      </c>
      <c r="AH12" s="158" t="s">
        <v>480</v>
      </c>
      <c r="AI12" s="127" t="s">
        <v>71</v>
      </c>
    </row>
    <row r="13" spans="5:36">
      <c r="E13" s="165" t="s">
        <v>418</v>
      </c>
      <c r="F13" s="132">
        <v>0.15</v>
      </c>
      <c r="G13" s="166" t="s">
        <v>259</v>
      </c>
      <c r="V13" s="159" t="s">
        <v>327</v>
      </c>
      <c r="W13" s="129" t="s">
        <v>71</v>
      </c>
      <c r="AH13" s="165" t="s">
        <v>481</v>
      </c>
      <c r="AI13" s="131" t="s">
        <v>71</v>
      </c>
    </row>
    <row r="14" spans="5:36">
      <c r="V14" s="157" t="s">
        <v>267</v>
      </c>
      <c r="W14" s="126">
        <v>1.0900000000000001</v>
      </c>
      <c r="Z14" s="155" t="s">
        <v>152</v>
      </c>
      <c r="AA14" s="225" t="s">
        <v>645</v>
      </c>
    </row>
    <row r="15" spans="5:36">
      <c r="E15" s="152" t="s">
        <v>157</v>
      </c>
      <c r="Z15" s="158" t="s">
        <v>643</v>
      </c>
      <c r="AA15" s="226" t="s">
        <v>645</v>
      </c>
      <c r="AJ15" s="221"/>
    </row>
    <row r="16" spans="5:36">
      <c r="E16" s="155" t="s">
        <v>158</v>
      </c>
      <c r="F16" s="122">
        <v>8.1</v>
      </c>
      <c r="G16" s="160" t="str">
        <f>"m"&amp;$F$7</f>
        <v>mLAT</v>
      </c>
      <c r="Z16" s="159" t="s">
        <v>153</v>
      </c>
      <c r="AA16" s="227" t="s">
        <v>645</v>
      </c>
      <c r="AJ16" s="222" t="s">
        <v>589</v>
      </c>
    </row>
    <row r="17" spans="5:36">
      <c r="E17" s="158" t="s">
        <v>159</v>
      </c>
      <c r="F17" s="124">
        <v>-3.4</v>
      </c>
      <c r="G17" s="162" t="str">
        <f>"m"&amp;$F$7</f>
        <v>mLAT</v>
      </c>
      <c r="Z17" s="158" t="s">
        <v>154</v>
      </c>
      <c r="AA17" s="226" t="s">
        <v>645</v>
      </c>
      <c r="AJ17" s="221"/>
    </row>
    <row r="18" spans="5:36">
      <c r="E18" s="159" t="s">
        <v>160</v>
      </c>
      <c r="F18" s="128">
        <v>3</v>
      </c>
      <c r="G18" s="163" t="str">
        <f>"m"&amp;$F$7</f>
        <v>mLAT</v>
      </c>
      <c r="Z18" s="159" t="s">
        <v>305</v>
      </c>
      <c r="AA18" s="227" t="s">
        <v>645</v>
      </c>
    </row>
    <row r="19" spans="5:36">
      <c r="E19" s="164" t="s">
        <v>161</v>
      </c>
      <c r="F19" s="134">
        <v>-0.6</v>
      </c>
      <c r="G19" s="167" t="str">
        <f>"m"&amp;$F$7</f>
        <v>mLAT</v>
      </c>
      <c r="Z19" s="158" t="s">
        <v>155</v>
      </c>
      <c r="AA19" s="226" t="s">
        <v>645</v>
      </c>
    </row>
    <row r="20" spans="5:36">
      <c r="F20" s="8"/>
      <c r="Z20" s="159" t="s">
        <v>644</v>
      </c>
      <c r="AA20" s="227" t="s">
        <v>645</v>
      </c>
    </row>
    <row r="21" spans="5:36">
      <c r="E21" s="152" t="s">
        <v>127</v>
      </c>
      <c r="F21" s="8"/>
      <c r="Z21" s="164" t="s">
        <v>156</v>
      </c>
      <c r="AA21" s="228" t="s">
        <v>645</v>
      </c>
    </row>
    <row r="22" spans="5:36">
      <c r="E22" s="155" t="s">
        <v>194</v>
      </c>
      <c r="F22" s="135">
        <v>0</v>
      </c>
      <c r="G22" s="160" t="str">
        <f>"m"&amp;$F$7</f>
        <v>mLAT</v>
      </c>
    </row>
    <row r="23" spans="5:36">
      <c r="E23" s="158" t="s">
        <v>162</v>
      </c>
      <c r="F23" s="136">
        <v>-15</v>
      </c>
      <c r="G23" s="162" t="s">
        <v>164</v>
      </c>
    </row>
    <row r="24" spans="5:36">
      <c r="E24" s="159" t="s">
        <v>258</v>
      </c>
      <c r="F24" s="137">
        <v>-5</v>
      </c>
      <c r="G24" s="168" t="s">
        <v>164</v>
      </c>
    </row>
    <row r="25" spans="5:36">
      <c r="E25" s="164" t="s">
        <v>163</v>
      </c>
      <c r="F25" s="138">
        <v>-10</v>
      </c>
      <c r="G25" s="169" t="s">
        <v>164</v>
      </c>
    </row>
    <row r="26" spans="5:36">
      <c r="F26" s="8"/>
    </row>
    <row r="27" spans="5:36">
      <c r="E27" s="152" t="s">
        <v>270</v>
      </c>
      <c r="F27" s="8"/>
    </row>
    <row r="28" spans="5:36">
      <c r="E28" s="155" t="s">
        <v>273</v>
      </c>
      <c r="F28" s="139">
        <v>1</v>
      </c>
      <c r="G28" s="160"/>
    </row>
    <row r="29" spans="5:36">
      <c r="E29" s="158" t="s">
        <v>274</v>
      </c>
      <c r="F29" s="140">
        <v>1.1000000000000001</v>
      </c>
      <c r="G29" s="162"/>
    </row>
    <row r="30" spans="5:36">
      <c r="E30" s="159" t="s">
        <v>199</v>
      </c>
      <c r="F30" s="141" t="s">
        <v>138</v>
      </c>
      <c r="G30" s="163"/>
    </row>
    <row r="31" spans="5:36">
      <c r="E31" s="158" t="s">
        <v>200</v>
      </c>
      <c r="F31" s="142" t="s">
        <v>138</v>
      </c>
      <c r="G31" s="162"/>
    </row>
    <row r="32" spans="5:36">
      <c r="E32" s="165" t="s">
        <v>195</v>
      </c>
      <c r="F32" s="132">
        <v>0.66666666666666663</v>
      </c>
      <c r="G32" s="166"/>
    </row>
    <row r="34" spans="5:7">
      <c r="E34" s="152" t="s">
        <v>165</v>
      </c>
    </row>
    <row r="35" spans="5:7">
      <c r="E35" s="154" t="s">
        <v>139</v>
      </c>
      <c r="F35" s="139">
        <v>3.8</v>
      </c>
      <c r="G35" s="160" t="str">
        <f>"m"&amp;$F$7</f>
        <v>mLAT</v>
      </c>
    </row>
    <row r="36" spans="5:7">
      <c r="E36" s="157" t="s">
        <v>166</v>
      </c>
      <c r="F36" s="143">
        <v>17.3</v>
      </c>
      <c r="G36" s="169" t="str">
        <f>"m"&amp;$F$7</f>
        <v>mLAT</v>
      </c>
    </row>
    <row r="38" spans="5:7">
      <c r="E38" s="152" t="s">
        <v>271</v>
      </c>
    </row>
    <row r="39" spans="5:7">
      <c r="E39" s="154" t="s">
        <v>341</v>
      </c>
      <c r="F39" s="135" t="s">
        <v>149</v>
      </c>
      <c r="G39" s="160"/>
    </row>
    <row r="40" spans="5:7">
      <c r="E40" s="156" t="s">
        <v>41</v>
      </c>
      <c r="F40" s="140">
        <v>36</v>
      </c>
      <c r="G40" s="162" t="s">
        <v>272</v>
      </c>
    </row>
    <row r="41" spans="5:7">
      <c r="E41" s="170" t="s">
        <v>167</v>
      </c>
      <c r="F41" s="144">
        <v>35</v>
      </c>
      <c r="G41" s="163" t="s">
        <v>272</v>
      </c>
    </row>
    <row r="42" spans="5:7">
      <c r="E42" s="156" t="s">
        <v>168</v>
      </c>
      <c r="F42" s="140">
        <v>24</v>
      </c>
      <c r="G42" s="162" t="s">
        <v>272</v>
      </c>
    </row>
    <row r="43" spans="5:7">
      <c r="E43" s="170" t="s">
        <v>171</v>
      </c>
      <c r="F43" s="145" t="s">
        <v>71</v>
      </c>
      <c r="G43" s="163"/>
    </row>
    <row r="44" spans="5:7">
      <c r="E44" s="156" t="str">
        <f>IF(UPPER(F43)="N","","  Inspection is possible above")</f>
        <v/>
      </c>
      <c r="F44" s="140">
        <v>0</v>
      </c>
      <c r="G44" s="162" t="str">
        <f>IF(F43="N","","m"&amp;$F$7)</f>
        <v/>
      </c>
    </row>
    <row r="45" spans="5:7">
      <c r="E45" s="170" t="s">
        <v>197</v>
      </c>
      <c r="F45" s="144">
        <v>0.03</v>
      </c>
      <c r="G45" s="163"/>
    </row>
    <row r="46" spans="5:7">
      <c r="E46" s="156" t="s">
        <v>198</v>
      </c>
      <c r="F46" s="140">
        <v>0.03</v>
      </c>
      <c r="G46" s="162"/>
    </row>
    <row r="47" spans="5:7">
      <c r="E47" s="170" t="s">
        <v>169</v>
      </c>
      <c r="F47" s="145" t="s">
        <v>71</v>
      </c>
      <c r="G47" s="163"/>
    </row>
    <row r="48" spans="5:7">
      <c r="E48" s="156" t="str">
        <f>IF(UPPER(F47)="Y","  Value to consider for detailed driving damage (long. welds)","  Value to consider for detailed driving damage (circ. and long. welds)")</f>
        <v xml:space="preserve">  Value to consider for detailed driving damage (circ. and long. welds)</v>
      </c>
      <c r="F48" s="140">
        <v>0.1</v>
      </c>
      <c r="G48" s="162"/>
    </row>
    <row r="49" spans="5:7">
      <c r="E49" s="159" t="str">
        <f>IF(UPPER(F47)="Y","","  Value to consider for detailed driving damage (attachments)")</f>
        <v xml:space="preserve">  Value to consider for detailed driving damage (attachments)</v>
      </c>
      <c r="F49" s="144">
        <v>0.2</v>
      </c>
      <c r="G49" s="168"/>
    </row>
    <row r="50" spans="5:7">
      <c r="E50" s="156" t="str">
        <f>IF(UPPER(F47)="Y","","  Include detailed driving damage in report anyway?")</f>
        <v xml:space="preserve">  Include detailed driving damage in report anyway?</v>
      </c>
      <c r="F50" s="140" t="s">
        <v>71</v>
      </c>
      <c r="G50" s="162"/>
    </row>
    <row r="51" spans="5:7">
      <c r="E51" s="159" t="s">
        <v>343</v>
      </c>
      <c r="F51" s="145" t="s">
        <v>71</v>
      </c>
      <c r="G51" s="168"/>
    </row>
    <row r="52" spans="5:7">
      <c r="E52" s="156" t="s">
        <v>289</v>
      </c>
      <c r="F52" s="146">
        <v>10000000</v>
      </c>
      <c r="G52" s="162"/>
    </row>
    <row r="53" spans="5:7">
      <c r="E53" s="159" t="s">
        <v>290</v>
      </c>
      <c r="F53" s="171">
        <f>IF(F39="EC",2000000,10000000)</f>
        <v>2000000</v>
      </c>
      <c r="G53" s="168"/>
    </row>
    <row r="54" spans="5:7">
      <c r="E54" s="156" t="str">
        <f>IF(F39="EC","Scaling factor for m=4","Scaling factor for m=5")</f>
        <v>Scaling factor for m=4</v>
      </c>
      <c r="F54" s="172">
        <f>(F52/F53)^(1/IF(F39="EC",4,5))</f>
        <v>1.4953487812212205</v>
      </c>
      <c r="G54" s="162"/>
    </row>
    <row r="55" spans="5:7">
      <c r="E55" s="159" t="s">
        <v>291</v>
      </c>
      <c r="F55" s="173">
        <f>(F52/F53)^(1/3)</f>
        <v>1.7099759466766968</v>
      </c>
      <c r="G55" s="168"/>
    </row>
    <row r="56" spans="5:7">
      <c r="E56" s="156" t="str">
        <f>IF(F39="DNV","Scaling factor for SN curve (in air)","")</f>
        <v/>
      </c>
      <c r="F56" s="147">
        <v>1</v>
      </c>
      <c r="G56" s="162"/>
    </row>
    <row r="57" spans="5:7">
      <c r="E57" s="165" t="str">
        <f>IF(F39="DNV","Scaling factor for SN curve (splash zone above water)","")</f>
        <v/>
      </c>
      <c r="F57" s="148">
        <v>1</v>
      </c>
      <c r="G57" s="174"/>
    </row>
    <row r="59" spans="5:7">
      <c r="E59" s="152" t="s">
        <v>332</v>
      </c>
    </row>
    <row r="60" spans="5:7">
      <c r="E60" s="154" t="s">
        <v>428</v>
      </c>
      <c r="F60" s="149">
        <v>1</v>
      </c>
      <c r="G60" s="160"/>
    </row>
    <row r="61" spans="5:7">
      <c r="E61" s="156" t="s">
        <v>427</v>
      </c>
      <c r="F61" s="175">
        <f>IF(F39="EC",4,5)</f>
        <v>4</v>
      </c>
      <c r="G61" s="162"/>
    </row>
    <row r="62" spans="5:7">
      <c r="E62" s="170" t="s">
        <v>424</v>
      </c>
      <c r="F62" s="176">
        <f>F46+(1-F46)/F60^F61</f>
        <v>1</v>
      </c>
      <c r="G62" s="163"/>
    </row>
    <row r="63" spans="5:7">
      <c r="E63" s="156" t="s">
        <v>425</v>
      </c>
      <c r="F63" s="177">
        <f>F45+F48+(1-(F45+F48))/F60^F61</f>
        <v>1</v>
      </c>
      <c r="G63" s="162"/>
    </row>
    <row r="64" spans="5:7">
      <c r="E64" s="165" t="s">
        <v>426</v>
      </c>
      <c r="F64" s="178">
        <f>F45+F49+(1-(F45+F49))/F60^F61</f>
        <v>1</v>
      </c>
      <c r="G64" s="174"/>
    </row>
    <row r="66" spans="5:7">
      <c r="E66" s="152" t="s">
        <v>340</v>
      </c>
    </row>
    <row r="67" spans="5:7">
      <c r="E67" s="154" t="s">
        <v>336</v>
      </c>
      <c r="F67" s="139">
        <v>3</v>
      </c>
      <c r="G67" s="160" t="s">
        <v>91</v>
      </c>
    </row>
    <row r="68" spans="5:7">
      <c r="E68" s="156" t="s">
        <v>337</v>
      </c>
      <c r="F68" s="140">
        <v>4</v>
      </c>
      <c r="G68" s="162" t="s">
        <v>91</v>
      </c>
    </row>
    <row r="69" spans="5:7">
      <c r="E69" s="170" t="s">
        <v>338</v>
      </c>
      <c r="F69" s="144">
        <v>2</v>
      </c>
      <c r="G69" s="163" t="s">
        <v>91</v>
      </c>
    </row>
    <row r="70" spans="5:7">
      <c r="E70" s="156" t="s">
        <v>339</v>
      </c>
      <c r="F70" s="140">
        <v>3</v>
      </c>
      <c r="G70" s="162" t="s">
        <v>91</v>
      </c>
    </row>
    <row r="71" spans="5:7">
      <c r="E71" s="170" t="s">
        <v>333</v>
      </c>
      <c r="F71" s="144">
        <v>105</v>
      </c>
      <c r="G71" s="163" t="s">
        <v>5</v>
      </c>
    </row>
    <row r="72" spans="5:7">
      <c r="E72" s="157" t="s">
        <v>334</v>
      </c>
      <c r="F72" s="143">
        <v>125</v>
      </c>
      <c r="G72" s="169"/>
    </row>
    <row r="74" spans="5:7">
      <c r="E74" s="152" t="s">
        <v>335</v>
      </c>
    </row>
    <row r="75" spans="5:7">
      <c r="E75" s="154" t="s">
        <v>336</v>
      </c>
      <c r="F75" s="139">
        <v>0.5</v>
      </c>
      <c r="G75" s="160" t="s">
        <v>91</v>
      </c>
    </row>
    <row r="76" spans="5:7">
      <c r="E76" s="156" t="s">
        <v>337</v>
      </c>
      <c r="F76" s="140">
        <v>4.0519999999999996</v>
      </c>
      <c r="G76" s="162" t="s">
        <v>91</v>
      </c>
    </row>
    <row r="77" spans="5:7">
      <c r="E77" s="170" t="s">
        <v>338</v>
      </c>
      <c r="F77" s="144">
        <v>0.5</v>
      </c>
      <c r="G77" s="163" t="s">
        <v>91</v>
      </c>
    </row>
    <row r="78" spans="5:7">
      <c r="E78" s="156" t="s">
        <v>339</v>
      </c>
      <c r="F78" s="140">
        <v>3.9940000000000002</v>
      </c>
      <c r="G78" s="162" t="s">
        <v>91</v>
      </c>
    </row>
    <row r="79" spans="5:7">
      <c r="E79" s="170" t="s">
        <v>333</v>
      </c>
      <c r="F79" s="144">
        <v>105</v>
      </c>
      <c r="G79" s="163" t="s">
        <v>5</v>
      </c>
    </row>
    <row r="80" spans="5:7">
      <c r="E80" s="157" t="s">
        <v>334</v>
      </c>
      <c r="F80" s="143">
        <v>125</v>
      </c>
      <c r="G80" s="169"/>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election activeCell="C24" sqref="C24"/>
    </sheetView>
  </sheetViews>
  <sheetFormatPr baseColWidth="10" defaultRowHeight="14.4"/>
  <cols>
    <col min="2" max="2" width="10.77734375" customWidth="1"/>
    <col min="3" max="3" width="80.5546875" customWidth="1"/>
  </cols>
  <sheetData>
    <row r="2" spans="2:3">
      <c r="B2" s="69" t="s">
        <v>471</v>
      </c>
    </row>
    <row r="3" spans="2:3">
      <c r="B3" s="68" t="s">
        <v>472</v>
      </c>
      <c r="C3" s="63"/>
    </row>
    <row r="4" spans="2:3">
      <c r="B4" s="66" t="s">
        <v>473</v>
      </c>
      <c r="C4" s="65"/>
    </row>
    <row r="5" spans="2:3">
      <c r="B5" s="67" t="s">
        <v>474</v>
      </c>
      <c r="C5" s="64"/>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0"/>
  <sheetViews>
    <sheetView topLeftCell="D1" zoomScale="115" zoomScaleNormal="115" workbookViewId="0">
      <selection activeCell="S19" sqref="S19"/>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8" t="str">
        <f>IF(Control!$F$43="Y","NOTE","")</f>
        <v/>
      </c>
      <c r="D2" s="248"/>
      <c r="E2" s="248"/>
      <c r="F2" s="248"/>
      <c r="G2" s="248"/>
      <c r="H2" s="248"/>
      <c r="I2" s="248"/>
      <c r="J2" s="248"/>
      <c r="K2" s="248"/>
      <c r="L2" s="248"/>
      <c r="V2" s="111" t="s">
        <v>408</v>
      </c>
      <c r="W2" s="111" t="s">
        <v>398</v>
      </c>
      <c r="X2" s="111" t="s">
        <v>423</v>
      </c>
    </row>
    <row r="3" spans="3:48">
      <c r="C3" s="249" t="str">
        <f>IF(Control!$F$43="Y","Inspection is considered in structural design (cell C39 in sheet ""Control"").","")</f>
        <v/>
      </c>
      <c r="D3" s="249"/>
      <c r="E3" s="249"/>
      <c r="F3" s="249"/>
      <c r="G3" s="249"/>
      <c r="H3" s="249"/>
      <c r="I3" s="249"/>
      <c r="J3" s="249"/>
      <c r="K3" s="249"/>
      <c r="L3" s="249"/>
      <c r="S3" s="250" t="s">
        <v>332</v>
      </c>
      <c r="T3" s="251"/>
      <c r="U3" s="251"/>
      <c r="V3" s="108">
        <f>Control!$F$62</f>
        <v>1</v>
      </c>
      <c r="W3" s="108">
        <f>Control!$F$63</f>
        <v>1</v>
      </c>
      <c r="X3" s="108">
        <f>Control!$F$64</f>
        <v>1</v>
      </c>
      <c r="Z3" s="224" t="s">
        <v>619</v>
      </c>
    </row>
    <row r="4" spans="3:48">
      <c r="C4" t="str">
        <f>"m"&amp;Control!$F$7</f>
        <v>mLAT</v>
      </c>
      <c r="S4" s="250" t="s">
        <v>331</v>
      </c>
      <c r="T4" s="251"/>
      <c r="U4" s="251"/>
      <c r="V4" s="252">
        <v>1</v>
      </c>
      <c r="W4" s="252"/>
      <c r="X4" s="252"/>
    </row>
    <row r="5" spans="3:48">
      <c r="M5" s="223"/>
    </row>
    <row r="7" spans="3:48">
      <c r="C7" t="s">
        <v>172</v>
      </c>
      <c r="N7" t="s">
        <v>216</v>
      </c>
      <c r="AD7" s="35" t="s">
        <v>210</v>
      </c>
      <c r="AH7" s="39"/>
      <c r="AP7" s="109" t="s">
        <v>444</v>
      </c>
      <c r="AQ7" s="109"/>
      <c r="AU7" s="109" t="s">
        <v>444</v>
      </c>
      <c r="AV7" s="109" t="s">
        <v>461</v>
      </c>
    </row>
    <row r="8" spans="3:48">
      <c r="N8" s="109" t="s">
        <v>444</v>
      </c>
      <c r="AA8" s="109" t="s">
        <v>444</v>
      </c>
      <c r="AH8" s="39"/>
    </row>
    <row r="9" spans="3:48" ht="14.85" customHeight="1">
      <c r="C9" s="238" t="s">
        <v>443</v>
      </c>
      <c r="D9" s="111" t="s">
        <v>581</v>
      </c>
      <c r="E9" s="111" t="s">
        <v>582</v>
      </c>
      <c r="F9" s="111" t="s">
        <v>586</v>
      </c>
      <c r="G9" s="111" t="s">
        <v>587</v>
      </c>
      <c r="H9" s="111" t="s">
        <v>5</v>
      </c>
      <c r="I9" s="111" t="s">
        <v>585</v>
      </c>
      <c r="J9" s="111" t="s">
        <v>583</v>
      </c>
      <c r="K9" s="111" t="s">
        <v>584</v>
      </c>
      <c r="L9" s="111" t="s">
        <v>261</v>
      </c>
      <c r="M9" s="236" t="s">
        <v>260</v>
      </c>
      <c r="N9" s="243" t="s">
        <v>292</v>
      </c>
      <c r="P9" s="247" t="s">
        <v>447</v>
      </c>
      <c r="Q9" s="247"/>
      <c r="S9" s="240" t="s">
        <v>440</v>
      </c>
      <c r="T9" s="246"/>
      <c r="U9" s="246"/>
      <c r="V9" s="246"/>
      <c r="W9" s="241"/>
      <c r="X9" s="240" t="s">
        <v>178</v>
      </c>
      <c r="Y9" s="241"/>
      <c r="AA9" s="240" t="s">
        <v>448</v>
      </c>
      <c r="AB9" s="241"/>
      <c r="AD9" s="238" t="s">
        <v>208</v>
      </c>
      <c r="AE9" s="238" t="s">
        <v>209</v>
      </c>
      <c r="AF9" s="111" t="s">
        <v>53</v>
      </c>
      <c r="AG9" s="111" t="s">
        <v>212</v>
      </c>
      <c r="AH9" s="238" t="s">
        <v>578</v>
      </c>
      <c r="AI9" s="238" t="s">
        <v>579</v>
      </c>
      <c r="AJ9" s="236" t="s">
        <v>577</v>
      </c>
      <c r="AK9" s="238" t="s">
        <v>0</v>
      </c>
      <c r="AL9" s="111" t="s">
        <v>105</v>
      </c>
      <c r="AM9" s="111" t="s">
        <v>5</v>
      </c>
      <c r="AN9" s="236" t="s">
        <v>459</v>
      </c>
      <c r="AP9" s="242" t="s">
        <v>445</v>
      </c>
      <c r="AQ9" s="242"/>
      <c r="AS9" s="54" t="s">
        <v>219</v>
      </c>
      <c r="AU9" s="236" t="s">
        <v>448</v>
      </c>
      <c r="AV9" s="236" t="s">
        <v>460</v>
      </c>
    </row>
    <row r="10" spans="3:48">
      <c r="C10" s="239"/>
      <c r="D10" s="111" t="str">
        <f>"[m"&amp;Control!$F$7&amp;"]"</f>
        <v>[mLAT]</v>
      </c>
      <c r="E10" s="111" t="str">
        <f>"[m"&amp;Control!$F$7&amp;"]"</f>
        <v>[mLAT]</v>
      </c>
      <c r="F10" s="111" t="s">
        <v>9</v>
      </c>
      <c r="G10" s="111" t="s">
        <v>9</v>
      </c>
      <c r="H10" s="111" t="s">
        <v>10</v>
      </c>
      <c r="I10" s="111" t="s">
        <v>9</v>
      </c>
      <c r="J10" s="111" t="s">
        <v>11</v>
      </c>
      <c r="K10" s="111" t="s">
        <v>12</v>
      </c>
      <c r="L10" s="111" t="s">
        <v>16</v>
      </c>
      <c r="M10" s="237"/>
      <c r="N10" s="244"/>
      <c r="P10" s="247"/>
      <c r="Q10" s="247"/>
      <c r="S10" s="238" t="s">
        <v>173</v>
      </c>
      <c r="T10" s="238" t="s">
        <v>174</v>
      </c>
      <c r="U10" s="238" t="s">
        <v>175</v>
      </c>
      <c r="V10" s="238" t="s">
        <v>176</v>
      </c>
      <c r="W10" s="238" t="s">
        <v>177</v>
      </c>
      <c r="X10" s="111" t="s">
        <v>179</v>
      </c>
      <c r="Y10" s="111" t="s">
        <v>180</v>
      </c>
      <c r="AA10" s="236" t="s">
        <v>449</v>
      </c>
      <c r="AB10" s="111" t="s">
        <v>178</v>
      </c>
      <c r="AD10" s="239"/>
      <c r="AE10" s="239"/>
      <c r="AF10" s="111" t="str">
        <f>"[m"&amp;Control!$F$7&amp;"]"</f>
        <v>[mLAT]</v>
      </c>
      <c r="AG10" s="111" t="s">
        <v>10</v>
      </c>
      <c r="AH10" s="239"/>
      <c r="AI10" s="239"/>
      <c r="AJ10" s="237"/>
      <c r="AK10" s="239"/>
      <c r="AL10" s="111" t="s">
        <v>9</v>
      </c>
      <c r="AM10" s="111" t="s">
        <v>10</v>
      </c>
      <c r="AN10" s="237"/>
      <c r="AP10" s="118" t="s">
        <v>25</v>
      </c>
      <c r="AQ10" s="118" t="s">
        <v>26</v>
      </c>
      <c r="AS10" s="54" t="s">
        <v>220</v>
      </c>
      <c r="AU10" s="237"/>
      <c r="AV10" s="237"/>
    </row>
    <row r="11" spans="3:48">
      <c r="C11" s="112">
        <v>1</v>
      </c>
      <c r="D11" s="44">
        <v>21.47</v>
      </c>
      <c r="E11" s="44">
        <v>17.5</v>
      </c>
      <c r="F11" s="44">
        <v>8</v>
      </c>
      <c r="G11" s="44">
        <v>8</v>
      </c>
      <c r="H11" s="45">
        <v>117</v>
      </c>
      <c r="I11" s="113">
        <f t="shared" ref="I11:I13" si="0">D11-E11</f>
        <v>3.9699999999999989</v>
      </c>
      <c r="J11" s="114">
        <f t="shared" ref="J11:J13" si="1">ATAN((G11-F11)/(2*I11))/PI()*180</f>
        <v>0</v>
      </c>
      <c r="K11" s="59">
        <f t="shared" ref="K11:K13" si="2">IF(J11=0,PI()/4*(F11^2-(F11-(2*H11/1000))^2)*I11*7850/1000,(I11*PI()/12)*((G11^2+G11*F11+F11^2)-((G11-2*(H11/1000))^2+(G11-(2*H11/1000))*(F11-(2*H11/1000))+(F11-(2*H11/1000))^2))*7850/1000)</f>
        <v>90.299932258163423</v>
      </c>
      <c r="L11" s="59">
        <f t="shared" ref="L11:L13" si="3">MAX(F11:G11)/H11*1000</f>
        <v>68.376068376068389</v>
      </c>
      <c r="M11" s="75" t="s">
        <v>109</v>
      </c>
      <c r="N11" s="245"/>
      <c r="P11" s="118" t="s">
        <v>25</v>
      </c>
      <c r="Q11" s="118" t="s">
        <v>26</v>
      </c>
      <c r="S11" s="239"/>
      <c r="T11" s="239"/>
      <c r="U11" s="239"/>
      <c r="V11" s="239"/>
      <c r="W11" s="239"/>
      <c r="X11" s="60">
        <f>MAX('ULS TP'!N33,'ULS TP'!N24)</f>
        <v>0.6652330736270532</v>
      </c>
      <c r="Y11" s="60">
        <f>MAX('ULS TP'!O33,'ULS TP'!O24)</f>
        <v>0.53328918913467671</v>
      </c>
      <c r="AA11" s="237"/>
      <c r="AB11" s="44"/>
      <c r="AD11" s="53" t="s">
        <v>613</v>
      </c>
      <c r="AE11" s="53" t="s">
        <v>614</v>
      </c>
      <c r="AF11" s="44">
        <v>20</v>
      </c>
      <c r="AG11" s="44">
        <v>1.2</v>
      </c>
      <c r="AH11" s="53" t="s">
        <v>192</v>
      </c>
      <c r="AI11" s="53" t="s">
        <v>442</v>
      </c>
      <c r="AJ11" s="53"/>
      <c r="AK11" s="115">
        <f t="shared" ref="AK11:AK18" si="4">MATCH(AF11,$D$11:$D$21,-1)</f>
        <v>1</v>
      </c>
      <c r="AL11" s="113">
        <f t="shared" ref="AL11:AL18" si="5">INDEX($F$11:$F$21,AK11)+(INDEX($G$11:$G$21,AK11)-INDEX($F$11:$F$21,AK11))/(INDEX($E$11:$E$21,AK11)-INDEX($D$11:$D$21,AK11))*(AF11-INDEX($D$11:$D$21,AK11))</f>
        <v>8</v>
      </c>
      <c r="AM11" s="115">
        <f t="shared" ref="AM11:AM18" si="6">INDEX($H$11:$H$21,AK11)</f>
        <v>117</v>
      </c>
      <c r="AN11" s="113" cm="1">
        <f t="array" ref="AN11">MIN(ABS(AF11-INDEX($D$11:$D$21,AK11)),ABS(AF11-INDEX($E$11:$E$21,AK11)))</f>
        <v>1.4699999999999989</v>
      </c>
      <c r="AP11" s="116"/>
      <c r="AQ11" s="116"/>
      <c r="AS11" s="60">
        <f>IF(AH11="o",'FLS TP'!Q80,'FLS TP'!R80)</f>
        <v>0.47310028006884319</v>
      </c>
      <c r="AU11" s="44"/>
      <c r="AV11" s="44"/>
    </row>
    <row r="12" spans="3:48">
      <c r="C12" s="112">
        <v>2</v>
      </c>
      <c r="D12" s="217">
        <f t="shared" ref="D12:D13" si="7">E11</f>
        <v>17.5</v>
      </c>
      <c r="E12" s="44">
        <v>13.5</v>
      </c>
      <c r="F12" s="44">
        <v>8</v>
      </c>
      <c r="G12" s="44">
        <v>8</v>
      </c>
      <c r="H12" s="45">
        <v>117</v>
      </c>
      <c r="I12" s="113">
        <f t="shared" si="0"/>
        <v>4</v>
      </c>
      <c r="J12" s="114">
        <f t="shared" si="1"/>
        <v>0</v>
      </c>
      <c r="K12" s="59">
        <f t="shared" si="2"/>
        <v>90.9822995044468</v>
      </c>
      <c r="L12" s="59">
        <f t="shared" si="3"/>
        <v>68.376068376068389</v>
      </c>
      <c r="M12" s="75" t="s">
        <v>109</v>
      </c>
      <c r="N12" s="117" t="s">
        <v>49</v>
      </c>
      <c r="P12" s="110"/>
      <c r="Q12" s="110"/>
      <c r="S12" s="60">
        <f>'FLS TP'!Q42</f>
        <v>0.48048484863409135</v>
      </c>
      <c r="T12" s="61">
        <f>'FLS TP'!R42</f>
        <v>0.4300458648535318</v>
      </c>
      <c r="U12" s="61">
        <f>'FLS TP'!Q50</f>
        <v>0.48048484863409135</v>
      </c>
      <c r="V12" s="61">
        <f>'FLS TP'!R50</f>
        <v>0.4300458648535318</v>
      </c>
      <c r="W12" s="61">
        <f>MAX(S12:V12)</f>
        <v>0.48048484863409135</v>
      </c>
      <c r="X12" s="60">
        <f>MAX('ULS TP'!N34,'ULS TP'!N25)</f>
        <v>0.58285087478584241</v>
      </c>
      <c r="Y12" s="60">
        <f>MAX('ULS TP'!O34,'ULS TP'!O25)</f>
        <v>0.54960388312210029</v>
      </c>
      <c r="AA12" s="44"/>
      <c r="AB12" s="44"/>
      <c r="AD12" s="53" t="s">
        <v>631</v>
      </c>
      <c r="AE12" s="53" t="s">
        <v>608</v>
      </c>
      <c r="AF12" s="44">
        <v>19.5</v>
      </c>
      <c r="AG12" s="44">
        <v>2</v>
      </c>
      <c r="AH12" s="53" t="s">
        <v>192</v>
      </c>
      <c r="AI12" s="53" t="s">
        <v>36</v>
      </c>
      <c r="AJ12" s="53">
        <v>0.85</v>
      </c>
      <c r="AK12" s="115">
        <f t="shared" si="4"/>
        <v>1</v>
      </c>
      <c r="AL12" s="113">
        <f t="shared" si="5"/>
        <v>8</v>
      </c>
      <c r="AM12" s="115">
        <f t="shared" si="6"/>
        <v>117</v>
      </c>
      <c r="AN12" s="113" cm="1">
        <f t="array" ref="AN12">MIN(ABS(AF12-INDEX($D$11:$D$21,AK12)),ABS(AF12-INDEX($E$11:$E$21,AK12)))</f>
        <v>1.9699999999999989</v>
      </c>
      <c r="AP12" s="116"/>
      <c r="AQ12" s="116"/>
      <c r="AS12" s="60">
        <f>IF(AH12="o",'FLS TP'!Q81,'FLS TP'!R81)</f>
        <v>0.79534768654094223</v>
      </c>
      <c r="AU12" s="44"/>
      <c r="AV12" s="44" t="s">
        <v>621</v>
      </c>
    </row>
    <row r="13" spans="3:48">
      <c r="C13" s="112">
        <v>3</v>
      </c>
      <c r="D13" s="217">
        <f t="shared" si="7"/>
        <v>13.5</v>
      </c>
      <c r="E13" s="44">
        <v>9.5</v>
      </c>
      <c r="F13" s="44">
        <v>8</v>
      </c>
      <c r="G13" s="44">
        <v>8</v>
      </c>
      <c r="H13" s="45">
        <v>124</v>
      </c>
      <c r="I13" s="113">
        <f t="shared" si="0"/>
        <v>4</v>
      </c>
      <c r="J13" s="114">
        <f t="shared" si="1"/>
        <v>0</v>
      </c>
      <c r="K13" s="59">
        <f t="shared" si="2"/>
        <v>96.340060208791726</v>
      </c>
      <c r="L13" s="59">
        <f t="shared" si="3"/>
        <v>64.516129032258064</v>
      </c>
      <c r="M13" s="75" t="s">
        <v>109</v>
      </c>
      <c r="N13" s="117" t="s">
        <v>49</v>
      </c>
      <c r="P13" s="110"/>
      <c r="Q13" s="110"/>
      <c r="S13" s="60">
        <f>'FLS TP'!Q43</f>
        <v>0.37661114516743377</v>
      </c>
      <c r="T13" s="61">
        <f>'FLS TP'!R43</f>
        <v>0.66315879737615024</v>
      </c>
      <c r="U13" s="61">
        <f>'FLS TP'!Q51</f>
        <v>0.32085049279496114</v>
      </c>
      <c r="V13" s="61">
        <f>'FLS TP'!R51</f>
        <v>0.55747931997586708</v>
      </c>
      <c r="W13" s="61">
        <f t="shared" ref="W13:W14" si="8">MAX(S13:V13)</f>
        <v>0.66315879737615024</v>
      </c>
      <c r="X13" s="60">
        <f>MAX('ULS TP'!N35,'ULS TP'!N26)</f>
        <v>0.66738052883883781</v>
      </c>
      <c r="Y13" s="60">
        <f>MAX('ULS TP'!O35,'ULS TP'!O26)</f>
        <v>0.53628610832100998</v>
      </c>
      <c r="AA13" s="44"/>
      <c r="AB13" s="44"/>
      <c r="AD13" s="53" t="s">
        <v>632</v>
      </c>
      <c r="AE13" s="53" t="s">
        <v>633</v>
      </c>
      <c r="AF13" s="44">
        <v>20</v>
      </c>
      <c r="AG13" s="44">
        <v>1.25</v>
      </c>
      <c r="AH13" s="53" t="s">
        <v>193</v>
      </c>
      <c r="AI13" s="53" t="s">
        <v>442</v>
      </c>
      <c r="AJ13" s="53"/>
      <c r="AK13" s="115">
        <f t="shared" si="4"/>
        <v>1</v>
      </c>
      <c r="AL13" s="113">
        <f t="shared" si="5"/>
        <v>8</v>
      </c>
      <c r="AM13" s="115">
        <f t="shared" si="6"/>
        <v>117</v>
      </c>
      <c r="AN13" s="113" cm="1">
        <f t="array" ref="AN13">MIN(ABS(AF13-INDEX($D$11:$D$21,AK13)),ABS(AF13-INDEX($E$11:$E$21,AK13)))</f>
        <v>1.4699999999999989</v>
      </c>
      <c r="AP13" s="116"/>
      <c r="AQ13" s="116"/>
      <c r="AS13" s="60">
        <f>IF(AH13="o",'FLS TP'!Q82,'FLS TP'!R82)</f>
        <v>0.49328334672558483</v>
      </c>
      <c r="AU13" s="44"/>
      <c r="AV13" s="44"/>
    </row>
    <row r="14" spans="3:48">
      <c r="C14" s="112">
        <v>4</v>
      </c>
      <c r="D14" s="217">
        <f>E13</f>
        <v>9.5</v>
      </c>
      <c r="E14" s="44">
        <v>5.8</v>
      </c>
      <c r="F14" s="44">
        <v>8</v>
      </c>
      <c r="G14" s="44">
        <v>8</v>
      </c>
      <c r="H14" s="45">
        <v>120</v>
      </c>
      <c r="I14" s="113">
        <f>D14-E14</f>
        <v>3.7</v>
      </c>
      <c r="J14" s="114">
        <f>ATAN((G14-F14)/(2*I14))/PI()*180</f>
        <v>0</v>
      </c>
      <c r="K14" s="59">
        <f>IF(J14=0,PI()/4*(F14^2-(F14-(2*H14/1000))^2)*I14*7850/1000,(I14*PI()/12)*((G14^2+G14*F14+F14^2)-((G14-2*(H14/1000))^2+(G14-(2*H14/1000))*(F14-(2*H14/1000))+(F14-(2*H14/1000))^2))*7850/1000)</f>
        <v>86.283691434396374</v>
      </c>
      <c r="L14" s="59">
        <f>MAX(F14:G14)/H14*1000</f>
        <v>66.666666666666671</v>
      </c>
      <c r="M14" s="75" t="s">
        <v>109</v>
      </c>
      <c r="N14" s="117" t="s">
        <v>49</v>
      </c>
      <c r="P14" s="110"/>
      <c r="Q14" s="110"/>
      <c r="S14" s="60">
        <f>'FLS TP'!Q44</f>
        <v>0.40807619893151614</v>
      </c>
      <c r="T14" s="61">
        <f>'FLS TP'!R44</f>
        <v>0.53253350573622127</v>
      </c>
      <c r="U14" s="61">
        <f>'FLS TP'!Q52</f>
        <v>0.44737877328312992</v>
      </c>
      <c r="V14" s="61">
        <f>'FLS TP'!R52</f>
        <v>0.5870675644356409</v>
      </c>
      <c r="W14" s="61">
        <f t="shared" si="8"/>
        <v>0.5870675644356409</v>
      </c>
      <c r="X14" s="60">
        <f>MAX('ULS TP'!N36,'ULS TP'!N27)</f>
        <v>0.60160088444089366</v>
      </c>
      <c r="Y14" s="60">
        <f>MAX('ULS TP'!O36,'ULS TP'!O27)</f>
        <v>0.56852200722178037</v>
      </c>
      <c r="AA14" s="44"/>
      <c r="AB14" s="44"/>
      <c r="AD14" s="53" t="s">
        <v>634</v>
      </c>
      <c r="AE14" s="53" t="s">
        <v>615</v>
      </c>
      <c r="AF14" s="44">
        <v>15.73</v>
      </c>
      <c r="AG14" s="44">
        <v>1.25</v>
      </c>
      <c r="AH14" s="53" t="s">
        <v>193</v>
      </c>
      <c r="AI14" s="53" t="s">
        <v>442</v>
      </c>
      <c r="AJ14" s="53"/>
      <c r="AK14" s="115">
        <f t="shared" si="4"/>
        <v>2</v>
      </c>
      <c r="AL14" s="113">
        <f t="shared" si="5"/>
        <v>8</v>
      </c>
      <c r="AM14" s="115">
        <f t="shared" si="6"/>
        <v>117</v>
      </c>
      <c r="AN14" s="113" cm="1">
        <f t="array" ref="AN14">MIN(ABS(AF14-INDEX($D$11:$D$21,AK14)),ABS(AF14-INDEX($E$11:$E$21,AK14)))</f>
        <v>1.7699999999999996</v>
      </c>
      <c r="AP14" s="116"/>
      <c r="AQ14" s="116"/>
      <c r="AS14" s="60">
        <f>IF(AH14="o",'FLS TP'!Q83,'FLS TP'!R83)</f>
        <v>0.54798057545973233</v>
      </c>
      <c r="AU14" s="44"/>
      <c r="AV14" s="44"/>
    </row>
    <row r="15" spans="3:48">
      <c r="AD15" s="53" t="s">
        <v>635</v>
      </c>
      <c r="AE15" s="53" t="s">
        <v>609</v>
      </c>
      <c r="AF15" s="44">
        <v>12.5</v>
      </c>
      <c r="AG15" s="44">
        <v>2</v>
      </c>
      <c r="AH15" s="53" t="s">
        <v>192</v>
      </c>
      <c r="AI15" s="53" t="s">
        <v>36</v>
      </c>
      <c r="AJ15" s="53">
        <v>0.85</v>
      </c>
      <c r="AK15" s="115">
        <f t="shared" si="4"/>
        <v>3</v>
      </c>
      <c r="AL15" s="113">
        <f t="shared" si="5"/>
        <v>8</v>
      </c>
      <c r="AM15" s="115">
        <f t="shared" si="6"/>
        <v>124</v>
      </c>
      <c r="AN15" s="113" cm="1">
        <f t="array" ref="AN15">MIN(ABS(AF15-INDEX($D$11:$D$21,AK15)),ABS(AF15-INDEX($E$11:$E$21,AK15)))</f>
        <v>1</v>
      </c>
      <c r="AP15" s="116"/>
      <c r="AQ15" s="116"/>
      <c r="AS15" s="60">
        <f>IF(AH15="o",'FLS TP'!Q84,'FLS TP'!R84)</f>
        <v>0.78538781868977448</v>
      </c>
      <c r="AU15" s="44"/>
      <c r="AV15" s="44" t="s">
        <v>621</v>
      </c>
    </row>
    <row r="16" spans="3:48">
      <c r="AD16" s="53" t="s">
        <v>635</v>
      </c>
      <c r="AE16" s="53" t="s">
        <v>610</v>
      </c>
      <c r="AF16" s="44">
        <v>12.5</v>
      </c>
      <c r="AG16" s="44">
        <v>2</v>
      </c>
      <c r="AH16" s="53" t="s">
        <v>192</v>
      </c>
      <c r="AI16" s="53" t="s">
        <v>36</v>
      </c>
      <c r="AJ16" s="53">
        <v>0.85</v>
      </c>
      <c r="AK16" s="115">
        <f t="shared" si="4"/>
        <v>3</v>
      </c>
      <c r="AL16" s="113">
        <f t="shared" si="5"/>
        <v>8</v>
      </c>
      <c r="AM16" s="115">
        <f t="shared" si="6"/>
        <v>124</v>
      </c>
      <c r="AN16" s="113" cm="1">
        <f t="array" ref="AN16">MIN(ABS(AF16-INDEX($D$11:$D$21,AK16)),ABS(AF16-INDEX($E$11:$E$21,AK16)))</f>
        <v>1</v>
      </c>
      <c r="AP16" s="116"/>
      <c r="AQ16" s="116"/>
      <c r="AS16" s="60">
        <f>IF(AH16="o",'FLS TP'!Q85,'FLS TP'!R85)</f>
        <v>0.78538781868977448</v>
      </c>
      <c r="AU16" s="44"/>
      <c r="AV16" s="44"/>
    </row>
    <row r="17" spans="3:48">
      <c r="AD17" s="53" t="s">
        <v>636</v>
      </c>
      <c r="AE17" s="53" t="s">
        <v>611</v>
      </c>
      <c r="AF17" s="44">
        <v>12</v>
      </c>
      <c r="AG17" s="44">
        <v>1.02</v>
      </c>
      <c r="AH17" s="53" t="s">
        <v>192</v>
      </c>
      <c r="AI17" s="53" t="s">
        <v>49</v>
      </c>
      <c r="AJ17" s="53"/>
      <c r="AK17" s="115">
        <f t="shared" si="4"/>
        <v>3</v>
      </c>
      <c r="AL17" s="113">
        <f t="shared" si="5"/>
        <v>8</v>
      </c>
      <c r="AM17" s="115">
        <f t="shared" si="6"/>
        <v>124</v>
      </c>
      <c r="AN17" s="113" cm="1">
        <f t="array" ref="AN17">MIN(ABS(AF17-INDEX($D$11:$D$21,AK17)),ABS(AF17-INDEX($E$11:$E$21,AK17)))</f>
        <v>1.5</v>
      </c>
      <c r="AP17" s="116"/>
      <c r="AQ17" s="116"/>
      <c r="AS17" s="60">
        <f>IF(AH17="o",'FLS TP'!Q86,'FLS TP'!R86)</f>
        <v>0.74649067583835715</v>
      </c>
      <c r="AU17" s="44"/>
      <c r="AV17" s="44"/>
    </row>
    <row r="18" spans="3:48">
      <c r="AD18" s="53" t="s">
        <v>616</v>
      </c>
      <c r="AE18" s="53" t="s">
        <v>611</v>
      </c>
      <c r="AF18" s="44">
        <v>8.5</v>
      </c>
      <c r="AG18" s="44">
        <v>1</v>
      </c>
      <c r="AH18" s="53" t="s">
        <v>192</v>
      </c>
      <c r="AI18" s="53" t="s">
        <v>442</v>
      </c>
      <c r="AJ18" s="53"/>
      <c r="AK18" s="115">
        <f t="shared" si="4"/>
        <v>4</v>
      </c>
      <c r="AL18" s="113">
        <f t="shared" si="5"/>
        <v>8</v>
      </c>
      <c r="AM18" s="115">
        <f t="shared" si="6"/>
        <v>120</v>
      </c>
      <c r="AN18" s="113" cm="1">
        <f t="array" ref="AN18">MIN(ABS(AF18-INDEX($D$11:$D$21,AK18)),ABS(AF18-INDEX($E$11:$E$21,AK18)))</f>
        <v>1</v>
      </c>
      <c r="AP18" s="116"/>
      <c r="AQ18" s="116"/>
      <c r="AS18" s="60">
        <f>IF(AH18="o",'FLS TP'!Q87,'FLS TP'!R87)</f>
        <v>0.29976493645839741</v>
      </c>
      <c r="AU18" s="44"/>
      <c r="AV18" s="44"/>
    </row>
    <row r="22" spans="3:48">
      <c r="C22" s="35" t="s">
        <v>211</v>
      </c>
      <c r="N22" t="s">
        <v>216</v>
      </c>
      <c r="S22" s="10"/>
      <c r="T22" s="10"/>
      <c r="AD22" s="35" t="s">
        <v>207</v>
      </c>
      <c r="AH22" s="39"/>
      <c r="AP22" s="109" t="s">
        <v>444</v>
      </c>
      <c r="AU22" s="109" t="s">
        <v>444</v>
      </c>
      <c r="AV22" s="109" t="s">
        <v>461</v>
      </c>
    </row>
    <row r="23" spans="3:48">
      <c r="D23" s="38"/>
      <c r="E23" s="38"/>
      <c r="F23" s="38"/>
      <c r="G23" s="38"/>
      <c r="H23" s="38"/>
      <c r="I23" s="38"/>
      <c r="J23" s="38"/>
      <c r="K23" s="38"/>
      <c r="L23" s="38"/>
      <c r="M23" s="38"/>
      <c r="N23" s="109" t="s">
        <v>444</v>
      </c>
      <c r="AA23" s="109" t="s">
        <v>444</v>
      </c>
      <c r="AH23" s="39"/>
    </row>
    <row r="24" spans="3:48" ht="14.85" customHeight="1">
      <c r="C24" s="238" t="s">
        <v>443</v>
      </c>
      <c r="D24" s="111" t="s">
        <v>581</v>
      </c>
      <c r="E24" s="111" t="s">
        <v>582</v>
      </c>
      <c r="F24" s="111" t="s">
        <v>586</v>
      </c>
      <c r="G24" s="111" t="s">
        <v>587</v>
      </c>
      <c r="H24" s="111" t="s">
        <v>5</v>
      </c>
      <c r="I24" s="111" t="s">
        <v>585</v>
      </c>
      <c r="J24" s="111" t="s">
        <v>583</v>
      </c>
      <c r="K24" s="111" t="s">
        <v>584</v>
      </c>
      <c r="L24" s="111" t="s">
        <v>261</v>
      </c>
      <c r="M24" s="236" t="s">
        <v>260</v>
      </c>
      <c r="N24" s="243" t="s">
        <v>292</v>
      </c>
      <c r="P24" s="247" t="s">
        <v>447</v>
      </c>
      <c r="Q24" s="247"/>
      <c r="S24" s="240" t="s">
        <v>440</v>
      </c>
      <c r="T24" s="246"/>
      <c r="U24" s="246"/>
      <c r="V24" s="246"/>
      <c r="W24" s="241"/>
      <c r="X24" s="240" t="s">
        <v>178</v>
      </c>
      <c r="Y24" s="241"/>
      <c r="AA24" s="240" t="s">
        <v>448</v>
      </c>
      <c r="AB24" s="241"/>
      <c r="AD24" s="238" t="s">
        <v>208</v>
      </c>
      <c r="AE24" s="238" t="s">
        <v>209</v>
      </c>
      <c r="AF24" s="111" t="s">
        <v>53</v>
      </c>
      <c r="AG24" s="111" t="s">
        <v>212</v>
      </c>
      <c r="AH24" s="238" t="s">
        <v>578</v>
      </c>
      <c r="AI24" s="238" t="s">
        <v>579</v>
      </c>
      <c r="AJ24" s="236" t="s">
        <v>577</v>
      </c>
      <c r="AK24" s="238" t="s">
        <v>0</v>
      </c>
      <c r="AL24" s="111" t="s">
        <v>105</v>
      </c>
      <c r="AM24" s="111" t="s">
        <v>5</v>
      </c>
      <c r="AN24" s="236" t="s">
        <v>459</v>
      </c>
      <c r="AP24" s="242" t="s">
        <v>445</v>
      </c>
      <c r="AQ24" s="242"/>
      <c r="AS24" s="54" t="s">
        <v>219</v>
      </c>
      <c r="AU24" s="236" t="s">
        <v>448</v>
      </c>
      <c r="AV24" s="236" t="s">
        <v>460</v>
      </c>
    </row>
    <row r="25" spans="3:48">
      <c r="C25" s="239"/>
      <c r="D25" s="111" t="str">
        <f>"[m"&amp;Control!$F$7&amp;"]"</f>
        <v>[mLAT]</v>
      </c>
      <c r="E25" s="111" t="str">
        <f>"[m"&amp;Control!$F$7&amp;"]"</f>
        <v>[mLAT]</v>
      </c>
      <c r="F25" s="111" t="s">
        <v>9</v>
      </c>
      <c r="G25" s="111" t="s">
        <v>9</v>
      </c>
      <c r="H25" s="111" t="s">
        <v>10</v>
      </c>
      <c r="I25" s="111" t="s">
        <v>9</v>
      </c>
      <c r="J25" s="111" t="s">
        <v>11</v>
      </c>
      <c r="K25" s="111" t="s">
        <v>12</v>
      </c>
      <c r="L25" s="111" t="s">
        <v>16</v>
      </c>
      <c r="M25" s="237"/>
      <c r="N25" s="244"/>
      <c r="P25" s="247"/>
      <c r="Q25" s="247"/>
      <c r="S25" s="238" t="s">
        <v>173</v>
      </c>
      <c r="T25" s="238" t="s">
        <v>174</v>
      </c>
      <c r="U25" s="238" t="s">
        <v>175</v>
      </c>
      <c r="V25" s="238" t="s">
        <v>176</v>
      </c>
      <c r="W25" s="238" t="s">
        <v>177</v>
      </c>
      <c r="X25" s="111" t="s">
        <v>179</v>
      </c>
      <c r="Y25" s="111" t="s">
        <v>180</v>
      </c>
      <c r="AA25" s="236" t="s">
        <v>449</v>
      </c>
      <c r="AB25" s="111" t="s">
        <v>178</v>
      </c>
      <c r="AD25" s="239"/>
      <c r="AE25" s="239"/>
      <c r="AF25" s="111" t="str">
        <f>"[m"&amp;Control!$F$7&amp;"]"</f>
        <v>[mLAT]</v>
      </c>
      <c r="AG25" s="111" t="s">
        <v>10</v>
      </c>
      <c r="AH25" s="239"/>
      <c r="AI25" s="239"/>
      <c r="AJ25" s="237"/>
      <c r="AK25" s="239"/>
      <c r="AL25" s="111" t="s">
        <v>9</v>
      </c>
      <c r="AM25" s="111" t="s">
        <v>10</v>
      </c>
      <c r="AN25" s="237"/>
      <c r="AP25" s="118" t="s">
        <v>25</v>
      </c>
      <c r="AQ25" s="118" t="s">
        <v>26</v>
      </c>
      <c r="AS25" s="54" t="s">
        <v>220</v>
      </c>
      <c r="AU25" s="237"/>
      <c r="AV25" s="237"/>
    </row>
    <row r="26" spans="3:48">
      <c r="C26" s="112">
        <v>1</v>
      </c>
      <c r="D26" s="44">
        <v>5.8</v>
      </c>
      <c r="E26" s="44">
        <v>2.6</v>
      </c>
      <c r="F26" s="44">
        <v>8</v>
      </c>
      <c r="G26" s="44">
        <v>8</v>
      </c>
      <c r="H26" s="45">
        <v>125</v>
      </c>
      <c r="I26" s="113">
        <f t="shared" ref="I26:I32" si="9">D26-E26</f>
        <v>3.1999999999999997</v>
      </c>
      <c r="J26" s="114">
        <f>ATAN((G26-F26)/(2*I26))/PI()*180</f>
        <v>0</v>
      </c>
      <c r="K26" s="59">
        <f>IF(J26=0,PI()/4*(F26^2-(F26-(2*H26/1000))^2)*I26*7850/1000,(I26*PI()/12)*((G26^2+G26*F26+F26^2)-((G26-2*(H26/1000))^2+(G26-(2*H26/1000))*(F26-(2*H26/1000))+(F26-(2*H26/1000))^2))*7850/1000)</f>
        <v>77.683732341641601</v>
      </c>
      <c r="L26" s="59">
        <f>MAX(F26:G26)/H26*1000</f>
        <v>64</v>
      </c>
      <c r="M26" s="75" t="s">
        <v>109</v>
      </c>
      <c r="N26" s="245"/>
      <c r="P26" s="118" t="s">
        <v>25</v>
      </c>
      <c r="Q26" s="118" t="s">
        <v>26</v>
      </c>
      <c r="S26" s="239"/>
      <c r="T26" s="239"/>
      <c r="U26" s="239"/>
      <c r="V26" s="239"/>
      <c r="W26" s="239"/>
      <c r="X26" s="60">
        <f>MAX('ULS MP'!N37,'ULS MP'!N67)</f>
        <v>0.65656259606365619</v>
      </c>
      <c r="Y26" s="60">
        <f>MAX('ULS MP'!O37,'ULS MP'!O67)</f>
        <v>0.55640343055930508</v>
      </c>
      <c r="AA26" s="237"/>
      <c r="AB26" s="44"/>
      <c r="AD26" s="53" t="s">
        <v>637</v>
      </c>
      <c r="AE26" s="53" t="s">
        <v>597</v>
      </c>
      <c r="AF26" s="44">
        <v>4.5999999999999996</v>
      </c>
      <c r="AG26" s="44">
        <v>1.1000000000000001</v>
      </c>
      <c r="AH26" s="53" t="s">
        <v>193</v>
      </c>
      <c r="AI26" s="53" t="s">
        <v>442</v>
      </c>
      <c r="AJ26" s="53"/>
      <c r="AK26" s="115">
        <f t="shared" ref="AK26:AK27" si="10">MATCH(AF26,$D$26:$D$50,-1)</f>
        <v>1</v>
      </c>
      <c r="AL26" s="113">
        <f t="shared" ref="AL26:AL27" si="11">INDEX($F$26:$F$50,AK26)+(INDEX($G$26:$G$50,AK26)-INDEX($F$26:$F$50,AK26))/(INDEX($E$26:$E$50,AK26)-INDEX($D$26:$D$50,AK26))*(AF26-INDEX($D$26:$D$50,AK26))</f>
        <v>8</v>
      </c>
      <c r="AM26" s="115">
        <f t="shared" ref="AM26:AM27" si="12">INDEX($H$26:$H$50,AK26)</f>
        <v>125</v>
      </c>
      <c r="AN26" s="113" cm="1">
        <f t="array" ref="AN26">MIN(ABS(AF26-INDEX($D$26:$D$50,AK26)),ABS(AF26-INDEX($E$26:$E$50,AK26)))</f>
        <v>1.2000000000000002</v>
      </c>
      <c r="AP26" s="116"/>
      <c r="AQ26" s="116"/>
      <c r="AS26" s="60">
        <f>IF(AH26="o",'FLS MP'!S166,'FLS MP'!T166)</f>
        <v>0.57345605531531529</v>
      </c>
      <c r="AU26" s="44"/>
      <c r="AV26" s="44"/>
    </row>
    <row r="27" spans="3:48">
      <c r="C27" s="112">
        <v>2</v>
      </c>
      <c r="D27" s="217">
        <f>E26</f>
        <v>2.6</v>
      </c>
      <c r="E27" s="44">
        <v>-0.6</v>
      </c>
      <c r="F27" s="44">
        <v>8</v>
      </c>
      <c r="G27" s="44">
        <v>8</v>
      </c>
      <c r="H27" s="45">
        <v>116</v>
      </c>
      <c r="I27" s="113">
        <f t="shared" si="9"/>
        <v>3.2</v>
      </c>
      <c r="J27" s="114">
        <f t="shared" ref="J27:J32" si="13">ATAN((G27-F27)/(2*I27))/PI()*180</f>
        <v>0</v>
      </c>
      <c r="K27" s="59">
        <f t="shared" ref="K27:K32" si="14">IF(J27=0,PI()/4*(F27^2-(F27-(2*H27/1000))^2)*I27*7850/1000,(I27*PI()/12)*((G27^2+G27*F27+F27^2)-((G27-2*(H27/1000))^2+(G27-(2*H27/1000))*(F27-(2*H27/1000))+(F27-(2*H27/1000))^2))*7850/1000)</f>
        <v>72.172892760029853</v>
      </c>
      <c r="L27" s="59">
        <f t="shared" ref="L27:L32" si="15">MAX(F27:G27)/H27*1000</f>
        <v>68.965517241379303</v>
      </c>
      <c r="M27" s="75" t="s">
        <v>109</v>
      </c>
      <c r="N27" s="117" t="s">
        <v>262</v>
      </c>
      <c r="P27" s="110"/>
      <c r="Q27" s="110"/>
      <c r="S27" s="61">
        <f>'FLS MP'!S66</f>
        <v>0.49968415195415272</v>
      </c>
      <c r="T27" s="61">
        <f>'FLS MP'!T66</f>
        <v>0.82297665026219669</v>
      </c>
      <c r="U27" s="61">
        <f>'FLS MP'!S95</f>
        <v>0.57939353689529494</v>
      </c>
      <c r="V27" s="61">
        <f>'FLS MP'!T95</f>
        <v>0.98011364980780458</v>
      </c>
      <c r="W27" s="61">
        <f>MAX(S27:V27)</f>
        <v>0.98011364980780458</v>
      </c>
      <c r="X27" s="60">
        <f>MAX('ULS MP'!N38,'ULS MP'!N68)</f>
        <v>0.73828269433515759</v>
      </c>
      <c r="Y27" s="60">
        <f>MAX('ULS MP'!O38,'ULS MP'!O68)</f>
        <v>0.62591638640368696</v>
      </c>
      <c r="AA27" s="44"/>
      <c r="AB27" s="44"/>
      <c r="AD27" s="53" t="s">
        <v>638</v>
      </c>
      <c r="AE27" s="53" t="s">
        <v>598</v>
      </c>
      <c r="AF27" s="44">
        <v>3.0999999999999996</v>
      </c>
      <c r="AG27" s="44">
        <v>1.25</v>
      </c>
      <c r="AH27" s="53" t="s">
        <v>193</v>
      </c>
      <c r="AI27" s="53" t="s">
        <v>442</v>
      </c>
      <c r="AJ27" s="53"/>
      <c r="AK27" s="115">
        <f t="shared" si="10"/>
        <v>1</v>
      </c>
      <c r="AL27" s="113">
        <f t="shared" si="11"/>
        <v>8</v>
      </c>
      <c r="AM27" s="115">
        <f t="shared" si="12"/>
        <v>125</v>
      </c>
      <c r="AN27" s="113" cm="1">
        <f t="array" ref="AN27">MIN(ABS(AF27-INDEX($D$26:$D$50,AK27)),ABS(AF27-INDEX($E$26:$E$50,AK27)))</f>
        <v>0.49999999999999956</v>
      </c>
      <c r="AP27" s="116"/>
      <c r="AQ27" s="116"/>
      <c r="AS27" s="60">
        <f>IF(AH27="o",'FLS MP'!S167,'FLS MP'!T167)</f>
        <v>0.82816738667266909</v>
      </c>
      <c r="AU27" s="44"/>
      <c r="AV27" s="44"/>
    </row>
    <row r="28" spans="3:48">
      <c r="C28" s="112">
        <v>3</v>
      </c>
      <c r="D28" s="217">
        <f t="shared" ref="D28:D37" si="16">E27</f>
        <v>-0.6</v>
      </c>
      <c r="E28" s="44">
        <v>-3.8</v>
      </c>
      <c r="F28" s="44">
        <v>8</v>
      </c>
      <c r="G28" s="44">
        <v>8</v>
      </c>
      <c r="H28" s="45">
        <v>125</v>
      </c>
      <c r="I28" s="113">
        <f t="shared" si="9"/>
        <v>3.1999999999999997</v>
      </c>
      <c r="J28" s="114">
        <f t="shared" si="13"/>
        <v>0</v>
      </c>
      <c r="K28" s="59">
        <f t="shared" si="14"/>
        <v>77.683732341641601</v>
      </c>
      <c r="L28" s="59">
        <f t="shared" si="15"/>
        <v>64</v>
      </c>
      <c r="M28" s="75" t="s">
        <v>109</v>
      </c>
      <c r="N28" s="117" t="s">
        <v>263</v>
      </c>
      <c r="P28" s="110"/>
      <c r="Q28" s="110"/>
      <c r="S28" s="61">
        <f>'FLS MP'!S67</f>
        <v>0.6051684057940101</v>
      </c>
      <c r="T28" s="61">
        <f>'FLS MP'!T67</f>
        <v>0.37001500794892006</v>
      </c>
      <c r="U28" s="61">
        <f>'FLS MP'!S96</f>
        <v>0.50922076899208668</v>
      </c>
      <c r="V28" s="61">
        <f>'FLS MP'!T96</f>
        <v>0.31419256241721094</v>
      </c>
      <c r="W28" s="61">
        <f t="shared" ref="W28:W50" si="17">MAX(S28:V28)</f>
        <v>0.6051684057940101</v>
      </c>
      <c r="X28" s="60">
        <f>MAX('ULS MP'!N39,'ULS MP'!N69)</f>
        <v>0.99241031234005672</v>
      </c>
      <c r="Y28" s="60">
        <f>MAX('ULS MP'!O39,'ULS MP'!O69)</f>
        <v>0.92426873522513464</v>
      </c>
      <c r="AA28" s="44"/>
      <c r="AB28" s="44"/>
      <c r="AD28" s="53" t="s">
        <v>639</v>
      </c>
      <c r="AE28" s="53" t="s">
        <v>599</v>
      </c>
      <c r="AF28" s="44">
        <v>-12.3575</v>
      </c>
      <c r="AG28" s="44">
        <v>2</v>
      </c>
      <c r="AH28" s="53" t="s">
        <v>192</v>
      </c>
      <c r="AI28" s="53" t="s">
        <v>36</v>
      </c>
      <c r="AJ28" s="53">
        <v>0.85199999999999998</v>
      </c>
      <c r="AK28" s="115">
        <f>MATCH(AF28,$D$26:$D$50,-1)</f>
        <v>6</v>
      </c>
      <c r="AL28" s="113">
        <f>INDEX($F$26:$F$50,AK28)+(INDEX($G$26:$G$50,AK28)-INDEX($F$26:$F$50,AK28))/(INDEX($E$26:$E$50,AK28)-INDEX($D$26:$D$50,AK28))*(AF28-INDEX($D$26:$D$50,AK28))</f>
        <v>9.0704209999999996</v>
      </c>
      <c r="AM28" s="115">
        <f>INDEX($H$26:$H$50,AK28)</f>
        <v>116</v>
      </c>
      <c r="AN28" s="113" cm="1">
        <f t="array" ref="AN28">MIN(ABS(AF28-INDEX($D$26:$D$50,AK28)),ABS(AF28-INDEX($E$26:$E$50,AK28)))</f>
        <v>1.5574999999999992</v>
      </c>
      <c r="AP28" s="116"/>
      <c r="AQ28" s="116"/>
      <c r="AS28" s="60">
        <f>IF(AH28="o",'FLS MP'!S168,'FLS MP'!T168)</f>
        <v>0.88184147973199467</v>
      </c>
      <c r="AU28" s="44"/>
      <c r="AV28" s="44" t="s">
        <v>621</v>
      </c>
    </row>
    <row r="29" spans="3:48">
      <c r="C29" s="112">
        <v>4</v>
      </c>
      <c r="D29" s="217">
        <f t="shared" si="16"/>
        <v>-3.8</v>
      </c>
      <c r="E29" s="44">
        <v>-7.3</v>
      </c>
      <c r="F29" s="44">
        <v>8</v>
      </c>
      <c r="G29" s="44">
        <v>8.4377999999999993</v>
      </c>
      <c r="H29" s="45">
        <v>125</v>
      </c>
      <c r="I29" s="113">
        <f t="shared" si="9"/>
        <v>3.5</v>
      </c>
      <c r="J29" s="114">
        <f t="shared" si="13"/>
        <v>3.5787803472726449</v>
      </c>
      <c r="K29" s="59">
        <f t="shared" si="14"/>
        <v>87.32838350000182</v>
      </c>
      <c r="L29" s="59">
        <f t="shared" si="15"/>
        <v>67.502399999999994</v>
      </c>
      <c r="M29" s="75" t="s">
        <v>109</v>
      </c>
      <c r="N29" s="117" t="s">
        <v>36</v>
      </c>
      <c r="P29" s="110"/>
      <c r="Q29" s="110"/>
      <c r="S29" s="61">
        <f>'FLS MP'!S68</f>
        <v>0.85295397455953448</v>
      </c>
      <c r="T29" s="61">
        <f>'FLS MP'!T68</f>
        <v>0.83587969577376875</v>
      </c>
      <c r="U29" s="61">
        <f>'FLS MP'!S97</f>
        <v>0.85295397455953448</v>
      </c>
      <c r="V29" s="61">
        <f>'FLS MP'!T97</f>
        <v>0.83587969577376875</v>
      </c>
      <c r="W29" s="61">
        <f t="shared" si="17"/>
        <v>0.85295397455953448</v>
      </c>
      <c r="X29" s="60">
        <f>MAX('ULS MP'!N40,'ULS MP'!N70)</f>
        <v>0.95572542560177109</v>
      </c>
      <c r="Y29" s="60">
        <f>MAX('ULS MP'!O40,'ULS MP'!O70)</f>
        <v>0.89281611388579141</v>
      </c>
      <c r="AA29" s="44"/>
      <c r="AB29" s="44"/>
      <c r="AD29" s="53" t="s">
        <v>497</v>
      </c>
      <c r="AE29" s="53" t="s">
        <v>600</v>
      </c>
      <c r="AF29" s="44">
        <v>-22.715</v>
      </c>
      <c r="AG29" s="44">
        <v>1.6</v>
      </c>
      <c r="AH29" s="53" t="s">
        <v>192</v>
      </c>
      <c r="AI29" s="53" t="s">
        <v>36</v>
      </c>
      <c r="AJ29" s="53"/>
      <c r="AK29" s="115">
        <f>MATCH(AF29,$D$26:$D$50,-1)</f>
        <v>9</v>
      </c>
      <c r="AL29" s="113">
        <f>INDEX($F$26:$F$50,AK29)+(INDEX($G$26:$G$50,AK29)-INDEX($F$26:$F$50,AK29))/(INDEX($E$26:$E$50,AK29)-INDEX($D$26:$D$50,AK29))*(AF29-INDEX($D$26:$D$50,AK29))</f>
        <v>10.365896285714285</v>
      </c>
      <c r="AM29" s="115">
        <f>INDEX($H$26:$H$50,AK29)</f>
        <v>98</v>
      </c>
      <c r="AN29" s="113" cm="1">
        <f t="array" ref="AN29">MIN(ABS(AF29-INDEX($D$26:$D$50,AK29)),ABS(AF29-INDEX($E$26:$E$50,AK29)))</f>
        <v>1.4149999999999991</v>
      </c>
      <c r="AP29" s="116"/>
      <c r="AQ29" s="116"/>
      <c r="AS29" s="60">
        <f>IF(AH29="o",'FLS MP'!S169,'FLS MP'!T169)</f>
        <v>0.44715951296656853</v>
      </c>
      <c r="AU29" s="44"/>
      <c r="AV29" s="44"/>
    </row>
    <row r="30" spans="3:48">
      <c r="C30" s="112">
        <v>5</v>
      </c>
      <c r="D30" s="217">
        <f t="shared" si="16"/>
        <v>-7.3</v>
      </c>
      <c r="E30" s="44">
        <v>-10.8</v>
      </c>
      <c r="F30" s="44">
        <v>8.4377999999999993</v>
      </c>
      <c r="G30" s="44">
        <v>8.8756000000000004</v>
      </c>
      <c r="H30" s="45">
        <v>106</v>
      </c>
      <c r="I30" s="113">
        <f t="shared" si="9"/>
        <v>3.5000000000000009</v>
      </c>
      <c r="J30" s="114">
        <f t="shared" si="13"/>
        <v>3.5787803472726587</v>
      </c>
      <c r="K30" s="59">
        <f t="shared" si="14"/>
        <v>78.23392306018836</v>
      </c>
      <c r="L30" s="59">
        <f t="shared" si="15"/>
        <v>83.73207547169811</v>
      </c>
      <c r="M30" s="75" t="s">
        <v>109</v>
      </c>
      <c r="N30" s="117" t="s">
        <v>263</v>
      </c>
      <c r="P30" s="110"/>
      <c r="Q30" s="110"/>
      <c r="S30" s="61">
        <f>'FLS MP'!S69</f>
        <v>0.29149862666629645</v>
      </c>
      <c r="T30" s="61">
        <f>'FLS MP'!T69</f>
        <v>0.35926371170136551</v>
      </c>
      <c r="U30" s="61">
        <f>'FLS MP'!S98</f>
        <v>0.39638861003321924</v>
      </c>
      <c r="V30" s="61">
        <f>'FLS MP'!T98</f>
        <v>0.54149776170803754</v>
      </c>
      <c r="W30" s="61">
        <f t="shared" si="17"/>
        <v>0.54149776170803754</v>
      </c>
      <c r="X30" s="60">
        <f>MAX('ULS MP'!N41,'ULS MP'!N71)</f>
        <v>0.78307891002440755</v>
      </c>
      <c r="Y30" s="60">
        <f>MAX('ULS MP'!O41,'ULS MP'!O71)</f>
        <v>0.63676170100082485</v>
      </c>
      <c r="AA30" s="44"/>
      <c r="AB30" s="44"/>
      <c r="AD30" s="53" t="s">
        <v>640</v>
      </c>
      <c r="AE30" s="53" t="s">
        <v>601</v>
      </c>
      <c r="AF30" s="44">
        <v>-23.715</v>
      </c>
      <c r="AG30" s="44">
        <v>1.25</v>
      </c>
      <c r="AH30" s="53" t="s">
        <v>192</v>
      </c>
      <c r="AI30" s="53" t="s">
        <v>442</v>
      </c>
      <c r="AJ30" s="53"/>
      <c r="AK30" s="115">
        <f>MATCH(AF30,$D$26:$D$50,-1)</f>
        <v>9</v>
      </c>
      <c r="AL30" s="113">
        <f>INDEX($F$26:$F$50,AK30)+(INDEX($G$26:$G$50,AK30)-INDEX($F$26:$F$50,AK30))/(INDEX($E$26:$E$50,AK30)-INDEX($D$26:$D$50,AK30))*(AF30-INDEX($D$26:$D$50,AK30))</f>
        <v>10.490981999999999</v>
      </c>
      <c r="AM30" s="115">
        <f>INDEX($H$26:$H$50,AK30)</f>
        <v>98</v>
      </c>
      <c r="AN30" s="113" cm="1">
        <f t="array" ref="AN30">MIN(ABS(AF30-INDEX($D$26:$D$50,AK30)),ABS(AF30-INDEX($E$26:$E$50,AK30)))</f>
        <v>1.0850000000000009</v>
      </c>
      <c r="AP30" s="116"/>
      <c r="AQ30" s="116"/>
      <c r="AS30" s="60">
        <f>IF(AH30="o",'FLS MP'!S170,'FLS MP'!T170)</f>
        <v>0.55010849279217244</v>
      </c>
      <c r="AU30" s="44"/>
      <c r="AV30" s="44"/>
    </row>
    <row r="31" spans="3:48">
      <c r="C31" s="112">
        <v>6</v>
      </c>
      <c r="D31" s="217">
        <f t="shared" si="16"/>
        <v>-10.8</v>
      </c>
      <c r="E31" s="44">
        <v>-14.3</v>
      </c>
      <c r="F31" s="44">
        <v>8.8756000000000004</v>
      </c>
      <c r="G31" s="44">
        <v>9.3133999999999997</v>
      </c>
      <c r="H31" s="45">
        <v>116</v>
      </c>
      <c r="I31" s="113">
        <f t="shared" si="9"/>
        <v>3.5</v>
      </c>
      <c r="J31" s="114">
        <f t="shared" si="13"/>
        <v>3.5787803472726449</v>
      </c>
      <c r="K31" s="59">
        <f t="shared" si="14"/>
        <v>89.897859262459406</v>
      </c>
      <c r="L31" s="59">
        <f t="shared" si="15"/>
        <v>80.287931034482753</v>
      </c>
      <c r="M31" s="75" t="s">
        <v>109</v>
      </c>
      <c r="N31" s="117" t="s">
        <v>49</v>
      </c>
      <c r="P31" s="110"/>
      <c r="Q31" s="110"/>
      <c r="S31" s="61">
        <f>'FLS MP'!S70</f>
        <v>0.45197028094125336</v>
      </c>
      <c r="T31" s="61">
        <f>'FLS MP'!T70</f>
        <v>1.0081266153368165</v>
      </c>
      <c r="U31" s="61">
        <f>'FLS MP'!S99</f>
        <v>0.37458187792404807</v>
      </c>
      <c r="V31" s="61">
        <f>'FLS MP'!T99</f>
        <v>0.79092275112883359</v>
      </c>
      <c r="W31" s="61">
        <f t="shared" si="17"/>
        <v>1.0081266153368165</v>
      </c>
      <c r="X31" s="60">
        <f>MAX('ULS MP'!N42,'ULS MP'!N72)</f>
        <v>0.73146224846222652</v>
      </c>
      <c r="Y31" s="60">
        <f>MAX('ULS MP'!O42,'ULS MP'!O72)</f>
        <v>0.54707818261177732</v>
      </c>
      <c r="AA31" s="44"/>
      <c r="AB31" s="44"/>
      <c r="AD31" s="53" t="s">
        <v>641</v>
      </c>
      <c r="AE31" s="53" t="s">
        <v>599</v>
      </c>
      <c r="AF31" s="44">
        <v>-34.072499999999998</v>
      </c>
      <c r="AG31" s="44">
        <v>2</v>
      </c>
      <c r="AH31" s="53" t="s">
        <v>192</v>
      </c>
      <c r="AI31" s="53" t="s">
        <v>36</v>
      </c>
      <c r="AJ31" s="53">
        <v>0.84599999999999997</v>
      </c>
      <c r="AK31" s="115">
        <f>MATCH(AF31,$D$26:$D$50,-1)</f>
        <v>12</v>
      </c>
      <c r="AL31" s="113">
        <f>INDEX($F$26:$F$50,AK31)+(INDEX($G$26:$G$50,AK31)-INDEX($F$26:$F$50,AK31))/(INDEX($E$26:$E$50,AK31)-INDEX($D$26:$D$50,AK31))*(AF31-INDEX($D$26:$D$50,AK31))</f>
        <v>11.5</v>
      </c>
      <c r="AM31" s="115">
        <f>INDEX($H$26:$H$50,AK31)</f>
        <v>98</v>
      </c>
      <c r="AN31" s="113" cm="1">
        <f t="array" ref="AN31">MIN(ABS(AF31-INDEX($D$26:$D$50,AK31)),ABS(AF31-INDEX($E$26:$E$50,AK31)))</f>
        <v>1.2274999999999991</v>
      </c>
      <c r="AP31" s="116"/>
      <c r="AQ31" s="116"/>
      <c r="AS31" s="60">
        <f>IF(AH31="o",'FLS MP'!S171,'FLS MP'!T171)</f>
        <v>0.59234884953771472</v>
      </c>
      <c r="AU31" s="44"/>
      <c r="AV31" s="44" t="s">
        <v>621</v>
      </c>
    </row>
    <row r="32" spans="3:48">
      <c r="C32" s="112">
        <v>7</v>
      </c>
      <c r="D32" s="217">
        <f t="shared" si="16"/>
        <v>-14.3</v>
      </c>
      <c r="E32" s="44">
        <v>-17.8</v>
      </c>
      <c r="F32" s="44">
        <v>9.3133999999999997</v>
      </c>
      <c r="G32" s="44">
        <v>9.7510999999999992</v>
      </c>
      <c r="H32" s="45">
        <v>103</v>
      </c>
      <c r="I32" s="113">
        <f t="shared" si="9"/>
        <v>3.5</v>
      </c>
      <c r="J32" s="114">
        <f t="shared" si="13"/>
        <v>3.5779650246316992</v>
      </c>
      <c r="K32" s="59">
        <f t="shared" si="14"/>
        <v>83.830479241988286</v>
      </c>
      <c r="L32" s="59">
        <f t="shared" si="15"/>
        <v>94.670873786407768</v>
      </c>
      <c r="M32" s="75" t="s">
        <v>109</v>
      </c>
      <c r="N32" s="117" t="s">
        <v>49</v>
      </c>
      <c r="P32" s="110"/>
      <c r="Q32" s="110"/>
      <c r="S32" s="61">
        <f>'FLS MP'!S71</f>
        <v>0.28034487673254005</v>
      </c>
      <c r="T32" s="61">
        <f>'FLS MP'!T71</f>
        <v>0.70288060299372046</v>
      </c>
      <c r="U32" s="61">
        <f>'FLS MP'!S100</f>
        <v>0.34625848047859886</v>
      </c>
      <c r="V32" s="61">
        <f>'FLS MP'!T100</f>
        <v>0.96351814171643135</v>
      </c>
      <c r="W32" s="61">
        <f t="shared" si="17"/>
        <v>0.96351814171643135</v>
      </c>
      <c r="X32" s="60">
        <f>MAX('ULS MP'!N43,'ULS MP'!N73)</f>
        <v>0.77296273214378053</v>
      </c>
      <c r="Y32" s="60">
        <f>MAX('ULS MP'!O43,'ULS MP'!O73)</f>
        <v>0.58094622542545726</v>
      </c>
      <c r="AA32" s="44"/>
      <c r="AB32" s="44"/>
      <c r="AD32" s="53" t="s">
        <v>498</v>
      </c>
      <c r="AE32" s="53" t="s">
        <v>499</v>
      </c>
      <c r="AF32" s="44">
        <v>-40.43</v>
      </c>
      <c r="AG32" s="44">
        <v>2.1230000000000002</v>
      </c>
      <c r="AH32" s="53" t="s">
        <v>192</v>
      </c>
      <c r="AI32" s="53" t="s">
        <v>36</v>
      </c>
      <c r="AJ32" s="53">
        <v>0.84599999999999997</v>
      </c>
      <c r="AK32" s="115">
        <f>MATCH(AF32,$D$26:$D$50,-1)</f>
        <v>14</v>
      </c>
      <c r="AL32" s="113">
        <f>INDEX($F$26:$F$50,AK32)+(INDEX($G$26:$G$50,AK32)-INDEX($F$26:$F$50,AK32))/(INDEX($E$26:$E$50,AK32)-INDEX($D$26:$D$50,AK32))*(AF32-INDEX($D$26:$D$50,AK32))</f>
        <v>11.5</v>
      </c>
      <c r="AM32" s="115">
        <f>INDEX($H$26:$H$50,AK32)</f>
        <v>98</v>
      </c>
      <c r="AN32" s="113" cm="1">
        <f t="array" ref="AN32">MIN(ABS(AF32-INDEX($D$26:$D$50,AK32)),ABS(AF32-INDEX($E$26:$E$50,AK32)))</f>
        <v>1.4699999999999989</v>
      </c>
      <c r="AP32" s="116"/>
      <c r="AQ32" s="116"/>
      <c r="AS32" s="60">
        <f>IF(AH32="o",'FLS MP'!S172,'FLS MP'!T172)</f>
        <v>0.87222233837695073</v>
      </c>
      <c r="AU32" s="44"/>
      <c r="AV32" s="44" t="s">
        <v>621</v>
      </c>
    </row>
    <row r="33" spans="3:28">
      <c r="C33" s="112">
        <v>8</v>
      </c>
      <c r="D33" s="217">
        <f t="shared" si="16"/>
        <v>-17.8</v>
      </c>
      <c r="E33" s="44">
        <v>-21.3</v>
      </c>
      <c r="F33" s="44">
        <v>9.7510999999999992</v>
      </c>
      <c r="G33" s="44">
        <v>10.1889</v>
      </c>
      <c r="H33" s="45">
        <v>98</v>
      </c>
      <c r="I33" s="113">
        <f t="shared" ref="I33:I37" si="18">D33-E33</f>
        <v>3.5</v>
      </c>
      <c r="J33" s="114">
        <f t="shared" ref="J33:J37" si="19">ATAN((G33-F33)/(2*I33))/PI()*180</f>
        <v>3.5787803472726605</v>
      </c>
      <c r="K33" s="59">
        <f t="shared" ref="K33:K37" si="20">IF(J33=0,PI()/4*(F33^2-(F33-(2*H33/1000))^2)*I33*7850/1000,(I33*PI()/12)*((G33^2+G33*F33+F33^2)-((G33-2*(H33/1000))^2+(G33-(2*H33/1000))*(F33-(2*H33/1000))+(F33-(2*H33/1000))^2))*7850/1000)</f>
        <v>83.506214395905687</v>
      </c>
      <c r="L33" s="59">
        <f t="shared" ref="L33:L37" si="21">MAX(F33:G33)/H33*1000</f>
        <v>103.96836734693878</v>
      </c>
      <c r="M33" s="75" t="s">
        <v>109</v>
      </c>
      <c r="N33" s="117" t="s">
        <v>49</v>
      </c>
      <c r="P33" s="110"/>
      <c r="Q33" s="110"/>
      <c r="S33" s="61">
        <f>'FLS MP'!S72</f>
        <v>0.39559785225511501</v>
      </c>
      <c r="T33" s="61">
        <f>'FLS MP'!T72</f>
        <v>0.57728653489560666</v>
      </c>
      <c r="U33" s="61">
        <f>'FLS MP'!S101</f>
        <v>0.43952737590369806</v>
      </c>
      <c r="V33" s="61">
        <f>'FLS MP'!T101</f>
        <v>0.65345499342872371</v>
      </c>
      <c r="W33" s="61">
        <f t="shared" si="17"/>
        <v>0.65345499342872371</v>
      </c>
      <c r="X33" s="60">
        <f>MAX('ULS MP'!N44,'ULS MP'!N74)</f>
        <v>0.80102740544400486</v>
      </c>
      <c r="Y33" s="60">
        <f>MAX('ULS MP'!O44,'ULS MP'!O74)</f>
        <v>0.54307141234745238</v>
      </c>
      <c r="AA33" s="44"/>
      <c r="AB33" s="44"/>
    </row>
    <row r="34" spans="3:28">
      <c r="C34" s="112">
        <v>9</v>
      </c>
      <c r="D34" s="217">
        <f t="shared" si="16"/>
        <v>-21.3</v>
      </c>
      <c r="E34" s="44">
        <v>-24.8</v>
      </c>
      <c r="F34" s="44">
        <v>10.1889</v>
      </c>
      <c r="G34" s="44">
        <v>10.6267</v>
      </c>
      <c r="H34" s="45">
        <v>98</v>
      </c>
      <c r="I34" s="113">
        <f t="shared" si="18"/>
        <v>3.5</v>
      </c>
      <c r="J34" s="114">
        <f t="shared" si="19"/>
        <v>3.5787803472726449</v>
      </c>
      <c r="K34" s="59">
        <f t="shared" si="20"/>
        <v>87.209518757992953</v>
      </c>
      <c r="L34" s="59">
        <f t="shared" si="21"/>
        <v>108.43571428571428</v>
      </c>
      <c r="M34" s="75" t="s">
        <v>109</v>
      </c>
      <c r="N34" s="117" t="s">
        <v>49</v>
      </c>
      <c r="P34" s="110"/>
      <c r="Q34" s="110"/>
      <c r="S34" s="61">
        <f>'FLS MP'!S73</f>
        <v>0.45835960631600758</v>
      </c>
      <c r="T34" s="61">
        <f>'FLS MP'!T73</f>
        <v>0.43381323743878974</v>
      </c>
      <c r="U34" s="61">
        <f>'FLS MP'!S102</f>
        <v>0.45835960631600758</v>
      </c>
      <c r="V34" s="61">
        <f>'FLS MP'!T102</f>
        <v>0.43381323743878974</v>
      </c>
      <c r="W34" s="61">
        <f t="shared" si="17"/>
        <v>0.45835960631600758</v>
      </c>
      <c r="X34" s="60">
        <f>MAX('ULS MP'!N45,'ULS MP'!N75)</f>
        <v>0.77080330839574174</v>
      </c>
      <c r="Y34" s="60">
        <f>MAX('ULS MP'!O45,'ULS MP'!O75)</f>
        <v>0.51887581628077872</v>
      </c>
      <c r="AA34" s="44"/>
      <c r="AB34" s="44"/>
    </row>
    <row r="35" spans="3:28">
      <c r="C35" s="112">
        <v>10</v>
      </c>
      <c r="D35" s="217">
        <f t="shared" si="16"/>
        <v>-24.8</v>
      </c>
      <c r="E35" s="44">
        <v>-28.3</v>
      </c>
      <c r="F35" s="44">
        <v>10.6267</v>
      </c>
      <c r="G35" s="44">
        <v>11.064500000000001</v>
      </c>
      <c r="H35" s="45">
        <v>98</v>
      </c>
      <c r="I35" s="113">
        <f t="shared" si="18"/>
        <v>3.5</v>
      </c>
      <c r="J35" s="114">
        <f t="shared" si="19"/>
        <v>3.5787803472726605</v>
      </c>
      <c r="K35" s="59">
        <f t="shared" si="20"/>
        <v>90.912823120080617</v>
      </c>
      <c r="L35" s="59">
        <f t="shared" si="21"/>
        <v>112.9030612244898</v>
      </c>
      <c r="M35" s="75" t="s">
        <v>109</v>
      </c>
      <c r="N35" s="117" t="s">
        <v>49</v>
      </c>
      <c r="P35" s="110"/>
      <c r="Q35" s="110"/>
      <c r="S35" s="61">
        <f>'FLS MP'!S74</f>
        <v>0.39273611564028688</v>
      </c>
      <c r="T35" s="61">
        <f>'FLS MP'!T74</f>
        <v>0.37388209255290172</v>
      </c>
      <c r="U35" s="61">
        <f>'FLS MP'!S103</f>
        <v>0.39273611564028688</v>
      </c>
      <c r="V35" s="61">
        <f>'FLS MP'!T103</f>
        <v>0.37388209255290172</v>
      </c>
      <c r="W35" s="61">
        <f t="shared" si="17"/>
        <v>0.39273611564028688</v>
      </c>
      <c r="X35" s="60">
        <f>MAX('ULS MP'!N46,'ULS MP'!N76)</f>
        <v>0.78453681374896356</v>
      </c>
      <c r="Y35" s="60">
        <f>MAX('ULS MP'!O46,'ULS MP'!O76)</f>
        <v>0.49821928885945538</v>
      </c>
      <c r="AA35" s="44"/>
      <c r="AB35" s="44"/>
    </row>
    <row r="36" spans="3:28">
      <c r="C36" s="112">
        <v>11</v>
      </c>
      <c r="D36" s="217">
        <f t="shared" si="16"/>
        <v>-28.3</v>
      </c>
      <c r="E36" s="44">
        <v>-31.8</v>
      </c>
      <c r="F36" s="44">
        <v>11.064500000000001</v>
      </c>
      <c r="G36" s="44">
        <v>11.5</v>
      </c>
      <c r="H36" s="45">
        <v>98</v>
      </c>
      <c r="I36" s="113">
        <f t="shared" si="18"/>
        <v>3.5</v>
      </c>
      <c r="J36" s="114">
        <f t="shared" si="19"/>
        <v>3.5600275600241904</v>
      </c>
      <c r="K36" s="59">
        <f t="shared" si="20"/>
        <v>94.606399752574163</v>
      </c>
      <c r="L36" s="59">
        <f t="shared" si="21"/>
        <v>117.34693877551021</v>
      </c>
      <c r="M36" s="75" t="s">
        <v>109</v>
      </c>
      <c r="N36" s="117" t="s">
        <v>49</v>
      </c>
      <c r="P36" s="110"/>
      <c r="Q36" s="110"/>
      <c r="S36" s="61">
        <f>'FLS MP'!S75</f>
        <v>0.34567773961827841</v>
      </c>
      <c r="T36" s="61">
        <f>'FLS MP'!T75</f>
        <v>0.33079670857420806</v>
      </c>
      <c r="U36" s="61">
        <f>'FLS MP'!S104</f>
        <v>0.34567773961827841</v>
      </c>
      <c r="V36" s="61">
        <f>'FLS MP'!T104</f>
        <v>0.33079670857420806</v>
      </c>
      <c r="W36" s="61">
        <f t="shared" si="17"/>
        <v>0.34567773961827841</v>
      </c>
      <c r="X36" s="60">
        <f>MAX('ULS MP'!N47,'ULS MP'!N77)</f>
        <v>0.8525778253548757</v>
      </c>
      <c r="Y36" s="60">
        <f>MAX('ULS MP'!O47,'ULS MP'!O77)</f>
        <v>0.7960966114932081</v>
      </c>
      <c r="AA36" s="44"/>
      <c r="AB36" s="44"/>
    </row>
    <row r="37" spans="3:28">
      <c r="C37" s="112">
        <v>12</v>
      </c>
      <c r="D37" s="217">
        <f t="shared" si="16"/>
        <v>-31.8</v>
      </c>
      <c r="E37" s="44">
        <v>-35.299999999999997</v>
      </c>
      <c r="F37" s="44">
        <v>11.5</v>
      </c>
      <c r="G37" s="44">
        <v>11.5</v>
      </c>
      <c r="H37" s="45">
        <v>98</v>
      </c>
      <c r="I37" s="113">
        <f t="shared" si="18"/>
        <v>3.4999999999999964</v>
      </c>
      <c r="J37" s="114">
        <f t="shared" si="19"/>
        <v>0</v>
      </c>
      <c r="K37" s="59">
        <f t="shared" si="20"/>
        <v>96.448324204023137</v>
      </c>
      <c r="L37" s="59">
        <f t="shared" si="21"/>
        <v>117.34693877551021</v>
      </c>
      <c r="M37" s="75" t="s">
        <v>109</v>
      </c>
      <c r="N37" s="117" t="s">
        <v>263</v>
      </c>
      <c r="P37" s="110"/>
      <c r="Q37" s="110"/>
      <c r="S37" s="61">
        <f>'FLS MP'!S76</f>
        <v>0.3356744390459343</v>
      </c>
      <c r="T37" s="61">
        <f>'FLS MP'!T76</f>
        <v>0.41298290906551149</v>
      </c>
      <c r="U37" s="61">
        <f>'FLS MP'!S105</f>
        <v>0.3356744390459343</v>
      </c>
      <c r="V37" s="61">
        <f>'FLS MP'!T105</f>
        <v>0.41298290906551149</v>
      </c>
      <c r="W37" s="61">
        <f t="shared" si="17"/>
        <v>0.41298290906551149</v>
      </c>
      <c r="X37" s="60">
        <f>MAX('ULS MP'!N48,'ULS MP'!N78)</f>
        <v>0.96109603783161168</v>
      </c>
      <c r="Y37" s="60">
        <f>MAX('ULS MP'!O48,'ULS MP'!O78)</f>
        <v>0.7960966114932081</v>
      </c>
      <c r="AA37" s="44"/>
      <c r="AB37" s="44"/>
    </row>
    <row r="38" spans="3:28">
      <c r="C38" s="112">
        <v>13</v>
      </c>
      <c r="D38" s="217">
        <f>E37</f>
        <v>-35.299999999999997</v>
      </c>
      <c r="E38" s="44">
        <v>-38.6</v>
      </c>
      <c r="F38" s="44">
        <v>11.5</v>
      </c>
      <c r="G38" s="44">
        <v>11.5</v>
      </c>
      <c r="H38" s="45">
        <v>100</v>
      </c>
      <c r="I38" s="113">
        <f t="shared" ref="I38" si="22">D38-E38</f>
        <v>3.3000000000000043</v>
      </c>
      <c r="J38" s="114">
        <f t="shared" ref="J38" si="23">ATAN((G38-F38)/(2*I38))/PI()*180</f>
        <v>0</v>
      </c>
      <c r="K38" s="59">
        <f t="shared" ref="K38" si="24">IF(J38=0,PI()/4*(F38^2-(F38-(2*H38/1000))^2)*I38*7850/1000,(I38*PI()/12)*((G38^2+G38*F38+F38^2)-((G38-2*(H38/1000))^2+(G38-(2*H38/1000))*(F38-(2*H38/1000))+(F38-(2*H38/1000))^2))*7850/1000)</f>
        <v>92.776571768017575</v>
      </c>
      <c r="L38" s="59">
        <f t="shared" ref="L38" si="25">MAX(F38:G38)/H38*1000</f>
        <v>115</v>
      </c>
      <c r="M38" s="75" t="s">
        <v>109</v>
      </c>
      <c r="N38" s="117" t="s">
        <v>49</v>
      </c>
      <c r="P38" s="110"/>
      <c r="Q38" s="110"/>
      <c r="S38" s="61">
        <f>'FLS MP'!S77</f>
        <v>0.32146718030310728</v>
      </c>
      <c r="T38" s="61">
        <f>'FLS MP'!T77</f>
        <v>0.35905189832455509</v>
      </c>
      <c r="U38" s="61">
        <f>'FLS MP'!S106</f>
        <v>0.30985672031489575</v>
      </c>
      <c r="V38" s="61">
        <f>'FLS MP'!T106</f>
        <v>0.34485793739311621</v>
      </c>
      <c r="W38" s="61">
        <f t="shared" si="17"/>
        <v>0.35905189832455509</v>
      </c>
      <c r="X38" s="60">
        <f>MAX('ULS MP'!N49,'ULS MP'!N79)</f>
        <v>0.81032433050749053</v>
      </c>
      <c r="Y38" s="60">
        <f>MAX('ULS MP'!O49,'ULS MP'!O79)</f>
        <v>0.47708125735827872</v>
      </c>
      <c r="AA38" s="44"/>
      <c r="AB38" s="44"/>
    </row>
    <row r="39" spans="3:28">
      <c r="C39" s="112">
        <v>14</v>
      </c>
      <c r="D39" s="217">
        <f t="shared" ref="D39:D50" si="26">E38</f>
        <v>-38.6</v>
      </c>
      <c r="E39" s="44">
        <v>-41.9</v>
      </c>
      <c r="F39" s="44">
        <v>11.5</v>
      </c>
      <c r="G39" s="44">
        <v>11.5</v>
      </c>
      <c r="H39" s="45">
        <v>98</v>
      </c>
      <c r="I39" s="113">
        <f>D39-E39</f>
        <v>3.2999999999999972</v>
      </c>
      <c r="J39" s="114">
        <f>ATAN((G39-F39)/(2*I39))/PI()*180</f>
        <v>0</v>
      </c>
      <c r="K39" s="59">
        <f>IF(J39=0,PI()/4*(F39^2-(F39-(2*H39/1000))^2)*I39*7850/1000,(I39*PI()/12)*((G39^2+G39*F39+F39^2)-((G39-2*(H39/1000))^2+(G39-(2*H39/1000))*(F39-(2*H39/1000))+(F39-(2*H39/1000))^2))*7850/1000)</f>
        <v>90.936991392364675</v>
      </c>
      <c r="L39" s="59">
        <f>MAX(F39:G39)/H39*1000</f>
        <v>117.34693877551021</v>
      </c>
      <c r="M39" s="75" t="s">
        <v>123</v>
      </c>
      <c r="N39" s="117" t="s">
        <v>49</v>
      </c>
      <c r="P39" s="110"/>
      <c r="Q39" s="110"/>
      <c r="S39" s="61">
        <f>'FLS MP'!S78</f>
        <v>0.34389274390935209</v>
      </c>
      <c r="T39" s="61">
        <f>'FLS MP'!T78</f>
        <v>0.38551757921114105</v>
      </c>
      <c r="U39" s="61">
        <f>'FLS MP'!S107</f>
        <v>0.35770036333319333</v>
      </c>
      <c r="V39" s="61">
        <f>'FLS MP'!T107</f>
        <v>0.40239760040385619</v>
      </c>
      <c r="W39" s="61">
        <f t="shared" si="17"/>
        <v>0.40239760040385619</v>
      </c>
      <c r="X39" s="60">
        <f>MAX('ULS MP'!N50,'ULS MP'!N80)</f>
        <v>0.94351618759103839</v>
      </c>
      <c r="Y39" s="60">
        <f>MAX('ULS MP'!O50,'ULS MP'!O80)</f>
        <v>0.44199780896713692</v>
      </c>
      <c r="AA39" s="44"/>
      <c r="AB39" s="44"/>
    </row>
    <row r="40" spans="3:28">
      <c r="C40" s="112">
        <v>15</v>
      </c>
      <c r="D40" s="217">
        <f t="shared" si="26"/>
        <v>-41.9</v>
      </c>
      <c r="E40" s="44">
        <v>-45.2</v>
      </c>
      <c r="F40" s="44">
        <v>11.5</v>
      </c>
      <c r="G40" s="44">
        <v>11.5</v>
      </c>
      <c r="H40" s="45">
        <v>95</v>
      </c>
      <c r="I40" s="113">
        <f t="shared" ref="I40" si="27">D40-E40</f>
        <v>3.3000000000000043</v>
      </c>
      <c r="J40" s="114">
        <f t="shared" ref="J40" si="28">ATAN((G40-F40)/(2*I40))/PI()*180</f>
        <v>0</v>
      </c>
      <c r="K40" s="59">
        <f t="shared" ref="K40" si="29">IF(J40=0,PI()/4*(F40^2-(F40-(2*H40/1000))^2)*I40*7850/1000,(I40*PI()/12)*((G40^2+G40*F40+F40^2)-((G40-2*(H40/1000))^2+(G40-(2*H40/1000))*(F40-(2*H40/1000))+(F40-(2*H40/1000))^2))*7850/1000)</f>
        <v>88.176400084519983</v>
      </c>
      <c r="L40" s="59">
        <f t="shared" ref="L40" si="30">MAX(F40:G40)/H40*1000</f>
        <v>121.05263157894737</v>
      </c>
      <c r="M40" s="75" t="s">
        <v>109</v>
      </c>
      <c r="N40" s="117" t="s">
        <v>49</v>
      </c>
      <c r="P40" s="110"/>
      <c r="Q40" s="110"/>
      <c r="S40" s="61">
        <f>'FLS MP'!S79</f>
        <v>0.39030795569418875</v>
      </c>
      <c r="T40" s="61">
        <f>'FLS MP'!T79</f>
        <v>0.48505203507187367</v>
      </c>
      <c r="U40" s="61">
        <f>'FLS MP'!S108</f>
        <v>0.4166369084867555</v>
      </c>
      <c r="V40" s="61">
        <f>'FLS MP'!T108</f>
        <v>0.5217946489767461</v>
      </c>
      <c r="W40" s="61">
        <f t="shared" si="17"/>
        <v>0.5217946489767461</v>
      </c>
      <c r="X40" s="60">
        <f>MAX('ULS MP'!N51,'ULS MP'!N81)</f>
        <v>0.97604106732877993</v>
      </c>
      <c r="Y40" s="60">
        <f>MAX('ULS MP'!O51,'ULS MP'!O81)</f>
        <v>0.54650638604201207</v>
      </c>
      <c r="AA40" s="44"/>
      <c r="AB40" s="44"/>
    </row>
    <row r="41" spans="3:28">
      <c r="C41" s="112">
        <v>16</v>
      </c>
      <c r="D41" s="217">
        <f t="shared" si="26"/>
        <v>-45.2</v>
      </c>
      <c r="E41" s="44">
        <v>-48.5</v>
      </c>
      <c r="F41" s="44">
        <v>11.5</v>
      </c>
      <c r="G41" s="44">
        <v>11.5</v>
      </c>
      <c r="H41" s="45">
        <v>95</v>
      </c>
      <c r="I41" s="113">
        <f t="shared" ref="I41" si="31">D41-E41</f>
        <v>3.2999999999999972</v>
      </c>
      <c r="J41" s="114">
        <f t="shared" ref="J41" si="32">ATAN((G41-F41)/(2*I41))/PI()*180</f>
        <v>0</v>
      </c>
      <c r="K41" s="59">
        <f t="shared" ref="K41" si="33">IF(J41=0,PI()/4*(F41^2-(F41-(2*H41/1000))^2)*I41*7850/1000,(I41*PI()/12)*((G41^2+G41*F41+F41^2)-((G41-2*(H41/1000))^2+(G41-(2*H41/1000))*(F41-(2*H41/1000))+(F41-(2*H41/1000))^2))*7850/1000)</f>
        <v>88.17640008451977</v>
      </c>
      <c r="L41" s="59">
        <f t="shared" ref="L41" si="34">MAX(F41:G41)/H41*1000</f>
        <v>121.05263157894737</v>
      </c>
      <c r="M41" s="75" t="s">
        <v>109</v>
      </c>
      <c r="N41" s="117" t="s">
        <v>49</v>
      </c>
      <c r="P41" s="110"/>
      <c r="Q41" s="110"/>
      <c r="S41" s="61">
        <f>'FLS MP'!S80</f>
        <v>0.58037361343915872</v>
      </c>
      <c r="T41" s="61">
        <f>'FLS MP'!T80</f>
        <v>0.55133932615979686</v>
      </c>
      <c r="U41" s="61">
        <f>'FLS MP'!S109</f>
        <v>0.58037361343915872</v>
      </c>
      <c r="V41" s="61">
        <f>'FLS MP'!T109</f>
        <v>0.55133932615979686</v>
      </c>
      <c r="W41" s="61">
        <f t="shared" si="17"/>
        <v>0.58037361343915872</v>
      </c>
      <c r="X41" s="60">
        <f>MAX('ULS MP'!N52,'ULS MP'!N82)</f>
        <v>0.70103204176479239</v>
      </c>
      <c r="Y41" s="60">
        <f>MAX('ULS MP'!O52,'ULS MP'!O82)</f>
        <v>0.56897743023223557</v>
      </c>
      <c r="AA41" s="44"/>
      <c r="AB41" s="44"/>
    </row>
    <row r="42" spans="3:28">
      <c r="C42" s="112">
        <v>17</v>
      </c>
      <c r="D42" s="217">
        <f t="shared" si="26"/>
        <v>-48.5</v>
      </c>
      <c r="E42" s="44">
        <v>-51.7</v>
      </c>
      <c r="F42" s="44">
        <v>11.5</v>
      </c>
      <c r="G42" s="44">
        <v>11.5</v>
      </c>
      <c r="H42" s="45">
        <v>95</v>
      </c>
      <c r="I42" s="113">
        <f t="shared" ref="I42:I50" si="35">D42-E42</f>
        <v>3.2000000000000028</v>
      </c>
      <c r="J42" s="114">
        <f t="shared" ref="J42:J50" si="36">ATAN((G42-F42)/(2*I42))/PI()*180</f>
        <v>0</v>
      </c>
      <c r="K42" s="59">
        <f t="shared" ref="K42:K50" si="37">IF(J42=0,PI()/4*(F42^2-(F42-(2*H42/1000))^2)*I42*7850/1000,(I42*PI()/12)*((G42^2+G42*F42+F42^2)-((G42-2*(H42/1000))^2+(G42-(2*H42/1000))*(F42-(2*H42/1000))+(F42-(2*H42/1000))^2))*7850/1000)</f>
        <v>85.504387960746612</v>
      </c>
      <c r="L42" s="59">
        <f t="shared" ref="L42:L50" si="38">MAX(F42:G42)/H42*1000</f>
        <v>121.05263157894737</v>
      </c>
      <c r="M42" s="75" t="s">
        <v>109</v>
      </c>
      <c r="N42" s="117" t="s">
        <v>49</v>
      </c>
      <c r="P42" s="110"/>
      <c r="Q42" s="110"/>
      <c r="S42" s="61">
        <f>'FLS MP'!S81</f>
        <v>0.70491067463887891</v>
      </c>
      <c r="T42" s="61">
        <f>'FLS MP'!T81</f>
        <v>0.66784784238285033</v>
      </c>
      <c r="U42" s="61">
        <f>'FLS MP'!S110</f>
        <v>0.70491067463887891</v>
      </c>
      <c r="V42" s="61">
        <f>'FLS MP'!T110</f>
        <v>0.66784784238285033</v>
      </c>
      <c r="W42" s="61">
        <f t="shared" si="17"/>
        <v>0.70491067463887891</v>
      </c>
      <c r="X42" s="60">
        <f>MAX('ULS MP'!N53,'ULS MP'!N83)</f>
        <v>0.72655281351523837</v>
      </c>
      <c r="Y42" s="60">
        <f>MAX('ULS MP'!O53,'ULS MP'!O83)</f>
        <v>0.58836920305599805</v>
      </c>
      <c r="AA42" s="44"/>
      <c r="AB42" s="44"/>
    </row>
    <row r="43" spans="3:28">
      <c r="C43" s="112">
        <v>18</v>
      </c>
      <c r="D43" s="217">
        <f t="shared" si="26"/>
        <v>-51.7</v>
      </c>
      <c r="E43" s="44">
        <v>-55.3</v>
      </c>
      <c r="F43" s="44">
        <v>11.5</v>
      </c>
      <c r="G43" s="44">
        <v>11.5</v>
      </c>
      <c r="H43" s="45">
        <v>93</v>
      </c>
      <c r="I43" s="113">
        <f t="shared" si="35"/>
        <v>3.5999999999999943</v>
      </c>
      <c r="J43" s="114">
        <f t="shared" si="36"/>
        <v>0</v>
      </c>
      <c r="K43" s="59">
        <f t="shared" si="37"/>
        <v>94.18384587241448</v>
      </c>
      <c r="L43" s="59">
        <f t="shared" si="38"/>
        <v>123.65591397849462</v>
      </c>
      <c r="M43" s="75" t="s">
        <v>109</v>
      </c>
      <c r="N43" s="117" t="s">
        <v>49</v>
      </c>
      <c r="P43" s="110"/>
      <c r="Q43" s="110"/>
      <c r="S43" s="61">
        <f>'FLS MP'!S82</f>
        <v>0.74334548921080423</v>
      </c>
      <c r="T43" s="61">
        <f>'FLS MP'!T82</f>
        <v>0.87372923058779939</v>
      </c>
      <c r="U43" s="61">
        <f>'FLS MP'!S111</f>
        <v>0.78518887676169624</v>
      </c>
      <c r="V43" s="61">
        <f>'FLS MP'!T111</f>
        <v>0.92559211232790928</v>
      </c>
      <c r="W43" s="61">
        <f t="shared" si="17"/>
        <v>0.92559211232790928</v>
      </c>
      <c r="X43" s="60">
        <f>MAX('ULS MP'!N54,'ULS MP'!N84)</f>
        <v>0.7710902318488414</v>
      </c>
      <c r="Y43" s="60">
        <f>MAX('ULS MP'!O54,'ULS MP'!O84)</f>
        <v>0.62043067714536149</v>
      </c>
      <c r="AA43" s="44"/>
      <c r="AB43" s="44"/>
    </row>
    <row r="44" spans="3:28">
      <c r="C44" s="112">
        <v>19</v>
      </c>
      <c r="D44" s="217">
        <f t="shared" si="26"/>
        <v>-55.3</v>
      </c>
      <c r="E44" s="44">
        <v>-59.3</v>
      </c>
      <c r="F44" s="44">
        <v>11.5</v>
      </c>
      <c r="G44" s="44">
        <v>11.5</v>
      </c>
      <c r="H44" s="45">
        <v>93</v>
      </c>
      <c r="I44" s="113">
        <f t="shared" si="35"/>
        <v>4</v>
      </c>
      <c r="J44" s="114">
        <f t="shared" si="36"/>
        <v>0</v>
      </c>
      <c r="K44" s="59">
        <f t="shared" si="37"/>
        <v>104.64871763601626</v>
      </c>
      <c r="L44" s="59">
        <f t="shared" si="38"/>
        <v>123.65591397849462</v>
      </c>
      <c r="M44" s="75" t="s">
        <v>109</v>
      </c>
      <c r="N44" s="117" t="s">
        <v>36</v>
      </c>
      <c r="P44" s="110"/>
      <c r="Q44" s="110"/>
      <c r="S44" s="61">
        <f>'FLS MP'!S83</f>
        <v>0.34596008348788498</v>
      </c>
      <c r="T44" s="61">
        <f>'FLS MP'!T83</f>
        <v>0.95066526434850995</v>
      </c>
      <c r="U44" s="61">
        <f>'FLS MP'!S112</f>
        <v>0.34596008348788498</v>
      </c>
      <c r="V44" s="61">
        <f>'FLS MP'!T112</f>
        <v>0.95066526434850995</v>
      </c>
      <c r="W44" s="61">
        <f t="shared" si="17"/>
        <v>0.95066526434850995</v>
      </c>
      <c r="X44" s="60">
        <f>MAX('ULS MP'!N55,'ULS MP'!N85)</f>
        <v>0.77126577934593743</v>
      </c>
      <c r="Y44" s="60">
        <f>MAX('ULS MP'!O55,'ULS MP'!O85)</f>
        <v>0.62043067714536149</v>
      </c>
      <c r="AA44" s="44"/>
      <c r="AB44" s="44"/>
    </row>
    <row r="45" spans="3:28">
      <c r="C45" s="112">
        <v>20</v>
      </c>
      <c r="D45" s="217">
        <f t="shared" si="26"/>
        <v>-59.3</v>
      </c>
      <c r="E45" s="44">
        <v>-63.3</v>
      </c>
      <c r="F45" s="44">
        <v>11.5</v>
      </c>
      <c r="G45" s="44">
        <v>11.5</v>
      </c>
      <c r="H45" s="45">
        <v>93</v>
      </c>
      <c r="I45" s="113">
        <f t="shared" si="35"/>
        <v>4</v>
      </c>
      <c r="J45" s="114">
        <f t="shared" si="36"/>
        <v>0</v>
      </c>
      <c r="K45" s="59">
        <f t="shared" si="37"/>
        <v>104.64871763601626</v>
      </c>
      <c r="L45" s="59">
        <f t="shared" si="38"/>
        <v>123.65591397849462</v>
      </c>
      <c r="M45" s="75" t="s">
        <v>109</v>
      </c>
      <c r="N45" s="117" t="s">
        <v>49</v>
      </c>
      <c r="P45" s="110"/>
      <c r="Q45" s="110"/>
      <c r="S45" s="61">
        <f>'FLS MP'!S84</f>
        <v>0.87844371507944596</v>
      </c>
      <c r="T45" s="61">
        <f>'FLS MP'!T84</f>
        <v>0.83118478218811276</v>
      </c>
      <c r="U45" s="61">
        <f>'FLS MP'!S113</f>
        <v>0.87844371507944596</v>
      </c>
      <c r="V45" s="61">
        <f>'FLS MP'!T113</f>
        <v>0.83118478218811276</v>
      </c>
      <c r="W45" s="61">
        <f t="shared" si="17"/>
        <v>0.87844371507944596</v>
      </c>
      <c r="X45" s="60">
        <f>MAX('ULS MP'!N56,'ULS MP'!N86)</f>
        <v>0.76432126821929258</v>
      </c>
      <c r="Y45" s="60">
        <f>MAX('ULS MP'!O56,'ULS MP'!O86)</f>
        <v>0.61747004298268182</v>
      </c>
      <c r="AA45" s="44"/>
      <c r="AB45" s="44"/>
    </row>
    <row r="46" spans="3:28">
      <c r="C46" s="112">
        <v>21</v>
      </c>
      <c r="D46" s="217">
        <f t="shared" si="26"/>
        <v>-63.3</v>
      </c>
      <c r="E46" s="44">
        <v>-67.3</v>
      </c>
      <c r="F46" s="44">
        <v>11.5</v>
      </c>
      <c r="G46" s="44">
        <v>11.5</v>
      </c>
      <c r="H46" s="45">
        <v>93</v>
      </c>
      <c r="I46" s="113">
        <f t="shared" si="35"/>
        <v>4</v>
      </c>
      <c r="J46" s="114">
        <f t="shared" si="36"/>
        <v>0</v>
      </c>
      <c r="K46" s="59">
        <f t="shared" si="37"/>
        <v>104.64871763601626</v>
      </c>
      <c r="L46" s="59">
        <f t="shared" si="38"/>
        <v>123.65591397849462</v>
      </c>
      <c r="M46" s="75" t="s">
        <v>109</v>
      </c>
      <c r="N46" s="117" t="s">
        <v>49</v>
      </c>
      <c r="P46" s="110"/>
      <c r="Q46" s="110"/>
      <c r="S46" s="61">
        <f>'FLS MP'!S85</f>
        <v>0.54342087450314214</v>
      </c>
      <c r="T46" s="61">
        <f>'FLS MP'!T85</f>
        <v>0.51731626707525247</v>
      </c>
      <c r="U46" s="61">
        <f>'FLS MP'!S114</f>
        <v>0.54342087450314214</v>
      </c>
      <c r="V46" s="61">
        <f>'FLS MP'!T114</f>
        <v>0.51731626707525247</v>
      </c>
      <c r="W46" s="61">
        <f t="shared" si="17"/>
        <v>0.54342087450314214</v>
      </c>
      <c r="X46" s="60">
        <f>MAX('ULS MP'!N57,'ULS MP'!N87)</f>
        <v>0.7007947850627041</v>
      </c>
      <c r="Y46" s="60">
        <f>MAX('ULS MP'!O57,'ULS MP'!O87)</f>
        <v>0.5985278325423441</v>
      </c>
      <c r="AA46" s="44"/>
      <c r="AB46" s="44"/>
    </row>
    <row r="47" spans="3:28">
      <c r="C47" s="112">
        <v>22</v>
      </c>
      <c r="D47" s="217">
        <f t="shared" si="26"/>
        <v>-67.3</v>
      </c>
      <c r="E47" s="44">
        <v>-71</v>
      </c>
      <c r="F47" s="44">
        <v>11.5</v>
      </c>
      <c r="G47" s="44">
        <v>11.5</v>
      </c>
      <c r="H47" s="45">
        <v>96</v>
      </c>
      <c r="I47" s="113">
        <f t="shared" si="35"/>
        <v>3.7000000000000028</v>
      </c>
      <c r="J47" s="114">
        <f t="shared" si="36"/>
        <v>0</v>
      </c>
      <c r="K47" s="59">
        <f t="shared" si="37"/>
        <v>99.896367220086958</v>
      </c>
      <c r="L47" s="59">
        <f t="shared" si="38"/>
        <v>119.79166666666667</v>
      </c>
      <c r="M47" s="75" t="s">
        <v>109</v>
      </c>
      <c r="N47" s="117" t="s">
        <v>49</v>
      </c>
      <c r="P47" s="110"/>
      <c r="Q47" s="110"/>
      <c r="S47" s="61">
        <f>'FLS MP'!S86</f>
        <v>0.25145601346493518</v>
      </c>
      <c r="T47" s="61">
        <f>'FLS MP'!T86</f>
        <v>0.29740307387988896</v>
      </c>
      <c r="U47" s="61">
        <f>'FLS MP'!S115</f>
        <v>0.24006764457756558</v>
      </c>
      <c r="V47" s="61">
        <f>'FLS MP'!T115</f>
        <v>0.28138490774156655</v>
      </c>
      <c r="W47" s="61">
        <f t="shared" si="17"/>
        <v>0.29740307387988896</v>
      </c>
      <c r="X47" s="60">
        <f>MAX('ULS MP'!N58,'ULS MP'!N88)</f>
        <v>0.59486676569932195</v>
      </c>
      <c r="Y47" s="60">
        <f>MAX('ULS MP'!O58,'ULS MP'!O88)</f>
        <v>0.53366758334360764</v>
      </c>
      <c r="AA47" s="44"/>
      <c r="AB47" s="44"/>
    </row>
    <row r="48" spans="3:28">
      <c r="C48" s="112">
        <v>23</v>
      </c>
      <c r="D48" s="217">
        <f t="shared" si="26"/>
        <v>-71</v>
      </c>
      <c r="E48" s="44">
        <v>-74.3</v>
      </c>
      <c r="F48" s="44">
        <v>11.5</v>
      </c>
      <c r="G48" s="44">
        <v>11.5</v>
      </c>
      <c r="H48" s="45">
        <v>100</v>
      </c>
      <c r="I48" s="113">
        <f t="shared" si="35"/>
        <v>3.2999999999999972</v>
      </c>
      <c r="J48" s="114">
        <f t="shared" si="36"/>
        <v>0</v>
      </c>
      <c r="K48" s="59">
        <f t="shared" si="37"/>
        <v>92.776571768017348</v>
      </c>
      <c r="L48" s="59">
        <f t="shared" si="38"/>
        <v>115</v>
      </c>
      <c r="M48" s="75" t="s">
        <v>109</v>
      </c>
      <c r="N48" s="117" t="s">
        <v>49</v>
      </c>
      <c r="P48" s="110"/>
      <c r="Q48" s="110"/>
      <c r="S48" s="61">
        <f>'FLS MP'!S87</f>
        <v>0.15373674735975357</v>
      </c>
      <c r="T48" s="61">
        <f>'FLS MP'!T87</f>
        <v>0.16649052556004917</v>
      </c>
      <c r="U48" s="61">
        <f>'FLS MP'!S116</f>
        <v>0.15091736021557861</v>
      </c>
      <c r="V48" s="61">
        <f>'FLS MP'!T116</f>
        <v>0.16206537778633961</v>
      </c>
      <c r="W48" s="61">
        <f t="shared" si="17"/>
        <v>0.16649052556004917</v>
      </c>
      <c r="X48" s="60">
        <f>MAX('ULS MP'!N59,'ULS MP'!N89)</f>
        <v>0.58948760483230578</v>
      </c>
      <c r="Y48" s="60">
        <f>MAX('ULS MP'!O59,'ULS MP'!O89)</f>
        <v>0.46564117820986511</v>
      </c>
      <c r="AA48" s="44"/>
      <c r="AB48" s="44"/>
    </row>
    <row r="49" spans="3:28">
      <c r="C49" s="112">
        <v>24</v>
      </c>
      <c r="D49" s="217">
        <f t="shared" si="26"/>
        <v>-74.3</v>
      </c>
      <c r="E49" s="44">
        <f>E50+3</f>
        <v>-77.430000000000007</v>
      </c>
      <c r="F49" s="44">
        <v>11.5</v>
      </c>
      <c r="G49" s="44">
        <v>11.5</v>
      </c>
      <c r="H49" s="45">
        <v>110</v>
      </c>
      <c r="I49" s="113">
        <f t="shared" si="35"/>
        <v>3.1300000000000097</v>
      </c>
      <c r="J49" s="114">
        <f t="shared" si="36"/>
        <v>0</v>
      </c>
      <c r="K49" s="59">
        <f t="shared" si="37"/>
        <v>96.711980325441203</v>
      </c>
      <c r="L49" s="59">
        <f t="shared" si="38"/>
        <v>104.54545454545453</v>
      </c>
      <c r="M49" s="75" t="s">
        <v>109</v>
      </c>
      <c r="N49" s="117" t="s">
        <v>49</v>
      </c>
      <c r="P49" s="110"/>
      <c r="Q49" s="110"/>
      <c r="S49" s="61">
        <f>'FLS MP'!S88</f>
        <v>0.13169643757081428</v>
      </c>
      <c r="T49" s="61">
        <f>'FLS MP'!T88</f>
        <v>0.13501582566969728</v>
      </c>
      <c r="U49" s="61">
        <f>'FLS MP'!S117</f>
        <v>0.13126364901824356</v>
      </c>
      <c r="V49" s="61">
        <f>'FLS MP'!T117</f>
        <v>0.13370982685330177</v>
      </c>
      <c r="W49" s="61">
        <f t="shared" si="17"/>
        <v>0.13501582566969728</v>
      </c>
      <c r="X49" s="60">
        <f>MAX('ULS MP'!N60,'ULS MP'!N90)</f>
        <v>0.5258246153762216</v>
      </c>
      <c r="Y49" s="60">
        <f>MAX('ULS MP'!O60,'ULS MP'!O90)</f>
        <v>0.40205084603692542</v>
      </c>
      <c r="AA49" s="44"/>
      <c r="AB49" s="44"/>
    </row>
    <row r="50" spans="3:28">
      <c r="C50" s="112">
        <v>25</v>
      </c>
      <c r="D50" s="217">
        <f t="shared" si="26"/>
        <v>-77.430000000000007</v>
      </c>
      <c r="E50" s="44">
        <v>-80.430000000000007</v>
      </c>
      <c r="F50" s="44">
        <v>11.5</v>
      </c>
      <c r="G50" s="44">
        <v>11.5</v>
      </c>
      <c r="H50" s="45">
        <v>122</v>
      </c>
      <c r="I50" s="113">
        <f t="shared" si="35"/>
        <v>3</v>
      </c>
      <c r="J50" s="114">
        <f t="shared" si="36"/>
        <v>0</v>
      </c>
      <c r="K50" s="59">
        <f t="shared" si="37"/>
        <v>102.69907790776207</v>
      </c>
      <c r="L50" s="59">
        <f t="shared" si="38"/>
        <v>94.26229508196721</v>
      </c>
      <c r="M50" s="75" t="s">
        <v>109</v>
      </c>
      <c r="N50" s="117" t="s">
        <v>49</v>
      </c>
      <c r="P50" s="110"/>
      <c r="Q50" s="110"/>
      <c r="S50" s="61">
        <f>'FLS MP'!S89</f>
        <v>0.1300189321336572</v>
      </c>
      <c r="T50" s="61">
        <f>'FLS MP'!T89</f>
        <v>0.13006211862681394</v>
      </c>
      <c r="U50" s="61">
        <f>'FLS MP'!S118</f>
        <v>0.13001376450304192</v>
      </c>
      <c r="V50" s="61">
        <f>'FLS MP'!T118</f>
        <v>0.13004477986295121</v>
      </c>
      <c r="W50" s="61">
        <f t="shared" si="17"/>
        <v>0.13006211862681394</v>
      </c>
      <c r="X50" s="60">
        <f>MAX('ULS MP'!N61,'ULS MP'!N91)</f>
        <v>0.34808880408957416</v>
      </c>
      <c r="Y50" s="60">
        <f>MAX('ULS MP'!O61,'ULS MP'!O91)</f>
        <v>0.26028131056351156</v>
      </c>
      <c r="AA50" s="44"/>
      <c r="AB50" s="44"/>
    </row>
  </sheetData>
  <sheetProtection sheet="1" objects="1" scenarios="1"/>
  <mergeCells count="51">
    <mergeCell ref="AN9:AN10"/>
    <mergeCell ref="AN24:AN25"/>
    <mergeCell ref="X9:Y9"/>
    <mergeCell ref="AD24:AD25"/>
    <mergeCell ref="AE9:AE10"/>
    <mergeCell ref="AK24:AK25"/>
    <mergeCell ref="AH9:AH10"/>
    <mergeCell ref="AH24:AH25"/>
    <mergeCell ref="AI24:AI25"/>
    <mergeCell ref="AI9:AI10"/>
    <mergeCell ref="AK9:AK10"/>
    <mergeCell ref="AE24:AE25"/>
    <mergeCell ref="AJ9:AJ10"/>
    <mergeCell ref="AJ24:AJ25"/>
    <mergeCell ref="C2:L2"/>
    <mergeCell ref="C3:L3"/>
    <mergeCell ref="S3:U3"/>
    <mergeCell ref="S4:U4"/>
    <mergeCell ref="V4:X4"/>
    <mergeCell ref="C9:C10"/>
    <mergeCell ref="C24:C25"/>
    <mergeCell ref="M24:M25"/>
    <mergeCell ref="N24:N26"/>
    <mergeCell ref="S24:W24"/>
    <mergeCell ref="M9:M10"/>
    <mergeCell ref="N9:N11"/>
    <mergeCell ref="S9:W9"/>
    <mergeCell ref="P24:Q25"/>
    <mergeCell ref="S25:S26"/>
    <mergeCell ref="T25:T26"/>
    <mergeCell ref="U25:U26"/>
    <mergeCell ref="V25:V26"/>
    <mergeCell ref="P9:Q10"/>
    <mergeCell ref="V10:V11"/>
    <mergeCell ref="W10:W11"/>
    <mergeCell ref="AV9:AV10"/>
    <mergeCell ref="AV24:AV25"/>
    <mergeCell ref="AU9:AU10"/>
    <mergeCell ref="AU24:AU25"/>
    <mergeCell ref="S10:S11"/>
    <mergeCell ref="AA9:AB9"/>
    <mergeCell ref="AA10:AA11"/>
    <mergeCell ref="W25:W26"/>
    <mergeCell ref="T10:T11"/>
    <mergeCell ref="U10:U11"/>
    <mergeCell ref="AA24:AB24"/>
    <mergeCell ref="X24:Y24"/>
    <mergeCell ref="AP9:AQ9"/>
    <mergeCell ref="AP24:AQ24"/>
    <mergeCell ref="AA25:AA26"/>
    <mergeCell ref="AD9:AD10"/>
  </mergeCells>
  <phoneticPr fontId="15" type="noConversion"/>
  <conditionalFormatting sqref="AJ11:AJ18 AJ28:AJ32">
    <cfRule type="expression" dxfId="64" priority="336">
      <formula>AND($AI11="o",ISBLANK($AJ11))</formula>
    </cfRule>
  </conditionalFormatting>
  <conditionalFormatting sqref="AJ26:AJ27">
    <cfRule type="expression" dxfId="63" priority="257">
      <formula>AND($AI26="o",ISBLANK($AJ26))</formula>
    </cfRule>
  </conditionalFormatting>
  <conditionalFormatting sqref="S12:W14">
    <cfRule type="cellIs" dxfId="62" priority="12" operator="greaterThan">
      <formula>0.9*$V$3</formula>
    </cfRule>
  </conditionalFormatting>
  <conditionalFormatting sqref="S12:W14">
    <cfRule type="cellIs" dxfId="61" priority="11" operator="greaterThan">
      <formula>1*$V$3</formula>
    </cfRule>
  </conditionalFormatting>
  <conditionalFormatting sqref="AS11:AS18">
    <cfRule type="cellIs" dxfId="60" priority="9" operator="greaterThan">
      <formula>1*$V$3</formula>
    </cfRule>
    <cfRule type="cellIs" dxfId="59" priority="10" operator="greaterThan">
      <formula>0.9*$V$3</formula>
    </cfRule>
  </conditionalFormatting>
  <conditionalFormatting sqref="X11:Y14">
    <cfRule type="cellIs" dxfId="58" priority="8" operator="greaterThan">
      <formula>0.9*$V$4</formula>
    </cfRule>
  </conditionalFormatting>
  <conditionalFormatting sqref="X11:Y14">
    <cfRule type="cellIs" dxfId="57" priority="7" operator="greaterThan">
      <formula>1*$V$4</formula>
    </cfRule>
  </conditionalFormatting>
  <conditionalFormatting sqref="S27:W50">
    <cfRule type="cellIs" dxfId="56" priority="6" operator="greaterThan">
      <formula>0.9*$V$3</formula>
    </cfRule>
  </conditionalFormatting>
  <conditionalFormatting sqref="S27:W50">
    <cfRule type="cellIs" dxfId="55" priority="5" operator="greaterThan">
      <formula>1*$V$3</formula>
    </cfRule>
  </conditionalFormatting>
  <conditionalFormatting sqref="AS26:AS32">
    <cfRule type="cellIs" dxfId="54" priority="4" operator="greaterThan">
      <formula>0.9*$X$3</formula>
    </cfRule>
  </conditionalFormatting>
  <conditionalFormatting sqref="AS26:AS32">
    <cfRule type="cellIs" dxfId="53" priority="3" operator="greaterThan">
      <formula>1*$X$3</formula>
    </cfRule>
  </conditionalFormatting>
  <conditionalFormatting sqref="X26:Y50">
    <cfRule type="cellIs" dxfId="52" priority="1" operator="greaterThan">
      <formula>1*$V$4</formula>
    </cfRule>
    <cfRule type="cellIs" dxfId="51" priority="2" operator="greaterThan">
      <formula>0.9*$V$4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53"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54" id="{00000000-000E-0000-0400-0000E9000000}">
            <xm:f>$I11&lt;IF(ABS($J11)&lt;0.001,Control!$F$67,Control!$F$69)</xm:f>
            <x14:dxf>
              <fill>
                <patternFill>
                  <bgColor rgb="FFFF0000"/>
                </patternFill>
              </fill>
            </x14:dxf>
          </x14:cfRule>
          <x14:cfRule type="expression" priority="455"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56"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57" id="{00000000-000E-0000-0400-0000EC000000}">
            <xm:f>$K26&gt;Control!$F$79</xm:f>
            <x14:dxf>
              <fill>
                <patternFill>
                  <bgColor rgb="FFFF0000"/>
                </patternFill>
              </fill>
            </x14:dxf>
          </x14:cfRule>
          <xm:sqref>K26:K50</xm:sqref>
        </x14:conditionalFormatting>
        <x14:conditionalFormatting xmlns:xm="http://schemas.microsoft.com/office/excel/2006/main">
          <x14:cfRule type="expression" priority="458"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59" id="{00000000-000E-0000-0400-0000EE000000}">
            <xm:f>$L26&gt;Control!$F$80</xm:f>
            <x14:dxf>
              <fill>
                <patternFill>
                  <bgColor rgb="FFFF0000"/>
                </patternFill>
              </fill>
            </x14:dxf>
          </x14:cfRule>
          <xm:sqref>L26:L50</xm:sqref>
        </x14:conditionalFormatting>
        <x14:conditionalFormatting xmlns:xm="http://schemas.microsoft.com/office/excel/2006/main">
          <x14:cfRule type="expression" priority="460" id="{00000000-000E-0000-0400-0000EF000000}">
            <xm:f>$I26&lt;IF(ABS($J26)&lt;0.001,Control!$F$75,Control!$F$77)</xm:f>
            <x14:dxf>
              <fill>
                <patternFill>
                  <bgColor rgb="FFFF0000"/>
                </patternFill>
              </fill>
            </x14:dxf>
          </x14:cfRule>
          <x14:cfRule type="expression" priority="461" id="{00000000-000E-0000-0400-0000F0000000}">
            <xm:f>$I26&gt;IF(ABS($J26)&lt;0.001,Control!$F$76,Control!$F$78)</xm:f>
            <x14:dxf>
              <fill>
                <patternFill>
                  <bgColor rgb="FFFF0000"/>
                </patternFill>
              </fill>
            </x14:dxf>
          </x14:cfRule>
          <xm:sqref>I26:I50</xm:sqref>
        </x14:conditionalFormatting>
        <x14:conditionalFormatting xmlns:xm="http://schemas.microsoft.com/office/excel/2006/main">
          <x14:cfRule type="expression" priority="201" id="{61073FFA-47E4-4FD5-A26A-A1653486F161}">
            <xm:f>NOT(OR($D12&gt;=Control!$F$16,$D12&lt;=Control!$F$22,P12="n"))</xm:f>
            <x14:dxf>
              <fill>
                <patternFill>
                  <fgColor indexed="64"/>
                  <bgColor rgb="FFC00000"/>
                </patternFill>
              </fill>
            </x14:dxf>
          </x14:cfRule>
          <xm:sqref>P12:P14</xm:sqref>
        </x14:conditionalFormatting>
        <x14:conditionalFormatting xmlns:xm="http://schemas.microsoft.com/office/excel/2006/main">
          <x14:cfRule type="expression" priority="200" id="{474AE970-46EC-40B4-91CD-58BFC45C42F2}">
            <xm:f>NOT(OR($D12&gt;=Control!$F$18,$D12&lt;=Control!$F$22,Q12="n"))</xm:f>
            <x14:dxf>
              <fill>
                <patternFill>
                  <fgColor indexed="64"/>
                  <bgColor rgb="FFC00000"/>
                </patternFill>
              </fill>
            </x14:dxf>
          </x14:cfRule>
          <xm:sqref>Q12:Q14</xm:sqref>
        </x14:conditionalFormatting>
        <x14:conditionalFormatting xmlns:xm="http://schemas.microsoft.com/office/excel/2006/main">
          <x14:cfRule type="expression" priority="197" id="{307DCFB8-8CF4-41ED-AA0D-FF02B8739C18}">
            <xm:f>NOT(OR($AF16&gt;=Control!$F$16,$AF16&lt;=Control!$F$22,AP17="n"))</xm:f>
            <x14:dxf>
              <fill>
                <patternFill>
                  <fgColor indexed="64"/>
                  <bgColor rgb="FFC00000"/>
                </patternFill>
              </fill>
            </x14:dxf>
          </x14:cfRule>
          <xm:sqref>AP17:AP18 AP31:AP32 AP29</xm:sqref>
        </x14:conditionalFormatting>
        <x14:conditionalFormatting xmlns:xm="http://schemas.microsoft.com/office/excel/2006/main">
          <x14:cfRule type="expression" priority="196" id="{F92B2C41-C064-43DC-B8B0-221039ED10FC}">
            <xm:f>NOT(OR($AF16&gt;=Control!$F$18,$AF16&lt;=Control!$F$22,AQ17="n"))</xm:f>
            <x14:dxf>
              <fill>
                <patternFill>
                  <fgColor indexed="64"/>
                  <bgColor rgb="FFC00000"/>
                </patternFill>
              </fill>
            </x14:dxf>
          </x14:cfRule>
          <xm:sqref>AQ17:AQ18 AQ31:AQ32 AQ29</xm:sqref>
        </x14:conditionalFormatting>
        <x14:conditionalFormatting xmlns:xm="http://schemas.microsoft.com/office/excel/2006/main">
          <x14:cfRule type="expression" priority="183" id="{F692F933-2EE3-4AB1-82CE-A2292BB7D2EE}">
            <xm:f>NOT(OR($AF25&gt;=Control!$F$16,$AF25&lt;=Control!$F$22,AP26="n"))</xm:f>
            <x14:dxf>
              <fill>
                <patternFill>
                  <fgColor indexed="64"/>
                  <bgColor rgb="FFC00000"/>
                </patternFill>
              </fill>
            </x14:dxf>
          </x14:cfRule>
          <xm:sqref>AP26:AP27</xm:sqref>
        </x14:conditionalFormatting>
        <x14:conditionalFormatting xmlns:xm="http://schemas.microsoft.com/office/excel/2006/main">
          <x14:cfRule type="expression" priority="182" id="{A1ED6201-9D4D-4F2C-923A-4BF8F6424AE1}">
            <xm:f>NOT(OR($AF25&gt;=Control!$F$18,$AF25&lt;=Control!$F$22,AQ26="n"))</xm:f>
            <x14:dxf>
              <fill>
                <patternFill>
                  <fgColor indexed="64"/>
                  <bgColor rgb="FFC00000"/>
                </patternFill>
              </fill>
            </x14:dxf>
          </x14:cfRule>
          <xm:sqref>AQ26:AQ27</xm:sqref>
        </x14:conditionalFormatting>
        <x14:conditionalFormatting xmlns:xm="http://schemas.microsoft.com/office/excel/2006/main">
          <x14:cfRule type="expression" priority="465" id="{307DCFB8-8CF4-41ED-AA0D-FF02B8739C18}">
            <xm:f>NOT(OR(#REF!&gt;=Control!$F$16,#REF!&lt;=Control!$F$22,AP30="n"))</xm:f>
            <x14:dxf>
              <fill>
                <patternFill>
                  <fgColor indexed="64"/>
                  <bgColor rgb="FFC00000"/>
                </patternFill>
              </fill>
            </x14:dxf>
          </x14:cfRule>
          <xm:sqref>AP30</xm:sqref>
        </x14:conditionalFormatting>
        <x14:conditionalFormatting xmlns:xm="http://schemas.microsoft.com/office/excel/2006/main">
          <x14:cfRule type="expression" priority="468" id="{F92B2C41-C064-43DC-B8B0-221039ED10FC}">
            <xm:f>NOT(OR(#REF!&gt;=Control!$F$18,#REF!&lt;=Control!$F$22,AQ30="n"))</xm:f>
            <x14:dxf>
              <fill>
                <patternFill>
                  <fgColor indexed="64"/>
                  <bgColor rgb="FFC00000"/>
                </patternFill>
              </fill>
            </x14:dxf>
          </x14:cfRule>
          <xm:sqref>AQ30</xm:sqref>
        </x14:conditionalFormatting>
        <x14:conditionalFormatting xmlns:xm="http://schemas.microsoft.com/office/excel/2006/main">
          <x14:cfRule type="expression" priority="92" id="{8B663077-F80A-44A3-B9A4-EFE8543C851A}">
            <xm:f>NOT(OR($AF10&gt;=Control!$F$16,$AF10&lt;=Control!$F$22,AP11="n"))</xm:f>
            <x14:dxf>
              <fill>
                <patternFill>
                  <fgColor indexed="64"/>
                  <bgColor rgb="FFC00000"/>
                </patternFill>
              </fill>
            </x14:dxf>
          </x14:cfRule>
          <xm:sqref>AP11:AP14</xm:sqref>
        </x14:conditionalFormatting>
        <x14:conditionalFormatting xmlns:xm="http://schemas.microsoft.com/office/excel/2006/main">
          <x14:cfRule type="expression" priority="91" id="{82CD4D5E-6ED8-4427-944C-CA11EB893774}">
            <xm:f>NOT(OR($AF10&gt;=Control!$F$18,$AF10&lt;=Control!$F$22,AQ11="n"))</xm:f>
            <x14:dxf>
              <fill>
                <patternFill>
                  <fgColor indexed="64"/>
                  <bgColor rgb="FFC00000"/>
                </patternFill>
              </fill>
            </x14:dxf>
          </x14:cfRule>
          <xm:sqref>AQ11:AQ14</xm:sqref>
        </x14:conditionalFormatting>
        <x14:conditionalFormatting xmlns:xm="http://schemas.microsoft.com/office/excel/2006/main">
          <x14:cfRule type="expression" priority="40" id="{8601CBEC-D637-440D-9E76-A217635DF1D0}">
            <xm:f>NOT(OR($D27&gt;=Control!$F$16,$D27&lt;=Control!$F$22,P27="n"))</xm:f>
            <x14:dxf>
              <fill>
                <patternFill>
                  <fgColor indexed="64"/>
                  <bgColor rgb="FFC00000"/>
                </patternFill>
              </fill>
            </x14:dxf>
          </x14:cfRule>
          <xm:sqref>P27:P50</xm:sqref>
        </x14:conditionalFormatting>
        <x14:conditionalFormatting xmlns:xm="http://schemas.microsoft.com/office/excel/2006/main">
          <x14:cfRule type="expression" priority="39" id="{843392A1-589F-4EB2-BBAA-44058E696664}">
            <xm:f>NOT(OR($D27&gt;=Control!$F$18,$D27&lt;=Control!$F$22,Q27="n"))</xm:f>
            <x14:dxf>
              <fill>
                <patternFill>
                  <fgColor indexed="64"/>
                  <bgColor rgb="FFC00000"/>
                </patternFill>
              </fill>
            </x14:dxf>
          </x14:cfRule>
          <xm:sqref>Q27:Q50</xm:sqref>
        </x14:conditionalFormatting>
        <x14:conditionalFormatting xmlns:xm="http://schemas.microsoft.com/office/excel/2006/main">
          <x14:cfRule type="expression" priority="472" id="{8B663077-F80A-44A3-B9A4-EFE8543C851A}">
            <xm:f>NOT(OR(#REF!&gt;=Control!$F$16,#REF!&lt;=Control!$F$22,AP15="n"))</xm:f>
            <x14:dxf>
              <fill>
                <patternFill>
                  <fgColor indexed="64"/>
                  <bgColor rgb="FFC00000"/>
                </patternFill>
              </fill>
            </x14:dxf>
          </x14:cfRule>
          <xm:sqref>AP15:AP16 AP28</xm:sqref>
        </x14:conditionalFormatting>
        <x14:conditionalFormatting xmlns:xm="http://schemas.microsoft.com/office/excel/2006/main">
          <x14:cfRule type="expression" priority="475" id="{82CD4D5E-6ED8-4427-944C-CA11EB893774}">
            <xm:f>NOT(OR(#REF!&gt;=Control!$F$18,#REF!&lt;=Control!$F$22,AQ15="n"))</xm:f>
            <x14:dxf>
              <fill>
                <patternFill>
                  <fgColor indexed="64"/>
                  <bgColor rgb="FFC00000"/>
                </patternFill>
              </fill>
            </x14:dxf>
          </x14:cfRule>
          <xm:sqref>AQ15:AQ16 AQ28</xm:sqref>
        </x14:conditionalFormatting>
        <x14:conditionalFormatting xmlns:xm="http://schemas.microsoft.com/office/excel/2006/main">
          <x14:cfRule type="expression" priority="13" id="{7B05D339-89AA-418D-BCB2-B697DF739C47}">
            <xm:f>Control!$F$3="Y"</xm:f>
            <x14:dxf>
              <font>
                <color theme="0" tint="-0.14999847407452621"/>
              </font>
              <fill>
                <patternFill patternType="solid">
                  <fgColor indexed="64"/>
                  <bgColor theme="0" tint="-4.9989318521683403E-2"/>
                </patternFill>
              </fill>
            </x14:dxf>
          </x14:cfRule>
          <xm:sqref>A7:XFD10 A19:XFD19 A12:R14 A15:AR18 A11:W11 AT11:XFD18 Z11:AR14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M26:M50</xm:sqref>
        </x14:dataValidation>
        <x14:dataValidation type="list" allowBlank="1" showInputMessage="1" showErrorMessage="1" xr:uid="{C65FF9C4-EC74-45F5-BBB1-15BDC55ED1DD}">
          <x14:formula1>
            <xm:f>Background_data!$B$4:$B$7</xm:f>
          </x14:formula1>
          <xm:sqref>N16 N12:N14 N27:N50</xm:sqref>
        </x14:dataValidation>
        <x14:dataValidation type="list" allowBlank="1" showInputMessage="1" showErrorMessage="1" xr:uid="{D54E488E-D67A-4D88-8248-D5A66731EFA3}">
          <x14:formula1>
            <xm:f>Background_data!$C$4:$C$5</xm:f>
          </x14:formula1>
          <xm:sqref>AH11:AH18</xm:sqref>
        </x14:dataValidation>
        <x14:dataValidation type="list" allowBlank="1" showInputMessage="1" showErrorMessage="1" xr:uid="{03DDE262-7980-40AF-B76C-AA7F87C4E878}">
          <x14:formula1>
            <xm:f>Background_data!$D$4:$D$8</xm:f>
          </x14:formula1>
          <xm:sqref>AI11:AI18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211</v>
      </c>
      <c r="E28" s="255"/>
      <c r="F28" s="254" t="s">
        <v>172</v>
      </c>
      <c r="G28" s="255"/>
      <c r="I28" s="256" t="s">
        <v>346</v>
      </c>
      <c r="J28" s="257"/>
      <c r="K28" s="257"/>
      <c r="L28" s="257"/>
      <c r="M28" s="258"/>
    </row>
    <row r="29" spans="3:13">
      <c r="C29" s="52" t="s">
        <v>5</v>
      </c>
      <c r="D29" s="52" t="s">
        <v>344</v>
      </c>
      <c r="E29" s="52" t="s">
        <v>345</v>
      </c>
      <c r="F29" s="52" t="s">
        <v>344</v>
      </c>
      <c r="G29" s="52" t="s">
        <v>345</v>
      </c>
      <c r="I29" s="253" t="s">
        <v>211</v>
      </c>
      <c r="J29" s="253"/>
      <c r="K29" s="52" t="s">
        <v>10</v>
      </c>
      <c r="L29" s="45">
        <v>3</v>
      </c>
    </row>
    <row r="30" spans="3:13">
      <c r="C30" s="52" t="s">
        <v>10</v>
      </c>
      <c r="D30" s="52" t="s">
        <v>10</v>
      </c>
      <c r="E30" s="52" t="s">
        <v>10</v>
      </c>
      <c r="F30" s="52" t="s">
        <v>10</v>
      </c>
      <c r="G30" s="52" t="s">
        <v>10</v>
      </c>
      <c r="I30" s="253" t="s">
        <v>172</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7"/>
  <sheetViews>
    <sheetView workbookViewId="0">
      <selection activeCell="M5" sqref="M5:P117"/>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-80.430000000000007</v>
      </c>
      <c r="D5" s="98"/>
      <c r="E5" s="98">
        <v>9.3132257461547893E-10</v>
      </c>
      <c r="G5" s="97">
        <v>-80.430000000000007</v>
      </c>
      <c r="H5" s="97">
        <v>-73130.84</v>
      </c>
      <c r="I5" s="97">
        <v>63787.07</v>
      </c>
      <c r="J5" s="97">
        <v>1E-100</v>
      </c>
      <c r="K5" s="97">
        <v>-11205.6022600377</v>
      </c>
      <c r="L5" s="39"/>
      <c r="M5" s="97">
        <v>-80.430000000000007</v>
      </c>
      <c r="N5" s="98">
        <v>-54170.99</v>
      </c>
      <c r="O5" s="98">
        <v>-1.4901161193847699E-8</v>
      </c>
      <c r="P5" s="98">
        <v>-8200.2309380642801</v>
      </c>
    </row>
    <row r="6" spans="3:16">
      <c r="C6" s="97">
        <v>-79.967979999999997</v>
      </c>
      <c r="D6" s="98"/>
      <c r="E6" s="98">
        <v>1107.3332410538601</v>
      </c>
      <c r="G6" s="97">
        <v>-79.967979999999997</v>
      </c>
      <c r="H6" s="97">
        <v>-73130.84</v>
      </c>
      <c r="I6" s="97">
        <v>63787.07</v>
      </c>
      <c r="J6" s="97">
        <v>5177.2123561799499</v>
      </c>
      <c r="K6" s="97">
        <v>-11205.6022600377</v>
      </c>
      <c r="L6" s="39"/>
      <c r="M6" s="97">
        <v>-79.967979999999997</v>
      </c>
      <c r="N6" s="98">
        <v>-54170.99</v>
      </c>
      <c r="O6" s="98">
        <v>3788.6706980019799</v>
      </c>
      <c r="P6" s="98">
        <v>-8200.2309380642801</v>
      </c>
    </row>
    <row r="7" spans="3:16">
      <c r="C7" s="97">
        <v>-79.506360000000001</v>
      </c>
      <c r="D7" s="98"/>
      <c r="E7" s="98">
        <v>4165.86352572124</v>
      </c>
      <c r="G7" s="97">
        <v>-79.506360000000001</v>
      </c>
      <c r="H7" s="97">
        <v>-73130.84</v>
      </c>
      <c r="I7" s="97">
        <v>63787.07</v>
      </c>
      <c r="J7" s="97">
        <v>19635.312922209501</v>
      </c>
      <c r="K7" s="97">
        <v>-31320.351297683199</v>
      </c>
      <c r="L7" s="39"/>
      <c r="M7" s="97">
        <v>-79.506360000000001</v>
      </c>
      <c r="N7" s="98">
        <v>-54170.99</v>
      </c>
      <c r="O7" s="98">
        <v>14373.5569101274</v>
      </c>
      <c r="P7" s="98">
        <v>-22929.869182757498</v>
      </c>
    </row>
    <row r="8" spans="3:16">
      <c r="C8" s="97">
        <v>-79.28</v>
      </c>
      <c r="D8" s="98"/>
      <c r="E8" s="98">
        <v>6293.9171775709801</v>
      </c>
      <c r="G8" s="97">
        <v>-79.28</v>
      </c>
      <c r="H8" s="97">
        <v>-73130.84</v>
      </c>
      <c r="I8" s="97">
        <v>63787.07</v>
      </c>
      <c r="J8" s="97">
        <v>29759.5985476971</v>
      </c>
      <c r="K8" s="97">
        <v>-44726.4782893624</v>
      </c>
      <c r="L8" s="39"/>
      <c r="M8" s="97">
        <v>-79.28</v>
      </c>
      <c r="N8" s="98">
        <v>-54170.99</v>
      </c>
      <c r="O8" s="98">
        <v>21788.109755426602</v>
      </c>
      <c r="P8" s="98">
        <v>-32755.578924555601</v>
      </c>
    </row>
    <row r="9" spans="3:16">
      <c r="C9" s="97">
        <v>-79.04473999999999</v>
      </c>
      <c r="D9" s="98"/>
      <c r="E9" s="98">
        <v>8913.1047723144293</v>
      </c>
      <c r="G9" s="97">
        <v>-79.04473999999999</v>
      </c>
      <c r="H9" s="97">
        <v>-73130.84</v>
      </c>
      <c r="I9" s="97">
        <v>63787.07</v>
      </c>
      <c r="J9" s="97">
        <v>42282.842388033903</v>
      </c>
      <c r="K9" s="97">
        <v>-53231.504889499301</v>
      </c>
      <c r="L9" s="39"/>
      <c r="M9" s="97">
        <v>-79.04473999999999</v>
      </c>
      <c r="N9" s="98">
        <v>-54170.99</v>
      </c>
      <c r="O9" s="98">
        <v>30961.466694176201</v>
      </c>
      <c r="P9" s="98">
        <v>-38992.420890854002</v>
      </c>
    </row>
    <row r="10" spans="3:16">
      <c r="C10" s="97">
        <v>-78.583120000000008</v>
      </c>
      <c r="D10" s="98"/>
      <c r="E10" s="98">
        <v>14742.001670260899</v>
      </c>
      <c r="G10" s="97">
        <v>-78.583120000000008</v>
      </c>
      <c r="H10" s="97">
        <v>-73130.84</v>
      </c>
      <c r="I10" s="97">
        <v>63787.07</v>
      </c>
      <c r="J10" s="97">
        <v>70818.639511555404</v>
      </c>
      <c r="K10" s="97">
        <v>-61816.639494703399</v>
      </c>
      <c r="L10" s="39"/>
      <c r="M10" s="97">
        <v>-78.583120000000008</v>
      </c>
      <c r="N10" s="98">
        <v>-54170.99</v>
      </c>
      <c r="O10" s="98">
        <v>51869.628801956802</v>
      </c>
      <c r="P10" s="98">
        <v>-45293.0161339919</v>
      </c>
    </row>
    <row r="11" spans="3:16">
      <c r="C11" s="97">
        <v>-78.121499999999997</v>
      </c>
      <c r="D11" s="98"/>
      <c r="E11" s="98">
        <v>21317.863721236601</v>
      </c>
      <c r="G11" s="97">
        <v>-78.121499999999997</v>
      </c>
      <c r="H11" s="97">
        <v>-73130.84</v>
      </c>
      <c r="I11" s="97">
        <v>63787.07</v>
      </c>
      <c r="J11" s="97">
        <v>103879.771774173</v>
      </c>
      <c r="K11" s="97">
        <v>-71619.800404299196</v>
      </c>
      <c r="L11" s="39"/>
      <c r="M11" s="97">
        <v>-78.121499999999997</v>
      </c>
      <c r="N11" s="98">
        <v>-54170.99</v>
      </c>
      <c r="O11" s="98">
        <v>76104.113914787798</v>
      </c>
      <c r="P11" s="98">
        <v>-52498.776293975097</v>
      </c>
    </row>
    <row r="12" spans="3:16">
      <c r="C12" s="97">
        <v>-77.659880000000001</v>
      </c>
      <c r="D12" s="98"/>
      <c r="E12" s="98">
        <v>28498.596355955098</v>
      </c>
      <c r="G12" s="97">
        <v>-77.659880000000001</v>
      </c>
      <c r="H12" s="97">
        <v>-73130.84</v>
      </c>
      <c r="I12" s="97">
        <v>63787.07</v>
      </c>
      <c r="J12" s="97">
        <v>140805.579242468</v>
      </c>
      <c r="K12" s="97">
        <v>-79991.784299489198</v>
      </c>
      <c r="L12" s="39"/>
      <c r="M12" s="97">
        <v>-77.659880000000001</v>
      </c>
      <c r="N12" s="98">
        <v>-54170.99</v>
      </c>
      <c r="O12" s="98">
        <v>103184.934159696</v>
      </c>
      <c r="P12" s="98">
        <v>-58664.746425470301</v>
      </c>
    </row>
    <row r="13" spans="3:16">
      <c r="C13" s="97">
        <v>-77.198260000000005</v>
      </c>
      <c r="D13" s="98"/>
      <c r="E13" s="98">
        <v>36163.252655161501</v>
      </c>
      <c r="G13" s="97">
        <v>-77.198260000000005</v>
      </c>
      <c r="H13" s="97">
        <v>-73130.84</v>
      </c>
      <c r="I13" s="97">
        <v>63787.07</v>
      </c>
      <c r="J13" s="97">
        <v>180995.06006601499</v>
      </c>
      <c r="K13" s="97">
        <v>-87061.827528171096</v>
      </c>
      <c r="L13" s="39"/>
      <c r="M13" s="97">
        <v>-77.198260000000005</v>
      </c>
      <c r="N13" s="98">
        <v>-54170.99</v>
      </c>
      <c r="O13" s="98">
        <v>132675.52175356401</v>
      </c>
      <c r="P13" s="98">
        <v>-63884.986772458004</v>
      </c>
    </row>
    <row r="14" spans="3:16">
      <c r="C14" s="97">
        <v>-77.099999999999994</v>
      </c>
      <c r="D14" s="98"/>
      <c r="E14" s="98">
        <v>37843.957224860802</v>
      </c>
      <c r="G14" s="97">
        <v>-77.099999999999994</v>
      </c>
      <c r="H14" s="97">
        <v>-73130.84</v>
      </c>
      <c r="I14" s="97">
        <v>63787.07</v>
      </c>
      <c r="J14" s="97">
        <v>189900.59473955599</v>
      </c>
      <c r="K14" s="97">
        <v>-90632.349620030698</v>
      </c>
      <c r="L14" s="39"/>
      <c r="M14" s="97">
        <v>-77.099999999999994</v>
      </c>
      <c r="N14" s="98">
        <v>-54170.99</v>
      </c>
      <c r="O14" s="98">
        <v>139212.70926559001</v>
      </c>
      <c r="P14" s="98">
        <v>-66529.488214195197</v>
      </c>
    </row>
    <row r="15" spans="3:16">
      <c r="C15" s="97">
        <v>-76.736639999999994</v>
      </c>
      <c r="D15" s="98"/>
      <c r="E15" s="98">
        <v>44198.494122254699</v>
      </c>
      <c r="G15" s="97">
        <v>-76.736639999999994</v>
      </c>
      <c r="H15" s="97">
        <v>-73130.84</v>
      </c>
      <c r="I15" s="97">
        <v>63787.07</v>
      </c>
      <c r="J15" s="97">
        <v>223935.506563067</v>
      </c>
      <c r="K15" s="97">
        <v>-93667.194582748096</v>
      </c>
      <c r="L15" s="39"/>
      <c r="M15" s="97">
        <v>-76.736639999999994</v>
      </c>
      <c r="N15" s="98">
        <v>-54170.99</v>
      </c>
      <c r="O15" s="98">
        <v>164208.58117175099</v>
      </c>
      <c r="P15" s="98">
        <v>-68790.928848035794</v>
      </c>
    </row>
    <row r="16" spans="3:16">
      <c r="C16" s="97">
        <v>-76.275019999999998</v>
      </c>
      <c r="D16" s="98"/>
      <c r="E16" s="98">
        <v>52529.717075445697</v>
      </c>
      <c r="G16" s="97">
        <v>-76.275019999999998</v>
      </c>
      <c r="H16" s="97">
        <v>-73130.84</v>
      </c>
      <c r="I16" s="97">
        <v>63787.07</v>
      </c>
      <c r="J16" s="97">
        <v>269314.09304502601</v>
      </c>
      <c r="K16" s="97">
        <v>-98302.903864461798</v>
      </c>
      <c r="L16" s="39"/>
      <c r="M16" s="97">
        <v>-76.275019999999998</v>
      </c>
      <c r="N16" s="98">
        <v>-54170.99</v>
      </c>
      <c r="O16" s="98">
        <v>197557.391432434</v>
      </c>
      <c r="P16" s="98">
        <v>-72242.992636219395</v>
      </c>
    </row>
    <row r="17" spans="3:16">
      <c r="C17" s="97">
        <v>-75.813400000000001</v>
      </c>
      <c r="D17" s="98"/>
      <c r="E17" s="98">
        <v>61079.081416499801</v>
      </c>
      <c r="G17" s="97">
        <v>-75.813400000000001</v>
      </c>
      <c r="H17" s="97">
        <v>-73130.84</v>
      </c>
      <c r="I17" s="97">
        <v>63787.07</v>
      </c>
      <c r="J17" s="97">
        <v>316610.99915993202</v>
      </c>
      <c r="K17" s="97">
        <v>-102458.528908969</v>
      </c>
      <c r="L17" s="39"/>
      <c r="M17" s="97">
        <v>-75.813400000000001</v>
      </c>
      <c r="N17" s="98">
        <v>-54170.99</v>
      </c>
      <c r="O17" s="98">
        <v>232332.23403456801</v>
      </c>
      <c r="P17" s="98">
        <v>-75332.183618799594</v>
      </c>
    </row>
    <row r="18" spans="3:16">
      <c r="C18" s="97">
        <v>-75.351780000000005</v>
      </c>
      <c r="D18" s="98"/>
      <c r="E18" s="98">
        <v>69787.301756168701</v>
      </c>
      <c r="G18" s="97">
        <v>-75.351780000000005</v>
      </c>
      <c r="H18" s="97">
        <v>-73130.84</v>
      </c>
      <c r="I18" s="97">
        <v>63787.07</v>
      </c>
      <c r="J18" s="97">
        <v>365380.63201132399</v>
      </c>
      <c r="K18" s="97">
        <v>-105648.873210426</v>
      </c>
      <c r="L18" s="39"/>
      <c r="M18" s="97">
        <v>-75.351780000000005</v>
      </c>
      <c r="N18" s="98">
        <v>-54170.99</v>
      </c>
      <c r="O18" s="98">
        <v>268208.866827577</v>
      </c>
      <c r="P18" s="98">
        <v>-77718.974032839498</v>
      </c>
    </row>
    <row r="19" spans="3:16">
      <c r="C19" s="97">
        <v>-74.890160000000009</v>
      </c>
      <c r="D19" s="98"/>
      <c r="E19" s="98">
        <v>78605.317275407695</v>
      </c>
      <c r="G19" s="97">
        <v>-74.890160000000009</v>
      </c>
      <c r="H19" s="97">
        <v>-73130.84</v>
      </c>
      <c r="I19" s="97">
        <v>63787.07</v>
      </c>
      <c r="J19" s="97">
        <v>415218.47568547702</v>
      </c>
      <c r="K19" s="97">
        <v>-107962.921177996</v>
      </c>
      <c r="L19" s="39"/>
      <c r="M19" s="97">
        <v>-74.890160000000009</v>
      </c>
      <c r="N19" s="98">
        <v>-54170.99</v>
      </c>
      <c r="O19" s="98">
        <v>304894.06373688602</v>
      </c>
      <c r="P19" s="98">
        <v>-79470.553505781907</v>
      </c>
    </row>
    <row r="20" spans="3:16">
      <c r="C20" s="97">
        <v>-74.428539999999998</v>
      </c>
      <c r="D20" s="98"/>
      <c r="E20" s="98">
        <v>87493.074381865605</v>
      </c>
      <c r="G20" s="97">
        <v>-74.428539999999998</v>
      </c>
      <c r="H20" s="97">
        <v>-73130.84</v>
      </c>
      <c r="I20" s="97">
        <v>63787.07</v>
      </c>
      <c r="J20" s="97">
        <v>465757.4476282</v>
      </c>
      <c r="K20" s="97">
        <v>-109481.764097605</v>
      </c>
      <c r="L20" s="39"/>
      <c r="M20" s="97">
        <v>-74.428539999999998</v>
      </c>
      <c r="N20" s="98">
        <v>-54170.99</v>
      </c>
      <c r="O20" s="98">
        <v>342123.20777554798</v>
      </c>
      <c r="P20" s="98">
        <v>-80648.897445122697</v>
      </c>
    </row>
    <row r="21" spans="3:16">
      <c r="C21" s="97">
        <v>-73.966920000000002</v>
      </c>
      <c r="D21" s="98"/>
      <c r="E21" s="98">
        <v>96418.534929575399</v>
      </c>
      <c r="G21" s="97">
        <v>-73.966920000000002</v>
      </c>
      <c r="H21" s="97">
        <v>-73130.84</v>
      </c>
      <c r="I21" s="97">
        <v>63787.07</v>
      </c>
      <c r="J21" s="97">
        <v>516660.49681663502</v>
      </c>
      <c r="K21" s="97">
        <v>-110270.458793881</v>
      </c>
      <c r="L21" s="39"/>
      <c r="M21" s="97">
        <v>-73.966920000000002</v>
      </c>
      <c r="N21" s="98">
        <v>-54170.99</v>
      </c>
      <c r="O21" s="98">
        <v>379656.23773139698</v>
      </c>
      <c r="P21" s="98">
        <v>-81307.200632261098</v>
      </c>
    </row>
    <row r="22" spans="3:16">
      <c r="C22" s="97">
        <v>-73.5</v>
      </c>
      <c r="D22" s="98"/>
      <c r="E22" s="98">
        <v>105459.54781206</v>
      </c>
      <c r="G22" s="97">
        <v>-73.5</v>
      </c>
      <c r="H22" s="97">
        <v>-73130.84</v>
      </c>
      <c r="I22" s="97">
        <v>63787.07</v>
      </c>
      <c r="J22" s="97">
        <v>568153.68037787103</v>
      </c>
      <c r="K22" s="97">
        <v>-110282.66846841401</v>
      </c>
      <c r="L22" s="39"/>
      <c r="M22" s="97">
        <v>-73.5</v>
      </c>
      <c r="N22" s="98">
        <v>-54170.99</v>
      </c>
      <c r="O22" s="98">
        <v>417694.54213713098</v>
      </c>
      <c r="P22" s="98">
        <v>-81466.427665837997</v>
      </c>
    </row>
    <row r="23" spans="3:16">
      <c r="C23" s="97">
        <v>-73.043679999999995</v>
      </c>
      <c r="D23" s="98"/>
      <c r="E23" s="98">
        <v>114289.81396277899</v>
      </c>
      <c r="G23" s="97">
        <v>-73.043679999999995</v>
      </c>
      <c r="H23" s="97">
        <v>-73130.84</v>
      </c>
      <c r="I23" s="97">
        <v>63787.07</v>
      </c>
      <c r="J23" s="97">
        <v>618178.18865859497</v>
      </c>
      <c r="K23" s="97">
        <v>-109625.938553443</v>
      </c>
      <c r="L23" s="39"/>
      <c r="M23" s="97">
        <v>-73.043679999999995</v>
      </c>
      <c r="N23" s="98">
        <v>-54170.99</v>
      </c>
      <c r="O23" s="98">
        <v>454699.141450077</v>
      </c>
      <c r="P23" s="98">
        <v>-81093.529349886507</v>
      </c>
    </row>
    <row r="24" spans="3:16">
      <c r="C24" s="97">
        <v>-72.582059999999998</v>
      </c>
      <c r="D24" s="98"/>
      <c r="E24" s="98">
        <v>123202.862049937</v>
      </c>
      <c r="G24" s="97">
        <v>-72.582059999999998</v>
      </c>
      <c r="H24" s="97">
        <v>-73130.84</v>
      </c>
      <c r="I24" s="97">
        <v>63787.07</v>
      </c>
      <c r="J24" s="97">
        <v>668306.883610219</v>
      </c>
      <c r="K24" s="97">
        <v>-108592.987634042</v>
      </c>
      <c r="L24" s="39"/>
      <c r="M24" s="97">
        <v>-72.582059999999998</v>
      </c>
      <c r="N24" s="98">
        <v>-54170.99</v>
      </c>
      <c r="O24" s="98">
        <v>491830.85740399401</v>
      </c>
      <c r="P24" s="98">
        <v>-80437.840548363296</v>
      </c>
    </row>
    <row r="25" spans="3:16">
      <c r="C25" s="97">
        <v>-72.120440000000002</v>
      </c>
      <c r="D25" s="98"/>
      <c r="E25" s="98">
        <v>132083.93192798001</v>
      </c>
      <c r="G25" s="97">
        <v>-72.120440000000002</v>
      </c>
      <c r="H25" s="97">
        <v>-73130.84</v>
      </c>
      <c r="I25" s="97">
        <v>63787.07</v>
      </c>
      <c r="J25" s="97">
        <v>717824.03704053198</v>
      </c>
      <c r="K25" s="97">
        <v>-107268.215047611</v>
      </c>
      <c r="L25" s="39"/>
      <c r="M25" s="97">
        <v>-72.120440000000002</v>
      </c>
      <c r="N25" s="98">
        <v>-54170.99</v>
      </c>
      <c r="O25" s="98">
        <v>528560.64384964097</v>
      </c>
      <c r="P25" s="98">
        <v>-79567.147102877701</v>
      </c>
    </row>
    <row r="26" spans="3:16">
      <c r="C26" s="97">
        <v>-71.658819999999992</v>
      </c>
      <c r="D26" s="98"/>
      <c r="E26" s="98">
        <v>140922.859912574</v>
      </c>
      <c r="G26" s="97">
        <v>-71.658819999999992</v>
      </c>
      <c r="H26" s="97">
        <v>-73130.84</v>
      </c>
      <c r="I26" s="97">
        <v>63787.07</v>
      </c>
      <c r="J26" s="97">
        <v>766626.18132904195</v>
      </c>
      <c r="K26" s="97">
        <v>-105719.30221508601</v>
      </c>
      <c r="L26" s="39"/>
      <c r="M26" s="97">
        <v>-71.658819999999992</v>
      </c>
      <c r="N26" s="98">
        <v>-54170.99</v>
      </c>
      <c r="O26" s="98">
        <v>564812.52552270901</v>
      </c>
      <c r="P26" s="98">
        <v>-78531.869661411794</v>
      </c>
    </row>
    <row r="27" spans="3:16">
      <c r="C27" s="97">
        <v>-71.197199999999995</v>
      </c>
      <c r="D27" s="98"/>
      <c r="E27" s="98">
        <v>149710.95434185301</v>
      </c>
      <c r="G27" s="97">
        <v>-71.197199999999995</v>
      </c>
      <c r="H27" s="97">
        <v>-73130.84</v>
      </c>
      <c r="I27" s="97">
        <v>63787.07</v>
      </c>
      <c r="J27" s="97">
        <v>814627.67827710498</v>
      </c>
      <c r="K27" s="97">
        <v>-103984.872726564</v>
      </c>
      <c r="L27" s="39"/>
      <c r="M27" s="97">
        <v>-71.197199999999995</v>
      </c>
      <c r="N27" s="98">
        <v>-54170.99</v>
      </c>
      <c r="O27" s="98">
        <v>600523.98462952697</v>
      </c>
      <c r="P27" s="98">
        <v>-77361.160926307304</v>
      </c>
    </row>
    <row r="28" spans="3:16">
      <c r="C28" s="97">
        <v>-70.735579999999999</v>
      </c>
      <c r="D28" s="98"/>
      <c r="E28" s="98">
        <v>158440.599818427</v>
      </c>
      <c r="G28" s="97">
        <v>-70.735579999999999</v>
      </c>
      <c r="H28" s="97">
        <v>-73130.84</v>
      </c>
      <c r="I28" s="97">
        <v>63787.07</v>
      </c>
      <c r="J28" s="97">
        <v>861755.12754821801</v>
      </c>
      <c r="K28" s="97">
        <v>-102091.43726695199</v>
      </c>
      <c r="L28" s="39"/>
      <c r="M28" s="97">
        <v>-70.735579999999999</v>
      </c>
      <c r="N28" s="98">
        <v>-54170.99</v>
      </c>
      <c r="O28" s="98">
        <v>635641.63570022595</v>
      </c>
      <c r="P28" s="98">
        <v>-76074.804104479306</v>
      </c>
    </row>
    <row r="29" spans="3:16">
      <c r="C29" s="97">
        <v>-70.273960000000002</v>
      </c>
      <c r="D29" s="98"/>
      <c r="E29" s="98">
        <v>167104.90879089601</v>
      </c>
      <c r="G29" s="97">
        <v>-70.273960000000002</v>
      </c>
      <c r="H29" s="97">
        <v>-73130.84</v>
      </c>
      <c r="I29" s="97">
        <v>63787.07</v>
      </c>
      <c r="J29" s="97">
        <v>907942.93791624904</v>
      </c>
      <c r="K29" s="97">
        <v>-100055.91258616099</v>
      </c>
      <c r="L29" s="39"/>
      <c r="M29" s="97">
        <v>-70.273960000000002</v>
      </c>
      <c r="N29" s="98">
        <v>-54170.99</v>
      </c>
      <c r="O29" s="98">
        <v>670117.91653928196</v>
      </c>
      <c r="P29" s="98">
        <v>-74685.414061554795</v>
      </c>
    </row>
    <row r="30" spans="3:16">
      <c r="C30" s="97">
        <v>-70</v>
      </c>
      <c r="D30" s="98"/>
      <c r="E30" s="98">
        <v>172213.00960329399</v>
      </c>
      <c r="G30" s="97">
        <v>-70</v>
      </c>
      <c r="H30" s="97">
        <v>-73130.84</v>
      </c>
      <c r="I30" s="97">
        <v>63787.07</v>
      </c>
      <c r="J30" s="97">
        <v>934881.11316379905</v>
      </c>
      <c r="K30" s="97">
        <v>-98328.862781057003</v>
      </c>
      <c r="L30" s="39"/>
      <c r="M30" s="97">
        <v>-70</v>
      </c>
      <c r="N30" s="98">
        <v>-54170.99</v>
      </c>
      <c r="O30" s="98">
        <v>690254.59326770902</v>
      </c>
      <c r="P30" s="98">
        <v>-73502.251162191606</v>
      </c>
    </row>
    <row r="31" spans="3:16">
      <c r="C31" s="97">
        <v>-69.812340000000006</v>
      </c>
      <c r="D31" s="98"/>
      <c r="E31" s="98">
        <v>175697.70854193001</v>
      </c>
      <c r="G31" s="97">
        <v>-69.812340000000006</v>
      </c>
      <c r="H31" s="97">
        <v>-73130.84</v>
      </c>
      <c r="I31" s="97">
        <v>63787.07</v>
      </c>
      <c r="J31" s="97">
        <v>953138.27164942003</v>
      </c>
      <c r="K31" s="97">
        <v>-97288.492409890896</v>
      </c>
      <c r="L31" s="39"/>
      <c r="M31" s="97">
        <v>-69.812340000000006</v>
      </c>
      <c r="N31" s="98">
        <v>-54170.99</v>
      </c>
      <c r="O31" s="98">
        <v>703913.32027640904</v>
      </c>
      <c r="P31" s="98">
        <v>-72784.434662154003</v>
      </c>
    </row>
    <row r="32" spans="3:16">
      <c r="C32" s="97">
        <v>-69.350719999999995</v>
      </c>
      <c r="D32" s="98"/>
      <c r="E32" s="98">
        <v>184218.46954613301</v>
      </c>
      <c r="G32" s="97">
        <v>-69.350719999999995</v>
      </c>
      <c r="H32" s="97">
        <v>-73130.84</v>
      </c>
      <c r="I32" s="97">
        <v>63787.07</v>
      </c>
      <c r="J32" s="97">
        <v>997358.03875774099</v>
      </c>
      <c r="K32" s="97">
        <v>-95792.572047100606</v>
      </c>
      <c r="L32" s="39"/>
      <c r="M32" s="97">
        <v>-69.350719999999995</v>
      </c>
      <c r="N32" s="98">
        <v>-54170.99</v>
      </c>
      <c r="O32" s="98">
        <v>737035.01521815395</v>
      </c>
      <c r="P32" s="98">
        <v>-71750.996364601204</v>
      </c>
    </row>
    <row r="33" spans="3:16">
      <c r="C33" s="97">
        <v>-68.889099999999999</v>
      </c>
      <c r="D33" s="98"/>
      <c r="E33" s="98">
        <v>192660.54102460499</v>
      </c>
      <c r="G33" s="97">
        <v>-68.889099999999999</v>
      </c>
      <c r="H33" s="97">
        <v>-73130.84</v>
      </c>
      <c r="I33" s="97">
        <v>63787.07</v>
      </c>
      <c r="J33" s="97">
        <v>1040543.53446743</v>
      </c>
      <c r="K33" s="97">
        <v>-93552.046509516906</v>
      </c>
      <c r="L33" s="39"/>
      <c r="M33" s="97">
        <v>-68.889099999999999</v>
      </c>
      <c r="N33" s="98">
        <v>-54170.99</v>
      </c>
      <c r="O33" s="98">
        <v>769440.09665515996</v>
      </c>
      <c r="P33" s="98">
        <v>-70198.608026017901</v>
      </c>
    </row>
    <row r="34" spans="3:16">
      <c r="C34" s="97">
        <v>-68.427480000000003</v>
      </c>
      <c r="D34" s="98"/>
      <c r="E34" s="98">
        <v>201017.71095452301</v>
      </c>
      <c r="G34" s="97">
        <v>-68.427480000000003</v>
      </c>
      <c r="H34" s="97">
        <v>-73130.84</v>
      </c>
      <c r="I34" s="97">
        <v>63787.07</v>
      </c>
      <c r="J34" s="97">
        <v>1082642.0605637999</v>
      </c>
      <c r="K34" s="97">
        <v>-91197.3616749012</v>
      </c>
      <c r="L34" s="39"/>
      <c r="M34" s="97">
        <v>-68.427480000000003</v>
      </c>
      <c r="N34" s="98">
        <v>-54170.99</v>
      </c>
      <c r="O34" s="98">
        <v>801089.94090320205</v>
      </c>
      <c r="P34" s="98">
        <v>-68562.549820320302</v>
      </c>
    </row>
    <row r="35" spans="3:16">
      <c r="C35" s="97">
        <v>-67.965859999999992</v>
      </c>
      <c r="D35" s="98"/>
      <c r="E35" s="98">
        <v>209283.34146788699</v>
      </c>
      <c r="G35" s="97">
        <v>-67.965859999999992</v>
      </c>
      <c r="H35" s="97">
        <v>-73130.84</v>
      </c>
      <c r="I35" s="97">
        <v>63787.07</v>
      </c>
      <c r="J35" s="97">
        <v>1123606.8088904901</v>
      </c>
      <c r="K35" s="97">
        <v>-88741.277082093802</v>
      </c>
      <c r="L35" s="39"/>
      <c r="M35" s="97">
        <v>-67.965859999999992</v>
      </c>
      <c r="N35" s="98">
        <v>-54170.99</v>
      </c>
      <c r="O35" s="98">
        <v>831945.03659154498</v>
      </c>
      <c r="P35" s="98">
        <v>-66840.898766026294</v>
      </c>
    </row>
    <row r="36" spans="3:16">
      <c r="C36" s="97">
        <v>-67.504239999999996</v>
      </c>
      <c r="D36" s="98"/>
      <c r="E36" s="98">
        <v>217450.22819873699</v>
      </c>
      <c r="G36" s="97">
        <v>-67.504239999999996</v>
      </c>
      <c r="H36" s="97">
        <v>-73130.84</v>
      </c>
      <c r="I36" s="97">
        <v>63787.07</v>
      </c>
      <c r="J36" s="97">
        <v>1163391.02565479</v>
      </c>
      <c r="K36" s="97">
        <v>-86183.910498561105</v>
      </c>
      <c r="L36" s="39"/>
      <c r="M36" s="97">
        <v>-67.504239999999996</v>
      </c>
      <c r="N36" s="98">
        <v>-54170.99</v>
      </c>
      <c r="O36" s="98">
        <v>861964.68255290401</v>
      </c>
      <c r="P36" s="98">
        <v>-65031.077425847398</v>
      </c>
    </row>
    <row r="37" spans="3:16">
      <c r="C37" s="97">
        <v>-67.3</v>
      </c>
      <c r="D37" s="98"/>
      <c r="E37" s="98">
        <v>221029.57360627901</v>
      </c>
      <c r="G37" s="97">
        <v>-67.3</v>
      </c>
      <c r="H37" s="97">
        <v>-73130.84</v>
      </c>
      <c r="I37" s="97">
        <v>63787.07</v>
      </c>
      <c r="J37" s="97">
        <v>1180601.11660892</v>
      </c>
      <c r="K37" s="97">
        <v>-84264.056766584996</v>
      </c>
      <c r="L37" s="39"/>
      <c r="M37" s="97">
        <v>-67.3</v>
      </c>
      <c r="N37" s="98">
        <v>-54170.99</v>
      </c>
      <c r="O37" s="98">
        <v>874966.65658366703</v>
      </c>
      <c r="P37" s="98">
        <v>-63660.272379348396</v>
      </c>
    </row>
    <row r="38" spans="3:16">
      <c r="C38" s="97">
        <v>-67.042619999999999</v>
      </c>
      <c r="D38" s="98"/>
      <c r="E38" s="98">
        <v>225514.29596039499</v>
      </c>
      <c r="G38" s="97">
        <v>-67.042619999999999</v>
      </c>
      <c r="H38" s="97">
        <v>-73130.84</v>
      </c>
      <c r="I38" s="97">
        <v>63787.07</v>
      </c>
      <c r="J38" s="97">
        <v>1201988.5418616801</v>
      </c>
      <c r="K38" s="97">
        <v>-83096.686815801702</v>
      </c>
      <c r="L38" s="39"/>
      <c r="M38" s="97">
        <v>-67.042619999999999</v>
      </c>
      <c r="N38" s="98">
        <v>-54170.99</v>
      </c>
      <c r="O38" s="98">
        <v>891135.52206185495</v>
      </c>
      <c r="P38" s="98">
        <v>-62820.986394238796</v>
      </c>
    </row>
    <row r="39" spans="3:16">
      <c r="C39" s="97">
        <v>-66.581000000000003</v>
      </c>
      <c r="D39" s="98"/>
      <c r="E39" s="98">
        <v>233482.21080263599</v>
      </c>
      <c r="G39" s="97">
        <v>-66.581000000000003</v>
      </c>
      <c r="H39" s="97">
        <v>-73130.84</v>
      </c>
      <c r="I39" s="97">
        <v>63787.07</v>
      </c>
      <c r="J39" s="97">
        <v>1239491.9144351501</v>
      </c>
      <c r="K39" s="97">
        <v>-81242.954320656296</v>
      </c>
      <c r="L39" s="39"/>
      <c r="M39" s="97">
        <v>-66.581000000000003</v>
      </c>
      <c r="N39" s="98">
        <v>-54170.99</v>
      </c>
      <c r="O39" s="98">
        <v>919516.01355278504</v>
      </c>
      <c r="P39" s="98">
        <v>-61480.203394472002</v>
      </c>
    </row>
    <row r="40" spans="3:16">
      <c r="C40" s="97">
        <v>-66.119380000000007</v>
      </c>
      <c r="D40" s="98"/>
      <c r="E40" s="98">
        <v>241345.095381569</v>
      </c>
      <c r="G40" s="97">
        <v>-66.119380000000007</v>
      </c>
      <c r="H40" s="97">
        <v>-73130.84</v>
      </c>
      <c r="I40" s="97">
        <v>63787.07</v>
      </c>
      <c r="J40" s="97">
        <v>1275858.09128773</v>
      </c>
      <c r="K40" s="97">
        <v>-78779.465475000601</v>
      </c>
      <c r="L40" s="39"/>
      <c r="M40" s="97">
        <v>-66.119380000000007</v>
      </c>
      <c r="N40" s="98">
        <v>-54170.99</v>
      </c>
      <c r="O40" s="98">
        <v>947065.34533989395</v>
      </c>
      <c r="P40" s="98">
        <v>-59679.675462635503</v>
      </c>
    </row>
    <row r="41" spans="3:16">
      <c r="C41" s="97">
        <v>-65.900000000000006</v>
      </c>
      <c r="D41" s="98"/>
      <c r="E41" s="98">
        <v>245041.95689105199</v>
      </c>
      <c r="G41" s="97">
        <v>-65.900000000000006</v>
      </c>
      <c r="H41" s="97">
        <v>-73130.84</v>
      </c>
      <c r="I41" s="97">
        <v>63787.07</v>
      </c>
      <c r="J41" s="97">
        <v>1292728.3805517601</v>
      </c>
      <c r="K41" s="97">
        <v>-76899.850779778295</v>
      </c>
      <c r="L41" s="39"/>
      <c r="M41" s="97">
        <v>-65.900000000000006</v>
      </c>
      <c r="N41" s="98">
        <v>-54170.99</v>
      </c>
      <c r="O41" s="98">
        <v>959854.10791429901</v>
      </c>
      <c r="P41" s="98">
        <v>-58295.024954443703</v>
      </c>
    </row>
    <row r="42" spans="3:16">
      <c r="C42" s="97">
        <v>-65.657759999999996</v>
      </c>
      <c r="D42" s="98"/>
      <c r="E42" s="98">
        <v>249085.02573322499</v>
      </c>
      <c r="G42" s="97">
        <v>-65.657759999999996</v>
      </c>
      <c r="H42" s="97">
        <v>-73130.84</v>
      </c>
      <c r="I42" s="97">
        <v>63787.07</v>
      </c>
      <c r="J42" s="97">
        <v>1310984.1043869299</v>
      </c>
      <c r="K42" s="97">
        <v>-75362.136044030995</v>
      </c>
      <c r="L42" s="39"/>
      <c r="M42" s="97">
        <v>-65.657759999999996</v>
      </c>
      <c r="N42" s="98">
        <v>-54170.99</v>
      </c>
      <c r="O42" s="98">
        <v>973706.82311415696</v>
      </c>
      <c r="P42" s="98">
        <v>-57185.911492136198</v>
      </c>
    </row>
    <row r="43" spans="3:16">
      <c r="C43" s="97">
        <v>-65.19614</v>
      </c>
      <c r="D43" s="98"/>
      <c r="E43" s="98">
        <v>256671.313829241</v>
      </c>
      <c r="G43" s="97">
        <v>-65.19614</v>
      </c>
      <c r="H43" s="97">
        <v>-73130.84</v>
      </c>
      <c r="I43" s="97">
        <v>63787.07</v>
      </c>
      <c r="J43" s="97">
        <v>1344668.5650690501</v>
      </c>
      <c r="K43" s="97">
        <v>-72970.106758751601</v>
      </c>
      <c r="L43" s="39"/>
      <c r="M43" s="97">
        <v>-65.19614</v>
      </c>
      <c r="N43" s="98">
        <v>-54170.99</v>
      </c>
      <c r="O43" s="98">
        <v>999308.19005520595</v>
      </c>
      <c r="P43" s="98">
        <v>-55459.830468869201</v>
      </c>
    </row>
    <row r="44" spans="3:16">
      <c r="C44" s="97">
        <v>-64.734520000000003</v>
      </c>
      <c r="D44" s="98"/>
      <c r="E44" s="98">
        <v>264089.19620918098</v>
      </c>
      <c r="G44" s="97">
        <v>-64.734520000000003</v>
      </c>
      <c r="H44" s="97">
        <v>-73130.84</v>
      </c>
      <c r="I44" s="97">
        <v>63787.07</v>
      </c>
      <c r="J44" s="97">
        <v>1376849.4225679</v>
      </c>
      <c r="K44" s="97">
        <v>-69712.875306180693</v>
      </c>
      <c r="L44" s="39"/>
      <c r="M44" s="97">
        <v>-64.734520000000003</v>
      </c>
      <c r="N44" s="98">
        <v>-54170.99</v>
      </c>
      <c r="O44" s="98">
        <v>1023823.69047606</v>
      </c>
      <c r="P44" s="98">
        <v>-53107.535247255102</v>
      </c>
    </row>
    <row r="45" spans="3:16">
      <c r="C45" s="97">
        <v>-64.272899999999993</v>
      </c>
      <c r="D45" s="98"/>
      <c r="E45" s="98">
        <v>271324.277533038</v>
      </c>
      <c r="G45" s="97">
        <v>-64.272899999999993</v>
      </c>
      <c r="H45" s="97">
        <v>-73130.84</v>
      </c>
      <c r="I45" s="97">
        <v>63787.07</v>
      </c>
      <c r="J45" s="97">
        <v>1407471.12132922</v>
      </c>
      <c r="K45" s="97">
        <v>-66335.294747498701</v>
      </c>
      <c r="L45" s="39"/>
      <c r="M45" s="97">
        <v>-64.272899999999993</v>
      </c>
      <c r="N45" s="98">
        <v>-54170.99</v>
      </c>
      <c r="O45" s="98">
        <v>1047212.03559941</v>
      </c>
      <c r="P45" s="98">
        <v>-50665.796809832202</v>
      </c>
    </row>
    <row r="46" spans="3:16">
      <c r="C46" s="97">
        <v>-63.811279999999996</v>
      </c>
      <c r="D46" s="98"/>
      <c r="E46" s="98">
        <v>278360.95638706197</v>
      </c>
      <c r="G46" s="97">
        <v>-63.811279999999996</v>
      </c>
      <c r="H46" s="97">
        <v>-73130.84</v>
      </c>
      <c r="I46" s="97">
        <v>63787.07</v>
      </c>
      <c r="J46" s="97">
        <v>1436477.8189227299</v>
      </c>
      <c r="K46" s="97">
        <v>-62836.7436277831</v>
      </c>
      <c r="L46" s="39"/>
      <c r="M46" s="97">
        <v>-63.811279999999996</v>
      </c>
      <c r="N46" s="98">
        <v>-54170.99</v>
      </c>
      <c r="O46" s="98">
        <v>1069431.72086619</v>
      </c>
      <c r="P46" s="98">
        <v>-48134.147711999402</v>
      </c>
    </row>
    <row r="47" spans="3:16">
      <c r="C47" s="97">
        <v>-63.34966</v>
      </c>
      <c r="D47" s="98"/>
      <c r="E47" s="98">
        <v>285182.39902484202</v>
      </c>
      <c r="G47" s="97">
        <v>-63.34966</v>
      </c>
      <c r="H47" s="97">
        <v>-73130.84</v>
      </c>
      <c r="I47" s="97">
        <v>63787.07</v>
      </c>
      <c r="J47" s="97">
        <v>1463813.8663134901</v>
      </c>
      <c r="K47" s="97">
        <v>-59217.640896892903</v>
      </c>
      <c r="L47" s="39"/>
      <c r="M47" s="97">
        <v>-63.34966</v>
      </c>
      <c r="N47" s="98">
        <v>-54170.99</v>
      </c>
      <c r="O47" s="98">
        <v>1090441.2645415501</v>
      </c>
      <c r="P47" s="98">
        <v>-45512.637397341801</v>
      </c>
    </row>
    <row r="48" spans="3:16">
      <c r="C48" s="97">
        <v>-62.888040000000004</v>
      </c>
      <c r="D48" s="98"/>
      <c r="E48" s="98">
        <v>291770.51958930102</v>
      </c>
      <c r="G48" s="97">
        <v>-62.888040000000004</v>
      </c>
      <c r="H48" s="97">
        <v>-73130.84</v>
      </c>
      <c r="I48" s="97">
        <v>63787.07</v>
      </c>
      <c r="J48" s="97">
        <v>1489424.12944174</v>
      </c>
      <c r="K48" s="97">
        <v>-55479.1021363994</v>
      </c>
      <c r="L48" s="39"/>
      <c r="M48" s="97">
        <v>-62.888040000000004</v>
      </c>
      <c r="N48" s="98">
        <v>-54170.99</v>
      </c>
      <c r="O48" s="98">
        <v>1110199.44336942</v>
      </c>
      <c r="P48" s="98">
        <v>-42801.825804653599</v>
      </c>
    </row>
    <row r="49" spans="3:16">
      <c r="C49" s="97">
        <v>-62.8</v>
      </c>
      <c r="D49" s="98"/>
      <c r="E49" s="98">
        <v>292998.31324011099</v>
      </c>
      <c r="G49" s="97">
        <v>-62.8</v>
      </c>
      <c r="H49" s="97">
        <v>-73130.84</v>
      </c>
      <c r="I49" s="97">
        <v>63787.07</v>
      </c>
      <c r="J49" s="97">
        <v>1494106.38585365</v>
      </c>
      <c r="K49" s="97">
        <v>-53183.2850074733</v>
      </c>
      <c r="L49" s="39"/>
      <c r="M49" s="97">
        <v>-62.8</v>
      </c>
      <c r="N49" s="98">
        <v>-54170.99</v>
      </c>
      <c r="O49" s="98">
        <v>1113821.0022650999</v>
      </c>
      <c r="P49" s="98">
        <v>-41135.380457068903</v>
      </c>
    </row>
    <row r="50" spans="3:16">
      <c r="C50" s="97">
        <v>-62.42642</v>
      </c>
      <c r="D50" s="98"/>
      <c r="E50" s="98">
        <v>298092.02190718602</v>
      </c>
      <c r="G50" s="97">
        <v>-62.42642</v>
      </c>
      <c r="H50" s="97">
        <v>-73130.84</v>
      </c>
      <c r="I50" s="97">
        <v>63787.07</v>
      </c>
      <c r="J50" s="97">
        <v>1513192.7923893</v>
      </c>
      <c r="K50" s="97">
        <v>-51090.546966002403</v>
      </c>
      <c r="L50" s="39"/>
      <c r="M50" s="97">
        <v>-62.42642</v>
      </c>
      <c r="N50" s="98">
        <v>-54170.99</v>
      </c>
      <c r="O50" s="98">
        <v>1128620.7604932</v>
      </c>
      <c r="P50" s="98">
        <v>-39616.034659624602</v>
      </c>
    </row>
    <row r="51" spans="3:16">
      <c r="C51" s="97">
        <v>-61.964799999999997</v>
      </c>
      <c r="D51" s="98"/>
      <c r="E51" s="98">
        <v>304109.37896425702</v>
      </c>
      <c r="G51" s="97">
        <v>-61.964799999999997</v>
      </c>
      <c r="H51" s="97">
        <v>-73130.84</v>
      </c>
      <c r="I51" s="97">
        <v>63787.07</v>
      </c>
      <c r="J51" s="97">
        <v>1534987.42495522</v>
      </c>
      <c r="K51" s="97">
        <v>-47213.362865577597</v>
      </c>
      <c r="L51" s="39"/>
      <c r="M51" s="97">
        <v>-61.964799999999997</v>
      </c>
      <c r="N51" s="98">
        <v>-54170.99</v>
      </c>
      <c r="O51" s="98">
        <v>1145607.7875761499</v>
      </c>
      <c r="P51" s="98">
        <v>-36798.724238496499</v>
      </c>
    </row>
    <row r="52" spans="3:16">
      <c r="C52" s="97">
        <v>-61.50318</v>
      </c>
      <c r="D52" s="98"/>
      <c r="E52" s="98">
        <v>309796.250277035</v>
      </c>
      <c r="G52" s="97">
        <v>-61.50318</v>
      </c>
      <c r="H52" s="97">
        <v>-73130.84</v>
      </c>
      <c r="I52" s="97">
        <v>63787.07</v>
      </c>
      <c r="J52" s="97">
        <v>1554747.7124626299</v>
      </c>
      <c r="K52" s="97">
        <v>-42806.393803013401</v>
      </c>
      <c r="L52" s="39"/>
      <c r="M52" s="97">
        <v>-61.50318</v>
      </c>
      <c r="N52" s="98">
        <v>-54170.99</v>
      </c>
      <c r="O52" s="98">
        <v>1161114.9755440501</v>
      </c>
      <c r="P52" s="98">
        <v>-33592.972505241101</v>
      </c>
    </row>
    <row r="53" spans="3:16">
      <c r="C53" s="97">
        <v>-61.041560000000004</v>
      </c>
      <c r="D53" s="98"/>
      <c r="E53" s="98">
        <v>315126.63669709902</v>
      </c>
      <c r="G53" s="97">
        <v>-61.041560000000004</v>
      </c>
      <c r="H53" s="97">
        <v>-73130.84</v>
      </c>
      <c r="I53" s="97">
        <v>63787.07</v>
      </c>
      <c r="J53" s="97">
        <v>1572419.3482043999</v>
      </c>
      <c r="K53" s="97">
        <v>-38281.780992630403</v>
      </c>
      <c r="L53" s="39"/>
      <c r="M53" s="97">
        <v>-61.041560000000004</v>
      </c>
      <c r="N53" s="98">
        <v>-54170.99</v>
      </c>
      <c r="O53" s="98">
        <v>1175101.3039629301</v>
      </c>
      <c r="P53" s="98">
        <v>-30298.358864202499</v>
      </c>
    </row>
    <row r="54" spans="3:16">
      <c r="C54" s="97">
        <v>-60.579940000000001</v>
      </c>
      <c r="D54" s="98"/>
      <c r="E54" s="98">
        <v>320073.092453213</v>
      </c>
      <c r="G54" s="97">
        <v>-60.579940000000001</v>
      </c>
      <c r="H54" s="97">
        <v>-73130.84</v>
      </c>
      <c r="I54" s="97">
        <v>63787.07</v>
      </c>
      <c r="J54" s="97">
        <v>1587950.3001067601</v>
      </c>
      <c r="K54" s="97">
        <v>-33644.451934990102</v>
      </c>
      <c r="L54" s="39"/>
      <c r="M54" s="97">
        <v>-60.579940000000001</v>
      </c>
      <c r="N54" s="98">
        <v>-54170.99</v>
      </c>
      <c r="O54" s="98">
        <v>1187527.1657229799</v>
      </c>
      <c r="P54" s="98">
        <v>-26917.944976450199</v>
      </c>
    </row>
    <row r="55" spans="3:16">
      <c r="C55" s="97">
        <v>-60.118319999999997</v>
      </c>
      <c r="D55" s="98"/>
      <c r="E55" s="98">
        <v>324606.73733802699</v>
      </c>
      <c r="G55" s="97">
        <v>-60.118319999999997</v>
      </c>
      <c r="H55" s="97">
        <v>-73130.84</v>
      </c>
      <c r="I55" s="97">
        <v>63787.07</v>
      </c>
      <c r="J55" s="97">
        <v>1601290.8907448601</v>
      </c>
      <c r="K55" s="97">
        <v>-28899.507469666001</v>
      </c>
      <c r="L55" s="39"/>
      <c r="M55" s="97">
        <v>-60.118319999999997</v>
      </c>
      <c r="N55" s="98">
        <v>-54170.99</v>
      </c>
      <c r="O55" s="98">
        <v>1198354.5728133901</v>
      </c>
      <c r="P55" s="98">
        <v>-23455.238270436999</v>
      </c>
    </row>
    <row r="56" spans="3:16">
      <c r="C56" s="97">
        <v>-59.7</v>
      </c>
      <c r="D56" s="98"/>
      <c r="E56" s="98">
        <v>328332.416529793</v>
      </c>
      <c r="G56" s="97">
        <v>-59.7</v>
      </c>
      <c r="H56" s="97">
        <v>-73130.84</v>
      </c>
      <c r="I56" s="97">
        <v>63787.07</v>
      </c>
      <c r="J56" s="97">
        <v>1611447.67666802</v>
      </c>
      <c r="K56" s="97">
        <v>-24279.9434000443</v>
      </c>
      <c r="L56" s="39"/>
      <c r="M56" s="97">
        <v>-59.7</v>
      </c>
      <c r="N56" s="98">
        <v>-54170.99</v>
      </c>
      <c r="O56" s="98">
        <v>1206754.5460929</v>
      </c>
      <c r="P56" s="98">
        <v>-20080.257409360001</v>
      </c>
    </row>
    <row r="57" spans="3:16">
      <c r="C57" s="97">
        <v>-59.195080000000004</v>
      </c>
      <c r="D57" s="98"/>
      <c r="E57" s="98">
        <v>332483.93116051098</v>
      </c>
      <c r="G57" s="97">
        <v>-59.195080000000004</v>
      </c>
      <c r="H57" s="97">
        <v>-73130.84</v>
      </c>
      <c r="I57" s="97">
        <v>63787.07</v>
      </c>
      <c r="J57" s="97">
        <v>1622199.59271812</v>
      </c>
      <c r="K57" s="97">
        <v>-21294.296225466001</v>
      </c>
      <c r="L57" s="39"/>
      <c r="M57" s="97">
        <v>-59.195080000000004</v>
      </c>
      <c r="N57" s="98">
        <v>-54170.99</v>
      </c>
      <c r="O57" s="98">
        <v>1215752.07137117</v>
      </c>
      <c r="P57" s="98">
        <v>-17819.704662775599</v>
      </c>
    </row>
    <row r="58" spans="3:16">
      <c r="C58" s="97">
        <v>-58.7</v>
      </c>
      <c r="D58" s="98"/>
      <c r="E58" s="98">
        <v>336159.72053258301</v>
      </c>
      <c r="G58" s="97">
        <v>-58.7</v>
      </c>
      <c r="H58" s="97">
        <v>-73130.84</v>
      </c>
      <c r="I58" s="97">
        <v>63787.07</v>
      </c>
      <c r="J58" s="97">
        <v>1631121.99876332</v>
      </c>
      <c r="K58" s="97">
        <v>-18022.150046843799</v>
      </c>
      <c r="L58" s="39"/>
      <c r="M58" s="97">
        <v>-58.7</v>
      </c>
      <c r="N58" s="98">
        <v>-54170.99</v>
      </c>
      <c r="O58" s="98">
        <v>1223346.3528694201</v>
      </c>
      <c r="P58" s="98">
        <v>-15339.503712916499</v>
      </c>
    </row>
    <row r="59" spans="3:16">
      <c r="C59" s="97">
        <v>-58.271839999999997</v>
      </c>
      <c r="D59" s="98"/>
      <c r="E59" s="98">
        <v>339029.39913576498</v>
      </c>
      <c r="G59" s="97">
        <v>-58.271839999999997</v>
      </c>
      <c r="H59" s="97">
        <v>-73130.84</v>
      </c>
      <c r="I59" s="97">
        <v>63787.07</v>
      </c>
      <c r="J59" s="97">
        <v>1637658.7581533501</v>
      </c>
      <c r="K59" s="97">
        <v>-15267.0949879991</v>
      </c>
      <c r="L59" s="39"/>
      <c r="M59" s="97">
        <v>-58.271839999999997</v>
      </c>
      <c r="N59" s="98">
        <v>-54170.99</v>
      </c>
      <c r="O59" s="98">
        <v>1229008.7140961101</v>
      </c>
      <c r="P59" s="98">
        <v>-13224.872072923001</v>
      </c>
    </row>
    <row r="60" spans="3:16">
      <c r="C60" s="97">
        <v>-57.810220000000001</v>
      </c>
      <c r="D60" s="98"/>
      <c r="E60" s="98">
        <v>341782.75433038198</v>
      </c>
      <c r="G60" s="97">
        <v>-57.810220000000001</v>
      </c>
      <c r="H60" s="97">
        <v>-73130.84</v>
      </c>
      <c r="I60" s="97">
        <v>63787.07</v>
      </c>
      <c r="J60" s="97">
        <v>1643475.08843455</v>
      </c>
      <c r="K60" s="97">
        <v>-12599.822973836701</v>
      </c>
      <c r="L60" s="39"/>
      <c r="M60" s="97">
        <v>-57.810220000000001</v>
      </c>
      <c r="N60" s="98">
        <v>-54170.99</v>
      </c>
      <c r="O60" s="98">
        <v>1234167.67751272</v>
      </c>
      <c r="P60" s="98">
        <v>-11175.779681509201</v>
      </c>
    </row>
    <row r="61" spans="3:16">
      <c r="C61" s="97">
        <v>-57.5</v>
      </c>
      <c r="D61" s="98"/>
      <c r="E61" s="98">
        <v>343422.129964158</v>
      </c>
      <c r="G61" s="97">
        <v>-57.5</v>
      </c>
      <c r="H61" s="97">
        <v>-73130.84</v>
      </c>
      <c r="I61" s="97">
        <v>63787.07</v>
      </c>
      <c r="J61" s="97">
        <v>1646663.7390276501</v>
      </c>
      <c r="K61" s="97">
        <v>-10278.6751115979</v>
      </c>
      <c r="L61" s="39"/>
      <c r="M61" s="97">
        <v>-57.5</v>
      </c>
      <c r="N61" s="98">
        <v>-54170.99</v>
      </c>
      <c r="O61" s="98">
        <v>1237080.9115116</v>
      </c>
      <c r="P61" s="98">
        <v>-9390.8645439168904</v>
      </c>
    </row>
    <row r="62" spans="3:16">
      <c r="C62" s="97">
        <v>-57.348599999999998</v>
      </c>
      <c r="D62" s="98"/>
      <c r="E62" s="98">
        <v>344103.56321672403</v>
      </c>
      <c r="G62" s="97">
        <v>-57.348599999999998</v>
      </c>
      <c r="H62" s="97">
        <v>-73130.84</v>
      </c>
      <c r="I62" s="97">
        <v>63787.07</v>
      </c>
      <c r="J62" s="97">
        <v>1647801.8198494299</v>
      </c>
      <c r="K62" s="97">
        <v>-7517.0463778778203</v>
      </c>
      <c r="L62" s="39"/>
      <c r="M62" s="97">
        <v>-57.348599999999998</v>
      </c>
      <c r="N62" s="98">
        <v>-54170.99</v>
      </c>
      <c r="O62" s="98">
        <v>1238195.7756107999</v>
      </c>
      <c r="P62" s="98">
        <v>-7363.6994666753999</v>
      </c>
    </row>
    <row r="63" spans="3:16">
      <c r="C63" s="97">
        <v>-56.886980000000001</v>
      </c>
      <c r="D63" s="98"/>
      <c r="E63" s="98">
        <v>345691.65895370598</v>
      </c>
      <c r="G63" s="97">
        <v>-56.886980000000001</v>
      </c>
      <c r="H63" s="97">
        <v>-73130.84</v>
      </c>
      <c r="I63" s="97">
        <v>63787.07</v>
      </c>
      <c r="J63" s="97">
        <v>1649573.3193689</v>
      </c>
      <c r="K63" s="97">
        <v>-3837.5709879589299</v>
      </c>
      <c r="L63" s="39"/>
      <c r="M63" s="97">
        <v>-56.886980000000001</v>
      </c>
      <c r="N63" s="98">
        <v>-54170.99</v>
      </c>
      <c r="O63" s="98">
        <v>1240347.74890314</v>
      </c>
      <c r="P63" s="98">
        <v>-4661.7852178749199</v>
      </c>
    </row>
    <row r="64" spans="3:16">
      <c r="C64" s="97">
        <v>-56.425359999999998</v>
      </c>
      <c r="D64" s="98"/>
      <c r="E64" s="98">
        <v>346499.56667721103</v>
      </c>
      <c r="G64" s="97">
        <v>-56.425359999999998</v>
      </c>
      <c r="H64" s="97">
        <v>-73130.84</v>
      </c>
      <c r="I64" s="97">
        <v>63787.07</v>
      </c>
      <c r="J64" s="97">
        <v>1648818.1978831601</v>
      </c>
      <c r="K64" s="97">
        <v>1635.80755977484</v>
      </c>
      <c r="L64" s="39"/>
      <c r="M64" s="97">
        <v>-56.425359999999998</v>
      </c>
      <c r="N64" s="98">
        <v>-54170.99</v>
      </c>
      <c r="O64" s="98">
        <v>1240602.63604777</v>
      </c>
      <c r="P64" s="98">
        <v>-552.15793209779099</v>
      </c>
    </row>
    <row r="65" spans="3:16">
      <c r="C65" s="97">
        <v>-55.963740000000001</v>
      </c>
      <c r="D65" s="98"/>
      <c r="E65" s="98">
        <v>346483.691828946</v>
      </c>
      <c r="G65" s="97">
        <v>-55.963740000000001</v>
      </c>
      <c r="H65" s="97">
        <v>-73130.84</v>
      </c>
      <c r="I65" s="97">
        <v>63787.07</v>
      </c>
      <c r="J65" s="97">
        <v>1645591.4175007599</v>
      </c>
      <c r="K65" s="97">
        <v>6990.1225736946799</v>
      </c>
      <c r="L65" s="39"/>
      <c r="M65" s="97">
        <v>-55.963740000000001</v>
      </c>
      <c r="N65" s="98">
        <v>-54170.99</v>
      </c>
      <c r="O65" s="98">
        <v>1238945.48365191</v>
      </c>
      <c r="P65" s="98">
        <v>3589.8626485742898</v>
      </c>
    </row>
    <row r="66" spans="3:16">
      <c r="C66" s="97">
        <v>-55.502119999999998</v>
      </c>
      <c r="D66" s="98"/>
      <c r="E66" s="98">
        <v>345599.94025836699</v>
      </c>
      <c r="G66" s="97">
        <v>-55.502119999999998</v>
      </c>
      <c r="H66" s="97">
        <v>-73130.84</v>
      </c>
      <c r="I66" s="97">
        <v>63787.07</v>
      </c>
      <c r="J66" s="97">
        <v>1639948.23239279</v>
      </c>
      <c r="K66" s="97">
        <v>12224.741362965</v>
      </c>
      <c r="L66" s="39"/>
      <c r="M66" s="97">
        <v>-55.502119999999998</v>
      </c>
      <c r="N66" s="98">
        <v>-54170.99</v>
      </c>
      <c r="O66" s="98">
        <v>1235365.3369589299</v>
      </c>
      <c r="P66" s="98">
        <v>7755.6143429859103</v>
      </c>
    </row>
    <row r="67" spans="3:16">
      <c r="C67" s="97">
        <v>-55.3</v>
      </c>
      <c r="D67" s="98"/>
      <c r="E67" s="98">
        <v>344925.86756356101</v>
      </c>
      <c r="G67" s="97">
        <v>-55.3</v>
      </c>
      <c r="H67" s="97">
        <v>-73130.84</v>
      </c>
      <c r="I67" s="97">
        <v>63787.07</v>
      </c>
      <c r="J67" s="97">
        <v>1636734.3229139401</v>
      </c>
      <c r="K67" s="97">
        <v>15900.9968277758</v>
      </c>
      <c r="L67" s="39"/>
      <c r="M67" s="97">
        <v>-55.3</v>
      </c>
      <c r="N67" s="98">
        <v>-54170.99</v>
      </c>
      <c r="O67" s="98">
        <v>1233190.30256236</v>
      </c>
      <c r="P67" s="98">
        <v>10761.1042775074</v>
      </c>
    </row>
    <row r="68" spans="3:16">
      <c r="C68" s="97">
        <v>-55.040500000000002</v>
      </c>
      <c r="D68" s="98"/>
      <c r="E68" s="98">
        <v>344047.74032811797</v>
      </c>
      <c r="G68" s="97">
        <v>-55.040500000000002</v>
      </c>
      <c r="H68" s="97">
        <v>-73130.84</v>
      </c>
      <c r="I68" s="97">
        <v>63787.07</v>
      </c>
      <c r="J68" s="97">
        <v>1632564.65353376</v>
      </c>
      <c r="K68" s="97">
        <v>16068.090097345401</v>
      </c>
      <c r="L68" s="39"/>
      <c r="M68" s="97">
        <v>-55.040500000000002</v>
      </c>
      <c r="N68" s="98">
        <v>-54170.99</v>
      </c>
      <c r="O68" s="98">
        <v>1230360.57041541</v>
      </c>
      <c r="P68" s="98">
        <v>10904.555479875</v>
      </c>
    </row>
    <row r="69" spans="3:16">
      <c r="C69" s="97">
        <v>-54.578879999999998</v>
      </c>
      <c r="D69" s="98"/>
      <c r="E69" s="98">
        <v>342449.967968132</v>
      </c>
      <c r="G69" s="97">
        <v>-54.578879999999998</v>
      </c>
      <c r="H69" s="97">
        <v>-73130.84</v>
      </c>
      <c r="I69" s="97">
        <v>63787.07</v>
      </c>
      <c r="J69" s="97">
        <v>1625026.7543104</v>
      </c>
      <c r="K69" s="97">
        <v>16329.2301529164</v>
      </c>
      <c r="L69" s="39"/>
      <c r="M69" s="97">
        <v>-54.578879999999998</v>
      </c>
      <c r="N69" s="98">
        <v>-54170.99</v>
      </c>
      <c r="O69" s="98">
        <v>1225223.2504632</v>
      </c>
      <c r="P69" s="98">
        <v>11128.8937916139</v>
      </c>
    </row>
    <row r="70" spans="3:16">
      <c r="C70" s="97">
        <v>-54.117260000000002</v>
      </c>
      <c r="D70" s="98"/>
      <c r="E70" s="98">
        <v>340805.61068726698</v>
      </c>
      <c r="G70" s="97">
        <v>-54.117260000000002</v>
      </c>
      <c r="H70" s="97">
        <v>-73130.84</v>
      </c>
      <c r="I70" s="97">
        <v>63787.07</v>
      </c>
      <c r="J70" s="97">
        <v>1617334.4840786201</v>
      </c>
      <c r="K70" s="97">
        <v>16663.641592370899</v>
      </c>
      <c r="L70" s="39"/>
      <c r="M70" s="97">
        <v>-54.117260000000002</v>
      </c>
      <c r="N70" s="98">
        <v>-54170.99</v>
      </c>
      <c r="O70" s="98">
        <v>1219953.1825202899</v>
      </c>
      <c r="P70" s="98">
        <v>11416.463634514899</v>
      </c>
    </row>
    <row r="71" spans="3:16">
      <c r="C71" s="97">
        <v>-53.655639999999998</v>
      </c>
      <c r="D71" s="98"/>
      <c r="E71" s="98">
        <v>339113.85516548902</v>
      </c>
      <c r="G71" s="97">
        <v>-53.655639999999998</v>
      </c>
      <c r="H71" s="97">
        <v>-73130.84</v>
      </c>
      <c r="I71" s="97">
        <v>63787.07</v>
      </c>
      <c r="J71" s="97">
        <v>1609487.9201983199</v>
      </c>
      <c r="K71" s="97">
        <v>16997.885447466499</v>
      </c>
      <c r="L71" s="39"/>
      <c r="M71" s="97">
        <v>-53.655639999999998</v>
      </c>
      <c r="N71" s="98">
        <v>-54170.99</v>
      </c>
      <c r="O71" s="98">
        <v>1214550.32625347</v>
      </c>
      <c r="P71" s="98">
        <v>11704.1208500296</v>
      </c>
    </row>
    <row r="72" spans="3:16">
      <c r="C72" s="97">
        <v>-53.194020000000002</v>
      </c>
      <c r="D72" s="98"/>
      <c r="E72" s="98">
        <v>337373.97746853501</v>
      </c>
      <c r="G72" s="97">
        <v>-53.194020000000002</v>
      </c>
      <c r="H72" s="97">
        <v>-73130.84</v>
      </c>
      <c r="I72" s="97">
        <v>63787.07</v>
      </c>
      <c r="J72" s="97">
        <v>1601487.2586131699</v>
      </c>
      <c r="K72" s="97">
        <v>17331.704833141801</v>
      </c>
      <c r="L72" s="39"/>
      <c r="M72" s="97">
        <v>-53.194020000000002</v>
      </c>
      <c r="N72" s="98">
        <v>-54170.99</v>
      </c>
      <c r="O72" s="98">
        <v>1209014.7712727799</v>
      </c>
      <c r="P72" s="98">
        <v>11991.583945030799</v>
      </c>
    </row>
    <row r="73" spans="3:16">
      <c r="C73" s="97">
        <v>-52.732399999999998</v>
      </c>
      <c r="D73" s="98"/>
      <c r="E73" s="98">
        <v>335585.375400752</v>
      </c>
      <c r="G73" s="97">
        <v>-52.732399999999998</v>
      </c>
      <c r="H73" s="97">
        <v>-73130.84</v>
      </c>
      <c r="I73" s="97">
        <v>63787.07</v>
      </c>
      <c r="J73" s="97">
        <v>1593333.15387854</v>
      </c>
      <c r="K73" s="97">
        <v>17664.106266525599</v>
      </c>
      <c r="L73" s="39"/>
      <c r="M73" s="97">
        <v>-52.732399999999998</v>
      </c>
      <c r="N73" s="98">
        <v>-54170.99</v>
      </c>
      <c r="O73" s="98">
        <v>1203346.9914024901</v>
      </c>
      <c r="P73" s="98">
        <v>12278.020602053501</v>
      </c>
    </row>
    <row r="74" spans="3:16">
      <c r="C74" s="97">
        <v>-52.270780000000002</v>
      </c>
      <c r="D74" s="98"/>
      <c r="E74" s="98">
        <v>333747.58448144002</v>
      </c>
      <c r="G74" s="97">
        <v>-52.270780000000002</v>
      </c>
      <c r="H74" s="97">
        <v>-73130.84</v>
      </c>
      <c r="I74" s="97">
        <v>63787.07</v>
      </c>
      <c r="J74" s="97">
        <v>1585026.7924428</v>
      </c>
      <c r="K74" s="97">
        <v>17993.937515049001</v>
      </c>
      <c r="L74" s="39"/>
      <c r="M74" s="97">
        <v>-52.270780000000002</v>
      </c>
      <c r="N74" s="98">
        <v>-54170.99</v>
      </c>
      <c r="O74" s="98">
        <v>1197547.9020313199</v>
      </c>
      <c r="P74" s="98">
        <v>12562.4742670004</v>
      </c>
    </row>
    <row r="75" spans="3:16">
      <c r="C75" s="97">
        <v>-51.809159999999999</v>
      </c>
      <c r="D75" s="98"/>
      <c r="E75" s="98">
        <v>331860.26334786398</v>
      </c>
      <c r="G75" s="97">
        <v>-51.809159999999999</v>
      </c>
      <c r="H75" s="97">
        <v>-73130.84</v>
      </c>
      <c r="I75" s="97">
        <v>63787.07</v>
      </c>
      <c r="J75" s="97">
        <v>1576569.5610686799</v>
      </c>
      <c r="K75" s="97">
        <v>18320.764642288901</v>
      </c>
      <c r="L75" s="39"/>
      <c r="M75" s="97">
        <v>-51.809159999999999</v>
      </c>
      <c r="N75" s="98">
        <v>-54170.99</v>
      </c>
      <c r="O75" s="98">
        <v>1191618.61633566</v>
      </c>
      <c r="P75" s="98">
        <v>12844.516476054399</v>
      </c>
    </row>
    <row r="76" spans="3:16">
      <c r="C76" s="97">
        <v>-51.347540000000002</v>
      </c>
      <c r="D76" s="98"/>
      <c r="E76" s="98">
        <v>329923.20978761499</v>
      </c>
      <c r="G76" s="97">
        <v>-51.347540000000002</v>
      </c>
      <c r="H76" s="97">
        <v>-73130.84</v>
      </c>
      <c r="I76" s="97">
        <v>63787.07</v>
      </c>
      <c r="J76" s="97">
        <v>1567963.06284833</v>
      </c>
      <c r="K76" s="97">
        <v>18644.119016266901</v>
      </c>
      <c r="L76" s="39"/>
      <c r="M76" s="97">
        <v>-51.347540000000002</v>
      </c>
      <c r="N76" s="98">
        <v>-54170.99</v>
      </c>
      <c r="O76" s="98">
        <v>1185560.4594435501</v>
      </c>
      <c r="P76" s="98">
        <v>13123.688081398401</v>
      </c>
    </row>
    <row r="77" spans="3:16">
      <c r="C77" s="97">
        <v>-51.15</v>
      </c>
      <c r="D77" s="98"/>
      <c r="E77" s="98">
        <v>329079.07763578702</v>
      </c>
      <c r="G77" s="97">
        <v>-51.15</v>
      </c>
      <c r="H77" s="97">
        <v>-73130.84</v>
      </c>
      <c r="I77" s="97">
        <v>63787.07</v>
      </c>
      <c r="J77" s="97">
        <v>1564235.0605029501</v>
      </c>
      <c r="K77" s="97">
        <v>18872.139038067999</v>
      </c>
      <c r="L77" s="39"/>
      <c r="M77" s="97">
        <v>-51.15</v>
      </c>
      <c r="N77" s="98">
        <v>-54170.99</v>
      </c>
      <c r="O77" s="98">
        <v>1182929.1074428</v>
      </c>
      <c r="P77" s="98">
        <v>13320.603425774099</v>
      </c>
    </row>
    <row r="78" spans="3:16">
      <c r="C78" s="97">
        <v>-50.885919999999999</v>
      </c>
      <c r="D78" s="98"/>
      <c r="E78" s="98">
        <v>327930.15209776198</v>
      </c>
      <c r="G78" s="97">
        <v>-50.885919999999999</v>
      </c>
      <c r="H78" s="97">
        <v>-73130.84</v>
      </c>
      <c r="I78" s="97">
        <v>63787.07</v>
      </c>
      <c r="J78" s="97">
        <v>1559202.9523294</v>
      </c>
      <c r="K78" s="97">
        <v>19055.241492545701</v>
      </c>
      <c r="L78" s="39"/>
      <c r="M78" s="97">
        <v>-50.885919999999999</v>
      </c>
      <c r="N78" s="98">
        <v>-54170.99</v>
      </c>
      <c r="O78" s="98">
        <v>1179368.10199147</v>
      </c>
      <c r="P78" s="98">
        <v>13484.570779624501</v>
      </c>
    </row>
    <row r="79" spans="3:16">
      <c r="C79" s="97">
        <v>-50.424300000000002</v>
      </c>
      <c r="D79" s="98"/>
      <c r="E79" s="98">
        <v>325865.69823189097</v>
      </c>
      <c r="G79" s="97">
        <v>-50.424300000000002</v>
      </c>
      <c r="H79" s="97">
        <v>-73130.84</v>
      </c>
      <c r="I79" s="97">
        <v>63787.07</v>
      </c>
      <c r="J79" s="97">
        <v>1550274.85097277</v>
      </c>
      <c r="K79" s="97">
        <v>19340.802731235999</v>
      </c>
      <c r="L79" s="39"/>
      <c r="M79" s="97">
        <v>-50.424300000000002</v>
      </c>
      <c r="N79" s="98">
        <v>-54170.99</v>
      </c>
      <c r="O79" s="98">
        <v>1173025.3143028901</v>
      </c>
      <c r="P79" s="98">
        <v>13740.279209347</v>
      </c>
    </row>
    <row r="80" spans="3:16">
      <c r="C80" s="97">
        <v>-49.962679999999999</v>
      </c>
      <c r="D80" s="98"/>
      <c r="E80" s="98">
        <v>323730.309945438</v>
      </c>
      <c r="G80" s="97">
        <v>-49.962679999999999</v>
      </c>
      <c r="H80" s="97">
        <v>-73130.84</v>
      </c>
      <c r="I80" s="97">
        <v>63787.07</v>
      </c>
      <c r="J80" s="97">
        <v>1541181.6332634999</v>
      </c>
      <c r="K80" s="97">
        <v>19698.491636462699</v>
      </c>
      <c r="L80" s="39"/>
      <c r="M80" s="97">
        <v>-49.962679999999999</v>
      </c>
      <c r="N80" s="98">
        <v>-54170.99</v>
      </c>
      <c r="O80" s="98">
        <v>1166534.7033140999</v>
      </c>
      <c r="P80" s="98">
        <v>14060.506452997901</v>
      </c>
    </row>
    <row r="81" spans="3:16">
      <c r="C81" s="97">
        <v>-49.501060000000003</v>
      </c>
      <c r="D81" s="98"/>
      <c r="E81" s="98">
        <v>321524.67618042202</v>
      </c>
      <c r="G81" s="97">
        <v>-49.501060000000003</v>
      </c>
      <c r="H81" s="97">
        <v>-73130.84</v>
      </c>
      <c r="I81" s="97">
        <v>63787.07</v>
      </c>
      <c r="J81" s="97">
        <v>1531926.2196734</v>
      </c>
      <c r="K81" s="97">
        <v>20049.853971099201</v>
      </c>
      <c r="L81" s="39"/>
      <c r="M81" s="97">
        <v>-49.501060000000003</v>
      </c>
      <c r="N81" s="98">
        <v>-54170.99</v>
      </c>
      <c r="O81" s="98">
        <v>1159898.94270852</v>
      </c>
      <c r="P81" s="98">
        <v>14374.9417389843</v>
      </c>
    </row>
    <row r="82" spans="3:16">
      <c r="C82" s="97">
        <v>-49.039439999999999</v>
      </c>
      <c r="D82" s="98"/>
      <c r="E82" s="98">
        <v>319249.76981307898</v>
      </c>
      <c r="G82" s="97">
        <v>-49.039439999999999</v>
      </c>
      <c r="H82" s="97">
        <v>-73130.84</v>
      </c>
      <c r="I82" s="97">
        <v>63787.07</v>
      </c>
      <c r="J82" s="97">
        <v>1522511.90891755</v>
      </c>
      <c r="K82" s="97">
        <v>20394.070352164799</v>
      </c>
      <c r="L82" s="39"/>
      <c r="M82" s="97">
        <v>-49.039439999999999</v>
      </c>
      <c r="N82" s="98">
        <v>-54170.99</v>
      </c>
      <c r="O82" s="98">
        <v>1153121.07171333</v>
      </c>
      <c r="P82" s="98">
        <v>14682.7931961584</v>
      </c>
    </row>
    <row r="83" spans="3:16">
      <c r="C83" s="97">
        <v>-48.577820000000003</v>
      </c>
      <c r="D83" s="98"/>
      <c r="E83" s="98">
        <v>316906.87404421298</v>
      </c>
      <c r="G83" s="97">
        <v>-48.577820000000003</v>
      </c>
      <c r="H83" s="97">
        <v>-73130.84</v>
      </c>
      <c r="I83" s="97">
        <v>63787.07</v>
      </c>
      <c r="J83" s="97">
        <v>1512942.4325244101</v>
      </c>
      <c r="K83" s="97">
        <v>20730.203182541802</v>
      </c>
      <c r="L83" s="39"/>
      <c r="M83" s="97">
        <v>-48.577820000000003</v>
      </c>
      <c r="N83" s="98">
        <v>-54170.99</v>
      </c>
      <c r="O83" s="98">
        <v>1146204.5436444301</v>
      </c>
      <c r="P83" s="98">
        <v>14983.163790594799</v>
      </c>
    </row>
    <row r="84" spans="3:16">
      <c r="C84" s="97">
        <v>-48.116199999999999</v>
      </c>
      <c r="D84" s="98"/>
      <c r="E84" s="98">
        <v>314497.61479563598</v>
      </c>
      <c r="G84" s="97">
        <v>-48.116199999999999</v>
      </c>
      <c r="H84" s="97">
        <v>-73130.84</v>
      </c>
      <c r="I84" s="97">
        <v>63787.07</v>
      </c>
      <c r="J84" s="97">
        <v>1503222.0222178099</v>
      </c>
      <c r="K84" s="97">
        <v>21057.168897855099</v>
      </c>
      <c r="L84" s="39"/>
      <c r="M84" s="97">
        <v>-48.116199999999999</v>
      </c>
      <c r="N84" s="98">
        <v>-54170.99</v>
      </c>
      <c r="O84" s="98">
        <v>1139153.2854490301</v>
      </c>
      <c r="P84" s="98">
        <v>15275.0275018107</v>
      </c>
    </row>
    <row r="85" spans="3:16">
      <c r="C85" s="97">
        <v>-47.654580000000003</v>
      </c>
      <c r="D85" s="98"/>
      <c r="E85" s="98">
        <v>312023.99869656202</v>
      </c>
      <c r="G85" s="97">
        <v>-47.654580000000003</v>
      </c>
      <c r="H85" s="97">
        <v>-73130.84</v>
      </c>
      <c r="I85" s="97">
        <v>63787.07</v>
      </c>
      <c r="J85" s="97">
        <v>1493355.49406999</v>
      </c>
      <c r="K85" s="97">
        <v>21373.701633079399</v>
      </c>
      <c r="L85" s="39"/>
      <c r="M85" s="97">
        <v>-47.654580000000003</v>
      </c>
      <c r="N85" s="98">
        <v>-54170.99</v>
      </c>
      <c r="O85" s="98">
        <v>1131971.77151603</v>
      </c>
      <c r="P85" s="98">
        <v>15557.198416523301</v>
      </c>
    </row>
    <row r="86" spans="3:16">
      <c r="C86" s="97">
        <v>-47.192959999999999</v>
      </c>
      <c r="D86" s="98"/>
      <c r="E86" s="98">
        <v>309488.45626807999</v>
      </c>
      <c r="G86" s="97">
        <v>-47.192959999999999</v>
      </c>
      <c r="H86" s="97">
        <v>-73130.84</v>
      </c>
      <c r="I86" s="97">
        <v>63787.07</v>
      </c>
      <c r="J86" s="97">
        <v>1483348.35501888</v>
      </c>
      <c r="K86" s="97">
        <v>21678.304777097401</v>
      </c>
      <c r="L86" s="39"/>
      <c r="M86" s="97">
        <v>-47.192959999999999</v>
      </c>
      <c r="N86" s="98">
        <v>-54170.99</v>
      </c>
      <c r="O86" s="98">
        <v>1124665.1163288399</v>
      </c>
      <c r="P86" s="98">
        <v>15828.289907796299</v>
      </c>
    </row>
    <row r="87" spans="3:16">
      <c r="C87" s="97">
        <v>-47</v>
      </c>
      <c r="D87" s="98"/>
      <c r="E87" s="98">
        <v>308411.09424464399</v>
      </c>
      <c r="G87" s="97">
        <v>-47</v>
      </c>
      <c r="H87" s="97">
        <v>-73130.84</v>
      </c>
      <c r="I87" s="97">
        <v>63787.07</v>
      </c>
      <c r="J87" s="97">
        <v>1479125.5142282201</v>
      </c>
      <c r="K87" s="97">
        <v>21884.539752892</v>
      </c>
      <c r="L87" s="39"/>
      <c r="M87" s="97">
        <v>-47</v>
      </c>
      <c r="N87" s="98">
        <v>-54170.99</v>
      </c>
      <c r="O87" s="98">
        <v>1121575.5421502599</v>
      </c>
      <c r="P87" s="98">
        <v>16011.474805617599</v>
      </c>
    </row>
    <row r="88" spans="3:16">
      <c r="C88" s="97">
        <v>-46.731340000000003</v>
      </c>
      <c r="D88" s="98"/>
      <c r="E88" s="98">
        <v>306897.67613402801</v>
      </c>
      <c r="G88" s="97">
        <v>-46.731340000000003</v>
      </c>
      <c r="H88" s="97">
        <v>-73130.84</v>
      </c>
      <c r="I88" s="97">
        <v>63787.07</v>
      </c>
      <c r="J88" s="97">
        <v>1473220.02467263</v>
      </c>
      <c r="K88" s="97">
        <v>21981.275795994599</v>
      </c>
      <c r="L88" s="39"/>
      <c r="M88" s="97">
        <v>-46.731340000000003</v>
      </c>
      <c r="N88" s="98">
        <v>-54170.99</v>
      </c>
      <c r="O88" s="98">
        <v>1117250.2625050501</v>
      </c>
      <c r="P88" s="98">
        <v>16099.4552413805</v>
      </c>
    </row>
    <row r="89" spans="3:16">
      <c r="C89" s="97">
        <v>-46.26972</v>
      </c>
      <c r="D89" s="98"/>
      <c r="E89" s="98">
        <v>304262.07660033897</v>
      </c>
      <c r="G89" s="97">
        <v>-46.26972</v>
      </c>
      <c r="H89" s="97">
        <v>-73130.84</v>
      </c>
      <c r="I89" s="97">
        <v>63787.07</v>
      </c>
      <c r="J89" s="97">
        <v>1463004.2734721899</v>
      </c>
      <c r="K89" s="97">
        <v>22130.217929516901</v>
      </c>
      <c r="L89" s="39"/>
      <c r="M89" s="97">
        <v>-46.26972</v>
      </c>
      <c r="N89" s="98">
        <v>-54170.99</v>
      </c>
      <c r="O89" s="98">
        <v>1109756.01173365</v>
      </c>
      <c r="P89" s="98">
        <v>16234.6752119758</v>
      </c>
    </row>
    <row r="90" spans="3:16">
      <c r="C90" s="97">
        <v>-46</v>
      </c>
      <c r="D90" s="98"/>
      <c r="E90" s="98">
        <v>302702.93701685203</v>
      </c>
      <c r="G90" s="97">
        <v>-46</v>
      </c>
      <c r="H90" s="97">
        <v>-73130.84</v>
      </c>
      <c r="I90" s="97">
        <v>63787.07</v>
      </c>
      <c r="J90" s="97">
        <v>1456997.2800638101</v>
      </c>
      <c r="K90" s="97">
        <v>22271.2198140949</v>
      </c>
      <c r="L90" s="39"/>
      <c r="M90" s="97">
        <v>-46</v>
      </c>
      <c r="N90" s="98">
        <v>-54170.99</v>
      </c>
      <c r="O90" s="98">
        <v>1105342.7900779799</v>
      </c>
      <c r="P90" s="98">
        <v>16362.2336334588</v>
      </c>
    </row>
    <row r="91" spans="3:16">
      <c r="C91" s="97">
        <v>-45.808100000000003</v>
      </c>
      <c r="D91" s="98"/>
      <c r="E91" s="98">
        <v>301561.42947951</v>
      </c>
      <c r="G91" s="97">
        <v>-45.808100000000003</v>
      </c>
      <c r="H91" s="97">
        <v>-73130.84</v>
      </c>
      <c r="I91" s="97">
        <v>63787.07</v>
      </c>
      <c r="J91" s="97">
        <v>1452708.2440807801</v>
      </c>
      <c r="K91" s="97">
        <v>22350.3698966089</v>
      </c>
      <c r="L91" s="39"/>
      <c r="M91" s="97">
        <v>-45.808100000000003</v>
      </c>
      <c r="N91" s="98">
        <v>-54170.99</v>
      </c>
      <c r="O91" s="98">
        <v>1102187.6889464301</v>
      </c>
      <c r="P91" s="98">
        <v>16441.3816127961</v>
      </c>
    </row>
    <row r="92" spans="3:16">
      <c r="C92" s="97">
        <v>-45.3</v>
      </c>
      <c r="D92" s="98"/>
      <c r="E92" s="98">
        <v>298419.76825713698</v>
      </c>
      <c r="G92" s="97">
        <v>-45.3</v>
      </c>
      <c r="H92" s="97">
        <v>-73130.84</v>
      </c>
      <c r="I92" s="97">
        <v>63787.07</v>
      </c>
      <c r="J92" s="97">
        <v>1441297.57288885</v>
      </c>
      <c r="K92" s="97">
        <v>22457.530391713099</v>
      </c>
      <c r="L92" s="39"/>
      <c r="M92" s="97">
        <v>-45.3</v>
      </c>
      <c r="N92" s="98">
        <v>-54170.99</v>
      </c>
      <c r="O92" s="98">
        <v>1093779.3761479</v>
      </c>
      <c r="P92" s="98">
        <v>16548.539261296199</v>
      </c>
    </row>
    <row r="93" spans="3:16">
      <c r="C93" s="97">
        <v>-44.884860000000003</v>
      </c>
      <c r="D93" s="98"/>
      <c r="E93" s="98">
        <v>295685.04371861002</v>
      </c>
      <c r="G93" s="97">
        <v>-44.884860000000003</v>
      </c>
      <c r="H93" s="97">
        <v>-73130.84</v>
      </c>
      <c r="I93" s="97">
        <v>63787.07</v>
      </c>
      <c r="J93" s="97">
        <v>1431911.0336534099</v>
      </c>
      <c r="K93" s="97">
        <v>22610.5391804664</v>
      </c>
      <c r="L93" s="39"/>
      <c r="M93" s="97">
        <v>-44.884860000000003</v>
      </c>
      <c r="N93" s="98">
        <v>-54170.99</v>
      </c>
      <c r="O93" s="98">
        <v>1086845.8971762699</v>
      </c>
      <c r="P93" s="98">
        <v>16701.543989233702</v>
      </c>
    </row>
    <row r="94" spans="3:16">
      <c r="C94" s="97">
        <v>-44.42324</v>
      </c>
      <c r="D94" s="98"/>
      <c r="E94" s="98">
        <v>292507.711383402</v>
      </c>
      <c r="G94" s="97">
        <v>-44.42324</v>
      </c>
      <c r="H94" s="97">
        <v>-73130.84</v>
      </c>
      <c r="I94" s="97">
        <v>63787.07</v>
      </c>
      <c r="J94" s="97">
        <v>1421427.31869981</v>
      </c>
      <c r="K94" s="97">
        <v>22710.703508917701</v>
      </c>
      <c r="L94" s="39"/>
      <c r="M94" s="97">
        <v>-44.42324</v>
      </c>
      <c r="N94" s="98">
        <v>-54170.99</v>
      </c>
      <c r="O94" s="98">
        <v>1079089.8938087199</v>
      </c>
      <c r="P94" s="98">
        <v>16801.705661618202</v>
      </c>
    </row>
    <row r="95" spans="3:16">
      <c r="C95" s="97">
        <v>-43.961620000000003</v>
      </c>
      <c r="D95" s="98"/>
      <c r="E95" s="98">
        <v>289241.12138000102</v>
      </c>
      <c r="G95" s="97">
        <v>-43.961620000000003</v>
      </c>
      <c r="H95" s="97">
        <v>-73130.84</v>
      </c>
      <c r="I95" s="97">
        <v>63787.07</v>
      </c>
      <c r="J95" s="97">
        <v>1410916.2430400299</v>
      </c>
      <c r="K95" s="97">
        <v>22769.9745672678</v>
      </c>
      <c r="L95" s="39"/>
      <c r="M95" s="97">
        <v>-43.961620000000003</v>
      </c>
      <c r="N95" s="98">
        <v>-54170.99</v>
      </c>
      <c r="O95" s="98">
        <v>1071306.5304600601</v>
      </c>
      <c r="P95" s="98">
        <v>16860.9751500487</v>
      </c>
    </row>
    <row r="96" spans="3:16">
      <c r="C96" s="97">
        <v>-43.5</v>
      </c>
      <c r="D96" s="98">
        <v>308436.5</v>
      </c>
      <c r="E96" s="98">
        <v>285940.5</v>
      </c>
      <c r="G96" s="97">
        <v>-43.5</v>
      </c>
      <c r="H96" s="97">
        <v>-73130.84</v>
      </c>
      <c r="I96" s="97">
        <v>63787.07</v>
      </c>
      <c r="J96" s="97">
        <v>1400395</v>
      </c>
      <c r="K96" s="97">
        <v>22792.37</v>
      </c>
      <c r="L96" s="39"/>
      <c r="M96" s="97">
        <v>-43.5</v>
      </c>
      <c r="N96" s="98">
        <v>-54170.99</v>
      </c>
      <c r="O96" s="98">
        <v>1063512.6000000001</v>
      </c>
      <c r="P96" s="98">
        <v>16883.240000000002</v>
      </c>
    </row>
    <row r="97" spans="3:16">
      <c r="C97" s="97">
        <v>-43.3</v>
      </c>
      <c r="D97" s="98">
        <v>307363</v>
      </c>
      <c r="E97" s="98">
        <v>285085.5</v>
      </c>
      <c r="G97" s="97">
        <v>-43.3</v>
      </c>
      <c r="H97" s="97">
        <v>-73046.259999999995</v>
      </c>
      <c r="I97" s="97">
        <v>63787.07</v>
      </c>
      <c r="J97" s="97">
        <v>1396239.2</v>
      </c>
      <c r="K97" s="97">
        <v>22708.46</v>
      </c>
      <c r="L97" s="39"/>
      <c r="M97" s="97">
        <v>-43.3</v>
      </c>
      <c r="N97" s="98">
        <v>-54108.34</v>
      </c>
      <c r="O97" s="98">
        <v>1060318.3</v>
      </c>
      <c r="P97" s="98">
        <v>16821.080000000002</v>
      </c>
    </row>
    <row r="98" spans="3:16">
      <c r="C98" s="97">
        <v>-42</v>
      </c>
      <c r="D98" s="98">
        <v>300485</v>
      </c>
      <c r="E98" s="98">
        <v>279404.5</v>
      </c>
      <c r="G98" s="97">
        <v>-42</v>
      </c>
      <c r="H98" s="97">
        <v>-72496.429999999993</v>
      </c>
      <c r="I98" s="97">
        <v>63787.02</v>
      </c>
      <c r="J98" s="97">
        <v>1369402</v>
      </c>
      <c r="K98" s="97">
        <v>22107.279999999999</v>
      </c>
      <c r="L98" s="39"/>
      <c r="M98" s="97">
        <v>-42</v>
      </c>
      <c r="N98" s="98">
        <v>-53701.06</v>
      </c>
      <c r="O98" s="98">
        <v>1039682.6</v>
      </c>
      <c r="P98" s="98">
        <v>16375.77</v>
      </c>
    </row>
    <row r="99" spans="3:16">
      <c r="C99" s="97">
        <v>-38.799999999999997</v>
      </c>
      <c r="D99" s="98">
        <v>285465.5</v>
      </c>
      <c r="E99" s="98">
        <v>267054.5</v>
      </c>
      <c r="G99" s="97">
        <v>-38.799999999999997</v>
      </c>
      <c r="H99" s="97">
        <v>-72131.55</v>
      </c>
      <c r="I99" s="97">
        <v>63786.46</v>
      </c>
      <c r="J99" s="97">
        <v>1312224</v>
      </c>
      <c r="K99" s="97">
        <v>21059.17</v>
      </c>
      <c r="L99" s="39"/>
      <c r="M99" s="97">
        <v>-38.799999999999997</v>
      </c>
      <c r="N99" s="98">
        <v>-53430.78</v>
      </c>
      <c r="O99" s="98">
        <v>996119.4</v>
      </c>
      <c r="P99" s="98">
        <v>15599.38</v>
      </c>
    </row>
    <row r="100" spans="3:16">
      <c r="C100" s="97">
        <v>-35.299999999999997</v>
      </c>
      <c r="D100" s="98">
        <v>270845</v>
      </c>
      <c r="E100" s="98">
        <v>255075</v>
      </c>
      <c r="G100" s="97">
        <v>-35.299999999999997</v>
      </c>
      <c r="H100" s="97">
        <v>-70536.34</v>
      </c>
      <c r="I100" s="97">
        <v>63785.05</v>
      </c>
      <c r="J100" s="97">
        <v>1255863</v>
      </c>
      <c r="K100" s="97">
        <v>19964.150000000001</v>
      </c>
      <c r="L100" s="39"/>
      <c r="M100" s="97">
        <v>-35.299999999999997</v>
      </c>
      <c r="N100" s="98">
        <v>-52249.14</v>
      </c>
      <c r="O100" s="98">
        <v>953154.4</v>
      </c>
      <c r="P100" s="98">
        <v>14788.26</v>
      </c>
    </row>
    <row r="101" spans="3:16">
      <c r="C101" s="97">
        <v>-31.799999999999997</v>
      </c>
      <c r="D101" s="98">
        <v>258362</v>
      </c>
      <c r="E101" s="98">
        <v>244805.5</v>
      </c>
      <c r="G101" s="97">
        <v>-31.799999999999997</v>
      </c>
      <c r="H101" s="97">
        <v>-68869.399999999994</v>
      </c>
      <c r="I101" s="97">
        <v>63782.91</v>
      </c>
      <c r="J101" s="97">
        <v>1202486</v>
      </c>
      <c r="K101" s="97">
        <v>18548.93</v>
      </c>
      <c r="L101" s="39"/>
      <c r="M101" s="97">
        <v>-31.799999999999997</v>
      </c>
      <c r="N101" s="98">
        <v>-51014.36</v>
      </c>
      <c r="O101" s="98">
        <v>912492.9</v>
      </c>
      <c r="P101" s="98">
        <v>13739.94</v>
      </c>
    </row>
    <row r="102" spans="3:16">
      <c r="C102" s="97">
        <v>-28.299999999999997</v>
      </c>
      <c r="D102" s="98">
        <v>247190</v>
      </c>
      <c r="E102" s="98">
        <v>235581</v>
      </c>
      <c r="G102" s="97">
        <v>-28.299999999999997</v>
      </c>
      <c r="H102" s="97">
        <v>-67288.149999999994</v>
      </c>
      <c r="I102" s="97">
        <v>63780.18</v>
      </c>
      <c r="J102" s="97">
        <v>1152396</v>
      </c>
      <c r="K102" s="97">
        <v>17526.3</v>
      </c>
      <c r="L102" s="39"/>
      <c r="M102" s="97">
        <v>-28.299999999999997</v>
      </c>
      <c r="N102" s="98">
        <v>-49843.07</v>
      </c>
      <c r="O102" s="98">
        <v>874363.4</v>
      </c>
      <c r="P102" s="98">
        <v>12982.45</v>
      </c>
    </row>
    <row r="103" spans="3:16">
      <c r="C103" s="97">
        <v>-24.799999999999997</v>
      </c>
      <c r="D103" s="98">
        <v>238079.5</v>
      </c>
      <c r="E103" s="98">
        <v>228047.5</v>
      </c>
      <c r="G103" s="97">
        <v>-24.799999999999997</v>
      </c>
      <c r="H103" s="97">
        <v>-65809.98</v>
      </c>
      <c r="I103" s="97">
        <v>63777.01</v>
      </c>
      <c r="J103" s="97">
        <v>1106247.6000000001</v>
      </c>
      <c r="K103" s="97">
        <v>16280.36</v>
      </c>
      <c r="L103" s="39"/>
      <c r="M103" s="97">
        <v>-24.799999999999997</v>
      </c>
      <c r="N103" s="98">
        <v>-48748.13</v>
      </c>
      <c r="O103" s="98">
        <v>839242.8</v>
      </c>
      <c r="P103" s="98">
        <v>12059.53</v>
      </c>
    </row>
    <row r="104" spans="3:16">
      <c r="C104" s="97">
        <v>-21.299999999999997</v>
      </c>
      <c r="D104" s="98">
        <v>230204</v>
      </c>
      <c r="E104" s="98">
        <v>221397.5</v>
      </c>
      <c r="G104" s="97">
        <v>-21.299999999999997</v>
      </c>
      <c r="H104" s="97">
        <v>-64328.91</v>
      </c>
      <c r="I104" s="97">
        <v>63773.38</v>
      </c>
      <c r="J104" s="97">
        <v>1066017.1000000001</v>
      </c>
      <c r="K104" s="97">
        <v>15375.61</v>
      </c>
      <c r="L104" s="39"/>
      <c r="M104" s="97">
        <v>-21.299999999999997</v>
      </c>
      <c r="N104" s="98">
        <v>-47651.05</v>
      </c>
      <c r="O104" s="98">
        <v>808577.4</v>
      </c>
      <c r="P104" s="98">
        <v>11389.34</v>
      </c>
    </row>
    <row r="105" spans="3:16">
      <c r="C105" s="97">
        <v>-17.799999999999997</v>
      </c>
      <c r="D105" s="98">
        <v>223497</v>
      </c>
      <c r="E105" s="98">
        <v>215659.5</v>
      </c>
      <c r="G105" s="97">
        <v>-17.799999999999997</v>
      </c>
      <c r="H105" s="97">
        <v>-62946.1</v>
      </c>
      <c r="I105" s="97">
        <v>63769.31</v>
      </c>
      <c r="J105" s="97">
        <v>1028903.7000000001</v>
      </c>
      <c r="K105" s="97">
        <v>14250.12</v>
      </c>
      <c r="L105" s="39"/>
      <c r="M105" s="97">
        <v>-17.799999999999997</v>
      </c>
      <c r="N105" s="98">
        <v>-46626.74</v>
      </c>
      <c r="O105" s="98">
        <v>780311.6</v>
      </c>
      <c r="P105" s="98">
        <v>10555.65</v>
      </c>
    </row>
    <row r="106" spans="3:16">
      <c r="C106" s="97">
        <v>-14.299999999999999</v>
      </c>
      <c r="D106" s="98">
        <v>217863.5</v>
      </c>
      <c r="E106" s="98">
        <v>210672</v>
      </c>
      <c r="G106" s="97">
        <v>-14.299999999999999</v>
      </c>
      <c r="H106" s="97">
        <v>-61495.11</v>
      </c>
      <c r="I106" s="97">
        <v>63764.87</v>
      </c>
      <c r="J106" s="97">
        <v>994119.1</v>
      </c>
      <c r="K106" s="97">
        <v>13416.49</v>
      </c>
      <c r="L106" s="39"/>
      <c r="M106" s="97">
        <v>-14.299999999999999</v>
      </c>
      <c r="N106" s="98">
        <v>-45551.93</v>
      </c>
      <c r="O106" s="98">
        <v>753843.8</v>
      </c>
      <c r="P106" s="98">
        <v>9938.143</v>
      </c>
    </row>
    <row r="107" spans="3:16">
      <c r="C107" s="97">
        <v>-10.799999999999999</v>
      </c>
      <c r="D107" s="98">
        <v>212847.5</v>
      </c>
      <c r="E107" s="98">
        <v>206178.5</v>
      </c>
      <c r="G107" s="97">
        <v>-10.799999999999999</v>
      </c>
      <c r="H107" s="97">
        <v>-60141.599999999999</v>
      </c>
      <c r="I107" s="97">
        <v>63760.15</v>
      </c>
      <c r="J107" s="97">
        <v>961709.3</v>
      </c>
      <c r="K107" s="97">
        <v>12302.17</v>
      </c>
      <c r="L107" s="39"/>
      <c r="M107" s="97">
        <v>-10.799999999999999</v>
      </c>
      <c r="N107" s="98">
        <v>-44549.34</v>
      </c>
      <c r="O107" s="98">
        <v>729202.3</v>
      </c>
      <c r="P107" s="98">
        <v>9112.7199999999993</v>
      </c>
    </row>
    <row r="108" spans="3:16">
      <c r="C108" s="97">
        <v>-7.3000000000000007</v>
      </c>
      <c r="D108" s="98">
        <v>208382.5</v>
      </c>
      <c r="E108" s="98">
        <v>202055.5</v>
      </c>
      <c r="G108" s="97">
        <v>-7.3000000000000007</v>
      </c>
      <c r="H108" s="97">
        <v>-58854.57</v>
      </c>
      <c r="I108" s="97">
        <v>63754.91</v>
      </c>
      <c r="J108" s="97">
        <v>932837</v>
      </c>
      <c r="K108" s="97">
        <v>11425.93</v>
      </c>
      <c r="L108" s="39"/>
      <c r="M108" s="97">
        <v>-7.3000000000000007</v>
      </c>
      <c r="N108" s="98">
        <v>-43595.98</v>
      </c>
      <c r="O108" s="98">
        <v>707244.6</v>
      </c>
      <c r="P108" s="98">
        <v>8463.652</v>
      </c>
    </row>
    <row r="109" spans="3:16">
      <c r="C109" s="97">
        <v>-3.7999999999999976</v>
      </c>
      <c r="D109" s="98">
        <v>203965</v>
      </c>
      <c r="E109" s="98">
        <v>197942</v>
      </c>
      <c r="G109" s="97">
        <v>-3.7999999999999976</v>
      </c>
      <c r="H109" s="97">
        <v>-57356.5</v>
      </c>
      <c r="I109" s="97">
        <v>63749.38</v>
      </c>
      <c r="J109" s="97">
        <v>906885.3</v>
      </c>
      <c r="K109" s="97">
        <v>11168.14</v>
      </c>
      <c r="L109" s="39"/>
      <c r="M109" s="97">
        <v>-3.7999999999999976</v>
      </c>
      <c r="N109" s="98">
        <v>-42486.29</v>
      </c>
      <c r="O109" s="98">
        <v>687506.6</v>
      </c>
      <c r="P109" s="98">
        <v>8272.6980000000003</v>
      </c>
    </row>
    <row r="110" spans="3:16">
      <c r="C110" s="97">
        <v>-0.59999999999999754</v>
      </c>
      <c r="D110" s="98">
        <v>199699.5</v>
      </c>
      <c r="E110" s="98">
        <v>194009</v>
      </c>
      <c r="G110" s="97">
        <v>-0.59999999999999754</v>
      </c>
      <c r="H110" s="97">
        <v>-56049.11</v>
      </c>
      <c r="I110" s="97">
        <v>63744.05</v>
      </c>
      <c r="J110" s="97">
        <v>884568</v>
      </c>
      <c r="K110" s="97">
        <v>11838.44</v>
      </c>
      <c r="L110" s="39"/>
      <c r="M110" s="97">
        <v>-0.59999999999999754</v>
      </c>
      <c r="N110" s="98">
        <v>-41517.86</v>
      </c>
      <c r="O110" s="98">
        <v>670550.6</v>
      </c>
      <c r="P110" s="98">
        <v>8769.2129999999997</v>
      </c>
    </row>
    <row r="111" spans="3:16">
      <c r="C111" s="97">
        <v>2.6000000000000028</v>
      </c>
      <c r="D111" s="98">
        <v>195130</v>
      </c>
      <c r="E111" s="98">
        <v>189753</v>
      </c>
      <c r="G111" s="97">
        <v>2.6000000000000028</v>
      </c>
      <c r="H111" s="97">
        <v>-53455.19</v>
      </c>
      <c r="I111" s="97">
        <v>63738.28</v>
      </c>
      <c r="J111" s="97">
        <v>863442.9</v>
      </c>
      <c r="K111" s="97">
        <v>12159.55</v>
      </c>
      <c r="L111" s="39"/>
      <c r="M111" s="97">
        <v>2.6000000000000028</v>
      </c>
      <c r="N111" s="98">
        <v>-39596.43</v>
      </c>
      <c r="O111" s="98">
        <v>654520.80000000005</v>
      </c>
      <c r="P111" s="98">
        <v>9007.0709999999999</v>
      </c>
    </row>
    <row r="112" spans="3:16">
      <c r="C112" s="97">
        <v>5.8000000000000025</v>
      </c>
      <c r="D112" s="98">
        <v>190446.5</v>
      </c>
      <c r="E112" s="98">
        <v>185392.5</v>
      </c>
      <c r="G112" s="97">
        <v>5.8000000000000025</v>
      </c>
      <c r="H112" s="97">
        <v>-51357.09</v>
      </c>
      <c r="I112" s="97">
        <v>63733.01</v>
      </c>
      <c r="J112" s="97">
        <v>843020.80000000005</v>
      </c>
      <c r="K112" s="97">
        <v>12569.77</v>
      </c>
      <c r="L112" s="39"/>
      <c r="M112" s="97">
        <v>5.8000000000000025</v>
      </c>
      <c r="N112" s="98">
        <v>-38042.29</v>
      </c>
      <c r="O112" s="98">
        <v>639032.80000000005</v>
      </c>
      <c r="P112" s="98">
        <v>9310.9380000000001</v>
      </c>
    </row>
    <row r="113" spans="3:16">
      <c r="C113" s="97">
        <v>8.8000000000000025</v>
      </c>
      <c r="D113" s="98">
        <v>186380.5</v>
      </c>
      <c r="E113" s="98">
        <v>181554.5</v>
      </c>
      <c r="G113" s="97">
        <v>8.8000000000000025</v>
      </c>
      <c r="H113" s="97">
        <v>-50526.82</v>
      </c>
      <c r="I113" s="97">
        <v>63728.3</v>
      </c>
      <c r="J113" s="97">
        <v>824217.10000000009</v>
      </c>
      <c r="K113" s="97">
        <v>12534.5</v>
      </c>
      <c r="L113" s="39"/>
      <c r="M113" s="97">
        <v>8.8000000000000025</v>
      </c>
      <c r="N113" s="98">
        <v>-37427.269999999997</v>
      </c>
      <c r="O113" s="98">
        <v>624780.69999999995</v>
      </c>
      <c r="P113" s="98">
        <v>9284.8179999999993</v>
      </c>
    </row>
    <row r="114" spans="3:16">
      <c r="C114" s="97">
        <v>11.800000000000002</v>
      </c>
      <c r="D114" s="98">
        <v>182476</v>
      </c>
      <c r="E114" s="98">
        <v>177802</v>
      </c>
      <c r="G114" s="97">
        <v>11.800000000000002</v>
      </c>
      <c r="H114" s="97">
        <v>-49737.18</v>
      </c>
      <c r="I114" s="97">
        <v>63723.32</v>
      </c>
      <c r="J114" s="97">
        <v>805875.5</v>
      </c>
      <c r="K114" s="97">
        <v>8873.7939999999999</v>
      </c>
      <c r="L114" s="39"/>
      <c r="M114" s="97">
        <v>11.800000000000002</v>
      </c>
      <c r="N114" s="98">
        <v>-36842.36</v>
      </c>
      <c r="O114" s="98">
        <v>610874.6</v>
      </c>
      <c r="P114" s="98">
        <v>6573.1809999999996</v>
      </c>
    </row>
    <row r="115" spans="3:16">
      <c r="C115" s="97">
        <v>15.000000000000002</v>
      </c>
      <c r="D115" s="98">
        <v>178638</v>
      </c>
      <c r="E115" s="98">
        <v>173973.5</v>
      </c>
      <c r="G115" s="97">
        <v>15.000000000000002</v>
      </c>
      <c r="H115" s="97">
        <v>-48825.5</v>
      </c>
      <c r="I115" s="97">
        <v>63717.48</v>
      </c>
      <c r="J115" s="97">
        <v>786367.20000000007</v>
      </c>
      <c r="K115" s="97">
        <v>6032.4830000000002</v>
      </c>
      <c r="L115" s="39"/>
      <c r="M115" s="97">
        <v>15.000000000000002</v>
      </c>
      <c r="N115" s="98">
        <v>-36167.040000000001</v>
      </c>
      <c r="O115" s="98">
        <v>596085.5</v>
      </c>
      <c r="P115" s="98">
        <v>4468.5060000000003</v>
      </c>
    </row>
    <row r="116" spans="3:16">
      <c r="C116" s="97">
        <v>18.200000000000003</v>
      </c>
      <c r="D116" s="98">
        <v>175075.5</v>
      </c>
      <c r="E116" s="98">
        <v>170382.5</v>
      </c>
      <c r="G116" s="97">
        <v>18.200000000000003</v>
      </c>
      <c r="H116" s="97">
        <v>-47855.199999999997</v>
      </c>
      <c r="I116" s="97">
        <v>63710.2</v>
      </c>
      <c r="J116" s="97">
        <v>766949.7</v>
      </c>
      <c r="K116" s="97">
        <v>5993.6890000000003</v>
      </c>
      <c r="L116" s="39"/>
      <c r="M116" s="97">
        <v>18.200000000000003</v>
      </c>
      <c r="N116" s="98">
        <v>-35448.300000000003</v>
      </c>
      <c r="O116" s="98">
        <v>581369.4</v>
      </c>
      <c r="P116" s="98">
        <v>4439.7700000000004</v>
      </c>
    </row>
    <row r="117" spans="3:16">
      <c r="C117" s="97">
        <v>21.47</v>
      </c>
      <c r="D117" s="98">
        <v>171608</v>
      </c>
      <c r="E117" s="98">
        <v>166763</v>
      </c>
      <c r="G117" s="97">
        <v>21.47</v>
      </c>
      <c r="H117" s="97">
        <v>-46522.83</v>
      </c>
      <c r="I117" s="97">
        <v>63702.2</v>
      </c>
      <c r="J117" s="97">
        <v>747106.8</v>
      </c>
      <c r="K117" s="97">
        <v>5940.7359999999999</v>
      </c>
      <c r="L117" s="39"/>
      <c r="M117" s="97">
        <v>21.47</v>
      </c>
      <c r="N117" s="98">
        <v>-34461.360000000001</v>
      </c>
      <c r="O117" s="98">
        <v>566318</v>
      </c>
      <c r="P117" s="98">
        <v>4400.5460000000003</v>
      </c>
    </row>
  </sheetData>
  <sheetProtection sheet="1" objects="1" scenarios="1"/>
  <sortState xmlns:xlrd2="http://schemas.microsoft.com/office/spreadsheetml/2017/richdata2" ref="M5:P117">
    <sortCondition ref="M5:M117"/>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591</v>
      </c>
      <c r="F2" s="35" t="s">
        <v>590</v>
      </c>
      <c r="M2" s="35" t="s">
        <v>588</v>
      </c>
    </row>
    <row r="3" spans="2:16">
      <c r="B3" t="s">
        <v>452</v>
      </c>
      <c r="C3" t="s">
        <v>450</v>
      </c>
      <c r="D3" t="s">
        <v>451</v>
      </c>
      <c r="F3" t="s">
        <v>454</v>
      </c>
      <c r="M3" t="s">
        <v>256</v>
      </c>
      <c r="N3" t="s">
        <v>145</v>
      </c>
      <c r="O3" t="s">
        <v>170</v>
      </c>
      <c r="P3" t="str">
        <f>Control!F39</f>
        <v>EC</v>
      </c>
    </row>
    <row r="4" spans="2:16">
      <c r="B4" t="s">
        <v>49</v>
      </c>
      <c r="C4" t="s">
        <v>193</v>
      </c>
      <c r="D4" t="s">
        <v>49</v>
      </c>
      <c r="F4" s="110"/>
      <c r="G4" s="110"/>
      <c r="M4" t="s">
        <v>149</v>
      </c>
      <c r="N4" t="s">
        <v>146</v>
      </c>
      <c r="O4" t="s">
        <v>71</v>
      </c>
      <c r="P4" t="s">
        <v>149</v>
      </c>
    </row>
    <row r="5" spans="2:16">
      <c r="B5" t="s">
        <v>263</v>
      </c>
      <c r="C5" t="s">
        <v>192</v>
      </c>
      <c r="D5" t="s">
        <v>530</v>
      </c>
      <c r="N5" t="s">
        <v>138</v>
      </c>
    </row>
    <row r="6" spans="2:16">
      <c r="B6" t="s">
        <v>36</v>
      </c>
      <c r="D6" t="s">
        <v>442</v>
      </c>
      <c r="F6" t="s">
        <v>453</v>
      </c>
    </row>
    <row r="7" spans="2:16">
      <c r="B7" t="s">
        <v>262</v>
      </c>
      <c r="D7" t="s">
        <v>531</v>
      </c>
      <c r="F7" s="116"/>
      <c r="G7" s="116"/>
    </row>
    <row r="8" spans="2:16">
      <c r="D8" t="s">
        <v>36</v>
      </c>
    </row>
    <row r="9" spans="2:16">
      <c r="F9" t="s">
        <v>580</v>
      </c>
    </row>
    <row r="10" spans="2:16">
      <c r="F10" s="116"/>
    </row>
  </sheetData>
  <conditionalFormatting sqref="F10">
    <cfRule type="expression" dxfId="26"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484</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485</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486</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487</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488</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489</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490</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491</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492</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493</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494</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495</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496</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topLeftCell="A19" workbookViewId="0">
      <selection activeCell="B71" sqref="B71:E71"/>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354</v>
      </c>
      <c r="L4" s="289" t="s">
        <v>355</v>
      </c>
      <c r="M4" s="290"/>
      <c r="N4" s="291"/>
      <c r="O4" s="52" t="s">
        <v>356</v>
      </c>
      <c r="P4" s="53">
        <v>0</v>
      </c>
      <c r="Q4" s="99"/>
      <c r="R4" s="99"/>
      <c r="S4" s="99"/>
    </row>
    <row r="5" spans="1:23">
      <c r="B5" s="52"/>
      <c r="C5" s="52" t="s">
        <v>357</v>
      </c>
      <c r="D5" s="52" t="s">
        <v>357</v>
      </c>
      <c r="E5" s="52" t="s">
        <v>9</v>
      </c>
      <c r="F5" s="52" t="s">
        <v>9</v>
      </c>
      <c r="G5" s="52" t="s">
        <v>10</v>
      </c>
      <c r="H5" s="52" t="s">
        <v>9</v>
      </c>
      <c r="I5" s="52" t="s">
        <v>11</v>
      </c>
      <c r="J5" s="52" t="s">
        <v>12</v>
      </c>
      <c r="K5" s="52" t="s">
        <v>358</v>
      </c>
      <c r="L5" s="52" t="s">
        <v>359</v>
      </c>
      <c r="M5" s="52" t="s">
        <v>360</v>
      </c>
      <c r="N5" s="52" t="s">
        <v>361</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362</v>
      </c>
      <c r="R7" s="282"/>
      <c r="S7" s="99"/>
    </row>
    <row r="8" spans="1:23">
      <c r="A8" s="39"/>
      <c r="B8" s="100"/>
      <c r="C8" s="100"/>
      <c r="D8" s="100"/>
      <c r="E8" s="100"/>
      <c r="F8" s="100"/>
      <c r="G8" s="100"/>
      <c r="H8" s="100"/>
      <c r="I8" s="100"/>
      <c r="J8" s="100"/>
      <c r="K8" s="100"/>
      <c r="L8" s="100"/>
      <c r="M8" s="100"/>
      <c r="N8" s="100"/>
      <c r="P8" s="99"/>
      <c r="Q8" s="52" t="s">
        <v>363</v>
      </c>
      <c r="R8" s="44">
        <v>-1</v>
      </c>
      <c r="S8" s="99"/>
    </row>
    <row r="9" spans="1:23">
      <c r="A9" s="39"/>
      <c r="B9" s="100"/>
      <c r="C9" s="100"/>
      <c r="D9" s="100"/>
      <c r="E9" s="100"/>
      <c r="F9" s="100"/>
      <c r="G9" s="100"/>
      <c r="H9" s="100"/>
      <c r="I9" s="100"/>
      <c r="J9" s="100"/>
      <c r="K9" s="100"/>
      <c r="L9" s="100"/>
      <c r="M9" s="100"/>
      <c r="N9" s="100"/>
      <c r="P9" s="99"/>
      <c r="Q9" s="52" t="s">
        <v>364</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365</v>
      </c>
      <c r="R11" s="292"/>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407</v>
      </c>
      <c r="M16" s="283">
        <v>460</v>
      </c>
      <c r="N16" s="285"/>
      <c r="Q16" s="295"/>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366</v>
      </c>
      <c r="M18" s="282"/>
      <c r="N18" s="282"/>
      <c r="Q18" s="298"/>
      <c r="R18" s="299"/>
      <c r="S18" s="299"/>
      <c r="T18" s="299"/>
      <c r="U18" s="300"/>
      <c r="V18" s="99"/>
      <c r="W18" s="99"/>
    </row>
    <row r="19" spans="1:23">
      <c r="A19" s="39"/>
      <c r="B19" s="100"/>
      <c r="C19" s="100"/>
      <c r="D19" s="100"/>
      <c r="E19" s="100"/>
      <c r="F19" s="100"/>
      <c r="G19" s="100"/>
      <c r="H19" s="100"/>
      <c r="I19" s="100"/>
      <c r="J19" s="100"/>
      <c r="K19" s="100"/>
      <c r="L19" s="52" t="s">
        <v>367</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368</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369</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370</v>
      </c>
      <c r="M22" s="282"/>
      <c r="N22" s="282"/>
      <c r="Q22" s="298"/>
      <c r="R22" s="299"/>
      <c r="S22" s="299"/>
      <c r="T22" s="299"/>
      <c r="U22" s="300"/>
      <c r="V22" s="99"/>
      <c r="W22" s="99"/>
    </row>
    <row r="23" spans="1:23">
      <c r="A23" s="39"/>
      <c r="B23" s="100"/>
      <c r="C23" s="100"/>
      <c r="D23" s="100"/>
      <c r="E23" s="100"/>
      <c r="F23" s="100"/>
      <c r="G23" s="100"/>
      <c r="H23" s="100"/>
      <c r="I23" s="100"/>
      <c r="J23" s="100"/>
      <c r="K23" s="100"/>
      <c r="L23" s="52" t="s">
        <v>368</v>
      </c>
      <c r="M23" s="52" t="s">
        <v>9</v>
      </c>
      <c r="N23" s="52" t="s">
        <v>371</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372</v>
      </c>
      <c r="M33" s="282"/>
      <c r="N33" s="282"/>
      <c r="Q33" s="298"/>
      <c r="R33" s="299"/>
      <c r="S33" s="299"/>
      <c r="T33" s="299"/>
      <c r="U33" s="300"/>
      <c r="V33" s="99"/>
      <c r="W33" s="99"/>
    </row>
    <row r="34" spans="1:23">
      <c r="A34" s="39"/>
      <c r="B34" s="100"/>
      <c r="C34" s="100"/>
      <c r="D34" s="100"/>
      <c r="E34" s="100"/>
      <c r="F34" s="100"/>
      <c r="G34" s="100"/>
      <c r="H34" s="100"/>
      <c r="I34" s="100"/>
      <c r="J34" s="100"/>
      <c r="K34" s="100"/>
      <c r="L34" s="52" t="s">
        <v>373</v>
      </c>
      <c r="M34" s="52" t="s">
        <v>374</v>
      </c>
      <c r="N34" s="52" t="s">
        <v>375</v>
      </c>
      <c r="Q34" s="298"/>
      <c r="R34" s="299"/>
      <c r="S34" s="299"/>
      <c r="T34" s="299"/>
      <c r="U34" s="300"/>
      <c r="V34" s="99"/>
      <c r="W34" s="99"/>
    </row>
    <row r="35" spans="1:23">
      <c r="B35" s="100"/>
      <c r="C35" s="100"/>
      <c r="D35" s="100"/>
      <c r="E35" s="100"/>
      <c r="F35" s="100"/>
      <c r="G35" s="100"/>
      <c r="H35" s="100"/>
      <c r="I35" s="100"/>
      <c r="J35" s="100"/>
      <c r="K35" s="100"/>
      <c r="L35" s="53" t="s">
        <v>376</v>
      </c>
      <c r="M35" s="53" t="s">
        <v>377</v>
      </c>
      <c r="N35" s="53">
        <v>7850</v>
      </c>
      <c r="Q35" s="298"/>
      <c r="R35" s="299"/>
      <c r="S35" s="299"/>
      <c r="T35" s="299"/>
      <c r="U35" s="300"/>
    </row>
    <row r="36" spans="1:23">
      <c r="B36" s="100"/>
      <c r="C36" s="100"/>
      <c r="D36" s="100"/>
      <c r="E36" s="100"/>
      <c r="F36" s="100"/>
      <c r="G36" s="100"/>
      <c r="H36" s="100"/>
      <c r="I36" s="100"/>
      <c r="J36" s="100"/>
      <c r="K36" s="100"/>
      <c r="L36" s="53" t="s">
        <v>378</v>
      </c>
      <c r="M36" s="53" t="s">
        <v>379</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380</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305</v>
      </c>
      <c r="M41" s="282"/>
      <c r="N41" s="282"/>
      <c r="O41" s="35"/>
    </row>
    <row r="42" spans="1:23">
      <c r="B42" s="100"/>
      <c r="C42" s="100"/>
      <c r="D42" s="100"/>
      <c r="E42" s="100"/>
      <c r="F42" s="100"/>
      <c r="G42" s="100"/>
      <c r="H42" s="100"/>
      <c r="I42" s="100"/>
      <c r="J42" s="100"/>
      <c r="K42" s="100"/>
      <c r="L42" s="52" t="s">
        <v>381</v>
      </c>
      <c r="M42" s="52" t="s">
        <v>382</v>
      </c>
      <c r="N42" s="52" t="s">
        <v>383</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384</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385</v>
      </c>
      <c r="M54" s="53" t="s">
        <v>402</v>
      </c>
      <c r="Q54" s="278"/>
      <c r="R54" s="279"/>
      <c r="S54" s="279"/>
      <c r="T54" s="279"/>
      <c r="U54" s="280"/>
    </row>
    <row r="55" spans="2:21">
      <c r="B55" s="100"/>
      <c r="C55" s="100"/>
      <c r="D55" s="100"/>
      <c r="E55" s="100"/>
      <c r="F55" s="100"/>
      <c r="G55" s="100"/>
      <c r="H55" s="100"/>
      <c r="I55" s="100"/>
      <c r="J55" s="100"/>
      <c r="K55" s="100"/>
      <c r="L55" s="95" t="s">
        <v>387</v>
      </c>
      <c r="M55" s="53" t="s">
        <v>402</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388</v>
      </c>
      <c r="M58" s="281"/>
      <c r="N58" s="281"/>
      <c r="O58" s="255"/>
    </row>
    <row r="59" spans="2:21">
      <c r="B59" s="100"/>
      <c r="C59" s="100"/>
      <c r="D59" s="100"/>
      <c r="E59" s="100"/>
      <c r="F59" s="100"/>
      <c r="G59" s="100"/>
      <c r="H59" s="100"/>
      <c r="I59" s="100"/>
      <c r="J59" s="100"/>
      <c r="K59" s="100"/>
      <c r="L59" s="95" t="s">
        <v>389</v>
      </c>
      <c r="M59" s="95" t="s">
        <v>390</v>
      </c>
      <c r="N59" s="95" t="s">
        <v>391</v>
      </c>
      <c r="O59" s="95" t="s">
        <v>392</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82" t="s">
        <v>393</v>
      </c>
      <c r="C70" s="282"/>
      <c r="D70" s="282"/>
      <c r="E70" s="282"/>
      <c r="F70" s="282" t="s">
        <v>394</v>
      </c>
      <c r="G70" s="282"/>
      <c r="H70" s="282"/>
      <c r="I70" s="282"/>
      <c r="J70" s="282" t="s">
        <v>395</v>
      </c>
      <c r="K70" s="282"/>
      <c r="L70" s="104" t="s">
        <v>396</v>
      </c>
      <c r="M70" s="283"/>
      <c r="N70" s="285"/>
    </row>
    <row r="71" spans="2:23">
      <c r="B71" s="283" t="s">
        <v>629</v>
      </c>
      <c r="C71" s="284"/>
      <c r="D71" s="284"/>
      <c r="E71" s="285"/>
      <c r="F71" s="286"/>
      <c r="G71" s="287"/>
      <c r="H71" s="287"/>
      <c r="I71" s="288"/>
      <c r="J71" s="286" t="s">
        <v>624</v>
      </c>
      <c r="K71" s="288"/>
    </row>
    <row r="72" spans="2:23">
      <c r="B72" s="283" t="s">
        <v>628</v>
      </c>
      <c r="C72" s="284"/>
      <c r="D72" s="284"/>
      <c r="E72" s="285"/>
      <c r="F72" s="283"/>
      <c r="G72" s="284"/>
      <c r="H72" s="284"/>
      <c r="I72" s="285"/>
      <c r="J72" s="55"/>
    </row>
    <row r="73" spans="2:23">
      <c r="B73" s="283" t="s">
        <v>625</v>
      </c>
      <c r="C73" s="284"/>
      <c r="D73" s="284"/>
      <c r="E73" s="285"/>
      <c r="F73" s="102"/>
      <c r="G73" s="102"/>
      <c r="H73" s="102"/>
      <c r="I73" s="102"/>
      <c r="J73" s="55"/>
    </row>
    <row r="75" spans="2:23">
      <c r="B75" s="282" t="s">
        <v>397</v>
      </c>
      <c r="C75" s="282"/>
      <c r="D75" s="100" t="s">
        <v>408</v>
      </c>
      <c r="F75" s="282" t="s">
        <v>399</v>
      </c>
      <c r="G75" s="282"/>
      <c r="H75" s="282"/>
      <c r="I75" s="282"/>
      <c r="J75" s="53" t="s">
        <v>400</v>
      </c>
    </row>
    <row r="77" spans="2:23">
      <c r="B77" s="282" t="s">
        <v>401</v>
      </c>
      <c r="C77" s="282"/>
      <c r="D77" s="53" t="s">
        <v>402</v>
      </c>
      <c r="F77" s="282" t="s">
        <v>403</v>
      </c>
      <c r="G77" s="282"/>
      <c r="H77" s="282"/>
      <c r="I77" s="254"/>
      <c r="J77" s="105"/>
      <c r="K77" s="106"/>
      <c r="L77" s="106"/>
      <c r="M77" s="106"/>
      <c r="N77" s="107"/>
    </row>
    <row r="78" spans="2:23">
      <c r="W78" s="6"/>
    </row>
    <row r="79" spans="2:23">
      <c r="B79" s="282" t="s">
        <v>404</v>
      </c>
      <c r="C79" s="282"/>
      <c r="D79" s="53" t="s">
        <v>405</v>
      </c>
    </row>
    <row r="80" spans="2:23">
      <c r="J80" s="55"/>
    </row>
    <row r="81" spans="2:10">
      <c r="B81" s="282" t="s">
        <v>406</v>
      </c>
      <c r="C81" s="282"/>
      <c r="D81" s="252"/>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topLeftCell="A16" workbookViewId="0">
      <selection activeCell="B71" sqref="B71:E71"/>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354</v>
      </c>
      <c r="L4" s="289" t="s">
        <v>355</v>
      </c>
      <c r="M4" s="290"/>
      <c r="N4" s="291"/>
      <c r="O4" s="52" t="s">
        <v>356</v>
      </c>
      <c r="P4" s="53">
        <v>0</v>
      </c>
      <c r="Q4" s="99"/>
      <c r="R4" s="99"/>
      <c r="S4" s="99"/>
    </row>
    <row r="5" spans="1:23">
      <c r="B5" s="52"/>
      <c r="C5" s="52" t="s">
        <v>357</v>
      </c>
      <c r="D5" s="52" t="s">
        <v>357</v>
      </c>
      <c r="E5" s="52" t="s">
        <v>9</v>
      </c>
      <c r="F5" s="52" t="s">
        <v>9</v>
      </c>
      <c r="G5" s="52" t="s">
        <v>10</v>
      </c>
      <c r="H5" s="52" t="s">
        <v>9</v>
      </c>
      <c r="I5" s="52" t="s">
        <v>11</v>
      </c>
      <c r="J5" s="52" t="s">
        <v>12</v>
      </c>
      <c r="K5" s="52" t="s">
        <v>358</v>
      </c>
      <c r="L5" s="52" t="s">
        <v>359</v>
      </c>
      <c r="M5" s="52" t="s">
        <v>360</v>
      </c>
      <c r="N5" s="52" t="s">
        <v>361</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82" t="s">
        <v>362</v>
      </c>
      <c r="R7" s="282"/>
      <c r="S7" s="99"/>
    </row>
    <row r="8" spans="1:23">
      <c r="A8" s="39"/>
      <c r="B8" s="100"/>
      <c r="C8" s="100"/>
      <c r="D8" s="100"/>
      <c r="E8" s="100"/>
      <c r="F8" s="100"/>
      <c r="G8" s="100"/>
      <c r="H8" s="100"/>
      <c r="I8" s="100"/>
      <c r="J8" s="100"/>
      <c r="K8" s="100"/>
      <c r="L8" s="100"/>
      <c r="M8" s="100"/>
      <c r="N8" s="100"/>
      <c r="P8" s="99"/>
      <c r="Q8" s="52" t="s">
        <v>363</v>
      </c>
      <c r="R8" s="44">
        <v>-1</v>
      </c>
      <c r="S8" s="99"/>
    </row>
    <row r="9" spans="1:23">
      <c r="A9" s="39"/>
      <c r="B9" s="100"/>
      <c r="C9" s="100"/>
      <c r="D9" s="100"/>
      <c r="E9" s="100"/>
      <c r="F9" s="100"/>
      <c r="G9" s="100"/>
      <c r="H9" s="100"/>
      <c r="I9" s="100"/>
      <c r="J9" s="100"/>
      <c r="K9" s="100"/>
      <c r="L9" s="100"/>
      <c r="M9" s="100"/>
      <c r="N9" s="100"/>
      <c r="P9" s="99"/>
      <c r="Q9" s="52" t="s">
        <v>364</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365</v>
      </c>
      <c r="R11" s="292"/>
      <c r="S11" s="293"/>
      <c r="T11" s="293"/>
      <c r="U11" s="293"/>
      <c r="V11" s="294"/>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407</v>
      </c>
      <c r="M16" s="283">
        <v>460</v>
      </c>
      <c r="N16" s="285"/>
      <c r="Q16" s="295"/>
      <c r="R16" s="296"/>
      <c r="S16" s="296"/>
      <c r="T16" s="296"/>
      <c r="U16" s="297"/>
      <c r="V16" s="99"/>
      <c r="W16" s="99"/>
    </row>
    <row r="17" spans="1:23">
      <c r="A17" s="39"/>
      <c r="B17" s="100"/>
      <c r="C17" s="100"/>
      <c r="D17" s="100"/>
      <c r="E17" s="100"/>
      <c r="F17" s="100"/>
      <c r="G17" s="100"/>
      <c r="H17" s="100"/>
      <c r="I17" s="100"/>
      <c r="J17" s="100"/>
      <c r="K17" s="100"/>
      <c r="Q17" s="298"/>
      <c r="R17" s="299"/>
      <c r="S17" s="299"/>
      <c r="T17" s="299"/>
      <c r="U17" s="300"/>
      <c r="V17" s="99"/>
      <c r="W17" s="99"/>
    </row>
    <row r="18" spans="1:23">
      <c r="A18" s="39"/>
      <c r="B18" s="100"/>
      <c r="C18" s="100"/>
      <c r="D18" s="100"/>
      <c r="E18" s="100"/>
      <c r="F18" s="100"/>
      <c r="G18" s="100"/>
      <c r="H18" s="100"/>
      <c r="I18" s="100"/>
      <c r="J18" s="100"/>
      <c r="K18" s="100"/>
      <c r="L18" s="282" t="s">
        <v>366</v>
      </c>
      <c r="M18" s="282"/>
      <c r="N18" s="282"/>
      <c r="Q18" s="298"/>
      <c r="R18" s="299"/>
      <c r="S18" s="299"/>
      <c r="T18" s="299"/>
      <c r="U18" s="300"/>
      <c r="V18" s="99"/>
      <c r="W18" s="99"/>
    </row>
    <row r="19" spans="1:23">
      <c r="A19" s="39"/>
      <c r="B19" s="100"/>
      <c r="C19" s="100"/>
      <c r="D19" s="100"/>
      <c r="E19" s="100"/>
      <c r="F19" s="100"/>
      <c r="G19" s="100"/>
      <c r="H19" s="100"/>
      <c r="I19" s="100"/>
      <c r="J19" s="100"/>
      <c r="K19" s="100"/>
      <c r="L19" s="52" t="s">
        <v>367</v>
      </c>
      <c r="M19" s="304"/>
      <c r="N19" s="304"/>
      <c r="O19" s="101"/>
      <c r="Q19" s="298"/>
      <c r="R19" s="299"/>
      <c r="S19" s="299"/>
      <c r="T19" s="299"/>
      <c r="U19" s="300"/>
      <c r="V19" s="99"/>
      <c r="W19" s="99"/>
    </row>
    <row r="20" spans="1:23">
      <c r="A20" s="39"/>
      <c r="B20" s="100"/>
      <c r="C20" s="100"/>
      <c r="D20" s="100"/>
      <c r="E20" s="100"/>
      <c r="F20" s="100"/>
      <c r="G20" s="100"/>
      <c r="H20" s="100"/>
      <c r="I20" s="100"/>
      <c r="J20" s="100"/>
      <c r="K20" s="100"/>
      <c r="L20" s="52" t="s">
        <v>368</v>
      </c>
      <c r="M20" s="282" t="s">
        <v>9</v>
      </c>
      <c r="N20" s="282"/>
      <c r="O20" s="101"/>
      <c r="Q20" s="298"/>
      <c r="R20" s="299"/>
      <c r="S20" s="299"/>
      <c r="T20" s="299"/>
      <c r="U20" s="300"/>
      <c r="V20" s="99"/>
      <c r="W20" s="99"/>
    </row>
    <row r="21" spans="1:23">
      <c r="A21" s="39"/>
      <c r="B21" s="100"/>
      <c r="C21" s="100"/>
      <c r="D21" s="100"/>
      <c r="E21" s="100"/>
      <c r="F21" s="100"/>
      <c r="G21" s="100"/>
      <c r="H21" s="100"/>
      <c r="I21" s="100"/>
      <c r="J21" s="100"/>
      <c r="K21" s="100"/>
      <c r="L21" s="52" t="s">
        <v>369</v>
      </c>
      <c r="M21" s="304"/>
      <c r="N21" s="304"/>
      <c r="O21" s="101"/>
      <c r="Q21" s="298"/>
      <c r="R21" s="299"/>
      <c r="S21" s="299"/>
      <c r="T21" s="299"/>
      <c r="U21" s="300"/>
      <c r="V21" s="99"/>
      <c r="W21" s="99"/>
    </row>
    <row r="22" spans="1:23">
      <c r="A22" s="39"/>
      <c r="B22" s="100"/>
      <c r="C22" s="100"/>
      <c r="D22" s="100"/>
      <c r="E22" s="100"/>
      <c r="F22" s="100"/>
      <c r="G22" s="100"/>
      <c r="H22" s="100"/>
      <c r="I22" s="100"/>
      <c r="J22" s="100"/>
      <c r="K22" s="100"/>
      <c r="L22" s="282" t="s">
        <v>370</v>
      </c>
      <c r="M22" s="282"/>
      <c r="N22" s="282"/>
      <c r="Q22" s="298"/>
      <c r="R22" s="299"/>
      <c r="S22" s="299"/>
      <c r="T22" s="299"/>
      <c r="U22" s="300"/>
      <c r="V22" s="99"/>
      <c r="W22" s="99"/>
    </row>
    <row r="23" spans="1:23">
      <c r="A23" s="39"/>
      <c r="B23" s="100"/>
      <c r="C23" s="100"/>
      <c r="D23" s="100"/>
      <c r="E23" s="100"/>
      <c r="F23" s="100"/>
      <c r="G23" s="100"/>
      <c r="H23" s="100"/>
      <c r="I23" s="100"/>
      <c r="J23" s="100"/>
      <c r="K23" s="100"/>
      <c r="L23" s="52" t="s">
        <v>368</v>
      </c>
      <c r="M23" s="52" t="s">
        <v>9</v>
      </c>
      <c r="N23" s="52" t="s">
        <v>371</v>
      </c>
      <c r="Q23" s="298"/>
      <c r="R23" s="299"/>
      <c r="S23" s="299"/>
      <c r="T23" s="299"/>
      <c r="U23" s="300"/>
      <c r="V23" s="99"/>
      <c r="W23" s="99"/>
    </row>
    <row r="24" spans="1:23">
      <c r="A24" s="39"/>
      <c r="B24" s="100"/>
      <c r="C24" s="100"/>
      <c r="D24" s="100"/>
      <c r="E24" s="100"/>
      <c r="F24" s="100"/>
      <c r="G24" s="100"/>
      <c r="H24" s="100"/>
      <c r="I24" s="100"/>
      <c r="J24" s="100"/>
      <c r="K24" s="100"/>
      <c r="L24" s="53"/>
      <c r="M24" s="53"/>
      <c r="N24" s="53"/>
      <c r="Q24" s="298"/>
      <c r="R24" s="299"/>
      <c r="S24" s="299"/>
      <c r="T24" s="299"/>
      <c r="U24" s="300"/>
      <c r="V24" s="99"/>
      <c r="W24" s="99"/>
    </row>
    <row r="25" spans="1:23">
      <c r="A25" s="39"/>
      <c r="B25" s="100"/>
      <c r="C25" s="100"/>
      <c r="D25" s="100"/>
      <c r="E25" s="100"/>
      <c r="F25" s="100"/>
      <c r="G25" s="100"/>
      <c r="H25" s="100"/>
      <c r="I25" s="100"/>
      <c r="J25" s="100"/>
      <c r="K25" s="100"/>
      <c r="L25" s="53"/>
      <c r="M25" s="53"/>
      <c r="N25" s="53"/>
      <c r="Q25" s="298"/>
      <c r="R25" s="299"/>
      <c r="S25" s="299"/>
      <c r="T25" s="299"/>
      <c r="U25" s="300"/>
      <c r="V25" s="99"/>
      <c r="W25" s="99"/>
    </row>
    <row r="26" spans="1:23">
      <c r="A26" s="39"/>
      <c r="B26" s="100"/>
      <c r="C26" s="100"/>
      <c r="D26" s="100"/>
      <c r="E26" s="100"/>
      <c r="F26" s="100"/>
      <c r="G26" s="100"/>
      <c r="H26" s="100"/>
      <c r="I26" s="100"/>
      <c r="J26" s="100"/>
      <c r="K26" s="100"/>
      <c r="L26" s="53"/>
      <c r="M26" s="53"/>
      <c r="N26" s="53"/>
      <c r="Q26" s="298"/>
      <c r="R26" s="299"/>
      <c r="S26" s="299"/>
      <c r="T26" s="299"/>
      <c r="U26" s="300"/>
      <c r="V26" s="99"/>
      <c r="W26" s="99"/>
    </row>
    <row r="27" spans="1:23">
      <c r="A27" s="39"/>
      <c r="B27" s="100"/>
      <c r="C27" s="100"/>
      <c r="D27" s="100"/>
      <c r="E27" s="100"/>
      <c r="F27" s="100"/>
      <c r="G27" s="100"/>
      <c r="H27" s="100"/>
      <c r="I27" s="100"/>
      <c r="J27" s="100"/>
      <c r="K27" s="100"/>
      <c r="L27" s="53"/>
      <c r="M27" s="53"/>
      <c r="N27" s="53"/>
      <c r="Q27" s="298"/>
      <c r="R27" s="299"/>
      <c r="S27" s="299"/>
      <c r="T27" s="299"/>
      <c r="U27" s="300"/>
      <c r="V27" s="99"/>
      <c r="W27" s="99"/>
    </row>
    <row r="28" spans="1:23">
      <c r="A28" s="39"/>
      <c r="B28" s="100"/>
      <c r="C28" s="100"/>
      <c r="D28" s="100"/>
      <c r="E28" s="100"/>
      <c r="F28" s="100"/>
      <c r="G28" s="100"/>
      <c r="H28" s="100"/>
      <c r="I28" s="100"/>
      <c r="J28" s="100"/>
      <c r="K28" s="100"/>
      <c r="L28" s="53"/>
      <c r="M28" s="53"/>
      <c r="N28" s="53"/>
      <c r="Q28" s="298"/>
      <c r="R28" s="299"/>
      <c r="S28" s="299"/>
      <c r="T28" s="299"/>
      <c r="U28" s="300"/>
      <c r="V28" s="99"/>
      <c r="W28" s="99"/>
    </row>
    <row r="29" spans="1:23">
      <c r="A29" s="39"/>
      <c r="B29" s="100"/>
      <c r="C29" s="100"/>
      <c r="D29" s="100"/>
      <c r="E29" s="100"/>
      <c r="F29" s="100"/>
      <c r="G29" s="100"/>
      <c r="H29" s="100"/>
      <c r="I29" s="100"/>
      <c r="J29" s="100"/>
      <c r="K29" s="100"/>
      <c r="L29" s="53"/>
      <c r="M29" s="53"/>
      <c r="N29" s="53"/>
      <c r="Q29" s="298"/>
      <c r="R29" s="299"/>
      <c r="S29" s="299"/>
      <c r="T29" s="299"/>
      <c r="U29" s="300"/>
      <c r="V29" s="99"/>
      <c r="W29" s="99"/>
    </row>
    <row r="30" spans="1:23">
      <c r="A30" s="39"/>
      <c r="B30" s="100"/>
      <c r="C30" s="100"/>
      <c r="D30" s="100"/>
      <c r="E30" s="100"/>
      <c r="F30" s="100"/>
      <c r="G30" s="100"/>
      <c r="H30" s="100"/>
      <c r="I30" s="100"/>
      <c r="J30" s="100"/>
      <c r="K30" s="100"/>
      <c r="L30" s="53"/>
      <c r="M30" s="53"/>
      <c r="N30" s="53"/>
      <c r="Q30" s="298"/>
      <c r="R30" s="299"/>
      <c r="S30" s="299"/>
      <c r="T30" s="299"/>
      <c r="U30" s="300"/>
      <c r="V30" s="99"/>
      <c r="W30" s="99"/>
    </row>
    <row r="31" spans="1:23">
      <c r="A31" s="39"/>
      <c r="B31" s="100"/>
      <c r="C31" s="100"/>
      <c r="D31" s="100"/>
      <c r="E31" s="100"/>
      <c r="F31" s="100"/>
      <c r="G31" s="100"/>
      <c r="H31" s="100"/>
      <c r="I31" s="100"/>
      <c r="J31" s="100"/>
      <c r="K31" s="100"/>
      <c r="L31" s="53"/>
      <c r="M31" s="53"/>
      <c r="N31" s="53"/>
      <c r="Q31" s="298"/>
      <c r="R31" s="299"/>
      <c r="S31" s="299"/>
      <c r="T31" s="299"/>
      <c r="U31" s="300"/>
      <c r="V31" s="99"/>
      <c r="W31" s="99"/>
    </row>
    <row r="32" spans="1:23">
      <c r="A32" s="39"/>
      <c r="B32" s="100"/>
      <c r="C32" s="100"/>
      <c r="D32" s="100"/>
      <c r="E32" s="100"/>
      <c r="F32" s="100"/>
      <c r="G32" s="100"/>
      <c r="H32" s="100"/>
      <c r="I32" s="100"/>
      <c r="J32" s="100"/>
      <c r="K32" s="100"/>
      <c r="Q32" s="298"/>
      <c r="R32" s="299"/>
      <c r="S32" s="299"/>
      <c r="T32" s="299"/>
      <c r="U32" s="300"/>
      <c r="V32" s="99"/>
      <c r="W32" s="99"/>
    </row>
    <row r="33" spans="1:23">
      <c r="A33" s="39"/>
      <c r="B33" s="100"/>
      <c r="C33" s="100"/>
      <c r="D33" s="100"/>
      <c r="E33" s="100"/>
      <c r="F33" s="100"/>
      <c r="G33" s="100"/>
      <c r="H33" s="100"/>
      <c r="I33" s="100"/>
      <c r="J33" s="100"/>
      <c r="K33" s="100"/>
      <c r="L33" s="282" t="s">
        <v>372</v>
      </c>
      <c r="M33" s="282"/>
      <c r="N33" s="282"/>
      <c r="Q33" s="298"/>
      <c r="R33" s="299"/>
      <c r="S33" s="299"/>
      <c r="T33" s="299"/>
      <c r="U33" s="300"/>
      <c r="V33" s="99"/>
      <c r="W33" s="99"/>
    </row>
    <row r="34" spans="1:23">
      <c r="A34" s="39"/>
      <c r="B34" s="100"/>
      <c r="C34" s="100"/>
      <c r="D34" s="100"/>
      <c r="E34" s="100"/>
      <c r="F34" s="100"/>
      <c r="G34" s="100"/>
      <c r="H34" s="100"/>
      <c r="I34" s="100"/>
      <c r="J34" s="100"/>
      <c r="K34" s="100"/>
      <c r="L34" s="52" t="s">
        <v>373</v>
      </c>
      <c r="M34" s="52" t="s">
        <v>374</v>
      </c>
      <c r="N34" s="52" t="s">
        <v>375</v>
      </c>
      <c r="Q34" s="298"/>
      <c r="R34" s="299"/>
      <c r="S34" s="299"/>
      <c r="T34" s="299"/>
      <c r="U34" s="300"/>
      <c r="V34" s="99"/>
      <c r="W34" s="99"/>
    </row>
    <row r="35" spans="1:23">
      <c r="B35" s="100"/>
      <c r="C35" s="100"/>
      <c r="D35" s="100"/>
      <c r="E35" s="100"/>
      <c r="F35" s="100"/>
      <c r="G35" s="100"/>
      <c r="H35" s="100"/>
      <c r="I35" s="100"/>
      <c r="J35" s="100"/>
      <c r="K35" s="100"/>
      <c r="L35" s="53" t="s">
        <v>376</v>
      </c>
      <c r="M35" s="53" t="s">
        <v>377</v>
      </c>
      <c r="N35" s="53">
        <v>7850</v>
      </c>
      <c r="Q35" s="298"/>
      <c r="R35" s="299"/>
      <c r="S35" s="299"/>
      <c r="T35" s="299"/>
      <c r="U35" s="300"/>
    </row>
    <row r="36" spans="1:23">
      <c r="B36" s="100"/>
      <c r="C36" s="100"/>
      <c r="D36" s="100"/>
      <c r="E36" s="100"/>
      <c r="F36" s="100"/>
      <c r="G36" s="100"/>
      <c r="H36" s="100"/>
      <c r="I36" s="100"/>
      <c r="J36" s="100"/>
      <c r="K36" s="100"/>
      <c r="L36" s="53" t="s">
        <v>378</v>
      </c>
      <c r="M36" s="53" t="s">
        <v>379</v>
      </c>
      <c r="N36" s="53">
        <v>210000000000</v>
      </c>
      <c r="Q36" s="298"/>
      <c r="R36" s="299"/>
      <c r="S36" s="299"/>
      <c r="T36" s="299"/>
      <c r="U36" s="300"/>
    </row>
    <row r="37" spans="1:23">
      <c r="B37" s="100"/>
      <c r="C37" s="100"/>
      <c r="D37" s="100"/>
      <c r="E37" s="100"/>
      <c r="F37" s="100"/>
      <c r="G37" s="100"/>
      <c r="H37" s="100"/>
      <c r="I37" s="100"/>
      <c r="J37" s="100"/>
      <c r="K37" s="100"/>
      <c r="L37" s="53"/>
      <c r="M37" s="53"/>
      <c r="N37" s="53"/>
      <c r="Q37" s="298"/>
      <c r="R37" s="299"/>
      <c r="S37" s="299"/>
      <c r="T37" s="299"/>
      <c r="U37" s="300"/>
    </row>
    <row r="38" spans="1:23">
      <c r="B38" s="100"/>
      <c r="C38" s="100"/>
      <c r="D38" s="100"/>
      <c r="E38" s="100"/>
      <c r="F38" s="100"/>
      <c r="G38" s="100"/>
      <c r="H38" s="100"/>
      <c r="I38" s="100"/>
      <c r="J38" s="100"/>
      <c r="K38" s="100"/>
      <c r="Q38" s="301"/>
      <c r="R38" s="302"/>
      <c r="S38" s="302"/>
      <c r="T38" s="302"/>
      <c r="U38" s="303"/>
    </row>
    <row r="39" spans="1:23">
      <c r="B39" s="100"/>
      <c r="C39" s="100"/>
      <c r="D39" s="100"/>
      <c r="E39" s="100"/>
      <c r="F39" s="100"/>
      <c r="G39" s="100"/>
      <c r="H39" s="100"/>
      <c r="I39" s="100"/>
      <c r="J39" s="100"/>
      <c r="K39" s="100"/>
      <c r="L39" s="282" t="s">
        <v>380</v>
      </c>
      <c r="M39" s="28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82" t="s">
        <v>305</v>
      </c>
      <c r="M41" s="282"/>
      <c r="N41" s="282"/>
      <c r="O41" s="35"/>
    </row>
    <row r="42" spans="1:23">
      <c r="B42" s="100"/>
      <c r="C42" s="100"/>
      <c r="D42" s="100"/>
      <c r="E42" s="100"/>
      <c r="F42" s="100"/>
      <c r="G42" s="100"/>
      <c r="H42" s="100"/>
      <c r="I42" s="100"/>
      <c r="J42" s="100"/>
      <c r="K42" s="100"/>
      <c r="L42" s="52" t="s">
        <v>381</v>
      </c>
      <c r="M42" s="52" t="s">
        <v>382</v>
      </c>
      <c r="N42" s="52" t="s">
        <v>383</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72" t="s">
        <v>384</v>
      </c>
      <c r="R49" s="273"/>
      <c r="S49" s="273"/>
      <c r="T49" s="273"/>
      <c r="U49" s="274"/>
    </row>
    <row r="50" spans="2:21">
      <c r="B50" s="100"/>
      <c r="C50" s="100"/>
      <c r="D50" s="100"/>
      <c r="E50" s="100"/>
      <c r="F50" s="100"/>
      <c r="G50" s="100"/>
      <c r="H50" s="100"/>
      <c r="I50" s="100"/>
      <c r="J50" s="100"/>
      <c r="K50" s="100"/>
      <c r="L50" s="53"/>
      <c r="M50" s="53"/>
      <c r="N50" s="53"/>
      <c r="Q50" s="275"/>
      <c r="R50" s="276"/>
      <c r="S50" s="276"/>
      <c r="T50" s="276"/>
      <c r="U50" s="277"/>
    </row>
    <row r="51" spans="2:21">
      <c r="B51" s="100"/>
      <c r="C51" s="100"/>
      <c r="D51" s="100"/>
      <c r="E51" s="100"/>
      <c r="F51" s="100"/>
      <c r="G51" s="100"/>
      <c r="H51" s="100"/>
      <c r="I51" s="100"/>
      <c r="J51" s="100"/>
      <c r="K51" s="100"/>
      <c r="L51" s="53"/>
      <c r="M51" s="53"/>
      <c r="N51" s="53"/>
      <c r="Q51" s="275"/>
      <c r="R51" s="276"/>
      <c r="S51" s="276"/>
      <c r="T51" s="276"/>
      <c r="U51" s="277"/>
    </row>
    <row r="52" spans="2:21">
      <c r="B52" s="100"/>
      <c r="C52" s="100"/>
      <c r="D52" s="100"/>
      <c r="E52" s="100"/>
      <c r="F52" s="100"/>
      <c r="G52" s="100"/>
      <c r="H52" s="100"/>
      <c r="I52" s="100"/>
      <c r="J52" s="100"/>
      <c r="K52" s="100"/>
      <c r="L52" s="53"/>
      <c r="M52" s="53"/>
      <c r="N52" s="53"/>
      <c r="Q52" s="275"/>
      <c r="R52" s="276"/>
      <c r="S52" s="276"/>
      <c r="T52" s="276"/>
      <c r="U52" s="277"/>
    </row>
    <row r="53" spans="2:21">
      <c r="B53" s="100"/>
      <c r="C53" s="100"/>
      <c r="D53" s="100"/>
      <c r="E53" s="100"/>
      <c r="F53" s="100"/>
      <c r="G53" s="100"/>
      <c r="H53" s="100"/>
      <c r="I53" s="100"/>
      <c r="J53" s="100"/>
      <c r="K53" s="100"/>
      <c r="Q53" s="275"/>
      <c r="R53" s="276"/>
      <c r="S53" s="276"/>
      <c r="T53" s="276"/>
      <c r="U53" s="277"/>
    </row>
    <row r="54" spans="2:21">
      <c r="B54" s="100"/>
      <c r="C54" s="100"/>
      <c r="D54" s="100"/>
      <c r="E54" s="100"/>
      <c r="F54" s="100"/>
      <c r="G54" s="100"/>
      <c r="H54" s="100"/>
      <c r="I54" s="100"/>
      <c r="J54" s="100"/>
      <c r="K54" s="100"/>
      <c r="L54" s="95" t="s">
        <v>385</v>
      </c>
      <c r="M54" s="53" t="s">
        <v>402</v>
      </c>
      <c r="Q54" s="278"/>
      <c r="R54" s="279"/>
      <c r="S54" s="279"/>
      <c r="T54" s="279"/>
      <c r="U54" s="280"/>
    </row>
    <row r="55" spans="2:21">
      <c r="B55" s="100"/>
      <c r="C55" s="100"/>
      <c r="D55" s="100"/>
      <c r="E55" s="100"/>
      <c r="F55" s="100"/>
      <c r="G55" s="100"/>
      <c r="H55" s="100"/>
      <c r="I55" s="100"/>
      <c r="J55" s="100"/>
      <c r="K55" s="100"/>
      <c r="L55" s="95" t="s">
        <v>387</v>
      </c>
      <c r="M55" s="53" t="s">
        <v>386</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388</v>
      </c>
      <c r="M58" s="281"/>
      <c r="N58" s="281"/>
      <c r="O58" s="255"/>
    </row>
    <row r="59" spans="2:21">
      <c r="B59" s="100"/>
      <c r="C59" s="100"/>
      <c r="D59" s="100"/>
      <c r="E59" s="100"/>
      <c r="F59" s="100"/>
      <c r="G59" s="100"/>
      <c r="H59" s="100"/>
      <c r="I59" s="100"/>
      <c r="J59" s="100"/>
      <c r="K59" s="100"/>
      <c r="L59" s="95" t="s">
        <v>389</v>
      </c>
      <c r="M59" s="95" t="s">
        <v>390</v>
      </c>
      <c r="N59" s="95" t="s">
        <v>391</v>
      </c>
      <c r="O59" s="95" t="s">
        <v>392</v>
      </c>
    </row>
    <row r="60" spans="2:21">
      <c r="B60" s="100"/>
      <c r="C60" s="100"/>
      <c r="D60" s="100"/>
      <c r="E60" s="100"/>
      <c r="F60" s="100"/>
      <c r="G60" s="100"/>
      <c r="H60" s="100"/>
      <c r="I60" s="100"/>
      <c r="J60" s="100"/>
      <c r="K60" s="100"/>
      <c r="L60" s="53"/>
      <c r="M60" s="53"/>
      <c r="N60" s="103"/>
      <c r="O60" s="103"/>
    </row>
    <row r="61" spans="2:21">
      <c r="B61" s="100"/>
      <c r="C61" s="100"/>
      <c r="D61" s="100"/>
      <c r="E61" s="100"/>
      <c r="F61" s="100"/>
      <c r="G61" s="100"/>
      <c r="H61" s="100"/>
      <c r="I61" s="100"/>
      <c r="J61" s="100"/>
      <c r="K61" s="100"/>
      <c r="L61" s="53"/>
      <c r="M61" s="53"/>
      <c r="N61" s="103"/>
      <c r="O61" s="103"/>
    </row>
    <row r="62" spans="2:21">
      <c r="B62" s="100"/>
      <c r="C62" s="100"/>
      <c r="D62" s="100"/>
      <c r="E62" s="100"/>
      <c r="F62" s="100"/>
      <c r="G62" s="100"/>
      <c r="H62" s="100"/>
      <c r="I62" s="100"/>
      <c r="J62" s="100"/>
      <c r="K62" s="100"/>
      <c r="L62" s="53"/>
      <c r="M62" s="53"/>
      <c r="N62" s="103"/>
      <c r="O62" s="103"/>
    </row>
    <row r="63" spans="2:21">
      <c r="B63" s="100"/>
      <c r="C63" s="100"/>
      <c r="D63" s="100"/>
      <c r="E63" s="100"/>
      <c r="F63" s="100"/>
      <c r="G63" s="100"/>
      <c r="H63" s="100"/>
      <c r="I63" s="100"/>
      <c r="J63" s="100"/>
      <c r="K63" s="100"/>
      <c r="L63" s="53"/>
      <c r="M63" s="53"/>
      <c r="N63" s="103"/>
      <c r="O63" s="103"/>
    </row>
    <row r="64" spans="2:21">
      <c r="B64" s="100"/>
      <c r="C64" s="100"/>
      <c r="D64" s="100"/>
      <c r="E64" s="100"/>
      <c r="F64" s="100"/>
      <c r="G64" s="100"/>
      <c r="H64" s="100"/>
      <c r="I64" s="100"/>
      <c r="J64" s="100"/>
      <c r="K64" s="100"/>
      <c r="L64" s="53"/>
      <c r="M64" s="53"/>
      <c r="N64" s="103"/>
      <c r="O64" s="103"/>
    </row>
    <row r="65" spans="2:23">
      <c r="B65" s="100"/>
      <c r="C65" s="100"/>
      <c r="D65" s="100"/>
      <c r="E65" s="100"/>
      <c r="F65" s="100"/>
      <c r="G65" s="100"/>
      <c r="H65" s="100"/>
      <c r="I65" s="100"/>
      <c r="J65" s="100"/>
      <c r="K65" s="100"/>
      <c r="L65" s="53"/>
      <c r="M65" s="53"/>
      <c r="N65" s="103"/>
      <c r="O65" s="103"/>
    </row>
    <row r="66" spans="2:23">
      <c r="B66" s="100"/>
      <c r="C66" s="100"/>
      <c r="D66" s="100"/>
      <c r="E66" s="100"/>
      <c r="F66" s="100"/>
      <c r="G66" s="100"/>
      <c r="H66" s="100"/>
      <c r="I66" s="100"/>
      <c r="J66" s="100"/>
      <c r="K66" s="100"/>
      <c r="L66" s="53"/>
      <c r="M66" s="53"/>
      <c r="N66" s="103"/>
      <c r="O66" s="103"/>
    </row>
    <row r="67" spans="2:23">
      <c r="B67" s="100"/>
      <c r="C67" s="100"/>
      <c r="D67" s="100"/>
      <c r="E67" s="100"/>
      <c r="F67" s="100"/>
      <c r="G67" s="100"/>
      <c r="H67" s="100"/>
      <c r="I67" s="100"/>
      <c r="J67" s="100"/>
      <c r="K67" s="100"/>
      <c r="L67" s="53"/>
      <c r="M67" s="53"/>
      <c r="N67" s="103"/>
      <c r="O67" s="103"/>
    </row>
    <row r="68" spans="2:23">
      <c r="B68" s="100"/>
      <c r="C68" s="100"/>
      <c r="D68" s="100"/>
      <c r="E68" s="100"/>
      <c r="F68" s="100"/>
      <c r="G68" s="100"/>
      <c r="H68" s="100"/>
      <c r="I68" s="100"/>
      <c r="J68" s="100"/>
      <c r="K68" s="100"/>
      <c r="L68" s="53"/>
      <c r="M68" s="53"/>
      <c r="N68" s="103"/>
      <c r="O68" s="103"/>
    </row>
    <row r="70" spans="2:23">
      <c r="B70" s="282" t="s">
        <v>393</v>
      </c>
      <c r="C70" s="282"/>
      <c r="D70" s="282"/>
      <c r="E70" s="282"/>
      <c r="F70" s="282" t="s">
        <v>394</v>
      </c>
      <c r="G70" s="282"/>
      <c r="H70" s="282"/>
      <c r="I70" s="282"/>
      <c r="J70" s="282" t="s">
        <v>395</v>
      </c>
      <c r="K70" s="282"/>
      <c r="L70" s="104" t="s">
        <v>396</v>
      </c>
      <c r="M70" s="283"/>
      <c r="N70" s="285"/>
    </row>
    <row r="71" spans="2:23">
      <c r="B71" s="283" t="s">
        <v>630</v>
      </c>
      <c r="C71" s="284"/>
      <c r="D71" s="284"/>
      <c r="E71" s="285"/>
      <c r="F71" s="286"/>
      <c r="G71" s="287"/>
      <c r="H71" s="287"/>
      <c r="I71" s="288"/>
      <c r="J71" s="286" t="s">
        <v>622</v>
      </c>
      <c r="K71" s="288"/>
    </row>
    <row r="72" spans="2:23">
      <c r="B72" s="283" t="s">
        <v>628</v>
      </c>
      <c r="C72" s="284"/>
      <c r="D72" s="284"/>
      <c r="E72" s="285"/>
      <c r="F72" s="283"/>
      <c r="G72" s="284"/>
      <c r="H72" s="284"/>
      <c r="I72" s="285"/>
      <c r="J72" s="55"/>
    </row>
    <row r="73" spans="2:23">
      <c r="B73" s="283" t="s">
        <v>623</v>
      </c>
      <c r="C73" s="284"/>
      <c r="D73" s="284"/>
      <c r="E73" s="285"/>
      <c r="F73" s="102"/>
      <c r="G73" s="102"/>
      <c r="H73" s="102"/>
      <c r="I73" s="102"/>
      <c r="J73" s="55"/>
    </row>
    <row r="75" spans="2:23">
      <c r="B75" s="282" t="s">
        <v>397</v>
      </c>
      <c r="C75" s="282"/>
      <c r="D75" s="100" t="s">
        <v>398</v>
      </c>
      <c r="F75" s="282" t="s">
        <v>399</v>
      </c>
      <c r="G75" s="282"/>
      <c r="H75" s="282"/>
      <c r="I75" s="282"/>
      <c r="J75" s="53" t="s">
        <v>400</v>
      </c>
    </row>
    <row r="77" spans="2:23">
      <c r="B77" s="282" t="s">
        <v>401</v>
      </c>
      <c r="C77" s="282"/>
      <c r="D77" s="53" t="s">
        <v>402</v>
      </c>
      <c r="F77" s="282" t="s">
        <v>403</v>
      </c>
      <c r="G77" s="282"/>
      <c r="H77" s="282"/>
      <c r="I77" s="254"/>
      <c r="J77" s="105"/>
      <c r="K77" s="106"/>
      <c r="L77" s="106"/>
      <c r="M77" s="106"/>
      <c r="N77" s="107"/>
    </row>
    <row r="78" spans="2:23">
      <c r="W78" s="6"/>
    </row>
    <row r="79" spans="2:23">
      <c r="B79" s="282" t="s">
        <v>404</v>
      </c>
      <c r="C79" s="282"/>
      <c r="D79" s="53" t="s">
        <v>405</v>
      </c>
    </row>
    <row r="80" spans="2:23">
      <c r="J80" s="55"/>
    </row>
    <row r="81" spans="2:10">
      <c r="B81" s="282" t="s">
        <v>406</v>
      </c>
      <c r="C81" s="282"/>
      <c r="D81" s="252"/>
      <c r="E81" s="252"/>
      <c r="F81" s="252"/>
      <c r="G81" s="252"/>
      <c r="H81" s="252"/>
      <c r="I81" s="252"/>
      <c r="J81" s="252"/>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7:R7"/>
    <mergeCell ref="R11:V11"/>
    <mergeCell ref="M16:N16"/>
    <mergeCell ref="Q16:U38"/>
    <mergeCell ref="L18:N18"/>
    <mergeCell ref="M19:N19"/>
    <mergeCell ref="M20:N20"/>
    <mergeCell ref="M21:N21"/>
    <mergeCell ref="L22:N22"/>
    <mergeCell ref="F70:I70"/>
    <mergeCell ref="J70:K70"/>
    <mergeCell ref="M70:N70"/>
    <mergeCell ref="L4:N4"/>
    <mergeCell ref="L33:N33"/>
    <mergeCell ref="L39:M39"/>
    <mergeCell ref="L41:N41"/>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0"/>
  <sheetViews>
    <sheetView workbookViewId="0"/>
  </sheetViews>
  <sheetFormatPr baseColWidth="10" defaultRowHeight="14.4"/>
  <cols>
    <col min="5" max="6" width="10.5546875"/>
    <col min="9" max="9" width="10.5546875"/>
  </cols>
  <sheetData>
    <row r="1" spans="3:21">
      <c r="C1" s="35" t="s">
        <v>224</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172</v>
      </c>
      <c r="E3" s="62"/>
      <c r="F3" s="62"/>
      <c r="J3" s="62"/>
      <c r="K3" s="62"/>
    </row>
    <row r="4" spans="3:21">
      <c r="E4" s="62"/>
      <c r="F4" s="62"/>
      <c r="G4" s="305" t="s">
        <v>281</v>
      </c>
      <c r="H4" s="306"/>
      <c r="J4" s="62"/>
      <c r="K4" s="62"/>
      <c r="L4" s="305" t="s">
        <v>217</v>
      </c>
      <c r="M4" s="307"/>
      <c r="N4" s="307"/>
      <c r="O4" s="306"/>
      <c r="S4" s="305" t="s">
        <v>218</v>
      </c>
      <c r="T4" s="307"/>
      <c r="U4" s="306"/>
    </row>
    <row r="5" spans="3:21">
      <c r="C5" s="70" t="s">
        <v>330</v>
      </c>
      <c r="E5" s="62"/>
      <c r="F5" s="62"/>
      <c r="G5" s="70" t="s">
        <v>264</v>
      </c>
      <c r="H5" s="70" t="str">
        <f>IF(Control!$F$39="EC","m=4, N=1E7","m=5, N=1e7")</f>
        <v>m=4, N=1E7</v>
      </c>
      <c r="J5" s="62"/>
      <c r="K5" s="62"/>
      <c r="L5" s="70" t="s">
        <v>73</v>
      </c>
      <c r="M5" s="70" t="s">
        <v>74</v>
      </c>
      <c r="N5" s="70" t="s">
        <v>75</v>
      </c>
      <c r="O5" s="70" t="s">
        <v>76</v>
      </c>
      <c r="S5" s="70" t="s">
        <v>73</v>
      </c>
      <c r="T5" s="70" t="s">
        <v>75</v>
      </c>
      <c r="U5" s="70" t="s">
        <v>76</v>
      </c>
    </row>
    <row r="6" spans="3:21">
      <c r="C6" s="70" t="s">
        <v>353</v>
      </c>
      <c r="E6" s="62"/>
      <c r="F6" s="62"/>
      <c r="G6" s="70" t="s">
        <v>20</v>
      </c>
      <c r="H6" s="70" t="s">
        <v>20</v>
      </c>
      <c r="J6" s="62"/>
      <c r="K6" s="62"/>
      <c r="L6" s="70" t="s">
        <v>265</v>
      </c>
      <c r="M6" s="70" t="s">
        <v>20</v>
      </c>
      <c r="N6" s="70" t="s">
        <v>20</v>
      </c>
      <c r="O6" s="70" t="s">
        <v>265</v>
      </c>
      <c r="S6" s="70" t="s">
        <v>265</v>
      </c>
      <c r="T6" s="70" t="s">
        <v>20</v>
      </c>
      <c r="U6" s="70" t="s">
        <v>265</v>
      </c>
    </row>
    <row r="7" spans="3:21">
      <c r="C7" s="72">
        <f>Geometry!D11</f>
        <v>21.47</v>
      </c>
      <c r="E7" s="62">
        <f>MATCH($C7,Loads!$C$5:$C$117,0)</f>
        <v>113</v>
      </c>
      <c r="F7" s="62">
        <f>MATCH($C7,Loads!$C$5:$C$117,1)</f>
        <v>113</v>
      </c>
      <c r="G7" s="73">
        <f>IF(ISBLANK(INDEX(Loads!$D$5:$D$117,$F7)),"-",INDEX(Loads!$D$5:$D$117,$F7)+IF(NOT(ISERROR($E7)),0,(INDEX(Loads!$D$5:$D$117,$F7+1)-INDEX(Loads!$D$5:$D$117,$F7))/(INDEX(Loads!$C$5:$C$117,$F7+1)-INDEX(Loads!$C$5:$C$117,$F7))*($C7-INDEX(Loads!$C$5:$C$117,$F7))))</f>
        <v>171608</v>
      </c>
      <c r="H7" s="73">
        <f>IF(ISBLANK(INDEX(Loads!$E$5:$E$117,$F7)),"-",INDEX(Loads!$E$5:$E$117,$F7)+IF(NOT(ISERROR($E7)),0,(INDEX(Loads!$E$5:$E$117,$F7+1)-INDEX(Loads!$E$5:$E$117,$F7))/(INDEX(Loads!$C$5:$C$117,$F7+1)-INDEX(Loads!$C$5:$C$117,$F7))*($C7-INDEX(Loads!$C$5:$C$117,$F7))))</f>
        <v>166763</v>
      </c>
      <c r="J7" s="62">
        <f>MATCH($C7,Loads!$G$5:$G$117,0)</f>
        <v>113</v>
      </c>
      <c r="K7" s="62">
        <f>MATCH($C7,Loads!$G$5:$G$117,1)</f>
        <v>113</v>
      </c>
      <c r="L7" s="73">
        <f>IF(ISBLANK(INDEX(Loads!$H$5:$H$117,$K7)),"-",INDEX(Loads!$H$5:$H$117,$K7)+IF(NOT(ISERROR($J7)),0,(INDEX(Loads!$H$5:$H$117,$K7+1)-INDEX(Loads!$H$5:$H$117,$K7))/(INDEX(Loads!$G$5:$G$117,$K7+1)-INDEX(Loads!$G$5:$G$117,$K7))*($C7-INDEX(Loads!$G$5:$G$117,$K7))))</f>
        <v>-46522.83</v>
      </c>
      <c r="M7" s="73">
        <f>IF(ISBLANK(INDEX(Loads!$I$5:$I$117,$K7)),"-",INDEX(Loads!$I$5:$I$117,$K7)+IF(NOT(ISERROR($J7)),0,(INDEX(Loads!$I$5:$I$117,$K7+1)-INDEX(Loads!$I$5:$I$117,$K7))/(INDEX(Loads!$G$5:$G$117,$K7+1)-INDEX(Loads!$G$5:$G$117,$K7))*($C7-INDEX(Loads!$G$5:$G$117,$K7))))</f>
        <v>63702.2</v>
      </c>
      <c r="N7" s="73">
        <f>IF(ISBLANK(INDEX(Loads!$J$5:$J$117,$K7)),"-",INDEX(Loads!$J$5:$J$117,$K7)+IF(NOT(ISERROR($J7)),0,(INDEX(Loads!$J$5:$J$117,$K7+1)-INDEX(Loads!$J$5:$J$117,$K7))/(INDEX(Loads!$G$5:$G$117,$K7+1)-INDEX(Loads!$G$5:$G$117,$K7))*($C7-INDEX(Loads!$G$5:$G$117,$K7))))</f>
        <v>747106.8</v>
      </c>
      <c r="O7" s="73">
        <f>IF(ISBLANK(INDEX(Loads!$K$5:$K$117,$K7)),"-",INDEX(Loads!$K$5:$K$117,$K7)+IF(NOT(ISERROR($J7)),0,(INDEX(Loads!$K$5:$K$117,$K7+1)-INDEX(Loads!$K$5:$K$117,$K7))/(INDEX(Loads!$G$5:$G$117,$K7+1)-INDEX(Loads!$G$5:$G$117,$K7))*($C7-INDEX(Loads!$G$5:$G$117,$K7))))</f>
        <v>5940.7359999999999</v>
      </c>
      <c r="Q7">
        <f>MATCH($C7,Loads!$M$5:$M$117,0)</f>
        <v>113</v>
      </c>
      <c r="R7">
        <f>MATCH($C7,Loads!$M$5:$M$117,1)</f>
        <v>113</v>
      </c>
      <c r="S7" s="73">
        <f>IF(ISBLANK(INDEX(Loads!$N$5:$N$117,$R7)),"-",INDEX(Loads!$N$5:$N$117,$K7)+IF(NOT(ISERROR($Q7)),0,(INDEX(Loads!$N$5:$N$117,$R7+1)-INDEX(Loads!$N$5:$N$117,$R7))/(INDEX(Loads!$M$5:$M$117,$R7+1)-INDEX(Loads!$M$5:$M$117,$R7))*($C7-INDEX(Loads!$M$5:$M$117,$R7))))</f>
        <v>-34461.360000000001</v>
      </c>
      <c r="T7" s="73">
        <f>IF(ISBLANK(INDEX(Loads!$O$5:$O$117,$R7)),"-",INDEX(Loads!$O$5:$O$117,$K7)+IF(NOT(ISERROR($Q7)),0,(INDEX(Loads!$O$5:$O$117,$R7+1)-INDEX(Loads!$O$5:$O$117,$R7))/(INDEX(Loads!$M$5:$M$117,$R7+1)-INDEX(Loads!$M$5:$M$117,$R7))*($C7-INDEX(Loads!$M$5:$M$117,$R7))))</f>
        <v>566318</v>
      </c>
      <c r="U7" s="73">
        <f>IF(ISBLANK(INDEX(Loads!$P$5:$P$117,$R7)),"-",INDEX(Loads!$P$5:$P$117,$K7)+IF(NOT(ISERROR($Q7)),0,(INDEX(Loads!$P$5:$P$117,$R7+1)-INDEX(Loads!$P$5:$P$117,$R7))/(INDEX(Loads!$M$5:$M$117,$R7+1)-INDEX(Loads!$M$5:$M$117,$R7))*($C7-INDEX(Loads!$M$5:$M$117,$R7))))</f>
        <v>4400.5460000000003</v>
      </c>
    </row>
    <row r="8" spans="3:21">
      <c r="C8" s="72">
        <f>Geometry!E11</f>
        <v>17.5</v>
      </c>
      <c r="E8" s="62" t="e">
        <f>MATCH($C8,Loads!$C$5:$C$117,0)</f>
        <v>#N/A</v>
      </c>
      <c r="F8" s="62">
        <f>MATCH($C8,Loads!$C$5:$C$117,1)</f>
        <v>111</v>
      </c>
      <c r="G8" s="73">
        <f>IF(ISBLANK(INDEX(Loads!$D$5:$D$117,$F8)),"-",INDEX(Loads!$D$5:$D$117,$F8)+IF(NOT(ISERROR($E8)),0,(INDEX(Loads!$D$5:$D$117,$F8+1)-INDEX(Loads!$D$5:$D$117,$F8))/(INDEX(Loads!$C$5:$C$117,$F8+1)-INDEX(Loads!$C$5:$C$117,$F8))*($C8-INDEX(Loads!$C$5:$C$117,$F8))))</f>
        <v>175854.796875</v>
      </c>
      <c r="H8" s="73">
        <f>IF(ISBLANK(INDEX(Loads!$E$5:$E$117,$F8)),"-",INDEX(Loads!$E$5:$E$117,$F8)+IF(NOT(ISERROR($E8)),0,(INDEX(Loads!$E$5:$E$117,$F8+1)-INDEX(Loads!$E$5:$E$117,$F8))/(INDEX(Loads!$C$5:$C$117,$F8+1)-INDEX(Loads!$C$5:$C$117,$F8))*($C8-INDEX(Loads!$C$5:$C$117,$F8))))</f>
        <v>171168.03125</v>
      </c>
      <c r="J8" s="62" t="e">
        <f>MATCH($C8,Loads!$G$5:$G$117,0)</f>
        <v>#N/A</v>
      </c>
      <c r="K8" s="62">
        <f>MATCH($C8,Loads!$G$5:$G$117,1)</f>
        <v>111</v>
      </c>
      <c r="L8" s="73">
        <f>IF(ISBLANK(INDEX(Loads!$H$5:$H$117,$K8)),"-",INDEX(Loads!$H$5:$H$117,$K8)+IF(NOT(ISERROR($J8)),0,(INDEX(Loads!$H$5:$H$117,$K8+1)-INDEX(Loads!$H$5:$H$117,$K8))/(INDEX(Loads!$G$5:$G$117,$K8+1)-INDEX(Loads!$G$5:$G$117,$K8))*($C8-INDEX(Loads!$G$5:$G$117,$K8))))</f>
        <v>-48067.453125</v>
      </c>
      <c r="M8" s="73">
        <f>IF(ISBLANK(INDEX(Loads!$I$5:$I$117,$K8)),"-",INDEX(Loads!$I$5:$I$117,$K8)+IF(NOT(ISERROR($J8)),0,(INDEX(Loads!$I$5:$I$117,$K8+1)-INDEX(Loads!$I$5:$I$117,$K8))/(INDEX(Loads!$G$5:$G$117,$K8+1)-INDEX(Loads!$G$5:$G$117,$K8))*($C8-INDEX(Loads!$G$5:$G$117,$K8))))</f>
        <v>63711.792499999996</v>
      </c>
      <c r="N8" s="73">
        <f>IF(ISBLANK(INDEX(Loads!$J$5:$J$117,$K8)),"-",INDEX(Loads!$J$5:$J$117,$K8)+IF(NOT(ISERROR($J8)),0,(INDEX(Loads!$J$5:$J$117,$K8+1)-INDEX(Loads!$J$5:$J$117,$K8))/(INDEX(Loads!$G$5:$G$117,$K8+1)-INDEX(Loads!$G$5:$G$117,$K8))*($C8-INDEX(Loads!$G$5:$G$117,$K8))))</f>
        <v>771197.27812499995</v>
      </c>
      <c r="O8" s="73">
        <f>IF(ISBLANK(INDEX(Loads!$K$5:$K$117,$K8)),"-",INDEX(Loads!$K$5:$K$117,$K8)+IF(NOT(ISERROR($J8)),0,(INDEX(Loads!$K$5:$K$117,$K8+1)-INDEX(Loads!$K$5:$K$117,$K8))/(INDEX(Loads!$G$5:$G$117,$K8+1)-INDEX(Loads!$G$5:$G$117,$K8))*($C8-INDEX(Loads!$G$5:$G$117,$K8))))</f>
        <v>6002.1751875</v>
      </c>
      <c r="Q8" t="e">
        <f>MATCH($C8,Loads!$M$5:$M$117,0)</f>
        <v>#N/A</v>
      </c>
      <c r="R8">
        <f>MATCH($C8,Loads!$M$5:$M$117,1)</f>
        <v>111</v>
      </c>
      <c r="S8" s="73">
        <f>IF(ISBLANK(INDEX(Loads!$N$5:$N$117,$R8)),"-",INDEX(Loads!$N$5:$N$117,$K8)+IF(NOT(ISERROR($Q8)),0,(INDEX(Loads!$N$5:$N$117,$R8+1)-INDEX(Loads!$N$5:$N$117,$R8))/(INDEX(Loads!$M$5:$M$117,$R8+1)-INDEX(Loads!$M$5:$M$117,$R8))*($C8-INDEX(Loads!$M$5:$M$117,$R8))))</f>
        <v>-35605.524375000001</v>
      </c>
      <c r="T8" s="73">
        <f>IF(ISBLANK(INDEX(Loads!$O$5:$O$117,$R8)),"-",INDEX(Loads!$O$5:$O$117,$K8)+IF(NOT(ISERROR($Q8)),0,(INDEX(Loads!$O$5:$O$117,$R8+1)-INDEX(Loads!$O$5:$O$117,$R8))/(INDEX(Loads!$M$5:$M$117,$R8+1)-INDEX(Loads!$M$5:$M$117,$R8))*($C8-INDEX(Loads!$M$5:$M$117,$R8))))</f>
        <v>584588.546875</v>
      </c>
      <c r="U8" s="73">
        <f>IF(ISBLANK(INDEX(Loads!$P$5:$P$117,$R8)),"-",INDEX(Loads!$P$5:$P$117,$K8)+IF(NOT(ISERROR($Q8)),0,(INDEX(Loads!$P$5:$P$117,$R8+1)-INDEX(Loads!$P$5:$P$117,$R8))/(INDEX(Loads!$M$5:$M$117,$R8+1)-INDEX(Loads!$M$5:$M$117,$R8))*($C8-INDEX(Loads!$M$5:$M$117,$R8))))</f>
        <v>4446.0560000000005</v>
      </c>
    </row>
    <row r="9" spans="3:21">
      <c r="C9" s="72">
        <f>Geometry!E12</f>
        <v>13.5</v>
      </c>
      <c r="E9" s="62" t="e">
        <f>MATCH($C9,Loads!$C$5:$C$117,0)</f>
        <v>#N/A</v>
      </c>
      <c r="F9" s="62">
        <f>MATCH($C9,Loads!$C$5:$C$117,1)</f>
        <v>110</v>
      </c>
      <c r="G9" s="73">
        <f>IF(ISBLANK(INDEX(Loads!$D$5:$D$117,$F9)),"-",INDEX(Loads!$D$5:$D$117,$F9)+IF(NOT(ISERROR($E9)),0,(INDEX(Loads!$D$5:$D$117,$F9+1)-INDEX(Loads!$D$5:$D$117,$F9))/(INDEX(Loads!$C$5:$C$117,$F9+1)-INDEX(Loads!$C$5:$C$117,$F9))*($C9-INDEX(Loads!$C$5:$C$117,$F9))))</f>
        <v>180437.0625</v>
      </c>
      <c r="H9" s="73">
        <f>IF(ISBLANK(INDEX(Loads!$E$5:$E$117,$F9)),"-",INDEX(Loads!$E$5:$E$117,$F9)+IF(NOT(ISERROR($E9)),0,(INDEX(Loads!$E$5:$E$117,$F9+1)-INDEX(Loads!$E$5:$E$117,$F9))/(INDEX(Loads!$C$5:$C$117,$F9+1)-INDEX(Loads!$C$5:$C$117,$F9))*($C9-INDEX(Loads!$C$5:$C$117,$F9))))</f>
        <v>175768.109375</v>
      </c>
      <c r="J9" s="62" t="e">
        <f>MATCH($C9,Loads!$G$5:$G$117,0)</f>
        <v>#N/A</v>
      </c>
      <c r="K9" s="62">
        <f>MATCH($C9,Loads!$G$5:$G$117,1)</f>
        <v>110</v>
      </c>
      <c r="L9" s="73">
        <f>IF(ISBLANK(INDEX(Loads!$H$5:$H$117,$K9)),"-",INDEX(Loads!$H$5:$H$117,$K9)+IF(NOT(ISERROR($J9)),0,(INDEX(Loads!$H$5:$H$117,$K9+1)-INDEX(Loads!$H$5:$H$117,$K9))/(INDEX(Loads!$G$5:$G$117,$K9+1)-INDEX(Loads!$G$5:$G$117,$K9))*($C9-INDEX(Loads!$G$5:$G$117,$K9))))</f>
        <v>-49252.85</v>
      </c>
      <c r="M9" s="73">
        <f>IF(ISBLANK(INDEX(Loads!$I$5:$I$117,$K9)),"-",INDEX(Loads!$I$5:$I$117,$K9)+IF(NOT(ISERROR($J9)),0,(INDEX(Loads!$I$5:$I$117,$K9+1)-INDEX(Loads!$I$5:$I$117,$K9))/(INDEX(Loads!$G$5:$G$117,$K9+1)-INDEX(Loads!$G$5:$G$117,$K9))*($C9-INDEX(Loads!$G$5:$G$117,$K9))))</f>
        <v>63720.217499999999</v>
      </c>
      <c r="N9" s="73">
        <f>IF(ISBLANK(INDEX(Loads!$J$5:$J$117,$K9)),"-",INDEX(Loads!$J$5:$J$117,$K9)+IF(NOT(ISERROR($J9)),0,(INDEX(Loads!$J$5:$J$117,$K9+1)-INDEX(Loads!$J$5:$J$117,$K9))/(INDEX(Loads!$G$5:$G$117,$K9+1)-INDEX(Loads!$G$5:$G$117,$K9))*($C9-INDEX(Loads!$G$5:$G$117,$K9))))</f>
        <v>795511.71562500007</v>
      </c>
      <c r="O9" s="73">
        <f>IF(ISBLANK(INDEX(Loads!$K$5:$K$117,$K9)),"-",INDEX(Loads!$K$5:$K$117,$K9)+IF(NOT(ISERROR($J9)),0,(INDEX(Loads!$K$5:$K$117,$K9+1)-INDEX(Loads!$K$5:$K$117,$K9))/(INDEX(Loads!$G$5:$G$117,$K9+1)-INDEX(Loads!$G$5:$G$117,$K9))*($C9-INDEX(Loads!$G$5:$G$117,$K9))))</f>
        <v>7364.3475312500013</v>
      </c>
      <c r="Q9" t="e">
        <f>MATCH($C9,Loads!$M$5:$M$117,0)</f>
        <v>#N/A</v>
      </c>
      <c r="R9">
        <f>MATCH($C9,Loads!$M$5:$M$117,1)</f>
        <v>110</v>
      </c>
      <c r="S9" s="73">
        <f>IF(ISBLANK(INDEX(Loads!$N$5:$N$117,$R9)),"-",INDEX(Loads!$N$5:$N$117,$K9)+IF(NOT(ISERROR($Q9)),0,(INDEX(Loads!$N$5:$N$117,$R9+1)-INDEX(Loads!$N$5:$N$117,$R9))/(INDEX(Loads!$M$5:$M$117,$R9+1)-INDEX(Loads!$M$5:$M$117,$R9))*($C9-INDEX(Loads!$M$5:$M$117,$R9))))</f>
        <v>-36483.596250000002</v>
      </c>
      <c r="T9" s="73">
        <f>IF(ISBLANK(INDEX(Loads!$O$5:$O$117,$R9)),"-",INDEX(Loads!$O$5:$O$117,$K9)+IF(NOT(ISERROR($Q9)),0,(INDEX(Loads!$O$5:$O$117,$R9+1)-INDEX(Loads!$O$5:$O$117,$R9))/(INDEX(Loads!$M$5:$M$117,$R9+1)-INDEX(Loads!$M$5:$M$117,$R9))*($C9-INDEX(Loads!$M$5:$M$117,$R9))))</f>
        <v>603017.890625</v>
      </c>
      <c r="U9" s="73">
        <f>IF(ISBLANK(INDEX(Loads!$P$5:$P$117,$R9)),"-",INDEX(Loads!$P$5:$P$117,$K9)+IF(NOT(ISERROR($Q9)),0,(INDEX(Loads!$P$5:$P$117,$R9+1)-INDEX(Loads!$P$5:$P$117,$R9))/(INDEX(Loads!$M$5:$M$117,$R9+1)-INDEX(Loads!$M$5:$M$117,$R9))*($C9-INDEX(Loads!$M$5:$M$117,$R9))))</f>
        <v>5455.0724062500012</v>
      </c>
    </row>
    <row r="10" spans="3:21">
      <c r="C10" s="72">
        <f>Geometry!E13</f>
        <v>9.5</v>
      </c>
      <c r="E10" s="62" t="e">
        <f>MATCH($C10,Loads!$C$5:$C$117,0)</f>
        <v>#N/A</v>
      </c>
      <c r="F10" s="62">
        <f>MATCH($C10,Loads!$C$5:$C$117,1)</f>
        <v>109</v>
      </c>
      <c r="G10" s="73">
        <f>IF(ISBLANK(INDEX(Loads!$D$5:$D$117,$F10)),"-",INDEX(Loads!$D$5:$D$117,$F10)+IF(NOT(ISERROR($E10)),0,(INDEX(Loads!$D$5:$D$117,$F10+1)-INDEX(Loads!$D$5:$D$117,$F10))/(INDEX(Loads!$C$5:$C$117,$F10+1)-INDEX(Loads!$C$5:$C$117,$F10))*($C10-INDEX(Loads!$C$5:$C$117,$F10))))</f>
        <v>185469.45</v>
      </c>
      <c r="H10" s="73">
        <f>IF(ISBLANK(INDEX(Loads!$E$5:$E$117,$F10)),"-",INDEX(Loads!$E$5:$E$117,$F10)+IF(NOT(ISERROR($E10)),0,(INDEX(Loads!$E$5:$E$117,$F10+1)-INDEX(Loads!$E$5:$E$117,$F10))/(INDEX(Loads!$C$5:$C$117,$F10+1)-INDEX(Loads!$C$5:$C$117,$F10))*($C10-INDEX(Loads!$C$5:$C$117,$F10))))</f>
        <v>180678.91666666666</v>
      </c>
      <c r="J10" s="62" t="e">
        <f>MATCH($C10,Loads!$G$5:$G$117,0)</f>
        <v>#N/A</v>
      </c>
      <c r="K10" s="62">
        <f>MATCH($C10,Loads!$G$5:$G$117,1)</f>
        <v>109</v>
      </c>
      <c r="L10" s="73">
        <f>IF(ISBLANK(INDEX(Loads!$H$5:$H$117,$K10)),"-",INDEX(Loads!$H$5:$H$117,$K10)+IF(NOT(ISERROR($J10)),0,(INDEX(Loads!$H$5:$H$117,$K10+1)-INDEX(Loads!$H$5:$H$117,$K10))/(INDEX(Loads!$G$5:$G$117,$K10+1)-INDEX(Loads!$G$5:$G$117,$K10))*($C10-INDEX(Loads!$G$5:$G$117,$K10))))</f>
        <v>-50342.570666666667</v>
      </c>
      <c r="M10" s="73">
        <f>IF(ISBLANK(INDEX(Loads!$I$5:$I$117,$K10)),"-",INDEX(Loads!$I$5:$I$117,$K10)+IF(NOT(ISERROR($J10)),0,(INDEX(Loads!$I$5:$I$117,$K10+1)-INDEX(Loads!$I$5:$I$117,$K10))/(INDEX(Loads!$G$5:$G$117,$K10+1)-INDEX(Loads!$G$5:$G$117,$K10))*($C10-INDEX(Loads!$G$5:$G$117,$K10))))</f>
        <v>63727.137999999999</v>
      </c>
      <c r="N10" s="73">
        <f>IF(ISBLANK(INDEX(Loads!$J$5:$J$117,$K10)),"-",INDEX(Loads!$J$5:$J$117,$K10)+IF(NOT(ISERROR($J10)),0,(INDEX(Loads!$J$5:$J$117,$K10+1)-INDEX(Loads!$J$5:$J$117,$K10))/(INDEX(Loads!$G$5:$G$117,$K10+1)-INDEX(Loads!$G$5:$G$117,$K10))*($C10-INDEX(Loads!$G$5:$G$117,$K10))))</f>
        <v>819937.39333333343</v>
      </c>
      <c r="O10" s="73">
        <f>IF(ISBLANK(INDEX(Loads!$K$5:$K$117,$K10)),"-",INDEX(Loads!$K$5:$K$117,$K10)+IF(NOT(ISERROR($J10)),0,(INDEX(Loads!$K$5:$K$117,$K10+1)-INDEX(Loads!$K$5:$K$117,$K10))/(INDEX(Loads!$G$5:$G$117,$K10+1)-INDEX(Loads!$G$5:$G$117,$K10))*($C10-INDEX(Loads!$G$5:$G$117,$K10))))</f>
        <v>11680.335266666669</v>
      </c>
      <c r="Q10" t="e">
        <f>MATCH($C10,Loads!$M$5:$M$117,0)</f>
        <v>#N/A</v>
      </c>
      <c r="R10">
        <f>MATCH($C10,Loads!$M$5:$M$117,1)</f>
        <v>109</v>
      </c>
      <c r="S10" s="73">
        <f>IF(ISBLANK(INDEX(Loads!$N$5:$N$117,$R10)),"-",INDEX(Loads!$N$5:$N$117,$K10)+IF(NOT(ISERROR($Q10)),0,(INDEX(Loads!$N$5:$N$117,$R10+1)-INDEX(Loads!$N$5:$N$117,$R10))/(INDEX(Loads!$M$5:$M$117,$R10+1)-INDEX(Loads!$M$5:$M$117,$R10))*($C10-INDEX(Loads!$M$5:$M$117,$R10))))</f>
        <v>-37290.790999999997</v>
      </c>
      <c r="T10" s="73">
        <f>IF(ISBLANK(INDEX(Loads!$O$5:$O$117,$R10)),"-",INDEX(Loads!$O$5:$O$117,$K10)+IF(NOT(ISERROR($Q10)),0,(INDEX(Loads!$O$5:$O$117,$R10+1)-INDEX(Loads!$O$5:$O$117,$R10))/(INDEX(Loads!$M$5:$M$117,$R10+1)-INDEX(Loads!$M$5:$M$117,$R10))*($C10-INDEX(Loads!$M$5:$M$117,$R10))))</f>
        <v>621535.94333333336</v>
      </c>
      <c r="U10" s="73">
        <f>IF(ISBLANK(INDEX(Loads!$P$5:$P$117,$R10)),"-",INDEX(Loads!$P$5:$P$117,$K10)+IF(NOT(ISERROR($Q10)),0,(INDEX(Loads!$P$5:$P$117,$R10+1)-INDEX(Loads!$P$5:$P$117,$R10))/(INDEX(Loads!$M$5:$M$117,$R10+1)-INDEX(Loads!$M$5:$M$117,$R10))*($C10-INDEX(Loads!$M$5:$M$117,$R10))))</f>
        <v>8652.1027000000013</v>
      </c>
    </row>
    <row r="11" spans="3:21">
      <c r="C11" s="72">
        <f>Geometry!E14</f>
        <v>5.8</v>
      </c>
      <c r="E11" s="62" t="e">
        <f>MATCH($C11,Loads!$C$5:$C$117,0)</f>
        <v>#N/A</v>
      </c>
      <c r="F11" s="62">
        <f>MATCH($C11,Loads!$C$5:$C$117,1)</f>
        <v>107</v>
      </c>
      <c r="G11" s="73">
        <f>IF(ISBLANK(INDEX(Loads!$D$5:$D$117,$F11)),"-",INDEX(Loads!$D$5:$D$117,$F11)+IF(NOT(ISERROR($E11)),0,(INDEX(Loads!$D$5:$D$117,$F11+1)-INDEX(Loads!$D$5:$D$117,$F11))/(INDEX(Loads!$C$5:$C$117,$F11+1)-INDEX(Loads!$C$5:$C$117,$F11))*($C11-INDEX(Loads!$C$5:$C$117,$F11))))</f>
        <v>190446.5</v>
      </c>
      <c r="H11" s="73">
        <f>IF(ISBLANK(INDEX(Loads!$E$5:$E$117,$F11)),"-",INDEX(Loads!$E$5:$E$117,$F11)+IF(NOT(ISERROR($E11)),0,(INDEX(Loads!$E$5:$E$117,$F11+1)-INDEX(Loads!$E$5:$E$117,$F11))/(INDEX(Loads!$C$5:$C$117,$F11+1)-INDEX(Loads!$C$5:$C$117,$F11))*($C11-INDEX(Loads!$C$5:$C$117,$F11))))</f>
        <v>185392.5</v>
      </c>
      <c r="J11" s="62" t="e">
        <f>MATCH($C11,Loads!$G$5:$G$117,0)</f>
        <v>#N/A</v>
      </c>
      <c r="K11" s="62">
        <f>MATCH($C11,Loads!$G$5:$G$117,1)</f>
        <v>107</v>
      </c>
      <c r="L11" s="73">
        <f>IF(ISBLANK(INDEX(Loads!$H$5:$H$117,$K11)),"-",INDEX(Loads!$H$5:$H$117,$K11)+IF(NOT(ISERROR($J11)),0,(INDEX(Loads!$H$5:$H$117,$K11+1)-INDEX(Loads!$H$5:$H$117,$K11))/(INDEX(Loads!$G$5:$G$117,$K11+1)-INDEX(Loads!$G$5:$G$117,$K11))*($C11-INDEX(Loads!$G$5:$G$117,$K11))))</f>
        <v>-51357.09</v>
      </c>
      <c r="M11" s="73">
        <f>IF(ISBLANK(INDEX(Loads!$I$5:$I$117,$K11)),"-",INDEX(Loads!$I$5:$I$117,$K11)+IF(NOT(ISERROR($J11)),0,(INDEX(Loads!$I$5:$I$117,$K11+1)-INDEX(Loads!$I$5:$I$117,$K11))/(INDEX(Loads!$G$5:$G$117,$K11+1)-INDEX(Loads!$G$5:$G$117,$K11))*($C11-INDEX(Loads!$G$5:$G$117,$K11))))</f>
        <v>63733.01</v>
      </c>
      <c r="N11" s="73">
        <f>IF(ISBLANK(INDEX(Loads!$J$5:$J$117,$K11)),"-",INDEX(Loads!$J$5:$J$117,$K11)+IF(NOT(ISERROR($J11)),0,(INDEX(Loads!$J$5:$J$117,$K11+1)-INDEX(Loads!$J$5:$J$117,$K11))/(INDEX(Loads!$G$5:$G$117,$K11+1)-INDEX(Loads!$G$5:$G$117,$K11))*($C11-INDEX(Loads!$G$5:$G$117,$K11))))</f>
        <v>843020.80000000005</v>
      </c>
      <c r="O11" s="73">
        <f>IF(ISBLANK(INDEX(Loads!$K$5:$K$117,$K11)),"-",INDEX(Loads!$K$5:$K$117,$K11)+IF(NOT(ISERROR($J11)),0,(INDEX(Loads!$K$5:$K$117,$K11+1)-INDEX(Loads!$K$5:$K$117,$K11))/(INDEX(Loads!$G$5:$G$117,$K11+1)-INDEX(Loads!$G$5:$G$117,$K11))*($C11-INDEX(Loads!$G$5:$G$117,$K11))))</f>
        <v>12569.77</v>
      </c>
      <c r="Q11" t="e">
        <f>MATCH($C11,Loads!$M$5:$M$117,0)</f>
        <v>#N/A</v>
      </c>
      <c r="R11">
        <f>MATCH($C11,Loads!$M$5:$M$117,1)</f>
        <v>107</v>
      </c>
      <c r="S11" s="73">
        <f>IF(ISBLANK(INDEX(Loads!$N$5:$N$117,$R11)),"-",INDEX(Loads!$N$5:$N$117,$K11)+IF(NOT(ISERROR($Q11)),0,(INDEX(Loads!$N$5:$N$117,$R11+1)-INDEX(Loads!$N$5:$N$117,$R11))/(INDEX(Loads!$M$5:$M$117,$R11+1)-INDEX(Loads!$M$5:$M$117,$R11))*($C11-INDEX(Loads!$M$5:$M$117,$R11))))</f>
        <v>-38042.29</v>
      </c>
      <c r="T11" s="73">
        <f>IF(ISBLANK(INDEX(Loads!$O$5:$O$117,$R11)),"-",INDEX(Loads!$O$5:$O$117,$K11)+IF(NOT(ISERROR($Q11)),0,(INDEX(Loads!$O$5:$O$117,$R11+1)-INDEX(Loads!$O$5:$O$117,$R11))/(INDEX(Loads!$M$5:$M$117,$R11+1)-INDEX(Loads!$M$5:$M$117,$R11))*($C11-INDEX(Loads!$M$5:$M$117,$R11))))</f>
        <v>639032.80000000005</v>
      </c>
      <c r="U11" s="73">
        <f>IF(ISBLANK(INDEX(Loads!$P$5:$P$117,$R11)),"-",INDEX(Loads!$P$5:$P$117,$K11)+IF(NOT(ISERROR($Q11)),0,(INDEX(Loads!$P$5:$P$117,$R11+1)-INDEX(Loads!$P$5:$P$117,$R11))/(INDEX(Loads!$M$5:$M$117,$R11+1)-INDEX(Loads!$M$5:$M$117,$R11))*($C11-INDEX(Loads!$M$5:$M$117,$R11))))</f>
        <v>9310.9380000000001</v>
      </c>
    </row>
    <row r="14" spans="3:21">
      <c r="C14" s="35" t="s">
        <v>211</v>
      </c>
      <c r="E14" s="62"/>
      <c r="F14" s="62"/>
      <c r="J14" s="62"/>
      <c r="K14" s="62"/>
    </row>
    <row r="15" spans="3:21">
      <c r="E15" s="62"/>
      <c r="F15" s="62"/>
      <c r="G15" s="305" t="s">
        <v>281</v>
      </c>
      <c r="H15" s="306"/>
      <c r="J15" s="62"/>
      <c r="K15" s="62"/>
      <c r="L15" s="305" t="s">
        <v>217</v>
      </c>
      <c r="M15" s="307"/>
      <c r="N15" s="307"/>
      <c r="O15" s="306"/>
      <c r="S15" s="305" t="s">
        <v>218</v>
      </c>
      <c r="T15" s="307"/>
      <c r="U15" s="306"/>
    </row>
    <row r="16" spans="3:21">
      <c r="C16" s="70" t="s">
        <v>330</v>
      </c>
      <c r="E16" s="62"/>
      <c r="F16" s="62"/>
      <c r="G16" s="70" t="s">
        <v>264</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265</v>
      </c>
      <c r="M17" s="70" t="s">
        <v>20</v>
      </c>
      <c r="N17" s="70" t="s">
        <v>20</v>
      </c>
      <c r="O17" s="70" t="s">
        <v>265</v>
      </c>
      <c r="S17" s="70" t="s">
        <v>265</v>
      </c>
      <c r="T17" s="70" t="s">
        <v>20</v>
      </c>
      <c r="U17" s="70" t="s">
        <v>265</v>
      </c>
    </row>
    <row r="18" spans="3:21">
      <c r="C18" s="72">
        <f>Geometry!D26</f>
        <v>5.8</v>
      </c>
      <c r="E18" s="62" t="e">
        <f>MATCH($C18,Loads!$C$5:$C$117,0)</f>
        <v>#N/A</v>
      </c>
      <c r="F18" s="62">
        <f>MATCH($C18,Loads!$C$5:$C$117,1)</f>
        <v>107</v>
      </c>
      <c r="G18" s="73">
        <f>IF(ISBLANK(INDEX(Loads!$D$5:$D$117,$F18)),"-",INDEX(Loads!$D$5:$D$117,$F18)+IF(NOT(ISERROR($E18)),0,(INDEX(Loads!$D$5:$D$117,$F18+1)-INDEX(Loads!$D$5:$D$117,$F18))/(INDEX(Loads!$C$5:$C$117,$F18+1)-INDEX(Loads!$C$5:$C$117,$F18))*($C18-INDEX(Loads!$C$5:$C$117,$F18))))</f>
        <v>190446.5</v>
      </c>
      <c r="H18" s="73">
        <f>IF(ISBLANK(INDEX(Loads!$E$5:$E$117,$F18)),"-",INDEX(Loads!$E$5:$E$117,$F18)+IF(NOT(ISERROR($E18)),0,(INDEX(Loads!$E$5:$E$117,$F18+1)-INDEX(Loads!$E$5:$E$117,$F18))/(INDEX(Loads!$C$5:$C$117,$F18+1)-INDEX(Loads!$C$5:$C$117,$F18))*($C18-INDEX(Loads!$C$5:$C$117,$F18))))</f>
        <v>185392.5</v>
      </c>
      <c r="J18" s="62" t="e">
        <f>MATCH($C18,Loads!$G$5:$G$117,0)</f>
        <v>#N/A</v>
      </c>
      <c r="K18" s="62">
        <f>MATCH($C18,Loads!$G$5:$G$117,1)</f>
        <v>107</v>
      </c>
      <c r="L18" s="73">
        <f>IF(ISBLANK(INDEX(Loads!$H$5:$H$117,$K18)),"-",INDEX(Loads!$H$5:$H$117,$K18)+IF(NOT(ISERROR($J18)),0,(INDEX(Loads!$H$5:$H$117,$K18+1)-INDEX(Loads!$H$5:$H$117,$K18))/(INDEX(Loads!$G$5:$G$117,$K18+1)-INDEX(Loads!$G$5:$G$117,$K18))*($C18-INDEX(Loads!$G$5:$G$117,$K18))))</f>
        <v>-51357.09</v>
      </c>
      <c r="M18" s="73">
        <f>IF(ISBLANK(INDEX(Loads!$I$5:$I$117,$K18)),"-",INDEX(Loads!$I$5:$I$117,$K18)+IF(NOT(ISERROR($J18)),0,(INDEX(Loads!$I$5:$I$117,$K18+1)-INDEX(Loads!$I$5:$I$117,$K18))/(INDEX(Loads!$G$5:$G$117,$K18+1)-INDEX(Loads!$G$5:$G$117,$K18))*($C18-INDEX(Loads!$G$5:$G$117,$K18))))</f>
        <v>63733.01</v>
      </c>
      <c r="N18" s="73">
        <f>IF(ISBLANK(INDEX(Loads!$J$5:$J$117,$K18)),"-",INDEX(Loads!$J$5:$J$117,$K18)+IF(NOT(ISERROR($J18)),0,(INDEX(Loads!$J$5:$J$117,$K18+1)-INDEX(Loads!$J$5:$J$117,$K18))/(INDEX(Loads!$G$5:$G$117,$K18+1)-INDEX(Loads!$G$5:$G$117,$K18))*($C18-INDEX(Loads!$G$5:$G$117,$K18))))</f>
        <v>843020.80000000005</v>
      </c>
      <c r="O18" s="73">
        <f>IF(ISBLANK(INDEX(Loads!$K$5:$K$117,$K18)),"-",INDEX(Loads!$K$5:$K$117,$K18)+IF(NOT(ISERROR($J18)),0,(INDEX(Loads!$K$5:$K$117,$K18+1)-INDEX(Loads!$K$5:$K$117,$K18))/(INDEX(Loads!$G$5:$G$117,$K18+1)-INDEX(Loads!$G$5:$G$117,$K18))*($C18-INDEX(Loads!$G$5:$G$117,$K18))))</f>
        <v>12569.77</v>
      </c>
      <c r="Q18" t="e">
        <f>MATCH($C18,Loads!$M$5:$M$117,0)</f>
        <v>#N/A</v>
      </c>
      <c r="R18">
        <f>MATCH($C18,Loads!$M$5:$M$117,1)</f>
        <v>107</v>
      </c>
      <c r="S18" s="73">
        <f>IF(ISBLANK(INDEX(Loads!$N$5:$N$117,$R18)),"-",INDEX(Loads!$N$5:$N$117,$K18)+IF(NOT(ISERROR($Q18)),0,(INDEX(Loads!$N$5:$N$117,$R18+1)-INDEX(Loads!$N$5:$N$117,$R18))/(INDEX(Loads!$M$5:$M$117,$R18+1)-INDEX(Loads!$M$5:$M$117,$R18))*($C18-INDEX(Loads!$M$5:$M$117,$R18))))</f>
        <v>-38042.29</v>
      </c>
      <c r="T18" s="73">
        <f>IF(ISBLANK(INDEX(Loads!$O$5:$O$117,$R18)),"-",INDEX(Loads!$O$5:$O$117,$K18)+IF(NOT(ISERROR($Q18)),0,(INDEX(Loads!$O$5:$O$117,$R18+1)-INDEX(Loads!$O$5:$O$117,$R18))/(INDEX(Loads!$M$5:$M$117,$R18+1)-INDEX(Loads!$M$5:$M$117,$R18))*($C18-INDEX(Loads!$M$5:$M$117,$R18))))</f>
        <v>639032.80000000005</v>
      </c>
      <c r="U18" s="73">
        <f>IF(ISBLANK(INDEX(Loads!$P$5:$P$117,$R18)),"-",INDEX(Loads!$P$5:$P$117,$K18)+IF(NOT(ISERROR($Q18)),0,(INDEX(Loads!$P$5:$P$117,$R18+1)-INDEX(Loads!$P$5:$P$117,$R18))/(INDEX(Loads!$M$5:$M$117,$R18+1)-INDEX(Loads!$M$5:$M$117,$R18))*($C18-INDEX(Loads!$M$5:$M$117,$R18))))</f>
        <v>9310.9380000000001</v>
      </c>
    </row>
    <row r="19" spans="3:21">
      <c r="C19" s="72">
        <f>Geometry!E26</f>
        <v>2.6</v>
      </c>
      <c r="E19" s="62" t="e">
        <f>MATCH($C19,Loads!$C$5:$C$117,0)</f>
        <v>#N/A</v>
      </c>
      <c r="F19" s="62">
        <f>MATCH($C19,Loads!$C$5:$C$117,1)</f>
        <v>106</v>
      </c>
      <c r="G19" s="73">
        <f>IF(ISBLANK(INDEX(Loads!$D$5:$D$117,$F19)),"-",INDEX(Loads!$D$5:$D$117,$F19)+IF(NOT(ISERROR($E19)),0,(INDEX(Loads!$D$5:$D$117,$F19+1)-INDEX(Loads!$D$5:$D$117,$F19))/(INDEX(Loads!$C$5:$C$117,$F19+1)-INDEX(Loads!$C$5:$C$117,$F19))*($C19-INDEX(Loads!$C$5:$C$117,$F19))))</f>
        <v>195130</v>
      </c>
      <c r="H19" s="73">
        <f>IF(ISBLANK(INDEX(Loads!$E$5:$E$117,$F19)),"-",INDEX(Loads!$E$5:$E$117,$F19)+IF(NOT(ISERROR($E19)),0,(INDEX(Loads!$E$5:$E$117,$F19+1)-INDEX(Loads!$E$5:$E$117,$F19))/(INDEX(Loads!$C$5:$C$117,$F19+1)-INDEX(Loads!$C$5:$C$117,$F19))*($C19-INDEX(Loads!$C$5:$C$117,$F19))))</f>
        <v>189753</v>
      </c>
      <c r="J19" s="62" t="e">
        <f>MATCH($C19,Loads!$G$5:$G$117,0)</f>
        <v>#N/A</v>
      </c>
      <c r="K19" s="62">
        <f>MATCH($C19,Loads!$G$5:$G$117,1)</f>
        <v>106</v>
      </c>
      <c r="L19" s="73">
        <f>IF(ISBLANK(INDEX(Loads!$H$5:$H$117,$K19)),"-",INDEX(Loads!$H$5:$H$117,$K19)+IF(NOT(ISERROR($J19)),0,(INDEX(Loads!$H$5:$H$117,$K19+1)-INDEX(Loads!$H$5:$H$117,$K19))/(INDEX(Loads!$G$5:$G$117,$K19+1)-INDEX(Loads!$G$5:$G$117,$K19))*($C19-INDEX(Loads!$G$5:$G$117,$K19))))</f>
        <v>-53455.19</v>
      </c>
      <c r="M19" s="73">
        <f>IF(ISBLANK(INDEX(Loads!$I$5:$I$117,$K19)),"-",INDEX(Loads!$I$5:$I$117,$K19)+IF(NOT(ISERROR($J19)),0,(INDEX(Loads!$I$5:$I$117,$K19+1)-INDEX(Loads!$I$5:$I$117,$K19))/(INDEX(Loads!$G$5:$G$117,$K19+1)-INDEX(Loads!$G$5:$G$117,$K19))*($C19-INDEX(Loads!$G$5:$G$117,$K19))))</f>
        <v>63738.28</v>
      </c>
      <c r="N19" s="73">
        <f>IF(ISBLANK(INDEX(Loads!$J$5:$J$117,$K19)),"-",INDEX(Loads!$J$5:$J$117,$K19)+IF(NOT(ISERROR($J19)),0,(INDEX(Loads!$J$5:$J$117,$K19+1)-INDEX(Loads!$J$5:$J$117,$K19))/(INDEX(Loads!$G$5:$G$117,$K19+1)-INDEX(Loads!$G$5:$G$117,$K19))*($C19-INDEX(Loads!$G$5:$G$117,$K19))))</f>
        <v>863442.9</v>
      </c>
      <c r="O19" s="73">
        <f>IF(ISBLANK(INDEX(Loads!$K$5:$K$117,$K19)),"-",INDEX(Loads!$K$5:$K$117,$K19)+IF(NOT(ISERROR($J19)),0,(INDEX(Loads!$K$5:$K$117,$K19+1)-INDEX(Loads!$K$5:$K$117,$K19))/(INDEX(Loads!$G$5:$G$117,$K19+1)-INDEX(Loads!$G$5:$G$117,$K19))*($C19-INDEX(Loads!$G$5:$G$117,$K19))))</f>
        <v>12159.55</v>
      </c>
      <c r="Q19" t="e">
        <f>MATCH($C19,Loads!$M$5:$M$117,0)</f>
        <v>#N/A</v>
      </c>
      <c r="R19">
        <f>MATCH($C19,Loads!$M$5:$M$117,1)</f>
        <v>106</v>
      </c>
      <c r="S19" s="73">
        <f>IF(ISBLANK(INDEX(Loads!$N$5:$N$117,$R19)),"-",INDEX(Loads!$N$5:$N$117,$K19)+IF(NOT(ISERROR($Q19)),0,(INDEX(Loads!$N$5:$N$117,$R19+1)-INDEX(Loads!$N$5:$N$117,$R19))/(INDEX(Loads!$M$5:$M$117,$R19+1)-INDEX(Loads!$M$5:$M$117,$R19))*($C19-INDEX(Loads!$M$5:$M$117,$R19))))</f>
        <v>-39596.43</v>
      </c>
      <c r="T19" s="73">
        <f>IF(ISBLANK(INDEX(Loads!$O$5:$O$117,$R19)),"-",INDEX(Loads!$O$5:$O$117,$K19)+IF(NOT(ISERROR($Q19)),0,(INDEX(Loads!$O$5:$O$117,$R19+1)-INDEX(Loads!$O$5:$O$117,$R19))/(INDEX(Loads!$M$5:$M$117,$R19+1)-INDEX(Loads!$M$5:$M$117,$R19))*($C19-INDEX(Loads!$M$5:$M$117,$R19))))</f>
        <v>654520.80000000005</v>
      </c>
      <c r="U19" s="73">
        <f>IF(ISBLANK(INDEX(Loads!$P$5:$P$117,$R19)),"-",INDEX(Loads!$P$5:$P$117,$K19)+IF(NOT(ISERROR($Q19)),0,(INDEX(Loads!$P$5:$P$117,$R19+1)-INDEX(Loads!$P$5:$P$117,$R19))/(INDEX(Loads!$M$5:$M$117,$R19+1)-INDEX(Loads!$M$5:$M$117,$R19))*($C19-INDEX(Loads!$M$5:$M$117,$R19))))</f>
        <v>9007.0709999999999</v>
      </c>
    </row>
    <row r="20" spans="3:21">
      <c r="C20" s="72">
        <f>Geometry!E27</f>
        <v>-0.6</v>
      </c>
      <c r="E20" s="62" t="e">
        <f>MATCH($C20,Loads!$C$5:$C$117,0)</f>
        <v>#N/A</v>
      </c>
      <c r="F20" s="62">
        <f>MATCH($C20,Loads!$C$5:$C$117,1)</f>
        <v>105</v>
      </c>
      <c r="G20" s="73">
        <f>IF(ISBLANK(INDEX(Loads!$D$5:$D$117,$F20)),"-",INDEX(Loads!$D$5:$D$117,$F20)+IF(NOT(ISERROR($E20)),0,(INDEX(Loads!$D$5:$D$117,$F20+1)-INDEX(Loads!$D$5:$D$117,$F20))/(INDEX(Loads!$C$5:$C$117,$F20+1)-INDEX(Loads!$C$5:$C$117,$F20))*($C20-INDEX(Loads!$C$5:$C$117,$F20))))</f>
        <v>199699.5</v>
      </c>
      <c r="H20" s="73">
        <f>IF(ISBLANK(INDEX(Loads!$E$5:$E$117,$F20)),"-",INDEX(Loads!$E$5:$E$117,$F20)+IF(NOT(ISERROR($E20)),0,(INDEX(Loads!$E$5:$E$117,$F20+1)-INDEX(Loads!$E$5:$E$117,$F20))/(INDEX(Loads!$C$5:$C$117,$F20+1)-INDEX(Loads!$C$5:$C$117,$F20))*($C20-INDEX(Loads!$C$5:$C$117,$F20))))</f>
        <v>194009</v>
      </c>
      <c r="J20" s="62" t="e">
        <f>MATCH($C20,Loads!$G$5:$G$117,0)</f>
        <v>#N/A</v>
      </c>
      <c r="K20" s="62">
        <f>MATCH($C20,Loads!$G$5:$G$117,1)</f>
        <v>105</v>
      </c>
      <c r="L20" s="73">
        <f>IF(ISBLANK(INDEX(Loads!$H$5:$H$117,$K20)),"-",INDEX(Loads!$H$5:$H$117,$K20)+IF(NOT(ISERROR($J20)),0,(INDEX(Loads!$H$5:$H$117,$K20+1)-INDEX(Loads!$H$5:$H$117,$K20))/(INDEX(Loads!$G$5:$G$117,$K20+1)-INDEX(Loads!$G$5:$G$117,$K20))*($C20-INDEX(Loads!$G$5:$G$117,$K20))))</f>
        <v>-56049.11</v>
      </c>
      <c r="M20" s="73">
        <f>IF(ISBLANK(INDEX(Loads!$I$5:$I$117,$K20)),"-",INDEX(Loads!$I$5:$I$117,$K20)+IF(NOT(ISERROR($J20)),0,(INDEX(Loads!$I$5:$I$117,$K20+1)-INDEX(Loads!$I$5:$I$117,$K20))/(INDEX(Loads!$G$5:$G$117,$K20+1)-INDEX(Loads!$G$5:$G$117,$K20))*($C20-INDEX(Loads!$G$5:$G$117,$K20))))</f>
        <v>63744.05</v>
      </c>
      <c r="N20" s="73">
        <f>IF(ISBLANK(INDEX(Loads!$J$5:$J$117,$K20)),"-",INDEX(Loads!$J$5:$J$117,$K20)+IF(NOT(ISERROR($J20)),0,(INDEX(Loads!$J$5:$J$117,$K20+1)-INDEX(Loads!$J$5:$J$117,$K20))/(INDEX(Loads!$G$5:$G$117,$K20+1)-INDEX(Loads!$G$5:$G$117,$K20))*($C20-INDEX(Loads!$G$5:$G$117,$K20))))</f>
        <v>884568</v>
      </c>
      <c r="O20" s="73">
        <f>IF(ISBLANK(INDEX(Loads!$K$5:$K$117,$K20)),"-",INDEX(Loads!$K$5:$K$117,$K20)+IF(NOT(ISERROR($J20)),0,(INDEX(Loads!$K$5:$K$117,$K20+1)-INDEX(Loads!$K$5:$K$117,$K20))/(INDEX(Loads!$G$5:$G$117,$K20+1)-INDEX(Loads!$G$5:$G$117,$K20))*($C20-INDEX(Loads!$G$5:$G$117,$K20))))</f>
        <v>11838.44</v>
      </c>
      <c r="Q20" t="e">
        <f>MATCH($C20,Loads!$M$5:$M$117,0)</f>
        <v>#N/A</v>
      </c>
      <c r="R20">
        <f>MATCH($C20,Loads!$M$5:$M$117,1)</f>
        <v>105</v>
      </c>
      <c r="S20" s="73">
        <f>IF(ISBLANK(INDEX(Loads!$N$5:$N$117,$R20)),"-",INDEX(Loads!$N$5:$N$117,$K20)+IF(NOT(ISERROR($Q20)),0,(INDEX(Loads!$N$5:$N$117,$R20+1)-INDEX(Loads!$N$5:$N$117,$R20))/(INDEX(Loads!$M$5:$M$117,$R20+1)-INDEX(Loads!$M$5:$M$117,$R20))*($C20-INDEX(Loads!$M$5:$M$117,$R20))))</f>
        <v>-41517.86</v>
      </c>
      <c r="T20" s="73">
        <f>IF(ISBLANK(INDEX(Loads!$O$5:$O$117,$R20)),"-",INDEX(Loads!$O$5:$O$117,$K20)+IF(NOT(ISERROR($Q20)),0,(INDEX(Loads!$O$5:$O$117,$R20+1)-INDEX(Loads!$O$5:$O$117,$R20))/(INDEX(Loads!$M$5:$M$117,$R20+1)-INDEX(Loads!$M$5:$M$117,$R20))*($C20-INDEX(Loads!$M$5:$M$117,$R20))))</f>
        <v>670550.6</v>
      </c>
      <c r="U20" s="73">
        <f>IF(ISBLANK(INDEX(Loads!$P$5:$P$117,$R20)),"-",INDEX(Loads!$P$5:$P$117,$K20)+IF(NOT(ISERROR($Q20)),0,(INDEX(Loads!$P$5:$P$117,$R20+1)-INDEX(Loads!$P$5:$P$117,$R20))/(INDEX(Loads!$M$5:$M$117,$R20+1)-INDEX(Loads!$M$5:$M$117,$R20))*($C20-INDEX(Loads!$M$5:$M$117,$R20))))</f>
        <v>8769.2129999999997</v>
      </c>
    </row>
    <row r="21" spans="3:21">
      <c r="C21" s="72">
        <f>Geometry!E28</f>
        <v>-3.8</v>
      </c>
      <c r="E21" s="62" t="e">
        <f>MATCH($C21,Loads!$C$5:$C$117,0)</f>
        <v>#N/A</v>
      </c>
      <c r="F21" s="62">
        <f>MATCH($C21,Loads!$C$5:$C$117,1)</f>
        <v>104</v>
      </c>
      <c r="G21" s="73">
        <f>IF(ISBLANK(INDEX(Loads!$D$5:$D$117,$F21)),"-",INDEX(Loads!$D$5:$D$117,$F21)+IF(NOT(ISERROR($E21)),0,(INDEX(Loads!$D$5:$D$117,$F21+1)-INDEX(Loads!$D$5:$D$117,$F21))/(INDEX(Loads!$C$5:$C$117,$F21+1)-INDEX(Loads!$C$5:$C$117,$F21))*($C21-INDEX(Loads!$C$5:$C$117,$F21))))</f>
        <v>203965</v>
      </c>
      <c r="H21" s="73">
        <f>IF(ISBLANK(INDEX(Loads!$E$5:$E$117,$F21)),"-",INDEX(Loads!$E$5:$E$117,$F21)+IF(NOT(ISERROR($E21)),0,(INDEX(Loads!$E$5:$E$117,$F21+1)-INDEX(Loads!$E$5:$E$117,$F21))/(INDEX(Loads!$C$5:$C$117,$F21+1)-INDEX(Loads!$C$5:$C$117,$F21))*($C21-INDEX(Loads!$C$5:$C$117,$F21))))</f>
        <v>197942</v>
      </c>
      <c r="J21" s="62" t="e">
        <f>MATCH($C21,Loads!$G$5:$G$117,0)</f>
        <v>#N/A</v>
      </c>
      <c r="K21" s="62">
        <f>MATCH($C21,Loads!$G$5:$G$117,1)</f>
        <v>104</v>
      </c>
      <c r="L21" s="73">
        <f>IF(ISBLANK(INDEX(Loads!$H$5:$H$117,$K21)),"-",INDEX(Loads!$H$5:$H$117,$K21)+IF(NOT(ISERROR($J21)),0,(INDEX(Loads!$H$5:$H$117,$K21+1)-INDEX(Loads!$H$5:$H$117,$K21))/(INDEX(Loads!$G$5:$G$117,$K21+1)-INDEX(Loads!$G$5:$G$117,$K21))*($C21-INDEX(Loads!$G$5:$G$117,$K21))))</f>
        <v>-57356.5</v>
      </c>
      <c r="M21" s="73">
        <f>IF(ISBLANK(INDEX(Loads!$I$5:$I$117,$K21)),"-",INDEX(Loads!$I$5:$I$117,$K21)+IF(NOT(ISERROR($J21)),0,(INDEX(Loads!$I$5:$I$117,$K21+1)-INDEX(Loads!$I$5:$I$117,$K21))/(INDEX(Loads!$G$5:$G$117,$K21+1)-INDEX(Loads!$G$5:$G$117,$K21))*($C21-INDEX(Loads!$G$5:$G$117,$K21))))</f>
        <v>63749.38</v>
      </c>
      <c r="N21" s="73">
        <f>IF(ISBLANK(INDEX(Loads!$J$5:$J$117,$K21)),"-",INDEX(Loads!$J$5:$J$117,$K21)+IF(NOT(ISERROR($J21)),0,(INDEX(Loads!$J$5:$J$117,$K21+1)-INDEX(Loads!$J$5:$J$117,$K21))/(INDEX(Loads!$G$5:$G$117,$K21+1)-INDEX(Loads!$G$5:$G$117,$K21))*($C21-INDEX(Loads!$G$5:$G$117,$K21))))</f>
        <v>906885.3</v>
      </c>
      <c r="O21" s="73">
        <f>IF(ISBLANK(INDEX(Loads!$K$5:$K$117,$K21)),"-",INDEX(Loads!$K$5:$K$117,$K21)+IF(NOT(ISERROR($J21)),0,(INDEX(Loads!$K$5:$K$117,$K21+1)-INDEX(Loads!$K$5:$K$117,$K21))/(INDEX(Loads!$G$5:$G$117,$K21+1)-INDEX(Loads!$G$5:$G$117,$K21))*($C21-INDEX(Loads!$G$5:$G$117,$K21))))</f>
        <v>11168.14</v>
      </c>
      <c r="Q21" t="e">
        <f>MATCH($C21,Loads!$M$5:$M$117,0)</f>
        <v>#N/A</v>
      </c>
      <c r="R21">
        <f>MATCH($C21,Loads!$M$5:$M$117,1)</f>
        <v>104</v>
      </c>
      <c r="S21" s="73">
        <f>IF(ISBLANK(INDEX(Loads!$N$5:$N$117,$R21)),"-",INDEX(Loads!$N$5:$N$117,$K21)+IF(NOT(ISERROR($Q21)),0,(INDEX(Loads!$N$5:$N$117,$R21+1)-INDEX(Loads!$N$5:$N$117,$R21))/(INDEX(Loads!$M$5:$M$117,$R21+1)-INDEX(Loads!$M$5:$M$117,$R21))*($C21-INDEX(Loads!$M$5:$M$117,$R21))))</f>
        <v>-42486.29</v>
      </c>
      <c r="T21" s="73">
        <f>IF(ISBLANK(INDEX(Loads!$O$5:$O$117,$R21)),"-",INDEX(Loads!$O$5:$O$117,$K21)+IF(NOT(ISERROR($Q21)),0,(INDEX(Loads!$O$5:$O$117,$R21+1)-INDEX(Loads!$O$5:$O$117,$R21))/(INDEX(Loads!$M$5:$M$117,$R21+1)-INDEX(Loads!$M$5:$M$117,$R21))*($C21-INDEX(Loads!$M$5:$M$117,$R21))))</f>
        <v>687506.6</v>
      </c>
      <c r="U21" s="73">
        <f>IF(ISBLANK(INDEX(Loads!$P$5:$P$117,$R21)),"-",INDEX(Loads!$P$5:$P$117,$K21)+IF(NOT(ISERROR($Q21)),0,(INDEX(Loads!$P$5:$P$117,$R21+1)-INDEX(Loads!$P$5:$P$117,$R21))/(INDEX(Loads!$M$5:$M$117,$R21+1)-INDEX(Loads!$M$5:$M$117,$R21))*($C21-INDEX(Loads!$M$5:$M$117,$R21))))</f>
        <v>8272.6980000000003</v>
      </c>
    </row>
    <row r="22" spans="3:21">
      <c r="C22" s="72">
        <f>Geometry!E29</f>
        <v>-7.3</v>
      </c>
      <c r="E22" s="62" t="e">
        <f>MATCH($C22,Loads!$C$5:$C$117,0)</f>
        <v>#N/A</v>
      </c>
      <c r="F22" s="62">
        <f>MATCH($C22,Loads!$C$5:$C$117,1)</f>
        <v>104</v>
      </c>
      <c r="G22" s="73">
        <f>IF(ISBLANK(INDEX(Loads!$D$5:$D$117,$F22)),"-",INDEX(Loads!$D$5:$D$117,$F22)+IF(NOT(ISERROR($E22)),0,(INDEX(Loads!$D$5:$D$117,$F22+1)-INDEX(Loads!$D$5:$D$117,$F22))/(INDEX(Loads!$C$5:$C$117,$F22+1)-INDEX(Loads!$C$5:$C$117,$F22))*($C22-INDEX(Loads!$C$5:$C$117,$F22))))</f>
        <v>208382.5</v>
      </c>
      <c r="H22" s="73">
        <f>IF(ISBLANK(INDEX(Loads!$E$5:$E$117,$F22)),"-",INDEX(Loads!$E$5:$E$117,$F22)+IF(NOT(ISERROR($E22)),0,(INDEX(Loads!$E$5:$E$117,$F22+1)-INDEX(Loads!$E$5:$E$117,$F22))/(INDEX(Loads!$C$5:$C$117,$F22+1)-INDEX(Loads!$C$5:$C$117,$F22))*($C22-INDEX(Loads!$C$5:$C$117,$F22))))</f>
        <v>202055.5</v>
      </c>
      <c r="J22" s="62" t="e">
        <f>MATCH($C22,Loads!$G$5:$G$117,0)</f>
        <v>#N/A</v>
      </c>
      <c r="K22" s="62">
        <f>MATCH($C22,Loads!$G$5:$G$117,1)</f>
        <v>104</v>
      </c>
      <c r="L22" s="73">
        <f>IF(ISBLANK(INDEX(Loads!$H$5:$H$117,$K22)),"-",INDEX(Loads!$H$5:$H$117,$K22)+IF(NOT(ISERROR($J22)),0,(INDEX(Loads!$H$5:$H$117,$K22+1)-INDEX(Loads!$H$5:$H$117,$K22))/(INDEX(Loads!$G$5:$G$117,$K22+1)-INDEX(Loads!$G$5:$G$117,$K22))*($C22-INDEX(Loads!$G$5:$G$117,$K22))))</f>
        <v>-58854.57</v>
      </c>
      <c r="M22" s="73">
        <f>IF(ISBLANK(INDEX(Loads!$I$5:$I$117,$K22)),"-",INDEX(Loads!$I$5:$I$117,$K22)+IF(NOT(ISERROR($J22)),0,(INDEX(Loads!$I$5:$I$117,$K22+1)-INDEX(Loads!$I$5:$I$117,$K22))/(INDEX(Loads!$G$5:$G$117,$K22+1)-INDEX(Loads!$G$5:$G$117,$K22))*($C22-INDEX(Loads!$G$5:$G$117,$K22))))</f>
        <v>63754.91</v>
      </c>
      <c r="N22" s="73">
        <f>IF(ISBLANK(INDEX(Loads!$J$5:$J$117,$K22)),"-",INDEX(Loads!$J$5:$J$117,$K22)+IF(NOT(ISERROR($J22)),0,(INDEX(Loads!$J$5:$J$117,$K22+1)-INDEX(Loads!$J$5:$J$117,$K22))/(INDEX(Loads!$G$5:$G$117,$K22+1)-INDEX(Loads!$G$5:$G$117,$K22))*($C22-INDEX(Loads!$G$5:$G$117,$K22))))</f>
        <v>932837</v>
      </c>
      <c r="O22" s="73">
        <f>IF(ISBLANK(INDEX(Loads!$K$5:$K$117,$K22)),"-",INDEX(Loads!$K$5:$K$117,$K22)+IF(NOT(ISERROR($J22)),0,(INDEX(Loads!$K$5:$K$117,$K22+1)-INDEX(Loads!$K$5:$K$117,$K22))/(INDEX(Loads!$G$5:$G$117,$K22+1)-INDEX(Loads!$G$5:$G$117,$K22))*($C22-INDEX(Loads!$G$5:$G$117,$K22))))</f>
        <v>11425.93</v>
      </c>
      <c r="Q22" t="e">
        <f>MATCH($C22,Loads!$M$5:$M$117,0)</f>
        <v>#N/A</v>
      </c>
      <c r="R22">
        <f>MATCH($C22,Loads!$M$5:$M$117,1)</f>
        <v>104</v>
      </c>
      <c r="S22" s="73">
        <f>IF(ISBLANK(INDEX(Loads!$N$5:$N$117,$R22)),"-",INDEX(Loads!$N$5:$N$117,$K22)+IF(NOT(ISERROR($Q22)),0,(INDEX(Loads!$N$5:$N$117,$R22+1)-INDEX(Loads!$N$5:$N$117,$R22))/(INDEX(Loads!$M$5:$M$117,$R22+1)-INDEX(Loads!$M$5:$M$117,$R22))*($C22-INDEX(Loads!$M$5:$M$117,$R22))))</f>
        <v>-43595.98</v>
      </c>
      <c r="T22" s="73">
        <f>IF(ISBLANK(INDEX(Loads!$O$5:$O$117,$R22)),"-",INDEX(Loads!$O$5:$O$117,$K22)+IF(NOT(ISERROR($Q22)),0,(INDEX(Loads!$O$5:$O$117,$R22+1)-INDEX(Loads!$O$5:$O$117,$R22))/(INDEX(Loads!$M$5:$M$117,$R22+1)-INDEX(Loads!$M$5:$M$117,$R22))*($C22-INDEX(Loads!$M$5:$M$117,$R22))))</f>
        <v>707244.6</v>
      </c>
      <c r="U22" s="73">
        <f>IF(ISBLANK(INDEX(Loads!$P$5:$P$117,$R22)),"-",INDEX(Loads!$P$5:$P$117,$K22)+IF(NOT(ISERROR($Q22)),0,(INDEX(Loads!$P$5:$P$117,$R22+1)-INDEX(Loads!$P$5:$P$117,$R22))/(INDEX(Loads!$M$5:$M$117,$R22+1)-INDEX(Loads!$M$5:$M$117,$R22))*($C22-INDEX(Loads!$M$5:$M$117,$R22))))</f>
        <v>8463.652</v>
      </c>
    </row>
    <row r="23" spans="3:21">
      <c r="C23" s="72">
        <f>Geometry!E30</f>
        <v>-10.8</v>
      </c>
      <c r="E23" s="62" t="e">
        <f>MATCH($C23,Loads!$C$5:$C$117,0)</f>
        <v>#N/A</v>
      </c>
      <c r="F23" s="62">
        <f>MATCH($C23,Loads!$C$5:$C$117,1)</f>
        <v>102</v>
      </c>
      <c r="G23" s="73">
        <f>IF(ISBLANK(INDEX(Loads!$D$5:$D$117,$F23)),"-",INDEX(Loads!$D$5:$D$117,$F23)+IF(NOT(ISERROR($E23)),0,(INDEX(Loads!$D$5:$D$117,$F23+1)-INDEX(Loads!$D$5:$D$117,$F23))/(INDEX(Loads!$C$5:$C$117,$F23+1)-INDEX(Loads!$C$5:$C$117,$F23))*($C23-INDEX(Loads!$C$5:$C$117,$F23))))</f>
        <v>212847.5</v>
      </c>
      <c r="H23" s="73">
        <f>IF(ISBLANK(INDEX(Loads!$E$5:$E$117,$F23)),"-",INDEX(Loads!$E$5:$E$117,$F23)+IF(NOT(ISERROR($E23)),0,(INDEX(Loads!$E$5:$E$117,$F23+1)-INDEX(Loads!$E$5:$E$117,$F23))/(INDEX(Loads!$C$5:$C$117,$F23+1)-INDEX(Loads!$C$5:$C$117,$F23))*($C23-INDEX(Loads!$C$5:$C$117,$F23))))</f>
        <v>206178.5</v>
      </c>
      <c r="J23" s="62" t="e">
        <f>MATCH($C23,Loads!$G$5:$G$117,0)</f>
        <v>#N/A</v>
      </c>
      <c r="K23" s="62">
        <f>MATCH($C23,Loads!$G$5:$G$117,1)</f>
        <v>102</v>
      </c>
      <c r="L23" s="73">
        <f>IF(ISBLANK(INDEX(Loads!$H$5:$H$117,$K23)),"-",INDEX(Loads!$H$5:$H$117,$K23)+IF(NOT(ISERROR($J23)),0,(INDEX(Loads!$H$5:$H$117,$K23+1)-INDEX(Loads!$H$5:$H$117,$K23))/(INDEX(Loads!$G$5:$G$117,$K23+1)-INDEX(Loads!$G$5:$G$117,$K23))*($C23-INDEX(Loads!$G$5:$G$117,$K23))))</f>
        <v>-60141.599999999999</v>
      </c>
      <c r="M23" s="73">
        <f>IF(ISBLANK(INDEX(Loads!$I$5:$I$117,$K23)),"-",INDEX(Loads!$I$5:$I$117,$K23)+IF(NOT(ISERROR($J23)),0,(INDEX(Loads!$I$5:$I$117,$K23+1)-INDEX(Loads!$I$5:$I$117,$K23))/(INDEX(Loads!$G$5:$G$117,$K23+1)-INDEX(Loads!$G$5:$G$117,$K23))*($C23-INDEX(Loads!$G$5:$G$117,$K23))))</f>
        <v>63760.15</v>
      </c>
      <c r="N23" s="73">
        <f>IF(ISBLANK(INDEX(Loads!$J$5:$J$117,$K23)),"-",INDEX(Loads!$J$5:$J$117,$K23)+IF(NOT(ISERROR($J23)),0,(INDEX(Loads!$J$5:$J$117,$K23+1)-INDEX(Loads!$J$5:$J$117,$K23))/(INDEX(Loads!$G$5:$G$117,$K23+1)-INDEX(Loads!$G$5:$G$117,$K23))*($C23-INDEX(Loads!$G$5:$G$117,$K23))))</f>
        <v>961709.3</v>
      </c>
      <c r="O23" s="73">
        <f>IF(ISBLANK(INDEX(Loads!$K$5:$K$117,$K23)),"-",INDEX(Loads!$K$5:$K$117,$K23)+IF(NOT(ISERROR($J23)),0,(INDEX(Loads!$K$5:$K$117,$K23+1)-INDEX(Loads!$K$5:$K$117,$K23))/(INDEX(Loads!$G$5:$G$117,$K23+1)-INDEX(Loads!$G$5:$G$117,$K23))*($C23-INDEX(Loads!$G$5:$G$117,$K23))))</f>
        <v>12302.17</v>
      </c>
      <c r="Q23" t="e">
        <f>MATCH($C23,Loads!$M$5:$M$117,0)</f>
        <v>#N/A</v>
      </c>
      <c r="R23">
        <f>MATCH($C23,Loads!$M$5:$M$117,1)</f>
        <v>102</v>
      </c>
      <c r="S23" s="73">
        <f>IF(ISBLANK(INDEX(Loads!$N$5:$N$117,$R23)),"-",INDEX(Loads!$N$5:$N$117,$K23)+IF(NOT(ISERROR($Q23)),0,(INDEX(Loads!$N$5:$N$117,$R23+1)-INDEX(Loads!$N$5:$N$117,$R23))/(INDEX(Loads!$M$5:$M$117,$R23+1)-INDEX(Loads!$M$5:$M$117,$R23))*($C23-INDEX(Loads!$M$5:$M$117,$R23))))</f>
        <v>-44549.34</v>
      </c>
      <c r="T23" s="73">
        <f>IF(ISBLANK(INDEX(Loads!$O$5:$O$117,$R23)),"-",INDEX(Loads!$O$5:$O$117,$K23)+IF(NOT(ISERROR($Q23)),0,(INDEX(Loads!$O$5:$O$117,$R23+1)-INDEX(Loads!$O$5:$O$117,$R23))/(INDEX(Loads!$M$5:$M$117,$R23+1)-INDEX(Loads!$M$5:$M$117,$R23))*($C23-INDEX(Loads!$M$5:$M$117,$R23))))</f>
        <v>729202.3</v>
      </c>
      <c r="U23" s="73">
        <f>IF(ISBLANK(INDEX(Loads!$P$5:$P$117,$R23)),"-",INDEX(Loads!$P$5:$P$117,$K23)+IF(NOT(ISERROR($Q23)),0,(INDEX(Loads!$P$5:$P$117,$R23+1)-INDEX(Loads!$P$5:$P$117,$R23))/(INDEX(Loads!$M$5:$M$117,$R23+1)-INDEX(Loads!$M$5:$M$117,$R23))*($C23-INDEX(Loads!$M$5:$M$117,$R23))))</f>
        <v>9112.7199999999993</v>
      </c>
    </row>
    <row r="24" spans="3:21">
      <c r="C24" s="72">
        <f>Geometry!E31</f>
        <v>-14.3</v>
      </c>
      <c r="E24" s="62" t="e">
        <f>MATCH($C24,Loads!$C$5:$C$117,0)</f>
        <v>#N/A</v>
      </c>
      <c r="F24" s="62">
        <f>MATCH($C24,Loads!$C$5:$C$117,1)</f>
        <v>101</v>
      </c>
      <c r="G24" s="73">
        <f>IF(ISBLANK(INDEX(Loads!$D$5:$D$117,$F24)),"-",INDEX(Loads!$D$5:$D$117,$F24)+IF(NOT(ISERROR($E24)),0,(INDEX(Loads!$D$5:$D$117,$F24+1)-INDEX(Loads!$D$5:$D$117,$F24))/(INDEX(Loads!$C$5:$C$117,$F24+1)-INDEX(Loads!$C$5:$C$117,$F24))*($C24-INDEX(Loads!$C$5:$C$117,$F24))))</f>
        <v>217863.5</v>
      </c>
      <c r="H24" s="73">
        <f>IF(ISBLANK(INDEX(Loads!$E$5:$E$117,$F24)),"-",INDEX(Loads!$E$5:$E$117,$F24)+IF(NOT(ISERROR($E24)),0,(INDEX(Loads!$E$5:$E$117,$F24+1)-INDEX(Loads!$E$5:$E$117,$F24))/(INDEX(Loads!$C$5:$C$117,$F24+1)-INDEX(Loads!$C$5:$C$117,$F24))*($C24-INDEX(Loads!$C$5:$C$117,$F24))))</f>
        <v>210672</v>
      </c>
      <c r="J24" s="62" t="e">
        <f>MATCH($C24,Loads!$G$5:$G$117,0)</f>
        <v>#N/A</v>
      </c>
      <c r="K24" s="62">
        <f>MATCH($C24,Loads!$G$5:$G$117,1)</f>
        <v>101</v>
      </c>
      <c r="L24" s="73">
        <f>IF(ISBLANK(INDEX(Loads!$H$5:$H$117,$K24)),"-",INDEX(Loads!$H$5:$H$117,$K24)+IF(NOT(ISERROR($J24)),0,(INDEX(Loads!$H$5:$H$117,$K24+1)-INDEX(Loads!$H$5:$H$117,$K24))/(INDEX(Loads!$G$5:$G$117,$K24+1)-INDEX(Loads!$G$5:$G$117,$K24))*($C24-INDEX(Loads!$G$5:$G$117,$K24))))</f>
        <v>-61495.11</v>
      </c>
      <c r="M24" s="73">
        <f>IF(ISBLANK(INDEX(Loads!$I$5:$I$117,$K24)),"-",INDEX(Loads!$I$5:$I$117,$K24)+IF(NOT(ISERROR($J24)),0,(INDEX(Loads!$I$5:$I$117,$K24+1)-INDEX(Loads!$I$5:$I$117,$K24))/(INDEX(Loads!$G$5:$G$117,$K24+1)-INDEX(Loads!$G$5:$G$117,$K24))*($C24-INDEX(Loads!$G$5:$G$117,$K24))))</f>
        <v>63764.87</v>
      </c>
      <c r="N24" s="73">
        <f>IF(ISBLANK(INDEX(Loads!$J$5:$J$117,$K24)),"-",INDEX(Loads!$J$5:$J$117,$K24)+IF(NOT(ISERROR($J24)),0,(INDEX(Loads!$J$5:$J$117,$K24+1)-INDEX(Loads!$J$5:$J$117,$K24))/(INDEX(Loads!$G$5:$G$117,$K24+1)-INDEX(Loads!$G$5:$G$117,$K24))*($C24-INDEX(Loads!$G$5:$G$117,$K24))))</f>
        <v>994119.1</v>
      </c>
      <c r="O24" s="73">
        <f>IF(ISBLANK(INDEX(Loads!$K$5:$K$117,$K24)),"-",INDEX(Loads!$K$5:$K$117,$K24)+IF(NOT(ISERROR($J24)),0,(INDEX(Loads!$K$5:$K$117,$K24+1)-INDEX(Loads!$K$5:$K$117,$K24))/(INDEX(Loads!$G$5:$G$117,$K24+1)-INDEX(Loads!$G$5:$G$117,$K24))*($C24-INDEX(Loads!$G$5:$G$117,$K24))))</f>
        <v>13416.49</v>
      </c>
      <c r="Q24" t="e">
        <f>MATCH($C24,Loads!$M$5:$M$117,0)</f>
        <v>#N/A</v>
      </c>
      <c r="R24">
        <f>MATCH($C24,Loads!$M$5:$M$117,1)</f>
        <v>101</v>
      </c>
      <c r="S24" s="73">
        <f>IF(ISBLANK(INDEX(Loads!$N$5:$N$117,$R24)),"-",INDEX(Loads!$N$5:$N$117,$K24)+IF(NOT(ISERROR($Q24)),0,(INDEX(Loads!$N$5:$N$117,$R24+1)-INDEX(Loads!$N$5:$N$117,$R24))/(INDEX(Loads!$M$5:$M$117,$R24+1)-INDEX(Loads!$M$5:$M$117,$R24))*($C24-INDEX(Loads!$M$5:$M$117,$R24))))</f>
        <v>-45551.93</v>
      </c>
      <c r="T24" s="73">
        <f>IF(ISBLANK(INDEX(Loads!$O$5:$O$117,$R24)),"-",INDEX(Loads!$O$5:$O$117,$K24)+IF(NOT(ISERROR($Q24)),0,(INDEX(Loads!$O$5:$O$117,$R24+1)-INDEX(Loads!$O$5:$O$117,$R24))/(INDEX(Loads!$M$5:$M$117,$R24+1)-INDEX(Loads!$M$5:$M$117,$R24))*($C24-INDEX(Loads!$M$5:$M$117,$R24))))</f>
        <v>753843.8</v>
      </c>
      <c r="U24" s="73">
        <f>IF(ISBLANK(INDEX(Loads!$P$5:$P$117,$R24)),"-",INDEX(Loads!$P$5:$P$117,$K24)+IF(NOT(ISERROR($Q24)),0,(INDEX(Loads!$P$5:$P$117,$R24+1)-INDEX(Loads!$P$5:$P$117,$R24))/(INDEX(Loads!$M$5:$M$117,$R24+1)-INDEX(Loads!$M$5:$M$117,$R24))*($C24-INDEX(Loads!$M$5:$M$117,$R24))))</f>
        <v>9938.143</v>
      </c>
    </row>
    <row r="25" spans="3:21">
      <c r="C25" s="72">
        <f>Geometry!E32</f>
        <v>-17.8</v>
      </c>
      <c r="E25" s="62" t="e">
        <f>MATCH($C25,Loads!$C$5:$C$117,0)</f>
        <v>#N/A</v>
      </c>
      <c r="F25" s="62">
        <f>MATCH($C25,Loads!$C$5:$C$117,1)</f>
        <v>100</v>
      </c>
      <c r="G25" s="73">
        <f>IF(ISBLANK(INDEX(Loads!$D$5:$D$117,$F25)),"-",INDEX(Loads!$D$5:$D$117,$F25)+IF(NOT(ISERROR($E25)),0,(INDEX(Loads!$D$5:$D$117,$F25+1)-INDEX(Loads!$D$5:$D$117,$F25))/(INDEX(Loads!$C$5:$C$117,$F25+1)-INDEX(Loads!$C$5:$C$117,$F25))*($C25-INDEX(Loads!$C$5:$C$117,$F25))))</f>
        <v>223497</v>
      </c>
      <c r="H25" s="73">
        <f>IF(ISBLANK(INDEX(Loads!$E$5:$E$117,$F25)),"-",INDEX(Loads!$E$5:$E$117,$F25)+IF(NOT(ISERROR($E25)),0,(INDEX(Loads!$E$5:$E$117,$F25+1)-INDEX(Loads!$E$5:$E$117,$F25))/(INDEX(Loads!$C$5:$C$117,$F25+1)-INDEX(Loads!$C$5:$C$117,$F25))*($C25-INDEX(Loads!$C$5:$C$117,$F25))))</f>
        <v>215659.5</v>
      </c>
      <c r="J25" s="62" t="e">
        <f>MATCH($C25,Loads!$G$5:$G$117,0)</f>
        <v>#N/A</v>
      </c>
      <c r="K25" s="62">
        <f>MATCH($C25,Loads!$G$5:$G$117,1)</f>
        <v>100</v>
      </c>
      <c r="L25" s="73">
        <f>IF(ISBLANK(INDEX(Loads!$H$5:$H$117,$K25)),"-",INDEX(Loads!$H$5:$H$117,$K25)+IF(NOT(ISERROR($J25)),0,(INDEX(Loads!$H$5:$H$117,$K25+1)-INDEX(Loads!$H$5:$H$117,$K25))/(INDEX(Loads!$G$5:$G$117,$K25+1)-INDEX(Loads!$G$5:$G$117,$K25))*($C25-INDEX(Loads!$G$5:$G$117,$K25))))</f>
        <v>-62946.1</v>
      </c>
      <c r="M25" s="73">
        <f>IF(ISBLANK(INDEX(Loads!$I$5:$I$117,$K25)),"-",INDEX(Loads!$I$5:$I$117,$K25)+IF(NOT(ISERROR($J25)),0,(INDEX(Loads!$I$5:$I$117,$K25+1)-INDEX(Loads!$I$5:$I$117,$K25))/(INDEX(Loads!$G$5:$G$117,$K25+1)-INDEX(Loads!$G$5:$G$117,$K25))*($C25-INDEX(Loads!$G$5:$G$117,$K25))))</f>
        <v>63769.31</v>
      </c>
      <c r="N25" s="73">
        <f>IF(ISBLANK(INDEX(Loads!$J$5:$J$117,$K25)),"-",INDEX(Loads!$J$5:$J$117,$K25)+IF(NOT(ISERROR($J25)),0,(INDEX(Loads!$J$5:$J$117,$K25+1)-INDEX(Loads!$J$5:$J$117,$K25))/(INDEX(Loads!$G$5:$G$117,$K25+1)-INDEX(Loads!$G$5:$G$117,$K25))*($C25-INDEX(Loads!$G$5:$G$117,$K25))))</f>
        <v>1028903.7000000001</v>
      </c>
      <c r="O25" s="73">
        <f>IF(ISBLANK(INDEX(Loads!$K$5:$K$117,$K25)),"-",INDEX(Loads!$K$5:$K$117,$K25)+IF(NOT(ISERROR($J25)),0,(INDEX(Loads!$K$5:$K$117,$K25+1)-INDEX(Loads!$K$5:$K$117,$K25))/(INDEX(Loads!$G$5:$G$117,$K25+1)-INDEX(Loads!$G$5:$G$117,$K25))*($C25-INDEX(Loads!$G$5:$G$117,$K25))))</f>
        <v>14250.120000000003</v>
      </c>
      <c r="Q25" t="e">
        <f>MATCH($C25,Loads!$M$5:$M$117,0)</f>
        <v>#N/A</v>
      </c>
      <c r="R25">
        <f>MATCH($C25,Loads!$M$5:$M$117,1)</f>
        <v>100</v>
      </c>
      <c r="S25" s="73">
        <f>IF(ISBLANK(INDEX(Loads!$N$5:$N$117,$R25)),"-",INDEX(Loads!$N$5:$N$117,$K25)+IF(NOT(ISERROR($Q25)),0,(INDEX(Loads!$N$5:$N$117,$R25+1)-INDEX(Loads!$N$5:$N$117,$R25))/(INDEX(Loads!$M$5:$M$117,$R25+1)-INDEX(Loads!$M$5:$M$117,$R25))*($C25-INDEX(Loads!$M$5:$M$117,$R25))))</f>
        <v>-46626.74</v>
      </c>
      <c r="T25" s="73">
        <f>IF(ISBLANK(INDEX(Loads!$O$5:$O$117,$R25)),"-",INDEX(Loads!$O$5:$O$117,$K25)+IF(NOT(ISERROR($Q25)),0,(INDEX(Loads!$O$5:$O$117,$R25+1)-INDEX(Loads!$O$5:$O$117,$R25))/(INDEX(Loads!$M$5:$M$117,$R25+1)-INDEX(Loads!$M$5:$M$117,$R25))*($C25-INDEX(Loads!$M$5:$M$117,$R25))))</f>
        <v>780311.6</v>
      </c>
      <c r="U25" s="73">
        <f>IF(ISBLANK(INDEX(Loads!$P$5:$P$117,$R25)),"-",INDEX(Loads!$P$5:$P$117,$K25)+IF(NOT(ISERROR($Q25)),0,(INDEX(Loads!$P$5:$P$117,$R25+1)-INDEX(Loads!$P$5:$P$117,$R25))/(INDEX(Loads!$M$5:$M$117,$R25+1)-INDEX(Loads!$M$5:$M$117,$R25))*($C25-INDEX(Loads!$M$5:$M$117,$R25))))</f>
        <v>10555.65</v>
      </c>
    </row>
    <row r="26" spans="3:21">
      <c r="C26" s="72">
        <f>Geometry!E33</f>
        <v>-21.3</v>
      </c>
      <c r="E26" s="62" t="e">
        <f>MATCH($C26,Loads!$C$5:$C$117,0)</f>
        <v>#N/A</v>
      </c>
      <c r="F26" s="62">
        <f>MATCH($C26,Loads!$C$5:$C$117,1)</f>
        <v>99</v>
      </c>
      <c r="G26" s="73">
        <f>IF(ISBLANK(INDEX(Loads!$D$5:$D$117,$F26)),"-",INDEX(Loads!$D$5:$D$117,$F26)+IF(NOT(ISERROR($E26)),0,(INDEX(Loads!$D$5:$D$117,$F26+1)-INDEX(Loads!$D$5:$D$117,$F26))/(INDEX(Loads!$C$5:$C$117,$F26+1)-INDEX(Loads!$C$5:$C$117,$F26))*($C26-INDEX(Loads!$C$5:$C$117,$F26))))</f>
        <v>230204</v>
      </c>
      <c r="H26" s="73">
        <f>IF(ISBLANK(INDEX(Loads!$E$5:$E$117,$F26)),"-",INDEX(Loads!$E$5:$E$117,$F26)+IF(NOT(ISERROR($E26)),0,(INDEX(Loads!$E$5:$E$117,$F26+1)-INDEX(Loads!$E$5:$E$117,$F26))/(INDEX(Loads!$C$5:$C$117,$F26+1)-INDEX(Loads!$C$5:$C$117,$F26))*($C26-INDEX(Loads!$C$5:$C$117,$F26))))</f>
        <v>221397.5</v>
      </c>
      <c r="J26" s="62" t="e">
        <f>MATCH($C26,Loads!$G$5:$G$117,0)</f>
        <v>#N/A</v>
      </c>
      <c r="K26" s="62">
        <f>MATCH($C26,Loads!$G$5:$G$117,1)</f>
        <v>99</v>
      </c>
      <c r="L26" s="73">
        <f>IF(ISBLANK(INDEX(Loads!$H$5:$H$117,$K26)),"-",INDEX(Loads!$H$5:$H$117,$K26)+IF(NOT(ISERROR($J26)),0,(INDEX(Loads!$H$5:$H$117,$K26+1)-INDEX(Loads!$H$5:$H$117,$K26))/(INDEX(Loads!$G$5:$G$117,$K26+1)-INDEX(Loads!$G$5:$G$117,$K26))*($C26-INDEX(Loads!$G$5:$G$117,$K26))))</f>
        <v>-64328.91</v>
      </c>
      <c r="M26" s="73">
        <f>IF(ISBLANK(INDEX(Loads!$I$5:$I$117,$K26)),"-",INDEX(Loads!$I$5:$I$117,$K26)+IF(NOT(ISERROR($J26)),0,(INDEX(Loads!$I$5:$I$117,$K26+1)-INDEX(Loads!$I$5:$I$117,$K26))/(INDEX(Loads!$G$5:$G$117,$K26+1)-INDEX(Loads!$G$5:$G$117,$K26))*($C26-INDEX(Loads!$G$5:$G$117,$K26))))</f>
        <v>63773.38</v>
      </c>
      <c r="N26" s="73">
        <f>IF(ISBLANK(INDEX(Loads!$J$5:$J$117,$K26)),"-",INDEX(Loads!$J$5:$J$117,$K26)+IF(NOT(ISERROR($J26)),0,(INDEX(Loads!$J$5:$J$117,$K26+1)-INDEX(Loads!$J$5:$J$117,$K26))/(INDEX(Loads!$G$5:$G$117,$K26+1)-INDEX(Loads!$G$5:$G$117,$K26))*($C26-INDEX(Loads!$G$5:$G$117,$K26))))</f>
        <v>1066017.1000000001</v>
      </c>
      <c r="O26" s="73">
        <f>IF(ISBLANK(INDEX(Loads!$K$5:$K$117,$K26)),"-",INDEX(Loads!$K$5:$K$117,$K26)+IF(NOT(ISERROR($J26)),0,(INDEX(Loads!$K$5:$K$117,$K26+1)-INDEX(Loads!$K$5:$K$117,$K26))/(INDEX(Loads!$G$5:$G$117,$K26+1)-INDEX(Loads!$G$5:$G$117,$K26))*($C26-INDEX(Loads!$G$5:$G$117,$K26))))</f>
        <v>15375.61</v>
      </c>
      <c r="Q26" t="e">
        <f>MATCH($C26,Loads!$M$5:$M$117,0)</f>
        <v>#N/A</v>
      </c>
      <c r="R26">
        <f>MATCH($C26,Loads!$M$5:$M$117,1)</f>
        <v>99</v>
      </c>
      <c r="S26" s="73">
        <f>IF(ISBLANK(INDEX(Loads!$N$5:$N$117,$R26)),"-",INDEX(Loads!$N$5:$N$117,$K26)+IF(NOT(ISERROR($Q26)),0,(INDEX(Loads!$N$5:$N$117,$R26+1)-INDEX(Loads!$N$5:$N$117,$R26))/(INDEX(Loads!$M$5:$M$117,$R26+1)-INDEX(Loads!$M$5:$M$117,$R26))*($C26-INDEX(Loads!$M$5:$M$117,$R26))))</f>
        <v>-47651.05</v>
      </c>
      <c r="T26" s="73">
        <f>IF(ISBLANK(INDEX(Loads!$O$5:$O$117,$R26)),"-",INDEX(Loads!$O$5:$O$117,$K26)+IF(NOT(ISERROR($Q26)),0,(INDEX(Loads!$O$5:$O$117,$R26+1)-INDEX(Loads!$O$5:$O$117,$R26))/(INDEX(Loads!$M$5:$M$117,$R26+1)-INDEX(Loads!$M$5:$M$117,$R26))*($C26-INDEX(Loads!$M$5:$M$117,$R26))))</f>
        <v>808577.4</v>
      </c>
      <c r="U26" s="73">
        <f>IF(ISBLANK(INDEX(Loads!$P$5:$P$117,$R26)),"-",INDEX(Loads!$P$5:$P$117,$K26)+IF(NOT(ISERROR($Q26)),0,(INDEX(Loads!$P$5:$P$117,$R26+1)-INDEX(Loads!$P$5:$P$117,$R26))/(INDEX(Loads!$M$5:$M$117,$R26+1)-INDEX(Loads!$M$5:$M$117,$R26))*($C26-INDEX(Loads!$M$5:$M$117,$R26))))</f>
        <v>11389.34</v>
      </c>
    </row>
    <row r="27" spans="3:21">
      <c r="C27" s="72">
        <f>Geometry!E34</f>
        <v>-24.8</v>
      </c>
      <c r="E27" s="62" t="e">
        <f>MATCH($C27,Loads!$C$5:$C$117,0)</f>
        <v>#N/A</v>
      </c>
      <c r="F27" s="62">
        <f>MATCH($C27,Loads!$C$5:$C$117,1)</f>
        <v>98</v>
      </c>
      <c r="G27" s="73">
        <f>IF(ISBLANK(INDEX(Loads!$D$5:$D$117,$F27)),"-",INDEX(Loads!$D$5:$D$117,$F27)+IF(NOT(ISERROR($E27)),0,(INDEX(Loads!$D$5:$D$117,$F27+1)-INDEX(Loads!$D$5:$D$117,$F27))/(INDEX(Loads!$C$5:$C$117,$F27+1)-INDEX(Loads!$C$5:$C$117,$F27))*($C27-INDEX(Loads!$C$5:$C$117,$F27))))</f>
        <v>238079.5</v>
      </c>
      <c r="H27" s="73">
        <f>IF(ISBLANK(INDEX(Loads!$E$5:$E$117,$F27)),"-",INDEX(Loads!$E$5:$E$117,$F27)+IF(NOT(ISERROR($E27)),0,(INDEX(Loads!$E$5:$E$117,$F27+1)-INDEX(Loads!$E$5:$E$117,$F27))/(INDEX(Loads!$C$5:$C$117,$F27+1)-INDEX(Loads!$C$5:$C$117,$F27))*($C27-INDEX(Loads!$C$5:$C$117,$F27))))</f>
        <v>228047.5</v>
      </c>
      <c r="J27" s="62" t="e">
        <f>MATCH($C27,Loads!$G$5:$G$117,0)</f>
        <v>#N/A</v>
      </c>
      <c r="K27" s="62">
        <f>MATCH($C27,Loads!$G$5:$G$117,1)</f>
        <v>98</v>
      </c>
      <c r="L27" s="73">
        <f>IF(ISBLANK(INDEX(Loads!$H$5:$H$117,$K27)),"-",INDEX(Loads!$H$5:$H$117,$K27)+IF(NOT(ISERROR($J27)),0,(INDEX(Loads!$H$5:$H$117,$K27+1)-INDEX(Loads!$H$5:$H$117,$K27))/(INDEX(Loads!$G$5:$G$117,$K27+1)-INDEX(Loads!$G$5:$G$117,$K27))*($C27-INDEX(Loads!$G$5:$G$117,$K27))))</f>
        <v>-65809.98</v>
      </c>
      <c r="M27" s="73">
        <f>IF(ISBLANK(INDEX(Loads!$I$5:$I$117,$K27)),"-",INDEX(Loads!$I$5:$I$117,$K27)+IF(NOT(ISERROR($J27)),0,(INDEX(Loads!$I$5:$I$117,$K27+1)-INDEX(Loads!$I$5:$I$117,$K27))/(INDEX(Loads!$G$5:$G$117,$K27+1)-INDEX(Loads!$G$5:$G$117,$K27))*($C27-INDEX(Loads!$G$5:$G$117,$K27))))</f>
        <v>63777.01</v>
      </c>
      <c r="N27" s="73">
        <f>IF(ISBLANK(INDEX(Loads!$J$5:$J$117,$K27)),"-",INDEX(Loads!$J$5:$J$117,$K27)+IF(NOT(ISERROR($J27)),0,(INDEX(Loads!$J$5:$J$117,$K27+1)-INDEX(Loads!$J$5:$J$117,$K27))/(INDEX(Loads!$G$5:$G$117,$K27+1)-INDEX(Loads!$G$5:$G$117,$K27))*($C27-INDEX(Loads!$G$5:$G$117,$K27))))</f>
        <v>1106247.6000000001</v>
      </c>
      <c r="O27" s="73">
        <f>IF(ISBLANK(INDEX(Loads!$K$5:$K$117,$K27)),"-",INDEX(Loads!$K$5:$K$117,$K27)+IF(NOT(ISERROR($J27)),0,(INDEX(Loads!$K$5:$K$117,$K27+1)-INDEX(Loads!$K$5:$K$117,$K27))/(INDEX(Loads!$G$5:$G$117,$K27+1)-INDEX(Loads!$G$5:$G$117,$K27))*($C27-INDEX(Loads!$G$5:$G$117,$K27))))</f>
        <v>16280.360000000002</v>
      </c>
      <c r="Q27" t="e">
        <f>MATCH($C27,Loads!$M$5:$M$117,0)</f>
        <v>#N/A</v>
      </c>
      <c r="R27">
        <f>MATCH($C27,Loads!$M$5:$M$117,1)</f>
        <v>98</v>
      </c>
      <c r="S27" s="73">
        <f>IF(ISBLANK(INDEX(Loads!$N$5:$N$117,$R27)),"-",INDEX(Loads!$N$5:$N$117,$K27)+IF(NOT(ISERROR($Q27)),0,(INDEX(Loads!$N$5:$N$117,$R27+1)-INDEX(Loads!$N$5:$N$117,$R27))/(INDEX(Loads!$M$5:$M$117,$R27+1)-INDEX(Loads!$M$5:$M$117,$R27))*($C27-INDEX(Loads!$M$5:$M$117,$R27))))</f>
        <v>-48748.13</v>
      </c>
      <c r="T27" s="73">
        <f>IF(ISBLANK(INDEX(Loads!$O$5:$O$117,$R27)),"-",INDEX(Loads!$O$5:$O$117,$K27)+IF(NOT(ISERROR($Q27)),0,(INDEX(Loads!$O$5:$O$117,$R27+1)-INDEX(Loads!$O$5:$O$117,$R27))/(INDEX(Loads!$M$5:$M$117,$R27+1)-INDEX(Loads!$M$5:$M$117,$R27))*($C27-INDEX(Loads!$M$5:$M$117,$R27))))</f>
        <v>839242.8</v>
      </c>
      <c r="U27" s="73">
        <f>IF(ISBLANK(INDEX(Loads!$P$5:$P$117,$R27)),"-",INDEX(Loads!$P$5:$P$117,$K27)+IF(NOT(ISERROR($Q27)),0,(INDEX(Loads!$P$5:$P$117,$R27+1)-INDEX(Loads!$P$5:$P$117,$R27))/(INDEX(Loads!$M$5:$M$117,$R27+1)-INDEX(Loads!$M$5:$M$117,$R27))*($C27-INDEX(Loads!$M$5:$M$117,$R27))))</f>
        <v>12059.53</v>
      </c>
    </row>
    <row r="28" spans="3:21">
      <c r="C28" s="72">
        <f>Geometry!E35</f>
        <v>-28.3</v>
      </c>
      <c r="E28" s="62" t="e">
        <f>MATCH($C28,Loads!$C$5:$C$117,0)</f>
        <v>#N/A</v>
      </c>
      <c r="F28" s="62">
        <f>MATCH($C28,Loads!$C$5:$C$117,1)</f>
        <v>97</v>
      </c>
      <c r="G28" s="73">
        <f>IF(ISBLANK(INDEX(Loads!$D$5:$D$117,$F28)),"-",INDEX(Loads!$D$5:$D$117,$F28)+IF(NOT(ISERROR($E28)),0,(INDEX(Loads!$D$5:$D$117,$F28+1)-INDEX(Loads!$D$5:$D$117,$F28))/(INDEX(Loads!$C$5:$C$117,$F28+1)-INDEX(Loads!$C$5:$C$117,$F28))*($C28-INDEX(Loads!$C$5:$C$117,$F28))))</f>
        <v>247190</v>
      </c>
      <c r="H28" s="73">
        <f>IF(ISBLANK(INDEX(Loads!$E$5:$E$117,$F28)),"-",INDEX(Loads!$E$5:$E$117,$F28)+IF(NOT(ISERROR($E28)),0,(INDEX(Loads!$E$5:$E$117,$F28+1)-INDEX(Loads!$E$5:$E$117,$F28))/(INDEX(Loads!$C$5:$C$117,$F28+1)-INDEX(Loads!$C$5:$C$117,$F28))*($C28-INDEX(Loads!$C$5:$C$117,$F28))))</f>
        <v>235581</v>
      </c>
      <c r="J28" s="62" t="e">
        <f>MATCH($C28,Loads!$G$5:$G$117,0)</f>
        <v>#N/A</v>
      </c>
      <c r="K28" s="62">
        <f>MATCH($C28,Loads!$G$5:$G$117,1)</f>
        <v>97</v>
      </c>
      <c r="L28" s="73">
        <f>IF(ISBLANK(INDEX(Loads!$H$5:$H$117,$K28)),"-",INDEX(Loads!$H$5:$H$117,$K28)+IF(NOT(ISERROR($J28)),0,(INDEX(Loads!$H$5:$H$117,$K28+1)-INDEX(Loads!$H$5:$H$117,$K28))/(INDEX(Loads!$G$5:$G$117,$K28+1)-INDEX(Loads!$G$5:$G$117,$K28))*($C28-INDEX(Loads!$G$5:$G$117,$K28))))</f>
        <v>-67288.149999999994</v>
      </c>
      <c r="M28" s="73">
        <f>IF(ISBLANK(INDEX(Loads!$I$5:$I$117,$K28)),"-",INDEX(Loads!$I$5:$I$117,$K28)+IF(NOT(ISERROR($J28)),0,(INDEX(Loads!$I$5:$I$117,$K28+1)-INDEX(Loads!$I$5:$I$117,$K28))/(INDEX(Loads!$G$5:$G$117,$K28+1)-INDEX(Loads!$G$5:$G$117,$K28))*($C28-INDEX(Loads!$G$5:$G$117,$K28))))</f>
        <v>63780.18</v>
      </c>
      <c r="N28" s="73">
        <f>IF(ISBLANK(INDEX(Loads!$J$5:$J$117,$K28)),"-",INDEX(Loads!$J$5:$J$117,$K28)+IF(NOT(ISERROR($J28)),0,(INDEX(Loads!$J$5:$J$117,$K28+1)-INDEX(Loads!$J$5:$J$117,$K28))/(INDEX(Loads!$G$5:$G$117,$K28+1)-INDEX(Loads!$G$5:$G$117,$K28))*($C28-INDEX(Loads!$G$5:$G$117,$K28))))</f>
        <v>1152396</v>
      </c>
      <c r="O28" s="73">
        <f>IF(ISBLANK(INDEX(Loads!$K$5:$K$117,$K28)),"-",INDEX(Loads!$K$5:$K$117,$K28)+IF(NOT(ISERROR($J28)),0,(INDEX(Loads!$K$5:$K$117,$K28+1)-INDEX(Loads!$K$5:$K$117,$K28))/(INDEX(Loads!$G$5:$G$117,$K28+1)-INDEX(Loads!$G$5:$G$117,$K28))*($C28-INDEX(Loads!$G$5:$G$117,$K28))))</f>
        <v>17526.3</v>
      </c>
      <c r="Q28" t="e">
        <f>MATCH($C28,Loads!$M$5:$M$117,0)</f>
        <v>#N/A</v>
      </c>
      <c r="R28">
        <f>MATCH($C28,Loads!$M$5:$M$117,1)</f>
        <v>97</v>
      </c>
      <c r="S28" s="73">
        <f>IF(ISBLANK(INDEX(Loads!$N$5:$N$117,$R28)),"-",INDEX(Loads!$N$5:$N$117,$K28)+IF(NOT(ISERROR($Q28)),0,(INDEX(Loads!$N$5:$N$117,$R28+1)-INDEX(Loads!$N$5:$N$117,$R28))/(INDEX(Loads!$M$5:$M$117,$R28+1)-INDEX(Loads!$M$5:$M$117,$R28))*($C28-INDEX(Loads!$M$5:$M$117,$R28))))</f>
        <v>-49843.07</v>
      </c>
      <c r="T28" s="73">
        <f>IF(ISBLANK(INDEX(Loads!$O$5:$O$117,$R28)),"-",INDEX(Loads!$O$5:$O$117,$K28)+IF(NOT(ISERROR($Q28)),0,(INDEX(Loads!$O$5:$O$117,$R28+1)-INDEX(Loads!$O$5:$O$117,$R28))/(INDEX(Loads!$M$5:$M$117,$R28+1)-INDEX(Loads!$M$5:$M$117,$R28))*($C28-INDEX(Loads!$M$5:$M$117,$R28))))</f>
        <v>874363.4</v>
      </c>
      <c r="U28" s="73">
        <f>IF(ISBLANK(INDEX(Loads!$P$5:$P$117,$R28)),"-",INDEX(Loads!$P$5:$P$117,$K28)+IF(NOT(ISERROR($Q28)),0,(INDEX(Loads!$P$5:$P$117,$R28+1)-INDEX(Loads!$P$5:$P$117,$R28))/(INDEX(Loads!$M$5:$M$117,$R28+1)-INDEX(Loads!$M$5:$M$117,$R28))*($C28-INDEX(Loads!$M$5:$M$117,$R28))))</f>
        <v>12982.45</v>
      </c>
    </row>
    <row r="29" spans="3:21">
      <c r="C29" s="72">
        <f>Geometry!E36</f>
        <v>-31.8</v>
      </c>
      <c r="E29" s="62" t="e">
        <f>MATCH($C29,Loads!$C$5:$C$117,0)</f>
        <v>#N/A</v>
      </c>
      <c r="F29" s="62">
        <f>MATCH($C29,Loads!$C$5:$C$117,1)</f>
        <v>96</v>
      </c>
      <c r="G29" s="73">
        <f>IF(ISBLANK(INDEX(Loads!$D$5:$D$117,$F29)),"-",INDEX(Loads!$D$5:$D$117,$F29)+IF(NOT(ISERROR($E29)),0,(INDEX(Loads!$D$5:$D$117,$F29+1)-INDEX(Loads!$D$5:$D$117,$F29))/(INDEX(Loads!$C$5:$C$117,$F29+1)-INDEX(Loads!$C$5:$C$117,$F29))*($C29-INDEX(Loads!$C$5:$C$117,$F29))))</f>
        <v>258362</v>
      </c>
      <c r="H29" s="73">
        <f>IF(ISBLANK(INDEX(Loads!$E$5:$E$117,$F29)),"-",INDEX(Loads!$E$5:$E$117,$F29)+IF(NOT(ISERROR($E29)),0,(INDEX(Loads!$E$5:$E$117,$F29+1)-INDEX(Loads!$E$5:$E$117,$F29))/(INDEX(Loads!$C$5:$C$117,$F29+1)-INDEX(Loads!$C$5:$C$117,$F29))*($C29-INDEX(Loads!$C$5:$C$117,$F29))))</f>
        <v>244805.5</v>
      </c>
      <c r="J29" s="62" t="e">
        <f>MATCH($C29,Loads!$G$5:$G$117,0)</f>
        <v>#N/A</v>
      </c>
      <c r="K29" s="62">
        <f>MATCH($C29,Loads!$G$5:$G$117,1)</f>
        <v>96</v>
      </c>
      <c r="L29" s="73">
        <f>IF(ISBLANK(INDEX(Loads!$H$5:$H$117,$K29)),"-",INDEX(Loads!$H$5:$H$117,$K29)+IF(NOT(ISERROR($J29)),0,(INDEX(Loads!$H$5:$H$117,$K29+1)-INDEX(Loads!$H$5:$H$117,$K29))/(INDEX(Loads!$G$5:$G$117,$K29+1)-INDEX(Loads!$G$5:$G$117,$K29))*($C29-INDEX(Loads!$G$5:$G$117,$K29))))</f>
        <v>-68869.399999999994</v>
      </c>
      <c r="M29" s="73">
        <f>IF(ISBLANK(INDEX(Loads!$I$5:$I$117,$K29)),"-",INDEX(Loads!$I$5:$I$117,$K29)+IF(NOT(ISERROR($J29)),0,(INDEX(Loads!$I$5:$I$117,$K29+1)-INDEX(Loads!$I$5:$I$117,$K29))/(INDEX(Loads!$G$5:$G$117,$K29+1)-INDEX(Loads!$G$5:$G$117,$K29))*($C29-INDEX(Loads!$G$5:$G$117,$K29))))</f>
        <v>63782.91</v>
      </c>
      <c r="N29" s="73">
        <f>IF(ISBLANK(INDEX(Loads!$J$5:$J$117,$K29)),"-",INDEX(Loads!$J$5:$J$117,$K29)+IF(NOT(ISERROR($J29)),0,(INDEX(Loads!$J$5:$J$117,$K29+1)-INDEX(Loads!$J$5:$J$117,$K29))/(INDEX(Loads!$G$5:$G$117,$K29+1)-INDEX(Loads!$G$5:$G$117,$K29))*($C29-INDEX(Loads!$G$5:$G$117,$K29))))</f>
        <v>1202486</v>
      </c>
      <c r="O29" s="73">
        <f>IF(ISBLANK(INDEX(Loads!$K$5:$K$117,$K29)),"-",INDEX(Loads!$K$5:$K$117,$K29)+IF(NOT(ISERROR($J29)),0,(INDEX(Loads!$K$5:$K$117,$K29+1)-INDEX(Loads!$K$5:$K$117,$K29))/(INDEX(Loads!$G$5:$G$117,$K29+1)-INDEX(Loads!$G$5:$G$117,$K29))*($C29-INDEX(Loads!$G$5:$G$117,$K29))))</f>
        <v>18548.93</v>
      </c>
      <c r="Q29" t="e">
        <f>MATCH($C29,Loads!$M$5:$M$117,0)</f>
        <v>#N/A</v>
      </c>
      <c r="R29">
        <f>MATCH($C29,Loads!$M$5:$M$117,1)</f>
        <v>96</v>
      </c>
      <c r="S29" s="73">
        <f>IF(ISBLANK(INDEX(Loads!$N$5:$N$117,$R29)),"-",INDEX(Loads!$N$5:$N$117,$K29)+IF(NOT(ISERROR($Q29)),0,(INDEX(Loads!$N$5:$N$117,$R29+1)-INDEX(Loads!$N$5:$N$117,$R29))/(INDEX(Loads!$M$5:$M$117,$R29+1)-INDEX(Loads!$M$5:$M$117,$R29))*($C29-INDEX(Loads!$M$5:$M$117,$R29))))</f>
        <v>-51014.36</v>
      </c>
      <c r="T29" s="73">
        <f>IF(ISBLANK(INDEX(Loads!$O$5:$O$117,$R29)),"-",INDEX(Loads!$O$5:$O$117,$K29)+IF(NOT(ISERROR($Q29)),0,(INDEX(Loads!$O$5:$O$117,$R29+1)-INDEX(Loads!$O$5:$O$117,$R29))/(INDEX(Loads!$M$5:$M$117,$R29+1)-INDEX(Loads!$M$5:$M$117,$R29))*($C29-INDEX(Loads!$M$5:$M$117,$R29))))</f>
        <v>912492.9</v>
      </c>
      <c r="U29" s="73">
        <f>IF(ISBLANK(INDEX(Loads!$P$5:$P$117,$R29)),"-",INDEX(Loads!$P$5:$P$117,$K29)+IF(NOT(ISERROR($Q29)),0,(INDEX(Loads!$P$5:$P$117,$R29+1)-INDEX(Loads!$P$5:$P$117,$R29))/(INDEX(Loads!$M$5:$M$117,$R29+1)-INDEX(Loads!$M$5:$M$117,$R29))*($C29-INDEX(Loads!$M$5:$M$117,$R29))))</f>
        <v>13739.940000000002</v>
      </c>
    </row>
    <row r="30" spans="3:21">
      <c r="C30" s="72">
        <f>Geometry!E37</f>
        <v>-35.299999999999997</v>
      </c>
      <c r="E30" s="62">
        <f>MATCH($C30,Loads!$C$5:$C$117,0)</f>
        <v>96</v>
      </c>
      <c r="F30" s="62">
        <f>MATCH($C30,Loads!$C$5:$C$117,1)</f>
        <v>96</v>
      </c>
      <c r="G30" s="73">
        <f>IF(ISBLANK(INDEX(Loads!$D$5:$D$117,$F30)),"-",INDEX(Loads!$D$5:$D$117,$F30)+IF(NOT(ISERROR($E30)),0,(INDEX(Loads!$D$5:$D$117,$F30+1)-INDEX(Loads!$D$5:$D$117,$F30))/(INDEX(Loads!$C$5:$C$117,$F30+1)-INDEX(Loads!$C$5:$C$117,$F30))*($C30-INDEX(Loads!$C$5:$C$117,$F30))))</f>
        <v>270845</v>
      </c>
      <c r="H30" s="73">
        <f>IF(ISBLANK(INDEX(Loads!$E$5:$E$117,$F30)),"-",INDEX(Loads!$E$5:$E$117,$F30)+IF(NOT(ISERROR($E30)),0,(INDEX(Loads!$E$5:$E$117,$F30+1)-INDEX(Loads!$E$5:$E$117,$F30))/(INDEX(Loads!$C$5:$C$117,$F30+1)-INDEX(Loads!$C$5:$C$117,$F30))*($C30-INDEX(Loads!$C$5:$C$117,$F30))))</f>
        <v>255075</v>
      </c>
      <c r="J30" s="62">
        <f>MATCH($C30,Loads!$G$5:$G$117,0)</f>
        <v>96</v>
      </c>
      <c r="K30" s="62">
        <f>MATCH($C30,Loads!$G$5:$G$117,1)</f>
        <v>96</v>
      </c>
      <c r="L30" s="73">
        <f>IF(ISBLANK(INDEX(Loads!$H$5:$H$117,$K30)),"-",INDEX(Loads!$H$5:$H$117,$K30)+IF(NOT(ISERROR($J30)),0,(INDEX(Loads!$H$5:$H$117,$K30+1)-INDEX(Loads!$H$5:$H$117,$K30))/(INDEX(Loads!$G$5:$G$117,$K30+1)-INDEX(Loads!$G$5:$G$117,$K30))*($C30-INDEX(Loads!$G$5:$G$117,$K30))))</f>
        <v>-70536.34</v>
      </c>
      <c r="M30" s="73">
        <f>IF(ISBLANK(INDEX(Loads!$I$5:$I$117,$K30)),"-",INDEX(Loads!$I$5:$I$117,$K30)+IF(NOT(ISERROR($J30)),0,(INDEX(Loads!$I$5:$I$117,$K30+1)-INDEX(Loads!$I$5:$I$117,$K30))/(INDEX(Loads!$G$5:$G$117,$K30+1)-INDEX(Loads!$G$5:$G$117,$K30))*($C30-INDEX(Loads!$G$5:$G$117,$K30))))</f>
        <v>63785.05</v>
      </c>
      <c r="N30" s="73">
        <f>IF(ISBLANK(INDEX(Loads!$J$5:$J$117,$K30)),"-",INDEX(Loads!$J$5:$J$117,$K30)+IF(NOT(ISERROR($J30)),0,(INDEX(Loads!$J$5:$J$117,$K30+1)-INDEX(Loads!$J$5:$J$117,$K30))/(INDEX(Loads!$G$5:$G$117,$K30+1)-INDEX(Loads!$G$5:$G$117,$K30))*($C30-INDEX(Loads!$G$5:$G$117,$K30))))</f>
        <v>1255863</v>
      </c>
      <c r="O30" s="73">
        <f>IF(ISBLANK(INDEX(Loads!$K$5:$K$117,$K30)),"-",INDEX(Loads!$K$5:$K$117,$K30)+IF(NOT(ISERROR($J30)),0,(INDEX(Loads!$K$5:$K$117,$K30+1)-INDEX(Loads!$K$5:$K$117,$K30))/(INDEX(Loads!$G$5:$G$117,$K30+1)-INDEX(Loads!$G$5:$G$117,$K30))*($C30-INDEX(Loads!$G$5:$G$117,$K30))))</f>
        <v>19964.150000000001</v>
      </c>
      <c r="Q30">
        <f>MATCH($C30,Loads!$M$5:$M$117,0)</f>
        <v>96</v>
      </c>
      <c r="R30">
        <f>MATCH($C30,Loads!$M$5:$M$117,1)</f>
        <v>96</v>
      </c>
      <c r="S30" s="73">
        <f>IF(ISBLANK(INDEX(Loads!$N$5:$N$117,$R30)),"-",INDEX(Loads!$N$5:$N$117,$K30)+IF(NOT(ISERROR($Q30)),0,(INDEX(Loads!$N$5:$N$117,$R30+1)-INDEX(Loads!$N$5:$N$117,$R30))/(INDEX(Loads!$M$5:$M$117,$R30+1)-INDEX(Loads!$M$5:$M$117,$R30))*($C30-INDEX(Loads!$M$5:$M$117,$R30))))</f>
        <v>-52249.14</v>
      </c>
      <c r="T30" s="73">
        <f>IF(ISBLANK(INDEX(Loads!$O$5:$O$117,$R30)),"-",INDEX(Loads!$O$5:$O$117,$K30)+IF(NOT(ISERROR($Q30)),0,(INDEX(Loads!$O$5:$O$117,$R30+1)-INDEX(Loads!$O$5:$O$117,$R30))/(INDEX(Loads!$M$5:$M$117,$R30+1)-INDEX(Loads!$M$5:$M$117,$R30))*($C30-INDEX(Loads!$M$5:$M$117,$R30))))</f>
        <v>953154.4</v>
      </c>
      <c r="U30" s="73">
        <f>IF(ISBLANK(INDEX(Loads!$P$5:$P$117,$R30)),"-",INDEX(Loads!$P$5:$P$117,$K30)+IF(NOT(ISERROR($Q30)),0,(INDEX(Loads!$P$5:$P$117,$R30+1)-INDEX(Loads!$P$5:$P$117,$R30))/(INDEX(Loads!$M$5:$M$117,$R30+1)-INDEX(Loads!$M$5:$M$117,$R30))*($C30-INDEX(Loads!$M$5:$M$117,$R30))))</f>
        <v>14788.26</v>
      </c>
    </row>
    <row r="31" spans="3:21">
      <c r="C31" s="72">
        <f>Geometry!E38</f>
        <v>-38.6</v>
      </c>
      <c r="E31" s="62" t="e">
        <f>MATCH($C31,Loads!$C$5:$C$117,0)</f>
        <v>#N/A</v>
      </c>
      <c r="F31" s="62">
        <f>MATCH($C31,Loads!$C$5:$C$117,1)</f>
        <v>95</v>
      </c>
      <c r="G31" s="73">
        <f>IF(ISBLANK(INDEX(Loads!$D$5:$D$117,$F31)),"-",INDEX(Loads!$D$5:$D$117,$F31)+IF(NOT(ISERROR($E31)),0,(INDEX(Loads!$D$5:$D$117,$F31+1)-INDEX(Loads!$D$5:$D$117,$F31))/(INDEX(Loads!$C$5:$C$117,$F31+1)-INDEX(Loads!$C$5:$C$117,$F31))*($C31-INDEX(Loads!$C$5:$C$117,$F31))))</f>
        <v>284630.04285714286</v>
      </c>
      <c r="H31" s="73">
        <f>IF(ISBLANK(INDEX(Loads!$E$5:$E$117,$F31)),"-",INDEX(Loads!$E$5:$E$117,$F31)+IF(NOT(ISERROR($E31)),0,(INDEX(Loads!$E$5:$E$117,$F31+1)-INDEX(Loads!$E$5:$E$117,$F31))/(INDEX(Loads!$C$5:$C$117,$F31+1)-INDEX(Loads!$C$5:$C$117,$F31))*($C31-INDEX(Loads!$C$5:$C$117,$F31))))</f>
        <v>266369.95714285714</v>
      </c>
      <c r="J31" s="62" t="e">
        <f>MATCH($C31,Loads!$G$5:$G$117,0)</f>
        <v>#N/A</v>
      </c>
      <c r="K31" s="62">
        <f>MATCH($C31,Loads!$G$5:$G$117,1)</f>
        <v>95</v>
      </c>
      <c r="L31" s="73">
        <f>IF(ISBLANK(INDEX(Loads!$H$5:$H$117,$K31)),"-",INDEX(Loads!$H$5:$H$117,$K31)+IF(NOT(ISERROR($J31)),0,(INDEX(Loads!$H$5:$H$117,$K31+1)-INDEX(Loads!$H$5:$H$117,$K31))/(INDEX(Loads!$G$5:$G$117,$K31+1)-INDEX(Loads!$G$5:$G$117,$K31))*($C31-INDEX(Loads!$G$5:$G$117,$K31))))</f>
        <v>-72040.395142857145</v>
      </c>
      <c r="M31" s="73">
        <f>IF(ISBLANK(INDEX(Loads!$I$5:$I$117,$K31)),"-",INDEX(Loads!$I$5:$I$117,$K31)+IF(NOT(ISERROR($J31)),0,(INDEX(Loads!$I$5:$I$117,$K31+1)-INDEX(Loads!$I$5:$I$117,$K31))/(INDEX(Loads!$G$5:$G$117,$K31+1)-INDEX(Loads!$G$5:$G$117,$K31))*($C31-INDEX(Loads!$G$5:$G$117,$K31))))</f>
        <v>63786.379428571425</v>
      </c>
      <c r="N31" s="73">
        <f>IF(ISBLANK(INDEX(Loads!$J$5:$J$117,$K31)),"-",INDEX(Loads!$J$5:$J$117,$K31)+IF(NOT(ISERROR($J31)),0,(INDEX(Loads!$J$5:$J$117,$K31+1)-INDEX(Loads!$J$5:$J$117,$K31))/(INDEX(Loads!$G$5:$G$117,$K31+1)-INDEX(Loads!$G$5:$G$117,$K31))*($C31-INDEX(Loads!$G$5:$G$117,$K31))))</f>
        <v>1309003.3714285714</v>
      </c>
      <c r="O31" s="73">
        <f>IF(ISBLANK(INDEX(Loads!$K$5:$K$117,$K31)),"-",INDEX(Loads!$K$5:$K$117,$K31)+IF(NOT(ISERROR($J31)),0,(INDEX(Loads!$K$5:$K$117,$K31+1)-INDEX(Loads!$K$5:$K$117,$K31))/(INDEX(Loads!$G$5:$G$117,$K31+1)-INDEX(Loads!$G$5:$G$117,$K31))*($C31-INDEX(Loads!$G$5:$G$117,$K31))))</f>
        <v>20996.597428571429</v>
      </c>
      <c r="Q31" t="e">
        <f>MATCH($C31,Loads!$M$5:$M$117,0)</f>
        <v>#N/A</v>
      </c>
      <c r="R31">
        <f>MATCH($C31,Loads!$M$5:$M$117,1)</f>
        <v>95</v>
      </c>
      <c r="S31" s="73">
        <f>IF(ISBLANK(INDEX(Loads!$N$5:$N$117,$R31)),"-",INDEX(Loads!$N$5:$N$117,$K31)+IF(NOT(ISERROR($Q31)),0,(INDEX(Loads!$N$5:$N$117,$R31+1)-INDEX(Loads!$N$5:$N$117,$R31))/(INDEX(Loads!$M$5:$M$117,$R31+1)-INDEX(Loads!$M$5:$M$117,$R31))*($C31-INDEX(Loads!$M$5:$M$117,$R31))))</f>
        <v>-53363.257714285712</v>
      </c>
      <c r="T31" s="73">
        <f>IF(ISBLANK(INDEX(Loads!$O$5:$O$117,$R31)),"-",INDEX(Loads!$O$5:$O$117,$K31)+IF(NOT(ISERROR($Q31)),0,(INDEX(Loads!$O$5:$O$117,$R31+1)-INDEX(Loads!$O$5:$O$117,$R31))/(INDEX(Loads!$M$5:$M$117,$R31+1)-INDEX(Loads!$M$5:$M$117,$R31))*($C31-INDEX(Loads!$M$5:$M$117,$R31))))</f>
        <v>993664.25714285718</v>
      </c>
      <c r="U31" s="73">
        <f>IF(ISBLANK(INDEX(Loads!$P$5:$P$117,$R31)),"-",INDEX(Loads!$P$5:$P$117,$K31)+IF(NOT(ISERROR($Q31)),0,(INDEX(Loads!$P$5:$P$117,$R31+1)-INDEX(Loads!$P$5:$P$117,$R31))/(INDEX(Loads!$M$5:$M$117,$R31+1)-INDEX(Loads!$M$5:$M$117,$R31))*($C31-INDEX(Loads!$M$5:$M$117,$R31))))</f>
        <v>15553.030285714285</v>
      </c>
    </row>
    <row r="32" spans="3:21">
      <c r="C32" s="72">
        <f>Geometry!E39</f>
        <v>-41.9</v>
      </c>
      <c r="E32" s="62" t="e">
        <f>MATCH($C32,Loads!$C$5:$C$117,0)</f>
        <v>#N/A</v>
      </c>
      <c r="F32" s="62">
        <f>MATCH($C32,Loads!$C$5:$C$117,1)</f>
        <v>94</v>
      </c>
      <c r="G32" s="73">
        <f>IF(ISBLANK(INDEX(Loads!$D$5:$D$117,$F32)),"-",INDEX(Loads!$D$5:$D$117,$F32)+IF(NOT(ISERROR($E32)),0,(INDEX(Loads!$D$5:$D$117,$F32+1)-INDEX(Loads!$D$5:$D$117,$F32))/(INDEX(Loads!$C$5:$C$117,$F32+1)-INDEX(Loads!$C$5:$C$117,$F32))*($C32-INDEX(Loads!$C$5:$C$117,$F32))))</f>
        <v>300015.640625</v>
      </c>
      <c r="H32" s="73">
        <f>IF(ISBLANK(INDEX(Loads!$E$5:$E$117,$F32)),"-",INDEX(Loads!$E$5:$E$117,$F32)+IF(NOT(ISERROR($E32)),0,(INDEX(Loads!$E$5:$E$117,$F32+1)-INDEX(Loads!$E$5:$E$117,$F32))/(INDEX(Loads!$C$5:$C$117,$F32+1)-INDEX(Loads!$C$5:$C$117,$F32))*($C32-INDEX(Loads!$C$5:$C$117,$F32))))</f>
        <v>279018.5625</v>
      </c>
      <c r="J32" s="62" t="e">
        <f>MATCH($C32,Loads!$G$5:$G$117,0)</f>
        <v>#N/A</v>
      </c>
      <c r="K32" s="62">
        <f>MATCH($C32,Loads!$G$5:$G$117,1)</f>
        <v>94</v>
      </c>
      <c r="L32" s="73">
        <f>IF(ISBLANK(INDEX(Loads!$H$5:$H$117,$K32)),"-",INDEX(Loads!$H$5:$H$117,$K32)+IF(NOT(ISERROR($J32)),0,(INDEX(Loads!$H$5:$H$117,$K32+1)-INDEX(Loads!$H$5:$H$117,$K32))/(INDEX(Loads!$G$5:$G$117,$K32+1)-INDEX(Loads!$G$5:$G$117,$K32))*($C32-INDEX(Loads!$G$5:$G$117,$K32))))</f>
        <v>-72485.027499999997</v>
      </c>
      <c r="M32" s="73">
        <f>IF(ISBLANK(INDEX(Loads!$I$5:$I$117,$K32)),"-",INDEX(Loads!$I$5:$I$117,$K32)+IF(NOT(ISERROR($J32)),0,(INDEX(Loads!$I$5:$I$117,$K32+1)-INDEX(Loads!$I$5:$I$117,$K32))/(INDEX(Loads!$G$5:$G$117,$K32+1)-INDEX(Loads!$G$5:$G$117,$K32))*($C32-INDEX(Loads!$G$5:$G$117,$K32))))</f>
        <v>63787.002499999995</v>
      </c>
      <c r="N32" s="73">
        <f>IF(ISBLANK(INDEX(Loads!$J$5:$J$117,$K32)),"-",INDEX(Loads!$J$5:$J$117,$K32)+IF(NOT(ISERROR($J32)),0,(INDEX(Loads!$J$5:$J$117,$K32+1)-INDEX(Loads!$J$5:$J$117,$K32))/(INDEX(Loads!$G$5:$G$117,$K32+1)-INDEX(Loads!$G$5:$G$117,$K32))*($C32-INDEX(Loads!$G$5:$G$117,$K32))))</f>
        <v>1367615.1875</v>
      </c>
      <c r="O32" s="73">
        <f>IF(ISBLANK(INDEX(Loads!$K$5:$K$117,$K32)),"-",INDEX(Loads!$K$5:$K$117,$K32)+IF(NOT(ISERROR($J32)),0,(INDEX(Loads!$K$5:$K$117,$K32+1)-INDEX(Loads!$K$5:$K$117,$K32))/(INDEX(Loads!$G$5:$G$117,$K32+1)-INDEX(Loads!$G$5:$G$117,$K32))*($C32-INDEX(Loads!$G$5:$G$117,$K32))))</f>
        <v>22074.526562499999</v>
      </c>
      <c r="Q32" t="e">
        <f>MATCH($C32,Loads!$M$5:$M$117,0)</f>
        <v>#N/A</v>
      </c>
      <c r="R32">
        <f>MATCH($C32,Loads!$M$5:$M$117,1)</f>
        <v>94</v>
      </c>
      <c r="S32" s="73">
        <f>IF(ISBLANK(INDEX(Loads!$N$5:$N$117,$R32)),"-",INDEX(Loads!$N$5:$N$117,$K32)+IF(NOT(ISERROR($Q32)),0,(INDEX(Loads!$N$5:$N$117,$R32+1)-INDEX(Loads!$N$5:$N$117,$R32))/(INDEX(Loads!$M$5:$M$117,$R32+1)-INDEX(Loads!$M$5:$M$117,$R32))*($C32-INDEX(Loads!$M$5:$M$117,$R32))))</f>
        <v>-53692.613749999997</v>
      </c>
      <c r="T32" s="73">
        <f>IF(ISBLANK(INDEX(Loads!$O$5:$O$117,$R32)),"-",INDEX(Loads!$O$5:$O$117,$K32)+IF(NOT(ISERROR($Q32)),0,(INDEX(Loads!$O$5:$O$117,$R32+1)-INDEX(Loads!$O$5:$O$117,$R32))/(INDEX(Loads!$M$5:$M$117,$R32+1)-INDEX(Loads!$M$5:$M$117,$R32))*($C32-INDEX(Loads!$M$5:$M$117,$R32))))</f>
        <v>1038321.25</v>
      </c>
      <c r="U32" s="73">
        <f>IF(ISBLANK(INDEX(Loads!$P$5:$P$117,$R32)),"-",INDEX(Loads!$P$5:$P$117,$K32)+IF(NOT(ISERROR($Q32)),0,(INDEX(Loads!$P$5:$P$117,$R32+1)-INDEX(Loads!$P$5:$P$117,$R32))/(INDEX(Loads!$M$5:$M$117,$R32+1)-INDEX(Loads!$M$5:$M$117,$R32))*($C32-INDEX(Loads!$M$5:$M$117,$R32))))</f>
        <v>16351.5078125</v>
      </c>
    </row>
    <row r="33" spans="3:21">
      <c r="C33" s="72">
        <f>Geometry!E40</f>
        <v>-45.2</v>
      </c>
      <c r="E33" s="62" t="e">
        <f>MATCH($C33,Loads!$C$5:$C$117,0)</f>
        <v>#N/A</v>
      </c>
      <c r="F33" s="62">
        <f>MATCH($C33,Loads!$C$5:$C$117,1)</f>
        <v>88</v>
      </c>
      <c r="G33" s="73" t="str">
        <f>IF(ISBLANK(INDEX(Loads!$D$5:$D$117,$F33)),"-",INDEX(Loads!$D$5:$D$117,$F33)+IF(NOT(ISERROR($E33)),0,(INDEX(Loads!$D$5:$D$117,$F33+1)-INDEX(Loads!$D$5:$D$117,$F33))/(INDEX(Loads!$C$5:$C$117,$F33+1)-INDEX(Loads!$C$5:$C$117,$F33))*($C33-INDEX(Loads!$C$5:$C$117,$F33))))</f>
        <v>-</v>
      </c>
      <c r="H33" s="73">
        <f>IF(ISBLANK(INDEX(Loads!$E$5:$E$117,$F33)),"-",INDEX(Loads!$E$5:$E$117,$F33)+IF(NOT(ISERROR($E33)),0,(INDEX(Loads!$E$5:$E$117,$F33+1)-INDEX(Loads!$E$5:$E$117,$F33))/(INDEX(Loads!$C$5:$C$117,$F33+1)-INDEX(Loads!$C$5:$C$117,$F33))*($C33-INDEX(Loads!$C$5:$C$117,$F33))))</f>
        <v>297761.02071690315</v>
      </c>
      <c r="J33" s="62" t="e">
        <f>MATCH($C33,Loads!$G$5:$G$117,0)</f>
        <v>#N/A</v>
      </c>
      <c r="K33" s="62">
        <f>MATCH($C33,Loads!$G$5:$G$117,1)</f>
        <v>88</v>
      </c>
      <c r="L33" s="73">
        <f>IF(ISBLANK(INDEX(Loads!$H$5:$H$117,$K33)),"-",INDEX(Loads!$H$5:$H$117,$K33)+IF(NOT(ISERROR($J33)),0,(INDEX(Loads!$H$5:$H$117,$K33+1)-INDEX(Loads!$H$5:$H$117,$K33))/(INDEX(Loads!$G$5:$G$117,$K33+1)-INDEX(Loads!$G$5:$G$117,$K33))*($C33-INDEX(Loads!$G$5:$G$117,$K33))))</f>
        <v>-73130.84</v>
      </c>
      <c r="M33" s="73">
        <f>IF(ISBLANK(INDEX(Loads!$I$5:$I$117,$K33)),"-",INDEX(Loads!$I$5:$I$117,$K33)+IF(NOT(ISERROR($J33)),0,(INDEX(Loads!$I$5:$I$117,$K33+1)-INDEX(Loads!$I$5:$I$117,$K33))/(INDEX(Loads!$G$5:$G$117,$K33+1)-INDEX(Loads!$G$5:$G$117,$K33))*($C33-INDEX(Loads!$G$5:$G$117,$K33))))</f>
        <v>63787.07</v>
      </c>
      <c r="N33" s="73">
        <f>IF(ISBLANK(INDEX(Loads!$J$5:$J$117,$K33)),"-",INDEX(Loads!$J$5:$J$117,$K33)+IF(NOT(ISERROR($J33)),0,(INDEX(Loads!$J$5:$J$117,$K33+1)-INDEX(Loads!$J$5:$J$117,$K33))/(INDEX(Loads!$G$5:$G$117,$K33+1)-INDEX(Loads!$G$5:$G$117,$K33))*($C33-INDEX(Loads!$G$5:$G$117,$K33))))</f>
        <v>1439036.5189707887</v>
      </c>
      <c r="O33" s="73">
        <f>IF(ISBLANK(INDEX(Loads!$K$5:$K$117,$K33)),"-",INDEX(Loads!$K$5:$K$117,$K33)+IF(NOT(ISERROR($J33)),0,(INDEX(Loads!$K$5:$K$117,$K33+1)-INDEX(Loads!$K$5:$K$117,$K33))/(INDEX(Loads!$G$5:$G$117,$K33+1)-INDEX(Loads!$G$5:$G$117,$K33))*($C33-INDEX(Loads!$G$5:$G$117,$K33))))</f>
        <v>22494.387545625825</v>
      </c>
      <c r="Q33" t="e">
        <f>MATCH($C33,Loads!$M$5:$M$117,0)</f>
        <v>#N/A</v>
      </c>
      <c r="R33">
        <f>MATCH($C33,Loads!$M$5:$M$117,1)</f>
        <v>88</v>
      </c>
      <c r="S33" s="73">
        <f>IF(ISBLANK(INDEX(Loads!$N$5:$N$117,$R33)),"-",INDEX(Loads!$N$5:$N$117,$K33)+IF(NOT(ISERROR($Q33)),0,(INDEX(Loads!$N$5:$N$117,$R33+1)-INDEX(Loads!$N$5:$N$117,$R33))/(INDEX(Loads!$M$5:$M$117,$R33+1)-INDEX(Loads!$M$5:$M$117,$R33))*($C33-INDEX(Loads!$M$5:$M$117,$R33))))</f>
        <v>-54170.99</v>
      </c>
      <c r="T33" s="73">
        <f>IF(ISBLANK(INDEX(Loads!$O$5:$O$117,$R33)),"-",INDEX(Loads!$O$5:$O$117,$K33)+IF(NOT(ISERROR($Q33)),0,(INDEX(Loads!$O$5:$O$117,$R33+1)-INDEX(Loads!$O$5:$O$117,$R33))/(INDEX(Loads!$M$5:$M$117,$R33+1)-INDEX(Loads!$M$5:$M$117,$R33))*($C33-INDEX(Loads!$M$5:$M$117,$R33))))</f>
        <v>1092109.2217489912</v>
      </c>
      <c r="U33" s="73">
        <f>IF(ISBLANK(INDEX(Loads!$P$5:$P$117,$R33)),"-",INDEX(Loads!$P$5:$P$117,$K33)+IF(NOT(ISERROR($Q33)),0,(INDEX(Loads!$P$5:$P$117,$R33+1)-INDEX(Loads!$P$5:$P$117,$R33))/(INDEX(Loads!$M$5:$M$117,$R33+1)-INDEX(Loads!$M$5:$M$117,$R33))*($C33-INDEX(Loads!$M$5:$M$117,$R33))))</f>
        <v>16585.395437029085</v>
      </c>
    </row>
    <row r="34" spans="3:21">
      <c r="C34" s="72">
        <f>Geometry!E41</f>
        <v>-48.5</v>
      </c>
      <c r="E34" s="62" t="e">
        <f>MATCH($C34,Loads!$C$5:$C$117,0)</f>
        <v>#N/A</v>
      </c>
      <c r="F34" s="62">
        <f>MATCH($C34,Loads!$C$5:$C$117,1)</f>
        <v>79</v>
      </c>
      <c r="G34" s="73" t="str">
        <f>IF(ISBLANK(INDEX(Loads!$D$5:$D$117,$F34)),"-",INDEX(Loads!$D$5:$D$117,$F34)+IF(NOT(ISERROR($E34)),0,(INDEX(Loads!$D$5:$D$117,$F34+1)-INDEX(Loads!$D$5:$D$117,$F34))/(INDEX(Loads!$C$5:$C$117,$F34+1)-INDEX(Loads!$C$5:$C$117,$F34))*($C34-INDEX(Loads!$C$5:$C$117,$F34))))</f>
        <v>-</v>
      </c>
      <c r="H34" s="73">
        <f>IF(ISBLANK(INDEX(Loads!$E$5:$E$117,$F34)),"-",INDEX(Loads!$E$5:$E$117,$F34)+IF(NOT(ISERROR($E34)),0,(INDEX(Loads!$E$5:$E$117,$F34+1)-INDEX(Loads!$E$5:$E$117,$F34))/(INDEX(Loads!$C$5:$C$117,$F34+1)-INDEX(Loads!$C$5:$C$117,$F34))*($C34-INDEX(Loads!$C$5:$C$117,$F34))))</f>
        <v>316500.72059608623</v>
      </c>
      <c r="J34" s="62" t="e">
        <f>MATCH($C34,Loads!$G$5:$G$117,0)</f>
        <v>#N/A</v>
      </c>
      <c r="K34" s="62">
        <f>MATCH($C34,Loads!$G$5:$G$117,1)</f>
        <v>79</v>
      </c>
      <c r="L34" s="73">
        <f>IF(ISBLANK(INDEX(Loads!$H$5:$H$117,$K34)),"-",INDEX(Loads!$H$5:$H$117,$K34)+IF(NOT(ISERROR($J34)),0,(INDEX(Loads!$H$5:$H$117,$K34+1)-INDEX(Loads!$H$5:$H$117,$K34))/(INDEX(Loads!$G$5:$G$117,$K34+1)-INDEX(Loads!$G$5:$G$117,$K34))*($C34-INDEX(Loads!$G$5:$G$117,$K34))))</f>
        <v>-73130.84</v>
      </c>
      <c r="M34" s="73">
        <f>IF(ISBLANK(INDEX(Loads!$I$5:$I$117,$K34)),"-",INDEX(Loads!$I$5:$I$117,$K34)+IF(NOT(ISERROR($J34)),0,(INDEX(Loads!$I$5:$I$117,$K34+1)-INDEX(Loads!$I$5:$I$117,$K34))/(INDEX(Loads!$G$5:$G$117,$K34+1)-INDEX(Loads!$G$5:$G$117,$K34))*($C34-INDEX(Loads!$G$5:$G$117,$K34))))</f>
        <v>63787.07</v>
      </c>
      <c r="N34" s="73">
        <f>IF(ISBLANK(INDEX(Loads!$J$5:$J$117,$K34)),"-",INDEX(Loads!$J$5:$J$117,$K34)+IF(NOT(ISERROR($J34)),0,(INDEX(Loads!$J$5:$J$117,$K34+1)-INDEX(Loads!$J$5:$J$117,$K34))/(INDEX(Loads!$G$5:$G$117,$K34+1)-INDEX(Loads!$G$5:$G$117,$K34))*($C34-INDEX(Loads!$G$5:$G$117,$K34))))</f>
        <v>1511303.7636407837</v>
      </c>
      <c r="O34" s="73">
        <f>IF(ISBLANK(INDEX(Loads!$K$5:$K$117,$K34)),"-",INDEX(Loads!$K$5:$K$117,$K34)+IF(NOT(ISERROR($J34)),0,(INDEX(Loads!$K$5:$K$117,$K34+1)-INDEX(Loads!$K$5:$K$117,$K34))/(INDEX(Loads!$G$5:$G$117,$K34+1)-INDEX(Loads!$G$5:$G$117,$K34))*($C34-INDEX(Loads!$G$5:$G$117,$K34))))</f>
        <v>20785.323133942697</v>
      </c>
      <c r="Q34" t="e">
        <f>MATCH($C34,Loads!$M$5:$M$117,0)</f>
        <v>#N/A</v>
      </c>
      <c r="R34">
        <f>MATCH($C34,Loads!$M$5:$M$117,1)</f>
        <v>79</v>
      </c>
      <c r="S34" s="73">
        <f>IF(ISBLANK(INDEX(Loads!$N$5:$N$117,$R34)),"-",INDEX(Loads!$N$5:$N$117,$K34)+IF(NOT(ISERROR($Q34)),0,(INDEX(Loads!$N$5:$N$117,$R34+1)-INDEX(Loads!$N$5:$N$117,$R34))/(INDEX(Loads!$M$5:$M$117,$R34+1)-INDEX(Loads!$M$5:$M$117,$R34))*($C34-INDEX(Loads!$M$5:$M$117,$R34))))</f>
        <v>-54170.99</v>
      </c>
      <c r="T34" s="73">
        <f>IF(ISBLANK(INDEX(Loads!$O$5:$O$117,$R34)),"-",INDEX(Loads!$O$5:$O$117,$K34)+IF(NOT(ISERROR($Q34)),0,(INDEX(Loads!$O$5:$O$117,$R34+1)-INDEX(Loads!$O$5:$O$117,$R34))/(INDEX(Loads!$M$5:$M$117,$R34+1)-INDEX(Loads!$M$5:$M$117,$R34))*($C34-INDEX(Loads!$M$5:$M$117,$R34))))</f>
        <v>1145015.8410042368</v>
      </c>
      <c r="U34" s="73">
        <f>IF(ISBLANK(INDEX(Loads!$P$5:$P$117,$R34)),"-",INDEX(Loads!$P$5:$P$117,$K34)+IF(NOT(ISERROR($Q34)),0,(INDEX(Loads!$P$5:$P$117,$R34+1)-INDEX(Loads!$P$5:$P$117,$R34))/(INDEX(Loads!$M$5:$M$117,$R34+1)-INDEX(Loads!$M$5:$M$117,$R34))*($C34-INDEX(Loads!$M$5:$M$117,$R34))))</f>
        <v>15032.366238510449</v>
      </c>
    </row>
    <row r="35" spans="3:21">
      <c r="C35" s="72">
        <f>Geometry!E42</f>
        <v>-51.7</v>
      </c>
      <c r="E35" s="62" t="e">
        <f>MATCH($C35,Loads!$C$5:$C$117,0)</f>
        <v>#N/A</v>
      </c>
      <c r="F35" s="62">
        <f>MATCH($C35,Loads!$C$5:$C$117,1)</f>
        <v>71</v>
      </c>
      <c r="G35" s="73" t="str">
        <f>IF(ISBLANK(INDEX(Loads!$D$5:$D$117,$F35)),"-",INDEX(Loads!$D$5:$D$117,$F35)+IF(NOT(ISERROR($E35)),0,(INDEX(Loads!$D$5:$D$117,$F35+1)-INDEX(Loads!$D$5:$D$117,$F35))/(INDEX(Loads!$C$5:$C$117,$F35+1)-INDEX(Loads!$C$5:$C$117,$F35))*($C35-INDEX(Loads!$C$5:$C$117,$F35))))</f>
        <v>-</v>
      </c>
      <c r="H35" s="73">
        <f>IF(ISBLANK(INDEX(Loads!$E$5:$E$117,$F35)),"-",INDEX(Loads!$E$5:$E$117,$F35)+IF(NOT(ISERROR($E35)),0,(INDEX(Loads!$E$5:$E$117,$F35+1)-INDEX(Loads!$E$5:$E$117,$F35))/(INDEX(Loads!$C$5:$C$117,$F35+1)-INDEX(Loads!$C$5:$C$117,$F35))*($C35-INDEX(Loads!$C$5:$C$117,$F35))))</f>
        <v>331402.20527707681</v>
      </c>
      <c r="J35" s="62" t="e">
        <f>MATCH($C35,Loads!$G$5:$G$117,0)</f>
        <v>#N/A</v>
      </c>
      <c r="K35" s="62">
        <f>MATCH($C35,Loads!$G$5:$G$117,1)</f>
        <v>71</v>
      </c>
      <c r="L35" s="73">
        <f>IF(ISBLANK(INDEX(Loads!$H$5:$H$117,$K35)),"-",INDEX(Loads!$H$5:$H$117,$K35)+IF(NOT(ISERROR($J35)),0,(INDEX(Loads!$H$5:$H$117,$K35+1)-INDEX(Loads!$H$5:$H$117,$K35))/(INDEX(Loads!$G$5:$G$117,$K35+1)-INDEX(Loads!$G$5:$G$117,$K35))*($C35-INDEX(Loads!$G$5:$G$117,$K35))))</f>
        <v>-73130.84</v>
      </c>
      <c r="M35" s="73">
        <f>IF(ISBLANK(INDEX(Loads!$I$5:$I$117,$K35)),"-",INDEX(Loads!$I$5:$I$117,$K35)+IF(NOT(ISERROR($J35)),0,(INDEX(Loads!$I$5:$I$117,$K35+1)-INDEX(Loads!$I$5:$I$117,$K35))/(INDEX(Loads!$G$5:$G$117,$K35+1)-INDEX(Loads!$G$5:$G$117,$K35))*($C35-INDEX(Loads!$G$5:$G$117,$K35))))</f>
        <v>63787.07</v>
      </c>
      <c r="N35" s="73">
        <f>IF(ISBLANK(INDEX(Loads!$J$5:$J$117,$K35)),"-",INDEX(Loads!$J$5:$J$117,$K35)+IF(NOT(ISERROR($J35)),0,(INDEX(Loads!$J$5:$J$117,$K35+1)-INDEX(Loads!$J$5:$J$117,$K35))/(INDEX(Loads!$G$5:$G$117,$K35+1)-INDEX(Loads!$G$5:$G$117,$K35))*($C35-INDEX(Loads!$G$5:$G$117,$K35))))</f>
        <v>1574534.3690368498</v>
      </c>
      <c r="O35" s="73">
        <f>IF(ISBLANK(INDEX(Loads!$K$5:$K$117,$K35)),"-",INDEX(Loads!$K$5:$K$117,$K35)+IF(NOT(ISERROR($J35)),0,(INDEX(Loads!$K$5:$K$117,$K35+1)-INDEX(Loads!$K$5:$K$117,$K35))/(INDEX(Loads!$G$5:$G$117,$K35+1)-INDEX(Loads!$G$5:$G$117,$K35))*($C35-INDEX(Loads!$G$5:$G$117,$K35))))</f>
        <v>18397.228754466531</v>
      </c>
      <c r="Q35" t="e">
        <f>MATCH($C35,Loads!$M$5:$M$117,0)</f>
        <v>#N/A</v>
      </c>
      <c r="R35">
        <f>MATCH($C35,Loads!$M$5:$M$117,1)</f>
        <v>71</v>
      </c>
      <c r="S35" s="73">
        <f>IF(ISBLANK(INDEX(Loads!$N$5:$N$117,$R35)),"-",INDEX(Loads!$N$5:$N$117,$K35)+IF(NOT(ISERROR($Q35)),0,(INDEX(Loads!$N$5:$N$117,$R35+1)-INDEX(Loads!$N$5:$N$117,$R35))/(INDEX(Loads!$M$5:$M$117,$R35+1)-INDEX(Loads!$M$5:$M$117,$R35))*($C35-INDEX(Loads!$M$5:$M$117,$R35))))</f>
        <v>-54170.99</v>
      </c>
      <c r="T35" s="73">
        <f>IF(ISBLANK(INDEX(Loads!$O$5:$O$117,$R35)),"-",INDEX(Loads!$O$5:$O$117,$K35)+IF(NOT(ISERROR($Q35)),0,(INDEX(Loads!$O$5:$O$117,$R35+1)-INDEX(Loads!$O$5:$O$117,$R35))/(INDEX(Loads!$M$5:$M$117,$R35+1)-INDEX(Loads!$M$5:$M$117,$R35))*($C35-INDEX(Loads!$M$5:$M$117,$R35))))</f>
        <v>1190186.0345447005</v>
      </c>
      <c r="U35" s="73">
        <f>IF(ISBLANK(INDEX(Loads!$P$5:$P$117,$R35)),"-",INDEX(Loads!$P$5:$P$117,$K35)+IF(NOT(ISERROR($Q35)),0,(INDEX(Loads!$P$5:$P$117,$R35+1)-INDEX(Loads!$P$5:$P$117,$R35))/(INDEX(Loads!$M$5:$M$117,$R35+1)-INDEX(Loads!$M$5:$M$117,$R35))*($C35-INDEX(Loads!$M$5:$M$117,$R35))))</f>
        <v>12910.532620154201</v>
      </c>
    </row>
    <row r="36" spans="3:21">
      <c r="C36" s="72">
        <f>Geometry!E43</f>
        <v>-55.3</v>
      </c>
      <c r="E36" s="62">
        <f>MATCH($C36,Loads!$C$5:$C$117,0)</f>
        <v>63</v>
      </c>
      <c r="F36" s="62">
        <f>MATCH($C36,Loads!$C$5:$C$117,1)</f>
        <v>63</v>
      </c>
      <c r="G36" s="73" t="str">
        <f>IF(ISBLANK(INDEX(Loads!$D$5:$D$117,$F36)),"-",INDEX(Loads!$D$5:$D$117,$F36)+IF(NOT(ISERROR($E36)),0,(INDEX(Loads!$D$5:$D$117,$F36+1)-INDEX(Loads!$D$5:$D$117,$F36))/(INDEX(Loads!$C$5:$C$117,$F36+1)-INDEX(Loads!$C$5:$C$117,$F36))*($C36-INDEX(Loads!$C$5:$C$117,$F36))))</f>
        <v>-</v>
      </c>
      <c r="H36" s="73">
        <f>IF(ISBLANK(INDEX(Loads!$E$5:$E$117,$F36)),"-",INDEX(Loads!$E$5:$E$117,$F36)+IF(NOT(ISERROR($E36)),0,(INDEX(Loads!$E$5:$E$117,$F36+1)-INDEX(Loads!$E$5:$E$117,$F36))/(INDEX(Loads!$C$5:$C$117,$F36+1)-INDEX(Loads!$C$5:$C$117,$F36))*($C36-INDEX(Loads!$C$5:$C$117,$F36))))</f>
        <v>344925.86756356101</v>
      </c>
      <c r="J36" s="62">
        <f>MATCH($C36,Loads!$G$5:$G$117,0)</f>
        <v>63</v>
      </c>
      <c r="K36" s="62">
        <f>MATCH($C36,Loads!$G$5:$G$117,1)</f>
        <v>63</v>
      </c>
      <c r="L36" s="73">
        <f>IF(ISBLANK(INDEX(Loads!$H$5:$H$117,$K36)),"-",INDEX(Loads!$H$5:$H$117,$K36)+IF(NOT(ISERROR($J36)),0,(INDEX(Loads!$H$5:$H$117,$K36+1)-INDEX(Loads!$H$5:$H$117,$K36))/(INDEX(Loads!$G$5:$G$117,$K36+1)-INDEX(Loads!$G$5:$G$117,$K36))*($C36-INDEX(Loads!$G$5:$G$117,$K36))))</f>
        <v>-73130.84</v>
      </c>
      <c r="M36" s="73">
        <f>IF(ISBLANK(INDEX(Loads!$I$5:$I$117,$K36)),"-",INDEX(Loads!$I$5:$I$117,$K36)+IF(NOT(ISERROR($J36)),0,(INDEX(Loads!$I$5:$I$117,$K36+1)-INDEX(Loads!$I$5:$I$117,$K36))/(INDEX(Loads!$G$5:$G$117,$K36+1)-INDEX(Loads!$G$5:$G$117,$K36))*($C36-INDEX(Loads!$G$5:$G$117,$K36))))</f>
        <v>63787.07</v>
      </c>
      <c r="N36" s="73">
        <f>IF(ISBLANK(INDEX(Loads!$J$5:$J$117,$K36)),"-",INDEX(Loads!$J$5:$J$117,$K36)+IF(NOT(ISERROR($J36)),0,(INDEX(Loads!$J$5:$J$117,$K36+1)-INDEX(Loads!$J$5:$J$117,$K36))/(INDEX(Loads!$G$5:$G$117,$K36+1)-INDEX(Loads!$G$5:$G$117,$K36))*($C36-INDEX(Loads!$G$5:$G$117,$K36))))</f>
        <v>1636734.3229139401</v>
      </c>
      <c r="O36" s="73">
        <f>IF(ISBLANK(INDEX(Loads!$K$5:$K$117,$K36)),"-",INDEX(Loads!$K$5:$K$117,$K36)+IF(NOT(ISERROR($J36)),0,(INDEX(Loads!$K$5:$K$117,$K36+1)-INDEX(Loads!$K$5:$K$117,$K36))/(INDEX(Loads!$G$5:$G$117,$K36+1)-INDEX(Loads!$G$5:$G$117,$K36))*($C36-INDEX(Loads!$G$5:$G$117,$K36))))</f>
        <v>15900.9968277758</v>
      </c>
      <c r="Q36">
        <f>MATCH($C36,Loads!$M$5:$M$117,0)</f>
        <v>63</v>
      </c>
      <c r="R36">
        <f>MATCH($C36,Loads!$M$5:$M$117,1)</f>
        <v>63</v>
      </c>
      <c r="S36" s="73">
        <f>IF(ISBLANK(INDEX(Loads!$N$5:$N$117,$R36)),"-",INDEX(Loads!$N$5:$N$117,$K36)+IF(NOT(ISERROR($Q36)),0,(INDEX(Loads!$N$5:$N$117,$R36+1)-INDEX(Loads!$N$5:$N$117,$R36))/(INDEX(Loads!$M$5:$M$117,$R36+1)-INDEX(Loads!$M$5:$M$117,$R36))*($C36-INDEX(Loads!$M$5:$M$117,$R36))))</f>
        <v>-54170.99</v>
      </c>
      <c r="T36" s="73">
        <f>IF(ISBLANK(INDEX(Loads!$O$5:$O$117,$R36)),"-",INDEX(Loads!$O$5:$O$117,$K36)+IF(NOT(ISERROR($Q36)),0,(INDEX(Loads!$O$5:$O$117,$R36+1)-INDEX(Loads!$O$5:$O$117,$R36))/(INDEX(Loads!$M$5:$M$117,$R36+1)-INDEX(Loads!$M$5:$M$117,$R36))*($C36-INDEX(Loads!$M$5:$M$117,$R36))))</f>
        <v>1233190.30256236</v>
      </c>
      <c r="U36" s="73">
        <f>IF(ISBLANK(INDEX(Loads!$P$5:$P$117,$R36)),"-",INDEX(Loads!$P$5:$P$117,$K36)+IF(NOT(ISERROR($Q36)),0,(INDEX(Loads!$P$5:$P$117,$R36+1)-INDEX(Loads!$P$5:$P$117,$R36))/(INDEX(Loads!$M$5:$M$117,$R36+1)-INDEX(Loads!$M$5:$M$117,$R36))*($C36-INDEX(Loads!$M$5:$M$117,$R36))))</f>
        <v>10761.1042775074</v>
      </c>
    </row>
    <row r="37" spans="3:21">
      <c r="C37" s="72">
        <f>Geometry!E44</f>
        <v>-59.3</v>
      </c>
      <c r="E37" s="62" t="e">
        <f>MATCH($C37,Loads!$C$5:$C$117,0)</f>
        <v>#N/A</v>
      </c>
      <c r="F37" s="62">
        <f>MATCH($C37,Loads!$C$5:$C$117,1)</f>
        <v>52</v>
      </c>
      <c r="G37" s="73" t="str">
        <f>IF(ISBLANK(INDEX(Loads!$D$5:$D$117,$F37)),"-",INDEX(Loads!$D$5:$D$117,$F37)+IF(NOT(ISERROR($E37)),0,(INDEX(Loads!$D$5:$D$117,$F37+1)-INDEX(Loads!$D$5:$D$117,$F37))/(INDEX(Loads!$C$5:$C$117,$F37+1)-INDEX(Loads!$C$5:$C$117,$F37))*($C37-INDEX(Loads!$C$5:$C$117,$F37))))</f>
        <v>-</v>
      </c>
      <c r="H37" s="73">
        <f>IF(ISBLANK(INDEX(Loads!$E$5:$E$117,$F37)),"-",INDEX(Loads!$E$5:$E$117,$F37)+IF(NOT(ISERROR($E37)),0,(INDEX(Loads!$E$5:$E$117,$F37+1)-INDEX(Loads!$E$5:$E$117,$F37))/(INDEX(Loads!$C$5:$C$117,$F37+1)-INDEX(Loads!$C$5:$C$117,$F37))*($C37-INDEX(Loads!$C$5:$C$117,$F37))))</f>
        <v>331621.26595601346</v>
      </c>
      <c r="J37" s="62" t="e">
        <f>MATCH($C37,Loads!$G$5:$G$117,0)</f>
        <v>#N/A</v>
      </c>
      <c r="K37" s="62">
        <f>MATCH($C37,Loads!$G$5:$G$117,1)</f>
        <v>52</v>
      </c>
      <c r="L37" s="73">
        <f>IF(ISBLANK(INDEX(Loads!$H$5:$H$117,$K37)),"-",INDEX(Loads!$H$5:$H$117,$K37)+IF(NOT(ISERROR($J37)),0,(INDEX(Loads!$H$5:$H$117,$K37+1)-INDEX(Loads!$H$5:$H$117,$K37))/(INDEX(Loads!$G$5:$G$117,$K37+1)-INDEX(Loads!$G$5:$G$117,$K37))*($C37-INDEX(Loads!$G$5:$G$117,$K37))))</f>
        <v>-73130.84</v>
      </c>
      <c r="M37" s="73">
        <f>IF(ISBLANK(INDEX(Loads!$I$5:$I$117,$K37)),"-",INDEX(Loads!$I$5:$I$117,$K37)+IF(NOT(ISERROR($J37)),0,(INDEX(Loads!$I$5:$I$117,$K37+1)-INDEX(Loads!$I$5:$I$117,$K37))/(INDEX(Loads!$G$5:$G$117,$K37+1)-INDEX(Loads!$G$5:$G$117,$K37))*($C37-INDEX(Loads!$G$5:$G$117,$K37))))</f>
        <v>63787.07</v>
      </c>
      <c r="N37" s="73">
        <f>IF(ISBLANK(INDEX(Loads!$J$5:$J$117,$K37)),"-",INDEX(Loads!$J$5:$J$117,$K37)+IF(NOT(ISERROR($J37)),0,(INDEX(Loads!$J$5:$J$117,$K37+1)-INDEX(Loads!$J$5:$J$117,$K37))/(INDEX(Loads!$G$5:$G$117,$K37+1)-INDEX(Loads!$G$5:$G$117,$K37))*($C37-INDEX(Loads!$G$5:$G$117,$K37))))</f>
        <v>1619965.3951581572</v>
      </c>
      <c r="O37" s="73">
        <f>IF(ISBLANK(INDEX(Loads!$K$5:$K$117,$K37)),"-",INDEX(Loads!$K$5:$K$117,$K37)+IF(NOT(ISERROR($J37)),0,(INDEX(Loads!$K$5:$K$117,$K37+1)-INDEX(Loads!$K$5:$K$117,$K37))/(INDEX(Loads!$G$5:$G$117,$K37+1)-INDEX(Loads!$G$5:$G$117,$K37))*($C37-INDEX(Loads!$G$5:$G$117,$K37))))</f>
        <v>-21914.699658795507</v>
      </c>
      <c r="Q37" t="e">
        <f>MATCH($C37,Loads!$M$5:$M$117,0)</f>
        <v>#N/A</v>
      </c>
      <c r="R37">
        <f>MATCH($C37,Loads!$M$5:$M$117,1)</f>
        <v>52</v>
      </c>
      <c r="S37" s="73">
        <f>IF(ISBLANK(INDEX(Loads!$N$5:$N$117,$R37)),"-",INDEX(Loads!$N$5:$N$117,$K37)+IF(NOT(ISERROR($Q37)),0,(INDEX(Loads!$N$5:$N$117,$R37+1)-INDEX(Loads!$N$5:$N$117,$R37))/(INDEX(Loads!$M$5:$M$117,$R37+1)-INDEX(Loads!$M$5:$M$117,$R37))*($C37-INDEX(Loads!$M$5:$M$117,$R37))))</f>
        <v>-54170.99</v>
      </c>
      <c r="T37" s="73">
        <f>IF(ISBLANK(INDEX(Loads!$O$5:$O$117,$R37)),"-",INDEX(Loads!$O$5:$O$117,$K37)+IF(NOT(ISERROR($Q37)),0,(INDEX(Loads!$O$5:$O$117,$R37+1)-INDEX(Loads!$O$5:$O$117,$R37))/(INDEX(Loads!$M$5:$M$117,$R37+1)-INDEX(Loads!$M$5:$M$117,$R37))*($C37-INDEX(Loads!$M$5:$M$117,$R37))))</f>
        <v>1213882.4279579639</v>
      </c>
      <c r="U37" s="73">
        <f>IF(ISBLANK(INDEX(Loads!$P$5:$P$117,$R37)),"-",INDEX(Loads!$P$5:$P$117,$K37)+IF(NOT(ISERROR($Q37)),0,(INDEX(Loads!$P$5:$P$117,$R37+1)-INDEX(Loads!$P$5:$P$117,$R37))/(INDEX(Loads!$M$5:$M$117,$R37+1)-INDEX(Loads!$M$5:$M$117,$R37))*($C37-INDEX(Loads!$M$5:$M$117,$R37))))</f>
        <v>-18289.436886041898</v>
      </c>
    </row>
    <row r="38" spans="3:21">
      <c r="C38" s="72">
        <f>Geometry!E45</f>
        <v>-63.3</v>
      </c>
      <c r="E38" s="62" t="e">
        <f>MATCH($C38,Loads!$C$5:$C$117,0)</f>
        <v>#N/A</v>
      </c>
      <c r="F38" s="62">
        <f>MATCH($C38,Loads!$C$5:$C$117,1)</f>
        <v>43</v>
      </c>
      <c r="G38" s="73" t="str">
        <f>IF(ISBLANK(INDEX(Loads!$D$5:$D$117,$F38)),"-",INDEX(Loads!$D$5:$D$117,$F38)+IF(NOT(ISERROR($E38)),0,(INDEX(Loads!$D$5:$D$117,$F38+1)-INDEX(Loads!$D$5:$D$117,$F38))/(INDEX(Loads!$C$5:$C$117,$F38+1)-INDEX(Loads!$C$5:$C$117,$F38))*($C38-INDEX(Loads!$C$5:$C$117,$F38))))</f>
        <v>-</v>
      </c>
      <c r="H38" s="73">
        <f>IF(ISBLANK(INDEX(Loads!$E$5:$E$117,$F38)),"-",INDEX(Loads!$E$5:$E$117,$F38)+IF(NOT(ISERROR($E38)),0,(INDEX(Loads!$E$5:$E$117,$F38+1)-INDEX(Loads!$E$5:$E$117,$F38))/(INDEX(Loads!$C$5:$C$117,$F38+1)-INDEX(Loads!$C$5:$C$117,$F38))*($C38-INDEX(Loads!$C$5:$C$117,$F38))))</f>
        <v>285891.13362739619</v>
      </c>
      <c r="J38" s="62" t="e">
        <f>MATCH($C38,Loads!$G$5:$G$117,0)</f>
        <v>#N/A</v>
      </c>
      <c r="K38" s="62">
        <f>MATCH($C38,Loads!$G$5:$G$117,1)</f>
        <v>43</v>
      </c>
      <c r="L38" s="73">
        <f>IF(ISBLANK(INDEX(Loads!$H$5:$H$117,$K38)),"-",INDEX(Loads!$H$5:$H$117,$K38)+IF(NOT(ISERROR($J38)),0,(INDEX(Loads!$H$5:$H$117,$K38+1)-INDEX(Loads!$H$5:$H$117,$K38))/(INDEX(Loads!$G$5:$G$117,$K38+1)-INDEX(Loads!$G$5:$G$117,$K38))*($C38-INDEX(Loads!$G$5:$G$117,$K38))))</f>
        <v>-73130.84</v>
      </c>
      <c r="M38" s="73">
        <f>IF(ISBLANK(INDEX(Loads!$I$5:$I$117,$K38)),"-",INDEX(Loads!$I$5:$I$117,$K38)+IF(NOT(ISERROR($J38)),0,(INDEX(Loads!$I$5:$I$117,$K38+1)-INDEX(Loads!$I$5:$I$117,$K38))/(INDEX(Loads!$G$5:$G$117,$K38+1)-INDEX(Loads!$G$5:$G$117,$K38))*($C38-INDEX(Loads!$G$5:$G$117,$K38))))</f>
        <v>63787.07</v>
      </c>
      <c r="N38" s="73">
        <f>IF(ISBLANK(INDEX(Loads!$J$5:$J$117,$K38)),"-",INDEX(Loads!$J$5:$J$117,$K38)+IF(NOT(ISERROR($J38)),0,(INDEX(Loads!$J$5:$J$117,$K38+1)-INDEX(Loads!$J$5:$J$117,$K38))/(INDEX(Loads!$G$5:$G$117,$K38+1)-INDEX(Loads!$G$5:$G$117,$K38))*($C38-INDEX(Loads!$G$5:$G$117,$K38))))</f>
        <v>1466568.9585255887</v>
      </c>
      <c r="O38" s="73">
        <f>IF(ISBLANK(INDEX(Loads!$K$5:$K$117,$K38)),"-",INDEX(Loads!$K$5:$K$117,$K38)+IF(NOT(ISERROR($J38)),0,(INDEX(Loads!$K$5:$K$117,$K38+1)-INDEX(Loads!$K$5:$K$117,$K38))/(INDEX(Loads!$G$5:$G$117,$K38+1)-INDEX(Loads!$G$5:$G$117,$K38))*($C38-INDEX(Loads!$G$5:$G$117,$K38))))</f>
        <v>-58815.45764043495</v>
      </c>
      <c r="Q38" t="e">
        <f>MATCH($C38,Loads!$M$5:$M$117,0)</f>
        <v>#N/A</v>
      </c>
      <c r="R38">
        <f>MATCH($C38,Loads!$M$5:$M$117,1)</f>
        <v>43</v>
      </c>
      <c r="S38" s="73">
        <f>IF(ISBLANK(INDEX(Loads!$N$5:$N$117,$R38)),"-",INDEX(Loads!$N$5:$N$117,$K38)+IF(NOT(ISERROR($Q38)),0,(INDEX(Loads!$N$5:$N$117,$R38+1)-INDEX(Loads!$N$5:$N$117,$R38))/(INDEX(Loads!$M$5:$M$117,$R38+1)-INDEX(Loads!$M$5:$M$117,$R38))*($C38-INDEX(Loads!$M$5:$M$117,$R38))))</f>
        <v>-54170.99</v>
      </c>
      <c r="T38" s="73">
        <f>IF(ISBLANK(INDEX(Loads!$O$5:$O$117,$R38)),"-",INDEX(Loads!$O$5:$O$117,$K38)+IF(NOT(ISERROR($Q38)),0,(INDEX(Loads!$O$5:$O$117,$R38+1)-INDEX(Loads!$O$5:$O$117,$R38))/(INDEX(Loads!$M$5:$M$117,$R38+1)-INDEX(Loads!$M$5:$M$117,$R38))*($C38-INDEX(Loads!$M$5:$M$117,$R38))))</f>
        <v>1092566.8032110012</v>
      </c>
      <c r="U38" s="73">
        <f>IF(ISBLANK(INDEX(Loads!$P$5:$P$117,$R38)),"-",INDEX(Loads!$P$5:$P$117,$K38)+IF(NOT(ISERROR($Q38)),0,(INDEX(Loads!$P$5:$P$117,$R38+1)-INDEX(Loads!$P$5:$P$117,$R38))/(INDEX(Loads!$M$5:$M$117,$R38+1)-INDEX(Loads!$M$5:$M$117,$R38))*($C38-INDEX(Loads!$M$5:$M$117,$R38))))</f>
        <v>-45221.014626030104</v>
      </c>
    </row>
    <row r="39" spans="3:21">
      <c r="C39" s="72">
        <f>Geometry!E46</f>
        <v>-67.3</v>
      </c>
      <c r="E39" s="62">
        <f>MATCH($C39,Loads!$C$5:$C$117,0)</f>
        <v>33</v>
      </c>
      <c r="F39" s="62">
        <f>MATCH($C39,Loads!$C$5:$C$117,1)</f>
        <v>33</v>
      </c>
      <c r="G39" s="73" t="str">
        <f>IF(ISBLANK(INDEX(Loads!$D$5:$D$117,$F39)),"-",INDEX(Loads!$D$5:$D$117,$F39)+IF(NOT(ISERROR($E39)),0,(INDEX(Loads!$D$5:$D$117,$F39+1)-INDEX(Loads!$D$5:$D$117,$F39))/(INDEX(Loads!$C$5:$C$117,$F39+1)-INDEX(Loads!$C$5:$C$117,$F39))*($C39-INDEX(Loads!$C$5:$C$117,$F39))))</f>
        <v>-</v>
      </c>
      <c r="H39" s="73">
        <f>IF(ISBLANK(INDEX(Loads!$E$5:$E$117,$F39)),"-",INDEX(Loads!$E$5:$E$117,$F39)+IF(NOT(ISERROR($E39)),0,(INDEX(Loads!$E$5:$E$117,$F39+1)-INDEX(Loads!$E$5:$E$117,$F39))/(INDEX(Loads!$C$5:$C$117,$F39+1)-INDEX(Loads!$C$5:$C$117,$F39))*($C39-INDEX(Loads!$C$5:$C$117,$F39))))</f>
        <v>221029.57360627901</v>
      </c>
      <c r="J39" s="62">
        <f>MATCH($C39,Loads!$G$5:$G$117,0)</f>
        <v>33</v>
      </c>
      <c r="K39" s="62">
        <f>MATCH($C39,Loads!$G$5:$G$117,1)</f>
        <v>33</v>
      </c>
      <c r="L39" s="73">
        <f>IF(ISBLANK(INDEX(Loads!$H$5:$H$117,$K39)),"-",INDEX(Loads!$H$5:$H$117,$K39)+IF(NOT(ISERROR($J39)),0,(INDEX(Loads!$H$5:$H$117,$K39+1)-INDEX(Loads!$H$5:$H$117,$K39))/(INDEX(Loads!$G$5:$G$117,$K39+1)-INDEX(Loads!$G$5:$G$117,$K39))*($C39-INDEX(Loads!$G$5:$G$117,$K39))))</f>
        <v>-73130.84</v>
      </c>
      <c r="M39" s="73">
        <f>IF(ISBLANK(INDEX(Loads!$I$5:$I$117,$K39)),"-",INDEX(Loads!$I$5:$I$117,$K39)+IF(NOT(ISERROR($J39)),0,(INDEX(Loads!$I$5:$I$117,$K39+1)-INDEX(Loads!$I$5:$I$117,$K39))/(INDEX(Loads!$G$5:$G$117,$K39+1)-INDEX(Loads!$G$5:$G$117,$K39))*($C39-INDEX(Loads!$G$5:$G$117,$K39))))</f>
        <v>63787.07</v>
      </c>
      <c r="N39" s="73">
        <f>IF(ISBLANK(INDEX(Loads!$J$5:$J$117,$K39)),"-",INDEX(Loads!$J$5:$J$117,$K39)+IF(NOT(ISERROR($J39)),0,(INDEX(Loads!$J$5:$J$117,$K39+1)-INDEX(Loads!$J$5:$J$117,$K39))/(INDEX(Loads!$G$5:$G$117,$K39+1)-INDEX(Loads!$G$5:$G$117,$K39))*($C39-INDEX(Loads!$G$5:$G$117,$K39))))</f>
        <v>1180601.11660892</v>
      </c>
      <c r="O39" s="73">
        <f>IF(ISBLANK(INDEX(Loads!$K$5:$K$117,$K39)),"-",INDEX(Loads!$K$5:$K$117,$K39)+IF(NOT(ISERROR($J39)),0,(INDEX(Loads!$K$5:$K$117,$K39+1)-INDEX(Loads!$K$5:$K$117,$K39))/(INDEX(Loads!$G$5:$G$117,$K39+1)-INDEX(Loads!$G$5:$G$117,$K39))*($C39-INDEX(Loads!$G$5:$G$117,$K39))))</f>
        <v>-84264.056766584996</v>
      </c>
      <c r="Q39">
        <f>MATCH($C39,Loads!$M$5:$M$117,0)</f>
        <v>33</v>
      </c>
      <c r="R39">
        <f>MATCH($C39,Loads!$M$5:$M$117,1)</f>
        <v>33</v>
      </c>
      <c r="S39" s="73">
        <f>IF(ISBLANK(INDEX(Loads!$N$5:$N$117,$R39)),"-",INDEX(Loads!$N$5:$N$117,$K39)+IF(NOT(ISERROR($Q39)),0,(INDEX(Loads!$N$5:$N$117,$R39+1)-INDEX(Loads!$N$5:$N$117,$R39))/(INDEX(Loads!$M$5:$M$117,$R39+1)-INDEX(Loads!$M$5:$M$117,$R39))*($C39-INDEX(Loads!$M$5:$M$117,$R39))))</f>
        <v>-54170.99</v>
      </c>
      <c r="T39" s="73">
        <f>IF(ISBLANK(INDEX(Loads!$O$5:$O$117,$R39)),"-",INDEX(Loads!$O$5:$O$117,$K39)+IF(NOT(ISERROR($Q39)),0,(INDEX(Loads!$O$5:$O$117,$R39+1)-INDEX(Loads!$O$5:$O$117,$R39))/(INDEX(Loads!$M$5:$M$117,$R39+1)-INDEX(Loads!$M$5:$M$117,$R39))*($C39-INDEX(Loads!$M$5:$M$117,$R39))))</f>
        <v>874966.65658366703</v>
      </c>
      <c r="U39" s="73">
        <f>IF(ISBLANK(INDEX(Loads!$P$5:$P$117,$R39)),"-",INDEX(Loads!$P$5:$P$117,$K39)+IF(NOT(ISERROR($Q39)),0,(INDEX(Loads!$P$5:$P$117,$R39+1)-INDEX(Loads!$P$5:$P$117,$R39))/(INDEX(Loads!$M$5:$M$117,$R39+1)-INDEX(Loads!$M$5:$M$117,$R39))*($C39-INDEX(Loads!$M$5:$M$117,$R39))))</f>
        <v>-63660.272379348396</v>
      </c>
    </row>
    <row r="40" spans="3:21">
      <c r="C40" s="72">
        <f>Geometry!E47</f>
        <v>-71</v>
      </c>
      <c r="E40" s="62" t="e">
        <f>MATCH($C40,Loads!$C$5:$C$117,0)</f>
        <v>#N/A</v>
      </c>
      <c r="F40" s="62">
        <f>MATCH($C40,Loads!$C$5:$C$117,1)</f>
        <v>23</v>
      </c>
      <c r="G40" s="73" t="str">
        <f>IF(ISBLANK(INDEX(Loads!$D$5:$D$117,$F40)),"-",INDEX(Loads!$D$5:$D$117,$F40)+IF(NOT(ISERROR($E40)),0,(INDEX(Loads!$D$5:$D$117,$F40+1)-INDEX(Loads!$D$5:$D$117,$F40))/(INDEX(Loads!$C$5:$C$117,$F40+1)-INDEX(Loads!$C$5:$C$117,$F40))*($C40-INDEX(Loads!$C$5:$C$117,$F40))))</f>
        <v>-</v>
      </c>
      <c r="H40" s="73">
        <f>IF(ISBLANK(INDEX(Loads!$E$5:$E$117,$F40)),"-",INDEX(Loads!$E$5:$E$117,$F40)+IF(NOT(ISERROR($E40)),0,(INDEX(Loads!$E$5:$E$117,$F40+1)-INDEX(Loads!$E$5:$E$117,$F40))/(INDEX(Loads!$C$5:$C$117,$F40+1)-INDEX(Loads!$C$5:$C$117,$F40))*($C40-INDEX(Loads!$C$5:$C$117,$F40))))</f>
        <v>153440.18203558456</v>
      </c>
      <c r="J40" s="62" t="e">
        <f>MATCH($C40,Loads!$G$5:$G$117,0)</f>
        <v>#N/A</v>
      </c>
      <c r="K40" s="62">
        <f>MATCH($C40,Loads!$G$5:$G$117,1)</f>
        <v>23</v>
      </c>
      <c r="L40" s="73">
        <f>IF(ISBLANK(INDEX(Loads!$H$5:$H$117,$K40)),"-",INDEX(Loads!$H$5:$H$117,$K40)+IF(NOT(ISERROR($J40)),0,(INDEX(Loads!$H$5:$H$117,$K40+1)-INDEX(Loads!$H$5:$H$117,$K40))/(INDEX(Loads!$G$5:$G$117,$K40+1)-INDEX(Loads!$G$5:$G$117,$K40))*($C40-INDEX(Loads!$G$5:$G$117,$K40))))</f>
        <v>-73130.84</v>
      </c>
      <c r="M40" s="73">
        <f>IF(ISBLANK(INDEX(Loads!$I$5:$I$117,$K40)),"-",INDEX(Loads!$I$5:$I$117,$K40)+IF(NOT(ISERROR($J40)),0,(INDEX(Loads!$I$5:$I$117,$K40+1)-INDEX(Loads!$I$5:$I$117,$K40))/(INDEX(Loads!$G$5:$G$117,$K40+1)-INDEX(Loads!$G$5:$G$117,$K40))*($C40-INDEX(Loads!$G$5:$G$117,$K40))))</f>
        <v>63787.07</v>
      </c>
      <c r="N40" s="73">
        <f>IF(ISBLANK(INDEX(Loads!$J$5:$J$117,$K40)),"-",INDEX(Loads!$J$5:$J$117,$K40)+IF(NOT(ISERROR($J40)),0,(INDEX(Loads!$J$5:$J$117,$K40+1)-INDEX(Loads!$J$5:$J$117,$K40))/(INDEX(Loads!$G$5:$G$117,$K40+1)-INDEX(Loads!$G$5:$G$117,$K40))*($C40-INDEX(Loads!$G$5:$G$117,$K40))))</f>
        <v>834760.10970612313</v>
      </c>
      <c r="O40" s="73">
        <f>IF(ISBLANK(INDEX(Loads!$K$5:$K$117,$K40)),"-",INDEX(Loads!$K$5:$K$117,$K40)+IF(NOT(ISERROR($J40)),0,(INDEX(Loads!$K$5:$K$117,$K40+1)-INDEX(Loads!$K$5:$K$117,$K40))/(INDEX(Loads!$G$5:$G$117,$K40+1)-INDEX(Loads!$G$5:$G$117,$K40))*($C40-INDEX(Loads!$G$5:$G$117,$K40))))</f>
        <v>-103176.0137676032</v>
      </c>
      <c r="Q40" t="e">
        <f>MATCH($C40,Loads!$M$5:$M$117,0)</f>
        <v>#N/A</v>
      </c>
      <c r="R40">
        <f>MATCH($C40,Loads!$M$5:$M$117,1)</f>
        <v>23</v>
      </c>
      <c r="S40" s="73">
        <f>IF(ISBLANK(INDEX(Loads!$N$5:$N$117,$R40)),"-",INDEX(Loads!$N$5:$N$117,$K40)+IF(NOT(ISERROR($Q40)),0,(INDEX(Loads!$N$5:$N$117,$R40+1)-INDEX(Loads!$N$5:$N$117,$R40))/(INDEX(Loads!$M$5:$M$117,$R40+1)-INDEX(Loads!$M$5:$M$117,$R40))*($C40-INDEX(Loads!$M$5:$M$117,$R40))))</f>
        <v>-54170.99</v>
      </c>
      <c r="T40" s="73">
        <f>IF(ISBLANK(INDEX(Loads!$O$5:$O$117,$R40)),"-",INDEX(Loads!$O$5:$O$117,$K40)+IF(NOT(ISERROR($Q40)),0,(INDEX(Loads!$O$5:$O$117,$R40+1)-INDEX(Loads!$O$5:$O$117,$R40))/(INDEX(Loads!$M$5:$M$117,$R40+1)-INDEX(Loads!$M$5:$M$117,$R40))*($C40-INDEX(Loads!$M$5:$M$117,$R40))))</f>
        <v>615525.93599892547</v>
      </c>
      <c r="U40" s="73">
        <f>IF(ISBLANK(INDEX(Loads!$P$5:$P$117,$R40)),"-",INDEX(Loads!$P$5:$P$117,$K40)+IF(NOT(ISERROR($Q40)),0,(INDEX(Loads!$P$5:$P$117,$R40+1)-INDEX(Loads!$P$5:$P$117,$R40))/(INDEX(Loads!$M$5:$M$117,$R40+1)-INDEX(Loads!$M$5:$M$117,$R40))*($C40-INDEX(Loads!$M$5:$M$117,$R40))))</f>
        <v>-76811.640616822275</v>
      </c>
    </row>
    <row r="41" spans="3:21">
      <c r="C41" s="72">
        <f>Geometry!E48</f>
        <v>-74.3</v>
      </c>
      <c r="E41" s="62" t="e">
        <f>MATCH($C41,Loads!$C$5:$C$117,0)</f>
        <v>#N/A</v>
      </c>
      <c r="F41" s="62">
        <f>MATCH($C41,Loads!$C$5:$C$117,1)</f>
        <v>16</v>
      </c>
      <c r="G41" s="73" t="str">
        <f>IF(ISBLANK(INDEX(Loads!$D$5:$D$117,$F41)),"-",INDEX(Loads!$D$5:$D$117,$F41)+IF(NOT(ISERROR($E41)),0,(INDEX(Loads!$D$5:$D$117,$F41+1)-INDEX(Loads!$D$5:$D$117,$F41))/(INDEX(Loads!$C$5:$C$117,$F41+1)-INDEX(Loads!$C$5:$C$117,$F41))*($C41-INDEX(Loads!$C$5:$C$117,$F41))))</f>
        <v>-</v>
      </c>
      <c r="H41" s="73">
        <f>IF(ISBLANK(INDEX(Loads!$E$5:$E$117,$F41)),"-",INDEX(Loads!$E$5:$E$117,$F41)+IF(NOT(ISERROR($E41)),0,(INDEX(Loads!$E$5:$E$117,$F41+1)-INDEX(Loads!$E$5:$E$117,$F41))/(INDEX(Loads!$C$5:$C$117,$F41+1)-INDEX(Loads!$C$5:$C$117,$F41))*($C41-INDEX(Loads!$C$5:$C$117,$F41))))</f>
        <v>89978.405820717118</v>
      </c>
      <c r="J41" s="62" t="e">
        <f>MATCH($C41,Loads!$G$5:$G$117,0)</f>
        <v>#N/A</v>
      </c>
      <c r="K41" s="62">
        <f>MATCH($C41,Loads!$G$5:$G$117,1)</f>
        <v>16</v>
      </c>
      <c r="L41" s="73">
        <f>IF(ISBLANK(INDEX(Loads!$H$5:$H$117,$K41)),"-",INDEX(Loads!$H$5:$H$117,$K41)+IF(NOT(ISERROR($J41)),0,(INDEX(Loads!$H$5:$H$117,$K41+1)-INDEX(Loads!$H$5:$H$117,$K41))/(INDEX(Loads!$G$5:$G$117,$K41+1)-INDEX(Loads!$G$5:$G$117,$K41))*($C41-INDEX(Loads!$G$5:$G$117,$K41))))</f>
        <v>-73130.84</v>
      </c>
      <c r="M41" s="73">
        <f>IF(ISBLANK(INDEX(Loads!$I$5:$I$117,$K41)),"-",INDEX(Loads!$I$5:$I$117,$K41)+IF(NOT(ISERROR($J41)),0,(INDEX(Loads!$I$5:$I$117,$K41+1)-INDEX(Loads!$I$5:$I$117,$K41))/(INDEX(Loads!$G$5:$G$117,$K41+1)-INDEX(Loads!$G$5:$G$117,$K41))*($C41-INDEX(Loads!$G$5:$G$117,$K41))))</f>
        <v>63787.07</v>
      </c>
      <c r="N41" s="73">
        <f>IF(ISBLANK(INDEX(Loads!$J$5:$J$117,$K41)),"-",INDEX(Loads!$J$5:$J$117,$K41)+IF(NOT(ISERROR($J41)),0,(INDEX(Loads!$J$5:$J$117,$K41+1)-INDEX(Loads!$J$5:$J$117,$K41))/(INDEX(Loads!$G$5:$G$117,$K41+1)-INDEX(Loads!$G$5:$G$117,$K41))*($C41-INDEX(Loads!$G$5:$G$117,$K41))))</f>
        <v>479931.6124015667</v>
      </c>
      <c r="O41" s="73">
        <f>IF(ISBLANK(INDEX(Loads!$K$5:$K$117,$K41)),"-",INDEX(Loads!$K$5:$K$117,$K41)+IF(NOT(ISERROR($J41)),0,(INDEX(Loads!$K$5:$K$117,$K41+1)-INDEX(Loads!$K$5:$K$117,$K41))/(INDEX(Loads!$G$5:$G$117,$K41+1)-INDEX(Loads!$G$5:$G$117,$K41))*($C41-INDEX(Loads!$G$5:$G$117,$K41))))</f>
        <v>-109701.37940079664</v>
      </c>
      <c r="Q41" t="e">
        <f>MATCH($C41,Loads!$M$5:$M$117,0)</f>
        <v>#N/A</v>
      </c>
      <c r="R41">
        <f>MATCH($C41,Loads!$M$5:$M$117,1)</f>
        <v>16</v>
      </c>
      <c r="S41" s="73">
        <f>IF(ISBLANK(INDEX(Loads!$N$5:$N$117,$R41)),"-",INDEX(Loads!$N$5:$N$117,$K41)+IF(NOT(ISERROR($Q41)),0,(INDEX(Loads!$N$5:$N$117,$R41+1)-INDEX(Loads!$N$5:$N$117,$R41))/(INDEX(Loads!$M$5:$M$117,$R41+1)-INDEX(Loads!$M$5:$M$117,$R41))*($C41-INDEX(Loads!$M$5:$M$117,$R41))))</f>
        <v>-54170.99</v>
      </c>
      <c r="T41" s="73">
        <f>IF(ISBLANK(INDEX(Loads!$O$5:$O$117,$R41)),"-",INDEX(Loads!$O$5:$O$117,$K41)+IF(NOT(ISERROR($Q41)),0,(INDEX(Loads!$O$5:$O$117,$R41+1)-INDEX(Loads!$O$5:$O$117,$R41))/(INDEX(Loads!$M$5:$M$117,$R41+1)-INDEX(Loads!$M$5:$M$117,$R41))*($C41-INDEX(Loads!$M$5:$M$117,$R41))))</f>
        <v>352574.43534481473</v>
      </c>
      <c r="U41" s="73">
        <f>IF(ISBLANK(INDEX(Loads!$P$5:$P$117,$R41)),"-",INDEX(Loads!$P$5:$P$117,$K41)+IF(NOT(ISERROR($Q41)),0,(INDEX(Loads!$P$5:$P$117,$R41+1)-INDEX(Loads!$P$5:$P$117,$R41))/(INDEX(Loads!$M$5:$M$117,$R41+1)-INDEX(Loads!$M$5:$M$117,$R41))*($C41-INDEX(Loads!$M$5:$M$117,$R41))))</f>
        <v>-80832.204692804284</v>
      </c>
    </row>
    <row r="42" spans="3:21">
      <c r="C42" s="72">
        <f>Geometry!E49</f>
        <v>-77.430000000000007</v>
      </c>
      <c r="E42" s="62" t="e">
        <f>MATCH($C42,Loads!$C$5:$C$117,0)</f>
        <v>#N/A</v>
      </c>
      <c r="F42" s="62">
        <f>MATCH($C42,Loads!$C$5:$C$117,1)</f>
        <v>8</v>
      </c>
      <c r="G42" s="73" t="str">
        <f>IF(ISBLANK(INDEX(Loads!$D$5:$D$117,$F42)),"-",INDEX(Loads!$D$5:$D$117,$F42)+IF(NOT(ISERROR($E42)),0,(INDEX(Loads!$D$5:$D$117,$F42+1)-INDEX(Loads!$D$5:$D$117,$F42))/(INDEX(Loads!$C$5:$C$117,$F42+1)-INDEX(Loads!$C$5:$C$117,$F42))*($C42-INDEX(Loads!$C$5:$C$117,$F42))))</f>
        <v>-</v>
      </c>
      <c r="H42" s="73">
        <f>IF(ISBLANK(INDEX(Loads!$E$5:$E$117,$F42)),"-",INDEX(Loads!$E$5:$E$117,$F42)+IF(NOT(ISERROR($E42)),0,(INDEX(Loads!$E$5:$E$117,$F42+1)-INDEX(Loads!$E$5:$E$117,$F42))/(INDEX(Loads!$C$5:$C$117,$F42+1)-INDEX(Loads!$C$5:$C$117,$F42))*($C42-INDEX(Loads!$C$5:$C$117,$F42))))</f>
        <v>32315.482951123286</v>
      </c>
      <c r="J42" s="62" t="e">
        <f>MATCH($C42,Loads!$G$5:$G$117,0)</f>
        <v>#N/A</v>
      </c>
      <c r="K42" s="62">
        <f>MATCH($C42,Loads!$G$5:$G$117,1)</f>
        <v>8</v>
      </c>
      <c r="L42" s="73">
        <f>IF(ISBLANK(INDEX(Loads!$H$5:$H$117,$K42)),"-",INDEX(Loads!$H$5:$H$117,$K42)+IF(NOT(ISERROR($J42)),0,(INDEX(Loads!$H$5:$H$117,$K42+1)-INDEX(Loads!$H$5:$H$117,$K42))/(INDEX(Loads!$G$5:$G$117,$K42+1)-INDEX(Loads!$G$5:$G$117,$K42))*($C42-INDEX(Loads!$G$5:$G$117,$K42))))</f>
        <v>-73130.84</v>
      </c>
      <c r="M42" s="73">
        <f>IF(ISBLANK(INDEX(Loads!$I$5:$I$117,$K42)),"-",INDEX(Loads!$I$5:$I$117,$K42)+IF(NOT(ISERROR($J42)),0,(INDEX(Loads!$I$5:$I$117,$K42+1)-INDEX(Loads!$I$5:$I$117,$K42))/(INDEX(Loads!$G$5:$G$117,$K42+1)-INDEX(Loads!$G$5:$G$117,$K42))*($C42-INDEX(Loads!$G$5:$G$117,$K42))))</f>
        <v>63787.07</v>
      </c>
      <c r="N42" s="73">
        <f>IF(ISBLANK(INDEX(Loads!$J$5:$J$117,$K42)),"-",INDEX(Loads!$J$5:$J$117,$K42)+IF(NOT(ISERROR($J42)),0,(INDEX(Loads!$J$5:$J$117,$K42+1)-INDEX(Loads!$J$5:$J$117,$K42))/(INDEX(Loads!$G$5:$G$117,$K42+1)-INDEX(Loads!$G$5:$G$117,$K42))*($C42-INDEX(Loads!$G$5:$G$117,$K42))))</f>
        <v>160819.35215463999</v>
      </c>
      <c r="O42" s="73">
        <f>IF(ISBLANK(INDEX(Loads!$K$5:$K$117,$K42)),"-",INDEX(Loads!$K$5:$K$117,$K42)+IF(NOT(ISERROR($J42)),0,(INDEX(Loads!$K$5:$K$117,$K42+1)-INDEX(Loads!$K$5:$K$117,$K42))/(INDEX(Loads!$G$5:$G$117,$K42+1)-INDEX(Loads!$G$5:$G$117,$K42))*($C42-INDEX(Loads!$G$5:$G$117,$K42))))</f>
        <v>-83512.56229309729</v>
      </c>
      <c r="Q42" t="e">
        <f>MATCH($C42,Loads!$M$5:$M$117,0)</f>
        <v>#N/A</v>
      </c>
      <c r="R42">
        <f>MATCH($C42,Loads!$M$5:$M$117,1)</f>
        <v>8</v>
      </c>
      <c r="S42" s="73">
        <f>IF(ISBLANK(INDEX(Loads!$N$5:$N$117,$R42)),"-",INDEX(Loads!$N$5:$N$117,$K42)+IF(NOT(ISERROR($Q42)),0,(INDEX(Loads!$N$5:$N$117,$R42+1)-INDEX(Loads!$N$5:$N$117,$R42))/(INDEX(Loads!$M$5:$M$117,$R42+1)-INDEX(Loads!$M$5:$M$117,$R42))*($C42-INDEX(Loads!$M$5:$M$117,$R42))))</f>
        <v>-54170.99</v>
      </c>
      <c r="T42" s="73">
        <f>IF(ISBLANK(INDEX(Loads!$O$5:$O$117,$R42)),"-",INDEX(Loads!$O$5:$O$117,$K42)+IF(NOT(ISERROR($Q42)),0,(INDEX(Loads!$O$5:$O$117,$R42+1)-INDEX(Loads!$O$5:$O$117,$R42))/(INDEX(Loads!$M$5:$M$117,$R42+1)-INDEX(Loads!$M$5:$M$117,$R42))*($C42-INDEX(Loads!$M$5:$M$117,$R42))))</f>
        <v>117870.81491893144</v>
      </c>
      <c r="U42" s="73">
        <f>IF(ISBLANK(INDEX(Loads!$P$5:$P$117,$R42)),"-",INDEX(Loads!$P$5:$P$117,$K42)+IF(NOT(ISERROR($Q42)),0,(INDEX(Loads!$P$5:$P$117,$R42+1)-INDEX(Loads!$P$5:$P$117,$R42))/(INDEX(Loads!$M$5:$M$117,$R42+1)-INDEX(Loads!$M$5:$M$117,$R42))*($C42-INDEX(Loads!$M$5:$M$117,$R42))))</f>
        <v>-61264.34967265524</v>
      </c>
    </row>
    <row r="43" spans="3:21">
      <c r="C43" s="72">
        <f>Geometry!E50</f>
        <v>-80.430000000000007</v>
      </c>
      <c r="E43" s="62">
        <f>MATCH($C43,Loads!$C$5:$C$117,0)</f>
        <v>1</v>
      </c>
      <c r="F43" s="62">
        <f>MATCH($C43,Loads!$C$5:$C$117,1)</f>
        <v>1</v>
      </c>
      <c r="G43" s="73" t="str">
        <f>IF(ISBLANK(INDEX(Loads!$D$5:$D$117,$F43)),"-",INDEX(Loads!$D$5:$D$117,$F43)+IF(NOT(ISERROR($E43)),0,(INDEX(Loads!$D$5:$D$117,$F43+1)-INDEX(Loads!$D$5:$D$117,$F43))/(INDEX(Loads!$C$5:$C$117,$F43+1)-INDEX(Loads!$C$5:$C$117,$F43))*($C43-INDEX(Loads!$C$5:$C$117,$F43))))</f>
        <v>-</v>
      </c>
      <c r="H43" s="73">
        <f>IF(ISBLANK(INDEX(Loads!$E$5:$E$117,$F43)),"-",INDEX(Loads!$E$5:$E$117,$F43)+IF(NOT(ISERROR($E43)),0,(INDEX(Loads!$E$5:$E$117,$F43+1)-INDEX(Loads!$E$5:$E$117,$F43))/(INDEX(Loads!$C$5:$C$117,$F43+1)-INDEX(Loads!$C$5:$C$117,$F43))*($C43-INDEX(Loads!$C$5:$C$117,$F43))))</f>
        <v>9.3132257461547893E-10</v>
      </c>
      <c r="J43" s="62">
        <f>MATCH($C43,Loads!$G$5:$G$117,0)</f>
        <v>1</v>
      </c>
      <c r="K43" s="62">
        <f>MATCH($C43,Loads!$G$5:$G$117,1)</f>
        <v>1</v>
      </c>
      <c r="L43" s="73">
        <f>IF(ISBLANK(INDEX(Loads!$H$5:$H$117,$K43)),"-",INDEX(Loads!$H$5:$H$117,$K43)+IF(NOT(ISERROR($J43)),0,(INDEX(Loads!$H$5:$H$117,$K43+1)-INDEX(Loads!$H$5:$H$117,$K43))/(INDEX(Loads!$G$5:$G$117,$K43+1)-INDEX(Loads!$G$5:$G$117,$K43))*($C43-INDEX(Loads!$G$5:$G$117,$K43))))</f>
        <v>-73130.84</v>
      </c>
      <c r="M43" s="73">
        <f>IF(ISBLANK(INDEX(Loads!$I$5:$I$117,$K43)),"-",INDEX(Loads!$I$5:$I$117,$K43)+IF(NOT(ISERROR($J43)),0,(INDEX(Loads!$I$5:$I$117,$K43+1)-INDEX(Loads!$I$5:$I$117,$K43))/(INDEX(Loads!$G$5:$G$117,$K43+1)-INDEX(Loads!$G$5:$G$117,$K43))*($C43-INDEX(Loads!$G$5:$G$117,$K43))))</f>
        <v>63787.07</v>
      </c>
      <c r="N43" s="73">
        <f>IF(ISBLANK(INDEX(Loads!$J$5:$J$117,$K43)),"-",INDEX(Loads!$J$5:$J$117,$K43)+IF(NOT(ISERROR($J43)),0,(INDEX(Loads!$J$5:$J$117,$K43+1)-INDEX(Loads!$J$5:$J$117,$K43))/(INDEX(Loads!$G$5:$G$117,$K43+1)-INDEX(Loads!$G$5:$G$117,$K43))*($C43-INDEX(Loads!$G$5:$G$117,$K43))))</f>
        <v>1E-100</v>
      </c>
      <c r="O43" s="73">
        <f>IF(ISBLANK(INDEX(Loads!$K$5:$K$117,$K43)),"-",INDEX(Loads!$K$5:$K$117,$K43)+IF(NOT(ISERROR($J43)),0,(INDEX(Loads!$K$5:$K$117,$K43+1)-INDEX(Loads!$K$5:$K$117,$K43))/(INDEX(Loads!$G$5:$G$117,$K43+1)-INDEX(Loads!$G$5:$G$117,$K43))*($C43-INDEX(Loads!$G$5:$G$117,$K43))))</f>
        <v>-11205.6022600377</v>
      </c>
      <c r="Q43">
        <f>MATCH($C43,Loads!$M$5:$M$117,0)</f>
        <v>1</v>
      </c>
      <c r="R43">
        <f>MATCH($C43,Loads!$M$5:$M$117,1)</f>
        <v>1</v>
      </c>
      <c r="S43" s="73">
        <f>IF(ISBLANK(INDEX(Loads!$N$5:$N$117,$R43)),"-",INDEX(Loads!$N$5:$N$117,$K43)+IF(NOT(ISERROR($Q43)),0,(INDEX(Loads!$N$5:$N$117,$R43+1)-INDEX(Loads!$N$5:$N$117,$R43))/(INDEX(Loads!$M$5:$M$117,$R43+1)-INDEX(Loads!$M$5:$M$117,$R43))*($C43-INDEX(Loads!$M$5:$M$117,$R43))))</f>
        <v>-54170.99</v>
      </c>
      <c r="T43" s="73">
        <f>IF(ISBLANK(INDEX(Loads!$O$5:$O$117,$R43)),"-",INDEX(Loads!$O$5:$O$117,$K43)+IF(NOT(ISERROR($Q43)),0,(INDEX(Loads!$O$5:$O$117,$R43+1)-INDEX(Loads!$O$5:$O$117,$R43))/(INDEX(Loads!$M$5:$M$117,$R43+1)-INDEX(Loads!$M$5:$M$117,$R43))*($C43-INDEX(Loads!$M$5:$M$117,$R43))))</f>
        <v>-1.4901161193847699E-8</v>
      </c>
      <c r="U43" s="73">
        <f>IF(ISBLANK(INDEX(Loads!$P$5:$P$117,$R43)),"-",INDEX(Loads!$P$5:$P$117,$K43)+IF(NOT(ISERROR($Q43)),0,(INDEX(Loads!$P$5:$P$117,$R43+1)-INDEX(Loads!$P$5:$P$117,$R43))/(INDEX(Loads!$M$5:$M$117,$R43+1)-INDEX(Loads!$M$5:$M$117,$R43))*($C43-INDEX(Loads!$M$5:$M$117,$R43))))</f>
        <v>-8200.2309380642801</v>
      </c>
    </row>
    <row r="46" spans="3:21">
      <c r="C46" s="35" t="s">
        <v>210</v>
      </c>
      <c r="E46" s="62"/>
      <c r="F46" s="62"/>
      <c r="J46" s="62"/>
      <c r="K46" s="62"/>
    </row>
    <row r="47" spans="3:21">
      <c r="E47" s="62"/>
      <c r="F47" s="62"/>
      <c r="G47" s="305" t="s">
        <v>281</v>
      </c>
      <c r="H47" s="306"/>
      <c r="J47" s="62"/>
      <c r="K47" s="62"/>
      <c r="L47" s="305" t="s">
        <v>217</v>
      </c>
      <c r="M47" s="307"/>
      <c r="N47" s="307"/>
      <c r="O47" s="306"/>
      <c r="S47" s="305" t="s">
        <v>218</v>
      </c>
      <c r="T47" s="307"/>
      <c r="U47" s="306"/>
    </row>
    <row r="48" spans="3:21">
      <c r="C48" s="70" t="s">
        <v>330</v>
      </c>
      <c r="E48" s="62"/>
      <c r="F48" s="62"/>
      <c r="G48" s="70" t="s">
        <v>264</v>
      </c>
      <c r="H48" s="70" t="str">
        <f>IF(Control!$F$39="EC","m=4, N=1E7","m=5, N=1e7")</f>
        <v>m=4, N=1E7</v>
      </c>
      <c r="J48" s="62"/>
      <c r="K48" s="62"/>
      <c r="L48" s="70" t="s">
        <v>73</v>
      </c>
      <c r="M48" s="70" t="s">
        <v>74</v>
      </c>
      <c r="N48" s="70" t="s">
        <v>75</v>
      </c>
      <c r="O48" s="70" t="s">
        <v>76</v>
      </c>
      <c r="S48" s="70" t="s">
        <v>73</v>
      </c>
      <c r="T48" s="70" t="s">
        <v>75</v>
      </c>
      <c r="U48" s="70" t="s">
        <v>76</v>
      </c>
    </row>
    <row r="49" spans="3:21">
      <c r="C49" s="70" t="str">
        <f>"[m"&amp;Control!$F$7&amp;"]"</f>
        <v>[mLAT]</v>
      </c>
      <c r="E49" s="62"/>
      <c r="F49" s="62"/>
      <c r="G49" s="70" t="s">
        <v>20</v>
      </c>
      <c r="H49" s="70" t="s">
        <v>20</v>
      </c>
      <c r="J49" s="62"/>
      <c r="K49" s="62"/>
      <c r="L49" s="70" t="s">
        <v>265</v>
      </c>
      <c r="M49" s="70" t="s">
        <v>20</v>
      </c>
      <c r="N49" s="70" t="s">
        <v>20</v>
      </c>
      <c r="O49" s="70" t="s">
        <v>265</v>
      </c>
      <c r="S49" s="70" t="s">
        <v>265</v>
      </c>
      <c r="T49" s="70" t="s">
        <v>20</v>
      </c>
      <c r="U49" s="70" t="s">
        <v>265</v>
      </c>
    </row>
    <row r="50" spans="3:21">
      <c r="C50" s="72">
        <f>Geometry!AF11</f>
        <v>20</v>
      </c>
      <c r="E50" s="62" t="e">
        <f>MATCH($C50,Loads!$C$5:$C$117,0)</f>
        <v>#N/A</v>
      </c>
      <c r="F50" s="62">
        <f>MATCH($C50,Loads!$C$5:$C$117,1)</f>
        <v>112</v>
      </c>
      <c r="G50" s="73">
        <f>IF(ISBLANK(INDEX(Loads!$D$5:$D$117,$F50)),"-",INDEX(Loads!$D$5:$D$117,$F50)+IF(NOT(ISERROR($E50)),0,(INDEX(Loads!$D$5:$D$117,$F50+1)-INDEX(Loads!$D$5:$D$117,$F50))/(INDEX(Loads!$C$5:$C$117,$F50+1)-INDEX(Loads!$C$5:$C$117,$F50))*($C50-INDEX(Loads!$C$5:$C$117,$F50))))</f>
        <v>173166.78440366974</v>
      </c>
      <c r="H50" s="73">
        <f>IF(ISBLANK(INDEX(Loads!$E$5:$E$117,$F50)),"-",INDEX(Loads!$E$5:$E$117,$F50)+IF(NOT(ISERROR($E50)),0,(INDEX(Loads!$E$5:$E$117,$F50+1)-INDEX(Loads!$E$5:$E$117,$F50))/(INDEX(Loads!$C$5:$C$117,$F50+1)-INDEX(Loads!$C$5:$C$117,$F50))*($C50-INDEX(Loads!$C$5:$C$117,$F50))))</f>
        <v>168390.11467889909</v>
      </c>
      <c r="J50" s="62" t="e">
        <f>MATCH($C50,Loads!$G$5:$G$117,0)</f>
        <v>#N/A</v>
      </c>
      <c r="K50" s="62">
        <f>MATCH($C50,Loads!$G$5:$G$117,1)</f>
        <v>112</v>
      </c>
      <c r="L50" s="73">
        <f>IF(ISBLANK(INDEX(Loads!$H$5:$H$117,$K50)),"-",INDEX(Loads!$H$5:$H$117,$K50)+IF(NOT(ISERROR($J50)),0,(INDEX(Loads!$H$5:$H$117,$K50+1)-INDEX(Loads!$H$5:$H$117,$K50))/(INDEX(Loads!$G$5:$G$117,$K50+1)-INDEX(Loads!$G$5:$G$117,$K50))*($C50-INDEX(Loads!$G$5:$G$117,$K50))))</f>
        <v>-47121.785321100921</v>
      </c>
      <c r="M50" s="73">
        <f>IF(ISBLANK(INDEX(Loads!$I$5:$I$117,$K50)),"-",INDEX(Loads!$I$5:$I$117,$K50)+IF(NOT(ISERROR($J50)),0,(INDEX(Loads!$I$5:$I$117,$K50+1)-INDEX(Loads!$I$5:$I$117,$K50))/(INDEX(Loads!$G$5:$G$117,$K50+1)-INDEX(Loads!$G$5:$G$117,$K50))*($C50-INDEX(Loads!$G$5:$G$117,$K50))))</f>
        <v>63705.796330275225</v>
      </c>
      <c r="N50" s="73">
        <f>IF(ISBLANK(INDEX(Loads!$J$5:$J$117,$K50)),"-",INDEX(Loads!$J$5:$J$117,$K50)+IF(NOT(ISERROR($J50)),0,(INDEX(Loads!$J$5:$J$117,$K50+1)-INDEX(Loads!$J$5:$J$117,$K50))/(INDEX(Loads!$G$5:$G$117,$K50+1)-INDEX(Loads!$G$5:$G$117,$K50))*($C50-INDEX(Loads!$G$5:$G$117,$K50))))</f>
        <v>756027.0027522936</v>
      </c>
      <c r="O50" s="73">
        <f>IF(ISBLANK(INDEX(Loads!$K$5:$K$117,$K50)),"-",INDEX(Loads!$K$5:$K$117,$K50)+IF(NOT(ISERROR($J50)),0,(INDEX(Loads!$K$5:$K$117,$K50+1)-INDEX(Loads!$K$5:$K$117,$K50))/(INDEX(Loads!$G$5:$G$117,$K50+1)-INDEX(Loads!$G$5:$G$117,$K50))*($C50-INDEX(Loads!$G$5:$G$117,$K50))))</f>
        <v>5964.5405596330274</v>
      </c>
      <c r="Q50" t="e">
        <f>MATCH($C50,Loads!$M$5:$M$117,0)</f>
        <v>#N/A</v>
      </c>
      <c r="R50">
        <f>MATCH($C50,Loads!$M$5:$M$117,1)</f>
        <v>112</v>
      </c>
      <c r="S50" s="73">
        <f>IF(ISBLANK(INDEX(Loads!$N$5:$N$117,$R50)),"-",INDEX(Loads!$N$5:$N$117,$K50)+IF(NOT(ISERROR($Q50)),0,(INDEX(Loads!$N$5:$N$117,$R50+1)-INDEX(Loads!$N$5:$N$117,$R50))/(INDEX(Loads!$M$5:$M$117,$R50+1)-INDEX(Loads!$M$5:$M$117,$R50))*($C50-INDEX(Loads!$M$5:$M$117,$R50))))</f>
        <v>-34905.030275229357</v>
      </c>
      <c r="T50" s="73">
        <f>IF(ISBLANK(INDEX(Loads!$O$5:$O$117,$R50)),"-",INDEX(Loads!$O$5:$O$117,$K50)+IF(NOT(ISERROR($Q50)),0,(INDEX(Loads!$O$5:$O$117,$R50+1)-INDEX(Loads!$O$5:$O$117,$R50))/(INDEX(Loads!$M$5:$M$117,$R50+1)-INDEX(Loads!$M$5:$M$117,$R50))*($C50-INDEX(Loads!$M$5:$M$117,$R50))))</f>
        <v>573084.22568807343</v>
      </c>
      <c r="U50" s="73">
        <f>IF(ISBLANK(INDEX(Loads!$P$5:$P$117,$R50)),"-",INDEX(Loads!$P$5:$P$117,$K50)+IF(NOT(ISERROR($Q50)),0,(INDEX(Loads!$P$5:$P$117,$R50+1)-INDEX(Loads!$P$5:$P$117,$R50))/(INDEX(Loads!$M$5:$M$117,$R50+1)-INDEX(Loads!$M$5:$M$117,$R50))*($C50-INDEX(Loads!$M$5:$M$117,$R50))))</f>
        <v>4418.17880733945</v>
      </c>
    </row>
    <row r="51" spans="3:21">
      <c r="C51" s="72">
        <f>Geometry!AF12</f>
        <v>19.5</v>
      </c>
      <c r="E51" s="62" t="e">
        <f>MATCH($C51,Loads!$C$5:$C$117,0)</f>
        <v>#N/A</v>
      </c>
      <c r="F51" s="62">
        <f>MATCH($C51,Loads!$C$5:$C$117,1)</f>
        <v>112</v>
      </c>
      <c r="G51" s="73">
        <f>IF(ISBLANK(INDEX(Loads!$D$5:$D$117,$F51)),"-",INDEX(Loads!$D$5:$D$117,$F51)+IF(NOT(ISERROR($E51)),0,(INDEX(Loads!$D$5:$D$117,$F51+1)-INDEX(Loads!$D$5:$D$117,$F51))/(INDEX(Loads!$C$5:$C$117,$F51+1)-INDEX(Loads!$C$5:$C$117,$F51))*($C51-INDEX(Loads!$C$5:$C$117,$F51))))</f>
        <v>173696.98318042813</v>
      </c>
      <c r="H51" s="73">
        <f>IF(ISBLANK(INDEX(Loads!$E$5:$E$117,$F51)),"-",INDEX(Loads!$E$5:$E$117,$F51)+IF(NOT(ISERROR($E51)),0,(INDEX(Loads!$E$5:$E$117,$F51+1)-INDEX(Loads!$E$5:$E$117,$F51))/(INDEX(Loads!$C$5:$C$117,$F51+1)-INDEX(Loads!$C$5:$C$117,$F51))*($C51-INDEX(Loads!$C$5:$C$117,$F51))))</f>
        <v>168943.55504587156</v>
      </c>
      <c r="J51" s="62" t="e">
        <f>MATCH($C51,Loads!$G$5:$G$117,0)</f>
        <v>#N/A</v>
      </c>
      <c r="K51" s="62">
        <f>MATCH($C51,Loads!$G$5:$G$117,1)</f>
        <v>112</v>
      </c>
      <c r="L51" s="73">
        <f>IF(ISBLANK(INDEX(Loads!$H$5:$H$117,$K51)),"-",INDEX(Loads!$H$5:$H$117,$K51)+IF(NOT(ISERROR($J51)),0,(INDEX(Loads!$H$5:$H$117,$K51+1)-INDEX(Loads!$H$5:$H$117,$K51))/(INDEX(Loads!$G$5:$G$117,$K51+1)-INDEX(Loads!$G$5:$G$117,$K51))*($C51-INDEX(Loads!$G$5:$G$117,$K51))))</f>
        <v>-47325.511620795107</v>
      </c>
      <c r="M51" s="73">
        <f>IF(ISBLANK(INDEX(Loads!$I$5:$I$117,$K51)),"-",INDEX(Loads!$I$5:$I$117,$K51)+IF(NOT(ISERROR($J51)),0,(INDEX(Loads!$I$5:$I$117,$K51+1)-INDEX(Loads!$I$5:$I$117,$K51))/(INDEX(Loads!$G$5:$G$117,$K51+1)-INDEX(Loads!$G$5:$G$117,$K51))*($C51-INDEX(Loads!$G$5:$G$117,$K51))))</f>
        <v>63707.019571865443</v>
      </c>
      <c r="N51" s="73">
        <f>IF(ISBLANK(INDEX(Loads!$J$5:$J$117,$K51)),"-",INDEX(Loads!$J$5:$J$117,$K51)+IF(NOT(ISERROR($J51)),0,(INDEX(Loads!$J$5:$J$117,$K51+1)-INDEX(Loads!$J$5:$J$117,$K51))/(INDEX(Loads!$G$5:$G$117,$K51+1)-INDEX(Loads!$G$5:$G$117,$K51))*($C51-INDEX(Loads!$G$5:$G$117,$K51))))</f>
        <v>759061.08532110089</v>
      </c>
      <c r="O51" s="73">
        <f>IF(ISBLANK(INDEX(Loads!$K$5:$K$117,$K51)),"-",INDEX(Loads!$K$5:$K$117,$K51)+IF(NOT(ISERROR($J51)),0,(INDEX(Loads!$K$5:$K$117,$K51+1)-INDEX(Loads!$K$5:$K$117,$K51))/(INDEX(Loads!$G$5:$G$117,$K51+1)-INDEX(Loads!$G$5:$G$117,$K51))*($C51-INDEX(Loads!$G$5:$G$117,$K51))))</f>
        <v>5972.6373486238535</v>
      </c>
      <c r="Q51" t="e">
        <f>MATCH($C51,Loads!$M$5:$M$117,0)</f>
        <v>#N/A</v>
      </c>
      <c r="R51">
        <f>MATCH($C51,Loads!$M$5:$M$117,1)</f>
        <v>112</v>
      </c>
      <c r="S51" s="73">
        <f>IF(ISBLANK(INDEX(Loads!$N$5:$N$117,$R51)),"-",INDEX(Loads!$N$5:$N$117,$K51)+IF(NOT(ISERROR($Q51)),0,(INDEX(Loads!$N$5:$N$117,$R51+1)-INDEX(Loads!$N$5:$N$117,$R51))/(INDEX(Loads!$M$5:$M$117,$R51+1)-INDEX(Loads!$M$5:$M$117,$R51))*($C51-INDEX(Loads!$M$5:$M$117,$R51))))</f>
        <v>-35055.938532110093</v>
      </c>
      <c r="T51" s="73">
        <f>IF(ISBLANK(INDEX(Loads!$O$5:$O$117,$R51)),"-",INDEX(Loads!$O$5:$O$117,$K51)+IF(NOT(ISERROR($Q51)),0,(INDEX(Loads!$O$5:$O$117,$R51+1)-INDEX(Loads!$O$5:$O$117,$R51))/(INDEX(Loads!$M$5:$M$117,$R51+1)-INDEX(Loads!$M$5:$M$117,$R51))*($C51-INDEX(Loads!$M$5:$M$117,$R51))))</f>
        <v>575385.66299694194</v>
      </c>
      <c r="U51" s="73">
        <f>IF(ISBLANK(INDEX(Loads!$P$5:$P$117,$R51)),"-",INDEX(Loads!$P$5:$P$117,$K51)+IF(NOT(ISERROR($Q51)),0,(INDEX(Loads!$P$5:$P$117,$R51+1)-INDEX(Loads!$P$5:$P$117,$R51))/(INDEX(Loads!$M$5:$M$117,$R51+1)-INDEX(Loads!$M$5:$M$117,$R51))*($C51-INDEX(Loads!$M$5:$M$117,$R51))))</f>
        <v>4424.1763608562696</v>
      </c>
    </row>
    <row r="52" spans="3:21">
      <c r="C52" s="72">
        <f>Geometry!AF13</f>
        <v>20</v>
      </c>
      <c r="E52" s="62" t="e">
        <f>MATCH($C52,Loads!$C$5:$C$117,0)</f>
        <v>#N/A</v>
      </c>
      <c r="F52" s="62">
        <f>MATCH($C52,Loads!$C$5:$C$117,1)</f>
        <v>112</v>
      </c>
      <c r="G52" s="73">
        <f>IF(ISBLANK(INDEX(Loads!$D$5:$D$117,$F52)),"-",INDEX(Loads!$D$5:$D$117,$F52)+IF(NOT(ISERROR($E52)),0,(INDEX(Loads!$D$5:$D$117,$F52+1)-INDEX(Loads!$D$5:$D$117,$F52))/(INDEX(Loads!$C$5:$C$117,$F52+1)-INDEX(Loads!$C$5:$C$117,$F52))*($C52-INDEX(Loads!$C$5:$C$117,$F52))))</f>
        <v>173166.78440366974</v>
      </c>
      <c r="H52" s="73">
        <f>IF(ISBLANK(INDEX(Loads!$E$5:$E$117,$F52)),"-",INDEX(Loads!$E$5:$E$117,$F52)+IF(NOT(ISERROR($E52)),0,(INDEX(Loads!$E$5:$E$117,$F52+1)-INDEX(Loads!$E$5:$E$117,$F52))/(INDEX(Loads!$C$5:$C$117,$F52+1)-INDEX(Loads!$C$5:$C$117,$F52))*($C52-INDEX(Loads!$C$5:$C$117,$F52))))</f>
        <v>168390.11467889909</v>
      </c>
      <c r="J52" s="62" t="e">
        <f>MATCH($C52,Loads!$G$5:$G$117,0)</f>
        <v>#N/A</v>
      </c>
      <c r="K52" s="62">
        <f>MATCH($C52,Loads!$G$5:$G$117,1)</f>
        <v>112</v>
      </c>
      <c r="L52" s="73">
        <f>IF(ISBLANK(INDEX(Loads!$H$5:$H$117,$K52)),"-",INDEX(Loads!$H$5:$H$117,$K52)+IF(NOT(ISERROR($J52)),0,(INDEX(Loads!$H$5:$H$117,$K52+1)-INDEX(Loads!$H$5:$H$117,$K52))/(INDEX(Loads!$G$5:$G$117,$K52+1)-INDEX(Loads!$G$5:$G$117,$K52))*($C52-INDEX(Loads!$G$5:$G$117,$K52))))</f>
        <v>-47121.785321100921</v>
      </c>
      <c r="M52" s="73">
        <f>IF(ISBLANK(INDEX(Loads!$I$5:$I$117,$K52)),"-",INDEX(Loads!$I$5:$I$117,$K52)+IF(NOT(ISERROR($J52)),0,(INDEX(Loads!$I$5:$I$117,$K52+1)-INDEX(Loads!$I$5:$I$117,$K52))/(INDEX(Loads!$G$5:$G$117,$K52+1)-INDEX(Loads!$G$5:$G$117,$K52))*($C52-INDEX(Loads!$G$5:$G$117,$K52))))</f>
        <v>63705.796330275225</v>
      </c>
      <c r="N52" s="73">
        <f>IF(ISBLANK(INDEX(Loads!$J$5:$J$117,$K52)),"-",INDEX(Loads!$J$5:$J$117,$K52)+IF(NOT(ISERROR($J52)),0,(INDEX(Loads!$J$5:$J$117,$K52+1)-INDEX(Loads!$J$5:$J$117,$K52))/(INDEX(Loads!$G$5:$G$117,$K52+1)-INDEX(Loads!$G$5:$G$117,$K52))*($C52-INDEX(Loads!$G$5:$G$117,$K52))))</f>
        <v>756027.0027522936</v>
      </c>
      <c r="O52" s="73">
        <f>IF(ISBLANK(INDEX(Loads!$K$5:$K$117,$K52)),"-",INDEX(Loads!$K$5:$K$117,$K52)+IF(NOT(ISERROR($J52)),0,(INDEX(Loads!$K$5:$K$117,$K52+1)-INDEX(Loads!$K$5:$K$117,$K52))/(INDEX(Loads!$G$5:$G$117,$K52+1)-INDEX(Loads!$G$5:$G$117,$K52))*($C52-INDEX(Loads!$G$5:$G$117,$K52))))</f>
        <v>5964.5405596330274</v>
      </c>
      <c r="Q52" t="e">
        <f>MATCH($C52,Loads!$M$5:$M$117,0)</f>
        <v>#N/A</v>
      </c>
      <c r="R52">
        <f>MATCH($C52,Loads!$M$5:$M$117,1)</f>
        <v>112</v>
      </c>
      <c r="S52" s="73">
        <f>IF(ISBLANK(INDEX(Loads!$N$5:$N$117,$R52)),"-",INDEX(Loads!$N$5:$N$117,$K52)+IF(NOT(ISERROR($Q52)),0,(INDEX(Loads!$N$5:$N$117,$R52+1)-INDEX(Loads!$N$5:$N$117,$R52))/(INDEX(Loads!$M$5:$M$117,$R52+1)-INDEX(Loads!$M$5:$M$117,$R52))*($C52-INDEX(Loads!$M$5:$M$117,$R52))))</f>
        <v>-34905.030275229357</v>
      </c>
      <c r="T52" s="73">
        <f>IF(ISBLANK(INDEX(Loads!$O$5:$O$117,$R52)),"-",INDEX(Loads!$O$5:$O$117,$K52)+IF(NOT(ISERROR($Q52)),0,(INDEX(Loads!$O$5:$O$117,$R52+1)-INDEX(Loads!$O$5:$O$117,$R52))/(INDEX(Loads!$M$5:$M$117,$R52+1)-INDEX(Loads!$M$5:$M$117,$R52))*($C52-INDEX(Loads!$M$5:$M$117,$R52))))</f>
        <v>573084.22568807343</v>
      </c>
      <c r="U52" s="73">
        <f>IF(ISBLANK(INDEX(Loads!$P$5:$P$117,$R52)),"-",INDEX(Loads!$P$5:$P$117,$K52)+IF(NOT(ISERROR($Q52)),0,(INDEX(Loads!$P$5:$P$117,$R52+1)-INDEX(Loads!$P$5:$P$117,$R52))/(INDEX(Loads!$M$5:$M$117,$R52+1)-INDEX(Loads!$M$5:$M$117,$R52))*($C52-INDEX(Loads!$M$5:$M$117,$R52))))</f>
        <v>4418.17880733945</v>
      </c>
    </row>
    <row r="53" spans="3:21">
      <c r="C53" s="72">
        <f>Geometry!AF14</f>
        <v>15.73</v>
      </c>
      <c r="E53" s="62" t="e">
        <f>MATCH($C53,Loads!$C$5:$C$117,0)</f>
        <v>#N/A</v>
      </c>
      <c r="F53" s="62">
        <f>MATCH($C53,Loads!$C$5:$C$117,1)</f>
        <v>111</v>
      </c>
      <c r="G53" s="73">
        <f>IF(ISBLANK(INDEX(Loads!$D$5:$D$117,$F53)),"-",INDEX(Loads!$D$5:$D$117,$F53)+IF(NOT(ISERROR($E53)),0,(INDEX(Loads!$D$5:$D$117,$F53+1)-INDEX(Loads!$D$5:$D$117,$F53))/(INDEX(Loads!$C$5:$C$117,$F53+1)-INDEX(Loads!$C$5:$C$117,$F53))*($C53-INDEX(Loads!$C$5:$C$117,$F53))))</f>
        <v>177825.3046875</v>
      </c>
      <c r="H53" s="73">
        <f>IF(ISBLANK(INDEX(Loads!$E$5:$E$117,$F53)),"-",INDEX(Loads!$E$5:$E$117,$F53)+IF(NOT(ISERROR($E53)),0,(INDEX(Loads!$E$5:$E$117,$F53+1)-INDEX(Loads!$E$5:$E$117,$F53))/(INDEX(Loads!$C$5:$C$117,$F53+1)-INDEX(Loads!$C$5:$C$117,$F53))*($C53-INDEX(Loads!$C$5:$C$117,$F53))))</f>
        <v>173154.30312500001</v>
      </c>
      <c r="J53" s="62" t="e">
        <f>MATCH($C53,Loads!$G$5:$G$117,0)</f>
        <v>#N/A</v>
      </c>
      <c r="K53" s="62">
        <f>MATCH($C53,Loads!$G$5:$G$117,1)</f>
        <v>111</v>
      </c>
      <c r="L53" s="73">
        <f>IF(ISBLANK(INDEX(Loads!$H$5:$H$117,$K53)),"-",INDEX(Loads!$H$5:$H$117,$K53)+IF(NOT(ISERROR($J53)),0,(INDEX(Loads!$H$5:$H$117,$K53+1)-INDEX(Loads!$H$5:$H$117,$K53))/(INDEX(Loads!$G$5:$G$117,$K53+1)-INDEX(Loads!$G$5:$G$117,$K53))*($C53-INDEX(Loads!$G$5:$G$117,$K53))))</f>
        <v>-48604.150312500002</v>
      </c>
      <c r="M53" s="73">
        <f>IF(ISBLANK(INDEX(Loads!$I$5:$I$117,$K53)),"-",INDEX(Loads!$I$5:$I$117,$K53)+IF(NOT(ISERROR($J53)),0,(INDEX(Loads!$I$5:$I$117,$K53+1)-INDEX(Loads!$I$5:$I$117,$K53))/(INDEX(Loads!$G$5:$G$117,$K53+1)-INDEX(Loads!$G$5:$G$117,$K53))*($C53-INDEX(Loads!$G$5:$G$117,$K53))))</f>
        <v>63715.81925</v>
      </c>
      <c r="N53" s="73">
        <f>IF(ISBLANK(INDEX(Loads!$J$5:$J$117,$K53)),"-",INDEX(Loads!$J$5:$J$117,$K53)+IF(NOT(ISERROR($J53)),0,(INDEX(Loads!$J$5:$J$117,$K53+1)-INDEX(Loads!$J$5:$J$117,$K53))/(INDEX(Loads!$G$5:$G$117,$K53+1)-INDEX(Loads!$G$5:$G$117,$K53))*($C53-INDEX(Loads!$G$5:$G$117,$K53))))</f>
        <v>781937.58281250007</v>
      </c>
      <c r="O53" s="73">
        <f>IF(ISBLANK(INDEX(Loads!$K$5:$K$117,$K53)),"-",INDEX(Loads!$K$5:$K$117,$K53)+IF(NOT(ISERROR($J53)),0,(INDEX(Loads!$K$5:$K$117,$K53+1)-INDEX(Loads!$K$5:$K$117,$K53))/(INDEX(Loads!$G$5:$G$117,$K53+1)-INDEX(Loads!$G$5:$G$117,$K53))*($C53-INDEX(Loads!$G$5:$G$117,$K53))))</f>
        <v>6023.63311875</v>
      </c>
      <c r="Q53" t="e">
        <f>MATCH($C53,Loads!$M$5:$M$117,0)</f>
        <v>#N/A</v>
      </c>
      <c r="R53">
        <f>MATCH($C53,Loads!$M$5:$M$117,1)</f>
        <v>111</v>
      </c>
      <c r="S53" s="73">
        <f>IF(ISBLANK(INDEX(Loads!$N$5:$N$117,$R53)),"-",INDEX(Loads!$N$5:$N$117,$K53)+IF(NOT(ISERROR($Q53)),0,(INDEX(Loads!$N$5:$N$117,$R53+1)-INDEX(Loads!$N$5:$N$117,$R53))/(INDEX(Loads!$M$5:$M$117,$R53+1)-INDEX(Loads!$M$5:$M$117,$R53))*($C53-INDEX(Loads!$M$5:$M$117,$R53))))</f>
        <v>-36003.077437500004</v>
      </c>
      <c r="T53" s="73">
        <f>IF(ISBLANK(INDEX(Loads!$O$5:$O$117,$R53)),"-",INDEX(Loads!$O$5:$O$117,$K53)+IF(NOT(ISERROR($Q53)),0,(INDEX(Loads!$O$5:$O$117,$R53+1)-INDEX(Loads!$O$5:$O$117,$R53))/(INDEX(Loads!$M$5:$M$117,$R53+1)-INDEX(Loads!$M$5:$M$117,$R53))*($C53-INDEX(Loads!$M$5:$M$117,$R53))))</f>
        <v>592728.38968749996</v>
      </c>
      <c r="U53" s="73">
        <f>IF(ISBLANK(INDEX(Loads!$P$5:$P$117,$R53)),"-",INDEX(Loads!$P$5:$P$117,$K53)+IF(NOT(ISERROR($Q53)),0,(INDEX(Loads!$P$5:$P$117,$R53+1)-INDEX(Loads!$P$5:$P$117,$R53))/(INDEX(Loads!$M$5:$M$117,$R53+1)-INDEX(Loads!$M$5:$M$117,$R53))*($C53-INDEX(Loads!$M$5:$M$117,$R53))))</f>
        <v>4461.9506000000001</v>
      </c>
    </row>
    <row r="54" spans="3:21">
      <c r="C54" s="72">
        <f>Geometry!AF15</f>
        <v>12.5</v>
      </c>
      <c r="E54" s="62" t="e">
        <f>MATCH($C54,Loads!$C$5:$C$117,0)</f>
        <v>#N/A</v>
      </c>
      <c r="F54" s="62">
        <f>MATCH($C54,Loads!$C$5:$C$117,1)</f>
        <v>110</v>
      </c>
      <c r="G54" s="73">
        <f>IF(ISBLANK(INDEX(Loads!$D$5:$D$117,$F54)),"-",INDEX(Loads!$D$5:$D$117,$F54)+IF(NOT(ISERROR($E54)),0,(INDEX(Loads!$D$5:$D$117,$F54+1)-INDEX(Loads!$D$5:$D$117,$F54))/(INDEX(Loads!$C$5:$C$117,$F54+1)-INDEX(Loads!$C$5:$C$117,$F54))*($C54-INDEX(Loads!$C$5:$C$117,$F54))))</f>
        <v>181636.4375</v>
      </c>
      <c r="H54" s="73">
        <f>IF(ISBLANK(INDEX(Loads!$E$5:$E$117,$F54)),"-",INDEX(Loads!$E$5:$E$117,$F54)+IF(NOT(ISERROR($E54)),0,(INDEX(Loads!$E$5:$E$117,$F54+1)-INDEX(Loads!$E$5:$E$117,$F54))/(INDEX(Loads!$C$5:$C$117,$F54+1)-INDEX(Loads!$C$5:$C$117,$F54))*($C54-INDEX(Loads!$C$5:$C$117,$F54))))</f>
        <v>176964.515625</v>
      </c>
      <c r="J54" s="62" t="e">
        <f>MATCH($C54,Loads!$G$5:$G$117,0)</f>
        <v>#N/A</v>
      </c>
      <c r="K54" s="62">
        <f>MATCH($C54,Loads!$G$5:$G$117,1)</f>
        <v>110</v>
      </c>
      <c r="L54" s="73">
        <f>IF(ISBLANK(INDEX(Loads!$H$5:$H$117,$K54)),"-",INDEX(Loads!$H$5:$H$117,$K54)+IF(NOT(ISERROR($J54)),0,(INDEX(Loads!$H$5:$H$117,$K54+1)-INDEX(Loads!$H$5:$H$117,$K54))/(INDEX(Loads!$G$5:$G$117,$K54+1)-INDEX(Loads!$G$5:$G$117,$K54))*($C54-INDEX(Loads!$G$5:$G$117,$K54))))</f>
        <v>-49537.75</v>
      </c>
      <c r="M54" s="73">
        <f>IF(ISBLANK(INDEX(Loads!$I$5:$I$117,$K54)),"-",INDEX(Loads!$I$5:$I$117,$K54)+IF(NOT(ISERROR($J54)),0,(INDEX(Loads!$I$5:$I$117,$K54+1)-INDEX(Loads!$I$5:$I$117,$K54))/(INDEX(Loads!$G$5:$G$117,$K54+1)-INDEX(Loads!$G$5:$G$117,$K54))*($C54-INDEX(Loads!$G$5:$G$117,$K54))))</f>
        <v>63722.042500000003</v>
      </c>
      <c r="N54" s="73">
        <f>IF(ISBLANK(INDEX(Loads!$J$5:$J$117,$K54)),"-",INDEX(Loads!$J$5:$J$117,$K54)+IF(NOT(ISERROR($J54)),0,(INDEX(Loads!$J$5:$J$117,$K54+1)-INDEX(Loads!$J$5:$J$117,$K54))/(INDEX(Loads!$G$5:$G$117,$K54+1)-INDEX(Loads!$G$5:$G$117,$K54))*($C54-INDEX(Loads!$G$5:$G$117,$K54))))</f>
        <v>801608.05937500007</v>
      </c>
      <c r="O54" s="73">
        <f>IF(ISBLANK(INDEX(Loads!$K$5:$K$117,$K54)),"-",INDEX(Loads!$K$5:$K$117,$K54)+IF(NOT(ISERROR($J54)),0,(INDEX(Loads!$K$5:$K$117,$K54+1)-INDEX(Loads!$K$5:$K$117,$K54))/(INDEX(Loads!$G$5:$G$117,$K54+1)-INDEX(Loads!$G$5:$G$117,$K54))*($C54-INDEX(Loads!$G$5:$G$117,$K54))))</f>
        <v>8252.2572187500027</v>
      </c>
      <c r="Q54" t="e">
        <f>MATCH($C54,Loads!$M$5:$M$117,0)</f>
        <v>#N/A</v>
      </c>
      <c r="R54">
        <f>MATCH($C54,Loads!$M$5:$M$117,1)</f>
        <v>110</v>
      </c>
      <c r="S54" s="73">
        <f>IF(ISBLANK(INDEX(Loads!$N$5:$N$117,$R54)),"-",INDEX(Loads!$N$5:$N$117,$K54)+IF(NOT(ISERROR($Q54)),0,(INDEX(Loads!$N$5:$N$117,$R54+1)-INDEX(Loads!$N$5:$N$117,$R54))/(INDEX(Loads!$M$5:$M$117,$R54+1)-INDEX(Loads!$M$5:$M$117,$R54))*($C54-INDEX(Loads!$M$5:$M$117,$R54))))</f>
        <v>-36694.633750000001</v>
      </c>
      <c r="T54" s="73">
        <f>IF(ISBLANK(INDEX(Loads!$O$5:$O$117,$R54)),"-",INDEX(Loads!$O$5:$O$117,$K54)+IF(NOT(ISERROR($Q54)),0,(INDEX(Loads!$O$5:$O$117,$R54+1)-INDEX(Loads!$O$5:$O$117,$R54))/(INDEX(Loads!$M$5:$M$117,$R54+1)-INDEX(Loads!$M$5:$M$117,$R54))*($C54-INDEX(Loads!$M$5:$M$117,$R54))))</f>
        <v>607639.484375</v>
      </c>
      <c r="U54" s="73">
        <f>IF(ISBLANK(INDEX(Loads!$P$5:$P$117,$R54)),"-",INDEX(Loads!$P$5:$P$117,$K54)+IF(NOT(ISERROR($Q54)),0,(INDEX(Loads!$P$5:$P$117,$R54+1)-INDEX(Loads!$P$5:$P$117,$R54))/(INDEX(Loads!$M$5:$M$117,$R54+1)-INDEX(Loads!$M$5:$M$117,$R54))*($C54-INDEX(Loads!$M$5:$M$117,$R54))))</f>
        <v>6112.7833437500012</v>
      </c>
    </row>
    <row r="55" spans="3:21">
      <c r="C55" s="72">
        <f>Geometry!AF16</f>
        <v>12.5</v>
      </c>
      <c r="E55" s="62" t="e">
        <f>MATCH($C55,Loads!$C$5:$C$117,0)</f>
        <v>#N/A</v>
      </c>
      <c r="F55" s="62">
        <f>MATCH($C55,Loads!$C$5:$C$117,1)</f>
        <v>110</v>
      </c>
      <c r="G55" s="73">
        <f>IF(ISBLANK(INDEX(Loads!$D$5:$D$117,$F55)),"-",INDEX(Loads!$D$5:$D$117,$F55)+IF(NOT(ISERROR($E55)),0,(INDEX(Loads!$D$5:$D$117,$F55+1)-INDEX(Loads!$D$5:$D$117,$F55))/(INDEX(Loads!$C$5:$C$117,$F55+1)-INDEX(Loads!$C$5:$C$117,$F55))*($C55-INDEX(Loads!$C$5:$C$117,$F55))))</f>
        <v>181636.4375</v>
      </c>
      <c r="H55" s="73">
        <f>IF(ISBLANK(INDEX(Loads!$E$5:$E$117,$F55)),"-",INDEX(Loads!$E$5:$E$117,$F55)+IF(NOT(ISERROR($E55)),0,(INDEX(Loads!$E$5:$E$117,$F55+1)-INDEX(Loads!$E$5:$E$117,$F55))/(INDEX(Loads!$C$5:$C$117,$F55+1)-INDEX(Loads!$C$5:$C$117,$F55))*($C55-INDEX(Loads!$C$5:$C$117,$F55))))</f>
        <v>176964.515625</v>
      </c>
      <c r="J55" s="62" t="e">
        <f>MATCH($C55,Loads!$G$5:$G$117,0)</f>
        <v>#N/A</v>
      </c>
      <c r="K55" s="62">
        <f>MATCH($C55,Loads!$G$5:$G$117,1)</f>
        <v>110</v>
      </c>
      <c r="L55" s="73">
        <f>IF(ISBLANK(INDEX(Loads!$H$5:$H$117,$K55)),"-",INDEX(Loads!$H$5:$H$117,$K55)+IF(NOT(ISERROR($J55)),0,(INDEX(Loads!$H$5:$H$117,$K55+1)-INDEX(Loads!$H$5:$H$117,$K55))/(INDEX(Loads!$G$5:$G$117,$K55+1)-INDEX(Loads!$G$5:$G$117,$K55))*($C55-INDEX(Loads!$G$5:$G$117,$K55))))</f>
        <v>-49537.75</v>
      </c>
      <c r="M55" s="73">
        <f>IF(ISBLANK(INDEX(Loads!$I$5:$I$117,$K55)),"-",INDEX(Loads!$I$5:$I$117,$K55)+IF(NOT(ISERROR($J55)),0,(INDEX(Loads!$I$5:$I$117,$K55+1)-INDEX(Loads!$I$5:$I$117,$K55))/(INDEX(Loads!$G$5:$G$117,$K55+1)-INDEX(Loads!$G$5:$G$117,$K55))*($C55-INDEX(Loads!$G$5:$G$117,$K55))))</f>
        <v>63722.042500000003</v>
      </c>
      <c r="N55" s="73">
        <f>IF(ISBLANK(INDEX(Loads!$J$5:$J$117,$K55)),"-",INDEX(Loads!$J$5:$J$117,$K55)+IF(NOT(ISERROR($J55)),0,(INDEX(Loads!$J$5:$J$117,$K55+1)-INDEX(Loads!$J$5:$J$117,$K55))/(INDEX(Loads!$G$5:$G$117,$K55+1)-INDEX(Loads!$G$5:$G$117,$K55))*($C55-INDEX(Loads!$G$5:$G$117,$K55))))</f>
        <v>801608.05937500007</v>
      </c>
      <c r="O55" s="73">
        <f>IF(ISBLANK(INDEX(Loads!$K$5:$K$117,$K55)),"-",INDEX(Loads!$K$5:$K$117,$K55)+IF(NOT(ISERROR($J55)),0,(INDEX(Loads!$K$5:$K$117,$K55+1)-INDEX(Loads!$K$5:$K$117,$K55))/(INDEX(Loads!$G$5:$G$117,$K55+1)-INDEX(Loads!$G$5:$G$117,$K55))*($C55-INDEX(Loads!$G$5:$G$117,$K55))))</f>
        <v>8252.2572187500027</v>
      </c>
      <c r="Q55" t="e">
        <f>MATCH($C55,Loads!$M$5:$M$117,0)</f>
        <v>#N/A</v>
      </c>
      <c r="R55">
        <f>MATCH($C55,Loads!$M$5:$M$117,1)</f>
        <v>110</v>
      </c>
      <c r="S55" s="73">
        <f>IF(ISBLANK(INDEX(Loads!$N$5:$N$117,$R55)),"-",INDEX(Loads!$N$5:$N$117,$K55)+IF(NOT(ISERROR($Q55)),0,(INDEX(Loads!$N$5:$N$117,$R55+1)-INDEX(Loads!$N$5:$N$117,$R55))/(INDEX(Loads!$M$5:$M$117,$R55+1)-INDEX(Loads!$M$5:$M$117,$R55))*($C55-INDEX(Loads!$M$5:$M$117,$R55))))</f>
        <v>-36694.633750000001</v>
      </c>
      <c r="T55" s="73">
        <f>IF(ISBLANK(INDEX(Loads!$O$5:$O$117,$R55)),"-",INDEX(Loads!$O$5:$O$117,$K55)+IF(NOT(ISERROR($Q55)),0,(INDEX(Loads!$O$5:$O$117,$R55+1)-INDEX(Loads!$O$5:$O$117,$R55))/(INDEX(Loads!$M$5:$M$117,$R55+1)-INDEX(Loads!$M$5:$M$117,$R55))*($C55-INDEX(Loads!$M$5:$M$117,$R55))))</f>
        <v>607639.484375</v>
      </c>
      <c r="U55" s="73">
        <f>IF(ISBLANK(INDEX(Loads!$P$5:$P$117,$R55)),"-",INDEX(Loads!$P$5:$P$117,$K55)+IF(NOT(ISERROR($Q55)),0,(INDEX(Loads!$P$5:$P$117,$R55+1)-INDEX(Loads!$P$5:$P$117,$R55))/(INDEX(Loads!$M$5:$M$117,$R55+1)-INDEX(Loads!$M$5:$M$117,$R55))*($C55-INDEX(Loads!$M$5:$M$117,$R55))))</f>
        <v>6112.7833437500012</v>
      </c>
    </row>
    <row r="56" spans="3:21">
      <c r="C56" s="72">
        <f>Geometry!AF17</f>
        <v>12</v>
      </c>
      <c r="E56" s="62" t="e">
        <f>MATCH($C56,Loads!$C$5:$C$117,0)</f>
        <v>#N/A</v>
      </c>
      <c r="F56" s="62">
        <f>MATCH($C56,Loads!$C$5:$C$117,1)</f>
        <v>110</v>
      </c>
      <c r="G56" s="73">
        <f>IF(ISBLANK(INDEX(Loads!$D$5:$D$117,$F56)),"-",INDEX(Loads!$D$5:$D$117,$F56)+IF(NOT(ISERROR($E56)),0,(INDEX(Loads!$D$5:$D$117,$F56+1)-INDEX(Loads!$D$5:$D$117,$F56))/(INDEX(Loads!$C$5:$C$117,$F56+1)-INDEX(Loads!$C$5:$C$117,$F56))*($C56-INDEX(Loads!$C$5:$C$117,$F56))))</f>
        <v>182236.125</v>
      </c>
      <c r="H56" s="73">
        <f>IF(ISBLANK(INDEX(Loads!$E$5:$E$117,$F56)),"-",INDEX(Loads!$E$5:$E$117,$F56)+IF(NOT(ISERROR($E56)),0,(INDEX(Loads!$E$5:$E$117,$F56+1)-INDEX(Loads!$E$5:$E$117,$F56))/(INDEX(Loads!$C$5:$C$117,$F56+1)-INDEX(Loads!$C$5:$C$117,$F56))*($C56-INDEX(Loads!$C$5:$C$117,$F56))))</f>
        <v>177562.71875</v>
      </c>
      <c r="J56" s="62" t="e">
        <f>MATCH($C56,Loads!$G$5:$G$117,0)</f>
        <v>#N/A</v>
      </c>
      <c r="K56" s="62">
        <f>MATCH($C56,Loads!$G$5:$G$117,1)</f>
        <v>110</v>
      </c>
      <c r="L56" s="73">
        <f>IF(ISBLANK(INDEX(Loads!$H$5:$H$117,$K56)),"-",INDEX(Loads!$H$5:$H$117,$K56)+IF(NOT(ISERROR($J56)),0,(INDEX(Loads!$H$5:$H$117,$K56+1)-INDEX(Loads!$H$5:$H$117,$K56))/(INDEX(Loads!$G$5:$G$117,$K56+1)-INDEX(Loads!$G$5:$G$117,$K56))*($C56-INDEX(Loads!$G$5:$G$117,$K56))))</f>
        <v>-49680.200000000004</v>
      </c>
      <c r="M56" s="73">
        <f>IF(ISBLANK(INDEX(Loads!$I$5:$I$117,$K56)),"-",INDEX(Loads!$I$5:$I$117,$K56)+IF(NOT(ISERROR($J56)),0,(INDEX(Loads!$I$5:$I$117,$K56+1)-INDEX(Loads!$I$5:$I$117,$K56))/(INDEX(Loads!$G$5:$G$117,$K56+1)-INDEX(Loads!$G$5:$G$117,$K56))*($C56-INDEX(Loads!$G$5:$G$117,$K56))))</f>
        <v>63722.955000000002</v>
      </c>
      <c r="N56" s="73">
        <f>IF(ISBLANK(INDEX(Loads!$J$5:$J$117,$K56)),"-",INDEX(Loads!$J$5:$J$117,$K56)+IF(NOT(ISERROR($J56)),0,(INDEX(Loads!$J$5:$J$117,$K56+1)-INDEX(Loads!$J$5:$J$117,$K56))/(INDEX(Loads!$G$5:$G$117,$K56+1)-INDEX(Loads!$G$5:$G$117,$K56))*($C56-INDEX(Loads!$G$5:$G$117,$K56))))</f>
        <v>804656.23125000007</v>
      </c>
      <c r="O56" s="73">
        <f>IF(ISBLANK(INDEX(Loads!$K$5:$K$117,$K56)),"-",INDEX(Loads!$K$5:$K$117,$K56)+IF(NOT(ISERROR($J56)),0,(INDEX(Loads!$K$5:$K$117,$K56+1)-INDEX(Loads!$K$5:$K$117,$K56))/(INDEX(Loads!$G$5:$G$117,$K56+1)-INDEX(Loads!$G$5:$G$117,$K56))*($C56-INDEX(Loads!$G$5:$G$117,$K56))))</f>
        <v>8696.2120625000025</v>
      </c>
      <c r="Q56" t="e">
        <f>MATCH($C56,Loads!$M$5:$M$117,0)</f>
        <v>#N/A</v>
      </c>
      <c r="R56">
        <f>MATCH($C56,Loads!$M$5:$M$117,1)</f>
        <v>110</v>
      </c>
      <c r="S56" s="73">
        <f>IF(ISBLANK(INDEX(Loads!$N$5:$N$117,$R56)),"-",INDEX(Loads!$N$5:$N$117,$K56)+IF(NOT(ISERROR($Q56)),0,(INDEX(Loads!$N$5:$N$117,$R56+1)-INDEX(Loads!$N$5:$N$117,$R56))/(INDEX(Loads!$M$5:$M$117,$R56+1)-INDEX(Loads!$M$5:$M$117,$R56))*($C56-INDEX(Loads!$M$5:$M$117,$R56))))</f>
        <v>-36800.152500000004</v>
      </c>
      <c r="T56" s="73">
        <f>IF(ISBLANK(INDEX(Loads!$O$5:$O$117,$R56)),"-",INDEX(Loads!$O$5:$O$117,$K56)+IF(NOT(ISERROR($Q56)),0,(INDEX(Loads!$O$5:$O$117,$R56+1)-INDEX(Loads!$O$5:$O$117,$R56))/(INDEX(Loads!$M$5:$M$117,$R56+1)-INDEX(Loads!$M$5:$M$117,$R56))*($C56-INDEX(Loads!$M$5:$M$117,$R56))))</f>
        <v>609950.28125</v>
      </c>
      <c r="U56" s="73">
        <f>IF(ISBLANK(INDEX(Loads!$P$5:$P$117,$R56)),"-",INDEX(Loads!$P$5:$P$117,$K56)+IF(NOT(ISERROR($Q56)),0,(INDEX(Loads!$P$5:$P$117,$R56+1)-INDEX(Loads!$P$5:$P$117,$R56))/(INDEX(Loads!$M$5:$M$117,$R56+1)-INDEX(Loads!$M$5:$M$117,$R56))*($C56-INDEX(Loads!$M$5:$M$117,$R56))))</f>
        <v>6441.6388125000012</v>
      </c>
    </row>
    <row r="57" spans="3:21">
      <c r="C57" s="72">
        <f>Geometry!AF18</f>
        <v>8.5</v>
      </c>
      <c r="E57" s="62" t="e">
        <f>MATCH($C57,Loads!$C$5:$C$117,0)</f>
        <v>#N/A</v>
      </c>
      <c r="F57" s="62">
        <f>MATCH($C57,Loads!$C$5:$C$117,1)</f>
        <v>108</v>
      </c>
      <c r="G57" s="73">
        <f>IF(ISBLANK(INDEX(Loads!$D$5:$D$117,$F57)),"-",INDEX(Loads!$D$5:$D$117,$F57)+IF(NOT(ISERROR($E57)),0,(INDEX(Loads!$D$5:$D$117,$F57+1)-INDEX(Loads!$D$5:$D$117,$F57))/(INDEX(Loads!$C$5:$C$117,$F57+1)-INDEX(Loads!$C$5:$C$117,$F57))*($C57-INDEX(Loads!$C$5:$C$117,$F57))))</f>
        <v>186787.1</v>
      </c>
      <c r="H57" s="73">
        <f>IF(ISBLANK(INDEX(Loads!$E$5:$E$117,$F57)),"-",INDEX(Loads!$E$5:$E$117,$F57)+IF(NOT(ISERROR($E57)),0,(INDEX(Loads!$E$5:$E$117,$F57+1)-INDEX(Loads!$E$5:$E$117,$F57))/(INDEX(Loads!$C$5:$C$117,$F57+1)-INDEX(Loads!$C$5:$C$117,$F57))*($C57-INDEX(Loads!$C$5:$C$117,$F57))))</f>
        <v>181938.30000000002</v>
      </c>
      <c r="J57" s="62" t="e">
        <f>MATCH($C57,Loads!$G$5:$G$117,0)</f>
        <v>#N/A</v>
      </c>
      <c r="K57" s="62">
        <f>MATCH($C57,Loads!$G$5:$G$117,1)</f>
        <v>108</v>
      </c>
      <c r="L57" s="73">
        <f>IF(ISBLANK(INDEX(Loads!$H$5:$H$117,$K57)),"-",INDEX(Loads!$H$5:$H$117,$K57)+IF(NOT(ISERROR($J57)),0,(INDEX(Loads!$H$5:$H$117,$K57+1)-INDEX(Loads!$H$5:$H$117,$K57))/(INDEX(Loads!$G$5:$G$117,$K57+1)-INDEX(Loads!$G$5:$G$117,$K57))*($C57-INDEX(Loads!$G$5:$G$117,$K57))))</f>
        <v>-50609.847000000002</v>
      </c>
      <c r="M57" s="73">
        <f>IF(ISBLANK(INDEX(Loads!$I$5:$I$117,$K57)),"-",INDEX(Loads!$I$5:$I$117,$K57)+IF(NOT(ISERROR($J57)),0,(INDEX(Loads!$I$5:$I$117,$K57+1)-INDEX(Loads!$I$5:$I$117,$K57))/(INDEX(Loads!$G$5:$G$117,$K57+1)-INDEX(Loads!$G$5:$G$117,$K57))*($C57-INDEX(Loads!$G$5:$G$117,$K57))))</f>
        <v>63728.771000000001</v>
      </c>
      <c r="N57" s="73">
        <f>IF(ISBLANK(INDEX(Loads!$J$5:$J$117,$K57)),"-",INDEX(Loads!$J$5:$J$117,$K57)+IF(NOT(ISERROR($J57)),0,(INDEX(Loads!$J$5:$J$117,$K57+1)-INDEX(Loads!$J$5:$J$117,$K57))/(INDEX(Loads!$G$5:$G$117,$K57+1)-INDEX(Loads!$G$5:$G$117,$K57))*($C57-INDEX(Loads!$G$5:$G$117,$K57))))</f>
        <v>826097.47000000009</v>
      </c>
      <c r="O57" s="73">
        <f>IF(ISBLANK(INDEX(Loads!$K$5:$K$117,$K57)),"-",INDEX(Loads!$K$5:$K$117,$K57)+IF(NOT(ISERROR($J57)),0,(INDEX(Loads!$K$5:$K$117,$K57+1)-INDEX(Loads!$K$5:$K$117,$K57))/(INDEX(Loads!$G$5:$G$117,$K57+1)-INDEX(Loads!$G$5:$G$117,$K57))*($C57-INDEX(Loads!$G$5:$G$117,$K57))))</f>
        <v>12538.027</v>
      </c>
      <c r="Q57" t="e">
        <f>MATCH($C57,Loads!$M$5:$M$117,0)</f>
        <v>#N/A</v>
      </c>
      <c r="R57">
        <f>MATCH($C57,Loads!$M$5:$M$117,1)</f>
        <v>108</v>
      </c>
      <c r="S57" s="73">
        <f>IF(ISBLANK(INDEX(Loads!$N$5:$N$117,$R57)),"-",INDEX(Loads!$N$5:$N$117,$K57)+IF(NOT(ISERROR($Q57)),0,(INDEX(Loads!$N$5:$N$117,$R57+1)-INDEX(Loads!$N$5:$N$117,$R57))/(INDEX(Loads!$M$5:$M$117,$R57+1)-INDEX(Loads!$M$5:$M$117,$R57))*($C57-INDEX(Loads!$M$5:$M$117,$R57))))</f>
        <v>-37488.771999999997</v>
      </c>
      <c r="T57" s="73">
        <f>IF(ISBLANK(INDEX(Loads!$O$5:$O$117,$R57)),"-",INDEX(Loads!$O$5:$O$117,$K57)+IF(NOT(ISERROR($Q57)),0,(INDEX(Loads!$O$5:$O$117,$R57+1)-INDEX(Loads!$O$5:$O$117,$R57))/(INDEX(Loads!$M$5:$M$117,$R57+1)-INDEX(Loads!$M$5:$M$117,$R57))*($C57-INDEX(Loads!$M$5:$M$117,$R57))))</f>
        <v>626205.91</v>
      </c>
      <c r="U57" s="73">
        <f>IF(ISBLANK(INDEX(Loads!$P$5:$P$117,$R57)),"-",INDEX(Loads!$P$5:$P$117,$K57)+IF(NOT(ISERROR($Q57)),0,(INDEX(Loads!$P$5:$P$117,$R57+1)-INDEX(Loads!$P$5:$P$117,$R57))/(INDEX(Loads!$M$5:$M$117,$R57+1)-INDEX(Loads!$M$5:$M$117,$R57))*($C57-INDEX(Loads!$M$5:$M$117,$R57))))</f>
        <v>9287.43</v>
      </c>
    </row>
    <row r="60" spans="3:21">
      <c r="C60" s="35" t="s">
        <v>207</v>
      </c>
      <c r="E60" s="62"/>
      <c r="F60" s="62"/>
      <c r="J60" s="62"/>
      <c r="K60" s="62"/>
    </row>
    <row r="61" spans="3:21">
      <c r="E61" s="62"/>
      <c r="F61" s="62"/>
      <c r="G61" s="305" t="s">
        <v>281</v>
      </c>
      <c r="H61" s="306"/>
      <c r="J61" s="62"/>
      <c r="K61" s="62"/>
      <c r="L61" s="305" t="s">
        <v>217</v>
      </c>
      <c r="M61" s="307"/>
      <c r="N61" s="307"/>
      <c r="O61" s="306"/>
      <c r="S61" s="305" t="s">
        <v>218</v>
      </c>
      <c r="T61" s="307"/>
      <c r="U61" s="306"/>
    </row>
    <row r="62" spans="3:21">
      <c r="C62" s="70" t="s">
        <v>330</v>
      </c>
      <c r="E62" s="62"/>
      <c r="F62" s="62"/>
      <c r="G62" s="70" t="s">
        <v>264</v>
      </c>
      <c r="H62" s="70" t="str">
        <f>IF(Control!$F$39="EC","m=4, N=1E7","m=5, N=1e7")</f>
        <v>m=4, N=1E7</v>
      </c>
      <c r="J62" s="62"/>
      <c r="K62" s="62"/>
      <c r="L62" s="70" t="s">
        <v>73</v>
      </c>
      <c r="M62" s="70" t="s">
        <v>74</v>
      </c>
      <c r="N62" s="70" t="s">
        <v>75</v>
      </c>
      <c r="O62" s="70" t="s">
        <v>76</v>
      </c>
      <c r="S62" s="70" t="s">
        <v>73</v>
      </c>
      <c r="T62" s="70" t="s">
        <v>75</v>
      </c>
      <c r="U62" s="70" t="s">
        <v>76</v>
      </c>
    </row>
    <row r="63" spans="3:21">
      <c r="C63" s="70" t="str">
        <f>"[m"&amp;Control!$F$7&amp;"]"</f>
        <v>[mLAT]</v>
      </c>
      <c r="E63" s="62"/>
      <c r="F63" s="62"/>
      <c r="G63" s="70" t="s">
        <v>20</v>
      </c>
      <c r="H63" s="70" t="s">
        <v>20</v>
      </c>
      <c r="J63" s="62"/>
      <c r="K63" s="62"/>
      <c r="L63" s="70" t="s">
        <v>265</v>
      </c>
      <c r="M63" s="70" t="s">
        <v>20</v>
      </c>
      <c r="N63" s="70" t="s">
        <v>20</v>
      </c>
      <c r="O63" s="70" t="s">
        <v>265</v>
      </c>
      <c r="S63" s="70" t="s">
        <v>265</v>
      </c>
      <c r="T63" s="70" t="s">
        <v>20</v>
      </c>
      <c r="U63" s="70" t="s">
        <v>265</v>
      </c>
    </row>
    <row r="64" spans="3:21">
      <c r="C64" s="72">
        <f>Geometry!AF26</f>
        <v>4.5999999999999996</v>
      </c>
      <c r="E64" s="62" t="e">
        <f>MATCH($C64,Loads!$C$5:$C$117,0)</f>
        <v>#N/A</v>
      </c>
      <c r="F64" s="62">
        <f>MATCH($C64,Loads!$C$5:$C$117,1)</f>
        <v>107</v>
      </c>
      <c r="G64" s="73">
        <f>IF(ISBLANK(INDEX(Loads!$D$5:$D$117,$F64)),"-",INDEX(Loads!$D$5:$D$117,$F64)+IF(NOT(ISERROR($E64)),0,(INDEX(Loads!$D$5:$D$117,$F64+1)-INDEX(Loads!$D$5:$D$117,$F64))/(INDEX(Loads!$C$5:$C$117,$F64+1)-INDEX(Loads!$C$5:$C$117,$F64))*($C64-INDEX(Loads!$C$5:$C$117,$F64))))</f>
        <v>192202.8125</v>
      </c>
      <c r="H64" s="73">
        <f>IF(ISBLANK(INDEX(Loads!$E$5:$E$117,$F64)),"-",INDEX(Loads!$E$5:$E$117,$F64)+IF(NOT(ISERROR($E64)),0,(INDEX(Loads!$E$5:$E$117,$F64+1)-INDEX(Loads!$E$5:$E$117,$F64))/(INDEX(Loads!$C$5:$C$117,$F64+1)-INDEX(Loads!$C$5:$C$117,$F64))*($C64-INDEX(Loads!$C$5:$C$117,$F64))))</f>
        <v>187027.6875</v>
      </c>
      <c r="J64" s="62" t="e">
        <f>MATCH($C64,Loads!$G$5:$G$117,0)</f>
        <v>#N/A</v>
      </c>
      <c r="K64" s="62">
        <f>MATCH($C64,Loads!$G$5:$G$117,1)</f>
        <v>107</v>
      </c>
      <c r="L64" s="73">
        <f>IF(ISBLANK(INDEX(Loads!$H$5:$H$117,$K64)),"-",INDEX(Loads!$H$5:$H$117,$K64)+IF(NOT(ISERROR($J64)),0,(INDEX(Loads!$H$5:$H$117,$K64+1)-INDEX(Loads!$H$5:$H$117,$K64))/(INDEX(Loads!$G$5:$G$117,$K64+1)-INDEX(Loads!$G$5:$G$117,$K64))*($C64-INDEX(Loads!$G$5:$G$117,$K64))))</f>
        <v>-52143.877500000002</v>
      </c>
      <c r="M64" s="73">
        <f>IF(ISBLANK(INDEX(Loads!$I$5:$I$117,$K64)),"-",INDEX(Loads!$I$5:$I$117,$K64)+IF(NOT(ISERROR($J64)),0,(INDEX(Loads!$I$5:$I$117,$K64+1)-INDEX(Loads!$I$5:$I$117,$K64))/(INDEX(Loads!$G$5:$G$117,$K64+1)-INDEX(Loads!$G$5:$G$117,$K64))*($C64-INDEX(Loads!$G$5:$G$117,$K64))))</f>
        <v>63734.986250000002</v>
      </c>
      <c r="N64" s="73">
        <f>IF(ISBLANK(INDEX(Loads!$J$5:$J$117,$K64)),"-",INDEX(Loads!$J$5:$J$117,$K64)+IF(NOT(ISERROR($J64)),0,(INDEX(Loads!$J$5:$J$117,$K64+1)-INDEX(Loads!$J$5:$J$117,$K64))/(INDEX(Loads!$G$5:$G$117,$K64+1)-INDEX(Loads!$G$5:$G$117,$K64))*($C64-INDEX(Loads!$G$5:$G$117,$K64))))</f>
        <v>850679.08750000002</v>
      </c>
      <c r="O64" s="73">
        <f>IF(ISBLANK(INDEX(Loads!$K$5:$K$117,$K64)),"-",INDEX(Loads!$K$5:$K$117,$K64)+IF(NOT(ISERROR($J64)),0,(INDEX(Loads!$K$5:$K$117,$K64+1)-INDEX(Loads!$K$5:$K$117,$K64))/(INDEX(Loads!$G$5:$G$117,$K64+1)-INDEX(Loads!$G$5:$G$117,$K64))*($C64-INDEX(Loads!$G$5:$G$117,$K64))))</f>
        <v>12415.9375</v>
      </c>
      <c r="Q64" t="e">
        <f>MATCH($C64,Loads!$M$5:$M$117,0)</f>
        <v>#N/A</v>
      </c>
      <c r="R64">
        <f>MATCH($C64,Loads!$M$5:$M$117,1)</f>
        <v>107</v>
      </c>
      <c r="S64" s="73">
        <f>IF(ISBLANK(INDEX(Loads!$N$5:$N$117,$R64)),"-",INDEX(Loads!$N$5:$N$117,$K64)+IF(NOT(ISERROR($Q64)),0,(INDEX(Loads!$N$5:$N$117,$R64+1)-INDEX(Loads!$N$5:$N$117,$R64))/(INDEX(Loads!$M$5:$M$117,$R64+1)-INDEX(Loads!$M$5:$M$117,$R64))*($C64-INDEX(Loads!$M$5:$M$117,$R64))))</f>
        <v>-38625.092499999999</v>
      </c>
      <c r="T64" s="73">
        <f>IF(ISBLANK(INDEX(Loads!$O$5:$O$117,$R64)),"-",INDEX(Loads!$O$5:$O$117,$K64)+IF(NOT(ISERROR($Q64)),0,(INDEX(Loads!$O$5:$O$117,$R64+1)-INDEX(Loads!$O$5:$O$117,$R64))/(INDEX(Loads!$M$5:$M$117,$R64+1)-INDEX(Loads!$M$5:$M$117,$R64))*($C64-INDEX(Loads!$M$5:$M$117,$R64))))</f>
        <v>644840.80000000005</v>
      </c>
      <c r="U64" s="73">
        <f>IF(ISBLANK(INDEX(Loads!$P$5:$P$117,$R64)),"-",INDEX(Loads!$P$5:$P$117,$K64)+IF(NOT(ISERROR($Q64)),0,(INDEX(Loads!$P$5:$P$117,$R64+1)-INDEX(Loads!$P$5:$P$117,$R64))/(INDEX(Loads!$M$5:$M$117,$R64+1)-INDEX(Loads!$M$5:$M$117,$R64))*($C64-INDEX(Loads!$M$5:$M$117,$R64))))</f>
        <v>9196.9878749999989</v>
      </c>
    </row>
    <row r="65" spans="3:21">
      <c r="C65" s="72">
        <f>Geometry!AF27</f>
        <v>3.0999999999999996</v>
      </c>
      <c r="E65" s="62" t="e">
        <f>MATCH($C65,Loads!$C$5:$C$117,0)</f>
        <v>#N/A</v>
      </c>
      <c r="F65" s="62">
        <f>MATCH($C65,Loads!$C$5:$C$117,1)</f>
        <v>107</v>
      </c>
      <c r="G65" s="73">
        <f>IF(ISBLANK(INDEX(Loads!$D$5:$D$117,$F65)),"-",INDEX(Loads!$D$5:$D$117,$F65)+IF(NOT(ISERROR($E65)),0,(INDEX(Loads!$D$5:$D$117,$F65+1)-INDEX(Loads!$D$5:$D$117,$F65))/(INDEX(Loads!$C$5:$C$117,$F65+1)-INDEX(Loads!$C$5:$C$117,$F65))*($C65-INDEX(Loads!$C$5:$C$117,$F65))))</f>
        <v>194398.203125</v>
      </c>
      <c r="H65" s="73">
        <f>IF(ISBLANK(INDEX(Loads!$E$5:$E$117,$F65)),"-",INDEX(Loads!$E$5:$E$117,$F65)+IF(NOT(ISERROR($E65)),0,(INDEX(Loads!$E$5:$E$117,$F65+1)-INDEX(Loads!$E$5:$E$117,$F65))/(INDEX(Loads!$C$5:$C$117,$F65+1)-INDEX(Loads!$C$5:$C$117,$F65))*($C65-INDEX(Loads!$C$5:$C$117,$F65))))</f>
        <v>189071.671875</v>
      </c>
      <c r="J65" s="62" t="e">
        <f>MATCH($C65,Loads!$G$5:$G$117,0)</f>
        <v>#N/A</v>
      </c>
      <c r="K65" s="62">
        <f>MATCH($C65,Loads!$G$5:$G$117,1)</f>
        <v>107</v>
      </c>
      <c r="L65" s="73">
        <f>IF(ISBLANK(INDEX(Loads!$H$5:$H$117,$K65)),"-",INDEX(Loads!$H$5:$H$117,$K65)+IF(NOT(ISERROR($J65)),0,(INDEX(Loads!$H$5:$H$117,$K65+1)-INDEX(Loads!$H$5:$H$117,$K65))/(INDEX(Loads!$G$5:$G$117,$K65+1)-INDEX(Loads!$G$5:$G$117,$K65))*($C65-INDEX(Loads!$G$5:$G$117,$K65))))</f>
        <v>-53127.361875000002</v>
      </c>
      <c r="M65" s="73">
        <f>IF(ISBLANK(INDEX(Loads!$I$5:$I$117,$K65)),"-",INDEX(Loads!$I$5:$I$117,$K65)+IF(NOT(ISERROR($J65)),0,(INDEX(Loads!$I$5:$I$117,$K65+1)-INDEX(Loads!$I$5:$I$117,$K65))/(INDEX(Loads!$G$5:$G$117,$K65+1)-INDEX(Loads!$G$5:$G$117,$K65))*($C65-INDEX(Loads!$G$5:$G$117,$K65))))</f>
        <v>63737.456562499996</v>
      </c>
      <c r="N65" s="73">
        <f>IF(ISBLANK(INDEX(Loads!$J$5:$J$117,$K65)),"-",INDEX(Loads!$J$5:$J$117,$K65)+IF(NOT(ISERROR($J65)),0,(INDEX(Loads!$J$5:$J$117,$K65+1)-INDEX(Loads!$J$5:$J$117,$K65))/(INDEX(Loads!$G$5:$G$117,$K65+1)-INDEX(Loads!$G$5:$G$117,$K65))*($C65-INDEX(Loads!$G$5:$G$117,$K65))))</f>
        <v>860251.94687500002</v>
      </c>
      <c r="O65" s="73">
        <f>IF(ISBLANK(INDEX(Loads!$K$5:$K$117,$K65)),"-",INDEX(Loads!$K$5:$K$117,$K65)+IF(NOT(ISERROR($J65)),0,(INDEX(Loads!$K$5:$K$117,$K65+1)-INDEX(Loads!$K$5:$K$117,$K65))/(INDEX(Loads!$G$5:$G$117,$K65+1)-INDEX(Loads!$G$5:$G$117,$K65))*($C65-INDEX(Loads!$G$5:$G$117,$K65))))</f>
        <v>12223.646874999999</v>
      </c>
      <c r="Q65" t="e">
        <f>MATCH($C65,Loads!$M$5:$M$117,0)</f>
        <v>#N/A</v>
      </c>
      <c r="R65">
        <f>MATCH($C65,Loads!$M$5:$M$117,1)</f>
        <v>107</v>
      </c>
      <c r="S65" s="73">
        <f>IF(ISBLANK(INDEX(Loads!$N$5:$N$117,$R65)),"-",INDEX(Loads!$N$5:$N$117,$K65)+IF(NOT(ISERROR($Q65)),0,(INDEX(Loads!$N$5:$N$117,$R65+1)-INDEX(Loads!$N$5:$N$117,$R65))/(INDEX(Loads!$M$5:$M$117,$R65+1)-INDEX(Loads!$M$5:$M$117,$R65))*($C65-INDEX(Loads!$M$5:$M$117,$R65))))</f>
        <v>-39353.595625000002</v>
      </c>
      <c r="T65" s="73">
        <f>IF(ISBLANK(INDEX(Loads!$O$5:$O$117,$R65)),"-",INDEX(Loads!$O$5:$O$117,$K65)+IF(NOT(ISERROR($Q65)),0,(INDEX(Loads!$O$5:$O$117,$R65+1)-INDEX(Loads!$O$5:$O$117,$R65))/(INDEX(Loads!$M$5:$M$117,$R65+1)-INDEX(Loads!$M$5:$M$117,$R65))*($C65-INDEX(Loads!$M$5:$M$117,$R65))))</f>
        <v>652100.80000000005</v>
      </c>
      <c r="U65" s="73">
        <f>IF(ISBLANK(INDEX(Loads!$P$5:$P$117,$R65)),"-",INDEX(Loads!$P$5:$P$117,$K65)+IF(NOT(ISERROR($Q65)),0,(INDEX(Loads!$P$5:$P$117,$R65+1)-INDEX(Loads!$P$5:$P$117,$R65))/(INDEX(Loads!$M$5:$M$117,$R65+1)-INDEX(Loads!$M$5:$M$117,$R65))*($C65-INDEX(Loads!$M$5:$M$117,$R65))))</f>
        <v>9054.5502187499987</v>
      </c>
    </row>
    <row r="66" spans="3:21">
      <c r="C66" s="72">
        <f>Geometry!AF28</f>
        <v>-12.3575</v>
      </c>
      <c r="E66" s="62" t="e">
        <f>MATCH($C66,Loads!$C$5:$C$117,0)</f>
        <v>#N/A</v>
      </c>
      <c r="F66" s="62">
        <f>MATCH($C66,Loads!$C$5:$C$117,1)</f>
        <v>102</v>
      </c>
      <c r="G66" s="73">
        <f>IF(ISBLANK(INDEX(Loads!$D$5:$D$117,$F66)),"-",INDEX(Loads!$D$5:$D$117,$F66)+IF(NOT(ISERROR($E66)),0,(INDEX(Loads!$D$5:$D$117,$F66+1)-INDEX(Loads!$D$5:$D$117,$F66))/(INDEX(Loads!$C$5:$C$117,$F66+1)-INDEX(Loads!$C$5:$C$117,$F66))*($C66-INDEX(Loads!$C$5:$C$117,$F66))))</f>
        <v>215079.62</v>
      </c>
      <c r="H66" s="73">
        <f>IF(ISBLANK(INDEX(Loads!$E$5:$E$117,$F66)),"-",INDEX(Loads!$E$5:$E$117,$F66)+IF(NOT(ISERROR($E66)),0,(INDEX(Loads!$E$5:$E$117,$F66+1)-INDEX(Loads!$E$5:$E$117,$F66))/(INDEX(Loads!$C$5:$C$117,$F66+1)-INDEX(Loads!$C$5:$C$117,$F66))*($C66-INDEX(Loads!$C$5:$C$117,$F66))))</f>
        <v>208178.10750000001</v>
      </c>
      <c r="J66" s="62" t="e">
        <f>MATCH($C66,Loads!$G$5:$G$117,0)</f>
        <v>#N/A</v>
      </c>
      <c r="K66" s="62">
        <f>MATCH($C66,Loads!$G$5:$G$117,1)</f>
        <v>102</v>
      </c>
      <c r="L66" s="73">
        <f>IF(ISBLANK(INDEX(Loads!$H$5:$H$117,$K66)),"-",INDEX(Loads!$H$5:$H$117,$K66)+IF(NOT(ISERROR($J66)),0,(INDEX(Loads!$H$5:$H$117,$K66+1)-INDEX(Loads!$H$5:$H$117,$K66))/(INDEX(Loads!$G$5:$G$117,$K66+1)-INDEX(Loads!$G$5:$G$117,$K66))*($C66-INDEX(Loads!$G$5:$G$117,$K66))))</f>
        <v>-60743.911950000002</v>
      </c>
      <c r="M66" s="73">
        <f>IF(ISBLANK(INDEX(Loads!$I$5:$I$117,$K66)),"-",INDEX(Loads!$I$5:$I$117,$K66)+IF(NOT(ISERROR($J66)),0,(INDEX(Loads!$I$5:$I$117,$K66+1)-INDEX(Loads!$I$5:$I$117,$K66))/(INDEX(Loads!$G$5:$G$117,$K66+1)-INDEX(Loads!$G$5:$G$117,$K66))*($C66-INDEX(Loads!$G$5:$G$117,$K66))))</f>
        <v>63762.250400000004</v>
      </c>
      <c r="N66" s="73">
        <f>IF(ISBLANK(INDEX(Loads!$J$5:$J$117,$K66)),"-",INDEX(Loads!$J$5:$J$117,$K66)+IF(NOT(ISERROR($J66)),0,(INDEX(Loads!$J$5:$J$117,$K66+1)-INDEX(Loads!$J$5:$J$117,$K66))/(INDEX(Loads!$G$5:$G$117,$K66+1)-INDEX(Loads!$G$5:$G$117,$K66))*($C66-INDEX(Loads!$G$5:$G$117,$K66))))</f>
        <v>976131.66100000008</v>
      </c>
      <c r="O66" s="73">
        <f>IF(ISBLANK(INDEX(Loads!$K$5:$K$117,$K66)),"-",INDEX(Loads!$K$5:$K$117,$K66)+IF(NOT(ISERROR($J66)),0,(INDEX(Loads!$K$5:$K$117,$K66+1)-INDEX(Loads!$K$5:$K$117,$K66))/(INDEX(Loads!$G$5:$G$117,$K66+1)-INDEX(Loads!$G$5:$G$117,$K66))*($C66-INDEX(Loads!$G$5:$G$117,$K66))))</f>
        <v>12798.0424</v>
      </c>
      <c r="Q66" t="e">
        <f>MATCH($C66,Loads!$M$5:$M$117,0)</f>
        <v>#N/A</v>
      </c>
      <c r="R66">
        <f>MATCH($C66,Loads!$M$5:$M$117,1)</f>
        <v>102</v>
      </c>
      <c r="S66" s="73">
        <f>IF(ISBLANK(INDEX(Loads!$N$5:$N$117,$R66)),"-",INDEX(Loads!$N$5:$N$117,$K66)+IF(NOT(ISERROR($Q66)),0,(INDEX(Loads!$N$5:$N$117,$R66+1)-INDEX(Loads!$N$5:$N$117,$R66))/(INDEX(Loads!$M$5:$M$117,$R66+1)-INDEX(Loads!$M$5:$M$117,$R66))*($C66-INDEX(Loads!$M$5:$M$117,$R66))))</f>
        <v>-44995.492549999995</v>
      </c>
      <c r="T66" s="73">
        <f>IF(ISBLANK(INDEX(Loads!$O$5:$O$117,$R66)),"-",INDEX(Loads!$O$5:$O$117,$K66)+IF(NOT(ISERROR($Q66)),0,(INDEX(Loads!$O$5:$O$117,$R66+1)-INDEX(Loads!$O$5:$O$117,$R66))/(INDEX(Loads!$M$5:$M$117,$R66+1)-INDEX(Loads!$M$5:$M$117,$R66))*($C66-INDEX(Loads!$M$5:$M$117,$R66))))</f>
        <v>740167.76750000007</v>
      </c>
      <c r="U66" s="73">
        <f>IF(ISBLANK(INDEX(Loads!$P$5:$P$117,$R66)),"-",INDEX(Loads!$P$5:$P$117,$K66)+IF(NOT(ISERROR($Q66)),0,(INDEX(Loads!$P$5:$P$117,$R66+1)-INDEX(Loads!$P$5:$P$117,$R66))/(INDEX(Loads!$M$5:$M$117,$R66+1)-INDEX(Loads!$M$5:$M$117,$R66))*($C66-INDEX(Loads!$M$5:$M$117,$R66))))</f>
        <v>9480.0332350000008</v>
      </c>
    </row>
    <row r="67" spans="3:21">
      <c r="C67" s="72">
        <f>Geometry!AF29</f>
        <v>-22.715</v>
      </c>
      <c r="E67" s="62" t="e">
        <f>MATCH($C67,Loads!$C$5:$C$117,0)</f>
        <v>#N/A</v>
      </c>
      <c r="F67" s="62">
        <f>MATCH($C67,Loads!$C$5:$C$117,1)</f>
        <v>99</v>
      </c>
      <c r="G67" s="73">
        <f>IF(ISBLANK(INDEX(Loads!$D$5:$D$117,$F67)),"-",INDEX(Loads!$D$5:$D$117,$F67)+IF(NOT(ISERROR($E67)),0,(INDEX(Loads!$D$5:$D$117,$F67+1)-INDEX(Loads!$D$5:$D$117,$F67))/(INDEX(Loads!$C$5:$C$117,$F67+1)-INDEX(Loads!$C$5:$C$117,$F67))*($C67-INDEX(Loads!$C$5:$C$117,$F67))))</f>
        <v>233387.95214285716</v>
      </c>
      <c r="H67" s="73">
        <f>IF(ISBLANK(INDEX(Loads!$E$5:$E$117,$F67)),"-",INDEX(Loads!$E$5:$E$117,$F67)+IF(NOT(ISERROR($E67)),0,(INDEX(Loads!$E$5:$E$117,$F67+1)-INDEX(Loads!$E$5:$E$117,$F67))/(INDEX(Loads!$C$5:$C$117,$F67+1)-INDEX(Loads!$C$5:$C$117,$F67))*($C67-INDEX(Loads!$C$5:$C$117,$F67))))</f>
        <v>224086</v>
      </c>
      <c r="J67" s="62" t="e">
        <f>MATCH($C67,Loads!$G$5:$G$117,0)</f>
        <v>#N/A</v>
      </c>
      <c r="K67" s="62">
        <f>MATCH($C67,Loads!$G$5:$G$117,1)</f>
        <v>99</v>
      </c>
      <c r="L67" s="73">
        <f>IF(ISBLANK(INDEX(Loads!$H$5:$H$117,$K67)),"-",INDEX(Loads!$H$5:$H$117,$K67)+IF(NOT(ISERROR($J67)),0,(INDEX(Loads!$H$5:$H$117,$K67+1)-INDEX(Loads!$H$5:$H$117,$K67))/(INDEX(Loads!$G$5:$G$117,$K67+1)-INDEX(Loads!$G$5:$G$117,$K67))*($C67-INDEX(Loads!$G$5:$G$117,$K67))))</f>
        <v>-64927.685442857146</v>
      </c>
      <c r="M67" s="73">
        <f>IF(ISBLANK(INDEX(Loads!$I$5:$I$117,$K67)),"-",INDEX(Loads!$I$5:$I$117,$K67)+IF(NOT(ISERROR($J67)),0,(INDEX(Loads!$I$5:$I$117,$K67+1)-INDEX(Loads!$I$5:$I$117,$K67))/(INDEX(Loads!$G$5:$G$117,$K67+1)-INDEX(Loads!$G$5:$G$117,$K67))*($C67-INDEX(Loads!$G$5:$G$117,$K67))))</f>
        <v>63774.847557142857</v>
      </c>
      <c r="N67" s="73">
        <f>IF(ISBLANK(INDEX(Loads!$J$5:$J$117,$K67)),"-",INDEX(Loads!$J$5:$J$117,$K67)+IF(NOT(ISERROR($J67)),0,(INDEX(Loads!$J$5:$J$117,$K67+1)-INDEX(Loads!$J$5:$J$117,$K67))/(INDEX(Loads!$G$5:$G$117,$K67+1)-INDEX(Loads!$G$5:$G$117,$K67))*($C67-INDEX(Loads!$G$5:$G$117,$K67))))</f>
        <v>1082281.7164285716</v>
      </c>
      <c r="O67" s="73">
        <f>IF(ISBLANK(INDEX(Loads!$K$5:$K$117,$K67)),"-",INDEX(Loads!$K$5:$K$117,$K67)+IF(NOT(ISERROR($J67)),0,(INDEX(Loads!$K$5:$K$117,$K67+1)-INDEX(Loads!$K$5:$K$117,$K67))/(INDEX(Loads!$G$5:$G$117,$K67+1)-INDEX(Loads!$G$5:$G$117,$K67))*($C67-INDEX(Loads!$G$5:$G$117,$K67))))</f>
        <v>15741.387500000001</v>
      </c>
      <c r="Q67" t="e">
        <f>MATCH($C67,Loads!$M$5:$M$117,0)</f>
        <v>#N/A</v>
      </c>
      <c r="R67">
        <f>MATCH($C67,Loads!$M$5:$M$117,1)</f>
        <v>99</v>
      </c>
      <c r="S67" s="73">
        <f>IF(ISBLANK(INDEX(Loads!$N$5:$N$117,$R67)),"-",INDEX(Loads!$N$5:$N$117,$K67)+IF(NOT(ISERROR($Q67)),0,(INDEX(Loads!$N$5:$N$117,$R67+1)-INDEX(Loads!$N$5:$N$117,$R67))/(INDEX(Loads!$M$5:$M$117,$R67+1)-INDEX(Loads!$M$5:$M$117,$R67))*($C67-INDEX(Loads!$M$5:$M$117,$R67))))</f>
        <v>-48094.583771428574</v>
      </c>
      <c r="T67" s="73">
        <f>IF(ISBLANK(INDEX(Loads!$O$5:$O$117,$R67)),"-",INDEX(Loads!$O$5:$O$117,$K67)+IF(NOT(ISERROR($Q67)),0,(INDEX(Loads!$O$5:$O$117,$R67+1)-INDEX(Loads!$O$5:$O$117,$R67))/(INDEX(Loads!$M$5:$M$117,$R67+1)-INDEX(Loads!$M$5:$M$117,$R67))*($C67-INDEX(Loads!$M$5:$M$117,$R67))))</f>
        <v>820974.98314285721</v>
      </c>
      <c r="U67" s="73">
        <f>IF(ISBLANK(INDEX(Loads!$P$5:$P$117,$R67)),"-",INDEX(Loads!$P$5:$P$117,$K67)+IF(NOT(ISERROR($Q67)),0,(INDEX(Loads!$P$5:$P$117,$R67+1)-INDEX(Loads!$P$5:$P$117,$R67))/(INDEX(Loads!$M$5:$M$117,$R67+1)-INDEX(Loads!$M$5:$M$117,$R67))*($C67-INDEX(Loads!$M$5:$M$117,$R67))))</f>
        <v>11660.288242857143</v>
      </c>
    </row>
    <row r="68" spans="3:21">
      <c r="C68" s="72">
        <f>Geometry!AF30</f>
        <v>-23.715</v>
      </c>
      <c r="E68" s="62" t="e">
        <f>MATCH($C68,Loads!$C$5:$C$117,0)</f>
        <v>#N/A</v>
      </c>
      <c r="F68" s="62">
        <f>MATCH($C68,Loads!$C$5:$C$117,1)</f>
        <v>99</v>
      </c>
      <c r="G68" s="73">
        <f>IF(ISBLANK(INDEX(Loads!$D$5:$D$117,$F68)),"-",INDEX(Loads!$D$5:$D$117,$F68)+IF(NOT(ISERROR($E68)),0,(INDEX(Loads!$D$5:$D$117,$F68+1)-INDEX(Loads!$D$5:$D$117,$F68))/(INDEX(Loads!$C$5:$C$117,$F68+1)-INDEX(Loads!$C$5:$C$117,$F68))*($C68-INDEX(Loads!$C$5:$C$117,$F68))))</f>
        <v>235638.095</v>
      </c>
      <c r="H68" s="73">
        <f>IF(ISBLANK(INDEX(Loads!$E$5:$E$117,$F68)),"-",INDEX(Loads!$E$5:$E$117,$F68)+IF(NOT(ISERROR($E68)),0,(INDEX(Loads!$E$5:$E$117,$F68+1)-INDEX(Loads!$E$5:$E$117,$F68))/(INDEX(Loads!$C$5:$C$117,$F68+1)-INDEX(Loads!$C$5:$C$117,$F68))*($C68-INDEX(Loads!$C$5:$C$117,$F68))))</f>
        <v>225986</v>
      </c>
      <c r="J68" s="62" t="e">
        <f>MATCH($C68,Loads!$G$5:$G$117,0)</f>
        <v>#N/A</v>
      </c>
      <c r="K68" s="62">
        <f>MATCH($C68,Loads!$G$5:$G$117,1)</f>
        <v>99</v>
      </c>
      <c r="L68" s="73">
        <f>IF(ISBLANK(INDEX(Loads!$H$5:$H$117,$K68)),"-",INDEX(Loads!$H$5:$H$117,$K68)+IF(NOT(ISERROR($J68)),0,(INDEX(Loads!$H$5:$H$117,$K68+1)-INDEX(Loads!$H$5:$H$117,$K68))/(INDEX(Loads!$G$5:$G$117,$K68+1)-INDEX(Loads!$G$5:$G$117,$K68))*($C68-INDEX(Loads!$G$5:$G$117,$K68))))</f>
        <v>-65350.848299999998</v>
      </c>
      <c r="M68" s="73">
        <f>IF(ISBLANK(INDEX(Loads!$I$5:$I$117,$K68)),"-",INDEX(Loads!$I$5:$I$117,$K68)+IF(NOT(ISERROR($J68)),0,(INDEX(Loads!$I$5:$I$117,$K68+1)-INDEX(Loads!$I$5:$I$117,$K68))/(INDEX(Loads!$G$5:$G$117,$K68+1)-INDEX(Loads!$G$5:$G$117,$K68))*($C68-INDEX(Loads!$G$5:$G$117,$K68))))</f>
        <v>63775.884700000002</v>
      </c>
      <c r="N68" s="73">
        <f>IF(ISBLANK(INDEX(Loads!$J$5:$J$117,$K68)),"-",INDEX(Loads!$J$5:$J$117,$K68)+IF(NOT(ISERROR($J68)),0,(INDEX(Loads!$J$5:$J$117,$K68+1)-INDEX(Loads!$J$5:$J$117,$K68))/(INDEX(Loads!$G$5:$G$117,$K68+1)-INDEX(Loads!$G$5:$G$117,$K68))*($C68-INDEX(Loads!$G$5:$G$117,$K68))))</f>
        <v>1093776.145</v>
      </c>
      <c r="O68" s="73">
        <f>IF(ISBLANK(INDEX(Loads!$K$5:$K$117,$K68)),"-",INDEX(Loads!$K$5:$K$117,$K68)+IF(NOT(ISERROR($J68)),0,(INDEX(Loads!$K$5:$K$117,$K68+1)-INDEX(Loads!$K$5:$K$117,$K68))/(INDEX(Loads!$G$5:$G$117,$K68+1)-INDEX(Loads!$G$5:$G$117,$K68))*($C68-INDEX(Loads!$G$5:$G$117,$K68))))</f>
        <v>15999.887500000001</v>
      </c>
      <c r="Q68" t="e">
        <f>MATCH($C68,Loads!$M$5:$M$117,0)</f>
        <v>#N/A</v>
      </c>
      <c r="R68">
        <f>MATCH($C68,Loads!$M$5:$M$117,1)</f>
        <v>99</v>
      </c>
      <c r="S68" s="73">
        <f>IF(ISBLANK(INDEX(Loads!$N$5:$N$117,$R68)),"-",INDEX(Loads!$N$5:$N$117,$K68)+IF(NOT(ISERROR($Q68)),0,(INDEX(Loads!$N$5:$N$117,$R68+1)-INDEX(Loads!$N$5:$N$117,$R68))/(INDEX(Loads!$M$5:$M$117,$R68+1)-INDEX(Loads!$M$5:$M$117,$R68))*($C68-INDEX(Loads!$M$5:$M$117,$R68))))</f>
        <v>-48408.035199999998</v>
      </c>
      <c r="T68" s="73">
        <f>IF(ISBLANK(INDEX(Loads!$O$5:$O$117,$R68)),"-",INDEX(Loads!$O$5:$O$117,$K68)+IF(NOT(ISERROR($Q68)),0,(INDEX(Loads!$O$5:$O$117,$R68+1)-INDEX(Loads!$O$5:$O$117,$R68))/(INDEX(Loads!$M$5:$M$117,$R68+1)-INDEX(Loads!$M$5:$M$117,$R68))*($C68-INDEX(Loads!$M$5:$M$117,$R68))))</f>
        <v>829736.52600000007</v>
      </c>
      <c r="U68" s="73">
        <f>IF(ISBLANK(INDEX(Loads!$P$5:$P$117,$R68)),"-",INDEX(Loads!$P$5:$P$117,$K68)+IF(NOT(ISERROR($Q68)),0,(INDEX(Loads!$P$5:$P$117,$R68+1)-INDEX(Loads!$P$5:$P$117,$R68))/(INDEX(Loads!$M$5:$M$117,$R68+1)-INDEX(Loads!$M$5:$M$117,$R68))*($C68-INDEX(Loads!$M$5:$M$117,$R68))))</f>
        <v>11851.771100000002</v>
      </c>
    </row>
    <row r="69" spans="3:21">
      <c r="C69" s="72">
        <f>Geometry!AF31</f>
        <v>-34.072499999999998</v>
      </c>
      <c r="E69" s="62" t="e">
        <f>MATCH($C69,Loads!$C$5:$C$117,0)</f>
        <v>#N/A</v>
      </c>
      <c r="F69" s="62">
        <f>MATCH($C69,Loads!$C$5:$C$117,1)</f>
        <v>96</v>
      </c>
      <c r="G69" s="73">
        <f>IF(ISBLANK(INDEX(Loads!$D$5:$D$117,$F69)),"-",INDEX(Loads!$D$5:$D$117,$F69)+IF(NOT(ISERROR($E69)),0,(INDEX(Loads!$D$5:$D$117,$F69+1)-INDEX(Loads!$D$5:$D$117,$F69))/(INDEX(Loads!$C$5:$C$117,$F69+1)-INDEX(Loads!$C$5:$C$117,$F69))*($C69-INDEX(Loads!$C$5:$C$117,$F69))))</f>
        <v>266467.03357142856</v>
      </c>
      <c r="H69" s="73">
        <f>IF(ISBLANK(INDEX(Loads!$E$5:$E$117,$F69)),"-",INDEX(Loads!$E$5:$E$117,$F69)+IF(NOT(ISERROR($E69)),0,(INDEX(Loads!$E$5:$E$117,$F69+1)-INDEX(Loads!$E$5:$E$117,$F69))/(INDEX(Loads!$C$5:$C$117,$F69+1)-INDEX(Loads!$C$5:$C$117,$F69))*($C69-INDEX(Loads!$C$5:$C$117,$F69))))</f>
        <v>251473.33964285714</v>
      </c>
      <c r="J69" s="62" t="e">
        <f>MATCH($C69,Loads!$G$5:$G$117,0)</f>
        <v>#N/A</v>
      </c>
      <c r="K69" s="62">
        <f>MATCH($C69,Loads!$G$5:$G$117,1)</f>
        <v>96</v>
      </c>
      <c r="L69" s="73">
        <f>IF(ISBLANK(INDEX(Loads!$H$5:$H$117,$K69)),"-",INDEX(Loads!$H$5:$H$117,$K69)+IF(NOT(ISERROR($J69)),0,(INDEX(Loads!$H$5:$H$117,$K69+1)-INDEX(Loads!$H$5:$H$117,$K69))/(INDEX(Loads!$G$5:$G$117,$K69+1)-INDEX(Loads!$G$5:$G$117,$K69))*($C69-INDEX(Loads!$G$5:$G$117,$K69))))</f>
        <v>-69951.72032857142</v>
      </c>
      <c r="M69" s="73">
        <f>IF(ISBLANK(INDEX(Loads!$I$5:$I$117,$K69)),"-",INDEX(Loads!$I$5:$I$117,$K69)+IF(NOT(ISERROR($J69)),0,(INDEX(Loads!$I$5:$I$117,$K69+1)-INDEX(Loads!$I$5:$I$117,$K69))/(INDEX(Loads!$G$5:$G$117,$K69+1)-INDEX(Loads!$G$5:$G$117,$K69))*($C69-INDEX(Loads!$G$5:$G$117,$K69))))</f>
        <v>63784.299471428574</v>
      </c>
      <c r="N69" s="73">
        <f>IF(ISBLANK(INDEX(Loads!$J$5:$J$117,$K69)),"-",INDEX(Loads!$J$5:$J$117,$K69)+IF(NOT(ISERROR($J69)),0,(INDEX(Loads!$J$5:$J$117,$K69+1)-INDEX(Loads!$J$5:$J$117,$K69))/(INDEX(Loads!$G$5:$G$117,$K69+1)-INDEX(Loads!$G$5:$G$117,$K69))*($C69-INDEX(Loads!$G$5:$G$117,$K69))))</f>
        <v>1237142.9235714285</v>
      </c>
      <c r="O69" s="73">
        <f>IF(ISBLANK(INDEX(Loads!$K$5:$K$117,$K69)),"-",INDEX(Loads!$K$5:$K$117,$K69)+IF(NOT(ISERROR($J69)),0,(INDEX(Loads!$K$5:$K$117,$K69+1)-INDEX(Loads!$K$5:$K$117,$K69))/(INDEX(Loads!$G$5:$G$117,$K69+1)-INDEX(Loads!$G$5:$G$117,$K69))*($C69-INDEX(Loads!$G$5:$G$117,$K69))))</f>
        <v>19467.81212857143</v>
      </c>
      <c r="Q69" t="e">
        <f>MATCH($C69,Loads!$M$5:$M$117,0)</f>
        <v>#N/A</v>
      </c>
      <c r="R69">
        <f>MATCH($C69,Loads!$M$5:$M$117,1)</f>
        <v>96</v>
      </c>
      <c r="S69" s="73">
        <f>IF(ISBLANK(INDEX(Loads!$N$5:$N$117,$R69)),"-",INDEX(Loads!$N$5:$N$117,$K69)+IF(NOT(ISERROR($Q69)),0,(INDEX(Loads!$N$5:$N$117,$R69+1)-INDEX(Loads!$N$5:$N$117,$R69))/(INDEX(Loads!$M$5:$M$117,$R69+1)-INDEX(Loads!$M$5:$M$117,$R69))*($C69-INDEX(Loads!$M$5:$M$117,$R69))))</f>
        <v>-51816.085014285716</v>
      </c>
      <c r="T69" s="73">
        <f>IF(ISBLANK(INDEX(Loads!$O$5:$O$117,$R69)),"-",INDEX(Loads!$O$5:$O$117,$K69)+IF(NOT(ISERROR($Q69)),0,(INDEX(Loads!$O$5:$O$117,$R69+1)-INDEX(Loads!$O$5:$O$117,$R69))/(INDEX(Loads!$M$5:$M$117,$R69+1)-INDEX(Loads!$M$5:$M$117,$R69))*($C69-INDEX(Loads!$M$5:$M$117,$R69))))</f>
        <v>938893.83107142861</v>
      </c>
      <c r="U69" s="73">
        <f>IF(ISBLANK(INDEX(Loads!$P$5:$P$117,$R69)),"-",INDEX(Loads!$P$5:$P$117,$K69)+IF(NOT(ISERROR($Q69)),0,(INDEX(Loads!$P$5:$P$117,$R69+1)-INDEX(Loads!$P$5:$P$117,$R69))/(INDEX(Loads!$M$5:$M$117,$R69+1)-INDEX(Loads!$M$5:$M$117,$R69))*($C69-INDEX(Loads!$M$5:$M$117,$R69))))</f>
        <v>14420.599200000001</v>
      </c>
    </row>
    <row r="70" spans="3:21">
      <c r="C70" s="72">
        <f>Geometry!AF32</f>
        <v>-40.43</v>
      </c>
      <c r="E70" s="62" t="e">
        <f>MATCH($C70,Loads!$C$5:$C$117,0)</f>
        <v>#N/A</v>
      </c>
      <c r="F70" s="62">
        <f>MATCH($C70,Loads!$C$5:$C$117,1)</f>
        <v>94</v>
      </c>
      <c r="G70" s="73">
        <f>IF(ISBLANK(INDEX(Loads!$D$5:$D$117,$F70)),"-",INDEX(Loads!$D$5:$D$117,$F70)+IF(NOT(ISERROR($E70)),0,(INDEX(Loads!$D$5:$D$117,$F70+1)-INDEX(Loads!$D$5:$D$117,$F70))/(INDEX(Loads!$C$5:$C$117,$F70+1)-INDEX(Loads!$C$5:$C$117,$F70))*($C70-INDEX(Loads!$C$5:$C$117,$F70))))</f>
        <v>293116.05781249999</v>
      </c>
      <c r="H70" s="73">
        <f>IF(ISBLANK(INDEX(Loads!$E$5:$E$117,$F70)),"-",INDEX(Loads!$E$5:$E$117,$F70)+IF(NOT(ISERROR($E70)),0,(INDEX(Loads!$E$5:$E$117,$F70+1)-INDEX(Loads!$E$5:$E$117,$F70))/(INDEX(Loads!$C$5:$C$117,$F70+1)-INDEX(Loads!$C$5:$C$117,$F70))*($C70-INDEX(Loads!$C$5:$C$117,$F70))))</f>
        <v>273345.28125</v>
      </c>
      <c r="J70" s="62" t="e">
        <f>MATCH($C70,Loads!$G$5:$G$117,0)</f>
        <v>#N/A</v>
      </c>
      <c r="K70" s="62">
        <f>MATCH($C70,Loads!$G$5:$G$117,1)</f>
        <v>94</v>
      </c>
      <c r="L70" s="73">
        <f>IF(ISBLANK(INDEX(Loads!$H$5:$H$117,$K70)),"-",INDEX(Loads!$H$5:$H$117,$K70)+IF(NOT(ISERROR($J70)),0,(INDEX(Loads!$H$5:$H$117,$K70+1)-INDEX(Loads!$H$5:$H$117,$K70))/(INDEX(Loads!$G$5:$G$117,$K70+1)-INDEX(Loads!$G$5:$G$117,$K70))*($C70-INDEX(Loads!$G$5:$G$117,$K70))))</f>
        <v>-72317.410749999995</v>
      </c>
      <c r="M70" s="73">
        <f>IF(ISBLANK(INDEX(Loads!$I$5:$I$117,$K70)),"-",INDEX(Loads!$I$5:$I$117,$K70)+IF(NOT(ISERROR($J70)),0,(INDEX(Loads!$I$5:$I$117,$K70+1)-INDEX(Loads!$I$5:$I$117,$K70))/(INDEX(Loads!$G$5:$G$117,$K70+1)-INDEX(Loads!$G$5:$G$117,$K70))*($C70-INDEX(Loads!$G$5:$G$117,$K70))))</f>
        <v>63786.74525</v>
      </c>
      <c r="N70" s="73">
        <f>IF(ISBLANK(INDEX(Loads!$J$5:$J$117,$K70)),"-",INDEX(Loads!$J$5:$J$117,$K70)+IF(NOT(ISERROR($J70)),0,(INDEX(Loads!$J$5:$J$117,$K70+1)-INDEX(Loads!$J$5:$J$117,$K70))/(INDEX(Loads!$G$5:$G$117,$K70+1)-INDEX(Loads!$G$5:$G$117,$K70))*($C70-INDEX(Loads!$G$5:$G$117,$K70))))</f>
        <v>1341349.04375</v>
      </c>
      <c r="O70" s="73">
        <f>IF(ISBLANK(INDEX(Loads!$K$5:$K$117,$K70)),"-",INDEX(Loads!$K$5:$K$117,$K70)+IF(NOT(ISERROR($J70)),0,(INDEX(Loads!$K$5:$K$117,$K70+1)-INDEX(Loads!$K$5:$K$117,$K70))/(INDEX(Loads!$G$5:$G$117,$K70+1)-INDEX(Loads!$G$5:$G$117,$K70))*($C70-INDEX(Loads!$G$5:$G$117,$K70))))</f>
        <v>21593.051031249997</v>
      </c>
      <c r="Q70" t="e">
        <f>MATCH($C70,Loads!$M$5:$M$117,0)</f>
        <v>#N/A</v>
      </c>
      <c r="R70">
        <f>MATCH($C70,Loads!$M$5:$M$117,1)</f>
        <v>94</v>
      </c>
      <c r="S70" s="73">
        <f>IF(ISBLANK(INDEX(Loads!$N$5:$N$117,$R70)),"-",INDEX(Loads!$N$5:$N$117,$K70)+IF(NOT(ISERROR($Q70)),0,(INDEX(Loads!$N$5:$N$117,$R70+1)-INDEX(Loads!$N$5:$N$117,$R70))/(INDEX(Loads!$M$5:$M$117,$R70+1)-INDEX(Loads!$M$5:$M$117,$R70))*($C70-INDEX(Loads!$M$5:$M$117,$R70))))</f>
        <v>-53568.453874999999</v>
      </c>
      <c r="T70" s="73">
        <f>IF(ISBLANK(INDEX(Loads!$O$5:$O$117,$R70)),"-",INDEX(Loads!$O$5:$O$117,$K70)+IF(NOT(ISERROR($Q70)),0,(INDEX(Loads!$O$5:$O$117,$R70+1)-INDEX(Loads!$O$5:$O$117,$R70))/(INDEX(Loads!$M$5:$M$117,$R70+1)-INDEX(Loads!$M$5:$M$117,$R70))*($C70-INDEX(Loads!$M$5:$M$117,$R70))))</f>
        <v>1018309.405</v>
      </c>
      <c r="U70" s="73">
        <f>IF(ISBLANK(INDEX(Loads!$P$5:$P$117,$R70)),"-",INDEX(Loads!$P$5:$P$117,$K70)+IF(NOT(ISERROR($Q70)),0,(INDEX(Loads!$P$5:$P$117,$R70+1)-INDEX(Loads!$P$5:$P$117,$R70))/(INDEX(Loads!$M$5:$M$117,$R70+1)-INDEX(Loads!$M$5:$M$117,$R70))*($C70-INDEX(Loads!$M$5:$M$117,$R70))))</f>
        <v>15994.853656249999</v>
      </c>
    </row>
  </sheetData>
  <sheetProtection sheet="1" objects="1" scenarios="1"/>
  <mergeCells count="12">
    <mergeCell ref="G4:H4"/>
    <mergeCell ref="G15:H15"/>
    <mergeCell ref="S4:U4"/>
    <mergeCell ref="L15:O15"/>
    <mergeCell ref="S15:U15"/>
    <mergeCell ref="L4:O4"/>
    <mergeCell ref="G47:H47"/>
    <mergeCell ref="G61:H61"/>
    <mergeCell ref="L47:O47"/>
    <mergeCell ref="S47:U47"/>
    <mergeCell ref="L61:O61"/>
    <mergeCell ref="S61:U61"/>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87"/>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441</v>
      </c>
      <c r="X3" s="181" t="s">
        <v>307</v>
      </c>
      <c r="Y3" s="181"/>
      <c r="Z3" s="181"/>
      <c r="AB3" s="181" t="s">
        <v>522</v>
      </c>
      <c r="AC3" s="181"/>
      <c r="AD3" s="181"/>
      <c r="AE3" s="181"/>
      <c r="AF3" s="181"/>
      <c r="AG3" s="181"/>
      <c r="AH3" s="181"/>
      <c r="AI3" s="181"/>
    </row>
    <row r="4" spans="3:38">
      <c r="C4" s="308" t="s">
        <v>0</v>
      </c>
      <c r="D4" s="12" t="s">
        <v>1</v>
      </c>
      <c r="E4" s="12" t="s">
        <v>2</v>
      </c>
      <c r="F4" s="12" t="s">
        <v>3</v>
      </c>
      <c r="G4" s="12" t="s">
        <v>4</v>
      </c>
      <c r="H4" s="12" t="s">
        <v>5</v>
      </c>
      <c r="I4" s="12" t="s">
        <v>6</v>
      </c>
      <c r="J4" s="12" t="s">
        <v>7</v>
      </c>
      <c r="K4" s="12" t="s">
        <v>8</v>
      </c>
      <c r="X4" s="8" t="s">
        <v>41</v>
      </c>
      <c r="Z4" s="33">
        <f>Control!F40</f>
        <v>36</v>
      </c>
      <c r="AB4" s="8" t="s">
        <v>40</v>
      </c>
      <c r="AC4" s="16" t="str">
        <f>Control!F39</f>
        <v>EC</v>
      </c>
      <c r="AD4" s="8" t="s">
        <v>91</v>
      </c>
      <c r="AE4" s="7">
        <f>IF($AC$4="DNV",5,4)</f>
        <v>4</v>
      </c>
      <c r="AF4" s="6"/>
      <c r="AG4" s="6"/>
      <c r="AH4" s="6"/>
      <c r="AI4" s="6"/>
    </row>
    <row r="5" spans="3:38">
      <c r="C5" s="309"/>
      <c r="D5" s="12" t="str">
        <f>"[m"&amp;Control!$F$7&amp;"]"</f>
        <v>[mLAT]</v>
      </c>
      <c r="E5" s="12" t="str">
        <f>"[m"&amp;Control!$F$7&amp;"]"</f>
        <v>[mLAT]</v>
      </c>
      <c r="F5" s="12" t="s">
        <v>9</v>
      </c>
      <c r="G5" s="12" t="s">
        <v>9</v>
      </c>
      <c r="H5" s="12" t="s">
        <v>10</v>
      </c>
      <c r="I5" s="12" t="s">
        <v>9</v>
      </c>
      <c r="J5" s="12" t="s">
        <v>11</v>
      </c>
      <c r="K5" s="12" t="s">
        <v>12</v>
      </c>
      <c r="X5" s="8" t="s">
        <v>38</v>
      </c>
      <c r="Z5" s="33">
        <f>Control!F41</f>
        <v>35</v>
      </c>
      <c r="AB5" s="181" t="s">
        <v>515</v>
      </c>
      <c r="AC5" s="181"/>
      <c r="AD5" s="181"/>
      <c r="AE5" s="181"/>
      <c r="AF5" s="181"/>
      <c r="AG5" s="182"/>
      <c r="AH5" s="182"/>
      <c r="AI5" s="182"/>
      <c r="AK5" s="6"/>
    </row>
    <row r="6" spans="3:38">
      <c r="C6" s="12">
        <v>1</v>
      </c>
      <c r="D6" s="44">
        <f>Geometry!D11</f>
        <v>21.47</v>
      </c>
      <c r="E6" s="44">
        <f>Geometry!E11</f>
        <v>17.5</v>
      </c>
      <c r="F6" s="44">
        <f>Geometry!F11</f>
        <v>8</v>
      </c>
      <c r="G6" s="44">
        <f>Geometry!G11</f>
        <v>8</v>
      </c>
      <c r="H6" s="44">
        <f>Geometry!H11</f>
        <v>117</v>
      </c>
      <c r="I6" s="56">
        <f>D6-E6</f>
        <v>3.9699999999999989</v>
      </c>
      <c r="J6" s="57">
        <f>ATAN((G6-F6)/(2*I6))/PI()*180</f>
        <v>0</v>
      </c>
      <c r="K6" s="58">
        <f>IF(J6=0,PI()/4*(F6^2-(F6-(2*H6/1000))^2)*I6*7850/1000,(I6*PI()/12)*((G6^2+G6*F6+F6^2)-((G6-2*(H6/1000))^2+(G6-(2*H6/1000))*(F6-(2*H6/1000))+(F6-(2*H6/1000))^2))*7850/1000)</f>
        <v>90.299932258163423</v>
      </c>
      <c r="X6" s="17" t="s">
        <v>39</v>
      </c>
      <c r="Z6" s="33">
        <f>Control!F42</f>
        <v>24</v>
      </c>
      <c r="AB6" s="8" t="s">
        <v>293</v>
      </c>
      <c r="AD6" s="6">
        <f>IF($AC$4="EC",112,65.5)</f>
        <v>112</v>
      </c>
      <c r="AF6" s="6" t="s">
        <v>148</v>
      </c>
      <c r="AG6" s="6">
        <f>IF($AC$4="EC",140,93.59)</f>
        <v>140</v>
      </c>
      <c r="AH6" s="6"/>
      <c r="AI6" s="6"/>
      <c r="AJ6" s="6"/>
      <c r="AK6" s="6"/>
      <c r="AL6" s="6"/>
    </row>
    <row r="7" spans="3:38">
      <c r="C7" s="12">
        <v>2</v>
      </c>
      <c r="D7" s="44">
        <f>Geometry!D12</f>
        <v>17.5</v>
      </c>
      <c r="E7" s="44">
        <f>Geometry!E12</f>
        <v>13.5</v>
      </c>
      <c r="F7" s="44">
        <f>Geometry!F12</f>
        <v>8</v>
      </c>
      <c r="G7" s="44">
        <f>Geometry!G12</f>
        <v>8</v>
      </c>
      <c r="H7" s="44">
        <f>Geometry!H12</f>
        <v>117</v>
      </c>
      <c r="I7" s="56">
        <f t="shared" ref="I7:I9" si="0">D7-E7</f>
        <v>4</v>
      </c>
      <c r="J7" s="57">
        <f t="shared" ref="J7:J9" si="1">ATAN((G7-F7)/(2*I7))/PI()*180</f>
        <v>0</v>
      </c>
      <c r="K7" s="58">
        <f t="shared" ref="K7:K9" si="2">IF(J7=0,PI()/4*(F7^2-(F7-(2*H7/1000))^2)*I7*7850/1000,(I7*PI()/12)*((G7^2+G7*F7+F7^2)-((G7-2*(H7/1000))^2+(G7-(2*H7/1000))*(F7-(2*H7/1000))+(F7-(2*H7/1000))^2))*7850/1000)</f>
        <v>90.9822995044468</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X8" s="8" t="s">
        <v>69</v>
      </c>
      <c r="Z8" s="33" t="str">
        <f>Control!F43</f>
        <v>N</v>
      </c>
      <c r="AB8" s="8" t="s">
        <v>436</v>
      </c>
      <c r="AD8" s="6">
        <f>IF($AC$4="EC",112,65.5)</f>
        <v>112</v>
      </c>
      <c r="AF8" t="s">
        <v>520</v>
      </c>
      <c r="AG8">
        <f>IF($AC$4="EC",112,AD6)</f>
        <v>112</v>
      </c>
    </row>
    <row r="9" spans="3:38">
      <c r="C9" s="12">
        <v>4</v>
      </c>
      <c r="D9" s="44">
        <f>Geometry!D14</f>
        <v>9.5</v>
      </c>
      <c r="E9" s="44">
        <f>Geometry!E14</f>
        <v>5.8</v>
      </c>
      <c r="F9" s="44">
        <f>Geometry!F14</f>
        <v>8</v>
      </c>
      <c r="G9" s="44">
        <f>Geometry!G14</f>
        <v>8</v>
      </c>
      <c r="H9" s="44">
        <f>Geometry!H14</f>
        <v>120</v>
      </c>
      <c r="I9" s="56">
        <f t="shared" si="0"/>
        <v>3.7</v>
      </c>
      <c r="J9" s="57">
        <f t="shared" si="1"/>
        <v>0</v>
      </c>
      <c r="K9" s="58">
        <f t="shared" si="2"/>
        <v>86.283691434396374</v>
      </c>
      <c r="X9" s="8" t="s">
        <v>70</v>
      </c>
      <c r="Z9" s="33">
        <f>Control!F44</f>
        <v>0</v>
      </c>
      <c r="AF9" t="s">
        <v>516</v>
      </c>
      <c r="AG9">
        <f>IF(AC4="EC",225,131.62)</f>
        <v>225</v>
      </c>
      <c r="AH9" t="s">
        <v>532</v>
      </c>
      <c r="AI9">
        <v>1.3</v>
      </c>
    </row>
    <row r="10" spans="3:38">
      <c r="AE10" s="7"/>
      <c r="AF10" s="7"/>
      <c r="AG10" s="6"/>
      <c r="AH10" s="6"/>
      <c r="AI10" s="6"/>
    </row>
    <row r="11" spans="3:38">
      <c r="X11" s="181" t="s">
        <v>517</v>
      </c>
      <c r="Y11" s="181"/>
      <c r="Z11" s="181"/>
      <c r="AB11" s="181" t="s">
        <v>521</v>
      </c>
      <c r="AC11" s="181"/>
      <c r="AD11" s="181"/>
      <c r="AE11" s="181"/>
      <c r="AF11" s="181"/>
      <c r="AG11" s="181"/>
      <c r="AH11" s="181"/>
      <c r="AI11" s="181"/>
    </row>
    <row r="12" spans="3:38">
      <c r="X12" s="8" t="s">
        <v>181</v>
      </c>
      <c r="Z12" s="33">
        <f>Control!F22</f>
        <v>0</v>
      </c>
      <c r="AB12" s="8" t="s">
        <v>65</v>
      </c>
      <c r="AC12" s="6"/>
      <c r="AD12" s="203">
        <f>IF(AND($AC$4="EC",$Z$8="Y"),1.15,IF(AND($AC$4="EC",$Z$8="N"),1.25,1))</f>
        <v>1.25</v>
      </c>
      <c r="AF12" s="8" t="s">
        <v>56</v>
      </c>
      <c r="AG12" s="203">
        <f>IF($AC$4="EC",0.3,0.2)</f>
        <v>0.3</v>
      </c>
    </row>
    <row r="13" spans="3:38">
      <c r="X13" t="str">
        <f>Control!E16</f>
        <v>External upper limit</v>
      </c>
      <c r="Z13" s="33">
        <f>Control!F16</f>
        <v>8.1</v>
      </c>
      <c r="AB13" s="8" t="s">
        <v>66</v>
      </c>
      <c r="AC13" s="6"/>
      <c r="AD13" s="203">
        <f>IF($AC$4="EC",1.25,1)</f>
        <v>1.25</v>
      </c>
      <c r="AF13" s="8" t="s">
        <v>294</v>
      </c>
      <c r="AG13" s="203">
        <f>IF($AC$4="EC",0.2,0.1)</f>
        <v>0.2</v>
      </c>
    </row>
    <row r="14" spans="3:38">
      <c r="X14" t="str">
        <f>Control!E17</f>
        <v xml:space="preserve">External lower limit </v>
      </c>
      <c r="Z14" s="33">
        <f>Control!F17</f>
        <v>-3.4</v>
      </c>
      <c r="AB14" s="8" t="s">
        <v>67</v>
      </c>
      <c r="AC14" s="6"/>
      <c r="AD14" s="204">
        <f>IF(AND($AC$4="DNV",$Z$8="Y"),2,IF(AND($AC$4="DNV",$Z$8="N"),3,1))</f>
        <v>1</v>
      </c>
      <c r="AE14" s="8"/>
      <c r="AF14" s="8" t="s">
        <v>295</v>
      </c>
      <c r="AG14" s="203">
        <f>IF($AC$4="EC",$AG$13,0.15)</f>
        <v>0.2</v>
      </c>
      <c r="AH14" s="8"/>
      <c r="AI14" s="6"/>
      <c r="AJ14" s="41"/>
    </row>
    <row r="15" spans="3:38">
      <c r="X15" t="str">
        <f>Control!E18</f>
        <v>Internal upper limit</v>
      </c>
      <c r="Z15" s="33">
        <f>Control!F18</f>
        <v>3</v>
      </c>
      <c r="AB15" s="8" t="s">
        <v>68</v>
      </c>
      <c r="AC15" s="6"/>
      <c r="AD15" s="204">
        <f>IF($AC$4="DNV",3,1)</f>
        <v>1</v>
      </c>
      <c r="AE15" s="6"/>
      <c r="AF15" s="8" t="s">
        <v>151</v>
      </c>
      <c r="AG15" s="203">
        <f>IF(AC4="EC",0.1,0)</f>
        <v>0.1</v>
      </c>
      <c r="AH15" s="6"/>
      <c r="AI15" s="6"/>
    </row>
    <row r="16" spans="3:38">
      <c r="X16" t="str">
        <f>Control!E19</f>
        <v>Internal lower limit</v>
      </c>
      <c r="Z16" s="33">
        <f>Control!F19</f>
        <v>-0.6</v>
      </c>
      <c r="AI16" s="6"/>
    </row>
    <row r="17" spans="3:41">
      <c r="AB17" s="181" t="s">
        <v>518</v>
      </c>
      <c r="AC17" s="181"/>
      <c r="AD17" s="181"/>
      <c r="AE17" s="182"/>
      <c r="AF17" s="181"/>
      <c r="AG17" s="181"/>
      <c r="AH17" s="181"/>
      <c r="AI17" s="181"/>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1" t="s">
        <v>519</v>
      </c>
      <c r="AC22" s="181"/>
      <c r="AD22" s="181"/>
      <c r="AE22" s="181"/>
      <c r="AF22" s="181"/>
      <c r="AG22" s="182"/>
      <c r="AH22" s="182"/>
      <c r="AI22" s="182"/>
      <c r="AK22" s="8"/>
      <c r="AL22" s="8"/>
      <c r="AM22" s="8"/>
      <c r="AN22" s="8"/>
      <c r="AO22" s="6"/>
    </row>
    <row r="23" spans="3:41">
      <c r="AB23" s="8" t="s">
        <v>42</v>
      </c>
    </row>
    <row r="24" spans="3:41">
      <c r="AB24" s="8" t="s">
        <v>43</v>
      </c>
      <c r="AC24" s="8"/>
      <c r="AE24" s="189"/>
      <c r="AF24" s="14">
        <f>Z4-Z6</f>
        <v>12</v>
      </c>
    </row>
    <row r="25" spans="3:41">
      <c r="AB25" s="8" t="s">
        <v>44</v>
      </c>
      <c r="AC25" s="8"/>
      <c r="AE25" s="189"/>
      <c r="AF25" s="14">
        <f>Z5-AF24</f>
        <v>23</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204</v>
      </c>
      <c r="L30" s="312" t="s">
        <v>212</v>
      </c>
      <c r="M30" s="312"/>
      <c r="Q30" s="320" t="s">
        <v>528</v>
      </c>
      <c r="R30" s="321"/>
      <c r="S30" s="322"/>
      <c r="T30" s="313" t="s">
        <v>527</v>
      </c>
      <c r="U30" s="316"/>
      <c r="V30" s="314"/>
    </row>
    <row r="31" spans="3:41" ht="15" customHeight="1">
      <c r="C31" s="317" t="s">
        <v>19</v>
      </c>
      <c r="D31" s="317" t="s">
        <v>278</v>
      </c>
      <c r="E31" s="317" t="s">
        <v>277</v>
      </c>
      <c r="F31" s="317" t="s">
        <v>18</v>
      </c>
      <c r="G31" s="317" t="s">
        <v>280</v>
      </c>
      <c r="H31" s="317" t="s">
        <v>279</v>
      </c>
      <c r="I31" s="317" t="s">
        <v>13</v>
      </c>
      <c r="J31" s="317" t="s">
        <v>14</v>
      </c>
      <c r="K31" s="317" t="s">
        <v>15</v>
      </c>
      <c r="L31" s="317" t="s">
        <v>275</v>
      </c>
      <c r="M31" s="317" t="s">
        <v>276</v>
      </c>
      <c r="N31" s="317" t="s">
        <v>296</v>
      </c>
      <c r="P31" s="317" t="s">
        <v>574</v>
      </c>
      <c r="Q31" s="323" t="s">
        <v>524</v>
      </c>
      <c r="R31" s="323" t="s">
        <v>525</v>
      </c>
      <c r="S31" s="323" t="s">
        <v>526</v>
      </c>
      <c r="T31" s="312" t="s">
        <v>524</v>
      </c>
      <c r="U31" s="312" t="s">
        <v>525</v>
      </c>
      <c r="V31" s="312" t="s">
        <v>526</v>
      </c>
    </row>
    <row r="32" spans="3:41" ht="29.1" customHeight="1">
      <c r="C32" s="318">
        <v>0</v>
      </c>
      <c r="D32" s="318">
        <v>0</v>
      </c>
      <c r="E32" s="318"/>
      <c r="F32" s="318"/>
      <c r="G32" s="318"/>
      <c r="H32" s="318"/>
      <c r="I32" s="318"/>
      <c r="J32" s="318"/>
      <c r="K32" s="318"/>
      <c r="L32" s="318"/>
      <c r="M32" s="318"/>
      <c r="N32" s="323"/>
      <c r="P32" s="323"/>
      <c r="Q32" s="323"/>
      <c r="R32" s="323"/>
      <c r="S32" s="323"/>
      <c r="T32" s="312"/>
      <c r="U32" s="312"/>
      <c r="V32" s="312"/>
    </row>
    <row r="33" spans="2:35">
      <c r="C33" s="30" t="s">
        <v>16</v>
      </c>
      <c r="D33" s="30" t="str">
        <f>"[m"&amp;Control!$F$7&amp;"]"</f>
        <v>[mLAT]</v>
      </c>
      <c r="E33" s="30" t="s">
        <v>9</v>
      </c>
      <c r="F33" s="30" t="s">
        <v>11</v>
      </c>
      <c r="G33" s="313" t="s">
        <v>10</v>
      </c>
      <c r="H33" s="316"/>
      <c r="I33" s="316"/>
      <c r="J33" s="316"/>
      <c r="K33" s="314"/>
      <c r="L33" s="313" t="s">
        <v>16</v>
      </c>
      <c r="M33" s="314"/>
      <c r="N33" s="318"/>
      <c r="P33" s="324"/>
      <c r="Q33" s="30" t="s">
        <v>16</v>
      </c>
      <c r="R33" s="30" t="s">
        <v>16</v>
      </c>
      <c r="S33" s="30" t="s">
        <v>16</v>
      </c>
      <c r="T33" s="30" t="s">
        <v>16</v>
      </c>
      <c r="U33" s="30" t="s">
        <v>16</v>
      </c>
      <c r="V33" s="30" t="s">
        <v>16</v>
      </c>
    </row>
    <row r="34" spans="2:35">
      <c r="C34" s="12" t="str">
        <f>"CW"&amp;TEXT(C6,"0")</f>
        <v>CW1</v>
      </c>
      <c r="D34" s="2">
        <f>E6</f>
        <v>17.5</v>
      </c>
      <c r="E34" s="3">
        <f>G6</f>
        <v>8</v>
      </c>
      <c r="F34" s="3">
        <f>ABS(J6-J7)</f>
        <v>0</v>
      </c>
      <c r="G34" s="3">
        <f>H6</f>
        <v>117</v>
      </c>
      <c r="H34" s="4">
        <f>H7</f>
        <v>117</v>
      </c>
      <c r="I34" s="3">
        <f>(MAX(G34:H34)-MIN(G34:H34))/2</f>
        <v>0</v>
      </c>
      <c r="J34" s="3">
        <f>MIN(0.1*MIN(G34:H34),4)</f>
        <v>4</v>
      </c>
      <c r="K34" s="120">
        <f>0.05*(MIN(G34:H34))</f>
        <v>5.8500000000000005</v>
      </c>
      <c r="L34" s="120">
        <f>S34</f>
        <v>0.95256410256410251</v>
      </c>
      <c r="M34" s="120">
        <f>V34</f>
        <v>0.95256410256410251</v>
      </c>
      <c r="N34" s="218" t="str">
        <f>Geometry!N12</f>
        <v>n</v>
      </c>
      <c r="P34" s="120">
        <f>IF(F34&gt;0.1,IF(AND((E34-E33)=0,(E35-E34)&gt;0),"cc",IF(AND((E34-E33)&gt;0,(E35-E34)=0),"cv",0)),0)</f>
        <v>0</v>
      </c>
      <c r="Q34" s="219" cm="1">
        <f t="array" ref="Q34">IF($AC$4="EC",(1-(6*(I34+K34-J34))/(MIN(G34:H34)*(1+(MAX(G34:H34^1.5/MIN(G34:H34)^1.5))))),(1-(6*(I34+IF(OR(N34="b",N34="o"),0,K34)-J34)/(MIN(G34:H34)*(1+(MAX(G34:H34^1.5/MIN(G34:H34)^1.5)))))))</f>
        <v>0.95256410256410251</v>
      </c>
      <c r="R34" s="219">
        <f>IF(P34=0,0,IF(P34="cc",MAX(1+((0.6*G34*(E34*1000*(G34+H34))^0.5*TAN(F34*PI()/180))/G34^2),1+((0.6*G34*(E34*1000*(G34+H34))^0.5*TAN(F34*PI()/180))/H34^2)),1))</f>
        <v>0</v>
      </c>
      <c r="S34" s="219">
        <f>IF(P34=0,Q34,R34)</f>
        <v>0.95256410256410251</v>
      </c>
      <c r="T34" s="219" cm="1">
        <f t="array" ref="T34">IF($AC$4="EC",(1+(6*(I34+J34-K34))/(MIN(G34:H34)*(1+(MAX(G34:H34^1.5/MIN(G34:H34)^1.5))))),(1+(6*(I34+J34-IF(OR(N34="i",N34="b"),0,K34)))/(MIN(G34:H34)*(1+(MAX(G34:H34^1.5/MIN(G34:H34)^1.5))))))</f>
        <v>0.95256410256410251</v>
      </c>
      <c r="U34" s="219">
        <f>IF(P34=0,0,IF(P34="cv",MAX(1+((0.6*G34*(E34*1000*(G34+H34))^0.5*TAN(F34*PI()/180))/G34^2),1+((0.6*G34*(E34*1000*(G34+H34))^0.5*TAN(F34*PI()/180))/H34^2)),1))</f>
        <v>0</v>
      </c>
      <c r="V34" s="219">
        <f>IF(P34=0,T34,U34)</f>
        <v>0.95256410256410251</v>
      </c>
    </row>
    <row r="35" spans="2:35">
      <c r="C35" s="12" t="str">
        <f t="shared" ref="C35:C36" si="3">"CW"&amp;TEXT(C7,"0")</f>
        <v>CW2</v>
      </c>
      <c r="D35" s="2">
        <f t="shared" ref="D35:D36" si="4">E7</f>
        <v>13.5</v>
      </c>
      <c r="E35" s="3">
        <f t="shared" ref="E35:E36" si="5">G7</f>
        <v>8</v>
      </c>
      <c r="F35" s="3">
        <f t="shared" ref="F35:F36" si="6">ABS(J7-J8)</f>
        <v>0</v>
      </c>
      <c r="G35" s="3">
        <f t="shared" ref="G35:G36" si="7">H7</f>
        <v>117</v>
      </c>
      <c r="H35" s="4">
        <f t="shared" ref="H35:H36" si="8">H8</f>
        <v>124</v>
      </c>
      <c r="I35" s="3">
        <f t="shared" ref="I35:I36" si="9">(MAX(G35:H35)-MIN(G35:H35))/2</f>
        <v>3.5</v>
      </c>
      <c r="J35" s="3">
        <f t="shared" ref="J35:J36" si="10">MIN(0.1*MIN(G35:H35),4)</f>
        <v>4</v>
      </c>
      <c r="K35" s="120">
        <f t="shared" ref="K35:K36" si="11">0.05*(MIN(G35:H35))</f>
        <v>5.8500000000000005</v>
      </c>
      <c r="L35" s="120">
        <f t="shared" ref="L35:L36" si="12">S35</f>
        <v>0.86879511206806603</v>
      </c>
      <c r="M35" s="120">
        <f t="shared" ref="M35:M36" si="13">V35</f>
        <v>1.0404650588948956</v>
      </c>
      <c r="N35" s="218" t="str">
        <f>Geometry!N13</f>
        <v>n</v>
      </c>
      <c r="P35" s="120">
        <f t="shared" ref="P35:P36" si="14">IF(F35&gt;0.1,IF(AND((E35-E34)=0,(E36-E35)&gt;0),"cc",IF(AND((E35-E34)&gt;0,(E36-E35)=0),"cv",0)),0)</f>
        <v>0</v>
      </c>
      <c r="Q35" s="219" cm="1">
        <f t="array" ref="Q35">IF($AC$4="EC",(1-(6*(I35+K35-J35))/(MIN(G35:H35)*(1+(MAX(G35:H35^1.5/MIN(G35:H35)^1.5))))),(1-(6*(I35+IF(OR(N35="b",N35="o"),0,K35)-J35)/(MIN(G35:H35)*(1+(MAX(G35:H35^1.5/MIN(G35:H35)^1.5)))))))</f>
        <v>0.86879511206806603</v>
      </c>
      <c r="R35" s="219">
        <f t="shared" ref="R35:R36" si="15">IF(P35=0,0,IF(P35="cc",MAX(1+((0.6*G35*(E35*1000*(G35+H35))^0.5*TAN(F35*PI()/180))/G35^2),1+((0.6*G35*(E35*1000*(G35+H35))^0.5*TAN(F35*PI()/180))/H35^2)),1))</f>
        <v>0</v>
      </c>
      <c r="S35" s="219">
        <f t="shared" ref="S35:S36" si="16">IF(P35=0,Q35,R35)</f>
        <v>0.86879511206806603</v>
      </c>
      <c r="T35" s="219" cm="1">
        <f t="array" ref="T35">IF($AC$4="EC",(1+(6*(I35+J35-K35))/(MIN(G35:H35)*(1+(MAX(G35:H35^1.5/MIN(G35:H35)^1.5))))),(1+(6*(I35+J35-IF(OR(N35="i",N35="b"),0,K35)))/(MIN(G35:H35)*(1+(MAX(G35:H35^1.5/MIN(G35:H35)^1.5))))))</f>
        <v>1.0404650588948956</v>
      </c>
      <c r="U35" s="219">
        <f t="shared" ref="U35:U36" si="17">IF(P35=0,0,IF(P35="cv",MAX(1+((0.6*G35*(E35*1000*(G35+H35))^0.5*TAN(F35*PI()/180))/G35^2),1+((0.6*G35*(E35*1000*(G35+H35))^0.5*TAN(F35*PI()/180))/H35^2)),1))</f>
        <v>0</v>
      </c>
      <c r="V35" s="219">
        <f t="shared" ref="V35:V36" si="18">IF(P35=0,T35,U35)</f>
        <v>1.0404650588948956</v>
      </c>
    </row>
    <row r="36" spans="2:35">
      <c r="C36" s="12" t="str">
        <f t="shared" si="3"/>
        <v>CW3</v>
      </c>
      <c r="D36" s="2">
        <f t="shared" si="4"/>
        <v>9.5</v>
      </c>
      <c r="E36" s="3">
        <f t="shared" si="5"/>
        <v>8</v>
      </c>
      <c r="F36" s="3">
        <f t="shared" si="6"/>
        <v>0</v>
      </c>
      <c r="G36" s="3">
        <f t="shared" si="7"/>
        <v>124</v>
      </c>
      <c r="H36" s="4">
        <f t="shared" si="8"/>
        <v>120</v>
      </c>
      <c r="I36" s="3">
        <f t="shared" si="9"/>
        <v>2</v>
      </c>
      <c r="J36" s="3">
        <f t="shared" si="10"/>
        <v>4</v>
      </c>
      <c r="K36" s="120">
        <f t="shared" si="11"/>
        <v>6</v>
      </c>
      <c r="L36" s="120">
        <f t="shared" si="12"/>
        <v>0.9024587410621967</v>
      </c>
      <c r="M36" s="120">
        <f t="shared" si="13"/>
        <v>1</v>
      </c>
      <c r="N36" s="218" t="str">
        <f>Geometry!N14</f>
        <v>n</v>
      </c>
      <c r="P36" s="120">
        <f t="shared" si="14"/>
        <v>0</v>
      </c>
      <c r="Q36" s="219" cm="1">
        <f t="array" ref="Q36">IF($AC$4="EC",(1-(6*(I36+K36-J36))/(MIN(G36:H36)*(1+(MAX(G36:H36^1.5/MIN(G36:H36)^1.5))))),(1-(6*(I36+IF(OR(N36="b",N36="o"),0,K36)-J36)/(MIN(G36:H36)*(1+(MAX(G36:H36^1.5/MIN(G36:H36)^1.5)))))))</f>
        <v>0.9024587410621967</v>
      </c>
      <c r="R36" s="219">
        <f t="shared" si="15"/>
        <v>0</v>
      </c>
      <c r="S36" s="219">
        <f t="shared" si="16"/>
        <v>0.9024587410621967</v>
      </c>
      <c r="T36" s="219" cm="1">
        <f t="array" ref="T36">IF($AC$4="EC",(1+(6*(I36+J36-K36))/(MIN(G36:H36)*(1+(MAX(G36:H36^1.5/MIN(G36:H36)^1.5))))),(1+(6*(I36+J36-IF(OR(N36="i",N36="b"),0,K36)))/(MIN(G36:H36)*(1+(MAX(G36:H36^1.5/MIN(G36:H36)^1.5))))))</f>
        <v>1</v>
      </c>
      <c r="U36" s="219">
        <f t="shared" si="17"/>
        <v>0</v>
      </c>
      <c r="V36" s="219">
        <f t="shared" si="18"/>
        <v>1</v>
      </c>
    </row>
    <row r="38" spans="2:35">
      <c r="C38" s="35" t="s">
        <v>50</v>
      </c>
      <c r="M38" s="271" t="s">
        <v>60</v>
      </c>
      <c r="N38" s="267"/>
      <c r="O38" s="267"/>
      <c r="P38" s="267"/>
      <c r="Q38" s="267"/>
      <c r="R38" s="319"/>
      <c r="V38" s="109"/>
      <c r="W38" s="109"/>
    </row>
    <row r="39" spans="2:35" ht="21" customHeight="1">
      <c r="B39" s="11"/>
      <c r="C39" s="312" t="s">
        <v>19</v>
      </c>
      <c r="D39" s="317" t="s">
        <v>278</v>
      </c>
      <c r="E39" s="30" t="s">
        <v>281</v>
      </c>
      <c r="F39" s="30" t="s">
        <v>281</v>
      </c>
      <c r="G39" s="312" t="s">
        <v>24</v>
      </c>
      <c r="H39" s="312"/>
      <c r="I39" s="312" t="s">
        <v>268</v>
      </c>
      <c r="J39" s="312"/>
      <c r="K39" s="312" t="s">
        <v>27</v>
      </c>
      <c r="L39" s="312"/>
      <c r="M39" s="312" t="s">
        <v>61</v>
      </c>
      <c r="N39" s="312"/>
      <c r="O39" s="312" t="s">
        <v>62</v>
      </c>
      <c r="P39" s="312"/>
      <c r="Q39" s="312" t="s">
        <v>63</v>
      </c>
      <c r="R39" s="312"/>
      <c r="V39" s="312" t="s">
        <v>31</v>
      </c>
      <c r="W39" s="312"/>
      <c r="X39" s="313" t="s">
        <v>48</v>
      </c>
      <c r="Y39" s="314"/>
      <c r="Z39" s="30" t="s">
        <v>21</v>
      </c>
      <c r="AA39" s="5" t="s">
        <v>22</v>
      </c>
      <c r="AB39" s="310" t="str">
        <f>IF(OR(Control!$F$39="EC",Control!$F$51="N"),"t","t_eff")</f>
        <v>t</v>
      </c>
      <c r="AC39" s="311"/>
      <c r="AD39" s="313" t="s">
        <v>35</v>
      </c>
      <c r="AE39" s="316"/>
      <c r="AF39" s="316"/>
      <c r="AG39" s="314"/>
      <c r="AH39" s="310" t="s">
        <v>421</v>
      </c>
      <c r="AI39" s="311"/>
    </row>
    <row r="40" spans="2:35" ht="20.399999999999999">
      <c r="B40" s="11"/>
      <c r="C40" s="312">
        <v>0</v>
      </c>
      <c r="D40" s="318">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3" t="s">
        <v>30</v>
      </c>
      <c r="AA40" s="314"/>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3" t="s">
        <v>20</v>
      </c>
      <c r="F41" s="314"/>
      <c r="G41" s="313" t="s">
        <v>77</v>
      </c>
      <c r="H41" s="316"/>
      <c r="I41" s="316"/>
      <c r="J41" s="314"/>
      <c r="K41" s="313" t="s">
        <v>77</v>
      </c>
      <c r="L41" s="314"/>
      <c r="M41" s="320" t="s">
        <v>16</v>
      </c>
      <c r="N41" s="321"/>
      <c r="O41" s="321"/>
      <c r="P41" s="321"/>
      <c r="Q41" s="321"/>
      <c r="R41" s="322"/>
      <c r="V41" s="315" t="s">
        <v>32</v>
      </c>
      <c r="W41" s="315"/>
      <c r="X41" s="30" t="s">
        <v>10</v>
      </c>
      <c r="Y41" s="30" t="s">
        <v>10</v>
      </c>
      <c r="Z41" s="313" t="s">
        <v>23</v>
      </c>
      <c r="AA41" s="314"/>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255955.90691372327</v>
      </c>
      <c r="F42" s="120">
        <f>IF(Geometry_loads!G8="-","-",Geometry_loads!G8*Control!$F$55)</f>
        <v>300707.47276396636</v>
      </c>
      <c r="G42" s="120">
        <f>IF(AND(X42=0,Y42=0),E42/Z42*E34/2/1000,(E42*($AF$25/$Z$5)^(1/$AE$4)/Z42*E34/2/1000))</f>
        <v>45.478817280948405</v>
      </c>
      <c r="H42" s="120">
        <f>IF(AND(X42=0,Y42=0),E42/Z42*(E34-2*G34/1000)/2/1000,(E42*($AF$25/$Z$5)^(1/$AE$4)/Z42*(E34-2*G34/1000)/2/1000))</f>
        <v>44.148561875480667</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0.45048484863409138</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0.40004586485353177</v>
      </c>
      <c r="O42" s="120">
        <f>Control!$F$46</f>
        <v>0.03</v>
      </c>
      <c r="P42" s="120">
        <f>Control!$F$46</f>
        <v>0.03</v>
      </c>
      <c r="Q42" s="120">
        <f>M42+O42</f>
        <v>0.48048484863409135</v>
      </c>
      <c r="R42" s="120">
        <f>N42+P42</f>
        <v>0.4300458648535318</v>
      </c>
      <c r="V42" s="37">
        <f>IF(OR(D42&gt;=$Z$13,D42&lt;=$Z$12,Geometry!P12="n"),0,"X")</f>
        <v>0</v>
      </c>
      <c r="W42" s="37">
        <f>IF(OR(D42&gt;=$Z$15,D42&lt;=$Z$12,Geometry!Q12="n"),0,"X")</f>
        <v>0</v>
      </c>
      <c r="X42" s="37">
        <f>0.5*IF(OR(D42&gt;=$Z$13,D42&lt;=$Z$12),0,$AF$24*$AF$26)*IF(V42=0,0,1)</f>
        <v>0</v>
      </c>
      <c r="Y42" s="37">
        <f>0.5*IF(OR(D42&gt;=$Z$15,D42&lt;=$Z$12),0,$AF$24*$AF$27)*IF(W42=0,0,1)</f>
        <v>0</v>
      </c>
      <c r="Z42" s="120">
        <f>(PI()/64*(E34^4-(E34-2*G34/1000)^4))</f>
        <v>22.512098793822076</v>
      </c>
      <c r="AA42" s="120">
        <f>(PI()/64*((E34-2*X42/1000)^4-((E34-2*X42/1000)-2*(G34-X42-Y42)/1000)^4))</f>
        <v>22.512098793822076</v>
      </c>
      <c r="AB42" s="120">
        <f>IF(OR(Control!$F$39="EC",Control!$F$51="N"),G34,MIN(G34,14+0.66*(INDEX('Eff. thickness (DNVGL-RP-C203)'!$G$31:$G$1048576,MATCH(G34,'Eff. thickness (DNVGL-RP-C203)'!$C$31:$C$1048576,0)))))</f>
        <v>117</v>
      </c>
      <c r="AC42" s="120">
        <f>IF(OR(Control!$F$39="EC",Control!$F$51="N"),G34,MIN(G34,14+0.66*(INDEX('Eff. thickness (DNVGL-RP-C203)'!$F$31:$F$1048576,MATCH(G34,'Eff. thickness (DNVGL-RP-C203)'!$C$31:$C$1048576,0))+IF(I34&lt;0.001,0,'Eff. thickness (DNVGL-RP-C203)'!$L$30))))</f>
        <v>117</v>
      </c>
      <c r="AD42" s="120">
        <f>(25/AB42)^(IF(OR(N34="b",N34="o"),0.1,0.2))</f>
        <v>0.73443071155363437</v>
      </c>
      <c r="AE42" s="120">
        <f>(25/AC42)^(IF(OR(N34="b",N34="i"),0.1,0.2))</f>
        <v>0.73443071155363437</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262834.62813146441</v>
      </c>
      <c r="F43" s="120">
        <f>IF(Geometry_loads!G9="-","-",Geometry_loads!G9*Control!$F$55)</f>
        <v>308543.03676399979</v>
      </c>
      <c r="G43" s="120">
        <f t="shared" ref="G43:G44" si="21">IF(AND(X43=0,Y43=0),E43/Z43*E35/2/1000,(E43*($AF$25/$Z$5)^(1/$AE$4)/Z43*E35/2/1000))</f>
        <v>46.701043832233587</v>
      </c>
      <c r="H43" s="120">
        <f t="shared" ref="H43:H44" si="22">IF(AND(X43=0,Y43=0),E43/Z43*(E35-2*G35/1000)/2/1000,(E43*($AF$25/$Z$5)^(1/$AE$4)/Z43*(E35-2*G35/1000)/2/1000))</f>
        <v>45.335038300140759</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0.3466111451674338</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0.63315879737615022</v>
      </c>
      <c r="O43" s="120">
        <f>Control!$F$46</f>
        <v>0.03</v>
      </c>
      <c r="P43" s="120">
        <f>Control!$F$46</f>
        <v>0.03</v>
      </c>
      <c r="Q43" s="120">
        <f t="shared" ref="Q43:Q44" si="29">M43+O43</f>
        <v>0.37661114516743377</v>
      </c>
      <c r="R43" s="120">
        <f t="shared" ref="R43:R44" si="30">N43+P43</f>
        <v>0.66315879737615024</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22.512098793822076</v>
      </c>
      <c r="AA43" s="120">
        <f t="shared" ref="AA43:AA44" si="34">(PI()/64*((E35-2*X43/1000)^4-((E35-2*X43/1000)-2*(G35-X43-Y43)/1000)^4))</f>
        <v>22.512098793822076</v>
      </c>
      <c r="AB43" s="120">
        <f>IF(OR(Control!$F$39="EC",Control!$F$51="N"),G35,MIN(G35,14+0.66*(INDEX('Eff. thickness (DNVGL-RP-C203)'!$G$31:$G$1048576,MATCH(G35,'Eff. thickness (DNVGL-RP-C203)'!$C$31:$C$1048576,0)))))</f>
        <v>117</v>
      </c>
      <c r="AC43" s="120">
        <f>IF(OR(Control!$F$39="EC",Control!$F$51="N"),G35,MIN(G35,14+0.66*(INDEX('Eff. thickness (DNVGL-RP-C203)'!$F$31:$F$1048576,MATCH(G35,'Eff. thickness (DNVGL-RP-C203)'!$C$31:$C$1048576,0))+IF(I35&lt;0.001,0,'Eff. thickness (DNVGL-RP-C203)'!$L$30))))</f>
        <v>117</v>
      </c>
      <c r="AD43" s="120">
        <f t="shared" ref="AD43:AD44" si="35">(25/AB43)^(IF(OR(N35="b",N35="o"),0.1,0.2))</f>
        <v>0.73443071155363437</v>
      </c>
      <c r="AE43" s="120">
        <f t="shared" ref="AE43:AE44" si="36">(25/AC43)^(IF(OR(N35="b",N35="i"),0.1,0.2))</f>
        <v>0.73443071155363437</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270177.99782987044</v>
      </c>
      <c r="F44" s="120">
        <f>IF(Geometry_loads!G10="-","-",Geometry_loads!G10*Control!$F$55)</f>
        <v>317148.29834335629</v>
      </c>
      <c r="G44" s="120">
        <f t="shared" si="21"/>
        <v>45.415451890964611</v>
      </c>
      <c r="H44" s="120">
        <f t="shared" si="22"/>
        <v>44.007572882344704</v>
      </c>
      <c r="I44" s="120" t="str">
        <f t="shared" si="23"/>
        <v>-</v>
      </c>
      <c r="J44" s="120" t="str">
        <f t="shared" si="24"/>
        <v>-</v>
      </c>
      <c r="K44" s="120">
        <f t="shared" si="25"/>
        <v>90</v>
      </c>
      <c r="L44" s="120">
        <f t="shared" si="26"/>
        <v>90</v>
      </c>
      <c r="M44" s="120">
        <f t="shared" si="27"/>
        <v>0.37807619893151612</v>
      </c>
      <c r="N44" s="120">
        <f t="shared" si="28"/>
        <v>0.50253350573622124</v>
      </c>
      <c r="O44" s="120">
        <f>Control!$F$46</f>
        <v>0.03</v>
      </c>
      <c r="P44" s="120">
        <f>Control!$F$46</f>
        <v>0.03</v>
      </c>
      <c r="Q44" s="120">
        <f t="shared" si="29"/>
        <v>0.40807619893151614</v>
      </c>
      <c r="R44" s="120">
        <f t="shared" si="30"/>
        <v>0.53253350573622127</v>
      </c>
      <c r="V44" s="37">
        <f>IF(OR(D44&gt;=$Z$13,D44&lt;=$Z$12,Geometry!P14="n"),0,"X")</f>
        <v>0</v>
      </c>
      <c r="W44" s="37">
        <f>IF(OR(D44&gt;=$Z$15,D44&lt;=$Z$12,Geometry!Q14="n"),0,"X")</f>
        <v>0</v>
      </c>
      <c r="X44" s="37">
        <f t="shared" si="31"/>
        <v>0</v>
      </c>
      <c r="Y44" s="37">
        <f t="shared" si="32"/>
        <v>0</v>
      </c>
      <c r="Z44" s="120">
        <f t="shared" si="33"/>
        <v>23.796129870382046</v>
      </c>
      <c r="AA44" s="120">
        <f t="shared" si="34"/>
        <v>23.796129870382046</v>
      </c>
      <c r="AB44" s="120">
        <f>IF(OR(Control!$F$39="EC",Control!$F$51="N"),G36,MIN(G36,14+0.66*(INDEX('Eff. thickness (DNVGL-RP-C203)'!$G$31:$G$1048576,MATCH(G36,'Eff. thickness (DNVGL-RP-C203)'!$C$31:$C$1048576,0)))))</f>
        <v>124</v>
      </c>
      <c r="AC44" s="120">
        <f>IF(OR(Control!$F$39="EC",Control!$F$51="N"),G36,MIN(G36,14+0.66*(INDEX('Eff. thickness (DNVGL-RP-C203)'!$F$31:$F$1048576,MATCH(G36,'Eff. thickness (DNVGL-RP-C203)'!$C$31:$C$1048576,0))+IF(I36&lt;0.001,0,'Eff. thickness (DNVGL-RP-C203)'!$L$30))))</f>
        <v>124</v>
      </c>
      <c r="AD44" s="120">
        <f t="shared" si="35"/>
        <v>0.72594491031347996</v>
      </c>
      <c r="AE44" s="120">
        <f t="shared" si="36"/>
        <v>0.72594491031347996</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2" t="s">
        <v>19</v>
      </c>
      <c r="D47" s="317" t="s">
        <v>278</v>
      </c>
      <c r="E47" s="30" t="s">
        <v>281</v>
      </c>
      <c r="F47" s="30" t="s">
        <v>281</v>
      </c>
      <c r="G47" s="312" t="s">
        <v>24</v>
      </c>
      <c r="H47" s="312"/>
      <c r="I47" s="312" t="s">
        <v>268</v>
      </c>
      <c r="J47" s="312"/>
      <c r="K47" s="312" t="s">
        <v>27</v>
      </c>
      <c r="L47" s="312"/>
      <c r="M47" s="312" t="s">
        <v>61</v>
      </c>
      <c r="N47" s="312"/>
      <c r="O47" s="312" t="s">
        <v>62</v>
      </c>
      <c r="P47" s="312"/>
      <c r="Q47" s="312" t="s">
        <v>63</v>
      </c>
      <c r="R47" s="312"/>
      <c r="V47" s="312" t="s">
        <v>31</v>
      </c>
      <c r="W47" s="312"/>
      <c r="X47" s="313" t="s">
        <v>48</v>
      </c>
      <c r="Y47" s="314"/>
      <c r="Z47" s="30" t="s">
        <v>21</v>
      </c>
      <c r="AA47" s="5" t="s">
        <v>22</v>
      </c>
      <c r="AB47" s="310" t="str">
        <f>IF(OR(Control!$F$39="EC",Control!$F$51="N"),"t","t_eff")</f>
        <v>t</v>
      </c>
      <c r="AC47" s="311"/>
      <c r="AD47" s="312" t="s">
        <v>35</v>
      </c>
      <c r="AE47" s="312"/>
      <c r="AF47" s="312"/>
      <c r="AG47" s="312"/>
      <c r="AH47" s="310" t="s">
        <v>421</v>
      </c>
      <c r="AI47" s="311"/>
    </row>
    <row r="48" spans="2:35" ht="20.399999999999999">
      <c r="B48" s="11"/>
      <c r="C48" s="312">
        <v>0</v>
      </c>
      <c r="D48" s="318">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3" t="s">
        <v>30</v>
      </c>
      <c r="AA48" s="314"/>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3" t="s">
        <v>20</v>
      </c>
      <c r="F49" s="314"/>
      <c r="G49" s="313" t="s">
        <v>77</v>
      </c>
      <c r="H49" s="316"/>
      <c r="I49" s="316"/>
      <c r="J49" s="314"/>
      <c r="K49" s="313" t="s">
        <v>77</v>
      </c>
      <c r="L49" s="314"/>
      <c r="M49" s="320" t="s">
        <v>16</v>
      </c>
      <c r="N49" s="321"/>
      <c r="O49" s="321"/>
      <c r="P49" s="321"/>
      <c r="Q49" s="321"/>
      <c r="R49" s="322"/>
      <c r="V49" s="315" t="s">
        <v>32</v>
      </c>
      <c r="W49" s="315"/>
      <c r="X49" s="30" t="s">
        <v>10</v>
      </c>
      <c r="Y49" s="30" t="s">
        <v>10</v>
      </c>
      <c r="Z49" s="313" t="s">
        <v>23</v>
      </c>
      <c r="AA49" s="314"/>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255955.90691372327</v>
      </c>
      <c r="F50" s="120">
        <f>IF(Geometry_loads!G8="-","-",Geometry_loads!G8*Control!$F$55)</f>
        <v>300707.47276396636</v>
      </c>
      <c r="G50" s="120">
        <f>IF(AND(X50=0,Y50=0),E50/Z50*E34/2/1000,(E50*($AF$25/$Z$5)^(1/$AE$4)/Z50*E34/2/1000))</f>
        <v>45.478817280948405</v>
      </c>
      <c r="H50" s="120">
        <f>IF(AND(X50=0,Y50=0),E50/Z50*(E34-2*H34/1000)/2/1000,(E50*($AF$25/$Z$5)^(1/$AE$4)/Z50*(E34-2*H34/1000)/2/1000))</f>
        <v>44.148561875480667</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0.45048484863409138</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0.40004586485353177</v>
      </c>
      <c r="O50" s="120">
        <f>Control!$F$46</f>
        <v>0.03</v>
      </c>
      <c r="P50" s="120">
        <f>Control!$F$46</f>
        <v>0.03</v>
      </c>
      <c r="Q50" s="120">
        <f>M50+O50</f>
        <v>0.48048484863409135</v>
      </c>
      <c r="R50" s="120">
        <f>N50+P50</f>
        <v>0.4300458648535318</v>
      </c>
      <c r="V50" s="36">
        <f>V42</f>
        <v>0</v>
      </c>
      <c r="W50" s="36">
        <f>W42</f>
        <v>0</v>
      </c>
      <c r="X50" s="36">
        <f>X42</f>
        <v>0</v>
      </c>
      <c r="Y50" s="36">
        <f>Y42</f>
        <v>0</v>
      </c>
      <c r="Z50" s="120">
        <f>(PI()/64*(E34^4-(E34-2*H34/1000)^4))</f>
        <v>22.512098793822076</v>
      </c>
      <c r="AA50" s="120">
        <f>(PI()/64*((E34-2*X42/1000)^4-((E34-2*X42/1000)-2*(H34-X42-Y42)/1000)^4))</f>
        <v>22.512098793822076</v>
      </c>
      <c r="AB50" s="120">
        <f>IF(OR(Control!$F$39="EC",Control!$F$51="N"),H34,MIN(H34,14+0.66*(INDEX('Eff. thickness (DNVGL-RP-C203)'!$G$31:$G$1048576,MATCH(H34,'Eff. thickness (DNVGL-RP-C203)'!$C$31:$C$1048576,0)))))</f>
        <v>117</v>
      </c>
      <c r="AC50" s="120">
        <f>IF(OR(Control!$F$39="EC",Control!$F$51="N"),H34,MIN(H34,14+0.66*(INDEX('Eff. thickness (DNVGL-RP-C203)'!$F$31:$F$1048576,MATCH(H34,'Eff. thickness (DNVGL-RP-C203)'!$C$31:$C$1048576,0))+IF(I34&lt;0.001,0,'Eff. thickness (DNVGL-RP-C203)'!$L$30))))</f>
        <v>117</v>
      </c>
      <c r="AD50" s="120">
        <f>(25/AB50)^(IF(OR(N34="b",N34="o"),0.1,0.2))</f>
        <v>0.73443071155363437</v>
      </c>
      <c r="AE50" s="120">
        <f>(25/AC50)^(IF(OR(N34="b",N34="i"),0.1,0.2))</f>
        <v>0.73443071155363437</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262834.62813146441</v>
      </c>
      <c r="F51" s="120">
        <f>IF(Geometry_loads!G9="-","-",Geometry_loads!G9*Control!$F$55)</f>
        <v>308543.03676399979</v>
      </c>
      <c r="G51" s="120">
        <f t="shared" ref="G51:G52" si="41">IF(AND(X51=0,Y51=0),E51/Z51*E35/2/1000,(E51*($AF$25/$Z$5)^(1/$AE$4)/Z51*E35/2/1000))</f>
        <v>44.181071386503504</v>
      </c>
      <c r="H51" s="120">
        <f t="shared" ref="H51:H52" si="42">IF(AND(X51=0,Y51=0),E51/Z51*(E35-2*H35/1000)/2/1000,(E51*($AF$25/$Z$5)^(1/$AE$4)/Z51*(E35-2*H35/1000)/2/1000))</f>
        <v>42.811458173521899</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0.29085049279496111</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0.52747931997586706</v>
      </c>
      <c r="O51" s="120">
        <f>Control!$F$46</f>
        <v>0.03</v>
      </c>
      <c r="P51" s="120">
        <f>Control!$F$46</f>
        <v>0.03</v>
      </c>
      <c r="Q51" s="120">
        <f t="shared" ref="Q51:Q52" si="49">M51+O51</f>
        <v>0.32085049279496114</v>
      </c>
      <c r="R51" s="120">
        <f t="shared" ref="R51:R52" si="50">N51+P51</f>
        <v>0.55747931997586708</v>
      </c>
      <c r="V51" s="36">
        <f t="shared" ref="V51:Y51" si="51">V43</f>
        <v>0</v>
      </c>
      <c r="W51" s="36">
        <f t="shared" si="51"/>
        <v>0</v>
      </c>
      <c r="X51" s="36">
        <f t="shared" si="51"/>
        <v>0</v>
      </c>
      <c r="Y51" s="36">
        <f t="shared" si="51"/>
        <v>0</v>
      </c>
      <c r="Z51" s="120">
        <f t="shared" ref="Z51:Z52" si="52">(PI()/64*(E35^4-(E35-2*H35/1000)^4))</f>
        <v>23.796129870382046</v>
      </c>
      <c r="AA51" s="120">
        <f t="shared" ref="AA51:AA52" si="53">(PI()/64*((E35-2*X43/1000)^4-((E35-2*X43/1000)-2*(H35-X43-Y43)/1000)^4))</f>
        <v>23.796129870382046</v>
      </c>
      <c r="AB51" s="120">
        <f>IF(OR(Control!$F$39="EC",Control!$F$51="N"),H35,MIN(H35,14+0.66*(INDEX('Eff. thickness (DNVGL-RP-C203)'!$G$31:$G$1048576,MATCH(H35,'Eff. thickness (DNVGL-RP-C203)'!$C$31:$C$1048576,0)))))</f>
        <v>124</v>
      </c>
      <c r="AC51" s="120">
        <f>IF(OR(Control!$F$39="EC",Control!$F$51="N"),H35,MIN(H35,14+0.66*(INDEX('Eff. thickness (DNVGL-RP-C203)'!$F$31:$F$1048576,MATCH(H35,'Eff. thickness (DNVGL-RP-C203)'!$C$31:$C$1048576,0))+IF(I35&lt;0.001,0,'Eff. thickness (DNVGL-RP-C203)'!$L$30))))</f>
        <v>124</v>
      </c>
      <c r="AD51" s="120">
        <f t="shared" ref="AD51:AD52" si="54">(25/AB51)^(IF(OR(N35="b",N35="o"),0.1,0.2))</f>
        <v>0.72594491031347996</v>
      </c>
      <c r="AE51" s="120">
        <f t="shared" ref="AE51:AE52" si="55">(25/AC51)^(IF(OR(N35="b",N35="i"),0.1,0.2))</f>
        <v>0.72594491031347996</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270177.99782987044</v>
      </c>
      <c r="F52" s="120">
        <f>IF(Geometry_loads!G10="-","-",Geometry_loads!G10*Control!$F$55)</f>
        <v>317148.29834335629</v>
      </c>
      <c r="G52" s="120">
        <f t="shared" si="41"/>
        <v>46.858618746234676</v>
      </c>
      <c r="H52" s="120">
        <f t="shared" si="42"/>
        <v>45.45286018384764</v>
      </c>
      <c r="I52" s="120" t="str">
        <f t="shared" si="43"/>
        <v>-</v>
      </c>
      <c r="J52" s="120" t="str">
        <f t="shared" si="44"/>
        <v>-</v>
      </c>
      <c r="K52" s="120">
        <f t="shared" si="45"/>
        <v>90</v>
      </c>
      <c r="L52" s="120">
        <f t="shared" si="46"/>
        <v>90</v>
      </c>
      <c r="M52" s="120">
        <f t="shared" si="47"/>
        <v>0.41737877328312989</v>
      </c>
      <c r="N52" s="120">
        <f t="shared" si="48"/>
        <v>0.55706756443564087</v>
      </c>
      <c r="O52" s="120">
        <f>Control!$F$46</f>
        <v>0.03</v>
      </c>
      <c r="P52" s="120">
        <f>Control!$F$46</f>
        <v>0.03</v>
      </c>
      <c r="Q52" s="120">
        <f t="shared" si="49"/>
        <v>0.44737877328312992</v>
      </c>
      <c r="R52" s="120">
        <f t="shared" si="50"/>
        <v>0.5870675644356409</v>
      </c>
      <c r="V52" s="36">
        <f t="shared" ref="V52:Y52" si="58">V44</f>
        <v>0</v>
      </c>
      <c r="W52" s="36">
        <f t="shared" si="58"/>
        <v>0</v>
      </c>
      <c r="X52" s="36">
        <f t="shared" si="58"/>
        <v>0</v>
      </c>
      <c r="Y52" s="36">
        <f t="shared" si="58"/>
        <v>0</v>
      </c>
      <c r="Z52" s="120">
        <f t="shared" si="52"/>
        <v>23.063248986747443</v>
      </c>
      <c r="AA52" s="120">
        <f t="shared" si="53"/>
        <v>23.063248986747443</v>
      </c>
      <c r="AB52" s="120">
        <f>IF(OR(Control!$F$39="EC",Control!$F$51="N"),H36,MIN(H36,14+0.66*(INDEX('Eff. thickness (DNVGL-RP-C203)'!$G$31:$G$1048576,MATCH(H36,'Eff. thickness (DNVGL-RP-C203)'!$C$31:$C$1048576,0)))))</f>
        <v>120</v>
      </c>
      <c r="AC52" s="120">
        <f>IF(OR(Control!$F$39="EC",Control!$F$51="N"),H36,MIN(H36,14+0.66*(INDEX('Eff. thickness (DNVGL-RP-C203)'!$F$31:$F$1048576,MATCH(H36,'Eff. thickness (DNVGL-RP-C203)'!$C$31:$C$1048576,0))+IF(I36&lt;0.001,0,'Eff. thickness (DNVGL-RP-C203)'!$L$30))))</f>
        <v>120</v>
      </c>
      <c r="AD52" s="120">
        <f t="shared" si="54"/>
        <v>0.73072127581096269</v>
      </c>
      <c r="AE52" s="120">
        <f t="shared" si="55"/>
        <v>0.73072127581096269</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439</v>
      </c>
      <c r="M54" s="271" t="s">
        <v>60</v>
      </c>
      <c r="N54" s="267"/>
      <c r="O54" s="267"/>
      <c r="P54" s="267"/>
      <c r="Q54" s="267"/>
      <c r="R54" s="319"/>
    </row>
    <row r="55" spans="2:35" ht="20.399999999999999">
      <c r="C55" s="312" t="s">
        <v>19</v>
      </c>
      <c r="D55" s="317" t="s">
        <v>278</v>
      </c>
      <c r="E55" s="30" t="s">
        <v>281</v>
      </c>
      <c r="F55" s="30" t="s">
        <v>281</v>
      </c>
      <c r="G55" s="312" t="s">
        <v>24</v>
      </c>
      <c r="H55" s="312"/>
      <c r="I55" s="312" t="s">
        <v>268</v>
      </c>
      <c r="J55" s="312"/>
      <c r="K55" s="312" t="s">
        <v>27</v>
      </c>
      <c r="L55" s="312"/>
      <c r="M55" s="312" t="s">
        <v>61</v>
      </c>
      <c r="N55" s="312"/>
      <c r="O55" s="312" t="s">
        <v>62</v>
      </c>
      <c r="P55" s="312"/>
      <c r="Q55" s="312" t="s">
        <v>63</v>
      </c>
      <c r="R55" s="312"/>
      <c r="V55" s="312" t="s">
        <v>31</v>
      </c>
      <c r="W55" s="312"/>
      <c r="X55" s="313" t="s">
        <v>48</v>
      </c>
      <c r="Y55" s="314"/>
      <c r="Z55" s="30" t="s">
        <v>21</v>
      </c>
      <c r="AA55" s="5" t="s">
        <v>22</v>
      </c>
      <c r="AB55" s="310" t="str">
        <f>IF(OR(Control!$F$39="EC",Control!$F$51="N"),"t","t_eff")</f>
        <v>t</v>
      </c>
      <c r="AC55" s="311"/>
      <c r="AD55" s="312" t="s">
        <v>35</v>
      </c>
      <c r="AE55" s="312"/>
      <c r="AF55" s="312"/>
      <c r="AG55" s="312"/>
      <c r="AH55" s="310" t="s">
        <v>421</v>
      </c>
      <c r="AI55" s="311"/>
    </row>
    <row r="56" spans="2:35" ht="20.399999999999999">
      <c r="C56" s="312">
        <v>0</v>
      </c>
      <c r="D56" s="318">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3" t="s">
        <v>30</v>
      </c>
      <c r="AA56" s="314"/>
      <c r="AB56" s="30" t="s">
        <v>45</v>
      </c>
      <c r="AC56" s="30" t="s">
        <v>34</v>
      </c>
      <c r="AD56" s="30" t="s">
        <v>45</v>
      </c>
      <c r="AE56" s="30" t="s">
        <v>34</v>
      </c>
      <c r="AF56" s="30" t="s">
        <v>46</v>
      </c>
      <c r="AG56" s="30" t="s">
        <v>47</v>
      </c>
      <c r="AH56" s="30" t="s">
        <v>45</v>
      </c>
      <c r="AI56" s="30" t="s">
        <v>34</v>
      </c>
    </row>
    <row r="57" spans="2:35">
      <c r="C57" s="30" t="s">
        <v>16</v>
      </c>
      <c r="D57" s="30" t="str">
        <f>"[m"&amp;Control!$F$7&amp;"]"</f>
        <v>[mLAT]</v>
      </c>
      <c r="E57" s="313" t="s">
        <v>20</v>
      </c>
      <c r="F57" s="314"/>
      <c r="G57" s="313" t="s">
        <v>77</v>
      </c>
      <c r="H57" s="316"/>
      <c r="I57" s="316"/>
      <c r="J57" s="314"/>
      <c r="K57" s="313" t="s">
        <v>77</v>
      </c>
      <c r="L57" s="314"/>
      <c r="M57" s="320" t="s">
        <v>16</v>
      </c>
      <c r="N57" s="321"/>
      <c r="O57" s="321"/>
      <c r="P57" s="321"/>
      <c r="Q57" s="321"/>
      <c r="R57" s="322"/>
      <c r="V57" s="315" t="s">
        <v>32</v>
      </c>
      <c r="W57" s="315"/>
      <c r="X57" s="30" t="s">
        <v>10</v>
      </c>
      <c r="Y57" s="30" t="s">
        <v>10</v>
      </c>
      <c r="Z57" s="313" t="s">
        <v>23</v>
      </c>
      <c r="AA57" s="314"/>
      <c r="AB57" s="87" t="s">
        <v>10</v>
      </c>
      <c r="AC57" s="87" t="s">
        <v>10</v>
      </c>
      <c r="AD57" s="1" t="s">
        <v>16</v>
      </c>
      <c r="AE57" s="1" t="s">
        <v>16</v>
      </c>
      <c r="AF57" s="1" t="s">
        <v>16</v>
      </c>
      <c r="AG57" s="1" t="s">
        <v>16</v>
      </c>
      <c r="AH57" s="1" t="s">
        <v>16</v>
      </c>
      <c r="AI57" s="1" t="s">
        <v>16</v>
      </c>
    </row>
    <row r="58" spans="2:35">
      <c r="C58" s="12" t="s">
        <v>429</v>
      </c>
      <c r="D58" s="2">
        <f>D34</f>
        <v>17.5</v>
      </c>
      <c r="E58" s="120">
        <f>IF(Geometry_loads!H8="-","-",Geometry_loads!H8*Control!$F$54)</f>
        <v>255955.90691372327</v>
      </c>
      <c r="F58" s="120">
        <f>IF(Geometry_loads!G8="-","-",Geometry_loads!G8*Control!$F$55)</f>
        <v>300707.47276396636</v>
      </c>
      <c r="G58" s="120">
        <f>IF(AND(X58=0,Y58=0),E58/Z58*E34/2/1000,(E58*($AF$25/$Z$5)^(1/$AE$4)/Z58*E34/2/1000))</f>
        <v>45.478817280948405</v>
      </c>
      <c r="H58" s="120">
        <f>IF(AND(X58=0,Y58=0),E58/Z58*(E34-2*G34/1000)/2/1000,(E58*($AF$25/$Z$5)^(1/$AE$4)/Z58*(E34-2*G34/1000)/2/1000))</f>
        <v>44.148561875480667</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0.12305604428389091</v>
      </c>
      <c r="N58" s="120">
        <f>IF(AND(W58=0,V58&lt;&gt;0),IF(D58&gt;$Z$9,$AD$14,$AD$15)*((((IF(D58&gt;$Z$9,$AD$12,$AD$13)/AE58*H58)/(AI58*L58))^$AE$4)+(((IF(D58&gt;$Z$9,$AD$12,$AD$13)/AE58*J58)/((AI58*L58)))^$AE$4)),IF(D58&gt;$Z$9,$AD$14,$AD$15)*((((IF(D58&gt;$Z$9,$AD$12,$AD$13)/AE58*H58)/(AI58*L58))^$AE$4)+(((IF(D58&gt;$Z$9,$AD$12,$AD$13)/AG58*IF(W58=0,0,J58))/(0.7*L58))^3)))</f>
        <v>0.10927795198943392</v>
      </c>
      <c r="O58" s="120">
        <f>Control!$F$46</f>
        <v>0.03</v>
      </c>
      <c r="P58" s="120">
        <f>Control!$F$46</f>
        <v>0.03</v>
      </c>
      <c r="Q58" s="120">
        <f>M58+O58</f>
        <v>0.15305604428389091</v>
      </c>
      <c r="R58" s="120">
        <f>N58+P58</f>
        <v>0.13927795198943393</v>
      </c>
      <c r="V58" s="36">
        <f>V42</f>
        <v>0</v>
      </c>
      <c r="W58" s="36">
        <f>W42</f>
        <v>0</v>
      </c>
      <c r="X58" s="36">
        <f>X42</f>
        <v>0</v>
      </c>
      <c r="Y58" s="36">
        <f>Y42</f>
        <v>0</v>
      </c>
      <c r="Z58" s="120">
        <f>(PI()/64*(E34^4-(E34-2*G34/1000)^4))</f>
        <v>22.512098793822076</v>
      </c>
      <c r="AA58" s="120">
        <f>(PI()/64*((E34-2*X58/1000)^4-((E34-2*X58/1000)-2*(G34-X58-Y58)/1000)^4))</f>
        <v>22.512098793822076</v>
      </c>
      <c r="AB58" s="120">
        <f>IF(OR(Control!$F$39="EC",Control!$F$51="N"),G34,MIN(G34,14+0.66*(INDEX('Eff. thickness (DNVGL-RP-C203)'!$G$31:$G$1048576,MATCH(G34,'Eff. thickness (DNVGL-RP-C203)'!$C$31:$C$1048576,0)))))</f>
        <v>117</v>
      </c>
      <c r="AC58" s="120">
        <f>IF(OR(Control!$F$39="EC",Control!$F$51="N"),G34,MIN(G34,14+0.66*(INDEX('Eff. thickness (DNVGL-RP-C203)'!$F$31:$F$1048576,MATCH(G34,'Eff. thickness (DNVGL-RP-C203)'!$C$31:$C$1048576,0)))))</f>
        <v>117</v>
      </c>
      <c r="AD58" s="120">
        <f>(25/AB58)^0.1</f>
        <v>0.8569893298948561</v>
      </c>
      <c r="AE58" s="120">
        <f>(25/AC58)^0.1</f>
        <v>0.8569893298948561</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430</v>
      </c>
      <c r="D59" s="2">
        <f t="shared" ref="D59:D60" si="60">D35</f>
        <v>13.5</v>
      </c>
      <c r="E59" s="120">
        <f>IF(Geometry_loads!H9="-","-",Geometry_loads!H9*Control!$F$54)</f>
        <v>262834.62813146441</v>
      </c>
      <c r="F59" s="120">
        <f>IF(Geometry_loads!G9="-","-",Geometry_loads!G9*Control!$F$55)</f>
        <v>308543.03676399979</v>
      </c>
      <c r="G59" s="120">
        <f t="shared" ref="G59:G60" si="61">IF(AND(X59=0,Y59=0),E59/Z59*E35/2/1000,(E59*($AF$25/$Z$5)^(1/$AE$4)/Z59*E35/2/1000))</f>
        <v>46.701043832233587</v>
      </c>
      <c r="H59" s="120">
        <f t="shared" ref="H59:H60" si="62">IF(AND(X59=0,Y59=0),E59/Z59*(E35-2*G35/1000)/2/1000,(E59*($AF$25/$Z$5)^(1/$AE$4)/Z59*(E35-2*G35/1000)/2/1000))</f>
        <v>45.335038300140759</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0.13682726736946041</v>
      </c>
      <c r="N59" s="120">
        <f t="shared" ref="N59:N60" si="66">IF(AND(W59=0,V59&lt;&gt;0),IF(D59&gt;$Z$9,$AD$14,$AD$15)*((((IF(D59&gt;$Z$9,$AD$12,$AD$13)/AE59*H59)/(AI59*L59))^$AE$4)+(((IF(D59&gt;$Z$9,$AD$12,$AD$13)/AE59*J59)/((AI59*L59)))^$AE$4)),IF(D59&gt;$Z$9,$AD$14,$AD$15)*((((IF(D59&gt;$Z$9,$AD$12,$AD$13)/AE59*H59)/(AI59*L59))^$AE$4)+(((IF(D59&gt;$Z$9,$AD$12,$AD$13)/AG59*IF(W59=0,0,J59))/(0.7*L59))^3)))</f>
        <v>0.12150726639603752</v>
      </c>
      <c r="O59" s="120">
        <f>Control!$F$46</f>
        <v>0.03</v>
      </c>
      <c r="P59" s="120">
        <f>Control!$F$46</f>
        <v>0.03</v>
      </c>
      <c r="Q59" s="120">
        <f t="shared" ref="Q59:Q60" si="67">M59+O59</f>
        <v>0.16682726736946041</v>
      </c>
      <c r="R59" s="120">
        <f t="shared" ref="R59:R60" si="68">N59+P59</f>
        <v>0.15150726639603751</v>
      </c>
      <c r="V59" s="36">
        <f t="shared" ref="V59:Y59" si="69">V43</f>
        <v>0</v>
      </c>
      <c r="W59" s="36">
        <f t="shared" si="69"/>
        <v>0</v>
      </c>
      <c r="X59" s="36">
        <f t="shared" si="69"/>
        <v>0</v>
      </c>
      <c r="Y59" s="36">
        <f t="shared" si="69"/>
        <v>0</v>
      </c>
      <c r="Z59" s="120">
        <f t="shared" ref="Z59:Z60" si="70">(PI()/64*(E35^4-(E35-2*G35/1000)^4))</f>
        <v>22.512098793822076</v>
      </c>
      <c r="AA59" s="120">
        <f t="shared" ref="AA59:AA60" si="71">(PI()/64*((E35-2*X59/1000)^4-((E35-2*X59/1000)-2*(G35-X59-Y59)/1000)^4))</f>
        <v>22.512098793822076</v>
      </c>
      <c r="AB59" s="120">
        <f>IF(OR(Control!$F$39="EC",Control!$F$51="N"),G35,MIN(G35,14+0.66*(INDEX('Eff. thickness (DNVGL-RP-C203)'!$G$31:$G$1048576,MATCH(G35,'Eff. thickness (DNVGL-RP-C203)'!$C$31:$C$1048576,0)))))</f>
        <v>117</v>
      </c>
      <c r="AC59" s="120">
        <f>IF(OR(Control!$F$39="EC",Control!$F$51="N"),G35,MIN(G35,14+0.66*(INDEX('Eff. thickness (DNVGL-RP-C203)'!$F$31:$F$1048576,MATCH(G35,'Eff. thickness (DNVGL-RP-C203)'!$C$31:$C$1048576,0)))))</f>
        <v>117</v>
      </c>
      <c r="AD59" s="120">
        <f t="shared" ref="AD59:AD60" si="72">(25/AB59)^0.1</f>
        <v>0.8569893298948561</v>
      </c>
      <c r="AE59" s="120">
        <f t="shared" ref="AE59:AE60" si="73">(25/AC59)^0.1</f>
        <v>0.8569893298948561</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431</v>
      </c>
      <c r="D60" s="2">
        <f t="shared" si="60"/>
        <v>9.5</v>
      </c>
      <c r="E60" s="120">
        <f>IF(Geometry_loads!H10="-","-",Geometry_loads!H10*Control!$F$54)</f>
        <v>270177.99782987044</v>
      </c>
      <c r="F60" s="120">
        <f>IF(Geometry_loads!G10="-","-",Geometry_loads!G10*Control!$F$55)</f>
        <v>317148.29834335629</v>
      </c>
      <c r="G60" s="120">
        <f t="shared" si="61"/>
        <v>45.415451890964611</v>
      </c>
      <c r="H60" s="120">
        <f t="shared" si="62"/>
        <v>44.007572882344704</v>
      </c>
      <c r="I60" s="120" t="str">
        <f t="shared" si="63"/>
        <v>-</v>
      </c>
      <c r="J60" s="120" t="str">
        <f t="shared" si="64"/>
        <v>-</v>
      </c>
      <c r="K60" s="120">
        <f t="shared" si="59"/>
        <v>112</v>
      </c>
      <c r="L60" s="120">
        <f t="shared" si="59"/>
        <v>112</v>
      </c>
      <c r="M60" s="120">
        <f t="shared" si="65"/>
        <v>0.12524926654301169</v>
      </c>
      <c r="N60" s="120">
        <f t="shared" si="66"/>
        <v>0.11042573522929471</v>
      </c>
      <c r="O60" s="120">
        <f>Control!$F$46</f>
        <v>0.03</v>
      </c>
      <c r="P60" s="120">
        <f>Control!$F$46</f>
        <v>0.03</v>
      </c>
      <c r="Q60" s="120">
        <f t="shared" si="67"/>
        <v>0.15524926654301169</v>
      </c>
      <c r="R60" s="120">
        <f t="shared" si="68"/>
        <v>0.14042573522929469</v>
      </c>
      <c r="V60" s="36">
        <f t="shared" ref="V60:Y60" si="76">V44</f>
        <v>0</v>
      </c>
      <c r="W60" s="36">
        <f t="shared" si="76"/>
        <v>0</v>
      </c>
      <c r="X60" s="36">
        <f t="shared" si="76"/>
        <v>0</v>
      </c>
      <c r="Y60" s="36">
        <f t="shared" si="76"/>
        <v>0</v>
      </c>
      <c r="Z60" s="120">
        <f t="shared" si="70"/>
        <v>23.796129870382046</v>
      </c>
      <c r="AA60" s="120">
        <f t="shared" si="71"/>
        <v>23.796129870382046</v>
      </c>
      <c r="AB60" s="120">
        <f>IF(OR(Control!$F$39="EC",Control!$F$51="N"),G36,MIN(G36,14+0.66*(INDEX('Eff. thickness (DNVGL-RP-C203)'!$G$31:$G$1048576,MATCH(G36,'Eff. thickness (DNVGL-RP-C203)'!$C$31:$C$1048576,0)))))</f>
        <v>124</v>
      </c>
      <c r="AC60" s="120">
        <f>IF(OR(Control!$F$39="EC",Control!$F$51="N"),G36,MIN(G36,14+0.66*(INDEX('Eff. thickness (DNVGL-RP-C203)'!$F$31:$F$1048576,MATCH(G36,'Eff. thickness (DNVGL-RP-C203)'!$C$31:$C$1048576,0)))))</f>
        <v>124</v>
      </c>
      <c r="AD60" s="120">
        <f t="shared" si="72"/>
        <v>0.85202400806167422</v>
      </c>
      <c r="AE60" s="120">
        <f t="shared" si="73"/>
        <v>0.85202400806167422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205</v>
      </c>
    </row>
    <row r="64" spans="2:35">
      <c r="C64" s="317" t="s">
        <v>54</v>
      </c>
      <c r="D64" s="317" t="s">
        <v>278</v>
      </c>
      <c r="E64" s="317" t="s">
        <v>17</v>
      </c>
      <c r="F64" s="317" t="s">
        <v>55</v>
      </c>
      <c r="G64" s="317" t="s">
        <v>190</v>
      </c>
      <c r="H64" s="317" t="s">
        <v>191</v>
      </c>
      <c r="I64" s="317" t="s">
        <v>297</v>
      </c>
    </row>
    <row r="65" spans="3:33">
      <c r="C65" s="318">
        <v>0</v>
      </c>
      <c r="D65" s="318">
        <v>0</v>
      </c>
      <c r="E65" s="318"/>
      <c r="F65" s="318"/>
      <c r="G65" s="318"/>
      <c r="H65" s="318"/>
      <c r="I65" s="318"/>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8</v>
      </c>
      <c r="F67" s="3">
        <f>Geometry!AM11</f>
        <v>117</v>
      </c>
      <c r="G67" s="3">
        <f>Geometry!AG11</f>
        <v>1.2</v>
      </c>
      <c r="H67" s="3" t="str">
        <f>Geometry!AH11</f>
        <v>O</v>
      </c>
      <c r="I67" s="9" t="str">
        <f>Geometry!AI11</f>
        <v>g</v>
      </c>
    </row>
    <row r="68" spans="3:33">
      <c r="C68" s="13" t="str">
        <f>Geometry!AD12</f>
        <v>TP1-02</v>
      </c>
      <c r="D68" s="2">
        <f>Geometry!AF12</f>
        <v>19.5</v>
      </c>
      <c r="E68" s="3">
        <f>Geometry!AL12</f>
        <v>8</v>
      </c>
      <c r="F68" s="3">
        <f>Geometry!AM12</f>
        <v>117</v>
      </c>
      <c r="G68" s="3">
        <f>Geometry!AG12</f>
        <v>2</v>
      </c>
      <c r="H68" s="3" t="str">
        <f>Geometry!AH12</f>
        <v>O</v>
      </c>
      <c r="I68" s="9" t="str">
        <f>Geometry!AI12</f>
        <v>o</v>
      </c>
    </row>
    <row r="69" spans="3:33">
      <c r="C69" s="13" t="str">
        <f>Geometry!AD13</f>
        <v>TP1-03</v>
      </c>
      <c r="D69" s="2">
        <f>Geometry!AF13</f>
        <v>20</v>
      </c>
      <c r="E69" s="3">
        <f>Geometry!AL13</f>
        <v>8</v>
      </c>
      <c r="F69" s="3">
        <f>Geometry!AM13</f>
        <v>117</v>
      </c>
      <c r="G69" s="3">
        <f>Geometry!AG13</f>
        <v>1.25</v>
      </c>
      <c r="H69" s="3" t="str">
        <f>Geometry!AH13</f>
        <v>I</v>
      </c>
      <c r="I69" s="9" t="str">
        <f>Geometry!AI13</f>
        <v>g</v>
      </c>
    </row>
    <row r="70" spans="3:33">
      <c r="C70" s="13" t="str">
        <f>Geometry!AD14</f>
        <v>TP2-01</v>
      </c>
      <c r="D70" s="2">
        <f>Geometry!AF14</f>
        <v>15.73</v>
      </c>
      <c r="E70" s="3">
        <f>Geometry!AL14</f>
        <v>8</v>
      </c>
      <c r="F70" s="3">
        <f>Geometry!AM14</f>
        <v>117</v>
      </c>
      <c r="G70" s="3">
        <f>Geometry!AG14</f>
        <v>1.25</v>
      </c>
      <c r="H70" s="3" t="str">
        <f>Geometry!AH14</f>
        <v>I</v>
      </c>
      <c r="I70" s="9" t="str">
        <f>Geometry!AI14</f>
        <v>g</v>
      </c>
    </row>
    <row r="71" spans="3:33">
      <c r="C71" s="13" t="str">
        <f>Geometry!AD15</f>
        <v>TP3-01</v>
      </c>
      <c r="D71" s="2">
        <f>Geometry!AF15</f>
        <v>12.5</v>
      </c>
      <c r="E71" s="3">
        <f>Geometry!AL15</f>
        <v>8</v>
      </c>
      <c r="F71" s="3">
        <f>Geometry!AM15</f>
        <v>124</v>
      </c>
      <c r="G71" s="3">
        <f>Geometry!AG15</f>
        <v>2</v>
      </c>
      <c r="H71" s="3" t="str">
        <f>Geometry!AH15</f>
        <v>O</v>
      </c>
      <c r="I71" s="9" t="str">
        <f>Geometry!AI15</f>
        <v>o</v>
      </c>
    </row>
    <row r="72" spans="3:33">
      <c r="C72" s="13" t="str">
        <f>Geometry!AD16</f>
        <v>TP3-01</v>
      </c>
      <c r="D72" s="2">
        <f>Geometry!AF16</f>
        <v>12.5</v>
      </c>
      <c r="E72" s="3">
        <f>Geometry!AL16</f>
        <v>8</v>
      </c>
      <c r="F72" s="3">
        <f>Geometry!AM16</f>
        <v>124</v>
      </c>
      <c r="G72" s="3">
        <f>Geometry!AG16</f>
        <v>2</v>
      </c>
      <c r="H72" s="3" t="str">
        <f>Geometry!AH16</f>
        <v>O</v>
      </c>
      <c r="I72" s="9" t="str">
        <f>Geometry!AI16</f>
        <v>o</v>
      </c>
    </row>
    <row r="73" spans="3:33">
      <c r="C73" s="13" t="str">
        <f>Geometry!AD17</f>
        <v>TP3-02</v>
      </c>
      <c r="D73" s="2">
        <f>Geometry!AF17</f>
        <v>12</v>
      </c>
      <c r="E73" s="3">
        <f>Geometry!AL17</f>
        <v>8</v>
      </c>
      <c r="F73" s="3">
        <f>Geometry!AM17</f>
        <v>124</v>
      </c>
      <c r="G73" s="3">
        <f>Geometry!AG17</f>
        <v>1.02</v>
      </c>
      <c r="H73" s="3" t="str">
        <f>Geometry!AH17</f>
        <v>O</v>
      </c>
      <c r="I73" s="9" t="str">
        <f>Geometry!AI17</f>
        <v>n</v>
      </c>
    </row>
    <row r="74" spans="3:33">
      <c r="C74" s="13" t="str">
        <f>Geometry!AD18</f>
        <v>TP4-01</v>
      </c>
      <c r="D74" s="2">
        <f>Geometry!AF18</f>
        <v>8.5</v>
      </c>
      <c r="E74" s="3">
        <f>Geometry!AL18</f>
        <v>8</v>
      </c>
      <c r="F74" s="3">
        <f>Geometry!AM18</f>
        <v>120</v>
      </c>
      <c r="G74" s="3">
        <f>Geometry!AG18</f>
        <v>1</v>
      </c>
      <c r="H74" s="3" t="str">
        <f>Geometry!AH18</f>
        <v>O</v>
      </c>
      <c r="I74" s="9" t="str">
        <f>Geometry!AI18</f>
        <v>g</v>
      </c>
    </row>
    <row r="76" spans="3:33">
      <c r="C76" s="35" t="s">
        <v>206</v>
      </c>
      <c r="M76" s="325" t="s">
        <v>60</v>
      </c>
      <c r="N76" s="326"/>
      <c r="O76" s="326"/>
      <c r="P76" s="326"/>
      <c r="Q76" s="326"/>
      <c r="R76" s="327"/>
    </row>
    <row r="77" spans="3:33" ht="21.75" customHeight="1">
      <c r="C77" s="312" t="s">
        <v>54</v>
      </c>
      <c r="D77" s="317" t="s">
        <v>278</v>
      </c>
      <c r="E77" s="30" t="s">
        <v>281</v>
      </c>
      <c r="F77" s="30" t="s">
        <v>281</v>
      </c>
      <c r="G77" s="312" t="s">
        <v>24</v>
      </c>
      <c r="H77" s="312"/>
      <c r="I77" s="312" t="s">
        <v>268</v>
      </c>
      <c r="J77" s="312"/>
      <c r="K77" s="312" t="s">
        <v>27</v>
      </c>
      <c r="L77" s="312"/>
      <c r="M77" s="312" t="s">
        <v>61</v>
      </c>
      <c r="N77" s="312"/>
      <c r="O77" s="312" t="s">
        <v>62</v>
      </c>
      <c r="P77" s="312"/>
      <c r="Q77" s="312" t="s">
        <v>63</v>
      </c>
      <c r="R77" s="312"/>
      <c r="V77" s="312" t="s">
        <v>31</v>
      </c>
      <c r="W77" s="312"/>
      <c r="X77" s="313" t="s">
        <v>48</v>
      </c>
      <c r="Y77" s="314"/>
      <c r="Z77" s="30" t="s">
        <v>21</v>
      </c>
      <c r="AA77" s="5" t="s">
        <v>22</v>
      </c>
      <c r="AB77" s="313" t="s">
        <v>35</v>
      </c>
      <c r="AC77" s="316"/>
      <c r="AD77" s="316"/>
      <c r="AE77" s="314"/>
      <c r="AF77" s="310" t="s">
        <v>421</v>
      </c>
      <c r="AG77" s="311"/>
    </row>
    <row r="78" spans="3:33" ht="20.399999999999999">
      <c r="C78" s="312">
        <v>0</v>
      </c>
      <c r="D78" s="318">
        <v>0</v>
      </c>
      <c r="E78" s="30" t="str">
        <f>IF(Control!$F$39="EC","m=4, N=2E6","m=5, N=1E7")</f>
        <v>m=4, N=2E6</v>
      </c>
      <c r="F78" s="30" t="str">
        <f>IF(Control!$F$39="EC","m=3, N=2E6","m=3, N=1E7")</f>
        <v>m=3, N=2E6</v>
      </c>
      <c r="G78" s="30" t="s">
        <v>25</v>
      </c>
      <c r="H78" s="30" t="s">
        <v>26</v>
      </c>
      <c r="I78" s="5" t="s">
        <v>25</v>
      </c>
      <c r="J78" s="5" t="s">
        <v>26</v>
      </c>
      <c r="K78" s="30" t="s">
        <v>25</v>
      </c>
      <c r="L78" s="30" t="s">
        <v>26</v>
      </c>
      <c r="M78" s="30" t="s">
        <v>25</v>
      </c>
      <c r="N78" s="30" t="s">
        <v>64</v>
      </c>
      <c r="O78" s="30" t="s">
        <v>25</v>
      </c>
      <c r="P78" s="30" t="s">
        <v>64</v>
      </c>
      <c r="Q78" s="30" t="s">
        <v>25</v>
      </c>
      <c r="R78" s="30" t="s">
        <v>64</v>
      </c>
      <c r="V78" s="30" t="s">
        <v>33</v>
      </c>
      <c r="W78" s="30" t="s">
        <v>34</v>
      </c>
      <c r="X78" s="30" t="s">
        <v>33</v>
      </c>
      <c r="Y78" s="30" t="s">
        <v>34</v>
      </c>
      <c r="Z78" s="313" t="s">
        <v>30</v>
      </c>
      <c r="AA78" s="314"/>
      <c r="AB78" s="30" t="s">
        <v>45</v>
      </c>
      <c r="AC78" s="30" t="s">
        <v>34</v>
      </c>
      <c r="AD78" s="30" t="s">
        <v>46</v>
      </c>
      <c r="AE78" s="30" t="s">
        <v>47</v>
      </c>
      <c r="AF78" s="30" t="s">
        <v>45</v>
      </c>
      <c r="AG78" s="30" t="s">
        <v>34</v>
      </c>
    </row>
    <row r="79" spans="3:33">
      <c r="C79" s="30" t="s">
        <v>16</v>
      </c>
      <c r="D79" s="30" t="str">
        <f>"[m"&amp;Control!$F$7&amp;"]"</f>
        <v>[mLAT]</v>
      </c>
      <c r="E79" s="313" t="s">
        <v>20</v>
      </c>
      <c r="F79" s="314"/>
      <c r="G79" s="313" t="s">
        <v>77</v>
      </c>
      <c r="H79" s="316"/>
      <c r="I79" s="316"/>
      <c r="J79" s="314"/>
      <c r="K79" s="313" t="s">
        <v>77</v>
      </c>
      <c r="L79" s="314"/>
      <c r="M79" s="320" t="s">
        <v>16</v>
      </c>
      <c r="N79" s="321"/>
      <c r="O79" s="321"/>
      <c r="P79" s="321"/>
      <c r="Q79" s="321"/>
      <c r="R79" s="322"/>
      <c r="V79" s="315" t="s">
        <v>32</v>
      </c>
      <c r="W79" s="315"/>
      <c r="X79" s="30" t="s">
        <v>10</v>
      </c>
      <c r="Y79" s="30" t="s">
        <v>10</v>
      </c>
      <c r="Z79" s="313" t="s">
        <v>23</v>
      </c>
      <c r="AA79" s="314"/>
      <c r="AB79" s="1" t="s">
        <v>16</v>
      </c>
      <c r="AC79" s="1" t="s">
        <v>16</v>
      </c>
      <c r="AD79" s="1" t="s">
        <v>16</v>
      </c>
      <c r="AE79" s="1" t="s">
        <v>16</v>
      </c>
      <c r="AF79" s="1" t="s">
        <v>16</v>
      </c>
      <c r="AG79" s="1" t="s">
        <v>16</v>
      </c>
    </row>
    <row r="80" spans="3:33">
      <c r="C80" s="12" t="str">
        <f>C67</f>
        <v>TP1-01</v>
      </c>
      <c r="D80" s="13">
        <f>D67</f>
        <v>20</v>
      </c>
      <c r="E80" s="120">
        <f>IF(Geometry_loads!H50="-","-",Geometry_loads!H50*Control!$F$54)</f>
        <v>251801.95275479331</v>
      </c>
      <c r="F80" s="120">
        <f>IF(Geometry_loads!G50="-","-",Geometry_loads!G50*Control!$F$55)</f>
        <v>296111.0360936246</v>
      </c>
      <c r="G80" s="120">
        <f>IF(AND(X80=0,Y80=0),E80/Z80*E67/2/1000,(E80*($AF$25/$Z$5)^(1/$AE$4)/Z80*E67/2/1000))</f>
        <v>44.740733427110676</v>
      </c>
      <c r="H80" s="120">
        <f>IF(AND(X80=0,Y80=0),E80/Z80*(E67-2*F67/1000)/2/1000,(E80*($AF$25/$Z$5)^(1/$AE$4)/Z80*(E67-2*F67/1000)/2/1000))</f>
        <v>43.432066974367686</v>
      </c>
      <c r="I80" s="120" t="str">
        <f>IF(AND(X80=0,Y80=0),"-",IF(V80=0,(E80*($AF$24/$Z$5)^(1/$AE$4)/AA80*(E67-2*X80/1000)/2/1000),(F80*($AF$24/$Z$5)^(1/3)/AA80*(E67-2*X80/1000)/2/1000)))</f>
        <v>-</v>
      </c>
      <c r="J80" s="120" t="str">
        <f>IF(AND(X80=0,Y80=0),"-",IF(W80=0,(E80*($AF$24/$Z$5)^(1/$AE$4))/AA80*(E67-2*(F67-Y80)/1000)/2/1000,(F80*($AF$24/$Z$5)^(1/3))/AA80*(E67-2*(F67-Y80)/1000)/2/1000))</f>
        <v>-</v>
      </c>
      <c r="K80" s="120">
        <f>IF(H67="O",IF(I67="n",$AG$7,IF(I67="g",$AD$6,IF(I67="o",$AG$6,"Falsch"))),"")</f>
        <v>112</v>
      </c>
      <c r="L80" s="120" t="str">
        <f>IF(H67="I",IF(I67="n",$AG$7,IF(I67="g",$AD$6,IF(I67="o",$AG$6,"Falsch"))),"")</f>
        <v/>
      </c>
      <c r="M80" s="120">
        <f>IF(K80="","",IF(AND(V80=0,W80&lt;&gt;0),IF(D80&gt;$Z$9,$AD$14,$AD$15)*((((IF(D80&gt;$Z$9,$AD$12,$AD$13)/AB80*G67*G80*IF(I67="g",$AE$20,1))/(AF80*K80))^$AE$4)+(((IF(D80&gt;$Z$9,$AD$12,$AD$13)/AB80*G67*I80*IF(I67="g",$AE$20,1))/(AF80*K80))^$AE$4)),IF(K80="","",IF(D80&gt;$Z$9,$AD$14,$AD$15)*((((IF(D80&gt;$Z$9,$AD$12,$AD$13)/AB80*G67*G80*IF(I67="g",$AE$20,1))/(AF80*K80))^$AE$4)+(((IF(D80&gt;$Z$9,$AD$12,$AD$13)/AD80*G67*IF(V80=0,0,I80)*IF(I67="g",$AE$20,1))/(0.7*IF(K80=65.5,58.48,K80)))^3)))))</f>
        <v>0.44310028006884317</v>
      </c>
      <c r="N80" s="120" t="str">
        <f>IF(L80="","",IF(AND(W80=0,V80&lt;&gt;0),IF(D80&gt;$Z$9,$AD$14,$AD$15)*((((IF(D80&gt;$Z$9,$AD$12,$AD$13)/AC80*G67*H80*IF(I67="g",$AE$20,1))/(AG80*L80))^$AE$4)+(((IF(D80&gt;$Z$9,$AD$12,$AD$13)/AC80*G67*J80*IF(I67="g",$AE$20,1))/(AG80*L80))^$AE$4)),IF(L80="","",IF(D80&gt;$Z$9,$AD$14,$AD$15)*((((IF(D80&gt;$Z$9,$AD$12,$AD$13)/AC80*G67*H80*IF(I67="g",$AE$20,1))/(AG80*L80))^$AE$4)+(((IF(D80&gt;$Z$9,$AD$12,$AD$13)/AE80*G67*IF(W80=0,0,J80)*IF(I67="g",$AE$20,1))/(0.7*IF(L80=65.5,58.48,L80)))^3)))))</f>
        <v/>
      </c>
      <c r="O80" s="120">
        <f>IF(K80="","",Control!$F$46)</f>
        <v>0.03</v>
      </c>
      <c r="P80" s="120" t="str">
        <f>IF(L80="","",Control!$F$46)</f>
        <v/>
      </c>
      <c r="Q80" s="120">
        <f t="shared" ref="Q80:R80" si="77">IF(K80="","",M80+O80)</f>
        <v>0.47310028006884319</v>
      </c>
      <c r="R80" s="120" t="str">
        <f t="shared" si="77"/>
        <v/>
      </c>
      <c r="V80" s="121">
        <f>IF(OR(D80&gt;=$Z$13,D42&lt;=$Z$12,Geometry!AP11="n"),0,"X")</f>
        <v>0</v>
      </c>
      <c r="W80" s="121">
        <f>IF(OR(D80&gt;=$Z$15,D42&lt;=$Z$12,Geometry!AQ11="n"),0,"X")</f>
        <v>0</v>
      </c>
      <c r="X80" s="37">
        <f>0.5*IF(OR(D80&gt;=$Z$13,D80&lt;=$Z$12),0,$AF$24*$AF$26)*IF(V80=0,0,1)</f>
        <v>0</v>
      </c>
      <c r="Y80" s="37">
        <f>0.5*IF(OR(D80&gt;=$Z$15,D80&lt;=$Z$12),0,$AF$24*$AF$27)*IF(W80=0,0,1)</f>
        <v>0</v>
      </c>
      <c r="Z80" s="120">
        <f>(PI()/64*(E67^4-(E67-2*F67/1000)^4))</f>
        <v>22.512098793822076</v>
      </c>
      <c r="AA80" s="120">
        <f>(PI()/64*((E67-2*X80/1000)^4-((E67-2*X80/1000)-2*(F67-X80-Y80)/1000)^4))</f>
        <v>22.512098793822076</v>
      </c>
      <c r="AB80" s="120">
        <f>(25/F67)^(IF(I67="n",$AG$12,IF(I67="g",$AG$13,IF(I67="o",$AG$15,"Falsch"))))</f>
        <v>0.73443071155363437</v>
      </c>
      <c r="AC80" s="120">
        <f>(25/F67)^(IF(I67="n",$AG$12,IF(I67="g",$AG$13,IF(I67="o",$AG$15,"Falsch"))))</f>
        <v>0.73443071155363437</v>
      </c>
      <c r="AD80" s="120">
        <f>IF(V80=0,1,(25/F67)^(IF(I67="n",$AG$12,IF(I67="g",$AG$14,IF(I67="o",$AG$15,"Falsch")))))</f>
        <v>1</v>
      </c>
      <c r="AE80" s="120">
        <f>IF(W80=0,1,(25/F67)^(IF(I67="n",$AG$12,IF(I67="g",$AG$14,IF(I67="o",$AG$15,"Falsch")))))</f>
        <v>1</v>
      </c>
      <c r="AF80" s="120">
        <f>IF(Control!$F$39&lt;&gt;"DNV",1,IF(D80&gt;Control!$F$16,IF(ISBLANK(Control!$F$56),1,Control!$F$56),IF(D80&gt;Control!$F$22,IF(ISBLANK(Control!$F$57),1,Control!$F$57),1)))</f>
        <v>1</v>
      </c>
      <c r="AG80" s="120">
        <f>IF(Control!$F$39&lt;&gt;"DNV",1,IF(D80&gt;Control!$F$18,IF(ISBLANK(Control!$F$56),1,Control!$F$56),IF(D80&gt;Control!$F$22,IF(ISBLANK(Control!$F$57),1,Control!$F$57),1)))</f>
        <v>1</v>
      </c>
    </row>
    <row r="81" spans="3:33">
      <c r="C81" s="12" t="str">
        <f t="shared" ref="C81:D81" si="78">C68</f>
        <v>TP1-02</v>
      </c>
      <c r="D81" s="13">
        <f t="shared" si="78"/>
        <v>19.5</v>
      </c>
      <c r="E81" s="120">
        <f>IF(Geometry_loads!H51="-","-",Geometry_loads!H51*Control!$F$54)</f>
        <v>252629.5391330242</v>
      </c>
      <c r="F81" s="120">
        <f>IF(Geometry_loads!G51="-","-",Geometry_loads!G51*Control!$F$55)</f>
        <v>297017.66324883886</v>
      </c>
      <c r="G81" s="120">
        <f t="shared" ref="G81:G87" si="79">IF(AND(X81=0,Y81=0),E81/Z81*E68/2/1000,(E81*($AF$25/$Z$5)^(1/$AE$4)/Z81*E68/2/1000))</f>
        <v>44.887780823412612</v>
      </c>
      <c r="H81" s="120">
        <f t="shared" ref="H81:H87" si="80">IF(AND(X81=0,Y81=0),E81/Z81*(E68-2*F68/1000)/2/1000,(E81*($AF$25/$Z$5)^(1/$AE$4)/Z81*(E68-2*F68/1000)/2/1000))</f>
        <v>43.574813234327799</v>
      </c>
      <c r="I81" s="120" t="str">
        <f t="shared" ref="I81:I87" si="81">IF(AND(X81=0,Y81=0),"-",IF(V81=0,(E81*($AF$24/$Z$5)^(1/$AE$4)/AA81*(E68-2*X81/1000)/2/1000),(F81*($AF$24/$Z$5)^(1/3)/AA81*(E68-2*X81/1000)/2/1000)))</f>
        <v>-</v>
      </c>
      <c r="J81" s="120" t="str">
        <f t="shared" ref="J81:J87" si="82">IF(AND(X81=0,Y81=0),"-",IF(W81=0,(E81*($AF$24/$Z$5)^(1/$AE$4))/AA81*(E68-2*(F68-Y81)/1000)/2/1000,(F81*($AF$24/$Z$5)^(1/3))/AA81*(E68-2*(F68-Y81)/1000)/2/1000))</f>
        <v>-</v>
      </c>
      <c r="K81" s="120">
        <f t="shared" ref="K81:K87" si="83">IF(H68="O",IF(I68="n",$AG$7,IF(I68="g",$AD$6,IF(I68="o",$AG$6,"Falsch"))),"")</f>
        <v>140</v>
      </c>
      <c r="L81" s="120" t="str">
        <f t="shared" ref="L81:L87" si="84">IF(H68="I",IF(I68="n",$AG$7,IF(I68="g",$AD$6,IF(I68="o",$AG$6,"Falsch"))),"")</f>
        <v/>
      </c>
      <c r="M81" s="120">
        <f t="shared" ref="M81:M87" si="85">IF(K81="","",IF(AND(V81=0,W81&lt;&gt;0),IF(D81&gt;$Z$9,$AD$14,$AD$15)*((((IF(D81&gt;$Z$9,$AD$12,$AD$13)/AB81*G68*G81*IF(I68="g",$AE$20,1))/(AF81*K81))^$AE$4)+(((IF(D81&gt;$Z$9,$AD$12,$AD$13)/AB81*G68*I81*IF(I68="g",$AE$20,1))/(AF81*K81))^$AE$4)),IF(K81="","",IF(D81&gt;$Z$9,$AD$14,$AD$15)*((((IF(D81&gt;$Z$9,$AD$12,$AD$13)/AB81*G68*G81*IF(I68="g",$AE$20,1))/(AF81*K81))^$AE$4)+(((IF(D81&gt;$Z$9,$AD$12,$AD$13)/AD81*G68*IF(V81=0,0,I81)*IF(I68="g",$AE$20,1))/(0.7*IF(K81=65.5,58.48,K81)))^3)))))</f>
        <v>0.76534768654094221</v>
      </c>
      <c r="N81" s="120" t="str">
        <f t="shared" ref="N81:N87" si="86">IF(L81="","",IF(AND(W81=0,V81&lt;&gt;0),IF(D81&gt;$Z$9,$AD$14,$AD$15)*((((IF(D81&gt;$Z$9,$AD$12,$AD$13)/AC81*G68*H81*IF(I68="g",$AE$20,1))/(AG81*L81))^$AE$4)+(((IF(D81&gt;$Z$9,$AD$12,$AD$13)/AC81*G68*J81*IF(I68="g",$AE$20,1))/(AG81*L81))^$AE$4)),IF(L81="","",IF(D81&gt;$Z$9,$AD$14,$AD$15)*((((IF(D81&gt;$Z$9,$AD$12,$AD$13)/AC81*G68*H81*IF(I68="g",$AE$20,1))/(AG81*L81))^$AE$4)+(((IF(D81&gt;$Z$9,$AD$12,$AD$13)/AE81*G68*IF(W81=0,0,J81)*IF(I68="g",$AE$20,1))/(0.7*IF(L81=65.5,58.48,L81)))^3)))))</f>
        <v/>
      </c>
      <c r="O81" s="120">
        <f>IF(K81="","",Control!$F$46)</f>
        <v>0.03</v>
      </c>
      <c r="P81" s="120" t="str">
        <f>IF(L81="","",Control!$F$46)</f>
        <v/>
      </c>
      <c r="Q81" s="120">
        <f t="shared" ref="Q81:Q87" si="87">IF(K81="","",M81+O81)</f>
        <v>0.79534768654094223</v>
      </c>
      <c r="R81" s="120" t="str">
        <f t="shared" ref="R81:R87" si="88">IF(L81="","",N81+P81)</f>
        <v/>
      </c>
      <c r="V81" s="121">
        <f>IF(OR(D81&gt;=$Z$13,D43&lt;=$Z$12,Geometry!AP12="n"),0,"X")</f>
        <v>0</v>
      </c>
      <c r="W81" s="121">
        <f>IF(OR(D81&gt;=$Z$15,D43&lt;=$Z$12,Geometry!AQ12="n"),0,"X")</f>
        <v>0</v>
      </c>
      <c r="X81" s="37">
        <f t="shared" ref="X81:X87" si="89">0.5*IF(OR(D81&gt;=$Z$13,D81&lt;=$Z$12),0,$AF$24*$AF$26)*IF(V81=0,0,1)</f>
        <v>0</v>
      </c>
      <c r="Y81" s="37">
        <f t="shared" ref="Y81:Y87" si="90">0.5*IF(OR(D81&gt;=$Z$15,D81&lt;=$Z$12),0,$AF$24*$AF$27)*IF(W81=0,0,1)</f>
        <v>0</v>
      </c>
      <c r="Z81" s="120">
        <f t="shared" ref="Z81:Z87" si="91">(PI()/64*(E68^4-(E68-2*F68/1000)^4))</f>
        <v>22.512098793822076</v>
      </c>
      <c r="AA81" s="120">
        <f t="shared" ref="AA81:AA87" si="92">(PI()/64*((E68-2*X81/1000)^4-((E68-2*X81/1000)-2*(F68-X81-Y81)/1000)^4))</f>
        <v>22.512098793822076</v>
      </c>
      <c r="AB81" s="120">
        <f t="shared" ref="AB81:AB87" si="93">(25/F68)^(IF(I68="n",$AG$12,IF(I68="g",$AG$13,IF(I68="o",$AG$15,"Falsch"))))</f>
        <v>0.8569893298948561</v>
      </c>
      <c r="AC81" s="120">
        <f t="shared" ref="AC81:AC87" si="94">(25/F68)^(IF(I68="n",$AG$12,IF(I68="g",$AG$13,IF(I68="o",$AG$15,"Falsch"))))</f>
        <v>0.8569893298948561</v>
      </c>
      <c r="AD81" s="120">
        <f t="shared" ref="AD81:AD87" si="95">IF(V81=0,1,(25/F68)^(IF(I68="n",$AG$12,IF(I68="g",$AG$14,IF(I68="o",$AG$15,"Falsch")))))</f>
        <v>1</v>
      </c>
      <c r="AE81" s="120">
        <f t="shared" ref="AE81:AE87" si="96">IF(W81=0,1,(25/F68)^(IF(I68="n",$AG$12,IF(I68="g",$AG$14,IF(I68="o",$AG$15,"Falsch")))))</f>
        <v>1</v>
      </c>
      <c r="AF81" s="120">
        <f>IF(Control!$F$39&lt;&gt;"DNV",1,IF(D81&gt;Control!$F$16,IF(ISBLANK(Control!$F$56),1,Control!$F$56),IF(D81&gt;Control!$F$22,IF(ISBLANK(Control!$F$57),1,Control!$F$57),1)))</f>
        <v>1</v>
      </c>
      <c r="AG81" s="120">
        <f>IF(Control!$F$39&lt;&gt;"DNV",1,IF(D81&gt;Control!$F$18,IF(ISBLANK(Control!$F$56),1,Control!$F$56),IF(D81&gt;Control!$F$22,IF(ISBLANK(Control!$F$57),1,Control!$F$57),1)))</f>
        <v>1</v>
      </c>
    </row>
    <row r="82" spans="3:33">
      <c r="C82" s="12" t="str">
        <f t="shared" ref="C82:D82" si="97">C69</f>
        <v>TP1-03</v>
      </c>
      <c r="D82" s="13">
        <f t="shared" si="97"/>
        <v>20</v>
      </c>
      <c r="E82" s="120">
        <f>IF(Geometry_loads!H52="-","-",Geometry_loads!H52*Control!$F$54)</f>
        <v>251801.95275479331</v>
      </c>
      <c r="F82" s="120">
        <f>IF(Geometry_loads!G52="-","-",Geometry_loads!G52*Control!$F$55)</f>
        <v>296111.0360936246</v>
      </c>
      <c r="G82" s="120">
        <f t="shared" si="79"/>
        <v>44.740733427110676</v>
      </c>
      <c r="H82" s="120">
        <f t="shared" si="80"/>
        <v>43.432066974367686</v>
      </c>
      <c r="I82" s="120" t="str">
        <f t="shared" si="81"/>
        <v>-</v>
      </c>
      <c r="J82" s="120" t="str">
        <f t="shared" si="82"/>
        <v>-</v>
      </c>
      <c r="K82" s="120" t="str">
        <f t="shared" si="83"/>
        <v/>
      </c>
      <c r="L82" s="120">
        <f t="shared" si="84"/>
        <v>112</v>
      </c>
      <c r="M82" s="120" t="str">
        <f t="shared" si="85"/>
        <v/>
      </c>
      <c r="N82" s="120">
        <f t="shared" si="86"/>
        <v>0.4632833467255848</v>
      </c>
      <c r="O82" s="120" t="str">
        <f>IF(K82="","",Control!$F$46)</f>
        <v/>
      </c>
      <c r="P82" s="120">
        <f>IF(L82="","",Control!$F$46)</f>
        <v>0.03</v>
      </c>
      <c r="Q82" s="120" t="str">
        <f t="shared" si="87"/>
        <v/>
      </c>
      <c r="R82" s="120">
        <f t="shared" si="88"/>
        <v>0.49328334672558483</v>
      </c>
      <c r="V82" s="121">
        <f>IF(OR(D82&gt;=$Z$13,D44&lt;=$Z$12,Geometry!AP13="n"),0,"X")</f>
        <v>0</v>
      </c>
      <c r="W82" s="121">
        <f>IF(OR(D82&gt;=$Z$15,D44&lt;=$Z$12,Geometry!AQ13="n"),0,"X")</f>
        <v>0</v>
      </c>
      <c r="X82" s="37">
        <f t="shared" si="89"/>
        <v>0</v>
      </c>
      <c r="Y82" s="37">
        <f t="shared" si="90"/>
        <v>0</v>
      </c>
      <c r="Z82" s="120">
        <f t="shared" si="91"/>
        <v>22.512098793822076</v>
      </c>
      <c r="AA82" s="120">
        <f t="shared" si="92"/>
        <v>22.512098793822076</v>
      </c>
      <c r="AB82" s="120">
        <f t="shared" si="93"/>
        <v>0.73443071155363437</v>
      </c>
      <c r="AC82" s="120">
        <f t="shared" si="94"/>
        <v>0.73443071155363437</v>
      </c>
      <c r="AD82" s="120">
        <f t="shared" si="95"/>
        <v>1</v>
      </c>
      <c r="AE82" s="120">
        <f t="shared" si="96"/>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98">C70</f>
        <v>TP2-01</v>
      </c>
      <c r="D83" s="13">
        <f t="shared" si="98"/>
        <v>15.73</v>
      </c>
      <c r="E83" s="120">
        <f>IF(Geometry_loads!H53="-","-",Geometry_loads!H53*Control!$F$54)</f>
        <v>258926.07614117852</v>
      </c>
      <c r="F83" s="120">
        <f>IF(Geometry_loads!G53="-","-",Geometry_loads!G53*Control!$F$55)</f>
        <v>304076.99372607988</v>
      </c>
      <c r="G83" s="120">
        <f t="shared" si="79"/>
        <v>46.006563583886688</v>
      </c>
      <c r="H83" s="120">
        <f t="shared" si="80"/>
        <v>44.660871599058005</v>
      </c>
      <c r="I83" s="120" t="str">
        <f t="shared" si="81"/>
        <v>-</v>
      </c>
      <c r="J83" s="120" t="str">
        <f t="shared" si="82"/>
        <v>-</v>
      </c>
      <c r="K83" s="120" t="str">
        <f t="shared" si="83"/>
        <v/>
      </c>
      <c r="L83" s="120">
        <f t="shared" si="84"/>
        <v>112</v>
      </c>
      <c r="M83" s="120" t="str">
        <f t="shared" si="85"/>
        <v/>
      </c>
      <c r="N83" s="120">
        <f t="shared" si="86"/>
        <v>0.51798057545973231</v>
      </c>
      <c r="O83" s="120" t="str">
        <f>IF(K83="","",Control!$F$46)</f>
        <v/>
      </c>
      <c r="P83" s="120">
        <f>IF(L83="","",Control!$F$46)</f>
        <v>0.03</v>
      </c>
      <c r="Q83" s="120" t="str">
        <f t="shared" si="87"/>
        <v/>
      </c>
      <c r="R83" s="120">
        <f t="shared" si="88"/>
        <v>0.54798057545973233</v>
      </c>
      <c r="V83" s="121">
        <f>IF(OR(D83&gt;=$Z$13,D45&lt;=$Z$12,Geometry!AP14="n"),0,"X")</f>
        <v>0</v>
      </c>
      <c r="W83" s="121">
        <f>IF(OR(D83&gt;=$Z$15,D45&lt;=$Z$12,Geometry!AQ14="n"),0,"X")</f>
        <v>0</v>
      </c>
      <c r="X83" s="37">
        <f t="shared" si="89"/>
        <v>0</v>
      </c>
      <c r="Y83" s="37">
        <f t="shared" si="90"/>
        <v>0</v>
      </c>
      <c r="Z83" s="120">
        <f t="shared" si="91"/>
        <v>22.512098793822076</v>
      </c>
      <c r="AA83" s="120">
        <f t="shared" si="92"/>
        <v>22.512098793822076</v>
      </c>
      <c r="AB83" s="120">
        <f t="shared" si="93"/>
        <v>0.73443071155363437</v>
      </c>
      <c r="AC83" s="120">
        <f t="shared" si="94"/>
        <v>0.73443071155363437</v>
      </c>
      <c r="AD83" s="120">
        <f t="shared" si="95"/>
        <v>1</v>
      </c>
      <c r="AE83" s="120">
        <f t="shared" si="96"/>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9">C71</f>
        <v>TP3-01</v>
      </c>
      <c r="D84" s="13">
        <f t="shared" si="99"/>
        <v>12.5</v>
      </c>
      <c r="E84" s="120">
        <f>IF(Geometry_loads!H54="-","-",Geometry_loads!H54*Control!$F$54)</f>
        <v>264623.67275924736</v>
      </c>
      <c r="F84" s="120">
        <f>IF(Geometry_loads!G54="-","-",Geometry_loads!G54*Control!$F$55)</f>
        <v>310593.93916504516</v>
      </c>
      <c r="G84" s="120">
        <f t="shared" si="79"/>
        <v>44.481800057514789</v>
      </c>
      <c r="H84" s="120">
        <f t="shared" si="80"/>
        <v>43.102864255731831</v>
      </c>
      <c r="I84" s="120" t="str">
        <f t="shared" si="81"/>
        <v>-</v>
      </c>
      <c r="J84" s="120" t="str">
        <f t="shared" si="82"/>
        <v>-</v>
      </c>
      <c r="K84" s="120">
        <f t="shared" si="83"/>
        <v>140</v>
      </c>
      <c r="L84" s="120" t="str">
        <f t="shared" si="84"/>
        <v/>
      </c>
      <c r="M84" s="120">
        <f t="shared" si="85"/>
        <v>0.75538781868977445</v>
      </c>
      <c r="N84" s="120" t="str">
        <f t="shared" si="86"/>
        <v/>
      </c>
      <c r="O84" s="120">
        <f>IF(K84="","",Control!$F$46)</f>
        <v>0.03</v>
      </c>
      <c r="P84" s="120" t="str">
        <f>IF(L84="","",Control!$F$46)</f>
        <v/>
      </c>
      <c r="Q84" s="120">
        <f t="shared" si="87"/>
        <v>0.78538781868977448</v>
      </c>
      <c r="R84" s="120" t="str">
        <f t="shared" si="88"/>
        <v/>
      </c>
      <c r="V84" s="121">
        <f>IF(OR(D84&gt;=$Z$13,D46&lt;=$Z$12,Geometry!AP15="n"),0,"X")</f>
        <v>0</v>
      </c>
      <c r="W84" s="121">
        <f>IF(OR(D84&gt;=$Z$15,D46&lt;=$Z$12,Geometry!AQ15="n"),0,"X")</f>
        <v>0</v>
      </c>
      <c r="X84" s="37">
        <f t="shared" si="89"/>
        <v>0</v>
      </c>
      <c r="Y84" s="37">
        <f t="shared" si="90"/>
        <v>0</v>
      </c>
      <c r="Z84" s="120">
        <f t="shared" si="91"/>
        <v>23.796129870382046</v>
      </c>
      <c r="AA84" s="120">
        <f t="shared" si="92"/>
        <v>23.796129870382046</v>
      </c>
      <c r="AB84" s="120">
        <f t="shared" si="93"/>
        <v>0.85202400806167422</v>
      </c>
      <c r="AC84" s="120">
        <f t="shared" si="94"/>
        <v>0.85202400806167422</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100">C72</f>
        <v>TP3-01</v>
      </c>
      <c r="D85" s="13">
        <f t="shared" si="100"/>
        <v>12.5</v>
      </c>
      <c r="E85" s="120">
        <f>IF(Geometry_loads!H55="-","-",Geometry_loads!H55*Control!$F$54)</f>
        <v>264623.67275924736</v>
      </c>
      <c r="F85" s="120">
        <f>IF(Geometry_loads!G55="-","-",Geometry_loads!G55*Control!$F$55)</f>
        <v>310593.93916504516</v>
      </c>
      <c r="G85" s="120">
        <f t="shared" si="79"/>
        <v>44.481800057514789</v>
      </c>
      <c r="H85" s="120">
        <f t="shared" si="80"/>
        <v>43.102864255731831</v>
      </c>
      <c r="I85" s="120" t="str">
        <f t="shared" si="81"/>
        <v>-</v>
      </c>
      <c r="J85" s="120" t="str">
        <f t="shared" si="82"/>
        <v>-</v>
      </c>
      <c r="K85" s="120">
        <f t="shared" si="83"/>
        <v>140</v>
      </c>
      <c r="L85" s="120" t="str">
        <f t="shared" si="84"/>
        <v/>
      </c>
      <c r="M85" s="120">
        <f t="shared" si="85"/>
        <v>0.75538781868977445</v>
      </c>
      <c r="N85" s="120" t="str">
        <f t="shared" si="86"/>
        <v/>
      </c>
      <c r="O85" s="120">
        <f>IF(K85="","",Control!$F$46)</f>
        <v>0.03</v>
      </c>
      <c r="P85" s="120" t="str">
        <f>IF(L85="","",Control!$F$46)</f>
        <v/>
      </c>
      <c r="Q85" s="120">
        <f t="shared" si="87"/>
        <v>0.78538781868977448</v>
      </c>
      <c r="R85" s="120" t="str">
        <f t="shared" si="88"/>
        <v/>
      </c>
      <c r="V85" s="121">
        <f>IF(OR(D85&gt;=$Z$13,D47&lt;=$Z$12,Geometry!AP16="n"),0,"X")</f>
        <v>0</v>
      </c>
      <c r="W85" s="121">
        <f>IF(OR(D85&gt;=$Z$15,D47&lt;=$Z$12,Geometry!AQ16="n"),0,"X")</f>
        <v>0</v>
      </c>
      <c r="X85" s="37">
        <f t="shared" si="89"/>
        <v>0</v>
      </c>
      <c r="Y85" s="37">
        <f t="shared" si="90"/>
        <v>0</v>
      </c>
      <c r="Z85" s="120">
        <f t="shared" si="91"/>
        <v>23.796129870382046</v>
      </c>
      <c r="AA85" s="120">
        <f t="shared" si="92"/>
        <v>23.796129870382046</v>
      </c>
      <c r="AB85" s="120">
        <f t="shared" si="93"/>
        <v>0.85202400806167422</v>
      </c>
      <c r="AC85" s="120">
        <f t="shared" si="94"/>
        <v>0.85202400806167422</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101">C73</f>
        <v>TP3-02</v>
      </c>
      <c r="D86" s="13">
        <f t="shared" si="101"/>
        <v>12</v>
      </c>
      <c r="E86" s="120">
        <f>IF(Geometry_loads!H56="-","-",Geometry_loads!H56*Control!$F$54)</f>
        <v>265518.19507313886</v>
      </c>
      <c r="F86" s="120">
        <f>IF(Geometry_loads!G56="-","-",Geometry_loads!G56*Control!$F$55)</f>
        <v>311619.39036556787</v>
      </c>
      <c r="G86" s="120">
        <f t="shared" si="79"/>
        <v>44.632164393020432</v>
      </c>
      <c r="H86" s="120">
        <f t="shared" si="80"/>
        <v>43.248567296836796</v>
      </c>
      <c r="I86" s="120" t="str">
        <f t="shared" si="81"/>
        <v>-</v>
      </c>
      <c r="J86" s="120" t="str">
        <f t="shared" si="82"/>
        <v>-</v>
      </c>
      <c r="K86" s="120">
        <f t="shared" si="83"/>
        <v>100</v>
      </c>
      <c r="L86" s="120" t="str">
        <f t="shared" si="84"/>
        <v/>
      </c>
      <c r="M86" s="120">
        <f t="shared" si="85"/>
        <v>0.71649067583835713</v>
      </c>
      <c r="N86" s="120" t="str">
        <f t="shared" si="86"/>
        <v/>
      </c>
      <c r="O86" s="120">
        <f>IF(K86="","",Control!$F$46)</f>
        <v>0.03</v>
      </c>
      <c r="P86" s="120" t="str">
        <f>IF(L86="","",Control!$F$46)</f>
        <v/>
      </c>
      <c r="Q86" s="120">
        <f t="shared" si="87"/>
        <v>0.74649067583835715</v>
      </c>
      <c r="R86" s="120" t="str">
        <f t="shared" si="88"/>
        <v/>
      </c>
      <c r="V86" s="121">
        <f>IF(OR(D86&gt;=$Z$13,D48&lt;=$Z$12,Geometry!AP17="n"),0,"X")</f>
        <v>0</v>
      </c>
      <c r="W86" s="121">
        <f>IF(OR(D86&gt;=$Z$15,D48&lt;=$Z$12,Geometry!AQ17="n"),0,"X")</f>
        <v>0</v>
      </c>
      <c r="X86" s="37">
        <f t="shared" si="89"/>
        <v>0</v>
      </c>
      <c r="Y86" s="37">
        <f t="shared" si="90"/>
        <v>0</v>
      </c>
      <c r="Z86" s="120">
        <f t="shared" si="91"/>
        <v>23.796129870382046</v>
      </c>
      <c r="AA86" s="120">
        <f t="shared" si="92"/>
        <v>23.796129870382046</v>
      </c>
      <c r="AB86" s="120">
        <f t="shared" si="93"/>
        <v>0.61852249211726384</v>
      </c>
      <c r="AC86" s="120">
        <f t="shared" si="94"/>
        <v>0.61852249211726384</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2">C74</f>
        <v>TP4-01</v>
      </c>
      <c r="D87" s="13">
        <f t="shared" si="102"/>
        <v>8.5</v>
      </c>
      <c r="E87" s="120">
        <f>IF(Geometry_loads!H57="-","-",Geometry_loads!H57*Control!$F$54)</f>
        <v>272061.21516246081</v>
      </c>
      <c r="F87" s="120">
        <f>IF(Geometry_loads!G57="-","-",Geometry_loads!G57*Control!$F$55)</f>
        <v>319401.44814949483</v>
      </c>
      <c r="G87" s="120">
        <f t="shared" si="79"/>
        <v>47.185236619314495</v>
      </c>
      <c r="H87" s="120">
        <f t="shared" si="80"/>
        <v>45.76967952073506</v>
      </c>
      <c r="I87" s="120" t="str">
        <f t="shared" si="81"/>
        <v>-</v>
      </c>
      <c r="J87" s="120" t="str">
        <f t="shared" si="82"/>
        <v>-</v>
      </c>
      <c r="K87" s="120">
        <f t="shared" si="83"/>
        <v>112</v>
      </c>
      <c r="L87" s="120" t="str">
        <f t="shared" si="84"/>
        <v/>
      </c>
      <c r="M87" s="120">
        <f t="shared" si="85"/>
        <v>0.26976493645839744</v>
      </c>
      <c r="N87" s="120" t="str">
        <f t="shared" si="86"/>
        <v/>
      </c>
      <c r="O87" s="120">
        <f>IF(K87="","",Control!$F$46)</f>
        <v>0.03</v>
      </c>
      <c r="P87" s="120" t="str">
        <f>IF(L87="","",Control!$F$46)</f>
        <v/>
      </c>
      <c r="Q87" s="120">
        <f t="shared" si="87"/>
        <v>0.29976493645839741</v>
      </c>
      <c r="R87" s="120" t="str">
        <f t="shared" si="88"/>
        <v/>
      </c>
      <c r="V87" s="121">
        <f>IF(OR(D87&gt;=$Z$13,D49&lt;=$Z$12,Geometry!AP18="n"),0,"X")</f>
        <v>0</v>
      </c>
      <c r="W87" s="121">
        <f>IF(OR(D87&gt;=$Z$15,D49&lt;=$Z$12,Geometry!AQ18="n"),0,"X")</f>
        <v>0</v>
      </c>
      <c r="X87" s="37">
        <f t="shared" si="89"/>
        <v>0</v>
      </c>
      <c r="Y87" s="37">
        <f t="shared" si="90"/>
        <v>0</v>
      </c>
      <c r="Z87" s="120">
        <f t="shared" si="91"/>
        <v>23.063248986747443</v>
      </c>
      <c r="AA87" s="120">
        <f t="shared" si="92"/>
        <v>23.063248986747443</v>
      </c>
      <c r="AB87" s="120">
        <f t="shared" si="93"/>
        <v>0.73072127581096269</v>
      </c>
      <c r="AC87" s="120">
        <f t="shared" si="94"/>
        <v>0.73072127581096269</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sheetData>
  <sheetProtection sheet="1" objects="1" scenarios="1"/>
  <mergeCells count="115">
    <mergeCell ref="Q30:S30"/>
    <mergeCell ref="T30:V30"/>
    <mergeCell ref="R31:R32"/>
    <mergeCell ref="S31:S32"/>
    <mergeCell ref="T31:T32"/>
    <mergeCell ref="U31:U32"/>
    <mergeCell ref="V31:V32"/>
    <mergeCell ref="AD55:AG55"/>
    <mergeCell ref="AH55:AI55"/>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E79:F79"/>
    <mergeCell ref="G79:J79"/>
    <mergeCell ref="K79:L79"/>
    <mergeCell ref="V79:W79"/>
    <mergeCell ref="V77:W77"/>
    <mergeCell ref="Q77:R77"/>
    <mergeCell ref="M79:R79"/>
    <mergeCell ref="M76:R76"/>
    <mergeCell ref="M77:N77"/>
    <mergeCell ref="O77:P77"/>
    <mergeCell ref="Z79:AA79"/>
    <mergeCell ref="Z78:AA78"/>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C77:C78"/>
    <mergeCell ref="D77:D78"/>
    <mergeCell ref="K77:L77"/>
    <mergeCell ref="I64:I65"/>
    <mergeCell ref="F64:F65"/>
    <mergeCell ref="G64:G65"/>
    <mergeCell ref="H64:H65"/>
    <mergeCell ref="G77:H77"/>
    <mergeCell ref="I77:J77"/>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4:C5"/>
    <mergeCell ref="AH39:AI39"/>
    <mergeCell ref="AH47:AI47"/>
    <mergeCell ref="AF77:AG77"/>
    <mergeCell ref="AD47:AG47"/>
    <mergeCell ref="Z48:AA48"/>
    <mergeCell ref="Z49:AA49"/>
    <mergeCell ref="X77:Y77"/>
    <mergeCell ref="V49:W49"/>
    <mergeCell ref="AB47:AC47"/>
    <mergeCell ref="AB77:AE77"/>
    <mergeCell ref="V39:W39"/>
    <mergeCell ref="V41:W41"/>
    <mergeCell ref="V47:W47"/>
    <mergeCell ref="AD39:AG39"/>
    <mergeCell ref="X39:Y39"/>
    <mergeCell ref="C31:C32"/>
    <mergeCell ref="D31:D32"/>
    <mergeCell ref="Q39:R39"/>
    <mergeCell ref="E31:E32"/>
    <mergeCell ref="F31:F32"/>
    <mergeCell ref="M38:R38"/>
    <mergeCell ref="I31:I32"/>
    <mergeCell ref="C39:C40"/>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72"/>
  <sheetViews>
    <sheetView tabSelected="1" topLeftCell="A118" workbookViewId="0">
      <selection activeCell="Q170" sqref="Q170"/>
    </sheetView>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441</v>
      </c>
      <c r="X3" s="181" t="s">
        <v>307</v>
      </c>
      <c r="Y3" s="181"/>
      <c r="Z3" s="181"/>
      <c r="AB3" s="181" t="s">
        <v>522</v>
      </c>
      <c r="AC3" s="181"/>
      <c r="AD3" s="181"/>
      <c r="AE3" s="181"/>
      <c r="AF3" s="181"/>
      <c r="AG3" s="181"/>
      <c r="AH3" s="181"/>
    </row>
    <row r="4" spans="3:40">
      <c r="C4" s="308" t="s">
        <v>0</v>
      </c>
      <c r="D4" s="12" t="s">
        <v>1</v>
      </c>
      <c r="E4" s="12" t="s">
        <v>2</v>
      </c>
      <c r="F4" s="12" t="s">
        <v>3</v>
      </c>
      <c r="G4" s="12" t="s">
        <v>4</v>
      </c>
      <c r="H4" s="12" t="s">
        <v>5</v>
      </c>
      <c r="I4" s="12" t="s">
        <v>6</v>
      </c>
      <c r="J4" s="12" t="s">
        <v>7</v>
      </c>
      <c r="K4" s="12" t="s">
        <v>8</v>
      </c>
      <c r="X4" s="8" t="s">
        <v>41</v>
      </c>
      <c r="Z4" s="33">
        <f>Control!$F$40</f>
        <v>36</v>
      </c>
      <c r="AA4" s="6"/>
      <c r="AB4" s="8" t="s">
        <v>40</v>
      </c>
      <c r="AC4" s="16" t="str">
        <f>Control!$F$39</f>
        <v>EC</v>
      </c>
      <c r="AD4" s="8" t="s">
        <v>91</v>
      </c>
      <c r="AE4" s="7">
        <f>IF($AC$4="DNV",5,4)</f>
        <v>4</v>
      </c>
      <c r="AH4" s="6"/>
      <c r="AI4" s="6"/>
    </row>
    <row r="5" spans="3:40">
      <c r="C5" s="309"/>
      <c r="D5" s="12" t="str">
        <f>"[m"&amp;Control!$F$7&amp;"]"</f>
        <v>[mLAT]</v>
      </c>
      <c r="E5" s="12" t="str">
        <f>"[m"&amp;Control!$F$7&amp;"]"</f>
        <v>[mLAT]</v>
      </c>
      <c r="F5" s="12" t="s">
        <v>9</v>
      </c>
      <c r="G5" s="12" t="s">
        <v>9</v>
      </c>
      <c r="H5" s="12" t="s">
        <v>10</v>
      </c>
      <c r="I5" s="12" t="s">
        <v>9</v>
      </c>
      <c r="J5" s="12" t="s">
        <v>11</v>
      </c>
      <c r="K5" s="12" t="s">
        <v>12</v>
      </c>
      <c r="X5" s="8" t="s">
        <v>38</v>
      </c>
      <c r="Z5" s="33">
        <f>Control!$F$41</f>
        <v>35</v>
      </c>
      <c r="AB5" s="181" t="s">
        <v>515</v>
      </c>
      <c r="AC5" s="181"/>
      <c r="AD5" s="181"/>
      <c r="AE5" s="181"/>
      <c r="AF5" s="181"/>
      <c r="AG5" s="182"/>
      <c r="AH5" s="182"/>
      <c r="AI5" s="6"/>
    </row>
    <row r="6" spans="3:40">
      <c r="C6" s="12">
        <v>1</v>
      </c>
      <c r="D6" s="44">
        <f>Geometry!D26</f>
        <v>5.8</v>
      </c>
      <c r="E6" s="44">
        <f>Geometry!E26</f>
        <v>2.6</v>
      </c>
      <c r="F6" s="44">
        <f>Geometry!F26</f>
        <v>8</v>
      </c>
      <c r="G6" s="44">
        <f>Geometry!G26</f>
        <v>8</v>
      </c>
      <c r="H6" s="44">
        <f>Geometry!H26</f>
        <v>125</v>
      </c>
      <c r="I6" s="56">
        <f>D6-E6</f>
        <v>3.1999999999999997</v>
      </c>
      <c r="J6" s="57">
        <f>ATAN((G6-F6)/(2*I6))/PI()*180</f>
        <v>0</v>
      </c>
      <c r="K6" s="58">
        <f>IF(J6=0,PI()/4*(F6^2-(F6-(2*H6/1000))^2)*I6*7850/1000,(I6*PI()/12)*((G6^2+G6*F6+F6^2)-((G6-2*(H6/1000))^2+(G6-(2*H6/1000))*(F6-(2*H6/1000))+(F6-(2*H6/1000))^2))*7850/1000)</f>
        <v>77.683732341641601</v>
      </c>
      <c r="X6" s="17" t="s">
        <v>39</v>
      </c>
      <c r="Z6" s="33">
        <f>Control!$F$42</f>
        <v>24</v>
      </c>
      <c r="AB6" s="8" t="s">
        <v>293</v>
      </c>
      <c r="AC6" s="6">
        <f>IF($AC$4="EC",112,65.5)</f>
        <v>112</v>
      </c>
      <c r="AD6" s="6"/>
      <c r="AE6" s="6" t="s">
        <v>148</v>
      </c>
      <c r="AF6" s="6">
        <f>IF($AC$4="EC",140,93.59)</f>
        <v>140</v>
      </c>
      <c r="AG6" s="6"/>
    </row>
    <row r="7" spans="3:40">
      <c r="C7" s="12">
        <v>2</v>
      </c>
      <c r="D7" s="44">
        <f>Geometry!D27</f>
        <v>2.6</v>
      </c>
      <c r="E7" s="44">
        <f>Geometry!E27</f>
        <v>-0.6</v>
      </c>
      <c r="F7" s="44">
        <f>Geometry!F27</f>
        <v>8</v>
      </c>
      <c r="G7" s="44">
        <f>Geometry!G27</f>
        <v>8</v>
      </c>
      <c r="H7" s="44">
        <f>Geometry!H27</f>
        <v>116</v>
      </c>
      <c r="I7" s="56">
        <f t="shared" ref="I7:I30" si="0">D7-E7</f>
        <v>3.2</v>
      </c>
      <c r="J7" s="57">
        <f t="shared" ref="J7:J30" si="1">ATAN((G7-F7)/(2*I7))/PI()*180</f>
        <v>0</v>
      </c>
      <c r="K7" s="58">
        <f t="shared" ref="K7:K30" si="2">IF(J7=0,PI()/4*(F7^2-(F7-(2*H7/1000))^2)*I7*7850/1000,(I7*PI()/12)*((G7^2+G7*F7+F7^2)-((G7-2*(H7/1000))^2+(G7-(2*H7/1000))*(F7-(2*H7/1000))+(F7-(2*H7/1000))^2))*7850/1000)</f>
        <v>72.172892760029853</v>
      </c>
      <c r="Y7" s="8"/>
      <c r="Z7" s="16"/>
      <c r="AB7" s="8" t="s">
        <v>37</v>
      </c>
      <c r="AC7" s="6">
        <f>IF($AC$4="EC",90,52.63)</f>
        <v>90</v>
      </c>
      <c r="AD7" s="6"/>
      <c r="AE7" s="6" t="s">
        <v>150</v>
      </c>
      <c r="AF7" s="6">
        <f>IF(AC4="EC",100,AC7)</f>
        <v>100</v>
      </c>
      <c r="AG7" s="6"/>
    </row>
    <row r="8" spans="3:40">
      <c r="C8" s="12">
        <v>3</v>
      </c>
      <c r="D8" s="44">
        <f>Geometry!D28</f>
        <v>-0.6</v>
      </c>
      <c r="E8" s="44">
        <f>Geometry!E28</f>
        <v>-3.8</v>
      </c>
      <c r="F8" s="44">
        <f>Geometry!F28</f>
        <v>8</v>
      </c>
      <c r="G8" s="44">
        <f>Geometry!G28</f>
        <v>8</v>
      </c>
      <c r="H8" s="44">
        <f>Geometry!H28</f>
        <v>125</v>
      </c>
      <c r="I8" s="56">
        <f t="shared" si="0"/>
        <v>3.1999999999999997</v>
      </c>
      <c r="J8" s="57">
        <f t="shared" si="1"/>
        <v>0</v>
      </c>
      <c r="K8" s="58">
        <f t="shared" si="2"/>
        <v>77.683732341641601</v>
      </c>
      <c r="X8" s="8" t="s">
        <v>69</v>
      </c>
      <c r="Y8" s="6"/>
      <c r="Z8" s="16" t="str">
        <f>Control!$F$43</f>
        <v>N</v>
      </c>
      <c r="AB8" s="8" t="s">
        <v>436</v>
      </c>
      <c r="AC8" s="6">
        <f>IF($AC$4="EC",112,65.5)</f>
        <v>112</v>
      </c>
      <c r="AE8" t="s">
        <v>520</v>
      </c>
      <c r="AF8">
        <f>IF(AC4="EC",112,AC6)</f>
        <v>112</v>
      </c>
    </row>
    <row r="9" spans="3:40">
      <c r="C9" s="12">
        <v>4</v>
      </c>
      <c r="D9" s="44">
        <f>Geometry!D29</f>
        <v>-3.8</v>
      </c>
      <c r="E9" s="44">
        <f>Geometry!E29</f>
        <v>-7.3</v>
      </c>
      <c r="F9" s="44">
        <f>Geometry!F29</f>
        <v>8</v>
      </c>
      <c r="G9" s="44">
        <f>Geometry!G29</f>
        <v>8.4377999999999993</v>
      </c>
      <c r="H9" s="44">
        <f>Geometry!H29</f>
        <v>125</v>
      </c>
      <c r="I9" s="56">
        <f t="shared" si="0"/>
        <v>3.5</v>
      </c>
      <c r="J9" s="57">
        <f t="shared" si="1"/>
        <v>3.5787803472726449</v>
      </c>
      <c r="K9" s="58">
        <f t="shared" si="2"/>
        <v>87.32838350000182</v>
      </c>
      <c r="U9" s="8"/>
      <c r="V9" s="8"/>
      <c r="W9" s="8"/>
      <c r="X9" s="8" t="s">
        <v>70</v>
      </c>
      <c r="Y9" s="6"/>
      <c r="Z9" s="33">
        <f>Control!$F$44</f>
        <v>0</v>
      </c>
      <c r="AE9" t="s">
        <v>516</v>
      </c>
      <c r="AF9">
        <f>IF(AC4="EC",225,131.62)</f>
        <v>225</v>
      </c>
      <c r="AG9" t="s">
        <v>523</v>
      </c>
      <c r="AH9">
        <v>1.3</v>
      </c>
    </row>
    <row r="10" spans="3:40">
      <c r="C10" s="12">
        <v>5</v>
      </c>
      <c r="D10" s="44">
        <f>Geometry!D30</f>
        <v>-7.3</v>
      </c>
      <c r="E10" s="44">
        <f>Geometry!E30</f>
        <v>-10.8</v>
      </c>
      <c r="F10" s="44">
        <f>Geometry!F30</f>
        <v>8.4377999999999993</v>
      </c>
      <c r="G10" s="44">
        <f>Geometry!G30</f>
        <v>8.8756000000000004</v>
      </c>
      <c r="H10" s="44">
        <f>Geometry!H30</f>
        <v>106</v>
      </c>
      <c r="I10" s="56">
        <f t="shared" si="0"/>
        <v>3.5000000000000009</v>
      </c>
      <c r="J10" s="57">
        <f t="shared" si="1"/>
        <v>3.5787803472726587</v>
      </c>
      <c r="K10" s="58">
        <f t="shared" si="2"/>
        <v>78.23392306018836</v>
      </c>
      <c r="U10" s="8"/>
      <c r="V10" s="8"/>
      <c r="W10" s="8"/>
      <c r="AB10" s="181" t="s">
        <v>521</v>
      </c>
      <c r="AC10" s="181"/>
      <c r="AD10" s="181"/>
      <c r="AE10" s="181"/>
      <c r="AF10" s="181"/>
      <c r="AG10" s="181"/>
      <c r="AH10" s="181"/>
    </row>
    <row r="11" spans="3:40">
      <c r="C11" s="12">
        <v>6</v>
      </c>
      <c r="D11" s="44">
        <f>Geometry!D31</f>
        <v>-10.8</v>
      </c>
      <c r="E11" s="44">
        <f>Geometry!E31</f>
        <v>-14.3</v>
      </c>
      <c r="F11" s="44">
        <f>Geometry!F31</f>
        <v>8.8756000000000004</v>
      </c>
      <c r="G11" s="44">
        <f>Geometry!G31</f>
        <v>9.3133999999999997</v>
      </c>
      <c r="H11" s="44">
        <f>Geometry!H31</f>
        <v>116</v>
      </c>
      <c r="I11" s="56">
        <f t="shared" si="0"/>
        <v>3.5</v>
      </c>
      <c r="J11" s="57">
        <f t="shared" si="1"/>
        <v>3.5787803472726449</v>
      </c>
      <c r="K11" s="58">
        <f t="shared" si="2"/>
        <v>89.897859262459406</v>
      </c>
      <c r="X11" s="181" t="s">
        <v>517</v>
      </c>
      <c r="Y11" s="181"/>
      <c r="Z11" s="181"/>
      <c r="AB11" s="8" t="s">
        <v>65</v>
      </c>
      <c r="AC11" s="6"/>
      <c r="AD11" s="14">
        <f>IF(AND($AC$4="EC",$Z$8="Y"),1.15,IF(AND($AC$4="EC",$Z$8="N"),1.25,1))</f>
        <v>1.25</v>
      </c>
      <c r="AF11" s="8" t="s">
        <v>56</v>
      </c>
      <c r="AG11" s="14">
        <f>IF($AC$4="EC",0.3,0.2)</f>
        <v>0.3</v>
      </c>
    </row>
    <row r="12" spans="3:40">
      <c r="C12" s="12">
        <v>7</v>
      </c>
      <c r="D12" s="44">
        <f>Geometry!D32</f>
        <v>-14.3</v>
      </c>
      <c r="E12" s="44">
        <f>Geometry!E32</f>
        <v>-17.8</v>
      </c>
      <c r="F12" s="44">
        <f>Geometry!F32</f>
        <v>9.3133999999999997</v>
      </c>
      <c r="G12" s="44">
        <f>Geometry!G32</f>
        <v>9.7510999999999992</v>
      </c>
      <c r="H12" s="44">
        <f>Geometry!H32</f>
        <v>103</v>
      </c>
      <c r="I12" s="56">
        <f t="shared" si="0"/>
        <v>3.5</v>
      </c>
      <c r="J12" s="57">
        <f t="shared" si="1"/>
        <v>3.5779650246316992</v>
      </c>
      <c r="K12" s="58">
        <f t="shared" si="2"/>
        <v>83.830479241988286</v>
      </c>
      <c r="X12" t="s">
        <v>181</v>
      </c>
      <c r="Z12" s="33">
        <f>Control!$F$22</f>
        <v>0</v>
      </c>
      <c r="AB12" s="8" t="s">
        <v>66</v>
      </c>
      <c r="AC12" s="6"/>
      <c r="AD12" s="14">
        <f>IF($AC$4="EC",1.25,1)</f>
        <v>1.25</v>
      </c>
      <c r="AF12" s="8" t="s">
        <v>294</v>
      </c>
      <c r="AG12" s="14">
        <f>IF($AC$4="EC",0.2,0.1)</f>
        <v>0.2</v>
      </c>
    </row>
    <row r="13" spans="3:40">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c r="X13" t="str">
        <f>Control!$E$16</f>
        <v>External upper limit</v>
      </c>
      <c r="Z13" s="33">
        <f>Control!$F$16</f>
        <v>8.1</v>
      </c>
      <c r="AB13" s="8" t="s">
        <v>67</v>
      </c>
      <c r="AC13" s="6"/>
      <c r="AD13" s="15">
        <f>IF(AND($AC$4="DNV",$Z$8="Y"),2,IF(AND($AC$4="DNV",$Z$8="N"),3,1))</f>
        <v>1</v>
      </c>
      <c r="AF13" s="8" t="s">
        <v>299</v>
      </c>
      <c r="AG13" s="14">
        <f>IF($AC$4="EC",$AG$12,0.15)</f>
        <v>0.2</v>
      </c>
      <c r="AH13" s="6"/>
      <c r="AL13" s="6"/>
      <c r="AM13" s="6"/>
      <c r="AN13" s="6"/>
    </row>
    <row r="14" spans="3:40">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c r="X15" t="str">
        <f>Control!$E$18</f>
        <v>Internal upper limit</v>
      </c>
      <c r="Z15" s="33">
        <f>Control!$F$18</f>
        <v>3</v>
      </c>
      <c r="AG15" s="6"/>
      <c r="AH15" s="6"/>
      <c r="AL15" s="6"/>
      <c r="AM15" s="6"/>
      <c r="AN15" s="6"/>
    </row>
    <row r="16" spans="3:40">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c r="X16" t="str">
        <f>Control!$E$19</f>
        <v>Internal lower limit</v>
      </c>
      <c r="Z16" s="33">
        <f>Control!$F$19</f>
        <v>-0.6</v>
      </c>
      <c r="AB16" s="181" t="s">
        <v>518</v>
      </c>
      <c r="AC16" s="181"/>
      <c r="AD16" s="181"/>
      <c r="AE16" s="182"/>
      <c r="AF16" s="181"/>
      <c r="AG16" s="181"/>
      <c r="AH16" s="181"/>
      <c r="AI16" s="6"/>
    </row>
    <row r="17" spans="3:35">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c r="AB17" s="8" t="s">
        <v>57</v>
      </c>
      <c r="AC17" s="6"/>
      <c r="AD17" s="6"/>
      <c r="AE17" s="16">
        <v>440</v>
      </c>
      <c r="AH17" s="6"/>
      <c r="AI17" s="6"/>
    </row>
    <row r="18" spans="3:35">
      <c r="C18" s="12">
        <v>13</v>
      </c>
      <c r="D18" s="44">
        <f>Geometry!D38</f>
        <v>-35.299999999999997</v>
      </c>
      <c r="E18" s="44">
        <f>Geometry!E38</f>
        <v>-38.6</v>
      </c>
      <c r="F18" s="44">
        <f>Geometry!F38</f>
        <v>11.5</v>
      </c>
      <c r="G18" s="44">
        <f>Geometry!G38</f>
        <v>11.5</v>
      </c>
      <c r="H18" s="44">
        <f>Geometry!H38</f>
        <v>100</v>
      </c>
      <c r="I18" s="56">
        <f t="shared" si="0"/>
        <v>3.3000000000000043</v>
      </c>
      <c r="J18" s="57">
        <f t="shared" si="1"/>
        <v>0</v>
      </c>
      <c r="K18" s="58">
        <f t="shared" si="2"/>
        <v>92.776571768017575</v>
      </c>
      <c r="AB18" s="8" t="s">
        <v>58</v>
      </c>
      <c r="AC18" s="6"/>
      <c r="AD18" s="6"/>
      <c r="AE18" s="16">
        <v>14</v>
      </c>
    </row>
    <row r="19" spans="3:35">
      <c r="C19" s="12">
        <v>14</v>
      </c>
      <c r="D19" s="44">
        <f>Geometry!D39</f>
        <v>-38.6</v>
      </c>
      <c r="E19" s="44">
        <f>Geometry!E39</f>
        <v>-41.9</v>
      </c>
      <c r="F19" s="44">
        <f>Geometry!F39</f>
        <v>11.5</v>
      </c>
      <c r="G19" s="44">
        <f>Geometry!G39</f>
        <v>11.5</v>
      </c>
      <c r="H19" s="44">
        <f>Geometry!H39</f>
        <v>98</v>
      </c>
      <c r="I19" s="56">
        <f t="shared" si="0"/>
        <v>3.2999999999999972</v>
      </c>
      <c r="J19" s="57">
        <f t="shared" si="1"/>
        <v>0</v>
      </c>
      <c r="K19" s="58">
        <f t="shared" si="2"/>
        <v>90.936991392364675</v>
      </c>
      <c r="AA19" s="8"/>
      <c r="AB19" s="8" t="s">
        <v>59</v>
      </c>
      <c r="AC19" s="6"/>
      <c r="AD19" s="6"/>
      <c r="AE19" s="14">
        <f>IF(AC4="DNV",(1-0.28*LOG(AE17/200))/(1-0.22*LOG(6*AE18)*LOG(AE17/200)),1)</f>
        <v>1</v>
      </c>
    </row>
    <row r="20" spans="3:35">
      <c r="C20" s="12">
        <v>15</v>
      </c>
      <c r="D20" s="44">
        <f>Geometry!D40</f>
        <v>-41.9</v>
      </c>
      <c r="E20" s="44">
        <f>Geometry!E40</f>
        <v>-45.2</v>
      </c>
      <c r="F20" s="44">
        <f>Geometry!F40</f>
        <v>11.5</v>
      </c>
      <c r="G20" s="44">
        <f>Geometry!G40</f>
        <v>11.5</v>
      </c>
      <c r="H20" s="44">
        <f>Geometry!H40</f>
        <v>95</v>
      </c>
      <c r="I20" s="56">
        <f t="shared" si="0"/>
        <v>3.3000000000000043</v>
      </c>
      <c r="J20" s="57">
        <f t="shared" si="1"/>
        <v>0</v>
      </c>
      <c r="K20" s="58">
        <f t="shared" si="2"/>
        <v>88.176400084519983</v>
      </c>
      <c r="AG20" s="8"/>
      <c r="AH20" s="6"/>
      <c r="AI20" s="6"/>
    </row>
    <row r="21" spans="3:35">
      <c r="C21" s="12">
        <v>16</v>
      </c>
      <c r="D21" s="44">
        <f>Geometry!D41</f>
        <v>-45.2</v>
      </c>
      <c r="E21" s="44">
        <f>Geometry!E41</f>
        <v>-48.5</v>
      </c>
      <c r="F21" s="44">
        <f>Geometry!F41</f>
        <v>11.5</v>
      </c>
      <c r="G21" s="44">
        <f>Geometry!G41</f>
        <v>11.5</v>
      </c>
      <c r="H21" s="44">
        <f>Geometry!H41</f>
        <v>95</v>
      </c>
      <c r="I21" s="56">
        <f t="shared" si="0"/>
        <v>3.2999999999999972</v>
      </c>
      <c r="J21" s="57">
        <f t="shared" si="1"/>
        <v>0</v>
      </c>
      <c r="K21" s="58">
        <f t="shared" si="2"/>
        <v>88.17640008451977</v>
      </c>
      <c r="AB21" s="181" t="s">
        <v>519</v>
      </c>
      <c r="AC21" s="181"/>
      <c r="AD21" s="181"/>
      <c r="AE21" s="181"/>
      <c r="AF21" s="181"/>
      <c r="AG21" s="182"/>
      <c r="AH21" s="182"/>
      <c r="AI21" s="6"/>
    </row>
    <row r="22" spans="3:35">
      <c r="C22" s="12">
        <v>17</v>
      </c>
      <c r="D22" s="44">
        <f>Geometry!D42</f>
        <v>-48.5</v>
      </c>
      <c r="E22" s="44">
        <f>Geometry!E42</f>
        <v>-51.7</v>
      </c>
      <c r="F22" s="44">
        <f>Geometry!F42</f>
        <v>11.5</v>
      </c>
      <c r="G22" s="44">
        <f>Geometry!G42</f>
        <v>11.5</v>
      </c>
      <c r="H22" s="44">
        <f>Geometry!H42</f>
        <v>95</v>
      </c>
      <c r="I22" s="56">
        <f t="shared" si="0"/>
        <v>3.2000000000000028</v>
      </c>
      <c r="J22" s="57">
        <f t="shared" si="1"/>
        <v>0</v>
      </c>
      <c r="K22" s="58">
        <f t="shared" si="2"/>
        <v>85.504387960746612</v>
      </c>
      <c r="X22" s="8"/>
      <c r="Y22" s="6"/>
      <c r="Z22" s="6"/>
      <c r="AA22" s="6"/>
      <c r="AB22" s="8" t="s">
        <v>42</v>
      </c>
      <c r="AE22" s="8"/>
      <c r="AF22" s="6"/>
      <c r="AH22" s="6"/>
      <c r="AI22" s="6"/>
    </row>
    <row r="23" spans="3:35">
      <c r="C23" s="12">
        <v>18</v>
      </c>
      <c r="D23" s="44">
        <f>Geometry!D43</f>
        <v>-51.7</v>
      </c>
      <c r="E23" s="44">
        <f>Geometry!E43</f>
        <v>-55.3</v>
      </c>
      <c r="F23" s="44">
        <f>Geometry!F43</f>
        <v>11.5</v>
      </c>
      <c r="G23" s="44">
        <f>Geometry!G43</f>
        <v>11.5</v>
      </c>
      <c r="H23" s="44">
        <f>Geometry!H43</f>
        <v>93</v>
      </c>
      <c r="I23" s="56">
        <f t="shared" si="0"/>
        <v>3.5999999999999943</v>
      </c>
      <c r="J23" s="57">
        <f t="shared" si="1"/>
        <v>0</v>
      </c>
      <c r="K23" s="58">
        <f t="shared" si="2"/>
        <v>94.18384587241448</v>
      </c>
      <c r="Z23" s="6"/>
      <c r="AB23" s="8" t="s">
        <v>43</v>
      </c>
      <c r="AE23" s="8"/>
      <c r="AF23" s="14">
        <f>Z4-Z6</f>
        <v>12</v>
      </c>
      <c r="AH23" s="6"/>
      <c r="AI23" s="6"/>
    </row>
    <row r="24" spans="3:35">
      <c r="C24" s="12">
        <v>19</v>
      </c>
      <c r="D24" s="44">
        <f>Geometry!D44</f>
        <v>-55.3</v>
      </c>
      <c r="E24" s="44">
        <f>Geometry!E44</f>
        <v>-59.3</v>
      </c>
      <c r="F24" s="44">
        <f>Geometry!F44</f>
        <v>11.5</v>
      </c>
      <c r="G24" s="44">
        <f>Geometry!G44</f>
        <v>11.5</v>
      </c>
      <c r="H24" s="44">
        <f>Geometry!H44</f>
        <v>93</v>
      </c>
      <c r="I24" s="56">
        <f t="shared" si="0"/>
        <v>4</v>
      </c>
      <c r="J24" s="57">
        <f t="shared" si="1"/>
        <v>0</v>
      </c>
      <c r="K24" s="58">
        <f t="shared" si="2"/>
        <v>104.64871763601626</v>
      </c>
      <c r="Z24" s="6"/>
      <c r="AB24" s="8" t="s">
        <v>44</v>
      </c>
      <c r="AC24" s="6"/>
      <c r="AE24" s="8"/>
      <c r="AF24" s="14">
        <f>Z5-AF23</f>
        <v>23</v>
      </c>
      <c r="AH24" s="6"/>
      <c r="AI24" s="6"/>
    </row>
    <row r="25" spans="3:35">
      <c r="C25" s="12">
        <v>20</v>
      </c>
      <c r="D25" s="44">
        <f>Geometry!D45</f>
        <v>-59.3</v>
      </c>
      <c r="E25" s="44">
        <f>Geometry!E45</f>
        <v>-63.3</v>
      </c>
      <c r="F25" s="44">
        <f>Geometry!F45</f>
        <v>11.5</v>
      </c>
      <c r="G25" s="44">
        <f>Geometry!G45</f>
        <v>11.5</v>
      </c>
      <c r="H25" s="44">
        <f>Geometry!H45</f>
        <v>93</v>
      </c>
      <c r="I25" s="56">
        <f t="shared" si="0"/>
        <v>4</v>
      </c>
      <c r="J25" s="57">
        <f t="shared" si="1"/>
        <v>0</v>
      </c>
      <c r="K25" s="58">
        <f t="shared" si="2"/>
        <v>104.64871763601626</v>
      </c>
      <c r="Z25" s="6"/>
      <c r="AB25" s="8" t="str">
        <f>Control!$E$12</f>
        <v xml:space="preserve">Corrosion allowance rate outside </v>
      </c>
      <c r="AF25" s="33">
        <f>Control!$F$12</f>
        <v>0.3</v>
      </c>
      <c r="AH25" s="6"/>
      <c r="AI25" s="6"/>
    </row>
    <row r="26" spans="3:35">
      <c r="C26" s="12">
        <v>21</v>
      </c>
      <c r="D26" s="44">
        <f>Geometry!D46</f>
        <v>-63.3</v>
      </c>
      <c r="E26" s="44">
        <f>Geometry!E46</f>
        <v>-67.3</v>
      </c>
      <c r="F26" s="44">
        <f>Geometry!F46</f>
        <v>11.5</v>
      </c>
      <c r="G26" s="44">
        <f>Geometry!G46</f>
        <v>11.5</v>
      </c>
      <c r="H26" s="44">
        <f>Geometry!H46</f>
        <v>93</v>
      </c>
      <c r="I26" s="56">
        <f t="shared" si="0"/>
        <v>4</v>
      </c>
      <c r="J26" s="57">
        <f t="shared" si="1"/>
        <v>0</v>
      </c>
      <c r="K26" s="58">
        <f t="shared" si="2"/>
        <v>104.64871763601626</v>
      </c>
      <c r="Z26" s="6"/>
      <c r="AB26" s="8" t="str">
        <f>Control!$E$13</f>
        <v xml:space="preserve">Corrosion allowance rate inside </v>
      </c>
      <c r="AF26" s="33">
        <f>Control!$F$13</f>
        <v>0.15</v>
      </c>
      <c r="AH26" s="6"/>
      <c r="AI26" s="6"/>
    </row>
    <row r="27" spans="3:35">
      <c r="C27" s="12">
        <v>22</v>
      </c>
      <c r="D27" s="44">
        <f>Geometry!D47</f>
        <v>-67.3</v>
      </c>
      <c r="E27" s="44">
        <f>Geometry!E47</f>
        <v>-71</v>
      </c>
      <c r="F27" s="44">
        <f>Geometry!F47</f>
        <v>11.5</v>
      </c>
      <c r="G27" s="44">
        <f>Geometry!G47</f>
        <v>11.5</v>
      </c>
      <c r="H27" s="44">
        <f>Geometry!H47</f>
        <v>96</v>
      </c>
      <c r="I27" s="56">
        <f t="shared" si="0"/>
        <v>3.7000000000000028</v>
      </c>
      <c r="J27" s="57">
        <f t="shared" si="1"/>
        <v>0</v>
      </c>
      <c r="K27" s="58">
        <f t="shared" si="2"/>
        <v>99.896367220086958</v>
      </c>
      <c r="Z27" s="6"/>
      <c r="AA27" s="6"/>
      <c r="AG27" s="6"/>
      <c r="AH27" s="6"/>
      <c r="AI27" s="6"/>
    </row>
    <row r="28" spans="3:35">
      <c r="C28" s="12">
        <v>23</v>
      </c>
      <c r="D28" s="44">
        <f>Geometry!D48</f>
        <v>-71</v>
      </c>
      <c r="E28" s="44">
        <f>Geometry!E48</f>
        <v>-74.3</v>
      </c>
      <c r="F28" s="44">
        <f>Geometry!F48</f>
        <v>11.5</v>
      </c>
      <c r="G28" s="44">
        <f>Geometry!G48</f>
        <v>11.5</v>
      </c>
      <c r="H28" s="44">
        <f>Geometry!H48</f>
        <v>100</v>
      </c>
      <c r="I28" s="56">
        <f t="shared" si="0"/>
        <v>3.2999999999999972</v>
      </c>
      <c r="J28" s="57">
        <f t="shared" si="1"/>
        <v>0</v>
      </c>
      <c r="K28" s="58">
        <f t="shared" si="2"/>
        <v>92.776571768017348</v>
      </c>
    </row>
    <row r="29" spans="3:35">
      <c r="C29" s="12">
        <v>24</v>
      </c>
      <c r="D29" s="44">
        <f>Geometry!D49</f>
        <v>-74.3</v>
      </c>
      <c r="E29" s="44">
        <f>Geometry!E49</f>
        <v>-77.430000000000007</v>
      </c>
      <c r="F29" s="44">
        <f>Geometry!F49</f>
        <v>11.5</v>
      </c>
      <c r="G29" s="44">
        <f>Geometry!G49</f>
        <v>11.5</v>
      </c>
      <c r="H29" s="44">
        <f>Geometry!H49</f>
        <v>110</v>
      </c>
      <c r="I29" s="56">
        <f t="shared" si="0"/>
        <v>3.1300000000000097</v>
      </c>
      <c r="J29" s="57">
        <f t="shared" si="1"/>
        <v>0</v>
      </c>
      <c r="K29" s="58">
        <f t="shared" si="2"/>
        <v>96.711980325441203</v>
      </c>
    </row>
    <row r="30" spans="3:35">
      <c r="C30" s="12">
        <v>25</v>
      </c>
      <c r="D30" s="44">
        <f>Geometry!D50</f>
        <v>-77.430000000000007</v>
      </c>
      <c r="E30" s="44">
        <f>Geometry!E50</f>
        <v>-80.430000000000007</v>
      </c>
      <c r="F30" s="44">
        <f>Geometry!F50</f>
        <v>11.5</v>
      </c>
      <c r="G30" s="44">
        <f>Geometry!G50</f>
        <v>11.5</v>
      </c>
      <c r="H30" s="44">
        <f>Geometry!H50</f>
        <v>122</v>
      </c>
      <c r="I30" s="56">
        <f t="shared" si="0"/>
        <v>3</v>
      </c>
      <c r="J30" s="57">
        <f t="shared" si="1"/>
        <v>0</v>
      </c>
      <c r="K30" s="58">
        <f t="shared" si="2"/>
        <v>102.69907790776207</v>
      </c>
    </row>
    <row r="33" spans="3:22">
      <c r="C33" s="35" t="s">
        <v>204</v>
      </c>
      <c r="L33" s="313" t="s">
        <v>212</v>
      </c>
      <c r="M33" s="316"/>
      <c r="Q33" s="187" t="s">
        <v>528</v>
      </c>
      <c r="R33" s="184"/>
      <c r="S33" s="184"/>
      <c r="T33" s="183" t="s">
        <v>527</v>
      </c>
      <c r="U33" s="184"/>
      <c r="V33" s="185"/>
    </row>
    <row r="34" spans="3:22" ht="15" customHeight="1">
      <c r="C34" s="317" t="s">
        <v>19</v>
      </c>
      <c r="D34" s="317" t="s">
        <v>278</v>
      </c>
      <c r="E34" s="317" t="s">
        <v>277</v>
      </c>
      <c r="F34" s="317" t="s">
        <v>18</v>
      </c>
      <c r="G34" s="317" t="s">
        <v>280</v>
      </c>
      <c r="H34" s="317" t="s">
        <v>279</v>
      </c>
      <c r="I34" s="317" t="s">
        <v>13</v>
      </c>
      <c r="J34" s="317" t="s">
        <v>14</v>
      </c>
      <c r="K34" s="317" t="s">
        <v>15</v>
      </c>
      <c r="L34" s="317" t="s">
        <v>275</v>
      </c>
      <c r="M34" s="317" t="s">
        <v>276</v>
      </c>
      <c r="N34" s="317" t="s">
        <v>296</v>
      </c>
      <c r="P34" s="317" t="s">
        <v>574</v>
      </c>
      <c r="Q34" s="323" t="s">
        <v>524</v>
      </c>
      <c r="R34" s="323" t="s">
        <v>525</v>
      </c>
      <c r="S34" s="323" t="s">
        <v>526</v>
      </c>
      <c r="T34" s="312" t="s">
        <v>524</v>
      </c>
      <c r="U34" s="312" t="s">
        <v>525</v>
      </c>
      <c r="V34" s="312" t="s">
        <v>526</v>
      </c>
    </row>
    <row r="35" spans="3:22" ht="29.25" customHeight="1">
      <c r="C35" s="318">
        <v>0</v>
      </c>
      <c r="D35" s="318">
        <v>0</v>
      </c>
      <c r="E35" s="318"/>
      <c r="F35" s="318"/>
      <c r="G35" s="318"/>
      <c r="H35" s="318"/>
      <c r="I35" s="318"/>
      <c r="J35" s="318"/>
      <c r="K35" s="318"/>
      <c r="L35" s="318"/>
      <c r="M35" s="318"/>
      <c r="N35" s="323"/>
      <c r="P35" s="323"/>
      <c r="Q35" s="323"/>
      <c r="R35" s="323"/>
      <c r="S35" s="323"/>
      <c r="T35" s="312"/>
      <c r="U35" s="312"/>
      <c r="V35" s="312"/>
    </row>
    <row r="36" spans="3:22">
      <c r="C36" s="30" t="s">
        <v>16</v>
      </c>
      <c r="D36" s="30" t="str">
        <f>"[m"&amp;Control!$F$7&amp;"]"</f>
        <v>[mLAT]</v>
      </c>
      <c r="E36" s="30" t="s">
        <v>9</v>
      </c>
      <c r="F36" s="30" t="s">
        <v>11</v>
      </c>
      <c r="G36" s="313" t="s">
        <v>10</v>
      </c>
      <c r="H36" s="316"/>
      <c r="I36" s="316"/>
      <c r="J36" s="316"/>
      <c r="K36" s="314"/>
      <c r="L36" s="313" t="s">
        <v>16</v>
      </c>
      <c r="M36" s="314"/>
      <c r="N36" s="318"/>
      <c r="P36" s="324"/>
      <c r="Q36" s="186" t="s">
        <v>16</v>
      </c>
      <c r="R36" s="186" t="s">
        <v>16</v>
      </c>
      <c r="S36" s="186" t="s">
        <v>16</v>
      </c>
      <c r="T36" s="186" t="s">
        <v>16</v>
      </c>
      <c r="U36" s="186" t="s">
        <v>16</v>
      </c>
      <c r="V36" s="186" t="s">
        <v>16</v>
      </c>
    </row>
    <row r="37" spans="3:22">
      <c r="C37" s="12" t="str">
        <f>"CW"&amp;TEXT(C6,"0")</f>
        <v>CW1</v>
      </c>
      <c r="D37" s="2">
        <f>E6</f>
        <v>2.6</v>
      </c>
      <c r="E37" s="3">
        <f>G6</f>
        <v>8</v>
      </c>
      <c r="F37" s="3">
        <f>ABS(J6-J7)</f>
        <v>0</v>
      </c>
      <c r="G37" s="3">
        <f>H6</f>
        <v>125</v>
      </c>
      <c r="H37" s="4">
        <f>H7</f>
        <v>116</v>
      </c>
      <c r="I37" s="3">
        <f>(MAX(G37:H37)-MIN(G37:H37))/2</f>
        <v>4.5</v>
      </c>
      <c r="J37" s="120">
        <f>MIN(0.1*MIN(G37:H37),4)</f>
        <v>4</v>
      </c>
      <c r="K37" s="120">
        <f>0.05*(MIN(G37:H37))</f>
        <v>5.8000000000000007</v>
      </c>
      <c r="L37" s="120">
        <f>S37</f>
        <v>0.84619050644410299</v>
      </c>
      <c r="M37" s="120">
        <f>V37</f>
        <v>1.0659183543810986</v>
      </c>
      <c r="N37" s="218" t="str">
        <f>Geometry!N27</f>
        <v>b</v>
      </c>
      <c r="P37" s="120">
        <f>IF(F37&gt;0.1,IF(AND((E37-E36)=0,(E38-E37)&gt;0),"cc",IF(AND((E37-E36)&gt;0,(E38-E37)=0),"cv",0)),0)</f>
        <v>0</v>
      </c>
      <c r="Q37" s="219" cm="1">
        <f t="array" ref="Q37">IF($AC$4="EC",(1-(6*(I37+K37-J37))/(MIN(G37:H37)*(1+(MAX(G37:H37^1.5/MIN(G37:H37)^1.5))))),(1-(6*(I37+IF(OR(N37="b",N37="o"),0,K37)-J37)/(MIN(G37:H37)*(1+(MAX(G37:H37^1.5/MIN(G37:H37)^1.5)))))))</f>
        <v>0.84619050644410299</v>
      </c>
      <c r="R37" s="219">
        <f>IF(P37=0,0,IF(P37="cc",MAX(1+((0.6*G37*(E37*1000*(G37+H37))^0.5*TAN(F37*PI()/180))/G37^2),1+((0.6*G37*(E37*1000*(G37+H37))^0.5*TAN(F37*PI()/180))/H37^2)),1))</f>
        <v>0</v>
      </c>
      <c r="S37" s="219">
        <f>IF(P37=0,Q37,R37)</f>
        <v>0.84619050644410299</v>
      </c>
      <c r="T37" s="219" cm="1">
        <f t="array" ref="T37">IF($AC$4="EC",(1+(6*(I37+J37-K37))/(MIN(G37:H37)*(1+(MAX(G37:H37^1.5/MIN(G37:H37)^1.5))))),(1+(6*(I37+J37-IF(OR(N37="i",N37="b"),0,K37)))/(MIN(G37:H37)*(1+(MAX(G37:H37^1.5/MIN(G37:H37)^1.5))))))</f>
        <v>1.0659183543810986</v>
      </c>
      <c r="U37" s="219">
        <f>IF(P37=0,0,IF(P37="cv",MAX(1+((0.6*G37*(E37*1000*(G37+H37))^0.5*TAN(F37*PI()/180))/G37^2),1+((0.6*G37*(E37*1000*(G37+H37))^0.5*TAN(F37*PI()/180))/H37^2)),1))</f>
        <v>0</v>
      </c>
      <c r="V37" s="219">
        <f>IF(P37=0,T37,U37)</f>
        <v>1.0659183543810986</v>
      </c>
    </row>
    <row r="38" spans="3:22">
      <c r="C38" s="12" t="str">
        <f t="shared" ref="C38:C60" si="3">"CW"&amp;TEXT(C7,"0")</f>
        <v>CW2</v>
      </c>
      <c r="D38" s="2">
        <f t="shared" ref="D38:D60" si="4">E7</f>
        <v>-0.6</v>
      </c>
      <c r="E38" s="3">
        <f t="shared" ref="E38:E60" si="5">G7</f>
        <v>8</v>
      </c>
      <c r="F38" s="3">
        <f t="shared" ref="F38:F60" si="6">ABS(J7-J8)</f>
        <v>0</v>
      </c>
      <c r="G38" s="3">
        <f t="shared" ref="G38:G60" si="7">H7</f>
        <v>116</v>
      </c>
      <c r="H38" s="4">
        <f t="shared" ref="H38:H60" si="8">H8</f>
        <v>125</v>
      </c>
      <c r="I38" s="3">
        <f t="shared" ref="I38:I60" si="9">(MAX(G38:H38)-MIN(G38:H38))/2</f>
        <v>4.5</v>
      </c>
      <c r="J38" s="120">
        <f t="shared" ref="J38:J60" si="10">MIN(0.1*MIN(G38:H38),4)</f>
        <v>4</v>
      </c>
      <c r="K38" s="120">
        <f t="shared" ref="K38:K60" si="11">0.05*(MIN(G38:H38))</f>
        <v>5.8000000000000007</v>
      </c>
      <c r="L38" s="120">
        <f t="shared" ref="L38:L60" si="12">S38</f>
        <v>0.84619050644410299</v>
      </c>
      <c r="M38" s="120">
        <f t="shared" ref="M38:M60" si="13">V38</f>
        <v>1.0659183543810986</v>
      </c>
      <c r="N38" s="218" t="str">
        <f>Geometry!N28</f>
        <v>i</v>
      </c>
      <c r="P38" s="120">
        <f t="shared" ref="P38:P60" si="14">IF(F38&gt;0.1,IF(AND((E38-E37)=0,(E39-E38)&gt;0),"cc",IF(AND((E38-E37)&gt;0,(E39-E38)=0),"cv",0)),0)</f>
        <v>0</v>
      </c>
      <c r="Q38" s="219" cm="1">
        <f t="array" ref="Q38">IF($AC$4="EC",(1-(6*(I38+K38-J38))/(MIN(G38:H38)*(1+(MAX(G38:H38^1.5/MIN(G38:H38)^1.5))))),(1-(6*(I38+IF(OR(N38="b",N38="o"),0,K38)-J38)/(MIN(G38:H38)*(1+(MAX(G38:H38^1.5/MIN(G38:H38)^1.5)))))))</f>
        <v>0.84619050644410299</v>
      </c>
      <c r="R38" s="219">
        <f t="shared" ref="R38:R60" si="15">IF(P38=0,0,IF(P38="cc",MAX(1+((0.6*G38*(E38*1000*(G38+H38))^0.5*TAN(F38*PI()/180))/G38^2),1+((0.6*G38*(E38*1000*(G38+H38))^0.5*TAN(F38*PI()/180))/H38^2)),1))</f>
        <v>0</v>
      </c>
      <c r="S38" s="219">
        <f t="shared" ref="S38:S60" si="16">IF(P38=0,Q38,R38)</f>
        <v>0.84619050644410299</v>
      </c>
      <c r="T38" s="219" cm="1">
        <f t="array" ref="T38">IF($AC$4="EC",(1+(6*(I38+J38-K38))/(MIN(G38:H38)*(1+(MAX(G38:H38^1.5/MIN(G38:H38)^1.5))))),(1+(6*(I38+J38-IF(OR(N38="i",N38="b"),0,K38)))/(MIN(G38:H38)*(1+(MAX(G38:H38^1.5/MIN(G38:H38)^1.5))))))</f>
        <v>1.0659183543810986</v>
      </c>
      <c r="U38" s="219">
        <f t="shared" ref="U38:U60" si="17">IF(P38=0,0,IF(P38="cv",MAX(1+((0.6*G38*(E38*1000*(G38+H38))^0.5*TAN(F38*PI()/180))/G38^2),1+((0.6*G38*(E38*1000*(G38+H38))^0.5*TAN(F38*PI()/180))/H38^2)),1))</f>
        <v>0</v>
      </c>
      <c r="V38" s="219">
        <f t="shared" ref="V38:V60" si="18">IF(P38=0,T38,U38)</f>
        <v>1.0659183543810986</v>
      </c>
    </row>
    <row r="39" spans="3:22">
      <c r="C39" s="12" t="str">
        <f t="shared" si="3"/>
        <v>CW3</v>
      </c>
      <c r="D39" s="2">
        <f t="shared" si="4"/>
        <v>-3.8</v>
      </c>
      <c r="E39" s="3">
        <f t="shared" si="5"/>
        <v>8</v>
      </c>
      <c r="F39" s="3">
        <f t="shared" si="6"/>
        <v>3.5787803472726449</v>
      </c>
      <c r="G39" s="3">
        <f t="shared" si="7"/>
        <v>125</v>
      </c>
      <c r="H39" s="4">
        <f t="shared" si="8"/>
        <v>125</v>
      </c>
      <c r="I39" s="3">
        <f t="shared" si="9"/>
        <v>0</v>
      </c>
      <c r="J39" s="120">
        <f t="shared" si="10"/>
        <v>4</v>
      </c>
      <c r="K39" s="120">
        <f t="shared" si="11"/>
        <v>6.25</v>
      </c>
      <c r="L39" s="120">
        <f t="shared" si="12"/>
        <v>1.4245549926447589</v>
      </c>
      <c r="M39" s="120">
        <f t="shared" si="13"/>
        <v>1</v>
      </c>
      <c r="N39" s="218" t="str">
        <f>Geometry!N29</f>
        <v>o</v>
      </c>
      <c r="P39" s="120" t="str">
        <f t="shared" si="14"/>
        <v>cc</v>
      </c>
      <c r="Q39" s="219" cm="1">
        <f t="array" ref="Q39">IF($AC$4="EC",(1-(6*(I39+K39-J39))/(MIN(G39:H39)*(1+(MAX(G39:H39^1.5/MIN(G39:H39)^1.5))))),(1-(6*(I39+IF(OR(N39="b",N39="o"),0,K39)-J39)/(MIN(G39:H39)*(1+(MAX(G39:H39^1.5/MIN(G39:H39)^1.5)))))))</f>
        <v>0.94599999999999995</v>
      </c>
      <c r="R39" s="219">
        <f t="shared" si="15"/>
        <v>1.4245549926447589</v>
      </c>
      <c r="S39" s="219">
        <f t="shared" si="16"/>
        <v>1.4245549926447589</v>
      </c>
      <c r="T39" s="219" cm="1">
        <f t="array" ref="T39">IF($AC$4="EC",(1+(6*(I39+J39-K39))/(MIN(G39:H39)*(1+(MAX(G39:H39^1.5/MIN(G39:H39)^1.5))))),(1+(6*(I39+J39-IF(OR(N39="i",N39="b"),0,K39)))/(MIN(G39:H39)*(1+(MAX(G39:H39^1.5/MIN(G39:H39)^1.5))))))</f>
        <v>0.94599999999999995</v>
      </c>
      <c r="U39" s="219">
        <f t="shared" si="17"/>
        <v>1</v>
      </c>
      <c r="V39" s="219">
        <f t="shared" si="18"/>
        <v>1</v>
      </c>
    </row>
    <row r="40" spans="3:22">
      <c r="C40" s="12" t="str">
        <f t="shared" si="3"/>
        <v>CW4</v>
      </c>
      <c r="D40" s="2">
        <f t="shared" si="4"/>
        <v>-7.3</v>
      </c>
      <c r="E40" s="3">
        <f t="shared" si="5"/>
        <v>8.4377999999999993</v>
      </c>
      <c r="F40" s="3">
        <f t="shared" si="6"/>
        <v>1.3766765505351941E-14</v>
      </c>
      <c r="G40" s="3">
        <f t="shared" si="7"/>
        <v>125</v>
      </c>
      <c r="H40" s="4">
        <f t="shared" si="8"/>
        <v>106</v>
      </c>
      <c r="I40" s="3">
        <f t="shared" si="9"/>
        <v>9.5</v>
      </c>
      <c r="J40" s="120">
        <f t="shared" si="10"/>
        <v>4</v>
      </c>
      <c r="K40" s="120">
        <f t="shared" si="11"/>
        <v>5.3000000000000007</v>
      </c>
      <c r="L40" s="120">
        <f t="shared" si="12"/>
        <v>0.73194488046863593</v>
      </c>
      <c r="M40" s="120">
        <f t="shared" si="13"/>
        <v>1.2035233314960356</v>
      </c>
      <c r="N40" s="218" t="str">
        <f>Geometry!N30</f>
        <v>i</v>
      </c>
      <c r="P40" s="120">
        <f t="shared" si="14"/>
        <v>0</v>
      </c>
      <c r="Q40" s="219" cm="1">
        <f t="array" ref="Q40">IF($AC$4="EC",(1-(6*(I40+K40-J40))/(MIN(G40:H40)*(1+(MAX(G40:H40^1.5/MIN(G40:H40)^1.5))))),(1-(6*(I40+IF(OR(N40="b",N40="o"),0,K40)-J40)/(MIN(G40:H40)*(1+(MAX(G40:H40^1.5/MIN(G40:H40)^1.5)))))))</f>
        <v>0.73194488046863593</v>
      </c>
      <c r="R40" s="219">
        <f t="shared" si="15"/>
        <v>0</v>
      </c>
      <c r="S40" s="219">
        <f t="shared" si="16"/>
        <v>0.73194488046863593</v>
      </c>
      <c r="T40" s="219" cm="1">
        <f t="array" ref="T40">IF($AC$4="EC",(1+(6*(I40+J40-K40))/(MIN(G40:H40)*(1+(MAX(G40:H40^1.5/MIN(G40:H40)^1.5))))),(1+(6*(I40+J40-IF(OR(N40="i",N40="b"),0,K40)))/(MIN(G40:H40)*(1+(MAX(G40:H40^1.5/MIN(G40:H40)^1.5))))))</f>
        <v>1.2035233314960356</v>
      </c>
      <c r="U40" s="219">
        <f t="shared" si="17"/>
        <v>0</v>
      </c>
      <c r="V40" s="219">
        <f t="shared" si="18"/>
        <v>1.2035233314960356</v>
      </c>
    </row>
    <row r="41" spans="3:22">
      <c r="C41" s="12" t="str">
        <f t="shared" si="3"/>
        <v>CW5</v>
      </c>
      <c r="D41" s="2">
        <f t="shared" si="4"/>
        <v>-10.8</v>
      </c>
      <c r="E41" s="3">
        <f t="shared" si="5"/>
        <v>8.8756000000000004</v>
      </c>
      <c r="F41" s="3">
        <f t="shared" si="6"/>
        <v>1.3766765505351941E-14</v>
      </c>
      <c r="G41" s="3">
        <f t="shared" si="7"/>
        <v>106</v>
      </c>
      <c r="H41" s="4">
        <f t="shared" si="8"/>
        <v>116</v>
      </c>
      <c r="I41" s="3">
        <f t="shared" si="9"/>
        <v>5</v>
      </c>
      <c r="J41" s="120">
        <f t="shared" si="10"/>
        <v>4</v>
      </c>
      <c r="K41" s="120">
        <f t="shared" si="11"/>
        <v>5.3000000000000007</v>
      </c>
      <c r="L41" s="120">
        <f t="shared" si="12"/>
        <v>0.83373535881088934</v>
      </c>
      <c r="M41" s="120">
        <f t="shared" si="13"/>
        <v>1.0976474876824935</v>
      </c>
      <c r="N41" s="218" t="str">
        <f>Geometry!N31</f>
        <v>n</v>
      </c>
      <c r="P41" s="120">
        <f t="shared" si="14"/>
        <v>0</v>
      </c>
      <c r="Q41" s="219" cm="1">
        <f t="array" ref="Q41">IF($AC$4="EC",(1-(6*(I41+K41-J41))/(MIN(G41:H41)*(1+(MAX(G41:H41^1.5/MIN(G41:H41)^1.5))))),(1-(6*(I41+IF(OR(N41="b",N41="o"),0,K41)-J41)/(MIN(G41:H41)*(1+(MAX(G41:H41^1.5/MIN(G41:H41)^1.5)))))))</f>
        <v>0.83373535881088934</v>
      </c>
      <c r="R41" s="219">
        <f t="shared" si="15"/>
        <v>0</v>
      </c>
      <c r="S41" s="219">
        <f t="shared" si="16"/>
        <v>0.83373535881088934</v>
      </c>
      <c r="T41" s="219" cm="1">
        <f t="array" ref="T41">IF($AC$4="EC",(1+(6*(I41+J41-K41))/(MIN(G41:H41)*(1+(MAX(G41:H41^1.5/MIN(G41:H41)^1.5))))),(1+(6*(I41+J41-IF(OR(N41="i",N41="b"),0,K41)))/(MIN(G41:H41)*(1+(MAX(G41:H41^1.5/MIN(G41:H41)^1.5))))))</f>
        <v>1.0976474876824935</v>
      </c>
      <c r="U41" s="219">
        <f t="shared" si="17"/>
        <v>0</v>
      </c>
      <c r="V41" s="219">
        <f t="shared" si="18"/>
        <v>1.0976474876824935</v>
      </c>
    </row>
    <row r="42" spans="3:22">
      <c r="C42" s="12" t="str">
        <f t="shared" si="3"/>
        <v>CW6</v>
      </c>
      <c r="D42" s="2">
        <f t="shared" si="4"/>
        <v>-14.3</v>
      </c>
      <c r="E42" s="3">
        <f t="shared" si="5"/>
        <v>9.3133999999999997</v>
      </c>
      <c r="F42" s="3">
        <f t="shared" si="6"/>
        <v>8.1532264094574813E-4</v>
      </c>
      <c r="G42" s="3">
        <f t="shared" si="7"/>
        <v>116</v>
      </c>
      <c r="H42" s="4">
        <f t="shared" si="8"/>
        <v>103</v>
      </c>
      <c r="I42" s="3">
        <f t="shared" si="9"/>
        <v>6.5</v>
      </c>
      <c r="J42" s="120">
        <f t="shared" si="10"/>
        <v>4</v>
      </c>
      <c r="K42" s="120">
        <f t="shared" si="11"/>
        <v>5.15</v>
      </c>
      <c r="L42" s="120">
        <f t="shared" si="12"/>
        <v>0.79699510725783562</v>
      </c>
      <c r="M42" s="120">
        <f t="shared" si="13"/>
        <v>1.1419707419830822</v>
      </c>
      <c r="N42" s="218" t="str">
        <f>Geometry!N32</f>
        <v>n</v>
      </c>
      <c r="P42" s="120">
        <f t="shared" si="14"/>
        <v>0</v>
      </c>
      <c r="Q42" s="219" cm="1">
        <f t="array" ref="Q42">IF($AC$4="EC",(1-(6*(I42+K42-J42))/(MIN(G42:H42)*(1+(MAX(G42:H42^1.5/MIN(G42:H42)^1.5))))),(1-(6*(I42+IF(OR(N42="b",N42="o"),0,K42)-J42)/(MIN(G42:H42)*(1+(MAX(G42:H42^1.5/MIN(G42:H42)^1.5)))))))</f>
        <v>0.79699510725783562</v>
      </c>
      <c r="R42" s="219">
        <f t="shared" si="15"/>
        <v>0</v>
      </c>
      <c r="S42" s="219">
        <f t="shared" si="16"/>
        <v>0.79699510725783562</v>
      </c>
      <c r="T42" s="219" cm="1">
        <f t="array" ref="T42">IF($AC$4="EC",(1+(6*(I42+J42-K42))/(MIN(G42:H42)*(1+(MAX(G42:H42^1.5/MIN(G42:H42)^1.5))))),(1+(6*(I42+J42-IF(OR(N42="i",N42="b"),0,K42)))/(MIN(G42:H42)*(1+(MAX(G42:H42^1.5/MIN(G42:H42)^1.5))))))</f>
        <v>1.1419707419830822</v>
      </c>
      <c r="U42" s="219">
        <f t="shared" si="17"/>
        <v>0</v>
      </c>
      <c r="V42" s="219">
        <f t="shared" si="18"/>
        <v>1.1419707419830822</v>
      </c>
    </row>
    <row r="43" spans="3:22">
      <c r="C43" s="12" t="str">
        <f t="shared" si="3"/>
        <v>CW7</v>
      </c>
      <c r="D43" s="2">
        <f t="shared" si="4"/>
        <v>-17.8</v>
      </c>
      <c r="E43" s="3">
        <f t="shared" si="5"/>
        <v>9.7510999999999992</v>
      </c>
      <c r="F43" s="3">
        <f t="shared" si="6"/>
        <v>8.1532264096129126E-4</v>
      </c>
      <c r="G43" s="3">
        <f t="shared" si="7"/>
        <v>103</v>
      </c>
      <c r="H43" s="4">
        <f t="shared" si="8"/>
        <v>98</v>
      </c>
      <c r="I43" s="3">
        <f t="shared" si="9"/>
        <v>2.5</v>
      </c>
      <c r="J43" s="120">
        <f t="shared" si="10"/>
        <v>4</v>
      </c>
      <c r="K43" s="120">
        <f t="shared" si="11"/>
        <v>4.9000000000000004</v>
      </c>
      <c r="L43" s="120">
        <f t="shared" si="12"/>
        <v>0.89980100921516026</v>
      </c>
      <c r="M43" s="120">
        <f t="shared" si="13"/>
        <v>1.0471524662516893</v>
      </c>
      <c r="N43" s="218" t="str">
        <f>Geometry!N33</f>
        <v>n</v>
      </c>
      <c r="P43" s="120">
        <f t="shared" si="14"/>
        <v>0</v>
      </c>
      <c r="Q43" s="219" cm="1">
        <f t="array" ref="Q43">IF($AC$4="EC",(1-(6*(I43+K43-J43))/(MIN(G43:H43)*(1+(MAX(G43:H43^1.5/MIN(G43:H43)^1.5))))),(1-(6*(I43+IF(OR(N43="b",N43="o"),0,K43)-J43)/(MIN(G43:H43)*(1+(MAX(G43:H43^1.5/MIN(G43:H43)^1.5)))))))</f>
        <v>0.89980100921516026</v>
      </c>
      <c r="R43" s="219">
        <f t="shared" si="15"/>
        <v>0</v>
      </c>
      <c r="S43" s="219">
        <f t="shared" si="16"/>
        <v>0.89980100921516026</v>
      </c>
      <c r="T43" s="219" cm="1">
        <f t="array" ref="T43">IF($AC$4="EC",(1+(6*(I43+J43-K43))/(MIN(G43:H43)*(1+(MAX(G43:H43^1.5/MIN(G43:H43)^1.5))))),(1+(6*(I43+J43-IF(OR(N43="i",N43="b"),0,K43)))/(MIN(G43:H43)*(1+(MAX(G43:H43^1.5/MIN(G43:H43)^1.5))))))</f>
        <v>1.0471524662516893</v>
      </c>
      <c r="U43" s="219">
        <f t="shared" si="17"/>
        <v>0</v>
      </c>
      <c r="V43" s="219">
        <f t="shared" si="18"/>
        <v>1.0471524662516893</v>
      </c>
    </row>
    <row r="44" spans="3:22">
      <c r="C44" s="12" t="str">
        <f t="shared" si="3"/>
        <v>CW8</v>
      </c>
      <c r="D44" s="2">
        <f t="shared" si="4"/>
        <v>-21.3</v>
      </c>
      <c r="E44" s="3">
        <f t="shared" si="5"/>
        <v>10.1889</v>
      </c>
      <c r="F44" s="3">
        <f t="shared" si="6"/>
        <v>1.5543122344752192E-14</v>
      </c>
      <c r="G44" s="3">
        <f t="shared" si="7"/>
        <v>98</v>
      </c>
      <c r="H44" s="4">
        <f t="shared" si="8"/>
        <v>98</v>
      </c>
      <c r="I44" s="3">
        <f t="shared" si="9"/>
        <v>0</v>
      </c>
      <c r="J44" s="120">
        <f t="shared" si="10"/>
        <v>4</v>
      </c>
      <c r="K44" s="120">
        <f t="shared" si="11"/>
        <v>4.9000000000000004</v>
      </c>
      <c r="L44" s="120">
        <f t="shared" si="12"/>
        <v>0.97244897959183674</v>
      </c>
      <c r="M44" s="120">
        <f t="shared" si="13"/>
        <v>0.97244897959183674</v>
      </c>
      <c r="N44" s="218" t="str">
        <f>Geometry!N34</f>
        <v>n</v>
      </c>
      <c r="P44" s="120">
        <f t="shared" si="14"/>
        <v>0</v>
      </c>
      <c r="Q44" s="219" cm="1">
        <f t="array" ref="Q44">IF($AC$4="EC",(1-(6*(I44+K44-J44))/(MIN(G44:H44)*(1+(MAX(G44:H44^1.5/MIN(G44:H44)^1.5))))),(1-(6*(I44+IF(OR(N44="b",N44="o"),0,K44)-J44)/(MIN(G44:H44)*(1+(MAX(G44:H44^1.5/MIN(G44:H44)^1.5)))))))</f>
        <v>0.97244897959183674</v>
      </c>
      <c r="R44" s="219">
        <f t="shared" si="15"/>
        <v>0</v>
      </c>
      <c r="S44" s="219">
        <f t="shared" si="16"/>
        <v>0.97244897959183674</v>
      </c>
      <c r="T44" s="219" cm="1">
        <f t="array" ref="T44">IF($AC$4="EC",(1+(6*(I44+J44-K44))/(MIN(G44:H44)*(1+(MAX(G44:H44^1.5/MIN(G44:H44)^1.5))))),(1+(6*(I44+J44-IF(OR(N44="i",N44="b"),0,K44)))/(MIN(G44:H44)*(1+(MAX(G44:H44^1.5/MIN(G44:H44)^1.5))))))</f>
        <v>0.97244897959183674</v>
      </c>
      <c r="U44" s="219">
        <f t="shared" si="17"/>
        <v>0</v>
      </c>
      <c r="V44" s="219">
        <f t="shared" si="18"/>
        <v>0.97244897959183674</v>
      </c>
    </row>
    <row r="45" spans="3:22">
      <c r="C45" s="12" t="str">
        <f t="shared" si="3"/>
        <v>CW9</v>
      </c>
      <c r="D45" s="2">
        <f t="shared" si="4"/>
        <v>-24.8</v>
      </c>
      <c r="E45" s="3">
        <f t="shared" si="5"/>
        <v>10.6267</v>
      </c>
      <c r="F45" s="3">
        <f t="shared" si="6"/>
        <v>1.5543122344752192E-14</v>
      </c>
      <c r="G45" s="3">
        <f t="shared" si="7"/>
        <v>98</v>
      </c>
      <c r="H45" s="4">
        <f t="shared" si="8"/>
        <v>98</v>
      </c>
      <c r="I45" s="3">
        <f t="shared" si="9"/>
        <v>0</v>
      </c>
      <c r="J45" s="120">
        <f t="shared" si="10"/>
        <v>4</v>
      </c>
      <c r="K45" s="120">
        <f t="shared" si="11"/>
        <v>4.9000000000000004</v>
      </c>
      <c r="L45" s="120">
        <f t="shared" si="12"/>
        <v>0.97244897959183674</v>
      </c>
      <c r="M45" s="120">
        <f t="shared" si="13"/>
        <v>0.97244897959183674</v>
      </c>
      <c r="N45" s="218" t="str">
        <f>Geometry!N35</f>
        <v>n</v>
      </c>
      <c r="P45" s="120">
        <f t="shared" si="14"/>
        <v>0</v>
      </c>
      <c r="Q45" s="219" cm="1">
        <f t="array" ref="Q45">IF($AC$4="EC",(1-(6*(I45+K45-J45))/(MIN(G45:H45)*(1+(MAX(G45:H45^1.5/MIN(G45:H45)^1.5))))),(1-(6*(I45+IF(OR(N45="b",N45="o"),0,K45)-J45)/(MIN(G45:H45)*(1+(MAX(G45:H45^1.5/MIN(G45:H45)^1.5)))))))</f>
        <v>0.97244897959183674</v>
      </c>
      <c r="R45" s="219">
        <f t="shared" si="15"/>
        <v>0</v>
      </c>
      <c r="S45" s="219">
        <f t="shared" si="16"/>
        <v>0.97244897959183674</v>
      </c>
      <c r="T45" s="219" cm="1">
        <f t="array" ref="T45">IF($AC$4="EC",(1+(6*(I45+J45-K45))/(MIN(G45:H45)*(1+(MAX(G45:H45^1.5/MIN(G45:H45)^1.5))))),(1+(6*(I45+J45-IF(OR(N45="i",N45="b"),0,K45)))/(MIN(G45:H45)*(1+(MAX(G45:H45^1.5/MIN(G45:H45)^1.5))))))</f>
        <v>0.97244897959183674</v>
      </c>
      <c r="U45" s="219">
        <f t="shared" si="17"/>
        <v>0</v>
      </c>
      <c r="V45" s="219">
        <f t="shared" si="18"/>
        <v>0.97244897959183674</v>
      </c>
    </row>
    <row r="46" spans="3:22">
      <c r="C46" s="12" t="str">
        <f t="shared" si="3"/>
        <v>CW10</v>
      </c>
      <c r="D46" s="2">
        <f t="shared" si="4"/>
        <v>-28.3</v>
      </c>
      <c r="E46" s="3">
        <f t="shared" si="5"/>
        <v>11.064500000000001</v>
      </c>
      <c r="F46" s="3">
        <f t="shared" si="6"/>
        <v>1.8752787248470071E-2</v>
      </c>
      <c r="G46" s="3">
        <f t="shared" si="7"/>
        <v>98</v>
      </c>
      <c r="H46" s="4">
        <f t="shared" si="8"/>
        <v>98</v>
      </c>
      <c r="I46" s="3">
        <f t="shared" si="9"/>
        <v>0</v>
      </c>
      <c r="J46" s="120">
        <f t="shared" si="10"/>
        <v>4</v>
      </c>
      <c r="K46" s="120">
        <f t="shared" si="11"/>
        <v>4.9000000000000004</v>
      </c>
      <c r="L46" s="120">
        <f t="shared" si="12"/>
        <v>0.97244897959183674</v>
      </c>
      <c r="M46" s="120">
        <f t="shared" si="13"/>
        <v>0.97244897959183674</v>
      </c>
      <c r="N46" s="218" t="str">
        <f>Geometry!N36</f>
        <v>n</v>
      </c>
      <c r="P46" s="120">
        <f t="shared" si="14"/>
        <v>0</v>
      </c>
      <c r="Q46" s="219" cm="1">
        <f t="array" ref="Q46">IF($AC$4="EC",(1-(6*(I46+K46-J46))/(MIN(G46:H46)*(1+(MAX(G46:H46^1.5/MIN(G46:H46)^1.5))))),(1-(6*(I46+IF(OR(N46="b",N46="o"),0,K46)-J46)/(MIN(G46:H46)*(1+(MAX(G46:H46^1.5/MIN(G46:H46)^1.5)))))))</f>
        <v>0.97244897959183674</v>
      </c>
      <c r="R46" s="219">
        <f t="shared" si="15"/>
        <v>0</v>
      </c>
      <c r="S46" s="219">
        <f t="shared" si="16"/>
        <v>0.97244897959183674</v>
      </c>
      <c r="T46" s="219" cm="1">
        <f t="array" ref="T46">IF($AC$4="EC",(1+(6*(I46+J46-K46))/(MIN(G46:H46)*(1+(MAX(G46:H46^1.5/MIN(G46:H46)^1.5))))),(1+(6*(I46+J46-IF(OR(N46="i",N46="b"),0,K46)))/(MIN(G46:H46)*(1+(MAX(G46:H46^1.5/MIN(G46:H46)^1.5))))))</f>
        <v>0.97244897959183674</v>
      </c>
      <c r="U46" s="219">
        <f t="shared" si="17"/>
        <v>0</v>
      </c>
      <c r="V46" s="219">
        <f t="shared" si="18"/>
        <v>0.97244897959183674</v>
      </c>
    </row>
    <row r="47" spans="3:22">
      <c r="C47" s="12" t="str">
        <f t="shared" si="3"/>
        <v>CW11</v>
      </c>
      <c r="D47" s="2">
        <f t="shared" si="4"/>
        <v>-31.8</v>
      </c>
      <c r="E47" s="3">
        <f t="shared" si="5"/>
        <v>11.5</v>
      </c>
      <c r="F47" s="3">
        <f t="shared" si="6"/>
        <v>3.5600275600241904</v>
      </c>
      <c r="G47" s="3">
        <f t="shared" si="7"/>
        <v>98</v>
      </c>
      <c r="H47" s="4">
        <f t="shared" si="8"/>
        <v>98</v>
      </c>
      <c r="I47" s="3">
        <f t="shared" si="9"/>
        <v>0</v>
      </c>
      <c r="J47" s="120">
        <f t="shared" si="10"/>
        <v>4</v>
      </c>
      <c r="K47" s="120">
        <f t="shared" si="11"/>
        <v>4.9000000000000004</v>
      </c>
      <c r="L47" s="120">
        <f t="shared" si="12"/>
        <v>1</v>
      </c>
      <c r="M47" s="120">
        <f t="shared" si="13"/>
        <v>1.5718633313309645</v>
      </c>
      <c r="N47" s="218" t="str">
        <f>Geometry!N37</f>
        <v>i</v>
      </c>
      <c r="P47" s="120" t="str">
        <f t="shared" si="14"/>
        <v>cv</v>
      </c>
      <c r="Q47" s="219" cm="1">
        <f t="array" ref="Q47">IF($AC$4="EC",(1-(6*(I47+K47-J47))/(MIN(G47:H47)*(1+(MAX(G47:H47^1.5/MIN(G47:H47)^1.5))))),(1-(6*(I47+IF(OR(N47="b",N47="o"),0,K47)-J47)/(MIN(G47:H47)*(1+(MAX(G47:H47^1.5/MIN(G47:H47)^1.5)))))))</f>
        <v>0.97244897959183674</v>
      </c>
      <c r="R47" s="219">
        <f t="shared" si="15"/>
        <v>1</v>
      </c>
      <c r="S47" s="219">
        <f t="shared" si="16"/>
        <v>1</v>
      </c>
      <c r="T47" s="219" cm="1">
        <f t="array" ref="T47">IF($AC$4="EC",(1+(6*(I47+J47-K47))/(MIN(G47:H47)*(1+(MAX(G47:H47^1.5/MIN(G47:H47)^1.5))))),(1+(6*(I47+J47-IF(OR(N47="i",N47="b"),0,K47)))/(MIN(G47:H47)*(1+(MAX(G47:H47^1.5/MIN(G47:H47)^1.5))))))</f>
        <v>0.97244897959183674</v>
      </c>
      <c r="U47" s="219">
        <f t="shared" si="17"/>
        <v>1.5718633313309645</v>
      </c>
      <c r="V47" s="219">
        <f t="shared" si="18"/>
        <v>1.5718633313309645</v>
      </c>
    </row>
    <row r="48" spans="3:22">
      <c r="C48" s="12" t="str">
        <f t="shared" si="3"/>
        <v>CW12</v>
      </c>
      <c r="D48" s="2">
        <f t="shared" si="4"/>
        <v>-35.299999999999997</v>
      </c>
      <c r="E48" s="3">
        <f t="shared" si="5"/>
        <v>11.5</v>
      </c>
      <c r="F48" s="3">
        <f t="shared" si="6"/>
        <v>0</v>
      </c>
      <c r="G48" s="3">
        <f t="shared" si="7"/>
        <v>98</v>
      </c>
      <c r="H48" s="4">
        <f t="shared" si="8"/>
        <v>100</v>
      </c>
      <c r="I48" s="3">
        <f t="shared" si="9"/>
        <v>1</v>
      </c>
      <c r="J48" s="120">
        <f t="shared" si="10"/>
        <v>4</v>
      </c>
      <c r="K48" s="120">
        <f t="shared" si="11"/>
        <v>4.9000000000000004</v>
      </c>
      <c r="L48" s="120">
        <f t="shared" si="12"/>
        <v>0.94271795882578924</v>
      </c>
      <c r="M48" s="120">
        <f t="shared" si="13"/>
        <v>1.0030148442723268</v>
      </c>
      <c r="N48" s="218" t="str">
        <f>Geometry!N38</f>
        <v>n</v>
      </c>
      <c r="P48" s="120">
        <f t="shared" si="14"/>
        <v>0</v>
      </c>
      <c r="Q48" s="219" cm="1">
        <f t="array" ref="Q48">IF($AC$4="EC",(1-(6*(I48+K48-J48))/(MIN(G48:H48)*(1+(MAX(G48:H48^1.5/MIN(G48:H48)^1.5))))),(1-(6*(I48+IF(OR(N48="b",N48="o"),0,K48)-J48)/(MIN(G48:H48)*(1+(MAX(G48:H48^1.5/MIN(G48:H48)^1.5)))))))</f>
        <v>0.94271795882578924</v>
      </c>
      <c r="R48" s="219">
        <f t="shared" si="15"/>
        <v>0</v>
      </c>
      <c r="S48" s="219">
        <f t="shared" si="16"/>
        <v>0.94271795882578924</v>
      </c>
      <c r="T48" s="219" cm="1">
        <f t="array" ref="T48">IF($AC$4="EC",(1+(6*(I48+J48-K48))/(MIN(G48:H48)*(1+(MAX(G48:H48^1.5/MIN(G48:H48)^1.5))))),(1+(6*(I48+J48-IF(OR(N48="i",N48="b"),0,K48)))/(MIN(G48:H48)*(1+(MAX(G48:H48^1.5/MIN(G48:H48)^1.5))))))</f>
        <v>1.0030148442723268</v>
      </c>
      <c r="U48" s="219">
        <f t="shared" si="17"/>
        <v>0</v>
      </c>
      <c r="V48" s="219">
        <f t="shared" si="18"/>
        <v>1.0030148442723268</v>
      </c>
    </row>
    <row r="49" spans="2:37">
      <c r="C49" s="12" t="str">
        <f t="shared" si="3"/>
        <v>CW13</v>
      </c>
      <c r="D49" s="2">
        <f t="shared" si="4"/>
        <v>-38.6</v>
      </c>
      <c r="E49" s="3">
        <f t="shared" si="5"/>
        <v>11.5</v>
      </c>
      <c r="F49" s="3">
        <f t="shared" si="6"/>
        <v>0</v>
      </c>
      <c r="G49" s="3">
        <f t="shared" si="7"/>
        <v>100</v>
      </c>
      <c r="H49" s="4">
        <f t="shared" si="8"/>
        <v>98</v>
      </c>
      <c r="I49" s="3">
        <f t="shared" si="9"/>
        <v>1</v>
      </c>
      <c r="J49" s="120">
        <f t="shared" si="10"/>
        <v>4</v>
      </c>
      <c r="K49" s="120">
        <f t="shared" si="11"/>
        <v>4.9000000000000004</v>
      </c>
      <c r="L49" s="120">
        <f t="shared" si="12"/>
        <v>0.94271795882578924</v>
      </c>
      <c r="M49" s="120">
        <f t="shared" si="13"/>
        <v>1.0030148442723268</v>
      </c>
      <c r="N49" s="218" t="str">
        <f>Geometry!N39</f>
        <v>n</v>
      </c>
      <c r="P49" s="120">
        <f t="shared" si="14"/>
        <v>0</v>
      </c>
      <c r="Q49" s="219" cm="1">
        <f t="array" ref="Q49">IF($AC$4="EC",(1-(6*(I49+K49-J49))/(MIN(G49:H49)*(1+(MAX(G49:H49^1.5/MIN(G49:H49)^1.5))))),(1-(6*(I49+IF(OR(N49="b",N49="o"),0,K49)-J49)/(MIN(G49:H49)*(1+(MAX(G49:H49^1.5/MIN(G49:H49)^1.5)))))))</f>
        <v>0.94271795882578924</v>
      </c>
      <c r="R49" s="219">
        <f t="shared" si="15"/>
        <v>0</v>
      </c>
      <c r="S49" s="219">
        <f t="shared" si="16"/>
        <v>0.94271795882578924</v>
      </c>
      <c r="T49" s="219" cm="1">
        <f t="array" ref="T49">IF($AC$4="EC",(1+(6*(I49+J49-K49))/(MIN(G49:H49)*(1+(MAX(G49:H49^1.5/MIN(G49:H49)^1.5))))),(1+(6*(I49+J49-IF(OR(N49="i",N49="b"),0,K49)))/(MIN(G49:H49)*(1+(MAX(G49:H49^1.5/MIN(G49:H49)^1.5))))))</f>
        <v>1.0030148442723268</v>
      </c>
      <c r="U49" s="219">
        <f t="shared" si="17"/>
        <v>0</v>
      </c>
      <c r="V49" s="219">
        <f t="shared" si="18"/>
        <v>1.0030148442723268</v>
      </c>
    </row>
    <row r="50" spans="2:37">
      <c r="C50" s="12" t="str">
        <f t="shared" si="3"/>
        <v>CW14</v>
      </c>
      <c r="D50" s="2">
        <f t="shared" si="4"/>
        <v>-41.9</v>
      </c>
      <c r="E50" s="3">
        <f t="shared" si="5"/>
        <v>11.5</v>
      </c>
      <c r="F50" s="3">
        <f t="shared" si="6"/>
        <v>0</v>
      </c>
      <c r="G50" s="3">
        <f t="shared" si="7"/>
        <v>98</v>
      </c>
      <c r="H50" s="4">
        <f t="shared" si="8"/>
        <v>95</v>
      </c>
      <c r="I50" s="3">
        <f t="shared" si="9"/>
        <v>1.5</v>
      </c>
      <c r="J50" s="120">
        <f t="shared" si="10"/>
        <v>4</v>
      </c>
      <c r="K50" s="120">
        <f t="shared" si="11"/>
        <v>4.75</v>
      </c>
      <c r="L50" s="120">
        <f t="shared" si="12"/>
        <v>0.93060386922572347</v>
      </c>
      <c r="M50" s="120">
        <f t="shared" si="13"/>
        <v>1.0231320435914255</v>
      </c>
      <c r="N50" s="218" t="str">
        <f>Geometry!N40</f>
        <v>n</v>
      </c>
      <c r="P50" s="120">
        <f t="shared" si="14"/>
        <v>0</v>
      </c>
      <c r="Q50" s="219" cm="1">
        <f t="array" ref="Q50">IF($AC$4="EC",(1-(6*(I50+K50-J50))/(MIN(G50:H50)*(1+(MAX(G50:H50^1.5/MIN(G50:H50)^1.5))))),(1-(6*(I50+IF(OR(N50="b",N50="o"),0,K50)-J50)/(MIN(G50:H50)*(1+(MAX(G50:H50^1.5/MIN(G50:H50)^1.5)))))))</f>
        <v>0.93060386922572347</v>
      </c>
      <c r="R50" s="219">
        <f t="shared" si="15"/>
        <v>0</v>
      </c>
      <c r="S50" s="219">
        <f t="shared" si="16"/>
        <v>0.93060386922572347</v>
      </c>
      <c r="T50" s="219" cm="1">
        <f t="array" ref="T50">IF($AC$4="EC",(1+(6*(I50+J50-K50))/(MIN(G50:H50)*(1+(MAX(G50:H50^1.5/MIN(G50:H50)^1.5))))),(1+(6*(I50+J50-IF(OR(N50="i",N50="b"),0,K50)))/(MIN(G50:H50)*(1+(MAX(G50:H50^1.5/MIN(G50:H50)^1.5))))))</f>
        <v>1.0231320435914255</v>
      </c>
      <c r="U50" s="219">
        <f t="shared" si="17"/>
        <v>0</v>
      </c>
      <c r="V50" s="219">
        <f t="shared" si="18"/>
        <v>1.0231320435914255</v>
      </c>
    </row>
    <row r="51" spans="2:37">
      <c r="C51" s="12" t="str">
        <f t="shared" si="3"/>
        <v>CW15</v>
      </c>
      <c r="D51" s="2">
        <f t="shared" si="4"/>
        <v>-45.2</v>
      </c>
      <c r="E51" s="3">
        <f t="shared" si="5"/>
        <v>11.5</v>
      </c>
      <c r="F51" s="3">
        <f t="shared" si="6"/>
        <v>0</v>
      </c>
      <c r="G51" s="3">
        <f t="shared" si="7"/>
        <v>95</v>
      </c>
      <c r="H51" s="4">
        <f t="shared" si="8"/>
        <v>95</v>
      </c>
      <c r="I51" s="3">
        <f t="shared" si="9"/>
        <v>0</v>
      </c>
      <c r="J51" s="120">
        <f t="shared" si="10"/>
        <v>4</v>
      </c>
      <c r="K51" s="120">
        <f t="shared" si="11"/>
        <v>4.75</v>
      </c>
      <c r="L51" s="120">
        <f t="shared" si="12"/>
        <v>0.97631578947368425</v>
      </c>
      <c r="M51" s="120">
        <f t="shared" si="13"/>
        <v>0.97631578947368425</v>
      </c>
      <c r="N51" s="218" t="str">
        <f>Geometry!N41</f>
        <v>n</v>
      </c>
      <c r="P51" s="120">
        <f t="shared" si="14"/>
        <v>0</v>
      </c>
      <c r="Q51" s="219" cm="1">
        <f t="array" ref="Q51">IF($AC$4="EC",(1-(6*(I51+K51-J51))/(MIN(G51:H51)*(1+(MAX(G51:H51^1.5/MIN(G51:H51)^1.5))))),(1-(6*(I51+IF(OR(N51="b",N51="o"),0,K51)-J51)/(MIN(G51:H51)*(1+(MAX(G51:H51^1.5/MIN(G51:H51)^1.5)))))))</f>
        <v>0.97631578947368425</v>
      </c>
      <c r="R51" s="219">
        <f t="shared" si="15"/>
        <v>0</v>
      </c>
      <c r="S51" s="219">
        <f t="shared" si="16"/>
        <v>0.97631578947368425</v>
      </c>
      <c r="T51" s="219" cm="1">
        <f t="array" ref="T51">IF($AC$4="EC",(1+(6*(I51+J51-K51))/(MIN(G51:H51)*(1+(MAX(G51:H51^1.5/MIN(G51:H51)^1.5))))),(1+(6*(I51+J51-IF(OR(N51="i",N51="b"),0,K51)))/(MIN(G51:H51)*(1+(MAX(G51:H51^1.5/MIN(G51:H51)^1.5))))))</f>
        <v>0.97631578947368425</v>
      </c>
      <c r="U51" s="219">
        <f t="shared" si="17"/>
        <v>0</v>
      </c>
      <c r="V51" s="219">
        <f t="shared" si="18"/>
        <v>0.97631578947368425</v>
      </c>
    </row>
    <row r="52" spans="2:37">
      <c r="C52" s="12" t="str">
        <f t="shared" si="3"/>
        <v>CW16</v>
      </c>
      <c r="D52" s="2">
        <f t="shared" si="4"/>
        <v>-48.5</v>
      </c>
      <c r="E52" s="3">
        <f t="shared" si="5"/>
        <v>11.5</v>
      </c>
      <c r="F52" s="3">
        <f t="shared" si="6"/>
        <v>0</v>
      </c>
      <c r="G52" s="3">
        <f t="shared" si="7"/>
        <v>95</v>
      </c>
      <c r="H52" s="4">
        <f t="shared" si="8"/>
        <v>95</v>
      </c>
      <c r="I52" s="3">
        <f t="shared" si="9"/>
        <v>0</v>
      </c>
      <c r="J52" s="120">
        <f t="shared" si="10"/>
        <v>4</v>
      </c>
      <c r="K52" s="120">
        <f t="shared" si="11"/>
        <v>4.75</v>
      </c>
      <c r="L52" s="120">
        <f t="shared" si="12"/>
        <v>0.97631578947368425</v>
      </c>
      <c r="M52" s="120">
        <f t="shared" si="13"/>
        <v>0.97631578947368425</v>
      </c>
      <c r="N52" s="218" t="str">
        <f>Geometry!N42</f>
        <v>n</v>
      </c>
      <c r="P52" s="120">
        <f t="shared" si="14"/>
        <v>0</v>
      </c>
      <c r="Q52" s="219" cm="1">
        <f t="array" ref="Q52">IF($AC$4="EC",(1-(6*(I52+K52-J52))/(MIN(G52:H52)*(1+(MAX(G52:H52^1.5/MIN(G52:H52)^1.5))))),(1-(6*(I52+IF(OR(N52="b",N52="o"),0,K52)-J52)/(MIN(G52:H52)*(1+(MAX(G52:H52^1.5/MIN(G52:H52)^1.5)))))))</f>
        <v>0.97631578947368425</v>
      </c>
      <c r="R52" s="219">
        <f t="shared" si="15"/>
        <v>0</v>
      </c>
      <c r="S52" s="219">
        <f t="shared" si="16"/>
        <v>0.97631578947368425</v>
      </c>
      <c r="T52" s="219" cm="1">
        <f t="array" ref="T52">IF($AC$4="EC",(1+(6*(I52+J52-K52))/(MIN(G52:H52)*(1+(MAX(G52:H52^1.5/MIN(G52:H52)^1.5))))),(1+(6*(I52+J52-IF(OR(N52="i",N52="b"),0,K52)))/(MIN(G52:H52)*(1+(MAX(G52:H52^1.5/MIN(G52:H52)^1.5))))))</f>
        <v>0.97631578947368425</v>
      </c>
      <c r="U52" s="219">
        <f t="shared" si="17"/>
        <v>0</v>
      </c>
      <c r="V52" s="219">
        <f t="shared" si="18"/>
        <v>0.97631578947368425</v>
      </c>
    </row>
    <row r="53" spans="2:37">
      <c r="C53" s="12" t="str">
        <f t="shared" si="3"/>
        <v>CW17</v>
      </c>
      <c r="D53" s="2">
        <f t="shared" si="4"/>
        <v>-51.7</v>
      </c>
      <c r="E53" s="3">
        <f t="shared" si="5"/>
        <v>11.5</v>
      </c>
      <c r="F53" s="3">
        <f t="shared" si="6"/>
        <v>0</v>
      </c>
      <c r="G53" s="3">
        <f t="shared" si="7"/>
        <v>95</v>
      </c>
      <c r="H53" s="4">
        <f t="shared" si="8"/>
        <v>93</v>
      </c>
      <c r="I53" s="3">
        <f t="shared" si="9"/>
        <v>1</v>
      </c>
      <c r="J53" s="120">
        <f t="shared" si="10"/>
        <v>4</v>
      </c>
      <c r="K53" s="120">
        <f t="shared" si="11"/>
        <v>4.6500000000000004</v>
      </c>
      <c r="L53" s="120">
        <f t="shared" si="12"/>
        <v>0.94762350147354579</v>
      </c>
      <c r="M53" s="120">
        <f t="shared" si="13"/>
        <v>1.0111101663540962</v>
      </c>
      <c r="N53" s="218" t="str">
        <f>Geometry!N43</f>
        <v>n</v>
      </c>
      <c r="P53" s="120">
        <f t="shared" si="14"/>
        <v>0</v>
      </c>
      <c r="Q53" s="219" cm="1">
        <f t="array" ref="Q53">IF($AC$4="EC",(1-(6*(I53+K53-J53))/(MIN(G53:H53)*(1+(MAX(G53:H53^1.5/MIN(G53:H53)^1.5))))),(1-(6*(I53+IF(OR(N53="b",N53="o"),0,K53)-J53)/(MIN(G53:H53)*(1+(MAX(G53:H53^1.5/MIN(G53:H53)^1.5)))))))</f>
        <v>0.94762350147354579</v>
      </c>
      <c r="R53" s="219">
        <f t="shared" si="15"/>
        <v>0</v>
      </c>
      <c r="S53" s="219">
        <f t="shared" si="16"/>
        <v>0.94762350147354579</v>
      </c>
      <c r="T53" s="219" cm="1">
        <f t="array" ref="T53">IF($AC$4="EC",(1+(6*(I53+J53-K53))/(MIN(G53:H53)*(1+(MAX(G53:H53^1.5/MIN(G53:H53)^1.5))))),(1+(6*(I53+J53-IF(OR(N53="i",N53="b"),0,K53)))/(MIN(G53:H53)*(1+(MAX(G53:H53^1.5/MIN(G53:H53)^1.5))))))</f>
        <v>1.0111101663540962</v>
      </c>
      <c r="U53" s="219">
        <f t="shared" si="17"/>
        <v>0</v>
      </c>
      <c r="V53" s="219">
        <f t="shared" si="18"/>
        <v>1.0111101663540962</v>
      </c>
    </row>
    <row r="54" spans="2:37">
      <c r="C54" s="12" t="str">
        <f t="shared" si="3"/>
        <v>CW18</v>
      </c>
      <c r="D54" s="2">
        <f t="shared" si="4"/>
        <v>-55.3</v>
      </c>
      <c r="E54" s="3">
        <f t="shared" si="5"/>
        <v>11.5</v>
      </c>
      <c r="F54" s="3">
        <f t="shared" si="6"/>
        <v>0</v>
      </c>
      <c r="G54" s="3">
        <f t="shared" si="7"/>
        <v>93</v>
      </c>
      <c r="H54" s="4">
        <f t="shared" si="8"/>
        <v>93</v>
      </c>
      <c r="I54" s="3">
        <f t="shared" si="9"/>
        <v>0</v>
      </c>
      <c r="J54" s="120">
        <f t="shared" si="10"/>
        <v>4</v>
      </c>
      <c r="K54" s="120">
        <f t="shared" si="11"/>
        <v>4.6500000000000004</v>
      </c>
      <c r="L54" s="120">
        <f t="shared" si="12"/>
        <v>0.9790322580645161</v>
      </c>
      <c r="M54" s="120">
        <f t="shared" si="13"/>
        <v>0.9790322580645161</v>
      </c>
      <c r="N54" s="218" t="str">
        <f>Geometry!N44</f>
        <v>o</v>
      </c>
      <c r="P54" s="120">
        <f t="shared" si="14"/>
        <v>0</v>
      </c>
      <c r="Q54" s="219" cm="1">
        <f t="array" ref="Q54">IF($AC$4="EC",(1-(6*(I54+K54-J54))/(MIN(G54:H54)*(1+(MAX(G54:H54^1.5/MIN(G54:H54)^1.5))))),(1-(6*(I54+IF(OR(N54="b",N54="o"),0,K54)-J54)/(MIN(G54:H54)*(1+(MAX(G54:H54^1.5/MIN(G54:H54)^1.5)))))))</f>
        <v>0.9790322580645161</v>
      </c>
      <c r="R54" s="219">
        <f t="shared" si="15"/>
        <v>0</v>
      </c>
      <c r="S54" s="219">
        <f t="shared" si="16"/>
        <v>0.9790322580645161</v>
      </c>
      <c r="T54" s="219" cm="1">
        <f t="array" ref="T54">IF($AC$4="EC",(1+(6*(I54+J54-K54))/(MIN(G54:H54)*(1+(MAX(G54:H54^1.5/MIN(G54:H54)^1.5))))),(1+(6*(I54+J54-IF(OR(N54="i",N54="b"),0,K54)))/(MIN(G54:H54)*(1+(MAX(G54:H54^1.5/MIN(G54:H54)^1.5))))))</f>
        <v>0.9790322580645161</v>
      </c>
      <c r="U54" s="219">
        <f t="shared" si="17"/>
        <v>0</v>
      </c>
      <c r="V54" s="219">
        <f t="shared" si="18"/>
        <v>0.9790322580645161</v>
      </c>
    </row>
    <row r="55" spans="2:37">
      <c r="C55" s="12" t="str">
        <f t="shared" si="3"/>
        <v>CW19</v>
      </c>
      <c r="D55" s="2">
        <f t="shared" si="4"/>
        <v>-59.3</v>
      </c>
      <c r="E55" s="3">
        <f t="shared" si="5"/>
        <v>11.5</v>
      </c>
      <c r="F55" s="3">
        <f t="shared" si="6"/>
        <v>0</v>
      </c>
      <c r="G55" s="3">
        <f t="shared" si="7"/>
        <v>93</v>
      </c>
      <c r="H55" s="4">
        <f t="shared" si="8"/>
        <v>93</v>
      </c>
      <c r="I55" s="3">
        <f t="shared" si="9"/>
        <v>0</v>
      </c>
      <c r="J55" s="120">
        <f t="shared" si="10"/>
        <v>4</v>
      </c>
      <c r="K55" s="120">
        <f t="shared" si="11"/>
        <v>4.6500000000000004</v>
      </c>
      <c r="L55" s="120">
        <f t="shared" si="12"/>
        <v>0.9790322580645161</v>
      </c>
      <c r="M55" s="120">
        <f t="shared" si="13"/>
        <v>0.9790322580645161</v>
      </c>
      <c r="N55" s="218" t="str">
        <f>Geometry!N45</f>
        <v>n</v>
      </c>
      <c r="P55" s="120">
        <f t="shared" si="14"/>
        <v>0</v>
      </c>
      <c r="Q55" s="219" cm="1">
        <f t="array" ref="Q55">IF($AC$4="EC",(1-(6*(I55+K55-J55))/(MIN(G55:H55)*(1+(MAX(G55:H55^1.5/MIN(G55:H55)^1.5))))),(1-(6*(I55+IF(OR(N55="b",N55="o"),0,K55)-J55)/(MIN(G55:H55)*(1+(MAX(G55:H55^1.5/MIN(G55:H55)^1.5)))))))</f>
        <v>0.9790322580645161</v>
      </c>
      <c r="R55" s="219">
        <f t="shared" si="15"/>
        <v>0</v>
      </c>
      <c r="S55" s="219">
        <f t="shared" si="16"/>
        <v>0.9790322580645161</v>
      </c>
      <c r="T55" s="219" cm="1">
        <f t="array" ref="T55">IF($AC$4="EC",(1+(6*(I55+J55-K55))/(MIN(G55:H55)*(1+(MAX(G55:H55^1.5/MIN(G55:H55)^1.5))))),(1+(6*(I55+J55-IF(OR(N55="i",N55="b"),0,K55)))/(MIN(G55:H55)*(1+(MAX(G55:H55^1.5/MIN(G55:H55)^1.5))))))</f>
        <v>0.9790322580645161</v>
      </c>
      <c r="U55" s="219">
        <f t="shared" si="17"/>
        <v>0</v>
      </c>
      <c r="V55" s="219">
        <f t="shared" si="18"/>
        <v>0.9790322580645161</v>
      </c>
    </row>
    <row r="56" spans="2:37">
      <c r="C56" s="12" t="str">
        <f t="shared" si="3"/>
        <v>CW20</v>
      </c>
      <c r="D56" s="2">
        <f t="shared" si="4"/>
        <v>-63.3</v>
      </c>
      <c r="E56" s="3">
        <f t="shared" si="5"/>
        <v>11.5</v>
      </c>
      <c r="F56" s="3">
        <f t="shared" si="6"/>
        <v>0</v>
      </c>
      <c r="G56" s="3">
        <f t="shared" si="7"/>
        <v>93</v>
      </c>
      <c r="H56" s="4">
        <f t="shared" si="8"/>
        <v>93</v>
      </c>
      <c r="I56" s="3">
        <f t="shared" si="9"/>
        <v>0</v>
      </c>
      <c r="J56" s="120">
        <f t="shared" si="10"/>
        <v>4</v>
      </c>
      <c r="K56" s="120">
        <f t="shared" si="11"/>
        <v>4.6500000000000004</v>
      </c>
      <c r="L56" s="120">
        <f t="shared" si="12"/>
        <v>0.9790322580645161</v>
      </c>
      <c r="M56" s="120">
        <f t="shared" si="13"/>
        <v>0.9790322580645161</v>
      </c>
      <c r="N56" s="218" t="str">
        <f>Geometry!N46</f>
        <v>n</v>
      </c>
      <c r="P56" s="120">
        <f t="shared" si="14"/>
        <v>0</v>
      </c>
      <c r="Q56" s="219" cm="1">
        <f t="array" ref="Q56">IF($AC$4="EC",(1-(6*(I56+K56-J56))/(MIN(G56:H56)*(1+(MAX(G56:H56^1.5/MIN(G56:H56)^1.5))))),(1-(6*(I56+IF(OR(N56="b",N56="o"),0,K56)-J56)/(MIN(G56:H56)*(1+(MAX(G56:H56^1.5/MIN(G56:H56)^1.5)))))))</f>
        <v>0.9790322580645161</v>
      </c>
      <c r="R56" s="219">
        <f t="shared" si="15"/>
        <v>0</v>
      </c>
      <c r="S56" s="219">
        <f t="shared" si="16"/>
        <v>0.9790322580645161</v>
      </c>
      <c r="T56" s="219" cm="1">
        <f t="array" ref="T56">IF($AC$4="EC",(1+(6*(I56+J56-K56))/(MIN(G56:H56)*(1+(MAX(G56:H56^1.5/MIN(G56:H56)^1.5))))),(1+(6*(I56+J56-IF(OR(N56="i",N56="b"),0,K56)))/(MIN(G56:H56)*(1+(MAX(G56:H56^1.5/MIN(G56:H56)^1.5))))))</f>
        <v>0.9790322580645161</v>
      </c>
      <c r="U56" s="219">
        <f t="shared" si="17"/>
        <v>0</v>
      </c>
      <c r="V56" s="219">
        <f t="shared" si="18"/>
        <v>0.9790322580645161</v>
      </c>
    </row>
    <row r="57" spans="2:37">
      <c r="C57" s="12" t="str">
        <f t="shared" si="3"/>
        <v>CW21</v>
      </c>
      <c r="D57" s="2">
        <f t="shared" si="4"/>
        <v>-67.3</v>
      </c>
      <c r="E57" s="3">
        <f t="shared" si="5"/>
        <v>11.5</v>
      </c>
      <c r="F57" s="3">
        <f t="shared" si="6"/>
        <v>0</v>
      </c>
      <c r="G57" s="3">
        <f t="shared" si="7"/>
        <v>93</v>
      </c>
      <c r="H57" s="4">
        <f t="shared" si="8"/>
        <v>96</v>
      </c>
      <c r="I57" s="3">
        <f t="shared" si="9"/>
        <v>1.5</v>
      </c>
      <c r="J57" s="120">
        <f t="shared" si="10"/>
        <v>4</v>
      </c>
      <c r="K57" s="120">
        <f t="shared" si="11"/>
        <v>4.6500000000000004</v>
      </c>
      <c r="L57" s="120">
        <f t="shared" si="12"/>
        <v>0.93229629363248201</v>
      </c>
      <c r="M57" s="120">
        <f t="shared" si="13"/>
        <v>1.0267665815871583</v>
      </c>
      <c r="N57" s="218" t="str">
        <f>Geometry!N47</f>
        <v>n</v>
      </c>
      <c r="P57" s="120">
        <f t="shared" si="14"/>
        <v>0</v>
      </c>
      <c r="Q57" s="219" cm="1">
        <f t="array" ref="Q57">IF($AC$4="EC",(1-(6*(I57+K57-J57))/(MIN(G57:H57)*(1+(MAX(G57:H57^1.5/MIN(G57:H57)^1.5))))),(1-(6*(I57+IF(OR(N57="b",N57="o"),0,K57)-J57)/(MIN(G57:H57)*(1+(MAX(G57:H57^1.5/MIN(G57:H57)^1.5)))))))</f>
        <v>0.93229629363248201</v>
      </c>
      <c r="R57" s="219">
        <f t="shared" si="15"/>
        <v>0</v>
      </c>
      <c r="S57" s="219">
        <f t="shared" si="16"/>
        <v>0.93229629363248201</v>
      </c>
      <c r="T57" s="219" cm="1">
        <f t="array" ref="T57">IF($AC$4="EC",(1+(6*(I57+J57-K57))/(MIN(G57:H57)*(1+(MAX(G57:H57^1.5/MIN(G57:H57)^1.5))))),(1+(6*(I57+J57-IF(OR(N57="i",N57="b"),0,K57)))/(MIN(G57:H57)*(1+(MAX(G57:H57^1.5/MIN(G57:H57)^1.5))))))</f>
        <v>1.0267665815871583</v>
      </c>
      <c r="U57" s="219">
        <f t="shared" si="17"/>
        <v>0</v>
      </c>
      <c r="V57" s="219">
        <f t="shared" si="18"/>
        <v>1.0267665815871583</v>
      </c>
    </row>
    <row r="58" spans="2:37">
      <c r="C58" s="12" t="str">
        <f t="shared" si="3"/>
        <v>CW22</v>
      </c>
      <c r="D58" s="2">
        <f t="shared" si="4"/>
        <v>-71</v>
      </c>
      <c r="E58" s="3">
        <f t="shared" si="5"/>
        <v>11.5</v>
      </c>
      <c r="F58" s="3">
        <f t="shared" si="6"/>
        <v>0</v>
      </c>
      <c r="G58" s="3">
        <f t="shared" si="7"/>
        <v>96</v>
      </c>
      <c r="H58" s="4">
        <f t="shared" si="8"/>
        <v>100</v>
      </c>
      <c r="I58" s="3">
        <f t="shared" si="9"/>
        <v>2</v>
      </c>
      <c r="J58" s="120">
        <f t="shared" si="10"/>
        <v>4</v>
      </c>
      <c r="K58" s="120">
        <f t="shared" si="11"/>
        <v>4.8000000000000007</v>
      </c>
      <c r="L58" s="120">
        <f t="shared" si="12"/>
        <v>0.91517810665056243</v>
      </c>
      <c r="M58" s="120">
        <f t="shared" si="13"/>
        <v>1.0363522400069018</v>
      </c>
      <c r="N58" s="218" t="str">
        <f>Geometry!N48</f>
        <v>n</v>
      </c>
      <c r="P58" s="120">
        <f t="shared" si="14"/>
        <v>0</v>
      </c>
      <c r="Q58" s="219" cm="1">
        <f t="array" ref="Q58">IF($AC$4="EC",(1-(6*(I58+K58-J58))/(MIN(G58:H58)*(1+(MAX(G58:H58^1.5/MIN(G58:H58)^1.5))))),(1-(6*(I58+IF(OR(N58="b",N58="o"),0,K58)-J58)/(MIN(G58:H58)*(1+(MAX(G58:H58^1.5/MIN(G58:H58)^1.5)))))))</f>
        <v>0.91517810665056243</v>
      </c>
      <c r="R58" s="219">
        <f t="shared" si="15"/>
        <v>0</v>
      </c>
      <c r="S58" s="219">
        <f t="shared" si="16"/>
        <v>0.91517810665056243</v>
      </c>
      <c r="T58" s="219" cm="1">
        <f t="array" ref="T58">IF($AC$4="EC",(1+(6*(I58+J58-K58))/(MIN(G58:H58)*(1+(MAX(G58:H58^1.5/MIN(G58:H58)^1.5))))),(1+(6*(I58+J58-IF(OR(N58="i",N58="b"),0,K58)))/(MIN(G58:H58)*(1+(MAX(G58:H58^1.5/MIN(G58:H58)^1.5))))))</f>
        <v>1.0363522400069018</v>
      </c>
      <c r="U58" s="219">
        <f t="shared" si="17"/>
        <v>0</v>
      </c>
      <c r="V58" s="219">
        <f t="shared" si="18"/>
        <v>1.0363522400069018</v>
      </c>
    </row>
    <row r="59" spans="2:37">
      <c r="C59" s="12" t="str">
        <f t="shared" si="3"/>
        <v>CW23</v>
      </c>
      <c r="D59" s="2">
        <f t="shared" si="4"/>
        <v>-74.3</v>
      </c>
      <c r="E59" s="3">
        <f t="shared" si="5"/>
        <v>11.5</v>
      </c>
      <c r="F59" s="3">
        <f t="shared" si="6"/>
        <v>0</v>
      </c>
      <c r="G59" s="3">
        <f t="shared" si="7"/>
        <v>100</v>
      </c>
      <c r="H59" s="4">
        <f t="shared" si="8"/>
        <v>110</v>
      </c>
      <c r="I59" s="3">
        <f t="shared" si="9"/>
        <v>5</v>
      </c>
      <c r="J59" s="120">
        <f t="shared" si="10"/>
        <v>4</v>
      </c>
      <c r="K59" s="120">
        <f t="shared" si="11"/>
        <v>5</v>
      </c>
      <c r="L59" s="120">
        <f t="shared" si="12"/>
        <v>0.83284500339764345</v>
      </c>
      <c r="M59" s="120">
        <f t="shared" si="13"/>
        <v>1.111436664401571</v>
      </c>
      <c r="N59" s="218" t="str">
        <f>Geometry!N49</f>
        <v>n</v>
      </c>
      <c r="P59" s="120">
        <f t="shared" si="14"/>
        <v>0</v>
      </c>
      <c r="Q59" s="219" cm="1">
        <f t="array" ref="Q59">IF($AC$4="EC",(1-(6*(I59+K59-J59))/(MIN(G59:H59)*(1+(MAX(G59:H59^1.5/MIN(G59:H59)^1.5))))),(1-(6*(I59+IF(OR(N59="b",N59="o"),0,K59)-J59)/(MIN(G59:H59)*(1+(MAX(G59:H59^1.5/MIN(G59:H59)^1.5)))))))</f>
        <v>0.83284500339764345</v>
      </c>
      <c r="R59" s="219">
        <f t="shared" si="15"/>
        <v>0</v>
      </c>
      <c r="S59" s="219">
        <f t="shared" si="16"/>
        <v>0.83284500339764345</v>
      </c>
      <c r="T59" s="219" cm="1">
        <f t="array" ref="T59">IF($AC$4="EC",(1+(6*(I59+J59-K59))/(MIN(G59:H59)*(1+(MAX(G59:H59^1.5/MIN(G59:H59)^1.5))))),(1+(6*(I59+J59-IF(OR(N59="i",N59="b"),0,K59)))/(MIN(G59:H59)*(1+(MAX(G59:H59^1.5/MIN(G59:H59)^1.5))))))</f>
        <v>1.111436664401571</v>
      </c>
      <c r="U59" s="219">
        <f t="shared" si="17"/>
        <v>0</v>
      </c>
      <c r="V59" s="219">
        <f t="shared" si="18"/>
        <v>1.111436664401571</v>
      </c>
    </row>
    <row r="60" spans="2:37">
      <c r="C60" s="12" t="str">
        <f t="shared" si="3"/>
        <v>CW24</v>
      </c>
      <c r="D60" s="2">
        <f t="shared" si="4"/>
        <v>-77.430000000000007</v>
      </c>
      <c r="E60" s="3">
        <f t="shared" si="5"/>
        <v>11.5</v>
      </c>
      <c r="F60" s="3">
        <f t="shared" si="6"/>
        <v>0</v>
      </c>
      <c r="G60" s="3">
        <f t="shared" si="7"/>
        <v>110</v>
      </c>
      <c r="H60" s="4">
        <f t="shared" si="8"/>
        <v>122</v>
      </c>
      <c r="I60" s="3">
        <f t="shared" si="9"/>
        <v>6</v>
      </c>
      <c r="J60" s="120">
        <f t="shared" si="10"/>
        <v>4</v>
      </c>
      <c r="K60" s="120">
        <f t="shared" si="11"/>
        <v>5.5</v>
      </c>
      <c r="L60" s="120">
        <f t="shared" si="12"/>
        <v>0.81130677470738122</v>
      </c>
      <c r="M60" s="120">
        <f t="shared" si="13"/>
        <v>1.1132159351755713</v>
      </c>
      <c r="N60" s="218" t="str">
        <f>Geometry!N50</f>
        <v>n</v>
      </c>
      <c r="P60" s="120">
        <f t="shared" si="14"/>
        <v>0</v>
      </c>
      <c r="Q60" s="219" cm="1">
        <f t="array" ref="Q60">IF($AC$4="EC",(1-(6*(I60+K60-J60))/(MIN(G60:H60)*(1+(MAX(G60:H60^1.5/MIN(G60:H60)^1.5))))),(1-(6*(I60+IF(OR(N60="b",N60="o"),0,K60)-J60)/(MIN(G60:H60)*(1+(MAX(G60:H60^1.5/MIN(G60:H60)^1.5)))))))</f>
        <v>0.81130677470738122</v>
      </c>
      <c r="R60" s="219">
        <f t="shared" si="15"/>
        <v>0</v>
      </c>
      <c r="S60" s="219">
        <f t="shared" si="16"/>
        <v>0.81130677470738122</v>
      </c>
      <c r="T60" s="219" cm="1">
        <f t="array" ref="T60">IF($AC$4="EC",(1+(6*(I60+J60-K60))/(MIN(G60:H60)*(1+(MAX(G60:H60^1.5/MIN(G60:H60)^1.5))))),(1+(6*(I60+J60-IF(OR(N60="i",N60="b"),0,K60)))/(MIN(G60:H60)*(1+(MAX(G60:H60^1.5/MIN(G60:H60)^1.5))))))</f>
        <v>1.1132159351755713</v>
      </c>
      <c r="U60" s="219">
        <f t="shared" si="17"/>
        <v>0</v>
      </c>
      <c r="V60" s="219">
        <f t="shared" si="18"/>
        <v>1.1132159351755713</v>
      </c>
    </row>
    <row r="62" spans="2:37">
      <c r="C62" s="35" t="s">
        <v>50</v>
      </c>
      <c r="M62" s="271" t="s">
        <v>60</v>
      </c>
      <c r="N62" s="267"/>
      <c r="O62" s="267"/>
      <c r="P62" s="267"/>
      <c r="Q62" s="267"/>
      <c r="R62" s="267"/>
      <c r="S62" s="267"/>
      <c r="T62" s="319"/>
      <c r="X62" s="109"/>
      <c r="Y62" s="109"/>
    </row>
    <row r="63" spans="2:37" ht="21" customHeight="1">
      <c r="B63" s="11"/>
      <c r="C63" s="312" t="s">
        <v>19</v>
      </c>
      <c r="D63" s="317" t="s">
        <v>278</v>
      </c>
      <c r="E63" s="30" t="s">
        <v>281</v>
      </c>
      <c r="F63" s="30" t="s">
        <v>281</v>
      </c>
      <c r="G63" s="313" t="s">
        <v>24</v>
      </c>
      <c r="H63" s="316"/>
      <c r="I63" s="313" t="s">
        <v>268</v>
      </c>
      <c r="J63" s="316"/>
      <c r="K63" s="312" t="s">
        <v>27</v>
      </c>
      <c r="L63" s="312"/>
      <c r="M63" s="312" t="s">
        <v>61</v>
      </c>
      <c r="N63" s="312"/>
      <c r="O63" s="313" t="s">
        <v>215</v>
      </c>
      <c r="P63" s="314"/>
      <c r="Q63" s="312" t="s">
        <v>62</v>
      </c>
      <c r="R63" s="312"/>
      <c r="S63" s="312" t="s">
        <v>63</v>
      </c>
      <c r="T63" s="312"/>
      <c r="X63" s="312" t="s">
        <v>31</v>
      </c>
      <c r="Y63" s="312"/>
      <c r="Z63" s="313" t="s">
        <v>48</v>
      </c>
      <c r="AA63" s="314"/>
      <c r="AB63" s="30" t="s">
        <v>21</v>
      </c>
      <c r="AC63" s="5" t="s">
        <v>22</v>
      </c>
      <c r="AD63" s="310" t="str">
        <f>IF(OR(Control!$F$39="EC",Control!$F$51="N"),"t","t_eff")</f>
        <v>t</v>
      </c>
      <c r="AE63" s="311"/>
      <c r="AF63" s="312" t="s">
        <v>35</v>
      </c>
      <c r="AG63" s="312"/>
      <c r="AH63" s="312"/>
      <c r="AI63" s="312"/>
      <c r="AJ63" s="310" t="s">
        <v>421</v>
      </c>
      <c r="AK63" s="311"/>
    </row>
    <row r="64" spans="2:37" ht="20.399999999999999">
      <c r="B64" s="11"/>
      <c r="C64" s="312">
        <v>0</v>
      </c>
      <c r="D64" s="318">
        <v>0</v>
      </c>
      <c r="E64" s="30" t="str">
        <f>IF(Control!$F$39="EC","m=4, N=2E6","m=5, N=1E7")</f>
        <v>m=4, N=2E6</v>
      </c>
      <c r="F64" s="30" t="str">
        <f>IF(Control!$F$39="EC","m=3, N=2E6","m=3, N=1E7")</f>
        <v>m=3, N=2E6</v>
      </c>
      <c r="G64" s="30" t="s">
        <v>25</v>
      </c>
      <c r="H64" s="30" t="s">
        <v>26</v>
      </c>
      <c r="I64" s="5" t="s">
        <v>25</v>
      </c>
      <c r="J64" s="5" t="s">
        <v>26</v>
      </c>
      <c r="K64" s="30" t="s">
        <v>25</v>
      </c>
      <c r="L64" s="30" t="s">
        <v>26</v>
      </c>
      <c r="M64" s="30" t="s">
        <v>25</v>
      </c>
      <c r="N64" s="30" t="s">
        <v>64</v>
      </c>
      <c r="O64" s="30" t="s">
        <v>25</v>
      </c>
      <c r="P64" s="30" t="s">
        <v>64</v>
      </c>
      <c r="Q64" s="30" t="s">
        <v>25</v>
      </c>
      <c r="R64" s="30" t="s">
        <v>64</v>
      </c>
      <c r="S64" s="30" t="s">
        <v>25</v>
      </c>
      <c r="T64" s="30" t="s">
        <v>64</v>
      </c>
      <c r="X64" s="30" t="s">
        <v>33</v>
      </c>
      <c r="Y64" s="30" t="s">
        <v>34</v>
      </c>
      <c r="Z64" s="30" t="s">
        <v>33</v>
      </c>
      <c r="AA64" s="30" t="s">
        <v>34</v>
      </c>
      <c r="AB64" s="313" t="s">
        <v>30</v>
      </c>
      <c r="AC64" s="314"/>
      <c r="AD64" s="30" t="s">
        <v>45</v>
      </c>
      <c r="AE64" s="30" t="s">
        <v>34</v>
      </c>
      <c r="AF64" s="30" t="s">
        <v>45</v>
      </c>
      <c r="AG64" s="30" t="s">
        <v>34</v>
      </c>
      <c r="AH64" s="30" t="s">
        <v>46</v>
      </c>
      <c r="AI64" s="30" t="s">
        <v>47</v>
      </c>
      <c r="AJ64" s="30" t="s">
        <v>45</v>
      </c>
      <c r="AK64" s="30" t="s">
        <v>34</v>
      </c>
    </row>
    <row r="65" spans="2:37">
      <c r="B65" s="11"/>
      <c r="C65" s="30" t="s">
        <v>16</v>
      </c>
      <c r="D65" s="30" t="str">
        <f>"[m"&amp;Control!$F$7&amp;"]"</f>
        <v>[mLAT]</v>
      </c>
      <c r="E65" s="313" t="s">
        <v>20</v>
      </c>
      <c r="F65" s="314"/>
      <c r="G65" s="313" t="s">
        <v>77</v>
      </c>
      <c r="H65" s="316"/>
      <c r="I65" s="316"/>
      <c r="J65" s="314"/>
      <c r="K65" s="313" t="s">
        <v>77</v>
      </c>
      <c r="L65" s="314"/>
      <c r="M65" s="320" t="s">
        <v>16</v>
      </c>
      <c r="N65" s="321"/>
      <c r="O65" s="321"/>
      <c r="P65" s="321"/>
      <c r="Q65" s="321"/>
      <c r="R65" s="321"/>
      <c r="S65" s="321"/>
      <c r="T65" s="322"/>
      <c r="X65" s="320" t="s">
        <v>32</v>
      </c>
      <c r="Y65" s="322"/>
      <c r="Z65" s="30" t="s">
        <v>10</v>
      </c>
      <c r="AA65" s="30" t="s">
        <v>10</v>
      </c>
      <c r="AB65" s="313" t="s">
        <v>23</v>
      </c>
      <c r="AC65" s="314"/>
      <c r="AD65" s="87" t="s">
        <v>10</v>
      </c>
      <c r="AE65" s="87" t="s">
        <v>10</v>
      </c>
      <c r="AF65" s="1" t="s">
        <v>16</v>
      </c>
      <c r="AG65" s="1" t="s">
        <v>16</v>
      </c>
      <c r="AH65" s="1" t="s">
        <v>16</v>
      </c>
      <c r="AI65" s="1" t="s">
        <v>16</v>
      </c>
      <c r="AJ65" s="1" t="s">
        <v>16</v>
      </c>
      <c r="AK65" s="1" t="s">
        <v>16</v>
      </c>
    </row>
    <row r="66" spans="2:37" ht="14.85" customHeight="1">
      <c r="C66" s="12" t="str">
        <f>C37</f>
        <v>CW1</v>
      </c>
      <c r="D66" s="2">
        <f>E6</f>
        <v>2.6</v>
      </c>
      <c r="E66" s="3">
        <f>IF(Geometry_loads!H19="-","-",Geometry_loads!H19*Control!$F$54)</f>
        <v>283746.91728307027</v>
      </c>
      <c r="F66" s="3">
        <f>IF(Geometry_loads!G19="-","-",Geometry_loads!G19*Control!$F$55)</f>
        <v>333667.60647502384</v>
      </c>
      <c r="G66" s="3">
        <f>IF(X66=0,E66/AB66*E37/2/1000,(E66*($AF$24/$Z$5)^(1/$AE$4)/AB66*E37/2/1000))</f>
        <v>42.616236823229166</v>
      </c>
      <c r="H66" s="3">
        <f>IF(Y66=0,E66/AB66*(E37-2*G37/1000)/2/1000,(E66*($AF$24/$Z$5)^(1/$AE$4)/AB66*(E37-2*G37/1000)/2/1000))</f>
        <v>41.284479422503253</v>
      </c>
      <c r="I66" s="3">
        <f>IF(X66=0,"-",(F66*($AF$23/$Z$5)^(1/3)/AC66*(E37-2*Z66/1000)/2/1000))</f>
        <v>39.81277202799307</v>
      </c>
      <c r="J66" s="3">
        <f>IF(Y66=0,"-",(F66*($AF$23/$Z$5)^(1/3))/AC66*(E37-2*(G37-AA66)/1000)/2/1000)</f>
        <v>38.594948502650773</v>
      </c>
      <c r="K66" s="3">
        <f>IF(OR(N37="b",N37="o"),$AC$6,$AC$7)</f>
        <v>112</v>
      </c>
      <c r="L66" s="3">
        <f>IF(OR(N37="b",N37="i"),$AC$6,$AC$7)</f>
        <v>112</v>
      </c>
      <c r="M66" s="3">
        <f>IF(D66&gt;$Z$9,$AD$13,$AD$14)*((((IF(D66&gt;$Z$9,$AD$11,$AD$12)/AF66*L37*G66*IF(OR(N37="b",N37="o"),$AE$19,1))/(AJ66*K66))^$AE$4)+(((IF(D66&gt;$Z$9,$AD$11,$AD$12)/AH66*L37*IF(X66=0,0,I66)*IF(OR(N37="b",N37="o"),$AE$19,1))/(0.7*IF(K66=65.5,58.48,K66)))^3))</f>
        <v>0.36968415195415266</v>
      </c>
      <c r="N66" s="3">
        <f>IF(D66&gt;$Z$9,$AD$13,$AD$14)*((((IF(D66&gt;$Z$9,$AD$11,$AD$12)/AG66*M37*H66*IF(OR(N37="b",N37="i"),$AE$19,1))/(AK66*L66))^$AE$4)+(((IF(D66&gt;$Z$9,$AD$11,$AD$12)/AI66*M37*IF(Y66=0,0,J66)*IF(OR(N37="b",N37="i"),$AE$19,1))/(0.7*IF(L66=65.5,58.48,L66)))^3))</f>
        <v>0.69297665026219668</v>
      </c>
      <c r="O66" s="3">
        <f>IF(Control!$F$47="N",Control!$F$48,'FLS MP (driving)'!M35)</f>
        <v>0.1</v>
      </c>
      <c r="P66" s="3">
        <f>IF(Control!$F$47="N",Control!$F$48,'FLS MP (driving)'!N35)</f>
        <v>0.1</v>
      </c>
      <c r="Q66" s="3">
        <f>Control!$F$45</f>
        <v>0.03</v>
      </c>
      <c r="R66" s="3">
        <f>Control!$F$45</f>
        <v>0.03</v>
      </c>
      <c r="S66" s="3">
        <f>M66+O66+Q66</f>
        <v>0.49968415195415272</v>
      </c>
      <c r="T66" s="3">
        <f>N66+P66+R66</f>
        <v>0.82297665026219669</v>
      </c>
      <c r="X66" s="37" t="str">
        <f>IF(OR(D66&gt;=$Z$13,D66&lt;=$Z$12,Geometry!P27="n"),0,"X")</f>
        <v>X</v>
      </c>
      <c r="Y66" s="37" t="str">
        <f>IF(OR(D66&gt;=$Z$15,D66&lt;=$Z$12,Geometry!Q27="n"),0,"X")</f>
        <v>X</v>
      </c>
      <c r="Z66" s="37">
        <f>0.5*IF(OR(D66&gt;=$Z$13,D66&lt;=$Z$12),0,$AF$23*$AF$25)</f>
        <v>1.7999999999999998</v>
      </c>
      <c r="AA66" s="37">
        <f>0.5*IF(OR(D66&gt;=$Z$15,D66&lt;=$Z$12),0,$AF$23*$AF$26)</f>
        <v>0.89999999999999991</v>
      </c>
      <c r="AB66" s="3">
        <f>(PI()/64*(E37^4-(E37-2*G37/1000)^4))</f>
        <v>23.978995928629857</v>
      </c>
      <c r="AC66" s="3">
        <f>(PI()/64*((E37-2*Z66/1000)^4-((E37-2*Z66/1000)-2*(G37-Z66-AA66)/1000)^4))</f>
        <v>23.452755589913028</v>
      </c>
      <c r="AD66" s="3">
        <f>IF(OR(Control!$F$39="EC",Control!$F$51="N"),G37,MIN(G37,14+0.66*(INDEX('Eff. thickness (DNVGL-RP-C203)'!$E$31:$E$1048576,MATCH(G37,'Eff. thickness (DNVGL-RP-C203)'!$C$31:$C$1048576,0)))))</f>
        <v>125</v>
      </c>
      <c r="AE66" s="3">
        <f>IF(OR(Control!$F$39="EC",Control!$F$51="N"),G37,MIN(G37,14+0.66*(INDEX('Eff. thickness (DNVGL-RP-C203)'!$D$31:$D$1048576,MATCH(G37,'Eff. thickness (DNVGL-RP-C203)'!$C$31:$C$1048576,0))+IF(I37&lt;0.001,0,'Eff. thickness (DNVGL-RP-C203)'!$L$29))))</f>
        <v>125</v>
      </c>
      <c r="AF66" s="3">
        <f>(25/AD66)^(IF(OR(N37="b",N37="o"),0.1,0.2))</f>
        <v>0.85133992252078461</v>
      </c>
      <c r="AG66" s="3">
        <f>(25/AE66)^(IF(OR(N37="b",N37="i"),0.1,0.2))</f>
        <v>0.85133992252078461</v>
      </c>
      <c r="AH66" s="3">
        <f>IF(X66=0,1,(25/AD66)^(IF(OR(N37="b",N37="o"),0.15,0.2)))</f>
        <v>0.78551503023176439</v>
      </c>
      <c r="AI66" s="3">
        <f>IF(Y66=0,1,(25/AE66)^(IF(OR(N37="b",N37="i"),0.15,0.2)))</f>
        <v>0.78551503023176439</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2:37" ht="14.85" customHeight="1">
      <c r="C67" s="12" t="str">
        <f t="shared" ref="C67:C89" si="19">C38</f>
        <v>CW2</v>
      </c>
      <c r="D67" s="2">
        <f t="shared" ref="D67:D89" si="20">E7</f>
        <v>-0.6</v>
      </c>
      <c r="E67" s="3">
        <f>IF(Geometry_loads!H20="-","-",Geometry_loads!H20*Control!$F$54)</f>
        <v>290111.12169594778</v>
      </c>
      <c r="F67" s="3">
        <f>IF(Geometry_loads!G20="-","-",Geometry_loads!G20*Control!$F$55)</f>
        <v>341481.34156336304</v>
      </c>
      <c r="G67" s="3">
        <f t="shared" ref="G67:G89" si="21">IF(X67=0,E67/AB67*E38/2/1000,(E67*($AF$24/$Z$5)^(1/$AE$4)/AB67*E38/2/1000))</f>
        <v>51.972384268622676</v>
      </c>
      <c r="H67" s="3">
        <f t="shared" ref="H67:H89" si="22">IF(Y67=0,E67/AB67*(E38-2*G38/1000)/2/1000,(E67*($AF$24/$Z$5)^(1/$AE$4)/AB67*(E38-2*G38/1000)/2/1000))</f>
        <v>50.465185124832622</v>
      </c>
      <c r="I67" s="3" t="str">
        <f t="shared" ref="I67:I89" si="23">IF(X67=0,"-",(F67*($AF$23/$Z$5)^(1/3)/AC67*(E38-2*Z67/1000)/2/1000))</f>
        <v>-</v>
      </c>
      <c r="J67" s="3" t="str">
        <f t="shared" ref="J67:J89" si="24">IF(Y67=0,"-",(F67*($AF$23/$Z$5)^(1/3))/AC67*(E38-2*(G38-AA67)/1000)/2/1000)</f>
        <v>-</v>
      </c>
      <c r="K67" s="3">
        <f t="shared" ref="K67:K89" si="25">IF(OR(N38="b",N38="o"),$AC$6,$AC$7)</f>
        <v>90</v>
      </c>
      <c r="L67" s="3">
        <f t="shared" ref="L67:L89" si="26">IF(OR(N38="b",N38="i"),$AC$6,$AC$7)</f>
        <v>112</v>
      </c>
      <c r="M67" s="3">
        <f t="shared" ref="M67:M89" si="27">IF(D67&gt;$Z$9,$AD$13,$AD$14)*((((IF(D67&gt;$Z$9,$AD$11,$AD$12)/AF67*L38*G67*IF(OR(N38="b",N38="o"),$AE$19,1))/(AJ67*K67))^$AE$4)+(((IF(D67&gt;$Z$9,$AD$11,$AD$12)/AH67*L38*IF(X67=0,0,I67)*IF(OR(N38="b",N38="o"),$AE$19,1))/(0.7*IF(K67=65.5,58.48,K67)))^3))</f>
        <v>0.4751684057940101</v>
      </c>
      <c r="N67" s="3">
        <f t="shared" ref="N67:N89" si="28">IF(D67&gt;$Z$9,$AD$13,$AD$14)*((((IF(D67&gt;$Z$9,$AD$11,$AD$12)/AG67*M38*H67*IF(OR(N38="b",N38="i"),$AE$19,1))/(AK67*L67))^$AE$4)+(((IF(D67&gt;$Z$9,$AD$11,$AD$12)/AI67*M38*IF(Y67=0,0,J67)*IF(OR(N38="b",N38="i"),$AE$19,1))/(0.7*IF(L67=65.5,58.48,L67)))^3))</f>
        <v>0.24001500794892006</v>
      </c>
      <c r="O67" s="3">
        <f>IF(Control!$F$47="N",Control!$F$48,'FLS MP (driving)'!M36)</f>
        <v>0.1</v>
      </c>
      <c r="P67" s="3">
        <f>IF(Control!$F$47="N",Control!$F$48,'FLS MP (driving)'!N36)</f>
        <v>0.1</v>
      </c>
      <c r="Q67" s="3">
        <f>Control!$F$45</f>
        <v>0.03</v>
      </c>
      <c r="R67" s="3">
        <f>Control!$F$45</f>
        <v>0.03</v>
      </c>
      <c r="S67" s="3">
        <f t="shared" ref="S67:S89" si="29">M67+O67+Q67</f>
        <v>0.6051684057940101</v>
      </c>
      <c r="T67" s="3">
        <f t="shared" ref="T67:T89" si="30">N67+P67+R67</f>
        <v>0.37001500794892006</v>
      </c>
      <c r="X67" s="37">
        <f>IF(OR(D67&gt;=$Z$13,D67&lt;=$Z$12,Geometry!P28="n"),0,"X")</f>
        <v>0</v>
      </c>
      <c r="Y67" s="37">
        <f>IF(OR(D67&gt;=$Z$15,D67&lt;=$Z$12,Geometry!Q28="n"),0,"X")</f>
        <v>0</v>
      </c>
      <c r="Z67" s="37">
        <f t="shared" ref="Z67:Z89" si="31">0.5*IF(OR(D67&gt;=$Z$13,D67&lt;=$Z$12),0,$AF$23*$AF$25)</f>
        <v>0</v>
      </c>
      <c r="AA67" s="37">
        <f t="shared" ref="AA67:AA89" si="32">0.5*IF(OR(D67&gt;=$Z$15,D67&lt;=$Z$12),0,$AF$23*$AF$26)</f>
        <v>0</v>
      </c>
      <c r="AB67" s="3">
        <f t="shared" ref="AB67:AB89" si="33">(PI()/64*(E38^4-(E38-2*G38/1000)^4))</f>
        <v>22.328097952673435</v>
      </c>
      <c r="AC67" s="3">
        <f t="shared" ref="AC67:AC89" si="34">(PI()/64*((E38-2*Z67/1000)^4-((E38-2*Z67/1000)-2*(G38-Z67-AA67)/1000)^4))</f>
        <v>22.328097952673435</v>
      </c>
      <c r="AD67" s="3">
        <f>IF(OR(Control!$F$39="EC",Control!$F$51="N"),G38,MIN(G38,14+0.66*(INDEX('Eff. thickness (DNVGL-RP-C203)'!$E$31:$E$1048576,MATCH(G38,'Eff. thickness (DNVGL-RP-C203)'!$C$31:$C$1048576,0)))))</f>
        <v>116</v>
      </c>
      <c r="AE67" s="3">
        <f>IF(OR(Control!$F$39="EC",Control!$F$51="N"),G38,MIN(G38,14+0.66*(INDEX('Eff. thickness (DNVGL-RP-C203)'!$D$31:$D$1048576,MATCH(G38,'Eff. thickness (DNVGL-RP-C203)'!$C$31:$C$1048576,0))+IF(I38&lt;0.001,0,'Eff. thickness (DNVGL-RP-C203)'!$L$29))))</f>
        <v>116</v>
      </c>
      <c r="AF67" s="3">
        <f t="shared" ref="AF67:AF89" si="35">(25/AD67)^(IF(OR(N38="b",N38="o"),0.1,0.2))</f>
        <v>0.7356926274373683</v>
      </c>
      <c r="AG67" s="3">
        <f t="shared" ref="AG67:AG89" si="36">(25/AE67)^(IF(OR(N38="b",N38="i"),0.1,0.2))</f>
        <v>0.85772526337829658</v>
      </c>
      <c r="AH67" s="3">
        <f t="shared" ref="AH67:AH89" si="37">IF(X67=0,1,(25/AD67)^(IF(OR(N38="b",N38="o"),0.15,0.2)))</f>
        <v>1</v>
      </c>
      <c r="AI67" s="3">
        <f t="shared" ref="AI67:AI89" si="38">IF(Y67=0,1,(25/AE67)^(IF(OR(N38="b",N38="i"),0.15,0.2)))</f>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2:37" ht="14.85" customHeight="1">
      <c r="C68" s="12" t="str">
        <f t="shared" si="19"/>
        <v>CW3</v>
      </c>
      <c r="D68" s="2">
        <f t="shared" si="20"/>
        <v>-3.8</v>
      </c>
      <c r="E68" s="3">
        <f>IF(Geometry_loads!H21="-","-",Geometry_loads!H21*Control!$F$54)</f>
        <v>295992.32845249085</v>
      </c>
      <c r="F68" s="3">
        <f>IF(Geometry_loads!G21="-","-",Geometry_loads!G21*Control!$F$55)</f>
        <v>348775.24396391248</v>
      </c>
      <c r="G68" s="3">
        <f t="shared" si="21"/>
        <v>49.375266476289632</v>
      </c>
      <c r="H68" s="3">
        <f t="shared" si="22"/>
        <v>47.83228939890558</v>
      </c>
      <c r="I68" s="3" t="str">
        <f t="shared" si="23"/>
        <v>-</v>
      </c>
      <c r="J68" s="3" t="str">
        <f t="shared" si="24"/>
        <v>-</v>
      </c>
      <c r="K68" s="3">
        <f t="shared" si="25"/>
        <v>112</v>
      </c>
      <c r="L68" s="3">
        <f t="shared" si="26"/>
        <v>90</v>
      </c>
      <c r="M68" s="3">
        <f t="shared" si="27"/>
        <v>0.72295397455953447</v>
      </c>
      <c r="N68" s="3">
        <f t="shared" si="28"/>
        <v>0.70587969577376874</v>
      </c>
      <c r="O68" s="3">
        <f>IF(Control!$F$47="N",Control!$F$48,'FLS MP (driving)'!M37)</f>
        <v>0.1</v>
      </c>
      <c r="P68" s="3">
        <f>IF(Control!$F$47="N",Control!$F$48,'FLS MP (driving)'!N37)</f>
        <v>0.1</v>
      </c>
      <c r="Q68" s="3">
        <f>Control!$F$45</f>
        <v>0.03</v>
      </c>
      <c r="R68" s="3">
        <f>Control!$F$45</f>
        <v>0.03</v>
      </c>
      <c r="S68" s="3">
        <f t="shared" si="29"/>
        <v>0.85295397455953448</v>
      </c>
      <c r="T68" s="3">
        <f t="shared" si="30"/>
        <v>0.83587969577376875</v>
      </c>
      <c r="X68" s="37">
        <f>IF(OR(D68&gt;=$Z$13,D68&lt;=$Z$12,Geometry!P29="n"),0,"X")</f>
        <v>0</v>
      </c>
      <c r="Y68" s="37">
        <f>IF(OR(D68&gt;=$Z$15,D68&lt;=$Z$12,Geometry!Q29="n"),0,"X")</f>
        <v>0</v>
      </c>
      <c r="Z68" s="37">
        <f t="shared" si="31"/>
        <v>0</v>
      </c>
      <c r="AA68" s="37">
        <f t="shared" si="32"/>
        <v>0</v>
      </c>
      <c r="AB68" s="3">
        <f t="shared" si="33"/>
        <v>23.978995928629857</v>
      </c>
      <c r="AC68" s="3">
        <f t="shared" si="34"/>
        <v>23.978995928629857</v>
      </c>
      <c r="AD68" s="3">
        <f>IF(OR(Control!$F$39="EC",Control!$F$51="N"),G39,MIN(G39,14+0.66*(INDEX('Eff. thickness (DNVGL-RP-C203)'!$E$31:$E$1048576,MATCH(G39,'Eff. thickness (DNVGL-RP-C203)'!$C$31:$C$1048576,0)))))</f>
        <v>125</v>
      </c>
      <c r="AE68" s="3">
        <f>IF(OR(Control!$F$39="EC",Control!$F$51="N"),G39,MIN(G39,14+0.66*(INDEX('Eff. thickness (DNVGL-RP-C203)'!$D$31:$D$1048576,MATCH(G39,'Eff. thickness (DNVGL-RP-C203)'!$C$31:$C$1048576,0))+IF(I39&lt;0.001,0,'Eff. thickness (DNVGL-RP-C203)'!$L$29))))</f>
        <v>125</v>
      </c>
      <c r="AF68" s="3">
        <f t="shared" si="35"/>
        <v>0.85133992252078461</v>
      </c>
      <c r="AG68" s="3">
        <f t="shared" si="36"/>
        <v>0.72477966367769553</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2:37" ht="14.85" customHeight="1">
      <c r="C69" s="12" t="str">
        <f t="shared" si="19"/>
        <v>CW4</v>
      </c>
      <c r="D69" s="2">
        <f t="shared" si="20"/>
        <v>-7.3</v>
      </c>
      <c r="E69" s="3">
        <f>IF(Geometry_loads!H22="-","-",Geometry_loads!H22*Control!$F$54)</f>
        <v>302143.44566404429</v>
      </c>
      <c r="F69" s="3">
        <f>IF(Geometry_loads!G22="-","-",Geometry_loads!G22*Control!$F$55)</f>
        <v>356329.06270835677</v>
      </c>
      <c r="G69" s="3">
        <f t="shared" si="21"/>
        <v>45.196242113451753</v>
      </c>
      <c r="H69" s="3">
        <f t="shared" si="22"/>
        <v>43.857141811434289</v>
      </c>
      <c r="I69" s="3" t="str">
        <f t="shared" si="23"/>
        <v>-</v>
      </c>
      <c r="J69" s="3" t="str">
        <f t="shared" si="24"/>
        <v>-</v>
      </c>
      <c r="K69" s="3">
        <f t="shared" si="25"/>
        <v>90</v>
      </c>
      <c r="L69" s="3">
        <f t="shared" si="26"/>
        <v>112</v>
      </c>
      <c r="M69" s="3">
        <f t="shared" si="27"/>
        <v>0.16149862666629641</v>
      </c>
      <c r="N69" s="3">
        <f t="shared" si="28"/>
        <v>0.22926371170136547</v>
      </c>
      <c r="O69" s="3">
        <f>IF(Control!$F$47="N",Control!$F$48,'FLS MP (driving)'!M38)</f>
        <v>0.1</v>
      </c>
      <c r="P69" s="3">
        <f>IF(Control!$F$47="N",Control!$F$48,'FLS MP (driving)'!N38)</f>
        <v>0.1</v>
      </c>
      <c r="Q69" s="3">
        <f>Control!$F$45</f>
        <v>0.03</v>
      </c>
      <c r="R69" s="3">
        <f>Control!$F$45</f>
        <v>0.03</v>
      </c>
      <c r="S69" s="3">
        <f t="shared" si="29"/>
        <v>0.29149862666629645</v>
      </c>
      <c r="T69" s="3">
        <f t="shared" si="30"/>
        <v>0.35926371170136551</v>
      </c>
      <c r="X69" s="37">
        <f>IF(OR(D69&gt;=$Z$13,D69&lt;=$Z$12,Geometry!P30="n"),0,"X")</f>
        <v>0</v>
      </c>
      <c r="Y69" s="37">
        <f>IF(OR(D69&gt;=$Z$15,D69&lt;=$Z$12,Geometry!Q30="n"),0,"X")</f>
        <v>0</v>
      </c>
      <c r="Z69" s="37">
        <f t="shared" si="31"/>
        <v>0</v>
      </c>
      <c r="AA69" s="37">
        <f t="shared" si="32"/>
        <v>0</v>
      </c>
      <c r="AB69" s="3">
        <f t="shared" si="33"/>
        <v>28.203959517524662</v>
      </c>
      <c r="AC69" s="3">
        <f t="shared" si="34"/>
        <v>28.203959517524662</v>
      </c>
      <c r="AD69" s="3">
        <f>IF(OR(Control!$F$39="EC",Control!$F$51="N"),G40,MIN(G40,14+0.66*(INDEX('Eff. thickness (DNVGL-RP-C203)'!$E$31:$E$1048576,MATCH(G40,'Eff. thickness (DNVGL-RP-C203)'!$C$31:$C$1048576,0)))))</f>
        <v>125</v>
      </c>
      <c r="AE69" s="3">
        <f>IF(OR(Control!$F$39="EC",Control!$F$51="N"),G40,MIN(G40,14+0.66*(INDEX('Eff. thickness (DNVGL-RP-C203)'!$D$31:$D$1048576,MATCH(G40,'Eff. thickness (DNVGL-RP-C203)'!$C$31:$C$1048576,0))+IF(I40&lt;0.001,0,'Eff. thickness (DNVGL-RP-C203)'!$L$29))))</f>
        <v>125</v>
      </c>
      <c r="AF69" s="3">
        <f t="shared" si="35"/>
        <v>0.72477966367769553</v>
      </c>
      <c r="AG69" s="3">
        <f t="shared" si="36"/>
        <v>0.85133992252078461</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2:37" ht="14.85" customHeight="1">
      <c r="C70" s="12" t="str">
        <f t="shared" si="19"/>
        <v>CW5</v>
      </c>
      <c r="D70" s="2">
        <f t="shared" si="20"/>
        <v>-10.8</v>
      </c>
      <c r="E70" s="3">
        <f>IF(Geometry_loads!H23="-","-",Geometry_loads!H23*Control!$F$54)</f>
        <v>308308.76868901943</v>
      </c>
      <c r="F70" s="3">
        <f>IF(Geometry_loads!G23="-","-",Geometry_loads!G23*Control!$F$55)</f>
        <v>363964.10531026823</v>
      </c>
      <c r="G70" s="3">
        <f t="shared" si="21"/>
        <v>48.728725368386051</v>
      </c>
      <c r="H70" s="3">
        <f t="shared" si="22"/>
        <v>47.564805207709831</v>
      </c>
      <c r="I70" s="3" t="str">
        <f t="shared" si="23"/>
        <v>-</v>
      </c>
      <c r="J70" s="3" t="str">
        <f t="shared" si="24"/>
        <v>-</v>
      </c>
      <c r="K70" s="3">
        <f t="shared" si="25"/>
        <v>90</v>
      </c>
      <c r="L70" s="3">
        <f t="shared" si="26"/>
        <v>90</v>
      </c>
      <c r="M70" s="3">
        <f t="shared" si="27"/>
        <v>0.3219702809412533</v>
      </c>
      <c r="N70" s="3">
        <f t="shared" si="28"/>
        <v>0.87812661533681657</v>
      </c>
      <c r="O70" s="3">
        <f>IF(Control!$F$47="N",Control!$F$48,'FLS MP (driving)'!M39)</f>
        <v>0.1</v>
      </c>
      <c r="P70" s="3">
        <f>IF(Control!$F$47="N",Control!$F$48,'FLS MP (driving)'!N39)</f>
        <v>0.1</v>
      </c>
      <c r="Q70" s="3">
        <f>Control!$F$45</f>
        <v>0.03</v>
      </c>
      <c r="R70" s="3">
        <f>Control!$F$45</f>
        <v>0.03</v>
      </c>
      <c r="S70" s="3">
        <f t="shared" si="29"/>
        <v>0.45197028094125336</v>
      </c>
      <c r="T70" s="3">
        <f t="shared" si="30"/>
        <v>1.0081266153368165</v>
      </c>
      <c r="X70" s="37">
        <f>IF(OR(D70&gt;=$Z$13,D70&lt;=$Z$12,Geometry!P31="n"),0,"X")</f>
        <v>0</v>
      </c>
      <c r="Y70" s="37">
        <f>IF(OR(D70&gt;=$Z$15,D70&lt;=$Z$12,Geometry!Q31="n"),0,"X")</f>
        <v>0</v>
      </c>
      <c r="Z70" s="37">
        <f t="shared" si="31"/>
        <v>0</v>
      </c>
      <c r="AA70" s="37">
        <f t="shared" si="32"/>
        <v>0</v>
      </c>
      <c r="AB70" s="3">
        <f t="shared" si="33"/>
        <v>28.078153970671924</v>
      </c>
      <c r="AC70" s="3">
        <f t="shared" si="34"/>
        <v>28.078153970671924</v>
      </c>
      <c r="AD70" s="3">
        <f>IF(OR(Control!$F$39="EC",Control!$F$51="N"),G41,MIN(G41,14+0.66*(INDEX('Eff. thickness (DNVGL-RP-C203)'!$E$31:$E$1048576,MATCH(G41,'Eff. thickness (DNVGL-RP-C203)'!$C$31:$C$1048576,0)))))</f>
        <v>106</v>
      </c>
      <c r="AE70" s="3">
        <f>IF(OR(Control!$F$39="EC",Control!$F$51="N"),G41,MIN(G41,14+0.66*(INDEX('Eff. thickness (DNVGL-RP-C203)'!$D$31:$D$1048576,MATCH(G41,'Eff. thickness (DNVGL-RP-C203)'!$C$31:$C$1048576,0))+IF(I41&lt;0.001,0,'Eff. thickness (DNVGL-RP-C203)'!$L$29))))</f>
        <v>106</v>
      </c>
      <c r="AF70" s="3">
        <f t="shared" si="35"/>
        <v>0.7490776315933545</v>
      </c>
      <c r="AG70" s="3">
        <f t="shared" si="36"/>
        <v>0.7490776315933545</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2:37" ht="14.85" customHeight="1">
      <c r="C71" s="12" t="str">
        <f t="shared" si="19"/>
        <v>CW6</v>
      </c>
      <c r="D71" s="2">
        <f t="shared" si="20"/>
        <v>-14.3</v>
      </c>
      <c r="E71" s="3">
        <f>IF(Geometry_loads!H24="-","-",Geometry_loads!H24*Control!$F$54)</f>
        <v>315028.11843743699</v>
      </c>
      <c r="F71" s="3">
        <f>IF(Geometry_loads!G24="-","-",Geometry_loads!G24*Control!$F$55)</f>
        <v>372541.34465879854</v>
      </c>
      <c r="G71" s="3">
        <f t="shared" si="21"/>
        <v>41.385232880542837</v>
      </c>
      <c r="H71" s="3">
        <f t="shared" si="22"/>
        <v>40.354312483235105</v>
      </c>
      <c r="I71" s="3" t="str">
        <f t="shared" si="23"/>
        <v>-</v>
      </c>
      <c r="J71" s="3" t="str">
        <f t="shared" si="24"/>
        <v>-</v>
      </c>
      <c r="K71" s="3">
        <f t="shared" si="25"/>
        <v>90</v>
      </c>
      <c r="L71" s="3">
        <f t="shared" si="26"/>
        <v>90</v>
      </c>
      <c r="M71" s="3">
        <f t="shared" si="27"/>
        <v>0.15034487673254002</v>
      </c>
      <c r="N71" s="3">
        <f t="shared" si="28"/>
        <v>0.57288060299372046</v>
      </c>
      <c r="O71" s="3">
        <f>IF(Control!$F$47="N",Control!$F$48,'FLS MP (driving)'!M40)</f>
        <v>0.1</v>
      </c>
      <c r="P71" s="3">
        <f>IF(Control!$F$47="N",Control!$F$48,'FLS MP (driving)'!N40)</f>
        <v>0.1</v>
      </c>
      <c r="Q71" s="3">
        <f>Control!$F$45</f>
        <v>0.03</v>
      </c>
      <c r="R71" s="3">
        <f>Control!$F$45</f>
        <v>0.03</v>
      </c>
      <c r="S71" s="3">
        <f t="shared" si="29"/>
        <v>0.28034487673254005</v>
      </c>
      <c r="T71" s="3">
        <f t="shared" si="30"/>
        <v>0.70288060299372046</v>
      </c>
      <c r="X71" s="37">
        <f>IF(OR(D71&gt;=$Z$13,D71&lt;=$Z$12,Geometry!P32="n"),0,"X")</f>
        <v>0</v>
      </c>
      <c r="Y71" s="37">
        <f>IF(OR(D71&gt;=$Z$15,D71&lt;=$Z$12,Geometry!Q32="n"),0,"X")</f>
        <v>0</v>
      </c>
      <c r="Z71" s="37">
        <f t="shared" si="31"/>
        <v>0</v>
      </c>
      <c r="AA71" s="37">
        <f t="shared" si="32"/>
        <v>0</v>
      </c>
      <c r="AB71" s="3">
        <f t="shared" si="33"/>
        <v>35.447219624498352</v>
      </c>
      <c r="AC71" s="3">
        <f t="shared" si="34"/>
        <v>35.447219624498352</v>
      </c>
      <c r="AD71" s="3">
        <f>IF(OR(Control!$F$39="EC",Control!$F$51="N"),G42,MIN(G42,14+0.66*(INDEX('Eff. thickness (DNVGL-RP-C203)'!$E$31:$E$1048576,MATCH(G42,'Eff. thickness (DNVGL-RP-C203)'!$C$31:$C$1048576,0)))))</f>
        <v>116</v>
      </c>
      <c r="AE71" s="3">
        <f>IF(OR(Control!$F$39="EC",Control!$F$51="N"),G42,MIN(G42,14+0.66*(INDEX('Eff. thickness (DNVGL-RP-C203)'!$D$31:$D$1048576,MATCH(G42,'Eff. thickness (DNVGL-RP-C203)'!$C$31:$C$1048576,0))+IF(I42&lt;0.001,0,'Eff. thickness (DNVGL-RP-C203)'!$L$29))))</f>
        <v>116</v>
      </c>
      <c r="AF71" s="3">
        <f t="shared" si="35"/>
        <v>0.7356926274373683</v>
      </c>
      <c r="AG71" s="3">
        <f t="shared" si="36"/>
        <v>0.7356926274373683</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2:37" ht="14.85" customHeight="1">
      <c r="C72" s="12" t="str">
        <f t="shared" si="19"/>
        <v>CW7</v>
      </c>
      <c r="D72" s="2">
        <f t="shared" si="20"/>
        <v>-17.8</v>
      </c>
      <c r="E72" s="3">
        <f>IF(Geometry_loads!H25="-","-",Geometry_loads!H25*Control!$F$54)</f>
        <v>322486.17048377782</v>
      </c>
      <c r="F72" s="3">
        <f>IF(Geometry_loads!G25="-","-",Geometry_loads!G25*Control!$F$55)</f>
        <v>382174.49415440171</v>
      </c>
      <c r="G72" s="3">
        <f t="shared" si="21"/>
        <v>43.277555001450182</v>
      </c>
      <c r="H72" s="3">
        <f t="shared" si="22"/>
        <v>42.363281090783822</v>
      </c>
      <c r="I72" s="3" t="str">
        <f t="shared" si="23"/>
        <v>-</v>
      </c>
      <c r="J72" s="3" t="str">
        <f t="shared" si="24"/>
        <v>-</v>
      </c>
      <c r="K72" s="3">
        <f t="shared" si="25"/>
        <v>90</v>
      </c>
      <c r="L72" s="3">
        <f t="shared" si="26"/>
        <v>90</v>
      </c>
      <c r="M72" s="3">
        <f t="shared" si="27"/>
        <v>0.26559785225511495</v>
      </c>
      <c r="N72" s="3">
        <f t="shared" si="28"/>
        <v>0.4472865348956066</v>
      </c>
      <c r="O72" s="3">
        <f>IF(Control!$F$47="N",Control!$F$48,'FLS MP (driving)'!M41)</f>
        <v>0.1</v>
      </c>
      <c r="P72" s="3">
        <f>IF(Control!$F$47="N",Control!$F$48,'FLS MP (driving)'!N41)</f>
        <v>0.1</v>
      </c>
      <c r="Q72" s="3">
        <f>Control!$F$45</f>
        <v>0.03</v>
      </c>
      <c r="R72" s="3">
        <f>Control!$F$45</f>
        <v>0.03</v>
      </c>
      <c r="S72" s="3">
        <f t="shared" si="29"/>
        <v>0.39559785225511501</v>
      </c>
      <c r="T72" s="3">
        <f t="shared" si="30"/>
        <v>0.57728653489560666</v>
      </c>
      <c r="X72" s="37">
        <f>IF(OR(D72&gt;=$Z$13,D72&lt;=$Z$12,Geometry!P33="n"),0,"X")</f>
        <v>0</v>
      </c>
      <c r="Y72" s="37">
        <f>IF(OR(D72&gt;=$Z$15,D72&lt;=$Z$12,Geometry!Q33="n"),0,"X")</f>
        <v>0</v>
      </c>
      <c r="Z72" s="37">
        <f t="shared" si="31"/>
        <v>0</v>
      </c>
      <c r="AA72" s="37">
        <f t="shared" si="32"/>
        <v>0</v>
      </c>
      <c r="AB72" s="3">
        <f t="shared" si="33"/>
        <v>36.330551678566337</v>
      </c>
      <c r="AC72" s="3">
        <f t="shared" si="34"/>
        <v>36.330551678566337</v>
      </c>
      <c r="AD72" s="3">
        <f>IF(OR(Control!$F$39="EC",Control!$F$51="N"),G43,MIN(G43,14+0.66*(INDEX('Eff. thickness (DNVGL-RP-C203)'!$E$31:$E$1048576,MATCH(G43,'Eff. thickness (DNVGL-RP-C203)'!$C$31:$C$1048576,0)))))</f>
        <v>103</v>
      </c>
      <c r="AE72" s="3">
        <f>IF(OR(Control!$F$39="EC",Control!$F$51="N"),G43,MIN(G43,14+0.66*(INDEX('Eff. thickness (DNVGL-RP-C203)'!$D$31:$D$1048576,MATCH(G43,'Eff. thickness (DNVGL-RP-C203)'!$C$31:$C$1048576,0))+IF(I43&lt;0.001,0,'Eff. thickness (DNVGL-RP-C203)'!$L$29))))</f>
        <v>103</v>
      </c>
      <c r="AF72" s="3">
        <f t="shared" si="35"/>
        <v>0.75339122373362577</v>
      </c>
      <c r="AG72" s="3">
        <f t="shared" si="36"/>
        <v>0.75339122373362577</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2:37" ht="14.85" customHeight="1">
      <c r="C73" s="12" t="str">
        <f t="shared" si="19"/>
        <v>CW8</v>
      </c>
      <c r="D73" s="2">
        <f t="shared" si="20"/>
        <v>-21.3</v>
      </c>
      <c r="E73" s="3">
        <f>IF(Geometry_loads!H26="-","-",Geometry_loads!H26*Control!$F$54)</f>
        <v>331066.48179042514</v>
      </c>
      <c r="F73" s="3">
        <f>IF(Geometry_loads!G26="-","-",Geometry_loads!G26*Control!$F$55)</f>
        <v>393643.30282876233</v>
      </c>
      <c r="G73" s="3">
        <f t="shared" si="21"/>
        <v>42.647727016774525</v>
      </c>
      <c r="H73" s="3">
        <f t="shared" si="22"/>
        <v>41.82732888790018</v>
      </c>
      <c r="I73" s="3" t="str">
        <f t="shared" si="23"/>
        <v>-</v>
      </c>
      <c r="J73" s="3" t="str">
        <f t="shared" si="24"/>
        <v>-</v>
      </c>
      <c r="K73" s="3">
        <f t="shared" si="25"/>
        <v>90</v>
      </c>
      <c r="L73" s="3">
        <f t="shared" si="26"/>
        <v>90</v>
      </c>
      <c r="M73" s="3">
        <f t="shared" si="27"/>
        <v>0.32835960631600752</v>
      </c>
      <c r="N73" s="3">
        <f t="shared" si="28"/>
        <v>0.30381323743878974</v>
      </c>
      <c r="O73" s="3">
        <f>IF(Control!$F$47="N",Control!$F$48,'FLS MP (driving)'!M42)</f>
        <v>0.1</v>
      </c>
      <c r="P73" s="3">
        <f>IF(Control!$F$47="N",Control!$F$48,'FLS MP (driving)'!N42)</f>
        <v>0.1</v>
      </c>
      <c r="Q73" s="3">
        <f>Control!$F$45</f>
        <v>0.03</v>
      </c>
      <c r="R73" s="3">
        <f>Control!$F$45</f>
        <v>0.03</v>
      </c>
      <c r="S73" s="3">
        <f t="shared" si="29"/>
        <v>0.45835960631600758</v>
      </c>
      <c r="T73" s="3">
        <f t="shared" si="30"/>
        <v>0.43381323743878974</v>
      </c>
      <c r="X73" s="37">
        <f>IF(OR(D73&gt;=$Z$13,D73&lt;=$Z$12,Geometry!P34="n"),0,"X")</f>
        <v>0</v>
      </c>
      <c r="Y73" s="37">
        <f>IF(OR(D73&gt;=$Z$15,D73&lt;=$Z$12,Geometry!Q34="n"),0,"X")</f>
        <v>0</v>
      </c>
      <c r="Z73" s="37">
        <f t="shared" si="31"/>
        <v>0</v>
      </c>
      <c r="AA73" s="37">
        <f t="shared" si="32"/>
        <v>0</v>
      </c>
      <c r="AB73" s="3">
        <f t="shared" si="33"/>
        <v>39.547280854940865</v>
      </c>
      <c r="AC73" s="3">
        <f t="shared" si="34"/>
        <v>39.547280854940865</v>
      </c>
      <c r="AD73" s="3">
        <f>IF(OR(Control!$F$39="EC",Control!$F$51="N"),G44,MIN(G44,14+0.66*(INDEX('Eff. thickness (DNVGL-RP-C203)'!$E$31:$E$1048576,MATCH(G44,'Eff. thickness (DNVGL-RP-C203)'!$C$31:$C$1048576,0)))))</f>
        <v>98</v>
      </c>
      <c r="AE73" s="3">
        <f>IF(OR(Control!$F$39="EC",Control!$F$51="N"),G44,MIN(G44,14+0.66*(INDEX('Eff. thickness (DNVGL-RP-C203)'!$D$31:$D$1048576,MATCH(G44,'Eff. thickness (DNVGL-RP-C203)'!$C$31:$C$1048576,0))+IF(I44&lt;0.001,0,'Eff. thickness (DNVGL-RP-C203)'!$L$29))))</f>
        <v>98</v>
      </c>
      <c r="AF73" s="3">
        <f t="shared" si="35"/>
        <v>0.76092663580050734</v>
      </c>
      <c r="AG73" s="3">
        <f t="shared" si="36"/>
        <v>0.76092663580050734</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2:37" ht="14.85" customHeight="1">
      <c r="C74" s="12" t="str">
        <f t="shared" si="19"/>
        <v>CW9</v>
      </c>
      <c r="D74" s="2">
        <f t="shared" si="20"/>
        <v>-24.8</v>
      </c>
      <c r="E74" s="3">
        <f>IF(Geometry_loads!H27="-","-",Geometry_loads!H27*Control!$F$54)</f>
        <v>341010.55118554627</v>
      </c>
      <c r="F74" s="3">
        <f>IF(Geometry_loads!G27="-","-",Geometry_loads!G27*Control!$F$55)</f>
        <v>407110.21839681466</v>
      </c>
      <c r="G74" s="3">
        <f t="shared" si="21"/>
        <v>40.33558887930792</v>
      </c>
      <c r="H74" s="3">
        <f t="shared" si="22"/>
        <v>39.591634931201327</v>
      </c>
      <c r="I74" s="3" t="str">
        <f t="shared" si="23"/>
        <v>-</v>
      </c>
      <c r="J74" s="3" t="str">
        <f t="shared" si="24"/>
        <v>-</v>
      </c>
      <c r="K74" s="3">
        <f t="shared" si="25"/>
        <v>90</v>
      </c>
      <c r="L74" s="3">
        <f t="shared" si="26"/>
        <v>90</v>
      </c>
      <c r="M74" s="3">
        <f t="shared" si="27"/>
        <v>0.26273611564028687</v>
      </c>
      <c r="N74" s="3">
        <f t="shared" si="28"/>
        <v>0.24388209255290175</v>
      </c>
      <c r="O74" s="3">
        <f>IF(Control!$F$47="N",Control!$F$48,'FLS MP (driving)'!M43)</f>
        <v>0.1</v>
      </c>
      <c r="P74" s="3">
        <f>IF(Control!$F$47="N",Control!$F$48,'FLS MP (driving)'!N43)</f>
        <v>0.1</v>
      </c>
      <c r="Q74" s="3">
        <f>Control!$F$45</f>
        <v>0.03</v>
      </c>
      <c r="R74" s="3">
        <f>Control!$F$45</f>
        <v>0.03</v>
      </c>
      <c r="S74" s="3">
        <f t="shared" si="29"/>
        <v>0.39273611564028688</v>
      </c>
      <c r="T74" s="3">
        <f t="shared" si="30"/>
        <v>0.37388209255290172</v>
      </c>
      <c r="X74" s="37">
        <f>IF(OR(D74&gt;=$Z$13,D74&lt;=$Z$12,Geometry!P35="n"),0,"X")</f>
        <v>0</v>
      </c>
      <c r="Y74" s="37">
        <f>IF(OR(D74&gt;=$Z$15,D74&lt;=$Z$12,Geometry!Q35="n"),0,"X")</f>
        <v>0</v>
      </c>
      <c r="Z74" s="37">
        <f t="shared" si="31"/>
        <v>0</v>
      </c>
      <c r="AA74" s="37">
        <f t="shared" si="32"/>
        <v>0</v>
      </c>
      <c r="AB74" s="3">
        <f t="shared" si="33"/>
        <v>44.920836970133529</v>
      </c>
      <c r="AC74" s="3">
        <f t="shared" si="34"/>
        <v>44.920836970133529</v>
      </c>
      <c r="AD74" s="3">
        <f>IF(OR(Control!$F$39="EC",Control!$F$51="N"),G45,MIN(G45,14+0.66*(INDEX('Eff. thickness (DNVGL-RP-C203)'!$E$31:$E$1048576,MATCH(G45,'Eff. thickness (DNVGL-RP-C203)'!$C$31:$C$1048576,0)))))</f>
        <v>98</v>
      </c>
      <c r="AE74" s="3">
        <f>IF(OR(Control!$F$39="EC",Control!$F$51="N"),G45,MIN(G45,14+0.66*(INDEX('Eff. thickness (DNVGL-RP-C203)'!$D$31:$D$1048576,MATCH(G45,'Eff. thickness (DNVGL-RP-C203)'!$C$31:$C$1048576,0))+IF(I45&lt;0.001,0,'Eff. thickness (DNVGL-RP-C203)'!$L$29))))</f>
        <v>98</v>
      </c>
      <c r="AF74" s="3">
        <f t="shared" si="35"/>
        <v>0.76092663580050734</v>
      </c>
      <c r="AG74" s="3">
        <f t="shared" si="36"/>
        <v>0.76092663580050734</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2:37" ht="14.85" customHeight="1">
      <c r="C75" s="12" t="str">
        <f t="shared" si="19"/>
        <v>CW10</v>
      </c>
      <c r="D75" s="2">
        <f t="shared" si="20"/>
        <v>-28.3</v>
      </c>
      <c r="E75" s="3">
        <f>IF(Geometry_loads!H28="-","-",Geometry_loads!H28*Control!$F$54)</f>
        <v>352275.76122887636</v>
      </c>
      <c r="F75" s="3">
        <f>IF(Geometry_loads!G28="-","-",Geometry_loads!G28*Control!$F$55)</f>
        <v>422688.95425901271</v>
      </c>
      <c r="G75" s="3">
        <f t="shared" si="21"/>
        <v>38.393684248589913</v>
      </c>
      <c r="H75" s="3">
        <f t="shared" si="22"/>
        <v>37.713566564761123</v>
      </c>
      <c r="I75" s="3" t="str">
        <f t="shared" si="23"/>
        <v>-</v>
      </c>
      <c r="J75" s="3" t="str">
        <f t="shared" si="24"/>
        <v>-</v>
      </c>
      <c r="K75" s="3">
        <f t="shared" si="25"/>
        <v>90</v>
      </c>
      <c r="L75" s="3">
        <f t="shared" si="26"/>
        <v>90</v>
      </c>
      <c r="M75" s="3">
        <f t="shared" si="27"/>
        <v>0.21567773961827838</v>
      </c>
      <c r="N75" s="3">
        <f t="shared" si="28"/>
        <v>0.20079670857420806</v>
      </c>
      <c r="O75" s="3">
        <f>IF(Control!$F$47="N",Control!$F$48,'FLS MP (driving)'!M44)</f>
        <v>0.1</v>
      </c>
      <c r="P75" s="3">
        <f>IF(Control!$F$47="N",Control!$F$48,'FLS MP (driving)'!N44)</f>
        <v>0.1</v>
      </c>
      <c r="Q75" s="3">
        <f>Control!$F$45</f>
        <v>0.03</v>
      </c>
      <c r="R75" s="3">
        <f>Control!$F$45</f>
        <v>0.03</v>
      </c>
      <c r="S75" s="3">
        <f t="shared" si="29"/>
        <v>0.34567773961827841</v>
      </c>
      <c r="T75" s="3">
        <f t="shared" si="30"/>
        <v>0.33079670857420806</v>
      </c>
      <c r="X75" s="37">
        <f>IF(OR(D75&gt;=$Z$13,D75&lt;=$Z$12,Geometry!P36="n"),0,"X")</f>
        <v>0</v>
      </c>
      <c r="Y75" s="37">
        <f>IF(OR(D75&gt;=$Z$15,D75&lt;=$Z$12,Geometry!Q36="n"),0,"X")</f>
        <v>0</v>
      </c>
      <c r="Z75" s="37">
        <f t="shared" si="31"/>
        <v>0</v>
      </c>
      <c r="AA75" s="37">
        <f t="shared" si="32"/>
        <v>0</v>
      </c>
      <c r="AB75" s="3">
        <f t="shared" si="33"/>
        <v>50.760369008609224</v>
      </c>
      <c r="AC75" s="3">
        <f t="shared" si="34"/>
        <v>50.760369008609224</v>
      </c>
      <c r="AD75" s="3">
        <f>IF(OR(Control!$F$39="EC",Control!$F$51="N"),G46,MIN(G46,14+0.66*(INDEX('Eff. thickness (DNVGL-RP-C203)'!$E$31:$E$1048576,MATCH(G46,'Eff. thickness (DNVGL-RP-C203)'!$C$31:$C$1048576,0)))))</f>
        <v>98</v>
      </c>
      <c r="AE75" s="3">
        <f>IF(OR(Control!$F$39="EC",Control!$F$51="N"),G46,MIN(G46,14+0.66*(INDEX('Eff. thickness (DNVGL-RP-C203)'!$D$31:$D$1048576,MATCH(G46,'Eff. thickness (DNVGL-RP-C203)'!$C$31:$C$1048576,0))+IF(I46&lt;0.001,0,'Eff. thickness (DNVGL-RP-C203)'!$L$29))))</f>
        <v>98</v>
      </c>
      <c r="AF75" s="3">
        <f t="shared" si="35"/>
        <v>0.76092663580050734</v>
      </c>
      <c r="AG75" s="3">
        <f t="shared" si="36"/>
        <v>0.76092663580050734</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2:37" ht="14.85" customHeight="1">
      <c r="C76" s="12" t="str">
        <f t="shared" si="19"/>
        <v>CW11</v>
      </c>
      <c r="D76" s="2">
        <f t="shared" si="20"/>
        <v>-31.8</v>
      </c>
      <c r="E76" s="3">
        <f>IF(Geometry_loads!H29="-","-",Geometry_loads!H29*Control!$F$54)</f>
        <v>366069.60606125148</v>
      </c>
      <c r="F76" s="3">
        <f>IF(Geometry_loads!G29="-","-",Geometry_loads!G29*Control!$F$55)</f>
        <v>441792.80553528474</v>
      </c>
      <c r="G76" s="3">
        <f t="shared" si="21"/>
        <v>36.895242010495437</v>
      </c>
      <c r="H76" s="3">
        <f t="shared" si="22"/>
        <v>36.266418755360036</v>
      </c>
      <c r="I76" s="3" t="str">
        <f t="shared" si="23"/>
        <v>-</v>
      </c>
      <c r="J76" s="3" t="str">
        <f t="shared" si="24"/>
        <v>-</v>
      </c>
      <c r="K76" s="3">
        <f t="shared" si="25"/>
        <v>90</v>
      </c>
      <c r="L76" s="3">
        <f t="shared" si="26"/>
        <v>112</v>
      </c>
      <c r="M76" s="3">
        <f t="shared" si="27"/>
        <v>0.2056744390459343</v>
      </c>
      <c r="N76" s="3">
        <f t="shared" si="28"/>
        <v>0.28298290906551149</v>
      </c>
      <c r="O76" s="3">
        <f>IF(Control!$F$47="N",Control!$F$48,'FLS MP (driving)'!M45)</f>
        <v>0.1</v>
      </c>
      <c r="P76" s="3">
        <f>IF(Control!$F$47="N",Control!$F$48,'FLS MP (driving)'!N45)</f>
        <v>0.1</v>
      </c>
      <c r="Q76" s="3">
        <f>Control!$F$45</f>
        <v>0.03</v>
      </c>
      <c r="R76" s="3">
        <f>Control!$F$45</f>
        <v>0.03</v>
      </c>
      <c r="S76" s="3">
        <f t="shared" si="29"/>
        <v>0.3356744390459343</v>
      </c>
      <c r="T76" s="3">
        <f t="shared" si="30"/>
        <v>0.41298290906551149</v>
      </c>
      <c r="X76" s="37">
        <f>IF(OR(D76&gt;=$Z$13,D76&lt;=$Z$12,Geometry!P37="n"),0,"X")</f>
        <v>0</v>
      </c>
      <c r="Y76" s="37">
        <f>IF(OR(D76&gt;=$Z$15,D76&lt;=$Z$12,Geometry!Q37="n"),0,"X")</f>
        <v>0</v>
      </c>
      <c r="Z76" s="37">
        <f t="shared" si="31"/>
        <v>0</v>
      </c>
      <c r="AA76" s="37">
        <f t="shared" si="32"/>
        <v>0</v>
      </c>
      <c r="AB76" s="3">
        <f t="shared" si="33"/>
        <v>57.050723078423601</v>
      </c>
      <c r="AC76" s="3">
        <f t="shared" si="34"/>
        <v>57.050723078423601</v>
      </c>
      <c r="AD76" s="3">
        <f>IF(OR(Control!$F$39="EC",Control!$F$51="N"),G47,MIN(G47,14+0.66*(INDEX('Eff. thickness (DNVGL-RP-C203)'!$E$31:$E$1048576,MATCH(G47,'Eff. thickness (DNVGL-RP-C203)'!$C$31:$C$1048576,0)))))</f>
        <v>98</v>
      </c>
      <c r="AE76" s="3">
        <f>IF(OR(Control!$F$39="EC",Control!$F$51="N"),G47,MIN(G47,14+0.66*(INDEX('Eff. thickness (DNVGL-RP-C203)'!$D$31:$D$1048576,MATCH(G47,'Eff. thickness (DNVGL-RP-C203)'!$C$31:$C$1048576,0))+IF(I47&lt;0.001,0,'Eff. thickness (DNVGL-RP-C203)'!$L$29))))</f>
        <v>98</v>
      </c>
      <c r="AF76" s="3">
        <f t="shared" si="35"/>
        <v>0.76092663580050734</v>
      </c>
      <c r="AG76" s="3">
        <f t="shared" si="36"/>
        <v>0.87231108889002862</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2:37" ht="14.85" customHeight="1">
      <c r="C77" s="12" t="str">
        <f t="shared" si="19"/>
        <v>CW12</v>
      </c>
      <c r="D77" s="2">
        <f t="shared" si="20"/>
        <v>-35.299999999999997</v>
      </c>
      <c r="E77" s="3">
        <f>IF(Geometry_loads!H30="-","-",Geometry_loads!H30*Control!$F$54)</f>
        <v>381426.09037000284</v>
      </c>
      <c r="F77" s="3">
        <f>IF(Geometry_loads!G30="-","-",Geometry_loads!G30*Control!$F$55)</f>
        <v>463138.43527764996</v>
      </c>
      <c r="G77" s="3">
        <f t="shared" si="21"/>
        <v>38.442983739446717</v>
      </c>
      <c r="H77" s="3">
        <f t="shared" si="22"/>
        <v>37.787781581800495</v>
      </c>
      <c r="I77" s="3" t="str">
        <f t="shared" si="23"/>
        <v>-</v>
      </c>
      <c r="J77" s="3" t="str">
        <f t="shared" si="24"/>
        <v>-</v>
      </c>
      <c r="K77" s="3">
        <f t="shared" si="25"/>
        <v>90</v>
      </c>
      <c r="L77" s="3">
        <f t="shared" si="26"/>
        <v>90</v>
      </c>
      <c r="M77" s="3">
        <f t="shared" si="27"/>
        <v>0.19146718030310722</v>
      </c>
      <c r="N77" s="3">
        <f t="shared" si="28"/>
        <v>0.22905189832455503</v>
      </c>
      <c r="O77" s="3">
        <f>IF(Control!$F$47="N",Control!$F$48,'FLS MP (driving)'!M46)</f>
        <v>0.1</v>
      </c>
      <c r="P77" s="3">
        <f>IF(Control!$F$47="N",Control!$F$48,'FLS MP (driving)'!N46)</f>
        <v>0.1</v>
      </c>
      <c r="Q77" s="3">
        <f>Control!$F$45</f>
        <v>0.03</v>
      </c>
      <c r="R77" s="3">
        <f>Control!$F$45</f>
        <v>0.03</v>
      </c>
      <c r="S77" s="3">
        <f t="shared" si="29"/>
        <v>0.32146718030310728</v>
      </c>
      <c r="T77" s="3">
        <f t="shared" si="30"/>
        <v>0.35905189832455509</v>
      </c>
      <c r="X77" s="37">
        <f>IF(OR(D77&gt;=$Z$13,D77&lt;=$Z$12,Geometry!P38="n"),0,"X")</f>
        <v>0</v>
      </c>
      <c r="Y77" s="37">
        <f>IF(OR(D77&gt;=$Z$15,D77&lt;=$Z$12,Geometry!Q38="n"),0,"X")</f>
        <v>0</v>
      </c>
      <c r="Z77" s="37">
        <f t="shared" si="31"/>
        <v>0</v>
      </c>
      <c r="AA77" s="37">
        <f t="shared" si="32"/>
        <v>0</v>
      </c>
      <c r="AB77" s="3">
        <f t="shared" si="33"/>
        <v>57.050723078423601</v>
      </c>
      <c r="AC77" s="3">
        <f t="shared" si="34"/>
        <v>57.050723078423601</v>
      </c>
      <c r="AD77" s="3">
        <f>IF(OR(Control!$F$39="EC",Control!$F$51="N"),G48,MIN(G48,14+0.66*(INDEX('Eff. thickness (DNVGL-RP-C203)'!$E$31:$E$1048576,MATCH(G48,'Eff. thickness (DNVGL-RP-C203)'!$C$31:$C$1048576,0)))))</f>
        <v>98</v>
      </c>
      <c r="AE77" s="3">
        <f>IF(OR(Control!$F$39="EC",Control!$F$51="N"),G48,MIN(G48,14+0.66*(INDEX('Eff. thickness (DNVGL-RP-C203)'!$D$31:$D$1048576,MATCH(G48,'Eff. thickness (DNVGL-RP-C203)'!$C$31:$C$1048576,0))+IF(I48&lt;0.001,0,'Eff. thickness (DNVGL-RP-C203)'!$L$29))))</f>
        <v>98</v>
      </c>
      <c r="AF77" s="3">
        <f t="shared" si="35"/>
        <v>0.76092663580050734</v>
      </c>
      <c r="AG77" s="3">
        <f t="shared" si="36"/>
        <v>0.76092663580050734</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2:37" ht="14.85" customHeight="1">
      <c r="C78" s="12" t="str">
        <f t="shared" si="19"/>
        <v>CW13</v>
      </c>
      <c r="D78" s="2">
        <f t="shared" si="20"/>
        <v>-38.6</v>
      </c>
      <c r="E78" s="3">
        <f>IF(Geometry_loads!H31="-","-",Geometry_loads!H31*Control!$F$54)</f>
        <v>398315.99076752015</v>
      </c>
      <c r="F78" s="3">
        <f>IF(Geometry_loads!G31="-","-",Geometry_loads!G31*Control!$F$55)</f>
        <v>486710.52698727167</v>
      </c>
      <c r="G78" s="3">
        <f t="shared" si="21"/>
        <v>39.362958345138381</v>
      </c>
      <c r="H78" s="3">
        <f t="shared" si="22"/>
        <v>38.678385156527277</v>
      </c>
      <c r="I78" s="3" t="str">
        <f t="shared" si="23"/>
        <v>-</v>
      </c>
      <c r="J78" s="3" t="str">
        <f t="shared" si="24"/>
        <v>-</v>
      </c>
      <c r="K78" s="3">
        <f t="shared" si="25"/>
        <v>90</v>
      </c>
      <c r="L78" s="3">
        <f t="shared" si="26"/>
        <v>90</v>
      </c>
      <c r="M78" s="3">
        <f t="shared" si="27"/>
        <v>0.21389274390935212</v>
      </c>
      <c r="N78" s="3">
        <f t="shared" si="28"/>
        <v>0.25551757921114099</v>
      </c>
      <c r="O78" s="3">
        <f>IF(Control!$F$47="N",Control!$F$48,'FLS MP (driving)'!M47)</f>
        <v>0.1</v>
      </c>
      <c r="P78" s="3">
        <f>IF(Control!$F$47="N",Control!$F$48,'FLS MP (driving)'!N47)</f>
        <v>0.1</v>
      </c>
      <c r="Q78" s="3">
        <f>Control!$F$45</f>
        <v>0.03</v>
      </c>
      <c r="R78" s="3">
        <f>Control!$F$45</f>
        <v>0.03</v>
      </c>
      <c r="S78" s="3">
        <f t="shared" si="29"/>
        <v>0.34389274390935209</v>
      </c>
      <c r="T78" s="3">
        <f t="shared" si="30"/>
        <v>0.38551757921114105</v>
      </c>
      <c r="X78" s="37">
        <f>IF(OR(D78&gt;=$Z$13,D78&lt;=$Z$12,Geometry!P39="n"),0,"X")</f>
        <v>0</v>
      </c>
      <c r="Y78" s="37">
        <f>IF(OR(D78&gt;=$Z$15,D78&lt;=$Z$12,Geometry!Q39="n"),0,"X")</f>
        <v>0</v>
      </c>
      <c r="Z78" s="37">
        <f t="shared" si="31"/>
        <v>0</v>
      </c>
      <c r="AA78" s="37">
        <f t="shared" si="32"/>
        <v>0</v>
      </c>
      <c r="AB78" s="3">
        <f t="shared" si="33"/>
        <v>58.184573599156636</v>
      </c>
      <c r="AC78" s="3">
        <f t="shared" si="34"/>
        <v>58.184573599156636</v>
      </c>
      <c r="AD78" s="3">
        <f>IF(OR(Control!$F$39="EC",Control!$F$51="N"),G49,MIN(G49,14+0.66*(INDEX('Eff. thickness (DNVGL-RP-C203)'!$E$31:$E$1048576,MATCH(G49,'Eff. thickness (DNVGL-RP-C203)'!$C$31:$C$1048576,0)))))</f>
        <v>100</v>
      </c>
      <c r="AE78" s="3">
        <f>IF(OR(Control!$F$39="EC",Control!$F$51="N"),G49,MIN(G49,14+0.66*(INDEX('Eff. thickness (DNVGL-RP-C203)'!$D$31:$D$1048576,MATCH(G49,'Eff. thickness (DNVGL-RP-C203)'!$C$31:$C$1048576,0))+IF(I49&lt;0.001,0,'Eff. thickness (DNVGL-RP-C203)'!$L$29))))</f>
        <v>100</v>
      </c>
      <c r="AF78" s="3">
        <f t="shared" si="35"/>
        <v>0.75785828325519911</v>
      </c>
      <c r="AG78" s="3">
        <f t="shared" si="36"/>
        <v>0.75785828325519911</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2:37" ht="14.85" customHeight="1">
      <c r="C79" s="12" t="str">
        <f t="shared" si="19"/>
        <v>CW14</v>
      </c>
      <c r="D79" s="2">
        <f t="shared" si="20"/>
        <v>-41.9</v>
      </c>
      <c r="E79" s="3">
        <f>IF(Geometry_loads!H32="-","-",Geometry_loads!H32*Control!$F$54)</f>
        <v>417230.06737247197</v>
      </c>
      <c r="F79" s="3">
        <f>IF(Geometry_loads!G32="-","-",Geometry_loads!G32*Control!$F$55)</f>
        <v>513019.52909555007</v>
      </c>
      <c r="G79" s="3">
        <f t="shared" si="21"/>
        <v>42.051577227055958</v>
      </c>
      <c r="H79" s="3">
        <f t="shared" si="22"/>
        <v>41.334872084751353</v>
      </c>
      <c r="I79" s="3" t="str">
        <f t="shared" si="23"/>
        <v>-</v>
      </c>
      <c r="J79" s="3" t="str">
        <f t="shared" si="24"/>
        <v>-</v>
      </c>
      <c r="K79" s="3">
        <f t="shared" si="25"/>
        <v>90</v>
      </c>
      <c r="L79" s="3">
        <f t="shared" si="26"/>
        <v>90</v>
      </c>
      <c r="M79" s="3">
        <f t="shared" si="27"/>
        <v>0.26030795569418874</v>
      </c>
      <c r="N79" s="3">
        <f t="shared" si="28"/>
        <v>0.35505203507187366</v>
      </c>
      <c r="O79" s="3">
        <f>IF(Control!$F$47="N",Control!$F$48,'FLS MP (driving)'!M48)</f>
        <v>0.1</v>
      </c>
      <c r="P79" s="3">
        <f>IF(Control!$F$47="N",Control!$F$48,'FLS MP (driving)'!N48)</f>
        <v>0.1</v>
      </c>
      <c r="Q79" s="3">
        <f>Control!$F$45</f>
        <v>0.03</v>
      </c>
      <c r="R79" s="3">
        <f>Control!$F$45</f>
        <v>0.03</v>
      </c>
      <c r="S79" s="3">
        <f t="shared" si="29"/>
        <v>0.39030795569418875</v>
      </c>
      <c r="T79" s="3">
        <f t="shared" si="30"/>
        <v>0.48505203507187367</v>
      </c>
      <c r="X79" s="37">
        <f>IF(OR(D79&gt;=$Z$13,D79&lt;=$Z$12,Geometry!P40="n"),0,"X")</f>
        <v>0</v>
      </c>
      <c r="Y79" s="37">
        <f>IF(OR(D79&gt;=$Z$15,D79&lt;=$Z$12,Geometry!Q40="n"),0,"X")</f>
        <v>0</v>
      </c>
      <c r="Z79" s="37">
        <f t="shared" si="31"/>
        <v>0</v>
      </c>
      <c r="AA79" s="37">
        <f t="shared" si="32"/>
        <v>0</v>
      </c>
      <c r="AB79" s="3">
        <f t="shared" si="33"/>
        <v>57.050723078423601</v>
      </c>
      <c r="AC79" s="3">
        <f t="shared" si="34"/>
        <v>57.050723078423601</v>
      </c>
      <c r="AD79" s="3">
        <f>IF(OR(Control!$F$39="EC",Control!$F$51="N"),G50,MIN(G50,14+0.66*(INDEX('Eff. thickness (DNVGL-RP-C203)'!$E$31:$E$1048576,MATCH(G50,'Eff. thickness (DNVGL-RP-C203)'!$C$31:$C$1048576,0)))))</f>
        <v>98</v>
      </c>
      <c r="AE79" s="3">
        <f>IF(OR(Control!$F$39="EC",Control!$F$51="N"),G50,MIN(G50,14+0.66*(INDEX('Eff. thickness (DNVGL-RP-C203)'!$D$31:$D$1048576,MATCH(G50,'Eff. thickness (DNVGL-RP-C203)'!$C$31:$C$1048576,0))+IF(I50&lt;0.001,0,'Eff. thickness (DNVGL-RP-C203)'!$L$29))))</f>
        <v>98</v>
      </c>
      <c r="AF79" s="3">
        <f t="shared" si="35"/>
        <v>0.76092663580050734</v>
      </c>
      <c r="AG79" s="3">
        <f t="shared" si="36"/>
        <v>0.76092663580050734</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2:37" ht="14.85" customHeight="1">
      <c r="C80" s="12" t="str">
        <f t="shared" si="19"/>
        <v>CW15</v>
      </c>
      <c r="D80" s="2">
        <f t="shared" si="20"/>
        <v>-45.2</v>
      </c>
      <c r="E80" s="3">
        <f>IF(Geometry_loads!H33="-","-",Geometry_loads!H33*Control!$F$54)</f>
        <v>445256.57942420774</v>
      </c>
      <c r="F80" s="3" t="str">
        <f>IF(Geometry_loads!G33="-","-",Geometry_loads!G33*Control!$F$55)</f>
        <v>-</v>
      </c>
      <c r="G80" s="3">
        <f t="shared" si="21"/>
        <v>46.257131590963624</v>
      </c>
      <c r="H80" s="3">
        <f t="shared" si="22"/>
        <v>45.492883329895534</v>
      </c>
      <c r="I80" s="3" t="str">
        <f t="shared" si="23"/>
        <v>-</v>
      </c>
      <c r="J80" s="3" t="str">
        <f t="shared" si="24"/>
        <v>-</v>
      </c>
      <c r="K80" s="3">
        <f t="shared" si="25"/>
        <v>90</v>
      </c>
      <c r="L80" s="3">
        <f t="shared" si="26"/>
        <v>90</v>
      </c>
      <c r="M80" s="3">
        <f t="shared" si="27"/>
        <v>0.45037361343915872</v>
      </c>
      <c r="N80" s="3">
        <f t="shared" si="28"/>
        <v>0.42133932615979686</v>
      </c>
      <c r="O80" s="3">
        <f>IF(Control!$F$47="N",Control!$F$48,'FLS MP (driving)'!M49)</f>
        <v>0.1</v>
      </c>
      <c r="P80" s="3">
        <f>IF(Control!$F$47="N",Control!$F$48,'FLS MP (driving)'!N49)</f>
        <v>0.1</v>
      </c>
      <c r="Q80" s="3">
        <f>Control!$F$45</f>
        <v>0.03</v>
      </c>
      <c r="R80" s="3">
        <f>Control!$F$45</f>
        <v>0.03</v>
      </c>
      <c r="S80" s="3">
        <f t="shared" si="29"/>
        <v>0.58037361343915872</v>
      </c>
      <c r="T80" s="3">
        <f t="shared" si="30"/>
        <v>0.55133932615979686</v>
      </c>
      <c r="X80" s="37">
        <f>IF(OR(D80&gt;=$Z$13,D80&lt;=$Z$12,Geometry!P41="n"),0,"X")</f>
        <v>0</v>
      </c>
      <c r="Y80" s="37">
        <f>IF(OR(D80&gt;=$Z$15,D80&lt;=$Z$12,Geometry!Q41="n"),0,"X")</f>
        <v>0</v>
      </c>
      <c r="Z80" s="37">
        <f t="shared" si="31"/>
        <v>0</v>
      </c>
      <c r="AA80" s="37">
        <f t="shared" si="32"/>
        <v>0</v>
      </c>
      <c r="AB80" s="3">
        <f t="shared" si="33"/>
        <v>55.347688964556049</v>
      </c>
      <c r="AC80" s="3">
        <f t="shared" si="34"/>
        <v>55.347688964556049</v>
      </c>
      <c r="AD80" s="3">
        <f>IF(OR(Control!$F$39="EC",Control!$F$51="N"),G51,MIN(G51,14+0.66*(INDEX('Eff. thickness (DNVGL-RP-C203)'!$E$31:$E$1048576,MATCH(G51,'Eff. thickness (DNVGL-RP-C203)'!$C$31:$C$1048576,0)))))</f>
        <v>95</v>
      </c>
      <c r="AE80" s="3">
        <f>IF(OR(Control!$F$39="EC",Control!$F$51="N"),G51,MIN(G51,14+0.66*(INDEX('Eff. thickness (DNVGL-RP-C203)'!$D$31:$D$1048576,MATCH(G51,'Eff. thickness (DNVGL-RP-C203)'!$C$31:$C$1048576,0))+IF(I51&lt;0.001,0,'Eff. thickness (DNVGL-RP-C203)'!$L$29))))</f>
        <v>95</v>
      </c>
      <c r="AF80" s="3">
        <f t="shared" si="35"/>
        <v>0.76567290811174582</v>
      </c>
      <c r="AG80" s="3">
        <f t="shared" si="36"/>
        <v>0.76567290811174582</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CW16</v>
      </c>
      <c r="D81" s="2">
        <f t="shared" si="20"/>
        <v>-48.5</v>
      </c>
      <c r="E81" s="3">
        <f>IF(Geometry_loads!H34="-","-",Geometry_loads!H34*Control!$F$54)</f>
        <v>473278.96679899556</v>
      </c>
      <c r="F81" s="3" t="str">
        <f>IF(Geometry_loads!G34="-","-",Geometry_loads!G34*Control!$F$55)</f>
        <v>-</v>
      </c>
      <c r="G81" s="3">
        <f t="shared" si="21"/>
        <v>49.168341262395707</v>
      </c>
      <c r="H81" s="3">
        <f t="shared" si="22"/>
        <v>48.355994754582213</v>
      </c>
      <c r="I81" s="3" t="str">
        <f t="shared" si="23"/>
        <v>-</v>
      </c>
      <c r="J81" s="3" t="str">
        <f t="shared" si="24"/>
        <v>-</v>
      </c>
      <c r="K81" s="3">
        <f t="shared" si="25"/>
        <v>90</v>
      </c>
      <c r="L81" s="3">
        <f t="shared" si="26"/>
        <v>90</v>
      </c>
      <c r="M81" s="3">
        <f t="shared" si="27"/>
        <v>0.5749106746388789</v>
      </c>
      <c r="N81" s="3">
        <f t="shared" si="28"/>
        <v>0.53784784238285033</v>
      </c>
      <c r="O81" s="3">
        <f>IF(Control!$F$47="N",Control!$F$48,'FLS MP (driving)'!M50)</f>
        <v>0.1</v>
      </c>
      <c r="P81" s="3">
        <f>IF(Control!$F$47="N",Control!$F$48,'FLS MP (driving)'!N50)</f>
        <v>0.1</v>
      </c>
      <c r="Q81" s="3">
        <f>Control!$F$45</f>
        <v>0.03</v>
      </c>
      <c r="R81" s="3">
        <f>Control!$F$45</f>
        <v>0.03</v>
      </c>
      <c r="S81" s="3">
        <f t="shared" si="29"/>
        <v>0.70491067463887891</v>
      </c>
      <c r="T81" s="3">
        <f t="shared" si="30"/>
        <v>0.66784784238285033</v>
      </c>
      <c r="X81" s="37">
        <f>IF(OR(D81&gt;=$Z$13,D81&lt;=$Z$12,Geometry!P42="n"),0,"X")</f>
        <v>0</v>
      </c>
      <c r="Y81" s="37">
        <f>IF(OR(D81&gt;=$Z$15,D81&lt;=$Z$12,Geometry!Q42="n"),0,"X")</f>
        <v>0</v>
      </c>
      <c r="Z81" s="37">
        <f t="shared" si="31"/>
        <v>0</v>
      </c>
      <c r="AA81" s="37">
        <f t="shared" si="32"/>
        <v>0</v>
      </c>
      <c r="AB81" s="3">
        <f t="shared" si="33"/>
        <v>55.347688964556049</v>
      </c>
      <c r="AC81" s="3">
        <f t="shared" si="34"/>
        <v>55.347688964556049</v>
      </c>
      <c r="AD81" s="3">
        <f>IF(OR(Control!$F$39="EC",Control!$F$51="N"),G52,MIN(G52,14+0.66*(INDEX('Eff. thickness (DNVGL-RP-C203)'!$E$31:$E$1048576,MATCH(G52,'Eff. thickness (DNVGL-RP-C203)'!$C$31:$C$1048576,0)))))</f>
        <v>95</v>
      </c>
      <c r="AE81" s="3">
        <f>IF(OR(Control!$F$39="EC",Control!$F$51="N"),G52,MIN(G52,14+0.66*(INDEX('Eff. thickness (DNVGL-RP-C203)'!$D$31:$D$1048576,MATCH(G52,'Eff. thickness (DNVGL-RP-C203)'!$C$31:$C$1048576,0))+IF(I52&lt;0.001,0,'Eff. thickness (DNVGL-RP-C203)'!$L$29))))</f>
        <v>95</v>
      </c>
      <c r="AF81" s="3">
        <f t="shared" si="35"/>
        <v>0.76567290811174582</v>
      </c>
      <c r="AG81" s="3">
        <f t="shared" si="36"/>
        <v>0.76567290811174582</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CW17</v>
      </c>
      <c r="D82" s="2">
        <f t="shared" si="20"/>
        <v>-51.7</v>
      </c>
      <c r="E82" s="3">
        <f>IF(Geometry_loads!H35="-","-",Geometry_loads!H35*Control!$F$54)</f>
        <v>495561.88375510153</v>
      </c>
      <c r="F82" s="3" t="str">
        <f>IF(Geometry_loads!G35="-","-",Geometry_loads!G35*Control!$F$55)</f>
        <v>-</v>
      </c>
      <c r="G82" s="3">
        <f t="shared" si="21"/>
        <v>51.483284756778275</v>
      </c>
      <c r="H82" s="3">
        <f t="shared" si="22"/>
        <v>50.632691356448902</v>
      </c>
      <c r="I82" s="3" t="str">
        <f t="shared" si="23"/>
        <v>-</v>
      </c>
      <c r="J82" s="3" t="str">
        <f t="shared" si="24"/>
        <v>-</v>
      </c>
      <c r="K82" s="3">
        <f t="shared" si="25"/>
        <v>90</v>
      </c>
      <c r="L82" s="3">
        <f t="shared" si="26"/>
        <v>90</v>
      </c>
      <c r="M82" s="3">
        <f t="shared" si="27"/>
        <v>0.61334548921080423</v>
      </c>
      <c r="N82" s="3">
        <f t="shared" si="28"/>
        <v>0.74372923058779938</v>
      </c>
      <c r="O82" s="3">
        <f>IF(Control!$F$47="N",Control!$F$48,'FLS MP (driving)'!M51)</f>
        <v>0.1</v>
      </c>
      <c r="P82" s="3">
        <f>IF(Control!$F$47="N",Control!$F$48,'FLS MP (driving)'!N51)</f>
        <v>0.1</v>
      </c>
      <c r="Q82" s="3">
        <f>Control!$F$45</f>
        <v>0.03</v>
      </c>
      <c r="R82" s="3">
        <f>Control!$F$45</f>
        <v>0.03</v>
      </c>
      <c r="S82" s="3">
        <f t="shared" si="29"/>
        <v>0.74334548921080423</v>
      </c>
      <c r="T82" s="3">
        <f t="shared" si="30"/>
        <v>0.87372923058779939</v>
      </c>
      <c r="X82" s="37">
        <f>IF(OR(D82&gt;=$Z$13,D82&lt;=$Z$12,Geometry!P43="n"),0,"X")</f>
        <v>0</v>
      </c>
      <c r="Y82" s="37">
        <f>IF(OR(D82&gt;=$Z$15,D82&lt;=$Z$12,Geometry!Q43="n"),0,"X")</f>
        <v>0</v>
      </c>
      <c r="Z82" s="37">
        <f t="shared" si="31"/>
        <v>0</v>
      </c>
      <c r="AA82" s="37">
        <f t="shared" si="32"/>
        <v>0</v>
      </c>
      <c r="AB82" s="3">
        <f t="shared" si="33"/>
        <v>55.347688964556049</v>
      </c>
      <c r="AC82" s="3">
        <f t="shared" si="34"/>
        <v>55.347688964556049</v>
      </c>
      <c r="AD82" s="3">
        <f>IF(OR(Control!$F$39="EC",Control!$F$51="N"),G53,MIN(G53,14+0.66*(INDEX('Eff. thickness (DNVGL-RP-C203)'!$E$31:$E$1048576,MATCH(G53,'Eff. thickness (DNVGL-RP-C203)'!$C$31:$C$1048576,0)))))</f>
        <v>95</v>
      </c>
      <c r="AE82" s="3">
        <f>IF(OR(Control!$F$39="EC",Control!$F$51="N"),G53,MIN(G53,14+0.66*(INDEX('Eff. thickness (DNVGL-RP-C203)'!$D$31:$D$1048576,MATCH(G53,'Eff. thickness (DNVGL-RP-C203)'!$C$31:$C$1048576,0))+IF(I53&lt;0.001,0,'Eff. thickness (DNVGL-RP-C203)'!$L$29))))</f>
        <v>95</v>
      </c>
      <c r="AF82" s="3">
        <f t="shared" si="35"/>
        <v>0.76567290811174582</v>
      </c>
      <c r="AG82" s="3">
        <f t="shared" si="36"/>
        <v>0.76567290811174582</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CW18</v>
      </c>
      <c r="D83" s="2">
        <f t="shared" si="20"/>
        <v>-55.3</v>
      </c>
      <c r="E83" s="3">
        <f>IF(Geometry_loads!H36="-","-",Geometry_loads!H36*Control!$F$54)</f>
        <v>515784.47567284305</v>
      </c>
      <c r="F83" s="3" t="str">
        <f>IF(Geometry_loads!G36="-","-",Geometry_loads!G36*Control!$F$55)</f>
        <v>-</v>
      </c>
      <c r="G83" s="3">
        <f t="shared" si="21"/>
        <v>54.707905210379508</v>
      </c>
      <c r="H83" s="3">
        <f t="shared" si="22"/>
        <v>53.823064308715985</v>
      </c>
      <c r="I83" s="3" t="str">
        <f t="shared" si="23"/>
        <v>-</v>
      </c>
      <c r="J83" s="3" t="str">
        <f t="shared" si="24"/>
        <v>-</v>
      </c>
      <c r="K83" s="3">
        <f t="shared" si="25"/>
        <v>112</v>
      </c>
      <c r="L83" s="3">
        <f t="shared" si="26"/>
        <v>90</v>
      </c>
      <c r="M83" s="3">
        <f t="shared" si="27"/>
        <v>0.21596008348788501</v>
      </c>
      <c r="N83" s="3">
        <f t="shared" si="28"/>
        <v>0.82066526434850995</v>
      </c>
      <c r="O83" s="3">
        <f>IF(Control!$F$47="N",Control!$F$48,'FLS MP (driving)'!M52)</f>
        <v>0.1</v>
      </c>
      <c r="P83" s="3">
        <f>IF(Control!$F$47="N",Control!$F$48,'FLS MP (driving)'!N52)</f>
        <v>0.1</v>
      </c>
      <c r="Q83" s="3">
        <f>Control!$F$45</f>
        <v>0.03</v>
      </c>
      <c r="R83" s="3">
        <f>Control!$F$45</f>
        <v>0.03</v>
      </c>
      <c r="S83" s="3">
        <f t="shared" si="29"/>
        <v>0.34596008348788498</v>
      </c>
      <c r="T83" s="3">
        <f t="shared" si="30"/>
        <v>0.95066526434850995</v>
      </c>
      <c r="X83" s="37">
        <f>IF(OR(D83&gt;=$Z$13,D83&lt;=$Z$12,Geometry!P44="n"),0,"X")</f>
        <v>0</v>
      </c>
      <c r="Y83" s="37">
        <f>IF(OR(D83&gt;=$Z$15,D83&lt;=$Z$12,Geometry!Q44="n"),0,"X")</f>
        <v>0</v>
      </c>
      <c r="Z83" s="37">
        <f t="shared" si="31"/>
        <v>0</v>
      </c>
      <c r="AA83" s="37">
        <f t="shared" si="32"/>
        <v>0</v>
      </c>
      <c r="AB83" s="3">
        <f t="shared" si="33"/>
        <v>54.210826090196662</v>
      </c>
      <c r="AC83" s="3">
        <f t="shared" si="34"/>
        <v>54.210826090196662</v>
      </c>
      <c r="AD83" s="3">
        <f>IF(OR(Control!$F$39="EC",Control!$F$51="N"),G54,MIN(G54,14+0.66*(INDEX('Eff. thickness (DNVGL-RP-C203)'!$E$31:$E$1048576,MATCH(G54,'Eff. thickness (DNVGL-RP-C203)'!$C$31:$C$1048576,0)))))</f>
        <v>93</v>
      </c>
      <c r="AE83" s="3">
        <f>IF(OR(Control!$F$39="EC",Control!$F$51="N"),G54,MIN(G54,14+0.66*(INDEX('Eff. thickness (DNVGL-RP-C203)'!$D$31:$D$1048576,MATCH(G54,'Eff. thickness (DNVGL-RP-C203)'!$C$31:$C$1048576,0))+IF(I54&lt;0.001,0,'Eff. thickness (DNVGL-RP-C203)'!$L$29))))</f>
        <v>93</v>
      </c>
      <c r="AF83" s="3">
        <f t="shared" si="35"/>
        <v>0.87689118839915348</v>
      </c>
      <c r="AG83" s="3">
        <f t="shared" si="36"/>
        <v>0.76893815629207973</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c r="C84" s="12" t="str">
        <f t="shared" si="19"/>
        <v>CW19</v>
      </c>
      <c r="D84" s="2">
        <f t="shared" si="20"/>
        <v>-59.3</v>
      </c>
      <c r="E84" s="3">
        <f>IF(Geometry_loads!H37="-","-",Geometry_loads!H37*Control!$F$54)</f>
        <v>495889.45587436296</v>
      </c>
      <c r="F84" s="3" t="str">
        <f>IF(Geometry_loads!G37="-","-",Geometry_loads!G37*Control!$F$55)</f>
        <v>-</v>
      </c>
      <c r="G84" s="3">
        <f t="shared" si="21"/>
        <v>52.597692692110073</v>
      </c>
      <c r="H84" s="3">
        <f t="shared" si="22"/>
        <v>51.746982184220293</v>
      </c>
      <c r="I84" s="3" t="str">
        <f t="shared" si="23"/>
        <v>-</v>
      </c>
      <c r="J84" s="3" t="str">
        <f t="shared" si="24"/>
        <v>-</v>
      </c>
      <c r="K84" s="3">
        <f t="shared" si="25"/>
        <v>90</v>
      </c>
      <c r="L84" s="3">
        <f t="shared" si="26"/>
        <v>90</v>
      </c>
      <c r="M84" s="3">
        <f t="shared" si="27"/>
        <v>0.74844371507944596</v>
      </c>
      <c r="N84" s="3">
        <f t="shared" si="28"/>
        <v>0.70118478218811275</v>
      </c>
      <c r="O84" s="3">
        <f>IF(Control!$F$47="N",Control!$F$48,'FLS MP (driving)'!M53)</f>
        <v>0.1</v>
      </c>
      <c r="P84" s="3">
        <f>IF(Control!$F$47="N",Control!$F$48,'FLS MP (driving)'!N53)</f>
        <v>0.1</v>
      </c>
      <c r="Q84" s="3">
        <f>Control!$F$45</f>
        <v>0.03</v>
      </c>
      <c r="R84" s="3">
        <f>Control!$F$45</f>
        <v>0.03</v>
      </c>
      <c r="S84" s="3">
        <f t="shared" si="29"/>
        <v>0.87844371507944596</v>
      </c>
      <c r="T84" s="3">
        <f t="shared" si="30"/>
        <v>0.83118478218811276</v>
      </c>
      <c r="X84" s="37">
        <f>IF(OR(D84&gt;=$Z$13,D84&lt;=$Z$12,Geometry!P45="n"),0,"X")</f>
        <v>0</v>
      </c>
      <c r="Y84" s="37">
        <f>IF(OR(D84&gt;=$Z$15,D84&lt;=$Z$12,Geometry!Q45="n"),0,"X")</f>
        <v>0</v>
      </c>
      <c r="Z84" s="37">
        <f t="shared" si="31"/>
        <v>0</v>
      </c>
      <c r="AA84" s="37">
        <f t="shared" si="32"/>
        <v>0</v>
      </c>
      <c r="AB84" s="3">
        <f t="shared" si="33"/>
        <v>54.210826090196662</v>
      </c>
      <c r="AC84" s="3">
        <f t="shared" si="34"/>
        <v>54.210826090196662</v>
      </c>
      <c r="AD84" s="3">
        <f>IF(OR(Control!$F$39="EC",Control!$F$51="N"),G55,MIN(G55,14+0.66*(INDEX('Eff. thickness (DNVGL-RP-C203)'!$E$31:$E$1048576,MATCH(G55,'Eff. thickness (DNVGL-RP-C203)'!$C$31:$C$1048576,0)))))</f>
        <v>93</v>
      </c>
      <c r="AE84" s="3">
        <f>IF(OR(Control!$F$39="EC",Control!$F$51="N"),G55,MIN(G55,14+0.66*(INDEX('Eff. thickness (DNVGL-RP-C203)'!$D$31:$D$1048576,MATCH(G55,'Eff. thickness (DNVGL-RP-C203)'!$C$31:$C$1048576,0))+IF(I55&lt;0.001,0,'Eff. thickness (DNVGL-RP-C203)'!$L$29))))</f>
        <v>93</v>
      </c>
      <c r="AF84" s="3">
        <f t="shared" si="35"/>
        <v>0.76893815629207973</v>
      </c>
      <c r="AG84" s="3">
        <f t="shared" si="36"/>
        <v>0.76893815629207973</v>
      </c>
      <c r="AH84" s="3">
        <f t="shared" si="37"/>
        <v>1</v>
      </c>
      <c r="AI84" s="3">
        <f t="shared" si="38"/>
        <v>1</v>
      </c>
      <c r="AJ84" s="3">
        <f>IF(Control!$F$39&lt;&gt;"DNV",1,IF(D84&gt;Control!$F$16,IF(ISBLANK(Control!$F$56),1,Control!$F$56),IF(D84&gt;Control!$F$22,IF(ISBLANK(Control!$F$57),1,Control!$F$57),1)))</f>
        <v>1</v>
      </c>
      <c r="AK84" s="3">
        <f>IF(Control!$F$39&lt;&gt;"DNV",1,IF(D84&gt;Control!$F$18,IF(ISBLANK(Control!$F$56),1,Control!$F$56),IF(D84&gt;Control!$F$22,IF(ISBLANK(Control!$F$57),1,Control!$F$57),1)))</f>
        <v>1</v>
      </c>
    </row>
    <row r="85" spans="2:37" ht="14.85" customHeight="1">
      <c r="C85" s="12" t="str">
        <f t="shared" si="19"/>
        <v>CW20</v>
      </c>
      <c r="D85" s="2">
        <f t="shared" si="20"/>
        <v>-63.3</v>
      </c>
      <c r="E85" s="3">
        <f>IF(Geometry_loads!H38="-","-",Geometry_loads!H38*Control!$F$54)</f>
        <v>427506.95823167998</v>
      </c>
      <c r="F85" s="3" t="str">
        <f>IF(Geometry_loads!G38="-","-",Geometry_loads!G38*Control!$F$55)</f>
        <v>-</v>
      </c>
      <c r="G85" s="3">
        <f t="shared" si="21"/>
        <v>45.344540696395839</v>
      </c>
      <c r="H85" s="3">
        <f t="shared" si="22"/>
        <v>44.611142038175871</v>
      </c>
      <c r="I85" s="3" t="str">
        <f t="shared" si="23"/>
        <v>-</v>
      </c>
      <c r="J85" s="3" t="str">
        <f t="shared" si="24"/>
        <v>-</v>
      </c>
      <c r="K85" s="3">
        <f t="shared" si="25"/>
        <v>90</v>
      </c>
      <c r="L85" s="3">
        <f t="shared" si="26"/>
        <v>90</v>
      </c>
      <c r="M85" s="3">
        <f t="shared" si="27"/>
        <v>0.41342087450314213</v>
      </c>
      <c r="N85" s="3">
        <f t="shared" si="28"/>
        <v>0.38731626707525246</v>
      </c>
      <c r="O85" s="3">
        <f>IF(Control!$F$47="N",Control!$F$48,'FLS MP (driving)'!M54)</f>
        <v>0.1</v>
      </c>
      <c r="P85" s="3">
        <f>IF(Control!$F$47="N",Control!$F$48,'FLS MP (driving)'!N54)</f>
        <v>0.1</v>
      </c>
      <c r="Q85" s="3">
        <f>Control!$F$45</f>
        <v>0.03</v>
      </c>
      <c r="R85" s="3">
        <f>Control!$F$45</f>
        <v>0.03</v>
      </c>
      <c r="S85" s="3">
        <f t="shared" si="29"/>
        <v>0.54342087450314214</v>
      </c>
      <c r="T85" s="3">
        <f t="shared" si="30"/>
        <v>0.51731626707525247</v>
      </c>
      <c r="X85" s="37">
        <f>IF(OR(D85&gt;=$Z$13,D85&lt;=$Z$12,Geometry!P46="n"),0,"X")</f>
        <v>0</v>
      </c>
      <c r="Y85" s="37">
        <f>IF(OR(D85&gt;=$Z$15,D85&lt;=$Z$12,Geometry!Q46="n"),0,"X")</f>
        <v>0</v>
      </c>
      <c r="Z85" s="37">
        <f t="shared" si="31"/>
        <v>0</v>
      </c>
      <c r="AA85" s="37">
        <f t="shared" si="32"/>
        <v>0</v>
      </c>
      <c r="AB85" s="3">
        <f t="shared" si="33"/>
        <v>54.210826090196662</v>
      </c>
      <c r="AC85" s="3">
        <f t="shared" si="34"/>
        <v>54.210826090196662</v>
      </c>
      <c r="AD85" s="3">
        <f>IF(OR(Control!$F$39="EC",Control!$F$51="N"),G56,MIN(G56,14+0.66*(INDEX('Eff. thickness (DNVGL-RP-C203)'!$E$31:$E$1048576,MATCH(G56,'Eff. thickness (DNVGL-RP-C203)'!$C$31:$C$1048576,0)))))</f>
        <v>93</v>
      </c>
      <c r="AE85" s="3">
        <f>IF(OR(Control!$F$39="EC",Control!$F$51="N"),G56,MIN(G56,14+0.66*(INDEX('Eff. thickness (DNVGL-RP-C203)'!$D$31:$D$1048576,MATCH(G56,'Eff. thickness (DNVGL-RP-C203)'!$C$31:$C$1048576,0))+IF(I56&lt;0.001,0,'Eff. thickness (DNVGL-RP-C203)'!$L$29))))</f>
        <v>93</v>
      </c>
      <c r="AF85" s="3">
        <f t="shared" si="35"/>
        <v>0.76893815629207973</v>
      </c>
      <c r="AG85" s="3">
        <f t="shared" si="36"/>
        <v>0.76893815629207973</v>
      </c>
      <c r="AH85" s="3">
        <f t="shared" si="37"/>
        <v>1</v>
      </c>
      <c r="AI85" s="3">
        <f t="shared" si="38"/>
        <v>1</v>
      </c>
      <c r="AJ85" s="3">
        <f>IF(Control!$F$39&lt;&gt;"DNV",1,IF(D85&gt;Control!$F$16,IF(ISBLANK(Control!$F$56),1,Control!$F$56),IF(D85&gt;Control!$F$22,IF(ISBLANK(Control!$F$57),1,Control!$F$57),1)))</f>
        <v>1</v>
      </c>
      <c r="AK85" s="3">
        <f>IF(Control!$F$39&lt;&gt;"DNV",1,IF(D85&gt;Control!$F$18,IF(ISBLANK(Control!$F$56),1,Control!$F$56),IF(D85&gt;Control!$F$22,IF(ISBLANK(Control!$F$57),1,Control!$F$57),1)))</f>
        <v>1</v>
      </c>
    </row>
    <row r="86" spans="2:37" ht="14.85" customHeight="1">
      <c r="C86" s="12" t="str">
        <f t="shared" si="19"/>
        <v>CW21</v>
      </c>
      <c r="D86" s="2">
        <f t="shared" si="20"/>
        <v>-67.3</v>
      </c>
      <c r="E86" s="3">
        <f>IF(Geometry_loads!H39="-","-",Geometry_loads!H39*Control!$F$54)</f>
        <v>330516.30350599537</v>
      </c>
      <c r="F86" s="3" t="str">
        <f>IF(Geometry_loads!G39="-","-",Geometry_loads!G39*Control!$F$55)</f>
        <v>-</v>
      </c>
      <c r="G86" s="3">
        <f t="shared" si="21"/>
        <v>35.056996585837844</v>
      </c>
      <c r="H86" s="3">
        <f t="shared" si="22"/>
        <v>34.489987771492991</v>
      </c>
      <c r="I86" s="3" t="str">
        <f t="shared" si="23"/>
        <v>-</v>
      </c>
      <c r="J86" s="3" t="str">
        <f t="shared" si="24"/>
        <v>-</v>
      </c>
      <c r="K86" s="3">
        <f t="shared" si="25"/>
        <v>90</v>
      </c>
      <c r="L86" s="3">
        <f t="shared" si="26"/>
        <v>90</v>
      </c>
      <c r="M86" s="3">
        <f t="shared" si="27"/>
        <v>0.1214560134649352</v>
      </c>
      <c r="N86" s="3">
        <f t="shared" si="28"/>
        <v>0.1674030738798889</v>
      </c>
      <c r="O86" s="3">
        <f>IF(Control!$F$47="N",Control!$F$48,'FLS MP (driving)'!M55)</f>
        <v>0.1</v>
      </c>
      <c r="P86" s="3">
        <f>IF(Control!$F$47="N",Control!$F$48,'FLS MP (driving)'!N55)</f>
        <v>0.1</v>
      </c>
      <c r="Q86" s="3">
        <f>Control!$F$45</f>
        <v>0.03</v>
      </c>
      <c r="R86" s="3">
        <f>Control!$F$45</f>
        <v>0.03</v>
      </c>
      <c r="S86" s="3">
        <f t="shared" si="29"/>
        <v>0.25145601346493518</v>
      </c>
      <c r="T86" s="3">
        <f t="shared" si="30"/>
        <v>0.29740307387988896</v>
      </c>
      <c r="X86" s="37">
        <f>IF(OR(D86&gt;=$Z$13,D86&lt;=$Z$12,Geometry!P47="n"),0,"X")</f>
        <v>0</v>
      </c>
      <c r="Y86" s="37">
        <f>IF(OR(D86&gt;=$Z$15,D86&lt;=$Z$12,Geometry!Q47="n"),0,"X")</f>
        <v>0</v>
      </c>
      <c r="Z86" s="37">
        <f t="shared" si="31"/>
        <v>0</v>
      </c>
      <c r="AA86" s="37">
        <f t="shared" si="32"/>
        <v>0</v>
      </c>
      <c r="AB86" s="3">
        <f t="shared" si="33"/>
        <v>54.210826090196662</v>
      </c>
      <c r="AC86" s="3">
        <f t="shared" si="34"/>
        <v>54.210826090196662</v>
      </c>
      <c r="AD86" s="3">
        <f>IF(OR(Control!$F$39="EC",Control!$F$51="N"),G57,MIN(G57,14+0.66*(INDEX('Eff. thickness (DNVGL-RP-C203)'!$E$31:$E$1048576,MATCH(G57,'Eff. thickness (DNVGL-RP-C203)'!$C$31:$C$1048576,0)))))</f>
        <v>93</v>
      </c>
      <c r="AE86" s="3">
        <f>IF(OR(Control!$F$39="EC",Control!$F$51="N"),G57,MIN(G57,14+0.66*(INDEX('Eff. thickness (DNVGL-RP-C203)'!$D$31:$D$1048576,MATCH(G57,'Eff. thickness (DNVGL-RP-C203)'!$C$31:$C$1048576,0))+IF(I57&lt;0.001,0,'Eff. thickness (DNVGL-RP-C203)'!$L$29))))</f>
        <v>93</v>
      </c>
      <c r="AF86" s="3">
        <f t="shared" si="35"/>
        <v>0.76893815629207973</v>
      </c>
      <c r="AG86" s="3">
        <f t="shared" si="36"/>
        <v>0.76893815629207973</v>
      </c>
      <c r="AH86" s="3">
        <f t="shared" si="37"/>
        <v>1</v>
      </c>
      <c r="AI86" s="3">
        <f t="shared" si="38"/>
        <v>1</v>
      </c>
      <c r="AJ86" s="3">
        <f>IF(Control!$F$39&lt;&gt;"DNV",1,IF(D86&gt;Control!$F$16,IF(ISBLANK(Control!$F$56),1,Control!$F$56),IF(D86&gt;Control!$F$22,IF(ISBLANK(Control!$F$57),1,Control!$F$57),1)))</f>
        <v>1</v>
      </c>
      <c r="AK86" s="3">
        <f>IF(Control!$F$39&lt;&gt;"DNV",1,IF(D86&gt;Control!$F$18,IF(ISBLANK(Control!$F$56),1,Control!$F$56),IF(D86&gt;Control!$F$22,IF(ISBLANK(Control!$F$57),1,Control!$F$57),1)))</f>
        <v>1</v>
      </c>
    </row>
    <row r="87" spans="2:37" ht="14.85" customHeight="1">
      <c r="C87" s="12" t="str">
        <f t="shared" si="19"/>
        <v>CW22</v>
      </c>
      <c r="D87" s="2">
        <f t="shared" si="20"/>
        <v>-71</v>
      </c>
      <c r="E87" s="3">
        <f>IF(Geometry_loads!H40="-","-",Geometry_loads!H40*Control!$F$54)</f>
        <v>229446.58919727357</v>
      </c>
      <c r="F87" s="3" t="str">
        <f>IF(Geometry_loads!G40="-","-",Geometry_loads!G40*Control!$F$55)</f>
        <v>-</v>
      </c>
      <c r="G87" s="3">
        <f t="shared" si="21"/>
        <v>23.594779943487367</v>
      </c>
      <c r="H87" s="3">
        <f t="shared" si="22"/>
        <v>23.200849704430883</v>
      </c>
      <c r="I87" s="3" t="str">
        <f t="shared" si="23"/>
        <v>-</v>
      </c>
      <c r="J87" s="3" t="str">
        <f t="shared" si="24"/>
        <v>-</v>
      </c>
      <c r="K87" s="3">
        <f t="shared" si="25"/>
        <v>90</v>
      </c>
      <c r="L87" s="3">
        <f t="shared" si="26"/>
        <v>90</v>
      </c>
      <c r="M87" s="3">
        <f t="shared" si="27"/>
        <v>2.3736747359753552E-2</v>
      </c>
      <c r="N87" s="3">
        <f t="shared" si="28"/>
        <v>3.649052556004917E-2</v>
      </c>
      <c r="O87" s="3">
        <f>IF(Control!$F$47="N",Control!$F$48,'FLS MP (driving)'!M56)</f>
        <v>0.1</v>
      </c>
      <c r="P87" s="3">
        <f>IF(Control!$F$47="N",Control!$F$48,'FLS MP (driving)'!N56)</f>
        <v>0.1</v>
      </c>
      <c r="Q87" s="3">
        <f>Control!$F$45</f>
        <v>0.03</v>
      </c>
      <c r="R87" s="3">
        <f>Control!$F$45</f>
        <v>0.03</v>
      </c>
      <c r="S87" s="3">
        <f t="shared" si="29"/>
        <v>0.15373674735975357</v>
      </c>
      <c r="T87" s="3">
        <f t="shared" si="30"/>
        <v>0.16649052556004917</v>
      </c>
      <c r="X87" s="37">
        <f>IF(OR(D87&gt;=$Z$13,D87&lt;=$Z$12,Geometry!P48="n"),0,"X")</f>
        <v>0</v>
      </c>
      <c r="Y87" s="37">
        <f>IF(OR(D87&gt;=$Z$15,D87&lt;=$Z$12,Geometry!Q48="n"),0,"X")</f>
        <v>0</v>
      </c>
      <c r="Z87" s="37">
        <f t="shared" si="31"/>
        <v>0</v>
      </c>
      <c r="AA87" s="37">
        <f t="shared" si="32"/>
        <v>0</v>
      </c>
      <c r="AB87" s="3">
        <f t="shared" si="33"/>
        <v>55.915668255616907</v>
      </c>
      <c r="AC87" s="3">
        <f t="shared" si="34"/>
        <v>55.915668255616907</v>
      </c>
      <c r="AD87" s="3">
        <f>IF(OR(Control!$F$39="EC",Control!$F$51="N"),G58,MIN(G58,14+0.66*(INDEX('Eff. thickness (DNVGL-RP-C203)'!$E$31:$E$1048576,MATCH(G58,'Eff. thickness (DNVGL-RP-C203)'!$C$31:$C$1048576,0)))))</f>
        <v>96</v>
      </c>
      <c r="AE87" s="3">
        <f>IF(OR(Control!$F$39="EC",Control!$F$51="N"),G58,MIN(G58,14+0.66*(INDEX('Eff. thickness (DNVGL-RP-C203)'!$D$31:$D$1048576,MATCH(G58,'Eff. thickness (DNVGL-RP-C203)'!$C$31:$C$1048576,0))+IF(I58&lt;0.001,0,'Eff. thickness (DNVGL-RP-C203)'!$L$29))))</f>
        <v>96</v>
      </c>
      <c r="AF87" s="3">
        <f t="shared" si="35"/>
        <v>0.76407106790789936</v>
      </c>
      <c r="AG87" s="3">
        <f t="shared" si="36"/>
        <v>0.76407106790789936</v>
      </c>
      <c r="AH87" s="3">
        <f t="shared" si="37"/>
        <v>1</v>
      </c>
      <c r="AI87" s="3">
        <f t="shared" si="38"/>
        <v>1</v>
      </c>
      <c r="AJ87" s="3">
        <f>IF(Control!$F$39&lt;&gt;"DNV",1,IF(D87&gt;Control!$F$16,IF(ISBLANK(Control!$F$56),1,Control!$F$56),IF(D87&gt;Control!$F$22,IF(ISBLANK(Control!$F$57),1,Control!$F$57),1)))</f>
        <v>1</v>
      </c>
      <c r="AK87" s="3">
        <f>IF(Control!$F$39&lt;&gt;"DNV",1,IF(D87&gt;Control!$F$18,IF(ISBLANK(Control!$F$56),1,Control!$F$56),IF(D87&gt;Control!$F$22,IF(ISBLANK(Control!$F$57),1,Control!$F$57),1)))</f>
        <v>1</v>
      </c>
    </row>
    <row r="88" spans="2:37" ht="14.85" customHeight="1">
      <c r="C88" s="12" t="str">
        <f t="shared" si="19"/>
        <v>CW23</v>
      </c>
      <c r="D88" s="2">
        <f t="shared" si="20"/>
        <v>-74.3</v>
      </c>
      <c r="E88" s="3">
        <f>IF(Geometry_loads!H41="-","-",Geometry_loads!H41*Control!$F$54)</f>
        <v>134549.09948023772</v>
      </c>
      <c r="F88" s="3" t="str">
        <f>IF(Geometry_loads!G41="-","-",Geometry_loads!G41*Control!$F$55)</f>
        <v>-</v>
      </c>
      <c r="G88" s="3">
        <f t="shared" si="21"/>
        <v>13.296605511646833</v>
      </c>
      <c r="H88" s="3">
        <f t="shared" si="22"/>
        <v>13.0653601984008</v>
      </c>
      <c r="I88" s="3" t="str">
        <f t="shared" si="23"/>
        <v>-</v>
      </c>
      <c r="J88" s="3" t="str">
        <f t="shared" si="24"/>
        <v>-</v>
      </c>
      <c r="K88" s="3">
        <f t="shared" si="25"/>
        <v>90</v>
      </c>
      <c r="L88" s="3">
        <f t="shared" si="26"/>
        <v>90</v>
      </c>
      <c r="M88" s="3">
        <f t="shared" si="27"/>
        <v>1.6964375708143E-3</v>
      </c>
      <c r="N88" s="3">
        <f t="shared" si="28"/>
        <v>5.0158256696972792E-3</v>
      </c>
      <c r="O88" s="3">
        <f>IF(Control!$F$47="N",Control!$F$48,'FLS MP (driving)'!M57)</f>
        <v>0.1</v>
      </c>
      <c r="P88" s="3">
        <f>IF(Control!$F$47="N",Control!$F$48,'FLS MP (driving)'!N57)</f>
        <v>0.1</v>
      </c>
      <c r="Q88" s="3">
        <f>Control!$F$45</f>
        <v>0.03</v>
      </c>
      <c r="R88" s="3">
        <f>Control!$F$45</f>
        <v>0.03</v>
      </c>
      <c r="S88" s="3">
        <f t="shared" si="29"/>
        <v>0.13169643757081428</v>
      </c>
      <c r="T88" s="3">
        <f t="shared" si="30"/>
        <v>0.13501582566969728</v>
      </c>
      <c r="X88" s="37">
        <f>IF(OR(D88&gt;=$Z$13,D88&lt;=$Z$12,Geometry!P49="n"),0,"X")</f>
        <v>0</v>
      </c>
      <c r="Y88" s="37">
        <f>IF(OR(D88&gt;=$Z$15,D88&lt;=$Z$12,Geometry!Q49="n"),0,"X")</f>
        <v>0</v>
      </c>
      <c r="Z88" s="37">
        <f t="shared" si="31"/>
        <v>0</v>
      </c>
      <c r="AA88" s="37">
        <f t="shared" si="32"/>
        <v>0</v>
      </c>
      <c r="AB88" s="3">
        <f t="shared" si="33"/>
        <v>58.184573599156636</v>
      </c>
      <c r="AC88" s="3">
        <f t="shared" si="34"/>
        <v>58.184573599156636</v>
      </c>
      <c r="AD88" s="3">
        <f>IF(OR(Control!$F$39="EC",Control!$F$51="N"),G59,MIN(G59,14+0.66*(INDEX('Eff. thickness (DNVGL-RP-C203)'!$E$31:$E$1048576,MATCH(G59,'Eff. thickness (DNVGL-RP-C203)'!$C$31:$C$1048576,0)))))</f>
        <v>100</v>
      </c>
      <c r="AE88" s="3">
        <f>IF(OR(Control!$F$39="EC",Control!$F$51="N"),G59,MIN(G59,14+0.66*(INDEX('Eff. thickness (DNVGL-RP-C203)'!$D$31:$D$1048576,MATCH(G59,'Eff. thickness (DNVGL-RP-C203)'!$C$31:$C$1048576,0))+IF(I59&lt;0.001,0,'Eff. thickness (DNVGL-RP-C203)'!$L$29))))</f>
        <v>100</v>
      </c>
      <c r="AF88" s="3">
        <f t="shared" si="35"/>
        <v>0.75785828325519911</v>
      </c>
      <c r="AG88" s="3">
        <f t="shared" si="36"/>
        <v>0.75785828325519911</v>
      </c>
      <c r="AH88" s="3">
        <f t="shared" si="37"/>
        <v>1</v>
      </c>
      <c r="AI88" s="3">
        <f t="shared" si="38"/>
        <v>1</v>
      </c>
      <c r="AJ88" s="3">
        <f>IF(Control!$F$39&lt;&gt;"DNV",1,IF(D88&gt;Control!$F$16,IF(ISBLANK(Control!$F$56),1,Control!$F$56),IF(D88&gt;Control!$F$22,IF(ISBLANK(Control!$F$57),1,Control!$F$57),1)))</f>
        <v>1</v>
      </c>
      <c r="AK88" s="3">
        <f>IF(Control!$F$39&lt;&gt;"DNV",1,IF(D88&gt;Control!$F$18,IF(ISBLANK(Control!$F$56),1,Control!$F$56),IF(D88&gt;Control!$F$22,IF(ISBLANK(Control!$F$57),1,Control!$F$57),1)))</f>
        <v>1</v>
      </c>
    </row>
    <row r="89" spans="2:37" ht="14.85" customHeight="1">
      <c r="C89" s="12" t="str">
        <f t="shared" si="19"/>
        <v>CW24</v>
      </c>
      <c r="D89" s="2">
        <f t="shared" si="20"/>
        <v>-77.430000000000007</v>
      </c>
      <c r="E89" s="3">
        <f>IF(Geometry_loads!H42="-","-",Geometry_loads!H42*Control!$F$54)</f>
        <v>48322.918045537335</v>
      </c>
      <c r="F89" s="3" t="str">
        <f>IF(Geometry_loads!G42="-","-",Geometry_loads!G42*Control!$F$55)</f>
        <v>-</v>
      </c>
      <c r="G89" s="3">
        <f t="shared" si="21"/>
        <v>4.3526800920275841</v>
      </c>
      <c r="H89" s="3">
        <f t="shared" si="22"/>
        <v>4.2694114293974907</v>
      </c>
      <c r="I89" s="3" t="str">
        <f t="shared" si="23"/>
        <v>-</v>
      </c>
      <c r="J89" s="3" t="str">
        <f t="shared" si="24"/>
        <v>-</v>
      </c>
      <c r="K89" s="3">
        <f t="shared" si="25"/>
        <v>90</v>
      </c>
      <c r="L89" s="3">
        <f t="shared" si="26"/>
        <v>90</v>
      </c>
      <c r="M89" s="3">
        <f t="shared" si="27"/>
        <v>1.8932133657198879E-5</v>
      </c>
      <c r="N89" s="3">
        <f t="shared" si="28"/>
        <v>6.2118626813938973E-5</v>
      </c>
      <c r="O89" s="3">
        <f>IF(Control!$F$47="N",Control!$F$48,'FLS MP (driving)'!M58)</f>
        <v>0.1</v>
      </c>
      <c r="P89" s="3">
        <f>IF(Control!$F$47="N",Control!$F$48,'FLS MP (driving)'!N58)</f>
        <v>0.1</v>
      </c>
      <c r="Q89" s="3">
        <f>Control!$F$45</f>
        <v>0.03</v>
      </c>
      <c r="R89" s="3">
        <f>Control!$F$45</f>
        <v>0.03</v>
      </c>
      <c r="S89" s="3">
        <f t="shared" si="29"/>
        <v>0.1300189321336572</v>
      </c>
      <c r="T89" s="3">
        <f t="shared" si="30"/>
        <v>0.13006211862681394</v>
      </c>
      <c r="X89" s="37">
        <f>IF(OR(D89&gt;=$Z$13,D89&lt;=$Z$12,Geometry!P50="n"),0,"X")</f>
        <v>0</v>
      </c>
      <c r="Y89" s="37">
        <f>IF(OR(D89&gt;=$Z$15,D89&lt;=$Z$12,Geometry!Q50="n"),0,"X")</f>
        <v>0</v>
      </c>
      <c r="Z89" s="37">
        <f t="shared" si="31"/>
        <v>0</v>
      </c>
      <c r="AA89" s="37">
        <f t="shared" si="32"/>
        <v>0</v>
      </c>
      <c r="AB89" s="3">
        <f t="shared" si="33"/>
        <v>63.83579148643733</v>
      </c>
      <c r="AC89" s="3">
        <f t="shared" si="34"/>
        <v>63.83579148643733</v>
      </c>
      <c r="AD89" s="3">
        <f>IF(OR(Control!$F$39="EC",Control!$F$51="N"),G60,MIN(G60,14+0.66*(INDEX('Eff. thickness (DNVGL-RP-C203)'!$E$31:$E$1048576,MATCH(G60,'Eff. thickness (DNVGL-RP-C203)'!$C$31:$C$1048576,0)))))</f>
        <v>110</v>
      </c>
      <c r="AE89" s="3">
        <f>IF(OR(Control!$F$39="EC",Control!$F$51="N"),G60,MIN(G60,14+0.66*(INDEX('Eff. thickness (DNVGL-RP-C203)'!$D$31:$D$1048576,MATCH(G60,'Eff. thickness (DNVGL-RP-C203)'!$C$31:$C$1048576,0))+IF(I60&lt;0.001,0,'Eff. thickness (DNVGL-RP-C203)'!$L$29))))</f>
        <v>110</v>
      </c>
      <c r="AF89" s="3">
        <f t="shared" si="35"/>
        <v>0.74354877884102999</v>
      </c>
      <c r="AG89" s="3">
        <f t="shared" si="36"/>
        <v>0.74354877884102999</v>
      </c>
      <c r="AH89" s="3">
        <f t="shared" si="37"/>
        <v>1</v>
      </c>
      <c r="AI89" s="3">
        <f t="shared" si="38"/>
        <v>1</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row r="91" spans="2:37">
      <c r="C91" s="35" t="s">
        <v>51</v>
      </c>
      <c r="M91" s="271" t="s">
        <v>60</v>
      </c>
      <c r="N91" s="267"/>
      <c r="O91" s="267"/>
      <c r="P91" s="267"/>
      <c r="Q91" s="267"/>
      <c r="R91" s="267"/>
      <c r="S91" s="267"/>
      <c r="T91" s="319"/>
    </row>
    <row r="92" spans="2:37" ht="20.399999999999999">
      <c r="B92" s="11"/>
      <c r="C92" s="312" t="s">
        <v>19</v>
      </c>
      <c r="D92" s="317" t="s">
        <v>278</v>
      </c>
      <c r="E92" s="30" t="s">
        <v>281</v>
      </c>
      <c r="F92" s="30" t="s">
        <v>281</v>
      </c>
      <c r="G92" s="313" t="s">
        <v>24</v>
      </c>
      <c r="H92" s="316"/>
      <c r="I92" s="313" t="s">
        <v>268</v>
      </c>
      <c r="J92" s="316"/>
      <c r="K92" s="312" t="s">
        <v>27</v>
      </c>
      <c r="L92" s="312"/>
      <c r="M92" s="312" t="s">
        <v>61</v>
      </c>
      <c r="N92" s="312"/>
      <c r="O92" s="313" t="s">
        <v>215</v>
      </c>
      <c r="P92" s="314"/>
      <c r="Q92" s="312" t="s">
        <v>62</v>
      </c>
      <c r="R92" s="312"/>
      <c r="S92" s="312" t="s">
        <v>63</v>
      </c>
      <c r="T92" s="312"/>
      <c r="X92" s="312" t="s">
        <v>31</v>
      </c>
      <c r="Y92" s="312"/>
      <c r="Z92" s="313" t="s">
        <v>48</v>
      </c>
      <c r="AA92" s="314"/>
      <c r="AB92" s="30" t="s">
        <v>21</v>
      </c>
      <c r="AC92" s="5" t="s">
        <v>22</v>
      </c>
      <c r="AD92" s="310" t="str">
        <f>IF(OR(Control!$F$39="EC",Control!$F$51="N"),"t","t_eff")</f>
        <v>t</v>
      </c>
      <c r="AE92" s="311"/>
      <c r="AF92" s="312" t="s">
        <v>35</v>
      </c>
      <c r="AG92" s="312"/>
      <c r="AH92" s="312"/>
      <c r="AI92" s="312"/>
      <c r="AJ92" s="310" t="s">
        <v>421</v>
      </c>
      <c r="AK92" s="311"/>
    </row>
    <row r="93" spans="2:37" ht="20.399999999999999">
      <c r="B93" s="11"/>
      <c r="C93" s="312">
        <v>0</v>
      </c>
      <c r="D93" s="318">
        <v>0</v>
      </c>
      <c r="E93" s="30" t="str">
        <f>IF(Control!$F$39="EC","m=4, N=2E6","m=5, N=1E7")</f>
        <v>m=4, N=2E6</v>
      </c>
      <c r="F93" s="30" t="str">
        <f>IF(Control!$F$39="EC","m=3, N=2E6","m=3, N=1E7")</f>
        <v>m=3, N=2E6</v>
      </c>
      <c r="G93" s="30" t="s">
        <v>25</v>
      </c>
      <c r="H93" s="30" t="s">
        <v>26</v>
      </c>
      <c r="I93" s="5" t="s">
        <v>25</v>
      </c>
      <c r="J93" s="5" t="s">
        <v>26</v>
      </c>
      <c r="K93" s="30" t="s">
        <v>25</v>
      </c>
      <c r="L93" s="30" t="s">
        <v>26</v>
      </c>
      <c r="M93" s="30" t="s">
        <v>25</v>
      </c>
      <c r="N93" s="30" t="s">
        <v>64</v>
      </c>
      <c r="O93" s="30" t="s">
        <v>25</v>
      </c>
      <c r="P93" s="30" t="s">
        <v>64</v>
      </c>
      <c r="Q93" s="30" t="s">
        <v>25</v>
      </c>
      <c r="R93" s="30" t="s">
        <v>64</v>
      </c>
      <c r="S93" s="30" t="s">
        <v>25</v>
      </c>
      <c r="T93" s="30" t="s">
        <v>64</v>
      </c>
      <c r="X93" s="30" t="s">
        <v>33</v>
      </c>
      <c r="Y93" s="30" t="s">
        <v>34</v>
      </c>
      <c r="Z93" s="30" t="s">
        <v>33</v>
      </c>
      <c r="AA93" s="30" t="s">
        <v>34</v>
      </c>
      <c r="AB93" s="313" t="s">
        <v>30</v>
      </c>
      <c r="AC93" s="314"/>
      <c r="AD93" s="30" t="s">
        <v>45</v>
      </c>
      <c r="AE93" s="30" t="s">
        <v>34</v>
      </c>
      <c r="AF93" s="30" t="s">
        <v>45</v>
      </c>
      <c r="AG93" s="30" t="s">
        <v>34</v>
      </c>
      <c r="AH93" s="30" t="s">
        <v>46</v>
      </c>
      <c r="AI93" s="30" t="s">
        <v>47</v>
      </c>
      <c r="AJ93" s="30" t="s">
        <v>45</v>
      </c>
      <c r="AK93" s="30" t="s">
        <v>34</v>
      </c>
    </row>
    <row r="94" spans="2:37">
      <c r="B94" s="11"/>
      <c r="C94" s="30" t="s">
        <v>16</v>
      </c>
      <c r="D94" s="30" t="str">
        <f>"[m"&amp;Control!$F$7&amp;"]"</f>
        <v>[mLAT]</v>
      </c>
      <c r="E94" s="313" t="s">
        <v>20</v>
      </c>
      <c r="F94" s="314"/>
      <c r="G94" s="313" t="s">
        <v>77</v>
      </c>
      <c r="H94" s="316"/>
      <c r="I94" s="316"/>
      <c r="J94" s="314"/>
      <c r="K94" s="313" t="s">
        <v>77</v>
      </c>
      <c r="L94" s="314"/>
      <c r="M94" s="320" t="s">
        <v>16</v>
      </c>
      <c r="N94" s="321"/>
      <c r="O94" s="321"/>
      <c r="P94" s="321"/>
      <c r="Q94" s="321"/>
      <c r="R94" s="321"/>
      <c r="S94" s="321"/>
      <c r="T94" s="322"/>
      <c r="X94" s="320" t="s">
        <v>32</v>
      </c>
      <c r="Y94" s="322"/>
      <c r="Z94" s="30" t="s">
        <v>10</v>
      </c>
      <c r="AA94" s="30" t="s">
        <v>10</v>
      </c>
      <c r="AB94" s="313" t="s">
        <v>23</v>
      </c>
      <c r="AC94" s="314"/>
      <c r="AD94" s="87" t="s">
        <v>10</v>
      </c>
      <c r="AE94" s="87" t="s">
        <v>10</v>
      </c>
      <c r="AF94" s="1" t="s">
        <v>16</v>
      </c>
      <c r="AG94" s="1" t="s">
        <v>16</v>
      </c>
      <c r="AH94" s="1" t="s">
        <v>16</v>
      </c>
      <c r="AI94" s="1" t="s">
        <v>16</v>
      </c>
      <c r="AJ94" s="1" t="s">
        <v>16</v>
      </c>
      <c r="AK94" s="1" t="s">
        <v>16</v>
      </c>
    </row>
    <row r="95" spans="2:37" ht="14.85" customHeight="1">
      <c r="C95" s="12" t="str">
        <f>C37</f>
        <v>CW1</v>
      </c>
      <c r="D95" s="2">
        <f>E6</f>
        <v>2.6</v>
      </c>
      <c r="E95" s="3">
        <f>IF(Geometry_loads!H19="-","-",Geometry_loads!H19*Control!$F$54)</f>
        <v>283746.91728307027</v>
      </c>
      <c r="F95" s="3">
        <f>IF(Geometry_loads!G19="-","-",Geometry_loads!G19*Control!$F$55)</f>
        <v>333667.60647502384</v>
      </c>
      <c r="G95" s="3">
        <f>IF(X95=0,E95/AB95*E37/2/1000,(E95*($AF$24/$Z$5)^(1/$AE$4)/AB95*E37/2/1000))</f>
        <v>45.767202000087174</v>
      </c>
      <c r="H95" s="3">
        <f>IF(Y95=0,E95/AB95*(E37-2*H37/1000)/2/1000,(E95*($AF$24/$Z$5)^(1/$AE$4)/AB95*(E37-2*H37/1000)/2/1000))</f>
        <v>44.43995314208464</v>
      </c>
      <c r="I95" s="3">
        <f>IF(X95=0,"-",(F95*($AF$23/$Z$5)^(1/3)/AC95*(E37-2*Z95/1000)/2/1000))</f>
        <v>42.82976477054234</v>
      </c>
      <c r="J95" s="3">
        <f>IF(Y95=0,"-",(F95*($AF$23/$Z$5)^(1/3))/AC95*(E37-2*(H37-AA95)/1000)/2/1000)</f>
        <v>41.616065518753423</v>
      </c>
      <c r="K95" s="3">
        <f>IF(OR(N37="b",N37="o"),$AC$6,$AC$7)</f>
        <v>112</v>
      </c>
      <c r="L95" s="3">
        <f>IF(OR(N37="b",N37="i"),$AC$6,$AC$7)</f>
        <v>112</v>
      </c>
      <c r="M95" s="3">
        <f>IF(D95&gt;$Z$9,$AD$13,$AD$14)*((((IF(D95&gt;$Z$9,$AD$11,$AD$12)/AF95*L37*G95*IF(OR(N37="b",N37="o"),$AE$19,1))/(AJ95*K95))^$AE$4)+(((IF(D95&gt;$Z$9,$AD$11,$AD$12)/AH95*L37*IF(X95=0,0,I95)*IF(OR(N37="b",N37="o"),$AE$19,1))/(0.7*IF(K95=65.5,58.48,K95)))^3))</f>
        <v>0.44939353689529493</v>
      </c>
      <c r="N95" s="3">
        <f>IF(D95&gt;$Z$9,$AD$13,$AD$14)*((((IF(D95&gt;$Z$9,$AD$11,$AD$12)/AG95*M37*H95*IF(OR(N37="b",N37="i"),$AE$19,1))/(AK95*L95))^$AE$4)+(((IF(D95&gt;$Z$9,$AD$11,$AD$12)/AI95*M37*IF(Y95=0,0,J95)*IF(OR(N37="b",N37="i"),$AE$19,1))/(0.7*IF(L95=65.5,58.48,L95)))^3))</f>
        <v>0.85011364980780457</v>
      </c>
      <c r="O95" s="3">
        <f>IF(Control!$F$47="N",Control!$F$48,'FLS MP (driving)'!O35)</f>
        <v>0.1</v>
      </c>
      <c r="P95" s="3">
        <f>IF(Control!$F$47="N",Control!$F$48,'FLS MP (driving)'!P35)</f>
        <v>0.1</v>
      </c>
      <c r="Q95" s="3">
        <f>Control!$F$45</f>
        <v>0.03</v>
      </c>
      <c r="R95" s="3">
        <f>Control!$F$45</f>
        <v>0.03</v>
      </c>
      <c r="S95" s="3">
        <f>M95+O95+Q95</f>
        <v>0.57939353689529494</v>
      </c>
      <c r="T95" s="3">
        <f>N95+P95+R95</f>
        <v>0.98011364980780458</v>
      </c>
      <c r="X95" s="36" t="str">
        <f>X66</f>
        <v>X</v>
      </c>
      <c r="Y95" s="36" t="str">
        <f>Y66</f>
        <v>X</v>
      </c>
      <c r="Z95" s="36">
        <f>Z66</f>
        <v>1.7999999999999998</v>
      </c>
      <c r="AA95" s="36">
        <f>AA66</f>
        <v>0.89999999999999991</v>
      </c>
      <c r="AB95" s="3">
        <f>(PI()/64*(E37^4-(E37-2*H37/1000)^4))</f>
        <v>22.328097952673435</v>
      </c>
      <c r="AC95" s="3">
        <f>(PI()/64*((E37-2*Z66/1000)^4-((E37-2*Z66/1000)-2*(H37-Z66-AA66)/1000)^4))</f>
        <v>21.80070837959973</v>
      </c>
      <c r="AD95" s="3">
        <f>IF(OR(Control!$F$39="EC",Control!$F$51="N"),H37,MIN(H37,14+0.66*(INDEX('Eff. thickness (DNVGL-RP-C203)'!$E$31:$E$1048576,MATCH(H37,'Eff. thickness (DNVGL-RP-C203)'!$C$31:$C$1048576,0)))))</f>
        <v>116</v>
      </c>
      <c r="AE95" s="3">
        <f>IF(OR(Control!$F$39="EC",Control!$F$51="N"),H37,MIN(H37,14+0.66*(INDEX('Eff. thickness (DNVGL-RP-C203)'!$D$31:$D$1048576,MATCH(H37,'Eff. thickness (DNVGL-RP-C203)'!$C$31:$C$1048576,0))+IF(I37&lt;0.001,0,'Eff. thickness (DNVGL-RP-C203)'!$L$29))))</f>
        <v>116</v>
      </c>
      <c r="AF95" s="3">
        <f>(25/AD95)^(IF(OR(N37="b",N37="o"),0.1,0.2))</f>
        <v>0.85772526337829658</v>
      </c>
      <c r="AG95" s="3">
        <f>(25/AE95)^(IF(OR(N37="b",N37="i"),0.1,0.2))</f>
        <v>0.85772526337829658</v>
      </c>
      <c r="AH95" s="3">
        <f>IF(X66=0,1,(25/AD95)^(IF(OR(N37="b",N37="o"),0.15,0.2)))</f>
        <v>0.79436902799277598</v>
      </c>
      <c r="AI95" s="3">
        <f>IF(Y66=0,1,(25/AE95)^(IF(OR(N37="b",N37="i"),0.15,0.2)))</f>
        <v>0.79436902799277598</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ref="C96:C118" si="39">C38</f>
        <v>CW2</v>
      </c>
      <c r="D96" s="2">
        <f t="shared" ref="D96:D118" si="40">E7</f>
        <v>-0.6</v>
      </c>
      <c r="E96" s="3">
        <f>IF(Geometry_loads!H20="-","-",Geometry_loads!H20*Control!$F$54)</f>
        <v>290111.12169594778</v>
      </c>
      <c r="F96" s="3">
        <f>IF(Geometry_loads!G20="-","-",Geometry_loads!G20*Control!$F$55)</f>
        <v>341481.34156336304</v>
      </c>
      <c r="G96" s="3">
        <f t="shared" ref="G96:G118" si="41">IF(X96=0,E96/AB96*E38/2/1000,(E96*($AF$24/$Z$5)^(1/$AE$4)/AB96*E38/2/1000))</f>
        <v>48.394206756516937</v>
      </c>
      <c r="H96" s="3">
        <f t="shared" ref="H96:H118" si="42">IF(Y96=0,E96/AB96*(E38-2*H38/1000)/2/1000,(E96*($AF$24/$Z$5)^(1/$AE$4)/AB96*(E38-2*H38/1000)/2/1000))</f>
        <v>46.881887795375782</v>
      </c>
      <c r="I96" s="3" t="str">
        <f t="shared" ref="I96:I118" si="43">IF(X96=0,"-",(F96*($AF$23/$Z$5)^(1/3)/AC96*(E38-2*Z96/1000)/2/1000))</f>
        <v>-</v>
      </c>
      <c r="J96" s="3" t="str">
        <f t="shared" ref="J96:J118" si="44">IF(Y96=0,"-",(F96*($AF$23/$Z$5)^(1/3))/AC96*(E38-2*(H38-AA96)/1000)/2/1000)</f>
        <v>-</v>
      </c>
      <c r="K96" s="3">
        <f t="shared" ref="K96:K118" si="45">IF(OR(N38="b",N38="o"),$AC$6,$AC$7)</f>
        <v>90</v>
      </c>
      <c r="L96" s="3">
        <f t="shared" ref="L96:L118" si="46">IF(OR(N38="b",N38="i"),$AC$6,$AC$7)</f>
        <v>112</v>
      </c>
      <c r="M96" s="3">
        <f t="shared" ref="M96:M118" si="47">IF(D96&gt;$Z$9,$AD$13,$AD$14)*((((IF(D96&gt;$Z$9,$AD$11,$AD$12)/AF96*L38*G96*IF(OR(N38="b",N38="o"),$AE$19,1))/(AJ96*K96))^$AE$4)+(((IF(D96&gt;$Z$9,$AD$11,$AD$12)/AH96*L38*IF(X96=0,0,I96)*IF(OR(N38="b",N38="o"),$AE$19,1))/(0.7*IF(K96=65.5,58.48,K96)))^3))</f>
        <v>0.37922076899208662</v>
      </c>
      <c r="N96" s="3">
        <f t="shared" ref="N96:N118" si="48">IF(D96&gt;$Z$9,$AD$13,$AD$14)*((((IF(D96&gt;$Z$9,$AD$11,$AD$12)/AG96*M38*H96*IF(OR(N38="b",N38="i"),$AE$19,1))/(AK96*L96))^$AE$4)+(((IF(D96&gt;$Z$9,$AD$11,$AD$12)/AI96*M38*IF(Y96=0,0,J96)*IF(OR(N38="b",N38="i"),$AE$19,1))/(0.7*IF(L96=65.5,58.48,L96)))^3))</f>
        <v>0.18419256241721091</v>
      </c>
      <c r="O96" s="3">
        <f>IF(Control!$F$47="N",Control!$F$48,'FLS MP (driving)'!O36)</f>
        <v>0.1</v>
      </c>
      <c r="P96" s="3">
        <f>IF(Control!$F$47="N",Control!$F$48,'FLS MP (driving)'!P36)</f>
        <v>0.1</v>
      </c>
      <c r="Q96" s="3">
        <f>Control!$F$45</f>
        <v>0.03</v>
      </c>
      <c r="R96" s="3">
        <f>Control!$F$45</f>
        <v>0.03</v>
      </c>
      <c r="S96" s="3">
        <f t="shared" ref="S96:S118" si="49">M96+O96+Q96</f>
        <v>0.50922076899208668</v>
      </c>
      <c r="T96" s="3">
        <f t="shared" ref="T96:T118" si="50">N96+P96+R96</f>
        <v>0.31419256241721094</v>
      </c>
      <c r="X96" s="36">
        <f t="shared" ref="X96:AA96" si="51">X67</f>
        <v>0</v>
      </c>
      <c r="Y96" s="36">
        <f t="shared" si="51"/>
        <v>0</v>
      </c>
      <c r="Z96" s="36">
        <f t="shared" si="51"/>
        <v>0</v>
      </c>
      <c r="AA96" s="36">
        <f t="shared" si="51"/>
        <v>0</v>
      </c>
      <c r="AB96" s="3">
        <f t="shared" ref="AB96:AB118" si="52">(PI()/64*(E38^4-(E38-2*H38/1000)^4))</f>
        <v>23.978995928629857</v>
      </c>
      <c r="AC96" s="3">
        <f t="shared" ref="AC96:AC118" si="53">(PI()/64*((E38-2*Z67/1000)^4-((E38-2*Z67/1000)-2*(H38-Z67-AA67)/1000)^4))</f>
        <v>23.978995928629857</v>
      </c>
      <c r="AD96" s="3">
        <f>IF(OR(Control!$F$39="EC",Control!$F$51="N"),H38,MIN(H38,14+0.66*(INDEX('Eff. thickness (DNVGL-RP-C203)'!$E$31:$E$1048576,MATCH(H38,'Eff. thickness (DNVGL-RP-C203)'!$C$31:$C$1048576,0)))))</f>
        <v>125</v>
      </c>
      <c r="AE96" s="3">
        <f>IF(OR(Control!$F$39="EC",Control!$F$51="N"),H38,MIN(H38,14+0.66*(INDEX('Eff. thickness (DNVGL-RP-C203)'!$D$31:$D$1048576,MATCH(H38,'Eff. thickness (DNVGL-RP-C203)'!$C$31:$C$1048576,0))+IF(I38&lt;0.001,0,'Eff. thickness (DNVGL-RP-C203)'!$L$29))))</f>
        <v>125</v>
      </c>
      <c r="AF96" s="3">
        <f t="shared" ref="AF96:AF118" si="54">(25/AD96)^(IF(OR(N38="b",N38="o"),0.1,0.2))</f>
        <v>0.72477966367769553</v>
      </c>
      <c r="AG96" s="3">
        <f t="shared" ref="AG96:AG118" si="55">(25/AE96)^(IF(OR(N38="b",N38="i"),0.1,0.2))</f>
        <v>0.85133992252078461</v>
      </c>
      <c r="AH96" s="3">
        <f t="shared" ref="AH96:AH118" si="56">IF(X67=0,1,(25/AD96)^(IF(OR(N38="b",N38="o"),0.15,0.2)))</f>
        <v>1</v>
      </c>
      <c r="AI96" s="3">
        <f t="shared" ref="AI96:AI118" si="57">IF(Y67=0,1,(25/AE96)^(IF(OR(N38="b",N38="i"),0.15,0.2)))</f>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CW3</v>
      </c>
      <c r="D97" s="2">
        <f t="shared" si="40"/>
        <v>-3.8</v>
      </c>
      <c r="E97" s="3">
        <f>IF(Geometry_loads!H21="-","-",Geometry_loads!H21*Control!$F$54)</f>
        <v>295992.32845249085</v>
      </c>
      <c r="F97" s="3">
        <f>IF(Geometry_loads!G21="-","-",Geometry_loads!G21*Control!$F$55)</f>
        <v>348775.24396391248</v>
      </c>
      <c r="G97" s="3">
        <f t="shared" si="41"/>
        <v>49.375266476289632</v>
      </c>
      <c r="H97" s="3">
        <f t="shared" si="42"/>
        <v>47.83228939890558</v>
      </c>
      <c r="I97" s="3" t="str">
        <f t="shared" si="43"/>
        <v>-</v>
      </c>
      <c r="J97" s="3" t="str">
        <f t="shared" si="44"/>
        <v>-</v>
      </c>
      <c r="K97" s="3">
        <f t="shared" si="45"/>
        <v>112</v>
      </c>
      <c r="L97" s="3">
        <f t="shared" si="46"/>
        <v>90</v>
      </c>
      <c r="M97" s="3">
        <f t="shared" si="47"/>
        <v>0.72295397455953447</v>
      </c>
      <c r="N97" s="3">
        <f t="shared" si="48"/>
        <v>0.70587969577376874</v>
      </c>
      <c r="O97" s="3">
        <f>IF(Control!$F$47="N",Control!$F$48,'FLS MP (driving)'!O37)</f>
        <v>0.1</v>
      </c>
      <c r="P97" s="3">
        <f>IF(Control!$F$47="N",Control!$F$48,'FLS MP (driving)'!P37)</f>
        <v>0.1</v>
      </c>
      <c r="Q97" s="3">
        <f>Control!$F$45</f>
        <v>0.03</v>
      </c>
      <c r="R97" s="3">
        <f>Control!$F$45</f>
        <v>0.03</v>
      </c>
      <c r="S97" s="3">
        <f t="shared" si="49"/>
        <v>0.85295397455953448</v>
      </c>
      <c r="T97" s="3">
        <f t="shared" si="50"/>
        <v>0.83587969577376875</v>
      </c>
      <c r="X97" s="36">
        <f t="shared" ref="X97:AA97" si="58">X68</f>
        <v>0</v>
      </c>
      <c r="Y97" s="36">
        <f t="shared" si="58"/>
        <v>0</v>
      </c>
      <c r="Z97" s="36">
        <f t="shared" si="58"/>
        <v>0</v>
      </c>
      <c r="AA97" s="36">
        <f t="shared" si="58"/>
        <v>0</v>
      </c>
      <c r="AB97" s="3">
        <f t="shared" si="52"/>
        <v>23.978995928629857</v>
      </c>
      <c r="AC97" s="3">
        <f t="shared" si="53"/>
        <v>23.978995928629857</v>
      </c>
      <c r="AD97" s="3">
        <f>IF(OR(Control!$F$39="EC",Control!$F$51="N"),H39,MIN(H39,14+0.66*(INDEX('Eff. thickness (DNVGL-RP-C203)'!$E$31:$E$1048576,MATCH(H39,'Eff. thickness (DNVGL-RP-C203)'!$C$31:$C$1048576,0)))))</f>
        <v>125</v>
      </c>
      <c r="AE97" s="3">
        <f>IF(OR(Control!$F$39="EC",Control!$F$51="N"),H39,MIN(H39,14+0.66*(INDEX('Eff. thickness (DNVGL-RP-C203)'!$D$31:$D$1048576,MATCH(H39,'Eff. thickness (DNVGL-RP-C203)'!$C$31:$C$1048576,0))+IF(I39&lt;0.001,0,'Eff. thickness (DNVGL-RP-C203)'!$L$29))))</f>
        <v>125</v>
      </c>
      <c r="AF97" s="3">
        <f t="shared" si="54"/>
        <v>0.85133992252078461</v>
      </c>
      <c r="AG97" s="3">
        <f t="shared" si="55"/>
        <v>0.72477966367769553</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CW4</v>
      </c>
      <c r="D98" s="2">
        <f t="shared" si="40"/>
        <v>-7.3</v>
      </c>
      <c r="E98" s="3">
        <f>IF(Geometry_loads!H22="-","-",Geometry_loads!H22*Control!$F$54)</f>
        <v>302143.44566404429</v>
      </c>
      <c r="F98" s="3">
        <f>IF(Geometry_loads!G22="-","-",Geometry_loads!G22*Control!$F$55)</f>
        <v>356329.06270835677</v>
      </c>
      <c r="G98" s="3">
        <f t="shared" si="41"/>
        <v>52.937065195771716</v>
      </c>
      <c r="H98" s="3">
        <f t="shared" si="42"/>
        <v>51.607019707433096</v>
      </c>
      <c r="I98" s="3" t="str">
        <f t="shared" si="43"/>
        <v>-</v>
      </c>
      <c r="J98" s="3" t="str">
        <f t="shared" si="44"/>
        <v>-</v>
      </c>
      <c r="K98" s="3">
        <f t="shared" si="45"/>
        <v>90</v>
      </c>
      <c r="L98" s="3">
        <f t="shared" si="46"/>
        <v>112</v>
      </c>
      <c r="M98" s="3">
        <f t="shared" si="47"/>
        <v>0.26638861003321918</v>
      </c>
      <c r="N98" s="3">
        <f t="shared" si="48"/>
        <v>0.41149776170803753</v>
      </c>
      <c r="O98" s="3">
        <f>IF(Control!$F$47="N",Control!$F$48,'FLS MP (driving)'!O38)</f>
        <v>0.1</v>
      </c>
      <c r="P98" s="3">
        <f>IF(Control!$F$47="N",Control!$F$48,'FLS MP (driving)'!P38)</f>
        <v>0.1</v>
      </c>
      <c r="Q98" s="3">
        <f>Control!$F$45</f>
        <v>0.03</v>
      </c>
      <c r="R98" s="3">
        <f>Control!$F$45</f>
        <v>0.03</v>
      </c>
      <c r="S98" s="3">
        <f t="shared" si="49"/>
        <v>0.39638861003321924</v>
      </c>
      <c r="T98" s="3">
        <f t="shared" si="50"/>
        <v>0.54149776170803754</v>
      </c>
      <c r="X98" s="36">
        <f t="shared" ref="X98:AA98" si="59">X69</f>
        <v>0</v>
      </c>
      <c r="Y98" s="36">
        <f t="shared" si="59"/>
        <v>0</v>
      </c>
      <c r="Z98" s="36">
        <f t="shared" si="59"/>
        <v>0</v>
      </c>
      <c r="AA98" s="36">
        <f t="shared" si="59"/>
        <v>0</v>
      </c>
      <c r="AB98" s="3">
        <f t="shared" si="52"/>
        <v>24.079781873020281</v>
      </c>
      <c r="AC98" s="3">
        <f t="shared" si="53"/>
        <v>24.079781873020281</v>
      </c>
      <c r="AD98" s="3">
        <f>IF(OR(Control!$F$39="EC",Control!$F$51="N"),H40,MIN(H40,14+0.66*(INDEX('Eff. thickness (DNVGL-RP-C203)'!$E$31:$E$1048576,MATCH(H40,'Eff. thickness (DNVGL-RP-C203)'!$C$31:$C$1048576,0)))))</f>
        <v>106</v>
      </c>
      <c r="AE98" s="3">
        <f>IF(OR(Control!$F$39="EC",Control!$F$51="N"),H40,MIN(H40,14+0.66*(INDEX('Eff. thickness (DNVGL-RP-C203)'!$D$31:$D$1048576,MATCH(H40,'Eff. thickness (DNVGL-RP-C203)'!$C$31:$C$1048576,0))+IF(I40&lt;0.001,0,'Eff. thickness (DNVGL-RP-C203)'!$L$29))))</f>
        <v>106</v>
      </c>
      <c r="AF98" s="3">
        <f t="shared" si="54"/>
        <v>0.7490776315933545</v>
      </c>
      <c r="AG98" s="3">
        <f t="shared" si="55"/>
        <v>0.86549271030630548</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CW5</v>
      </c>
      <c r="D99" s="2">
        <f t="shared" si="40"/>
        <v>-10.8</v>
      </c>
      <c r="E99" s="3">
        <f>IF(Geometry_loads!H23="-","-",Geometry_loads!H23*Control!$F$54)</f>
        <v>308308.76868901943</v>
      </c>
      <c r="F99" s="3">
        <f>IF(Geometry_loads!G23="-","-",Geometry_loads!G23*Control!$F$55)</f>
        <v>363964.10531026823</v>
      </c>
      <c r="G99" s="3">
        <f t="shared" si="41"/>
        <v>44.679339962765859</v>
      </c>
      <c r="H99" s="3">
        <f t="shared" si="42"/>
        <v>43.511463213998262</v>
      </c>
      <c r="I99" s="3" t="str">
        <f t="shared" si="43"/>
        <v>-</v>
      </c>
      <c r="J99" s="3" t="str">
        <f t="shared" si="44"/>
        <v>-</v>
      </c>
      <c r="K99" s="3">
        <f t="shared" si="45"/>
        <v>90</v>
      </c>
      <c r="L99" s="3">
        <f t="shared" si="46"/>
        <v>90</v>
      </c>
      <c r="M99" s="3">
        <f t="shared" si="47"/>
        <v>0.24458187792404809</v>
      </c>
      <c r="N99" s="3">
        <f t="shared" si="48"/>
        <v>0.66092275112883359</v>
      </c>
      <c r="O99" s="3">
        <f>IF(Control!$F$47="N",Control!$F$48,'FLS MP (driving)'!O39)</f>
        <v>0.1</v>
      </c>
      <c r="P99" s="3">
        <f>IF(Control!$F$47="N",Control!$F$48,'FLS MP (driving)'!P39)</f>
        <v>0.1</v>
      </c>
      <c r="Q99" s="3">
        <f>Control!$F$45</f>
        <v>0.03</v>
      </c>
      <c r="R99" s="3">
        <f>Control!$F$45</f>
        <v>0.03</v>
      </c>
      <c r="S99" s="3">
        <f t="shared" si="49"/>
        <v>0.37458187792404807</v>
      </c>
      <c r="T99" s="3">
        <f t="shared" si="50"/>
        <v>0.79092275112883359</v>
      </c>
      <c r="X99" s="36">
        <f t="shared" ref="X99:AA99" si="60">X70</f>
        <v>0</v>
      </c>
      <c r="Y99" s="36">
        <f t="shared" si="60"/>
        <v>0</v>
      </c>
      <c r="Z99" s="36">
        <f t="shared" si="60"/>
        <v>0</v>
      </c>
      <c r="AA99" s="36">
        <f t="shared" si="60"/>
        <v>0</v>
      </c>
      <c r="AB99" s="3">
        <f t="shared" si="52"/>
        <v>30.622937913325249</v>
      </c>
      <c r="AC99" s="3">
        <f t="shared" si="53"/>
        <v>30.622937913325249</v>
      </c>
      <c r="AD99" s="3">
        <f>IF(OR(Control!$F$39="EC",Control!$F$51="N"),H41,MIN(H41,14+0.66*(INDEX('Eff. thickness (DNVGL-RP-C203)'!$E$31:$E$1048576,MATCH(H41,'Eff. thickness (DNVGL-RP-C203)'!$C$31:$C$1048576,0)))))</f>
        <v>116</v>
      </c>
      <c r="AE99" s="3">
        <f>IF(OR(Control!$F$39="EC",Control!$F$51="N"),H41,MIN(H41,14+0.66*(INDEX('Eff. thickness (DNVGL-RP-C203)'!$D$31:$D$1048576,MATCH(H41,'Eff. thickness (DNVGL-RP-C203)'!$C$31:$C$1048576,0))+IF(I41&lt;0.001,0,'Eff. thickness (DNVGL-RP-C203)'!$L$29))))</f>
        <v>116</v>
      </c>
      <c r="AF99" s="3">
        <f t="shared" si="54"/>
        <v>0.7356926274373683</v>
      </c>
      <c r="AG99" s="3">
        <f t="shared" si="55"/>
        <v>0.7356926274373683</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CW6</v>
      </c>
      <c r="D100" s="2">
        <f t="shared" si="40"/>
        <v>-14.3</v>
      </c>
      <c r="E100" s="3">
        <f>IF(Geometry_loads!H24="-","-",Geometry_loads!H24*Control!$F$54)</f>
        <v>315028.11843743699</v>
      </c>
      <c r="F100" s="3">
        <f>IF(Geometry_loads!G24="-","-",Geometry_loads!G24*Control!$F$55)</f>
        <v>372541.34465879854</v>
      </c>
      <c r="G100" s="3">
        <f t="shared" si="41"/>
        <v>46.413111560044754</v>
      </c>
      <c r="H100" s="3">
        <f t="shared" si="42"/>
        <v>45.386515367315013</v>
      </c>
      <c r="I100" s="3" t="str">
        <f t="shared" si="43"/>
        <v>-</v>
      </c>
      <c r="J100" s="3" t="str">
        <f t="shared" si="44"/>
        <v>-</v>
      </c>
      <c r="K100" s="3">
        <f t="shared" si="45"/>
        <v>90</v>
      </c>
      <c r="L100" s="3">
        <f t="shared" si="46"/>
        <v>90</v>
      </c>
      <c r="M100" s="3">
        <f t="shared" si="47"/>
        <v>0.21625848047859886</v>
      </c>
      <c r="N100" s="3">
        <f t="shared" si="48"/>
        <v>0.83351814171643135</v>
      </c>
      <c r="O100" s="3">
        <f>IF(Control!$F$47="N",Control!$F$48,'FLS MP (driving)'!O40)</f>
        <v>0.1</v>
      </c>
      <c r="P100" s="3">
        <f>IF(Control!$F$47="N",Control!$F$48,'FLS MP (driving)'!P40)</f>
        <v>0.1</v>
      </c>
      <c r="Q100" s="3">
        <f>Control!$F$45</f>
        <v>0.03</v>
      </c>
      <c r="R100" s="3">
        <f>Control!$F$45</f>
        <v>0.03</v>
      </c>
      <c r="S100" s="3">
        <f t="shared" si="49"/>
        <v>0.34625848047859886</v>
      </c>
      <c r="T100" s="3">
        <f t="shared" si="50"/>
        <v>0.96351814171643135</v>
      </c>
      <c r="X100" s="36">
        <f t="shared" ref="X100:AA100" si="61">X71</f>
        <v>0</v>
      </c>
      <c r="Y100" s="36">
        <f t="shared" si="61"/>
        <v>0</v>
      </c>
      <c r="Z100" s="36">
        <f t="shared" si="61"/>
        <v>0</v>
      </c>
      <c r="AA100" s="36">
        <f t="shared" si="61"/>
        <v>0</v>
      </c>
      <c r="AB100" s="3">
        <f t="shared" si="52"/>
        <v>31.607263331822999</v>
      </c>
      <c r="AC100" s="3">
        <f t="shared" si="53"/>
        <v>31.607263331822999</v>
      </c>
      <c r="AD100" s="3">
        <f>IF(OR(Control!$F$39="EC",Control!$F$51="N"),H42,MIN(H42,14+0.66*(INDEX('Eff. thickness (DNVGL-RP-C203)'!$E$31:$E$1048576,MATCH(H42,'Eff. thickness (DNVGL-RP-C203)'!$C$31:$C$1048576,0)))))</f>
        <v>103</v>
      </c>
      <c r="AE100" s="3">
        <f>IF(OR(Control!$F$39="EC",Control!$F$51="N"),H42,MIN(H42,14+0.66*(INDEX('Eff. thickness (DNVGL-RP-C203)'!$D$31:$D$1048576,MATCH(H42,'Eff. thickness (DNVGL-RP-C203)'!$C$31:$C$1048576,0))+IF(I42&lt;0.001,0,'Eff. thickness (DNVGL-RP-C203)'!$L$29))))</f>
        <v>103</v>
      </c>
      <c r="AF100" s="3">
        <f t="shared" si="54"/>
        <v>0.75339122373362577</v>
      </c>
      <c r="AG100" s="3">
        <f t="shared" si="55"/>
        <v>0.75339122373362577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CW7</v>
      </c>
      <c r="D101" s="2">
        <f t="shared" si="40"/>
        <v>-17.8</v>
      </c>
      <c r="E101" s="3">
        <f>IF(Geometry_loads!H25="-","-",Geometry_loads!H25*Control!$F$54)</f>
        <v>322486.17048377782</v>
      </c>
      <c r="F101" s="3">
        <f>IF(Geometry_loads!G25="-","-",Geometry_loads!G25*Control!$F$55)</f>
        <v>382174.49415440171</v>
      </c>
      <c r="G101" s="3">
        <f t="shared" si="41"/>
        <v>45.415444959876098</v>
      </c>
      <c r="H101" s="3">
        <f t="shared" si="42"/>
        <v>44.502581056097476</v>
      </c>
      <c r="I101" s="3" t="str">
        <f t="shared" si="43"/>
        <v>-</v>
      </c>
      <c r="J101" s="3" t="str">
        <f t="shared" si="44"/>
        <v>-</v>
      </c>
      <c r="K101" s="3">
        <f t="shared" si="45"/>
        <v>90</v>
      </c>
      <c r="L101" s="3">
        <f t="shared" si="46"/>
        <v>90</v>
      </c>
      <c r="M101" s="3">
        <f t="shared" si="47"/>
        <v>0.30952737590369805</v>
      </c>
      <c r="N101" s="3">
        <f t="shared" si="48"/>
        <v>0.5234549934287237</v>
      </c>
      <c r="O101" s="3">
        <f>IF(Control!$F$47="N",Control!$F$48,'FLS MP (driving)'!O41)</f>
        <v>0.1</v>
      </c>
      <c r="P101" s="3">
        <f>IF(Control!$F$47="N",Control!$F$48,'FLS MP (driving)'!P41)</f>
        <v>0.1</v>
      </c>
      <c r="Q101" s="3">
        <f>Control!$F$45</f>
        <v>0.03</v>
      </c>
      <c r="R101" s="3">
        <f>Control!$F$45</f>
        <v>0.03</v>
      </c>
      <c r="S101" s="3">
        <f t="shared" si="49"/>
        <v>0.43952737590369806</v>
      </c>
      <c r="T101" s="3">
        <f t="shared" si="50"/>
        <v>0.65345499342872371</v>
      </c>
      <c r="X101" s="36">
        <f t="shared" ref="X101:AA101" si="62">X72</f>
        <v>0</v>
      </c>
      <c r="Y101" s="36">
        <f t="shared" si="62"/>
        <v>0</v>
      </c>
      <c r="Z101" s="36">
        <f t="shared" si="62"/>
        <v>0</v>
      </c>
      <c r="AA101" s="36">
        <f t="shared" si="62"/>
        <v>0</v>
      </c>
      <c r="AB101" s="3">
        <f t="shared" si="52"/>
        <v>34.620324647072934</v>
      </c>
      <c r="AC101" s="3">
        <f t="shared" si="53"/>
        <v>34.620324647072934</v>
      </c>
      <c r="AD101" s="3">
        <f>IF(OR(Control!$F$39="EC",Control!$F$51="N"),H43,MIN(H43,14+0.66*(INDEX('Eff. thickness (DNVGL-RP-C203)'!$E$31:$E$1048576,MATCH(H43,'Eff. thickness (DNVGL-RP-C203)'!$C$31:$C$1048576,0)))))</f>
        <v>98</v>
      </c>
      <c r="AE101" s="3">
        <f>IF(OR(Control!$F$39="EC",Control!$F$51="N"),H43,MIN(H43,14+0.66*(INDEX('Eff. thickness (DNVGL-RP-C203)'!$D$31:$D$1048576,MATCH(H43,'Eff. thickness (DNVGL-RP-C203)'!$C$31:$C$1048576,0))+IF(I43&lt;0.001,0,'Eff. thickness (DNVGL-RP-C203)'!$L$29))))</f>
        <v>98</v>
      </c>
      <c r="AF101" s="3">
        <f t="shared" si="54"/>
        <v>0.76092663580050734</v>
      </c>
      <c r="AG101" s="3">
        <f t="shared" si="55"/>
        <v>0.76092663580050734</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CW8</v>
      </c>
      <c r="D102" s="2">
        <f t="shared" si="40"/>
        <v>-21.3</v>
      </c>
      <c r="E102" s="3">
        <f>IF(Geometry_loads!H26="-","-",Geometry_loads!H26*Control!$F$54)</f>
        <v>331066.48179042514</v>
      </c>
      <c r="F102" s="3">
        <f>IF(Geometry_loads!G26="-","-",Geometry_loads!G26*Control!$F$55)</f>
        <v>393643.30282876233</v>
      </c>
      <c r="G102" s="3">
        <f t="shared" si="41"/>
        <v>42.647727016774525</v>
      </c>
      <c r="H102" s="3">
        <f t="shared" si="42"/>
        <v>41.82732888790018</v>
      </c>
      <c r="I102" s="3" t="str">
        <f t="shared" si="43"/>
        <v>-</v>
      </c>
      <c r="J102" s="3" t="str">
        <f t="shared" si="44"/>
        <v>-</v>
      </c>
      <c r="K102" s="3">
        <f t="shared" si="45"/>
        <v>90</v>
      </c>
      <c r="L102" s="3">
        <f t="shared" si="46"/>
        <v>90</v>
      </c>
      <c r="M102" s="3">
        <f t="shared" si="47"/>
        <v>0.32835960631600752</v>
      </c>
      <c r="N102" s="3">
        <f t="shared" si="48"/>
        <v>0.30381323743878974</v>
      </c>
      <c r="O102" s="3">
        <f>IF(Control!$F$47="N",Control!$F$48,'FLS MP (driving)'!O42)</f>
        <v>0.1</v>
      </c>
      <c r="P102" s="3">
        <f>IF(Control!$F$47="N",Control!$F$48,'FLS MP (driving)'!P42)</f>
        <v>0.1</v>
      </c>
      <c r="Q102" s="3">
        <f>Control!$F$45</f>
        <v>0.03</v>
      </c>
      <c r="R102" s="3">
        <f>Control!$F$45</f>
        <v>0.03</v>
      </c>
      <c r="S102" s="3">
        <f t="shared" si="49"/>
        <v>0.45835960631600758</v>
      </c>
      <c r="T102" s="3">
        <f t="shared" si="50"/>
        <v>0.43381323743878974</v>
      </c>
      <c r="X102" s="36">
        <f t="shared" ref="X102:AA102" si="63">X73</f>
        <v>0</v>
      </c>
      <c r="Y102" s="36">
        <f t="shared" si="63"/>
        <v>0</v>
      </c>
      <c r="Z102" s="36">
        <f t="shared" si="63"/>
        <v>0</v>
      </c>
      <c r="AA102" s="36">
        <f t="shared" si="63"/>
        <v>0</v>
      </c>
      <c r="AB102" s="3">
        <f t="shared" si="52"/>
        <v>39.547280854940865</v>
      </c>
      <c r="AC102" s="3">
        <f t="shared" si="53"/>
        <v>39.547280854940865</v>
      </c>
      <c r="AD102" s="3">
        <f>IF(OR(Control!$F$39="EC",Control!$F$51="N"),H44,MIN(H44,14+0.66*(INDEX('Eff. thickness (DNVGL-RP-C203)'!$E$31:$E$1048576,MATCH(H44,'Eff. thickness (DNVGL-RP-C203)'!$C$31:$C$1048576,0)))))</f>
        <v>98</v>
      </c>
      <c r="AE102" s="3">
        <f>IF(OR(Control!$F$39="EC",Control!$F$51="N"),H44,MIN(H44,14+0.66*(INDEX('Eff. thickness (DNVGL-RP-C203)'!$D$31:$D$1048576,MATCH(H44,'Eff. thickness (DNVGL-RP-C203)'!$C$31:$C$1048576,0))+IF(I44&lt;0.001,0,'Eff. thickness (DNVGL-RP-C203)'!$L$29))))</f>
        <v>98</v>
      </c>
      <c r="AF102" s="3">
        <f t="shared" si="54"/>
        <v>0.76092663580050734</v>
      </c>
      <c r="AG102" s="3">
        <f t="shared" si="55"/>
        <v>0.76092663580050734</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CW9</v>
      </c>
      <c r="D103" s="2">
        <f t="shared" si="40"/>
        <v>-24.8</v>
      </c>
      <c r="E103" s="3">
        <f>IF(Geometry_loads!H27="-","-",Geometry_loads!H27*Control!$F$54)</f>
        <v>341010.55118554627</v>
      </c>
      <c r="F103" s="3">
        <f>IF(Geometry_loads!G27="-","-",Geometry_loads!G27*Control!$F$55)</f>
        <v>407110.21839681466</v>
      </c>
      <c r="G103" s="3">
        <f t="shared" si="41"/>
        <v>40.33558887930792</v>
      </c>
      <c r="H103" s="3">
        <f t="shared" si="42"/>
        <v>39.591634931201327</v>
      </c>
      <c r="I103" s="3" t="str">
        <f t="shared" si="43"/>
        <v>-</v>
      </c>
      <c r="J103" s="3" t="str">
        <f t="shared" si="44"/>
        <v>-</v>
      </c>
      <c r="K103" s="3">
        <f t="shared" si="45"/>
        <v>90</v>
      </c>
      <c r="L103" s="3">
        <f t="shared" si="46"/>
        <v>90</v>
      </c>
      <c r="M103" s="3">
        <f t="shared" si="47"/>
        <v>0.26273611564028687</v>
      </c>
      <c r="N103" s="3">
        <f t="shared" si="48"/>
        <v>0.24388209255290175</v>
      </c>
      <c r="O103" s="3">
        <f>IF(Control!$F$47="N",Control!$F$48,'FLS MP (driving)'!O43)</f>
        <v>0.1</v>
      </c>
      <c r="P103" s="3">
        <f>IF(Control!$F$47="N",Control!$F$48,'FLS MP (driving)'!P43)</f>
        <v>0.1</v>
      </c>
      <c r="Q103" s="3">
        <f>Control!$F$45</f>
        <v>0.03</v>
      </c>
      <c r="R103" s="3">
        <f>Control!$F$45</f>
        <v>0.03</v>
      </c>
      <c r="S103" s="3">
        <f t="shared" si="49"/>
        <v>0.39273611564028688</v>
      </c>
      <c r="T103" s="3">
        <f t="shared" si="50"/>
        <v>0.37388209255290172</v>
      </c>
      <c r="X103" s="36">
        <f t="shared" ref="X103:AA103" si="64">X74</f>
        <v>0</v>
      </c>
      <c r="Y103" s="36">
        <f t="shared" si="64"/>
        <v>0</v>
      </c>
      <c r="Z103" s="36">
        <f t="shared" si="64"/>
        <v>0</v>
      </c>
      <c r="AA103" s="36">
        <f t="shared" si="64"/>
        <v>0</v>
      </c>
      <c r="AB103" s="3">
        <f t="shared" si="52"/>
        <v>44.920836970133529</v>
      </c>
      <c r="AC103" s="3">
        <f t="shared" si="53"/>
        <v>44.920836970133529</v>
      </c>
      <c r="AD103" s="3">
        <f>IF(OR(Control!$F$39="EC",Control!$F$51="N"),H45,MIN(H45,14+0.66*(INDEX('Eff. thickness (DNVGL-RP-C203)'!$E$31:$E$1048576,MATCH(H45,'Eff. thickness (DNVGL-RP-C203)'!$C$31:$C$1048576,0)))))</f>
        <v>98</v>
      </c>
      <c r="AE103" s="3">
        <f>IF(OR(Control!$F$39="EC",Control!$F$51="N"),H45,MIN(H45,14+0.66*(INDEX('Eff. thickness (DNVGL-RP-C203)'!$D$31:$D$1048576,MATCH(H45,'Eff. thickness (DNVGL-RP-C203)'!$C$31:$C$1048576,0))+IF(I45&lt;0.001,0,'Eff. thickness (DNVGL-RP-C203)'!$L$29))))</f>
        <v>98</v>
      </c>
      <c r="AF103" s="3">
        <f t="shared" si="54"/>
        <v>0.76092663580050734</v>
      </c>
      <c r="AG103" s="3">
        <f t="shared" si="55"/>
        <v>0.76092663580050734</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CW10</v>
      </c>
      <c r="D104" s="2">
        <f t="shared" si="40"/>
        <v>-28.3</v>
      </c>
      <c r="E104" s="3">
        <f>IF(Geometry_loads!H28="-","-",Geometry_loads!H28*Control!$F$54)</f>
        <v>352275.76122887636</v>
      </c>
      <c r="F104" s="3">
        <f>IF(Geometry_loads!G28="-","-",Geometry_loads!G28*Control!$F$55)</f>
        <v>422688.95425901271</v>
      </c>
      <c r="G104" s="3">
        <f t="shared" si="41"/>
        <v>38.393684248589913</v>
      </c>
      <c r="H104" s="3">
        <f t="shared" si="42"/>
        <v>37.713566564761123</v>
      </c>
      <c r="I104" s="3" t="str">
        <f t="shared" si="43"/>
        <v>-</v>
      </c>
      <c r="J104" s="3" t="str">
        <f t="shared" si="44"/>
        <v>-</v>
      </c>
      <c r="K104" s="3">
        <f t="shared" si="45"/>
        <v>90</v>
      </c>
      <c r="L104" s="3">
        <f t="shared" si="46"/>
        <v>90</v>
      </c>
      <c r="M104" s="3">
        <f t="shared" si="47"/>
        <v>0.21567773961827838</v>
      </c>
      <c r="N104" s="3">
        <f t="shared" si="48"/>
        <v>0.20079670857420806</v>
      </c>
      <c r="O104" s="3">
        <f>IF(Control!$F$47="N",Control!$F$48,'FLS MP (driving)'!O44)</f>
        <v>0.1</v>
      </c>
      <c r="P104" s="3">
        <f>IF(Control!$F$47="N",Control!$F$48,'FLS MP (driving)'!P44)</f>
        <v>0.1</v>
      </c>
      <c r="Q104" s="3">
        <f>Control!$F$45</f>
        <v>0.03</v>
      </c>
      <c r="R104" s="3">
        <f>Control!$F$45</f>
        <v>0.03</v>
      </c>
      <c r="S104" s="3">
        <f t="shared" si="49"/>
        <v>0.34567773961827841</v>
      </c>
      <c r="T104" s="3">
        <f t="shared" si="50"/>
        <v>0.33079670857420806</v>
      </c>
      <c r="X104" s="36">
        <f t="shared" ref="X104:AA104" si="65">X75</f>
        <v>0</v>
      </c>
      <c r="Y104" s="36">
        <f t="shared" si="65"/>
        <v>0</v>
      </c>
      <c r="Z104" s="36">
        <f t="shared" si="65"/>
        <v>0</v>
      </c>
      <c r="AA104" s="36">
        <f t="shared" si="65"/>
        <v>0</v>
      </c>
      <c r="AB104" s="3">
        <f t="shared" si="52"/>
        <v>50.760369008609224</v>
      </c>
      <c r="AC104" s="3">
        <f t="shared" si="53"/>
        <v>50.760369008609224</v>
      </c>
      <c r="AD104" s="3">
        <f>IF(OR(Control!$F$39="EC",Control!$F$51="N"),H46,MIN(H46,14+0.66*(INDEX('Eff. thickness (DNVGL-RP-C203)'!$E$31:$E$1048576,MATCH(H46,'Eff. thickness (DNVGL-RP-C203)'!$C$31:$C$1048576,0)))))</f>
        <v>98</v>
      </c>
      <c r="AE104" s="3">
        <f>IF(OR(Control!$F$39="EC",Control!$F$51="N"),H46,MIN(H46,14+0.66*(INDEX('Eff. thickness (DNVGL-RP-C203)'!$D$31:$D$1048576,MATCH(H46,'Eff. thickness (DNVGL-RP-C203)'!$C$31:$C$1048576,0))+IF(I46&lt;0.001,0,'Eff. thickness (DNVGL-RP-C203)'!$L$29))))</f>
        <v>98</v>
      </c>
      <c r="AF104" s="3">
        <f t="shared" si="54"/>
        <v>0.76092663580050734</v>
      </c>
      <c r="AG104" s="3">
        <f t="shared" si="55"/>
        <v>0.76092663580050734</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CW11</v>
      </c>
      <c r="D105" s="2">
        <f t="shared" si="40"/>
        <v>-31.8</v>
      </c>
      <c r="E105" s="3">
        <f>IF(Geometry_loads!H29="-","-",Geometry_loads!H29*Control!$F$54)</f>
        <v>366069.60606125148</v>
      </c>
      <c r="F105" s="3">
        <f>IF(Geometry_loads!G29="-","-",Geometry_loads!G29*Control!$F$55)</f>
        <v>441792.80553528474</v>
      </c>
      <c r="G105" s="3">
        <f t="shared" si="41"/>
        <v>36.895242010495437</v>
      </c>
      <c r="H105" s="3">
        <f t="shared" si="42"/>
        <v>36.266418755360036</v>
      </c>
      <c r="I105" s="3" t="str">
        <f t="shared" si="43"/>
        <v>-</v>
      </c>
      <c r="J105" s="3" t="str">
        <f t="shared" si="44"/>
        <v>-</v>
      </c>
      <c r="K105" s="3">
        <f t="shared" si="45"/>
        <v>90</v>
      </c>
      <c r="L105" s="3">
        <f t="shared" si="46"/>
        <v>112</v>
      </c>
      <c r="M105" s="3">
        <f t="shared" si="47"/>
        <v>0.2056744390459343</v>
      </c>
      <c r="N105" s="3">
        <f t="shared" si="48"/>
        <v>0.28298290906551149</v>
      </c>
      <c r="O105" s="3">
        <f>IF(Control!$F$47="N",Control!$F$48,'FLS MP (driving)'!O45)</f>
        <v>0.1</v>
      </c>
      <c r="P105" s="3">
        <f>IF(Control!$F$47="N",Control!$F$48,'FLS MP (driving)'!P45)</f>
        <v>0.1</v>
      </c>
      <c r="Q105" s="3">
        <f>Control!$F$45</f>
        <v>0.03</v>
      </c>
      <c r="R105" s="3">
        <f>Control!$F$45</f>
        <v>0.03</v>
      </c>
      <c r="S105" s="3">
        <f t="shared" si="49"/>
        <v>0.3356744390459343</v>
      </c>
      <c r="T105" s="3">
        <f t="shared" si="50"/>
        <v>0.41298290906551149</v>
      </c>
      <c r="X105" s="36">
        <f t="shared" ref="X105:AA105" si="66">X76</f>
        <v>0</v>
      </c>
      <c r="Y105" s="36">
        <f t="shared" si="66"/>
        <v>0</v>
      </c>
      <c r="Z105" s="36">
        <f t="shared" si="66"/>
        <v>0</v>
      </c>
      <c r="AA105" s="36">
        <f t="shared" si="66"/>
        <v>0</v>
      </c>
      <c r="AB105" s="3">
        <f t="shared" si="52"/>
        <v>57.050723078423601</v>
      </c>
      <c r="AC105" s="3">
        <f t="shared" si="53"/>
        <v>57.050723078423601</v>
      </c>
      <c r="AD105" s="3">
        <f>IF(OR(Control!$F$39="EC",Control!$F$51="N"),H47,MIN(H47,14+0.66*(INDEX('Eff. thickness (DNVGL-RP-C203)'!$E$31:$E$1048576,MATCH(H47,'Eff. thickness (DNVGL-RP-C203)'!$C$31:$C$1048576,0)))))</f>
        <v>98</v>
      </c>
      <c r="AE105" s="3">
        <f>IF(OR(Control!$F$39="EC",Control!$F$51="N"),H47,MIN(H47,14+0.66*(INDEX('Eff. thickness (DNVGL-RP-C203)'!$D$31:$D$1048576,MATCH(H47,'Eff. thickness (DNVGL-RP-C203)'!$C$31:$C$1048576,0))+IF(I47&lt;0.001,0,'Eff. thickness (DNVGL-RP-C203)'!$L$29))))</f>
        <v>98</v>
      </c>
      <c r="AF105" s="3">
        <f t="shared" si="54"/>
        <v>0.76092663580050734</v>
      </c>
      <c r="AG105" s="3">
        <f t="shared" si="55"/>
        <v>0.87231108889002862</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CW12</v>
      </c>
      <c r="D106" s="2">
        <f t="shared" si="40"/>
        <v>-35.299999999999997</v>
      </c>
      <c r="E106" s="3">
        <f>IF(Geometry_loads!H30="-","-",Geometry_loads!H30*Control!$F$54)</f>
        <v>381426.09037000284</v>
      </c>
      <c r="F106" s="3">
        <f>IF(Geometry_loads!G30="-","-",Geometry_loads!G30*Control!$F$55)</f>
        <v>463138.43527764996</v>
      </c>
      <c r="G106" s="3">
        <f t="shared" si="41"/>
        <v>37.69384020473953</v>
      </c>
      <c r="H106" s="3">
        <f t="shared" si="42"/>
        <v>37.038295157700581</v>
      </c>
      <c r="I106" s="3" t="str">
        <f t="shared" si="43"/>
        <v>-</v>
      </c>
      <c r="J106" s="3" t="str">
        <f t="shared" si="44"/>
        <v>-</v>
      </c>
      <c r="K106" s="3">
        <f t="shared" si="45"/>
        <v>90</v>
      </c>
      <c r="L106" s="3">
        <f t="shared" si="46"/>
        <v>90</v>
      </c>
      <c r="M106" s="3">
        <f t="shared" si="47"/>
        <v>0.17985672031489569</v>
      </c>
      <c r="N106" s="3">
        <f t="shared" si="48"/>
        <v>0.21485793739311618</v>
      </c>
      <c r="O106" s="3">
        <f>IF(Control!$F$47="N",Control!$F$48,'FLS MP (driving)'!O46)</f>
        <v>0.1</v>
      </c>
      <c r="P106" s="3">
        <f>IF(Control!$F$47="N",Control!$F$48,'FLS MP (driving)'!P46)</f>
        <v>0.1</v>
      </c>
      <c r="Q106" s="3">
        <f>Control!$F$45</f>
        <v>0.03</v>
      </c>
      <c r="R106" s="3">
        <f>Control!$F$45</f>
        <v>0.03</v>
      </c>
      <c r="S106" s="3">
        <f t="shared" si="49"/>
        <v>0.30985672031489575</v>
      </c>
      <c r="T106" s="3">
        <f t="shared" si="50"/>
        <v>0.34485793739311621</v>
      </c>
      <c r="X106" s="36">
        <f t="shared" ref="X106:AA106" si="67">X77</f>
        <v>0</v>
      </c>
      <c r="Y106" s="36">
        <f t="shared" si="67"/>
        <v>0</v>
      </c>
      <c r="Z106" s="36">
        <f t="shared" si="67"/>
        <v>0</v>
      </c>
      <c r="AA106" s="36">
        <f t="shared" si="67"/>
        <v>0</v>
      </c>
      <c r="AB106" s="3">
        <f t="shared" si="52"/>
        <v>58.184573599156636</v>
      </c>
      <c r="AC106" s="3">
        <f t="shared" si="53"/>
        <v>58.184573599156636</v>
      </c>
      <c r="AD106" s="3">
        <f>IF(OR(Control!$F$39="EC",Control!$F$51="N"),H48,MIN(H48,14+0.66*(INDEX('Eff. thickness (DNVGL-RP-C203)'!$E$31:$E$1048576,MATCH(H48,'Eff. thickness (DNVGL-RP-C203)'!$C$31:$C$1048576,0)))))</f>
        <v>100</v>
      </c>
      <c r="AE106" s="3">
        <f>IF(OR(Control!$F$39="EC",Control!$F$51="N"),H48,MIN(H48,14+0.66*(INDEX('Eff. thickness (DNVGL-RP-C203)'!$D$31:$D$1048576,MATCH(H48,'Eff. thickness (DNVGL-RP-C203)'!$C$31:$C$1048576,0))+IF(I48&lt;0.001,0,'Eff. thickness (DNVGL-RP-C203)'!$L$29))))</f>
        <v>100</v>
      </c>
      <c r="AF106" s="3">
        <f t="shared" si="54"/>
        <v>0.75785828325519911</v>
      </c>
      <c r="AG106" s="3">
        <f t="shared" si="55"/>
        <v>0.75785828325519911</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CW13</v>
      </c>
      <c r="D107" s="2">
        <f t="shared" si="40"/>
        <v>-38.6</v>
      </c>
      <c r="E107" s="3">
        <f>IF(Geometry_loads!H31="-","-",Geometry_loads!H31*Control!$F$54)</f>
        <v>398315.99076752015</v>
      </c>
      <c r="F107" s="3">
        <f>IF(Geometry_loads!G31="-","-",Geometry_loads!G31*Control!$F$55)</f>
        <v>486710.52698727167</v>
      </c>
      <c r="G107" s="3">
        <f t="shared" si="41"/>
        <v>40.145274649103115</v>
      </c>
      <c r="H107" s="3">
        <f t="shared" si="42"/>
        <v>39.461059533344489</v>
      </c>
      <c r="I107" s="3" t="str">
        <f t="shared" si="43"/>
        <v>-</v>
      </c>
      <c r="J107" s="3" t="str">
        <f t="shared" si="44"/>
        <v>-</v>
      </c>
      <c r="K107" s="3">
        <f t="shared" si="45"/>
        <v>90</v>
      </c>
      <c r="L107" s="3">
        <f t="shared" si="46"/>
        <v>90</v>
      </c>
      <c r="M107" s="3">
        <f t="shared" si="47"/>
        <v>0.22770036333319332</v>
      </c>
      <c r="N107" s="3">
        <f t="shared" si="48"/>
        <v>0.27239760040385619</v>
      </c>
      <c r="O107" s="3">
        <f>IF(Control!$F$47="N",Control!$F$48,'FLS MP (driving)'!O47)</f>
        <v>0.1</v>
      </c>
      <c r="P107" s="3">
        <f>IF(Control!$F$47="N",Control!$F$48,'FLS MP (driving)'!P47)</f>
        <v>0.1</v>
      </c>
      <c r="Q107" s="3">
        <f>Control!$F$45</f>
        <v>0.03</v>
      </c>
      <c r="R107" s="3">
        <f>Control!$F$45</f>
        <v>0.03</v>
      </c>
      <c r="S107" s="3">
        <f t="shared" si="49"/>
        <v>0.35770036333319333</v>
      </c>
      <c r="T107" s="3">
        <f t="shared" si="50"/>
        <v>0.40239760040385619</v>
      </c>
      <c r="X107" s="36">
        <f t="shared" ref="X107:AA107" si="68">X78</f>
        <v>0</v>
      </c>
      <c r="Y107" s="36">
        <f t="shared" si="68"/>
        <v>0</v>
      </c>
      <c r="Z107" s="36">
        <f t="shared" si="68"/>
        <v>0</v>
      </c>
      <c r="AA107" s="36">
        <f t="shared" si="68"/>
        <v>0</v>
      </c>
      <c r="AB107" s="3">
        <f t="shared" si="52"/>
        <v>57.050723078423601</v>
      </c>
      <c r="AC107" s="3">
        <f t="shared" si="53"/>
        <v>57.050723078423601</v>
      </c>
      <c r="AD107" s="3">
        <f>IF(OR(Control!$F$39="EC",Control!$F$51="N"),H49,MIN(H49,14+0.66*(INDEX('Eff. thickness (DNVGL-RP-C203)'!$E$31:$E$1048576,MATCH(H49,'Eff. thickness (DNVGL-RP-C203)'!$C$31:$C$1048576,0)))))</f>
        <v>98</v>
      </c>
      <c r="AE107" s="3">
        <f>IF(OR(Control!$F$39="EC",Control!$F$51="N"),H49,MIN(H49,14+0.66*(INDEX('Eff. thickness (DNVGL-RP-C203)'!$D$31:$D$1048576,MATCH(H49,'Eff. thickness (DNVGL-RP-C203)'!$C$31:$C$1048576,0))+IF(I49&lt;0.001,0,'Eff. thickness (DNVGL-RP-C203)'!$L$29))))</f>
        <v>98</v>
      </c>
      <c r="AF107" s="3">
        <f t="shared" si="54"/>
        <v>0.76092663580050734</v>
      </c>
      <c r="AG107" s="3">
        <f t="shared" si="55"/>
        <v>0.76092663580050734</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CW14</v>
      </c>
      <c r="D108" s="2">
        <f t="shared" si="40"/>
        <v>-41.9</v>
      </c>
      <c r="E108" s="3">
        <f>IF(Geometry_loads!H32="-","-",Geometry_loads!H32*Control!$F$54)</f>
        <v>417230.06737247197</v>
      </c>
      <c r="F108" s="3">
        <f>IF(Geometry_loads!G32="-","-",Geometry_loads!G32*Control!$F$55)</f>
        <v>513019.52909555007</v>
      </c>
      <c r="G108" s="3">
        <f t="shared" si="41"/>
        <v>43.345493412164856</v>
      </c>
      <c r="H108" s="3">
        <f t="shared" si="42"/>
        <v>42.629350477529094</v>
      </c>
      <c r="I108" s="3" t="str">
        <f t="shared" si="43"/>
        <v>-</v>
      </c>
      <c r="J108" s="3" t="str">
        <f t="shared" si="44"/>
        <v>-</v>
      </c>
      <c r="K108" s="3">
        <f t="shared" si="45"/>
        <v>90</v>
      </c>
      <c r="L108" s="3">
        <f t="shared" si="46"/>
        <v>90</v>
      </c>
      <c r="M108" s="3">
        <f t="shared" si="47"/>
        <v>0.28663690848675549</v>
      </c>
      <c r="N108" s="3">
        <f t="shared" si="48"/>
        <v>0.39179464897674604</v>
      </c>
      <c r="O108" s="3">
        <f>IF(Control!$F$47="N",Control!$F$48,'FLS MP (driving)'!O48)</f>
        <v>0.1</v>
      </c>
      <c r="P108" s="3">
        <f>IF(Control!$F$47="N",Control!$F$48,'FLS MP (driving)'!P48)</f>
        <v>0.1</v>
      </c>
      <c r="Q108" s="3">
        <f>Control!$F$45</f>
        <v>0.03</v>
      </c>
      <c r="R108" s="3">
        <f>Control!$F$45</f>
        <v>0.03</v>
      </c>
      <c r="S108" s="3">
        <f t="shared" si="49"/>
        <v>0.4166369084867555</v>
      </c>
      <c r="T108" s="3">
        <f t="shared" si="50"/>
        <v>0.5217946489767461</v>
      </c>
      <c r="X108" s="36">
        <f t="shared" ref="X108:AA108" si="69">X79</f>
        <v>0</v>
      </c>
      <c r="Y108" s="36">
        <f t="shared" si="69"/>
        <v>0</v>
      </c>
      <c r="Z108" s="36">
        <f t="shared" si="69"/>
        <v>0</v>
      </c>
      <c r="AA108" s="36">
        <f t="shared" si="69"/>
        <v>0</v>
      </c>
      <c r="AB108" s="3">
        <f t="shared" si="52"/>
        <v>55.347688964556049</v>
      </c>
      <c r="AC108" s="3">
        <f t="shared" si="53"/>
        <v>55.347688964556049</v>
      </c>
      <c r="AD108" s="3">
        <f>IF(OR(Control!$F$39="EC",Control!$F$51="N"),H50,MIN(H50,14+0.66*(INDEX('Eff. thickness (DNVGL-RP-C203)'!$E$31:$E$1048576,MATCH(H50,'Eff. thickness (DNVGL-RP-C203)'!$C$31:$C$1048576,0)))))</f>
        <v>95</v>
      </c>
      <c r="AE108" s="3">
        <f>IF(OR(Control!$F$39="EC",Control!$F$51="N"),H50,MIN(H50,14+0.66*(INDEX('Eff. thickness (DNVGL-RP-C203)'!$D$31:$D$1048576,MATCH(H50,'Eff. thickness (DNVGL-RP-C203)'!$C$31:$C$1048576,0))+IF(I50&lt;0.001,0,'Eff. thickness (DNVGL-RP-C203)'!$L$29))))</f>
        <v>95</v>
      </c>
      <c r="AF108" s="3">
        <f t="shared" si="54"/>
        <v>0.76567290811174582</v>
      </c>
      <c r="AG108" s="3">
        <f t="shared" si="55"/>
        <v>0.76567290811174582</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CW15</v>
      </c>
      <c r="D109" s="2">
        <f t="shared" si="40"/>
        <v>-45.2</v>
      </c>
      <c r="E109" s="3">
        <f>IF(Geometry_loads!H33="-","-",Geometry_loads!H33*Control!$F$54)</f>
        <v>445256.57942420774</v>
      </c>
      <c r="F109" s="3" t="str">
        <f>IF(Geometry_loads!G33="-","-",Geometry_loads!G33*Control!$F$55)</f>
        <v>-</v>
      </c>
      <c r="G109" s="3">
        <f t="shared" si="41"/>
        <v>46.257131590963624</v>
      </c>
      <c r="H109" s="3">
        <f t="shared" si="42"/>
        <v>45.492883329895534</v>
      </c>
      <c r="I109" s="3" t="str">
        <f t="shared" si="43"/>
        <v>-</v>
      </c>
      <c r="J109" s="3" t="str">
        <f t="shared" si="44"/>
        <v>-</v>
      </c>
      <c r="K109" s="3">
        <f t="shared" si="45"/>
        <v>90</v>
      </c>
      <c r="L109" s="3">
        <f t="shared" si="46"/>
        <v>90</v>
      </c>
      <c r="M109" s="3">
        <f t="shared" si="47"/>
        <v>0.45037361343915872</v>
      </c>
      <c r="N109" s="3">
        <f t="shared" si="48"/>
        <v>0.42133932615979686</v>
      </c>
      <c r="O109" s="3">
        <f>IF(Control!$F$47="N",Control!$F$48,'FLS MP (driving)'!O49)</f>
        <v>0.1</v>
      </c>
      <c r="P109" s="3">
        <f>IF(Control!$F$47="N",Control!$F$48,'FLS MP (driving)'!P49)</f>
        <v>0.1</v>
      </c>
      <c r="Q109" s="3">
        <f>Control!$F$45</f>
        <v>0.03</v>
      </c>
      <c r="R109" s="3">
        <f>Control!$F$45</f>
        <v>0.03</v>
      </c>
      <c r="S109" s="3">
        <f t="shared" si="49"/>
        <v>0.58037361343915872</v>
      </c>
      <c r="T109" s="3">
        <f t="shared" si="50"/>
        <v>0.55133932615979686</v>
      </c>
      <c r="X109" s="36">
        <f t="shared" ref="X109:AA109" si="70">X80</f>
        <v>0</v>
      </c>
      <c r="Y109" s="36">
        <f t="shared" si="70"/>
        <v>0</v>
      </c>
      <c r="Z109" s="36">
        <f t="shared" si="70"/>
        <v>0</v>
      </c>
      <c r="AA109" s="36">
        <f t="shared" si="70"/>
        <v>0</v>
      </c>
      <c r="AB109" s="3">
        <f t="shared" si="52"/>
        <v>55.347688964556049</v>
      </c>
      <c r="AC109" s="3">
        <f t="shared" si="53"/>
        <v>55.347688964556049</v>
      </c>
      <c r="AD109" s="3">
        <f>IF(OR(Control!$F$39="EC",Control!$F$51="N"),H51,MIN(H51,14+0.66*(INDEX('Eff. thickness (DNVGL-RP-C203)'!$E$31:$E$1048576,MATCH(H51,'Eff. thickness (DNVGL-RP-C203)'!$C$31:$C$1048576,0)))))</f>
        <v>95</v>
      </c>
      <c r="AE109" s="3">
        <f>IF(OR(Control!$F$39="EC",Control!$F$51="N"),H51,MIN(H51,14+0.66*(INDEX('Eff. thickness (DNVGL-RP-C203)'!$D$31:$D$1048576,MATCH(H51,'Eff. thickness (DNVGL-RP-C203)'!$C$31:$C$1048576,0))+IF(I51&lt;0.001,0,'Eff.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CW16</v>
      </c>
      <c r="D110" s="2">
        <f t="shared" si="40"/>
        <v>-48.5</v>
      </c>
      <c r="E110" s="3">
        <f>IF(Geometry_loads!H34="-","-",Geometry_loads!H34*Control!$F$54)</f>
        <v>473278.96679899556</v>
      </c>
      <c r="F110" s="3" t="str">
        <f>IF(Geometry_loads!G34="-","-",Geometry_loads!G34*Control!$F$55)</f>
        <v>-</v>
      </c>
      <c r="G110" s="3">
        <f t="shared" si="41"/>
        <v>49.168341262395707</v>
      </c>
      <c r="H110" s="3">
        <f t="shared" si="42"/>
        <v>48.355994754582213</v>
      </c>
      <c r="I110" s="3" t="str">
        <f t="shared" si="43"/>
        <v>-</v>
      </c>
      <c r="J110" s="3" t="str">
        <f t="shared" si="44"/>
        <v>-</v>
      </c>
      <c r="K110" s="3">
        <f t="shared" si="45"/>
        <v>90</v>
      </c>
      <c r="L110" s="3">
        <f t="shared" si="46"/>
        <v>90</v>
      </c>
      <c r="M110" s="3">
        <f t="shared" si="47"/>
        <v>0.5749106746388789</v>
      </c>
      <c r="N110" s="3">
        <f t="shared" si="48"/>
        <v>0.53784784238285033</v>
      </c>
      <c r="O110" s="3">
        <f>IF(Control!$F$47="N",Control!$F$48,'FLS MP (driving)'!O50)</f>
        <v>0.1</v>
      </c>
      <c r="P110" s="3">
        <f>IF(Control!$F$47="N",Control!$F$48,'FLS MP (driving)'!P50)</f>
        <v>0.1</v>
      </c>
      <c r="Q110" s="3">
        <f>Control!$F$45</f>
        <v>0.03</v>
      </c>
      <c r="R110" s="3">
        <f>Control!$F$45</f>
        <v>0.03</v>
      </c>
      <c r="S110" s="3">
        <f t="shared" si="49"/>
        <v>0.70491067463887891</v>
      </c>
      <c r="T110" s="3">
        <f t="shared" si="50"/>
        <v>0.66784784238285033</v>
      </c>
      <c r="X110" s="36">
        <f t="shared" ref="X110:AA110" si="71">X81</f>
        <v>0</v>
      </c>
      <c r="Y110" s="36">
        <f t="shared" si="71"/>
        <v>0</v>
      </c>
      <c r="Z110" s="36">
        <f t="shared" si="71"/>
        <v>0</v>
      </c>
      <c r="AA110" s="36">
        <f t="shared" si="71"/>
        <v>0</v>
      </c>
      <c r="AB110" s="3">
        <f t="shared" si="52"/>
        <v>55.347688964556049</v>
      </c>
      <c r="AC110" s="3">
        <f t="shared" si="53"/>
        <v>55.347688964556049</v>
      </c>
      <c r="AD110" s="3">
        <f>IF(OR(Control!$F$39="EC",Control!$F$51="N"),H52,MIN(H52,14+0.66*(INDEX('Eff. thickness (DNVGL-RP-C203)'!$E$31:$E$1048576,MATCH(H52,'Eff. thickness (DNVGL-RP-C203)'!$C$31:$C$1048576,0)))))</f>
        <v>95</v>
      </c>
      <c r="AE110" s="3">
        <f>IF(OR(Control!$F$39="EC",Control!$F$51="N"),H52,MIN(H52,14+0.66*(INDEX('Eff. thickness (DNVGL-RP-C203)'!$D$31:$D$1048576,MATCH(H52,'Eff. thickness (DNVGL-RP-C203)'!$C$31:$C$1048576,0))+IF(I52&lt;0.001,0,'Eff. thickness (DNVGL-RP-C203)'!$L$29))))</f>
        <v>95</v>
      </c>
      <c r="AF110" s="3">
        <f t="shared" si="54"/>
        <v>0.76567290811174582</v>
      </c>
      <c r="AG110" s="3">
        <f t="shared" si="55"/>
        <v>0.76567290811174582</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c r="C111" s="12" t="str">
        <f t="shared" si="39"/>
        <v>CW17</v>
      </c>
      <c r="D111" s="2">
        <f t="shared" si="40"/>
        <v>-51.7</v>
      </c>
      <c r="E111" s="3">
        <f>IF(Geometry_loads!H35="-","-",Geometry_loads!H35*Control!$F$54)</f>
        <v>495561.88375510153</v>
      </c>
      <c r="F111" s="3" t="str">
        <f>IF(Geometry_loads!G35="-","-",Geometry_loads!G35*Control!$F$55)</f>
        <v>-</v>
      </c>
      <c r="G111" s="3">
        <f t="shared" si="41"/>
        <v>52.562947977417494</v>
      </c>
      <c r="H111" s="3">
        <f t="shared" si="42"/>
        <v>51.712799427521865</v>
      </c>
      <c r="I111" s="3" t="str">
        <f t="shared" si="43"/>
        <v>-</v>
      </c>
      <c r="J111" s="3" t="str">
        <f t="shared" si="44"/>
        <v>-</v>
      </c>
      <c r="K111" s="3">
        <f t="shared" si="45"/>
        <v>90</v>
      </c>
      <c r="L111" s="3">
        <f t="shared" si="46"/>
        <v>90</v>
      </c>
      <c r="M111" s="3">
        <f t="shared" si="47"/>
        <v>0.65518887676169624</v>
      </c>
      <c r="N111" s="3">
        <f t="shared" si="48"/>
        <v>0.79559211232790927</v>
      </c>
      <c r="O111" s="3">
        <f>IF(Control!$F$47="N",Control!$F$48,'FLS MP (driving)'!O51)</f>
        <v>0.1</v>
      </c>
      <c r="P111" s="3">
        <f>IF(Control!$F$47="N",Control!$F$48,'FLS MP (driving)'!P51)</f>
        <v>0.1</v>
      </c>
      <c r="Q111" s="3">
        <f>Control!$F$45</f>
        <v>0.03</v>
      </c>
      <c r="R111" s="3">
        <f>Control!$F$45</f>
        <v>0.03</v>
      </c>
      <c r="S111" s="3">
        <f t="shared" si="49"/>
        <v>0.78518887676169624</v>
      </c>
      <c r="T111" s="3">
        <f t="shared" si="50"/>
        <v>0.92559211232790928</v>
      </c>
      <c r="X111" s="36">
        <f t="shared" ref="X111:AA111" si="72">X82</f>
        <v>0</v>
      </c>
      <c r="Y111" s="36">
        <f t="shared" si="72"/>
        <v>0</v>
      </c>
      <c r="Z111" s="36">
        <f t="shared" si="72"/>
        <v>0</v>
      </c>
      <c r="AA111" s="36">
        <f t="shared" si="72"/>
        <v>0</v>
      </c>
      <c r="AB111" s="3">
        <f t="shared" si="52"/>
        <v>54.210826090196662</v>
      </c>
      <c r="AC111" s="3">
        <f t="shared" si="53"/>
        <v>54.210826090196662</v>
      </c>
      <c r="AD111" s="3">
        <f>IF(OR(Control!$F$39="EC",Control!$F$51="N"),H53,MIN(H53,14+0.66*(INDEX('Eff. thickness (DNVGL-RP-C203)'!$E$31:$E$1048576,MATCH(H53,'Eff. thickness (DNVGL-RP-C203)'!$C$31:$C$1048576,0)))))</f>
        <v>93</v>
      </c>
      <c r="AE111" s="3">
        <f>IF(OR(Control!$F$39="EC",Control!$F$51="N"),H53,MIN(H53,14+0.66*(INDEX('Eff. thickness (DNVGL-RP-C203)'!$D$31:$D$1048576,MATCH(H53,'Eff. thickness (DNVGL-RP-C203)'!$C$31:$C$1048576,0))+IF(I53&lt;0.001,0,'Eff. thickness (DNVGL-RP-C203)'!$L$29))))</f>
        <v>93</v>
      </c>
      <c r="AF111" s="3">
        <f t="shared" si="54"/>
        <v>0.76893815629207973</v>
      </c>
      <c r="AG111" s="3">
        <f t="shared" si="55"/>
        <v>0.76893815629207973</v>
      </c>
      <c r="AH111" s="3">
        <f t="shared" si="56"/>
        <v>1</v>
      </c>
      <c r="AI111" s="3">
        <f t="shared" si="57"/>
        <v>1</v>
      </c>
      <c r="AJ111" s="3">
        <f>IF(Control!$F$39&lt;&gt;"DNV",1,IF(D111&gt;Control!$F$16,IF(ISBLANK(Control!$F$56),1,Control!$F$56),IF(D111&gt;Control!$F$22,IF(ISBLANK(Control!$F$57),1,Control!$F$57),1)))</f>
        <v>1</v>
      </c>
      <c r="AK111" s="3">
        <f>IF(Control!$F$39&lt;&gt;"DNV",1,IF(D111&gt;Control!$F$18,IF(ISBLANK(Control!$F$56),1,Control!$F$56),IF(D111&gt;Control!$F$22,IF(ISBLANK(Control!$F$57),1,Control!$F$57),1)))</f>
        <v>1</v>
      </c>
    </row>
    <row r="112" spans="3:37" ht="14.85" customHeight="1">
      <c r="C112" s="12" t="str">
        <f t="shared" si="39"/>
        <v>CW18</v>
      </c>
      <c r="D112" s="2">
        <f t="shared" si="40"/>
        <v>-55.3</v>
      </c>
      <c r="E112" s="3">
        <f>IF(Geometry_loads!H36="-","-",Geometry_loads!H36*Control!$F$54)</f>
        <v>515784.47567284305</v>
      </c>
      <c r="F112" s="3" t="str">
        <f>IF(Geometry_loads!G36="-","-",Geometry_loads!G36*Control!$F$55)</f>
        <v>-</v>
      </c>
      <c r="G112" s="3">
        <f t="shared" si="41"/>
        <v>54.707905210379508</v>
      </c>
      <c r="H112" s="3">
        <f t="shared" si="42"/>
        <v>53.823064308715985</v>
      </c>
      <c r="I112" s="3" t="str">
        <f t="shared" si="43"/>
        <v>-</v>
      </c>
      <c r="J112" s="3" t="str">
        <f t="shared" si="44"/>
        <v>-</v>
      </c>
      <c r="K112" s="3">
        <f t="shared" si="45"/>
        <v>112</v>
      </c>
      <c r="L112" s="3">
        <f t="shared" si="46"/>
        <v>90</v>
      </c>
      <c r="M112" s="3">
        <f t="shared" si="47"/>
        <v>0.21596008348788501</v>
      </c>
      <c r="N112" s="3">
        <f t="shared" si="48"/>
        <v>0.82066526434850995</v>
      </c>
      <c r="O112" s="3">
        <f>IF(Control!$F$47="N",Control!$F$48,'FLS MP (driving)'!O52)</f>
        <v>0.1</v>
      </c>
      <c r="P112" s="3">
        <f>IF(Control!$F$47="N",Control!$F$48,'FLS MP (driving)'!P52)</f>
        <v>0.1</v>
      </c>
      <c r="Q112" s="3">
        <f>Control!$F$45</f>
        <v>0.03</v>
      </c>
      <c r="R112" s="3">
        <f>Control!$F$45</f>
        <v>0.03</v>
      </c>
      <c r="S112" s="3">
        <f t="shared" si="49"/>
        <v>0.34596008348788498</v>
      </c>
      <c r="T112" s="3">
        <f t="shared" si="50"/>
        <v>0.95066526434850995</v>
      </c>
      <c r="X112" s="36">
        <f t="shared" ref="X112:AA112" si="73">X83</f>
        <v>0</v>
      </c>
      <c r="Y112" s="36">
        <f t="shared" si="73"/>
        <v>0</v>
      </c>
      <c r="Z112" s="36">
        <f t="shared" si="73"/>
        <v>0</v>
      </c>
      <c r="AA112" s="36">
        <f t="shared" si="73"/>
        <v>0</v>
      </c>
      <c r="AB112" s="3">
        <f t="shared" si="52"/>
        <v>54.210826090196662</v>
      </c>
      <c r="AC112" s="3">
        <f t="shared" si="53"/>
        <v>54.210826090196662</v>
      </c>
      <c r="AD112" s="3">
        <f>IF(OR(Control!$F$39="EC",Control!$F$51="N"),H54,MIN(H54,14+0.66*(INDEX('Eff. thickness (DNVGL-RP-C203)'!$E$31:$E$1048576,MATCH(H54,'Eff. thickness (DNVGL-RP-C203)'!$C$31:$C$1048576,0)))))</f>
        <v>93</v>
      </c>
      <c r="AE112" s="3">
        <f>IF(OR(Control!$F$39="EC",Control!$F$51="N"),H54,MIN(H54,14+0.66*(INDEX('Eff. thickness (DNVGL-RP-C203)'!$D$31:$D$1048576,MATCH(H54,'Eff. thickness (DNVGL-RP-C203)'!$C$31:$C$1048576,0))+IF(I54&lt;0.001,0,'Eff. thickness (DNVGL-RP-C203)'!$L$29))))</f>
        <v>93</v>
      </c>
      <c r="AF112" s="3">
        <f t="shared" si="54"/>
        <v>0.87689118839915348</v>
      </c>
      <c r="AG112" s="3">
        <f t="shared" si="55"/>
        <v>0.76893815629207973</v>
      </c>
      <c r="AH112" s="3">
        <f t="shared" si="56"/>
        <v>1</v>
      </c>
      <c r="AI112" s="3">
        <f t="shared" si="57"/>
        <v>1</v>
      </c>
      <c r="AJ112" s="3">
        <f>IF(Control!$F$39&lt;&gt;"DNV",1,IF(D112&gt;Control!$F$16,IF(ISBLANK(Control!$F$56),1,Control!$F$56),IF(D112&gt;Control!$F$22,IF(ISBLANK(Control!$F$57),1,Control!$F$57),1)))</f>
        <v>1</v>
      </c>
      <c r="AK112" s="3">
        <f>IF(Control!$F$39&lt;&gt;"DNV",1,IF(D112&gt;Control!$F$18,IF(ISBLANK(Control!$F$56),1,Control!$F$56),IF(D112&gt;Control!$F$22,IF(ISBLANK(Control!$F$57),1,Control!$F$57),1)))</f>
        <v>1</v>
      </c>
    </row>
    <row r="113" spans="3:37" ht="14.85" customHeight="1">
      <c r="C113" s="12" t="str">
        <f t="shared" si="39"/>
        <v>CW19</v>
      </c>
      <c r="D113" s="2">
        <f t="shared" si="40"/>
        <v>-59.3</v>
      </c>
      <c r="E113" s="3">
        <f>IF(Geometry_loads!H37="-","-",Geometry_loads!H37*Control!$F$54)</f>
        <v>495889.45587436296</v>
      </c>
      <c r="F113" s="3" t="str">
        <f>IF(Geometry_loads!G37="-","-",Geometry_loads!G37*Control!$F$55)</f>
        <v>-</v>
      </c>
      <c r="G113" s="3">
        <f t="shared" si="41"/>
        <v>52.597692692110073</v>
      </c>
      <c r="H113" s="3">
        <f t="shared" si="42"/>
        <v>51.746982184220293</v>
      </c>
      <c r="I113" s="3" t="str">
        <f t="shared" si="43"/>
        <v>-</v>
      </c>
      <c r="J113" s="3" t="str">
        <f t="shared" si="44"/>
        <v>-</v>
      </c>
      <c r="K113" s="3">
        <f t="shared" si="45"/>
        <v>90</v>
      </c>
      <c r="L113" s="3">
        <f t="shared" si="46"/>
        <v>90</v>
      </c>
      <c r="M113" s="3">
        <f t="shared" si="47"/>
        <v>0.74844371507944596</v>
      </c>
      <c r="N113" s="3">
        <f t="shared" si="48"/>
        <v>0.70118478218811275</v>
      </c>
      <c r="O113" s="3">
        <f>IF(Control!$F$47="N",Control!$F$48,'FLS MP (driving)'!O53)</f>
        <v>0.1</v>
      </c>
      <c r="P113" s="3">
        <f>IF(Control!$F$47="N",Control!$F$48,'FLS MP (driving)'!P53)</f>
        <v>0.1</v>
      </c>
      <c r="Q113" s="3">
        <f>Control!$F$45</f>
        <v>0.03</v>
      </c>
      <c r="R113" s="3">
        <f>Control!$F$45</f>
        <v>0.03</v>
      </c>
      <c r="S113" s="3">
        <f t="shared" si="49"/>
        <v>0.87844371507944596</v>
      </c>
      <c r="T113" s="3">
        <f t="shared" si="50"/>
        <v>0.83118478218811276</v>
      </c>
      <c r="X113" s="36">
        <f t="shared" ref="X113:AA113" si="74">X84</f>
        <v>0</v>
      </c>
      <c r="Y113" s="36">
        <f t="shared" si="74"/>
        <v>0</v>
      </c>
      <c r="Z113" s="36">
        <f t="shared" si="74"/>
        <v>0</v>
      </c>
      <c r="AA113" s="36">
        <f t="shared" si="74"/>
        <v>0</v>
      </c>
      <c r="AB113" s="3">
        <f t="shared" si="52"/>
        <v>54.210826090196662</v>
      </c>
      <c r="AC113" s="3">
        <f t="shared" si="53"/>
        <v>54.210826090196662</v>
      </c>
      <c r="AD113" s="3">
        <f>IF(OR(Control!$F$39="EC",Control!$F$51="N"),H55,MIN(H55,14+0.66*(INDEX('Eff. thickness (DNVGL-RP-C203)'!$E$31:$E$1048576,MATCH(H55,'Eff. thickness (DNVGL-RP-C203)'!$C$31:$C$1048576,0)))))</f>
        <v>93</v>
      </c>
      <c r="AE113" s="3">
        <f>IF(OR(Control!$F$39="EC",Control!$F$51="N"),H55,MIN(H55,14+0.66*(INDEX('Eff. thickness (DNVGL-RP-C203)'!$D$31:$D$1048576,MATCH(H55,'Eff. thickness (DNVGL-RP-C203)'!$C$31:$C$1048576,0))+IF(I55&lt;0.001,0,'Eff. thickness (DNVGL-RP-C203)'!$L$29))))</f>
        <v>93</v>
      </c>
      <c r="AF113" s="3">
        <f t="shared" si="54"/>
        <v>0.76893815629207973</v>
      </c>
      <c r="AG113" s="3">
        <f t="shared" si="55"/>
        <v>0.76893815629207973</v>
      </c>
      <c r="AH113" s="3">
        <f t="shared" si="56"/>
        <v>1</v>
      </c>
      <c r="AI113" s="3">
        <f t="shared" si="57"/>
        <v>1</v>
      </c>
      <c r="AJ113" s="3">
        <f>IF(Control!$F$39&lt;&gt;"DNV",1,IF(D113&gt;Control!$F$16,IF(ISBLANK(Control!$F$56),1,Control!$F$56),IF(D113&gt;Control!$F$22,IF(ISBLANK(Control!$F$57),1,Control!$F$57),1)))</f>
        <v>1</v>
      </c>
      <c r="AK113" s="3">
        <f>IF(Control!$F$39&lt;&gt;"DNV",1,IF(D113&gt;Control!$F$18,IF(ISBLANK(Control!$F$56),1,Control!$F$56),IF(D113&gt;Control!$F$22,IF(ISBLANK(Control!$F$57),1,Control!$F$57),1)))</f>
        <v>1</v>
      </c>
    </row>
    <row r="114" spans="3:37" ht="14.85" customHeight="1">
      <c r="C114" s="12" t="str">
        <f t="shared" si="39"/>
        <v>CW20</v>
      </c>
      <c r="D114" s="2">
        <f t="shared" si="40"/>
        <v>-63.3</v>
      </c>
      <c r="E114" s="3">
        <f>IF(Geometry_loads!H38="-","-",Geometry_loads!H38*Control!$F$54)</f>
        <v>427506.95823167998</v>
      </c>
      <c r="F114" s="3" t="str">
        <f>IF(Geometry_loads!G38="-","-",Geometry_loads!G38*Control!$F$55)</f>
        <v>-</v>
      </c>
      <c r="G114" s="3">
        <f t="shared" si="41"/>
        <v>45.344540696395839</v>
      </c>
      <c r="H114" s="3">
        <f t="shared" si="42"/>
        <v>44.611142038175871</v>
      </c>
      <c r="I114" s="3" t="str">
        <f t="shared" si="43"/>
        <v>-</v>
      </c>
      <c r="J114" s="3" t="str">
        <f t="shared" si="44"/>
        <v>-</v>
      </c>
      <c r="K114" s="3">
        <f t="shared" si="45"/>
        <v>90</v>
      </c>
      <c r="L114" s="3">
        <f t="shared" si="46"/>
        <v>90</v>
      </c>
      <c r="M114" s="3">
        <f t="shared" si="47"/>
        <v>0.41342087450314213</v>
      </c>
      <c r="N114" s="3">
        <f t="shared" si="48"/>
        <v>0.38731626707525246</v>
      </c>
      <c r="O114" s="3">
        <f>IF(Control!$F$47="N",Control!$F$48,'FLS MP (driving)'!O54)</f>
        <v>0.1</v>
      </c>
      <c r="P114" s="3">
        <f>IF(Control!$F$47="N",Control!$F$48,'FLS MP (driving)'!P54)</f>
        <v>0.1</v>
      </c>
      <c r="Q114" s="3">
        <f>Control!$F$45</f>
        <v>0.03</v>
      </c>
      <c r="R114" s="3">
        <f>Control!$F$45</f>
        <v>0.03</v>
      </c>
      <c r="S114" s="3">
        <f t="shared" si="49"/>
        <v>0.54342087450314214</v>
      </c>
      <c r="T114" s="3">
        <f t="shared" si="50"/>
        <v>0.51731626707525247</v>
      </c>
      <c r="X114" s="36">
        <f t="shared" ref="X114:AA114" si="75">X85</f>
        <v>0</v>
      </c>
      <c r="Y114" s="36">
        <f t="shared" si="75"/>
        <v>0</v>
      </c>
      <c r="Z114" s="36">
        <f t="shared" si="75"/>
        <v>0</v>
      </c>
      <c r="AA114" s="36">
        <f t="shared" si="75"/>
        <v>0</v>
      </c>
      <c r="AB114" s="3">
        <f t="shared" si="52"/>
        <v>54.210826090196662</v>
      </c>
      <c r="AC114" s="3">
        <f t="shared" si="53"/>
        <v>54.210826090196662</v>
      </c>
      <c r="AD114" s="3">
        <f>IF(OR(Control!$F$39="EC",Control!$F$51="N"),H56,MIN(H56,14+0.66*(INDEX('Eff. thickness (DNVGL-RP-C203)'!$E$31:$E$1048576,MATCH(H56,'Eff. thickness (DNVGL-RP-C203)'!$C$31:$C$1048576,0)))))</f>
        <v>93</v>
      </c>
      <c r="AE114" s="3">
        <f>IF(OR(Control!$F$39="EC",Control!$F$51="N"),H56,MIN(H56,14+0.66*(INDEX('Eff. thickness (DNVGL-RP-C203)'!$D$31:$D$1048576,MATCH(H56,'Eff. thickness (DNVGL-RP-C203)'!$C$31:$C$1048576,0))+IF(I56&lt;0.001,0,'Eff. thickness (DNVGL-RP-C203)'!$L$29))))</f>
        <v>93</v>
      </c>
      <c r="AF114" s="3">
        <f t="shared" si="54"/>
        <v>0.76893815629207973</v>
      </c>
      <c r="AG114" s="3">
        <f t="shared" si="55"/>
        <v>0.76893815629207973</v>
      </c>
      <c r="AH114" s="3">
        <f t="shared" si="56"/>
        <v>1</v>
      </c>
      <c r="AI114" s="3">
        <f t="shared" si="57"/>
        <v>1</v>
      </c>
      <c r="AJ114" s="3">
        <f>IF(Control!$F$39&lt;&gt;"DNV",1,IF(D114&gt;Control!$F$16,IF(ISBLANK(Control!$F$56),1,Control!$F$56),IF(D114&gt;Control!$F$22,IF(ISBLANK(Control!$F$57),1,Control!$F$57),1)))</f>
        <v>1</v>
      </c>
      <c r="AK114" s="3">
        <f>IF(Control!$F$39&lt;&gt;"DNV",1,IF(D114&gt;Control!$F$18,IF(ISBLANK(Control!$F$56),1,Control!$F$56),IF(D114&gt;Control!$F$22,IF(ISBLANK(Control!$F$57),1,Control!$F$57),1)))</f>
        <v>1</v>
      </c>
    </row>
    <row r="115" spans="3:37" ht="14.85" customHeight="1">
      <c r="C115" s="12" t="str">
        <f t="shared" si="39"/>
        <v>CW21</v>
      </c>
      <c r="D115" s="2">
        <f t="shared" si="40"/>
        <v>-67.3</v>
      </c>
      <c r="E115" s="3">
        <f>IF(Geometry_loads!H39="-","-",Geometry_loads!H39*Control!$F$54)</f>
        <v>330516.30350599537</v>
      </c>
      <c r="F115" s="3" t="str">
        <f>IF(Geometry_loads!G39="-","-",Geometry_loads!G39*Control!$F$55)</f>
        <v>-</v>
      </c>
      <c r="G115" s="3">
        <f t="shared" si="41"/>
        <v>33.98812541185297</v>
      </c>
      <c r="H115" s="3">
        <f t="shared" si="42"/>
        <v>33.420671491933334</v>
      </c>
      <c r="I115" s="3" t="str">
        <f t="shared" si="43"/>
        <v>-</v>
      </c>
      <c r="J115" s="3" t="str">
        <f t="shared" si="44"/>
        <v>-</v>
      </c>
      <c r="K115" s="3">
        <f t="shared" si="45"/>
        <v>90</v>
      </c>
      <c r="L115" s="3">
        <f t="shared" si="46"/>
        <v>90</v>
      </c>
      <c r="M115" s="3">
        <f t="shared" si="47"/>
        <v>0.11006764457756557</v>
      </c>
      <c r="N115" s="3">
        <f t="shared" si="48"/>
        <v>0.15138490774156657</v>
      </c>
      <c r="O115" s="3">
        <f>IF(Control!$F$47="N",Control!$F$48,'FLS MP (driving)'!O55)</f>
        <v>0.1</v>
      </c>
      <c r="P115" s="3">
        <f>IF(Control!$F$47="N",Control!$F$48,'FLS MP (driving)'!P55)</f>
        <v>0.1</v>
      </c>
      <c r="Q115" s="3">
        <f>Control!$F$45</f>
        <v>0.03</v>
      </c>
      <c r="R115" s="3">
        <f>Control!$F$45</f>
        <v>0.03</v>
      </c>
      <c r="S115" s="3">
        <f t="shared" si="49"/>
        <v>0.24006764457756558</v>
      </c>
      <c r="T115" s="3">
        <f t="shared" si="50"/>
        <v>0.28138490774156655</v>
      </c>
      <c r="X115" s="36">
        <f t="shared" ref="X115:AA115" si="76">X86</f>
        <v>0</v>
      </c>
      <c r="Y115" s="36">
        <f t="shared" si="76"/>
        <v>0</v>
      </c>
      <c r="Z115" s="36">
        <f t="shared" si="76"/>
        <v>0</v>
      </c>
      <c r="AA115" s="36">
        <f t="shared" si="76"/>
        <v>0</v>
      </c>
      <c r="AB115" s="3">
        <f t="shared" si="52"/>
        <v>55.915668255616907</v>
      </c>
      <c r="AC115" s="3">
        <f t="shared" si="53"/>
        <v>55.915668255616907</v>
      </c>
      <c r="AD115" s="3">
        <f>IF(OR(Control!$F$39="EC",Control!$F$51="N"),H57,MIN(H57,14+0.66*(INDEX('Eff. thickness (DNVGL-RP-C203)'!$E$31:$E$1048576,MATCH(H57,'Eff. thickness (DNVGL-RP-C203)'!$C$31:$C$1048576,0)))))</f>
        <v>96</v>
      </c>
      <c r="AE115" s="3">
        <f>IF(OR(Control!$F$39="EC",Control!$F$51="N"),H57,MIN(H57,14+0.66*(INDEX('Eff. thickness (DNVGL-RP-C203)'!$D$31:$D$1048576,MATCH(H57,'Eff. thickness (DNVGL-RP-C203)'!$C$31:$C$1048576,0))+IF(I57&lt;0.001,0,'Eff. thickness (DNVGL-RP-C203)'!$L$29))))</f>
        <v>96</v>
      </c>
      <c r="AF115" s="3">
        <f t="shared" si="54"/>
        <v>0.76407106790789936</v>
      </c>
      <c r="AG115" s="3">
        <f t="shared" si="55"/>
        <v>0.76407106790789936</v>
      </c>
      <c r="AH115" s="3">
        <f t="shared" si="56"/>
        <v>1</v>
      </c>
      <c r="AI115" s="3">
        <f t="shared" si="57"/>
        <v>1</v>
      </c>
      <c r="AJ115" s="3">
        <f>IF(Control!$F$39&lt;&gt;"DNV",1,IF(D115&gt;Control!$F$16,IF(ISBLANK(Control!$F$56),1,Control!$F$56),IF(D115&gt;Control!$F$22,IF(ISBLANK(Control!$F$57),1,Control!$F$57),1)))</f>
        <v>1</v>
      </c>
      <c r="AK115" s="3">
        <f>IF(Control!$F$39&lt;&gt;"DNV",1,IF(D115&gt;Control!$F$18,IF(ISBLANK(Control!$F$56),1,Control!$F$56),IF(D115&gt;Control!$F$22,IF(ISBLANK(Control!$F$57),1,Control!$F$57),1)))</f>
        <v>1</v>
      </c>
    </row>
    <row r="116" spans="3:37" ht="14.85" customHeight="1">
      <c r="C116" s="12" t="str">
        <f t="shared" si="39"/>
        <v>CW22</v>
      </c>
      <c r="D116" s="2">
        <f t="shared" si="40"/>
        <v>-71</v>
      </c>
      <c r="E116" s="3">
        <f>IF(Geometry_loads!H40="-","-",Geometry_loads!H40*Control!$F$54)</f>
        <v>229446.58919727357</v>
      </c>
      <c r="F116" s="3" t="str">
        <f>IF(Geometry_loads!G40="-","-",Geometry_loads!G40*Control!$F$55)</f>
        <v>-</v>
      </c>
      <c r="G116" s="3">
        <f t="shared" si="41"/>
        <v>22.674702352780425</v>
      </c>
      <c r="H116" s="3">
        <f t="shared" si="42"/>
        <v>22.280359703166859</v>
      </c>
      <c r="I116" s="3" t="str">
        <f t="shared" si="43"/>
        <v>-</v>
      </c>
      <c r="J116" s="3" t="str">
        <f t="shared" si="44"/>
        <v>-</v>
      </c>
      <c r="K116" s="3">
        <f t="shared" si="45"/>
        <v>90</v>
      </c>
      <c r="L116" s="3">
        <f t="shared" si="46"/>
        <v>90</v>
      </c>
      <c r="M116" s="3">
        <f t="shared" si="47"/>
        <v>2.091736021557861E-2</v>
      </c>
      <c r="N116" s="3">
        <f t="shared" si="48"/>
        <v>3.2065377786339617E-2</v>
      </c>
      <c r="O116" s="3">
        <f>IF(Control!$F$47="N",Control!$F$48,'FLS MP (driving)'!O56)</f>
        <v>0.1</v>
      </c>
      <c r="P116" s="3">
        <f>IF(Control!$F$47="N",Control!$F$48,'FLS MP (driving)'!P56)</f>
        <v>0.1</v>
      </c>
      <c r="Q116" s="3">
        <f>Control!$F$45</f>
        <v>0.03</v>
      </c>
      <c r="R116" s="3">
        <f>Control!$F$45</f>
        <v>0.03</v>
      </c>
      <c r="S116" s="3">
        <f t="shared" si="49"/>
        <v>0.15091736021557861</v>
      </c>
      <c r="T116" s="3">
        <f t="shared" si="50"/>
        <v>0.16206537778633961</v>
      </c>
      <c r="X116" s="36">
        <f t="shared" ref="X116:AA116" si="77">X87</f>
        <v>0</v>
      </c>
      <c r="Y116" s="36">
        <f t="shared" si="77"/>
        <v>0</v>
      </c>
      <c r="Z116" s="36">
        <f t="shared" si="77"/>
        <v>0</v>
      </c>
      <c r="AA116" s="36">
        <f t="shared" si="77"/>
        <v>0</v>
      </c>
      <c r="AB116" s="3">
        <f t="shared" si="52"/>
        <v>58.184573599156636</v>
      </c>
      <c r="AC116" s="3">
        <f t="shared" si="53"/>
        <v>58.184573599156636</v>
      </c>
      <c r="AD116" s="3">
        <f>IF(OR(Control!$F$39="EC",Control!$F$51="N"),H58,MIN(H58,14+0.66*(INDEX('Eff. thickness (DNVGL-RP-C203)'!$E$31:$E$1048576,MATCH(H58,'Eff. thickness (DNVGL-RP-C203)'!$C$31:$C$1048576,0)))))</f>
        <v>100</v>
      </c>
      <c r="AE116" s="3">
        <f>IF(OR(Control!$F$39="EC",Control!$F$51="N"),H58,MIN(H58,14+0.66*(INDEX('Eff. thickness (DNVGL-RP-C203)'!$D$31:$D$1048576,MATCH(H58,'Eff. thickness (DNVGL-RP-C203)'!$C$31:$C$1048576,0))+IF(I58&lt;0.001,0,'Eff. thickness (DNVGL-RP-C203)'!$L$29))))</f>
        <v>100</v>
      </c>
      <c r="AF116" s="3">
        <f t="shared" si="54"/>
        <v>0.75785828325519911</v>
      </c>
      <c r="AG116" s="3">
        <f t="shared" si="55"/>
        <v>0.75785828325519911</v>
      </c>
      <c r="AH116" s="3">
        <f t="shared" si="56"/>
        <v>1</v>
      </c>
      <c r="AI116" s="3">
        <f t="shared" si="57"/>
        <v>1</v>
      </c>
      <c r="AJ116" s="3">
        <f>IF(Control!$F$39&lt;&gt;"DNV",1,IF(D116&gt;Control!$F$16,IF(ISBLANK(Control!$F$56),1,Control!$F$56),IF(D116&gt;Control!$F$22,IF(ISBLANK(Control!$F$57),1,Control!$F$57),1)))</f>
        <v>1</v>
      </c>
      <c r="AK116" s="3">
        <f>IF(Control!$F$39&lt;&gt;"DNV",1,IF(D116&gt;Control!$F$18,IF(ISBLANK(Control!$F$56),1,Control!$F$56),IF(D116&gt;Control!$F$22,IF(ISBLANK(Control!$F$57),1,Control!$F$57),1)))</f>
        <v>1</v>
      </c>
    </row>
    <row r="117" spans="3:37" ht="14.85" customHeight="1">
      <c r="C117" s="12" t="str">
        <f t="shared" si="39"/>
        <v>CW23</v>
      </c>
      <c r="D117" s="2">
        <f t="shared" si="40"/>
        <v>-74.3</v>
      </c>
      <c r="E117" s="3">
        <f>IF(Geometry_loads!H41="-","-",Geometry_loads!H41*Control!$F$54)</f>
        <v>134549.09948023772</v>
      </c>
      <c r="F117" s="3" t="str">
        <f>IF(Geometry_loads!G41="-","-",Geometry_loads!G41*Control!$F$55)</f>
        <v>-</v>
      </c>
      <c r="G117" s="3">
        <f t="shared" si="41"/>
        <v>12.119491338581424</v>
      </c>
      <c r="H117" s="3">
        <f t="shared" si="42"/>
        <v>11.887640199930299</v>
      </c>
      <c r="I117" s="3" t="str">
        <f t="shared" si="43"/>
        <v>-</v>
      </c>
      <c r="J117" s="3" t="str">
        <f t="shared" si="44"/>
        <v>-</v>
      </c>
      <c r="K117" s="3">
        <f t="shared" si="45"/>
        <v>90</v>
      </c>
      <c r="L117" s="3">
        <f t="shared" si="46"/>
        <v>90</v>
      </c>
      <c r="M117" s="3">
        <f t="shared" si="47"/>
        <v>1.2636490182435602E-3</v>
      </c>
      <c r="N117" s="3">
        <f t="shared" si="48"/>
        <v>3.7098268533017637E-3</v>
      </c>
      <c r="O117" s="3">
        <f>IF(Control!$F$47="N",Control!$F$48,'FLS MP (driving)'!O57)</f>
        <v>0.1</v>
      </c>
      <c r="P117" s="3">
        <f>IF(Control!$F$47="N",Control!$F$48,'FLS MP (driving)'!P57)</f>
        <v>0.1</v>
      </c>
      <c r="Q117" s="3">
        <f>Control!$F$45</f>
        <v>0.03</v>
      </c>
      <c r="R117" s="3">
        <f>Control!$F$45</f>
        <v>0.03</v>
      </c>
      <c r="S117" s="3">
        <f t="shared" si="49"/>
        <v>0.13126364901824356</v>
      </c>
      <c r="T117" s="3">
        <f t="shared" si="50"/>
        <v>0.13370982685330177</v>
      </c>
      <c r="X117" s="36">
        <f t="shared" ref="X117:AA117" si="78">X88</f>
        <v>0</v>
      </c>
      <c r="Y117" s="36">
        <f t="shared" si="78"/>
        <v>0</v>
      </c>
      <c r="Z117" s="36">
        <f t="shared" si="78"/>
        <v>0</v>
      </c>
      <c r="AA117" s="36">
        <f t="shared" si="78"/>
        <v>0</v>
      </c>
      <c r="AB117" s="3">
        <f t="shared" si="52"/>
        <v>63.83579148643733</v>
      </c>
      <c r="AC117" s="3">
        <f t="shared" si="53"/>
        <v>63.83579148643733</v>
      </c>
      <c r="AD117" s="3">
        <f>IF(OR(Control!$F$39="EC",Control!$F$51="N"),H59,MIN(H59,14+0.66*(INDEX('Eff. thickness (DNVGL-RP-C203)'!$E$31:$E$1048576,MATCH(H59,'Eff. thickness (DNVGL-RP-C203)'!$C$31:$C$1048576,0)))))</f>
        <v>110</v>
      </c>
      <c r="AE117" s="3">
        <f>IF(OR(Control!$F$39="EC",Control!$F$51="N"),H59,MIN(H59,14+0.66*(INDEX('Eff. thickness (DNVGL-RP-C203)'!$D$31:$D$1048576,MATCH(H59,'Eff. thickness (DNVGL-RP-C203)'!$C$31:$C$1048576,0))+IF(I59&lt;0.001,0,'Eff. thickness (DNVGL-RP-C203)'!$L$29))))</f>
        <v>110</v>
      </c>
      <c r="AF117" s="3">
        <f t="shared" si="54"/>
        <v>0.74354877884102999</v>
      </c>
      <c r="AG117" s="3">
        <f t="shared" si="55"/>
        <v>0.74354877884102999</v>
      </c>
      <c r="AH117" s="3">
        <f t="shared" si="56"/>
        <v>1</v>
      </c>
      <c r="AI117" s="3">
        <f t="shared" si="57"/>
        <v>1</v>
      </c>
      <c r="AJ117" s="3">
        <f>IF(Control!$F$39&lt;&gt;"DNV",1,IF(D117&gt;Control!$F$16,IF(ISBLANK(Control!$F$56),1,Control!$F$56),IF(D117&gt;Control!$F$22,IF(ISBLANK(Control!$F$57),1,Control!$F$57),1)))</f>
        <v>1</v>
      </c>
      <c r="AK117" s="3">
        <f>IF(Control!$F$39&lt;&gt;"DNV",1,IF(D117&gt;Control!$F$18,IF(ISBLANK(Control!$F$56),1,Control!$F$56),IF(D117&gt;Control!$F$22,IF(ISBLANK(Control!$F$57),1,Control!$F$57),1)))</f>
        <v>1</v>
      </c>
    </row>
    <row r="118" spans="3:37" ht="14.85" customHeight="1">
      <c r="C118" s="12" t="str">
        <f t="shared" si="39"/>
        <v>CW24</v>
      </c>
      <c r="D118" s="2">
        <f t="shared" si="40"/>
        <v>-77.430000000000007</v>
      </c>
      <c r="E118" s="3">
        <f>IF(Geometry_loads!H42="-","-",Geometry_loads!H42*Control!$F$54)</f>
        <v>48322.918045537335</v>
      </c>
      <c r="F118" s="3" t="str">
        <f>IF(Geometry_loads!G42="-","-",Geometry_loads!G42*Control!$F$55)</f>
        <v>-</v>
      </c>
      <c r="G118" s="3">
        <f t="shared" si="41"/>
        <v>3.9368925666520003</v>
      </c>
      <c r="H118" s="3">
        <f t="shared" si="42"/>
        <v>3.8533619765421667</v>
      </c>
      <c r="I118" s="3" t="str">
        <f t="shared" si="43"/>
        <v>-</v>
      </c>
      <c r="J118" s="3" t="str">
        <f t="shared" si="44"/>
        <v>-</v>
      </c>
      <c r="K118" s="3">
        <f t="shared" si="45"/>
        <v>90</v>
      </c>
      <c r="L118" s="3">
        <f t="shared" si="46"/>
        <v>90</v>
      </c>
      <c r="M118" s="3">
        <f t="shared" si="47"/>
        <v>1.3764503041928487E-5</v>
      </c>
      <c r="N118" s="3">
        <f t="shared" si="48"/>
        <v>4.4779862951198E-5</v>
      </c>
      <c r="O118" s="3">
        <f>IF(Control!$F$47="N",Control!$F$48,'FLS MP (driving)'!O58)</f>
        <v>0.1</v>
      </c>
      <c r="P118" s="3">
        <f>IF(Control!$F$47="N",Control!$F$48,'FLS MP (driving)'!P58)</f>
        <v>0.1</v>
      </c>
      <c r="Q118" s="3">
        <f>Control!$F$45</f>
        <v>0.03</v>
      </c>
      <c r="R118" s="3">
        <f>Control!$F$45</f>
        <v>0.03</v>
      </c>
      <c r="S118" s="3">
        <f t="shared" si="49"/>
        <v>0.13001376450304192</v>
      </c>
      <c r="T118" s="3">
        <f t="shared" si="50"/>
        <v>0.13004477986295121</v>
      </c>
      <c r="X118" s="36">
        <f t="shared" ref="X118:AA118" si="79">X89</f>
        <v>0</v>
      </c>
      <c r="Y118" s="36">
        <f t="shared" si="79"/>
        <v>0</v>
      </c>
      <c r="Z118" s="36">
        <f t="shared" si="79"/>
        <v>0</v>
      </c>
      <c r="AA118" s="36">
        <f t="shared" si="79"/>
        <v>0</v>
      </c>
      <c r="AB118" s="3">
        <f t="shared" si="52"/>
        <v>70.577688889827584</v>
      </c>
      <c r="AC118" s="3">
        <f t="shared" si="53"/>
        <v>70.577688889827584</v>
      </c>
      <c r="AD118" s="3">
        <f>IF(OR(Control!$F$39="EC",Control!$F$51="N"),H60,MIN(H60,14+0.66*(INDEX('Eff. thickness (DNVGL-RP-C203)'!$E$31:$E$1048576,MATCH(H60,'Eff. thickness (DNVGL-RP-C203)'!$C$31:$C$1048576,0)))))</f>
        <v>122</v>
      </c>
      <c r="AE118" s="3">
        <f>IF(OR(Control!$F$39="EC",Control!$F$51="N"),H60,MIN(H60,14+0.66*(INDEX('Eff. thickness (DNVGL-RP-C203)'!$D$31:$D$1048576,MATCH(H60,'Eff. thickness (DNVGL-RP-C203)'!$C$31:$C$1048576,0))+IF(I60&lt;0.001,0,'Eff. thickness (DNVGL-RP-C203)'!$L$29))))</f>
        <v>122</v>
      </c>
      <c r="AF118" s="3">
        <f t="shared" si="54"/>
        <v>0.72830960181409621</v>
      </c>
      <c r="AG118" s="3">
        <f t="shared" si="55"/>
        <v>0.72830960181409621</v>
      </c>
      <c r="AH118" s="3">
        <f t="shared" si="56"/>
        <v>1</v>
      </c>
      <c r="AI118" s="3">
        <f t="shared" si="57"/>
        <v>1</v>
      </c>
      <c r="AJ118" s="3">
        <f>IF(Control!$F$39&lt;&gt;"DNV",1,IF(D118&gt;Control!$F$16,IF(ISBLANK(Control!$F$56),1,Control!$F$56),IF(D118&gt;Control!$F$22,IF(ISBLANK(Control!$F$57),1,Control!$F$57),1)))</f>
        <v>1</v>
      </c>
      <c r="AK118" s="3">
        <f>IF(Control!$F$39&lt;&gt;"DNV",1,IF(D118&gt;Control!$F$18,IF(ISBLANK(Control!$F$56),1,Control!$F$56),IF(D118&gt;Control!$F$22,IF(ISBLANK(Control!$F$57),1,Control!$F$57),1)))</f>
        <v>1</v>
      </c>
    </row>
    <row r="119" spans="3:37" ht="14.85" customHeight="1"/>
    <row r="120" spans="3:37">
      <c r="C120" s="35" t="s">
        <v>439</v>
      </c>
      <c r="M120" s="271" t="s">
        <v>60</v>
      </c>
      <c r="N120" s="267"/>
      <c r="O120" s="267"/>
      <c r="P120" s="267"/>
      <c r="Q120" s="267"/>
      <c r="R120" s="267"/>
      <c r="S120" s="267"/>
      <c r="T120" s="319"/>
    </row>
    <row r="121" spans="3:37" ht="20.399999999999999">
      <c r="C121" s="312" t="s">
        <v>19</v>
      </c>
      <c r="D121" s="317" t="s">
        <v>278</v>
      </c>
      <c r="E121" s="30" t="s">
        <v>281</v>
      </c>
      <c r="F121" s="30" t="s">
        <v>281</v>
      </c>
      <c r="G121" s="312" t="s">
        <v>24</v>
      </c>
      <c r="H121" s="312"/>
      <c r="I121" s="312" t="s">
        <v>268</v>
      </c>
      <c r="J121" s="312"/>
      <c r="K121" s="312" t="s">
        <v>27</v>
      </c>
      <c r="L121" s="312"/>
      <c r="M121" s="312" t="s">
        <v>61</v>
      </c>
      <c r="N121" s="312"/>
      <c r="O121" s="312" t="s">
        <v>215</v>
      </c>
      <c r="P121" s="312"/>
      <c r="Q121" s="312" t="s">
        <v>62</v>
      </c>
      <c r="R121" s="312"/>
      <c r="S121" s="312" t="s">
        <v>63</v>
      </c>
      <c r="T121" s="312"/>
      <c r="X121" s="312" t="s">
        <v>31</v>
      </c>
      <c r="Y121" s="312"/>
      <c r="Z121" s="313" t="s">
        <v>48</v>
      </c>
      <c r="AA121" s="314"/>
      <c r="AB121" s="30" t="s">
        <v>21</v>
      </c>
      <c r="AC121" s="5" t="s">
        <v>22</v>
      </c>
      <c r="AD121" s="310" t="str">
        <f>IF(OR(Control!$F$39="EC",Control!$F$51="N"),"t","t_eff")</f>
        <v>t</v>
      </c>
      <c r="AE121" s="311"/>
      <c r="AF121" s="312" t="s">
        <v>35</v>
      </c>
      <c r="AG121" s="312"/>
      <c r="AH121" s="312"/>
      <c r="AI121" s="312"/>
      <c r="AJ121" s="310" t="s">
        <v>421</v>
      </c>
      <c r="AK121" s="311"/>
    </row>
    <row r="122" spans="3:37" ht="20.399999999999999">
      <c r="C122" s="312">
        <v>0</v>
      </c>
      <c r="D122" s="318">
        <v>0</v>
      </c>
      <c r="E122" s="30" t="str">
        <f>IF(Control!$F$39="EC","m=4, N=2E6","m=5, N=1e7")</f>
        <v>m=4, N=2E6</v>
      </c>
      <c r="F122" s="30" t="str">
        <f>IF(Control!$F$39="EC","m=3, N=2E6","m=3, N=1e7")</f>
        <v>m=3, N=2E6</v>
      </c>
      <c r="G122" s="30" t="s">
        <v>25</v>
      </c>
      <c r="H122" s="30" t="s">
        <v>26</v>
      </c>
      <c r="I122" s="5" t="s">
        <v>25</v>
      </c>
      <c r="J122" s="5" t="s">
        <v>26</v>
      </c>
      <c r="K122" s="30" t="s">
        <v>25</v>
      </c>
      <c r="L122" s="30" t="s">
        <v>26</v>
      </c>
      <c r="M122" s="30" t="s">
        <v>25</v>
      </c>
      <c r="N122" s="30" t="s">
        <v>64</v>
      </c>
      <c r="O122" s="30" t="s">
        <v>25</v>
      </c>
      <c r="P122" s="30" t="s">
        <v>64</v>
      </c>
      <c r="Q122" s="30" t="s">
        <v>25</v>
      </c>
      <c r="R122" s="30" t="s">
        <v>64</v>
      </c>
      <c r="S122" s="30" t="s">
        <v>25</v>
      </c>
      <c r="T122" s="30" t="s">
        <v>64</v>
      </c>
      <c r="X122" s="30" t="s">
        <v>33</v>
      </c>
      <c r="Y122" s="30" t="s">
        <v>34</v>
      </c>
      <c r="Z122" s="30" t="s">
        <v>33</v>
      </c>
      <c r="AA122" s="30" t="s">
        <v>34</v>
      </c>
      <c r="AB122" s="313" t="s">
        <v>30</v>
      </c>
      <c r="AC122" s="314"/>
      <c r="AD122" s="30" t="s">
        <v>45</v>
      </c>
      <c r="AE122" s="30" t="s">
        <v>34</v>
      </c>
      <c r="AF122" s="30" t="s">
        <v>45</v>
      </c>
      <c r="AG122" s="30" t="s">
        <v>34</v>
      </c>
      <c r="AH122" s="30" t="s">
        <v>46</v>
      </c>
      <c r="AI122" s="30" t="s">
        <v>47</v>
      </c>
      <c r="AJ122" s="30" t="s">
        <v>45</v>
      </c>
      <c r="AK122" s="30" t="s">
        <v>34</v>
      </c>
    </row>
    <row r="123" spans="3:37">
      <c r="C123" s="30" t="s">
        <v>16</v>
      </c>
      <c r="D123" s="30" t="str">
        <f>"[m"&amp;Control!$F$7&amp;"]"</f>
        <v>[mLAT]</v>
      </c>
      <c r="E123" s="313" t="s">
        <v>20</v>
      </c>
      <c r="F123" s="314"/>
      <c r="G123" s="313" t="s">
        <v>77</v>
      </c>
      <c r="H123" s="316"/>
      <c r="I123" s="316"/>
      <c r="J123" s="314"/>
      <c r="K123" s="313" t="s">
        <v>77</v>
      </c>
      <c r="L123" s="314"/>
      <c r="M123" s="320" t="s">
        <v>16</v>
      </c>
      <c r="N123" s="321"/>
      <c r="O123" s="321"/>
      <c r="P123" s="321"/>
      <c r="Q123" s="321"/>
      <c r="R123" s="321"/>
      <c r="S123" s="321"/>
      <c r="T123" s="322"/>
      <c r="X123" s="315" t="s">
        <v>32</v>
      </c>
      <c r="Y123" s="315"/>
      <c r="Z123" s="30" t="s">
        <v>10</v>
      </c>
      <c r="AA123" s="30" t="s">
        <v>10</v>
      </c>
      <c r="AB123" s="313" t="s">
        <v>23</v>
      </c>
      <c r="AC123" s="314"/>
      <c r="AD123" s="87" t="s">
        <v>10</v>
      </c>
      <c r="AE123" s="87" t="s">
        <v>10</v>
      </c>
      <c r="AF123" s="1" t="s">
        <v>16</v>
      </c>
      <c r="AG123" s="1" t="s">
        <v>16</v>
      </c>
      <c r="AH123" s="1" t="s">
        <v>16</v>
      </c>
      <c r="AI123" s="1" t="s">
        <v>16</v>
      </c>
      <c r="AJ123" s="1" t="s">
        <v>16</v>
      </c>
      <c r="AK123" s="1" t="s">
        <v>16</v>
      </c>
    </row>
    <row r="124" spans="3:37">
      <c r="C124" s="12" t="s">
        <v>429</v>
      </c>
      <c r="D124" s="2">
        <f>E6</f>
        <v>2.6</v>
      </c>
      <c r="E124" s="120">
        <f>IF(Geometry_loads!H19="-","-",Geometry_loads!H19*Control!$F$54)</f>
        <v>283746.91728307027</v>
      </c>
      <c r="F124" s="120">
        <f>IF(Geometry_loads!G19="-","-",Geometry_loads!G19*Control!$F$55)</f>
        <v>333667.60647502384</v>
      </c>
      <c r="G124" s="120">
        <f>IF(AND(Z124=0,AA124=0),E124/AB124*E37/2/1000,(E124*($AF$24/$Z$5)^(1/$AE$4)/AB124*E37/2/1000))</f>
        <v>42.616236823229166</v>
      </c>
      <c r="H124" s="120">
        <f>IF(AND(Z124=0,AA124=0),E124/AB124*(E37-2*G37/1000)/2/1000,(E124*($AF$24/$Z$5)^(1/$AE$4)/AB124*(E37-2*G37/1000)/2/1000))</f>
        <v>41.284479422503253</v>
      </c>
      <c r="I124" s="120">
        <f>IF(AND(Z124=0,AA124=0),"-",IF(X124=0,(E124*($AF$23/$Z$5)^(1/$AE$4)/AC124*(E37-2*Z124/1000)/2/1000),(F124*($AF$23/$Z$5)^(1/3)/AC124*(E37-2*Z124/1000)/2/1000)))</f>
        <v>39.81277202799307</v>
      </c>
      <c r="J124" s="120">
        <f>IF(AND(Z124=0,AA124=0),"-",IF(Y124=0,(E124*($AF$23/$Z$5)^(1/$AE$4))/AC124*(E37-2*(G37-AA124)/1000)/2/1000,(F124*($AF$23/$Z$5)^(1/3))/AC124*(E37-2*(G37-AA124)/1000)/2/1000))</f>
        <v>38.594948502650773</v>
      </c>
      <c r="K124" s="120">
        <f t="shared" ref="K124:L139" si="80">$AC$8</f>
        <v>112</v>
      </c>
      <c r="L124" s="120">
        <f t="shared" si="80"/>
        <v>112</v>
      </c>
      <c r="M124" s="120">
        <f>IF(AND(X124=0,Y124&lt;&gt;0),IF(D124&gt;$Z$9,$AD$13,$AD$14)*((((IF(D124&gt;$Z$9,$AD$11,$AD$12)/AF124*G124)/(AJ124*K124))^$AE$4)+(((IF(D124&gt;$Z$9,$AD$11,$AD$12)/AF124*I124)/((AJ124*K124)))^$AE$4)),IF(D124&gt;$Z$9,$AD$13,$AD$14)*((((IF(D124&gt;$Z$9,$AD$11,$AD$12)/AF124*G124)/(AJ124*K124))^$AE$4)+(((IF(D124&gt;$Z$9,$AD$11,$AD$12)/AH124*IF(X124=0,0,I124))/(0.7*K124))^3)))</f>
        <v>0.62512003495222523</v>
      </c>
      <c r="N124" s="120">
        <f>IF(AND(Y124=0,X124&lt;&gt;0),IF(D124&gt;$Z$9,$AD$13,$AD$14)*((((IF(D124&gt;$Z$9,$AD$11,$AD$12)/AG124*H124)/(AK124*L124))^$AE$4)+(((IF(D124&gt;$Z$9,$AD$11,$AD$12)/AG124*J124)/((AK124*L124)))^$AE$4)),IF(D124&gt;$Z$9,$AD$13,$AD$14)*((((IF(D124&gt;$Z$9,$AD$11,$AD$12)/AG124*H124)/(AK124*L124))^$AE$4)+(((IF(D124&gt;$Z$9,$AD$11,$AD$12)/AI124*IF(Y124=0,0,J124))/(0.7*L124))^3)))</f>
        <v>0.56654258318279871</v>
      </c>
      <c r="O124" s="120">
        <f>Control!$F$48</f>
        <v>0.1</v>
      </c>
      <c r="P124" s="120">
        <f>Control!$F$48</f>
        <v>0.1</v>
      </c>
      <c r="Q124" s="120">
        <f>Control!$F$45</f>
        <v>0.03</v>
      </c>
      <c r="R124" s="120">
        <f>Control!$F$45</f>
        <v>0.03</v>
      </c>
      <c r="S124" s="120">
        <f>M124+O124+Q124</f>
        <v>0.75512003495222524</v>
      </c>
      <c r="T124" s="120">
        <f>N124+P124+R124</f>
        <v>0.69654258318279871</v>
      </c>
      <c r="X124" s="36" t="str">
        <f>X66</f>
        <v>X</v>
      </c>
      <c r="Y124" s="36" t="str">
        <f>Y66</f>
        <v>X</v>
      </c>
      <c r="Z124" s="36">
        <f>Z66</f>
        <v>1.7999999999999998</v>
      </c>
      <c r="AA124" s="36">
        <f>AA66</f>
        <v>0.89999999999999991</v>
      </c>
      <c r="AB124" s="120">
        <f>(PI()/64*(E37^4-(E37-2*G37/1000)^4))</f>
        <v>23.978995928629857</v>
      </c>
      <c r="AC124" s="120">
        <f>(PI()/64*((E37-2*Z124/1000)^4-((E37-2*Z124/1000)-2*(G37-Z124-AA124)/1000)^4))</f>
        <v>23.452755589913028</v>
      </c>
      <c r="AD124" s="120">
        <f>IF(OR(Control!$F$39="EC",Control!$F$51="N"),G37,MIN(G37,14+0.66*(INDEX('Eff. thickness (DNVGL-RP-C203)'!$G$31:$G$1048576,MATCH(G37,'Eff. thickness (DNVGL-RP-C203)'!$C$31:$C$1048576,0)))))</f>
        <v>125</v>
      </c>
      <c r="AE124" s="120">
        <f>IF(OR(Control!$F$39="EC",Control!$F$51="N"),G37,MIN(G37,14+0.66*(INDEX('Eff. thickness (DNVGL-RP-C203)'!$F$31:$F$1048576,MATCH(G37,'Eff. thickness (DNVGL-RP-C203)'!$C$31:$C$1048576,0)))))</f>
        <v>125</v>
      </c>
      <c r="AF124" s="120">
        <f>(25/AD124)^0.1</f>
        <v>0.85133992252078461</v>
      </c>
      <c r="AG124" s="120">
        <f>(25/AE124)^0.1</f>
        <v>0.85133992252078461</v>
      </c>
      <c r="AH124" s="120">
        <f>IF(X124=0,1,(25/AD124)^0.15)</f>
        <v>0.78551503023176439</v>
      </c>
      <c r="AI124" s="120">
        <f>IF(Y124=0,1,(25/AE124)^0.15)</f>
        <v>0.78551503023176439</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430</v>
      </c>
      <c r="D125" s="2">
        <f t="shared" ref="D125:D147" si="81">E7</f>
        <v>-0.6</v>
      </c>
      <c r="E125" s="120">
        <f>IF(Geometry_loads!H20="-","-",Geometry_loads!H20*Control!$F$54)</f>
        <v>290111.12169594778</v>
      </c>
      <c r="F125" s="120">
        <f>IF(Geometry_loads!G20="-","-",Geometry_loads!G20*Control!$F$55)</f>
        <v>341481.34156336304</v>
      </c>
      <c r="G125" s="120">
        <f t="shared" ref="G125:G147" si="82">IF(AND(Z125=0,AA125=0),E125/AB125*E38/2/1000,(E125*($AF$24/$Z$5)^(1/$AE$4)/AB125*E38/2/1000))</f>
        <v>51.972384268622676</v>
      </c>
      <c r="H125" s="120">
        <f t="shared" ref="H125:H147" si="83">IF(AND(Z125=0,AA125=0),E125/AB125*(E38-2*G38/1000)/2/1000,(E125*($AF$24/$Z$5)^(1/$AE$4)/AB125*(E38-2*G38/1000)/2/1000))</f>
        <v>50.465185124832622</v>
      </c>
      <c r="I125" s="120" t="str">
        <f t="shared" ref="I125:I147" si="84">IF(AND(Z125=0,AA125=0),"-",IF(X125=0,(E125*($AF$23/$Z$5)^(1/$AE$4)/AC125*(E38-2*Z125/1000)/2/1000),(F125*($AF$23/$Z$5)^(1/3)/AC125*(E38-2*Z125/1000)/2/1000)))</f>
        <v>-</v>
      </c>
      <c r="J125" s="120" t="str">
        <f t="shared" ref="J125:J147" si="85">IF(AND(Z125=0,AA125=0),"-",IF(Y125=0,(E125*($AF$23/$Z$5)^(1/$AE$4))/AC125*(E38-2*(G38-AA125)/1000)/2/1000,(F125*($AF$23/$Z$5)^(1/3))/AC125*(E38-2*(G38-AA125)/1000)/2/1000))</f>
        <v>-</v>
      </c>
      <c r="K125" s="120">
        <f t="shared" si="80"/>
        <v>112</v>
      </c>
      <c r="L125" s="120">
        <f t="shared" si="80"/>
        <v>112</v>
      </c>
      <c r="M125" s="120">
        <f t="shared" ref="M125:M147" si="86">IF(AND(X125=0,Y125&lt;&gt;0),IF(D125&gt;$Z$9,$AD$13,$AD$14)*((((IF(D125&gt;$Z$9,$AD$11,$AD$12)/AF125*G125)/(AJ125*K125))^$AE$4)+(((IF(D125&gt;$Z$9,$AD$11,$AD$12)/AF125*I125)/((AJ125*K125)))^$AE$4)),IF(D125&gt;$Z$9,$AD$13,$AD$14)*((((IF(D125&gt;$Z$9,$AD$11,$AD$12)/AF125*G125)/(AJ125*K125))^$AE$4)+(((IF(D125&gt;$Z$9,$AD$11,$AD$12)/AH125*IF(X125=0,0,I125))/(0.7*K125))^3)))</f>
        <v>0.20915377951857139</v>
      </c>
      <c r="N125" s="120">
        <f t="shared" ref="N125:N147" si="87">IF(AND(Y125=0,X125&lt;&gt;0),IF(D125&gt;$Z$9,$AD$13,$AD$14)*((((IF(D125&gt;$Z$9,$AD$11,$AD$12)/AG125*H125)/(AK125*L125))^$AE$4)+(((IF(D125&gt;$Z$9,$AD$11,$AD$12)/AG125*J125)/((AK125*L125)))^$AE$4)),IF(D125&gt;$Z$9,$AD$13,$AD$14)*((((IF(D125&gt;$Z$9,$AD$11,$AD$12)/AG125*H125)/(AK125*L125))^$AE$4)+(((IF(D125&gt;$Z$9,$AD$11,$AD$12)/AI125*IF(Y125=0,0,J125))/(0.7*L125))^3)))</f>
        <v>0.18592707479024737</v>
      </c>
      <c r="O125" s="120">
        <f>Control!$F$48</f>
        <v>0.1</v>
      </c>
      <c r="P125" s="120">
        <f>Control!$F$48</f>
        <v>0.1</v>
      </c>
      <c r="Q125" s="120">
        <f>Control!$F$45</f>
        <v>0.03</v>
      </c>
      <c r="R125" s="120">
        <f>Control!$F$45</f>
        <v>0.03</v>
      </c>
      <c r="S125" s="120">
        <f t="shared" ref="S125:S147" si="88">M125+O125+Q125</f>
        <v>0.3391537795185714</v>
      </c>
      <c r="T125" s="120">
        <f t="shared" ref="T125:T147" si="89">N125+P125+R125</f>
        <v>0.3159270747902474</v>
      </c>
      <c r="X125" s="36">
        <f t="shared" ref="X125:AA125" si="90">X67</f>
        <v>0</v>
      </c>
      <c r="Y125" s="36">
        <f t="shared" si="90"/>
        <v>0</v>
      </c>
      <c r="Z125" s="36">
        <f t="shared" si="90"/>
        <v>0</v>
      </c>
      <c r="AA125" s="36">
        <f t="shared" si="90"/>
        <v>0</v>
      </c>
      <c r="AB125" s="120">
        <f t="shared" ref="AB125:AB147" si="91">(PI()/64*(E38^4-(E38-2*G38/1000)^4))</f>
        <v>22.328097952673435</v>
      </c>
      <c r="AC125" s="120">
        <f t="shared" ref="AC125:AC147" si="92">(PI()/64*((E38-2*Z125/1000)^4-((E38-2*Z125/1000)-2*(G38-Z125-AA125)/1000)^4))</f>
        <v>22.328097952673435</v>
      </c>
      <c r="AD125" s="120">
        <f>IF(OR(Control!$F$39="EC",Control!$F$51="N"),G38,MIN(G38,14+0.66*(INDEX('Eff. thickness (DNVGL-RP-C203)'!$G$31:$G$1048576,MATCH(G38,'Eff. thickness (DNVGL-RP-C203)'!$C$31:$C$1048576,0)))))</f>
        <v>116</v>
      </c>
      <c r="AE125" s="120">
        <f>IF(OR(Control!$F$39="EC",Control!$F$51="N"),G38,MIN(G38,14+0.66*(INDEX('Eff. thickness (DNVGL-RP-C203)'!$F$31:$F$1048576,MATCH(G38,'Eff. thickness (DNVGL-RP-C203)'!$C$31:$C$1048576,0)))))</f>
        <v>116</v>
      </c>
      <c r="AF125" s="120">
        <f t="shared" ref="AF125:AF147" si="93">(25/AD125)^0.1</f>
        <v>0.85772526337829658</v>
      </c>
      <c r="AG125" s="120">
        <f t="shared" ref="AG125:AG147" si="94">(25/AE125)^0.1</f>
        <v>0.85772526337829658</v>
      </c>
      <c r="AH125" s="120">
        <f t="shared" ref="AH125:AH147" si="95">IF(X125=0,1,(25/AD125)^0.15)</f>
        <v>1</v>
      </c>
      <c r="AI125" s="120">
        <f t="shared" ref="AI125:AI147" si="96">IF(Y125=0,1,(25/AE125)^0.15)</f>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431</v>
      </c>
      <c r="D126" s="2">
        <f t="shared" si="81"/>
        <v>-3.8</v>
      </c>
      <c r="E126" s="120">
        <f>IF(Geometry_loads!H21="-","-",Geometry_loads!H21*Control!$F$54)</f>
        <v>295992.32845249085</v>
      </c>
      <c r="F126" s="120">
        <f>IF(Geometry_loads!G21="-","-",Geometry_loads!G21*Control!$F$55)</f>
        <v>348775.24396391248</v>
      </c>
      <c r="G126" s="120">
        <f t="shared" si="82"/>
        <v>49.375266476289632</v>
      </c>
      <c r="H126" s="120">
        <f t="shared" si="83"/>
        <v>47.83228939890558</v>
      </c>
      <c r="I126" s="120" t="str">
        <f t="shared" si="84"/>
        <v>-</v>
      </c>
      <c r="J126" s="120" t="str">
        <f t="shared" si="85"/>
        <v>-</v>
      </c>
      <c r="K126" s="120">
        <f t="shared" si="80"/>
        <v>112</v>
      </c>
      <c r="L126" s="120">
        <f t="shared" si="80"/>
        <v>112</v>
      </c>
      <c r="M126" s="120">
        <f t="shared" si="86"/>
        <v>0.17554714596592971</v>
      </c>
      <c r="N126" s="120">
        <f t="shared" si="87"/>
        <v>0.15461108759842057</v>
      </c>
      <c r="O126" s="120">
        <f>Control!$F$48</f>
        <v>0.1</v>
      </c>
      <c r="P126" s="120">
        <f>Control!$F$48</f>
        <v>0.1</v>
      </c>
      <c r="Q126" s="120">
        <f>Control!$F$45</f>
        <v>0.03</v>
      </c>
      <c r="R126" s="120">
        <f>Control!$F$45</f>
        <v>0.03</v>
      </c>
      <c r="S126" s="120">
        <f t="shared" si="88"/>
        <v>0.30554714596592969</v>
      </c>
      <c r="T126" s="120">
        <f t="shared" si="89"/>
        <v>0.28461108759842058</v>
      </c>
      <c r="X126" s="36">
        <f t="shared" ref="X126:AA126" si="97">X68</f>
        <v>0</v>
      </c>
      <c r="Y126" s="36">
        <f t="shared" si="97"/>
        <v>0</v>
      </c>
      <c r="Z126" s="36">
        <f t="shared" si="97"/>
        <v>0</v>
      </c>
      <c r="AA126" s="36">
        <f t="shared" si="97"/>
        <v>0</v>
      </c>
      <c r="AB126" s="120">
        <f t="shared" si="91"/>
        <v>23.978995928629857</v>
      </c>
      <c r="AC126" s="120">
        <f t="shared" si="92"/>
        <v>23.978995928629857</v>
      </c>
      <c r="AD126" s="120">
        <f>IF(OR(Control!$F$39="EC",Control!$F$51="N"),G39,MIN(G39,14+0.66*(INDEX('Eff. thickness (DNVGL-RP-C203)'!$G$31:$G$1048576,MATCH(G39,'Eff. thickness (DNVGL-RP-C203)'!$C$31:$C$1048576,0)))))</f>
        <v>125</v>
      </c>
      <c r="AE126" s="120">
        <f>IF(OR(Control!$F$39="EC",Control!$F$51="N"),G39,MIN(G39,14+0.66*(INDEX('Eff. thickness (DNVGL-RP-C203)'!$F$31:$F$1048576,MATCH(G39,'Eff. thickness (DNVGL-RP-C203)'!$C$31:$C$1048576,0)))))</f>
        <v>125</v>
      </c>
      <c r="AF126" s="120">
        <f t="shared" si="93"/>
        <v>0.85133992252078461</v>
      </c>
      <c r="AG126" s="120">
        <f t="shared" si="94"/>
        <v>0.85133992252078461</v>
      </c>
      <c r="AH126" s="120">
        <f t="shared" si="95"/>
        <v>1</v>
      </c>
      <c r="AI126" s="120">
        <f t="shared" si="96"/>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432</v>
      </c>
      <c r="D127" s="2">
        <f t="shared" si="81"/>
        <v>-7.3</v>
      </c>
      <c r="E127" s="120">
        <f>IF(Geometry_loads!H22="-","-",Geometry_loads!H22*Control!$F$54)</f>
        <v>302143.44566404429</v>
      </c>
      <c r="F127" s="120">
        <f>IF(Geometry_loads!G22="-","-",Geometry_loads!G22*Control!$F$55)</f>
        <v>356329.06270835677</v>
      </c>
      <c r="G127" s="120">
        <f t="shared" si="82"/>
        <v>45.196242113451753</v>
      </c>
      <c r="H127" s="120">
        <f t="shared" si="83"/>
        <v>43.857141811434289</v>
      </c>
      <c r="I127" s="120" t="str">
        <f t="shared" si="84"/>
        <v>-</v>
      </c>
      <c r="J127" s="120" t="str">
        <f t="shared" si="85"/>
        <v>-</v>
      </c>
      <c r="K127" s="120">
        <f t="shared" si="80"/>
        <v>112</v>
      </c>
      <c r="L127" s="120">
        <f t="shared" si="80"/>
        <v>112</v>
      </c>
      <c r="M127" s="120">
        <f t="shared" si="86"/>
        <v>0.12324385346692272</v>
      </c>
      <c r="N127" s="120">
        <f t="shared" si="87"/>
        <v>0.10927410635667328</v>
      </c>
      <c r="O127" s="120">
        <f>Control!$F$48</f>
        <v>0.1</v>
      </c>
      <c r="P127" s="120">
        <f>Control!$F$48</f>
        <v>0.1</v>
      </c>
      <c r="Q127" s="120">
        <f>Control!$F$45</f>
        <v>0.03</v>
      </c>
      <c r="R127" s="120">
        <f>Control!$F$45</f>
        <v>0.03</v>
      </c>
      <c r="S127" s="120">
        <f t="shared" si="88"/>
        <v>0.25324385346692269</v>
      </c>
      <c r="T127" s="120">
        <f t="shared" si="89"/>
        <v>0.23927410635667329</v>
      </c>
      <c r="X127" s="36">
        <f t="shared" ref="X127:AA127" si="98">X69</f>
        <v>0</v>
      </c>
      <c r="Y127" s="36">
        <f t="shared" si="98"/>
        <v>0</v>
      </c>
      <c r="Z127" s="36">
        <f t="shared" si="98"/>
        <v>0</v>
      </c>
      <c r="AA127" s="36">
        <f t="shared" si="98"/>
        <v>0</v>
      </c>
      <c r="AB127" s="120">
        <f t="shared" si="91"/>
        <v>28.203959517524662</v>
      </c>
      <c r="AC127" s="120">
        <f t="shared" si="92"/>
        <v>28.203959517524662</v>
      </c>
      <c r="AD127" s="120">
        <f>IF(OR(Control!$F$39="EC",Control!$F$51="N"),G40,MIN(G40,14+0.66*(INDEX('Eff. thickness (DNVGL-RP-C203)'!$G$31:$G$1048576,MATCH(G40,'Eff. thickness (DNVGL-RP-C203)'!$C$31:$C$1048576,0)))))</f>
        <v>125</v>
      </c>
      <c r="AE127" s="120">
        <f>IF(OR(Control!$F$39="EC",Control!$F$51="N"),G40,MIN(G40,14+0.66*(INDEX('Eff. thickness (DNVGL-RP-C203)'!$F$31:$F$1048576,MATCH(G40,'Eff. thickness (DNVGL-RP-C203)'!$C$31:$C$1048576,0)))))</f>
        <v>125</v>
      </c>
      <c r="AF127" s="120">
        <f t="shared" si="93"/>
        <v>0.85133992252078461</v>
      </c>
      <c r="AG127" s="120">
        <f t="shared" si="94"/>
        <v>0.85133992252078461</v>
      </c>
      <c r="AH127" s="120">
        <f t="shared" si="95"/>
        <v>1</v>
      </c>
      <c r="AI127" s="120">
        <f t="shared" si="96"/>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433</v>
      </c>
      <c r="D128" s="2">
        <f t="shared" si="81"/>
        <v>-10.8</v>
      </c>
      <c r="E128" s="120">
        <f>IF(Geometry_loads!H23="-","-",Geometry_loads!H23*Control!$F$54)</f>
        <v>308308.76868901943</v>
      </c>
      <c r="F128" s="120">
        <f>IF(Geometry_loads!G23="-","-",Geometry_loads!G23*Control!$F$55)</f>
        <v>363964.10531026823</v>
      </c>
      <c r="G128" s="120">
        <f t="shared" si="82"/>
        <v>48.728725368386051</v>
      </c>
      <c r="H128" s="120">
        <f t="shared" si="83"/>
        <v>47.564805207709831</v>
      </c>
      <c r="I128" s="120" t="str">
        <f t="shared" si="84"/>
        <v>-</v>
      </c>
      <c r="J128" s="120" t="str">
        <f t="shared" si="85"/>
        <v>-</v>
      </c>
      <c r="K128" s="120">
        <f t="shared" si="80"/>
        <v>112</v>
      </c>
      <c r="L128" s="120">
        <f t="shared" si="80"/>
        <v>112</v>
      </c>
      <c r="M128" s="120">
        <f t="shared" si="86"/>
        <v>0.15590301336772444</v>
      </c>
      <c r="N128" s="120">
        <f t="shared" si="87"/>
        <v>0.14153283111879708</v>
      </c>
      <c r="O128" s="120">
        <f>Control!$F$48</f>
        <v>0.1</v>
      </c>
      <c r="P128" s="120">
        <f>Control!$F$48</f>
        <v>0.1</v>
      </c>
      <c r="Q128" s="120">
        <f>Control!$F$45</f>
        <v>0.03</v>
      </c>
      <c r="R128" s="120">
        <f>Control!$F$45</f>
        <v>0.03</v>
      </c>
      <c r="S128" s="120">
        <f t="shared" si="88"/>
        <v>0.2859030133677245</v>
      </c>
      <c r="T128" s="120">
        <f t="shared" si="89"/>
        <v>0.27153283111879711</v>
      </c>
      <c r="X128" s="36">
        <f t="shared" ref="X128:AA128" si="99">X70</f>
        <v>0</v>
      </c>
      <c r="Y128" s="36">
        <f t="shared" si="99"/>
        <v>0</v>
      </c>
      <c r="Z128" s="36">
        <f t="shared" si="99"/>
        <v>0</v>
      </c>
      <c r="AA128" s="36">
        <f t="shared" si="99"/>
        <v>0</v>
      </c>
      <c r="AB128" s="120">
        <f t="shared" si="91"/>
        <v>28.078153970671924</v>
      </c>
      <c r="AC128" s="120">
        <f t="shared" si="92"/>
        <v>28.078153970671924</v>
      </c>
      <c r="AD128" s="120">
        <f>IF(OR(Control!$F$39="EC",Control!$F$51="N"),G41,MIN(G41,14+0.66*(INDEX('Eff. thickness (DNVGL-RP-C203)'!$G$31:$G$1048576,MATCH(G41,'Eff. thickness (DNVGL-RP-C203)'!$C$31:$C$1048576,0)))))</f>
        <v>106</v>
      </c>
      <c r="AE128" s="120">
        <f>IF(OR(Control!$F$39="EC",Control!$F$51="N"),G41,MIN(G41,14+0.66*(INDEX('Eff. thickness (DNVGL-RP-C203)'!$F$31:$F$1048576,MATCH(G41,'Eff. thickness (DNVGL-RP-C203)'!$C$31:$C$1048576,0)))))</f>
        <v>106</v>
      </c>
      <c r="AF128" s="120">
        <f t="shared" si="93"/>
        <v>0.86549271030630548</v>
      </c>
      <c r="AG128" s="120">
        <f t="shared" si="94"/>
        <v>0.86549271030630548</v>
      </c>
      <c r="AH128" s="120">
        <f t="shared" si="95"/>
        <v>1</v>
      </c>
      <c r="AI128" s="120">
        <f t="shared" si="96"/>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434</v>
      </c>
      <c r="D129" s="2">
        <f t="shared" si="81"/>
        <v>-14.3</v>
      </c>
      <c r="E129" s="120">
        <f>IF(Geometry_loads!H24="-","-",Geometry_loads!H24*Control!$F$54)</f>
        <v>315028.11843743699</v>
      </c>
      <c r="F129" s="120">
        <f>IF(Geometry_loads!G24="-","-",Geometry_loads!G24*Control!$F$55)</f>
        <v>372541.34465879854</v>
      </c>
      <c r="G129" s="120">
        <f t="shared" si="82"/>
        <v>41.385232880542837</v>
      </c>
      <c r="H129" s="120">
        <f t="shared" si="83"/>
        <v>40.354312483235105</v>
      </c>
      <c r="I129" s="120" t="str">
        <f t="shared" si="84"/>
        <v>-</v>
      </c>
      <c r="J129" s="120" t="str">
        <f t="shared" si="85"/>
        <v>-</v>
      </c>
      <c r="K129" s="120">
        <f t="shared" si="80"/>
        <v>112</v>
      </c>
      <c r="L129" s="120">
        <f t="shared" si="80"/>
        <v>112</v>
      </c>
      <c r="M129" s="120">
        <f t="shared" si="86"/>
        <v>8.4092403804694973E-2</v>
      </c>
      <c r="N129" s="120">
        <f t="shared" si="87"/>
        <v>7.6021242606058484E-2</v>
      </c>
      <c r="O129" s="120">
        <f>Control!$F$48</f>
        <v>0.1</v>
      </c>
      <c r="P129" s="120">
        <f>Control!$F$48</f>
        <v>0.1</v>
      </c>
      <c r="Q129" s="120">
        <f>Control!$F$45</f>
        <v>0.03</v>
      </c>
      <c r="R129" s="120">
        <f>Control!$F$45</f>
        <v>0.03</v>
      </c>
      <c r="S129" s="120">
        <f t="shared" si="88"/>
        <v>0.21409240380469499</v>
      </c>
      <c r="T129" s="120">
        <f t="shared" si="89"/>
        <v>0.2060212426060585</v>
      </c>
      <c r="X129" s="36">
        <f t="shared" ref="X129:AA129" si="100">X71</f>
        <v>0</v>
      </c>
      <c r="Y129" s="36">
        <f t="shared" si="100"/>
        <v>0</v>
      </c>
      <c r="Z129" s="36">
        <f t="shared" si="100"/>
        <v>0</v>
      </c>
      <c r="AA129" s="36">
        <f t="shared" si="100"/>
        <v>0</v>
      </c>
      <c r="AB129" s="120">
        <f t="shared" si="91"/>
        <v>35.447219624498352</v>
      </c>
      <c r="AC129" s="120">
        <f t="shared" si="92"/>
        <v>35.447219624498352</v>
      </c>
      <c r="AD129" s="120">
        <f>IF(OR(Control!$F$39="EC",Control!$F$51="N"),G42,MIN(G42,14+0.66*(INDEX('Eff. thickness (DNVGL-RP-C203)'!$G$31:$G$1048576,MATCH(G42,'Eff. thickness (DNVGL-RP-C203)'!$C$31:$C$1048576,0)))))</f>
        <v>116</v>
      </c>
      <c r="AE129" s="120">
        <f>IF(OR(Control!$F$39="EC",Control!$F$51="N"),G42,MIN(G42,14+0.66*(INDEX('Eff. thickness (DNVGL-RP-C203)'!$F$31:$F$1048576,MATCH(G42,'Eff. thickness (DNVGL-RP-C203)'!$C$31:$C$1048576,0)))))</f>
        <v>116</v>
      </c>
      <c r="AF129" s="120">
        <f t="shared" si="93"/>
        <v>0.85772526337829658</v>
      </c>
      <c r="AG129" s="120">
        <f t="shared" si="94"/>
        <v>0.85772526337829658</v>
      </c>
      <c r="AH129" s="120">
        <f t="shared" si="95"/>
        <v>1</v>
      </c>
      <c r="AI129" s="120">
        <f t="shared" si="96"/>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435</v>
      </c>
      <c r="D130" s="2">
        <f t="shared" si="81"/>
        <v>-17.8</v>
      </c>
      <c r="E130" s="120">
        <f>IF(Geometry_loads!H25="-","-",Geometry_loads!H25*Control!$F$54)</f>
        <v>322486.17048377782</v>
      </c>
      <c r="F130" s="120">
        <f>IF(Geometry_loads!G25="-","-",Geometry_loads!G25*Control!$F$55)</f>
        <v>382174.49415440171</v>
      </c>
      <c r="G130" s="120">
        <f t="shared" si="82"/>
        <v>43.277555001450182</v>
      </c>
      <c r="H130" s="120">
        <f t="shared" si="83"/>
        <v>42.363281090783822</v>
      </c>
      <c r="I130" s="120" t="str">
        <f t="shared" si="84"/>
        <v>-</v>
      </c>
      <c r="J130" s="120" t="str">
        <f t="shared" si="85"/>
        <v>-</v>
      </c>
      <c r="K130" s="120">
        <f t="shared" si="80"/>
        <v>112</v>
      </c>
      <c r="L130" s="120">
        <f t="shared" si="80"/>
        <v>112</v>
      </c>
      <c r="M130" s="120">
        <f t="shared" si="86"/>
        <v>9.5890970863962269E-2</v>
      </c>
      <c r="N130" s="120">
        <f t="shared" si="87"/>
        <v>8.8041048372224401E-2</v>
      </c>
      <c r="O130" s="120">
        <f>Control!$F$48</f>
        <v>0.1</v>
      </c>
      <c r="P130" s="120">
        <f>Control!$F$48</f>
        <v>0.1</v>
      </c>
      <c r="Q130" s="120">
        <f>Control!$F$45</f>
        <v>0.03</v>
      </c>
      <c r="R130" s="120">
        <f>Control!$F$45</f>
        <v>0.03</v>
      </c>
      <c r="S130" s="120">
        <f t="shared" si="88"/>
        <v>0.22589097086396229</v>
      </c>
      <c r="T130" s="120">
        <f t="shared" si="89"/>
        <v>0.21804104837222441</v>
      </c>
      <c r="X130" s="36">
        <f t="shared" ref="X130:AA130" si="101">X72</f>
        <v>0</v>
      </c>
      <c r="Y130" s="36">
        <f t="shared" si="101"/>
        <v>0</v>
      </c>
      <c r="Z130" s="36">
        <f t="shared" si="101"/>
        <v>0</v>
      </c>
      <c r="AA130" s="36">
        <f t="shared" si="101"/>
        <v>0</v>
      </c>
      <c r="AB130" s="120">
        <f t="shared" si="91"/>
        <v>36.330551678566337</v>
      </c>
      <c r="AC130" s="120">
        <f t="shared" si="92"/>
        <v>36.330551678566337</v>
      </c>
      <c r="AD130" s="120">
        <f>IF(OR(Control!$F$39="EC",Control!$F$51="N"),G43,MIN(G43,14+0.66*(INDEX('Eff. thickness (DNVGL-RP-C203)'!$G$31:$G$1048576,MATCH(G43,'Eff. thickness (DNVGL-RP-C203)'!$C$31:$C$1048576,0)))))</f>
        <v>103</v>
      </c>
      <c r="AE130" s="120">
        <f>IF(OR(Control!$F$39="EC",Control!$F$51="N"),G43,MIN(G43,14+0.66*(INDEX('Eff. thickness (DNVGL-RP-C203)'!$F$31:$F$1048576,MATCH(G43,'Eff. thickness (DNVGL-RP-C203)'!$C$31:$C$1048576,0)))))</f>
        <v>103</v>
      </c>
      <c r="AF130" s="120">
        <f t="shared" si="93"/>
        <v>0.86798111945688405</v>
      </c>
      <c r="AG130" s="120">
        <f t="shared" si="94"/>
        <v>0.86798111945688405</v>
      </c>
      <c r="AH130" s="120">
        <f t="shared" si="95"/>
        <v>1</v>
      </c>
      <c r="AI130" s="120">
        <f t="shared" si="96"/>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500</v>
      </c>
      <c r="D131" s="2">
        <f t="shared" si="81"/>
        <v>-21.3</v>
      </c>
      <c r="E131" s="120">
        <f>IF(Geometry_loads!H26="-","-",Geometry_loads!H26*Control!$F$54)</f>
        <v>331066.48179042514</v>
      </c>
      <c r="F131" s="120">
        <f>IF(Geometry_loads!G26="-","-",Geometry_loads!G26*Control!$F$55)</f>
        <v>393643.30282876233</v>
      </c>
      <c r="G131" s="120">
        <f t="shared" si="82"/>
        <v>42.647727016774525</v>
      </c>
      <c r="H131" s="120">
        <f t="shared" si="83"/>
        <v>41.82732888790018</v>
      </c>
      <c r="I131" s="120" t="str">
        <f t="shared" si="84"/>
        <v>-</v>
      </c>
      <c r="J131" s="120" t="str">
        <f t="shared" si="85"/>
        <v>-</v>
      </c>
      <c r="K131" s="120">
        <f t="shared" si="80"/>
        <v>112</v>
      </c>
      <c r="L131" s="120">
        <f t="shared" si="80"/>
        <v>112</v>
      </c>
      <c r="M131" s="120">
        <f t="shared" si="86"/>
        <v>8.8647388647075873E-2</v>
      </c>
      <c r="N131" s="120">
        <f t="shared" si="87"/>
        <v>8.2020594547319595E-2</v>
      </c>
      <c r="O131" s="120">
        <f>Control!$F$48</f>
        <v>0.1</v>
      </c>
      <c r="P131" s="120">
        <f>Control!$F$48</f>
        <v>0.1</v>
      </c>
      <c r="Q131" s="120">
        <f>Control!$F$45</f>
        <v>0.03</v>
      </c>
      <c r="R131" s="120">
        <f>Control!$F$45</f>
        <v>0.03</v>
      </c>
      <c r="S131" s="120">
        <f t="shared" si="88"/>
        <v>0.21864738864707586</v>
      </c>
      <c r="T131" s="120">
        <f t="shared" si="89"/>
        <v>0.21202059454731961</v>
      </c>
      <c r="X131" s="36">
        <f t="shared" ref="X131:AA131" si="102">X73</f>
        <v>0</v>
      </c>
      <c r="Y131" s="36">
        <f t="shared" si="102"/>
        <v>0</v>
      </c>
      <c r="Z131" s="36">
        <f t="shared" si="102"/>
        <v>0</v>
      </c>
      <c r="AA131" s="36">
        <f t="shared" si="102"/>
        <v>0</v>
      </c>
      <c r="AB131" s="120">
        <f t="shared" si="91"/>
        <v>39.547280854940865</v>
      </c>
      <c r="AC131" s="120">
        <f t="shared" si="92"/>
        <v>39.547280854940865</v>
      </c>
      <c r="AD131" s="120">
        <f>IF(OR(Control!$F$39="EC",Control!$F$51="N"),G44,MIN(G44,14+0.66*(INDEX('Eff. thickness (DNVGL-RP-C203)'!$G$31:$G$1048576,MATCH(G44,'Eff. thickness (DNVGL-RP-C203)'!$C$31:$C$1048576,0)))))</f>
        <v>98</v>
      </c>
      <c r="AE131" s="120">
        <f>IF(OR(Control!$F$39="EC",Control!$F$51="N"),G44,MIN(G44,14+0.66*(INDEX('Eff. thickness (DNVGL-RP-C203)'!$F$31:$F$1048576,MATCH(G44,'Eff. thickness (DNVGL-RP-C203)'!$C$31:$C$1048576,0)))))</f>
        <v>98</v>
      </c>
      <c r="AF131" s="120">
        <f t="shared" si="93"/>
        <v>0.87231108889002862</v>
      </c>
      <c r="AG131" s="120">
        <f t="shared" si="94"/>
        <v>0.87231108889002862</v>
      </c>
      <c r="AH131" s="120">
        <f t="shared" si="95"/>
        <v>1</v>
      </c>
      <c r="AI131" s="120">
        <f t="shared" si="96"/>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501</v>
      </c>
      <c r="D132" s="2">
        <f t="shared" si="81"/>
        <v>-24.8</v>
      </c>
      <c r="E132" s="120">
        <f>IF(Geometry_loads!H27="-","-",Geometry_loads!H27*Control!$F$54)</f>
        <v>341010.55118554627</v>
      </c>
      <c r="F132" s="120">
        <f>IF(Geometry_loads!G27="-","-",Geometry_loads!G27*Control!$F$55)</f>
        <v>407110.21839681466</v>
      </c>
      <c r="G132" s="120">
        <f t="shared" si="82"/>
        <v>40.33558887930792</v>
      </c>
      <c r="H132" s="120">
        <f t="shared" si="83"/>
        <v>39.591634931201327</v>
      </c>
      <c r="I132" s="120" t="str">
        <f t="shared" si="84"/>
        <v>-</v>
      </c>
      <c r="J132" s="120" t="str">
        <f t="shared" si="85"/>
        <v>-</v>
      </c>
      <c r="K132" s="120">
        <f t="shared" si="80"/>
        <v>112</v>
      </c>
      <c r="L132" s="120">
        <f t="shared" si="80"/>
        <v>112</v>
      </c>
      <c r="M132" s="120">
        <f t="shared" si="86"/>
        <v>7.0930985744856984E-2</v>
      </c>
      <c r="N132" s="120">
        <f t="shared" si="87"/>
        <v>6.5840956764313313E-2</v>
      </c>
      <c r="O132" s="120">
        <f>Control!$F$48</f>
        <v>0.1</v>
      </c>
      <c r="P132" s="120">
        <f>Control!$F$48</f>
        <v>0.1</v>
      </c>
      <c r="Q132" s="120">
        <f>Control!$F$45</f>
        <v>0.03</v>
      </c>
      <c r="R132" s="120">
        <f>Control!$F$45</f>
        <v>0.03</v>
      </c>
      <c r="S132" s="120">
        <f t="shared" si="88"/>
        <v>0.20093098574485699</v>
      </c>
      <c r="T132" s="120">
        <f t="shared" si="89"/>
        <v>0.19584095676431332</v>
      </c>
      <c r="X132" s="36">
        <f t="shared" ref="X132:AA132" si="103">X74</f>
        <v>0</v>
      </c>
      <c r="Y132" s="36">
        <f t="shared" si="103"/>
        <v>0</v>
      </c>
      <c r="Z132" s="36">
        <f t="shared" si="103"/>
        <v>0</v>
      </c>
      <c r="AA132" s="36">
        <f t="shared" si="103"/>
        <v>0</v>
      </c>
      <c r="AB132" s="120">
        <f t="shared" si="91"/>
        <v>44.920836970133529</v>
      </c>
      <c r="AC132" s="120">
        <f t="shared" si="92"/>
        <v>44.920836970133529</v>
      </c>
      <c r="AD132" s="120">
        <f>IF(OR(Control!$F$39="EC",Control!$F$51="N"),G45,MIN(G45,14+0.66*(INDEX('Eff. thickness (DNVGL-RP-C203)'!$G$31:$G$1048576,MATCH(G45,'Eff. thickness (DNVGL-RP-C203)'!$C$31:$C$1048576,0)))))</f>
        <v>98</v>
      </c>
      <c r="AE132" s="120">
        <f>IF(OR(Control!$F$39="EC",Control!$F$51="N"),G45,MIN(G45,14+0.66*(INDEX('Eff. thickness (DNVGL-RP-C203)'!$F$31:$F$1048576,MATCH(G45,'Eff. thickness (DNVGL-RP-C203)'!$C$31:$C$1048576,0)))))</f>
        <v>98</v>
      </c>
      <c r="AF132" s="120">
        <f t="shared" si="93"/>
        <v>0.87231108889002862</v>
      </c>
      <c r="AG132" s="120">
        <f t="shared" si="94"/>
        <v>0.87231108889002862</v>
      </c>
      <c r="AH132" s="120">
        <f t="shared" si="95"/>
        <v>1</v>
      </c>
      <c r="AI132" s="120">
        <f t="shared" si="96"/>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502</v>
      </c>
      <c r="D133" s="2">
        <f t="shared" si="81"/>
        <v>-28.3</v>
      </c>
      <c r="E133" s="120">
        <f>IF(Geometry_loads!H28="-","-",Geometry_loads!H28*Control!$F$54)</f>
        <v>352275.76122887636</v>
      </c>
      <c r="F133" s="120">
        <f>IF(Geometry_loads!G28="-","-",Geometry_loads!G28*Control!$F$55)</f>
        <v>422688.95425901271</v>
      </c>
      <c r="G133" s="120">
        <f t="shared" si="82"/>
        <v>38.393684248589913</v>
      </c>
      <c r="H133" s="120">
        <f t="shared" si="83"/>
        <v>37.713566564761123</v>
      </c>
      <c r="I133" s="120" t="str">
        <f t="shared" si="84"/>
        <v>-</v>
      </c>
      <c r="J133" s="120" t="str">
        <f t="shared" si="85"/>
        <v>-</v>
      </c>
      <c r="K133" s="120">
        <f t="shared" si="80"/>
        <v>112</v>
      </c>
      <c r="L133" s="120">
        <f t="shared" si="80"/>
        <v>112</v>
      </c>
      <c r="M133" s="120">
        <f t="shared" si="86"/>
        <v>5.8226615085121947E-2</v>
      </c>
      <c r="N133" s="120">
        <f t="shared" si="87"/>
        <v>5.420917652977373E-2</v>
      </c>
      <c r="O133" s="120">
        <f>Control!$F$48</f>
        <v>0.1</v>
      </c>
      <c r="P133" s="120">
        <f>Control!$F$48</f>
        <v>0.1</v>
      </c>
      <c r="Q133" s="120">
        <f>Control!$F$45</f>
        <v>0.03</v>
      </c>
      <c r="R133" s="120">
        <f>Control!$F$45</f>
        <v>0.03</v>
      </c>
      <c r="S133" s="120">
        <f t="shared" si="88"/>
        <v>0.18822661508512195</v>
      </c>
      <c r="T133" s="120">
        <f t="shared" si="89"/>
        <v>0.18420917652977373</v>
      </c>
      <c r="X133" s="36">
        <f t="shared" ref="X133:AA133" si="104">X75</f>
        <v>0</v>
      </c>
      <c r="Y133" s="36">
        <f t="shared" si="104"/>
        <v>0</v>
      </c>
      <c r="Z133" s="36">
        <f t="shared" si="104"/>
        <v>0</v>
      </c>
      <c r="AA133" s="36">
        <f t="shared" si="104"/>
        <v>0</v>
      </c>
      <c r="AB133" s="120">
        <f t="shared" si="91"/>
        <v>50.760369008609224</v>
      </c>
      <c r="AC133" s="120">
        <f t="shared" si="92"/>
        <v>50.760369008609224</v>
      </c>
      <c r="AD133" s="120">
        <f>IF(OR(Control!$F$39="EC",Control!$F$51="N"),G46,MIN(G46,14+0.66*(INDEX('Eff. thickness (DNVGL-RP-C203)'!$G$31:$G$1048576,MATCH(G46,'Eff. thickness (DNVGL-RP-C203)'!$C$31:$C$1048576,0)))))</f>
        <v>98</v>
      </c>
      <c r="AE133" s="120">
        <f>IF(OR(Control!$F$39="EC",Control!$F$51="N"),G46,MIN(G46,14+0.66*(INDEX('Eff. thickness (DNVGL-RP-C203)'!$F$31:$F$1048576,MATCH(G46,'Eff. thickness (DNVGL-RP-C203)'!$C$31:$C$1048576,0)))))</f>
        <v>98</v>
      </c>
      <c r="AF133" s="120">
        <f t="shared" si="93"/>
        <v>0.87231108889002862</v>
      </c>
      <c r="AG133" s="120">
        <f t="shared" si="94"/>
        <v>0.87231108889002862</v>
      </c>
      <c r="AH133" s="120">
        <f t="shared" si="95"/>
        <v>1</v>
      </c>
      <c r="AI133" s="120">
        <f t="shared" si="96"/>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503</v>
      </c>
      <c r="D134" s="2">
        <f t="shared" si="81"/>
        <v>-31.8</v>
      </c>
      <c r="E134" s="120">
        <f>IF(Geometry_loads!H29="-","-",Geometry_loads!H29*Control!$F$54)</f>
        <v>366069.60606125148</v>
      </c>
      <c r="F134" s="120">
        <f>IF(Geometry_loads!G29="-","-",Geometry_loads!G29*Control!$F$55)</f>
        <v>441792.80553528474</v>
      </c>
      <c r="G134" s="120">
        <f t="shared" si="82"/>
        <v>36.895242010495437</v>
      </c>
      <c r="H134" s="120">
        <f t="shared" si="83"/>
        <v>36.266418755360036</v>
      </c>
      <c r="I134" s="120" t="str">
        <f t="shared" si="84"/>
        <v>-</v>
      </c>
      <c r="J134" s="120" t="str">
        <f t="shared" si="85"/>
        <v>-</v>
      </c>
      <c r="K134" s="120">
        <f t="shared" si="80"/>
        <v>112</v>
      </c>
      <c r="L134" s="120">
        <f t="shared" si="80"/>
        <v>112</v>
      </c>
      <c r="M134" s="120">
        <f t="shared" si="86"/>
        <v>4.9655097817208393E-2</v>
      </c>
      <c r="N134" s="120">
        <f t="shared" si="87"/>
        <v>4.6355479279952976E-2</v>
      </c>
      <c r="O134" s="120">
        <f>Control!$F$48</f>
        <v>0.1</v>
      </c>
      <c r="P134" s="120">
        <f>Control!$F$48</f>
        <v>0.1</v>
      </c>
      <c r="Q134" s="120">
        <f>Control!$F$45</f>
        <v>0.03</v>
      </c>
      <c r="R134" s="120">
        <f>Control!$F$45</f>
        <v>0.03</v>
      </c>
      <c r="S134" s="120">
        <f t="shared" si="88"/>
        <v>0.1796550978172084</v>
      </c>
      <c r="T134" s="120">
        <f t="shared" si="89"/>
        <v>0.17635547927995299</v>
      </c>
      <c r="X134" s="36">
        <f t="shared" ref="X134:AA134" si="105">X76</f>
        <v>0</v>
      </c>
      <c r="Y134" s="36">
        <f t="shared" si="105"/>
        <v>0</v>
      </c>
      <c r="Z134" s="36">
        <f t="shared" si="105"/>
        <v>0</v>
      </c>
      <c r="AA134" s="36">
        <f t="shared" si="105"/>
        <v>0</v>
      </c>
      <c r="AB134" s="120">
        <f t="shared" si="91"/>
        <v>57.050723078423601</v>
      </c>
      <c r="AC134" s="120">
        <f t="shared" si="92"/>
        <v>57.050723078423601</v>
      </c>
      <c r="AD134" s="120">
        <f>IF(OR(Control!$F$39="EC",Control!$F$51="N"),G47,MIN(G47,14+0.66*(INDEX('Eff. thickness (DNVGL-RP-C203)'!$G$31:$G$1048576,MATCH(G47,'Eff. thickness (DNVGL-RP-C203)'!$C$31:$C$1048576,0)))))</f>
        <v>98</v>
      </c>
      <c r="AE134" s="120">
        <f>IF(OR(Control!$F$39="EC",Control!$F$51="N"),G47,MIN(G47,14+0.66*(INDEX('Eff. thickness (DNVGL-RP-C203)'!$F$31:$F$1048576,MATCH(G47,'Eff. thickness (DNVGL-RP-C203)'!$C$31:$C$1048576,0)))))</f>
        <v>98</v>
      </c>
      <c r="AF134" s="120">
        <f t="shared" si="93"/>
        <v>0.87231108889002862</v>
      </c>
      <c r="AG134" s="120">
        <f t="shared" si="94"/>
        <v>0.87231108889002862</v>
      </c>
      <c r="AH134" s="120">
        <f t="shared" si="95"/>
        <v>1</v>
      </c>
      <c r="AI134" s="120">
        <f t="shared" si="96"/>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504</v>
      </c>
      <c r="D135" s="2">
        <f t="shared" si="81"/>
        <v>-35.299999999999997</v>
      </c>
      <c r="E135" s="120">
        <f>IF(Geometry_loads!H30="-","-",Geometry_loads!H30*Control!$F$54)</f>
        <v>381426.09037000284</v>
      </c>
      <c r="F135" s="120">
        <f>IF(Geometry_loads!G30="-","-",Geometry_loads!G30*Control!$F$55)</f>
        <v>463138.43527764996</v>
      </c>
      <c r="G135" s="120">
        <f t="shared" si="82"/>
        <v>38.442983739446717</v>
      </c>
      <c r="H135" s="120">
        <f t="shared" si="83"/>
        <v>37.787781581800495</v>
      </c>
      <c r="I135" s="120" t="str">
        <f t="shared" si="84"/>
        <v>-</v>
      </c>
      <c r="J135" s="120" t="str">
        <f t="shared" si="85"/>
        <v>-</v>
      </c>
      <c r="K135" s="120">
        <f t="shared" si="80"/>
        <v>112</v>
      </c>
      <c r="L135" s="120">
        <f t="shared" si="80"/>
        <v>112</v>
      </c>
      <c r="M135" s="120">
        <f t="shared" si="86"/>
        <v>5.8526255628391768E-2</v>
      </c>
      <c r="N135" s="120">
        <f t="shared" si="87"/>
        <v>5.4637141993000522E-2</v>
      </c>
      <c r="O135" s="120">
        <f>Control!$F$48</f>
        <v>0.1</v>
      </c>
      <c r="P135" s="120">
        <f>Control!$F$48</f>
        <v>0.1</v>
      </c>
      <c r="Q135" s="120">
        <f>Control!$F$45</f>
        <v>0.03</v>
      </c>
      <c r="R135" s="120">
        <f>Control!$F$45</f>
        <v>0.03</v>
      </c>
      <c r="S135" s="120">
        <f t="shared" si="88"/>
        <v>0.18852625562839179</v>
      </c>
      <c r="T135" s="120">
        <f t="shared" si="89"/>
        <v>0.18463714199300052</v>
      </c>
      <c r="X135" s="36">
        <f t="shared" ref="X135:AA135" si="106">X77</f>
        <v>0</v>
      </c>
      <c r="Y135" s="36">
        <f t="shared" si="106"/>
        <v>0</v>
      </c>
      <c r="Z135" s="36">
        <f t="shared" si="106"/>
        <v>0</v>
      </c>
      <c r="AA135" s="36">
        <f t="shared" si="106"/>
        <v>0</v>
      </c>
      <c r="AB135" s="120">
        <f t="shared" si="91"/>
        <v>57.050723078423601</v>
      </c>
      <c r="AC135" s="120">
        <f t="shared" si="92"/>
        <v>57.050723078423601</v>
      </c>
      <c r="AD135" s="120">
        <f>IF(OR(Control!$F$39="EC",Control!$F$51="N"),G48,MIN(G48,14+0.66*(INDEX('Eff. thickness (DNVGL-RP-C203)'!$G$31:$G$1048576,MATCH(G48,'Eff. thickness (DNVGL-RP-C203)'!$C$31:$C$1048576,0)))))</f>
        <v>98</v>
      </c>
      <c r="AE135" s="120">
        <f>IF(OR(Control!$F$39="EC",Control!$F$51="N"),G48,MIN(G48,14+0.66*(INDEX('Eff. thickness (DNVGL-RP-C203)'!$F$31:$F$1048576,MATCH(G48,'Eff. thickness (DNVGL-RP-C203)'!$C$31:$C$1048576,0)))))</f>
        <v>98</v>
      </c>
      <c r="AF135" s="120">
        <f t="shared" si="93"/>
        <v>0.87231108889002862</v>
      </c>
      <c r="AG135" s="120">
        <f t="shared" si="94"/>
        <v>0.87231108889002862</v>
      </c>
      <c r="AH135" s="120">
        <f t="shared" si="95"/>
        <v>1</v>
      </c>
      <c r="AI135" s="120">
        <f t="shared" si="96"/>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505</v>
      </c>
      <c r="D136" s="2">
        <f t="shared" si="81"/>
        <v>-38.6</v>
      </c>
      <c r="E136" s="120">
        <f>IF(Geometry_loads!H31="-","-",Geometry_loads!H31*Control!$F$54)</f>
        <v>398315.99076752015</v>
      </c>
      <c r="F136" s="120">
        <f>IF(Geometry_loads!G31="-","-",Geometry_loads!G31*Control!$F$55)</f>
        <v>486710.52698727167</v>
      </c>
      <c r="G136" s="120">
        <f t="shared" si="82"/>
        <v>39.362958345138381</v>
      </c>
      <c r="H136" s="120">
        <f t="shared" si="83"/>
        <v>38.678385156527277</v>
      </c>
      <c r="I136" s="120" t="str">
        <f t="shared" si="84"/>
        <v>-</v>
      </c>
      <c r="J136" s="120" t="str">
        <f t="shared" si="85"/>
        <v>-</v>
      </c>
      <c r="K136" s="120">
        <f t="shared" si="80"/>
        <v>112</v>
      </c>
      <c r="L136" s="120">
        <f t="shared" si="80"/>
        <v>112</v>
      </c>
      <c r="M136" s="120">
        <f t="shared" si="86"/>
        <v>6.4854912898718003E-2</v>
      </c>
      <c r="N136" s="120">
        <f t="shared" si="87"/>
        <v>6.045960325196565E-2</v>
      </c>
      <c r="O136" s="120">
        <f>Control!$F$48</f>
        <v>0.1</v>
      </c>
      <c r="P136" s="120">
        <f>Control!$F$48</f>
        <v>0.1</v>
      </c>
      <c r="Q136" s="120">
        <f>Control!$F$45</f>
        <v>0.03</v>
      </c>
      <c r="R136" s="120">
        <f>Control!$F$45</f>
        <v>0.03</v>
      </c>
      <c r="S136" s="120">
        <f t="shared" si="88"/>
        <v>0.19485491289871801</v>
      </c>
      <c r="T136" s="120">
        <f t="shared" si="89"/>
        <v>0.19045960325196565</v>
      </c>
      <c r="X136" s="36">
        <f t="shared" ref="X136:AA136" si="107">X78</f>
        <v>0</v>
      </c>
      <c r="Y136" s="36">
        <f t="shared" si="107"/>
        <v>0</v>
      </c>
      <c r="Z136" s="36">
        <f t="shared" si="107"/>
        <v>0</v>
      </c>
      <c r="AA136" s="36">
        <f t="shared" si="107"/>
        <v>0</v>
      </c>
      <c r="AB136" s="120">
        <f t="shared" si="91"/>
        <v>58.184573599156636</v>
      </c>
      <c r="AC136" s="120">
        <f t="shared" si="92"/>
        <v>58.184573599156636</v>
      </c>
      <c r="AD136" s="120">
        <f>IF(OR(Control!$F$39="EC",Control!$F$51="N"),G49,MIN(G49,14+0.66*(INDEX('Eff. thickness (DNVGL-RP-C203)'!$G$31:$G$1048576,MATCH(G49,'Eff. thickness (DNVGL-RP-C203)'!$C$31:$C$1048576,0)))))</f>
        <v>100</v>
      </c>
      <c r="AE136" s="120">
        <f>IF(OR(Control!$F$39="EC",Control!$F$51="N"),G49,MIN(G49,14+0.66*(INDEX('Eff. thickness (DNVGL-RP-C203)'!$F$31:$F$1048576,MATCH(G49,'Eff. thickness (DNVGL-RP-C203)'!$C$31:$C$1048576,0)))))</f>
        <v>100</v>
      </c>
      <c r="AF136" s="120">
        <f t="shared" si="93"/>
        <v>0.87055056329612412</v>
      </c>
      <c r="AG136" s="120">
        <f t="shared" si="94"/>
        <v>0.87055056329612412</v>
      </c>
      <c r="AH136" s="120">
        <f t="shared" si="95"/>
        <v>1</v>
      </c>
      <c r="AI136" s="120">
        <f t="shared" si="96"/>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506</v>
      </c>
      <c r="D137" s="2">
        <f t="shared" si="81"/>
        <v>-41.9</v>
      </c>
      <c r="E137" s="120">
        <f>IF(Geometry_loads!H32="-","-",Geometry_loads!H32*Control!$F$54)</f>
        <v>417230.06737247197</v>
      </c>
      <c r="F137" s="120">
        <f>IF(Geometry_loads!G32="-","-",Geometry_loads!G32*Control!$F$55)</f>
        <v>513019.52909555007</v>
      </c>
      <c r="G137" s="120">
        <f t="shared" si="82"/>
        <v>42.051577227055958</v>
      </c>
      <c r="H137" s="120">
        <f t="shared" si="83"/>
        <v>41.334872084751353</v>
      </c>
      <c r="I137" s="120" t="str">
        <f t="shared" si="84"/>
        <v>-</v>
      </c>
      <c r="J137" s="120" t="str">
        <f t="shared" si="85"/>
        <v>-</v>
      </c>
      <c r="K137" s="120">
        <f t="shared" si="80"/>
        <v>112</v>
      </c>
      <c r="L137" s="120">
        <f t="shared" si="80"/>
        <v>112</v>
      </c>
      <c r="M137" s="120">
        <f t="shared" si="86"/>
        <v>8.3793734461558703E-2</v>
      </c>
      <c r="N137" s="120">
        <f t="shared" si="87"/>
        <v>7.8225577883697744E-2</v>
      </c>
      <c r="O137" s="120">
        <f>Control!$F$48</f>
        <v>0.1</v>
      </c>
      <c r="P137" s="120">
        <f>Control!$F$48</f>
        <v>0.1</v>
      </c>
      <c r="Q137" s="120">
        <f>Control!$F$45</f>
        <v>0.03</v>
      </c>
      <c r="R137" s="120">
        <f>Control!$F$45</f>
        <v>0.03</v>
      </c>
      <c r="S137" s="120">
        <f t="shared" si="88"/>
        <v>0.21379373446155872</v>
      </c>
      <c r="T137" s="120">
        <f t="shared" si="89"/>
        <v>0.20822557788369775</v>
      </c>
      <c r="X137" s="36">
        <f t="shared" ref="X137:AA137" si="108">X79</f>
        <v>0</v>
      </c>
      <c r="Y137" s="36">
        <f t="shared" si="108"/>
        <v>0</v>
      </c>
      <c r="Z137" s="36">
        <f t="shared" si="108"/>
        <v>0</v>
      </c>
      <c r="AA137" s="36">
        <f t="shared" si="108"/>
        <v>0</v>
      </c>
      <c r="AB137" s="120">
        <f t="shared" si="91"/>
        <v>57.050723078423601</v>
      </c>
      <c r="AC137" s="120">
        <f t="shared" si="92"/>
        <v>57.050723078423601</v>
      </c>
      <c r="AD137" s="120">
        <f>IF(OR(Control!$F$39="EC",Control!$F$51="N"),G50,MIN(G50,14+0.66*(INDEX('Eff. thickness (DNVGL-RP-C203)'!$G$31:$G$1048576,MATCH(G50,'Eff. thickness (DNVGL-RP-C203)'!$C$31:$C$1048576,0)))))</f>
        <v>98</v>
      </c>
      <c r="AE137" s="120">
        <f>IF(OR(Control!$F$39="EC",Control!$F$51="N"),G50,MIN(G50,14+0.66*(INDEX('Eff. thickness (DNVGL-RP-C203)'!$F$31:$F$1048576,MATCH(G50,'Eff. thickness (DNVGL-RP-C203)'!$C$31:$C$1048576,0)))))</f>
        <v>98</v>
      </c>
      <c r="AF137" s="120">
        <f t="shared" si="93"/>
        <v>0.87231108889002862</v>
      </c>
      <c r="AG137" s="120">
        <f t="shared" si="94"/>
        <v>0.87231108889002862</v>
      </c>
      <c r="AH137" s="120">
        <f t="shared" si="95"/>
        <v>1</v>
      </c>
      <c r="AI137" s="120">
        <f t="shared" si="96"/>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38" spans="3:37">
      <c r="C138" s="12" t="s">
        <v>507</v>
      </c>
      <c r="D138" s="2">
        <f t="shared" si="81"/>
        <v>-45.2</v>
      </c>
      <c r="E138" s="120">
        <f>IF(Geometry_loads!H33="-","-",Geometry_loads!H33*Control!$F$54)</f>
        <v>445256.57942420774</v>
      </c>
      <c r="F138" s="120" t="str">
        <f>IF(Geometry_loads!G33="-","-",Geometry_loads!G33*Control!$F$55)</f>
        <v>-</v>
      </c>
      <c r="G138" s="120">
        <f t="shared" si="82"/>
        <v>46.257131590963624</v>
      </c>
      <c r="H138" s="120">
        <f t="shared" si="83"/>
        <v>45.492883329895534</v>
      </c>
      <c r="I138" s="120" t="str">
        <f t="shared" si="84"/>
        <v>-</v>
      </c>
      <c r="J138" s="120" t="str">
        <f t="shared" si="85"/>
        <v>-</v>
      </c>
      <c r="K138" s="120">
        <f t="shared" si="80"/>
        <v>112</v>
      </c>
      <c r="L138" s="120">
        <f t="shared" si="80"/>
        <v>112</v>
      </c>
      <c r="M138" s="120">
        <f t="shared" si="86"/>
        <v>0.12117030317245356</v>
      </c>
      <c r="N138" s="120">
        <f t="shared" si="87"/>
        <v>0.11335880337083018</v>
      </c>
      <c r="O138" s="120">
        <f>Control!$F$48</f>
        <v>0.1</v>
      </c>
      <c r="P138" s="120">
        <f>Control!$F$48</f>
        <v>0.1</v>
      </c>
      <c r="Q138" s="120">
        <f>Control!$F$45</f>
        <v>0.03</v>
      </c>
      <c r="R138" s="120">
        <f>Control!$F$45</f>
        <v>0.03</v>
      </c>
      <c r="S138" s="120">
        <f t="shared" si="88"/>
        <v>0.25117030317245359</v>
      </c>
      <c r="T138" s="120">
        <f t="shared" si="89"/>
        <v>0.24335880337083018</v>
      </c>
      <c r="X138" s="36">
        <f t="shared" ref="X138:AA138" si="109">X80</f>
        <v>0</v>
      </c>
      <c r="Y138" s="36">
        <f t="shared" si="109"/>
        <v>0</v>
      </c>
      <c r="Z138" s="36">
        <f t="shared" si="109"/>
        <v>0</v>
      </c>
      <c r="AA138" s="36">
        <f t="shared" si="109"/>
        <v>0</v>
      </c>
      <c r="AB138" s="120">
        <f t="shared" si="91"/>
        <v>55.347688964556049</v>
      </c>
      <c r="AC138" s="120">
        <f t="shared" si="92"/>
        <v>55.347688964556049</v>
      </c>
      <c r="AD138" s="120">
        <f>IF(OR(Control!$F$39="EC",Control!$F$51="N"),G51,MIN(G51,14+0.66*(INDEX('Eff. thickness (DNVGL-RP-C203)'!$G$31:$G$1048576,MATCH(G51,'Eff. thickness (DNVGL-RP-C203)'!$C$31:$C$1048576,0)))))</f>
        <v>95</v>
      </c>
      <c r="AE138" s="120">
        <f>IF(OR(Control!$F$39="EC",Control!$F$51="N"),G51,MIN(G51,14+0.66*(INDEX('Eff. thickness (DNVGL-RP-C203)'!$F$31:$F$1048576,MATCH(G51,'Eff. thickness (DNVGL-RP-C203)'!$C$31:$C$1048576,0)))))</f>
        <v>95</v>
      </c>
      <c r="AF138" s="120">
        <f t="shared" si="93"/>
        <v>0.87502737563561173</v>
      </c>
      <c r="AG138" s="120">
        <f t="shared" si="94"/>
        <v>0.87502737563561173</v>
      </c>
      <c r="AH138" s="120">
        <f t="shared" si="95"/>
        <v>1</v>
      </c>
      <c r="AI138" s="120">
        <f t="shared" si="96"/>
        <v>1</v>
      </c>
      <c r="AJ138" s="120">
        <f>IF(Control!$F$39&lt;&gt;"DNV",1,IF(D138&gt;Control!$F$16,IF(ISBLANK(Control!$F$56),1,Control!$F$56),IF(D138&gt;Control!$F$22,IF(ISBLANK(Control!$F$57),1,Control!$F$57),1)))</f>
        <v>1</v>
      </c>
      <c r="AK138" s="120">
        <f>IF(Control!$F$39&lt;&gt;"DNV",1,IF(D138&gt;Control!$F$18,IF(ISBLANK(Control!$F$56),1,Control!$F$56),IF(D138&gt;Control!$F$22,IF(ISBLANK(Control!$F$57),1,Control!$F$57),1)))</f>
        <v>1</v>
      </c>
    </row>
    <row r="139" spans="3:37">
      <c r="C139" s="12" t="s">
        <v>508</v>
      </c>
      <c r="D139" s="2">
        <f t="shared" si="81"/>
        <v>-48.5</v>
      </c>
      <c r="E139" s="120">
        <f>IF(Geometry_loads!H34="-","-",Geometry_loads!H34*Control!$F$54)</f>
        <v>473278.96679899556</v>
      </c>
      <c r="F139" s="120" t="str">
        <f>IF(Geometry_loads!G34="-","-",Geometry_loads!G34*Control!$F$55)</f>
        <v>-</v>
      </c>
      <c r="G139" s="120">
        <f t="shared" si="82"/>
        <v>49.168341262395707</v>
      </c>
      <c r="H139" s="120">
        <f t="shared" si="83"/>
        <v>48.355994754582213</v>
      </c>
      <c r="I139" s="120" t="str">
        <f t="shared" si="84"/>
        <v>-</v>
      </c>
      <c r="J139" s="120" t="str">
        <f t="shared" si="85"/>
        <v>-</v>
      </c>
      <c r="K139" s="120">
        <f t="shared" si="80"/>
        <v>112</v>
      </c>
      <c r="L139" s="120">
        <f t="shared" si="80"/>
        <v>112</v>
      </c>
      <c r="M139" s="120">
        <f t="shared" si="86"/>
        <v>0.15467624804019178</v>
      </c>
      <c r="N139" s="120">
        <f t="shared" si="87"/>
        <v>0.14470471665628343</v>
      </c>
      <c r="O139" s="120">
        <f>Control!$F$48</f>
        <v>0.1</v>
      </c>
      <c r="P139" s="120">
        <f>Control!$F$48</f>
        <v>0.1</v>
      </c>
      <c r="Q139" s="120">
        <f>Control!$F$45</f>
        <v>0.03</v>
      </c>
      <c r="R139" s="120">
        <f>Control!$F$45</f>
        <v>0.03</v>
      </c>
      <c r="S139" s="120">
        <f t="shared" si="88"/>
        <v>0.28467624804019176</v>
      </c>
      <c r="T139" s="120">
        <f t="shared" si="89"/>
        <v>0.27470471665628343</v>
      </c>
      <c r="X139" s="36">
        <f t="shared" ref="X139:AA139" si="110">X81</f>
        <v>0</v>
      </c>
      <c r="Y139" s="36">
        <f t="shared" si="110"/>
        <v>0</v>
      </c>
      <c r="Z139" s="36">
        <f t="shared" si="110"/>
        <v>0</v>
      </c>
      <c r="AA139" s="36">
        <f t="shared" si="110"/>
        <v>0</v>
      </c>
      <c r="AB139" s="120">
        <f t="shared" si="91"/>
        <v>55.347688964556049</v>
      </c>
      <c r="AC139" s="120">
        <f t="shared" si="92"/>
        <v>55.347688964556049</v>
      </c>
      <c r="AD139" s="120">
        <f>IF(OR(Control!$F$39="EC",Control!$F$51="N"),G52,MIN(G52,14+0.66*(INDEX('Eff. thickness (DNVGL-RP-C203)'!$G$31:$G$1048576,MATCH(G52,'Eff. thickness (DNVGL-RP-C203)'!$C$31:$C$1048576,0)))))</f>
        <v>95</v>
      </c>
      <c r="AE139" s="120">
        <f>IF(OR(Control!$F$39="EC",Control!$F$51="N"),G52,MIN(G52,14+0.66*(INDEX('Eff. thickness (DNVGL-RP-C203)'!$F$31:$F$1048576,MATCH(G52,'Eff. thickness (DNVGL-RP-C203)'!$C$31:$C$1048576,0)))))</f>
        <v>95</v>
      </c>
      <c r="AF139" s="120">
        <f t="shared" si="93"/>
        <v>0.87502737563561173</v>
      </c>
      <c r="AG139" s="120">
        <f t="shared" si="94"/>
        <v>0.87502737563561173</v>
      </c>
      <c r="AH139" s="120">
        <f t="shared" si="95"/>
        <v>1</v>
      </c>
      <c r="AI139" s="120">
        <f t="shared" si="96"/>
        <v>1</v>
      </c>
      <c r="AJ139" s="120">
        <f>IF(Control!$F$39&lt;&gt;"DNV",1,IF(D139&gt;Control!$F$16,IF(ISBLANK(Control!$F$56),1,Control!$F$56),IF(D139&gt;Control!$F$22,IF(ISBLANK(Control!$F$57),1,Control!$F$57),1)))</f>
        <v>1</v>
      </c>
      <c r="AK139" s="120">
        <f>IF(Control!$F$39&lt;&gt;"DNV",1,IF(D139&gt;Control!$F$18,IF(ISBLANK(Control!$F$56),1,Control!$F$56),IF(D139&gt;Control!$F$22,IF(ISBLANK(Control!$F$57),1,Control!$F$57),1)))</f>
        <v>1</v>
      </c>
    </row>
    <row r="140" spans="3:37">
      <c r="C140" s="12" t="s">
        <v>509</v>
      </c>
      <c r="D140" s="2">
        <f t="shared" si="81"/>
        <v>-51.7</v>
      </c>
      <c r="E140" s="120">
        <f>IF(Geometry_loads!H35="-","-",Geometry_loads!H35*Control!$F$54)</f>
        <v>495561.88375510153</v>
      </c>
      <c r="F140" s="120" t="str">
        <f>IF(Geometry_loads!G35="-","-",Geometry_loads!G35*Control!$F$55)</f>
        <v>-</v>
      </c>
      <c r="G140" s="120">
        <f t="shared" si="82"/>
        <v>51.483284756778275</v>
      </c>
      <c r="H140" s="120">
        <f t="shared" si="83"/>
        <v>50.632691356448902</v>
      </c>
      <c r="I140" s="120" t="str">
        <f t="shared" si="84"/>
        <v>-</v>
      </c>
      <c r="J140" s="120" t="str">
        <f t="shared" si="85"/>
        <v>-</v>
      </c>
      <c r="K140" s="120">
        <f t="shared" ref="K140:L147" si="111">$AC$8</f>
        <v>112</v>
      </c>
      <c r="L140" s="120">
        <f t="shared" si="111"/>
        <v>112</v>
      </c>
      <c r="M140" s="120">
        <f t="shared" si="86"/>
        <v>0.1859286827995672</v>
      </c>
      <c r="N140" s="120">
        <f t="shared" si="87"/>
        <v>0.1739423971274266</v>
      </c>
      <c r="O140" s="120">
        <f>Control!$F$48</f>
        <v>0.1</v>
      </c>
      <c r="P140" s="120">
        <f>Control!$F$48</f>
        <v>0.1</v>
      </c>
      <c r="Q140" s="120">
        <f>Control!$F$45</f>
        <v>0.03</v>
      </c>
      <c r="R140" s="120">
        <f>Control!$F$45</f>
        <v>0.03</v>
      </c>
      <c r="S140" s="120">
        <f t="shared" si="88"/>
        <v>0.31592868279956721</v>
      </c>
      <c r="T140" s="120">
        <f t="shared" si="89"/>
        <v>0.30394239712742666</v>
      </c>
      <c r="X140" s="36">
        <f t="shared" ref="X140:AA140" si="112">X82</f>
        <v>0</v>
      </c>
      <c r="Y140" s="36">
        <f t="shared" si="112"/>
        <v>0</v>
      </c>
      <c r="Z140" s="36">
        <f t="shared" si="112"/>
        <v>0</v>
      </c>
      <c r="AA140" s="36">
        <f t="shared" si="112"/>
        <v>0</v>
      </c>
      <c r="AB140" s="120">
        <f t="shared" si="91"/>
        <v>55.347688964556049</v>
      </c>
      <c r="AC140" s="120">
        <f t="shared" si="92"/>
        <v>55.347688964556049</v>
      </c>
      <c r="AD140" s="120">
        <f>IF(OR(Control!$F$39="EC",Control!$F$51="N"),G53,MIN(G53,14+0.66*(INDEX('Eff. thickness (DNVGL-RP-C203)'!$G$31:$G$1048576,MATCH(G53,'Eff. thickness (DNVGL-RP-C203)'!$C$31:$C$1048576,0)))))</f>
        <v>95</v>
      </c>
      <c r="AE140" s="120">
        <f>IF(OR(Control!$F$39="EC",Control!$F$51="N"),G53,MIN(G53,14+0.66*(INDEX('Eff. thickness (DNVGL-RP-C203)'!$F$31:$F$1048576,MATCH(G53,'Eff. thickness (DNVGL-RP-C203)'!$C$31:$C$1048576,0)))))</f>
        <v>95</v>
      </c>
      <c r="AF140" s="120">
        <f t="shared" si="93"/>
        <v>0.87502737563561173</v>
      </c>
      <c r="AG140" s="120">
        <f t="shared" si="94"/>
        <v>0.87502737563561173</v>
      </c>
      <c r="AH140" s="120">
        <f t="shared" si="95"/>
        <v>1</v>
      </c>
      <c r="AI140" s="120">
        <f t="shared" si="96"/>
        <v>1</v>
      </c>
      <c r="AJ140" s="120">
        <f>IF(Control!$F$39&lt;&gt;"DNV",1,IF(D140&gt;Control!$F$16,IF(ISBLANK(Control!$F$56),1,Control!$F$56),IF(D140&gt;Control!$F$22,IF(ISBLANK(Control!$F$57),1,Control!$F$57),1)))</f>
        <v>1</v>
      </c>
      <c r="AK140" s="120">
        <f>IF(Control!$F$39&lt;&gt;"DNV",1,IF(D140&gt;Control!$F$18,IF(ISBLANK(Control!$F$56),1,Control!$F$56),IF(D140&gt;Control!$F$22,IF(ISBLANK(Control!$F$57),1,Control!$F$57),1)))</f>
        <v>1</v>
      </c>
    </row>
    <row r="141" spans="3:37">
      <c r="C141" s="12" t="s">
        <v>510</v>
      </c>
      <c r="D141" s="2">
        <f t="shared" si="81"/>
        <v>-55.3</v>
      </c>
      <c r="E141" s="120">
        <f>IF(Geometry_loads!H36="-","-",Geometry_loads!H36*Control!$F$54)</f>
        <v>515784.47567284305</v>
      </c>
      <c r="F141" s="120" t="str">
        <f>IF(Geometry_loads!G36="-","-",Geometry_loads!G36*Control!$F$55)</f>
        <v>-</v>
      </c>
      <c r="G141" s="120">
        <f t="shared" si="82"/>
        <v>54.707905210379508</v>
      </c>
      <c r="H141" s="120">
        <f t="shared" si="83"/>
        <v>53.823064308715985</v>
      </c>
      <c r="I141" s="120" t="str">
        <f t="shared" si="84"/>
        <v>-</v>
      </c>
      <c r="J141" s="120" t="str">
        <f t="shared" si="85"/>
        <v>-</v>
      </c>
      <c r="K141" s="120">
        <f t="shared" si="111"/>
        <v>112</v>
      </c>
      <c r="L141" s="120">
        <f t="shared" si="111"/>
        <v>112</v>
      </c>
      <c r="M141" s="120">
        <f t="shared" si="86"/>
        <v>0.23506365266178611</v>
      </c>
      <c r="N141" s="120">
        <f t="shared" si="87"/>
        <v>0.22022104370867904</v>
      </c>
      <c r="O141" s="120">
        <f>Control!$F$48</f>
        <v>0.1</v>
      </c>
      <c r="P141" s="120">
        <f>Control!$F$48</f>
        <v>0.1</v>
      </c>
      <c r="Q141" s="120">
        <f>Control!$F$45</f>
        <v>0.03</v>
      </c>
      <c r="R141" s="120">
        <f>Control!$F$45</f>
        <v>0.03</v>
      </c>
      <c r="S141" s="120">
        <f t="shared" si="88"/>
        <v>0.36506365266178609</v>
      </c>
      <c r="T141" s="120">
        <f t="shared" si="89"/>
        <v>0.35022104370867901</v>
      </c>
      <c r="X141" s="36">
        <f t="shared" ref="X141:AA141" si="113">X83</f>
        <v>0</v>
      </c>
      <c r="Y141" s="36">
        <f t="shared" si="113"/>
        <v>0</v>
      </c>
      <c r="Z141" s="36">
        <f t="shared" si="113"/>
        <v>0</v>
      </c>
      <c r="AA141" s="36">
        <f t="shared" si="113"/>
        <v>0</v>
      </c>
      <c r="AB141" s="120">
        <f t="shared" si="91"/>
        <v>54.210826090196662</v>
      </c>
      <c r="AC141" s="120">
        <f t="shared" si="92"/>
        <v>54.210826090196662</v>
      </c>
      <c r="AD141" s="120">
        <f>IF(OR(Control!$F$39="EC",Control!$F$51="N"),G54,MIN(G54,14+0.66*(INDEX('Eff. thickness (DNVGL-RP-C203)'!$G$31:$G$1048576,MATCH(G54,'Eff. thickness (DNVGL-RP-C203)'!$C$31:$C$1048576,0)))))</f>
        <v>93</v>
      </c>
      <c r="AE141" s="120">
        <f>IF(OR(Control!$F$39="EC",Control!$F$51="N"),G54,MIN(G54,14+0.66*(INDEX('Eff. thickness (DNVGL-RP-C203)'!$F$31:$F$1048576,MATCH(G54,'Eff. thickness (DNVGL-RP-C203)'!$C$31:$C$1048576,0)))))</f>
        <v>93</v>
      </c>
      <c r="AF141" s="120">
        <f t="shared" si="93"/>
        <v>0.87689118839915348</v>
      </c>
      <c r="AG141" s="120">
        <f t="shared" si="94"/>
        <v>0.87689118839915348</v>
      </c>
      <c r="AH141" s="120">
        <f t="shared" si="95"/>
        <v>1</v>
      </c>
      <c r="AI141" s="120">
        <f t="shared" si="96"/>
        <v>1</v>
      </c>
      <c r="AJ141" s="120">
        <f>IF(Control!$F$39&lt;&gt;"DNV",1,IF(D141&gt;Control!$F$16,IF(ISBLANK(Control!$F$56),1,Control!$F$56),IF(D141&gt;Control!$F$22,IF(ISBLANK(Control!$F$57),1,Control!$F$57),1)))</f>
        <v>1</v>
      </c>
      <c r="AK141" s="120">
        <f>IF(Control!$F$39&lt;&gt;"DNV",1,IF(D141&gt;Control!$F$18,IF(ISBLANK(Control!$F$56),1,Control!$F$56),IF(D141&gt;Control!$F$22,IF(ISBLANK(Control!$F$57),1,Control!$F$57),1)))</f>
        <v>1</v>
      </c>
    </row>
    <row r="142" spans="3:37">
      <c r="C142" s="12" t="s">
        <v>511</v>
      </c>
      <c r="D142" s="2">
        <f t="shared" si="81"/>
        <v>-59.3</v>
      </c>
      <c r="E142" s="120">
        <f>IF(Geometry_loads!H37="-","-",Geometry_loads!H37*Control!$F$54)</f>
        <v>495889.45587436296</v>
      </c>
      <c r="F142" s="120" t="str">
        <f>IF(Geometry_loads!G37="-","-",Geometry_loads!G37*Control!$F$55)</f>
        <v>-</v>
      </c>
      <c r="G142" s="120">
        <f t="shared" si="82"/>
        <v>52.597692692110073</v>
      </c>
      <c r="H142" s="120">
        <f t="shared" si="83"/>
        <v>51.746982184220293</v>
      </c>
      <c r="I142" s="120" t="str">
        <f t="shared" si="84"/>
        <v>-</v>
      </c>
      <c r="J142" s="120" t="str">
        <f t="shared" si="85"/>
        <v>-</v>
      </c>
      <c r="K142" s="120">
        <f t="shared" si="111"/>
        <v>112</v>
      </c>
      <c r="L142" s="120">
        <f t="shared" si="111"/>
        <v>112</v>
      </c>
      <c r="M142" s="120">
        <f t="shared" si="86"/>
        <v>0.20084078521690896</v>
      </c>
      <c r="N142" s="120">
        <f t="shared" si="87"/>
        <v>0.18815910856016657</v>
      </c>
      <c r="O142" s="120">
        <f>Control!$F$48</f>
        <v>0.1</v>
      </c>
      <c r="P142" s="120">
        <f>Control!$F$48</f>
        <v>0.1</v>
      </c>
      <c r="Q142" s="120">
        <f>Control!$F$45</f>
        <v>0.03</v>
      </c>
      <c r="R142" s="120">
        <f>Control!$F$45</f>
        <v>0.03</v>
      </c>
      <c r="S142" s="120">
        <f t="shared" si="88"/>
        <v>0.33084078521690896</v>
      </c>
      <c r="T142" s="120">
        <f t="shared" si="89"/>
        <v>0.3181591085601666</v>
      </c>
      <c r="X142" s="36">
        <f t="shared" ref="X142:AA142" si="114">X84</f>
        <v>0</v>
      </c>
      <c r="Y142" s="36">
        <f t="shared" si="114"/>
        <v>0</v>
      </c>
      <c r="Z142" s="36">
        <f t="shared" si="114"/>
        <v>0</v>
      </c>
      <c r="AA142" s="36">
        <f t="shared" si="114"/>
        <v>0</v>
      </c>
      <c r="AB142" s="120">
        <f t="shared" si="91"/>
        <v>54.210826090196662</v>
      </c>
      <c r="AC142" s="120">
        <f t="shared" si="92"/>
        <v>54.210826090196662</v>
      </c>
      <c r="AD142" s="120">
        <f>IF(OR(Control!$F$39="EC",Control!$F$51="N"),G55,MIN(G55,14+0.66*(INDEX('Eff. thickness (DNVGL-RP-C203)'!$G$31:$G$1048576,MATCH(G55,'Eff. thickness (DNVGL-RP-C203)'!$C$31:$C$1048576,0)))))</f>
        <v>93</v>
      </c>
      <c r="AE142" s="120">
        <f>IF(OR(Control!$F$39="EC",Control!$F$51="N"),G55,MIN(G55,14+0.66*(INDEX('Eff. thickness (DNVGL-RP-C203)'!$F$31:$F$1048576,MATCH(G55,'Eff. thickness (DNVGL-RP-C203)'!$C$31:$C$1048576,0)))))</f>
        <v>93</v>
      </c>
      <c r="AF142" s="120">
        <f t="shared" si="93"/>
        <v>0.87689118839915348</v>
      </c>
      <c r="AG142" s="120">
        <f t="shared" si="94"/>
        <v>0.87689118839915348</v>
      </c>
      <c r="AH142" s="120">
        <f t="shared" si="95"/>
        <v>1</v>
      </c>
      <c r="AI142" s="120">
        <f t="shared" si="96"/>
        <v>1</v>
      </c>
      <c r="AJ142" s="120">
        <f>IF(Control!$F$39&lt;&gt;"DNV",1,IF(D142&gt;Control!$F$16,IF(ISBLANK(Control!$F$56),1,Control!$F$56),IF(D142&gt;Control!$F$22,IF(ISBLANK(Control!$F$57),1,Control!$F$57),1)))</f>
        <v>1</v>
      </c>
      <c r="AK142" s="120">
        <f>IF(Control!$F$39&lt;&gt;"DNV",1,IF(D142&gt;Control!$F$18,IF(ISBLANK(Control!$F$56),1,Control!$F$56),IF(D142&gt;Control!$F$22,IF(ISBLANK(Control!$F$57),1,Control!$F$57),1)))</f>
        <v>1</v>
      </c>
    </row>
    <row r="143" spans="3:37">
      <c r="C143" s="12" t="s">
        <v>512</v>
      </c>
      <c r="D143" s="2">
        <f t="shared" si="81"/>
        <v>-63.3</v>
      </c>
      <c r="E143" s="120">
        <f>IF(Geometry_loads!H38="-","-",Geometry_loads!H38*Control!$F$54)</f>
        <v>427506.95823167998</v>
      </c>
      <c r="F143" s="120" t="str">
        <f>IF(Geometry_loads!G38="-","-",Geometry_loads!G38*Control!$F$55)</f>
        <v>-</v>
      </c>
      <c r="G143" s="120">
        <f t="shared" si="82"/>
        <v>45.344540696395839</v>
      </c>
      <c r="H143" s="120">
        <f t="shared" si="83"/>
        <v>44.611142038175871</v>
      </c>
      <c r="I143" s="120" t="str">
        <f t="shared" si="84"/>
        <v>-</v>
      </c>
      <c r="J143" s="120" t="str">
        <f t="shared" si="85"/>
        <v>-</v>
      </c>
      <c r="K143" s="120">
        <f t="shared" si="111"/>
        <v>112</v>
      </c>
      <c r="L143" s="120">
        <f t="shared" si="111"/>
        <v>112</v>
      </c>
      <c r="M143" s="120">
        <f t="shared" si="86"/>
        <v>0.11093923482470371</v>
      </c>
      <c r="N143" s="120">
        <f t="shared" si="87"/>
        <v>0.10393420592544966</v>
      </c>
      <c r="O143" s="120">
        <f>Control!$F$48</f>
        <v>0.1</v>
      </c>
      <c r="P143" s="120">
        <f>Control!$F$48</f>
        <v>0.1</v>
      </c>
      <c r="Q143" s="120">
        <f>Control!$F$45</f>
        <v>0.03</v>
      </c>
      <c r="R143" s="120">
        <f>Control!$F$45</f>
        <v>0.03</v>
      </c>
      <c r="S143" s="120">
        <f t="shared" si="88"/>
        <v>0.24093923482470372</v>
      </c>
      <c r="T143" s="120">
        <f t="shared" si="89"/>
        <v>0.23393420592544967</v>
      </c>
      <c r="X143" s="36">
        <f t="shared" ref="X143:AA143" si="115">X85</f>
        <v>0</v>
      </c>
      <c r="Y143" s="36">
        <f t="shared" si="115"/>
        <v>0</v>
      </c>
      <c r="Z143" s="36">
        <f t="shared" si="115"/>
        <v>0</v>
      </c>
      <c r="AA143" s="36">
        <f t="shared" si="115"/>
        <v>0</v>
      </c>
      <c r="AB143" s="120">
        <f t="shared" si="91"/>
        <v>54.210826090196662</v>
      </c>
      <c r="AC143" s="120">
        <f t="shared" si="92"/>
        <v>54.210826090196662</v>
      </c>
      <c r="AD143" s="120">
        <f>IF(OR(Control!$F$39="EC",Control!$F$51="N"),G56,MIN(G56,14+0.66*(INDEX('Eff. thickness (DNVGL-RP-C203)'!$G$31:$G$1048576,MATCH(G56,'Eff. thickness (DNVGL-RP-C203)'!$C$31:$C$1048576,0)))))</f>
        <v>93</v>
      </c>
      <c r="AE143" s="120">
        <f>IF(OR(Control!$F$39="EC",Control!$F$51="N"),G56,MIN(G56,14+0.66*(INDEX('Eff. thickness (DNVGL-RP-C203)'!$F$31:$F$1048576,MATCH(G56,'Eff. thickness (DNVGL-RP-C203)'!$C$31:$C$1048576,0)))))</f>
        <v>93</v>
      </c>
      <c r="AF143" s="120">
        <f t="shared" si="93"/>
        <v>0.87689118839915348</v>
      </c>
      <c r="AG143" s="120">
        <f t="shared" si="94"/>
        <v>0.87689118839915348</v>
      </c>
      <c r="AH143" s="120">
        <f t="shared" si="95"/>
        <v>1</v>
      </c>
      <c r="AI143" s="120">
        <f t="shared" si="96"/>
        <v>1</v>
      </c>
      <c r="AJ143" s="120">
        <f>IF(Control!$F$39&lt;&gt;"DNV",1,IF(D143&gt;Control!$F$16,IF(ISBLANK(Control!$F$56),1,Control!$F$56),IF(D143&gt;Control!$F$22,IF(ISBLANK(Control!$F$57),1,Control!$F$57),1)))</f>
        <v>1</v>
      </c>
      <c r="AK143" s="120">
        <f>IF(Control!$F$39&lt;&gt;"DNV",1,IF(D143&gt;Control!$F$18,IF(ISBLANK(Control!$F$56),1,Control!$F$56),IF(D143&gt;Control!$F$22,IF(ISBLANK(Control!$F$57),1,Control!$F$57),1)))</f>
        <v>1</v>
      </c>
    </row>
    <row r="144" spans="3:37">
      <c r="C144" s="12" t="s">
        <v>513</v>
      </c>
      <c r="D144" s="2">
        <f t="shared" si="81"/>
        <v>-67.3</v>
      </c>
      <c r="E144" s="120">
        <f>IF(Geometry_loads!H39="-","-",Geometry_loads!H39*Control!$F$54)</f>
        <v>330516.30350599537</v>
      </c>
      <c r="F144" s="120" t="str">
        <f>IF(Geometry_loads!G39="-","-",Geometry_loads!G39*Control!$F$55)</f>
        <v>-</v>
      </c>
      <c r="G144" s="120">
        <f t="shared" si="82"/>
        <v>35.056996585837844</v>
      </c>
      <c r="H144" s="120">
        <f t="shared" si="83"/>
        <v>34.489987771492991</v>
      </c>
      <c r="I144" s="120" t="str">
        <f t="shared" si="84"/>
        <v>-</v>
      </c>
      <c r="J144" s="120" t="str">
        <f t="shared" si="85"/>
        <v>-</v>
      </c>
      <c r="K144" s="120">
        <f t="shared" si="111"/>
        <v>112</v>
      </c>
      <c r="L144" s="120">
        <f t="shared" si="111"/>
        <v>112</v>
      </c>
      <c r="M144" s="120">
        <f t="shared" si="86"/>
        <v>3.9635465454858118E-2</v>
      </c>
      <c r="N144" s="120">
        <f t="shared" si="87"/>
        <v>3.7132765833886534E-2</v>
      </c>
      <c r="O144" s="120">
        <f>Control!$F$48</f>
        <v>0.1</v>
      </c>
      <c r="P144" s="120">
        <f>Control!$F$48</f>
        <v>0.1</v>
      </c>
      <c r="Q144" s="120">
        <f>Control!$F$45</f>
        <v>0.03</v>
      </c>
      <c r="R144" s="120">
        <f>Control!$F$45</f>
        <v>0.03</v>
      </c>
      <c r="S144" s="120">
        <f t="shared" si="88"/>
        <v>0.16963546545485811</v>
      </c>
      <c r="T144" s="120">
        <f t="shared" si="89"/>
        <v>0.16713276583388653</v>
      </c>
      <c r="X144" s="36">
        <f t="shared" ref="X144:AA144" si="116">X86</f>
        <v>0</v>
      </c>
      <c r="Y144" s="36">
        <f t="shared" si="116"/>
        <v>0</v>
      </c>
      <c r="Z144" s="36">
        <f t="shared" si="116"/>
        <v>0</v>
      </c>
      <c r="AA144" s="36">
        <f t="shared" si="116"/>
        <v>0</v>
      </c>
      <c r="AB144" s="120">
        <f t="shared" si="91"/>
        <v>54.210826090196662</v>
      </c>
      <c r="AC144" s="120">
        <f t="shared" si="92"/>
        <v>54.210826090196662</v>
      </c>
      <c r="AD144" s="120">
        <f>IF(OR(Control!$F$39="EC",Control!$F$51="N"),G57,MIN(G57,14+0.66*(INDEX('Eff. thickness (DNVGL-RP-C203)'!$G$31:$G$1048576,MATCH(G57,'Eff. thickness (DNVGL-RP-C203)'!$C$31:$C$1048576,0)))))</f>
        <v>93</v>
      </c>
      <c r="AE144" s="120">
        <f>IF(OR(Control!$F$39="EC",Control!$F$51="N"),G57,MIN(G57,14+0.66*(INDEX('Eff. thickness (DNVGL-RP-C203)'!$F$31:$F$1048576,MATCH(G57,'Eff. thickness (DNVGL-RP-C203)'!$C$31:$C$1048576,0)))))</f>
        <v>93</v>
      </c>
      <c r="AF144" s="120">
        <f t="shared" si="93"/>
        <v>0.87689118839915348</v>
      </c>
      <c r="AG144" s="120">
        <f t="shared" si="94"/>
        <v>0.87689118839915348</v>
      </c>
      <c r="AH144" s="120">
        <f t="shared" si="95"/>
        <v>1</v>
      </c>
      <c r="AI144" s="120">
        <f t="shared" si="96"/>
        <v>1</v>
      </c>
      <c r="AJ144" s="120">
        <f>IF(Control!$F$39&lt;&gt;"DNV",1,IF(D144&gt;Control!$F$16,IF(ISBLANK(Control!$F$56),1,Control!$F$56),IF(D144&gt;Control!$F$22,IF(ISBLANK(Control!$F$57),1,Control!$F$57),1)))</f>
        <v>1</v>
      </c>
      <c r="AK144" s="120">
        <f>IF(Control!$F$39&lt;&gt;"DNV",1,IF(D144&gt;Control!$F$18,IF(ISBLANK(Control!$F$56),1,Control!$F$56),IF(D144&gt;Control!$F$22,IF(ISBLANK(Control!$F$57),1,Control!$F$57),1)))</f>
        <v>1</v>
      </c>
    </row>
    <row r="145" spans="3:37">
      <c r="C145" s="12" t="s">
        <v>514</v>
      </c>
      <c r="D145" s="2">
        <f t="shared" si="81"/>
        <v>-71</v>
      </c>
      <c r="E145" s="120">
        <f>IF(Geometry_loads!H40="-","-",Geometry_loads!H40*Control!$F$54)</f>
        <v>229446.58919727357</v>
      </c>
      <c r="F145" s="120" t="str">
        <f>IF(Geometry_loads!G40="-","-",Geometry_loads!G40*Control!$F$55)</f>
        <v>-</v>
      </c>
      <c r="G145" s="120">
        <f t="shared" si="82"/>
        <v>23.594779943487367</v>
      </c>
      <c r="H145" s="120">
        <f t="shared" si="83"/>
        <v>23.200849704430883</v>
      </c>
      <c r="I145" s="120" t="str">
        <f t="shared" si="84"/>
        <v>-</v>
      </c>
      <c r="J145" s="120" t="str">
        <f t="shared" si="85"/>
        <v>-</v>
      </c>
      <c r="K145" s="120">
        <f t="shared" si="111"/>
        <v>112</v>
      </c>
      <c r="L145" s="120">
        <f t="shared" si="111"/>
        <v>112</v>
      </c>
      <c r="M145" s="120">
        <f t="shared" si="86"/>
        <v>8.2369072573470984E-3</v>
      </c>
      <c r="N145" s="120">
        <f t="shared" si="87"/>
        <v>7.7004483810442538E-3</v>
      </c>
      <c r="O145" s="120">
        <f>Control!$F$48</f>
        <v>0.1</v>
      </c>
      <c r="P145" s="120">
        <f>Control!$F$48</f>
        <v>0.1</v>
      </c>
      <c r="Q145" s="120">
        <f>Control!$F$45</f>
        <v>0.03</v>
      </c>
      <c r="R145" s="120">
        <f>Control!$F$45</f>
        <v>0.03</v>
      </c>
      <c r="S145" s="120">
        <f t="shared" si="88"/>
        <v>0.13823690725734711</v>
      </c>
      <c r="T145" s="120">
        <f t="shared" si="89"/>
        <v>0.13770044838104425</v>
      </c>
      <c r="X145" s="36">
        <f t="shared" ref="X145:AA145" si="117">X87</f>
        <v>0</v>
      </c>
      <c r="Y145" s="36">
        <f t="shared" si="117"/>
        <v>0</v>
      </c>
      <c r="Z145" s="36">
        <f t="shared" si="117"/>
        <v>0</v>
      </c>
      <c r="AA145" s="36">
        <f t="shared" si="117"/>
        <v>0</v>
      </c>
      <c r="AB145" s="120">
        <f t="shared" si="91"/>
        <v>55.915668255616907</v>
      </c>
      <c r="AC145" s="120">
        <f t="shared" si="92"/>
        <v>55.915668255616907</v>
      </c>
      <c r="AD145" s="120">
        <f>IF(OR(Control!$F$39="EC",Control!$F$51="N"),G58,MIN(G58,14+0.66*(INDEX('Eff. thickness (DNVGL-RP-C203)'!$G$31:$G$1048576,MATCH(G58,'Eff. thickness (DNVGL-RP-C203)'!$C$31:$C$1048576,0)))))</f>
        <v>96</v>
      </c>
      <c r="AE145" s="120">
        <f>IF(OR(Control!$F$39="EC",Control!$F$51="N"),G58,MIN(G58,14+0.66*(INDEX('Eff. thickness (DNVGL-RP-C203)'!$F$31:$F$1048576,MATCH(G58,'Eff. thickness (DNVGL-RP-C203)'!$C$31:$C$1048576,0)))))</f>
        <v>96</v>
      </c>
      <c r="AF145" s="120">
        <f t="shared" si="93"/>
        <v>0.8741115877895107</v>
      </c>
      <c r="AG145" s="120">
        <f t="shared" si="94"/>
        <v>0.8741115877895107</v>
      </c>
      <c r="AH145" s="120">
        <f t="shared" si="95"/>
        <v>1</v>
      </c>
      <c r="AI145" s="120">
        <f t="shared" si="96"/>
        <v>1</v>
      </c>
      <c r="AJ145" s="120">
        <f>IF(Control!$F$39&lt;&gt;"DNV",1,IF(D145&gt;Control!$F$16,IF(ISBLANK(Control!$F$56),1,Control!$F$56),IF(D145&gt;Control!$F$22,IF(ISBLANK(Control!$F$57),1,Control!$F$57),1)))</f>
        <v>1</v>
      </c>
      <c r="AK145" s="120">
        <f>IF(Control!$F$39&lt;&gt;"DNV",1,IF(D145&gt;Control!$F$18,IF(ISBLANK(Control!$F$56),1,Control!$F$56),IF(D145&gt;Control!$F$22,IF(ISBLANK(Control!$F$57),1,Control!$F$57),1)))</f>
        <v>1</v>
      </c>
    </row>
    <row r="146" spans="3:37">
      <c r="C146" s="12" t="s">
        <v>612</v>
      </c>
      <c r="D146" s="2">
        <f t="shared" si="81"/>
        <v>-74.3</v>
      </c>
      <c r="E146" s="120">
        <f>IF(Geometry_loads!H41="-","-",Geometry_loads!H41*Control!$F$54)</f>
        <v>134549.09948023772</v>
      </c>
      <c r="F146" s="120" t="str">
        <f>IF(Geometry_loads!G41="-","-",Geometry_loads!G41*Control!$F$55)</f>
        <v>-</v>
      </c>
      <c r="G146" s="120">
        <f t="shared" si="82"/>
        <v>13.296605511646833</v>
      </c>
      <c r="H146" s="120">
        <f t="shared" si="83"/>
        <v>13.0653601984008</v>
      </c>
      <c r="I146" s="120" t="str">
        <f t="shared" si="84"/>
        <v>-</v>
      </c>
      <c r="J146" s="120" t="str">
        <f t="shared" si="85"/>
        <v>-</v>
      </c>
      <c r="K146" s="120">
        <f t="shared" si="111"/>
        <v>112</v>
      </c>
      <c r="L146" s="120">
        <f t="shared" si="111"/>
        <v>112</v>
      </c>
      <c r="M146" s="120">
        <f t="shared" si="86"/>
        <v>8.444133571381768E-4</v>
      </c>
      <c r="N146" s="120">
        <f t="shared" si="87"/>
        <v>7.8718626348265013E-4</v>
      </c>
      <c r="O146" s="120">
        <f>Control!$F$48</f>
        <v>0.1</v>
      </c>
      <c r="P146" s="120">
        <f>Control!$F$48</f>
        <v>0.1</v>
      </c>
      <c r="Q146" s="120">
        <f>Control!$F$45</f>
        <v>0.03</v>
      </c>
      <c r="R146" s="120">
        <f>Control!$F$45</f>
        <v>0.03</v>
      </c>
      <c r="S146" s="120">
        <f t="shared" si="88"/>
        <v>0.1308444133571382</v>
      </c>
      <c r="T146" s="120">
        <f t="shared" si="89"/>
        <v>0.13078718626348265</v>
      </c>
      <c r="X146" s="36">
        <f t="shared" ref="X146:AA146" si="118">X88</f>
        <v>0</v>
      </c>
      <c r="Y146" s="36">
        <f t="shared" si="118"/>
        <v>0</v>
      </c>
      <c r="Z146" s="36">
        <f t="shared" si="118"/>
        <v>0</v>
      </c>
      <c r="AA146" s="36">
        <f t="shared" si="118"/>
        <v>0</v>
      </c>
      <c r="AB146" s="120">
        <f t="shared" si="91"/>
        <v>58.184573599156636</v>
      </c>
      <c r="AC146" s="120">
        <f t="shared" si="92"/>
        <v>58.184573599156636</v>
      </c>
      <c r="AD146" s="120">
        <f>IF(OR(Control!$F$39="EC",Control!$F$51="N"),G59,MIN(G59,14+0.66*(INDEX('Eff. thickness (DNVGL-RP-C203)'!$G$31:$G$1048576,MATCH(G59,'Eff. thickness (DNVGL-RP-C203)'!$C$31:$C$1048576,0)))))</f>
        <v>100</v>
      </c>
      <c r="AE146" s="120">
        <f>IF(OR(Control!$F$39="EC",Control!$F$51="N"),G59,MIN(G59,14+0.66*(INDEX('Eff. thickness (DNVGL-RP-C203)'!$F$31:$F$1048576,MATCH(G59,'Eff. thickness (DNVGL-RP-C203)'!$C$31:$C$1048576,0)))))</f>
        <v>100</v>
      </c>
      <c r="AF146" s="120">
        <f t="shared" si="93"/>
        <v>0.87055056329612412</v>
      </c>
      <c r="AG146" s="120">
        <f t="shared" si="94"/>
        <v>0.87055056329612412</v>
      </c>
      <c r="AH146" s="120">
        <f t="shared" si="95"/>
        <v>1</v>
      </c>
      <c r="AI146" s="120">
        <f t="shared" si="96"/>
        <v>1</v>
      </c>
      <c r="AJ146" s="120">
        <f>IF(Control!$F$39&lt;&gt;"DNV",1,IF(D146&gt;Control!$F$16,IF(ISBLANK(Control!$F$56),1,Control!$F$56),IF(D146&gt;Control!$F$22,IF(ISBLANK(Control!$F$57),1,Control!$F$57),1)))</f>
        <v>1</v>
      </c>
      <c r="AK146" s="120">
        <f>IF(Control!$F$39&lt;&gt;"DNV",1,IF(D146&gt;Control!$F$18,IF(ISBLANK(Control!$F$56),1,Control!$F$56),IF(D146&gt;Control!$F$22,IF(ISBLANK(Control!$F$57),1,Control!$F$57),1)))</f>
        <v>1</v>
      </c>
    </row>
    <row r="147" spans="3:37">
      <c r="C147" s="12" t="s">
        <v>617</v>
      </c>
      <c r="D147" s="2">
        <f t="shared" si="81"/>
        <v>-77.430000000000007</v>
      </c>
      <c r="E147" s="120">
        <f>IF(Geometry_loads!H42="-","-",Geometry_loads!H42*Control!$F$54)</f>
        <v>48322.918045537335</v>
      </c>
      <c r="F147" s="120" t="str">
        <f>IF(Geometry_loads!G42="-","-",Geometry_loads!G42*Control!$F$55)</f>
        <v>-</v>
      </c>
      <c r="G147" s="120">
        <f t="shared" si="82"/>
        <v>4.3526800920275841</v>
      </c>
      <c r="H147" s="120">
        <f t="shared" si="83"/>
        <v>4.2694114293974907</v>
      </c>
      <c r="I147" s="120" t="str">
        <f t="shared" si="84"/>
        <v>-</v>
      </c>
      <c r="J147" s="120" t="str">
        <f t="shared" si="85"/>
        <v>-</v>
      </c>
      <c r="K147" s="120">
        <f t="shared" si="111"/>
        <v>112</v>
      </c>
      <c r="L147" s="120">
        <f t="shared" si="111"/>
        <v>112</v>
      </c>
      <c r="M147" s="120">
        <f t="shared" si="86"/>
        <v>1.0073398812191474E-5</v>
      </c>
      <c r="N147" s="120">
        <f t="shared" si="87"/>
        <v>9.324403644717642E-6</v>
      </c>
      <c r="O147" s="120">
        <f>Control!$F$48</f>
        <v>0.1</v>
      </c>
      <c r="P147" s="120">
        <f>Control!$F$48</f>
        <v>0.1</v>
      </c>
      <c r="Q147" s="120">
        <f>Control!$F$45</f>
        <v>0.03</v>
      </c>
      <c r="R147" s="120">
        <f>Control!$F$45</f>
        <v>0.03</v>
      </c>
      <c r="S147" s="120">
        <f t="shared" si="88"/>
        <v>0.13001007339881221</v>
      </c>
      <c r="T147" s="120">
        <f t="shared" si="89"/>
        <v>0.13000932440364471</v>
      </c>
      <c r="X147" s="36">
        <f t="shared" ref="X147:AA147" si="119">X89</f>
        <v>0</v>
      </c>
      <c r="Y147" s="36">
        <f t="shared" si="119"/>
        <v>0</v>
      </c>
      <c r="Z147" s="36">
        <f t="shared" si="119"/>
        <v>0</v>
      </c>
      <c r="AA147" s="36">
        <f t="shared" si="119"/>
        <v>0</v>
      </c>
      <c r="AB147" s="120">
        <f t="shared" si="91"/>
        <v>63.83579148643733</v>
      </c>
      <c r="AC147" s="120">
        <f t="shared" si="92"/>
        <v>63.83579148643733</v>
      </c>
      <c r="AD147" s="120">
        <f>IF(OR(Control!$F$39="EC",Control!$F$51="N"),G60,MIN(G60,14+0.66*(INDEX('Eff. thickness (DNVGL-RP-C203)'!$G$31:$G$1048576,MATCH(G60,'Eff. thickness (DNVGL-RP-C203)'!$C$31:$C$1048576,0)))))</f>
        <v>110</v>
      </c>
      <c r="AE147" s="120">
        <f>IF(OR(Control!$F$39="EC",Control!$F$51="N"),G60,MIN(G60,14+0.66*(INDEX('Eff. thickness (DNVGL-RP-C203)'!$F$31:$F$1048576,MATCH(G60,'Eff. thickness (DNVGL-RP-C203)'!$C$31:$C$1048576,0)))))</f>
        <v>110</v>
      </c>
      <c r="AF147" s="120">
        <f t="shared" si="93"/>
        <v>0.86229274544149448</v>
      </c>
      <c r="AG147" s="120">
        <f t="shared" si="94"/>
        <v>0.86229274544149448</v>
      </c>
      <c r="AH147" s="120">
        <f t="shared" si="95"/>
        <v>1</v>
      </c>
      <c r="AI147" s="120">
        <f t="shared" si="96"/>
        <v>1</v>
      </c>
      <c r="AJ147" s="120">
        <f>IF(Control!$F$39&lt;&gt;"DNV",1,IF(D147&gt;Control!$F$16,IF(ISBLANK(Control!$F$56),1,Control!$F$56),IF(D147&gt;Control!$F$22,IF(ISBLANK(Control!$F$57),1,Control!$F$57),1)))</f>
        <v>1</v>
      </c>
      <c r="AK147" s="120">
        <f>IF(Control!$F$39&lt;&gt;"DNV",1,IF(D147&gt;Control!$F$18,IF(ISBLANK(Control!$F$56),1,Control!$F$56),IF(D147&gt;Control!$F$22,IF(ISBLANK(Control!$F$57),1,Control!$F$57),1)))</f>
        <v>1</v>
      </c>
    </row>
    <row r="150" spans="3:37">
      <c r="C150" s="35" t="s">
        <v>205</v>
      </c>
    </row>
    <row r="151" spans="3:37">
      <c r="C151" s="317" t="s">
        <v>54</v>
      </c>
      <c r="D151" s="317" t="s">
        <v>278</v>
      </c>
      <c r="E151" s="317" t="s">
        <v>17</v>
      </c>
      <c r="F151" s="317" t="s">
        <v>55</v>
      </c>
      <c r="G151" s="317" t="s">
        <v>190</v>
      </c>
      <c r="H151" s="317" t="s">
        <v>191</v>
      </c>
      <c r="I151" s="317" t="s">
        <v>529</v>
      </c>
    </row>
    <row r="152" spans="3:37">
      <c r="C152" s="318">
        <v>0</v>
      </c>
      <c r="D152" s="318">
        <v>0</v>
      </c>
      <c r="E152" s="318"/>
      <c r="F152" s="318"/>
      <c r="G152" s="318"/>
      <c r="H152" s="318"/>
      <c r="I152" s="318"/>
    </row>
    <row r="153" spans="3:37">
      <c r="C153" s="30" t="s">
        <v>16</v>
      </c>
      <c r="D153" s="30" t="str">
        <f>"[m"&amp;Control!$F$7&amp;"]"</f>
        <v>[mLAT]</v>
      </c>
      <c r="E153" s="30" t="s">
        <v>9</v>
      </c>
      <c r="F153" s="30" t="s">
        <v>10</v>
      </c>
      <c r="G153" s="30" t="s">
        <v>16</v>
      </c>
      <c r="H153" s="30" t="s">
        <v>16</v>
      </c>
      <c r="I153" s="31" t="s">
        <v>16</v>
      </c>
    </row>
    <row r="154" spans="3:37">
      <c r="C154" s="13" t="str">
        <f>Geometry!AD26</f>
        <v>MP1-01-01</v>
      </c>
      <c r="D154" s="2">
        <f>Geometry!AF26</f>
        <v>4.5999999999999996</v>
      </c>
      <c r="E154" s="3">
        <f>Geometry!AL26</f>
        <v>8</v>
      </c>
      <c r="F154" s="3">
        <f>Geometry!AM26</f>
        <v>125</v>
      </c>
      <c r="G154" s="3">
        <f>Geometry!AG26</f>
        <v>1.1000000000000001</v>
      </c>
      <c r="H154" s="3" t="str">
        <f>Geometry!AH26</f>
        <v>I</v>
      </c>
      <c r="I154" s="9" t="str">
        <f>Geometry!AI26</f>
        <v>g</v>
      </c>
    </row>
    <row r="155" spans="3:37">
      <c r="C155" s="13" t="str">
        <f>Geometry!AD27</f>
        <v>MP1-01-02</v>
      </c>
      <c r="D155" s="2">
        <f>Geometry!AF27</f>
        <v>3.0999999999999996</v>
      </c>
      <c r="E155" s="3">
        <f>Geometry!AL27</f>
        <v>8</v>
      </c>
      <c r="F155" s="3">
        <f>Geometry!AM27</f>
        <v>125</v>
      </c>
      <c r="G155" s="3">
        <f>Geometry!AG27</f>
        <v>1.25</v>
      </c>
      <c r="H155" s="3" t="str">
        <f>Geometry!AH27</f>
        <v>I</v>
      </c>
      <c r="I155" s="9" t="str">
        <f>Geometry!AI27</f>
        <v>g</v>
      </c>
    </row>
    <row r="156" spans="3:37">
      <c r="C156" s="13" t="str">
        <f>Geometry!AD28</f>
        <v>MP6-01</v>
      </c>
      <c r="D156" s="2">
        <f>Geometry!AF28</f>
        <v>-12.3575</v>
      </c>
      <c r="E156" s="3">
        <f>Geometry!AL28</f>
        <v>9.0704209999999996</v>
      </c>
      <c r="F156" s="3">
        <f>Geometry!AM28</f>
        <v>116</v>
      </c>
      <c r="G156" s="3">
        <f>Geometry!AG28</f>
        <v>2</v>
      </c>
      <c r="H156" s="3" t="str">
        <f>Geometry!AH28</f>
        <v>O</v>
      </c>
      <c r="I156" s="9" t="str">
        <f>Geometry!AI28</f>
        <v>o</v>
      </c>
    </row>
    <row r="157" spans="3:37">
      <c r="C157" s="13" t="str">
        <f>Geometry!AD29</f>
        <v>MP9-01</v>
      </c>
      <c r="D157" s="2">
        <f>Geometry!AF29</f>
        <v>-22.715</v>
      </c>
      <c r="E157" s="3">
        <f>Geometry!AL29</f>
        <v>10.365896285714285</v>
      </c>
      <c r="F157" s="3">
        <f>Geometry!AM29</f>
        <v>98</v>
      </c>
      <c r="G157" s="3">
        <f>Geometry!AG29</f>
        <v>1.6</v>
      </c>
      <c r="H157" s="3" t="str">
        <f>Geometry!AH29</f>
        <v>O</v>
      </c>
      <c r="I157" s="9" t="str">
        <f>Geometry!AI29</f>
        <v>o</v>
      </c>
    </row>
    <row r="158" spans="3:37">
      <c r="C158" s="13" t="str">
        <f>Geometry!AD30</f>
        <v>MP9-02</v>
      </c>
      <c r="D158" s="2">
        <f>Geometry!AF30</f>
        <v>-23.715</v>
      </c>
      <c r="E158" s="3">
        <f>Geometry!AL30</f>
        <v>10.490981999999999</v>
      </c>
      <c r="F158" s="3">
        <f>Geometry!AM30</f>
        <v>98</v>
      </c>
      <c r="G158" s="3">
        <f>Geometry!AG30</f>
        <v>1.25</v>
      </c>
      <c r="H158" s="3" t="str">
        <f>Geometry!AH30</f>
        <v>O</v>
      </c>
      <c r="I158" s="9" t="str">
        <f>Geometry!AI30</f>
        <v>g</v>
      </c>
    </row>
    <row r="159" spans="3:37">
      <c r="C159" s="13" t="str">
        <f>Geometry!AD31</f>
        <v>MP12-01</v>
      </c>
      <c r="D159" s="2">
        <f>Geometry!AF31</f>
        <v>-34.072499999999998</v>
      </c>
      <c r="E159" s="3">
        <f>Geometry!AL31</f>
        <v>11.5</v>
      </c>
      <c r="F159" s="3">
        <f>Geometry!AM31</f>
        <v>98</v>
      </c>
      <c r="G159" s="3">
        <f>Geometry!AG31</f>
        <v>2</v>
      </c>
      <c r="H159" s="3" t="str">
        <f>Geometry!AH31</f>
        <v>O</v>
      </c>
      <c r="I159" s="9" t="str">
        <f>Geometry!AI31</f>
        <v>o</v>
      </c>
    </row>
    <row r="160" spans="3:37">
      <c r="C160" s="13" t="str">
        <f>Geometry!AD32</f>
        <v>MP14-01</v>
      </c>
      <c r="D160" s="2">
        <f>Geometry!AF32</f>
        <v>-40.43</v>
      </c>
      <c r="E160" s="3">
        <f>Geometry!AL32</f>
        <v>11.5</v>
      </c>
      <c r="F160" s="3">
        <f>Geometry!AM32</f>
        <v>98</v>
      </c>
      <c r="G160" s="3">
        <f>Geometry!AG32</f>
        <v>2.1230000000000002</v>
      </c>
      <c r="H160" s="3" t="str">
        <f>Geometry!AH32</f>
        <v>O</v>
      </c>
      <c r="I160" s="9" t="str">
        <f>Geometry!AI32</f>
        <v>o</v>
      </c>
    </row>
    <row r="162" spans="3:35">
      <c r="C162" s="35" t="s">
        <v>206</v>
      </c>
      <c r="M162" s="325" t="s">
        <v>60</v>
      </c>
      <c r="N162" s="326"/>
      <c r="O162" s="326"/>
      <c r="P162" s="326"/>
      <c r="Q162" s="326"/>
      <c r="R162" s="326"/>
      <c r="S162" s="326"/>
      <c r="T162" s="327"/>
    </row>
    <row r="163" spans="3:35" ht="21.75" customHeight="1">
      <c r="C163" s="312" t="s">
        <v>54</v>
      </c>
      <c r="D163" s="317" t="s">
        <v>278</v>
      </c>
      <c r="E163" s="30" t="s">
        <v>281</v>
      </c>
      <c r="F163" s="30" t="s">
        <v>281</v>
      </c>
      <c r="G163" s="313" t="s">
        <v>24</v>
      </c>
      <c r="H163" s="316"/>
      <c r="I163" s="313" t="s">
        <v>268</v>
      </c>
      <c r="J163" s="316"/>
      <c r="K163" s="312" t="s">
        <v>27</v>
      </c>
      <c r="L163" s="312"/>
      <c r="M163" s="312" t="s">
        <v>61</v>
      </c>
      <c r="N163" s="312"/>
      <c r="O163" s="313" t="s">
        <v>215</v>
      </c>
      <c r="P163" s="314"/>
      <c r="Q163" s="312" t="s">
        <v>62</v>
      </c>
      <c r="R163" s="312"/>
      <c r="S163" s="312" t="s">
        <v>63</v>
      </c>
      <c r="T163" s="312"/>
      <c r="X163" s="312" t="s">
        <v>31</v>
      </c>
      <c r="Y163" s="312"/>
      <c r="Z163" s="313" t="s">
        <v>48</v>
      </c>
      <c r="AA163" s="314"/>
      <c r="AB163" s="30" t="s">
        <v>21</v>
      </c>
      <c r="AC163" s="5" t="s">
        <v>22</v>
      </c>
      <c r="AD163" s="313" t="s">
        <v>35</v>
      </c>
      <c r="AE163" s="316"/>
      <c r="AF163" s="316"/>
      <c r="AG163" s="314"/>
      <c r="AH163" s="310" t="s">
        <v>421</v>
      </c>
      <c r="AI163" s="311"/>
    </row>
    <row r="164" spans="3:35" ht="20.399999999999999">
      <c r="C164" s="312">
        <v>0</v>
      </c>
      <c r="D164" s="318">
        <v>0</v>
      </c>
      <c r="E164" s="30" t="str">
        <f>IF(Control!$F$39="EC","m=4, N=2E6","m=5, N=1E7")</f>
        <v>m=4, N=2E6</v>
      </c>
      <c r="F164" s="30" t="str">
        <f>IF(Control!$F$39="EC","m=3, N=2E6","m=3, N=1E7")</f>
        <v>m=3, N=2E6</v>
      </c>
      <c r="G164" s="30" t="s">
        <v>25</v>
      </c>
      <c r="H164" s="30" t="s">
        <v>26</v>
      </c>
      <c r="I164" s="5" t="s">
        <v>25</v>
      </c>
      <c r="J164" s="5" t="s">
        <v>26</v>
      </c>
      <c r="K164" s="30" t="s">
        <v>25</v>
      </c>
      <c r="L164" s="30" t="s">
        <v>26</v>
      </c>
      <c r="M164" s="30" t="s">
        <v>25</v>
      </c>
      <c r="N164" s="30" t="s">
        <v>64</v>
      </c>
      <c r="O164" s="30" t="s">
        <v>25</v>
      </c>
      <c r="P164" s="30" t="s">
        <v>64</v>
      </c>
      <c r="Q164" s="30" t="s">
        <v>25</v>
      </c>
      <c r="R164" s="30" t="s">
        <v>64</v>
      </c>
      <c r="S164" s="30" t="s">
        <v>25</v>
      </c>
      <c r="T164" s="30" t="s">
        <v>64</v>
      </c>
      <c r="X164" s="30" t="s">
        <v>33</v>
      </c>
      <c r="Y164" s="30" t="s">
        <v>34</v>
      </c>
      <c r="Z164" s="30" t="s">
        <v>33</v>
      </c>
      <c r="AA164" s="30" t="s">
        <v>34</v>
      </c>
      <c r="AB164" s="313" t="s">
        <v>30</v>
      </c>
      <c r="AC164" s="314"/>
      <c r="AD164" s="30" t="s">
        <v>45</v>
      </c>
      <c r="AE164" s="30" t="s">
        <v>34</v>
      </c>
      <c r="AF164" s="30" t="s">
        <v>46</v>
      </c>
      <c r="AG164" s="30" t="s">
        <v>47</v>
      </c>
      <c r="AH164" s="30" t="s">
        <v>45</v>
      </c>
      <c r="AI164" s="30" t="s">
        <v>34</v>
      </c>
    </row>
    <row r="165" spans="3:35">
      <c r="C165" s="30" t="s">
        <v>16</v>
      </c>
      <c r="D165" s="30" t="str">
        <f>"[m"&amp;Control!$F$7&amp;"]"</f>
        <v>[mLAT]</v>
      </c>
      <c r="E165" s="313" t="s">
        <v>20</v>
      </c>
      <c r="F165" s="314"/>
      <c r="G165" s="313" t="s">
        <v>77</v>
      </c>
      <c r="H165" s="316"/>
      <c r="I165" s="316"/>
      <c r="J165" s="314"/>
      <c r="K165" s="313" t="s">
        <v>77</v>
      </c>
      <c r="L165" s="314"/>
      <c r="M165" s="320" t="s">
        <v>16</v>
      </c>
      <c r="N165" s="321"/>
      <c r="O165" s="321"/>
      <c r="P165" s="321"/>
      <c r="Q165" s="321"/>
      <c r="R165" s="321"/>
      <c r="S165" s="321"/>
      <c r="T165" s="322"/>
      <c r="X165" s="315" t="s">
        <v>32</v>
      </c>
      <c r="Y165" s="315"/>
      <c r="Z165" s="30" t="s">
        <v>10</v>
      </c>
      <c r="AA165" s="30" t="s">
        <v>10</v>
      </c>
      <c r="AB165" s="313" t="s">
        <v>23</v>
      </c>
      <c r="AC165" s="314"/>
      <c r="AD165" s="1" t="s">
        <v>16</v>
      </c>
      <c r="AE165" s="1" t="s">
        <v>16</v>
      </c>
      <c r="AF165" s="1" t="s">
        <v>16</v>
      </c>
      <c r="AG165" s="1" t="s">
        <v>16</v>
      </c>
      <c r="AH165" s="1" t="s">
        <v>16</v>
      </c>
      <c r="AI165" s="1" t="s">
        <v>16</v>
      </c>
    </row>
    <row r="166" spans="3:35">
      <c r="C166" s="12" t="str">
        <f>C154</f>
        <v>MP1-01-01</v>
      </c>
      <c r="D166" s="13">
        <f>D154</f>
        <v>4.5999999999999996</v>
      </c>
      <c r="E166" s="3">
        <f>IF(Geometry_loads!H64="-","-",Geometry_loads!H64*Control!$F$54)</f>
        <v>279671.62455774832</v>
      </c>
      <c r="F166" s="3">
        <f>IF(Geometry_loads!G64="-","-",Geometry_loads!G64*Control!$F$55)</f>
        <v>328662.18625861115</v>
      </c>
      <c r="G166" s="3">
        <f>IF(X166=0,E166/AB166*E154/2/1000,(E166*($AF$24/$Z$5)^(1/$AE$4)/AB166*E154/2/1000))</f>
        <v>42.004164482252705</v>
      </c>
      <c r="H166" s="3">
        <f>IF(Y166=0,E166/AB166*(E154-2*F154/1000)/2/1000,(E166*($AF$24/$Z$5)^(1/$AE$4)/AB166*(E154-2*F154/1000)/2/1000))</f>
        <v>45.194867557709209</v>
      </c>
      <c r="I166" s="3">
        <f>IF(X166=0,"-",(F166*($AF$23/$Z$5)^(1/3)/AC166*(E154-2*Z166/1000)/2/1000))</f>
        <v>38.942265650188503</v>
      </c>
      <c r="J166" s="120" t="str">
        <f>IF(Y166=0,"-",(F166*($AF$23/$Z$5)^(1/3))/AC166*((E154-2*Z166/1000)-2*F154/1000-Z166/1000-AA166/1000)/2/1000)</f>
        <v>-</v>
      </c>
      <c r="K166" s="120" t="str">
        <f>IF(H154="O",IF(I154="n",$AF$7,IF(I154="g",$AF$8,IF(I154="o",$AF$6,IF(I154="nn",$AF$9,IF(I154="gn",$AF$9,"Falsch"))))),"")</f>
        <v/>
      </c>
      <c r="L166" s="120">
        <f>IF(H154="I",IF(I154="n",$AF$7,IF(I154="g",$AF$8,IF(I154="o",$AF$6,IF(I154="nn",$AF$9,IF(I154="gn",$AF$9,"Falsch"))))),"")</f>
        <v>112</v>
      </c>
      <c r="M166" s="120" t="str">
        <f>IF(K166="","",IF($D166&gt;$Z$9,$AD$13,$AD$14)*((((IF($D166&gt;$Z$9,$AD$11,$AD$12)/AD166*$G154*$G166*IF($I154="g",$AE$19,1))/(AH166*K166*IF($I154="gn",$AH$9,1)))^$AE$4)+(((IF($D166&gt;$Z$9,$AD$11,$AD$12)/AF166*$G154*IF(X166=0,0,I166)*IF($I154="g",$AE$19,1))/(0.7*IF(K166=65.5,58.48,K166)*IF($I154="gn",$AH$9*(58.48/65.5),1))))^3))</f>
        <v/>
      </c>
      <c r="N166" s="120">
        <f>IF(L166="","",IF($D166&gt;$Z$9,$AD$13,$AD$14)*((((IF($D166&gt;$Z$9,$AD$11,$AD$12)/AE166*$G154*$H166*IF($I154="g",$AE$19,1))/(AI166*L166*IF($I154="gn",$AH$9,1)))^$AE$4)+(((IF($D166&gt;$Z$9,$AD$11,$AD$12)/AG166*$G154*IF(Y166=0,0,J166)*IF($I154="g",$AE$19,1))/(0.7*IF(L166=65.5,58.48,L166)*IF($I154="gn",$AH$9*(58.48/65.5),1))))^3))</f>
        <v>0.34345605531531526</v>
      </c>
      <c r="O166" s="120" t="str">
        <f>IF(K166="","",IF(Control!$F$47="N",Control!$F$49,'FLS MP (driving)'!$J63))</f>
        <v/>
      </c>
      <c r="P166" s="3">
        <f>IF(L166="","",IF(Control!$F$47="N",Control!$F$49,'FLS MP (driving)'!$J63))</f>
        <v>0.2</v>
      </c>
      <c r="Q166" s="3" t="str">
        <f>IF(K166="","",Control!$F$45)</f>
        <v/>
      </c>
      <c r="R166" s="3">
        <f>IF(L166="","",Control!$F$45)</f>
        <v>0.03</v>
      </c>
      <c r="S166" s="3" t="str">
        <f>IF(K166="","",M166+O166+Q166)</f>
        <v/>
      </c>
      <c r="T166" s="3">
        <f>IF(L166="","",N166+P166+R166)</f>
        <v>0.57345605531531529</v>
      </c>
      <c r="X166" s="37" t="str">
        <f>IF(OR(D166&gt;=$Z$13,D166&lt;=$Z$12,Geometry!AP26="n"),0,"X")</f>
        <v>X</v>
      </c>
      <c r="Y166" s="37">
        <f>IF(OR(D166&gt;=$Z$15,D166&lt;=$Z$12,Geometry!AQ26="n"),0,"X")</f>
        <v>0</v>
      </c>
      <c r="Z166" s="37">
        <f>0.5*IF(OR(D166&gt;=$Z$13,D166&lt;=$Z$12),0,$AF$23*$AF$25)</f>
        <v>1.7999999999999998</v>
      </c>
      <c r="AA166" s="37">
        <f>0.5*IF(OR(D166&gt;=$Z$15,D166&lt;=$Z$12),0,$AF$23*$AF$26)</f>
        <v>0</v>
      </c>
      <c r="AB166" s="3">
        <f>(PI()/64*(E154^4-(E154-2*F154/1000)^4))</f>
        <v>23.978995928629857</v>
      </c>
      <c r="AC166" s="120">
        <f>(PI()/64*((E154-2*Z166/1000)^4-((E154-2*Z166/1000)-2*(F154-Z166-AA166)/1000)^4))</f>
        <v>23.617328671902275</v>
      </c>
      <c r="AD166" s="120">
        <f>(25/F154)^(IF(I154="n",$AG$11,IF(I154="g",$AG$12,IF(I154="o",$AG$14,IF(I154="nn",0,IF(I154="gn",0,"Falsch"))))))</f>
        <v>0.72477966367769553</v>
      </c>
      <c r="AE166" s="120">
        <f>(25/F154)^(IF(I154="n",$AG$11,IF(I154="g",$AG$12,IF(I154="o",$AG$14,IF(I154="nn",0,IF(I154="gn",0,"Falsch"))))))</f>
        <v>0.72477966367769553</v>
      </c>
      <c r="AF166" s="120">
        <f>IF(X166=0,1,(25/F154)^(IF(I154="n",$AG$11,IF(I154="g",$AG$12,IF(I154="o",$AG$14,IF(I154="nn",0,IF(I154="gn",0,"Falsch")))))))</f>
        <v>0.72477966367769553</v>
      </c>
      <c r="AG166" s="120">
        <f>IF(Y166=0,1,(25/F154)^(IF(I154="n",$AG$11,IF(I154="g",$AG$12,IF(I154="o",$AG$14,IF(I154="nn",0,IF(I154="gn",0,"Falsch")))))))</f>
        <v>1</v>
      </c>
      <c r="AH166" s="120">
        <f>IF(Control!$F$39&lt;&gt;"DNV",1,IF(D166&gt;Control!$F$16,IF(ISBLANK(Control!$F$56),1,Control!$F$56),IF(D166&gt;Control!$F$22,IF(ISBLANK(Control!$F$57),1,Control!$F$57),1)))</f>
        <v>1</v>
      </c>
      <c r="AI166" s="3">
        <f>IF(Control!$F$39&lt;&gt;"DNV",1,IF(D166&gt;Control!$F$18,IF(ISBLANK(Control!$F$56),1,Control!$F$56),IF(D166&gt;Control!$F$22,IF(ISBLANK(Control!$F$57),1,Control!$F$57),1)))</f>
        <v>1</v>
      </c>
    </row>
    <row r="167" spans="3:35">
      <c r="C167" s="12" t="str">
        <f t="shared" ref="C167:D167" si="120">C155</f>
        <v>MP1-01-02</v>
      </c>
      <c r="D167" s="13">
        <f t="shared" si="120"/>
        <v>3.0999999999999996</v>
      </c>
      <c r="E167" s="3">
        <f>IF(Geometry_loads!H65="-","-",Geometry_loads!H65*Control!$F$54)</f>
        <v>282728.09410173976</v>
      </c>
      <c r="F167" s="3">
        <f>IF(Geometry_loads!G65="-","-",Geometry_loads!G65*Control!$F$55)</f>
        <v>332416.25142092066</v>
      </c>
      <c r="G167" s="3">
        <f t="shared" ref="G167:G172" si="121">IF(X167=0,E167/AB167*E155/2/1000,(E167*($AF$24/$Z$5)^(1/$AE$4)/AB167*E155/2/1000))</f>
        <v>42.463218737985045</v>
      </c>
      <c r="H167" s="3">
        <f t="shared" ref="H167:H172" si="122">IF(Y167=0,E167/AB167*(E155-2*F155/1000)/2/1000,(E167*($AF$24/$Z$5)^(1/$AE$4)/AB167*(E155-2*F155/1000)/2/1000))</f>
        <v>45.688792304108858</v>
      </c>
      <c r="I167" s="3">
        <f t="shared" ref="I167:I172" si="123">IF(X167=0,"-",(F167*($AF$23/$Z$5)^(1/3)/AC167*(E155-2*Z167/1000)/2/1000))</f>
        <v>39.387074359346613</v>
      </c>
      <c r="J167" s="120" t="str">
        <f t="shared" ref="J167:J172" si="124">IF(Y167=0,"-",(F167*($AF$23/$Z$5)^(1/3))/AC167*((E155-2*Z167/1000)-2*F155/1000-Z167/1000-AA167/1000)/2/1000)</f>
        <v>-</v>
      </c>
      <c r="K167" s="120" t="str">
        <f t="shared" ref="K167:K172" si="125">IF(H155="O",IF(I155="n",$AF$7,IF(I155="g",$AF$8,IF(I155="o",$AF$6,IF(I155="nn",$AF$9,IF(I155="gn",$AF$9,"Falsch"))))),"")</f>
        <v/>
      </c>
      <c r="L167" s="120">
        <f t="shared" ref="L167:L172" si="126">IF(H155="I",IF(I155="n",$AF$7,IF(I155="g",$AF$8,IF(I155="o",$AF$6,IF(I155="nn",$AF$9,IF(I155="gn",$AF$9,"Falsch"))))),"")</f>
        <v>112</v>
      </c>
      <c r="M167" s="120" t="str">
        <f t="shared" ref="M167:M172" si="127">IF(K167="","",IF($D167&gt;$Z$9,$AD$13,$AD$14)*((((IF($D167&gt;$Z$9,$AD$11,$AD$12)/AD167*$G155*$G167*IF($I155="g",$AE$19,1))/(AH167*K167*IF($I155="gn",$AH$9,1)))^$AE$4)+(((IF($D167&gt;$Z$9,$AD$11,$AD$12)/AF167*$G155*IF(X167=0,0,I167)*IF($I155="g",$AE$19,1))/(0.7*IF(K167=65.5,58.48,K167)*IF($I155="gn",$AH$9*(58.48/65.5),1))))^3))</f>
        <v/>
      </c>
      <c r="N167" s="120">
        <f t="shared" ref="N167:N172" si="128">IF(L167="","",IF($D167&gt;$Z$9,$AD$13,$AD$14)*((((IF($D167&gt;$Z$9,$AD$11,$AD$12)/AE167*$G155*$H167*IF($I155="g",$AE$19,1))/(AI167*L167*IF($I155="gn",$AH$9,1)))^$AE$4)+(((IF($D167&gt;$Z$9,$AD$11,$AD$12)/AG167*$G155*IF(Y167=0,0,J167)*IF($I155="g",$AE$19,1))/(0.7*IF(L167=65.5,58.48,L167)*IF($I155="gn",$AH$9*(58.48/65.5),1))))^3))</f>
        <v>0.598167386672669</v>
      </c>
      <c r="O167" s="120" t="str">
        <f>IF(K167="","",IF(Control!$F$47="N",Control!$F$49,'FLS MP (driving)'!$J64))</f>
        <v/>
      </c>
      <c r="P167" s="3">
        <f>IF(L167="","",IF(Control!$F$47="N",Control!$F$49,'FLS MP (driving)'!$J64))</f>
        <v>0.2</v>
      </c>
      <c r="Q167" s="3" t="str">
        <f>IF(K167="","",Control!$F$45)</f>
        <v/>
      </c>
      <c r="R167" s="3">
        <f>IF(L167="","",Control!$F$45)</f>
        <v>0.03</v>
      </c>
      <c r="S167" s="3" t="str">
        <f t="shared" ref="S167:S172" si="129">IF(K167="","",M167+O167+Q167)</f>
        <v/>
      </c>
      <c r="T167" s="3">
        <f t="shared" ref="T167:T172" si="130">IF(L167="","",N167+P167+R167)</f>
        <v>0.82816738667266909</v>
      </c>
      <c r="X167" s="37" t="str">
        <f>IF(OR(D167&gt;=$Z$13,D167&lt;=$Z$12,Geometry!AP27="n"),0,"X")</f>
        <v>X</v>
      </c>
      <c r="Y167" s="37">
        <f>IF(OR(D167&gt;=$Z$15,D167&lt;=$Z$12,Geometry!AQ27="n"),0,"X")</f>
        <v>0</v>
      </c>
      <c r="Z167" s="37">
        <f t="shared" ref="Z167:Z172" si="131">0.5*IF(OR(D167&gt;=$Z$13,D167&lt;=$Z$12),0,$AF$23*$AF$25)</f>
        <v>1.7999999999999998</v>
      </c>
      <c r="AA167" s="37">
        <f t="shared" ref="AA167:AA172" si="132">0.5*IF(OR(D167&gt;=$Z$15,D167&lt;=$Z$12),0,$AF$23*$AF$26)</f>
        <v>0</v>
      </c>
      <c r="AB167" s="3">
        <f t="shared" ref="AB167:AB172" si="133">(PI()/64*(E155^4-(E155-2*F155/1000)^4))</f>
        <v>23.978995928629857</v>
      </c>
      <c r="AC167" s="120">
        <f t="shared" ref="AC167:AC172" si="134">(PI()/64*((E155-2*Z167/1000)^4-((E155-2*Z167/1000)-2*(F155-Z167-AA167)/1000)^4))</f>
        <v>23.617328671902275</v>
      </c>
      <c r="AD167" s="120">
        <f t="shared" ref="AD167:AD172" si="135">(25/F155)^(IF(I155="n",$AG$11,IF(I155="g",$AG$12,IF(I155="o",$AG$14,IF(I155="nn",0,IF(I155="gn",0,"Falsch"))))))</f>
        <v>0.72477966367769553</v>
      </c>
      <c r="AE167" s="120">
        <f t="shared" ref="AE167:AE172" si="136">(25/F155)^(IF(I155="n",$AG$11,IF(I155="g",$AG$12,IF(I155="o",$AG$14,IF(I155="nn",0,IF(I155="gn",0,"Falsch"))))))</f>
        <v>0.72477966367769553</v>
      </c>
      <c r="AF167" s="120">
        <f t="shared" ref="AF167:AF172" si="137">IF(X167=0,1,(25/F155)^(IF(I155="n",$AG$11,IF(I155="g",$AG$12,IF(I155="o",$AG$14,IF(I155="nn",0,IF(I155="gn",0,"Falsch")))))))</f>
        <v>0.72477966367769553</v>
      </c>
      <c r="AG167" s="120">
        <f t="shared" ref="AG167:AG172" si="138">IF(Y167=0,1,(25/F155)^(IF(I155="n",$AG$11,IF(I155="g",$AG$12,IF(I155="o",$AG$14,IF(I155="nn",0,IF(I155="gn",0,"Falsch")))))))</f>
        <v>1</v>
      </c>
      <c r="AH167" s="120">
        <f>IF(Control!$F$39&lt;&gt;"DNV",1,IF(D167&gt;Control!$F$16,IF(ISBLANK(Control!$F$56),1,Control!$F$56),IF(D167&gt;Control!$F$22,IF(ISBLANK(Control!$F$57),1,Control!$F$57),1)))</f>
        <v>1</v>
      </c>
      <c r="AI167" s="3">
        <f>IF(Control!$F$39&lt;&gt;"DNV",1,IF(D167&gt;Control!$F$18,IF(ISBLANK(Control!$F$56),1,Control!$F$56),IF(D167&gt;Control!$F$22,IF(ISBLANK(Control!$F$57),1,Control!$F$57),1)))</f>
        <v>1</v>
      </c>
    </row>
    <row r="168" spans="3:35">
      <c r="C168" s="12" t="str">
        <f t="shared" ref="C168:D168" si="139">C156</f>
        <v>MP6-01</v>
      </c>
      <c r="D168" s="13">
        <f t="shared" si="139"/>
        <v>-12.3575</v>
      </c>
      <c r="E168" s="3">
        <f>IF(Geometry_loads!H66="-","-",Geometry_loads!H66*Control!$F$54)</f>
        <v>311298.87932706525</v>
      </c>
      <c r="F168" s="3">
        <f>IF(Geometry_loads!G66="-","-",Geometry_loads!G66*Control!$F$55)</f>
        <v>367780.97682036419</v>
      </c>
      <c r="G168" s="3">
        <f t="shared" si="121"/>
        <v>43.159035158453612</v>
      </c>
      <c r="H168" s="3">
        <f t="shared" si="122"/>
        <v>42.055128718304772</v>
      </c>
      <c r="I168" s="3" t="str">
        <f t="shared" si="123"/>
        <v>-</v>
      </c>
      <c r="J168" s="120" t="str">
        <f t="shared" si="124"/>
        <v>-</v>
      </c>
      <c r="K168" s="120">
        <f t="shared" si="125"/>
        <v>140</v>
      </c>
      <c r="L168" s="120" t="str">
        <f t="shared" si="126"/>
        <v/>
      </c>
      <c r="M168" s="120">
        <f t="shared" si="127"/>
        <v>0.65184147973199458</v>
      </c>
      <c r="N168" s="120" t="str">
        <f t="shared" si="128"/>
        <v/>
      </c>
      <c r="O168" s="120">
        <f>IF(K168="","",IF(Control!$F$47="N",Control!$F$49,'FLS MP (driving)'!$J65))</f>
        <v>0.2</v>
      </c>
      <c r="P168" s="3" t="str">
        <f>IF(L168="","",IF(Control!$F$47="N",Control!$F$49,'FLS MP (driving)'!$J65))</f>
        <v/>
      </c>
      <c r="Q168" s="3">
        <f>IF(K168="","",Control!$F$45)</f>
        <v>0.03</v>
      </c>
      <c r="R168" s="3" t="str">
        <f>IF(L168="","",Control!$F$45)</f>
        <v/>
      </c>
      <c r="S168" s="3">
        <f t="shared" si="129"/>
        <v>0.88184147973199467</v>
      </c>
      <c r="T168" s="3" t="str">
        <f t="shared" si="130"/>
        <v/>
      </c>
      <c r="X168" s="37">
        <f>IF(OR(D168&gt;=$Z$13,D168&lt;=$Z$12,Geometry!AP28="n"),0,"X")</f>
        <v>0</v>
      </c>
      <c r="Y168" s="37">
        <f>IF(OR(D168&gt;=$Z$15,D168&lt;=$Z$12,Geometry!AQ28="n"),0,"X")</f>
        <v>0</v>
      </c>
      <c r="Z168" s="37">
        <f t="shared" si="131"/>
        <v>0</v>
      </c>
      <c r="AA168" s="37">
        <f t="shared" si="132"/>
        <v>0</v>
      </c>
      <c r="AB168" s="3">
        <f t="shared" si="133"/>
        <v>32.711712413844523</v>
      </c>
      <c r="AC168" s="120">
        <f t="shared" si="134"/>
        <v>32.711712413844523</v>
      </c>
      <c r="AD168" s="120">
        <f t="shared" si="135"/>
        <v>0.85772526337829658</v>
      </c>
      <c r="AE168" s="120">
        <f t="shared" si="136"/>
        <v>0.85772526337829658</v>
      </c>
      <c r="AF168" s="120">
        <f t="shared" si="137"/>
        <v>1</v>
      </c>
      <c r="AG168" s="120">
        <f t="shared" si="138"/>
        <v>1</v>
      </c>
      <c r="AH168" s="120">
        <f>IF(Control!$F$39&lt;&gt;"DNV",1,IF(D168&gt;Control!$F$16,IF(ISBLANK(Control!$F$56),1,Control!$F$56),IF(D168&gt;Control!$F$22,IF(ISBLANK(Control!$F$57),1,Control!$F$57),1)))</f>
        <v>1</v>
      </c>
      <c r="AI168" s="3">
        <f>IF(Control!$F$39&lt;&gt;"DNV",1,IF(D168&gt;Control!$F$18,IF(ISBLANK(Control!$F$56),1,Control!$F$56),IF(D168&gt;Control!$F$22,IF(ISBLANK(Control!$F$57),1,Control!$F$57),1)))</f>
        <v>1</v>
      </c>
    </row>
    <row r="169" spans="3:35">
      <c r="C169" s="12" t="str">
        <f t="shared" ref="C169:D169" si="140">C157</f>
        <v>MP9-01</v>
      </c>
      <c r="D169" s="13">
        <f t="shared" si="140"/>
        <v>-22.715</v>
      </c>
      <c r="E169" s="3">
        <f>IF(Geometry_loads!H67="-","-",Geometry_loads!H67*Control!$F$54)</f>
        <v>335086.7269887384</v>
      </c>
      <c r="F169" s="3">
        <f>IF(Geometry_loads!G67="-","-",Geometry_loads!G67*Control!$F$55)</f>
        <v>399087.78440841776</v>
      </c>
      <c r="G169" s="3">
        <f t="shared" si="121"/>
        <v>41.683497142558323</v>
      </c>
      <c r="H169" s="3">
        <f t="shared" si="122"/>
        <v>40.895339011823332</v>
      </c>
      <c r="I169" s="3" t="str">
        <f t="shared" si="123"/>
        <v>-</v>
      </c>
      <c r="J169" s="120" t="str">
        <f t="shared" si="124"/>
        <v>-</v>
      </c>
      <c r="K169" s="120">
        <f t="shared" si="125"/>
        <v>140</v>
      </c>
      <c r="L169" s="120" t="str">
        <f t="shared" si="126"/>
        <v/>
      </c>
      <c r="M169" s="120">
        <f t="shared" si="127"/>
        <v>0.21715951296656852</v>
      </c>
      <c r="N169" s="120" t="str">
        <f t="shared" si="128"/>
        <v/>
      </c>
      <c r="O169" s="120">
        <f>IF(K169="","",IF(Control!$F$47="N",Control!$F$49,'FLS MP (driving)'!$J66))</f>
        <v>0.2</v>
      </c>
      <c r="P169" s="3" t="str">
        <f>IF(L169="","",IF(Control!$F$47="N",Control!$F$49,'FLS MP (driving)'!$J66))</f>
        <v/>
      </c>
      <c r="Q169" s="3">
        <f>IF(K169="","",Control!$F$45)</f>
        <v>0.03</v>
      </c>
      <c r="R169" s="3" t="str">
        <f>IF(L169="","",Control!$F$45)</f>
        <v/>
      </c>
      <c r="S169" s="3">
        <f t="shared" si="129"/>
        <v>0.44715951296656853</v>
      </c>
      <c r="T169" s="3" t="str">
        <f t="shared" si="130"/>
        <v/>
      </c>
      <c r="X169" s="37">
        <f>IF(OR(D169&gt;=$Z$13,D169&lt;=$Z$12,Geometry!AP29="n"),0,"X")</f>
        <v>0</v>
      </c>
      <c r="Y169" s="37">
        <f>IF(OR(D169&gt;=$Z$15,D169&lt;=$Z$12,Geometry!AQ29="n"),0,"X")</f>
        <v>0</v>
      </c>
      <c r="Z169" s="37">
        <f t="shared" si="131"/>
        <v>0</v>
      </c>
      <c r="AA169" s="37">
        <f t="shared" si="132"/>
        <v>0</v>
      </c>
      <c r="AB169" s="3">
        <f t="shared" si="133"/>
        <v>41.664861357546066</v>
      </c>
      <c r="AC169" s="120">
        <f t="shared" si="134"/>
        <v>41.664861357546066</v>
      </c>
      <c r="AD169" s="120">
        <f t="shared" si="135"/>
        <v>0.87231108889002862</v>
      </c>
      <c r="AE169" s="120">
        <f t="shared" si="136"/>
        <v>0.87231108889002862</v>
      </c>
      <c r="AF169" s="120">
        <f t="shared" si="137"/>
        <v>1</v>
      </c>
      <c r="AG169" s="120">
        <f t="shared" si="138"/>
        <v>1</v>
      </c>
      <c r="AH169" s="120">
        <f>IF(Control!$F$39&lt;&gt;"DNV",1,IF(D169&gt;Control!$F$16,IF(ISBLANK(Control!$F$56),1,Control!$F$56),IF(D169&gt;Control!$F$22,IF(ISBLANK(Control!$F$57),1,Control!$F$57),1)))</f>
        <v>1</v>
      </c>
      <c r="AI169" s="3">
        <f>IF(Control!$F$39&lt;&gt;"DNV",1,IF(D169&gt;Control!$F$18,IF(ISBLANK(Control!$F$56),1,Control!$F$56),IF(D169&gt;Control!$F$22,IF(ISBLANK(Control!$F$57),1,Control!$F$57),1)))</f>
        <v>1</v>
      </c>
    </row>
    <row r="170" spans="3:35">
      <c r="C170" s="12" t="str">
        <f t="shared" ref="C170:D170" si="141">C158</f>
        <v>MP9-02</v>
      </c>
      <c r="D170" s="13">
        <f t="shared" si="141"/>
        <v>-23.715</v>
      </c>
      <c r="E170" s="3">
        <f>IF(Geometry_loads!H68="-","-",Geometry_loads!H68*Control!$F$54)</f>
        <v>337927.88967305876</v>
      </c>
      <c r="F170" s="3">
        <f>IF(Geometry_loads!G68="-","-",Geometry_loads!G68*Control!$F$55)</f>
        <v>402935.47457071842</v>
      </c>
      <c r="G170" s="3">
        <f t="shared" si="121"/>
        <v>41.026557985201194</v>
      </c>
      <c r="H170" s="3">
        <f t="shared" si="122"/>
        <v>40.260070599644777</v>
      </c>
      <c r="I170" s="3" t="str">
        <f t="shared" si="123"/>
        <v>-</v>
      </c>
      <c r="J170" s="120" t="str">
        <f t="shared" si="124"/>
        <v>-</v>
      </c>
      <c r="K170" s="120">
        <f t="shared" si="125"/>
        <v>112</v>
      </c>
      <c r="L170" s="120" t="str">
        <f t="shared" si="126"/>
        <v/>
      </c>
      <c r="M170" s="120">
        <f t="shared" si="127"/>
        <v>0.32010849279217235</v>
      </c>
      <c r="N170" s="120" t="str">
        <f t="shared" si="128"/>
        <v/>
      </c>
      <c r="O170" s="120">
        <f>IF(K170="","",IF(Control!$F$47="N",Control!$F$49,'FLS MP (driving)'!$J67))</f>
        <v>0.2</v>
      </c>
      <c r="P170" s="3" t="str">
        <f>IF(L170="","",IF(Control!$F$47="N",Control!$F$49,'FLS MP (driving)'!$J67))</f>
        <v/>
      </c>
      <c r="Q170" s="3">
        <f>IF(K170="","",Control!$F$45)</f>
        <v>0.03</v>
      </c>
      <c r="R170" s="3" t="str">
        <f>IF(L170="","",Control!$F$45)</f>
        <v/>
      </c>
      <c r="S170" s="3">
        <f t="shared" si="129"/>
        <v>0.55010849279217244</v>
      </c>
      <c r="T170" s="3" t="str">
        <f t="shared" si="130"/>
        <v/>
      </c>
      <c r="X170" s="37">
        <f>IF(OR(D170&gt;=$Z$13,D170&lt;=$Z$12,Geometry!AP30="n"),0,"X")</f>
        <v>0</v>
      </c>
      <c r="Y170" s="37">
        <f>IF(OR(D170&gt;=$Z$15,D170&lt;=$Z$12,Geometry!AQ30="n"),0,"X")</f>
        <v>0</v>
      </c>
      <c r="Z170" s="37">
        <f t="shared" si="131"/>
        <v>0</v>
      </c>
      <c r="AA170" s="37">
        <f t="shared" si="132"/>
        <v>0</v>
      </c>
      <c r="AB170" s="3">
        <f t="shared" si="133"/>
        <v>43.20610333843802</v>
      </c>
      <c r="AC170" s="120">
        <f t="shared" si="134"/>
        <v>43.20610333843802</v>
      </c>
      <c r="AD170" s="120">
        <f t="shared" si="135"/>
        <v>0.76092663580050734</v>
      </c>
      <c r="AE170" s="120">
        <f t="shared" si="136"/>
        <v>0.76092663580050734</v>
      </c>
      <c r="AF170" s="120">
        <f t="shared" si="137"/>
        <v>1</v>
      </c>
      <c r="AG170" s="120">
        <f t="shared" si="138"/>
        <v>1</v>
      </c>
      <c r="AH170" s="120">
        <f>IF(Control!$F$39&lt;&gt;"DNV",1,IF(D170&gt;Control!$F$16,IF(ISBLANK(Control!$F$56),1,Control!$F$56),IF(D170&gt;Control!$F$22,IF(ISBLANK(Control!$F$57),1,Control!$F$57),1)))</f>
        <v>1</v>
      </c>
      <c r="AI170" s="3">
        <f>IF(Control!$F$39&lt;&gt;"DNV",1,IF(D170&gt;Control!$F$18,IF(ISBLANK(Control!$F$56),1,Control!$F$56),IF(D170&gt;Control!$F$22,IF(ISBLANK(Control!$F$57),1,Control!$F$57),1)))</f>
        <v>1</v>
      </c>
    </row>
    <row r="171" spans="3:35">
      <c r="C171" s="12" t="str">
        <f t="shared" ref="C171:D171" si="142">C159</f>
        <v>MP12-01</v>
      </c>
      <c r="D171" s="13">
        <f t="shared" si="142"/>
        <v>-34.072499999999998</v>
      </c>
      <c r="E171" s="3">
        <f>IF(Geometry_loads!H69="-","-",Geometry_loads!H69*Control!$F$54)</f>
        <v>376040.35194457648</v>
      </c>
      <c r="F171" s="3">
        <f>IF(Geometry_loads!G69="-","-",Geometry_loads!G69*Control!$F$55)</f>
        <v>455652.21798943472</v>
      </c>
      <c r="G171" s="3">
        <f t="shared" si="121"/>
        <v>37.900168604507378</v>
      </c>
      <c r="H171" s="3">
        <f t="shared" si="122"/>
        <v>37.254217904813167</v>
      </c>
      <c r="I171" s="3" t="str">
        <f t="shared" si="123"/>
        <v>-</v>
      </c>
      <c r="J171" s="120" t="str">
        <f t="shared" si="124"/>
        <v>-</v>
      </c>
      <c r="K171" s="120">
        <f t="shared" si="125"/>
        <v>140</v>
      </c>
      <c r="L171" s="120" t="str">
        <f t="shared" si="126"/>
        <v/>
      </c>
      <c r="M171" s="120">
        <f t="shared" si="127"/>
        <v>0.36234884953771473</v>
      </c>
      <c r="N171" s="120" t="str">
        <f t="shared" si="128"/>
        <v/>
      </c>
      <c r="O171" s="120">
        <f>IF(K171="","",IF(Control!$F$47="N",Control!$F$49,'FLS MP (driving)'!$J68))</f>
        <v>0.2</v>
      </c>
      <c r="P171" s="3" t="str">
        <f>IF(L171="","",IF(Control!$F$47="N",Control!$F$49,'FLS MP (driving)'!$J68))</f>
        <v/>
      </c>
      <c r="Q171" s="3">
        <f>IF(K171="","",Control!$F$45)</f>
        <v>0.03</v>
      </c>
      <c r="R171" s="3" t="str">
        <f>IF(L171="","",Control!$F$45)</f>
        <v/>
      </c>
      <c r="S171" s="3">
        <f t="shared" si="129"/>
        <v>0.59234884953771472</v>
      </c>
      <c r="T171" s="3" t="str">
        <f t="shared" si="130"/>
        <v/>
      </c>
      <c r="X171" s="37">
        <f>IF(OR(D171&gt;=$Z$13,D171&lt;=$Z$12,Geometry!AP31="n"),0,"X")</f>
        <v>0</v>
      </c>
      <c r="Y171" s="37">
        <f>IF(OR(D171&gt;=$Z$15,D171&lt;=$Z$12,Geometry!AQ31="n"),0,"X")</f>
        <v>0</v>
      </c>
      <c r="Z171" s="37">
        <f t="shared" si="131"/>
        <v>0</v>
      </c>
      <c r="AA171" s="37">
        <f t="shared" si="132"/>
        <v>0</v>
      </c>
      <c r="AB171" s="3">
        <f t="shared" si="133"/>
        <v>57.050723078423601</v>
      </c>
      <c r="AC171" s="120">
        <f t="shared" si="134"/>
        <v>57.050723078423601</v>
      </c>
      <c r="AD171" s="120">
        <f t="shared" si="135"/>
        <v>0.87231108889002862</v>
      </c>
      <c r="AE171" s="120">
        <f t="shared" si="136"/>
        <v>0.87231108889002862</v>
      </c>
      <c r="AF171" s="120">
        <f t="shared" si="137"/>
        <v>1</v>
      </c>
      <c r="AG171" s="120">
        <f t="shared" si="138"/>
        <v>1</v>
      </c>
      <c r="AH171" s="120">
        <f>IF(Control!$F$39&lt;&gt;"DNV",1,IF(D171&gt;Control!$F$16,IF(ISBLANK(Control!$F$56),1,Control!$F$56),IF(D171&gt;Control!$F$22,IF(ISBLANK(Control!$F$57),1,Control!$F$57),1)))</f>
        <v>1</v>
      </c>
      <c r="AI171" s="3">
        <f>IF(Control!$F$39&lt;&gt;"DNV",1,IF(D171&gt;Control!$F$18,IF(ISBLANK(Control!$F$56),1,Control!$F$56),IF(D171&gt;Control!$F$22,IF(ISBLANK(Control!$F$57),1,Control!$F$57),1)))</f>
        <v>1</v>
      </c>
    </row>
    <row r="172" spans="3:35">
      <c r="C172" s="12" t="str">
        <f t="shared" ref="C172:D172" si="143">C160</f>
        <v>MP14-01</v>
      </c>
      <c r="D172" s="13">
        <f t="shared" si="143"/>
        <v>-40.43</v>
      </c>
      <c r="E172" s="3">
        <f>IF(Geometry_loads!H70="-","-",Geometry_loads!H70*Control!$F$54)</f>
        <v>408746.53316975926</v>
      </c>
      <c r="F172" s="3">
        <f>IF(Geometry_loads!G70="-","-",Geometry_loads!G70*Control!$F$55)</f>
        <v>501221.40844407107</v>
      </c>
      <c r="G172" s="3">
        <f t="shared" si="121"/>
        <v>41.196542986761706</v>
      </c>
      <c r="H172" s="3">
        <f t="shared" si="122"/>
        <v>40.494410601943855</v>
      </c>
      <c r="I172" s="3" t="str">
        <f t="shared" si="123"/>
        <v>-</v>
      </c>
      <c r="J172" s="120" t="str">
        <f t="shared" si="124"/>
        <v>-</v>
      </c>
      <c r="K172" s="120">
        <f t="shared" si="125"/>
        <v>140</v>
      </c>
      <c r="L172" s="120" t="str">
        <f t="shared" si="126"/>
        <v/>
      </c>
      <c r="M172" s="120">
        <f t="shared" si="127"/>
        <v>0.64222233837695075</v>
      </c>
      <c r="N172" s="120" t="str">
        <f t="shared" si="128"/>
        <v/>
      </c>
      <c r="O172" s="120">
        <f>IF(K172="","",IF(Control!$F$47="N",Control!$F$49,'FLS MP (driving)'!$J69))</f>
        <v>0.2</v>
      </c>
      <c r="P172" s="3" t="str">
        <f>IF(L172="","",IF(Control!$F$47="N",Control!$F$49,'FLS MP (driving)'!$J69))</f>
        <v/>
      </c>
      <c r="Q172" s="3">
        <f>IF(K172="","",Control!$F$45)</f>
        <v>0.03</v>
      </c>
      <c r="R172" s="3" t="str">
        <f>IF(L172="","",Control!$F$45)</f>
        <v/>
      </c>
      <c r="S172" s="3">
        <f t="shared" si="129"/>
        <v>0.87222233837695073</v>
      </c>
      <c r="T172" s="3" t="str">
        <f t="shared" si="130"/>
        <v/>
      </c>
      <c r="X172" s="37">
        <f>IF(OR(D172&gt;=$Z$13,D172&lt;=$Z$12,Geometry!AP32="n"),0,"X")</f>
        <v>0</v>
      </c>
      <c r="Y172" s="37">
        <f>IF(OR(D172&gt;=$Z$15,D172&lt;=$Z$12,Geometry!AQ32="n"),0,"X")</f>
        <v>0</v>
      </c>
      <c r="Z172" s="37">
        <f t="shared" si="131"/>
        <v>0</v>
      </c>
      <c r="AA172" s="37">
        <f t="shared" si="132"/>
        <v>0</v>
      </c>
      <c r="AB172" s="3">
        <f t="shared" si="133"/>
        <v>57.050723078423601</v>
      </c>
      <c r="AC172" s="120">
        <f t="shared" si="134"/>
        <v>57.050723078423601</v>
      </c>
      <c r="AD172" s="120">
        <f t="shared" si="135"/>
        <v>0.87231108889002862</v>
      </c>
      <c r="AE172" s="120">
        <f t="shared" si="136"/>
        <v>0.87231108889002862</v>
      </c>
      <c r="AF172" s="120">
        <f t="shared" si="137"/>
        <v>1</v>
      </c>
      <c r="AG172" s="120">
        <f t="shared" si="138"/>
        <v>1</v>
      </c>
      <c r="AH172" s="120">
        <f>IF(Control!$F$39&lt;&gt;"DNV",1,IF(D172&gt;Control!$F$16,IF(ISBLANK(Control!$F$56),1,Control!$F$56),IF(D172&gt;Control!$F$22,IF(ISBLANK(Control!$F$57),1,Control!$F$57),1)))</f>
        <v>1</v>
      </c>
      <c r="AI172" s="3">
        <f>IF(Control!$F$39&lt;&gt;"DNV",1,IF(D172&gt;Control!$F$18,IF(ISBLANK(Control!$F$56),1,Control!$F$56),IF(D172&gt;Control!$F$22,IF(ISBLANK(Control!$F$57),1,Control!$F$57),1)))</f>
        <v>1</v>
      </c>
    </row>
  </sheetData>
  <mergeCells count="117">
    <mergeCell ref="V34:V35"/>
    <mergeCell ref="Z163:AA163"/>
    <mergeCell ref="E165:F165"/>
    <mergeCell ref="G165:J165"/>
    <mergeCell ref="K165:L165"/>
    <mergeCell ref="M165:T165"/>
    <mergeCell ref="X165:Y165"/>
    <mergeCell ref="Z121:AA121"/>
    <mergeCell ref="E94:F94"/>
    <mergeCell ref="G94:J94"/>
    <mergeCell ref="E65:F65"/>
    <mergeCell ref="G65:J65"/>
    <mergeCell ref="G92:H92"/>
    <mergeCell ref="I92:J92"/>
    <mergeCell ref="Z92:AA92"/>
    <mergeCell ref="M34:M35"/>
    <mergeCell ref="G63:H63"/>
    <mergeCell ref="I63:J63"/>
    <mergeCell ref="M62:T62"/>
    <mergeCell ref="Z63:AA63"/>
    <mergeCell ref="P34:P36"/>
    <mergeCell ref="Q34:Q35"/>
    <mergeCell ref="R34:R35"/>
    <mergeCell ref="L33:M33"/>
    <mergeCell ref="X163:Y163"/>
    <mergeCell ref="X92:Y92"/>
    <mergeCell ref="X63:Y63"/>
    <mergeCell ref="N34:N36"/>
    <mergeCell ref="M121:N121"/>
    <mergeCell ref="Q121:R121"/>
    <mergeCell ref="S121:T121"/>
    <mergeCell ref="X121:Y121"/>
    <mergeCell ref="M120:T120"/>
    <mergeCell ref="O121:P121"/>
    <mergeCell ref="X94:Y94"/>
    <mergeCell ref="Q163:R163"/>
    <mergeCell ref="O163:P163"/>
    <mergeCell ref="S63:T63"/>
    <mergeCell ref="K94:L94"/>
    <mergeCell ref="M94:T94"/>
    <mergeCell ref="K65:L65"/>
    <mergeCell ref="M65:T65"/>
    <mergeCell ref="M91:T91"/>
    <mergeCell ref="S92:T92"/>
    <mergeCell ref="S34:S35"/>
    <mergeCell ref="T34:T35"/>
    <mergeCell ref="U34:U35"/>
    <mergeCell ref="C163:C164"/>
    <mergeCell ref="D163:D164"/>
    <mergeCell ref="K163:L163"/>
    <mergeCell ref="M163:N163"/>
    <mergeCell ref="G163:H163"/>
    <mergeCell ref="I163:J163"/>
    <mergeCell ref="I151:I152"/>
    <mergeCell ref="M162:T162"/>
    <mergeCell ref="S163:T163"/>
    <mergeCell ref="H151:H152"/>
    <mergeCell ref="C151:C152"/>
    <mergeCell ref="D151:D152"/>
    <mergeCell ref="E151:E152"/>
    <mergeCell ref="F151:F152"/>
    <mergeCell ref="G151:G152"/>
    <mergeCell ref="C92:C93"/>
    <mergeCell ref="D92:D93"/>
    <mergeCell ref="K92:L92"/>
    <mergeCell ref="M92:N92"/>
    <mergeCell ref="Q92:R92"/>
    <mergeCell ref="O92:P92"/>
    <mergeCell ref="AJ63:AK63"/>
    <mergeCell ref="AJ92:AK92"/>
    <mergeCell ref="C63:C64"/>
    <mergeCell ref="D63:D64"/>
    <mergeCell ref="K63:L63"/>
    <mergeCell ref="M63:N63"/>
    <mergeCell ref="Q63:R63"/>
    <mergeCell ref="O63:P63"/>
    <mergeCell ref="AH163:AI163"/>
    <mergeCell ref="AD163:AG163"/>
    <mergeCell ref="AD92:AE92"/>
    <mergeCell ref="AD63:AE63"/>
    <mergeCell ref="AF121:AI121"/>
    <mergeCell ref="AJ121:AK121"/>
    <mergeCell ref="AB165:AC165"/>
    <mergeCell ref="AB164:AC164"/>
    <mergeCell ref="AF92:AI92"/>
    <mergeCell ref="AB65:AC65"/>
    <mergeCell ref="AB93:AC93"/>
    <mergeCell ref="AB94:AC94"/>
    <mergeCell ref="AD121:AE121"/>
    <mergeCell ref="AB122:AC122"/>
    <mergeCell ref="AB123:AC123"/>
    <mergeCell ref="AF63:AI63"/>
    <mergeCell ref="AB64:AC64"/>
    <mergeCell ref="C4:C5"/>
    <mergeCell ref="E123:F123"/>
    <mergeCell ref="G123:J123"/>
    <mergeCell ref="K123:L123"/>
    <mergeCell ref="X123:Y123"/>
    <mergeCell ref="M123:T123"/>
    <mergeCell ref="C121:C122"/>
    <mergeCell ref="D121:D122"/>
    <mergeCell ref="G121:H121"/>
    <mergeCell ref="I121:J121"/>
    <mergeCell ref="K121:L121"/>
    <mergeCell ref="X65:Y65"/>
    <mergeCell ref="G36:K36"/>
    <mergeCell ref="L36:M36"/>
    <mergeCell ref="C34:C35"/>
    <mergeCell ref="D34:D35"/>
    <mergeCell ref="E34:E35"/>
    <mergeCell ref="F34:F35"/>
    <mergeCell ref="G34:G35"/>
    <mergeCell ref="H34:H35"/>
    <mergeCell ref="I34:I35"/>
    <mergeCell ref="J34:J35"/>
    <mergeCell ref="K34:K35"/>
    <mergeCell ref="L34:L35"/>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election activeCell="Q43" sqref="Q43"/>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5" t="s">
        <v>557</v>
      </c>
      <c r="Q1" s="195"/>
      <c r="R1" s="195"/>
      <c r="S1" s="195"/>
      <c r="T1" s="32"/>
      <c r="U1" s="205" t="s">
        <v>558</v>
      </c>
      <c r="V1" s="205"/>
      <c r="W1" s="205"/>
      <c r="X1" s="205"/>
      <c r="Y1" s="205"/>
      <c r="Z1" s="32"/>
      <c r="AA1" s="205" t="s">
        <v>560</v>
      </c>
      <c r="AB1" s="205"/>
      <c r="AC1" s="205"/>
      <c r="AD1" s="205"/>
      <c r="AE1" s="11"/>
      <c r="AF1" s="11"/>
    </row>
    <row r="2" spans="3:34">
      <c r="P2" s="32" t="s">
        <v>137</v>
      </c>
      <c r="Q2" s="32"/>
      <c r="R2" s="206">
        <f>Control!$F$8</f>
        <v>-43.5</v>
      </c>
      <c r="S2" s="32" t="str">
        <f>"m"&amp;Control!$F$7</f>
        <v>mLAT</v>
      </c>
      <c r="T2" s="32"/>
      <c r="U2" s="32" t="s">
        <v>92</v>
      </c>
      <c r="V2" s="32"/>
      <c r="W2" s="206">
        <v>210000000</v>
      </c>
      <c r="X2" s="32" t="s">
        <v>93</v>
      </c>
      <c r="Y2" s="32"/>
      <c r="Z2" s="32"/>
      <c r="AA2" s="32" t="s">
        <v>561</v>
      </c>
      <c r="AB2" s="32"/>
      <c r="AC2" s="201" t="str">
        <f>Control!$F$30</f>
        <v>C</v>
      </c>
      <c r="AD2" s="32"/>
      <c r="AE2" s="11"/>
      <c r="AF2" s="11"/>
      <c r="AG2" s="40"/>
    </row>
    <row r="3" spans="3:34">
      <c r="C3" s="35" t="s">
        <v>441</v>
      </c>
      <c r="T3" s="32"/>
      <c r="U3" s="32" t="s">
        <v>143</v>
      </c>
      <c r="V3" s="32"/>
      <c r="W3" s="206">
        <f>Control!$F$11</f>
        <v>1.0249999999999999</v>
      </c>
      <c r="X3" s="32" t="s">
        <v>144</v>
      </c>
      <c r="Y3" s="32"/>
      <c r="Z3" s="32"/>
      <c r="AA3" s="32" t="s">
        <v>563</v>
      </c>
      <c r="AB3" s="32"/>
      <c r="AC3" s="32"/>
      <c r="AD3" s="32"/>
      <c r="AE3" s="11"/>
      <c r="AF3" s="11"/>
      <c r="AG3" s="40"/>
    </row>
    <row r="4" spans="3:34">
      <c r="C4" s="308" t="s">
        <v>0</v>
      </c>
      <c r="D4" s="12" t="s">
        <v>1</v>
      </c>
      <c r="E4" s="12" t="s">
        <v>2</v>
      </c>
      <c r="F4" s="12" t="s">
        <v>104</v>
      </c>
      <c r="G4" s="12" t="s">
        <v>103</v>
      </c>
      <c r="H4" s="12" t="s">
        <v>5</v>
      </c>
      <c r="I4" s="12" t="s">
        <v>6</v>
      </c>
      <c r="J4" s="12" t="s">
        <v>7</v>
      </c>
      <c r="K4" s="12" t="s">
        <v>8</v>
      </c>
      <c r="L4" s="20"/>
      <c r="P4" s="32" t="s">
        <v>196</v>
      </c>
      <c r="Q4" s="32"/>
      <c r="R4" s="201">
        <f>SUM(I6:I9)</f>
        <v>15.669999999999998</v>
      </c>
      <c r="S4" s="32" t="s">
        <v>91</v>
      </c>
      <c r="T4" s="32"/>
      <c r="U4" s="205" t="s">
        <v>559</v>
      </c>
      <c r="V4" s="205"/>
      <c r="W4" s="205"/>
      <c r="X4" s="205"/>
      <c r="Y4" s="205"/>
      <c r="Z4" s="32"/>
      <c r="AA4" s="32"/>
      <c r="AB4" s="32" t="s">
        <v>562</v>
      </c>
      <c r="AC4" s="206">
        <f>IF(AC2="A",40,IF(AC2="B",25,16))</f>
        <v>16</v>
      </c>
      <c r="AD4" s="32"/>
      <c r="AE4" s="11"/>
      <c r="AF4" s="11"/>
      <c r="AG4" s="40"/>
    </row>
    <row r="5" spans="3:34">
      <c r="C5" s="309"/>
      <c r="D5" s="12" t="str">
        <f>"[m"&amp;Control!$F$7&amp;"]"</f>
        <v>[mLAT]</v>
      </c>
      <c r="E5" s="12" t="str">
        <f>"[m"&amp;Control!$F$7&amp;"]"</f>
        <v>[mLAT]</v>
      </c>
      <c r="F5" s="12" t="s">
        <v>9</v>
      </c>
      <c r="G5" s="12" t="s">
        <v>9</v>
      </c>
      <c r="H5" s="12" t="s">
        <v>10</v>
      </c>
      <c r="I5" s="12" t="s">
        <v>9</v>
      </c>
      <c r="J5" s="12" t="s">
        <v>11</v>
      </c>
      <c r="K5" s="12" t="s">
        <v>12</v>
      </c>
      <c r="L5" s="20"/>
      <c r="P5" s="195" t="s">
        <v>517</v>
      </c>
      <c r="Q5" s="195"/>
      <c r="R5" s="195"/>
      <c r="S5" s="195"/>
      <c r="T5" s="32"/>
      <c r="U5" s="32" t="s">
        <v>139</v>
      </c>
      <c r="V5" s="32"/>
      <c r="W5" s="201">
        <f>Control!$F$71</f>
        <v>105</v>
      </c>
      <c r="X5" s="32" t="str">
        <f>"m"&amp;Control!$F$7</f>
        <v>mLAT</v>
      </c>
      <c r="Y5" s="32"/>
      <c r="Z5" s="32"/>
      <c r="AA5" s="32"/>
      <c r="AB5" s="32" t="s">
        <v>564</v>
      </c>
      <c r="AC5" s="206">
        <f>IF(AC2="A",0.75,IF(AC2="B",0.65,0.5))</f>
        <v>0.5</v>
      </c>
      <c r="AD5" s="32"/>
      <c r="AE5" s="11"/>
      <c r="AF5" s="11"/>
      <c r="AG5" s="40"/>
    </row>
    <row r="6" spans="3:34">
      <c r="C6" s="12">
        <v>1</v>
      </c>
      <c r="D6" s="44">
        <f>Geometry!D11</f>
        <v>21.47</v>
      </c>
      <c r="E6" s="44">
        <f>Geometry!E11</f>
        <v>17.5</v>
      </c>
      <c r="F6" s="44">
        <f>Geometry!F11</f>
        <v>8</v>
      </c>
      <c r="G6" s="44">
        <f>Geometry!G11</f>
        <v>8</v>
      </c>
      <c r="H6" s="44">
        <f>Geometry!H11</f>
        <v>117</v>
      </c>
      <c r="I6" s="56">
        <f>D6-E6</f>
        <v>3.9699999999999989</v>
      </c>
      <c r="J6" s="57">
        <f>ATAN((G6-F6)/(2*I6))/PI()*180</f>
        <v>0</v>
      </c>
      <c r="K6" s="58">
        <f>IF(J6=0,PI()/4*(F6^2-(F6-(2*H6/1000))^2)*I6*7850/1000,(I6*PI()/12)*((G6^2+G6*F6+F6^2)-((G6-2*(H6/1000))^2+(G6-(2*H6/1000))*(F6-(2*H6/1000))+(F6-(2*H6/1000))^2))*7850/1000)</f>
        <v>90.299932258163423</v>
      </c>
      <c r="L6" s="21"/>
      <c r="P6" s="32" t="str">
        <f>Control!$E$16</f>
        <v>External upper limit</v>
      </c>
      <c r="Q6" s="32"/>
      <c r="R6" s="201">
        <f>Control!$F$16</f>
        <v>8.1</v>
      </c>
      <c r="S6" s="32" t="str">
        <f>"m"&amp;Control!$F$7</f>
        <v>mLAT</v>
      </c>
      <c r="T6" s="32"/>
      <c r="U6" s="32" t="s">
        <v>140</v>
      </c>
      <c r="V6" s="32"/>
      <c r="W6" s="201">
        <f>Control!$F$72</f>
        <v>125</v>
      </c>
      <c r="X6" s="32" t="str">
        <f>"m"&amp;Control!$F$7</f>
        <v>mLAT</v>
      </c>
      <c r="Y6" s="32"/>
      <c r="Z6" s="32"/>
      <c r="AA6" s="32"/>
      <c r="AB6" s="32" t="s">
        <v>565</v>
      </c>
      <c r="AC6" s="206">
        <f>IF(AC2="A",0.75,IF(AC2="B",0.65,0.5))</f>
        <v>0.5</v>
      </c>
      <c r="AD6" s="32"/>
      <c r="AE6" s="11"/>
      <c r="AF6" s="11"/>
      <c r="AG6" s="29"/>
      <c r="AH6" s="29"/>
    </row>
    <row r="7" spans="3:34">
      <c r="C7" s="12">
        <v>2</v>
      </c>
      <c r="D7" s="44">
        <f>Geometry!D12</f>
        <v>17.5</v>
      </c>
      <c r="E7" s="44">
        <f>Geometry!E12</f>
        <v>13.5</v>
      </c>
      <c r="F7" s="44">
        <f>Geometry!F12</f>
        <v>8</v>
      </c>
      <c r="G7" s="44">
        <f>Geometry!G12</f>
        <v>8</v>
      </c>
      <c r="H7" s="44">
        <f>Geometry!H12</f>
        <v>117</v>
      </c>
      <c r="I7" s="56">
        <f t="shared" ref="I7:I9" si="0">D7-E7</f>
        <v>4</v>
      </c>
      <c r="J7" s="57">
        <f t="shared" ref="J7:J9" si="1">ATAN((G7-F7)/(2*I7))/PI()*180</f>
        <v>0</v>
      </c>
      <c r="K7" s="58">
        <f t="shared" ref="K7:K9" si="2">IF(J7=0,PI()/4*(F7^2-(F7-(2*H7/1000))^2)*I7*7850/1000,(I7*PI()/12)*((G7^2+G7*F7+F7^2)-((G7-2*(H7/1000))^2+(G7-(2*H7/1000))*(F7-(2*H7/1000))+(F7-(2*H7/1000))^2))*7850/1000)</f>
        <v>90.9822995044468</v>
      </c>
      <c r="P7" s="32" t="str">
        <f>Control!$E$17</f>
        <v xml:space="preserve">External lower limit </v>
      </c>
      <c r="Q7" s="32"/>
      <c r="R7" s="201">
        <f>Control!$F$17</f>
        <v>-3.4</v>
      </c>
      <c r="S7" s="32" t="str">
        <f>"m"&amp;Control!$F$7</f>
        <v>mLAT</v>
      </c>
      <c r="T7" s="32"/>
      <c r="U7" s="32" t="s">
        <v>141</v>
      </c>
      <c r="V7" s="32"/>
      <c r="W7" s="206">
        <f>(1.35*(W6-W5)*W3*9.81)/1000</f>
        <v>0.27149174999999998</v>
      </c>
      <c r="X7" s="32" t="s">
        <v>142</v>
      </c>
      <c r="Y7" s="32"/>
      <c r="Z7" s="32"/>
      <c r="AB7" s="32" t="s">
        <v>604</v>
      </c>
      <c r="AC7">
        <v>3</v>
      </c>
      <c r="AE7" s="208"/>
      <c r="AF7" s="11"/>
    </row>
    <row r="8" spans="3:34">
      <c r="C8" s="12">
        <v>3</v>
      </c>
      <c r="D8" s="44">
        <f>Geometry!D13</f>
        <v>13.5</v>
      </c>
      <c r="E8" s="44">
        <f>Geometry!E13</f>
        <v>9.5</v>
      </c>
      <c r="F8" s="44">
        <f>Geometry!F13</f>
        <v>8</v>
      </c>
      <c r="G8" s="44">
        <f>Geometry!G13</f>
        <v>8</v>
      </c>
      <c r="H8" s="44">
        <f>Geometry!H13</f>
        <v>124</v>
      </c>
      <c r="I8" s="56">
        <f t="shared" si="0"/>
        <v>4</v>
      </c>
      <c r="J8" s="57">
        <f t="shared" si="1"/>
        <v>0</v>
      </c>
      <c r="K8" s="58">
        <f t="shared" si="2"/>
        <v>96.340060208791726</v>
      </c>
      <c r="P8" s="32" t="str">
        <f>Control!$E$18</f>
        <v>Internal upper limit</v>
      </c>
      <c r="Q8" s="32"/>
      <c r="R8" s="201">
        <f>Control!$F$18</f>
        <v>3</v>
      </c>
      <c r="S8" s="32" t="str">
        <f>"m"&amp;Control!$F$7</f>
        <v>mLAT</v>
      </c>
      <c r="T8" s="32"/>
      <c r="U8" s="205" t="s">
        <v>521</v>
      </c>
      <c r="V8" s="205"/>
      <c r="W8" s="205"/>
      <c r="X8" s="205"/>
      <c r="Y8" s="205"/>
      <c r="Z8" s="32"/>
      <c r="AA8" s="202" t="s">
        <v>519</v>
      </c>
      <c r="AB8" s="205"/>
      <c r="AC8" s="205"/>
      <c r="AD8" s="205"/>
      <c r="AE8" s="11"/>
      <c r="AF8" s="11"/>
      <c r="AG8" s="40"/>
    </row>
    <row r="9" spans="3:34">
      <c r="C9" s="12">
        <v>4</v>
      </c>
      <c r="D9" s="44">
        <f>Geometry!D14</f>
        <v>9.5</v>
      </c>
      <c r="E9" s="44">
        <f>Geometry!E14</f>
        <v>5.8</v>
      </c>
      <c r="F9" s="44">
        <f>Geometry!F14</f>
        <v>8</v>
      </c>
      <c r="G9" s="44">
        <f>Geometry!G14</f>
        <v>8</v>
      </c>
      <c r="H9" s="44">
        <f>Geometry!H14</f>
        <v>120</v>
      </c>
      <c r="I9" s="56">
        <f t="shared" si="0"/>
        <v>3.7</v>
      </c>
      <c r="J9" s="57">
        <f t="shared" si="1"/>
        <v>0</v>
      </c>
      <c r="K9" s="58">
        <f t="shared" si="2"/>
        <v>86.283691434396374</v>
      </c>
      <c r="P9" s="32" t="str">
        <f>Control!$E$19</f>
        <v>Internal lower limit</v>
      </c>
      <c r="Q9" s="32"/>
      <c r="R9" s="201">
        <f>Control!$F$19</f>
        <v>-0.6</v>
      </c>
      <c r="S9" s="32" t="str">
        <f>"m"&amp;Control!$F$7</f>
        <v>mLAT</v>
      </c>
      <c r="T9" s="32"/>
      <c r="U9" s="32" t="s">
        <v>95</v>
      </c>
      <c r="V9" s="32"/>
      <c r="W9" s="201">
        <f>Control!$F$29</f>
        <v>1.1000000000000001</v>
      </c>
      <c r="X9" s="32"/>
      <c r="Y9" s="32"/>
      <c r="Z9" s="32"/>
      <c r="AA9" s="49" t="str">
        <f>Control!$E$12</f>
        <v xml:space="preserve">Corrosion allowance rate outside </v>
      </c>
      <c r="AB9" s="32"/>
      <c r="AC9" s="201">
        <f>Control!$F$12</f>
        <v>0.3</v>
      </c>
      <c r="AD9" s="32" t="s">
        <v>566</v>
      </c>
      <c r="AE9" s="11"/>
      <c r="AF9" s="11"/>
      <c r="AG9" s="40"/>
    </row>
    <row r="10" spans="3:34">
      <c r="P10" s="198" t="s">
        <v>127</v>
      </c>
      <c r="Q10" s="198"/>
      <c r="R10" s="199" t="s">
        <v>133</v>
      </c>
      <c r="S10" s="199"/>
      <c r="T10" s="32"/>
      <c r="U10" s="32" t="s">
        <v>96</v>
      </c>
      <c r="V10" s="32"/>
      <c r="W10" s="201">
        <f>Control!$F$28</f>
        <v>1</v>
      </c>
      <c r="X10" s="32"/>
      <c r="Y10" s="32"/>
      <c r="Z10" s="32"/>
      <c r="AA10" s="49" t="str">
        <f>Control!$E$13</f>
        <v xml:space="preserve">Corrosion allowance rate inside </v>
      </c>
      <c r="AB10" s="32"/>
      <c r="AC10" s="201">
        <f>Control!$F$13</f>
        <v>0.15</v>
      </c>
      <c r="AD10" s="32" t="s">
        <v>566</v>
      </c>
      <c r="AE10" s="11"/>
      <c r="AF10" s="11"/>
      <c r="AG10" s="40"/>
    </row>
    <row r="11" spans="3:34">
      <c r="P11" s="197" t="s">
        <v>130</v>
      </c>
      <c r="Q11" s="210">
        <f>Control!$F$23</f>
        <v>-15</v>
      </c>
      <c r="R11" s="210">
        <f>Q11+Q13</f>
        <v>-25</v>
      </c>
      <c r="S11" s="32" t="s">
        <v>164</v>
      </c>
      <c r="T11" s="32"/>
      <c r="U11" s="32"/>
      <c r="V11" s="32"/>
      <c r="W11" s="32"/>
      <c r="X11" s="32"/>
      <c r="Y11" s="32"/>
      <c r="Z11" s="32"/>
      <c r="AA11" s="32" t="s">
        <v>43</v>
      </c>
      <c r="AB11" s="32"/>
      <c r="AC11" s="201">
        <f>'FLS TP'!AF24</f>
        <v>12</v>
      </c>
      <c r="AD11" s="32" t="s">
        <v>272</v>
      </c>
      <c r="AE11" s="209"/>
      <c r="AF11" s="209"/>
      <c r="AG11" s="207"/>
    </row>
    <row r="12" spans="3:34">
      <c r="P12" s="197" t="s">
        <v>131</v>
      </c>
      <c r="Q12" s="210">
        <f>Control!$F$24</f>
        <v>-5</v>
      </c>
      <c r="R12" s="210">
        <f>Q12+Q13</f>
        <v>-15</v>
      </c>
      <c r="S12" s="32" t="s">
        <v>164</v>
      </c>
      <c r="T12" s="32"/>
      <c r="U12" s="32"/>
      <c r="V12" s="32"/>
      <c r="W12" s="32"/>
      <c r="X12" s="32"/>
      <c r="Y12" s="32"/>
      <c r="Z12" s="32"/>
      <c r="AA12" s="32"/>
      <c r="AB12" s="32"/>
      <c r="AC12" s="32"/>
      <c r="AD12" s="32"/>
      <c r="AE12" s="11"/>
      <c r="AF12" s="11"/>
    </row>
    <row r="13" spans="3:34">
      <c r="P13" s="197" t="s">
        <v>128</v>
      </c>
      <c r="Q13" s="210">
        <f>Control!$F$25</f>
        <v>-10</v>
      </c>
      <c r="R13" s="210"/>
      <c r="S13" s="32" t="s">
        <v>164</v>
      </c>
      <c r="T13" s="32"/>
      <c r="U13" s="32"/>
      <c r="V13" s="32"/>
      <c r="W13" s="32"/>
      <c r="X13" s="32"/>
      <c r="Y13" s="32"/>
      <c r="Z13" s="32"/>
      <c r="AA13" s="32"/>
      <c r="AB13" s="201"/>
      <c r="AC13" s="32"/>
      <c r="AD13" s="32"/>
      <c r="AE13" s="11"/>
      <c r="AF13" s="11"/>
    </row>
    <row r="14" spans="3:34">
      <c r="P14" s="197" t="s">
        <v>576</v>
      </c>
      <c r="Q14" s="197"/>
      <c r="R14" s="210">
        <f>Control!$F$22</f>
        <v>0</v>
      </c>
      <c r="S14" s="32" t="str">
        <f>"m"&amp;Control!$F$7</f>
        <v>mLAT</v>
      </c>
      <c r="T14" s="32"/>
      <c r="U14" s="32"/>
      <c r="V14" s="32"/>
      <c r="W14" s="32"/>
      <c r="X14" s="32"/>
      <c r="Y14" s="32"/>
      <c r="Z14" s="32"/>
      <c r="AA14" s="32"/>
      <c r="AB14" s="32"/>
      <c r="AC14" s="32"/>
      <c r="AD14" s="32"/>
      <c r="AE14" s="11"/>
      <c r="AF14" s="11"/>
    </row>
    <row r="20" spans="3:50">
      <c r="C20" s="35" t="s">
        <v>221</v>
      </c>
      <c r="I20" s="19"/>
      <c r="J20" s="19"/>
    </row>
    <row r="21" spans="3:50" ht="15" customHeight="1">
      <c r="C21" s="317" t="s">
        <v>222</v>
      </c>
      <c r="D21" s="317" t="s">
        <v>53</v>
      </c>
      <c r="E21" s="317" t="s">
        <v>105</v>
      </c>
      <c r="F21" s="317" t="s">
        <v>101</v>
      </c>
      <c r="G21" s="329" t="s">
        <v>542</v>
      </c>
      <c r="H21" s="332" t="s">
        <v>543</v>
      </c>
      <c r="I21" s="329" t="s">
        <v>544</v>
      </c>
      <c r="J21" s="317" t="s">
        <v>100</v>
      </c>
      <c r="K21" s="329" t="s">
        <v>94</v>
      </c>
      <c r="L21" s="329" t="s">
        <v>545</v>
      </c>
      <c r="M21" s="332" t="s">
        <v>546</v>
      </c>
      <c r="N21" s="317" t="s">
        <v>106</v>
      </c>
      <c r="O21" s="317" t="s">
        <v>107</v>
      </c>
      <c r="P21" s="317" t="s">
        <v>136</v>
      </c>
      <c r="Q21" s="317" t="s">
        <v>286</v>
      </c>
      <c r="R21" s="317" t="s">
        <v>108</v>
      </c>
      <c r="T21" s="317" t="s">
        <v>73</v>
      </c>
      <c r="U21" s="317" t="s">
        <v>78</v>
      </c>
      <c r="V21" s="317" t="s">
        <v>79</v>
      </c>
      <c r="W21" s="317" t="s">
        <v>80</v>
      </c>
      <c r="X21" s="317" t="s">
        <v>84</v>
      </c>
      <c r="Y21" s="317" t="s">
        <v>85</v>
      </c>
      <c r="Z21" s="317" t="s">
        <v>86</v>
      </c>
      <c r="AA21" s="317" t="s">
        <v>87</v>
      </c>
      <c r="AB21" s="317" t="s">
        <v>573</v>
      </c>
      <c r="AC21" s="317" t="s">
        <v>547</v>
      </c>
      <c r="AD21" s="317" t="s">
        <v>548</v>
      </c>
      <c r="AE21" s="328" t="s">
        <v>550</v>
      </c>
      <c r="AF21" s="317" t="s">
        <v>549</v>
      </c>
      <c r="AG21" s="328" t="s">
        <v>551</v>
      </c>
      <c r="AH21" s="328" t="s">
        <v>552</v>
      </c>
      <c r="AI21" s="317" t="s">
        <v>555</v>
      </c>
      <c r="AJ21" s="328" t="s">
        <v>556</v>
      </c>
      <c r="AK21" s="328" t="s">
        <v>553</v>
      </c>
      <c r="AL21" s="328" t="s">
        <v>554</v>
      </c>
      <c r="AM21" s="317" t="s">
        <v>97</v>
      </c>
      <c r="AN21" s="317" t="s">
        <v>202</v>
      </c>
      <c r="AO21" s="317" t="s">
        <v>203</v>
      </c>
      <c r="AP21" s="317" t="s">
        <v>567</v>
      </c>
      <c r="AQ21" s="317" t="s">
        <v>568</v>
      </c>
      <c r="AR21" s="317" t="s">
        <v>569</v>
      </c>
      <c r="AS21" s="317" t="s">
        <v>570</v>
      </c>
      <c r="AT21" s="317" t="s">
        <v>571</v>
      </c>
      <c r="AU21" s="317" t="s">
        <v>147</v>
      </c>
      <c r="AV21" s="317" t="s">
        <v>145</v>
      </c>
      <c r="AW21" s="317" t="s">
        <v>146</v>
      </c>
      <c r="AX21" s="317" t="s">
        <v>572</v>
      </c>
    </row>
    <row r="22" spans="3:50" ht="18.75" customHeight="1">
      <c r="C22" s="318">
        <v>0</v>
      </c>
      <c r="D22" s="318">
        <v>0</v>
      </c>
      <c r="E22" s="318"/>
      <c r="F22" s="318"/>
      <c r="G22" s="318"/>
      <c r="H22" s="312"/>
      <c r="I22" s="318"/>
      <c r="J22" s="318"/>
      <c r="K22" s="318"/>
      <c r="L22" s="318"/>
      <c r="M22" s="312"/>
      <c r="N22" s="318"/>
      <c r="O22" s="318"/>
      <c r="P22" s="318"/>
      <c r="Q22" s="318"/>
      <c r="R22" s="318"/>
      <c r="T22" s="318"/>
      <c r="U22" s="318"/>
      <c r="V22" s="318"/>
      <c r="W22" s="318"/>
      <c r="X22" s="318"/>
      <c r="Y22" s="318"/>
      <c r="Z22" s="318"/>
      <c r="AA22" s="318"/>
      <c r="AB22" s="318"/>
      <c r="AC22" s="318"/>
      <c r="AD22" s="318"/>
      <c r="AE22" s="318"/>
      <c r="AF22" s="318"/>
      <c r="AG22" s="318"/>
      <c r="AH22" s="318"/>
      <c r="AI22" s="318"/>
      <c r="AJ22" s="333"/>
      <c r="AK22" s="318"/>
      <c r="AL22" s="318"/>
      <c r="AM22" s="318"/>
      <c r="AN22" s="318"/>
      <c r="AO22" s="318"/>
      <c r="AP22" s="318"/>
      <c r="AQ22" s="318"/>
      <c r="AR22" s="318"/>
      <c r="AS22" s="318"/>
      <c r="AT22" s="318"/>
      <c r="AU22" s="318"/>
      <c r="AV22" s="318"/>
      <c r="AW22" s="318"/>
      <c r="AX22" s="318"/>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541</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21.47</v>
      </c>
      <c r="E24" s="3">
        <f>F6</f>
        <v>8</v>
      </c>
      <c r="F24" s="120">
        <f>H6</f>
        <v>117</v>
      </c>
      <c r="G24" s="120">
        <f>ABS(T24/(2*PI()*AB24*AC24))+ABS(V24/(PI()*(AB24^2)*AC24))</f>
        <v>146.89104186061374</v>
      </c>
      <c r="H24" s="120">
        <f>ABS(W24/(PI()*AB24*AC24))+ABS(U24/(2*PI()*(AB24^2)*AC24))</f>
        <v>9.6783929666908914</v>
      </c>
      <c r="I24" s="120">
        <f>IF(OR(D24&lt;$R$2,D24&gt;$W$6),0,IF(D24&lt;=$W$5,$W$7*AB24/(AC24/1000),$W$7*AB24/(AC24/1000)*($W$6-D24)/($W$6-$W$5)))</f>
        <v>9.1460233557692288</v>
      </c>
      <c r="J24" s="120">
        <f>VLOOKUP(R24,'Steel grades'!$B$5:$J$22,IF(F24&gt;200,10,IF(F24&gt;150,9,IF(F24&gt;120,8,IF(F24&gt;100,7,IF(F24&gt;80,6,IF(F24&gt;63,5,IF(F24&gt;40,4,IF(F24&gt;16,3,2)))))))),FALSE)</f>
        <v>295</v>
      </c>
      <c r="K24" s="3">
        <f>AH24*J24/$W$9*AM24</f>
        <v>227.95454545454544</v>
      </c>
      <c r="L24" s="3">
        <f>AK24*J24/$W$9</f>
        <v>140.7204661721415</v>
      </c>
      <c r="M24" s="3">
        <f>AL24*J24/$W$9/SQRT(3)</f>
        <v>152.46381970361494</v>
      </c>
      <c r="N24" s="3">
        <f>MAX(G24/K24,H24/M24,I24/L24,(G24/K24)^(1.25+0.75*AH24)-(AH24*AK24)^2*(G24/K24)*(I24/L24)+(I24/L24)^(1.25+0.75*AK24)+(H24/M24)^(1.75+0.25*AL24),AS24,AX24)</f>
        <v>0.64438742192093768</v>
      </c>
      <c r="O24" s="3">
        <f>MAX(SQRT(G24^2+I24^2-IF(G24&gt;0,-G24,G24)*I24+3*H24^2)/(J24/$W$10),AU24)</f>
        <v>0.51726981655574467</v>
      </c>
      <c r="P24" s="3">
        <f>(ABS(Geometry_loads!S7)/Z24+ABS(Geometry_loads!T7)/AA24)/(1000*J24)</f>
        <v>0.38141702821601492</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-46522.83</v>
      </c>
      <c r="U24" s="3">
        <f>Geometry_loads!M7</f>
        <v>63702.2</v>
      </c>
      <c r="V24" s="3">
        <f>Geometry_loads!N7</f>
        <v>747106.8</v>
      </c>
      <c r="W24" s="3">
        <f>Geometry_loads!O7</f>
        <v>5940.7359999999999</v>
      </c>
      <c r="X24" s="3">
        <f t="shared" ref="X24" si="3">IF(OR(D24&gt;=$R$6,D24&lt;=$R$7),0,$AC$9*$AC$11)</f>
        <v>0</v>
      </c>
      <c r="Y24" s="3">
        <f t="shared" ref="Y24" si="4">IF(OR(D24&gt;=$R$8,D24&lt;=$R$9),0,$AC$10*$AC$11)</f>
        <v>0</v>
      </c>
      <c r="Z24" s="18">
        <f>PI()/4*((E24-2*X24/1000)^2-((E24-2*X24/1000)-2*(F24-X24-Y24)/1000)^2)</f>
        <v>2.8975254619250572</v>
      </c>
      <c r="AA24" s="220">
        <f>PI()/32*((E24-2*X24/1000)^4-((E24-2*X24/1000)-2*(F24-X24-Y24)/1000)^4)/(E24-2*X24/1000)</f>
        <v>5.6280246984555191</v>
      </c>
      <c r="AB24" s="220">
        <f>(0.5*E24-(X24/1000))-(0.5*(AC24/1000))</f>
        <v>3.9415</v>
      </c>
      <c r="AC24" s="120">
        <f>F24-X24-Y24</f>
        <v>117</v>
      </c>
      <c r="AD24" s="220">
        <f>$R$4/SQRT(AB24*AC24/1000)</f>
        <v>23.075190769019688</v>
      </c>
      <c r="AE24" s="220">
        <f>(J24/((0.605*$W$2*IF(AD24&gt;0.5*(AB24)/(AC24/1000),MAX(0.6,1+0.2/$AC$7*(1-2*AD24*(AC24/1000)/(AB24))),IF(AD24&lt;=1.7,1.36-(1.83/AD24)+(2.07/AD24^2),1)))*((AC24/1000)/(AB24)/1000)))^0.5</f>
        <v>0.28319396487231668</v>
      </c>
      <c r="AF24" s="220">
        <f>0.62/(1+1.91*((((AB24)/(AC24/1000))^0.5*(AC24/1000)/$AC$4)/(AC24/1000))^1.44)</f>
        <v>0.42951480945078241</v>
      </c>
      <c r="AG24" s="220">
        <f>IF(AND((AB24)/(AC24/1000)&lt;=150,AD24&lt;=6*(AB24)/(AC24/1000),$W$2/(J24*1000)&lt;=1000,500&lt;=$W$2/(J24*1000)),0.2+0.1*(ABS(V24/(PI()*(AB24^2)*AC24))/G24),0.2)</f>
        <v>0.28906941129659802</v>
      </c>
      <c r="AH24" s="220">
        <f>IF(AE24&lt;=AG24,1,IF(AE24&gt;=(AF24/(1-0.6))^0.5,AF24/(AE24^2),1-0.6*((AE24-(AG24))/((AF24/(1-0.6))^0.5-AG24))))</f>
        <v>1</v>
      </c>
      <c r="AI24" s="220">
        <f>IF(AD24/1.25&gt;1.63*((AB24)/(AC24/1000)),$W$2/1000*(AC24/(AB24*1000))^2*(0.275+2.03*(1.25/AD24*AB24*1000/AC24)^4),IF(AD24/1.25&lt;20,0.92*$W$2/1000*((1.25+(8/AD24^2)-(4/AD24^3))/AD24)*((AC24/1000)/(AB24)),0.92*$W$2/1000*(1.25/AD24)*((AC24/1000)/(AB24))))</f>
        <v>314.32093052759592</v>
      </c>
      <c r="AJ24" s="220">
        <f>SQRT(J24/AI24)</f>
        <v>0.96877819940372223</v>
      </c>
      <c r="AK24" s="220">
        <f>IF(AJ24&lt;0.4,1,IF(AJ24&lt;SQRT($AC$5/(1-0.6)),1-0.6*((AJ24-0.4)/(SQRT($AC$5/(1-0.6))-0.4)^1),$AC$5/AJ24^2))</f>
        <v>0.52472038233679885</v>
      </c>
      <c r="AL24" s="220">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0.98468674659983102</v>
      </c>
      <c r="AM24" s="220">
        <f>IF(_xlfn.MINIFS(Geometry!$AJ$11:$AJ$18,Geometry!$AI$11:$AI$18,"o",Geometry!$AK$11:$AK$18,C6)&lt;=0,1,_xlfn.MINIFS(Geometry!$AJ$11:$AJ$18,Geometry!$AI$11:$AI$18,"o",Geometry!$AK$11:$AK$18,C6))</f>
        <v>0.85</v>
      </c>
      <c r="AN24" s="220">
        <f>IF(NOT(ISNUMBER(D23)),0,ABS(J5-J6))</f>
        <v>0</v>
      </c>
      <c r="AO24" s="220">
        <f>MAX(AN24,J6)</f>
        <v>0</v>
      </c>
      <c r="AP24" s="220">
        <f>((ABS(T24/(PI()*((E24-2*X24/1000)-((AC24))/1000*COS(AO24*PI()/180))*(AC24)/1000))/1000)+ABS((4*V24)/(PI()*((E24-X24/1000)-((F24-X24-Y24)/1000)*COS(AO24*PI()/180))^2*((AC24)/1000))/1000))/COS(AO24*PI()/180)</f>
        <v>146.89104186061371</v>
      </c>
      <c r="AQ24" s="220">
        <f>((0.6*(F24-X24-Y24)*((E24*1000-2*X24)*(2*(AC24)))^0.5)/((AC24)^2))*(G24*TAN(AN24*PI()/180))</f>
        <v>0</v>
      </c>
      <c r="AR24" s="220">
        <f>IF(AN24=0,0,0.45*((E24*1000-2*X24)/(AC24))^0.5*G24*TAN(AN24*PI()/180)+I24)</f>
        <v>0</v>
      </c>
      <c r="AS24" s="220">
        <f>IF(AO24=0,0,1.18*AP24/IF(J24/(2*0.3*$W$2/1000*(AC24)/1000/(E24-2*X24/1000))&lt;=0.17,J24,(1.047-0.274*(J24/(2*0.3*$W$2/1000*(AC24)/1000/(E24-2*X24/1000))))*J24))</f>
        <v>0</v>
      </c>
      <c r="AT24" s="220">
        <f>IF(AN24=0,0,MAX(G24+AQ24,AP24+AQ24))</f>
        <v>0</v>
      </c>
      <c r="AU24" s="220">
        <f>(AT24^2+AR24^2+AR24*AT24)^0.5/(J24/$W$10)</f>
        <v>0</v>
      </c>
      <c r="AV24" s="220">
        <f>1.1*AT24/J24</f>
        <v>0</v>
      </c>
      <c r="AW24" s="220">
        <f>1.25*AR24/IF(0.4*$W$2/1000*(AC24)/1000/(E24-2*X24/1000)/J24&gt;2.44,J24,IF(0.4*$W$2/1000*(AC24)/1000/(E24-2*X24/1000)/J24&lt;=0.55,0.4*$W$2/1000*(AC24)/1000/(E24-2*X24/1000),MIN(0.7*(0.4*$W$2/1000*(AC24)/1000/(E24-2*X24/1000)/J24)^0.4*J24,J24)))</f>
        <v>0</v>
      </c>
      <c r="AX24" s="220">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8</v>
      </c>
      <c r="F25" s="120">
        <f t="shared" ref="F25:F27" si="8">H7</f>
        <v>117</v>
      </c>
      <c r="G25" s="120">
        <f t="shared" ref="G25:G27" si="9">ABS(T25/(2*PI()*AB25*AC25))+ABS(V25/(PI()*(AB25^2)*AC25))</f>
        <v>151.64290291998506</v>
      </c>
      <c r="H25" s="120">
        <f t="shared" ref="H25:H27" si="10">ABS(W25/(PI()*AB25*AC25))+ABS(U25/(2*PI()*(AB25^2)*AC25))</f>
        <v>9.7216409363029896</v>
      </c>
      <c r="I25" s="120">
        <f t="shared" ref="I25:I27" si="11">IF(OR(D25&lt;$R$2,D25&gt;$W$6),0,IF(D25&lt;=$W$5,$W$7*AB25/(AC25/1000),$W$7*AB25/(AC25/1000)*($W$6-D25)/($W$6-$W$5)))</f>
        <v>9.1460233557692288</v>
      </c>
      <c r="J25" s="120">
        <f>VLOOKUP(R25,'Steel grades'!$B$5:$J$22,IF(F25&gt;200,10,IF(F25&gt;150,9,IF(F25&gt;120,8,IF(F25&gt;100,7,IF(F25&gt;80,6,IF(F25&gt;63,5,IF(F25&gt;40,4,IF(F25&gt;16,3,2)))))))),FALSE)</f>
        <v>295</v>
      </c>
      <c r="K25" s="3">
        <f t="shared" ref="K25:K27" si="12">AH25*J25/$W$9*AM25</f>
        <v>268.18181818181819</v>
      </c>
      <c r="L25" s="3">
        <f t="shared" ref="L25:L27" si="13">AK25*J25/$W$9</f>
        <v>140.7204661721415</v>
      </c>
      <c r="M25" s="3">
        <f t="shared" ref="M25:M27" si="14">AL25*J25/$W$9/SQRT(3)</f>
        <v>152.46381970361494</v>
      </c>
      <c r="N25" s="3">
        <f t="shared" ref="N25:N27" si="15">MAX(G25/K25,H25/M25,I25/L25,(G25/K25)^(1.25+0.75*AH25)-(AH25*AK25)^2*(G25/K25)*(I25/L25)+(I25/L25)^(1.25+0.75*AK25)+(H25/M25)^(1.75+0.25*AL25),AS25,AX25)</f>
        <v>0.5654481125829951</v>
      </c>
      <c r="O25" s="3">
        <f t="shared" ref="O25:O27" si="16">MAX(SQRT(G25^2+I25^2-IF(G25&gt;0,-G25,G25)*I25+3*H25^2)/(J25/$W$10),AU25)</f>
        <v>0.53328918913467671</v>
      </c>
      <c r="P25" s="3">
        <f>(ABS(Geometry_loads!S8)/Z25+ABS(Geometry_loads!T8)/AA25)/(1000*J25)</f>
        <v>0.39376017385614875</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-48067.453125</v>
      </c>
      <c r="U25" s="3">
        <f>Geometry_loads!M8</f>
        <v>63711.792499999996</v>
      </c>
      <c r="V25" s="3">
        <f>Geometry_loads!N8</f>
        <v>771197.27812499995</v>
      </c>
      <c r="W25" s="3">
        <f>Geometry_loads!O8</f>
        <v>6002.1751875</v>
      </c>
      <c r="X25" s="3">
        <f t="shared" ref="X25:X27" si="17">IF(OR(D25&gt;=$R$6,D25&lt;=$R$7),0,$AC$9*$AC$11)</f>
        <v>0</v>
      </c>
      <c r="Y25" s="3">
        <f t="shared" ref="Y25:Y27" si="18">IF(OR(D25&gt;=$R$8,D25&lt;=$R$9),0,$AC$10*$AC$11)</f>
        <v>0</v>
      </c>
      <c r="Z25" s="18">
        <f t="shared" ref="Z25:Z27" si="19">PI()/4*((E25-2*X25/1000)^2-((E25-2*X25/1000)-2*(F25-X25-Y25)/1000)^2)</f>
        <v>2.8975254619250572</v>
      </c>
      <c r="AA25" s="220">
        <f t="shared" ref="AA25:AA27" si="20">PI()/32*((E25-2*X25/1000)^4-((E25-2*X25/1000)-2*(F25-X25-Y25)/1000)^4)/(E25-2*X25/1000)</f>
        <v>5.6280246984555191</v>
      </c>
      <c r="AB25" s="220">
        <f t="shared" ref="AB25:AB27" si="21">(0.5*E25-(X25/1000))-(0.5*(AC25/1000))</f>
        <v>3.9415</v>
      </c>
      <c r="AC25" s="120">
        <f t="shared" ref="AC25:AC27" si="22">F25-X25-Y25</f>
        <v>117</v>
      </c>
      <c r="AD25" s="220">
        <f t="shared" ref="AD25:AD27" si="23">$R$4/SQRT(AB25*AC25/1000)</f>
        <v>23.075190769019688</v>
      </c>
      <c r="AE25" s="220">
        <f t="shared" ref="AE25:AE27" si="24">(J25/((0.605*$W$2*IF(AD25&gt;0.5*(AB25)/(AC25/1000),MAX(0.6,1+0.2/$AC$7*(1-2*AD25*(AC25/1000)/(AB25))),IF(AD25&lt;=1.7,1.36-(1.83/AD25)+(2.07/AD25^2),1)))*((AC25/1000)/(AB25)/1000)))^0.5</f>
        <v>0.28319396487231668</v>
      </c>
      <c r="AF25" s="220">
        <f t="shared" ref="AF25:AF27" si="25">0.62/(1+1.91*((((AB25)/(AC25/1000))^0.5*(AC25/1000)/$AC$4)/(AC25/1000))^1.44)</f>
        <v>0.42951480945078241</v>
      </c>
      <c r="AG25" s="220">
        <f t="shared" ref="AG25:AG27" si="26">IF(AND((AB25)/(AC25/1000)&lt;=150,AD25&lt;=6*(AB25)/(AC25/1000),$W$2/(J25*1000)&lt;=1000,500&lt;=$W$2/(J25*1000)),0.2+0.1*(ABS(V25/(PI()*(AB25^2)*AC25))/G25),0.2)</f>
        <v>0.28906039198234901</v>
      </c>
      <c r="AH25" s="220">
        <f t="shared" ref="AH25:AH27" si="27">IF(AE25&lt;=AG25,1,IF(AE25&gt;=(AF25/(1-0.6))^0.5,AF25/(AE25^2),1-0.6*((AE25-(AG25))/((AF25/(1-0.6))^0.5-AG25))))</f>
        <v>1</v>
      </c>
      <c r="AI25" s="220">
        <f t="shared" ref="AI25:AI27" si="28">IF(AD25/1.25&gt;1.63*((AB25)/(AC25/1000)),$W$2/1000*(AC25/(AB25*1000))^2*(0.275+2.03*(1.25/AD25*AB25*1000/AC25)^4),IF(AD25/1.25&lt;20,0.92*$W$2/1000*((1.25+(8/AD25^2)-(4/AD25^3))/AD25)*((AC25/1000)/(AB25)),0.92*$W$2/1000*(1.25/AD25)*((AC25/1000)/(AB25))))</f>
        <v>314.32093052759592</v>
      </c>
      <c r="AJ25" s="220">
        <f t="shared" ref="AJ25:AJ27" si="29">SQRT(J25/AI25)</f>
        <v>0.96877819940372223</v>
      </c>
      <c r="AK25" s="220">
        <f t="shared" ref="AK25:AK27" si="30">IF(AJ25&lt;0.4,1,IF(AJ25&lt;SQRT($AC$5/(1-0.6)),1-0.6*((AJ25-0.4)/(SQRT($AC$5/(1-0.6))-0.4)^1),$AC$5/AJ25^2))</f>
        <v>0.52472038233679885</v>
      </c>
      <c r="AL25" s="220">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0.98468674659983102</v>
      </c>
      <c r="AM25" s="220">
        <f>IF(_xlfn.MINIFS(Geometry!$AJ$11:$AJ$18,Geometry!$AI$11:$AI$18,"o",Geometry!$AK$11:$AK$18,C7)&lt;=0,1,_xlfn.MINIFS(Geometry!$AJ$11:$AJ$18,Geometry!$AI$11:$AI$18,"o",Geometry!$AK$11:$AK$18,C7))</f>
        <v>1</v>
      </c>
      <c r="AN25" s="220">
        <f t="shared" ref="AN25:AN27" si="32">IF(NOT(ISNUMBER(D24)),0,ABS(J6-J7))</f>
        <v>0</v>
      </c>
      <c r="AO25" s="220">
        <f t="shared" ref="AO25:AO27" si="33">MAX(AN25,J7)</f>
        <v>0</v>
      </c>
      <c r="AP25" s="220">
        <f t="shared" ref="AP25:AP27" si="34">((ABS(T25/(PI()*((E25-2*X25/1000)-((AC25))/1000*COS(AO25*PI()/180))*(AC25)/1000))/1000)+ABS((4*V25)/(PI()*((E25-X25/1000)-((F25-X25-Y25)/1000)*COS(AO25*PI()/180))^2*((AC25)/1000))/1000))/COS(AO25*PI()/180)</f>
        <v>151.64290291998506</v>
      </c>
      <c r="AQ25" s="220">
        <f t="shared" ref="AQ25:AQ27" si="35">((0.6*(F25-X25-Y25)*((E25*1000-2*X25)*(2*(AC25)))^0.5)/((AC25)^2))*(G25*TAN(AN25*PI()/180))</f>
        <v>0</v>
      </c>
      <c r="AR25" s="220">
        <f t="shared" ref="AR25:AR27" si="36">IF(AN25=0,0,0.45*((E25*1000-2*X25)/(AC25))^0.5*G25*TAN(AN25*PI()/180)+I25)</f>
        <v>0</v>
      </c>
      <c r="AS25" s="220">
        <f t="shared" ref="AS25:AS27" si="37">IF(AO25=0,0,1.18*AP25/IF(J25/(2*0.3*$W$2/1000*(AC25)/1000/(E25-2*X25/1000))&lt;=0.17,J25,(1.047-0.274*(J25/(2*0.3*$W$2/1000*(AC25)/1000/(E25-2*X25/1000))))*J25))</f>
        <v>0</v>
      </c>
      <c r="AT25" s="220">
        <f t="shared" ref="AT25:AT27" si="38">IF(AN25=0,0,MAX(G25+AQ25,AP25+AQ25))</f>
        <v>0</v>
      </c>
      <c r="AU25" s="220">
        <f t="shared" ref="AU25:AU27" si="39">(AT25^2+AR25^2+AR25*AT25)^0.5/(J25/$W$10)</f>
        <v>0</v>
      </c>
      <c r="AV25" s="220">
        <f t="shared" ref="AV25:AV27" si="40">1.1*AT25/J25</f>
        <v>0</v>
      </c>
      <c r="AW25" s="220">
        <f t="shared" ref="AW25:AW27" si="41">1.25*AR25/IF(0.4*$W$2/1000*(AC25)/1000/(E25-2*X25/1000)/J25&gt;2.44,J25,IF(0.4*$W$2/1000*(AC25)/1000/(E25-2*X25/1000)/J25&lt;=0.55,0.4*$W$2/1000*(AC25)/1000/(E25-2*X25/1000),MIN(0.7*(0.4*$W$2/1000*(AC25)/1000/(E25-2*X25/1000)/J25)^0.4*J25,J25)))</f>
        <v>0</v>
      </c>
      <c r="AX25" s="220">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8</v>
      </c>
      <c r="F26" s="120">
        <f t="shared" si="8"/>
        <v>124</v>
      </c>
      <c r="G26" s="120">
        <f t="shared" si="9"/>
        <v>147.73406849343721</v>
      </c>
      <c r="H26" s="120">
        <f t="shared" si="10"/>
        <v>10.074313361041145</v>
      </c>
      <c r="I26" s="120">
        <f t="shared" si="11"/>
        <v>8.6220525120967739</v>
      </c>
      <c r="J26" s="120">
        <f>VLOOKUP(R26,'Steel grades'!$B$5:$J$22,IF(F26&gt;200,10,IF(F26&gt;150,9,IF(F26&gt;120,8,IF(F26&gt;100,7,IF(F26&gt;80,6,IF(F26&gt;63,5,IF(F26&gt;40,4,IF(F26&gt;16,3,2)))))))),FALSE)</f>
        <v>295</v>
      </c>
      <c r="K26" s="3">
        <f t="shared" si="12"/>
        <v>227.95454545454544</v>
      </c>
      <c r="L26" s="3">
        <f t="shared" si="13"/>
        <v>150.09504752505725</v>
      </c>
      <c r="M26" s="3">
        <f t="shared" si="14"/>
        <v>154.41157395519605</v>
      </c>
      <c r="N26" s="3">
        <f t="shared" si="15"/>
        <v>0.64808564443781036</v>
      </c>
      <c r="O26" s="3">
        <f t="shared" si="16"/>
        <v>0.51940722681105411</v>
      </c>
      <c r="P26" s="3">
        <f>(ABS(Geometry_loads!S9)/Z26+ABS(Geometry_loads!T9)/AA26)/(1000*J26)</f>
        <v>0.38391553274773377</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-49252.85</v>
      </c>
      <c r="U26" s="3">
        <f>Geometry_loads!M9</f>
        <v>63720.217499999999</v>
      </c>
      <c r="V26" s="3">
        <f>Geometry_loads!N9</f>
        <v>795511.71562500007</v>
      </c>
      <c r="W26" s="3">
        <f>Geometry_loads!O9</f>
        <v>7364.3475312500013</v>
      </c>
      <c r="X26" s="3">
        <f t="shared" si="17"/>
        <v>0</v>
      </c>
      <c r="Y26" s="3">
        <f t="shared" si="18"/>
        <v>0</v>
      </c>
      <c r="Z26" s="18">
        <f t="shared" si="19"/>
        <v>3.0681547837194816</v>
      </c>
      <c r="AA26" s="220">
        <f t="shared" si="20"/>
        <v>5.9490324675955115</v>
      </c>
      <c r="AB26" s="220">
        <f t="shared" si="21"/>
        <v>3.9380000000000002</v>
      </c>
      <c r="AC26" s="120">
        <f t="shared" si="22"/>
        <v>124</v>
      </c>
      <c r="AD26" s="220">
        <f t="shared" si="23"/>
        <v>22.424372445226798</v>
      </c>
      <c r="AE26" s="220">
        <f t="shared" si="24"/>
        <v>0.27536035875479897</v>
      </c>
      <c r="AF26" s="220">
        <f t="shared" si="25"/>
        <v>0.43507380691379199</v>
      </c>
      <c r="AG26" s="220">
        <f t="shared" si="26"/>
        <v>0.28913390638295577</v>
      </c>
      <c r="AH26" s="220">
        <f t="shared" si="27"/>
        <v>1</v>
      </c>
      <c r="AI26" s="220">
        <f t="shared" si="28"/>
        <v>343.33150118549719</v>
      </c>
      <c r="AJ26" s="220">
        <f t="shared" si="29"/>
        <v>0.9269454601615531</v>
      </c>
      <c r="AK26" s="220">
        <f t="shared" si="30"/>
        <v>0.5596764483985186</v>
      </c>
      <c r="AL26" s="220">
        <f t="shared" si="31"/>
        <v>0.99726630679249695</v>
      </c>
      <c r="AM26" s="220">
        <f>IF(_xlfn.MINIFS(Geometry!$AJ$11:$AJ$18,Geometry!$AI$11:$AI$18,"o",Geometry!$AK$11:$AK$18,C8)&lt;=0,1,_xlfn.MINIFS(Geometry!$AJ$11:$AJ$18,Geometry!$AI$11:$AI$18,"o",Geometry!$AK$11:$AK$18,C8))</f>
        <v>0.85</v>
      </c>
      <c r="AN26" s="220">
        <f t="shared" si="32"/>
        <v>0</v>
      </c>
      <c r="AO26" s="220">
        <f t="shared" si="33"/>
        <v>0</v>
      </c>
      <c r="AP26" s="220">
        <f t="shared" si="34"/>
        <v>147.73406849343721</v>
      </c>
      <c r="AQ26" s="220">
        <f t="shared" si="35"/>
        <v>0</v>
      </c>
      <c r="AR26" s="220">
        <f t="shared" si="36"/>
        <v>0</v>
      </c>
      <c r="AS26" s="220">
        <f t="shared" si="37"/>
        <v>0</v>
      </c>
      <c r="AT26" s="220">
        <f t="shared" si="38"/>
        <v>0</v>
      </c>
      <c r="AU26" s="220">
        <f t="shared" si="39"/>
        <v>0</v>
      </c>
      <c r="AV26" s="220">
        <f t="shared" si="40"/>
        <v>0</v>
      </c>
      <c r="AW26" s="220">
        <f t="shared" si="41"/>
        <v>0</v>
      </c>
      <c r="AX26" s="220">
        <f t="shared" si="42"/>
        <v>0</v>
      </c>
    </row>
    <row r="27" spans="3:50" ht="14.85" customHeight="1">
      <c r="C27" s="12" t="str">
        <f t="shared" si="5"/>
        <v>Can4</v>
      </c>
      <c r="D27" s="2">
        <f t="shared" si="6"/>
        <v>9.5</v>
      </c>
      <c r="E27" s="3">
        <f t="shared" si="7"/>
        <v>8</v>
      </c>
      <c r="F27" s="120">
        <f t="shared" si="8"/>
        <v>120</v>
      </c>
      <c r="G27" s="120">
        <f t="shared" si="9"/>
        <v>157.05255121761192</v>
      </c>
      <c r="H27" s="120">
        <f t="shared" si="10"/>
        <v>13.308379825837664</v>
      </c>
      <c r="I27" s="120">
        <f t="shared" si="11"/>
        <v>8.9139791249999991</v>
      </c>
      <c r="J27" s="120">
        <f>VLOOKUP(R27,'Steel grades'!$B$5:$J$22,IF(F27&gt;200,10,IF(F27&gt;150,9,IF(F27&gt;120,8,IF(F27&gt;100,7,IF(F27&gt;80,6,IF(F27&gt;63,5,IF(F27&gt;40,4,IF(F27&gt;16,3,2)))))))),FALSE)</f>
        <v>295</v>
      </c>
      <c r="K27" s="3">
        <f t="shared" si="12"/>
        <v>268.18181818181819</v>
      </c>
      <c r="L27" s="3">
        <f t="shared" si="13"/>
        <v>144.85511216144624</v>
      </c>
      <c r="M27" s="3">
        <f t="shared" si="14"/>
        <v>153.32112055882047</v>
      </c>
      <c r="N27" s="3">
        <f t="shared" si="15"/>
        <v>0.58561968250634955</v>
      </c>
      <c r="O27" s="3">
        <f t="shared" si="16"/>
        <v>0.55365661751621964</v>
      </c>
      <c r="P27" s="3">
        <f>(ABS(Geometry_loads!S10)/Z27+ABS(Geometry_loads!T10)/AA27)/(1000*J27)</f>
        <v>0.407965005635468</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-50342.570666666667</v>
      </c>
      <c r="U27" s="3">
        <f>Geometry_loads!M10</f>
        <v>63727.137999999999</v>
      </c>
      <c r="V27" s="3">
        <f>Geometry_loads!N10</f>
        <v>819937.39333333343</v>
      </c>
      <c r="W27" s="3">
        <f>Geometry_loads!O10</f>
        <v>11680.335266666669</v>
      </c>
      <c r="X27" s="3">
        <f t="shared" si="17"/>
        <v>0</v>
      </c>
      <c r="Y27" s="3">
        <f t="shared" si="18"/>
        <v>0</v>
      </c>
      <c r="Z27" s="18">
        <f t="shared" si="19"/>
        <v>2.9706900132345107</v>
      </c>
      <c r="AA27" s="220">
        <f t="shared" si="20"/>
        <v>5.7658122466868607</v>
      </c>
      <c r="AB27" s="220">
        <f t="shared" si="21"/>
        <v>3.94</v>
      </c>
      <c r="AC27" s="120">
        <f t="shared" si="22"/>
        <v>120</v>
      </c>
      <c r="AD27" s="220">
        <f t="shared" si="23"/>
        <v>22.789262061616402</v>
      </c>
      <c r="AE27" s="220">
        <f t="shared" si="24"/>
        <v>0.27975290830275734</v>
      </c>
      <c r="AF27" s="220">
        <f t="shared" si="25"/>
        <v>0.4319477328387506</v>
      </c>
      <c r="AG27" s="220">
        <f t="shared" si="26"/>
        <v>0.2892097115016119</v>
      </c>
      <c r="AH27" s="220">
        <f t="shared" si="27"/>
        <v>1</v>
      </c>
      <c r="AI27" s="220">
        <f t="shared" si="28"/>
        <v>326.64426002784688</v>
      </c>
      <c r="AJ27" s="220">
        <f t="shared" si="29"/>
        <v>0.95032792829103219</v>
      </c>
      <c r="AK27" s="220">
        <f t="shared" si="30"/>
        <v>0.54013770636471481</v>
      </c>
      <c r="AL27" s="220">
        <f t="shared" si="31"/>
        <v>0.99022361948948212</v>
      </c>
      <c r="AM27" s="220">
        <f>IF(_xlfn.MINIFS(Geometry!$AJ$11:$AJ$18,Geometry!$AI$11:$AI$18,"o",Geometry!$AK$11:$AK$18,C9)&lt;=0,1,_xlfn.MINIFS(Geometry!$AJ$11:$AJ$18,Geometry!$AI$11:$AI$18,"o",Geometry!$AK$11:$AK$18,C9))</f>
        <v>1</v>
      </c>
      <c r="AN27" s="220">
        <f t="shared" si="32"/>
        <v>0</v>
      </c>
      <c r="AO27" s="220">
        <f t="shared" si="33"/>
        <v>0</v>
      </c>
      <c r="AP27" s="220">
        <f t="shared" si="34"/>
        <v>157.05255121761192</v>
      </c>
      <c r="AQ27" s="220">
        <f t="shared" si="35"/>
        <v>0</v>
      </c>
      <c r="AR27" s="220">
        <f t="shared" si="36"/>
        <v>0</v>
      </c>
      <c r="AS27" s="220">
        <f t="shared" si="37"/>
        <v>0</v>
      </c>
      <c r="AT27" s="220">
        <f t="shared" si="38"/>
        <v>0</v>
      </c>
      <c r="AU27" s="220">
        <f t="shared" si="39"/>
        <v>0</v>
      </c>
      <c r="AV27" s="220">
        <f t="shared" si="40"/>
        <v>0</v>
      </c>
      <c r="AW27" s="220">
        <f t="shared" si="41"/>
        <v>0</v>
      </c>
      <c r="AX27" s="220">
        <f t="shared" si="42"/>
        <v>0</v>
      </c>
    </row>
    <row r="28" spans="3:50" ht="14.85" customHeight="1"/>
    <row r="29" spans="3:50">
      <c r="C29" s="35" t="s">
        <v>223</v>
      </c>
    </row>
    <row r="30" spans="3:50" ht="15" customHeight="1">
      <c r="C30" s="317" t="s">
        <v>222</v>
      </c>
      <c r="D30" s="317" t="s">
        <v>53</v>
      </c>
      <c r="E30" s="317" t="s">
        <v>105</v>
      </c>
      <c r="F30" s="317" t="s">
        <v>101</v>
      </c>
      <c r="G30" s="329" t="s">
        <v>542</v>
      </c>
      <c r="H30" s="332" t="s">
        <v>543</v>
      </c>
      <c r="I30" s="329" t="s">
        <v>544</v>
      </c>
      <c r="J30" s="317" t="s">
        <v>100</v>
      </c>
      <c r="K30" s="329" t="s">
        <v>94</v>
      </c>
      <c r="L30" s="329" t="s">
        <v>545</v>
      </c>
      <c r="M30" s="332" t="s">
        <v>546</v>
      </c>
      <c r="N30" s="317" t="s">
        <v>106</v>
      </c>
      <c r="O30" s="317" t="s">
        <v>107</v>
      </c>
      <c r="P30" s="317" t="s">
        <v>136</v>
      </c>
      <c r="Q30" s="317" t="s">
        <v>286</v>
      </c>
      <c r="R30" s="317" t="s">
        <v>108</v>
      </c>
      <c r="T30" s="317" t="s">
        <v>73</v>
      </c>
      <c r="U30" s="317" t="s">
        <v>78</v>
      </c>
      <c r="V30" s="317" t="s">
        <v>79</v>
      </c>
      <c r="W30" s="317" t="s">
        <v>80</v>
      </c>
      <c r="X30" s="317" t="s">
        <v>84</v>
      </c>
      <c r="Y30" s="317" t="s">
        <v>85</v>
      </c>
      <c r="Z30" s="317" t="s">
        <v>86</v>
      </c>
      <c r="AA30" s="317" t="s">
        <v>87</v>
      </c>
      <c r="AB30" s="317" t="s">
        <v>573</v>
      </c>
      <c r="AC30" s="317" t="s">
        <v>547</v>
      </c>
      <c r="AD30" s="317" t="s">
        <v>548</v>
      </c>
      <c r="AE30" s="328" t="s">
        <v>550</v>
      </c>
      <c r="AF30" s="317" t="s">
        <v>549</v>
      </c>
      <c r="AG30" s="328" t="s">
        <v>551</v>
      </c>
      <c r="AH30" s="328" t="s">
        <v>552</v>
      </c>
      <c r="AI30" s="317" t="s">
        <v>555</v>
      </c>
      <c r="AJ30" s="328" t="s">
        <v>556</v>
      </c>
      <c r="AK30" s="328" t="s">
        <v>553</v>
      </c>
      <c r="AL30" s="328" t="s">
        <v>554</v>
      </c>
      <c r="AM30" s="317" t="s">
        <v>97</v>
      </c>
      <c r="AN30" s="317" t="s">
        <v>202</v>
      </c>
      <c r="AO30" s="317" t="s">
        <v>203</v>
      </c>
      <c r="AP30" s="317" t="s">
        <v>567</v>
      </c>
      <c r="AQ30" s="317" t="s">
        <v>568</v>
      </c>
      <c r="AR30" s="317" t="s">
        <v>569</v>
      </c>
      <c r="AS30" s="317" t="s">
        <v>570</v>
      </c>
      <c r="AT30" s="317" t="s">
        <v>571</v>
      </c>
      <c r="AU30" s="317" t="s">
        <v>147</v>
      </c>
      <c r="AV30" s="317" t="s">
        <v>145</v>
      </c>
      <c r="AW30" s="317" t="s">
        <v>146</v>
      </c>
      <c r="AX30" s="317" t="s">
        <v>572</v>
      </c>
    </row>
    <row r="31" spans="3:50" ht="18.75" customHeight="1">
      <c r="C31" s="318">
        <v>0</v>
      </c>
      <c r="D31" s="318">
        <v>0</v>
      </c>
      <c r="E31" s="318"/>
      <c r="F31" s="318"/>
      <c r="G31" s="318"/>
      <c r="H31" s="312"/>
      <c r="I31" s="318"/>
      <c r="J31" s="318"/>
      <c r="K31" s="318"/>
      <c r="L31" s="318"/>
      <c r="M31" s="312"/>
      <c r="N31" s="318"/>
      <c r="O31" s="318"/>
      <c r="P31" s="318"/>
      <c r="Q31" s="318"/>
      <c r="R31" s="318"/>
      <c r="T31" s="318"/>
      <c r="U31" s="318"/>
      <c r="V31" s="318"/>
      <c r="W31" s="318"/>
      <c r="X31" s="318"/>
      <c r="Y31" s="318"/>
      <c r="Z31" s="318"/>
      <c r="AA31" s="318"/>
      <c r="AB31" s="318"/>
      <c r="AC31" s="318"/>
      <c r="AD31" s="318"/>
      <c r="AE31" s="318"/>
      <c r="AF31" s="318"/>
      <c r="AG31" s="318"/>
      <c r="AH31" s="318"/>
      <c r="AI31" s="318"/>
      <c r="AJ31" s="333"/>
      <c r="AK31" s="318"/>
      <c r="AL31" s="318"/>
      <c r="AM31" s="318"/>
      <c r="AN31" s="318"/>
      <c r="AO31" s="318"/>
      <c r="AP31" s="318"/>
      <c r="AQ31" s="318"/>
      <c r="AR31" s="318"/>
      <c r="AS31" s="318"/>
      <c r="AT31" s="318"/>
      <c r="AU31" s="318"/>
      <c r="AV31" s="318"/>
      <c r="AW31" s="318"/>
      <c r="AX31" s="318"/>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541</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8</v>
      </c>
      <c r="F33" s="120">
        <f>H6</f>
        <v>117</v>
      </c>
      <c r="G33" s="120">
        <f>ABS(T33/(2*PI()*AB33*AC33))+ABS(V33/(PI()*(AB33^2)*AC33))</f>
        <v>151.64290291998506</v>
      </c>
      <c r="H33" s="120">
        <f>ABS(W33/(PI()*AB33*AC33))+ABS(U33/(2*PI()*(AB33^2)*AC33))</f>
        <v>9.7216409363029896</v>
      </c>
      <c r="I33" s="120">
        <f>IF(OR(D33&lt;$R$2,D33&gt;$W$6),0,IF(D33&lt;=$W$5,$W$7*AB33/(AC33/1000),$W$7*AB33/(AC33/1000)*($W$6-D33)/($W$6-$W$5)))</f>
        <v>9.1460233557692288</v>
      </c>
      <c r="J33" s="120">
        <f>VLOOKUP(R33,'Steel grades'!$B$5:$J$22,IF(F33&gt;200,10,IF(F33&gt;150,9,IF(F33&gt;120,8,IF(F33&gt;100,7,IF(F33&gt;80,6,IF(F33&gt;63,5,IF(F33&gt;40,4,IF(F33&gt;16,3,2)))))))),FALSE)</f>
        <v>295</v>
      </c>
      <c r="K33" s="3">
        <f>AH33*J33/$W$9*AM33</f>
        <v>227.95454545454544</v>
      </c>
      <c r="L33" s="3">
        <f>AK33*J33/$W$9</f>
        <v>140.7204661721415</v>
      </c>
      <c r="M33" s="3">
        <f>AL33*J33/$W$9/SQRT(3)</f>
        <v>152.46381970361494</v>
      </c>
      <c r="N33" s="3">
        <f>MAX(G33/K33,H33/M33,I33/L33,(G33/K33)^(1.25+0.75*AH33)-(AH33*AK33)^2*(G33/K33)*(I33/L33)+(I33/L33)^(1.25+0.75*AK33)+(H33/M33)^(1.75+0.25*AL33),AS33,AX33)</f>
        <v>0.6652330736270532</v>
      </c>
      <c r="O33" s="3">
        <f>MAX(SQRT(G33^2+I33^2-IF(G33&gt;0,-G33,G33)*I33+3*H33^2)/(J33/$W$10),AU33)</f>
        <v>0.53328918913467671</v>
      </c>
      <c r="P33" s="3">
        <f>(ABS(Geometry_loads!S8)/Z33+ABS(Geometry_loads!T8)/AA33)/(1000*J33)</f>
        <v>0.39376017385614875</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-48067.453125</v>
      </c>
      <c r="U33" s="3">
        <f>Geometry_loads!M8</f>
        <v>63711.792499999996</v>
      </c>
      <c r="V33" s="3">
        <f>Geometry_loads!N8</f>
        <v>771197.27812499995</v>
      </c>
      <c r="W33" s="3">
        <f>Geometry_loads!O8</f>
        <v>6002.1751875</v>
      </c>
      <c r="X33" s="3">
        <f>X24</f>
        <v>0</v>
      </c>
      <c r="Y33" s="3">
        <f>Y24</f>
        <v>0</v>
      </c>
      <c r="Z33" s="18">
        <f>PI()/4*((E33-2*X33/1000)^2-((E33-2*X33/1000)-2*(F33-X33-Y33)/1000)^2)</f>
        <v>2.8975254619250572</v>
      </c>
      <c r="AA33" s="220">
        <f>PI()/32*((E33-2*X33/1000)^4-((E33-2*X33/1000)-2*(F33-X33-Y33)/1000)^4)/(E33-2*X33/1000)</f>
        <v>5.6280246984555191</v>
      </c>
      <c r="AB33" s="220">
        <f>(0.5*E33-(X33/1000))-(0.5*(AC33/1000))</f>
        <v>3.9415</v>
      </c>
      <c r="AC33" s="120">
        <f>F33-X33-Y33</f>
        <v>117</v>
      </c>
      <c r="AD33" s="220">
        <f>$R$4/SQRT(AB33*AC33/1000)</f>
        <v>23.075190769019688</v>
      </c>
      <c r="AE33" s="220">
        <f>(J33/((0.605*$W$2*IF(AD33&gt;0.5*(AB33)/(AC33/1000),MAX(0.6,1+0.2/$AC$7*(1-2*AD33*(AC33/1000)/(AB33))),IF(AD33&lt;=1.7,1.36-(1.83/AD33)+(2.07/AD33^2),1)))*((AC33/1000)/(AB33)/1000)))^0.5</f>
        <v>0.28319396487231668</v>
      </c>
      <c r="AF33" s="220">
        <f>0.62/(1+1.91*((((AB33)/(AC33/1000))^0.5*(AC33/1000)/$AC$4)/(AC33/1000))^1.44)</f>
        <v>0.42951480945078241</v>
      </c>
      <c r="AG33" s="220">
        <f>IF(AND((AB33)/(AC33/1000)&lt;=150,AD33&lt;=6*(AB33)/(AC33/1000),$W$2/(J33*1000)&lt;=1000,500&lt;=$W$2/(J33*1000)),0.2+0.1*(ABS(V33/(PI()*(AB33^2)*AC33))/G33),0.2)</f>
        <v>0.28906039198234901</v>
      </c>
      <c r="AH33" s="220">
        <f>IF(AE33&lt;=AG33,1,IF(AE33&gt;=(AF33/(1-0.6))^0.5,AF33/(AE33^2),1-0.6*((AE33-(AG33))/((AF33/(1-0.6))^0.5-AG33))))</f>
        <v>1</v>
      </c>
      <c r="AI33" s="220">
        <f>IF(AD33/1.25&gt;1.63*((AB33)/(AC33/1000)),$W$2/1000*(AC33/(AB33*1000))^2*(0.275+2.03*(1.25/AD33*AB33*1000/AC33)^4),IF(AD33/1.25&lt;20,0.92*$W$2/1000*((1.25+(8/AD33^2)-(4/AD33^3))/AD33)*((AC33/1000)/(AB33)),0.92*$W$2/1000*(1.25/AD33)*((AC33/1000)/(AB33))))</f>
        <v>314.32093052759592</v>
      </c>
      <c r="AJ33" s="220">
        <f>SQRT(J33/AI33)</f>
        <v>0.96877819940372223</v>
      </c>
      <c r="AK33" s="220">
        <f>IF(AJ33&lt;0.4,1,IF(AJ33&lt;SQRT($AC$5/(1-0.6)),1-0.6*((AJ33-0.4)/(SQRT($AC$5/(1-0.6))-0.4)^1),$AC$5/AJ33^2))</f>
        <v>0.52472038233679885</v>
      </c>
      <c r="AL33" s="220">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0.98468674659983102</v>
      </c>
      <c r="AM33" s="220">
        <f>AM24</f>
        <v>0.85</v>
      </c>
      <c r="AN33" s="220">
        <f>IF(NOT(ISNUMBER(D34)),0,ABS(J6-J7))</f>
        <v>0</v>
      </c>
      <c r="AO33" s="220">
        <f>MAX(AN33,J6)</f>
        <v>0</v>
      </c>
      <c r="AP33" s="220">
        <f>((ABS(T33/(PI()*((E33-2*X33/1000)-((AC33))/1000*COS(AO33*PI()/180))*(AC33)/1000))/1000)+ABS((4*V33)/(PI()*((E33-X33/1000)-((F33-X33-Y33)/1000)*COS(AO33*PI()/180))^2*((AC33)/1000))/1000))/COS(AO33*PI()/180)</f>
        <v>151.64290291998506</v>
      </c>
      <c r="AQ33" s="220">
        <f>((0.6*(F33-X33-Y33)*((E33*1000-2*X33)*(2*(AC33)))^0.5)/((AC33)^2))*(G33*TAN(AN33*PI()/180))</f>
        <v>0</v>
      </c>
      <c r="AR33" s="220">
        <f>IF(AN33=0,0,0.45*((E33*1000-2*X33)/(AC33))^0.5*G33*TAN(AN33*PI()/180)+I33)</f>
        <v>0</v>
      </c>
      <c r="AS33" s="220">
        <f>IF(AO33=0,0,1.18*AP33/IF(J33/(2*0.3*$W$2/1000*(AC33)/1000/(E33-2*X33/1000))&lt;=0.17,J33,(1.047-0.274*(J33/(2*0.3*$W$2/1000*(AC33)/1000/(E33-2*X33/1000))))*J33))</f>
        <v>0</v>
      </c>
      <c r="AT33" s="220">
        <f>IF(AN33=0,0,MAX(G33+AQ33,AP33+AQ33))</f>
        <v>0</v>
      </c>
      <c r="AU33" s="220">
        <f>(AT33^2+AR33^2+AR33*AT33)^0.5/(J33/$W$10)</f>
        <v>0</v>
      </c>
      <c r="AV33" s="220">
        <f>1.1*AT33/J33</f>
        <v>0</v>
      </c>
      <c r="AW33" s="220">
        <f>1.25*AR33/IF(0.4*$W$2/1000*(AC33)/1000/(E33-2*X33/1000)/J33&gt;2.44,J33,IF(0.4*$W$2/1000*(AC33)/1000/(E33-2*X33/1000)/J33&lt;=0.55,0.4*$W$2/1000*(AC33)/1000/(E33-2*X33/1000),MIN(0.7*(0.4*$W$2/1000*(AC33)/1000/(E33-2*X33/1000)/J33)^0.4*J33,J33)))</f>
        <v>0</v>
      </c>
      <c r="AX33" s="220">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8</v>
      </c>
      <c r="F34" s="120">
        <f t="shared" si="45"/>
        <v>117</v>
      </c>
      <c r="G34" s="120">
        <f t="shared" ref="G34:G36" si="46">ABS(T34/(2*PI()*AB34*AC34))+ABS(V34/(PI()*(AB34^2)*AC34))</f>
        <v>156.31000732893048</v>
      </c>
      <c r="H34" s="120">
        <f t="shared" ref="H34:H36" si="47">ABS(W34/(PI()*AB34*AC34))+ABS(U34/(2*PI()*(AB34^2)*AC34))</f>
        <v>10.662610130336724</v>
      </c>
      <c r="I34" s="120">
        <f t="shared" ref="I34:I36" si="48">IF(OR(D34&lt;$R$2,D34&gt;$W$6),0,IF(D34&lt;=$W$5,$W$7*AB34/(AC34/1000),$W$7*AB34/(AC34/1000)*($W$6-D34)/($W$6-$W$5)))</f>
        <v>9.1460233557692288</v>
      </c>
      <c r="J34" s="120">
        <f>VLOOKUP(R34,'Steel grades'!$B$5:$J$22,IF(F34&gt;200,10,IF(F34&gt;150,9,IF(F34&gt;120,8,IF(F34&gt;100,7,IF(F34&gt;80,6,IF(F34&gt;63,5,IF(F34&gt;40,4,IF(F34&gt;16,3,2)))))))),FALSE)</f>
        <v>295</v>
      </c>
      <c r="K34" s="3">
        <f t="shared" ref="K34:K36" si="49">AH34*J34/$W$9*AM34</f>
        <v>268.18181818181819</v>
      </c>
      <c r="L34" s="3">
        <f t="shared" ref="L34:L36" si="50">AK34*J34/$W$9</f>
        <v>140.7204661721415</v>
      </c>
      <c r="M34" s="3">
        <f t="shared" ref="M34:M36" si="51">AL34*J34/$W$9/SQRT(3)</f>
        <v>152.46381970361494</v>
      </c>
      <c r="N34" s="3">
        <f t="shared" ref="N34:N36" si="52">MAX(G34/K34,H34/M34,I34/L34,(G34/K34)^(1.25+0.75*AH34)-(AH34*AK34)^2*(G34/K34)*(I34/L34)+(I34/L34)^(1.25+0.75*AK34)+(H34/M34)^(1.75+0.25*AL34),AS34,AX34)</f>
        <v>0.58285087478584241</v>
      </c>
      <c r="O34" s="3">
        <f t="shared" ref="O34:O36" si="53">MAX(SQRT(G34^2+I34^2-IF(G34&gt;0,-G34,G34)*I34+3*H34^2)/(J34/$W$10),AU34)</f>
        <v>0.54960388312210029</v>
      </c>
      <c r="P34" s="3">
        <f>(ABS(Geometry_loads!S9)/Z34+ABS(Geometry_loads!T9)/AA34)/(1000*J34)</f>
        <v>0.40588766182746983</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-49252.85</v>
      </c>
      <c r="U34" s="3">
        <f>Geometry_loads!M9</f>
        <v>63720.217499999999</v>
      </c>
      <c r="V34" s="3">
        <f>Geometry_loads!N9</f>
        <v>795511.71562500007</v>
      </c>
      <c r="W34" s="3">
        <f>Geometry_loads!O9</f>
        <v>7364.3475312500013</v>
      </c>
      <c r="X34" s="3">
        <f t="shared" ref="X34:Y34" si="54">X25</f>
        <v>0</v>
      </c>
      <c r="Y34" s="3">
        <f t="shared" si="54"/>
        <v>0</v>
      </c>
      <c r="Z34" s="18">
        <f t="shared" ref="Z34:Z36" si="55">PI()/4*((E34-2*X34/1000)^2-((E34-2*X34/1000)-2*(F34-X34-Y34)/1000)^2)</f>
        <v>2.8975254619250572</v>
      </c>
      <c r="AA34" s="220">
        <f t="shared" ref="AA34:AA36" si="56">PI()/32*((E34-2*X34/1000)^4-((E34-2*X34/1000)-2*(F34-X34-Y34)/1000)^4)/(E34-2*X34/1000)</f>
        <v>5.6280246984555191</v>
      </c>
      <c r="AB34" s="220">
        <f t="shared" ref="AB34:AB36" si="57">(0.5*E34-(X34/1000))-(0.5*(AC34/1000))</f>
        <v>3.9415</v>
      </c>
      <c r="AC34" s="120">
        <f t="shared" ref="AC34:AC36" si="58">F34-X34-Y34</f>
        <v>117</v>
      </c>
      <c r="AD34" s="220">
        <f t="shared" ref="AD34:AD36" si="59">$R$4/SQRT(AB34*AC34/1000)</f>
        <v>23.075190769019688</v>
      </c>
      <c r="AE34" s="220">
        <f t="shared" ref="AE34:AE36" si="60">(J34/((0.605*$W$2*IF(AD34&gt;0.5*(AB34)/(AC34/1000),MAX(0.6,1+0.2/$AC$7*(1-2*AD34*(AC34/1000)/(AB34))),IF(AD34&lt;=1.7,1.36-(1.83/AD34)+(2.07/AD34^2),1)))*((AC34/1000)/(AB34)/1000)))^0.5</f>
        <v>0.28319396487231668</v>
      </c>
      <c r="AF34" s="220">
        <f t="shared" ref="AF34:AF36" si="61">0.62/(1+1.91*((((AB34)/(AC34/1000))^0.5*(AC34/1000)/$AC$4)/(AC34/1000))^1.44)</f>
        <v>0.42951480945078241</v>
      </c>
      <c r="AG34" s="220">
        <f t="shared" ref="AG34:AG36" si="62">IF(AND((AB34)/(AC34/1000)&lt;=150,AD34&lt;=6*(AB34)/(AC34/1000),$W$2/(J34*1000)&lt;=1000,500&lt;=$W$2/(J34*1000)),0.2+0.1*(ABS(V34/(PI()*(AB34^2)*AC34))/G34),0.2)</f>
        <v>0.2891252990862257</v>
      </c>
      <c r="AH34" s="220">
        <f t="shared" ref="AH34:AH36" si="63">IF(AE34&lt;=AG34,1,IF(AE34&gt;=(AF34/(1-0.6))^0.5,AF34/(AE34^2),1-0.6*((AE34-(AG34))/((AF34/(1-0.6))^0.5-AG34))))</f>
        <v>1</v>
      </c>
      <c r="AI34" s="220">
        <f t="shared" ref="AI34:AI36" si="64">IF(AD34/1.25&gt;1.63*((AB34)/(AC34/1000)),$W$2/1000*(AC34/(AB34*1000))^2*(0.275+2.03*(1.25/AD34*AB34*1000/AC34)^4),IF(AD34/1.25&lt;20,0.92*$W$2/1000*((1.25+(8/AD34^2)-(4/AD34^3))/AD34)*((AC34/1000)/(AB34)),0.92*$W$2/1000*(1.25/AD34)*((AC34/1000)/(AB34))))</f>
        <v>314.32093052759592</v>
      </c>
      <c r="AJ34" s="220">
        <f t="shared" ref="AJ34:AJ36" si="65">SQRT(J34/AI34)</f>
        <v>0.96877819940372223</v>
      </c>
      <c r="AK34" s="220">
        <f t="shared" ref="AK34:AK36" si="66">IF(AJ34&lt;0.4,1,IF(AJ34&lt;SQRT($AC$5/(1-0.6)),1-0.6*((AJ34-0.4)/(SQRT($AC$5/(1-0.6))-0.4)^1),$AC$5/AJ34^2))</f>
        <v>0.52472038233679885</v>
      </c>
      <c r="AL34" s="220">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0.98468674659983102</v>
      </c>
      <c r="AM34" s="220">
        <f t="shared" ref="AM34:AM36" si="68">AM25</f>
        <v>1</v>
      </c>
      <c r="AN34" s="220">
        <f t="shared" ref="AN34:AN36" si="69">IF(NOT(ISNUMBER(D35)),0,ABS(J7-J8))</f>
        <v>0</v>
      </c>
      <c r="AO34" s="220">
        <f t="shared" ref="AO34:AO36" si="70">MAX(AN34,J7)</f>
        <v>0</v>
      </c>
      <c r="AP34" s="220">
        <f t="shared" ref="AP34:AP36" si="71">((ABS(T34/(PI()*((E34-2*X34/1000)-((AC34))/1000*COS(AO34*PI()/180))*(AC34)/1000))/1000)+ABS((4*V34)/(PI()*((E34-X34/1000)-((F34-X34-Y34)/1000)*COS(AO34*PI()/180))^2*((AC34)/1000))/1000))/COS(AO34*PI()/180)</f>
        <v>156.31000732893045</v>
      </c>
      <c r="AQ34" s="220">
        <f t="shared" ref="AQ34:AQ36" si="72">((0.6*(F34-X34-Y34)*((E34*1000-2*X34)*(2*(AC34)))^0.5)/((AC34)^2))*(G34*TAN(AN34*PI()/180))</f>
        <v>0</v>
      </c>
      <c r="AR34" s="220">
        <f t="shared" ref="AR34:AR36" si="73">IF(AN34=0,0,0.45*((E34*1000-2*X34)/(AC34))^0.5*G34*TAN(AN34*PI()/180)+I34)</f>
        <v>0</v>
      </c>
      <c r="AS34" s="220">
        <f t="shared" ref="AS34:AS36" si="74">IF(AO34=0,0,1.18*AP34/IF(J34/(2*0.3*$W$2/1000*(AC34)/1000/(E34-2*X34/1000))&lt;=0.17,J34,(1.047-0.274*(J34/(2*0.3*$W$2/1000*(AC34)/1000/(E34-2*X34/1000))))*J34))</f>
        <v>0</v>
      </c>
      <c r="AT34" s="220">
        <f t="shared" ref="AT34:AT36" si="75">IF(AN34=0,0,MAX(G34+AQ34,AP34+AQ34))</f>
        <v>0</v>
      </c>
      <c r="AU34" s="220">
        <f t="shared" ref="AU34:AU36" si="76">(AT34^2+AR34^2+AR34*AT34)^0.5/(J34/$W$10)</f>
        <v>0</v>
      </c>
      <c r="AV34" s="220">
        <f t="shared" ref="AV34:AV36" si="77">1.1*AT34/J34</f>
        <v>0</v>
      </c>
      <c r="AW34" s="220">
        <f t="shared" ref="AW34:AW36" si="78">1.25*AR34/IF(0.4*$W$2/1000*(AC34)/1000/(E34-2*X34/1000)/J34&gt;2.44,J34,IF(0.4*$W$2/1000*(AC34)/1000/(E34-2*X34/1000)/J34&lt;=0.55,0.4*$W$2/1000*(AC34)/1000/(E34-2*X34/1000),MIN(0.7*(0.4*$W$2/1000*(AC34)/1000/(E34-2*X34/1000)/J34)^0.4*J34,J34)))</f>
        <v>0</v>
      </c>
      <c r="AX34" s="220">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8</v>
      </c>
      <c r="F35" s="120">
        <f t="shared" si="80"/>
        <v>124</v>
      </c>
      <c r="G35" s="120">
        <f t="shared" si="46"/>
        <v>152.13242509667143</v>
      </c>
      <c r="H35" s="120">
        <f t="shared" si="47"/>
        <v>12.888295524128441</v>
      </c>
      <c r="I35" s="120">
        <f t="shared" si="48"/>
        <v>8.6220525120967739</v>
      </c>
      <c r="J35" s="120">
        <f>VLOOKUP(R35,'Steel grades'!$B$5:$J$22,IF(F35&gt;200,10,IF(F35&gt;150,9,IF(F35&gt;120,8,IF(F35&gt;100,7,IF(F35&gt;80,6,IF(F35&gt;63,5,IF(F35&gt;40,4,IF(F35&gt;16,3,2)))))))),FALSE)</f>
        <v>295</v>
      </c>
      <c r="K35" s="3">
        <f t="shared" si="49"/>
        <v>227.95454545454544</v>
      </c>
      <c r="L35" s="3">
        <f t="shared" si="50"/>
        <v>150.09504752505725</v>
      </c>
      <c r="M35" s="3">
        <f t="shared" si="51"/>
        <v>154.41157395519605</v>
      </c>
      <c r="N35" s="3">
        <f t="shared" si="52"/>
        <v>0.66738052883883781</v>
      </c>
      <c r="O35" s="3">
        <f t="shared" si="53"/>
        <v>0.53628610832100998</v>
      </c>
      <c r="P35" s="3">
        <f>(ABS(Geometry_loads!S10)/Z35+ABS(Geometry_loads!T10)/AA35)/(1000*J35)</f>
        <v>0.39535916648281133</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-50342.570666666667</v>
      </c>
      <c r="U35" s="3">
        <f>Geometry_loads!M10</f>
        <v>63727.137999999999</v>
      </c>
      <c r="V35" s="3">
        <f>Geometry_loads!N10</f>
        <v>819937.39333333343</v>
      </c>
      <c r="W35" s="3">
        <f>Geometry_loads!O10</f>
        <v>11680.335266666669</v>
      </c>
      <c r="X35" s="3">
        <f t="shared" ref="X35:Y35" si="81">X26</f>
        <v>0</v>
      </c>
      <c r="Y35" s="3">
        <f t="shared" si="81"/>
        <v>0</v>
      </c>
      <c r="Z35" s="18">
        <f t="shared" si="55"/>
        <v>3.0681547837194816</v>
      </c>
      <c r="AA35" s="220">
        <f t="shared" si="56"/>
        <v>5.9490324675955115</v>
      </c>
      <c r="AB35" s="220">
        <f t="shared" si="57"/>
        <v>3.9380000000000002</v>
      </c>
      <c r="AC35" s="120">
        <f t="shared" si="58"/>
        <v>124</v>
      </c>
      <c r="AD35" s="220">
        <f t="shared" si="59"/>
        <v>22.424372445226798</v>
      </c>
      <c r="AE35" s="220">
        <f t="shared" si="60"/>
        <v>0.27536035875479897</v>
      </c>
      <c r="AF35" s="220">
        <f t="shared" si="61"/>
        <v>0.43507380691379199</v>
      </c>
      <c r="AG35" s="220">
        <f t="shared" si="62"/>
        <v>0.28921459805618699</v>
      </c>
      <c r="AH35" s="220">
        <f t="shared" si="63"/>
        <v>1</v>
      </c>
      <c r="AI35" s="220">
        <f t="shared" si="64"/>
        <v>343.33150118549719</v>
      </c>
      <c r="AJ35" s="220">
        <f t="shared" si="65"/>
        <v>0.9269454601615531</v>
      </c>
      <c r="AK35" s="220">
        <f t="shared" si="66"/>
        <v>0.5596764483985186</v>
      </c>
      <c r="AL35" s="220">
        <f t="shared" si="67"/>
        <v>0.99726630679249695</v>
      </c>
      <c r="AM35" s="220">
        <f t="shared" si="68"/>
        <v>0.85</v>
      </c>
      <c r="AN35" s="220">
        <f t="shared" si="69"/>
        <v>0</v>
      </c>
      <c r="AO35" s="220">
        <f t="shared" si="70"/>
        <v>0</v>
      </c>
      <c r="AP35" s="220">
        <f t="shared" si="71"/>
        <v>152.13242509667143</v>
      </c>
      <c r="AQ35" s="220">
        <f t="shared" si="72"/>
        <v>0</v>
      </c>
      <c r="AR35" s="220">
        <f t="shared" si="73"/>
        <v>0</v>
      </c>
      <c r="AS35" s="220">
        <f t="shared" si="74"/>
        <v>0</v>
      </c>
      <c r="AT35" s="220">
        <f t="shared" si="75"/>
        <v>0</v>
      </c>
      <c r="AU35" s="220">
        <f t="shared" si="76"/>
        <v>0</v>
      </c>
      <c r="AV35" s="220">
        <f t="shared" si="77"/>
        <v>0</v>
      </c>
      <c r="AW35" s="220">
        <f t="shared" si="78"/>
        <v>0</v>
      </c>
      <c r="AX35" s="220">
        <f t="shared" si="79"/>
        <v>0</v>
      </c>
    </row>
    <row r="36" spans="3:50">
      <c r="C36" s="12" t="str">
        <f t="shared" si="43"/>
        <v>Can4</v>
      </c>
      <c r="D36" s="2">
        <f t="shared" si="44"/>
        <v>5.8</v>
      </c>
      <c r="E36" s="3">
        <f t="shared" ref="E36:F36" si="82">G9</f>
        <v>8</v>
      </c>
      <c r="F36" s="120">
        <f t="shared" si="82"/>
        <v>120</v>
      </c>
      <c r="G36" s="120">
        <f t="shared" si="46"/>
        <v>161.33841900914877</v>
      </c>
      <c r="H36" s="120">
        <f t="shared" si="47"/>
        <v>13.907688341389626</v>
      </c>
      <c r="I36" s="120">
        <f t="shared" si="48"/>
        <v>8.9139791249999991</v>
      </c>
      <c r="J36" s="120">
        <f>VLOOKUP(R36,'Steel grades'!$B$5:$J$22,IF(F36&gt;200,10,IF(F36&gt;150,9,IF(F36&gt;120,8,IF(F36&gt;100,7,IF(F36&gt;80,6,IF(F36&gt;63,5,IF(F36&gt;40,4,IF(F36&gt;16,3,2)))))))),FALSE)</f>
        <v>295</v>
      </c>
      <c r="K36" s="3">
        <f t="shared" si="49"/>
        <v>268.18181818181819</v>
      </c>
      <c r="L36" s="3">
        <f t="shared" si="50"/>
        <v>144.85511216144624</v>
      </c>
      <c r="M36" s="3">
        <f t="shared" si="51"/>
        <v>153.32112055882047</v>
      </c>
      <c r="N36" s="3">
        <f t="shared" si="52"/>
        <v>0.60160088444089366</v>
      </c>
      <c r="O36" s="3">
        <f t="shared" si="53"/>
        <v>0.56852200722178037</v>
      </c>
      <c r="P36" s="3">
        <f>(ABS(Geometry_loads!S11)/Z36+ABS(Geometry_loads!T11)/AA36)/(1000*J36)</f>
        <v>0.41910926939416882</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-51357.09</v>
      </c>
      <c r="U36" s="3">
        <f>Geometry_loads!M11</f>
        <v>63733.01</v>
      </c>
      <c r="V36" s="3">
        <f>Geometry_loads!N11</f>
        <v>843020.80000000005</v>
      </c>
      <c r="W36" s="3">
        <f>Geometry_loads!O11</f>
        <v>12569.77</v>
      </c>
      <c r="X36" s="3">
        <f t="shared" ref="X36:Y36" si="83">X27</f>
        <v>0</v>
      </c>
      <c r="Y36" s="3">
        <f t="shared" si="83"/>
        <v>0</v>
      </c>
      <c r="Z36" s="18">
        <f t="shared" si="55"/>
        <v>2.9706900132345107</v>
      </c>
      <c r="AA36" s="220">
        <f t="shared" si="56"/>
        <v>5.7658122466868607</v>
      </c>
      <c r="AB36" s="220">
        <f t="shared" si="57"/>
        <v>3.94</v>
      </c>
      <c r="AC36" s="120">
        <f t="shared" si="58"/>
        <v>120</v>
      </c>
      <c r="AD36" s="220">
        <f t="shared" si="59"/>
        <v>22.789262061616402</v>
      </c>
      <c r="AE36" s="220">
        <f t="shared" si="60"/>
        <v>0.27975290830275734</v>
      </c>
      <c r="AF36" s="220">
        <f t="shared" si="61"/>
        <v>0.4319477328387506</v>
      </c>
      <c r="AG36" s="220">
        <f t="shared" si="62"/>
        <v>0.28928467680816222</v>
      </c>
      <c r="AH36" s="220">
        <f t="shared" si="63"/>
        <v>1</v>
      </c>
      <c r="AI36" s="220">
        <f t="shared" si="64"/>
        <v>326.64426002784688</v>
      </c>
      <c r="AJ36" s="220">
        <f t="shared" si="65"/>
        <v>0.95032792829103219</v>
      </c>
      <c r="AK36" s="220">
        <f t="shared" si="66"/>
        <v>0.54013770636471481</v>
      </c>
      <c r="AL36" s="220">
        <f t="shared" si="67"/>
        <v>0.99022361948948212</v>
      </c>
      <c r="AM36" s="220">
        <f t="shared" si="68"/>
        <v>1</v>
      </c>
      <c r="AN36" s="220">
        <f t="shared" si="69"/>
        <v>0</v>
      </c>
      <c r="AO36" s="220">
        <f t="shared" si="70"/>
        <v>0</v>
      </c>
      <c r="AP36" s="220">
        <f t="shared" si="71"/>
        <v>161.33841900914882</v>
      </c>
      <c r="AQ36" s="220">
        <f t="shared" si="72"/>
        <v>0</v>
      </c>
      <c r="AR36" s="220">
        <f t="shared" si="73"/>
        <v>0</v>
      </c>
      <c r="AS36" s="220">
        <f t="shared" si="74"/>
        <v>0</v>
      </c>
      <c r="AT36" s="220">
        <f t="shared" si="75"/>
        <v>0</v>
      </c>
      <c r="AU36" s="220">
        <f t="shared" si="76"/>
        <v>0</v>
      </c>
      <c r="AV36" s="220">
        <f t="shared" si="77"/>
        <v>0</v>
      </c>
      <c r="AW36" s="220">
        <f t="shared" si="78"/>
        <v>0</v>
      </c>
      <c r="AX36" s="220">
        <f t="shared" si="79"/>
        <v>0</v>
      </c>
    </row>
  </sheetData>
  <mergeCells count="95">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 ref="AS21:AS22"/>
    <mergeCell ref="AE21:AE22"/>
    <mergeCell ref="AF21:AF22"/>
    <mergeCell ref="AH21:AH22"/>
    <mergeCell ref="AI21:AI22"/>
    <mergeCell ref="AJ21:AJ22"/>
    <mergeCell ref="AP21:AP22"/>
    <mergeCell ref="AQ21:AQ22"/>
    <mergeCell ref="AU30:AU31"/>
    <mergeCell ref="AV30:AV31"/>
    <mergeCell ref="AW21:AW22"/>
    <mergeCell ref="AW30:AW31"/>
    <mergeCell ref="AX30:AX31"/>
    <mergeCell ref="AX21:AX22"/>
    <mergeCell ref="AU21:AU22"/>
    <mergeCell ref="AV21:AV22"/>
    <mergeCell ref="C21:C22"/>
    <mergeCell ref="D21:D22"/>
    <mergeCell ref="E21:E22"/>
    <mergeCell ref="F21:F22"/>
    <mergeCell ref="G21:G22"/>
    <mergeCell ref="H21:H22"/>
    <mergeCell ref="I21:I22"/>
    <mergeCell ref="J21:J22"/>
    <mergeCell ref="K21:K22"/>
    <mergeCell ref="L21:L22"/>
    <mergeCell ref="M21:M22"/>
    <mergeCell ref="N21:N22"/>
    <mergeCell ref="P21:P22"/>
    <mergeCell ref="Q21:Q22"/>
    <mergeCell ref="O21:O22"/>
    <mergeCell ref="C30:C31"/>
    <mergeCell ref="D30:D31"/>
    <mergeCell ref="E30:E31"/>
    <mergeCell ref="F30:F31"/>
    <mergeCell ref="G30:G31"/>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R21:R22"/>
    <mergeCell ref="T21:T22"/>
    <mergeCell ref="U21:U22"/>
    <mergeCell ref="V21:V22"/>
    <mergeCell ref="AM30:AM31"/>
    <mergeCell ref="AC21:AC22"/>
    <mergeCell ref="AD21:AD22"/>
    <mergeCell ref="AG21:AG22"/>
    <mergeCell ref="AK21:AK22"/>
    <mergeCell ref="AL21:AL22"/>
    <mergeCell ref="AM21:AM22"/>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s>
  <phoneticPr fontId="15" type="noConversion"/>
  <conditionalFormatting sqref="Q24:Q27 Q33:Q36">
    <cfRule type="cellIs" dxfId="21" priority="32" operator="greaterThan">
      <formula>F24</formula>
    </cfRule>
  </conditionalFormatting>
  <conditionalFormatting sqref="Q24:Q27 Q33:Q36">
    <cfRule type="cellIs" dxfId="20" priority="31" operator="lessThan">
      <formula>F24</formula>
    </cfRule>
  </conditionalFormatting>
  <conditionalFormatting sqref="N24:N27">
    <cfRule type="cellIs" dxfId="19" priority="13" operator="greaterThan">
      <formula>1</formula>
    </cfRule>
    <cfRule type="cellIs" dxfId="18" priority="14" operator="lessThan">
      <formula>0.9</formula>
    </cfRule>
    <cfRule type="cellIs" dxfId="17" priority="15" operator="greaterThan">
      <formula>0.9</formula>
    </cfRule>
  </conditionalFormatting>
  <conditionalFormatting sqref="N33:N36">
    <cfRule type="cellIs" dxfId="16" priority="10" operator="greaterThan">
      <formula>1</formula>
    </cfRule>
    <cfRule type="cellIs" dxfId="15" priority="11" operator="lessThan">
      <formula>0.9</formula>
    </cfRule>
    <cfRule type="cellIs" dxfId="14" priority="12" operator="greaterThan">
      <formula>0.9</formula>
    </cfRule>
  </conditionalFormatting>
  <conditionalFormatting sqref="O24:O27">
    <cfRule type="cellIs" dxfId="13" priority="4" operator="greaterThan">
      <formula>1</formula>
    </cfRule>
    <cfRule type="cellIs" dxfId="12" priority="5" operator="lessThan">
      <formula>0.9</formula>
    </cfRule>
    <cfRule type="cellIs" dxfId="11" priority="6" operator="greaterThan">
      <formula>0.9</formula>
    </cfRule>
  </conditionalFormatting>
  <conditionalFormatting sqref="O33:O36">
    <cfRule type="cellIs" dxfId="10" priority="1" operator="greaterThan">
      <formula>1</formula>
    </cfRule>
    <cfRule type="cellIs" dxfId="9" priority="2" operator="lessThan">
      <formula>0.9</formula>
    </cfRule>
    <cfRule type="cellIs" dxfId="8"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91"/>
  <sheetViews>
    <sheetView topLeftCell="A25" workbookViewId="0">
      <selection activeCell="E34" sqref="E34:M35"/>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5" t="s">
        <v>557</v>
      </c>
      <c r="Q1" s="211"/>
      <c r="R1" s="211"/>
      <c r="S1" s="211"/>
      <c r="T1" s="212"/>
      <c r="U1" s="213" t="s">
        <v>558</v>
      </c>
      <c r="V1" s="213"/>
      <c r="W1" s="213"/>
      <c r="X1" s="213"/>
      <c r="Y1" s="213"/>
      <c r="Z1" s="214"/>
      <c r="AA1" s="205" t="s">
        <v>560</v>
      </c>
      <c r="AB1" s="213"/>
      <c r="AC1" s="213"/>
      <c r="AD1" s="213"/>
    </row>
    <row r="2" spans="3:32">
      <c r="P2" s="32" t="s">
        <v>137</v>
      </c>
      <c r="Q2" s="214"/>
      <c r="R2" s="206">
        <f>Control!$F$8</f>
        <v>-43.5</v>
      </c>
      <c r="S2" s="32" t="str">
        <f>"m"&amp;Control!$F$7</f>
        <v>mLAT</v>
      </c>
      <c r="T2" s="214"/>
      <c r="U2" s="32" t="s">
        <v>92</v>
      </c>
      <c r="V2" s="214"/>
      <c r="W2" s="206">
        <v>210000000</v>
      </c>
      <c r="X2" s="32" t="s">
        <v>93</v>
      </c>
      <c r="Y2" s="214"/>
      <c r="Z2" s="194"/>
      <c r="AA2" s="32" t="s">
        <v>561</v>
      </c>
      <c r="AB2" s="214"/>
      <c r="AC2" s="201" t="str">
        <f>Control!$F$31</f>
        <v>C</v>
      </c>
      <c r="AD2" s="214"/>
    </row>
    <row r="3" spans="3:32">
      <c r="C3" s="35" t="s">
        <v>441</v>
      </c>
      <c r="P3" s="32" t="s">
        <v>538</v>
      </c>
      <c r="Q3" s="214"/>
      <c r="R3" s="215">
        <f>MAX(R2-MIN(E6:E30),0)</f>
        <v>36.930000000000007</v>
      </c>
      <c r="S3" s="32" t="str">
        <f>"m"&amp;Control!$F$7</f>
        <v>mLAT</v>
      </c>
      <c r="T3" s="214"/>
      <c r="U3" s="32" t="s">
        <v>143</v>
      </c>
      <c r="V3" s="32"/>
      <c r="W3" s="206">
        <f>Control!$F$11</f>
        <v>1.0249999999999999</v>
      </c>
      <c r="X3" s="32" t="s">
        <v>144</v>
      </c>
      <c r="Y3" s="214"/>
      <c r="Z3" s="214"/>
      <c r="AA3" s="32" t="s">
        <v>563</v>
      </c>
      <c r="AB3" s="214"/>
      <c r="AC3" s="214"/>
      <c r="AD3" s="214"/>
    </row>
    <row r="4" spans="3:32">
      <c r="C4" s="308" t="s">
        <v>0</v>
      </c>
      <c r="D4" s="12" t="s">
        <v>1</v>
      </c>
      <c r="E4" s="12" t="s">
        <v>2</v>
      </c>
      <c r="F4" s="12" t="s">
        <v>104</v>
      </c>
      <c r="G4" s="12" t="s">
        <v>103</v>
      </c>
      <c r="H4" s="12" t="s">
        <v>5</v>
      </c>
      <c r="I4" s="12" t="s">
        <v>6</v>
      </c>
      <c r="J4" s="12" t="s">
        <v>7</v>
      </c>
      <c r="K4" s="12" t="s">
        <v>8</v>
      </c>
      <c r="L4" s="20"/>
      <c r="P4" s="32" t="s">
        <v>196</v>
      </c>
      <c r="Q4" s="32"/>
      <c r="R4" s="206">
        <f>MIN(SUM(I6:I30),D6-R2+R3*Control!F32)</f>
        <v>73.92</v>
      </c>
      <c r="S4" s="32" t="s">
        <v>91</v>
      </c>
      <c r="T4" s="214"/>
      <c r="U4" s="213" t="s">
        <v>559</v>
      </c>
      <c r="V4" s="213"/>
      <c r="W4" s="213"/>
      <c r="X4" s="213"/>
      <c r="Y4" s="213"/>
      <c r="Z4" s="214"/>
      <c r="AA4" s="214"/>
      <c r="AB4" s="214" t="s">
        <v>562</v>
      </c>
      <c r="AC4" s="206">
        <f>IF(AC2="A",40,IF(AC2="B",25,16))</f>
        <v>16</v>
      </c>
      <c r="AD4" s="214"/>
    </row>
    <row r="5" spans="3:32">
      <c r="C5" s="309"/>
      <c r="D5" s="12" t="str">
        <f>"[m"&amp;Control!$F$7&amp;"]"</f>
        <v>[mLAT]</v>
      </c>
      <c r="E5" s="12" t="str">
        <f>"[m"&amp;Control!$F$7&amp;"]"</f>
        <v>[mLAT]</v>
      </c>
      <c r="F5" s="12" t="s">
        <v>9</v>
      </c>
      <c r="G5" s="12" t="s">
        <v>9</v>
      </c>
      <c r="H5" s="12" t="s">
        <v>10</v>
      </c>
      <c r="I5" s="12" t="s">
        <v>9</v>
      </c>
      <c r="J5" s="12" t="s">
        <v>11</v>
      </c>
      <c r="K5" s="12" t="s">
        <v>12</v>
      </c>
      <c r="L5" s="20"/>
      <c r="P5" s="195" t="s">
        <v>517</v>
      </c>
      <c r="Q5" s="211"/>
      <c r="R5" s="211"/>
      <c r="S5" s="195"/>
      <c r="T5" s="214"/>
      <c r="U5" s="32" t="s">
        <v>139</v>
      </c>
      <c r="V5" s="32"/>
      <c r="W5" s="201">
        <f>Control!$F$35</f>
        <v>3.8</v>
      </c>
      <c r="X5" s="32" t="str">
        <f>"m"&amp;Control!$F$7</f>
        <v>mLAT</v>
      </c>
      <c r="Y5" s="214"/>
      <c r="Z5" s="214"/>
      <c r="AA5" s="32"/>
      <c r="AB5" s="200" t="s">
        <v>564</v>
      </c>
      <c r="AC5" s="206">
        <f>IF(AC2="A",0.75,IF(AC2="B",0.65,0.5))</f>
        <v>0.5</v>
      </c>
      <c r="AD5" s="32"/>
      <c r="AE5" s="32"/>
    </row>
    <row r="6" spans="3:32">
      <c r="C6" s="12">
        <v>1</v>
      </c>
      <c r="D6" s="44">
        <f>Geometry!D26</f>
        <v>5.8</v>
      </c>
      <c r="E6" s="44">
        <f>Geometry!E26</f>
        <v>2.6</v>
      </c>
      <c r="F6" s="44">
        <f>Geometry!F26</f>
        <v>8</v>
      </c>
      <c r="G6" s="44">
        <f>Geometry!G26</f>
        <v>8</v>
      </c>
      <c r="H6" s="44">
        <f>Geometry!H26</f>
        <v>125</v>
      </c>
      <c r="I6" s="56">
        <f>D6-E6</f>
        <v>3.1999999999999997</v>
      </c>
      <c r="J6" s="57">
        <f>ATAN((G6-F6)/(2*I6))/PI()*180</f>
        <v>0</v>
      </c>
      <c r="K6" s="58">
        <f>IF(J6=0,PI()/4*(F6^2-(F6-(2*H6/1000))^2)*I6*7850/1000,(I6*PI()/12)*((G6^2+G6*F6+F6^2)-((G6-2*(H6/1000))^2+(G6-(2*H6/1000))*(F6-(2*H6/1000))+(F6-(2*H6/1000))^2))*7850/1000)</f>
        <v>77.683732341641601</v>
      </c>
      <c r="L6" s="21"/>
      <c r="P6" s="32" t="str">
        <f>Control!$E$16</f>
        <v>External upper limit</v>
      </c>
      <c r="Q6" s="214"/>
      <c r="R6" s="201">
        <f>Control!$F$16</f>
        <v>8.1</v>
      </c>
      <c r="S6" s="32" t="str">
        <f>"m"&amp;Control!$F$7</f>
        <v>mLAT</v>
      </c>
      <c r="T6" s="32"/>
      <c r="U6" s="32" t="s">
        <v>140</v>
      </c>
      <c r="V6" s="32"/>
      <c r="W6" s="201">
        <f>Control!$F$36</f>
        <v>17.3</v>
      </c>
      <c r="X6" s="32" t="str">
        <f>"m"&amp;Control!$F$7</f>
        <v>mLAT</v>
      </c>
      <c r="Y6" s="32"/>
      <c r="Z6" s="32"/>
      <c r="AA6" s="214"/>
      <c r="AB6" s="200" t="s">
        <v>565</v>
      </c>
      <c r="AC6" s="206">
        <f>IF(AC2="A",0.75,IF(AC2="B",0.65,0.5))</f>
        <v>0.5</v>
      </c>
      <c r="AD6" s="214"/>
    </row>
    <row r="7" spans="3:32">
      <c r="C7" s="12">
        <v>2</v>
      </c>
      <c r="D7" s="44">
        <f>Geometry!D27</f>
        <v>2.6</v>
      </c>
      <c r="E7" s="44">
        <f>Geometry!E27</f>
        <v>-0.6</v>
      </c>
      <c r="F7" s="44">
        <f>Geometry!F27</f>
        <v>8</v>
      </c>
      <c r="G7" s="44">
        <f>Geometry!G27</f>
        <v>8</v>
      </c>
      <c r="H7" s="44">
        <f>Geometry!H27</f>
        <v>116</v>
      </c>
      <c r="I7" s="56">
        <f t="shared" ref="I7:I30" si="0">D7-E7</f>
        <v>3.2</v>
      </c>
      <c r="J7" s="57">
        <f t="shared" ref="J7:J30" si="1">ATAN((G7-F7)/(2*I7))/PI()*180</f>
        <v>0</v>
      </c>
      <c r="K7" s="58">
        <f t="shared" ref="K7:K30" si="2">IF(J7=0,PI()/4*(F7^2-(F7-(2*H7/1000))^2)*I7*7850/1000,(I7*PI()/12)*((G7^2+G7*F7+F7^2)-((G7-2*(H7/1000))^2+(G7-(2*H7/1000))*(F7-(2*H7/1000))+(F7-(2*H7/1000))^2))*7850/1000)</f>
        <v>72.172892760029853</v>
      </c>
      <c r="P7" s="32" t="str">
        <f>Control!$E$17</f>
        <v xml:space="preserve">External lower limit </v>
      </c>
      <c r="Q7" s="214"/>
      <c r="R7" s="201">
        <f>Control!$F$17</f>
        <v>-3.4</v>
      </c>
      <c r="S7" s="32" t="str">
        <f>"m"&amp;Control!$F$7</f>
        <v>mLAT</v>
      </c>
      <c r="T7" s="32"/>
      <c r="U7" s="32" t="s">
        <v>141</v>
      </c>
      <c r="V7" s="32"/>
      <c r="W7" s="206">
        <f>(1.35*(W6-W5)*W3*9.81)/1000</f>
        <v>0.18325693125</v>
      </c>
      <c r="X7" s="32" t="s">
        <v>142</v>
      </c>
      <c r="Y7" s="32"/>
      <c r="Z7" s="32"/>
      <c r="AB7" s="32" t="s">
        <v>604</v>
      </c>
      <c r="AC7">
        <v>3</v>
      </c>
    </row>
    <row r="8" spans="3:32">
      <c r="C8" s="12">
        <v>3</v>
      </c>
      <c r="D8" s="44">
        <f>Geometry!D28</f>
        <v>-0.6</v>
      </c>
      <c r="E8" s="44">
        <f>Geometry!E28</f>
        <v>-3.8</v>
      </c>
      <c r="F8" s="44">
        <f>Geometry!F28</f>
        <v>8</v>
      </c>
      <c r="G8" s="44">
        <f>Geometry!G28</f>
        <v>8</v>
      </c>
      <c r="H8" s="44">
        <f>Geometry!H28</f>
        <v>125</v>
      </c>
      <c r="I8" s="56">
        <f t="shared" si="0"/>
        <v>3.1999999999999997</v>
      </c>
      <c r="J8" s="57">
        <f t="shared" si="1"/>
        <v>0</v>
      </c>
      <c r="K8" s="58">
        <f t="shared" si="2"/>
        <v>77.683732341641601</v>
      </c>
      <c r="P8" s="32" t="str">
        <f>Control!$E$18</f>
        <v>Internal upper limit</v>
      </c>
      <c r="Q8" s="214"/>
      <c r="R8" s="201">
        <f>Control!$F$18</f>
        <v>3</v>
      </c>
      <c r="S8" s="32" t="str">
        <f>"m"&amp;Control!$F$7</f>
        <v>mLAT</v>
      </c>
      <c r="T8" s="32"/>
      <c r="U8" s="205" t="s">
        <v>521</v>
      </c>
      <c r="V8" s="213"/>
      <c r="W8" s="213"/>
      <c r="X8" s="213"/>
      <c r="Y8" s="205"/>
      <c r="Z8" s="32"/>
      <c r="AA8" s="202" t="s">
        <v>519</v>
      </c>
      <c r="AB8" s="213"/>
      <c r="AC8" s="213"/>
      <c r="AD8" s="213"/>
    </row>
    <row r="9" spans="3:32">
      <c r="C9" s="12">
        <v>4</v>
      </c>
      <c r="D9" s="44">
        <f>Geometry!D29</f>
        <v>-3.8</v>
      </c>
      <c r="E9" s="44">
        <f>Geometry!E29</f>
        <v>-7.3</v>
      </c>
      <c r="F9" s="44">
        <f>Geometry!F29</f>
        <v>8</v>
      </c>
      <c r="G9" s="44">
        <f>Geometry!G29</f>
        <v>8.4377999999999993</v>
      </c>
      <c r="H9" s="44">
        <f>Geometry!H29</f>
        <v>125</v>
      </c>
      <c r="I9" s="56">
        <f t="shared" si="0"/>
        <v>3.5</v>
      </c>
      <c r="J9" s="57">
        <f t="shared" si="1"/>
        <v>3.5787803472726449</v>
      </c>
      <c r="K9" s="58">
        <f t="shared" si="2"/>
        <v>87.32838350000182</v>
      </c>
      <c r="P9" s="32" t="str">
        <f>Control!$E$19</f>
        <v>Internal lower limit</v>
      </c>
      <c r="Q9" s="214"/>
      <c r="R9" s="201">
        <f>Control!$F$19</f>
        <v>-0.6</v>
      </c>
      <c r="S9" s="32" t="str">
        <f>"m"&amp;Control!$F$7</f>
        <v>mLAT</v>
      </c>
      <c r="T9" s="32"/>
      <c r="U9" s="32" t="s">
        <v>95</v>
      </c>
      <c r="V9" s="214"/>
      <c r="W9" s="201">
        <f>Control!$F$29</f>
        <v>1.1000000000000001</v>
      </c>
      <c r="X9" s="214"/>
      <c r="Y9" s="32"/>
      <c r="Z9" s="32"/>
      <c r="AA9" s="49" t="str">
        <f>Control!$E$12</f>
        <v xml:space="preserve">Corrosion allowance rate outside </v>
      </c>
      <c r="AB9" s="214"/>
      <c r="AC9" s="201">
        <f>Control!$F$12</f>
        <v>0.3</v>
      </c>
      <c r="AD9" s="214" t="s">
        <v>566</v>
      </c>
    </row>
    <row r="10" spans="3:32">
      <c r="C10" s="12">
        <v>5</v>
      </c>
      <c r="D10" s="44">
        <f>Geometry!D30</f>
        <v>-7.3</v>
      </c>
      <c r="E10" s="44">
        <f>Geometry!E30</f>
        <v>-10.8</v>
      </c>
      <c r="F10" s="44">
        <f>Geometry!F30</f>
        <v>8.4377999999999993</v>
      </c>
      <c r="G10" s="44">
        <f>Geometry!G30</f>
        <v>8.8756000000000004</v>
      </c>
      <c r="H10" s="44">
        <f>Geometry!H30</f>
        <v>106</v>
      </c>
      <c r="I10" s="56">
        <f t="shared" si="0"/>
        <v>3.5000000000000009</v>
      </c>
      <c r="J10" s="57">
        <f t="shared" si="1"/>
        <v>3.5787803472726587</v>
      </c>
      <c r="K10" s="58">
        <f t="shared" si="2"/>
        <v>78.23392306018836</v>
      </c>
      <c r="P10" s="198" t="s">
        <v>127</v>
      </c>
      <c r="Q10" s="198"/>
      <c r="R10" s="199" t="s">
        <v>133</v>
      </c>
      <c r="S10" s="199"/>
      <c r="T10" s="32"/>
      <c r="U10" s="32" t="s">
        <v>96</v>
      </c>
      <c r="V10" s="214"/>
      <c r="W10" s="201">
        <f>Control!$F$28</f>
        <v>1</v>
      </c>
      <c r="X10" s="32"/>
      <c r="Y10" s="32"/>
      <c r="Z10" s="32"/>
      <c r="AA10" s="49" t="str">
        <f>Control!$E$13</f>
        <v xml:space="preserve">Corrosion allowance rate inside </v>
      </c>
      <c r="AB10" s="214"/>
      <c r="AC10" s="201">
        <f>Control!$F$13</f>
        <v>0.15</v>
      </c>
      <c r="AD10" s="214" t="s">
        <v>566</v>
      </c>
    </row>
    <row r="11" spans="3:32">
      <c r="C11" s="12">
        <v>6</v>
      </c>
      <c r="D11" s="44">
        <f>Geometry!D31</f>
        <v>-10.8</v>
      </c>
      <c r="E11" s="44">
        <f>Geometry!E31</f>
        <v>-14.3</v>
      </c>
      <c r="F11" s="44">
        <f>Geometry!F31</f>
        <v>8.8756000000000004</v>
      </c>
      <c r="G11" s="44">
        <f>Geometry!G31</f>
        <v>9.3133999999999997</v>
      </c>
      <c r="H11" s="44">
        <f>Geometry!H31</f>
        <v>116</v>
      </c>
      <c r="I11" s="56">
        <f t="shared" si="0"/>
        <v>3.5</v>
      </c>
      <c r="J11" s="57">
        <f t="shared" si="1"/>
        <v>3.5787803472726449</v>
      </c>
      <c r="K11" s="58">
        <f t="shared" si="2"/>
        <v>89.897859262459406</v>
      </c>
      <c r="P11" s="197" t="s">
        <v>130</v>
      </c>
      <c r="Q11" s="210">
        <f>Control!$F$23</f>
        <v>-15</v>
      </c>
      <c r="R11" s="210">
        <f>Q11+Q13</f>
        <v>-25</v>
      </c>
      <c r="S11" s="32" t="s">
        <v>164</v>
      </c>
      <c r="T11" s="32"/>
      <c r="U11" s="214"/>
      <c r="V11" s="214"/>
      <c r="W11" s="214"/>
      <c r="X11" s="214"/>
      <c r="Y11" s="214"/>
      <c r="Z11" s="214"/>
      <c r="AA11" s="32" t="s">
        <v>43</v>
      </c>
      <c r="AB11" s="214"/>
      <c r="AC11" s="201">
        <f>'FLS TP'!AF24</f>
        <v>12</v>
      </c>
      <c r="AD11" s="214" t="s">
        <v>272</v>
      </c>
      <c r="AE11" s="32"/>
      <c r="AF11" s="32"/>
    </row>
    <row r="12" spans="3:32">
      <c r="C12" s="12">
        <v>7</v>
      </c>
      <c r="D12" s="44">
        <f>Geometry!D32</f>
        <v>-14.3</v>
      </c>
      <c r="E12" s="44">
        <f>Geometry!E32</f>
        <v>-17.8</v>
      </c>
      <c r="F12" s="44">
        <f>Geometry!F32</f>
        <v>9.3133999999999997</v>
      </c>
      <c r="G12" s="44">
        <f>Geometry!G32</f>
        <v>9.7510999999999992</v>
      </c>
      <c r="H12" s="44">
        <f>Geometry!H32</f>
        <v>103</v>
      </c>
      <c r="I12" s="56">
        <f t="shared" si="0"/>
        <v>3.5</v>
      </c>
      <c r="J12" s="57">
        <f t="shared" si="1"/>
        <v>3.5779650246316992</v>
      </c>
      <c r="K12" s="58">
        <f t="shared" si="2"/>
        <v>83.830479241988286</v>
      </c>
      <c r="P12" s="197" t="s">
        <v>131</v>
      </c>
      <c r="Q12" s="210">
        <f>Control!$F$24</f>
        <v>-5</v>
      </c>
      <c r="R12" s="210">
        <f>Q12+Q13</f>
        <v>-15</v>
      </c>
      <c r="S12" s="32" t="s">
        <v>164</v>
      </c>
      <c r="T12" s="32"/>
      <c r="U12" s="214"/>
      <c r="V12" s="214"/>
      <c r="W12" s="214"/>
      <c r="X12" s="214"/>
      <c r="Y12" s="214"/>
      <c r="Z12" s="214"/>
      <c r="AA12" s="214"/>
      <c r="AB12" s="214"/>
      <c r="AC12" s="32"/>
      <c r="AD12" s="214"/>
    </row>
    <row r="13" spans="3:32">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c r="P13" s="197" t="s">
        <v>128</v>
      </c>
      <c r="Q13" s="210">
        <f>Control!$F$25</f>
        <v>-10</v>
      </c>
      <c r="R13" s="210"/>
      <c r="S13" s="32" t="s">
        <v>164</v>
      </c>
      <c r="T13" s="32"/>
      <c r="U13" s="214"/>
      <c r="V13" s="214"/>
      <c r="W13" s="214"/>
      <c r="X13" s="214"/>
      <c r="Y13" s="214"/>
      <c r="Z13" s="214"/>
      <c r="AA13" s="214"/>
      <c r="AB13" s="214"/>
      <c r="AC13" s="214"/>
      <c r="AD13" s="214"/>
    </row>
    <row r="14" spans="3:32">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c r="P14" s="196" t="s">
        <v>576</v>
      </c>
      <c r="Q14" s="196"/>
      <c r="R14" s="210">
        <f>Control!$F$22</f>
        <v>0</v>
      </c>
      <c r="S14" s="32" t="str">
        <f>"m"&amp;Control!$F$7</f>
        <v>mLAT</v>
      </c>
      <c r="T14" s="32"/>
      <c r="U14" s="214"/>
      <c r="V14" s="214"/>
      <c r="W14" s="214"/>
      <c r="X14" s="214"/>
      <c r="Y14" s="214"/>
      <c r="Z14" s="214"/>
      <c r="AA14" s="214"/>
      <c r="AB14" s="214"/>
      <c r="AC14" s="214"/>
      <c r="AD14" s="214"/>
    </row>
    <row r="15" spans="3:32">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c r="T15" s="32"/>
      <c r="U15" s="214"/>
      <c r="V15" s="214"/>
      <c r="W15" s="214"/>
      <c r="X15" s="214"/>
      <c r="Y15" s="214"/>
      <c r="Z15" s="32"/>
      <c r="AA15" s="32"/>
      <c r="AB15" s="32"/>
      <c r="AC15" s="214"/>
      <c r="AD15" s="214"/>
    </row>
    <row r="16" spans="3:32">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row>
    <row r="17" spans="3:28">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c r="W17" s="32"/>
      <c r="X17" s="32"/>
    </row>
    <row r="18" spans="3:28">
      <c r="C18" s="12">
        <v>13</v>
      </c>
      <c r="D18" s="44">
        <f>Geometry!D38</f>
        <v>-35.299999999999997</v>
      </c>
      <c r="E18" s="44">
        <f>Geometry!E38</f>
        <v>-38.6</v>
      </c>
      <c r="F18" s="44">
        <f>Geometry!F38</f>
        <v>11.5</v>
      </c>
      <c r="G18" s="44">
        <f>Geometry!G38</f>
        <v>11.5</v>
      </c>
      <c r="H18" s="44">
        <f>Geometry!H38</f>
        <v>100</v>
      </c>
      <c r="I18" s="56">
        <f t="shared" si="0"/>
        <v>3.3000000000000043</v>
      </c>
      <c r="J18" s="57">
        <f t="shared" si="1"/>
        <v>0</v>
      </c>
      <c r="K18" s="58">
        <f t="shared" si="2"/>
        <v>92.776571768017575</v>
      </c>
      <c r="W18" s="32"/>
      <c r="X18" s="32"/>
    </row>
    <row r="19" spans="3:28">
      <c r="C19" s="12">
        <v>14</v>
      </c>
      <c r="D19" s="44">
        <f>Geometry!D39</f>
        <v>-38.6</v>
      </c>
      <c r="E19" s="44">
        <f>Geometry!E39</f>
        <v>-41.9</v>
      </c>
      <c r="F19" s="44">
        <f>Geometry!F39</f>
        <v>11.5</v>
      </c>
      <c r="G19" s="44">
        <f>Geometry!G39</f>
        <v>11.5</v>
      </c>
      <c r="H19" s="44">
        <f>Geometry!H39</f>
        <v>98</v>
      </c>
      <c r="I19" s="56">
        <f t="shared" si="0"/>
        <v>3.2999999999999972</v>
      </c>
      <c r="J19" s="57">
        <f t="shared" si="1"/>
        <v>0</v>
      </c>
      <c r="K19" s="58">
        <f t="shared" si="2"/>
        <v>90.936991392364675</v>
      </c>
      <c r="W19" s="32"/>
      <c r="X19" s="32"/>
      <c r="Y19" s="32"/>
      <c r="Z19" s="32"/>
      <c r="AA19" s="32"/>
      <c r="AB19" s="32"/>
    </row>
    <row r="20" spans="3:28">
      <c r="C20" s="12">
        <v>15</v>
      </c>
      <c r="D20" s="44">
        <f>Geometry!D40</f>
        <v>-41.9</v>
      </c>
      <c r="E20" s="44">
        <f>Geometry!E40</f>
        <v>-45.2</v>
      </c>
      <c r="F20" s="44">
        <f>Geometry!F40</f>
        <v>11.5</v>
      </c>
      <c r="G20" s="44">
        <f>Geometry!G40</f>
        <v>11.5</v>
      </c>
      <c r="H20" s="44">
        <f>Geometry!H40</f>
        <v>95</v>
      </c>
      <c r="I20" s="56">
        <f t="shared" si="0"/>
        <v>3.3000000000000043</v>
      </c>
      <c r="J20" s="57">
        <f t="shared" si="1"/>
        <v>0</v>
      </c>
      <c r="K20" s="58">
        <f t="shared" si="2"/>
        <v>88.176400084519983</v>
      </c>
      <c r="W20" s="32"/>
      <c r="X20" s="32"/>
      <c r="Y20" s="32"/>
      <c r="Z20" s="32"/>
      <c r="AA20" s="32"/>
      <c r="AB20" s="32"/>
    </row>
    <row r="21" spans="3:28">
      <c r="C21" s="12">
        <v>16</v>
      </c>
      <c r="D21" s="44">
        <f>Geometry!D41</f>
        <v>-45.2</v>
      </c>
      <c r="E21" s="44">
        <f>Geometry!E41</f>
        <v>-48.5</v>
      </c>
      <c r="F21" s="44">
        <f>Geometry!F41</f>
        <v>11.5</v>
      </c>
      <c r="G21" s="44">
        <f>Geometry!G41</f>
        <v>11.5</v>
      </c>
      <c r="H21" s="44">
        <f>Geometry!H41</f>
        <v>95</v>
      </c>
      <c r="I21" s="56">
        <f t="shared" si="0"/>
        <v>3.2999999999999972</v>
      </c>
      <c r="J21" s="57">
        <f t="shared" si="1"/>
        <v>0</v>
      </c>
      <c r="K21" s="58">
        <f t="shared" si="2"/>
        <v>88.17640008451977</v>
      </c>
      <c r="W21" s="32"/>
      <c r="X21" s="32"/>
      <c r="Y21" s="32"/>
      <c r="Z21" s="32"/>
      <c r="AA21" s="32"/>
      <c r="AB21" s="32"/>
    </row>
    <row r="22" spans="3:28">
      <c r="C22" s="12">
        <v>17</v>
      </c>
      <c r="D22" s="44">
        <f>Geometry!D42</f>
        <v>-48.5</v>
      </c>
      <c r="E22" s="44">
        <f>Geometry!E42</f>
        <v>-51.7</v>
      </c>
      <c r="F22" s="44">
        <f>Geometry!F42</f>
        <v>11.5</v>
      </c>
      <c r="G22" s="44">
        <f>Geometry!G42</f>
        <v>11.5</v>
      </c>
      <c r="H22" s="44">
        <f>Geometry!H42</f>
        <v>95</v>
      </c>
      <c r="I22" s="56">
        <f t="shared" si="0"/>
        <v>3.2000000000000028</v>
      </c>
      <c r="J22" s="57">
        <f t="shared" si="1"/>
        <v>0</v>
      </c>
      <c r="K22" s="58">
        <f t="shared" si="2"/>
        <v>85.504387960746612</v>
      </c>
      <c r="W22" s="32"/>
      <c r="X22" s="32"/>
      <c r="Y22" s="32"/>
      <c r="Z22" s="32"/>
      <c r="AA22" s="32"/>
      <c r="AB22" s="32"/>
    </row>
    <row r="23" spans="3:28">
      <c r="C23" s="12">
        <v>18</v>
      </c>
      <c r="D23" s="44">
        <f>Geometry!D43</f>
        <v>-51.7</v>
      </c>
      <c r="E23" s="44">
        <f>Geometry!E43</f>
        <v>-55.3</v>
      </c>
      <c r="F23" s="44">
        <f>Geometry!F43</f>
        <v>11.5</v>
      </c>
      <c r="G23" s="44">
        <f>Geometry!G43</f>
        <v>11.5</v>
      </c>
      <c r="H23" s="44">
        <f>Geometry!H43</f>
        <v>93</v>
      </c>
      <c r="I23" s="56">
        <f t="shared" si="0"/>
        <v>3.5999999999999943</v>
      </c>
      <c r="J23" s="57">
        <f t="shared" si="1"/>
        <v>0</v>
      </c>
      <c r="K23" s="58">
        <f t="shared" si="2"/>
        <v>94.18384587241448</v>
      </c>
      <c r="W23" s="32"/>
      <c r="X23" s="32"/>
      <c r="Y23" s="32"/>
      <c r="Z23" s="32"/>
      <c r="AA23" s="32"/>
      <c r="AB23" s="32"/>
    </row>
    <row r="24" spans="3:28">
      <c r="C24" s="12">
        <v>19</v>
      </c>
      <c r="D24" s="44">
        <f>Geometry!D44</f>
        <v>-55.3</v>
      </c>
      <c r="E24" s="44">
        <f>Geometry!E44</f>
        <v>-59.3</v>
      </c>
      <c r="F24" s="44">
        <f>Geometry!F44</f>
        <v>11.5</v>
      </c>
      <c r="G24" s="44">
        <f>Geometry!G44</f>
        <v>11.5</v>
      </c>
      <c r="H24" s="44">
        <f>Geometry!H44</f>
        <v>93</v>
      </c>
      <c r="I24" s="56">
        <f t="shared" si="0"/>
        <v>4</v>
      </c>
      <c r="J24" s="57">
        <f t="shared" si="1"/>
        <v>0</v>
      </c>
      <c r="K24" s="58">
        <f t="shared" si="2"/>
        <v>104.64871763601626</v>
      </c>
      <c r="W24" s="32"/>
      <c r="X24" s="32"/>
      <c r="Y24" s="32"/>
      <c r="Z24" s="32"/>
      <c r="AA24" s="32"/>
      <c r="AB24" s="32"/>
    </row>
    <row r="25" spans="3:28">
      <c r="C25" s="12">
        <v>20</v>
      </c>
      <c r="D25" s="44">
        <f>Geometry!D45</f>
        <v>-59.3</v>
      </c>
      <c r="E25" s="44">
        <f>Geometry!E45</f>
        <v>-63.3</v>
      </c>
      <c r="F25" s="44">
        <f>Geometry!F45</f>
        <v>11.5</v>
      </c>
      <c r="G25" s="44">
        <f>Geometry!G45</f>
        <v>11.5</v>
      </c>
      <c r="H25" s="44">
        <f>Geometry!H45</f>
        <v>93</v>
      </c>
      <c r="I25" s="56">
        <f t="shared" si="0"/>
        <v>4</v>
      </c>
      <c r="J25" s="57">
        <f t="shared" si="1"/>
        <v>0</v>
      </c>
      <c r="K25" s="58">
        <f t="shared" si="2"/>
        <v>104.64871763601626</v>
      </c>
      <c r="W25" s="32"/>
      <c r="X25" s="32"/>
      <c r="Y25" s="32"/>
      <c r="Z25" s="32"/>
      <c r="AA25" s="32"/>
      <c r="AB25" s="32"/>
    </row>
    <row r="26" spans="3:28">
      <c r="C26" s="12">
        <v>21</v>
      </c>
      <c r="D26" s="44">
        <f>Geometry!D46</f>
        <v>-63.3</v>
      </c>
      <c r="E26" s="44">
        <f>Geometry!E46</f>
        <v>-67.3</v>
      </c>
      <c r="F26" s="44">
        <f>Geometry!F46</f>
        <v>11.5</v>
      </c>
      <c r="G26" s="44">
        <f>Geometry!G46</f>
        <v>11.5</v>
      </c>
      <c r="H26" s="44">
        <f>Geometry!H46</f>
        <v>93</v>
      </c>
      <c r="I26" s="56">
        <f t="shared" si="0"/>
        <v>4</v>
      </c>
      <c r="J26" s="57">
        <f t="shared" si="1"/>
        <v>0</v>
      </c>
      <c r="K26" s="58">
        <f t="shared" si="2"/>
        <v>104.64871763601626</v>
      </c>
      <c r="W26" s="32"/>
      <c r="X26" s="32"/>
      <c r="Y26" s="32"/>
      <c r="Z26" s="32"/>
      <c r="AA26" s="32"/>
      <c r="AB26" s="32"/>
    </row>
    <row r="27" spans="3:28">
      <c r="C27" s="12">
        <v>22</v>
      </c>
      <c r="D27" s="44">
        <f>Geometry!D47</f>
        <v>-67.3</v>
      </c>
      <c r="E27" s="44">
        <f>Geometry!E47</f>
        <v>-71</v>
      </c>
      <c r="F27" s="44">
        <f>Geometry!F47</f>
        <v>11.5</v>
      </c>
      <c r="G27" s="44">
        <f>Geometry!G47</f>
        <v>11.5</v>
      </c>
      <c r="H27" s="44">
        <f>Geometry!H47</f>
        <v>96</v>
      </c>
      <c r="I27" s="56">
        <f t="shared" si="0"/>
        <v>3.7000000000000028</v>
      </c>
      <c r="J27" s="57">
        <f t="shared" si="1"/>
        <v>0</v>
      </c>
      <c r="K27" s="58">
        <f t="shared" si="2"/>
        <v>99.896367220086958</v>
      </c>
      <c r="W27" s="32"/>
      <c r="X27" s="32"/>
      <c r="Y27" s="32"/>
      <c r="Z27" s="32"/>
      <c r="AA27" s="32"/>
      <c r="AB27" s="32"/>
    </row>
    <row r="28" spans="3:28">
      <c r="C28" s="12">
        <v>23</v>
      </c>
      <c r="D28" s="44">
        <f>Geometry!D48</f>
        <v>-71</v>
      </c>
      <c r="E28" s="44">
        <f>Geometry!E48</f>
        <v>-74.3</v>
      </c>
      <c r="F28" s="44">
        <f>Geometry!F48</f>
        <v>11.5</v>
      </c>
      <c r="G28" s="44">
        <f>Geometry!G48</f>
        <v>11.5</v>
      </c>
      <c r="H28" s="44">
        <f>Geometry!H48</f>
        <v>100</v>
      </c>
      <c r="I28" s="56">
        <f t="shared" si="0"/>
        <v>3.2999999999999972</v>
      </c>
      <c r="J28" s="57">
        <f t="shared" si="1"/>
        <v>0</v>
      </c>
      <c r="K28" s="58">
        <f t="shared" si="2"/>
        <v>92.776571768017348</v>
      </c>
      <c r="W28" s="32"/>
      <c r="X28" s="32"/>
      <c r="Y28" s="32"/>
      <c r="Z28" s="32"/>
      <c r="AA28" s="32"/>
      <c r="AB28" s="32"/>
    </row>
    <row r="29" spans="3:28">
      <c r="C29" s="12">
        <v>24</v>
      </c>
      <c r="D29" s="44">
        <f>Geometry!D49</f>
        <v>-74.3</v>
      </c>
      <c r="E29" s="44">
        <f>Geometry!E49</f>
        <v>-77.430000000000007</v>
      </c>
      <c r="F29" s="44">
        <f>Geometry!F49</f>
        <v>11.5</v>
      </c>
      <c r="G29" s="44">
        <f>Geometry!G49</f>
        <v>11.5</v>
      </c>
      <c r="H29" s="44">
        <f>Geometry!H49</f>
        <v>110</v>
      </c>
      <c r="I29" s="56">
        <f t="shared" si="0"/>
        <v>3.1300000000000097</v>
      </c>
      <c r="J29" s="57">
        <f t="shared" si="1"/>
        <v>0</v>
      </c>
      <c r="K29" s="58">
        <f t="shared" si="2"/>
        <v>96.711980325441203</v>
      </c>
      <c r="W29" s="32"/>
      <c r="X29" s="32"/>
      <c r="Y29" s="32"/>
      <c r="Z29" s="32"/>
      <c r="AA29" s="32"/>
      <c r="AB29" s="32"/>
    </row>
    <row r="30" spans="3:28">
      <c r="C30" s="12">
        <v>25</v>
      </c>
      <c r="D30" s="44">
        <f>Geometry!D50</f>
        <v>-77.430000000000007</v>
      </c>
      <c r="E30" s="44">
        <f>Geometry!E50</f>
        <v>-80.430000000000007</v>
      </c>
      <c r="F30" s="44">
        <f>Geometry!F50</f>
        <v>11.5</v>
      </c>
      <c r="G30" s="44">
        <f>Geometry!G50</f>
        <v>11.5</v>
      </c>
      <c r="H30" s="44">
        <f>Geometry!H50</f>
        <v>122</v>
      </c>
      <c r="I30" s="56">
        <f t="shared" si="0"/>
        <v>3</v>
      </c>
      <c r="J30" s="57">
        <f t="shared" si="1"/>
        <v>0</v>
      </c>
      <c r="K30" s="58">
        <f t="shared" si="2"/>
        <v>102.69907790776207</v>
      </c>
      <c r="W30" s="32"/>
      <c r="X30" s="32"/>
      <c r="Y30" s="32"/>
      <c r="Z30" s="32"/>
      <c r="AA30" s="32"/>
      <c r="AB30" s="32"/>
    </row>
    <row r="31" spans="3:28">
      <c r="W31" s="32"/>
      <c r="X31" s="32"/>
      <c r="Y31" s="32"/>
      <c r="Z31" s="32"/>
      <c r="AA31" s="32"/>
      <c r="AB31" s="32"/>
    </row>
    <row r="32" spans="3:28">
      <c r="W32" s="32"/>
      <c r="X32" s="32"/>
      <c r="Y32" s="32"/>
      <c r="Z32" s="32"/>
      <c r="AA32" s="32"/>
      <c r="AB32" s="32"/>
    </row>
    <row r="33" spans="3:50">
      <c r="C33" s="35" t="s">
        <v>221</v>
      </c>
      <c r="I33" s="19"/>
      <c r="J33" s="19"/>
      <c r="N33" s="19"/>
    </row>
    <row r="34" spans="3:50" ht="15" customHeight="1">
      <c r="C34" s="317" t="s">
        <v>222</v>
      </c>
      <c r="D34" s="317" t="s">
        <v>53</v>
      </c>
      <c r="E34" s="317" t="s">
        <v>105</v>
      </c>
      <c r="F34" s="317" t="s">
        <v>101</v>
      </c>
      <c r="G34" s="329" t="s">
        <v>542</v>
      </c>
      <c r="H34" s="332" t="s">
        <v>543</v>
      </c>
      <c r="I34" s="329" t="s">
        <v>544</v>
      </c>
      <c r="J34" s="317" t="s">
        <v>100</v>
      </c>
      <c r="K34" s="329" t="s">
        <v>94</v>
      </c>
      <c r="L34" s="329" t="s">
        <v>545</v>
      </c>
      <c r="M34" s="332" t="s">
        <v>546</v>
      </c>
      <c r="N34" s="317" t="s">
        <v>106</v>
      </c>
      <c r="O34" s="317" t="s">
        <v>107</v>
      </c>
      <c r="P34" s="317" t="s">
        <v>136</v>
      </c>
      <c r="Q34" s="317" t="s">
        <v>286</v>
      </c>
      <c r="R34" s="317" t="s">
        <v>108</v>
      </c>
      <c r="T34" s="317" t="s">
        <v>73</v>
      </c>
      <c r="U34" s="317" t="s">
        <v>78</v>
      </c>
      <c r="V34" s="317" t="s">
        <v>79</v>
      </c>
      <c r="W34" s="317" t="s">
        <v>80</v>
      </c>
      <c r="X34" s="317" t="s">
        <v>84</v>
      </c>
      <c r="Y34" s="317" t="s">
        <v>85</v>
      </c>
      <c r="Z34" s="317" t="s">
        <v>86</v>
      </c>
      <c r="AA34" s="317" t="s">
        <v>87</v>
      </c>
      <c r="AB34" s="317" t="s">
        <v>573</v>
      </c>
      <c r="AC34" s="317" t="s">
        <v>547</v>
      </c>
      <c r="AD34" s="317" t="s">
        <v>548</v>
      </c>
      <c r="AE34" s="328" t="s">
        <v>550</v>
      </c>
      <c r="AF34" s="317" t="s">
        <v>549</v>
      </c>
      <c r="AG34" s="328" t="s">
        <v>551</v>
      </c>
      <c r="AH34" s="328" t="s">
        <v>552</v>
      </c>
      <c r="AI34" s="317" t="s">
        <v>555</v>
      </c>
      <c r="AJ34" s="328" t="s">
        <v>556</v>
      </c>
      <c r="AK34" s="328" t="s">
        <v>553</v>
      </c>
      <c r="AL34" s="328" t="s">
        <v>554</v>
      </c>
      <c r="AM34" s="317" t="s">
        <v>97</v>
      </c>
      <c r="AN34" s="317" t="s">
        <v>202</v>
      </c>
      <c r="AO34" s="317" t="s">
        <v>203</v>
      </c>
      <c r="AP34" s="317" t="s">
        <v>567</v>
      </c>
      <c r="AQ34" s="317" t="s">
        <v>568</v>
      </c>
      <c r="AR34" s="317" t="s">
        <v>569</v>
      </c>
      <c r="AS34" s="317" t="s">
        <v>570</v>
      </c>
      <c r="AT34" s="317" t="s">
        <v>571</v>
      </c>
      <c r="AU34" s="317" t="s">
        <v>147</v>
      </c>
      <c r="AV34" s="317" t="s">
        <v>145</v>
      </c>
      <c r="AW34" s="317" t="s">
        <v>146</v>
      </c>
      <c r="AX34" s="317" t="s">
        <v>572</v>
      </c>
    </row>
    <row r="35" spans="3:50" ht="18.75" customHeight="1">
      <c r="C35" s="318">
        <v>0</v>
      </c>
      <c r="D35" s="318">
        <v>0</v>
      </c>
      <c r="E35" s="318"/>
      <c r="F35" s="318"/>
      <c r="G35" s="318"/>
      <c r="H35" s="312"/>
      <c r="I35" s="318"/>
      <c r="J35" s="318"/>
      <c r="K35" s="318"/>
      <c r="L35" s="318"/>
      <c r="M35" s="312"/>
      <c r="N35" s="318"/>
      <c r="O35" s="318"/>
      <c r="P35" s="318"/>
      <c r="Q35" s="318"/>
      <c r="R35" s="318"/>
      <c r="T35" s="318"/>
      <c r="U35" s="318"/>
      <c r="V35" s="318"/>
      <c r="W35" s="318"/>
      <c r="X35" s="318"/>
      <c r="Y35" s="318"/>
      <c r="Z35" s="318"/>
      <c r="AA35" s="318"/>
      <c r="AB35" s="318"/>
      <c r="AC35" s="318"/>
      <c r="AD35" s="318"/>
      <c r="AE35" s="318"/>
      <c r="AF35" s="318"/>
      <c r="AG35" s="318"/>
      <c r="AH35" s="318"/>
      <c r="AI35" s="318"/>
      <c r="AJ35" s="333"/>
      <c r="AK35" s="318"/>
      <c r="AL35" s="318"/>
      <c r="AM35" s="318"/>
      <c r="AN35" s="318"/>
      <c r="AO35" s="318"/>
      <c r="AP35" s="318"/>
      <c r="AQ35" s="318"/>
      <c r="AR35" s="318"/>
      <c r="AS35" s="318"/>
      <c r="AT35" s="318"/>
      <c r="AU35" s="318"/>
      <c r="AV35" s="318"/>
      <c r="AW35" s="318"/>
      <c r="AX35" s="318"/>
    </row>
    <row r="36" spans="3:50">
      <c r="C36" s="30" t="s">
        <v>16</v>
      </c>
      <c r="D36" s="30" t="str">
        <f>"[m"&amp;Control!$F$7&amp;"]"</f>
        <v>[mLAT]</v>
      </c>
      <c r="E36" s="30" t="s">
        <v>9</v>
      </c>
      <c r="F36" s="34" t="s">
        <v>10</v>
      </c>
      <c r="G36" s="34" t="s">
        <v>77</v>
      </c>
      <c r="H36" s="34" t="s">
        <v>77</v>
      </c>
      <c r="I36" s="34" t="s">
        <v>77</v>
      </c>
      <c r="J36" s="34" t="s">
        <v>77</v>
      </c>
      <c r="K36" s="34" t="s">
        <v>77</v>
      </c>
      <c r="L36" s="34" t="s">
        <v>77</v>
      </c>
      <c r="M36" s="30" t="s">
        <v>77</v>
      </c>
      <c r="N36" s="30" t="s">
        <v>16</v>
      </c>
      <c r="O36" s="30" t="s">
        <v>16</v>
      </c>
      <c r="P36" s="30" t="s">
        <v>16</v>
      </c>
      <c r="Q36" s="30" t="s">
        <v>10</v>
      </c>
      <c r="R36" s="30" t="s">
        <v>16</v>
      </c>
      <c r="T36" s="34" t="s">
        <v>81</v>
      </c>
      <c r="U36" s="34" t="s">
        <v>82</v>
      </c>
      <c r="V36" s="34" t="s">
        <v>83</v>
      </c>
      <c r="W36" s="34" t="s">
        <v>81</v>
      </c>
      <c r="X36" s="34" t="s">
        <v>88</v>
      </c>
      <c r="Y36" s="34" t="s">
        <v>88</v>
      </c>
      <c r="Z36" s="34" t="s">
        <v>89</v>
      </c>
      <c r="AA36" s="34" t="s">
        <v>90</v>
      </c>
      <c r="AB36" s="34" t="s">
        <v>541</v>
      </c>
      <c r="AC36" s="34" t="s">
        <v>10</v>
      </c>
      <c r="AD36" s="34" t="s">
        <v>16</v>
      </c>
      <c r="AE36" s="34" t="s">
        <v>16</v>
      </c>
      <c r="AF36" s="34" t="s">
        <v>16</v>
      </c>
      <c r="AG36" s="34" t="s">
        <v>16</v>
      </c>
      <c r="AH36" s="34" t="s">
        <v>16</v>
      </c>
      <c r="AI36" s="34" t="s">
        <v>16</v>
      </c>
      <c r="AJ36" s="34" t="s">
        <v>16</v>
      </c>
      <c r="AK36" s="34" t="s">
        <v>16</v>
      </c>
      <c r="AL36" s="34" t="s">
        <v>16</v>
      </c>
      <c r="AM36" s="34" t="s">
        <v>16</v>
      </c>
      <c r="AN36" s="34" t="s">
        <v>11</v>
      </c>
      <c r="AO36" s="34" t="s">
        <v>11</v>
      </c>
      <c r="AP36" s="30" t="s">
        <v>77</v>
      </c>
      <c r="AQ36" s="30" t="s">
        <v>77</v>
      </c>
      <c r="AR36" s="30" t="s">
        <v>77</v>
      </c>
      <c r="AS36" s="34" t="s">
        <v>16</v>
      </c>
      <c r="AT36" s="30" t="s">
        <v>77</v>
      </c>
      <c r="AU36" s="34" t="s">
        <v>16</v>
      </c>
      <c r="AV36" s="34" t="s">
        <v>16</v>
      </c>
      <c r="AW36" s="34" t="s">
        <v>16</v>
      </c>
      <c r="AX36" s="34" t="s">
        <v>16</v>
      </c>
    </row>
    <row r="37" spans="3:50" ht="14.85" customHeight="1">
      <c r="C37" s="12" t="str">
        <f>"Can"&amp;TEXT(C6,"0")</f>
        <v>Can1</v>
      </c>
      <c r="D37" s="2">
        <f>D6</f>
        <v>5.8</v>
      </c>
      <c r="E37" s="43">
        <f>F6</f>
        <v>8</v>
      </c>
      <c r="F37" s="120">
        <f>H6</f>
        <v>125</v>
      </c>
      <c r="G37" s="120">
        <f>ABS(T37/(2*PI()*AB37*AC37))+ABS(V37/(PI()*(AB37^2)*AC37))</f>
        <v>159.80782296283974</v>
      </c>
      <c r="H37" s="120">
        <f>ABS(W37/(PI()*AB37*AC37))+ABS(U37/(2*PI()*(AB37^2)*AC37))</f>
        <v>13.768209933519632</v>
      </c>
      <c r="I37" s="120">
        <f>IF(OR(D37&lt;$R$2,D37&gt;$W$6),0,IF(D37&lt;=$W$5,$W$7*AB37/(AC37/1000),$W$7*AB37/(AC37/1000)*($W$6-D37)/($W$6-$W$5)))</f>
        <v>5.0609002987901555</v>
      </c>
      <c r="J37" s="120">
        <f>VLOOKUP(R37,'Steel grades'!$B$5:$J$22,IF(F37&gt;200,10,IF(F37&gt;150,9,IF(F37&gt;120,8,IF(F37&gt;100,7,IF(F37&gt;80,6,IF(F37&gt;63,5,IF(F37&gt;40,4,IF(F37&gt;16,3,2)))))))),FALSE)</f>
        <v>295</v>
      </c>
      <c r="K37" s="120">
        <f>AH37*J37/$W$9*AM37</f>
        <v>255.92294982757429</v>
      </c>
      <c r="L37" s="3">
        <f>AK37*J37/$W$9</f>
        <v>28.777645775212893</v>
      </c>
      <c r="M37" s="3">
        <f>AL37*J37/$W$9/SQRT(3)</f>
        <v>128.68509072451837</v>
      </c>
      <c r="N37" s="3">
        <f>MAX(G37/K37,H37/M37,I37/L37,(G37/K37)^(1.25+0.75*AH37)-(AH37*AK37)^2*(G37/K37)*(I37/L37)+(I37/L37)^(1.25+0.75*AK37)+(H37/M37)^(1.75+0.25*AL37),AS37,AX37)</f>
        <v>0.62443724984613058</v>
      </c>
      <c r="O37" s="3">
        <f>MAX(SQRT(G37^2+I37^2-IF(G37&gt;0,-G37,G37)*I37+3*H37^2)/(J37/$W$10),AU37)</f>
        <v>0.55640343055930508</v>
      </c>
      <c r="P37" s="3">
        <f>(ABS(Geometry_loads!S18)/Z37+ABS(Geometry_loads!T18)/AA37)/(1000*J37)</f>
        <v>0.41520393971396113</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122.5</v>
      </c>
      <c r="R37" s="3" t="str">
        <f>Geometry!M26</f>
        <v>S355 NL/ML</v>
      </c>
      <c r="T37" s="3">
        <f>Geometry_loads!L18</f>
        <v>-51357.09</v>
      </c>
      <c r="U37" s="3">
        <f>Geometry_loads!M18</f>
        <v>63733.01</v>
      </c>
      <c r="V37" s="3">
        <f>Geometry_loads!N18</f>
        <v>843020.80000000005</v>
      </c>
      <c r="W37" s="3">
        <f>Geometry_loads!O18</f>
        <v>12569.77</v>
      </c>
      <c r="X37" s="3">
        <f t="shared" ref="X37" si="3">IF(OR(D37&gt;=$R$6,D37&lt;=$R$7),0,$AC$9*$AC$11)</f>
        <v>3.5999999999999996</v>
      </c>
      <c r="Y37" s="3">
        <f t="shared" ref="Y37" si="4">IF(OR(D37&gt;=$R$8,D37&lt;=$R$9),0,$AC$10*$AC$11)</f>
        <v>0</v>
      </c>
      <c r="Z37" s="18">
        <f>PI()/4*((E37-2*X37/1000)^2-((E37-2*X37/1000)-2*(F37-X37-Y37)/1000)^2)</f>
        <v>3.002068114994854</v>
      </c>
      <c r="AA37" s="220">
        <f>PI()/32*((E37-2*X37/1000)^4-((E37-2*X37/1000)-2*(F37-X37-Y37)/1000)^4)/(E37-2*X37/1000)</f>
        <v>5.8192747362769106</v>
      </c>
      <c r="AB37" s="220">
        <f>(0.5*E37-(X37/1000))-(0.5*(AC37/1000))</f>
        <v>3.9356999999999998</v>
      </c>
      <c r="AC37" s="120">
        <f>F37-X37-Y37</f>
        <v>121.4</v>
      </c>
      <c r="AD37" s="220">
        <f>$R$4/SQRT(AB37*AC37/1000)</f>
        <v>106.94035499911951</v>
      </c>
      <c r="AE37" s="220">
        <f>(J37/((0.605*$W$2*IF(AD37&gt;0.5*(AB37)/(AC37/1000),MAX(0.6,1+0.2/$AC$7*(1-2*AD37*(AC37/1000)/(AB37))),IF(AD37&lt;=1.7,1.36-(1.83/AD37)+(2.07/AD37^2),1)))*((AC37/1000)/(AB37)/1000)))^0.5</f>
        <v>0.34653363483216504</v>
      </c>
      <c r="AF37" s="220">
        <f>0.62/(1+1.91*((((AB37)/(AC37/1000))^0.5*(AC37/1000)/$AC$4)/(AC37/1000))^1.44)</f>
        <v>0.43314273052893065</v>
      </c>
      <c r="AG37" s="220">
        <f>IF(AND((AB37)/(AC37/1000)&lt;=150,AD37&lt;=6*(AB37)/(AC37/1000),$W$2/(J37*1000)&lt;=1000,500&lt;=$W$2/(J37*1000)),0.2+0.1*(ABS(V37/(PI()*(AB37^2)*AC37))/G37),0.2)</f>
        <v>0.28929511932610902</v>
      </c>
      <c r="AH37" s="220">
        <f>IF(AE37&lt;=AG37,1,IF(AE37&gt;=(AF37/(1-0.6))^0.5,AF37/(AE37^2),1-0.6*((AE37-(AG37))/((AF37/(1-0.6))^0.5-AG37))))</f>
        <v>0.95428896545875175</v>
      </c>
      <c r="AI37" s="220">
        <f>IF(AD37/1.25&gt;1.63*((AB37)/(AC37/1000)),$W$2/1000*(AC37/(AB37*1000))^2*(0.275+2.03*(1.25/AD37*AB37*1000/AC37)^4),IF(AD37/1.25&lt;20,0.92*$W$2/1000*((1.25+(8/AD37^2)-(4/AD37^3))/AD37)*((AC37/1000)/(AB37)),0.92*$W$2/1000*(1.25/AD37)*((AC37/1000)/(AB37))))</f>
        <v>63.310820705468366</v>
      </c>
      <c r="AJ37" s="220">
        <f>SQRT(J37/AI37)</f>
        <v>2.1585993219474178</v>
      </c>
      <c r="AK37" s="220">
        <f>IF(AJ37&lt;0.4,1,IF(AJ37&lt;SQRT($AC$5/(1-0.6)),1-0.6*((AJ37-0.4)/(SQRT($AC$5/(1-0.6))-0.4)^1),$AC$5/AJ37^2))</f>
        <v>0.10730647577198028</v>
      </c>
      <c r="AL37" s="220">
        <f>IF(((J37/SQRT(3)/(0.75*$W$2*(IF(AD37&lt;10,SQRT(1+42/(AD37^3)),IF(AD37&gt;8.7*(AB37)/(AC37/1000),(1/3)*SQRT(AD37*(AC37/1000)/(AB37)),1)))*(1/AD37)^0.5*((AC37/1000)/(AB37))/1000))^0.5)&lt;=0.4,1,IF(((J37/SQRT(3)/(0.75*$W$2*(IF(AD37&lt;10,SQRT(1+42/(AD37^3)),IF(AD37&gt;8.7*(AB37)/(AC37/1000),(1/3)*SQRT(AD37*(AC37/1000)/(AB37)),1)))*(1/AD37)^0.5*((AC37/1000)/(AB37))/1000))^0.5)&gt;=($AC$6/(1-0.6))^0.5,$AC$6/(((J37/SQRT(3)/(0.75*$W$2*(IF(AD37&lt;10,SQRT(1+42/(AD37^3)),IF(AD37&gt;8.7*(AB37)/(AC37/1000),(1/3)*SQRT(AD37*(AC37/1000)/(AB37)),1)))*(1/AD37)^0.5*((AC37/1000)/(AB37))/1000))^0.5)^2),1-0.6*((((J37/SQRT(3)/(0.75*$W$2*(IF(AD37&lt;10,SQRT(1+42/(AD37^3)),IF(AD37&gt;8.7*(AB37)/(AC37/1000),(1/3)*SQRT(AD37*(AC37/1000)/(AB37)),1)))*(1/AD37)^0.5*((AC37/1000)/(AB37))/1000))^0.5)-(0.4))/(($AC$6/(1-0.6))^0.5-0.4))))</f>
        <v>0.83111195539872518</v>
      </c>
      <c r="AM37" s="220">
        <f>IF(_xlfn.MINIFS(Geometry!$AJ$26:$AJ$32,Geometry!$AI$26:$AI$32,"o",Geometry!$AK$26:$AK$32,C6)&lt;=0,1,_xlfn.MINIFS(Geometry!$AJ$26:$AJ$32,Geometry!$AI$26:$AI$32,"o",Geometry!$AK$26:$AK$32,C6))</f>
        <v>1</v>
      </c>
      <c r="AN37" s="220">
        <f>IF(NOT(ISNUMBER(D36)),0,ABS(J5-J6))</f>
        <v>0</v>
      </c>
      <c r="AO37" s="220">
        <f>MAX(AN37,J6)</f>
        <v>0</v>
      </c>
      <c r="AP37" s="220">
        <f>((ABS(T37/(PI()*((E37-2*X37/1000)-((AC37))/1000*COS(AO37*PI()/180))*(AC37)/1000))/1000)+ABS((4*V37)/(PI()*((E37-X37/1000)-((F37-X37-Y37)/1000)*COS(AO37*PI()/180))^2*((AC37)/1000))/1000))/COS(AO37*PI()/180)</f>
        <v>159.6773836769606</v>
      </c>
      <c r="AQ37" s="220">
        <f>((0.6*(F37-X37-Y37)*((E37*1000-2*X37)*(2*(AC37)))^0.5)/((AC37)^2))*(G37*TAN(AN37*PI()/180))</f>
        <v>0</v>
      </c>
      <c r="AR37" s="220">
        <f>IF(AN37=0,0,0.45*((E37*1000-2*X37)/(AC37))^0.5*G37*TAN(AN37*PI()/180)+I37)</f>
        <v>0</v>
      </c>
      <c r="AS37" s="220">
        <f>IF(AO37=0,0,1.18*AP37/IF(J37/(2*0.3*$W$2/1000*(AC37)/1000/(E37-2*X37/1000))&lt;=0.17,J37,(1.047-0.274*(J37/(2*0.3*$W$2/1000*(AC37)/1000/(E37-2*X37/1000))))*J37))</f>
        <v>0</v>
      </c>
      <c r="AT37" s="220">
        <f>IF(AN37=0,0,MAX(G37+AQ37,AP37+AQ37))</f>
        <v>0</v>
      </c>
      <c r="AU37" s="220">
        <f>(AT37^2+AR37^2+AR37*AT37)^0.5/(J37/$W$10)</f>
        <v>0</v>
      </c>
      <c r="AV37" s="220">
        <f>1.1*AT37/J37</f>
        <v>0</v>
      </c>
      <c r="AW37" s="220">
        <f>1.25*AR37/IF(0.4*$W$2/1000*(AC37)/1000/(E37-2*X37/1000)/J37&gt;2.44,J37,IF(0.4*$W$2/1000*(AC37)/1000/(E37-2*X37/1000)/J37&lt;=0.55,0.4*$W$2/1000*(AC37)/1000/(E37-2*X37/1000),MIN(0.7*(0.4*$W$2/1000*(AC37)/1000/(E37-2*X37/1000)/J37)^0.4*J37,J37)))</f>
        <v>0</v>
      </c>
      <c r="AX37" s="220">
        <f>MAX(AV37^2+AW37^(2*(5-4*(IF(0.4*$W$2/1000*(AC37)/1000/(E37-2*(X37/1000))/J37&gt;2.44,J37,IF(0.4*$W$2/1000*(AC37)/1000/(E37-2*(X37/1000))/J37&lt;=0.55,0.4*$W$2/1000*(AC37)/1000/(E37-2*(X37/1000)),MIN(0.7*(0.4*$W$2/1000*(AC37)/1000/(E37-2*(X37/1000))/J37)^0.4*J37,J37)))/J37)))+2*0.3*AV37*AW37,AW37,AT37/(IF(J37/(2*0.3*$W$2/1000*(AC37)/1000/(E37-2*(X37/1000)))&lt;=0.17,J37,(1.047-0.274*(J37/(2*0.3*$W$2/1000*(AC37)/1000/(E37-2*(X37/1000)))))*J37)/1.18))</f>
        <v>0</v>
      </c>
    </row>
    <row r="38" spans="3:50" ht="14.85" customHeight="1">
      <c r="C38" s="12" t="str">
        <f t="shared" ref="C38:C61" si="5">"Can"&amp;TEXT(C7,"0")</f>
        <v>Can2</v>
      </c>
      <c r="D38" s="2">
        <f t="shared" ref="D38:D61" si="6">D7</f>
        <v>2.6</v>
      </c>
      <c r="E38" s="43">
        <f t="shared" ref="E38:E61" si="7">F7</f>
        <v>8</v>
      </c>
      <c r="F38" s="120">
        <f t="shared" ref="F38:F61" si="8">H7</f>
        <v>116</v>
      </c>
      <c r="G38" s="120">
        <f t="shared" ref="G38:G61" si="9">ABS(T38/(2*PI()*AB38*AC38))+ABS(V38/(PI()*(AB38^2)*AC38))</f>
        <v>179.50841748111424</v>
      </c>
      <c r="H38" s="120">
        <f t="shared" ref="H38:H61" si="10">ABS(W38/(PI()*AB38*AC38))+ABS(U38/(2*PI()*(AB38^2)*AC38))</f>
        <v>14.784776874365914</v>
      </c>
      <c r="I38" s="120">
        <f t="shared" ref="I38:I61" si="11">IF(OR(D38&lt;$R$2,D38&gt;$W$6),0,IF(D38&lt;=$W$5,$W$7*AB38/(AC38/1000),$W$7*AB38/(AC38/1000)*($W$6-D38)/($W$6-$W$5)))</f>
        <v>6.5301436867032097</v>
      </c>
      <c r="J38" s="120">
        <f>VLOOKUP(R38,'Steel grades'!$B$5:$J$22,IF(F38&gt;200,10,IF(F38&gt;150,9,IF(F38&gt;120,8,IF(F38&gt;100,7,IF(F38&gt;80,6,IF(F38&gt;63,5,IF(F38&gt;40,4,IF(F38&gt;16,3,2)))))))),FALSE)</f>
        <v>295</v>
      </c>
      <c r="K38" s="120">
        <f t="shared" ref="K38:K61" si="12">AH38*J38/$W$9*AM38</f>
        <v>253.34750772417385</v>
      </c>
      <c r="L38" s="3">
        <f t="shared" ref="L38:L61" si="13">AK38*J38/$W$9</f>
        <v>24.495617968266867</v>
      </c>
      <c r="M38" s="3">
        <f t="shared" ref="M38:M61" si="14">AL38*J38/$W$9/SQRT(3)</f>
        <v>123.97153082187229</v>
      </c>
      <c r="N38" s="3">
        <f t="shared" ref="N38:N61" si="15">MAX(G38/K38,H38/M38,I38/L38,(G38/K38)^(1.25+0.75*AH38)-(AH38*AK38)^2*(G38/K38)*(I38/L38)+(I38/L38)^(1.25+0.75*AK38)+(H38/M38)^(1.75+0.25*AL38),AS38,AX38)</f>
        <v>0.70854621422425756</v>
      </c>
      <c r="O38" s="3">
        <f t="shared" ref="O38:O61" si="16">MAX(SQRT(G38^2+I38^2-IF(G38&gt;0,-G38,G38)*I38+3*H38^2)/(J38/$W$10),AU38)</f>
        <v>0.62591638640368696</v>
      </c>
      <c r="P38" s="3">
        <f>(ABS(Geometry_loads!S19)/Z38+ABS(Geometry_loads!T19)/AA38)/(1000*J38)</f>
        <v>0.46580946832024894</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122.5</v>
      </c>
      <c r="R38" s="3" t="str">
        <f>Geometry!M27</f>
        <v>S355 NL/ML</v>
      </c>
      <c r="T38" s="3">
        <f>Geometry_loads!L19</f>
        <v>-53455.19</v>
      </c>
      <c r="U38" s="3">
        <f>Geometry_loads!M19</f>
        <v>63738.28</v>
      </c>
      <c r="V38" s="3">
        <f>Geometry_loads!N19</f>
        <v>863442.9</v>
      </c>
      <c r="W38" s="3">
        <f>Geometry_loads!O19</f>
        <v>12159.55</v>
      </c>
      <c r="X38" s="3">
        <f t="shared" ref="X38:X61" si="17">IF(OR(D38&gt;=$R$6,D38&lt;=$R$7),0,$AC$9*$AC$11)</f>
        <v>3.5999999999999996</v>
      </c>
      <c r="Y38" s="3">
        <f t="shared" ref="Y38:Y61" si="18">IF(OR(D38&gt;=$R$8,D38&lt;=$R$9),0,$AC$10*$AC$11)</f>
        <v>1.7999999999999998</v>
      </c>
      <c r="Z38" s="18">
        <f t="shared" ref="Z38:Z61" si="19">PI()/4*((E38-2*X38/1000)^2-((E38-2*X38/1000)-2*(F38-X38-Y38)/1000)^2)</f>
        <v>2.7387503745222674</v>
      </c>
      <c r="AA38" s="220">
        <f t="shared" ref="AA38:AA61" si="20">PI()/32*((E38-2*X38/1000)^4-((E38-2*X38/1000)-2*(F38-X38-Y38)/1000)^4)/(E38-2*X38/1000)</f>
        <v>5.3232138250927097</v>
      </c>
      <c r="AB38" s="220">
        <f t="shared" ref="AB38:AB61" si="21">(0.5*E38-(X38/1000))-(0.5*(AC38/1000))</f>
        <v>3.9411</v>
      </c>
      <c r="AC38" s="120">
        <f t="shared" ref="AC38:AC61" si="22">F38-X38-Y38</f>
        <v>110.60000000000001</v>
      </c>
      <c r="AD38" s="220">
        <f t="shared" ref="AD38:AD61" si="23">$R$4/SQRT(AB38*AC38/1000)</f>
        <v>111.96329408546612</v>
      </c>
      <c r="AE38" s="220">
        <f t="shared" ref="AE38:AE61" si="24">(J38/((0.605*$W$2*IF(AD38&gt;0.5*(AB38)/(AC38/1000),MAX(0.6,1+0.2/$AC$7*(1-2*AD38*(AC38/1000)/(AB38))),IF(AD38&lt;=1.7,1.36-(1.83/AD38)+(2.07/AD38^2),1)))*((AC38/1000)/(AB38)/1000)))^0.5</f>
        <v>0.35740368727833588</v>
      </c>
      <c r="AF38" s="220">
        <f t="shared" ref="AF38:AF61" si="25">0.62/(1+1.91*((((AB38)/(AC38/1000))^0.5*(AC38/1000)/$AC$4)/(AC38/1000))^1.44)</f>
        <v>0.42413847283335099</v>
      </c>
      <c r="AG38" s="220">
        <f t="shared" ref="AG38:AG61" si="26">IF(AND((AB38)/(AC38/1000)&lt;=150,AD38&lt;=6*(AB38)/(AC38/1000),$W$2/(J38*1000)&lt;=1000,500&lt;=$W$2/(J38*1000)),0.2+0.1*(ABS(V38/(PI()*(AB38^2)*AC38))/G38),0.2)</f>
        <v>0.28912691935169982</v>
      </c>
      <c r="AH38" s="220">
        <f t="shared" ref="AH38:AH61" si="27">IF(AE38&lt;=AG38,1,IF(AE38&gt;=(AF38/(1-0.6))^0.5,AF38/(AE38^2),1-0.6*((AE38-(AG38))/((AF38/(1-0.6))^0.5-AG38))))</f>
        <v>0.9446856220223433</v>
      </c>
      <c r="AI38" s="220">
        <f t="shared" ref="AI38:AI61" si="28">IF(AD38/1.25&gt;1.63*((AB38)/(AC38/1000)),$W$2/1000*(AC38/(AB38*1000))^2*(0.275+2.03*(1.25/AD38*AB38*1000/AC38)^4),IF(AD38/1.25&lt;20,0.92*$W$2/1000*((1.25+(8/AD38^2)-(4/AD38^3))/AD38)*((AC38/1000)/(AB38)),0.92*$W$2/1000*(1.25/AD38)*((AC38/1000)/(AB38))))</f>
        <v>53.890359530187105</v>
      </c>
      <c r="AJ38" s="220">
        <f t="shared" ref="AJ38:AJ61" si="29">SQRT(J38/AI38)</f>
        <v>2.3396746387430953</v>
      </c>
      <c r="AK38" s="220">
        <f t="shared" ref="AK38:AK61" si="30">IF(AJ38&lt;0.4,1,IF(AJ38&lt;SQRT($AC$5/(1-0.6)),1-0.6*((AJ38-0.4)/(SQRT($AC$5/(1-0.6))-0.4)^1),$AC$5/AJ38^2))</f>
        <v>9.1339592424045948E-2</v>
      </c>
      <c r="AL38" s="220">
        <f t="shared" ref="AL38:AL61" si="31">IF(((J38/SQRT(3)/(0.75*$W$2*(IF(AD38&lt;10,SQRT(1+42/(AD38^3)),IF(AD38&gt;8.7*(AB38)/(AC38/1000),(1/3)*SQRT(AD38*(AC38/1000)/(AB38)),1)))*(1/AD38)^0.5*((AC38/1000)/(AB38))/1000))^0.5)&lt;=0.4,1,IF(((J38/SQRT(3)/(0.75*$W$2*(IF(AD38&lt;10,SQRT(1+42/(AD38^3)),IF(AD38&gt;8.7*(AB38)/(AC38/1000),(1/3)*SQRT(AD38*(AC38/1000)/(AB38)),1)))*(1/AD38)^0.5*((AC38/1000)/(AB38))/1000))^0.5)&gt;=($AC$6/(1-0.6))^0.5,$AC$6/(((J38/SQRT(3)/(0.75*$W$2*(IF(AD38&lt;10,SQRT(1+42/(AD38^3)),IF(AD38&gt;8.7*(AB38)/(AC38/1000),(1/3)*SQRT(AD38*(AC38/1000)/(AB38)),1)))*(1/AD38)^0.5*((AC38/1000)/(AB38))/1000))^0.5)^2),1-0.6*((((J38/SQRT(3)/(0.75*$W$2*(IF(AD38&lt;10,SQRT(1+42/(AD38^3)),IF(AD38&gt;8.7*(AB38)/(AC38/1000),(1/3)*SQRT(AD38*(AC38/1000)/(AB38)),1)))*(1/AD38)^0.5*((AC38/1000)/(AB38))/1000))^0.5)-(0.4))/(($AC$6/(1-0.6))^0.5-0.4))))</f>
        <v>0.80066945451908911</v>
      </c>
      <c r="AM38" s="220">
        <f>IF(_xlfn.MINIFS(Geometry!$AJ$26:$AJ$32,Geometry!$AI$26:$AI$32,"o",Geometry!$AK$26:$AK$32,C7)&lt;=0,1,_xlfn.MINIFS(Geometry!$AJ$26:$AJ$32,Geometry!$AI$26:$AI$32,"o",Geometry!$AK$26:$AK$32,C7))</f>
        <v>1</v>
      </c>
      <c r="AN38" s="220">
        <f t="shared" ref="AN38:AN61" si="32">IF(NOT(ISNUMBER(D37)),0,ABS(J6-J7))</f>
        <v>0</v>
      </c>
      <c r="AO38" s="220">
        <f t="shared" ref="AO38:AO61" si="33">MAX(AN38,J7)</f>
        <v>0</v>
      </c>
      <c r="AP38" s="220">
        <f t="shared" ref="AP38:AP61" si="34">((ABS(T38/(PI()*((E38-2*X38/1000)-((AC38))/1000*COS(AO38*PI()/180))*(AC38)/1000))/1000)+ABS((4*V38)/(PI()*((E38-X38/1000)-((F38-X38-Y38)/1000)*COS(AO38*PI()/180))^2*((AC38)/1000))/1000))/COS(AO38*PI()/180)</f>
        <v>179.36237429157327</v>
      </c>
      <c r="AQ38" s="220">
        <f t="shared" ref="AQ38:AQ61" si="35">((0.6*(F38-X38-Y38)*((E38*1000-2*X38)*(2*(AC38)))^0.5)/((AC38)^2))*(G38*TAN(AN38*PI()/180))</f>
        <v>0</v>
      </c>
      <c r="AR38" s="220">
        <f t="shared" ref="AR38:AR61" si="36">IF(AN38=0,0,0.45*((E38*1000-2*X38)/(AC38))^0.5*G38*TAN(AN38*PI()/180)+I38)</f>
        <v>0</v>
      </c>
      <c r="AS38" s="220">
        <f t="shared" ref="AS38:AS61" si="37">IF(AO38=0,0,1.18*AP38/IF(J38/(2*0.3*$W$2/1000*(AC38)/1000/(E38-2*X38/1000))&lt;=0.17,J38,(1.047-0.274*(J38/(2*0.3*$W$2/1000*(AC38)/1000/(E38-2*X38/1000))))*J38))</f>
        <v>0</v>
      </c>
      <c r="AT38" s="220">
        <f t="shared" ref="AT38:AT61" si="38">IF(AN38=0,0,MAX(G38+AQ38,AP38+AQ38))</f>
        <v>0</v>
      </c>
      <c r="AU38" s="220">
        <f t="shared" ref="AU38:AU61" si="39">(AT38^2+AR38^2+AR38*AT38)^0.5/(J38/$W$10)</f>
        <v>0</v>
      </c>
      <c r="AV38" s="220">
        <f t="shared" ref="AV38:AV61" si="40">1.1*AT38/J38</f>
        <v>0</v>
      </c>
      <c r="AW38" s="220">
        <f t="shared" ref="AW38:AW61" si="41">1.25*AR38/IF(0.4*$W$2/1000*(AC38)/1000/(E38-2*X38/1000)/J38&gt;2.44,J38,IF(0.4*$W$2/1000*(AC38)/1000/(E38-2*X38/1000)/J38&lt;=0.55,0.4*$W$2/1000*(AC38)/1000/(E38-2*X38/1000),MIN(0.7*(0.4*$W$2/1000*(AC38)/1000/(E38-2*X38/1000)/J38)^0.4*J38,J38)))</f>
        <v>0</v>
      </c>
      <c r="AX38" s="220">
        <f t="shared" ref="AX38:AX61" si="42">MAX(AV38^2+AW38^(2*(5-4*(IF(0.4*$W$2/1000*(AC38)/1000/(E38-2*(X38/1000))/J38&gt;2.44,J38,IF(0.4*$W$2/1000*(AC38)/1000/(E38-2*(X38/1000))/J38&lt;=0.55,0.4*$W$2/1000*(AC38)/1000/(E38-2*(X38/1000)),MIN(0.7*(0.4*$W$2/1000*(AC38)/1000/(E38-2*(X38/1000))/J38)^0.4*J38,J38)))/J38)))+2*0.3*AV38*AW38,AW38,AT38/(IF(J38/(2*0.3*$W$2/1000*(AC38)/1000/(E38-2*(X38/1000)))&lt;=0.17,J38,(1.047-0.274*(J38/(2*0.3*$W$2/1000*(AC38)/1000/(E38-2*(X38/1000)))))*J38)/1.18))</f>
        <v>0</v>
      </c>
    </row>
    <row r="39" spans="3:50" ht="14.85" customHeight="1">
      <c r="C39" s="12" t="str">
        <f t="shared" si="5"/>
        <v>Can3</v>
      </c>
      <c r="D39" s="2">
        <f t="shared" si="6"/>
        <v>-0.6</v>
      </c>
      <c r="E39" s="43">
        <f t="shared" si="7"/>
        <v>8</v>
      </c>
      <c r="F39" s="120">
        <f t="shared" si="8"/>
        <v>125</v>
      </c>
      <c r="G39" s="120">
        <f t="shared" si="9"/>
        <v>168.40356774518818</v>
      </c>
      <c r="H39" s="120">
        <f t="shared" si="10"/>
        <v>13.281926860575105</v>
      </c>
      <c r="I39" s="120">
        <f t="shared" si="11"/>
        <v>5.9410568724927915</v>
      </c>
      <c r="J39" s="120">
        <f>VLOOKUP(R39,'Steel grades'!$B$5:$J$22,IF(F39&gt;200,10,IF(F39&gt;150,9,IF(F39&gt;120,8,IF(F39&gt;100,7,IF(F39&gt;80,6,IF(F39&gt;63,5,IF(F39&gt;40,4,IF(F39&gt;16,3,2)))))))),FALSE)</f>
        <v>295</v>
      </c>
      <c r="K39" s="120">
        <f t="shared" si="12"/>
        <v>255.84747061459353</v>
      </c>
      <c r="L39" s="3">
        <f t="shared" si="13"/>
        <v>28.777645775212893</v>
      </c>
      <c r="M39" s="3">
        <f t="shared" si="14"/>
        <v>128.68509072451837</v>
      </c>
      <c r="N39" s="3">
        <f t="shared" si="15"/>
        <v>0.65821861494526912</v>
      </c>
      <c r="O39" s="3">
        <f t="shared" si="16"/>
        <v>0.5863993490185011</v>
      </c>
      <c r="P39" s="3">
        <f>(ABS(Geometry_loads!S20)/Z39+ABS(Geometry_loads!T20)/AA39)/(1000*J39)</f>
        <v>0.4374881082414353</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Geometry!M28</f>
        <v>S355 NL/ML</v>
      </c>
      <c r="T39" s="3">
        <f>Geometry_loads!L20</f>
        <v>-56049.11</v>
      </c>
      <c r="U39" s="3">
        <f>Geometry_loads!M20</f>
        <v>63744.05</v>
      </c>
      <c r="V39" s="3">
        <f>Geometry_loads!N20</f>
        <v>884568</v>
      </c>
      <c r="W39" s="3">
        <f>Geometry_loads!O20</f>
        <v>11838.44</v>
      </c>
      <c r="X39" s="3">
        <f t="shared" si="17"/>
        <v>3.5999999999999996</v>
      </c>
      <c r="Y39" s="3">
        <f t="shared" si="18"/>
        <v>0</v>
      </c>
      <c r="Z39" s="18">
        <f t="shared" si="19"/>
        <v>3.002068114994854</v>
      </c>
      <c r="AA39" s="220">
        <f t="shared" si="20"/>
        <v>5.8192747362769106</v>
      </c>
      <c r="AB39" s="220">
        <f t="shared" si="21"/>
        <v>3.9356999999999998</v>
      </c>
      <c r="AC39" s="120">
        <f t="shared" si="22"/>
        <v>121.4</v>
      </c>
      <c r="AD39" s="220">
        <f t="shared" si="23"/>
        <v>106.94035499911951</v>
      </c>
      <c r="AE39" s="220">
        <f t="shared" si="24"/>
        <v>0.34653363483216504</v>
      </c>
      <c r="AF39" s="220">
        <f t="shared" si="25"/>
        <v>0.43314273052893065</v>
      </c>
      <c r="AG39" s="220">
        <f t="shared" si="26"/>
        <v>0.28891343797923114</v>
      </c>
      <c r="AH39" s="220">
        <f t="shared" si="27"/>
        <v>0.95400751754594204</v>
      </c>
      <c r="AI39" s="220">
        <f t="shared" si="28"/>
        <v>63.310820705468366</v>
      </c>
      <c r="AJ39" s="220">
        <f t="shared" si="29"/>
        <v>2.1585993219474178</v>
      </c>
      <c r="AK39" s="220">
        <f t="shared" si="30"/>
        <v>0.10730647577198028</v>
      </c>
      <c r="AL39" s="220">
        <f t="shared" si="31"/>
        <v>0.83111195539872518</v>
      </c>
      <c r="AM39" s="220">
        <f>IF(_xlfn.MINIFS(Geometry!$AJ$26:$AJ$32,Geometry!$AI$26:$AI$32,"o",Geometry!$AK$26:$AK$32,C8)&lt;=0,1,_xlfn.MINIFS(Geometry!$AJ$26:$AJ$32,Geometry!$AI$26:$AI$32,"o",Geometry!$AK$26:$AK$32,C8))</f>
        <v>1</v>
      </c>
      <c r="AN39" s="220">
        <f t="shared" si="32"/>
        <v>0</v>
      </c>
      <c r="AO39" s="220">
        <f t="shared" si="33"/>
        <v>0</v>
      </c>
      <c r="AP39" s="220">
        <f t="shared" si="34"/>
        <v>168.26669992623101</v>
      </c>
      <c r="AQ39" s="220">
        <f t="shared" si="35"/>
        <v>0</v>
      </c>
      <c r="AR39" s="220">
        <f t="shared" si="36"/>
        <v>0</v>
      </c>
      <c r="AS39" s="220">
        <f t="shared" si="37"/>
        <v>0</v>
      </c>
      <c r="AT39" s="220">
        <f t="shared" si="38"/>
        <v>0</v>
      </c>
      <c r="AU39" s="220">
        <f t="shared" si="39"/>
        <v>0</v>
      </c>
      <c r="AV39" s="220">
        <f t="shared" si="40"/>
        <v>0</v>
      </c>
      <c r="AW39" s="220">
        <f t="shared" si="41"/>
        <v>0</v>
      </c>
      <c r="AX39" s="220">
        <f t="shared" si="42"/>
        <v>0</v>
      </c>
    </row>
    <row r="40" spans="3:50" ht="14.85" customHeight="1">
      <c r="C40" s="12" t="str">
        <f t="shared" si="5"/>
        <v>Can4</v>
      </c>
      <c r="D40" s="2">
        <f t="shared" si="6"/>
        <v>-3.8</v>
      </c>
      <c r="E40" s="43">
        <f t="shared" si="7"/>
        <v>8</v>
      </c>
      <c r="F40" s="120">
        <f t="shared" si="8"/>
        <v>125</v>
      </c>
      <c r="G40" s="120">
        <f t="shared" si="9"/>
        <v>167.5006531687269</v>
      </c>
      <c r="H40" s="120">
        <f t="shared" si="10"/>
        <v>12.458054356160405</v>
      </c>
      <c r="I40" s="120">
        <f t="shared" si="11"/>
        <v>5.7725933343750002</v>
      </c>
      <c r="J40" s="120">
        <f>VLOOKUP(R40,'Steel grades'!$B$5:$J$22,IF(F40&gt;200,10,IF(F40&gt;150,9,IF(F40&gt;120,8,IF(F40&gt;100,7,IF(F40&gt;80,6,IF(F40&gt;63,5,IF(F40&gt;40,4,IF(F40&gt;16,3,2)))))))),FALSE)</f>
        <v>295</v>
      </c>
      <c r="K40" s="120">
        <f t="shared" si="12"/>
        <v>256.59686444656495</v>
      </c>
      <c r="L40" s="3">
        <f t="shared" si="13"/>
        <v>30.263642022240717</v>
      </c>
      <c r="M40" s="3">
        <f t="shared" si="14"/>
        <v>130.08189570922937</v>
      </c>
      <c r="N40" s="3">
        <f t="shared" si="15"/>
        <v>0.95572542560177109</v>
      </c>
      <c r="O40" s="3">
        <f t="shared" si="16"/>
        <v>0.89281611388579141</v>
      </c>
      <c r="P40" s="3">
        <f>(ABS(Geometry_loads!S21)/Z40+ABS(Geometry_loads!T21)/AA40)/(1000*J40)</f>
        <v>0.43533312445409317</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Geometry!M29</f>
        <v>S355 NL/ML</v>
      </c>
      <c r="T40" s="3">
        <f>Geometry_loads!L21</f>
        <v>-57356.5</v>
      </c>
      <c r="U40" s="3">
        <f>Geometry_loads!M21</f>
        <v>63749.38</v>
      </c>
      <c r="V40" s="3">
        <f>Geometry_loads!N21</f>
        <v>906885.3</v>
      </c>
      <c r="W40" s="3">
        <f>Geometry_loads!O21</f>
        <v>11168.14</v>
      </c>
      <c r="X40" s="3">
        <f t="shared" si="17"/>
        <v>0</v>
      </c>
      <c r="Y40" s="3">
        <f t="shared" si="18"/>
        <v>0</v>
      </c>
      <c r="Z40" s="18">
        <f t="shared" si="19"/>
        <v>3.0925052683774528</v>
      </c>
      <c r="AA40" s="220">
        <f t="shared" si="20"/>
        <v>5.9947489821574642</v>
      </c>
      <c r="AB40" s="220">
        <f t="shared" si="21"/>
        <v>3.9375</v>
      </c>
      <c r="AC40" s="120">
        <f t="shared" si="22"/>
        <v>125</v>
      </c>
      <c r="AD40" s="220">
        <f t="shared" si="23"/>
        <v>105.36507201155419</v>
      </c>
      <c r="AE40" s="220">
        <f t="shared" si="24"/>
        <v>0.34327813627737469</v>
      </c>
      <c r="AF40" s="220">
        <f t="shared" si="25"/>
        <v>0.43583523931057638</v>
      </c>
      <c r="AG40" s="220">
        <f t="shared" si="26"/>
        <v>0.28892724504369616</v>
      </c>
      <c r="AH40" s="220">
        <f t="shared" si="27"/>
        <v>0.95680186742786943</v>
      </c>
      <c r="AI40" s="220">
        <f t="shared" si="28"/>
        <v>66.58001244892958</v>
      </c>
      <c r="AJ40" s="220">
        <f t="shared" si="29"/>
        <v>2.1049368540491336</v>
      </c>
      <c r="AK40" s="220">
        <f t="shared" si="30"/>
        <v>0.11284747872699928</v>
      </c>
      <c r="AL40" s="220">
        <f t="shared" si="31"/>
        <v>0.84013321276131303</v>
      </c>
      <c r="AM40" s="220">
        <f>IF(_xlfn.MINIFS(Geometry!$AJ$26:$AJ$32,Geometry!$AI$26:$AI$32,"o",Geometry!$AK$26:$AK$32,C9)&lt;=0,1,_xlfn.MINIFS(Geometry!$AJ$26:$AJ$32,Geometry!$AI$26:$AI$32,"o",Geometry!$AK$26:$AK$32,C9))</f>
        <v>1</v>
      </c>
      <c r="AN40" s="220">
        <f t="shared" si="32"/>
        <v>3.5787803472726449</v>
      </c>
      <c r="AO40" s="220">
        <f t="shared" si="33"/>
        <v>3.5787803472726449</v>
      </c>
      <c r="AP40" s="220">
        <f t="shared" si="34"/>
        <v>167.81811782640162</v>
      </c>
      <c r="AQ40" s="220">
        <f t="shared" si="35"/>
        <v>71.113238574041162</v>
      </c>
      <c r="AR40" s="220">
        <f t="shared" si="36"/>
        <v>43.486083255255956</v>
      </c>
      <c r="AS40" s="220">
        <f t="shared" si="37"/>
        <v>0.67127247130560641</v>
      </c>
      <c r="AT40" s="220">
        <f t="shared" si="38"/>
        <v>238.93135640044278</v>
      </c>
      <c r="AU40" s="220">
        <f t="shared" si="39"/>
        <v>0.89281611388579141</v>
      </c>
      <c r="AV40" s="220">
        <f t="shared" si="40"/>
        <v>0.89093048149317655</v>
      </c>
      <c r="AW40" s="220">
        <f t="shared" si="41"/>
        <v>0.18426306464091505</v>
      </c>
      <c r="AX40" s="220">
        <f t="shared" si="42"/>
        <v>0.95572542560177109</v>
      </c>
    </row>
    <row r="41" spans="3:50" ht="14.85" customHeight="1">
      <c r="C41" s="12" t="str">
        <f t="shared" si="5"/>
        <v>Can5</v>
      </c>
      <c r="D41" s="2">
        <f t="shared" si="6"/>
        <v>-7.3</v>
      </c>
      <c r="E41" s="43">
        <f t="shared" si="7"/>
        <v>8.4377999999999993</v>
      </c>
      <c r="F41" s="120">
        <f t="shared" si="8"/>
        <v>106</v>
      </c>
      <c r="G41" s="120">
        <f t="shared" si="9"/>
        <v>182.62290389864174</v>
      </c>
      <c r="H41" s="120">
        <f t="shared" si="10"/>
        <v>13.752023561700252</v>
      </c>
      <c r="I41" s="120">
        <f t="shared" si="11"/>
        <v>7.2021702820224061</v>
      </c>
      <c r="J41" s="120">
        <f>VLOOKUP(R41,'Steel grades'!$B$5:$J$22,IF(F41&gt;200,10,IF(F41&gt;150,9,IF(F41&gt;120,8,IF(F41&gt;100,7,IF(F41&gt;80,6,IF(F41&gt;63,5,IF(F41&gt;40,4,IF(F41&gt;16,3,2)))))))),FALSE)</f>
        <v>295</v>
      </c>
      <c r="K41" s="120">
        <f t="shared" si="12"/>
        <v>251.53871218139653</v>
      </c>
      <c r="L41" s="3">
        <f t="shared" si="13"/>
        <v>21.767303171390914</v>
      </c>
      <c r="M41" s="3">
        <f t="shared" si="14"/>
        <v>119.96531643432715</v>
      </c>
      <c r="N41" s="3">
        <f t="shared" si="15"/>
        <v>0.78307891002440755</v>
      </c>
      <c r="O41" s="3">
        <f t="shared" si="16"/>
        <v>0.63676170100082485</v>
      </c>
      <c r="P41" s="3">
        <f>(ABS(Geometry_loads!S22)/Z41+ABS(Geometry_loads!T22)/AA41)/(1000*J41)</f>
        <v>0.47330705612160845</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Geometry!M30</f>
        <v>S355 NL/ML</v>
      </c>
      <c r="T41" s="3">
        <f>Geometry_loads!L22</f>
        <v>-58854.57</v>
      </c>
      <c r="U41" s="3">
        <f>Geometry_loads!M22</f>
        <v>63754.91</v>
      </c>
      <c r="V41" s="3">
        <f>Geometry_loads!N22</f>
        <v>932837</v>
      </c>
      <c r="W41" s="3">
        <f>Geometry_loads!O22</f>
        <v>11425.93</v>
      </c>
      <c r="X41" s="3">
        <f t="shared" si="17"/>
        <v>0</v>
      </c>
      <c r="Y41" s="3">
        <f t="shared" si="18"/>
        <v>0</v>
      </c>
      <c r="Z41" s="18">
        <f t="shared" si="19"/>
        <v>2.7745628971450267</v>
      </c>
      <c r="AA41" s="220">
        <f t="shared" si="20"/>
        <v>5.7075972108891611</v>
      </c>
      <c r="AB41" s="220">
        <f t="shared" si="21"/>
        <v>4.1658999999999997</v>
      </c>
      <c r="AC41" s="120">
        <f t="shared" si="22"/>
        <v>106</v>
      </c>
      <c r="AD41" s="220">
        <f t="shared" si="23"/>
        <v>111.23836712532675</v>
      </c>
      <c r="AE41" s="220">
        <f t="shared" si="24"/>
        <v>0.3638550161581372</v>
      </c>
      <c r="AF41" s="220">
        <f t="shared" si="25"/>
        <v>0.41456850079038432</v>
      </c>
      <c r="AG41" s="220">
        <f t="shared" si="26"/>
        <v>0.28838470157332563</v>
      </c>
      <c r="AH41" s="220">
        <f t="shared" si="27"/>
        <v>0.93794096067639388</v>
      </c>
      <c r="AI41" s="220">
        <f t="shared" si="28"/>
        <v>47.888066977060021</v>
      </c>
      <c r="AJ41" s="220">
        <f t="shared" si="29"/>
        <v>2.4819747247397279</v>
      </c>
      <c r="AK41" s="220">
        <f t="shared" si="30"/>
        <v>8.1166215215355955E-2</v>
      </c>
      <c r="AL41" s="220">
        <f t="shared" si="31"/>
        <v>0.7747953407842898</v>
      </c>
      <c r="AM41" s="220">
        <f>IF(_xlfn.MINIFS(Geometry!$AJ$26:$AJ$32,Geometry!$AI$26:$AI$32,"o",Geometry!$AK$26:$AK$32,C10)&lt;=0,1,_xlfn.MINIFS(Geometry!$AJ$26:$AJ$32,Geometry!$AI$26:$AI$32,"o",Geometry!$AK$26:$AK$32,C10))</f>
        <v>1</v>
      </c>
      <c r="AN41" s="220">
        <f t="shared" si="32"/>
        <v>1.3766765505351941E-14</v>
      </c>
      <c r="AO41" s="220">
        <f t="shared" si="33"/>
        <v>3.5787803472726587</v>
      </c>
      <c r="AP41" s="220">
        <f t="shared" si="34"/>
        <v>182.97117827424029</v>
      </c>
      <c r="AQ41" s="220">
        <f t="shared" si="35"/>
        <v>3.3219451393111758E-13</v>
      </c>
      <c r="AR41" s="220">
        <f t="shared" si="36"/>
        <v>7.2021702820225819</v>
      </c>
      <c r="AS41" s="220">
        <f t="shared" si="37"/>
        <v>0.73487214631246123</v>
      </c>
      <c r="AT41" s="220">
        <f t="shared" si="38"/>
        <v>182.97117827424063</v>
      </c>
      <c r="AU41" s="220">
        <f t="shared" si="39"/>
        <v>0.63280167009409083</v>
      </c>
      <c r="AV41" s="220">
        <f t="shared" si="40"/>
        <v>0.6822654105141176</v>
      </c>
      <c r="AW41" s="220">
        <f t="shared" si="41"/>
        <v>3.0517670686536363E-2</v>
      </c>
      <c r="AX41" s="220">
        <f t="shared" si="42"/>
        <v>0.73487214631246256</v>
      </c>
    </row>
    <row r="42" spans="3:50" ht="14.85" customHeight="1">
      <c r="C42" s="12" t="str">
        <f t="shared" si="5"/>
        <v>Can6</v>
      </c>
      <c r="D42" s="2">
        <f t="shared" si="6"/>
        <v>-10.8</v>
      </c>
      <c r="E42" s="43">
        <f t="shared" si="7"/>
        <v>8.8756000000000004</v>
      </c>
      <c r="F42" s="120">
        <f t="shared" si="8"/>
        <v>116</v>
      </c>
      <c r="G42" s="120">
        <f t="shared" si="9"/>
        <v>156.41124304113143</v>
      </c>
      <c r="H42" s="120">
        <f t="shared" si="10"/>
        <v>12.268007121547637</v>
      </c>
      <c r="I42" s="120">
        <f t="shared" si="11"/>
        <v>6.9192129955926722</v>
      </c>
      <c r="J42" s="120">
        <f>VLOOKUP(R42,'Steel grades'!$B$5:$J$22,IF(F42&gt;200,10,IF(F42&gt;150,9,IF(F42&gt;120,8,IF(F42&gt;100,7,IF(F42&gt;80,6,IF(F42&gt;63,5,IF(F42&gt;40,4,IF(F42&gt;16,3,2)))))))),FALSE)</f>
        <v>295</v>
      </c>
      <c r="K42" s="120">
        <f t="shared" si="12"/>
        <v>216.21132254244949</v>
      </c>
      <c r="L42" s="3">
        <f t="shared" si="13"/>
        <v>24.243965004647873</v>
      </c>
      <c r="M42" s="3">
        <f t="shared" si="14"/>
        <v>123.15917267695701</v>
      </c>
      <c r="N42" s="3">
        <f t="shared" si="15"/>
        <v>0.73146224846222652</v>
      </c>
      <c r="O42" s="3">
        <f t="shared" si="16"/>
        <v>0.54707818261177732</v>
      </c>
      <c r="P42" s="3">
        <f>(ABS(Geometry_loads!S23)/Z42+ABS(Geometry_loads!T23)/AA42)/(1000*J42)</f>
        <v>0.40552475857724585</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Geometry!M31</f>
        <v>S355 NL/ML</v>
      </c>
      <c r="T42" s="3">
        <f>Geometry_loads!L23</f>
        <v>-60141.599999999999</v>
      </c>
      <c r="U42" s="3">
        <f>Geometry_loads!M23</f>
        <v>63760.15</v>
      </c>
      <c r="V42" s="3">
        <f>Geometry_loads!N23</f>
        <v>961709.3</v>
      </c>
      <c r="W42" s="3">
        <f>Geometry_loads!O23</f>
        <v>12302.17</v>
      </c>
      <c r="X42" s="3">
        <f t="shared" si="17"/>
        <v>0</v>
      </c>
      <c r="Y42" s="3">
        <f t="shared" si="18"/>
        <v>0</v>
      </c>
      <c r="Z42" s="18">
        <f t="shared" si="19"/>
        <v>3.1922150209726685</v>
      </c>
      <c r="AA42" s="220">
        <f t="shared" si="20"/>
        <v>6.9004772439779281</v>
      </c>
      <c r="AB42" s="220">
        <f t="shared" si="21"/>
        <v>4.3798000000000004</v>
      </c>
      <c r="AC42" s="120">
        <f t="shared" si="22"/>
        <v>116</v>
      </c>
      <c r="AD42" s="220">
        <f t="shared" si="23"/>
        <v>103.70646334675766</v>
      </c>
      <c r="AE42" s="220">
        <f t="shared" si="24"/>
        <v>0.35378214103513661</v>
      </c>
      <c r="AF42" s="220">
        <f t="shared" si="25"/>
        <v>0.41851304909989034</v>
      </c>
      <c r="AG42" s="220">
        <f t="shared" si="26"/>
        <v>0.28795477620232252</v>
      </c>
      <c r="AH42" s="220">
        <f t="shared" si="27"/>
        <v>0.94625787696623886</v>
      </c>
      <c r="AI42" s="220">
        <f t="shared" si="28"/>
        <v>53.336723010225327</v>
      </c>
      <c r="AJ42" s="220">
        <f t="shared" si="29"/>
        <v>2.3517862308835253</v>
      </c>
      <c r="AK42" s="220">
        <f t="shared" si="30"/>
        <v>9.0401225441059871E-2</v>
      </c>
      <c r="AL42" s="220">
        <f t="shared" si="31"/>
        <v>0.79542284387831197</v>
      </c>
      <c r="AM42" s="220">
        <f>IF(_xlfn.MINIFS(Geometry!$AJ$26:$AJ$32,Geometry!$AI$26:$AI$32,"o",Geometry!$AK$26:$AK$32,C11)&lt;=0,1,_xlfn.MINIFS(Geometry!$AJ$26:$AJ$32,Geometry!$AI$26:$AI$32,"o",Geometry!$AK$26:$AK$32,C11))</f>
        <v>0.85199999999999998</v>
      </c>
      <c r="AN42" s="220">
        <f t="shared" si="32"/>
        <v>1.3766765505351941E-14</v>
      </c>
      <c r="AO42" s="220">
        <f t="shared" si="33"/>
        <v>3.5787803472726449</v>
      </c>
      <c r="AP42" s="220">
        <f t="shared" si="34"/>
        <v>156.70924787249464</v>
      </c>
      <c r="AQ42" s="220">
        <f t="shared" si="35"/>
        <v>2.7894164928056664E-13</v>
      </c>
      <c r="AR42" s="220">
        <f t="shared" si="36"/>
        <v>6.9192129955928205</v>
      </c>
      <c r="AS42" s="220">
        <f t="shared" si="37"/>
        <v>0.62814617722506139</v>
      </c>
      <c r="AT42" s="220">
        <f t="shared" si="38"/>
        <v>156.70924787249493</v>
      </c>
      <c r="AU42" s="220">
        <f t="shared" si="39"/>
        <v>0.54332510205478513</v>
      </c>
      <c r="AV42" s="220">
        <f t="shared" si="40"/>
        <v>0.58433956833811673</v>
      </c>
      <c r="AW42" s="220">
        <f t="shared" si="41"/>
        <v>2.9318699133867886E-2</v>
      </c>
      <c r="AX42" s="220">
        <f t="shared" si="42"/>
        <v>0.6281461772250625</v>
      </c>
    </row>
    <row r="43" spans="3:50" ht="14.85" customHeight="1">
      <c r="C43" s="12" t="str">
        <f t="shared" si="5"/>
        <v>Can7</v>
      </c>
      <c r="D43" s="2">
        <f t="shared" si="6"/>
        <v>-14.3</v>
      </c>
      <c r="E43" s="43">
        <f t="shared" si="7"/>
        <v>9.3133999999999997</v>
      </c>
      <c r="F43" s="120">
        <f t="shared" si="8"/>
        <v>103</v>
      </c>
      <c r="G43" s="120">
        <f t="shared" si="9"/>
        <v>165.49554989738485</v>
      </c>
      <c r="H43" s="120">
        <f t="shared" si="10"/>
        <v>13.649206733739085</v>
      </c>
      <c r="I43" s="120">
        <f t="shared" si="11"/>
        <v>8.1935419397330111</v>
      </c>
      <c r="J43" s="120">
        <f>VLOOKUP(R43,'Steel grades'!$B$5:$J$22,IF(F43&gt;200,10,IF(F43&gt;150,9,IF(F43&gt;120,8,IF(F43&gt;100,7,IF(F43&gt;80,6,IF(F43&gt;63,5,IF(F43&gt;40,4,IF(F43&gt;16,3,2)))))))),FALSE)</f>
        <v>295</v>
      </c>
      <c r="K43" s="120">
        <f t="shared" si="12"/>
        <v>248.95742847395141</v>
      </c>
      <c r="L43" s="3">
        <f t="shared" si="13"/>
        <v>20.257813124953117</v>
      </c>
      <c r="M43" s="3">
        <f t="shared" si="14"/>
        <v>115.01828887344389</v>
      </c>
      <c r="N43" s="3">
        <f t="shared" si="15"/>
        <v>0.77296273214378053</v>
      </c>
      <c r="O43" s="3">
        <f t="shared" si="16"/>
        <v>0.58094622542545726</v>
      </c>
      <c r="P43" s="3">
        <f>(ABS(Geometry_loads!S24)/Z43+ABS(Geometry_loads!T24)/AA43)/(1000*J43)</f>
        <v>0.42829830090116461</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Geometry!M32</f>
        <v>S355 NL/ML</v>
      </c>
      <c r="T43" s="3">
        <f>Geometry_loads!L24</f>
        <v>-61495.11</v>
      </c>
      <c r="U43" s="3">
        <f>Geometry_loads!M24</f>
        <v>63764.87</v>
      </c>
      <c r="V43" s="3">
        <f>Geometry_loads!N24</f>
        <v>994119.1</v>
      </c>
      <c r="W43" s="3">
        <f>Geometry_loads!O24</f>
        <v>13416.49</v>
      </c>
      <c r="X43" s="3">
        <f t="shared" si="17"/>
        <v>0</v>
      </c>
      <c r="Y43" s="3">
        <f t="shared" si="18"/>
        <v>0</v>
      </c>
      <c r="Z43" s="18">
        <f t="shared" si="19"/>
        <v>2.9803384725922011</v>
      </c>
      <c r="AA43" s="220">
        <f t="shared" si="20"/>
        <v>6.7874811200685032</v>
      </c>
      <c r="AB43" s="220">
        <f t="shared" si="21"/>
        <v>4.6052</v>
      </c>
      <c r="AC43" s="120">
        <f t="shared" si="22"/>
        <v>103</v>
      </c>
      <c r="AD43" s="220">
        <f t="shared" si="23"/>
        <v>107.32949794444465</v>
      </c>
      <c r="AE43" s="220">
        <f t="shared" si="24"/>
        <v>0.37289505757704544</v>
      </c>
      <c r="AF43" s="220">
        <f t="shared" si="25"/>
        <v>0.40162026784318478</v>
      </c>
      <c r="AG43" s="220">
        <f t="shared" si="26"/>
        <v>0.28753223311891368</v>
      </c>
      <c r="AH43" s="220">
        <f t="shared" si="27"/>
        <v>0.9283158349876155</v>
      </c>
      <c r="AI43" s="220">
        <f t="shared" si="28"/>
        <v>44.567188874896864</v>
      </c>
      <c r="AJ43" s="220">
        <f t="shared" si="29"/>
        <v>2.5727843619278583</v>
      </c>
      <c r="AK43" s="220">
        <f t="shared" si="30"/>
        <v>7.5537608262537054E-2</v>
      </c>
      <c r="AL43" s="220">
        <f t="shared" si="31"/>
        <v>0.7428449903094333</v>
      </c>
      <c r="AM43" s="220">
        <f>IF(_xlfn.MINIFS(Geometry!$AJ$26:$AJ$32,Geometry!$AI$26:$AI$32,"o",Geometry!$AK$26:$AK$32,C12)&lt;=0,1,_xlfn.MINIFS(Geometry!$AJ$26:$AJ$32,Geometry!$AI$26:$AI$32,"o",Geometry!$AK$26:$AK$32,C12))</f>
        <v>1</v>
      </c>
      <c r="AN43" s="220">
        <f t="shared" si="32"/>
        <v>8.1532264094574813E-4</v>
      </c>
      <c r="AO43" s="220">
        <f t="shared" si="33"/>
        <v>3.5779650246316992</v>
      </c>
      <c r="AP43" s="220">
        <f t="shared" si="34"/>
        <v>165.81198523477335</v>
      </c>
      <c r="AQ43" s="220">
        <f t="shared" si="35"/>
        <v>1.9001809255016149E-2</v>
      </c>
      <c r="AR43" s="220">
        <f t="shared" si="36"/>
        <v>8.2036191708672881</v>
      </c>
      <c r="AS43" s="220">
        <f t="shared" si="37"/>
        <v>0.67062889569033002</v>
      </c>
      <c r="AT43" s="220">
        <f t="shared" si="38"/>
        <v>165.83098704402835</v>
      </c>
      <c r="AU43" s="220">
        <f t="shared" si="39"/>
        <v>0.57654659317236123</v>
      </c>
      <c r="AV43" s="220">
        <f t="shared" si="40"/>
        <v>0.61835283304552946</v>
      </c>
      <c r="AW43" s="220">
        <f t="shared" si="41"/>
        <v>3.4761098181641047E-2</v>
      </c>
      <c r="AX43" s="220">
        <f t="shared" si="42"/>
        <v>0.67070574877389189</v>
      </c>
    </row>
    <row r="44" spans="3:50" ht="14.85" customHeight="1">
      <c r="C44" s="12" t="str">
        <f t="shared" si="5"/>
        <v>Can8</v>
      </c>
      <c r="D44" s="2">
        <f t="shared" si="6"/>
        <v>-17.8</v>
      </c>
      <c r="E44" s="43">
        <f t="shared" si="7"/>
        <v>9.7510999999999992</v>
      </c>
      <c r="F44" s="120">
        <f t="shared" si="8"/>
        <v>98</v>
      </c>
      <c r="G44" s="120">
        <f t="shared" si="9"/>
        <v>164.63813443882623</v>
      </c>
      <c r="H44" s="120">
        <f t="shared" si="10"/>
        <v>14.035334522431448</v>
      </c>
      <c r="I44" s="120">
        <f t="shared" si="11"/>
        <v>9.0254973624968091</v>
      </c>
      <c r="J44" s="120">
        <f>VLOOKUP(R44,'Steel grades'!$B$5:$J$22,IF(F44&gt;200,10,IF(F44&gt;150,9,IF(F44&gt;120,8,IF(F44&gt;100,7,IF(F44&gt;80,6,IF(F44&gt;63,5,IF(F44&gt;40,4,IF(F44&gt;16,3,2)))))))),FALSE)</f>
        <v>315</v>
      </c>
      <c r="K44" s="120">
        <f t="shared" si="12"/>
        <v>259.54741121852641</v>
      </c>
      <c r="L44" s="3">
        <f t="shared" si="13"/>
        <v>19.420694115917776</v>
      </c>
      <c r="M44" s="3">
        <f t="shared" si="14"/>
        <v>114.51307651824885</v>
      </c>
      <c r="N44" s="3">
        <f t="shared" si="15"/>
        <v>0.80102740544400486</v>
      </c>
      <c r="O44" s="3">
        <f t="shared" si="16"/>
        <v>0.54307141234745238</v>
      </c>
      <c r="P44" s="3">
        <f>(ABS(Geometry_loads!S25)/Z44+ABS(Geometry_loads!T25)/AA44)/(1000*J44)</f>
        <v>0.39866505441988953</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Geometry!M33</f>
        <v>S355 NL/ML</v>
      </c>
      <c r="T44" s="3">
        <f>Geometry_loads!L25</f>
        <v>-62946.1</v>
      </c>
      <c r="U44" s="3">
        <f>Geometry_loads!M25</f>
        <v>63769.31</v>
      </c>
      <c r="V44" s="3">
        <f>Geometry_loads!N25</f>
        <v>1028903.7000000001</v>
      </c>
      <c r="W44" s="3">
        <f>Geometry_loads!O25</f>
        <v>14250.120000000003</v>
      </c>
      <c r="X44" s="3">
        <f t="shared" si="17"/>
        <v>0</v>
      </c>
      <c r="Y44" s="3">
        <f t="shared" si="18"/>
        <v>0</v>
      </c>
      <c r="Z44" s="18">
        <f t="shared" si="19"/>
        <v>2.971958588348016</v>
      </c>
      <c r="AA44" s="220">
        <f t="shared" si="20"/>
        <v>7.1008039394679443</v>
      </c>
      <c r="AB44" s="220">
        <f t="shared" si="21"/>
        <v>4.8265499999999992</v>
      </c>
      <c r="AC44" s="120">
        <f t="shared" si="22"/>
        <v>98</v>
      </c>
      <c r="AD44" s="220">
        <f t="shared" si="23"/>
        <v>107.48070726142053</v>
      </c>
      <c r="AE44" s="220">
        <f t="shared" si="24"/>
        <v>0.39676127680346868</v>
      </c>
      <c r="AF44" s="220">
        <f t="shared" si="25"/>
        <v>0.3916721083711161</v>
      </c>
      <c r="AG44" s="220">
        <f t="shared" si="26"/>
        <v>0.28713541924805785</v>
      </c>
      <c r="AH44" s="220">
        <f t="shared" si="27"/>
        <v>0.90635603917580643</v>
      </c>
      <c r="AI44" s="220">
        <f t="shared" si="28"/>
        <v>42.7255270550191</v>
      </c>
      <c r="AJ44" s="220">
        <f t="shared" si="29"/>
        <v>2.7152608794279942</v>
      </c>
      <c r="AK44" s="220">
        <f t="shared" si="30"/>
        <v>6.781829691272874E-2</v>
      </c>
      <c r="AL44" s="220">
        <f t="shared" si="31"/>
        <v>0.69262448675140487</v>
      </c>
      <c r="AM44" s="220">
        <f>IF(_xlfn.MINIFS(Geometry!$AJ$26:$AJ$32,Geometry!$AI$26:$AI$32,"o",Geometry!$AK$26:$AK$32,C13)&lt;=0,1,_xlfn.MINIFS(Geometry!$AJ$26:$AJ$32,Geometry!$AI$26:$AI$32,"o",Geometry!$AK$26:$AK$32,C13))</f>
        <v>1</v>
      </c>
      <c r="AN44" s="220">
        <f t="shared" si="32"/>
        <v>8.1532264096129126E-4</v>
      </c>
      <c r="AO44" s="220">
        <f t="shared" si="33"/>
        <v>3.5787803472726605</v>
      </c>
      <c r="AP44" s="220">
        <f t="shared" si="34"/>
        <v>164.95370885908687</v>
      </c>
      <c r="AQ44" s="220">
        <f t="shared" si="35"/>
        <v>1.9829753792475559E-2</v>
      </c>
      <c r="AR44" s="220">
        <f t="shared" si="36"/>
        <v>9.0360136775287483</v>
      </c>
      <c r="AS44" s="220">
        <f t="shared" si="37"/>
        <v>0.63127854712340203</v>
      </c>
      <c r="AT44" s="220">
        <f t="shared" si="38"/>
        <v>164.97353861287934</v>
      </c>
      <c r="AU44" s="220">
        <f t="shared" si="39"/>
        <v>0.5386415837331916</v>
      </c>
      <c r="AV44" s="220">
        <f t="shared" si="40"/>
        <v>0.57609807134656288</v>
      </c>
      <c r="AW44" s="220">
        <f t="shared" si="41"/>
        <v>3.5857197133050592E-2</v>
      </c>
      <c r="AX44" s="220">
        <f t="shared" si="42"/>
        <v>0.6313544356757147</v>
      </c>
    </row>
    <row r="45" spans="3:50" ht="14.85" customHeight="1">
      <c r="C45" s="12" t="str">
        <f t="shared" si="5"/>
        <v>Can9</v>
      </c>
      <c r="D45" s="2">
        <f t="shared" si="6"/>
        <v>-21.3</v>
      </c>
      <c r="E45" s="43">
        <f t="shared" si="7"/>
        <v>10.1889</v>
      </c>
      <c r="F45" s="120">
        <f t="shared" si="8"/>
        <v>98</v>
      </c>
      <c r="G45" s="120">
        <f t="shared" si="9"/>
        <v>156.72169924708601</v>
      </c>
      <c r="H45" s="120">
        <f t="shared" si="10"/>
        <v>13.966700243273117</v>
      </c>
      <c r="I45" s="120">
        <f t="shared" si="11"/>
        <v>9.4348335079113514</v>
      </c>
      <c r="J45" s="120">
        <f>VLOOKUP(R45,'Steel grades'!$B$5:$J$22,IF(F45&gt;200,10,IF(F45&gt;150,9,IF(F45&gt;120,8,IF(F45&gt;100,7,IF(F45&gt;80,6,IF(F45&gt;63,5,IF(F45&gt;40,4,IF(F45&gt;16,3,2)))))))),FALSE)</f>
        <v>315</v>
      </c>
      <c r="K45" s="120">
        <f t="shared" si="12"/>
        <v>258.2419516024471</v>
      </c>
      <c r="L45" s="3">
        <f t="shared" si="13"/>
        <v>20.171306797456221</v>
      </c>
      <c r="M45" s="3">
        <f t="shared" si="14"/>
        <v>112.73387116158575</v>
      </c>
      <c r="N45" s="3">
        <f t="shared" si="15"/>
        <v>0.77067130498842351</v>
      </c>
      <c r="O45" s="3">
        <f t="shared" si="16"/>
        <v>0.51887581628077872</v>
      </c>
      <c r="P45" s="3">
        <f>(ABS(Geometry_loads!S26)/Z45+ABS(Geometry_loads!T26)/AA45)/(1000*J45)</f>
        <v>0.37935948597260744</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Geometry!M34</f>
        <v>S355 NL/ML</v>
      </c>
      <c r="T45" s="3">
        <f>Geometry_loads!L26</f>
        <v>-64328.91</v>
      </c>
      <c r="U45" s="3">
        <f>Geometry_loads!M26</f>
        <v>63773.38</v>
      </c>
      <c r="V45" s="3">
        <f>Geometry_loads!N26</f>
        <v>1066017.1000000001</v>
      </c>
      <c r="W45" s="3">
        <f>Geometry_loads!O26</f>
        <v>15375.61</v>
      </c>
      <c r="X45" s="3">
        <f t="shared" si="17"/>
        <v>0</v>
      </c>
      <c r="Y45" s="3">
        <f t="shared" si="18"/>
        <v>0</v>
      </c>
      <c r="Z45" s="18">
        <f t="shared" si="19"/>
        <v>3.1067467361947085</v>
      </c>
      <c r="AA45" s="220">
        <f t="shared" si="20"/>
        <v>7.7628165660553865</v>
      </c>
      <c r="AB45" s="220">
        <f t="shared" si="21"/>
        <v>5.0454499999999998</v>
      </c>
      <c r="AC45" s="120">
        <f t="shared" si="22"/>
        <v>98</v>
      </c>
      <c r="AD45" s="220">
        <f t="shared" si="23"/>
        <v>105.12329548235063</v>
      </c>
      <c r="AE45" s="220">
        <f t="shared" si="24"/>
        <v>0.40084825386409445</v>
      </c>
      <c r="AF45" s="220">
        <f t="shared" si="25"/>
        <v>0.38704661544566482</v>
      </c>
      <c r="AG45" s="220">
        <f t="shared" si="26"/>
        <v>0.28678791953126437</v>
      </c>
      <c r="AH45" s="220">
        <f t="shared" si="27"/>
        <v>0.90179729131013286</v>
      </c>
      <c r="AI45" s="220">
        <f t="shared" si="28"/>
        <v>44.376874954403689</v>
      </c>
      <c r="AJ45" s="220">
        <f t="shared" si="29"/>
        <v>2.6642619294607894</v>
      </c>
      <c r="AK45" s="220">
        <f t="shared" si="30"/>
        <v>7.0439484054609036E-2</v>
      </c>
      <c r="AL45" s="220">
        <f t="shared" si="31"/>
        <v>0.68186308522022032</v>
      </c>
      <c r="AM45" s="220">
        <f>IF(_xlfn.MINIFS(Geometry!$AJ$26:$AJ$32,Geometry!$AI$26:$AI$32,"o",Geometry!$AK$26:$AK$32,C14)&lt;=0,1,_xlfn.MINIFS(Geometry!$AJ$26:$AJ$32,Geometry!$AI$26:$AI$32,"o",Geometry!$AK$26:$AK$32,C14))</f>
        <v>1</v>
      </c>
      <c r="AN45" s="220">
        <f t="shared" si="32"/>
        <v>1.5543122344752192E-14</v>
      </c>
      <c r="AO45" s="220">
        <f t="shared" si="33"/>
        <v>3.5787803472726449</v>
      </c>
      <c r="AP45" s="220">
        <f t="shared" si="34"/>
        <v>157.02236235547934</v>
      </c>
      <c r="AQ45" s="220">
        <f t="shared" si="35"/>
        <v>3.6784226252475556E-13</v>
      </c>
      <c r="AR45" s="220">
        <f t="shared" si="36"/>
        <v>9.4348335079115468</v>
      </c>
      <c r="AS45" s="220">
        <f t="shared" si="37"/>
        <v>0.60280980191471023</v>
      </c>
      <c r="AT45" s="220">
        <f t="shared" si="38"/>
        <v>157.02236235547971</v>
      </c>
      <c r="AU45" s="220">
        <f t="shared" si="39"/>
        <v>0.51411439640039991</v>
      </c>
      <c r="AV45" s="220">
        <f t="shared" si="40"/>
        <v>0.54833205901913551</v>
      </c>
      <c r="AW45" s="220">
        <f t="shared" si="41"/>
        <v>3.7439815507585503E-2</v>
      </c>
      <c r="AX45" s="220">
        <f t="shared" si="42"/>
        <v>0.60280980191471156</v>
      </c>
    </row>
    <row r="46" spans="3:50" ht="14.85" customHeight="1">
      <c r="C46" s="12" t="str">
        <f t="shared" si="5"/>
        <v>Can10</v>
      </c>
      <c r="D46" s="2">
        <f t="shared" si="6"/>
        <v>-24.8</v>
      </c>
      <c r="E46" s="43">
        <f t="shared" si="7"/>
        <v>10.6267</v>
      </c>
      <c r="F46" s="120">
        <f t="shared" si="8"/>
        <v>98</v>
      </c>
      <c r="G46" s="120">
        <f t="shared" si="9"/>
        <v>149.95639171536223</v>
      </c>
      <c r="H46" s="120">
        <f t="shared" si="10"/>
        <v>13.782238808485799</v>
      </c>
      <c r="I46" s="120">
        <f t="shared" si="11"/>
        <v>9.844169653325892</v>
      </c>
      <c r="J46" s="120">
        <f>VLOOKUP(R46,'Steel grades'!$B$5:$J$22,IF(F46&gt;200,10,IF(F46&gt;150,9,IF(F46&gt;120,8,IF(F46&gt;100,7,IF(F46&gt;80,6,IF(F46&gt;63,5,IF(F46&gt;40,4,IF(F46&gt;16,3,2)))))))),FALSE)</f>
        <v>315</v>
      </c>
      <c r="K46" s="120">
        <f t="shared" si="12"/>
        <v>256.86430408189278</v>
      </c>
      <c r="L46" s="3">
        <f t="shared" si="13"/>
        <v>19.856341424080831</v>
      </c>
      <c r="M46" s="3">
        <f t="shared" si="14"/>
        <v>111.00228188303413</v>
      </c>
      <c r="N46" s="3">
        <f t="shared" si="15"/>
        <v>0.77356726324366498</v>
      </c>
      <c r="O46" s="3">
        <f t="shared" si="16"/>
        <v>0.49821928885945538</v>
      </c>
      <c r="P46" s="3">
        <f>(ABS(Geometry_loads!S27)/Z46+ABS(Geometry_loads!T27)/AA46)/(1000*J46)</f>
        <v>0.36287730784054667</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145</v>
      </c>
      <c r="R46" s="3" t="str">
        <f>Geometry!M35</f>
        <v>S355 NL/ML</v>
      </c>
      <c r="T46" s="3">
        <f>Geometry_loads!L27</f>
        <v>-65809.98</v>
      </c>
      <c r="U46" s="3">
        <f>Geometry_loads!M27</f>
        <v>63777.01</v>
      </c>
      <c r="V46" s="3">
        <f>Geometry_loads!N27</f>
        <v>1106247.6000000001</v>
      </c>
      <c r="W46" s="3">
        <f>Geometry_loads!O27</f>
        <v>16280.360000000002</v>
      </c>
      <c r="X46" s="3">
        <f t="shared" si="17"/>
        <v>0</v>
      </c>
      <c r="Y46" s="3">
        <f t="shared" si="18"/>
        <v>0</v>
      </c>
      <c r="Z46" s="18">
        <f t="shared" si="19"/>
        <v>3.2415348840413793</v>
      </c>
      <c r="AA46" s="220">
        <f t="shared" si="20"/>
        <v>8.454334265601462</v>
      </c>
      <c r="AB46" s="220">
        <f t="shared" si="21"/>
        <v>5.2643499999999994</v>
      </c>
      <c r="AC46" s="120">
        <f t="shared" si="22"/>
        <v>98</v>
      </c>
      <c r="AD46" s="220">
        <f t="shared" si="23"/>
        <v>102.91449387464476</v>
      </c>
      <c r="AE46" s="220">
        <f t="shared" si="24"/>
        <v>0.40518875518352038</v>
      </c>
      <c r="AF46" s="220">
        <f t="shared" si="25"/>
        <v>0.38258303469422661</v>
      </c>
      <c r="AG46" s="220">
        <f t="shared" si="26"/>
        <v>0.28646132766914856</v>
      </c>
      <c r="AH46" s="220">
        <f t="shared" si="27"/>
        <v>0.89698645869867344</v>
      </c>
      <c r="AI46" s="220">
        <f t="shared" si="28"/>
        <v>43.683951132977832</v>
      </c>
      <c r="AJ46" s="220">
        <f t="shared" si="29"/>
        <v>2.6853093287660093</v>
      </c>
      <c r="AK46" s="220">
        <f t="shared" si="30"/>
        <v>6.9339604972980681E-2</v>
      </c>
      <c r="AL46" s="220">
        <f t="shared" si="31"/>
        <v>0.6713896862706259</v>
      </c>
      <c r="AM46" s="220">
        <f>IF(_xlfn.MINIFS(Geometry!$AJ$26:$AJ$32,Geometry!$AI$26:$AI$32,"o",Geometry!$AK$26:$AK$32,C15)&lt;=0,1,_xlfn.MINIFS(Geometry!$AJ$26:$AJ$32,Geometry!$AI$26:$AI$32,"o",Geometry!$AK$26:$AK$32,C15))</f>
        <v>1</v>
      </c>
      <c r="AN46" s="220">
        <f t="shared" si="32"/>
        <v>1.5543122344752192E-14</v>
      </c>
      <c r="AO46" s="220">
        <f t="shared" si="33"/>
        <v>3.5787803472726605</v>
      </c>
      <c r="AP46" s="220">
        <f t="shared" si="34"/>
        <v>150.24430580848187</v>
      </c>
      <c r="AQ46" s="220">
        <f t="shared" si="35"/>
        <v>3.5944548712594212E-13</v>
      </c>
      <c r="AR46" s="220">
        <f t="shared" si="36"/>
        <v>9.8441696533260821</v>
      </c>
      <c r="AS46" s="220">
        <f t="shared" si="37"/>
        <v>0.57860335003870034</v>
      </c>
      <c r="AT46" s="220">
        <f t="shared" si="38"/>
        <v>150.24430580848224</v>
      </c>
      <c r="AU46" s="220">
        <f t="shared" si="39"/>
        <v>0.49333465649003477</v>
      </c>
      <c r="AV46" s="220">
        <f t="shared" si="40"/>
        <v>0.52466265520422373</v>
      </c>
      <c r="AW46" s="220">
        <f t="shared" si="41"/>
        <v>3.9064165290976519E-2</v>
      </c>
      <c r="AX46" s="220">
        <f t="shared" si="42"/>
        <v>0.57860335003870178</v>
      </c>
    </row>
    <row r="47" spans="3:50" ht="14.85" customHeight="1">
      <c r="C47" s="12" t="str">
        <f t="shared" si="5"/>
        <v>Can11</v>
      </c>
      <c r="D47" s="2">
        <f t="shared" si="6"/>
        <v>-28.3</v>
      </c>
      <c r="E47" s="43">
        <f t="shared" si="7"/>
        <v>11.064500000000001</v>
      </c>
      <c r="F47" s="120">
        <f t="shared" si="8"/>
        <v>98</v>
      </c>
      <c r="G47" s="120">
        <f t="shared" si="9"/>
        <v>144.42378349101807</v>
      </c>
      <c r="H47" s="120">
        <f t="shared" si="10"/>
        <v>13.82700058716803</v>
      </c>
      <c r="I47" s="120">
        <f t="shared" si="11"/>
        <v>10.253505798740434</v>
      </c>
      <c r="J47" s="120">
        <f>VLOOKUP(R47,'Steel grades'!$B$5:$J$22,IF(F47&gt;200,10,IF(F47&gt;150,9,IF(F47&gt;120,8,IF(F47&gt;100,7,IF(F47&gt;80,6,IF(F47&gt;63,5,IF(F47&gt;40,4,IF(F47&gt;16,3,2)))))))),FALSE)</f>
        <v>315</v>
      </c>
      <c r="K47" s="120">
        <f t="shared" si="12"/>
        <v>255.43801889509891</v>
      </c>
      <c r="L47" s="3">
        <f t="shared" si="13"/>
        <v>19.455956471067172</v>
      </c>
      <c r="M47" s="3">
        <f t="shared" si="14"/>
        <v>109.31513086453407</v>
      </c>
      <c r="N47" s="3">
        <f t="shared" si="15"/>
        <v>0.78736106585238663</v>
      </c>
      <c r="O47" s="3">
        <f t="shared" si="16"/>
        <v>0.48163837667696613</v>
      </c>
      <c r="P47" s="3">
        <f>(ABS(Geometry_loads!S28)/Z47+ABS(Geometry_loads!T28)/AA47)/(1000*J47)</f>
        <v>0.34938820575783613</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Geometry!M36</f>
        <v>S355 NL/ML</v>
      </c>
      <c r="T47" s="3">
        <f>Geometry_loads!L28</f>
        <v>-67288.149999999994</v>
      </c>
      <c r="U47" s="3">
        <f>Geometry_loads!M28</f>
        <v>63780.18</v>
      </c>
      <c r="V47" s="3">
        <f>Geometry_loads!N28</f>
        <v>1152396</v>
      </c>
      <c r="W47" s="3">
        <f>Geometry_loads!O28</f>
        <v>17526.3</v>
      </c>
      <c r="X47" s="3">
        <f t="shared" si="17"/>
        <v>0</v>
      </c>
      <c r="Y47" s="3">
        <f t="shared" si="18"/>
        <v>0</v>
      </c>
      <c r="Z47" s="18">
        <f t="shared" si="19"/>
        <v>3.3763230318880497</v>
      </c>
      <c r="AA47" s="220">
        <f t="shared" si="20"/>
        <v>9.1753570443507115</v>
      </c>
      <c r="AB47" s="220">
        <f t="shared" si="21"/>
        <v>5.48325</v>
      </c>
      <c r="AC47" s="120">
        <f t="shared" si="22"/>
        <v>98</v>
      </c>
      <c r="AD47" s="220">
        <f t="shared" si="23"/>
        <v>100.83931728927182</v>
      </c>
      <c r="AE47" s="220">
        <f t="shared" si="24"/>
        <v>0.40972074432710376</v>
      </c>
      <c r="AF47" s="220">
        <f t="shared" si="25"/>
        <v>0.37827116847235309</v>
      </c>
      <c r="AG47" s="220">
        <f t="shared" si="26"/>
        <v>0.28620073742143548</v>
      </c>
      <c r="AH47" s="220">
        <f t="shared" si="27"/>
        <v>0.89200578026859945</v>
      </c>
      <c r="AI47" s="220">
        <f t="shared" si="28"/>
        <v>42.803104236347785</v>
      </c>
      <c r="AJ47" s="220">
        <f t="shared" si="29"/>
        <v>2.7127991676083201</v>
      </c>
      <c r="AK47" s="220">
        <f t="shared" si="30"/>
        <v>6.7941435295790123E-2</v>
      </c>
      <c r="AL47" s="220">
        <f t="shared" si="31"/>
        <v>0.66118506908811159</v>
      </c>
      <c r="AM47" s="220">
        <f>IF(_xlfn.MINIFS(Geometry!$AJ$26:$AJ$32,Geometry!$AI$26:$AI$32,"o",Geometry!$AK$26:$AK$32,C16)&lt;=0,1,_xlfn.MINIFS(Geometry!$AJ$26:$AJ$32,Geometry!$AI$26:$AI$32,"o",Geometry!$AK$26:$AK$32,C16))</f>
        <v>1</v>
      </c>
      <c r="AN47" s="220">
        <f t="shared" si="32"/>
        <v>1.8752787248470071E-2</v>
      </c>
      <c r="AO47" s="220">
        <f t="shared" si="33"/>
        <v>3.5600275600241904</v>
      </c>
      <c r="AP47" s="220">
        <f t="shared" si="34"/>
        <v>144.69837195131015</v>
      </c>
      <c r="AQ47" s="220">
        <f t="shared" si="35"/>
        <v>0.42618782077696749</v>
      </c>
      <c r="AR47" s="220">
        <f t="shared" si="36"/>
        <v>10.479526022338318</v>
      </c>
      <c r="AS47" s="220">
        <f t="shared" si="37"/>
        <v>0.55900409484948077</v>
      </c>
      <c r="AT47" s="220">
        <f t="shared" si="38"/>
        <v>145.12455977208711</v>
      </c>
      <c r="AU47" s="220">
        <f t="shared" si="39"/>
        <v>0.47821574521348353</v>
      </c>
      <c r="AV47" s="220">
        <f t="shared" si="40"/>
        <v>0.5067841769818916</v>
      </c>
      <c r="AW47" s="220">
        <f t="shared" si="41"/>
        <v>4.2124800169463843E-2</v>
      </c>
      <c r="AX47" s="220">
        <f t="shared" si="42"/>
        <v>0.56065055937963781</v>
      </c>
    </row>
    <row r="48" spans="3:50" ht="14.85" customHeight="1">
      <c r="C48" s="12" t="str">
        <f t="shared" si="5"/>
        <v>Can12</v>
      </c>
      <c r="D48" s="2">
        <f t="shared" si="6"/>
        <v>-31.8</v>
      </c>
      <c r="E48" s="43">
        <f t="shared" si="7"/>
        <v>11.5</v>
      </c>
      <c r="F48" s="120">
        <f t="shared" si="8"/>
        <v>98</v>
      </c>
      <c r="G48" s="120">
        <f t="shared" si="9"/>
        <v>139.79030165447693</v>
      </c>
      <c r="H48" s="120">
        <f t="shared" si="10"/>
        <v>13.755081826532265</v>
      </c>
      <c r="I48" s="120">
        <f t="shared" si="11"/>
        <v>10.660691480165816</v>
      </c>
      <c r="J48" s="120">
        <f>VLOOKUP(R48,'Steel grades'!$B$5:$J$22,IF(F48&gt;200,10,IF(F48&gt;150,9,IF(F48&gt;120,8,IF(F48&gt;100,7,IF(F48&gt;80,6,IF(F48&gt;63,5,IF(F48&gt;40,4,IF(F48&gt;16,3,2)))))))),FALSE)</f>
        <v>315</v>
      </c>
      <c r="K48" s="120">
        <f t="shared" si="12"/>
        <v>214.8614206629467</v>
      </c>
      <c r="L48" s="3">
        <f t="shared" si="13"/>
        <v>19.080778458221424</v>
      </c>
      <c r="M48" s="3">
        <f t="shared" si="14"/>
        <v>107.67811034685126</v>
      </c>
      <c r="N48" s="3">
        <f t="shared" si="15"/>
        <v>0.92645875470231775</v>
      </c>
      <c r="O48" s="3">
        <f t="shared" si="16"/>
        <v>0.7960966114932081</v>
      </c>
      <c r="P48" s="3">
        <f>(ABS(Geometry_loads!S29)/Z48+ABS(Geometry_loads!T29)/AA48)/(1000*J48)</f>
        <v>0.33809593340778071</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145</v>
      </c>
      <c r="R48" s="3" t="str">
        <f>Geometry!M37</f>
        <v>S355 NL/ML</v>
      </c>
      <c r="T48" s="3">
        <f>Geometry_loads!L29</f>
        <v>-68869.399999999994</v>
      </c>
      <c r="U48" s="3">
        <f>Geometry_loads!M29</f>
        <v>63782.91</v>
      </c>
      <c r="V48" s="3">
        <f>Geometry_loads!N29</f>
        <v>1202486</v>
      </c>
      <c r="W48" s="3">
        <f>Geometry_loads!O29</f>
        <v>18548.93</v>
      </c>
      <c r="X48" s="3">
        <f t="shared" si="17"/>
        <v>0</v>
      </c>
      <c r="Y48" s="3">
        <f t="shared" si="18"/>
        <v>0</v>
      </c>
      <c r="Z48" s="18">
        <f t="shared" si="19"/>
        <v>3.5104030647506184</v>
      </c>
      <c r="AA48" s="220">
        <f t="shared" si="20"/>
        <v>9.9218648832041048</v>
      </c>
      <c r="AB48" s="220">
        <f t="shared" si="21"/>
        <v>5.7009999999999996</v>
      </c>
      <c r="AC48" s="120">
        <f t="shared" si="22"/>
        <v>98</v>
      </c>
      <c r="AD48" s="220">
        <f t="shared" si="23"/>
        <v>98.894787102150403</v>
      </c>
      <c r="AE48" s="220">
        <f t="shared" si="24"/>
        <v>0.41437230018710852</v>
      </c>
      <c r="AF48" s="220">
        <f t="shared" si="25"/>
        <v>0.37412331775784907</v>
      </c>
      <c r="AG48" s="220">
        <f t="shared" si="26"/>
        <v>0.28596565099715487</v>
      </c>
      <c r="AH48" s="220">
        <f t="shared" si="27"/>
        <v>0.88689092547278092</v>
      </c>
      <c r="AI48" s="220">
        <f t="shared" si="28"/>
        <v>41.977712608087153</v>
      </c>
      <c r="AJ48" s="220">
        <f t="shared" si="29"/>
        <v>2.7393397022772472</v>
      </c>
      <c r="AK48" s="220">
        <f t="shared" si="30"/>
        <v>6.6631289854106573E-2</v>
      </c>
      <c r="AL48" s="220">
        <f t="shared" si="31"/>
        <v>0.65128366280041217</v>
      </c>
      <c r="AM48" s="220">
        <f>IF(_xlfn.MINIFS(Geometry!$AJ$26:$AJ$32,Geometry!$AI$26:$AI$32,"o",Geometry!$AK$26:$AK$32,C17)&lt;=0,1,_xlfn.MINIFS(Geometry!$AJ$26:$AJ$32,Geometry!$AI$26:$AI$32,"o",Geometry!$AK$26:$AK$32,C17))</f>
        <v>0.84599999999999997</v>
      </c>
      <c r="AN48" s="220">
        <f t="shared" si="32"/>
        <v>3.5600275600241904</v>
      </c>
      <c r="AO48" s="220">
        <f t="shared" si="33"/>
        <v>3.5600275600241904</v>
      </c>
      <c r="AP48" s="220">
        <f t="shared" si="34"/>
        <v>140.05625784460074</v>
      </c>
      <c r="AQ48" s="220">
        <f t="shared" si="35"/>
        <v>79.940947591889611</v>
      </c>
      <c r="AR48" s="220">
        <f t="shared" si="36"/>
        <v>53.055781082693485</v>
      </c>
      <c r="AS48" s="220">
        <f t="shared" si="37"/>
        <v>0.54277443890060173</v>
      </c>
      <c r="AT48" s="220">
        <f t="shared" si="38"/>
        <v>219.99720543649033</v>
      </c>
      <c r="AU48" s="220">
        <f t="shared" si="39"/>
        <v>0.7960966114932081</v>
      </c>
      <c r="AV48" s="220">
        <f t="shared" si="40"/>
        <v>0.76824420946076</v>
      </c>
      <c r="AW48" s="220">
        <f t="shared" si="41"/>
        <v>0.21658847564087963</v>
      </c>
      <c r="AX48" s="220">
        <f t="shared" si="42"/>
        <v>0.8525778253548757</v>
      </c>
    </row>
    <row r="49" spans="3:50" ht="14.85" customHeight="1">
      <c r="C49" s="12" t="str">
        <f t="shared" si="5"/>
        <v>Can13</v>
      </c>
      <c r="D49" s="2">
        <f t="shared" si="6"/>
        <v>-35.299999999999997</v>
      </c>
      <c r="E49" s="43">
        <f t="shared" si="7"/>
        <v>11.5</v>
      </c>
      <c r="F49" s="120">
        <f t="shared" si="8"/>
        <v>100</v>
      </c>
      <c r="G49" s="120">
        <f t="shared" si="9"/>
        <v>142.73406879363318</v>
      </c>
      <c r="H49" s="120">
        <f t="shared" si="10"/>
        <v>14.273311170859838</v>
      </c>
      <c r="I49" s="120">
        <f t="shared" si="11"/>
        <v>10.445645081250001</v>
      </c>
      <c r="J49" s="120">
        <f>VLOOKUP(R49,'Steel grades'!$B$5:$J$22,IF(F49&gt;200,10,IF(F49&gt;150,9,IF(F49&gt;120,8,IF(F49&gt;100,7,IF(F49&gt;80,6,IF(F49&gt;63,5,IF(F49&gt;40,4,IF(F49&gt;16,3,2)))))))),FALSE)</f>
        <v>315</v>
      </c>
      <c r="K49" s="120">
        <f t="shared" si="12"/>
        <v>255.06473435320649</v>
      </c>
      <c r="L49" s="3">
        <f t="shared" si="13"/>
        <v>19.669579166126031</v>
      </c>
      <c r="M49" s="3">
        <f t="shared" si="14"/>
        <v>109.10223212650187</v>
      </c>
      <c r="N49" s="3">
        <f t="shared" si="15"/>
        <v>0.78644715591268566</v>
      </c>
      <c r="O49" s="3">
        <f t="shared" si="16"/>
        <v>0.47708125735827872</v>
      </c>
      <c r="P49" s="3">
        <f>(ABS(Geometry_loads!S30)/Z49+ABS(Geometry_loads!T30)/AA49)/(1000*J49)</f>
        <v>0.34534274370461526</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145</v>
      </c>
      <c r="R49" s="3" t="str">
        <f>Geometry!M38</f>
        <v>S355 NL/ML</v>
      </c>
      <c r="T49" s="3">
        <f>Geometry_loads!L30</f>
        <v>-70536.34</v>
      </c>
      <c r="U49" s="3">
        <f>Geometry_loads!M30</f>
        <v>63785.05</v>
      </c>
      <c r="V49" s="3">
        <f>Geometry_loads!N30</f>
        <v>1255863</v>
      </c>
      <c r="W49" s="3">
        <f>Geometry_loads!O30</f>
        <v>19964.150000000001</v>
      </c>
      <c r="X49" s="3">
        <f t="shared" si="17"/>
        <v>0</v>
      </c>
      <c r="Y49" s="3">
        <f t="shared" si="18"/>
        <v>0</v>
      </c>
      <c r="Z49" s="18">
        <f t="shared" si="19"/>
        <v>3.5814156250923546</v>
      </c>
      <c r="AA49" s="220">
        <f t="shared" si="20"/>
        <v>10.119056278114197</v>
      </c>
      <c r="AB49" s="220">
        <f t="shared" si="21"/>
        <v>5.7</v>
      </c>
      <c r="AC49" s="120">
        <f t="shared" si="22"/>
        <v>100</v>
      </c>
      <c r="AD49" s="220">
        <f t="shared" si="23"/>
        <v>97.909431834248053</v>
      </c>
      <c r="AE49" s="220">
        <f t="shared" si="24"/>
        <v>0.41074944801588725</v>
      </c>
      <c r="AF49" s="220">
        <f t="shared" si="25"/>
        <v>0.37629687437838422</v>
      </c>
      <c r="AG49" s="220">
        <f t="shared" si="26"/>
        <v>0.28620154215471338</v>
      </c>
      <c r="AH49" s="220">
        <f t="shared" si="27"/>
        <v>0.89070224694770517</v>
      </c>
      <c r="AI49" s="220">
        <f t="shared" si="28"/>
        <v>43.273074165477276</v>
      </c>
      <c r="AJ49" s="220">
        <f t="shared" si="29"/>
        <v>2.6980276889397188</v>
      </c>
      <c r="AK49" s="220">
        <f t="shared" si="30"/>
        <v>6.8687419310281383E-2</v>
      </c>
      <c r="AL49" s="220">
        <f t="shared" si="31"/>
        <v>0.65989736567778468</v>
      </c>
      <c r="AM49" s="220">
        <f>IF(_xlfn.MINIFS(Geometry!$AJ$26:$AJ$32,Geometry!$AI$26:$AI$32,"o",Geometry!$AK$26:$AK$32,C18)&lt;=0,1,_xlfn.MINIFS(Geometry!$AJ$26:$AJ$32,Geometry!$AI$26:$AI$32,"o",Geometry!$AK$26:$AK$32,C18))</f>
        <v>1</v>
      </c>
      <c r="AN49" s="220">
        <f t="shared" si="32"/>
        <v>0</v>
      </c>
      <c r="AO49" s="220">
        <f t="shared" si="33"/>
        <v>0</v>
      </c>
      <c r="AP49" s="220">
        <f t="shared" si="34"/>
        <v>142.73406879363318</v>
      </c>
      <c r="AQ49" s="220">
        <f t="shared" si="35"/>
        <v>0</v>
      </c>
      <c r="AR49" s="220">
        <f t="shared" si="36"/>
        <v>0</v>
      </c>
      <c r="AS49" s="220">
        <f t="shared" si="37"/>
        <v>0</v>
      </c>
      <c r="AT49" s="220">
        <f t="shared" si="38"/>
        <v>0</v>
      </c>
      <c r="AU49" s="220">
        <f t="shared" si="39"/>
        <v>0</v>
      </c>
      <c r="AV49" s="220">
        <f t="shared" si="40"/>
        <v>0</v>
      </c>
      <c r="AW49" s="220">
        <f t="shared" si="41"/>
        <v>0</v>
      </c>
      <c r="AX49" s="220">
        <f t="shared" si="42"/>
        <v>0</v>
      </c>
    </row>
    <row r="50" spans="3:50" ht="14.85" customHeight="1">
      <c r="C50" s="12" t="str">
        <f t="shared" si="5"/>
        <v>Can14</v>
      </c>
      <c r="D50" s="2">
        <f t="shared" si="6"/>
        <v>-38.6</v>
      </c>
      <c r="E50" s="43">
        <f t="shared" si="7"/>
        <v>11.5</v>
      </c>
      <c r="F50" s="120">
        <f t="shared" si="8"/>
        <v>98</v>
      </c>
      <c r="G50" s="120">
        <f t="shared" si="9"/>
        <v>151.33853554764625</v>
      </c>
      <c r="H50" s="120">
        <f t="shared" si="10"/>
        <v>15.149777344895508</v>
      </c>
      <c r="I50" s="120">
        <f t="shared" si="11"/>
        <v>10.660691480165816</v>
      </c>
      <c r="J50" s="120">
        <f>VLOOKUP(R50,'Steel grades'!$B$5:$J$22,IF(F50&gt;200,10,IF(F50&gt;150,9,IF(F50&gt;120,8,IF(F50&gt;100,7,IF(F50&gt;80,6,IF(F50&gt;63,5,IF(F50&gt;40,4,IF(F50&gt;16,3,2)))))))),FALSE)</f>
        <v>360</v>
      </c>
      <c r="K50" s="120">
        <f t="shared" si="12"/>
        <v>238.66722400791315</v>
      </c>
      <c r="L50" s="3">
        <f t="shared" si="13"/>
        <v>19.080778458221431</v>
      </c>
      <c r="M50" s="3">
        <f t="shared" si="14"/>
        <v>114.15069180692096</v>
      </c>
      <c r="N50" s="3">
        <f t="shared" si="15"/>
        <v>0.91301097927173314</v>
      </c>
      <c r="O50" s="3">
        <f t="shared" si="16"/>
        <v>0.44199780896713692</v>
      </c>
      <c r="P50" s="3">
        <f>(ABS(Geometry_loads!S31)/Z50+ABS(Geometry_loads!T31)/AA50)/(1000*J50)</f>
        <v>0.32041778423383055</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130</v>
      </c>
      <c r="R50" s="3" t="str">
        <f>Geometry!M39</f>
        <v>S420 NL</v>
      </c>
      <c r="T50" s="3">
        <f>Geometry_loads!L31</f>
        <v>-72040.395142857145</v>
      </c>
      <c r="U50" s="3">
        <f>Geometry_loads!M31</f>
        <v>63786.379428571425</v>
      </c>
      <c r="V50" s="3">
        <f>Geometry_loads!N31</f>
        <v>1309003.3714285714</v>
      </c>
      <c r="W50" s="3">
        <f>Geometry_loads!O31</f>
        <v>20996.597428571429</v>
      </c>
      <c r="X50" s="3">
        <f t="shared" si="17"/>
        <v>0</v>
      </c>
      <c r="Y50" s="3">
        <f t="shared" si="18"/>
        <v>0</v>
      </c>
      <c r="Z50" s="18">
        <f t="shared" si="19"/>
        <v>3.5104030647506184</v>
      </c>
      <c r="AA50" s="220">
        <f t="shared" si="20"/>
        <v>9.9218648832041048</v>
      </c>
      <c r="AB50" s="220">
        <f t="shared" si="21"/>
        <v>5.7009999999999996</v>
      </c>
      <c r="AC50" s="120">
        <f t="shared" si="22"/>
        <v>98</v>
      </c>
      <c r="AD50" s="220">
        <f t="shared" si="23"/>
        <v>98.894787102150403</v>
      </c>
      <c r="AE50" s="220">
        <f t="shared" si="24"/>
        <v>0.44298262224845814</v>
      </c>
      <c r="AF50" s="220">
        <f t="shared" si="25"/>
        <v>0.37412331775784907</v>
      </c>
      <c r="AG50" s="220">
        <f t="shared" si="26"/>
        <v>0.28643969137059749</v>
      </c>
      <c r="AH50" s="220">
        <f t="shared" si="27"/>
        <v>0.86201059367186916</v>
      </c>
      <c r="AI50" s="220">
        <f t="shared" si="28"/>
        <v>41.977712608087153</v>
      </c>
      <c r="AJ50" s="220">
        <f t="shared" si="29"/>
        <v>2.9284773234025114</v>
      </c>
      <c r="AK50" s="220">
        <f t="shared" si="30"/>
        <v>5.8302378622343269E-2</v>
      </c>
      <c r="AL50" s="220">
        <f t="shared" si="31"/>
        <v>0.60412854922665504</v>
      </c>
      <c r="AM50" s="220">
        <f>IF(_xlfn.MINIFS(Geometry!$AJ$26:$AJ$32,Geometry!$AI$26:$AI$32,"o",Geometry!$AK$26:$AK$32,C19)&lt;=0,1,_xlfn.MINIFS(Geometry!$AJ$26:$AJ$32,Geometry!$AI$26:$AI$32,"o",Geometry!$AK$26:$AK$32,C19))</f>
        <v>0.84599999999999997</v>
      </c>
      <c r="AN50" s="220">
        <f t="shared" si="32"/>
        <v>0</v>
      </c>
      <c r="AO50" s="220">
        <f t="shared" si="33"/>
        <v>0</v>
      </c>
      <c r="AP50" s="220">
        <f t="shared" si="34"/>
        <v>151.33853554764625</v>
      </c>
      <c r="AQ50" s="220">
        <f t="shared" si="35"/>
        <v>0</v>
      </c>
      <c r="AR50" s="220">
        <f t="shared" si="36"/>
        <v>0</v>
      </c>
      <c r="AS50" s="220">
        <f t="shared" si="37"/>
        <v>0</v>
      </c>
      <c r="AT50" s="220">
        <f t="shared" si="38"/>
        <v>0</v>
      </c>
      <c r="AU50" s="220">
        <f t="shared" si="39"/>
        <v>0</v>
      </c>
      <c r="AV50" s="220">
        <f t="shared" si="40"/>
        <v>0</v>
      </c>
      <c r="AW50" s="220">
        <f t="shared" si="41"/>
        <v>0</v>
      </c>
      <c r="AX50" s="220">
        <f t="shared" si="42"/>
        <v>0</v>
      </c>
    </row>
    <row r="51" spans="3:50" ht="14.85" customHeight="1">
      <c r="C51" s="12" t="str">
        <f t="shared" si="5"/>
        <v>Can15</v>
      </c>
      <c r="D51" s="2">
        <f t="shared" si="6"/>
        <v>-41.9</v>
      </c>
      <c r="E51" s="43">
        <f t="shared" si="7"/>
        <v>11.5</v>
      </c>
      <c r="F51" s="120">
        <f t="shared" si="8"/>
        <v>95</v>
      </c>
      <c r="G51" s="120">
        <f t="shared" si="9"/>
        <v>162.2109444331837</v>
      </c>
      <c r="H51" s="120">
        <f t="shared" si="10"/>
        <v>16.256609125443283</v>
      </c>
      <c r="I51" s="120">
        <f t="shared" si="11"/>
        <v>11.000238425822369</v>
      </c>
      <c r="J51" s="120">
        <f>VLOOKUP(R51,'Steel grades'!$B$5:$J$22,IF(F51&gt;200,10,IF(F51&gt;150,9,IF(F51&gt;120,8,IF(F51&gt;100,7,IF(F51&gt;80,6,IF(F51&gt;63,5,IF(F51&gt;40,4,IF(F51&gt;16,3,2)))))))),FALSE)</f>
        <v>315</v>
      </c>
      <c r="K51" s="120">
        <f t="shared" si="12"/>
        <v>252.51507015137119</v>
      </c>
      <c r="L51" s="3">
        <f t="shared" si="13"/>
        <v>18.20896482692434</v>
      </c>
      <c r="M51" s="3">
        <f t="shared" si="14"/>
        <v>105.45116212922808</v>
      </c>
      <c r="N51" s="3">
        <f t="shared" si="15"/>
        <v>0.97604106732877993</v>
      </c>
      <c r="O51" s="3">
        <f t="shared" si="16"/>
        <v>0.54071411050435769</v>
      </c>
      <c r="P51" s="3">
        <f>(ABS(Geometry_loads!S32)/Z51+ABS(Geometry_loads!T32)/AA51)/(1000*J51)</f>
        <v>0.39252062935985288</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145</v>
      </c>
      <c r="R51" s="3" t="str">
        <f>Geometry!M40</f>
        <v>S355 NL/ML</v>
      </c>
      <c r="T51" s="3">
        <f>Geometry_loads!L32</f>
        <v>-72485.027499999997</v>
      </c>
      <c r="U51" s="3">
        <f>Geometry_loads!M32</f>
        <v>63787.002499999995</v>
      </c>
      <c r="V51" s="3">
        <f>Geometry_loads!N32</f>
        <v>1367615.1875</v>
      </c>
      <c r="W51" s="3">
        <f>Geometry_loads!O32</f>
        <v>22074.526562499999</v>
      </c>
      <c r="X51" s="3">
        <f t="shared" si="17"/>
        <v>0</v>
      </c>
      <c r="Y51" s="3">
        <f t="shared" si="18"/>
        <v>0</v>
      </c>
      <c r="Z51" s="18">
        <f t="shared" si="19"/>
        <v>3.40383710034819</v>
      </c>
      <c r="AA51" s="220">
        <f t="shared" si="20"/>
        <v>9.6256850373140956</v>
      </c>
      <c r="AB51" s="220">
        <f t="shared" si="21"/>
        <v>5.7024999999999997</v>
      </c>
      <c r="AC51" s="120">
        <f t="shared" si="22"/>
        <v>95</v>
      </c>
      <c r="AD51" s="220">
        <f t="shared" si="23"/>
        <v>100.43093561332894</v>
      </c>
      <c r="AE51" s="220">
        <f t="shared" si="24"/>
        <v>0.42002433365081238</v>
      </c>
      <c r="AF51" s="220">
        <f t="shared" si="25"/>
        <v>0.37076626697959419</v>
      </c>
      <c r="AG51" s="220">
        <f t="shared" si="26"/>
        <v>0.28687197522802299</v>
      </c>
      <c r="AH51" s="220">
        <f t="shared" si="27"/>
        <v>0.88179865767145504</v>
      </c>
      <c r="AI51" s="220">
        <f t="shared" si="28"/>
        <v>40.059722619233547</v>
      </c>
      <c r="AJ51" s="220">
        <f t="shared" si="29"/>
        <v>2.8041504307841496</v>
      </c>
      <c r="AK51" s="220">
        <f t="shared" si="30"/>
        <v>6.3586861300370723E-2</v>
      </c>
      <c r="AL51" s="220">
        <f t="shared" si="31"/>
        <v>0.63781411929367215</v>
      </c>
      <c r="AM51" s="220">
        <f>IF(_xlfn.MINIFS(Geometry!$AJ$26:$AJ$32,Geometry!$AI$26:$AI$32,"o",Geometry!$AK$26:$AK$32,C20)&lt;=0,1,_xlfn.MINIFS(Geometry!$AJ$26:$AJ$32,Geometry!$AI$26:$AI$32,"o",Geometry!$AK$26:$AK$32,C20))</f>
        <v>1</v>
      </c>
      <c r="AN51" s="220">
        <f t="shared" si="32"/>
        <v>0</v>
      </c>
      <c r="AO51" s="220">
        <f t="shared" si="33"/>
        <v>0</v>
      </c>
      <c r="AP51" s="220">
        <f t="shared" si="34"/>
        <v>162.21094443318373</v>
      </c>
      <c r="AQ51" s="220">
        <f t="shared" si="35"/>
        <v>0</v>
      </c>
      <c r="AR51" s="220">
        <f t="shared" si="36"/>
        <v>0</v>
      </c>
      <c r="AS51" s="220">
        <f t="shared" si="37"/>
        <v>0</v>
      </c>
      <c r="AT51" s="220">
        <f t="shared" si="38"/>
        <v>0</v>
      </c>
      <c r="AU51" s="220">
        <f t="shared" si="39"/>
        <v>0</v>
      </c>
      <c r="AV51" s="220">
        <f t="shared" si="40"/>
        <v>0</v>
      </c>
      <c r="AW51" s="220">
        <f t="shared" si="41"/>
        <v>0</v>
      </c>
      <c r="AX51" s="220">
        <f t="shared" si="42"/>
        <v>0</v>
      </c>
    </row>
    <row r="52" spans="3:50" ht="14.85" customHeight="1">
      <c r="C52" s="12" t="str">
        <f t="shared" si="5"/>
        <v>Can16</v>
      </c>
      <c r="D52" s="2">
        <f t="shared" si="6"/>
        <v>-45.2</v>
      </c>
      <c r="E52" s="43">
        <f t="shared" si="7"/>
        <v>11.5</v>
      </c>
      <c r="F52" s="120">
        <f t="shared" si="8"/>
        <v>95</v>
      </c>
      <c r="G52" s="120">
        <f t="shared" si="9"/>
        <v>169.75976113256482</v>
      </c>
      <c r="H52" s="120">
        <f t="shared" si="10"/>
        <v>16.503311237914936</v>
      </c>
      <c r="I52" s="120">
        <f t="shared" si="11"/>
        <v>0</v>
      </c>
      <c r="J52" s="120">
        <f>VLOOKUP(R52,'Steel grades'!$B$5:$J$22,IF(F52&gt;200,10,IF(F52&gt;150,9,IF(F52&gt;120,8,IF(F52&gt;100,7,IF(F52&gt;80,6,IF(F52&gt;63,5,IF(F52&gt;40,4,IF(F52&gt;16,3,2)))))))),FALSE)</f>
        <v>315</v>
      </c>
      <c r="K52" s="120">
        <f t="shared" si="12"/>
        <v>252.61148825389887</v>
      </c>
      <c r="L52" s="3">
        <f t="shared" si="13"/>
        <v>18.20896482692434</v>
      </c>
      <c r="M52" s="3">
        <f t="shared" si="14"/>
        <v>105.45116212922808</v>
      </c>
      <c r="N52" s="3">
        <f t="shared" si="15"/>
        <v>0.67201916391838801</v>
      </c>
      <c r="O52" s="3">
        <f t="shared" si="16"/>
        <v>0.54650638604201207</v>
      </c>
      <c r="P52" s="3">
        <f>(ABS(Geometry_loads!S33)/Z52+ABS(Geometry_loads!T33)/AA52)/(1000*J52)</f>
        <v>0.41070635405762118</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180</v>
      </c>
      <c r="R52" s="3" t="str">
        <f>Geometry!M41</f>
        <v>S355 NL/ML</v>
      </c>
      <c r="T52" s="3">
        <f>Geometry_loads!L33</f>
        <v>-73130.84</v>
      </c>
      <c r="U52" s="3">
        <f>Geometry_loads!M33</f>
        <v>63787.07</v>
      </c>
      <c r="V52" s="3">
        <f>Geometry_loads!N33</f>
        <v>1439036.5189707887</v>
      </c>
      <c r="W52" s="3">
        <f>Geometry_loads!O33</f>
        <v>22494.387545625825</v>
      </c>
      <c r="X52" s="3">
        <f t="shared" si="17"/>
        <v>0</v>
      </c>
      <c r="Y52" s="3">
        <f t="shared" si="18"/>
        <v>0</v>
      </c>
      <c r="Z52" s="18">
        <f t="shared" si="19"/>
        <v>3.40383710034819</v>
      </c>
      <c r="AA52" s="220">
        <f t="shared" si="20"/>
        <v>9.6256850373140956</v>
      </c>
      <c r="AB52" s="220">
        <f t="shared" si="21"/>
        <v>5.7024999999999997</v>
      </c>
      <c r="AC52" s="120">
        <f t="shared" si="22"/>
        <v>95</v>
      </c>
      <c r="AD52" s="220">
        <f t="shared" si="23"/>
        <v>100.43093561332894</v>
      </c>
      <c r="AE52" s="220">
        <f t="shared" si="24"/>
        <v>0.42002433365081238</v>
      </c>
      <c r="AF52" s="220">
        <f t="shared" si="25"/>
        <v>0.37076626697959419</v>
      </c>
      <c r="AG52" s="220">
        <f t="shared" si="26"/>
        <v>0.28734398331186362</v>
      </c>
      <c r="AH52" s="220">
        <f t="shared" si="27"/>
        <v>0.88213535580726599</v>
      </c>
      <c r="AI52" s="220">
        <f t="shared" si="28"/>
        <v>40.059722619233547</v>
      </c>
      <c r="AJ52" s="220">
        <f t="shared" si="29"/>
        <v>2.8041504307841496</v>
      </c>
      <c r="AK52" s="220">
        <f t="shared" si="30"/>
        <v>6.3586861300370723E-2</v>
      </c>
      <c r="AL52" s="220">
        <f t="shared" si="31"/>
        <v>0.63781411929367215</v>
      </c>
      <c r="AM52" s="220">
        <f>IF(_xlfn.MINIFS(Geometry!$AJ$26:$AJ$32,Geometry!$AI$26:$AI$32,"o",Geometry!$AK$26:$AK$32,C21)&lt;=0,1,_xlfn.MINIFS(Geometry!$AJ$26:$AJ$32,Geometry!$AI$26:$AI$32,"o",Geometry!$AK$26:$AK$32,C21))</f>
        <v>1</v>
      </c>
      <c r="AN52" s="220">
        <f t="shared" si="32"/>
        <v>0</v>
      </c>
      <c r="AO52" s="220">
        <f t="shared" si="33"/>
        <v>0</v>
      </c>
      <c r="AP52" s="220">
        <f t="shared" si="34"/>
        <v>169.75976113256482</v>
      </c>
      <c r="AQ52" s="220">
        <f t="shared" si="35"/>
        <v>0</v>
      </c>
      <c r="AR52" s="220">
        <f t="shared" si="36"/>
        <v>0</v>
      </c>
      <c r="AS52" s="220">
        <f t="shared" si="37"/>
        <v>0</v>
      </c>
      <c r="AT52" s="220">
        <f t="shared" si="38"/>
        <v>0</v>
      </c>
      <c r="AU52" s="220">
        <f t="shared" si="39"/>
        <v>0</v>
      </c>
      <c r="AV52" s="220">
        <f t="shared" si="40"/>
        <v>0</v>
      </c>
      <c r="AW52" s="220">
        <f t="shared" si="41"/>
        <v>0</v>
      </c>
      <c r="AX52" s="220">
        <f t="shared" si="42"/>
        <v>0</v>
      </c>
    </row>
    <row r="53" spans="3:50" ht="14.85" customHeight="1">
      <c r="C53" s="12" t="str">
        <f t="shared" si="5"/>
        <v>Can17</v>
      </c>
      <c r="D53" s="2">
        <f t="shared" si="6"/>
        <v>-48.5</v>
      </c>
      <c r="E53" s="43">
        <f t="shared" si="7"/>
        <v>11.5</v>
      </c>
      <c r="F53" s="120">
        <f t="shared" si="8"/>
        <v>95</v>
      </c>
      <c r="G53" s="120">
        <f t="shared" si="9"/>
        <v>177.20600800726311</v>
      </c>
      <c r="H53" s="120">
        <f t="shared" si="10"/>
        <v>15.499112528459481</v>
      </c>
      <c r="I53" s="120">
        <f t="shared" si="11"/>
        <v>0</v>
      </c>
      <c r="J53" s="120">
        <f>VLOOKUP(R53,'Steel grades'!$B$5:$J$22,IF(F53&gt;200,10,IF(F53&gt;150,9,IF(F53&gt;120,8,IF(F53&gt;100,7,IF(F53&gt;80,6,IF(F53&gt;63,5,IF(F53&gt;40,4,IF(F53&gt;16,3,2)))))))),FALSE)</f>
        <v>315</v>
      </c>
      <c r="K53" s="120">
        <f t="shared" si="12"/>
        <v>252.72028368395249</v>
      </c>
      <c r="L53" s="3">
        <f t="shared" si="13"/>
        <v>18.20896482692434</v>
      </c>
      <c r="M53" s="3">
        <f t="shared" si="14"/>
        <v>105.45116212922808</v>
      </c>
      <c r="N53" s="3">
        <f t="shared" si="15"/>
        <v>0.70119424299504907</v>
      </c>
      <c r="O53" s="3">
        <f t="shared" si="16"/>
        <v>0.56897743023223557</v>
      </c>
      <c r="P53" s="3">
        <f>(ABS(Geometry_loads!S34)/Z53+ABS(Geometry_loads!T34)/AA53)/(1000*J53)</f>
        <v>0.428155244271059</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180</v>
      </c>
      <c r="R53" s="3" t="str">
        <f>Geometry!M42</f>
        <v>S355 NL/ML</v>
      </c>
      <c r="T53" s="3">
        <f>Geometry_loads!L34</f>
        <v>-73130.84</v>
      </c>
      <c r="U53" s="3">
        <f>Geometry_loads!M34</f>
        <v>63787.07</v>
      </c>
      <c r="V53" s="3">
        <f>Geometry_loads!N34</f>
        <v>1511303.7636407837</v>
      </c>
      <c r="W53" s="3">
        <f>Geometry_loads!O34</f>
        <v>20785.323133942697</v>
      </c>
      <c r="X53" s="3">
        <f t="shared" si="17"/>
        <v>0</v>
      </c>
      <c r="Y53" s="3">
        <f t="shared" si="18"/>
        <v>0</v>
      </c>
      <c r="Z53" s="18">
        <f t="shared" si="19"/>
        <v>3.40383710034819</v>
      </c>
      <c r="AA53" s="220">
        <f t="shared" si="20"/>
        <v>9.6256850373140956</v>
      </c>
      <c r="AB53" s="220">
        <f t="shared" si="21"/>
        <v>5.7024999999999997</v>
      </c>
      <c r="AC53" s="120">
        <f t="shared" si="22"/>
        <v>95</v>
      </c>
      <c r="AD53" s="220">
        <f t="shared" si="23"/>
        <v>100.43093561332894</v>
      </c>
      <c r="AE53" s="220">
        <f t="shared" si="24"/>
        <v>0.42002433365081238</v>
      </c>
      <c r="AF53" s="220">
        <f t="shared" si="25"/>
        <v>0.37076626697959419</v>
      </c>
      <c r="AG53" s="220">
        <f t="shared" si="26"/>
        <v>0.28787579273395897</v>
      </c>
      <c r="AH53" s="220">
        <f t="shared" si="27"/>
        <v>0.88251527635665949</v>
      </c>
      <c r="AI53" s="220">
        <f t="shared" si="28"/>
        <v>40.059722619233547</v>
      </c>
      <c r="AJ53" s="220">
        <f t="shared" si="29"/>
        <v>2.8041504307841496</v>
      </c>
      <c r="AK53" s="220">
        <f t="shared" si="30"/>
        <v>6.3586861300370723E-2</v>
      </c>
      <c r="AL53" s="220">
        <f t="shared" si="31"/>
        <v>0.63781411929367215</v>
      </c>
      <c r="AM53" s="220">
        <f>IF(_xlfn.MINIFS(Geometry!$AJ$26:$AJ$32,Geometry!$AI$26:$AI$32,"o",Geometry!$AK$26:$AK$32,C22)&lt;=0,1,_xlfn.MINIFS(Geometry!$AJ$26:$AJ$32,Geometry!$AI$26:$AI$32,"o",Geometry!$AK$26:$AK$32,C22))</f>
        <v>1</v>
      </c>
      <c r="AN53" s="220">
        <f t="shared" si="32"/>
        <v>0</v>
      </c>
      <c r="AO53" s="220">
        <f t="shared" si="33"/>
        <v>0</v>
      </c>
      <c r="AP53" s="220">
        <f t="shared" si="34"/>
        <v>177.20600800726311</v>
      </c>
      <c r="AQ53" s="220">
        <f t="shared" si="35"/>
        <v>0</v>
      </c>
      <c r="AR53" s="220">
        <f t="shared" si="36"/>
        <v>0</v>
      </c>
      <c r="AS53" s="220">
        <f t="shared" si="37"/>
        <v>0</v>
      </c>
      <c r="AT53" s="220">
        <f t="shared" si="38"/>
        <v>0</v>
      </c>
      <c r="AU53" s="220">
        <f t="shared" si="39"/>
        <v>0</v>
      </c>
      <c r="AV53" s="220">
        <f t="shared" si="40"/>
        <v>0</v>
      </c>
      <c r="AW53" s="220">
        <f t="shared" si="41"/>
        <v>0</v>
      </c>
      <c r="AX53" s="220">
        <f t="shared" si="42"/>
        <v>0</v>
      </c>
    </row>
    <row r="54" spans="3:50" ht="14.85" customHeight="1">
      <c r="C54" s="12" t="str">
        <f t="shared" si="5"/>
        <v>Can18</v>
      </c>
      <c r="D54" s="2">
        <f t="shared" si="6"/>
        <v>-51.7</v>
      </c>
      <c r="E54" s="43">
        <f t="shared" si="7"/>
        <v>11.5</v>
      </c>
      <c r="F54" s="120">
        <f t="shared" si="8"/>
        <v>93</v>
      </c>
      <c r="G54" s="120">
        <f t="shared" si="9"/>
        <v>187.61017670337279</v>
      </c>
      <c r="H54" s="120">
        <f t="shared" si="10"/>
        <v>14.395960008877378</v>
      </c>
      <c r="I54" s="120">
        <f t="shared" si="11"/>
        <v>0</v>
      </c>
      <c r="J54" s="120">
        <f>VLOOKUP(R54,'Steel grades'!$B$5:$J$22,IF(F54&gt;200,10,IF(F54&gt;150,9,IF(F54&gt;120,8,IF(F54&gt;100,7,IF(F54&gt;80,6,IF(F54&gt;63,5,IF(F54&gt;40,4,IF(F54&gt;16,3,2)))))))),FALSE)</f>
        <v>315</v>
      </c>
      <c r="K54" s="120">
        <f t="shared" si="12"/>
        <v>251.6545196321083</v>
      </c>
      <c r="L54" s="3">
        <f t="shared" si="13"/>
        <v>17.635435787446141</v>
      </c>
      <c r="M54" s="3">
        <f t="shared" si="14"/>
        <v>103.90205388169632</v>
      </c>
      <c r="N54" s="3">
        <f t="shared" si="15"/>
        <v>0.74550688371358709</v>
      </c>
      <c r="O54" s="3">
        <f t="shared" si="16"/>
        <v>0.60082507641618543</v>
      </c>
      <c r="P54" s="3">
        <f>(ABS(Geometry_loads!S35)/Z54+ABS(Geometry_loads!T35)/AA54)/(1000*J54)</f>
        <v>0.45236188057326843</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Geometry!M43</f>
        <v>S355 NL/ML</v>
      </c>
      <c r="T54" s="3">
        <f>Geometry_loads!L35</f>
        <v>-73130.84</v>
      </c>
      <c r="U54" s="3">
        <f>Geometry_loads!M35</f>
        <v>63787.07</v>
      </c>
      <c r="V54" s="3">
        <f>Geometry_loads!N35</f>
        <v>1574534.3690368498</v>
      </c>
      <c r="W54" s="3">
        <f>Geometry_loads!O35</f>
        <v>18397.228754466531</v>
      </c>
      <c r="X54" s="3">
        <f t="shared" si="17"/>
        <v>0</v>
      </c>
      <c r="Y54" s="3">
        <f t="shared" si="18"/>
        <v>0</v>
      </c>
      <c r="Z54" s="18">
        <f t="shared" si="19"/>
        <v>3.332761708153384</v>
      </c>
      <c r="AA54" s="220">
        <f t="shared" si="20"/>
        <v>9.4279697548168109</v>
      </c>
      <c r="AB54" s="220">
        <f t="shared" si="21"/>
        <v>5.7035</v>
      </c>
      <c r="AC54" s="120">
        <f t="shared" si="22"/>
        <v>93</v>
      </c>
      <c r="AD54" s="220">
        <f t="shared" si="23"/>
        <v>101.49619494017097</v>
      </c>
      <c r="AE54" s="220">
        <f t="shared" si="24"/>
        <v>0.42394657504746386</v>
      </c>
      <c r="AF54" s="220">
        <f t="shared" si="25"/>
        <v>0.36846068790510061</v>
      </c>
      <c r="AG54" s="220">
        <f t="shared" si="26"/>
        <v>0.28830393140738031</v>
      </c>
      <c r="AH54" s="220">
        <f t="shared" si="27"/>
        <v>0.87879356062006075</v>
      </c>
      <c r="AI54" s="220">
        <f t="shared" si="28"/>
        <v>38.79795873238151</v>
      </c>
      <c r="AJ54" s="220">
        <f t="shared" si="29"/>
        <v>2.849383063171913</v>
      </c>
      <c r="AK54" s="220">
        <f t="shared" si="30"/>
        <v>6.1584061479970663E-2</v>
      </c>
      <c r="AL54" s="220">
        <f t="shared" si="31"/>
        <v>0.62844444434045343</v>
      </c>
      <c r="AM54" s="220">
        <f>IF(_xlfn.MINIFS(Geometry!$AJ$26:$AJ$32,Geometry!$AI$26:$AI$32,"o",Geometry!$AK$26:$AK$32,C23)&lt;=0,1,_xlfn.MINIFS(Geometry!$AJ$26:$AJ$32,Geometry!$AI$26:$AI$32,"o",Geometry!$AK$26:$AK$32,C23))</f>
        <v>1</v>
      </c>
      <c r="AN54" s="220">
        <f t="shared" si="32"/>
        <v>0</v>
      </c>
      <c r="AO54" s="220">
        <f t="shared" si="33"/>
        <v>0</v>
      </c>
      <c r="AP54" s="220">
        <f t="shared" si="34"/>
        <v>187.61017670337279</v>
      </c>
      <c r="AQ54" s="220">
        <f t="shared" si="35"/>
        <v>0</v>
      </c>
      <c r="AR54" s="220">
        <f t="shared" si="36"/>
        <v>0</v>
      </c>
      <c r="AS54" s="220">
        <f t="shared" si="37"/>
        <v>0</v>
      </c>
      <c r="AT54" s="220">
        <f t="shared" si="38"/>
        <v>0</v>
      </c>
      <c r="AU54" s="220">
        <f t="shared" si="39"/>
        <v>0</v>
      </c>
      <c r="AV54" s="220">
        <f t="shared" si="40"/>
        <v>0</v>
      </c>
      <c r="AW54" s="220">
        <f t="shared" si="41"/>
        <v>0</v>
      </c>
      <c r="AX54" s="220">
        <f t="shared" si="42"/>
        <v>0</v>
      </c>
    </row>
    <row r="55" spans="3:50" ht="14.85" customHeight="1">
      <c r="C55" s="12" t="str">
        <f t="shared" si="5"/>
        <v>Can19</v>
      </c>
      <c r="D55" s="2">
        <f t="shared" si="6"/>
        <v>-55.3</v>
      </c>
      <c r="E55" s="43">
        <f t="shared" si="7"/>
        <v>11.5</v>
      </c>
      <c r="F55" s="120">
        <f t="shared" si="8"/>
        <v>93</v>
      </c>
      <c r="G55" s="120">
        <f t="shared" si="9"/>
        <v>194.15464472033017</v>
      </c>
      <c r="H55" s="120">
        <f t="shared" si="10"/>
        <v>12.897963965185529</v>
      </c>
      <c r="I55" s="120">
        <f t="shared" si="11"/>
        <v>0</v>
      </c>
      <c r="J55" s="120">
        <f>VLOOKUP(R55,'Steel grades'!$B$5:$J$22,IF(F55&gt;200,10,IF(F55&gt;150,9,IF(F55&gt;120,8,IF(F55&gt;100,7,IF(F55&gt;80,6,IF(F55&gt;63,5,IF(F55&gt;40,4,IF(F55&gt;16,3,2)))))))),FALSE)</f>
        <v>315</v>
      </c>
      <c r="K55" s="120">
        <f t="shared" si="12"/>
        <v>251.7350696992944</v>
      </c>
      <c r="L55" s="3">
        <f t="shared" si="13"/>
        <v>17.635435787446141</v>
      </c>
      <c r="M55" s="3">
        <f t="shared" si="14"/>
        <v>103.90205388169632</v>
      </c>
      <c r="N55" s="3">
        <f t="shared" si="15"/>
        <v>0.77126577934593743</v>
      </c>
      <c r="O55" s="3">
        <f t="shared" si="16"/>
        <v>0.62043067714536149</v>
      </c>
      <c r="P55" s="3">
        <f>(ABS(Geometry_loads!S36)/Z55+ABS(Geometry_loads!T36)/AA55)/(1000*J55)</f>
        <v>0.46684235614974101</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Geometry!M44</f>
        <v>S355 NL/ML</v>
      </c>
      <c r="T55" s="3">
        <f>Geometry_loads!L36</f>
        <v>-73130.84</v>
      </c>
      <c r="U55" s="3">
        <f>Geometry_loads!M36</f>
        <v>63787.07</v>
      </c>
      <c r="V55" s="3">
        <f>Geometry_loads!N36</f>
        <v>1636734.3229139401</v>
      </c>
      <c r="W55" s="3">
        <f>Geometry_loads!O36</f>
        <v>15900.9968277758</v>
      </c>
      <c r="X55" s="3">
        <f t="shared" si="17"/>
        <v>0</v>
      </c>
      <c r="Y55" s="3">
        <f t="shared" si="18"/>
        <v>0</v>
      </c>
      <c r="Z55" s="18">
        <f t="shared" si="19"/>
        <v>3.332761708153384</v>
      </c>
      <c r="AA55" s="220">
        <f t="shared" si="20"/>
        <v>9.4279697548168109</v>
      </c>
      <c r="AB55" s="220">
        <f t="shared" si="21"/>
        <v>5.7035</v>
      </c>
      <c r="AC55" s="120">
        <f t="shared" si="22"/>
        <v>93</v>
      </c>
      <c r="AD55" s="220">
        <f t="shared" si="23"/>
        <v>101.49619494017097</v>
      </c>
      <c r="AE55" s="220">
        <f t="shared" si="24"/>
        <v>0.42394657504746386</v>
      </c>
      <c r="AF55" s="220">
        <f t="shared" si="25"/>
        <v>0.36846068790510061</v>
      </c>
      <c r="AG55" s="220">
        <f t="shared" si="26"/>
        <v>0.28869817665934838</v>
      </c>
      <c r="AH55" s="220">
        <f t="shared" si="27"/>
        <v>0.87907484656896462</v>
      </c>
      <c r="AI55" s="220">
        <f t="shared" si="28"/>
        <v>38.79795873238151</v>
      </c>
      <c r="AJ55" s="220">
        <f t="shared" si="29"/>
        <v>2.849383063171913</v>
      </c>
      <c r="AK55" s="220">
        <f t="shared" si="30"/>
        <v>6.1584061479970663E-2</v>
      </c>
      <c r="AL55" s="220">
        <f t="shared" si="31"/>
        <v>0.62844444434045343</v>
      </c>
      <c r="AM55" s="220">
        <f>IF(_xlfn.MINIFS(Geometry!$AJ$26:$AJ$32,Geometry!$AI$26:$AI$32,"o",Geometry!$AK$26:$AK$32,C24)&lt;=0,1,_xlfn.MINIFS(Geometry!$AJ$26:$AJ$32,Geometry!$AI$26:$AI$32,"o",Geometry!$AK$26:$AK$32,C24))</f>
        <v>1</v>
      </c>
      <c r="AN55" s="220">
        <f t="shared" si="32"/>
        <v>0</v>
      </c>
      <c r="AO55" s="220">
        <f t="shared" si="33"/>
        <v>0</v>
      </c>
      <c r="AP55" s="220">
        <f t="shared" si="34"/>
        <v>194.15464472033017</v>
      </c>
      <c r="AQ55" s="220">
        <f t="shared" si="35"/>
        <v>0</v>
      </c>
      <c r="AR55" s="220">
        <f t="shared" si="36"/>
        <v>0</v>
      </c>
      <c r="AS55" s="220">
        <f t="shared" si="37"/>
        <v>0</v>
      </c>
      <c r="AT55" s="220">
        <f t="shared" si="38"/>
        <v>0</v>
      </c>
      <c r="AU55" s="220">
        <f t="shared" si="39"/>
        <v>0</v>
      </c>
      <c r="AV55" s="220">
        <f t="shared" si="40"/>
        <v>0</v>
      </c>
      <c r="AW55" s="220">
        <f t="shared" si="41"/>
        <v>0</v>
      </c>
      <c r="AX55" s="220">
        <f t="shared" si="42"/>
        <v>0</v>
      </c>
    </row>
    <row r="56" spans="3:50" ht="14.85" customHeight="1">
      <c r="C56" s="12" t="str">
        <f t="shared" si="5"/>
        <v>Can20</v>
      </c>
      <c r="D56" s="2">
        <f t="shared" si="6"/>
        <v>-59.3</v>
      </c>
      <c r="E56" s="43">
        <f t="shared" si="7"/>
        <v>11.5</v>
      </c>
      <c r="F56" s="120">
        <f t="shared" si="8"/>
        <v>93</v>
      </c>
      <c r="G56" s="120">
        <f t="shared" si="9"/>
        <v>192.39027506190169</v>
      </c>
      <c r="H56" s="120">
        <f t="shared" si="10"/>
        <v>16.506804535039397</v>
      </c>
      <c r="I56" s="120">
        <f t="shared" si="11"/>
        <v>0</v>
      </c>
      <c r="J56" s="120">
        <f>VLOOKUP(R56,'Steel grades'!$B$5:$J$22,IF(F56&gt;200,10,IF(F56&gt;150,9,IF(F56&gt;120,8,IF(F56&gt;100,7,IF(F56&gt;80,6,IF(F56&gt;63,5,IF(F56&gt;40,4,IF(F56&gt;16,3,2)))))))),FALSE)</f>
        <v>315</v>
      </c>
      <c r="K56" s="120">
        <f t="shared" si="12"/>
        <v>251.71388401912517</v>
      </c>
      <c r="L56" s="3">
        <f t="shared" si="13"/>
        <v>17.635435787446141</v>
      </c>
      <c r="M56" s="3">
        <f t="shared" si="14"/>
        <v>103.90205388169632</v>
      </c>
      <c r="N56" s="3">
        <f t="shared" si="15"/>
        <v>0.76432126821929258</v>
      </c>
      <c r="O56" s="3">
        <f t="shared" si="16"/>
        <v>0.61747004298268182</v>
      </c>
      <c r="P56" s="3">
        <f>(ABS(Geometry_loads!S37)/Z56+ABS(Geometry_loads!T37)/AA56)/(1000*J56)</f>
        <v>0.46034097339099389</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Geometry!M45</f>
        <v>S355 NL/ML</v>
      </c>
      <c r="T56" s="3">
        <f>Geometry_loads!L37</f>
        <v>-73130.84</v>
      </c>
      <c r="U56" s="3">
        <f>Geometry_loads!M37</f>
        <v>63787.07</v>
      </c>
      <c r="V56" s="3">
        <f>Geometry_loads!N37</f>
        <v>1619965.3951581572</v>
      </c>
      <c r="W56" s="3">
        <f>Geometry_loads!O37</f>
        <v>-21914.699658795507</v>
      </c>
      <c r="X56" s="3">
        <f t="shared" si="17"/>
        <v>0</v>
      </c>
      <c r="Y56" s="3">
        <f t="shared" si="18"/>
        <v>0</v>
      </c>
      <c r="Z56" s="18">
        <f t="shared" si="19"/>
        <v>3.332761708153384</v>
      </c>
      <c r="AA56" s="220">
        <f t="shared" si="20"/>
        <v>9.4279697548168109</v>
      </c>
      <c r="AB56" s="220">
        <f t="shared" si="21"/>
        <v>5.7035</v>
      </c>
      <c r="AC56" s="120">
        <f t="shared" si="22"/>
        <v>93</v>
      </c>
      <c r="AD56" s="220">
        <f t="shared" si="23"/>
        <v>101.49619494017097</v>
      </c>
      <c r="AE56" s="220">
        <f t="shared" si="24"/>
        <v>0.42394657504746386</v>
      </c>
      <c r="AF56" s="220">
        <f t="shared" si="25"/>
        <v>0.36846068790510061</v>
      </c>
      <c r="AG56" s="220">
        <f t="shared" si="26"/>
        <v>0.28859453007855967</v>
      </c>
      <c r="AH56" s="220">
        <f t="shared" si="27"/>
        <v>0.87900086482869111</v>
      </c>
      <c r="AI56" s="220">
        <f t="shared" si="28"/>
        <v>38.79795873238151</v>
      </c>
      <c r="AJ56" s="220">
        <f t="shared" si="29"/>
        <v>2.849383063171913</v>
      </c>
      <c r="AK56" s="220">
        <f t="shared" si="30"/>
        <v>6.1584061479970663E-2</v>
      </c>
      <c r="AL56" s="220">
        <f t="shared" si="31"/>
        <v>0.62844444434045343</v>
      </c>
      <c r="AM56" s="220">
        <f>IF(_xlfn.MINIFS(Geometry!$AJ$26:$AJ$32,Geometry!$AI$26:$AI$32,"o",Geometry!$AK$26:$AK$32,C25)&lt;=0,1,_xlfn.MINIFS(Geometry!$AJ$26:$AJ$32,Geometry!$AI$26:$AI$32,"o",Geometry!$AK$26:$AK$32,C25))</f>
        <v>1</v>
      </c>
      <c r="AN56" s="220">
        <f t="shared" si="32"/>
        <v>0</v>
      </c>
      <c r="AO56" s="220">
        <f t="shared" si="33"/>
        <v>0</v>
      </c>
      <c r="AP56" s="220">
        <f t="shared" si="34"/>
        <v>192.39027506190166</v>
      </c>
      <c r="AQ56" s="220">
        <f t="shared" si="35"/>
        <v>0</v>
      </c>
      <c r="AR56" s="220">
        <f t="shared" si="36"/>
        <v>0</v>
      </c>
      <c r="AS56" s="220">
        <f t="shared" si="37"/>
        <v>0</v>
      </c>
      <c r="AT56" s="220">
        <f t="shared" si="38"/>
        <v>0</v>
      </c>
      <c r="AU56" s="220">
        <f t="shared" si="39"/>
        <v>0</v>
      </c>
      <c r="AV56" s="220">
        <f t="shared" si="40"/>
        <v>0</v>
      </c>
      <c r="AW56" s="220">
        <f t="shared" si="41"/>
        <v>0</v>
      </c>
      <c r="AX56" s="220">
        <f t="shared" si="42"/>
        <v>0</v>
      </c>
    </row>
    <row r="57" spans="3:50" ht="14.85" customHeight="1">
      <c r="C57" s="12" t="str">
        <f t="shared" si="5"/>
        <v>Can21</v>
      </c>
      <c r="D57" s="2">
        <f t="shared" si="6"/>
        <v>-63.3</v>
      </c>
      <c r="E57" s="43">
        <f t="shared" si="7"/>
        <v>11.5</v>
      </c>
      <c r="F57" s="120">
        <f t="shared" si="8"/>
        <v>93</v>
      </c>
      <c r="G57" s="120">
        <f t="shared" si="9"/>
        <v>176.25042268450574</v>
      </c>
      <c r="H57" s="120">
        <f t="shared" si="10"/>
        <v>38.651056787676673</v>
      </c>
      <c r="I57" s="120">
        <f t="shared" si="11"/>
        <v>0</v>
      </c>
      <c r="J57" s="120">
        <f>VLOOKUP(R57,'Steel grades'!$B$5:$J$22,IF(F57&gt;200,10,IF(F57&gt;150,9,IF(F57&gt;120,8,IF(F57&gt;100,7,IF(F57&gt;80,6,IF(F57&gt;63,5,IF(F57&gt;40,4,IF(F57&gt;16,3,2)))))))),FALSE)</f>
        <v>315</v>
      </c>
      <c r="K57" s="120">
        <f t="shared" si="12"/>
        <v>251.50076233620317</v>
      </c>
      <c r="L57" s="3">
        <f t="shared" si="13"/>
        <v>17.635435787446141</v>
      </c>
      <c r="M57" s="3">
        <f t="shared" si="14"/>
        <v>103.90205388169632</v>
      </c>
      <c r="N57" s="3">
        <f t="shared" si="15"/>
        <v>0.7007947850627041</v>
      </c>
      <c r="O57" s="3">
        <f t="shared" si="16"/>
        <v>0.5985278325423441</v>
      </c>
      <c r="P57" s="3">
        <f>(ABS(Geometry_loads!S38)/Z57+ABS(Geometry_loads!T38)/AA57)/(1000*J57)</f>
        <v>0.41949135491890344</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Geometry!M46</f>
        <v>S355 NL/ML</v>
      </c>
      <c r="T57" s="3">
        <f>Geometry_loads!L38</f>
        <v>-73130.84</v>
      </c>
      <c r="U57" s="3">
        <f>Geometry_loads!M38</f>
        <v>63787.07</v>
      </c>
      <c r="V57" s="3">
        <f>Geometry_loads!N38</f>
        <v>1466568.9585255887</v>
      </c>
      <c r="W57" s="3">
        <f>Geometry_loads!O38</f>
        <v>-58815.45764043495</v>
      </c>
      <c r="X57" s="3">
        <f t="shared" si="17"/>
        <v>0</v>
      </c>
      <c r="Y57" s="3">
        <f t="shared" si="18"/>
        <v>0</v>
      </c>
      <c r="Z57" s="18">
        <f t="shared" si="19"/>
        <v>3.332761708153384</v>
      </c>
      <c r="AA57" s="220">
        <f t="shared" si="20"/>
        <v>9.4279697548168109</v>
      </c>
      <c r="AB57" s="220">
        <f t="shared" si="21"/>
        <v>5.7035</v>
      </c>
      <c r="AC57" s="120">
        <f t="shared" si="22"/>
        <v>93</v>
      </c>
      <c r="AD57" s="220">
        <f t="shared" si="23"/>
        <v>101.49619494017097</v>
      </c>
      <c r="AE57" s="220">
        <f t="shared" si="24"/>
        <v>0.42394657504746386</v>
      </c>
      <c r="AF57" s="220">
        <f t="shared" si="25"/>
        <v>0.36846068790510061</v>
      </c>
      <c r="AG57" s="220">
        <f t="shared" si="26"/>
        <v>0.28755009229496137</v>
      </c>
      <c r="AH57" s="220">
        <f t="shared" si="27"/>
        <v>0.87825663038039214</v>
      </c>
      <c r="AI57" s="220">
        <f t="shared" si="28"/>
        <v>38.79795873238151</v>
      </c>
      <c r="AJ57" s="220">
        <f t="shared" si="29"/>
        <v>2.849383063171913</v>
      </c>
      <c r="AK57" s="220">
        <f t="shared" si="30"/>
        <v>6.1584061479970663E-2</v>
      </c>
      <c r="AL57" s="220">
        <f t="shared" si="31"/>
        <v>0.62844444434045343</v>
      </c>
      <c r="AM57" s="220">
        <f>IF(_xlfn.MINIFS(Geometry!$AJ$26:$AJ$32,Geometry!$AI$26:$AI$32,"o",Geometry!$AK$26:$AK$32,C26)&lt;=0,1,_xlfn.MINIFS(Geometry!$AJ$26:$AJ$32,Geometry!$AI$26:$AI$32,"o",Geometry!$AK$26:$AK$32,C26))</f>
        <v>1</v>
      </c>
      <c r="AN57" s="220">
        <f t="shared" si="32"/>
        <v>0</v>
      </c>
      <c r="AO57" s="220">
        <f t="shared" si="33"/>
        <v>0</v>
      </c>
      <c r="AP57" s="220">
        <f t="shared" si="34"/>
        <v>176.25042268450571</v>
      </c>
      <c r="AQ57" s="220">
        <f t="shared" si="35"/>
        <v>0</v>
      </c>
      <c r="AR57" s="220">
        <f t="shared" si="36"/>
        <v>0</v>
      </c>
      <c r="AS57" s="220">
        <f t="shared" si="37"/>
        <v>0</v>
      </c>
      <c r="AT57" s="220">
        <f t="shared" si="38"/>
        <v>0</v>
      </c>
      <c r="AU57" s="220">
        <f t="shared" si="39"/>
        <v>0</v>
      </c>
      <c r="AV57" s="220">
        <f t="shared" si="40"/>
        <v>0</v>
      </c>
      <c r="AW57" s="220">
        <f t="shared" si="41"/>
        <v>0</v>
      </c>
      <c r="AX57" s="220">
        <f t="shared" si="42"/>
        <v>0</v>
      </c>
    </row>
    <row r="58" spans="3:50" ht="14.85" customHeight="1">
      <c r="C58" s="12" t="str">
        <f t="shared" si="5"/>
        <v>Can22</v>
      </c>
      <c r="D58" s="2">
        <f t="shared" si="6"/>
        <v>-67.3</v>
      </c>
      <c r="E58" s="43">
        <f t="shared" si="7"/>
        <v>11.5</v>
      </c>
      <c r="F58" s="120">
        <f t="shared" si="8"/>
        <v>96</v>
      </c>
      <c r="G58" s="120">
        <f t="shared" si="9"/>
        <v>141.66321244830277</v>
      </c>
      <c r="H58" s="120">
        <f t="shared" si="10"/>
        <v>52.252343952643329</v>
      </c>
      <c r="I58" s="120">
        <f t="shared" si="11"/>
        <v>0</v>
      </c>
      <c r="J58" s="120">
        <f>VLOOKUP(R58,'Steel grades'!$B$5:$J$22,IF(F58&gt;200,10,IF(F58&gt;150,9,IF(F58&gt;120,8,IF(F58&gt;100,7,IF(F58&gt;80,6,IF(F58&gt;63,5,IF(F58&gt;40,4,IF(F58&gt;16,3,2)))))))),FALSE)</f>
        <v>315</v>
      </c>
      <c r="K58" s="120">
        <f t="shared" si="12"/>
        <v>252.69027819903982</v>
      </c>
      <c r="L58" s="3">
        <f t="shared" si="13"/>
        <v>18.498041060579773</v>
      </c>
      <c r="M58" s="3">
        <f t="shared" si="14"/>
        <v>106.20602067242534</v>
      </c>
      <c r="N58" s="3">
        <f t="shared" si="15"/>
        <v>0.58865358645088228</v>
      </c>
      <c r="O58" s="3">
        <f t="shared" si="16"/>
        <v>0.53366758334360764</v>
      </c>
      <c r="P58" s="3">
        <f>(ABS(Geometry_loads!S39)/Z58+ABS(Geometry_loads!T39)/AA58)/(1000*J58)</f>
        <v>0.33563844318391151</v>
      </c>
      <c r="Q58" s="22">
        <f>IF(D58&gt;=$R$14,IF(P58&gt;0.75,"Redesign",IF(P58&lt;0.5,VLOOKUP(R58,'Steel grades'!$B$5:$AB$22,27,FALSE),(VLOOKUP(R58,'Steel grades'!$B$5:$AB$22,27,FALSE)-VLOOKUP(R58,'Steel grades'!$B$5:$AB$22,25,FALSE))/(0.5-0.75)*(P58-0.75)+VLOOKUP(R58,'Steel grades'!$B$5:$AB$22,25,FALSE))),IF(D58&lt;$R$2,IF(P58&gt;0.75,"Redesign",IF(P58&lt;0.5,VLOOKUP(R58,'Steel grades'!$B$5:$AB$22,18,FALSE),(VLOOKUP(R58,'Steel grades'!$B$5:$AB$22,18,FALSE)-VLOOKUP(R58,'Steel grades'!$B$5:$AB$22,11,FALSE))/(0.5-0.75)*(P58-0.75)+VLOOKUP(R58,'Steel grades'!$B$5:$AB$22,11,FALSE))),IF(P58&gt;0.75,"Redesign",IF(P58&lt;0.5,VLOOKUP(R58,'Steel grades'!$B$5:$AB$22,26,FALSE),(VLOOKUP(R58,'Steel grades'!$B$5:$AB$22,26,FALSE)-VLOOKUP(R58,'Steel grades'!$B$5:$AB$22,24,FALSE))/(0.5-0.75)*(P58-0.75)+VLOOKUP(R58,'Steel grades'!$B$5:$AB$22,24,FALSE)))))</f>
        <v>180</v>
      </c>
      <c r="R58" s="3" t="str">
        <f>Geometry!M47</f>
        <v>S355 NL/ML</v>
      </c>
      <c r="T58" s="3">
        <f>Geometry_loads!L39</f>
        <v>-73130.84</v>
      </c>
      <c r="U58" s="3">
        <f>Geometry_loads!M39</f>
        <v>63787.07</v>
      </c>
      <c r="V58" s="3">
        <f>Geometry_loads!N39</f>
        <v>1180601.11660892</v>
      </c>
      <c r="W58" s="3">
        <f>Geometry_loads!O39</f>
        <v>-84264.056766584996</v>
      </c>
      <c r="X58" s="3">
        <f t="shared" si="17"/>
        <v>0</v>
      </c>
      <c r="Y58" s="3">
        <f t="shared" si="18"/>
        <v>0</v>
      </c>
      <c r="Z58" s="18">
        <f t="shared" si="19"/>
        <v>3.43936537166765</v>
      </c>
      <c r="AA58" s="220">
        <f t="shared" si="20"/>
        <v>9.7244640444551145</v>
      </c>
      <c r="AB58" s="220">
        <f t="shared" si="21"/>
        <v>5.702</v>
      </c>
      <c r="AC58" s="120">
        <f t="shared" si="22"/>
        <v>96</v>
      </c>
      <c r="AD58" s="220">
        <f t="shared" si="23"/>
        <v>99.910868731258986</v>
      </c>
      <c r="AE58" s="220">
        <f t="shared" si="24"/>
        <v>0.41811028258802729</v>
      </c>
      <c r="AF58" s="220">
        <f t="shared" si="25"/>
        <v>0.37189852244974814</v>
      </c>
      <c r="AG58" s="220">
        <f t="shared" si="26"/>
        <v>0.28499053675810426</v>
      </c>
      <c r="AH58" s="220">
        <f t="shared" si="27"/>
        <v>0.88241049529823445</v>
      </c>
      <c r="AI58" s="220">
        <f t="shared" si="28"/>
        <v>40.695690333275508</v>
      </c>
      <c r="AJ58" s="220">
        <f t="shared" si="29"/>
        <v>2.7821533669827709</v>
      </c>
      <c r="AK58" s="220">
        <f t="shared" si="30"/>
        <v>6.4596333862342079E-2</v>
      </c>
      <c r="AL58" s="220">
        <f t="shared" si="31"/>
        <v>0.64237982940249627</v>
      </c>
      <c r="AM58" s="220">
        <f>IF(_xlfn.MINIFS(Geometry!$AJ$26:$AJ$32,Geometry!$AI$26:$AI$32,"o",Geometry!$AK$26:$AK$32,C27)&lt;=0,1,_xlfn.MINIFS(Geometry!$AJ$26:$AJ$32,Geometry!$AI$26:$AI$32,"o",Geometry!$AK$26:$AK$32,C27))</f>
        <v>1</v>
      </c>
      <c r="AN58" s="220">
        <f t="shared" si="32"/>
        <v>0</v>
      </c>
      <c r="AO58" s="220">
        <f t="shared" si="33"/>
        <v>0</v>
      </c>
      <c r="AP58" s="220">
        <f t="shared" si="34"/>
        <v>141.66321244830277</v>
      </c>
      <c r="AQ58" s="220">
        <f t="shared" si="35"/>
        <v>0</v>
      </c>
      <c r="AR58" s="220">
        <f t="shared" si="36"/>
        <v>0</v>
      </c>
      <c r="AS58" s="220">
        <f t="shared" si="37"/>
        <v>0</v>
      </c>
      <c r="AT58" s="220">
        <f t="shared" si="38"/>
        <v>0</v>
      </c>
      <c r="AU58" s="220">
        <f t="shared" si="39"/>
        <v>0</v>
      </c>
      <c r="AV58" s="220">
        <f t="shared" si="40"/>
        <v>0</v>
      </c>
      <c r="AW58" s="220">
        <f t="shared" si="41"/>
        <v>0</v>
      </c>
      <c r="AX58" s="220">
        <f t="shared" si="42"/>
        <v>0</v>
      </c>
    </row>
    <row r="59" spans="3:50" ht="14.85" customHeight="1">
      <c r="C59" s="12" t="str">
        <f t="shared" si="5"/>
        <v>Can23</v>
      </c>
      <c r="D59" s="2">
        <f t="shared" si="6"/>
        <v>-71</v>
      </c>
      <c r="E59" s="43">
        <f t="shared" si="7"/>
        <v>11.5</v>
      </c>
      <c r="F59" s="120">
        <f t="shared" si="8"/>
        <v>100</v>
      </c>
      <c r="G59" s="120">
        <f t="shared" si="9"/>
        <v>102.20235862682701</v>
      </c>
      <c r="H59" s="120">
        <f t="shared" si="10"/>
        <v>60.742109920482548</v>
      </c>
      <c r="I59" s="120">
        <f t="shared" si="11"/>
        <v>0</v>
      </c>
      <c r="J59" s="120">
        <f>VLOOKUP(R59,'Steel grades'!$B$5:$J$22,IF(F59&gt;200,10,IF(F59&gt;150,9,IF(F59&gt;120,8,IF(F59&gt;100,7,IF(F59&gt;80,6,IF(F59&gt;63,5,IF(F59&gt;40,4,IF(F59&gt;16,3,2)))))))),FALSE)</f>
        <v>315</v>
      </c>
      <c r="K59" s="120">
        <f t="shared" si="12"/>
        <v>253.80576947679353</v>
      </c>
      <c r="L59" s="3">
        <f t="shared" si="13"/>
        <v>19.669579166126031</v>
      </c>
      <c r="M59" s="3">
        <f t="shared" si="14"/>
        <v>109.10223212650187</v>
      </c>
      <c r="N59" s="3">
        <f t="shared" si="15"/>
        <v>0.55674488721782778</v>
      </c>
      <c r="O59" s="3">
        <f t="shared" si="16"/>
        <v>0.46564117820986511</v>
      </c>
      <c r="P59" s="3">
        <f>(ABS(Geometry_loads!S40)/Z59+ABS(Geometry_loads!T40)/AA59)/(1000*J59)</f>
        <v>0.24112372632557091</v>
      </c>
      <c r="Q59" s="22">
        <f>IF(D59&gt;=$R$14,IF(P59&gt;0.75,"Redesign",IF(P59&lt;0.5,VLOOKUP(R59,'Steel grades'!$B$5:$AB$22,27,FALSE),(VLOOKUP(R59,'Steel grades'!$B$5:$AB$22,27,FALSE)-VLOOKUP(R59,'Steel grades'!$B$5:$AB$22,25,FALSE))/(0.5-0.75)*(P59-0.75)+VLOOKUP(R59,'Steel grades'!$B$5:$AB$22,25,FALSE))),IF(D59&lt;$R$2,IF(P59&gt;0.75,"Redesign",IF(P59&lt;0.5,VLOOKUP(R59,'Steel grades'!$B$5:$AB$22,18,FALSE),(VLOOKUP(R59,'Steel grades'!$B$5:$AB$22,18,FALSE)-VLOOKUP(R59,'Steel grades'!$B$5:$AB$22,11,FALSE))/(0.5-0.75)*(P59-0.75)+VLOOKUP(R59,'Steel grades'!$B$5:$AB$22,11,FALSE))),IF(P59&gt;0.75,"Redesign",IF(P59&lt;0.5,VLOOKUP(R59,'Steel grades'!$B$5:$AB$22,26,FALSE),(VLOOKUP(R59,'Steel grades'!$B$5:$AB$22,26,FALSE)-VLOOKUP(R59,'Steel grades'!$B$5:$AB$22,24,FALSE))/(0.5-0.75)*(P59-0.75)+VLOOKUP(R59,'Steel grades'!$B$5:$AB$22,24,FALSE)))))</f>
        <v>180</v>
      </c>
      <c r="R59" s="3" t="str">
        <f>Geometry!M48</f>
        <v>S355 NL/ML</v>
      </c>
      <c r="T59" s="3">
        <f>Geometry_loads!L40</f>
        <v>-73130.84</v>
      </c>
      <c r="U59" s="3">
        <f>Geometry_loads!M40</f>
        <v>63787.07</v>
      </c>
      <c r="V59" s="3">
        <f>Geometry_loads!N40</f>
        <v>834760.10970612313</v>
      </c>
      <c r="W59" s="3">
        <f>Geometry_loads!O40</f>
        <v>-103176.0137676032</v>
      </c>
      <c r="X59" s="3">
        <f t="shared" si="17"/>
        <v>0</v>
      </c>
      <c r="Y59" s="3">
        <f t="shared" si="18"/>
        <v>0</v>
      </c>
      <c r="Z59" s="18">
        <f t="shared" si="19"/>
        <v>3.5814156250923546</v>
      </c>
      <c r="AA59" s="220">
        <f t="shared" si="20"/>
        <v>10.119056278114197</v>
      </c>
      <c r="AB59" s="220">
        <f t="shared" si="21"/>
        <v>5.7</v>
      </c>
      <c r="AC59" s="120">
        <f t="shared" si="22"/>
        <v>100</v>
      </c>
      <c r="AD59" s="220">
        <f t="shared" si="23"/>
        <v>97.909431834248053</v>
      </c>
      <c r="AE59" s="220">
        <f t="shared" si="24"/>
        <v>0.41074944801588725</v>
      </c>
      <c r="AF59" s="220">
        <f t="shared" si="25"/>
        <v>0.37629687437838422</v>
      </c>
      <c r="AG59" s="220">
        <f t="shared" si="26"/>
        <v>0.28002048602598639</v>
      </c>
      <c r="AH59" s="220">
        <f t="shared" si="27"/>
        <v>0.88630586166499337</v>
      </c>
      <c r="AI59" s="220">
        <f t="shared" si="28"/>
        <v>43.273074165477276</v>
      </c>
      <c r="AJ59" s="220">
        <f t="shared" si="29"/>
        <v>2.6980276889397188</v>
      </c>
      <c r="AK59" s="220">
        <f t="shared" si="30"/>
        <v>6.8687419310281383E-2</v>
      </c>
      <c r="AL59" s="220">
        <f t="shared" si="31"/>
        <v>0.65989736567778468</v>
      </c>
      <c r="AM59" s="220">
        <f>IF(_xlfn.MINIFS(Geometry!$AJ$26:$AJ$32,Geometry!$AI$26:$AI$32,"o",Geometry!$AK$26:$AK$32,C28)&lt;=0,1,_xlfn.MINIFS(Geometry!$AJ$26:$AJ$32,Geometry!$AI$26:$AI$32,"o",Geometry!$AK$26:$AK$32,C28))</f>
        <v>1</v>
      </c>
      <c r="AN59" s="220">
        <f t="shared" si="32"/>
        <v>0</v>
      </c>
      <c r="AO59" s="220">
        <f t="shared" si="33"/>
        <v>0</v>
      </c>
      <c r="AP59" s="220">
        <f t="shared" si="34"/>
        <v>102.20235862682701</v>
      </c>
      <c r="AQ59" s="220">
        <f t="shared" si="35"/>
        <v>0</v>
      </c>
      <c r="AR59" s="220">
        <f t="shared" si="36"/>
        <v>0</v>
      </c>
      <c r="AS59" s="220">
        <f t="shared" si="37"/>
        <v>0</v>
      </c>
      <c r="AT59" s="220">
        <f t="shared" si="38"/>
        <v>0</v>
      </c>
      <c r="AU59" s="220">
        <f t="shared" si="39"/>
        <v>0</v>
      </c>
      <c r="AV59" s="220">
        <f t="shared" si="40"/>
        <v>0</v>
      </c>
      <c r="AW59" s="220">
        <f t="shared" si="41"/>
        <v>0</v>
      </c>
      <c r="AX59" s="220">
        <f t="shared" si="42"/>
        <v>0</v>
      </c>
    </row>
    <row r="60" spans="3:50" ht="14.85" customHeight="1">
      <c r="C60" s="12" t="str">
        <f t="shared" si="5"/>
        <v>Can24</v>
      </c>
      <c r="D60" s="2">
        <f t="shared" si="6"/>
        <v>-74.3</v>
      </c>
      <c r="E60" s="43">
        <f t="shared" si="7"/>
        <v>11.5</v>
      </c>
      <c r="F60" s="120">
        <f t="shared" si="8"/>
        <v>110</v>
      </c>
      <c r="G60" s="120">
        <f t="shared" si="9"/>
        <v>61.399775218844987</v>
      </c>
      <c r="H60" s="120">
        <f t="shared" si="10"/>
        <v>58.586726393893855</v>
      </c>
      <c r="I60" s="120">
        <f t="shared" si="11"/>
        <v>0</v>
      </c>
      <c r="J60" s="120">
        <f>VLOOKUP(R60,'Steel grades'!$B$5:$J$22,IF(F60&gt;200,10,IF(F60&gt;150,9,IF(F60&gt;120,8,IF(F60&gt;100,7,IF(F60&gt;80,6,IF(F60&gt;63,5,IF(F60&gt;40,4,IF(F60&gt;16,3,2)))))))),FALSE)</f>
        <v>295</v>
      </c>
      <c r="K60" s="120">
        <f t="shared" si="12"/>
        <v>242.97624759789915</v>
      </c>
      <c r="L60" s="3">
        <f t="shared" si="13"/>
        <v>22.702550979907318</v>
      </c>
      <c r="M60" s="3">
        <f t="shared" si="14"/>
        <v>111.41875956487071</v>
      </c>
      <c r="N60" s="3">
        <f t="shared" si="15"/>
        <v>0.5258246153762216</v>
      </c>
      <c r="O60" s="3">
        <f t="shared" si="16"/>
        <v>0.40205084603692542</v>
      </c>
      <c r="P60" s="3">
        <f>(ABS(Geometry_loads!S41)/Z60+ABS(Geometry_loads!T41)/AA60)/(1000*J60)</f>
        <v>0.15430743425203614</v>
      </c>
      <c r="Q60" s="22">
        <f>IF(D60&gt;=$R$14,IF(P60&gt;0.75,"Redesign",IF(P60&lt;0.5,VLOOKUP(R60,'Steel grades'!$B$5:$AB$22,27,FALSE),(VLOOKUP(R60,'Steel grades'!$B$5:$AB$22,27,FALSE)-VLOOKUP(R60,'Steel grades'!$B$5:$AB$22,25,FALSE))/(0.5-0.75)*(P60-0.75)+VLOOKUP(R60,'Steel grades'!$B$5:$AB$22,25,FALSE))),IF(D60&lt;$R$2,IF(P60&gt;0.75,"Redesign",IF(P60&lt;0.5,VLOOKUP(R60,'Steel grades'!$B$5:$AB$22,18,FALSE),(VLOOKUP(R60,'Steel grades'!$B$5:$AB$22,18,FALSE)-VLOOKUP(R60,'Steel grades'!$B$5:$AB$22,11,FALSE))/(0.5-0.75)*(P60-0.75)+VLOOKUP(R60,'Steel grades'!$B$5:$AB$22,11,FALSE))),IF(P60&gt;0.75,"Redesign",IF(P60&lt;0.5,VLOOKUP(R60,'Steel grades'!$B$5:$AB$22,26,FALSE),(VLOOKUP(R60,'Steel grades'!$B$5:$AB$22,26,FALSE)-VLOOKUP(R60,'Steel grades'!$B$5:$AB$22,24,FALSE))/(0.5-0.75)*(P60-0.75)+VLOOKUP(R60,'Steel grades'!$B$5:$AB$22,24,FALSE)))))</f>
        <v>180</v>
      </c>
      <c r="R60" s="3" t="str">
        <f>Geometry!M49</f>
        <v>S355 NL/ML</v>
      </c>
      <c r="T60" s="3">
        <f>Geometry_loads!L41</f>
        <v>-73130.84</v>
      </c>
      <c r="U60" s="3">
        <f>Geometry_loads!M41</f>
        <v>63787.07</v>
      </c>
      <c r="V60" s="3">
        <f>Geometry_loads!N41</f>
        <v>479931.6124015667</v>
      </c>
      <c r="W60" s="3">
        <f>Geometry_loads!O41</f>
        <v>-109701.37940079664</v>
      </c>
      <c r="X60" s="3">
        <f t="shared" si="17"/>
        <v>0</v>
      </c>
      <c r="Y60" s="3">
        <f t="shared" si="18"/>
        <v>0</v>
      </c>
      <c r="Z60" s="18">
        <f t="shared" si="19"/>
        <v>3.936101435682664</v>
      </c>
      <c r="AA60" s="220">
        <f t="shared" si="20"/>
        <v>11.10187678024997</v>
      </c>
      <c r="AB60" s="220">
        <f t="shared" si="21"/>
        <v>5.6950000000000003</v>
      </c>
      <c r="AC60" s="120">
        <f t="shared" si="22"/>
        <v>110</v>
      </c>
      <c r="AD60" s="220">
        <f t="shared" si="23"/>
        <v>93.393951634629516</v>
      </c>
      <c r="AE60" s="220">
        <f t="shared" si="24"/>
        <v>0.3814576962910492</v>
      </c>
      <c r="AF60" s="220">
        <f t="shared" si="25"/>
        <v>0.38646113393155102</v>
      </c>
      <c r="AG60" s="220">
        <f t="shared" si="26"/>
        <v>0.26974009928578502</v>
      </c>
      <c r="AH60" s="220">
        <f t="shared" si="27"/>
        <v>0.90601312663623412</v>
      </c>
      <c r="AI60" s="220">
        <f t="shared" si="28"/>
        <v>49.945612155796113</v>
      </c>
      <c r="AJ60" s="220">
        <f t="shared" si="29"/>
        <v>2.4303137151788974</v>
      </c>
      <c r="AK60" s="220">
        <f t="shared" si="30"/>
        <v>8.4653579925078146E-2</v>
      </c>
      <c r="AL60" s="220">
        <f t="shared" si="31"/>
        <v>0.71959744993533081</v>
      </c>
      <c r="AM60" s="220">
        <f>IF(_xlfn.MINIFS(Geometry!$AJ$26:$AJ$32,Geometry!$AI$26:$AI$32,"o",Geometry!$AK$26:$AK$32,C29)&lt;=0,1,_xlfn.MINIFS(Geometry!$AJ$26:$AJ$32,Geometry!$AI$26:$AI$32,"o",Geometry!$AK$26:$AK$32,C29))</f>
        <v>1</v>
      </c>
      <c r="AN60" s="220">
        <f t="shared" si="32"/>
        <v>0</v>
      </c>
      <c r="AO60" s="220">
        <f t="shared" si="33"/>
        <v>0</v>
      </c>
      <c r="AP60" s="220">
        <f t="shared" si="34"/>
        <v>61.399775218844979</v>
      </c>
      <c r="AQ60" s="220">
        <f t="shared" si="35"/>
        <v>0</v>
      </c>
      <c r="AR60" s="220">
        <f t="shared" si="36"/>
        <v>0</v>
      </c>
      <c r="AS60" s="220">
        <f t="shared" si="37"/>
        <v>0</v>
      </c>
      <c r="AT60" s="220">
        <f t="shared" si="38"/>
        <v>0</v>
      </c>
      <c r="AU60" s="220">
        <f t="shared" si="39"/>
        <v>0</v>
      </c>
      <c r="AV60" s="220">
        <f t="shared" si="40"/>
        <v>0</v>
      </c>
      <c r="AW60" s="220">
        <f t="shared" si="41"/>
        <v>0</v>
      </c>
      <c r="AX60" s="220">
        <f t="shared" si="42"/>
        <v>0</v>
      </c>
    </row>
    <row r="61" spans="3:50" ht="14.85" customHeight="1">
      <c r="C61" s="12" t="str">
        <f t="shared" si="5"/>
        <v>Can25</v>
      </c>
      <c r="D61" s="2">
        <f t="shared" si="6"/>
        <v>-77.430000000000007</v>
      </c>
      <c r="E61" s="43">
        <f t="shared" si="7"/>
        <v>11.5</v>
      </c>
      <c r="F61" s="120">
        <f t="shared" si="8"/>
        <v>122</v>
      </c>
      <c r="G61" s="120">
        <f t="shared" si="9"/>
        <v>29.734214748138974</v>
      </c>
      <c r="H61" s="120">
        <f t="shared" si="10"/>
        <v>40.871764936284215</v>
      </c>
      <c r="I61" s="120">
        <f t="shared" si="11"/>
        <v>0</v>
      </c>
      <c r="J61" s="120">
        <f>VLOOKUP(R61,'Steel grades'!$B$5:$J$22,IF(F61&gt;200,10,IF(F61&gt;150,9,IF(F61&gt;120,8,IF(F61&gt;100,7,IF(F61&gt;80,6,IF(F61&gt;63,5,IF(F61&gt;40,4,IF(F61&gt;16,3,2)))))))),FALSE)</f>
        <v>295</v>
      </c>
      <c r="K61" s="120">
        <f t="shared" si="12"/>
        <v>242.2533986848679</v>
      </c>
      <c r="L61" s="3">
        <f t="shared" si="13"/>
        <v>26.531040048645732</v>
      </c>
      <c r="M61" s="3">
        <f t="shared" si="14"/>
        <v>117.41763726984632</v>
      </c>
      <c r="N61" s="3">
        <f t="shared" si="15"/>
        <v>0.34808880408957416</v>
      </c>
      <c r="O61" s="3">
        <f t="shared" si="16"/>
        <v>0.26028131056351156</v>
      </c>
      <c r="P61" s="3">
        <f>(ABS(Geometry_loads!S42)/Z61+ABS(Geometry_loads!T42)/AA61)/(1000*J61)</f>
        <v>7.4660962288108063E-2</v>
      </c>
      <c r="Q61" s="22">
        <f>IF(D61&gt;=$R$14,IF(P61&gt;0.75,"Redesign",IF(P61&lt;0.5,VLOOKUP(R61,'Steel grades'!$B$5:$AB$22,27,FALSE),(VLOOKUP(R61,'Steel grades'!$B$5:$AB$22,27,FALSE)-VLOOKUP(R61,'Steel grades'!$B$5:$AB$22,25,FALSE))/(0.5-0.75)*(P61-0.75)+VLOOKUP(R61,'Steel grades'!$B$5:$AB$22,25,FALSE))),IF(D61&lt;$R$2,IF(P61&gt;0.75,"Redesign",IF(P61&lt;0.5,VLOOKUP(R61,'Steel grades'!$B$5:$AB$22,18,FALSE),(VLOOKUP(R61,'Steel grades'!$B$5:$AB$22,18,FALSE)-VLOOKUP(R61,'Steel grades'!$B$5:$AB$22,11,FALSE))/(0.5-0.75)*(P61-0.75)+VLOOKUP(R61,'Steel grades'!$B$5:$AB$22,11,FALSE))),IF(P61&gt;0.75,"Redesign",IF(P61&lt;0.5,VLOOKUP(R61,'Steel grades'!$B$5:$AB$22,26,FALSE),(VLOOKUP(R61,'Steel grades'!$B$5:$AB$22,26,FALSE)-VLOOKUP(R61,'Steel grades'!$B$5:$AB$22,24,FALSE))/(0.5-0.75)*(P61-0.75)+VLOOKUP(R61,'Steel grades'!$B$5:$AB$22,24,FALSE)))))</f>
        <v>180</v>
      </c>
      <c r="R61" s="3" t="str">
        <f>Geometry!M50</f>
        <v>S355 NL/ML</v>
      </c>
      <c r="T61" s="3">
        <f>Geometry_loads!L42</f>
        <v>-73130.84</v>
      </c>
      <c r="U61" s="3">
        <f>Geometry_loads!M42</f>
        <v>63787.07</v>
      </c>
      <c r="V61" s="3">
        <f>Geometry_loads!N42</f>
        <v>160819.35215463999</v>
      </c>
      <c r="W61" s="3">
        <f>Geometry_loads!O42</f>
        <v>-83512.56229309729</v>
      </c>
      <c r="X61" s="3">
        <f t="shared" si="17"/>
        <v>0</v>
      </c>
      <c r="Y61" s="3">
        <f t="shared" si="18"/>
        <v>0</v>
      </c>
      <c r="Z61" s="18">
        <f t="shared" si="19"/>
        <v>4.3608950279304493</v>
      </c>
      <c r="AA61" s="220">
        <f t="shared" si="20"/>
        <v>12.274380676491754</v>
      </c>
      <c r="AB61" s="220">
        <f t="shared" si="21"/>
        <v>5.6890000000000001</v>
      </c>
      <c r="AC61" s="120">
        <f t="shared" si="22"/>
        <v>122</v>
      </c>
      <c r="AD61" s="220">
        <f t="shared" si="23"/>
        <v>88.728691306601746</v>
      </c>
      <c r="AE61" s="220">
        <f t="shared" si="24"/>
        <v>0.36494408529685818</v>
      </c>
      <c r="AF61" s="220">
        <f t="shared" si="25"/>
        <v>0.39731783114275282</v>
      </c>
      <c r="AG61" s="220">
        <f t="shared" si="26"/>
        <v>0.2436013828720231</v>
      </c>
      <c r="AH61" s="220">
        <f t="shared" si="27"/>
        <v>0.90331775780798207</v>
      </c>
      <c r="AI61" s="220">
        <f t="shared" si="28"/>
        <v>58.368288107020618</v>
      </c>
      <c r="AJ61" s="220">
        <f t="shared" si="29"/>
        <v>2.2481357403535447</v>
      </c>
      <c r="AK61" s="220">
        <f t="shared" si="30"/>
        <v>9.8929301876306136E-2</v>
      </c>
      <c r="AL61" s="220">
        <f t="shared" si="31"/>
        <v>0.75834116881923219</v>
      </c>
      <c r="AM61" s="220">
        <f>IF(_xlfn.MINIFS(Geometry!$AJ$26:$AJ$32,Geometry!$AI$26:$AI$32,"o",Geometry!$AK$26:$AK$32,C30)&lt;=0,1,_xlfn.MINIFS(Geometry!$AJ$26:$AJ$32,Geometry!$AI$26:$AI$32,"o",Geometry!$AK$26:$AK$32,C30))</f>
        <v>1</v>
      </c>
      <c r="AN61" s="220">
        <f t="shared" si="32"/>
        <v>0</v>
      </c>
      <c r="AO61" s="220">
        <f t="shared" si="33"/>
        <v>0</v>
      </c>
      <c r="AP61" s="220">
        <f t="shared" si="34"/>
        <v>29.734214748138974</v>
      </c>
      <c r="AQ61" s="220">
        <f t="shared" si="35"/>
        <v>0</v>
      </c>
      <c r="AR61" s="220">
        <f t="shared" si="36"/>
        <v>0</v>
      </c>
      <c r="AS61" s="220">
        <f t="shared" si="37"/>
        <v>0</v>
      </c>
      <c r="AT61" s="220">
        <f t="shared" si="38"/>
        <v>0</v>
      </c>
      <c r="AU61" s="220">
        <f t="shared" si="39"/>
        <v>0</v>
      </c>
      <c r="AV61" s="220">
        <f t="shared" si="40"/>
        <v>0</v>
      </c>
      <c r="AW61" s="220">
        <f t="shared" si="41"/>
        <v>0</v>
      </c>
      <c r="AX61" s="220">
        <f t="shared" si="42"/>
        <v>0</v>
      </c>
    </row>
    <row r="62" spans="3:50" ht="14.85" customHeight="1"/>
    <row r="63" spans="3:50">
      <c r="C63" s="35" t="s">
        <v>223</v>
      </c>
    </row>
    <row r="64" spans="3:50" ht="15" customHeight="1">
      <c r="C64" s="317" t="s">
        <v>222</v>
      </c>
      <c r="D64" s="317" t="s">
        <v>53</v>
      </c>
      <c r="E64" s="317" t="s">
        <v>105</v>
      </c>
      <c r="F64" s="317" t="s">
        <v>101</v>
      </c>
      <c r="G64" s="329" t="s">
        <v>98</v>
      </c>
      <c r="H64" s="329" t="s">
        <v>266</v>
      </c>
      <c r="I64" s="330" t="s">
        <v>102</v>
      </c>
      <c r="J64" s="317" t="s">
        <v>100</v>
      </c>
      <c r="K64" s="329" t="s">
        <v>94</v>
      </c>
      <c r="L64" s="329" t="s">
        <v>213</v>
      </c>
      <c r="M64" s="332" t="s">
        <v>214</v>
      </c>
      <c r="N64" s="317" t="s">
        <v>106</v>
      </c>
      <c r="O64" s="317" t="s">
        <v>107</v>
      </c>
      <c r="P64" s="317" t="s">
        <v>136</v>
      </c>
      <c r="Q64" s="317" t="s">
        <v>286</v>
      </c>
      <c r="R64" s="317" t="s">
        <v>108</v>
      </c>
      <c r="T64" s="317" t="s">
        <v>73</v>
      </c>
      <c r="U64" s="317" t="s">
        <v>78</v>
      </c>
      <c r="V64" s="317" t="s">
        <v>79</v>
      </c>
      <c r="W64" s="317" t="s">
        <v>80</v>
      </c>
      <c r="X64" s="317" t="s">
        <v>84</v>
      </c>
      <c r="Y64" s="317" t="s">
        <v>85</v>
      </c>
      <c r="Z64" s="317" t="s">
        <v>86</v>
      </c>
      <c r="AA64" s="317" t="s">
        <v>87</v>
      </c>
      <c r="AB64" s="317" t="s">
        <v>573</v>
      </c>
      <c r="AC64" s="317" t="s">
        <v>547</v>
      </c>
      <c r="AD64" s="317" t="s">
        <v>548</v>
      </c>
      <c r="AE64" s="328" t="s">
        <v>550</v>
      </c>
      <c r="AF64" s="317" t="s">
        <v>549</v>
      </c>
      <c r="AG64" s="328" t="s">
        <v>551</v>
      </c>
      <c r="AH64" s="328" t="s">
        <v>552</v>
      </c>
      <c r="AI64" s="317" t="s">
        <v>555</v>
      </c>
      <c r="AJ64" s="328" t="s">
        <v>556</v>
      </c>
      <c r="AK64" s="328" t="s">
        <v>553</v>
      </c>
      <c r="AL64" s="328" t="s">
        <v>554</v>
      </c>
      <c r="AM64" s="317" t="s">
        <v>97</v>
      </c>
      <c r="AN64" s="317" t="s">
        <v>202</v>
      </c>
      <c r="AO64" s="317" t="s">
        <v>203</v>
      </c>
      <c r="AP64" s="317" t="s">
        <v>567</v>
      </c>
      <c r="AQ64" s="317" t="s">
        <v>568</v>
      </c>
      <c r="AR64" s="317" t="s">
        <v>569</v>
      </c>
      <c r="AS64" s="317" t="s">
        <v>570</v>
      </c>
      <c r="AT64" s="317" t="s">
        <v>571</v>
      </c>
      <c r="AU64" s="317" t="s">
        <v>147</v>
      </c>
      <c r="AV64" s="317" t="s">
        <v>145</v>
      </c>
      <c r="AW64" s="317" t="s">
        <v>146</v>
      </c>
      <c r="AX64" s="317" t="s">
        <v>572</v>
      </c>
    </row>
    <row r="65" spans="3:50" ht="18.75" customHeight="1">
      <c r="C65" s="318">
        <v>0</v>
      </c>
      <c r="D65" s="318">
        <v>0</v>
      </c>
      <c r="E65" s="318"/>
      <c r="F65" s="318"/>
      <c r="G65" s="318"/>
      <c r="H65" s="318"/>
      <c r="I65" s="331"/>
      <c r="J65" s="318"/>
      <c r="K65" s="318"/>
      <c r="L65" s="318"/>
      <c r="M65" s="312"/>
      <c r="N65" s="318"/>
      <c r="O65" s="318"/>
      <c r="P65" s="318"/>
      <c r="Q65" s="318"/>
      <c r="R65" s="318"/>
      <c r="T65" s="318"/>
      <c r="U65" s="318"/>
      <c r="V65" s="318"/>
      <c r="W65" s="318"/>
      <c r="X65" s="318"/>
      <c r="Y65" s="318"/>
      <c r="Z65" s="318"/>
      <c r="AA65" s="318"/>
      <c r="AB65" s="318"/>
      <c r="AC65" s="318"/>
      <c r="AD65" s="318"/>
      <c r="AE65" s="318"/>
      <c r="AF65" s="318"/>
      <c r="AG65" s="318"/>
      <c r="AH65" s="318"/>
      <c r="AI65" s="318"/>
      <c r="AJ65" s="333"/>
      <c r="AK65" s="318"/>
      <c r="AL65" s="318"/>
      <c r="AM65" s="318"/>
      <c r="AN65" s="318"/>
      <c r="AO65" s="318"/>
      <c r="AP65" s="318"/>
      <c r="AQ65" s="318"/>
      <c r="AR65" s="318"/>
      <c r="AS65" s="318"/>
      <c r="AT65" s="318"/>
      <c r="AU65" s="318"/>
      <c r="AV65" s="318"/>
      <c r="AW65" s="318"/>
      <c r="AX65" s="318"/>
    </row>
    <row r="66" spans="3:50">
      <c r="C66" s="30" t="s">
        <v>16</v>
      </c>
      <c r="D66" s="30" t="str">
        <f>"[m"&amp;Control!$F$7&amp;"]"</f>
        <v>[mLAT]</v>
      </c>
      <c r="E66" s="30" t="s">
        <v>9</v>
      </c>
      <c r="F66" s="34" t="s">
        <v>10</v>
      </c>
      <c r="G66" s="34" t="s">
        <v>77</v>
      </c>
      <c r="H66" s="34" t="s">
        <v>77</v>
      </c>
      <c r="I66" s="34" t="s">
        <v>77</v>
      </c>
      <c r="J66" s="34" t="s">
        <v>77</v>
      </c>
      <c r="K66" s="34" t="s">
        <v>77</v>
      </c>
      <c r="L66" s="34" t="s">
        <v>77</v>
      </c>
      <c r="M66" s="30" t="s">
        <v>77</v>
      </c>
      <c r="N66" s="30" t="s">
        <v>16</v>
      </c>
      <c r="O66" s="30" t="s">
        <v>16</v>
      </c>
      <c r="P66" s="30" t="s">
        <v>16</v>
      </c>
      <c r="Q66" s="30" t="s">
        <v>10</v>
      </c>
      <c r="R66" s="30" t="s">
        <v>16</v>
      </c>
      <c r="T66" s="34" t="s">
        <v>81</v>
      </c>
      <c r="U66" s="34" t="s">
        <v>82</v>
      </c>
      <c r="V66" s="34" t="s">
        <v>83</v>
      </c>
      <c r="W66" s="34" t="s">
        <v>81</v>
      </c>
      <c r="X66" s="34" t="s">
        <v>88</v>
      </c>
      <c r="Y66" s="34" t="s">
        <v>88</v>
      </c>
      <c r="Z66" s="34" t="s">
        <v>89</v>
      </c>
      <c r="AA66" s="34" t="s">
        <v>90</v>
      </c>
      <c r="AB66" s="34" t="s">
        <v>541</v>
      </c>
      <c r="AC66" s="34" t="s">
        <v>10</v>
      </c>
      <c r="AD66" s="34" t="s">
        <v>16</v>
      </c>
      <c r="AE66" s="34" t="s">
        <v>16</v>
      </c>
      <c r="AF66" s="34" t="s">
        <v>16</v>
      </c>
      <c r="AG66" s="34" t="s">
        <v>16</v>
      </c>
      <c r="AH66" s="34" t="s">
        <v>16</v>
      </c>
      <c r="AI66" s="34" t="s">
        <v>16</v>
      </c>
      <c r="AJ66" s="34" t="s">
        <v>16</v>
      </c>
      <c r="AK66" s="34" t="s">
        <v>16</v>
      </c>
      <c r="AL66" s="34" t="s">
        <v>16</v>
      </c>
      <c r="AM66" s="34" t="s">
        <v>16</v>
      </c>
      <c r="AN66" s="34" t="s">
        <v>11</v>
      </c>
      <c r="AO66" s="34" t="s">
        <v>11</v>
      </c>
      <c r="AP66" s="30" t="s">
        <v>77</v>
      </c>
      <c r="AQ66" s="30" t="s">
        <v>77</v>
      </c>
      <c r="AR66" s="30" t="s">
        <v>77</v>
      </c>
      <c r="AS66" s="34" t="s">
        <v>16</v>
      </c>
      <c r="AT66" s="30" t="s">
        <v>77</v>
      </c>
      <c r="AU66" s="34" t="s">
        <v>16</v>
      </c>
      <c r="AV66" s="34" t="s">
        <v>16</v>
      </c>
      <c r="AW66" s="34" t="s">
        <v>16</v>
      </c>
      <c r="AX66" s="34" t="s">
        <v>16</v>
      </c>
    </row>
    <row r="67" spans="3:50" ht="15" customHeight="1">
      <c r="C67" s="12" t="str">
        <f>"Can"&amp;TEXT(C6,"0")</f>
        <v>Can1</v>
      </c>
      <c r="D67" s="2">
        <f>E6</f>
        <v>2.6</v>
      </c>
      <c r="E67" s="3">
        <f>G6</f>
        <v>8</v>
      </c>
      <c r="F67" s="120">
        <f>H6</f>
        <v>125</v>
      </c>
      <c r="G67" s="120">
        <f>ABS(T67/(2*PI()*AB67*AC67))+ABS(V67/(PI()*(AB67^2)*AC67))</f>
        <v>163.96361618669658</v>
      </c>
      <c r="H67" s="120">
        <f>ABS(W67/(PI()*AB67*AC67))+ABS(U67/(2*PI()*(AB67^2)*AC67))</f>
        <v>13.495364367130023</v>
      </c>
      <c r="I67" s="120">
        <f>IF(OR(D67&lt;$R$2,D67&gt;$W$6),0,IF(D67&lt;=$W$5,$W$7*AB67/(AC67/1000),$W$7*AB67/(AC67/1000)*($W$6-D67)/($W$6-$W$5)))</f>
        <v>5.9410568724927915</v>
      </c>
      <c r="J67" s="120">
        <f>VLOOKUP(R67,'Steel grades'!$B$5:$J$22,IF(F67&gt;200,10,IF(F67&gt;150,9,IF(F67&gt;120,8,IF(F67&gt;100,7,IF(F67&gt;80,6,IF(F67&gt;63,5,IF(F67&gt;40,4,IF(F67&gt;16,3,2)))))))),FALSE)</f>
        <v>295</v>
      </c>
      <c r="K67" s="3">
        <f>AH67*J67/$W$9*AM67</f>
        <v>256.47011337867946</v>
      </c>
      <c r="L67" s="3">
        <f>AK67*J67/$W$9</f>
        <v>29.139230068303767</v>
      </c>
      <c r="M67" s="3">
        <f>AL67*J67/$W$9/SQRT(3)</f>
        <v>129.12621197411025</v>
      </c>
      <c r="N67" s="3">
        <f>MAX(G67/K67,H67/M67,I67/L67,(G67/K67)^(1.25+0.75*AH67)-(AH67*AK67)^2*(G67/K67)*(I67/L67)+(I67/L67)^(1.25+0.75*AK67)+(H67/M67)^(1.75+0.25*AL67),AS67,AX67)</f>
        <v>0.65656259606365619</v>
      </c>
      <c r="O67" s="3">
        <f>MAX(SQRT(G67^2+I67^2-G67*I67+3*H67^2)/(J67/$W$10),AU67)</f>
        <v>0.55173717976254344</v>
      </c>
      <c r="P67" s="3">
        <f>(ABS(Geometry_loads!S19)/Z67+ABS(Geometry_loads!T19)/AA67)/(1000*J67)</f>
        <v>0.42598085441134448</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122.5</v>
      </c>
      <c r="R67" s="3" t="str">
        <f>Geometry!M26</f>
        <v>S355 NL/ML</v>
      </c>
      <c r="T67" s="3">
        <f>Geometry_loads!L19</f>
        <v>-53455.19</v>
      </c>
      <c r="U67" s="3">
        <f>Geometry_loads!M19</f>
        <v>63738.28</v>
      </c>
      <c r="V67" s="3">
        <f>Geometry_loads!N19</f>
        <v>863442.9</v>
      </c>
      <c r="W67" s="3">
        <f>Geometry_loads!O19</f>
        <v>12159.55</v>
      </c>
      <c r="X67" s="3">
        <f>X37</f>
        <v>3.5999999999999996</v>
      </c>
      <c r="Y67" s="120">
        <f>Y37</f>
        <v>0</v>
      </c>
      <c r="Z67" s="220">
        <f>PI()/4*((E67-2*X67/1000)^2-((E67-2*X67/1000)-2*(F67-X67-Y67)/1000)^2)</f>
        <v>3.002068114994854</v>
      </c>
      <c r="AA67" s="220">
        <f>PI()/32*((E67-2*X67/1000)^4-((E67-2*X67/1000)-2*(F67-X67-Y67)/1000)^4)/(E67-2*X67/1000)</f>
        <v>5.8192747362769106</v>
      </c>
      <c r="AB67" s="220">
        <f>(0.5*E67-(X67/1000))-(0.5*(AC67/1000))</f>
        <v>3.9356999999999998</v>
      </c>
      <c r="AC67" s="120">
        <f>F67-X67-Y67</f>
        <v>121.4</v>
      </c>
      <c r="AD67" s="220">
        <f>$R$4/SQRT(E67/2*F67/1000)</f>
        <v>104.53866653061918</v>
      </c>
      <c r="AE67" s="220">
        <f>(J67/((0.605*$W$2*IF(AD67&gt;0.5*(AB67)/(AC67/1000),MAX(0.6,1+0.2/$AC$7*(1-2*AD67*(AC67/1000)/(AB67))),IF(AD67&lt;=1.7,1.36-(1.83/AD67)+(2.07/AD67^2),1)))*((AC67/1000)/(AB67)/1000)))^0.5</f>
        <v>0.34383520117094563</v>
      </c>
      <c r="AF67" s="220">
        <f>0.62/(1+1.91*((((AB67)/(AC67/1000))^0.5*(AC67/1000)/$AC$4)/(AC67/1000))^1.44)</f>
        <v>0.43314273052893065</v>
      </c>
      <c r="AG67" s="220">
        <f>IF(AND((AB67)/(AC67/1000)&lt;=150,AD67&lt;=6*(AB67)/(AC67/1000),$W$2/(J67*1000)&lt;=1000,500&lt;=$W$2/(J67*1000)),0.2+0.1*(ABS(V67/(PI()*(AB67^2)*AC67))/G67),0.2)</f>
        <v>0.28914019948750297</v>
      </c>
      <c r="AH67" s="220">
        <f>IF(AE67&lt;=AG67,1,IF(AE67&gt;=(AF67/(1-0.6))^0.5,AF67/(AE67^2),1-0.6*((AE67-(AG67))/((AF67/(1-0.6))^0.5-AG67))))</f>
        <v>0.95632923632727951</v>
      </c>
      <c r="AI67" s="220">
        <f>IF(AD67/1.25&gt;1.63*((AB67)/(AC67/1000)),$W$2/1000*(AC67/(AB67*1000))^2*(0.275+2.03*(1.25/AD67*AB67*1000/AC67)^4),IF(AD67/1.25&lt;20,0.92*$W$2/1000*((1.25+(8/AD67^2)-(4/AD67^3))/AD67)*((AC67/1000)/(AB67)),0.92*$W$2/1000*(1.25/AD67)*((AC67/1000)/(AB67))))</f>
        <v>64.106306150268281</v>
      </c>
      <c r="AJ67" s="220">
        <f>SQRT(J67/AI67)</f>
        <v>2.1451646485960962</v>
      </c>
      <c r="AK67" s="220">
        <f>IF(AJ67&lt;0.4,1,IF(AJ67&lt;SQRT($AC$5/(1-0.6)),1-0.6*((AJ67-0.4)/(SQRT($AC$5/(1-0.6))-0.4)^1),$AC$5/AJ67^2))</f>
        <v>0.10865475618689541</v>
      </c>
      <c r="AL67" s="220">
        <f>IF(((J67/SQRT(3)/(0.75*$W$2*(IF(AD67&lt;10,SQRT(1+42/(AD67^3)),IF(AD67&gt;8.7*(AB67)/(AC67/1000),(1/3)*SQRT(AD67*(AC67/1000)/(AB67)),1)))*(1/AD67)^0.5*((AC67/1000)/(AB67))/1000))^0.5)&lt;=0.4,1,IF(((J67/SQRT(3)/(0.75*$W$2*(IF(AD67&lt;10,SQRT(1+42/(AD67^3)),IF(AD67&gt;8.7*(AB67)/(AC67/1000),(1/3)*SQRT(AD67*(AC67/1000)/(AB67)),1)))*(1/AD67)^0.5*((AC67/1000)/(AB67))/1000))^0.5)&gt;=($AC$6/(1-0.6))^0.5,$AC$6/(((J67/SQRT(3)/(0.75*$W$2*(IF(AD67&lt;10,SQRT(1+42/(AD67^3)),IF(AD67&gt;8.7*(AB67)/(AC67/1000),(1/3)*SQRT(AD67*(AC67/1000)/(AB67)),1)))*(1/AD67)^0.5*((AC67/1000)/(AB67))/1000))^0.5)^2),1-0.6*((((J67/SQRT(3)/(0.75*$W$2*(IF(AD67&lt;10,SQRT(1+42/(AD67^3)),IF(AD67&gt;8.7*(AB67)/(AC67/1000),(1/3)*SQRT(AD67*(AC67/1000)/(AB67)),1)))*(1/AD67)^0.5*((AC67/1000)/(AB67))/1000))^0.5)-(0.4))/(($AC$6/(1-0.6))^0.5-0.4))))</f>
        <v>0.83396093457923559</v>
      </c>
      <c r="AM67" s="220">
        <f>AM37</f>
        <v>1</v>
      </c>
      <c r="AN67" s="220">
        <f>IF(NOT(ISNUMBER(D68)),0,ABS(J6-J7))</f>
        <v>0</v>
      </c>
      <c r="AO67" s="220">
        <f>MAX(AN67,J12)</f>
        <v>3.5779650246316992</v>
      </c>
      <c r="AP67" s="220">
        <f>((ABS(T67/(PI()*((E67-2*X67/1000)-((AC67))/1000*COS(AO67*PI()/180))*(AC67)/1000))/1000)+ABS((4*V67)/(PI()*((E67-X67/1000)-((F67-X67-Y67)/1000)*COS(AO67*PI()/180))^2*((AC67)/1000))/1000))/COS(AO67*PI()/180)</f>
        <v>164.14064901591405</v>
      </c>
      <c r="AQ67" s="220">
        <f>((0.6*(F67-X67-Y67)*((E67*1000-2*X67)*(2*(AC67)))^0.5)/((AC67)^2))*(G67*TAN(AN67*PI()/180))</f>
        <v>0</v>
      </c>
      <c r="AR67" s="220">
        <f>IF(AN67=0,0,0.45*((E67*1000-2*X67)/(AC67))^0.5*G67*TAN(AN67*PI()/180)+I67)</f>
        <v>0</v>
      </c>
      <c r="AS67" s="220">
        <f>IF(AO67=0,0,1.18*AP67/IF(J67/(2*0.3*$W$2/1000*(AC67)/1000/(E67-2*X67/1000))&lt;=0.17,J67,(1.047-0.274*(J67/(2*0.3*$W$2/1000*(AC67)/1000/(E67-2*X67/1000))))*J67))</f>
        <v>0.65656259606365619</v>
      </c>
      <c r="AT67" s="220">
        <f>IF(AN67=0,0,MAX(G67+AQ67,AP67+AQ67))</f>
        <v>0</v>
      </c>
      <c r="AU67" s="220">
        <f>(AT67^2+AR67^2+AR67*AT67)^0.5/(J67/$W$10)</f>
        <v>0</v>
      </c>
      <c r="AV67" s="220">
        <f>1.1*AT67/J67</f>
        <v>0</v>
      </c>
      <c r="AW67" s="220">
        <f>1.25*AR67/IF(0.4*$W$2/1000*(AC67)/1000/(E67-2*X67/1000)/J67&gt;2.44,J67,IF(0.4*$W$2/1000*(AC67)/1000/(E67-2*X67/1000)/J67&lt;=0.55,0.4*$W$2/1000*(AC67)/1000/(E67-2*X67/1000),MIN(0.7*(0.4*$W$2/1000*(AC67)/1000/(E67-2*X67/1000)/J67)^0.4*J67,J67)))</f>
        <v>0</v>
      </c>
      <c r="AX67" s="220">
        <f>MAX(AV67^2+AW67^(2*(5-4*(IF(0.4*$W$2/1000*(AC67)/1000/(E67-2*(X67/1000))/J67&gt;2.44,J67,IF(0.4*$W$2/1000*(AC67)/1000/(E67-2*(X67/1000))/J67&lt;=0.55,0.4*$W$2/1000*(AC67)/1000/(E67-2*(X67/1000)),MIN(0.7*(0.4*$W$2/1000*(AC67)/1000/(E67-2*(X67/1000))/J67)^0.4*J67,J67)))/J67)))+2*0.3*AV67*AW67,AW67,AT67/(IF(J67/(2*0.3*$W$2/1000*(AC67)/1000/(E67-2*(X67/1000)))&lt;=0.17,J67,(1.047-0.274*(J67/(2*0.3*$W$2/1000*(AC67)/1000/(E67-2*(X67/1000)))))*J67)/1.18))</f>
        <v>0</v>
      </c>
    </row>
    <row r="68" spans="3:50">
      <c r="C68" s="12" t="str">
        <f t="shared" ref="C68:C91" si="43">"Can"&amp;TEXT(C7,"0")</f>
        <v>Can2</v>
      </c>
      <c r="D68" s="2">
        <f t="shared" ref="D68:D91" si="44">E7</f>
        <v>-0.6</v>
      </c>
      <c r="E68" s="3">
        <f t="shared" ref="E68:F68" si="45">G7</f>
        <v>8</v>
      </c>
      <c r="F68" s="120">
        <f t="shared" si="45"/>
        <v>116</v>
      </c>
      <c r="G68" s="120">
        <f t="shared" ref="G68:G91" si="46">ABS(T68/(2*PI()*AB68*AC68))+ABS(V68/(PI()*(AB68^2)*AC68))</f>
        <v>184.36987843490377</v>
      </c>
      <c r="H68" s="120">
        <f t="shared" ref="H68:H91" si="47">ABS(W68/(PI()*AB68*AC68))+ABS(U68/(2*PI()*(AB68^2)*AC68))</f>
        <v>14.550817639635031</v>
      </c>
      <c r="I68" s="120">
        <f t="shared" ref="I68:I91" si="48">IF(OR(D68&lt;$R$2,D68&gt;$W$6),0,IF(D68&lt;=$W$5,$W$7*AB68/(AC68/1000),$W$7*AB68/(AC68/1000)*($W$6-D68)/($W$6-$W$5)))</f>
        <v>6.5301436867032097</v>
      </c>
      <c r="J68" s="120">
        <f>VLOOKUP(R68,'Steel grades'!$B$5:$J$22,IF(F68&gt;200,10,IF(F68&gt;150,9,IF(F68&gt;120,8,IF(F68&gt;100,7,IF(F68&gt;80,6,IF(F68&gt;63,5,IF(F68&gt;40,4,IF(F68&gt;16,3,2)))))))),FALSE)</f>
        <v>295</v>
      </c>
      <c r="K68" s="3">
        <f t="shared" ref="K68:K91" si="49">AH68*J68/$W$9*AM68</f>
        <v>254.06384521464838</v>
      </c>
      <c r="L68" s="3">
        <f t="shared" ref="L68:L91" si="50">AK68*J68/$W$9</f>
        <v>25.004626134807015</v>
      </c>
      <c r="M68" s="3">
        <f t="shared" ref="M68:M91" si="51">AL68*J68/$W$9/SQRT(3)</f>
        <v>124.61450257657965</v>
      </c>
      <c r="N68" s="3">
        <f t="shared" ref="N68:N91" si="52">MAX(G68/K68,H68/M68,I68/L68,(G68/K68)^(1.25+0.75*AH68)-(AH68*AK68)^2*(G68/K68)*(I68/L68)+(I68/L68)^(1.25+0.75*AK68)+(H68/M68)^(1.75+0.25*AL68),AS68,AX68)</f>
        <v>0.73828269433515759</v>
      </c>
      <c r="O68" s="3">
        <f t="shared" ref="O68:O91" si="53">MAX(SQRT(G68^2+I68^2-G68*I68+3*H68^2)/(J68/$W$10),AU68)</f>
        <v>0.62012696140488699</v>
      </c>
      <c r="P68" s="3">
        <f>(ABS(Geometry_loads!S20)/Z68+ABS(Geometry_loads!T20)/AA68)/(1000*J68)</f>
        <v>0.47839547833838764</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Geometry!M27</f>
        <v>S355 NL/ML</v>
      </c>
      <c r="T68" s="3">
        <f>Geometry_loads!L20</f>
        <v>-56049.11</v>
      </c>
      <c r="U68" s="3">
        <f>Geometry_loads!M20</f>
        <v>63744.05</v>
      </c>
      <c r="V68" s="3">
        <f>Geometry_loads!N20</f>
        <v>884568</v>
      </c>
      <c r="W68" s="3">
        <f>Geometry_loads!O20</f>
        <v>11838.44</v>
      </c>
      <c r="X68" s="3">
        <f t="shared" ref="X68:Y68" si="54">X38</f>
        <v>3.5999999999999996</v>
      </c>
      <c r="Y68" s="120">
        <f t="shared" si="54"/>
        <v>1.7999999999999998</v>
      </c>
      <c r="Z68" s="220">
        <f t="shared" ref="Z68:Z91" si="55">PI()/4*((E68-2*X68/1000)^2-((E68-2*X68/1000)-2*(F68-X68-Y68)/1000)^2)</f>
        <v>2.7387503745222674</v>
      </c>
      <c r="AA68" s="220">
        <f t="shared" ref="AA68:AA91" si="56">PI()/32*((E68-2*X68/1000)^4-((E68-2*X68/1000)-2*(F68-X68-Y68)/1000)^4)/(E68-2*X68/1000)</f>
        <v>5.3232138250927097</v>
      </c>
      <c r="AB68" s="220">
        <f t="shared" ref="AB68:AB91" si="57">(0.5*E68-(X68/1000))-(0.5*(AC68/1000))</f>
        <v>3.9411</v>
      </c>
      <c r="AC68" s="120">
        <f t="shared" ref="AC68:AC91" si="58">F68-X68-Y68</f>
        <v>110.60000000000001</v>
      </c>
      <c r="AD68" s="220">
        <f t="shared" ref="AD68:AD91" si="59">$R$4/SQRT(E68/2*F68/1000)</f>
        <v>108.5182965663172</v>
      </c>
      <c r="AE68" s="220">
        <f t="shared" ref="AE68:AE91" si="60">(J68/((0.605*$W$2*IF(AD68&gt;0.5*(AB68)/(AC68/1000),MAX(0.6,1+0.2/$AC$7*(1-2*AD68*(AC68/1000)/(AB68))),IF(AD68&lt;=1.7,1.36-(1.83/AD68)+(2.07/AD68^2),1)))*((AC68/1000)/(AB68)/1000)))^0.5</f>
        <v>0.35389956725647814</v>
      </c>
      <c r="AF68" s="220">
        <f t="shared" ref="AF68:AF91" si="61">0.62/(1+1.91*((((AB68)/(AC68/1000))^0.5*(AC68/1000)/$AC$4)/(AC68/1000))^1.44)</f>
        <v>0.42413847283335099</v>
      </c>
      <c r="AG68" s="220">
        <f t="shared" ref="AG68:AG91" si="62">IF(AND((AB68)/(AC68/1000)&lt;=150,AD68&lt;=6*(AB68)/(AC68/1000),$W$2/(J68*1000)&lt;=1000,500&lt;=$W$2/(J68*1000)),0.2+0.1*(ABS(V68/(PI()*(AB68^2)*AC68))/G68),0.2)</f>
        <v>0.28889991507382834</v>
      </c>
      <c r="AH68" s="220">
        <f t="shared" ref="AH68:AH91" si="63">IF(AE68&lt;=AG68,1,IF(AE68&gt;=(AF68/(1-0.6))^0.5,AF68/(AE68^2),1-0.6*((AE68-(AG68))/((AF68/(1-0.6))^0.5-AG68))))</f>
        <v>0.9473567109698755</v>
      </c>
      <c r="AI68" s="220">
        <f t="shared" ref="AI68:AI91" si="64">IF(AD68/1.25&gt;1.63*((AB68)/(AC68/1000)),$W$2/1000*(AC68/(AB68*1000))^2*(0.275+2.03*(1.25/AD68*AB68*1000/AC68)^4),IF(AD68/1.25&lt;20,0.92*$W$2/1000*((1.25+(8/AD68^2)-(4/AD68^3))/AD68)*((AC68/1000)/(AB68)),0.92*$W$2/1000*(1.25/AD68)*((AC68/1000)/(AB68))))</f>
        <v>55.010177496575444</v>
      </c>
      <c r="AJ68" s="220">
        <f t="shared" ref="AJ68:AJ91" si="65">SQRT(J68/AI68)</f>
        <v>2.3157383338943918</v>
      </c>
      <c r="AK68" s="220">
        <f t="shared" ref="AK68:AK91" si="66">IF(AJ68&lt;0.4,1,IF(AJ68&lt;SQRT($AC$5/(1-0.6)),1-0.6*((AJ68-0.4)/(SQRT($AC$5/(1-0.6))-0.4)^1),$AC$5/AJ68^2))</f>
        <v>9.3237588977246502E-2</v>
      </c>
      <c r="AL68" s="220">
        <f t="shared" ref="AL68:AL91" si="67">IF(((J68/SQRT(3)/(0.75*$W$2*(IF(AD68&lt;10,SQRT(1+42/(AD68^3)),IF(AD68&gt;8.7*(AB68)/(AC68/1000),(1/3)*SQRT(AD68*(AC68/1000)/(AB68)),1)))*(1/AD68)^0.5*((AC68/1000)/(AB68))/1000))^0.5)&lt;=0.4,1,IF(((J68/SQRT(3)/(0.75*$W$2*(IF(AD68&lt;10,SQRT(1+42/(AD68^3)),IF(AD68&gt;8.7*(AB68)/(AC68/1000),(1/3)*SQRT(AD68*(AC68/1000)/(AB68)),1)))*(1/AD68)^0.5*((AC68/1000)/(AB68))/1000))^0.5)&gt;=($AC$6/(1-0.6))^0.5,$AC$6/(((J68/SQRT(3)/(0.75*$W$2*(IF(AD68&lt;10,SQRT(1+42/(AD68^3)),IF(AD68&gt;8.7*(AB68)/(AC68/1000),(1/3)*SQRT(AD68*(AC68/1000)/(AB68)),1)))*(1/AD68)^0.5*((AC68/1000)/(AB68))/1000))^0.5)^2),1-0.6*((((J68/SQRT(3)/(0.75*$W$2*(IF(AD68&lt;10,SQRT(1+42/(AD68^3)),IF(AD68&gt;8.7*(AB68)/(AC68/1000),(1/3)*SQRT(AD68*(AC68/1000)/(AB68)),1)))*(1/AD68)^0.5*((AC68/1000)/(AB68))/1000))^0.5)-(0.4))/(($AC$6/(1-0.6))^0.5-0.4))))</f>
        <v>0.80482208408411737</v>
      </c>
      <c r="AM68" s="220">
        <f t="shared" ref="AM68:AM91" si="68">AM38</f>
        <v>1</v>
      </c>
      <c r="AN68" s="220">
        <f t="shared" ref="AN68:AN91" si="69">IF(NOT(ISNUMBER(D69)),0,ABS(J7-J8))</f>
        <v>0</v>
      </c>
      <c r="AO68" s="220">
        <f t="shared" ref="AO68:AO91" si="70">MAX(AN68,J13)</f>
        <v>3.5787803472726605</v>
      </c>
      <c r="AP68" s="220">
        <f t="shared" ref="AP68:AP91" si="71">((ABS(T68/(PI()*((E68-2*X68/1000)-((AC68))/1000*COS(AO68*PI()/180))*(AC68)/1000))/1000)+ABS((4*V68)/(PI()*((E68-X68/1000)-((F68-X68-Y68)/1000)*COS(AO68*PI()/180))^2*((AC68)/1000))/1000))/COS(AO68*PI()/180)</f>
        <v>184.57067358378941</v>
      </c>
      <c r="AQ68" s="220">
        <f t="shared" ref="AQ68:AQ91" si="72">((0.6*(F68-X68-Y68)*((E68*1000-2*X68)*(2*(AC68)))^0.5)/((AC68)^2))*(G68*TAN(AN68*PI()/180))</f>
        <v>0</v>
      </c>
      <c r="AR68" s="220">
        <f t="shared" ref="AR68:AR91" si="73">IF(AN68=0,0,0.45*((E68*1000-2*X68)/(AC68))^0.5*G68*TAN(AN68*PI()/180)+I68)</f>
        <v>0</v>
      </c>
      <c r="AS68" s="220">
        <f t="shared" ref="AS68:AS91" si="74">IF(AO68=0,0,1.18*AP68/IF(J68/(2*0.3*$W$2/1000*(AC68)/1000/(E68-2*X68/1000))&lt;=0.17,J68,(1.047-0.274*(J68/(2*0.3*$W$2/1000*(AC68)/1000/(E68-2*X68/1000))))*J68))</f>
        <v>0.73828269433515759</v>
      </c>
      <c r="AT68" s="220">
        <f t="shared" ref="AT68:AT91" si="75">IF(AN68=0,0,MAX(G68+AQ68,AP68+AQ68))</f>
        <v>0</v>
      </c>
      <c r="AU68" s="220">
        <f t="shared" ref="AU68:AU91" si="76">(AT68^2+AR68^2+AR68*AT68)^0.5/(J68/$W$10)</f>
        <v>0</v>
      </c>
      <c r="AV68" s="220">
        <f t="shared" ref="AV68:AV91" si="77">1.1*AT68/J68</f>
        <v>0</v>
      </c>
      <c r="AW68" s="220">
        <f t="shared" ref="AW68:AW91" si="78">1.25*AR68/IF(0.4*$W$2/1000*(AC68)/1000/(E68-2*X68/1000)/J68&gt;2.44,J68,IF(0.4*$W$2/1000*(AC68)/1000/(E68-2*X68/1000)/J68&lt;=0.55,0.4*$W$2/1000*(AC68)/1000/(E68-2*X68/1000),MIN(0.7*(0.4*$W$2/1000*(AC68)/1000/(E68-2*X68/1000)/J68)^0.4*J68,J68)))</f>
        <v>0</v>
      </c>
      <c r="AX68" s="220">
        <f t="shared" ref="AX68:AX91" si="79">MAX(AV68^2+AW68^(2*(5-4*(IF(0.4*$W$2/1000*(AC68)/1000/(E68-2*(X68/1000))/J68&gt;2.44,J68,IF(0.4*$W$2/1000*(AC68)/1000/(E68-2*(X68/1000))/J68&lt;=0.55,0.4*$W$2/1000*(AC68)/1000/(E68-2*(X68/1000)),MIN(0.7*(0.4*$W$2/1000*(AC68)/1000/(E68-2*(X68/1000))/J68)^0.4*J68,J68)))/J68)))+2*0.3*AV68*AW68,AW68,AT68/(IF(J68/(2*0.3*$W$2/1000*(AC68)/1000/(E68-2*(X68/1000)))&lt;=0.17,J68,(1.047-0.274*(J68/(2*0.3*$W$2/1000*(AC68)/1000/(E68-2*(X68/1000)))))*J68)/1.18))</f>
        <v>0</v>
      </c>
    </row>
    <row r="69" spans="3:50">
      <c r="C69" s="12" t="str">
        <f t="shared" si="43"/>
        <v>Can3</v>
      </c>
      <c r="D69" s="2">
        <f t="shared" si="44"/>
        <v>-3.8</v>
      </c>
      <c r="E69" s="3">
        <f t="shared" ref="E69:F69" si="80">G8</f>
        <v>8</v>
      </c>
      <c r="F69" s="120">
        <f t="shared" si="80"/>
        <v>125</v>
      </c>
      <c r="G69" s="120">
        <f t="shared" si="46"/>
        <v>172.61677856554303</v>
      </c>
      <c r="H69" s="120">
        <f t="shared" si="47"/>
        <v>12.835819151218935</v>
      </c>
      <c r="I69" s="120">
        <f t="shared" si="48"/>
        <v>5.9410568724927915</v>
      </c>
      <c r="J69" s="120">
        <f>VLOOKUP(R69,'Steel grades'!$B$5:$J$22,IF(F69&gt;200,10,IF(F69&gt;150,9,IF(F69&gt;120,8,IF(F69&gt;100,7,IF(F69&gt;80,6,IF(F69&gt;63,5,IF(F69&gt;40,4,IF(F69&gt;16,3,2)))))))),FALSE)</f>
        <v>295</v>
      </c>
      <c r="K69" s="3">
        <f t="shared" si="49"/>
        <v>256.42873813799093</v>
      </c>
      <c r="L69" s="3">
        <f t="shared" si="50"/>
        <v>29.139230068303767</v>
      </c>
      <c r="M69" s="3">
        <f t="shared" si="51"/>
        <v>129.12621197411025</v>
      </c>
      <c r="N69" s="3">
        <f t="shared" si="52"/>
        <v>0.99241031234005672</v>
      </c>
      <c r="O69" s="3">
        <f t="shared" si="53"/>
        <v>0.92426873522513464</v>
      </c>
      <c r="P69" s="3">
        <f>(ABS(Geometry_loads!S21)/Z69+ABS(Geometry_loads!T21)/AA69)/(1000*J69)</f>
        <v>0.44845879563178465</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Geometry!M28</f>
        <v>S355 NL/ML</v>
      </c>
      <c r="T69" s="3">
        <f>Geometry_loads!L21</f>
        <v>-57356.5</v>
      </c>
      <c r="U69" s="3">
        <f>Geometry_loads!M21</f>
        <v>63749.38</v>
      </c>
      <c r="V69" s="3">
        <f>Geometry_loads!N21</f>
        <v>906885.3</v>
      </c>
      <c r="W69" s="3">
        <f>Geometry_loads!O21</f>
        <v>11168.14</v>
      </c>
      <c r="X69" s="3">
        <f t="shared" ref="X69:Y69" si="81">X39</f>
        <v>3.5999999999999996</v>
      </c>
      <c r="Y69" s="120">
        <f t="shared" si="81"/>
        <v>0</v>
      </c>
      <c r="Z69" s="220">
        <f t="shared" si="55"/>
        <v>3.002068114994854</v>
      </c>
      <c r="AA69" s="220">
        <f t="shared" si="56"/>
        <v>5.8192747362769106</v>
      </c>
      <c r="AB69" s="220">
        <f t="shared" si="57"/>
        <v>3.9356999999999998</v>
      </c>
      <c r="AC69" s="120">
        <f t="shared" si="58"/>
        <v>121.4</v>
      </c>
      <c r="AD69" s="220">
        <f t="shared" si="59"/>
        <v>104.53866653061918</v>
      </c>
      <c r="AE69" s="220">
        <f t="shared" si="60"/>
        <v>0.34383520117094563</v>
      </c>
      <c r="AF69" s="220">
        <f t="shared" si="61"/>
        <v>0.43314273052893065</v>
      </c>
      <c r="AG69" s="220">
        <f t="shared" si="62"/>
        <v>0.28893174661827048</v>
      </c>
      <c r="AH69" s="220">
        <f t="shared" si="63"/>
        <v>0.95617495576877976</v>
      </c>
      <c r="AI69" s="220">
        <f t="shared" si="64"/>
        <v>64.106306150268281</v>
      </c>
      <c r="AJ69" s="220">
        <f t="shared" si="65"/>
        <v>2.1451646485960962</v>
      </c>
      <c r="AK69" s="220">
        <f t="shared" si="66"/>
        <v>0.10865475618689541</v>
      </c>
      <c r="AL69" s="220">
        <f t="shared" si="67"/>
        <v>0.83396093457923559</v>
      </c>
      <c r="AM69" s="220">
        <f t="shared" si="68"/>
        <v>1</v>
      </c>
      <c r="AN69" s="220">
        <f t="shared" si="69"/>
        <v>3.5787803472726449</v>
      </c>
      <c r="AO69" s="220">
        <f t="shared" si="70"/>
        <v>3.5787803472726449</v>
      </c>
      <c r="AP69" s="220">
        <f t="shared" si="71"/>
        <v>172.803643946937</v>
      </c>
      <c r="AQ69" s="220">
        <f t="shared" si="72"/>
        <v>74.330508258538899</v>
      </c>
      <c r="AR69" s="220">
        <f t="shared" si="73"/>
        <v>45.360761701484442</v>
      </c>
      <c r="AS69" s="220">
        <f t="shared" si="74"/>
        <v>0.69121457578774803</v>
      </c>
      <c r="AT69" s="220">
        <f t="shared" si="75"/>
        <v>247.13415220547591</v>
      </c>
      <c r="AU69" s="220">
        <f t="shared" si="76"/>
        <v>0.92426873522513464</v>
      </c>
      <c r="AV69" s="220">
        <f t="shared" si="77"/>
        <v>0.92151717771533403</v>
      </c>
      <c r="AW69" s="220">
        <f t="shared" si="78"/>
        <v>0.19220661737917139</v>
      </c>
      <c r="AX69" s="220">
        <f t="shared" si="79"/>
        <v>0.99241031234005672</v>
      </c>
    </row>
    <row r="70" spans="3:50">
      <c r="C70" s="12" t="str">
        <f t="shared" si="43"/>
        <v>Can4</v>
      </c>
      <c r="D70" s="2">
        <f t="shared" si="44"/>
        <v>-7.3</v>
      </c>
      <c r="E70" s="3">
        <f t="shared" ref="E70:F70" si="82">G9</f>
        <v>8.4377999999999993</v>
      </c>
      <c r="F70" s="120">
        <f t="shared" si="82"/>
        <v>125</v>
      </c>
      <c r="G70" s="120">
        <f t="shared" si="46"/>
        <v>155.53174893416423</v>
      </c>
      <c r="H70" s="120">
        <f t="shared" si="47"/>
        <v>11.699085657161241</v>
      </c>
      <c r="I70" s="120">
        <f t="shared" si="48"/>
        <v>6.0935128723799998</v>
      </c>
      <c r="J70" s="120">
        <f>VLOOKUP(R70,'Steel grades'!$B$5:$J$22,IF(F70&gt;200,10,IF(F70&gt;150,9,IF(F70&gt;120,8,IF(F70&gt;100,7,IF(F70&gt;80,6,IF(F70&gt;63,5,IF(F70&gt;40,4,IF(F70&gt;16,3,2)))))))),FALSE)</f>
        <v>295</v>
      </c>
      <c r="K70" s="3">
        <f t="shared" si="49"/>
        <v>256.58488805410673</v>
      </c>
      <c r="L70" s="3">
        <f t="shared" si="50"/>
        <v>28.613976056279597</v>
      </c>
      <c r="M70" s="3">
        <f t="shared" si="51"/>
        <v>128.65935652596323</v>
      </c>
      <c r="N70" s="3">
        <f t="shared" si="52"/>
        <v>0.62330813006288921</v>
      </c>
      <c r="O70" s="3">
        <f t="shared" si="53"/>
        <v>0.53885222791685017</v>
      </c>
      <c r="P70" s="3">
        <f>(ABS(Geometry_loads!S22)/Z70+ABS(Geometry_loads!T22)/AA70)/(1000*J70)</f>
        <v>0.40389257198839179</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Geometry!M29</f>
        <v>S355 NL/ML</v>
      </c>
      <c r="T70" s="3">
        <f>Geometry_loads!L22</f>
        <v>-58854.57</v>
      </c>
      <c r="U70" s="3">
        <f>Geometry_loads!M22</f>
        <v>63754.91</v>
      </c>
      <c r="V70" s="3">
        <f>Geometry_loads!N22</f>
        <v>932837</v>
      </c>
      <c r="W70" s="3">
        <f>Geometry_loads!O22</f>
        <v>11425.93</v>
      </c>
      <c r="X70" s="3">
        <f t="shared" ref="X70:Y70" si="83">X40</f>
        <v>0</v>
      </c>
      <c r="Y70" s="120">
        <f t="shared" si="83"/>
        <v>0</v>
      </c>
      <c r="Z70" s="220">
        <f t="shared" si="55"/>
        <v>3.264428926345158</v>
      </c>
      <c r="AA70" s="220">
        <f t="shared" si="56"/>
        <v>6.6851453026913807</v>
      </c>
      <c r="AB70" s="220">
        <f t="shared" si="57"/>
        <v>4.1563999999999997</v>
      </c>
      <c r="AC70" s="120">
        <f t="shared" si="58"/>
        <v>125</v>
      </c>
      <c r="AD70" s="220">
        <f t="shared" si="59"/>
        <v>101.79052070074904</v>
      </c>
      <c r="AE70" s="220">
        <f t="shared" si="60"/>
        <v>0.34241266649339319</v>
      </c>
      <c r="AF70" s="220">
        <f t="shared" si="61"/>
        <v>0.43075264517302564</v>
      </c>
      <c r="AG70" s="220">
        <f t="shared" si="62"/>
        <v>0.28840811889851659</v>
      </c>
      <c r="AH70" s="220">
        <f t="shared" si="63"/>
        <v>0.95675720969327926</v>
      </c>
      <c r="AI70" s="220">
        <f t="shared" si="64"/>
        <v>62.950747323815129</v>
      </c>
      <c r="AJ70" s="220">
        <f t="shared" si="65"/>
        <v>2.1647640292745853</v>
      </c>
      <c r="AK70" s="220">
        <f t="shared" si="66"/>
        <v>0.10669618190477138</v>
      </c>
      <c r="AL70" s="220">
        <f t="shared" si="67"/>
        <v>0.83094575121795056</v>
      </c>
      <c r="AM70" s="220">
        <f t="shared" si="68"/>
        <v>1</v>
      </c>
      <c r="AN70" s="220">
        <f t="shared" si="69"/>
        <v>1.3766765505351941E-14</v>
      </c>
      <c r="AO70" s="220">
        <f t="shared" si="70"/>
        <v>3.5787803472726605</v>
      </c>
      <c r="AP70" s="220">
        <f t="shared" si="71"/>
        <v>155.82703251572204</v>
      </c>
      <c r="AQ70" s="220">
        <f t="shared" si="72"/>
        <v>2.6052787277893058E-13</v>
      </c>
      <c r="AR70" s="220">
        <f t="shared" si="73"/>
        <v>6.0935128723801384</v>
      </c>
      <c r="AS70" s="220">
        <f t="shared" si="74"/>
        <v>0.6233081300628881</v>
      </c>
      <c r="AT70" s="220">
        <f t="shared" si="75"/>
        <v>155.82703251572229</v>
      </c>
      <c r="AU70" s="220">
        <f t="shared" si="76"/>
        <v>0.53885222791685017</v>
      </c>
      <c r="AV70" s="220">
        <f t="shared" si="77"/>
        <v>0.58104995175354079</v>
      </c>
      <c r="AW70" s="220">
        <f t="shared" si="78"/>
        <v>2.5819969798220925E-2</v>
      </c>
      <c r="AX70" s="220">
        <f t="shared" si="79"/>
        <v>0.62330813006288921</v>
      </c>
    </row>
    <row r="71" spans="3:50">
      <c r="C71" s="12" t="str">
        <f t="shared" si="43"/>
        <v>Can5</v>
      </c>
      <c r="D71" s="2">
        <f t="shared" si="44"/>
        <v>-10.8</v>
      </c>
      <c r="E71" s="3">
        <f t="shared" ref="E71:F71" si="84">G10</f>
        <v>8.8756000000000004</v>
      </c>
      <c r="F71" s="120">
        <f t="shared" si="84"/>
        <v>106</v>
      </c>
      <c r="G71" s="120">
        <f t="shared" si="46"/>
        <v>170.80036209484351</v>
      </c>
      <c r="H71" s="120">
        <f t="shared" si="47"/>
        <v>13.404372964297256</v>
      </c>
      <c r="I71" s="120">
        <f t="shared" si="48"/>
        <v>7.5806131334433973</v>
      </c>
      <c r="J71" s="120">
        <f>VLOOKUP(R71,'Steel grades'!$B$5:$J$22,IF(F71&gt;200,10,IF(F71&gt;150,9,IF(F71&gt;120,8,IF(F71&gt;100,7,IF(F71&gt;80,6,IF(F71&gt;63,5,IF(F71&gt;40,4,IF(F71&gt;16,3,2)))))))),FALSE)</f>
        <v>295</v>
      </c>
      <c r="K71" s="3">
        <f t="shared" si="49"/>
        <v>250.95727922815672</v>
      </c>
      <c r="L71" s="3">
        <f t="shared" si="50"/>
        <v>21.34013561285807</v>
      </c>
      <c r="M71" s="3">
        <f t="shared" si="51"/>
        <v>118.41822596957094</v>
      </c>
      <c r="N71" s="3">
        <f t="shared" si="52"/>
        <v>0.74291467486402696</v>
      </c>
      <c r="O71" s="3">
        <f t="shared" si="53"/>
        <v>0.59334426301827892</v>
      </c>
      <c r="P71" s="3">
        <f>(ABS(Geometry_loads!S23)/Z71+ABS(Geometry_loads!T23)/AA71)/(1000*J71)</f>
        <v>0.44239470192656788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Geometry!M30</f>
        <v>S355 NL/ML</v>
      </c>
      <c r="T71" s="3">
        <f>Geometry_loads!L23</f>
        <v>-60141.599999999999</v>
      </c>
      <c r="U71" s="3">
        <f>Geometry_loads!M23</f>
        <v>63760.15</v>
      </c>
      <c r="V71" s="3">
        <f>Geometry_loads!N23</f>
        <v>961709.3</v>
      </c>
      <c r="W71" s="3">
        <f>Geometry_loads!O23</f>
        <v>12302.17</v>
      </c>
      <c r="X71" s="3">
        <f t="shared" ref="X71:Y71" si="85">X41</f>
        <v>0</v>
      </c>
      <c r="Y71" s="120">
        <f t="shared" si="85"/>
        <v>0</v>
      </c>
      <c r="Z71" s="220">
        <f t="shared" si="55"/>
        <v>2.9203541591016258</v>
      </c>
      <c r="AA71" s="220">
        <f t="shared" si="56"/>
        <v>6.3270435735436301</v>
      </c>
      <c r="AB71" s="220">
        <f t="shared" si="57"/>
        <v>4.3848000000000003</v>
      </c>
      <c r="AC71" s="120">
        <f t="shared" si="58"/>
        <v>106</v>
      </c>
      <c r="AD71" s="220">
        <f t="shared" si="59"/>
        <v>107.77676968651458</v>
      </c>
      <c r="AE71" s="220">
        <f t="shared" si="60"/>
        <v>0.36542503078716498</v>
      </c>
      <c r="AF71" s="220">
        <f t="shared" si="61"/>
        <v>0.40947246026067879</v>
      </c>
      <c r="AG71" s="220">
        <f t="shared" si="62"/>
        <v>0.28794268330650769</v>
      </c>
      <c r="AH71" s="220">
        <f t="shared" si="63"/>
        <v>0.9357729055965166</v>
      </c>
      <c r="AI71" s="220">
        <f t="shared" si="64"/>
        <v>46.94829834828775</v>
      </c>
      <c r="AJ71" s="220">
        <f t="shared" si="65"/>
        <v>2.5066926066248159</v>
      </c>
      <c r="AK71" s="220">
        <f t="shared" si="66"/>
        <v>7.9573387030996201E-2</v>
      </c>
      <c r="AL71" s="220">
        <f t="shared" si="67"/>
        <v>0.76480346546988487</v>
      </c>
      <c r="AM71" s="220">
        <f t="shared" si="68"/>
        <v>1</v>
      </c>
      <c r="AN71" s="220">
        <f t="shared" si="69"/>
        <v>1.3766765505351941E-14</v>
      </c>
      <c r="AO71" s="220">
        <f t="shared" si="70"/>
        <v>3.5600275600241904</v>
      </c>
      <c r="AP71" s="220">
        <f t="shared" si="71"/>
        <v>171.123092638386</v>
      </c>
      <c r="AQ71" s="220">
        <f t="shared" si="72"/>
        <v>3.1864730222079472E-13</v>
      </c>
      <c r="AR71" s="220">
        <f t="shared" si="73"/>
        <v>7.580613133443566</v>
      </c>
      <c r="AS71" s="220">
        <f t="shared" si="74"/>
        <v>0.68911966504757716</v>
      </c>
      <c r="AT71" s="220">
        <f t="shared" si="75"/>
        <v>171.12309263838631</v>
      </c>
      <c r="AU71" s="220">
        <f t="shared" si="76"/>
        <v>0.59334426301827892</v>
      </c>
      <c r="AV71" s="220">
        <f t="shared" si="77"/>
        <v>0.63808610814313549</v>
      </c>
      <c r="AW71" s="220">
        <f t="shared" si="78"/>
        <v>3.2121242090862569E-2</v>
      </c>
      <c r="AX71" s="220">
        <f t="shared" si="79"/>
        <v>0.68911966504757838</v>
      </c>
    </row>
    <row r="72" spans="3:50">
      <c r="C72" s="12" t="str">
        <f t="shared" si="43"/>
        <v>Can6</v>
      </c>
      <c r="D72" s="2">
        <f t="shared" si="44"/>
        <v>-14.3</v>
      </c>
      <c r="E72" s="3">
        <f t="shared" ref="E72:F72" si="86">G11</f>
        <v>9.3133999999999997</v>
      </c>
      <c r="F72" s="120">
        <f t="shared" si="86"/>
        <v>116</v>
      </c>
      <c r="G72" s="120">
        <f t="shared" si="46"/>
        <v>147.3384028257249</v>
      </c>
      <c r="H72" s="120">
        <f t="shared" si="47"/>
        <v>12.142523551192419</v>
      </c>
      <c r="I72" s="120">
        <f t="shared" si="48"/>
        <v>7.265031463270474</v>
      </c>
      <c r="J72" s="120">
        <f>VLOOKUP(R72,'Steel grades'!$B$5:$J$22,IF(F72&gt;200,10,IF(F72&gt;150,9,IF(F72&gt;120,8,IF(F72&gt;100,7,IF(F72&gt;80,6,IF(F72&gt;63,5,IF(F72&gt;40,4,IF(F72&gt;16,3,2)))))))),FALSE)</f>
        <v>295</v>
      </c>
      <c r="K72" s="3">
        <f t="shared" si="49"/>
        <v>215.7216970345323</v>
      </c>
      <c r="L72" s="3">
        <f t="shared" si="50"/>
        <v>23.968526005158861</v>
      </c>
      <c r="M72" s="3">
        <f t="shared" si="51"/>
        <v>121.7523245508872</v>
      </c>
      <c r="N72" s="3">
        <f t="shared" si="52"/>
        <v>0.69139123250494827</v>
      </c>
      <c r="O72" s="3">
        <f t="shared" si="53"/>
        <v>0.51227939061602434</v>
      </c>
      <c r="P72" s="3">
        <f>(ABS(Geometry_loads!S24)/Z72+ABS(Geometry_loads!T24)/AA72)/(1000*J72)</f>
        <v>0.38177248768267247</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Geometry!M31</f>
        <v>S355 NL/ML</v>
      </c>
      <c r="T72" s="3">
        <f>Geometry_loads!L24</f>
        <v>-61495.11</v>
      </c>
      <c r="U72" s="3">
        <f>Geometry_loads!M24</f>
        <v>63764.87</v>
      </c>
      <c r="V72" s="3">
        <f>Geometry_loads!N24</f>
        <v>994119.1</v>
      </c>
      <c r="W72" s="3">
        <f>Geometry_loads!O24</f>
        <v>13416.49</v>
      </c>
      <c r="X72" s="3">
        <f t="shared" ref="X72:Y72" si="87">X42</f>
        <v>0</v>
      </c>
      <c r="Y72" s="120">
        <f t="shared" si="87"/>
        <v>0</v>
      </c>
      <c r="Z72" s="220">
        <f t="shared" si="55"/>
        <v>3.3517601755666919</v>
      </c>
      <c r="AA72" s="220">
        <f t="shared" si="56"/>
        <v>7.6120900260910842</v>
      </c>
      <c r="AB72" s="220">
        <f t="shared" si="57"/>
        <v>4.5987</v>
      </c>
      <c r="AC72" s="120">
        <f t="shared" si="58"/>
        <v>116</v>
      </c>
      <c r="AD72" s="220">
        <f t="shared" si="59"/>
        <v>100.57587822974554</v>
      </c>
      <c r="AE72" s="220">
        <f t="shared" si="60"/>
        <v>0.35548917864985524</v>
      </c>
      <c r="AF72" s="220">
        <f t="shared" si="61"/>
        <v>0.41370811742886171</v>
      </c>
      <c r="AG72" s="220">
        <f t="shared" si="62"/>
        <v>0.28754763940557687</v>
      </c>
      <c r="AH72" s="220">
        <f t="shared" si="63"/>
        <v>0.94411501049568536</v>
      </c>
      <c r="AI72" s="220">
        <f t="shared" si="64"/>
        <v>52.730757211349498</v>
      </c>
      <c r="AJ72" s="220">
        <f t="shared" si="65"/>
        <v>2.3652606360015604</v>
      </c>
      <c r="AK72" s="220">
        <f t="shared" si="66"/>
        <v>8.9374164764999153E-2</v>
      </c>
      <c r="AL72" s="220">
        <f t="shared" si="67"/>
        <v>0.78633672294212686</v>
      </c>
      <c r="AM72" s="220">
        <f t="shared" si="68"/>
        <v>0.85199999999999998</v>
      </c>
      <c r="AN72" s="220">
        <f t="shared" si="69"/>
        <v>8.1532264094574813E-4</v>
      </c>
      <c r="AO72" s="220">
        <f t="shared" si="70"/>
        <v>8.1532264094574813E-4</v>
      </c>
      <c r="AP72" s="220">
        <f t="shared" si="71"/>
        <v>147.33840284028969</v>
      </c>
      <c r="AQ72" s="220">
        <f t="shared" si="72"/>
        <v>1.5940950359966774E-2</v>
      </c>
      <c r="AR72" s="220">
        <f t="shared" si="73"/>
        <v>7.273485428844042</v>
      </c>
      <c r="AS72" s="220">
        <f t="shared" si="74"/>
        <v>0.592020869604866</v>
      </c>
      <c r="AT72" s="220">
        <f t="shared" si="75"/>
        <v>147.35434379064966</v>
      </c>
      <c r="AU72" s="220">
        <f t="shared" si="76"/>
        <v>0.51227939061602434</v>
      </c>
      <c r="AV72" s="220">
        <f t="shared" si="77"/>
        <v>0.54945687515157504</v>
      </c>
      <c r="AW72" s="220">
        <f t="shared" si="78"/>
        <v>3.0819853512051024E-2</v>
      </c>
      <c r="AX72" s="220">
        <f t="shared" si="79"/>
        <v>0.59208492198437135</v>
      </c>
    </row>
    <row r="73" spans="3:50">
      <c r="C73" s="12" t="str">
        <f t="shared" si="43"/>
        <v>Can7</v>
      </c>
      <c r="D73" s="2">
        <f t="shared" si="44"/>
        <v>-17.8</v>
      </c>
      <c r="E73" s="3">
        <f t="shared" ref="E73:F73" si="88">G12</f>
        <v>9.7510999999999992</v>
      </c>
      <c r="F73" s="120">
        <f t="shared" si="88"/>
        <v>103</v>
      </c>
      <c r="G73" s="120">
        <f t="shared" si="46"/>
        <v>156.79794463911338</v>
      </c>
      <c r="H73" s="120">
        <f t="shared" si="47"/>
        <v>13.363121321111551</v>
      </c>
      <c r="I73" s="120">
        <f t="shared" si="48"/>
        <v>8.5829184388015776</v>
      </c>
      <c r="J73" s="120">
        <f>VLOOKUP(R73,'Steel grades'!$B$5:$J$22,IF(F73&gt;200,10,IF(F73&gt;150,9,IF(F73&gt;120,8,IF(F73&gt;100,7,IF(F73&gt;80,6,IF(F73&gt;63,5,IF(F73&gt;40,4,IF(F73&gt;16,3,2)))))))),FALSE)</f>
        <v>295</v>
      </c>
      <c r="K73" s="3">
        <f t="shared" si="49"/>
        <v>248.04082069346902</v>
      </c>
      <c r="L73" s="3">
        <f t="shared" si="50"/>
        <v>20.731934813565992</v>
      </c>
      <c r="M73" s="3">
        <f t="shared" si="51"/>
        <v>113.53366935289992</v>
      </c>
      <c r="N73" s="3">
        <f t="shared" si="52"/>
        <v>0.74023420415771113</v>
      </c>
      <c r="O73" s="3">
        <f t="shared" si="53"/>
        <v>0.54672702485557767</v>
      </c>
      <c r="P73" s="3">
        <f>(ABS(Geometry_loads!S25)/Z73+ABS(Geometry_loads!T25)/AA73)/(1000*J73)</f>
        <v>0.40560214648672699</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Geometry!M32</f>
        <v>S355 NL/ML</v>
      </c>
      <c r="T73" s="3">
        <f>Geometry_loads!L25</f>
        <v>-62946.1</v>
      </c>
      <c r="U73" s="3">
        <f>Geometry_loads!M25</f>
        <v>63769.31</v>
      </c>
      <c r="V73" s="3">
        <f>Geometry_loads!N25</f>
        <v>1028903.7000000001</v>
      </c>
      <c r="W73" s="3">
        <f>Geometry_loads!O25</f>
        <v>14250.120000000003</v>
      </c>
      <c r="X73" s="3">
        <f t="shared" ref="X73:Y73" si="89">X43</f>
        <v>0</v>
      </c>
      <c r="Y73" s="120">
        <f t="shared" si="89"/>
        <v>0</v>
      </c>
      <c r="Z73" s="220">
        <f t="shared" si="55"/>
        <v>3.1219712083532531</v>
      </c>
      <c r="AA73" s="220">
        <f t="shared" si="56"/>
        <v>7.4515801660461571</v>
      </c>
      <c r="AB73" s="220">
        <f t="shared" si="57"/>
        <v>4.8240499999999997</v>
      </c>
      <c r="AC73" s="120">
        <f t="shared" si="58"/>
        <v>103</v>
      </c>
      <c r="AD73" s="220">
        <f t="shared" si="59"/>
        <v>104.31134338818012</v>
      </c>
      <c r="AE73" s="220">
        <f t="shared" si="60"/>
        <v>0.37587886093463202</v>
      </c>
      <c r="AF73" s="220">
        <f t="shared" si="61"/>
        <v>0.39686848962967147</v>
      </c>
      <c r="AG73" s="220">
        <f t="shared" si="62"/>
        <v>0.28714122585597063</v>
      </c>
      <c r="AH73" s="220">
        <f t="shared" si="63"/>
        <v>0.92489797546717267</v>
      </c>
      <c r="AI73" s="220">
        <f t="shared" si="64"/>
        <v>45.610256589845179</v>
      </c>
      <c r="AJ73" s="220">
        <f t="shared" si="65"/>
        <v>2.5431955222763247</v>
      </c>
      <c r="AK73" s="220">
        <f t="shared" si="66"/>
        <v>7.7305519643805401E-2</v>
      </c>
      <c r="AL73" s="220">
        <f t="shared" si="67"/>
        <v>0.73325658324692555</v>
      </c>
      <c r="AM73" s="220">
        <f t="shared" si="68"/>
        <v>1</v>
      </c>
      <c r="AN73" s="220">
        <f t="shared" si="69"/>
        <v>8.1532264096129126E-4</v>
      </c>
      <c r="AO73" s="220">
        <f t="shared" si="70"/>
        <v>8.1532264096129126E-4</v>
      </c>
      <c r="AP73" s="220">
        <f t="shared" si="71"/>
        <v>156.79794465467157</v>
      </c>
      <c r="AQ73" s="220">
        <f t="shared" si="72"/>
        <v>1.842135944119418E-2</v>
      </c>
      <c r="AR73" s="220">
        <f t="shared" si="73"/>
        <v>8.5926878399362359</v>
      </c>
      <c r="AS73" s="220">
        <f t="shared" si="74"/>
        <v>0.6359243663506905</v>
      </c>
      <c r="AT73" s="220">
        <f t="shared" si="75"/>
        <v>156.81636601411276</v>
      </c>
      <c r="AU73" s="220">
        <f t="shared" si="76"/>
        <v>0.54672702485557767</v>
      </c>
      <c r="AV73" s="220">
        <f t="shared" si="77"/>
        <v>0.58473899191703071</v>
      </c>
      <c r="AW73" s="220">
        <f t="shared" si="78"/>
        <v>3.6409694237017946E-2</v>
      </c>
      <c r="AX73" s="220">
        <f t="shared" si="79"/>
        <v>0.63599907773390263</v>
      </c>
    </row>
    <row r="74" spans="3:50">
      <c r="C74" s="12" t="str">
        <f t="shared" si="43"/>
        <v>Can8</v>
      </c>
      <c r="D74" s="2">
        <f t="shared" si="44"/>
        <v>-21.3</v>
      </c>
      <c r="E74" s="3">
        <f t="shared" ref="E74:F74" si="90">G13</f>
        <v>10.1889</v>
      </c>
      <c r="F74" s="120">
        <f t="shared" si="90"/>
        <v>98</v>
      </c>
      <c r="G74" s="120">
        <f t="shared" si="46"/>
        <v>156.72169924708601</v>
      </c>
      <c r="H74" s="120">
        <f t="shared" si="47"/>
        <v>13.966700243273117</v>
      </c>
      <c r="I74" s="120">
        <f t="shared" si="48"/>
        <v>9.4348335079113514</v>
      </c>
      <c r="J74" s="120">
        <f>VLOOKUP(R74,'Steel grades'!$B$5:$J$22,IF(F74&gt;200,10,IF(F74&gt;150,9,IF(F74&gt;120,8,IF(F74&gt;100,7,IF(F74&gt;80,6,IF(F74&gt;63,5,IF(F74&gt;40,4,IF(F74&gt;16,3,2)))))))),FALSE)</f>
        <v>315</v>
      </c>
      <c r="K74" s="3">
        <f t="shared" si="49"/>
        <v>258.32348771419294</v>
      </c>
      <c r="L74" s="3">
        <f t="shared" si="50"/>
        <v>20.380759067266784</v>
      </c>
      <c r="M74" s="3">
        <f t="shared" si="51"/>
        <v>112.86409884557806</v>
      </c>
      <c r="N74" s="3">
        <f t="shared" si="52"/>
        <v>0.7652160286844566</v>
      </c>
      <c r="O74" s="3">
        <f t="shared" si="53"/>
        <v>0.51316112824270343</v>
      </c>
      <c r="P74" s="3">
        <f>(ABS(Geometry_loads!S26)/Z74+ABS(Geometry_loads!T26)/AA74)/(1000*J74)</f>
        <v>0.37935948597260744</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145</v>
      </c>
      <c r="R74" s="3" t="str">
        <f>Geometry!M33</f>
        <v>S355 NL/ML</v>
      </c>
      <c r="T74" s="3">
        <f>Geometry_loads!L26</f>
        <v>-64328.91</v>
      </c>
      <c r="U74" s="3">
        <f>Geometry_loads!M26</f>
        <v>63773.38</v>
      </c>
      <c r="V74" s="3">
        <f>Geometry_loads!N26</f>
        <v>1066017.1000000001</v>
      </c>
      <c r="W74" s="3">
        <f>Geometry_loads!O26</f>
        <v>15375.61</v>
      </c>
      <c r="X74" s="3">
        <f t="shared" ref="X74:Y74" si="91">X44</f>
        <v>0</v>
      </c>
      <c r="Y74" s="120">
        <f t="shared" si="91"/>
        <v>0</v>
      </c>
      <c r="Z74" s="220">
        <f t="shared" si="55"/>
        <v>3.1067467361947085</v>
      </c>
      <c r="AA74" s="220">
        <f t="shared" si="56"/>
        <v>7.7628165660553865</v>
      </c>
      <c r="AB74" s="220">
        <f t="shared" si="57"/>
        <v>5.0454499999999998</v>
      </c>
      <c r="AC74" s="120">
        <f t="shared" si="58"/>
        <v>98</v>
      </c>
      <c r="AD74" s="220">
        <f t="shared" si="59"/>
        <v>104.61651972792028</v>
      </c>
      <c r="AE74" s="220">
        <f t="shared" si="60"/>
        <v>0.40051754692939606</v>
      </c>
      <c r="AF74" s="220">
        <f t="shared" si="61"/>
        <v>0.38704661544566482</v>
      </c>
      <c r="AG74" s="220">
        <f t="shared" si="62"/>
        <v>0.28678791953126437</v>
      </c>
      <c r="AH74" s="220">
        <f t="shared" si="63"/>
        <v>0.90208202058924525</v>
      </c>
      <c r="AI74" s="220">
        <f t="shared" si="64"/>
        <v>44.837669947986925</v>
      </c>
      <c r="AJ74" s="220">
        <f t="shared" si="65"/>
        <v>2.6505363157747777</v>
      </c>
      <c r="AK74" s="220">
        <f t="shared" si="66"/>
        <v>7.1170904679344324E-2</v>
      </c>
      <c r="AL74" s="220">
        <f t="shared" si="67"/>
        <v>0.68265075843212308</v>
      </c>
      <c r="AM74" s="220">
        <f t="shared" si="68"/>
        <v>1</v>
      </c>
      <c r="AN74" s="220">
        <f t="shared" si="69"/>
        <v>1.5543122344752192E-14</v>
      </c>
      <c r="AO74" s="220">
        <f t="shared" si="70"/>
        <v>1.5543122344752192E-14</v>
      </c>
      <c r="AP74" s="220">
        <f t="shared" si="71"/>
        <v>156.72169924708604</v>
      </c>
      <c r="AQ74" s="220">
        <f t="shared" si="72"/>
        <v>3.6784226252475556E-13</v>
      </c>
      <c r="AR74" s="220">
        <f t="shared" si="73"/>
        <v>9.4348335079115468</v>
      </c>
      <c r="AS74" s="220">
        <f t="shared" si="74"/>
        <v>0.60165555441712559</v>
      </c>
      <c r="AT74" s="220">
        <f t="shared" si="75"/>
        <v>156.72169924708641</v>
      </c>
      <c r="AU74" s="220">
        <f t="shared" si="76"/>
        <v>0.51316112824270343</v>
      </c>
      <c r="AV74" s="220">
        <f t="shared" si="77"/>
        <v>0.54728212435490486</v>
      </c>
      <c r="AW74" s="220">
        <f t="shared" si="78"/>
        <v>3.7439815507585503E-2</v>
      </c>
      <c r="AX74" s="220">
        <f t="shared" si="79"/>
        <v>0.60165555441712693</v>
      </c>
    </row>
    <row r="75" spans="3:50">
      <c r="C75" s="12" t="str">
        <f t="shared" si="43"/>
        <v>Can9</v>
      </c>
      <c r="D75" s="2">
        <f t="shared" si="44"/>
        <v>-24.8</v>
      </c>
      <c r="E75" s="3">
        <f t="shared" ref="E75:F75" si="92">G14</f>
        <v>10.6267</v>
      </c>
      <c r="F75" s="120">
        <f t="shared" si="92"/>
        <v>98</v>
      </c>
      <c r="G75" s="120">
        <f t="shared" si="46"/>
        <v>149.95639171536223</v>
      </c>
      <c r="H75" s="120">
        <f t="shared" si="47"/>
        <v>13.782238808485799</v>
      </c>
      <c r="I75" s="120">
        <f t="shared" si="48"/>
        <v>9.844169653325892</v>
      </c>
      <c r="J75" s="120">
        <f>VLOOKUP(R75,'Steel grades'!$B$5:$J$22,IF(F75&gt;200,10,IF(F75&gt;150,9,IF(F75&gt;120,8,IF(F75&gt;100,7,IF(F75&gt;80,6,IF(F75&gt;63,5,IF(F75&gt;40,4,IF(F75&gt;16,3,2)))))))),FALSE)</f>
        <v>315</v>
      </c>
      <c r="K75" s="3">
        <f t="shared" si="49"/>
        <v>256.93748098384532</v>
      </c>
      <c r="L75" s="3">
        <f t="shared" si="50"/>
        <v>19.948537721094755</v>
      </c>
      <c r="M75" s="3">
        <f t="shared" si="51"/>
        <v>111.1291268219295</v>
      </c>
      <c r="N75" s="3">
        <f t="shared" si="52"/>
        <v>0.77080330839574174</v>
      </c>
      <c r="O75" s="3">
        <f t="shared" si="53"/>
        <v>0.49242202251218437</v>
      </c>
      <c r="P75" s="3">
        <f>(ABS(Geometry_loads!S27)/Z75+ABS(Geometry_loads!T27)/AA75)/(1000*J75)</f>
        <v>0.36287730784054667</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145</v>
      </c>
      <c r="R75" s="3" t="str">
        <f>Geometry!M34</f>
        <v>S355 NL/ML</v>
      </c>
      <c r="T75" s="3">
        <f>Geometry_loads!L27</f>
        <v>-65809.98</v>
      </c>
      <c r="U75" s="3">
        <f>Geometry_loads!M27</f>
        <v>63777.01</v>
      </c>
      <c r="V75" s="3">
        <f>Geometry_loads!N27</f>
        <v>1106247.6000000001</v>
      </c>
      <c r="W75" s="3">
        <f>Geometry_loads!O27</f>
        <v>16280.360000000002</v>
      </c>
      <c r="X75" s="3">
        <f t="shared" ref="X75:Y75" si="93">X45</f>
        <v>0</v>
      </c>
      <c r="Y75" s="120">
        <f t="shared" si="93"/>
        <v>0</v>
      </c>
      <c r="Z75" s="220">
        <f t="shared" si="55"/>
        <v>3.2415348840413793</v>
      </c>
      <c r="AA75" s="220">
        <f t="shared" si="56"/>
        <v>8.454334265601462</v>
      </c>
      <c r="AB75" s="220">
        <f t="shared" si="57"/>
        <v>5.2643499999999994</v>
      </c>
      <c r="AC75" s="120">
        <f t="shared" si="58"/>
        <v>98</v>
      </c>
      <c r="AD75" s="220">
        <f t="shared" si="59"/>
        <v>102.43885323486637</v>
      </c>
      <c r="AE75" s="220">
        <f t="shared" si="60"/>
        <v>0.40489423647240819</v>
      </c>
      <c r="AF75" s="220">
        <f t="shared" si="61"/>
        <v>0.38258303469422661</v>
      </c>
      <c r="AG75" s="220">
        <f t="shared" si="62"/>
        <v>0.28646132766914856</v>
      </c>
      <c r="AH75" s="220">
        <f t="shared" si="63"/>
        <v>0.89724199708644403</v>
      </c>
      <c r="AI75" s="220">
        <f t="shared" si="64"/>
        <v>43.88678298640847</v>
      </c>
      <c r="AJ75" s="220">
        <f t="shared" si="65"/>
        <v>2.6790967858140404</v>
      </c>
      <c r="AK75" s="220">
        <f t="shared" si="66"/>
        <v>6.9661560295886452E-2</v>
      </c>
      <c r="AL75" s="220">
        <f t="shared" si="67"/>
        <v>0.67215689918089494</v>
      </c>
      <c r="AM75" s="220">
        <f t="shared" si="68"/>
        <v>1</v>
      </c>
      <c r="AN75" s="220">
        <f t="shared" si="69"/>
        <v>1.5543122344752192E-14</v>
      </c>
      <c r="AO75" s="220">
        <f t="shared" si="70"/>
        <v>1.5543122344752192E-14</v>
      </c>
      <c r="AP75" s="220">
        <f t="shared" si="71"/>
        <v>149.95639171536226</v>
      </c>
      <c r="AQ75" s="220">
        <f t="shared" si="72"/>
        <v>3.5944548712594212E-13</v>
      </c>
      <c r="AR75" s="220">
        <f t="shared" si="73"/>
        <v>9.8441696533260821</v>
      </c>
      <c r="AS75" s="220">
        <f t="shared" si="74"/>
        <v>0.57749456885790329</v>
      </c>
      <c r="AT75" s="220">
        <f t="shared" si="75"/>
        <v>149.95639171536263</v>
      </c>
      <c r="AU75" s="220">
        <f t="shared" si="76"/>
        <v>0.49242202251218437</v>
      </c>
      <c r="AV75" s="220">
        <f t="shared" si="77"/>
        <v>0.52365724091079024</v>
      </c>
      <c r="AW75" s="220">
        <f t="shared" si="78"/>
        <v>3.9064165290976519E-2</v>
      </c>
      <c r="AX75" s="220">
        <f t="shared" si="79"/>
        <v>0.57749456885790473</v>
      </c>
    </row>
    <row r="76" spans="3:50">
      <c r="C76" s="12" t="str">
        <f t="shared" si="43"/>
        <v>Can10</v>
      </c>
      <c r="D76" s="2">
        <f t="shared" si="44"/>
        <v>-28.3</v>
      </c>
      <c r="E76" s="3">
        <f t="shared" ref="E76:F76" si="94">G15</f>
        <v>11.064500000000001</v>
      </c>
      <c r="F76" s="120">
        <f t="shared" si="94"/>
        <v>98</v>
      </c>
      <c r="G76" s="120">
        <f t="shared" si="46"/>
        <v>144.42378349101807</v>
      </c>
      <c r="H76" s="120">
        <f t="shared" si="47"/>
        <v>13.82700058716803</v>
      </c>
      <c r="I76" s="120">
        <f t="shared" si="48"/>
        <v>10.253505798740434</v>
      </c>
      <c r="J76" s="120">
        <f>VLOOKUP(R76,'Steel grades'!$B$5:$J$22,IF(F76&gt;200,10,IF(F76&gt;150,9,IF(F76&gt;120,8,IF(F76&gt;100,7,IF(F76&gt;80,6,IF(F76&gt;63,5,IF(F76&gt;40,4,IF(F76&gt;16,3,2)))))))),FALSE)</f>
        <v>315</v>
      </c>
      <c r="K76" s="3">
        <f t="shared" si="49"/>
        <v>255.50415410607926</v>
      </c>
      <c r="L76" s="3">
        <f t="shared" si="50"/>
        <v>19.542695311357082</v>
      </c>
      <c r="M76" s="3">
        <f t="shared" si="51"/>
        <v>109.43881241182406</v>
      </c>
      <c r="N76" s="3">
        <f t="shared" si="52"/>
        <v>0.78453681374896356</v>
      </c>
      <c r="O76" s="3">
        <f t="shared" si="53"/>
        <v>0.47734564628775072</v>
      </c>
      <c r="P76" s="3">
        <f>(ABS(Geometry_loads!S28)/Z76+ABS(Geometry_loads!T28)/AA76)/(1000*J76)</f>
        <v>0.34938820575783613</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145</v>
      </c>
      <c r="R76" s="3" t="str">
        <f>Geometry!M35</f>
        <v>S355 NL/ML</v>
      </c>
      <c r="T76" s="3">
        <f>Geometry_loads!L28</f>
        <v>-67288.149999999994</v>
      </c>
      <c r="U76" s="3">
        <f>Geometry_loads!M28</f>
        <v>63780.18</v>
      </c>
      <c r="V76" s="3">
        <f>Geometry_loads!N28</f>
        <v>1152396</v>
      </c>
      <c r="W76" s="3">
        <f>Geometry_loads!O28</f>
        <v>17526.3</v>
      </c>
      <c r="X76" s="3">
        <f t="shared" ref="X76:Y76" si="95">X46</f>
        <v>0</v>
      </c>
      <c r="Y76" s="120">
        <f t="shared" si="95"/>
        <v>0</v>
      </c>
      <c r="Z76" s="220">
        <f t="shared" si="55"/>
        <v>3.3763230318880497</v>
      </c>
      <c r="AA76" s="220">
        <f t="shared" si="56"/>
        <v>9.1753570443507115</v>
      </c>
      <c r="AB76" s="220">
        <f t="shared" si="57"/>
        <v>5.48325</v>
      </c>
      <c r="AC76" s="120">
        <f t="shared" si="58"/>
        <v>98</v>
      </c>
      <c r="AD76" s="220">
        <f t="shared" si="59"/>
        <v>100.39174926971545</v>
      </c>
      <c r="AE76" s="220">
        <f t="shared" si="60"/>
        <v>0.40945659368483101</v>
      </c>
      <c r="AF76" s="220">
        <f t="shared" si="61"/>
        <v>0.37827116847235309</v>
      </c>
      <c r="AG76" s="220">
        <f t="shared" si="62"/>
        <v>0.28620073742143548</v>
      </c>
      <c r="AH76" s="220">
        <f t="shared" si="63"/>
        <v>0.89223672862440373</v>
      </c>
      <c r="AI76" s="220">
        <f t="shared" si="64"/>
        <v>42.993929684985581</v>
      </c>
      <c r="AJ76" s="220">
        <f t="shared" si="65"/>
        <v>2.7067721911052698</v>
      </c>
      <c r="AK76" s="220">
        <f t="shared" si="66"/>
        <v>6.8244332833310453E-2</v>
      </c>
      <c r="AL76" s="220">
        <f t="shared" si="67"/>
        <v>0.66193314844129092</v>
      </c>
      <c r="AM76" s="220">
        <f t="shared" si="68"/>
        <v>1</v>
      </c>
      <c r="AN76" s="220">
        <f t="shared" si="69"/>
        <v>1.8752787248470071E-2</v>
      </c>
      <c r="AO76" s="220">
        <f t="shared" si="70"/>
        <v>1.8752787248470071E-2</v>
      </c>
      <c r="AP76" s="220">
        <f t="shared" si="71"/>
        <v>144.42379109792145</v>
      </c>
      <c r="AQ76" s="220">
        <f t="shared" si="72"/>
        <v>0.42618782077696749</v>
      </c>
      <c r="AR76" s="220">
        <f t="shared" si="73"/>
        <v>10.479526022338318</v>
      </c>
      <c r="AS76" s="220">
        <f t="shared" si="74"/>
        <v>0.55794332395522916</v>
      </c>
      <c r="AT76" s="220">
        <f t="shared" si="75"/>
        <v>144.84997891869841</v>
      </c>
      <c r="AU76" s="220">
        <f t="shared" si="76"/>
        <v>0.47734564628775072</v>
      </c>
      <c r="AV76" s="220">
        <f t="shared" si="77"/>
        <v>0.50582532320815321</v>
      </c>
      <c r="AW76" s="220">
        <f t="shared" si="78"/>
        <v>4.2124800169463843E-2</v>
      </c>
      <c r="AX76" s="220">
        <f t="shared" si="79"/>
        <v>0.55958978848538621</v>
      </c>
    </row>
    <row r="77" spans="3:50">
      <c r="C77" s="12" t="str">
        <f t="shared" si="43"/>
        <v>Can11</v>
      </c>
      <c r="D77" s="2">
        <f t="shared" si="44"/>
        <v>-31.8</v>
      </c>
      <c r="E77" s="3">
        <f t="shared" ref="E77:F77" si="96">G16</f>
        <v>11.5</v>
      </c>
      <c r="F77" s="120">
        <f t="shared" si="96"/>
        <v>98</v>
      </c>
      <c r="G77" s="120">
        <f t="shared" si="46"/>
        <v>139.79030165447693</v>
      </c>
      <c r="H77" s="120">
        <f t="shared" si="47"/>
        <v>13.755081826532265</v>
      </c>
      <c r="I77" s="120">
        <f t="shared" si="48"/>
        <v>10.660691480165816</v>
      </c>
      <c r="J77" s="120">
        <f>VLOOKUP(R77,'Steel grades'!$B$5:$J$22,IF(F77&gt;200,10,IF(F77&gt;150,9,IF(F77&gt;120,8,IF(F77&gt;100,7,IF(F77&gt;80,6,IF(F77&gt;63,5,IF(F77&gt;40,4,IF(F77&gt;16,3,2)))))))),FALSE)</f>
        <v>315</v>
      </c>
      <c r="K77" s="3">
        <f t="shared" si="49"/>
        <v>254.03347598904963</v>
      </c>
      <c r="L77" s="3">
        <f t="shared" si="50"/>
        <v>19.162602501769957</v>
      </c>
      <c r="M77" s="3">
        <f t="shared" si="51"/>
        <v>107.79884086131609</v>
      </c>
      <c r="N77" s="3">
        <f t="shared" si="52"/>
        <v>0.8525778253548757</v>
      </c>
      <c r="O77" s="3">
        <f t="shared" si="53"/>
        <v>0.7960966114932081</v>
      </c>
      <c r="P77" s="3">
        <f>(ABS(Geometry_loads!S29)/Z77+ABS(Geometry_loads!T29)/AA77)/(1000*J77)</f>
        <v>0.33809593340778071</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145</v>
      </c>
      <c r="R77" s="3" t="str">
        <f>Geometry!M36</f>
        <v>S355 NL/ML</v>
      </c>
      <c r="T77" s="3">
        <f>Geometry_loads!L29</f>
        <v>-68869.399999999994</v>
      </c>
      <c r="U77" s="3">
        <f>Geometry_loads!M29</f>
        <v>63782.91</v>
      </c>
      <c r="V77" s="3">
        <f>Geometry_loads!N29</f>
        <v>1202486</v>
      </c>
      <c r="W77" s="3">
        <f>Geometry_loads!O29</f>
        <v>18548.93</v>
      </c>
      <c r="X77" s="3">
        <f t="shared" ref="X77:Y77" si="97">X47</f>
        <v>0</v>
      </c>
      <c r="Y77" s="120">
        <f t="shared" si="97"/>
        <v>0</v>
      </c>
      <c r="Z77" s="220">
        <f t="shared" si="55"/>
        <v>3.5104030647506184</v>
      </c>
      <c r="AA77" s="220">
        <f t="shared" si="56"/>
        <v>9.9218648832041048</v>
      </c>
      <c r="AB77" s="220">
        <f t="shared" si="57"/>
        <v>5.7009999999999996</v>
      </c>
      <c r="AC77" s="120">
        <f t="shared" si="58"/>
        <v>98</v>
      </c>
      <c r="AD77" s="220">
        <f t="shared" si="59"/>
        <v>98.472507750177144</v>
      </c>
      <c r="AE77" s="220">
        <f t="shared" si="60"/>
        <v>0.41413378292376529</v>
      </c>
      <c r="AF77" s="220">
        <f t="shared" si="61"/>
        <v>0.37412331775784907</v>
      </c>
      <c r="AG77" s="220">
        <f t="shared" si="62"/>
        <v>0.28596565099715487</v>
      </c>
      <c r="AH77" s="220">
        <f t="shared" si="63"/>
        <v>0.88710102726334794</v>
      </c>
      <c r="AI77" s="220">
        <f t="shared" si="64"/>
        <v>42.157725503893907</v>
      </c>
      <c r="AJ77" s="220">
        <f t="shared" si="65"/>
        <v>2.7334849746623591</v>
      </c>
      <c r="AK77" s="220">
        <f t="shared" si="66"/>
        <v>6.6917024609355405E-2</v>
      </c>
      <c r="AL77" s="220">
        <f t="shared" si="67"/>
        <v>0.65201389303401447</v>
      </c>
      <c r="AM77" s="220">
        <f t="shared" si="68"/>
        <v>1</v>
      </c>
      <c r="AN77" s="220">
        <f t="shared" si="69"/>
        <v>3.5600275600241904</v>
      </c>
      <c r="AO77" s="220">
        <f t="shared" si="70"/>
        <v>3.5600275600241904</v>
      </c>
      <c r="AP77" s="220">
        <f t="shared" si="71"/>
        <v>140.05625784460074</v>
      </c>
      <c r="AQ77" s="220">
        <f t="shared" si="72"/>
        <v>79.940947591889611</v>
      </c>
      <c r="AR77" s="220">
        <f t="shared" si="73"/>
        <v>53.055781082693485</v>
      </c>
      <c r="AS77" s="220">
        <f t="shared" si="74"/>
        <v>0.54277443890060173</v>
      </c>
      <c r="AT77" s="220">
        <f t="shared" si="75"/>
        <v>219.99720543649033</v>
      </c>
      <c r="AU77" s="220">
        <f t="shared" si="76"/>
        <v>0.7960966114932081</v>
      </c>
      <c r="AV77" s="220">
        <f t="shared" si="77"/>
        <v>0.76824420946076</v>
      </c>
      <c r="AW77" s="220">
        <f t="shared" si="78"/>
        <v>0.21658847564087963</v>
      </c>
      <c r="AX77" s="220">
        <f t="shared" si="79"/>
        <v>0.8525778253548757</v>
      </c>
    </row>
    <row r="78" spans="3:50">
      <c r="C78" s="12" t="str">
        <f t="shared" si="43"/>
        <v>Can12</v>
      </c>
      <c r="D78" s="2">
        <f t="shared" si="44"/>
        <v>-35.299999999999997</v>
      </c>
      <c r="E78" s="3">
        <f t="shared" ref="E78:F78" si="98">G17</f>
        <v>11.5</v>
      </c>
      <c r="F78" s="120">
        <f t="shared" si="98"/>
        <v>98</v>
      </c>
      <c r="G78" s="120">
        <f t="shared" si="46"/>
        <v>145.59944276464685</v>
      </c>
      <c r="H78" s="120">
        <f t="shared" si="47"/>
        <v>14.561489330322072</v>
      </c>
      <c r="I78" s="120">
        <f t="shared" si="48"/>
        <v>10.660691480165816</v>
      </c>
      <c r="J78" s="120">
        <f>VLOOKUP(R78,'Steel grades'!$B$5:$J$22,IF(F78&gt;200,10,IF(F78&gt;150,9,IF(F78&gt;120,8,IF(F78&gt;100,7,IF(F78&gt;80,6,IF(F78&gt;63,5,IF(F78&gt;40,4,IF(F78&gt;16,3,2)))))))),FALSE)</f>
        <v>315</v>
      </c>
      <c r="K78" s="3">
        <f t="shared" si="49"/>
        <v>214.95284053824815</v>
      </c>
      <c r="L78" s="3">
        <f t="shared" si="50"/>
        <v>19.162602501769957</v>
      </c>
      <c r="M78" s="3">
        <f t="shared" si="51"/>
        <v>107.79884086131609</v>
      </c>
      <c r="N78" s="3">
        <f t="shared" si="52"/>
        <v>0.96109603783161168</v>
      </c>
      <c r="O78" s="3">
        <f t="shared" si="53"/>
        <v>0.45338811028898401</v>
      </c>
      <c r="P78" s="3">
        <f>(ABS(Geometry_loads!S30)/Z78+ABS(Geometry_loads!T30)/AA78)/(1000*J78)</f>
        <v>0.35222266321459017</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145</v>
      </c>
      <c r="R78" s="3" t="str">
        <f>Geometry!M37</f>
        <v>S355 NL/ML</v>
      </c>
      <c r="T78" s="3">
        <f>Geometry_loads!L30</f>
        <v>-70536.34</v>
      </c>
      <c r="U78" s="3">
        <f>Geometry_loads!M30</f>
        <v>63785.05</v>
      </c>
      <c r="V78" s="3">
        <f>Geometry_loads!N30</f>
        <v>1255863</v>
      </c>
      <c r="W78" s="3">
        <f>Geometry_loads!O30</f>
        <v>19964.150000000001</v>
      </c>
      <c r="X78" s="3">
        <f t="shared" ref="X78:Y78" si="99">X48</f>
        <v>0</v>
      </c>
      <c r="Y78" s="120">
        <f t="shared" si="99"/>
        <v>0</v>
      </c>
      <c r="Z78" s="220">
        <f t="shared" si="55"/>
        <v>3.5104030647506184</v>
      </c>
      <c r="AA78" s="220">
        <f t="shared" si="56"/>
        <v>9.9218648832041048</v>
      </c>
      <c r="AB78" s="220">
        <f t="shared" si="57"/>
        <v>5.7009999999999996</v>
      </c>
      <c r="AC78" s="120">
        <f t="shared" si="58"/>
        <v>98</v>
      </c>
      <c r="AD78" s="220">
        <f t="shared" si="59"/>
        <v>98.472507750177144</v>
      </c>
      <c r="AE78" s="220">
        <f t="shared" si="60"/>
        <v>0.41413378292376529</v>
      </c>
      <c r="AF78" s="220">
        <f t="shared" si="61"/>
        <v>0.37412331775784907</v>
      </c>
      <c r="AG78" s="220">
        <f t="shared" si="62"/>
        <v>0.28619945545374431</v>
      </c>
      <c r="AH78" s="220">
        <f t="shared" si="63"/>
        <v>0.88726828245740186</v>
      </c>
      <c r="AI78" s="220">
        <f t="shared" si="64"/>
        <v>42.157725503893907</v>
      </c>
      <c r="AJ78" s="220">
        <f t="shared" si="65"/>
        <v>2.7334849746623591</v>
      </c>
      <c r="AK78" s="220">
        <f t="shared" si="66"/>
        <v>6.6917024609355405E-2</v>
      </c>
      <c r="AL78" s="220">
        <f t="shared" si="67"/>
        <v>0.65201389303401447</v>
      </c>
      <c r="AM78" s="220">
        <f t="shared" si="68"/>
        <v>0.84599999999999997</v>
      </c>
      <c r="AN78" s="220">
        <f t="shared" si="69"/>
        <v>0</v>
      </c>
      <c r="AO78" s="220">
        <f t="shared" si="70"/>
        <v>0</v>
      </c>
      <c r="AP78" s="220">
        <f t="shared" si="71"/>
        <v>145.59944276464685</v>
      </c>
      <c r="AQ78" s="220">
        <f t="shared" si="72"/>
        <v>0</v>
      </c>
      <c r="AR78" s="220">
        <f t="shared" si="73"/>
        <v>0</v>
      </c>
      <c r="AS78" s="220">
        <f t="shared" si="74"/>
        <v>0</v>
      </c>
      <c r="AT78" s="220">
        <f t="shared" si="75"/>
        <v>0</v>
      </c>
      <c r="AU78" s="220">
        <f t="shared" si="76"/>
        <v>0</v>
      </c>
      <c r="AV78" s="220">
        <f t="shared" si="77"/>
        <v>0</v>
      </c>
      <c r="AW78" s="220">
        <f t="shared" si="78"/>
        <v>0</v>
      </c>
      <c r="AX78" s="220">
        <f t="shared" si="79"/>
        <v>0</v>
      </c>
    </row>
    <row r="79" spans="3:50">
      <c r="C79" s="12" t="str">
        <f t="shared" si="43"/>
        <v>Can13</v>
      </c>
      <c r="D79" s="2">
        <f t="shared" si="44"/>
        <v>-38.6</v>
      </c>
      <c r="E79" s="3">
        <f t="shared" ref="E79:F79" si="100">G18</f>
        <v>11.5</v>
      </c>
      <c r="F79" s="120">
        <f t="shared" si="100"/>
        <v>100</v>
      </c>
      <c r="G79" s="120">
        <f t="shared" si="46"/>
        <v>148.36027965913129</v>
      </c>
      <c r="H79" s="120">
        <f t="shared" si="47"/>
        <v>14.849934580820054</v>
      </c>
      <c r="I79" s="120">
        <f t="shared" si="48"/>
        <v>10.445645081250001</v>
      </c>
      <c r="J79" s="120">
        <f>VLOOKUP(R79,'Steel grades'!$B$5:$J$22,IF(F79&gt;200,10,IF(F79&gt;150,9,IF(F79&gt;120,8,IF(F79&gt;100,7,IF(F79&gt;80,6,IF(F79&gt;63,5,IF(F79&gt;40,4,IF(F79&gt;16,3,2)))))))),FALSE)</f>
        <v>315</v>
      </c>
      <c r="K79" s="3">
        <f t="shared" si="49"/>
        <v>255.17557405777117</v>
      </c>
      <c r="L79" s="3">
        <f t="shared" si="50"/>
        <v>19.755660886661051</v>
      </c>
      <c r="M79" s="3">
        <f t="shared" si="51"/>
        <v>109.2238820892974</v>
      </c>
      <c r="N79" s="3">
        <f t="shared" si="52"/>
        <v>0.81032433050749053</v>
      </c>
      <c r="O79" s="3">
        <f t="shared" si="53"/>
        <v>0.46257494529971538</v>
      </c>
      <c r="P79" s="3">
        <f>(ABS(Geometry_loads!S31)/Z79+ABS(Geometry_loads!T31)/AA79)/(1000*J79)</f>
        <v>0.35903927287355197</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145</v>
      </c>
      <c r="R79" s="3" t="str">
        <f>Geometry!M38</f>
        <v>S355 NL/ML</v>
      </c>
      <c r="T79" s="3">
        <f>Geometry_loads!L31</f>
        <v>-72040.395142857145</v>
      </c>
      <c r="U79" s="3">
        <f>Geometry_loads!M31</f>
        <v>63786.379428571425</v>
      </c>
      <c r="V79" s="3">
        <f>Geometry_loads!N31</f>
        <v>1309003.3714285714</v>
      </c>
      <c r="W79" s="3">
        <f>Geometry_loads!O31</f>
        <v>20996.597428571429</v>
      </c>
      <c r="X79" s="3">
        <f t="shared" ref="X79:Y79" si="101">X49</f>
        <v>0</v>
      </c>
      <c r="Y79" s="120">
        <f t="shared" si="101"/>
        <v>0</v>
      </c>
      <c r="Z79" s="220">
        <f t="shared" si="55"/>
        <v>3.5814156250923546</v>
      </c>
      <c r="AA79" s="220">
        <f t="shared" si="56"/>
        <v>10.119056278114197</v>
      </c>
      <c r="AB79" s="220">
        <f t="shared" si="57"/>
        <v>5.7</v>
      </c>
      <c r="AC79" s="120">
        <f t="shared" si="58"/>
        <v>100</v>
      </c>
      <c r="AD79" s="220">
        <f t="shared" si="59"/>
        <v>97.482809186833165</v>
      </c>
      <c r="AE79" s="220">
        <f t="shared" si="60"/>
        <v>0.41050498668555124</v>
      </c>
      <c r="AF79" s="220">
        <f t="shared" si="61"/>
        <v>0.37629687437838422</v>
      </c>
      <c r="AG79" s="220">
        <f t="shared" si="62"/>
        <v>0.28644174746036072</v>
      </c>
      <c r="AH79" s="220">
        <f t="shared" si="63"/>
        <v>0.8910893062334867</v>
      </c>
      <c r="AI79" s="220">
        <f t="shared" si="64"/>
        <v>43.462453950654314</v>
      </c>
      <c r="AJ79" s="220">
        <f t="shared" si="65"/>
        <v>2.6921431878506463</v>
      </c>
      <c r="AK79" s="220">
        <f t="shared" si="66"/>
        <v>6.8988022143895739E-2</v>
      </c>
      <c r="AL79" s="220">
        <f t="shared" si="67"/>
        <v>0.66063315713153314</v>
      </c>
      <c r="AM79" s="220">
        <f t="shared" si="68"/>
        <v>1</v>
      </c>
      <c r="AN79" s="220">
        <f t="shared" si="69"/>
        <v>0</v>
      </c>
      <c r="AO79" s="220">
        <f t="shared" si="70"/>
        <v>0</v>
      </c>
      <c r="AP79" s="220">
        <f t="shared" si="71"/>
        <v>148.36027965913129</v>
      </c>
      <c r="AQ79" s="220">
        <f t="shared" si="72"/>
        <v>0</v>
      </c>
      <c r="AR79" s="220">
        <f t="shared" si="73"/>
        <v>0</v>
      </c>
      <c r="AS79" s="220">
        <f t="shared" si="74"/>
        <v>0</v>
      </c>
      <c r="AT79" s="220">
        <f t="shared" si="75"/>
        <v>0</v>
      </c>
      <c r="AU79" s="220">
        <f t="shared" si="76"/>
        <v>0</v>
      </c>
      <c r="AV79" s="220">
        <f t="shared" si="77"/>
        <v>0</v>
      </c>
      <c r="AW79" s="220">
        <f t="shared" si="78"/>
        <v>0</v>
      </c>
      <c r="AX79" s="220">
        <f t="shared" si="79"/>
        <v>0</v>
      </c>
    </row>
    <row r="80" spans="3:50">
      <c r="C80" s="12" t="str">
        <f t="shared" si="43"/>
        <v>Can14</v>
      </c>
      <c r="D80" s="2">
        <f t="shared" si="44"/>
        <v>-41.9</v>
      </c>
      <c r="E80" s="3">
        <f t="shared" ref="E80:F80" si="102">G19</f>
        <v>11.5</v>
      </c>
      <c r="F80" s="120">
        <f t="shared" si="102"/>
        <v>98</v>
      </c>
      <c r="G80" s="120">
        <f t="shared" si="46"/>
        <v>157.32262743400398</v>
      </c>
      <c r="H80" s="120">
        <f t="shared" si="47"/>
        <v>15.763942590222765</v>
      </c>
      <c r="I80" s="120">
        <f t="shared" si="48"/>
        <v>10.660691480165816</v>
      </c>
      <c r="J80" s="120">
        <f>VLOOKUP(R80,'Steel grades'!$B$5:$J$22,IF(F80&gt;200,10,IF(F80&gt;150,9,IF(F80&gt;120,8,IF(F80&gt;100,7,IF(F80&gt;80,6,IF(F80&gt;63,5,IF(F80&gt;40,4,IF(F80&gt;16,3,2)))))))),FALSE)</f>
        <v>360</v>
      </c>
      <c r="K80" s="3">
        <f t="shared" si="49"/>
        <v>238.81134972134484</v>
      </c>
      <c r="L80" s="3">
        <f t="shared" si="50"/>
        <v>19.16260250176995</v>
      </c>
      <c r="M80" s="3">
        <f t="shared" si="51"/>
        <v>114.29819620569857</v>
      </c>
      <c r="N80" s="3">
        <f t="shared" si="52"/>
        <v>0.94351618759103839</v>
      </c>
      <c r="O80" s="3">
        <f t="shared" si="53"/>
        <v>0.42972497942818527</v>
      </c>
      <c r="P80" s="3">
        <f>(ABS(Geometry_loads!S32)/Z80+ABS(Geometry_loads!T32)/AA80)/(1000*J80)</f>
        <v>0.33318081122252247</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130</v>
      </c>
      <c r="R80" s="3" t="str">
        <f>Geometry!M39</f>
        <v>S420 NL</v>
      </c>
      <c r="T80" s="3">
        <f>Geometry_loads!L32</f>
        <v>-72485.027499999997</v>
      </c>
      <c r="U80" s="3">
        <f>Geometry_loads!M32</f>
        <v>63787.002499999995</v>
      </c>
      <c r="V80" s="3">
        <f>Geometry_loads!N32</f>
        <v>1367615.1875</v>
      </c>
      <c r="W80" s="3">
        <f>Geometry_loads!O32</f>
        <v>22074.526562499999</v>
      </c>
      <c r="X80" s="3">
        <f t="shared" ref="X80:Y80" si="103">X50</f>
        <v>0</v>
      </c>
      <c r="Y80" s="120">
        <f t="shared" si="103"/>
        <v>0</v>
      </c>
      <c r="Z80" s="220">
        <f t="shared" si="55"/>
        <v>3.5104030647506184</v>
      </c>
      <c r="AA80" s="220">
        <f t="shared" si="56"/>
        <v>9.9218648832041048</v>
      </c>
      <c r="AB80" s="220">
        <f t="shared" si="57"/>
        <v>5.7009999999999996</v>
      </c>
      <c r="AC80" s="120">
        <f t="shared" si="58"/>
        <v>98</v>
      </c>
      <c r="AD80" s="220">
        <f t="shared" si="59"/>
        <v>98.472507750177144</v>
      </c>
      <c r="AE80" s="220">
        <f t="shared" si="60"/>
        <v>0.44272763656838349</v>
      </c>
      <c r="AF80" s="220">
        <f t="shared" si="61"/>
        <v>0.37412331775784907</v>
      </c>
      <c r="AG80" s="220">
        <f t="shared" si="62"/>
        <v>0.28687497521967598</v>
      </c>
      <c r="AH80" s="220">
        <f t="shared" si="63"/>
        <v>0.86253114228224115</v>
      </c>
      <c r="AI80" s="220">
        <f t="shared" si="64"/>
        <v>42.157725503893907</v>
      </c>
      <c r="AJ80" s="220">
        <f t="shared" si="65"/>
        <v>2.9222183563088562</v>
      </c>
      <c r="AK80" s="220">
        <f t="shared" si="66"/>
        <v>5.8552396533185967E-2</v>
      </c>
      <c r="AL80" s="220">
        <f t="shared" si="67"/>
        <v>0.60490919818311339</v>
      </c>
      <c r="AM80" s="220">
        <f t="shared" si="68"/>
        <v>0.84599999999999997</v>
      </c>
      <c r="AN80" s="220">
        <f t="shared" si="69"/>
        <v>0</v>
      </c>
      <c r="AO80" s="220">
        <f t="shared" si="70"/>
        <v>0</v>
      </c>
      <c r="AP80" s="220">
        <f t="shared" si="71"/>
        <v>157.32262743400398</v>
      </c>
      <c r="AQ80" s="220">
        <f t="shared" si="72"/>
        <v>0</v>
      </c>
      <c r="AR80" s="220">
        <f t="shared" si="73"/>
        <v>0</v>
      </c>
      <c r="AS80" s="220">
        <f t="shared" si="74"/>
        <v>0</v>
      </c>
      <c r="AT80" s="220">
        <f t="shared" si="75"/>
        <v>0</v>
      </c>
      <c r="AU80" s="220">
        <f t="shared" si="76"/>
        <v>0</v>
      </c>
      <c r="AV80" s="220">
        <f t="shared" si="77"/>
        <v>0</v>
      </c>
      <c r="AW80" s="220">
        <f t="shared" si="78"/>
        <v>0</v>
      </c>
      <c r="AX80" s="220">
        <f t="shared" si="79"/>
        <v>0</v>
      </c>
    </row>
    <row r="81" spans="3:50">
      <c r="C81" s="12" t="str">
        <f t="shared" si="43"/>
        <v>Can15</v>
      </c>
      <c r="D81" s="2">
        <f t="shared" si="44"/>
        <v>-45.2</v>
      </c>
      <c r="E81" s="3">
        <f t="shared" ref="E81:F81" si="104">G20</f>
        <v>11.5</v>
      </c>
      <c r="F81" s="120">
        <f t="shared" si="104"/>
        <v>95</v>
      </c>
      <c r="G81" s="120">
        <f t="shared" si="46"/>
        <v>169.75976113256482</v>
      </c>
      <c r="H81" s="120">
        <f t="shared" si="47"/>
        <v>16.503311237914936</v>
      </c>
      <c r="I81" s="120">
        <f t="shared" si="48"/>
        <v>0</v>
      </c>
      <c r="J81" s="120">
        <f>VLOOKUP(R81,'Steel grades'!$B$5:$J$22,IF(F81&gt;200,10,IF(F81&gt;150,9,IF(F81&gt;120,8,IF(F81&gt;100,7,IF(F81&gt;80,6,IF(F81&gt;63,5,IF(F81&gt;40,4,IF(F81&gt;16,3,2)))))))),FALSE)</f>
        <v>315</v>
      </c>
      <c r="K81" s="3">
        <f t="shared" si="49"/>
        <v>252.66991534818629</v>
      </c>
      <c r="L81" s="3">
        <f t="shared" si="50"/>
        <v>18.284644980634944</v>
      </c>
      <c r="M81" s="3">
        <f t="shared" si="51"/>
        <v>105.57049128361329</v>
      </c>
      <c r="N81" s="3">
        <f t="shared" si="52"/>
        <v>0.67186376699668049</v>
      </c>
      <c r="O81" s="3">
        <f t="shared" si="53"/>
        <v>0.54650638604201207</v>
      </c>
      <c r="P81" s="3">
        <f>(ABS(Geometry_loads!S33)/Z81+ABS(Geometry_loads!T33)/AA81)/(1000*J81)</f>
        <v>0.41070635405762118</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Geometry!M40</f>
        <v>S355 NL/ML</v>
      </c>
      <c r="T81" s="3">
        <f>Geometry_loads!L33</f>
        <v>-73130.84</v>
      </c>
      <c r="U81" s="3">
        <f>Geometry_loads!M33</f>
        <v>63787.07</v>
      </c>
      <c r="V81" s="3">
        <f>Geometry_loads!N33</f>
        <v>1439036.5189707887</v>
      </c>
      <c r="W81" s="3">
        <f>Geometry_loads!O33</f>
        <v>22494.387545625825</v>
      </c>
      <c r="X81" s="3">
        <f t="shared" ref="X81:Y81" si="105">X51</f>
        <v>0</v>
      </c>
      <c r="Y81" s="120">
        <f t="shared" si="105"/>
        <v>0</v>
      </c>
      <c r="Z81" s="220">
        <f t="shared" si="55"/>
        <v>3.40383710034819</v>
      </c>
      <c r="AA81" s="220">
        <f t="shared" si="56"/>
        <v>9.6256850373140956</v>
      </c>
      <c r="AB81" s="220">
        <f t="shared" si="57"/>
        <v>5.7024999999999997</v>
      </c>
      <c r="AC81" s="120">
        <f t="shared" si="58"/>
        <v>95</v>
      </c>
      <c r="AD81" s="220">
        <f t="shared" si="59"/>
        <v>100.0152519261386</v>
      </c>
      <c r="AE81" s="220">
        <f t="shared" si="60"/>
        <v>0.41979465560738422</v>
      </c>
      <c r="AF81" s="220">
        <f t="shared" si="61"/>
        <v>0.37076626697959419</v>
      </c>
      <c r="AG81" s="220">
        <f t="shared" si="62"/>
        <v>0.28734398331186362</v>
      </c>
      <c r="AH81" s="220">
        <f t="shared" si="63"/>
        <v>0.88233938693017444</v>
      </c>
      <c r="AI81" s="220">
        <f t="shared" si="64"/>
        <v>40.226218957396881</v>
      </c>
      <c r="AJ81" s="220">
        <f t="shared" si="65"/>
        <v>2.79834122353307</v>
      </c>
      <c r="AK81" s="220">
        <f t="shared" si="66"/>
        <v>6.3851141202217271E-2</v>
      </c>
      <c r="AL81" s="220">
        <f t="shared" si="67"/>
        <v>0.63853587349697805</v>
      </c>
      <c r="AM81" s="220">
        <f t="shared" si="68"/>
        <v>1</v>
      </c>
      <c r="AN81" s="220">
        <f t="shared" si="69"/>
        <v>0</v>
      </c>
      <c r="AO81" s="220">
        <f t="shared" si="70"/>
        <v>0</v>
      </c>
      <c r="AP81" s="220">
        <f t="shared" si="71"/>
        <v>169.75976113256482</v>
      </c>
      <c r="AQ81" s="220">
        <f t="shared" si="72"/>
        <v>0</v>
      </c>
      <c r="AR81" s="220">
        <f t="shared" si="73"/>
        <v>0</v>
      </c>
      <c r="AS81" s="220">
        <f t="shared" si="74"/>
        <v>0</v>
      </c>
      <c r="AT81" s="220">
        <f t="shared" si="75"/>
        <v>0</v>
      </c>
      <c r="AU81" s="220">
        <f t="shared" si="76"/>
        <v>0</v>
      </c>
      <c r="AV81" s="220">
        <f t="shared" si="77"/>
        <v>0</v>
      </c>
      <c r="AW81" s="220">
        <f t="shared" si="78"/>
        <v>0</v>
      </c>
      <c r="AX81" s="220">
        <f t="shared" si="79"/>
        <v>0</v>
      </c>
    </row>
    <row r="82" spans="3:50">
      <c r="C82" s="12" t="str">
        <f t="shared" si="43"/>
        <v>Can16</v>
      </c>
      <c r="D82" s="2">
        <f t="shared" si="44"/>
        <v>-48.5</v>
      </c>
      <c r="E82" s="3">
        <f t="shared" ref="E82:F82" si="106">G21</f>
        <v>11.5</v>
      </c>
      <c r="F82" s="120">
        <f t="shared" si="106"/>
        <v>95</v>
      </c>
      <c r="G82" s="120">
        <f t="shared" si="46"/>
        <v>177.20600800726311</v>
      </c>
      <c r="H82" s="120">
        <f t="shared" si="47"/>
        <v>15.499112528459481</v>
      </c>
      <c r="I82" s="120">
        <f t="shared" si="48"/>
        <v>0</v>
      </c>
      <c r="J82" s="120">
        <f>VLOOKUP(R82,'Steel grades'!$B$5:$J$22,IF(F82&gt;200,10,IF(F82&gt;150,9,IF(F82&gt;120,8,IF(F82&gt;100,7,IF(F82&gt;80,6,IF(F82&gt;63,5,IF(F82&gt;40,4,IF(F82&gt;16,3,2)))))))),FALSE)</f>
        <v>315</v>
      </c>
      <c r="K82" s="3">
        <f t="shared" si="49"/>
        <v>252.77875681853442</v>
      </c>
      <c r="L82" s="3">
        <f t="shared" si="50"/>
        <v>18.284644980634944</v>
      </c>
      <c r="M82" s="3">
        <f t="shared" si="51"/>
        <v>105.57049128361329</v>
      </c>
      <c r="N82" s="3">
        <f t="shared" si="52"/>
        <v>0.70103204176479239</v>
      </c>
      <c r="O82" s="3">
        <f t="shared" si="53"/>
        <v>0.56897743023223557</v>
      </c>
      <c r="P82" s="3">
        <f>(ABS(Geometry_loads!S34)/Z82+ABS(Geometry_loads!T34)/AA82)/(1000*J82)</f>
        <v>0.428155244271059</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Geometry!M41</f>
        <v>S355 NL/ML</v>
      </c>
      <c r="T82" s="3">
        <f>Geometry_loads!L34</f>
        <v>-73130.84</v>
      </c>
      <c r="U82" s="3">
        <f>Geometry_loads!M34</f>
        <v>63787.07</v>
      </c>
      <c r="V82" s="3">
        <f>Geometry_loads!N34</f>
        <v>1511303.7636407837</v>
      </c>
      <c r="W82" s="3">
        <f>Geometry_loads!O34</f>
        <v>20785.323133942697</v>
      </c>
      <c r="X82" s="3">
        <f t="shared" ref="X82:Y82" si="107">X52</f>
        <v>0</v>
      </c>
      <c r="Y82" s="120">
        <f t="shared" si="107"/>
        <v>0</v>
      </c>
      <c r="Z82" s="220">
        <f t="shared" si="55"/>
        <v>3.40383710034819</v>
      </c>
      <c r="AA82" s="220">
        <f t="shared" si="56"/>
        <v>9.6256850373140956</v>
      </c>
      <c r="AB82" s="220">
        <f t="shared" si="57"/>
        <v>5.7024999999999997</v>
      </c>
      <c r="AC82" s="120">
        <f t="shared" si="58"/>
        <v>95</v>
      </c>
      <c r="AD82" s="220">
        <f t="shared" si="59"/>
        <v>100.0152519261386</v>
      </c>
      <c r="AE82" s="220">
        <f t="shared" si="60"/>
        <v>0.41979465560738422</v>
      </c>
      <c r="AF82" s="220">
        <f t="shared" si="61"/>
        <v>0.37076626697959419</v>
      </c>
      <c r="AG82" s="220">
        <f t="shared" si="62"/>
        <v>0.28787579273395897</v>
      </c>
      <c r="AH82" s="220">
        <f t="shared" si="63"/>
        <v>0.88271946825519954</v>
      </c>
      <c r="AI82" s="220">
        <f t="shared" si="64"/>
        <v>40.226218957396881</v>
      </c>
      <c r="AJ82" s="220">
        <f t="shared" si="65"/>
        <v>2.79834122353307</v>
      </c>
      <c r="AK82" s="220">
        <f t="shared" si="66"/>
        <v>6.3851141202217271E-2</v>
      </c>
      <c r="AL82" s="220">
        <f t="shared" si="67"/>
        <v>0.63853587349697805</v>
      </c>
      <c r="AM82" s="220">
        <f t="shared" si="68"/>
        <v>1</v>
      </c>
      <c r="AN82" s="220">
        <f t="shared" si="69"/>
        <v>0</v>
      </c>
      <c r="AO82" s="220">
        <f t="shared" si="70"/>
        <v>0</v>
      </c>
      <c r="AP82" s="220">
        <f t="shared" si="71"/>
        <v>177.20600800726311</v>
      </c>
      <c r="AQ82" s="220">
        <f t="shared" si="72"/>
        <v>0</v>
      </c>
      <c r="AR82" s="220">
        <f t="shared" si="73"/>
        <v>0</v>
      </c>
      <c r="AS82" s="220">
        <f t="shared" si="74"/>
        <v>0</v>
      </c>
      <c r="AT82" s="220">
        <f t="shared" si="75"/>
        <v>0</v>
      </c>
      <c r="AU82" s="220">
        <f t="shared" si="76"/>
        <v>0</v>
      </c>
      <c r="AV82" s="220">
        <f t="shared" si="77"/>
        <v>0</v>
      </c>
      <c r="AW82" s="220">
        <f t="shared" si="78"/>
        <v>0</v>
      </c>
      <c r="AX82" s="220">
        <f t="shared" si="79"/>
        <v>0</v>
      </c>
    </row>
    <row r="83" spans="3:50">
      <c r="C83" s="12" t="str">
        <f t="shared" si="43"/>
        <v>Can17</v>
      </c>
      <c r="D83" s="2">
        <f t="shared" si="44"/>
        <v>-51.7</v>
      </c>
      <c r="E83" s="3">
        <f t="shared" ref="E83:F83" si="108">G22</f>
        <v>11.5</v>
      </c>
      <c r="F83" s="120">
        <f t="shared" si="108"/>
        <v>95</v>
      </c>
      <c r="G83" s="120">
        <f t="shared" si="46"/>
        <v>183.72114083079558</v>
      </c>
      <c r="H83" s="120">
        <f t="shared" si="47"/>
        <v>14.095934697633282</v>
      </c>
      <c r="I83" s="120">
        <f t="shared" si="48"/>
        <v>0</v>
      </c>
      <c r="J83" s="120">
        <f>VLOOKUP(R83,'Steel grades'!$B$5:$J$22,IF(F83&gt;200,10,IF(F83&gt;150,9,IF(F83&gt;120,8,IF(F83&gt;100,7,IF(F83&gt;80,6,IF(F83&gt;63,5,IF(F83&gt;40,4,IF(F83&gt;16,3,2)))))))),FALSE)</f>
        <v>315</v>
      </c>
      <c r="K83" s="3">
        <f t="shared" si="49"/>
        <v>252.86687686461255</v>
      </c>
      <c r="L83" s="3">
        <f t="shared" si="50"/>
        <v>18.284644980634944</v>
      </c>
      <c r="M83" s="3">
        <f t="shared" si="51"/>
        <v>105.57049128361329</v>
      </c>
      <c r="N83" s="3">
        <f t="shared" si="52"/>
        <v>0.72655281351523837</v>
      </c>
      <c r="O83" s="3">
        <f t="shared" si="53"/>
        <v>0.58836920305599805</v>
      </c>
      <c r="P83" s="3">
        <f>(ABS(Geometry_loads!S35)/Z83+ABS(Geometry_loads!T35)/AA83)/(1000*J83)</f>
        <v>0.44305261928957596</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Geometry!M42</f>
        <v>S355 NL/ML</v>
      </c>
      <c r="T83" s="3">
        <f>Geometry_loads!L35</f>
        <v>-73130.84</v>
      </c>
      <c r="U83" s="3">
        <f>Geometry_loads!M35</f>
        <v>63787.07</v>
      </c>
      <c r="V83" s="3">
        <f>Geometry_loads!N35</f>
        <v>1574534.3690368498</v>
      </c>
      <c r="W83" s="3">
        <f>Geometry_loads!O35</f>
        <v>18397.228754466531</v>
      </c>
      <c r="X83" s="3">
        <f t="shared" ref="X83:Y83" si="109">X53</f>
        <v>0</v>
      </c>
      <c r="Y83" s="120">
        <f t="shared" si="109"/>
        <v>0</v>
      </c>
      <c r="Z83" s="220">
        <f t="shared" si="55"/>
        <v>3.40383710034819</v>
      </c>
      <c r="AA83" s="220">
        <f t="shared" si="56"/>
        <v>9.6256850373140956</v>
      </c>
      <c r="AB83" s="220">
        <f t="shared" si="57"/>
        <v>5.7024999999999997</v>
      </c>
      <c r="AC83" s="120">
        <f t="shared" si="58"/>
        <v>95</v>
      </c>
      <c r="AD83" s="220">
        <f t="shared" si="59"/>
        <v>100.0152519261386</v>
      </c>
      <c r="AE83" s="220">
        <f t="shared" si="60"/>
        <v>0.41979465560738422</v>
      </c>
      <c r="AF83" s="220">
        <f t="shared" si="61"/>
        <v>0.37076626697959419</v>
      </c>
      <c r="AG83" s="220">
        <f t="shared" si="62"/>
        <v>0.28830574227793138</v>
      </c>
      <c r="AH83" s="220">
        <f t="shared" si="63"/>
        <v>0.88302718905102795</v>
      </c>
      <c r="AI83" s="220">
        <f t="shared" si="64"/>
        <v>40.226218957396881</v>
      </c>
      <c r="AJ83" s="220">
        <f t="shared" si="65"/>
        <v>2.79834122353307</v>
      </c>
      <c r="AK83" s="220">
        <f t="shared" si="66"/>
        <v>6.3851141202217271E-2</v>
      </c>
      <c r="AL83" s="220">
        <f t="shared" si="67"/>
        <v>0.63853587349697805</v>
      </c>
      <c r="AM83" s="220">
        <f t="shared" si="68"/>
        <v>1</v>
      </c>
      <c r="AN83" s="220">
        <f t="shared" si="69"/>
        <v>0</v>
      </c>
      <c r="AO83" s="220">
        <f t="shared" si="70"/>
        <v>0</v>
      </c>
      <c r="AP83" s="220">
        <f t="shared" si="71"/>
        <v>183.7211408307956</v>
      </c>
      <c r="AQ83" s="220">
        <f t="shared" si="72"/>
        <v>0</v>
      </c>
      <c r="AR83" s="220">
        <f t="shared" si="73"/>
        <v>0</v>
      </c>
      <c r="AS83" s="220">
        <f t="shared" si="74"/>
        <v>0</v>
      </c>
      <c r="AT83" s="220">
        <f t="shared" si="75"/>
        <v>0</v>
      </c>
      <c r="AU83" s="220">
        <f t="shared" si="76"/>
        <v>0</v>
      </c>
      <c r="AV83" s="220">
        <f t="shared" si="77"/>
        <v>0</v>
      </c>
      <c r="AW83" s="220">
        <f t="shared" si="78"/>
        <v>0</v>
      </c>
      <c r="AX83" s="220">
        <f t="shared" si="79"/>
        <v>0</v>
      </c>
    </row>
    <row r="84" spans="3:50">
      <c r="C84" s="12" t="str">
        <f t="shared" si="43"/>
        <v>Can18</v>
      </c>
      <c r="D84" s="2">
        <f t="shared" si="44"/>
        <v>-55.3</v>
      </c>
      <c r="E84" s="3">
        <f t="shared" ref="E84:F84" si="110">G23</f>
        <v>11.5</v>
      </c>
      <c r="F84" s="120">
        <f t="shared" si="110"/>
        <v>93</v>
      </c>
      <c r="G84" s="120">
        <f t="shared" si="46"/>
        <v>194.15464472033017</v>
      </c>
      <c r="H84" s="120">
        <f t="shared" si="47"/>
        <v>12.897963965185529</v>
      </c>
      <c r="I84" s="120">
        <f t="shared" si="48"/>
        <v>0</v>
      </c>
      <c r="J84" s="120">
        <f>VLOOKUP(R84,'Steel grades'!$B$5:$J$22,IF(F84&gt;200,10,IF(F84&gt;150,9,IF(F84&gt;120,8,IF(F84&gt;100,7,IF(F84&gt;80,6,IF(F84&gt;63,5,IF(F84&gt;40,4,IF(F84&gt;16,3,2)))))))),FALSE)</f>
        <v>315</v>
      </c>
      <c r="K84" s="3">
        <f t="shared" si="49"/>
        <v>251.79238006271459</v>
      </c>
      <c r="L84" s="3">
        <f t="shared" si="50"/>
        <v>17.707179725695656</v>
      </c>
      <c r="M84" s="3">
        <f t="shared" si="51"/>
        <v>104.02043341092745</v>
      </c>
      <c r="N84" s="3">
        <f t="shared" si="52"/>
        <v>0.7710902318488414</v>
      </c>
      <c r="O84" s="3">
        <f t="shared" si="53"/>
        <v>0.62043067714536149</v>
      </c>
      <c r="P84" s="3">
        <f>(ABS(Geometry_loads!S36)/Z84+ABS(Geometry_loads!T36)/AA84)/(1000*J84)</f>
        <v>0.46684235614974101</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Geometry!M43</f>
        <v>S355 NL/ML</v>
      </c>
      <c r="T84" s="3">
        <f>Geometry_loads!L36</f>
        <v>-73130.84</v>
      </c>
      <c r="U84" s="3">
        <f>Geometry_loads!M36</f>
        <v>63787.07</v>
      </c>
      <c r="V84" s="3">
        <f>Geometry_loads!N36</f>
        <v>1636734.3229139401</v>
      </c>
      <c r="W84" s="3">
        <f>Geometry_loads!O36</f>
        <v>15900.9968277758</v>
      </c>
      <c r="X84" s="3">
        <f t="shared" ref="X84:Y84" si="111">X54</f>
        <v>0</v>
      </c>
      <c r="Y84" s="120">
        <f t="shared" si="111"/>
        <v>0</v>
      </c>
      <c r="Z84" s="220">
        <f t="shared" si="55"/>
        <v>3.332761708153384</v>
      </c>
      <c r="AA84" s="220">
        <f t="shared" si="56"/>
        <v>9.4279697548168109</v>
      </c>
      <c r="AB84" s="220">
        <f t="shared" si="57"/>
        <v>5.7035</v>
      </c>
      <c r="AC84" s="120">
        <f t="shared" si="58"/>
        <v>93</v>
      </c>
      <c r="AD84" s="220">
        <f t="shared" si="59"/>
        <v>101.08496419336932</v>
      </c>
      <c r="AE84" s="220">
        <f t="shared" si="60"/>
        <v>0.42372273861384085</v>
      </c>
      <c r="AF84" s="220">
        <f t="shared" si="61"/>
        <v>0.36846068790510061</v>
      </c>
      <c r="AG84" s="220">
        <f t="shared" si="62"/>
        <v>0.28869817665934838</v>
      </c>
      <c r="AH84" s="220">
        <f t="shared" si="63"/>
        <v>0.87927497799678123</v>
      </c>
      <c r="AI84" s="220">
        <f t="shared" si="64"/>
        <v>38.955795396530448</v>
      </c>
      <c r="AJ84" s="220">
        <f t="shared" si="65"/>
        <v>2.8436048010848665</v>
      </c>
      <c r="AK84" s="220">
        <f t="shared" si="66"/>
        <v>6.1834595867508647E-2</v>
      </c>
      <c r="AL84" s="220">
        <f t="shared" si="67"/>
        <v>0.62916045480116722</v>
      </c>
      <c r="AM84" s="220">
        <f t="shared" si="68"/>
        <v>1</v>
      </c>
      <c r="AN84" s="220">
        <f t="shared" si="69"/>
        <v>0</v>
      </c>
      <c r="AO84" s="220">
        <f t="shared" si="70"/>
        <v>0</v>
      </c>
      <c r="AP84" s="220">
        <f t="shared" si="71"/>
        <v>194.15464472033017</v>
      </c>
      <c r="AQ84" s="220">
        <f t="shared" si="72"/>
        <v>0</v>
      </c>
      <c r="AR84" s="220">
        <f t="shared" si="73"/>
        <v>0</v>
      </c>
      <c r="AS84" s="220">
        <f t="shared" si="74"/>
        <v>0</v>
      </c>
      <c r="AT84" s="220">
        <f t="shared" si="75"/>
        <v>0</v>
      </c>
      <c r="AU84" s="220">
        <f t="shared" si="76"/>
        <v>0</v>
      </c>
      <c r="AV84" s="220">
        <f t="shared" si="77"/>
        <v>0</v>
      </c>
      <c r="AW84" s="220">
        <f t="shared" si="78"/>
        <v>0</v>
      </c>
      <c r="AX84" s="220">
        <f t="shared" si="79"/>
        <v>0</v>
      </c>
    </row>
    <row r="85" spans="3:50">
      <c r="C85" s="12" t="str">
        <f t="shared" si="43"/>
        <v>Can19</v>
      </c>
      <c r="D85" s="2">
        <f t="shared" si="44"/>
        <v>-59.3</v>
      </c>
      <c r="E85" s="3">
        <f t="shared" ref="E85:F85" si="112">G24</f>
        <v>11.5</v>
      </c>
      <c r="F85" s="120">
        <f t="shared" si="112"/>
        <v>93</v>
      </c>
      <c r="G85" s="120">
        <f t="shared" si="46"/>
        <v>192.39027506190169</v>
      </c>
      <c r="H85" s="120">
        <f t="shared" si="47"/>
        <v>16.506804535039397</v>
      </c>
      <c r="I85" s="120">
        <f t="shared" si="48"/>
        <v>0</v>
      </c>
      <c r="J85" s="120">
        <f>VLOOKUP(R85,'Steel grades'!$B$5:$J$22,IF(F85&gt;200,10,IF(F85&gt;150,9,IF(F85&gt;120,8,IF(F85&gt;100,7,IF(F85&gt;80,6,IF(F85&gt;63,5,IF(F85&gt;40,4,IF(F85&gt;16,3,2)))))))),FALSE)</f>
        <v>315</v>
      </c>
      <c r="K85" s="3">
        <f t="shared" si="49"/>
        <v>251.77118553231983</v>
      </c>
      <c r="L85" s="3">
        <f t="shared" si="50"/>
        <v>17.707179725695656</v>
      </c>
      <c r="M85" s="3">
        <f t="shared" si="51"/>
        <v>104.02043341092745</v>
      </c>
      <c r="N85" s="3">
        <f t="shared" si="52"/>
        <v>0.76414731358209609</v>
      </c>
      <c r="O85" s="3">
        <f t="shared" si="53"/>
        <v>0.61747004298268182</v>
      </c>
      <c r="P85" s="3">
        <f>(ABS(Geometry_loads!S37)/Z85+ABS(Geometry_loads!T37)/AA85)/(1000*J85)</f>
        <v>0.46034097339099389</v>
      </c>
      <c r="Q85" s="22">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180</v>
      </c>
      <c r="R85" s="3" t="str">
        <f>Geometry!M44</f>
        <v>S355 NL/ML</v>
      </c>
      <c r="T85" s="3">
        <f>Geometry_loads!L37</f>
        <v>-73130.84</v>
      </c>
      <c r="U85" s="3">
        <f>Geometry_loads!M37</f>
        <v>63787.07</v>
      </c>
      <c r="V85" s="3">
        <f>Geometry_loads!N37</f>
        <v>1619965.3951581572</v>
      </c>
      <c r="W85" s="3">
        <f>Geometry_loads!O37</f>
        <v>-21914.699658795507</v>
      </c>
      <c r="X85" s="3">
        <f t="shared" ref="X85:Y85" si="113">X55</f>
        <v>0</v>
      </c>
      <c r="Y85" s="120">
        <f t="shared" si="113"/>
        <v>0</v>
      </c>
      <c r="Z85" s="220">
        <f t="shared" si="55"/>
        <v>3.332761708153384</v>
      </c>
      <c r="AA85" s="220">
        <f t="shared" si="56"/>
        <v>9.4279697548168109</v>
      </c>
      <c r="AB85" s="220">
        <f t="shared" si="57"/>
        <v>5.7035</v>
      </c>
      <c r="AC85" s="120">
        <f t="shared" si="58"/>
        <v>93</v>
      </c>
      <c r="AD85" s="220">
        <f t="shared" si="59"/>
        <v>101.08496419336932</v>
      </c>
      <c r="AE85" s="220">
        <f t="shared" si="60"/>
        <v>0.42372273861384085</v>
      </c>
      <c r="AF85" s="220">
        <f t="shared" si="61"/>
        <v>0.36846068790510061</v>
      </c>
      <c r="AG85" s="220">
        <f t="shared" si="62"/>
        <v>0.28859453007855967</v>
      </c>
      <c r="AH85" s="220">
        <f t="shared" si="63"/>
        <v>0.87920096535095826</v>
      </c>
      <c r="AI85" s="220">
        <f t="shared" si="64"/>
        <v>38.955795396530448</v>
      </c>
      <c r="AJ85" s="220">
        <f t="shared" si="65"/>
        <v>2.8436048010848665</v>
      </c>
      <c r="AK85" s="220">
        <f t="shared" si="66"/>
        <v>6.1834595867508647E-2</v>
      </c>
      <c r="AL85" s="220">
        <f t="shared" si="67"/>
        <v>0.62916045480116722</v>
      </c>
      <c r="AM85" s="220">
        <f t="shared" si="68"/>
        <v>1</v>
      </c>
      <c r="AN85" s="220">
        <f t="shared" si="69"/>
        <v>0</v>
      </c>
      <c r="AO85" s="220">
        <f t="shared" si="70"/>
        <v>0</v>
      </c>
      <c r="AP85" s="220">
        <f t="shared" si="71"/>
        <v>192.39027506190166</v>
      </c>
      <c r="AQ85" s="220">
        <f t="shared" si="72"/>
        <v>0</v>
      </c>
      <c r="AR85" s="220">
        <f t="shared" si="73"/>
        <v>0</v>
      </c>
      <c r="AS85" s="220">
        <f t="shared" si="74"/>
        <v>0</v>
      </c>
      <c r="AT85" s="220">
        <f t="shared" si="75"/>
        <v>0</v>
      </c>
      <c r="AU85" s="220">
        <f t="shared" si="76"/>
        <v>0</v>
      </c>
      <c r="AV85" s="220">
        <f t="shared" si="77"/>
        <v>0</v>
      </c>
      <c r="AW85" s="220">
        <f t="shared" si="78"/>
        <v>0</v>
      </c>
      <c r="AX85" s="220">
        <f t="shared" si="79"/>
        <v>0</v>
      </c>
    </row>
    <row r="86" spans="3:50">
      <c r="C86" s="12" t="str">
        <f t="shared" si="43"/>
        <v>Can20</v>
      </c>
      <c r="D86" s="2">
        <f t="shared" si="44"/>
        <v>-63.3</v>
      </c>
      <c r="E86" s="3">
        <f t="shared" ref="E86:F86" si="114">G25</f>
        <v>11.5</v>
      </c>
      <c r="F86" s="120">
        <f t="shared" si="114"/>
        <v>93</v>
      </c>
      <c r="G86" s="120">
        <f t="shared" si="46"/>
        <v>176.25042268450574</v>
      </c>
      <c r="H86" s="120">
        <f t="shared" si="47"/>
        <v>38.651056787676673</v>
      </c>
      <c r="I86" s="120">
        <f t="shared" si="48"/>
        <v>0</v>
      </c>
      <c r="J86" s="120">
        <f>VLOOKUP(R86,'Steel grades'!$B$5:$J$22,IF(F86&gt;200,10,IF(F86&gt;150,9,IF(F86&gt;120,8,IF(F86&gt;100,7,IF(F86&gt;80,6,IF(F86&gt;63,5,IF(F86&gt;40,4,IF(F86&gt;16,3,2)))))))),FALSE)</f>
        <v>315</v>
      </c>
      <c r="K86" s="3">
        <f t="shared" si="49"/>
        <v>251.5579748187443</v>
      </c>
      <c r="L86" s="3">
        <f t="shared" si="50"/>
        <v>17.707179725695656</v>
      </c>
      <c r="M86" s="3">
        <f t="shared" si="51"/>
        <v>104.02043341092745</v>
      </c>
      <c r="N86" s="3">
        <f t="shared" si="52"/>
        <v>0.70063540148746983</v>
      </c>
      <c r="O86" s="3">
        <f t="shared" si="53"/>
        <v>0.5985278325423441</v>
      </c>
      <c r="P86" s="3">
        <f>(ABS(Geometry_loads!S38)/Z86+ABS(Geometry_loads!T38)/AA86)/(1000*J86)</f>
        <v>0.41949135491890344</v>
      </c>
      <c r="Q86" s="22">
        <f>IF(D86&gt;=$R$14,IF(P86&gt;0.75,"Redesign",IF(P86&lt;0.5,VLOOKUP(R86,'Steel grades'!$B$5:$AB$22,27,FALSE),(VLOOKUP(R86,'Steel grades'!$B$5:$AB$22,27,FALSE)-VLOOKUP(R86,'Steel grades'!$B$5:$AB$22,25,FALSE))/(0.5-0.75)*(P86-0.75)+VLOOKUP(R86,'Steel grades'!$B$5:$AB$22,25,FALSE))),IF(D86&lt;$R$2,IF(P86&gt;0.75,"Redesign",IF(P86&lt;0.5,VLOOKUP(R86,'Steel grades'!$B$5:$AB$22,18,FALSE),(VLOOKUP(R86,'Steel grades'!$B$5:$AB$22,18,FALSE)-VLOOKUP(R86,'Steel grades'!$B$5:$AB$22,11,FALSE))/(0.5-0.75)*(P86-0.75)+VLOOKUP(R86,'Steel grades'!$B$5:$AB$22,11,FALSE))),IF(P86&gt;0.75,"Redesign",IF(P86&lt;0.5,VLOOKUP(R86,'Steel grades'!$B$5:$AB$22,26,FALSE),(VLOOKUP(R86,'Steel grades'!$B$5:$AB$22,26,FALSE)-VLOOKUP(R86,'Steel grades'!$B$5:$AB$22,24,FALSE))/(0.5-0.75)*(P86-0.75)+VLOOKUP(R86,'Steel grades'!$B$5:$AB$22,24,FALSE)))))</f>
        <v>180</v>
      </c>
      <c r="R86" s="3" t="str">
        <f>Geometry!M45</f>
        <v>S355 NL/ML</v>
      </c>
      <c r="T86" s="3">
        <f>Geometry_loads!L38</f>
        <v>-73130.84</v>
      </c>
      <c r="U86" s="3">
        <f>Geometry_loads!M38</f>
        <v>63787.07</v>
      </c>
      <c r="V86" s="3">
        <f>Geometry_loads!N38</f>
        <v>1466568.9585255887</v>
      </c>
      <c r="W86" s="3">
        <f>Geometry_loads!O38</f>
        <v>-58815.45764043495</v>
      </c>
      <c r="X86" s="3">
        <f t="shared" ref="X86:Y86" si="115">X56</f>
        <v>0</v>
      </c>
      <c r="Y86" s="120">
        <f t="shared" si="115"/>
        <v>0</v>
      </c>
      <c r="Z86" s="220">
        <f t="shared" si="55"/>
        <v>3.332761708153384</v>
      </c>
      <c r="AA86" s="220">
        <f t="shared" si="56"/>
        <v>9.4279697548168109</v>
      </c>
      <c r="AB86" s="220">
        <f t="shared" si="57"/>
        <v>5.7035</v>
      </c>
      <c r="AC86" s="120">
        <f t="shared" si="58"/>
        <v>93</v>
      </c>
      <c r="AD86" s="220">
        <f t="shared" si="59"/>
        <v>101.08496419336932</v>
      </c>
      <c r="AE86" s="220">
        <f t="shared" si="60"/>
        <v>0.42372273861384085</v>
      </c>
      <c r="AF86" s="220">
        <f t="shared" si="61"/>
        <v>0.36846068790510061</v>
      </c>
      <c r="AG86" s="220">
        <f t="shared" si="62"/>
        <v>0.28755009229496137</v>
      </c>
      <c r="AH86" s="220">
        <f t="shared" si="63"/>
        <v>0.87845642000196433</v>
      </c>
      <c r="AI86" s="220">
        <f t="shared" si="64"/>
        <v>38.955795396530448</v>
      </c>
      <c r="AJ86" s="220">
        <f t="shared" si="65"/>
        <v>2.8436048010848665</v>
      </c>
      <c r="AK86" s="220">
        <f t="shared" si="66"/>
        <v>6.1834595867508647E-2</v>
      </c>
      <c r="AL86" s="220">
        <f t="shared" si="67"/>
        <v>0.62916045480116722</v>
      </c>
      <c r="AM86" s="220">
        <f t="shared" si="68"/>
        <v>1</v>
      </c>
      <c r="AN86" s="220">
        <f t="shared" si="69"/>
        <v>0</v>
      </c>
      <c r="AO86" s="220">
        <f t="shared" si="70"/>
        <v>0</v>
      </c>
      <c r="AP86" s="220">
        <f t="shared" si="71"/>
        <v>176.25042268450571</v>
      </c>
      <c r="AQ86" s="220">
        <f t="shared" si="72"/>
        <v>0</v>
      </c>
      <c r="AR86" s="220">
        <f t="shared" si="73"/>
        <v>0</v>
      </c>
      <c r="AS86" s="220">
        <f t="shared" si="74"/>
        <v>0</v>
      </c>
      <c r="AT86" s="220">
        <f t="shared" si="75"/>
        <v>0</v>
      </c>
      <c r="AU86" s="220">
        <f t="shared" si="76"/>
        <v>0</v>
      </c>
      <c r="AV86" s="220">
        <f t="shared" si="77"/>
        <v>0</v>
      </c>
      <c r="AW86" s="220">
        <f t="shared" si="78"/>
        <v>0</v>
      </c>
      <c r="AX86" s="220">
        <f t="shared" si="79"/>
        <v>0</v>
      </c>
    </row>
    <row r="87" spans="3:50">
      <c r="C87" s="12" t="str">
        <f t="shared" si="43"/>
        <v>Can21</v>
      </c>
      <c r="D87" s="2">
        <f t="shared" si="44"/>
        <v>-67.3</v>
      </c>
      <c r="E87" s="3">
        <f t="shared" ref="E87:F87" si="116">G26</f>
        <v>11.5</v>
      </c>
      <c r="F87" s="120">
        <f t="shared" si="116"/>
        <v>93</v>
      </c>
      <c r="G87" s="120">
        <f t="shared" si="46"/>
        <v>146.16185704022661</v>
      </c>
      <c r="H87" s="120">
        <f t="shared" si="47"/>
        <v>53.922835183288754</v>
      </c>
      <c r="I87" s="120">
        <f t="shared" si="48"/>
        <v>0</v>
      </c>
      <c r="J87" s="120">
        <f>VLOOKUP(R87,'Steel grades'!$B$5:$J$22,IF(F87&gt;200,10,IF(F87&gt;150,9,IF(F87&gt;120,8,IF(F87&gt;100,7,IF(F87&gt;80,6,IF(F87&gt;63,5,IF(F87&gt;40,4,IF(F87&gt;16,3,2)))))))),FALSE)</f>
        <v>315</v>
      </c>
      <c r="K87" s="3">
        <f t="shared" si="49"/>
        <v>251.03758108197783</v>
      </c>
      <c r="L87" s="3">
        <f t="shared" si="50"/>
        <v>17.707179725695656</v>
      </c>
      <c r="M87" s="3">
        <f t="shared" si="51"/>
        <v>104.02043341092745</v>
      </c>
      <c r="N87" s="3">
        <f t="shared" si="52"/>
        <v>0.64199171531483645</v>
      </c>
      <c r="O87" s="3">
        <f t="shared" si="53"/>
        <v>0.55064775448500225</v>
      </c>
      <c r="P87" s="3">
        <f>(ABS(Geometry_loads!S39)/Z87+ABS(Geometry_loads!T39)/AA87)/(1000*J87)</f>
        <v>0.34622063659438607</v>
      </c>
      <c r="Q87" s="22">
        <f>IF(D87&gt;=$R$14,IF(P87&gt;0.75,"Redesign",IF(P87&lt;0.5,VLOOKUP(R87,'Steel grades'!$B$5:$AB$22,27,FALSE),(VLOOKUP(R87,'Steel grades'!$B$5:$AB$22,27,FALSE)-VLOOKUP(R87,'Steel grades'!$B$5:$AB$22,25,FALSE))/(0.5-0.75)*(P87-0.75)+VLOOKUP(R87,'Steel grades'!$B$5:$AB$22,25,FALSE))),IF(D87&lt;$R$2,IF(P87&gt;0.75,"Redesign",IF(P87&lt;0.5,VLOOKUP(R87,'Steel grades'!$B$5:$AB$22,18,FALSE),(VLOOKUP(R87,'Steel grades'!$B$5:$AB$22,18,FALSE)-VLOOKUP(R87,'Steel grades'!$B$5:$AB$22,11,FALSE))/(0.5-0.75)*(P87-0.75)+VLOOKUP(R87,'Steel grades'!$B$5:$AB$22,11,FALSE))),IF(P87&gt;0.75,"Redesign",IF(P87&lt;0.5,VLOOKUP(R87,'Steel grades'!$B$5:$AB$22,26,FALSE),(VLOOKUP(R87,'Steel grades'!$B$5:$AB$22,26,FALSE)-VLOOKUP(R87,'Steel grades'!$B$5:$AB$22,24,FALSE))/(0.5-0.75)*(P87-0.75)+VLOOKUP(R87,'Steel grades'!$B$5:$AB$22,24,FALSE)))))</f>
        <v>180</v>
      </c>
      <c r="R87" s="3" t="str">
        <f>Geometry!M46</f>
        <v>S355 NL/ML</v>
      </c>
      <c r="T87" s="3">
        <f>Geometry_loads!L39</f>
        <v>-73130.84</v>
      </c>
      <c r="U87" s="3">
        <f>Geometry_loads!M39</f>
        <v>63787.07</v>
      </c>
      <c r="V87" s="3">
        <f>Geometry_loads!N39</f>
        <v>1180601.11660892</v>
      </c>
      <c r="W87" s="3">
        <f>Geometry_loads!O39</f>
        <v>-84264.056766584996</v>
      </c>
      <c r="X87" s="3">
        <f t="shared" ref="X87:Y87" si="117">X57</f>
        <v>0</v>
      </c>
      <c r="Y87" s="120">
        <f t="shared" si="117"/>
        <v>0</v>
      </c>
      <c r="Z87" s="220">
        <f t="shared" si="55"/>
        <v>3.332761708153384</v>
      </c>
      <c r="AA87" s="220">
        <f t="shared" si="56"/>
        <v>9.4279697548168109</v>
      </c>
      <c r="AB87" s="220">
        <f t="shared" si="57"/>
        <v>5.7035</v>
      </c>
      <c r="AC87" s="120">
        <f t="shared" si="58"/>
        <v>93</v>
      </c>
      <c r="AD87" s="220">
        <f t="shared" si="59"/>
        <v>101.08496419336932</v>
      </c>
      <c r="AE87" s="220">
        <f t="shared" si="60"/>
        <v>0.42372273861384085</v>
      </c>
      <c r="AF87" s="220">
        <f t="shared" si="61"/>
        <v>0.36846068790510061</v>
      </c>
      <c r="AG87" s="220">
        <f t="shared" si="62"/>
        <v>0.28498718106193582</v>
      </c>
      <c r="AH87" s="220">
        <f t="shared" si="63"/>
        <v>0.87663917203230357</v>
      </c>
      <c r="AI87" s="220">
        <f t="shared" si="64"/>
        <v>38.955795396530448</v>
      </c>
      <c r="AJ87" s="220">
        <f t="shared" si="65"/>
        <v>2.8436048010848665</v>
      </c>
      <c r="AK87" s="220">
        <f t="shared" si="66"/>
        <v>6.1834595867508647E-2</v>
      </c>
      <c r="AL87" s="220">
        <f t="shared" si="67"/>
        <v>0.62916045480116722</v>
      </c>
      <c r="AM87" s="220">
        <f t="shared" si="68"/>
        <v>1</v>
      </c>
      <c r="AN87" s="220">
        <f t="shared" si="69"/>
        <v>0</v>
      </c>
      <c r="AO87" s="220">
        <f t="shared" si="70"/>
        <v>0</v>
      </c>
      <c r="AP87" s="220">
        <f t="shared" si="71"/>
        <v>146.16185704022661</v>
      </c>
      <c r="AQ87" s="220">
        <f t="shared" si="72"/>
        <v>0</v>
      </c>
      <c r="AR87" s="220">
        <f t="shared" si="73"/>
        <v>0</v>
      </c>
      <c r="AS87" s="220">
        <f t="shared" si="74"/>
        <v>0</v>
      </c>
      <c r="AT87" s="220">
        <f t="shared" si="75"/>
        <v>0</v>
      </c>
      <c r="AU87" s="220">
        <f t="shared" si="76"/>
        <v>0</v>
      </c>
      <c r="AV87" s="220">
        <f t="shared" si="77"/>
        <v>0</v>
      </c>
      <c r="AW87" s="220">
        <f t="shared" si="78"/>
        <v>0</v>
      </c>
      <c r="AX87" s="220">
        <f t="shared" si="79"/>
        <v>0</v>
      </c>
    </row>
    <row r="88" spans="3:50">
      <c r="C88" s="12" t="str">
        <f t="shared" si="43"/>
        <v>Can22</v>
      </c>
      <c r="D88" s="2">
        <f t="shared" si="44"/>
        <v>-71</v>
      </c>
      <c r="E88" s="3">
        <f t="shared" ref="E88:F88" si="118">G27</f>
        <v>11.5</v>
      </c>
      <c r="F88" s="120">
        <f t="shared" si="118"/>
        <v>96</v>
      </c>
      <c r="G88" s="120">
        <f t="shared" si="46"/>
        <v>106.39357825763489</v>
      </c>
      <c r="H88" s="120">
        <f t="shared" si="47"/>
        <v>63.249696636838294</v>
      </c>
      <c r="I88" s="120">
        <f t="shared" si="48"/>
        <v>0</v>
      </c>
      <c r="J88" s="120">
        <f>VLOOKUP(R88,'Steel grades'!$B$5:$J$22,IF(F88&gt;200,10,IF(F88&gt;150,9,IF(F88&gt;120,8,IF(F88&gt;100,7,IF(F88&gt;80,6,IF(F88&gt;63,5,IF(F88&gt;40,4,IF(F88&gt;16,3,2)))))))),FALSE)</f>
        <v>315</v>
      </c>
      <c r="K88" s="3">
        <f t="shared" si="49"/>
        <v>251.74409772629949</v>
      </c>
      <c r="L88" s="3">
        <f t="shared" si="50"/>
        <v>18.575737059774053</v>
      </c>
      <c r="M88" s="3">
        <f t="shared" si="51"/>
        <v>106.32581997160712</v>
      </c>
      <c r="N88" s="3">
        <f t="shared" si="52"/>
        <v>0.59486676569932195</v>
      </c>
      <c r="O88" s="3">
        <f t="shared" si="53"/>
        <v>0.48480219236149857</v>
      </c>
      <c r="P88" s="3">
        <f>(ABS(Geometry_loads!S40)/Z88+ABS(Geometry_loads!T40)/AA88)/(1000*J88)</f>
        <v>0.25094263563868391</v>
      </c>
      <c r="Q88" s="22">
        <f>IF(D88&gt;=$R$14,IF(P88&gt;0.75,"Redesign",IF(P88&lt;0.5,VLOOKUP(R88,'Steel grades'!$B$5:$AB$22,27,FALSE),(VLOOKUP(R88,'Steel grades'!$B$5:$AB$22,27,FALSE)-VLOOKUP(R88,'Steel grades'!$B$5:$AB$22,25,FALSE))/(0.5-0.75)*(P88-0.75)+VLOOKUP(R88,'Steel grades'!$B$5:$AB$22,25,FALSE))),IF(D88&lt;$R$2,IF(P88&gt;0.75,"Redesign",IF(P88&lt;0.5,VLOOKUP(R88,'Steel grades'!$B$5:$AB$22,18,FALSE),(VLOOKUP(R88,'Steel grades'!$B$5:$AB$22,18,FALSE)-VLOOKUP(R88,'Steel grades'!$B$5:$AB$22,11,FALSE))/(0.5-0.75)*(P88-0.75)+VLOOKUP(R88,'Steel grades'!$B$5:$AB$22,11,FALSE))),IF(P88&gt;0.75,"Redesign",IF(P88&lt;0.5,VLOOKUP(R88,'Steel grades'!$B$5:$AB$22,26,FALSE),(VLOOKUP(R88,'Steel grades'!$B$5:$AB$22,26,FALSE)-VLOOKUP(R88,'Steel grades'!$B$5:$AB$22,24,FALSE))/(0.5-0.75)*(P88-0.75)+VLOOKUP(R88,'Steel grades'!$B$5:$AB$22,24,FALSE)))))</f>
        <v>180</v>
      </c>
      <c r="R88" s="3" t="str">
        <f>Geometry!M47</f>
        <v>S355 NL/ML</v>
      </c>
      <c r="T88" s="3">
        <f>Geometry_loads!L40</f>
        <v>-73130.84</v>
      </c>
      <c r="U88" s="3">
        <f>Geometry_loads!M40</f>
        <v>63787.07</v>
      </c>
      <c r="V88" s="3">
        <f>Geometry_loads!N40</f>
        <v>834760.10970612313</v>
      </c>
      <c r="W88" s="3">
        <f>Geometry_loads!O40</f>
        <v>-103176.0137676032</v>
      </c>
      <c r="X88" s="3">
        <f t="shared" ref="X88:Y88" si="119">X58</f>
        <v>0</v>
      </c>
      <c r="Y88" s="120">
        <f t="shared" si="119"/>
        <v>0</v>
      </c>
      <c r="Z88" s="220">
        <f t="shared" si="55"/>
        <v>3.43936537166765</v>
      </c>
      <c r="AA88" s="220">
        <f t="shared" si="56"/>
        <v>9.7244640444551145</v>
      </c>
      <c r="AB88" s="220">
        <f t="shared" si="57"/>
        <v>5.702</v>
      </c>
      <c r="AC88" s="120">
        <f t="shared" si="58"/>
        <v>96</v>
      </c>
      <c r="AD88" s="220">
        <f t="shared" si="59"/>
        <v>99.492975500348976</v>
      </c>
      <c r="AE88" s="220">
        <f t="shared" si="60"/>
        <v>0.41787766838259832</v>
      </c>
      <c r="AF88" s="220">
        <f t="shared" si="61"/>
        <v>0.37189852244974814</v>
      </c>
      <c r="AG88" s="220">
        <f t="shared" si="62"/>
        <v>0.2800148766984526</v>
      </c>
      <c r="AH88" s="220">
        <f t="shared" si="63"/>
        <v>0.87910637301247441</v>
      </c>
      <c r="AI88" s="220">
        <f t="shared" si="64"/>
        <v>40.866621531502922</v>
      </c>
      <c r="AJ88" s="220">
        <f t="shared" si="65"/>
        <v>2.7763288688144208</v>
      </c>
      <c r="AK88" s="220">
        <f t="shared" si="66"/>
        <v>6.4867653224607816E-2</v>
      </c>
      <c r="AL88" s="220">
        <f t="shared" si="67"/>
        <v>0.64310442724434824</v>
      </c>
      <c r="AM88" s="220">
        <f t="shared" si="68"/>
        <v>1</v>
      </c>
      <c r="AN88" s="220">
        <f t="shared" si="69"/>
        <v>0</v>
      </c>
      <c r="AO88" s="220">
        <f t="shared" si="70"/>
        <v>0</v>
      </c>
      <c r="AP88" s="220">
        <f t="shared" si="71"/>
        <v>106.39357825763489</v>
      </c>
      <c r="AQ88" s="220">
        <f t="shared" si="72"/>
        <v>0</v>
      </c>
      <c r="AR88" s="220">
        <f t="shared" si="73"/>
        <v>0</v>
      </c>
      <c r="AS88" s="220">
        <f t="shared" si="74"/>
        <v>0</v>
      </c>
      <c r="AT88" s="220">
        <f t="shared" si="75"/>
        <v>0</v>
      </c>
      <c r="AU88" s="220">
        <f t="shared" si="76"/>
        <v>0</v>
      </c>
      <c r="AV88" s="220">
        <f t="shared" si="77"/>
        <v>0</v>
      </c>
      <c r="AW88" s="220">
        <f t="shared" si="78"/>
        <v>0</v>
      </c>
      <c r="AX88" s="220">
        <f t="shared" si="79"/>
        <v>0</v>
      </c>
    </row>
    <row r="89" spans="3:50">
      <c r="C89" s="12" t="str">
        <f t="shared" si="43"/>
        <v>Can23</v>
      </c>
      <c r="D89" s="2">
        <f t="shared" si="44"/>
        <v>-74.3</v>
      </c>
      <c r="E89" s="3">
        <f t="shared" ref="E89:F89" si="120">G28</f>
        <v>11.5</v>
      </c>
      <c r="F89" s="120">
        <f t="shared" si="120"/>
        <v>100</v>
      </c>
      <c r="G89" s="120">
        <f t="shared" si="46"/>
        <v>67.439225788483256</v>
      </c>
      <c r="H89" s="120">
        <f t="shared" si="47"/>
        <v>64.386124643306104</v>
      </c>
      <c r="I89" s="120">
        <f t="shared" si="48"/>
        <v>0</v>
      </c>
      <c r="J89" s="120">
        <f>VLOOKUP(R89,'Steel grades'!$B$5:$J$22,IF(F89&gt;200,10,IF(F89&gt;150,9,IF(F89&gt;120,8,IF(F89&gt;100,7,IF(F89&gt;80,6,IF(F89&gt;63,5,IF(F89&gt;40,4,IF(F89&gt;16,3,2)))))))),FALSE)</f>
        <v>315</v>
      </c>
      <c r="K89" s="3">
        <f t="shared" si="49"/>
        <v>251.8174342430884</v>
      </c>
      <c r="L89" s="3">
        <f t="shared" si="50"/>
        <v>19.755660886661051</v>
      </c>
      <c r="M89" s="3">
        <f t="shared" si="51"/>
        <v>109.2238820892974</v>
      </c>
      <c r="N89" s="3">
        <f t="shared" si="52"/>
        <v>0.58948760483230578</v>
      </c>
      <c r="O89" s="3">
        <f t="shared" si="53"/>
        <v>0.41373214021491433</v>
      </c>
      <c r="P89" s="3">
        <f>(ABS(Geometry_loads!S41)/Z89+ABS(Geometry_loads!T41)/AA89)/(1000*J89)</f>
        <v>0.15862920847723483</v>
      </c>
      <c r="Q89" s="22">
        <f>IF(D89&gt;=$R$14,IF(P89&gt;0.75,"Redesign",IF(P89&lt;0.5,VLOOKUP(R89,'Steel grades'!$B$5:$AB$22,27,FALSE),(VLOOKUP(R89,'Steel grades'!$B$5:$AB$22,27,FALSE)-VLOOKUP(R89,'Steel grades'!$B$5:$AB$22,25,FALSE))/(0.5-0.75)*(P89-0.75)+VLOOKUP(R89,'Steel grades'!$B$5:$AB$22,25,FALSE))),IF(D89&lt;$R$2,IF(P89&gt;0.75,"Redesign",IF(P89&lt;0.5,VLOOKUP(R89,'Steel grades'!$B$5:$AB$22,18,FALSE),(VLOOKUP(R89,'Steel grades'!$B$5:$AB$22,18,FALSE)-VLOOKUP(R89,'Steel grades'!$B$5:$AB$22,11,FALSE))/(0.5-0.75)*(P89-0.75)+VLOOKUP(R89,'Steel grades'!$B$5:$AB$22,11,FALSE))),IF(P89&gt;0.75,"Redesign",IF(P89&lt;0.5,VLOOKUP(R89,'Steel grades'!$B$5:$AB$22,26,FALSE),(VLOOKUP(R89,'Steel grades'!$B$5:$AB$22,26,FALSE)-VLOOKUP(R89,'Steel grades'!$B$5:$AB$22,24,FALSE))/(0.5-0.75)*(P89-0.75)+VLOOKUP(R89,'Steel grades'!$B$5:$AB$22,24,FALSE)))))</f>
        <v>180</v>
      </c>
      <c r="R89" s="3" t="str">
        <f>Geometry!M48</f>
        <v>S355 NL/ML</v>
      </c>
      <c r="T89" s="3">
        <f>Geometry_loads!L41</f>
        <v>-73130.84</v>
      </c>
      <c r="U89" s="3">
        <f>Geometry_loads!M41</f>
        <v>63787.07</v>
      </c>
      <c r="V89" s="3">
        <f>Geometry_loads!N41</f>
        <v>479931.6124015667</v>
      </c>
      <c r="W89" s="3">
        <f>Geometry_loads!O41</f>
        <v>-109701.37940079664</v>
      </c>
      <c r="X89" s="3">
        <f t="shared" ref="X89:Y89" si="121">X59</f>
        <v>0</v>
      </c>
      <c r="Y89" s="120">
        <f t="shared" si="121"/>
        <v>0</v>
      </c>
      <c r="Z89" s="220">
        <f t="shared" si="55"/>
        <v>3.5814156250923546</v>
      </c>
      <c r="AA89" s="220">
        <f t="shared" si="56"/>
        <v>10.119056278114197</v>
      </c>
      <c r="AB89" s="220">
        <f t="shared" si="57"/>
        <v>5.7</v>
      </c>
      <c r="AC89" s="120">
        <f t="shared" si="58"/>
        <v>100</v>
      </c>
      <c r="AD89" s="220">
        <f t="shared" si="59"/>
        <v>97.482809186833165</v>
      </c>
      <c r="AE89" s="220">
        <f t="shared" si="60"/>
        <v>0.41050498668555124</v>
      </c>
      <c r="AF89" s="220">
        <f t="shared" si="61"/>
        <v>0.37629687437838422</v>
      </c>
      <c r="AG89" s="220">
        <f t="shared" si="62"/>
        <v>0.2697215763009167</v>
      </c>
      <c r="AH89" s="220">
        <f t="shared" si="63"/>
        <v>0.87936246878538815</v>
      </c>
      <c r="AI89" s="220">
        <f t="shared" si="64"/>
        <v>43.462453950654314</v>
      </c>
      <c r="AJ89" s="220">
        <f t="shared" si="65"/>
        <v>2.6921431878506463</v>
      </c>
      <c r="AK89" s="220">
        <f t="shared" si="66"/>
        <v>6.8988022143895739E-2</v>
      </c>
      <c r="AL89" s="220">
        <f t="shared" si="67"/>
        <v>0.66063315713153314</v>
      </c>
      <c r="AM89" s="220">
        <f t="shared" si="68"/>
        <v>1</v>
      </c>
      <c r="AN89" s="220">
        <f t="shared" si="69"/>
        <v>0</v>
      </c>
      <c r="AO89" s="220">
        <f t="shared" si="70"/>
        <v>0</v>
      </c>
      <c r="AP89" s="220">
        <f t="shared" si="71"/>
        <v>67.439225788483256</v>
      </c>
      <c r="AQ89" s="220">
        <f t="shared" si="72"/>
        <v>0</v>
      </c>
      <c r="AR89" s="220">
        <f t="shared" si="73"/>
        <v>0</v>
      </c>
      <c r="AS89" s="220">
        <f t="shared" si="74"/>
        <v>0</v>
      </c>
      <c r="AT89" s="220">
        <f t="shared" si="75"/>
        <v>0</v>
      </c>
      <c r="AU89" s="220">
        <f t="shared" si="76"/>
        <v>0</v>
      </c>
      <c r="AV89" s="220">
        <f t="shared" si="77"/>
        <v>0</v>
      </c>
      <c r="AW89" s="220">
        <f t="shared" si="78"/>
        <v>0</v>
      </c>
      <c r="AX89" s="220">
        <f t="shared" si="79"/>
        <v>0</v>
      </c>
    </row>
    <row r="90" spans="3:50">
      <c r="C90" s="12" t="str">
        <f t="shared" si="43"/>
        <v>Can24</v>
      </c>
      <c r="D90" s="2">
        <f t="shared" si="44"/>
        <v>-77.430000000000007</v>
      </c>
      <c r="E90" s="3">
        <f t="shared" ref="E90:F90" si="122">G29</f>
        <v>11.5</v>
      </c>
      <c r="F90" s="120">
        <f t="shared" si="122"/>
        <v>110</v>
      </c>
      <c r="G90" s="120">
        <f t="shared" si="46"/>
        <v>32.928070209675688</v>
      </c>
      <c r="H90" s="120">
        <f t="shared" si="47"/>
        <v>45.279743565511879</v>
      </c>
      <c r="I90" s="120">
        <f t="shared" si="48"/>
        <v>0</v>
      </c>
      <c r="J90" s="120">
        <f>VLOOKUP(R90,'Steel grades'!$B$5:$J$22,IF(F90&gt;200,10,IF(F90&gt;150,9,IF(F90&gt;120,8,IF(F90&gt;100,7,IF(F90&gt;80,6,IF(F90&gt;63,5,IF(F90&gt;40,4,IF(F90&gt;16,3,2)))))))),FALSE)</f>
        <v>295</v>
      </c>
      <c r="K90" s="3">
        <f t="shared" si="49"/>
        <v>238.23178644258977</v>
      </c>
      <c r="L90" s="3">
        <f t="shared" si="50"/>
        <v>22.811913583829142</v>
      </c>
      <c r="M90" s="3">
        <f t="shared" si="51"/>
        <v>111.53302765386303</v>
      </c>
      <c r="N90" s="3">
        <f t="shared" si="52"/>
        <v>0.40597609979740901</v>
      </c>
      <c r="O90" s="3">
        <f t="shared" si="53"/>
        <v>0.28833539114336232</v>
      </c>
      <c r="P90" s="3">
        <f>(ABS(Geometry_loads!S42)/Z90+ABS(Geometry_loads!T42)/AA90)/(1000*J90)</f>
        <v>8.2643380622431553E-2</v>
      </c>
      <c r="Q90" s="22">
        <f>IF(D90&gt;=$R$14,IF(P90&gt;0.75,"Redesign",IF(P90&lt;0.5,VLOOKUP(R90,'Steel grades'!$B$5:$AB$22,27,FALSE),(VLOOKUP(R90,'Steel grades'!$B$5:$AB$22,27,FALSE)-VLOOKUP(R90,'Steel grades'!$B$5:$AB$22,25,FALSE))/(0.5-0.75)*(P90-0.75)+VLOOKUP(R90,'Steel grades'!$B$5:$AB$22,25,FALSE))),IF(D90&lt;$R$2,IF(P90&gt;0.75,"Redesign",IF(P90&lt;0.5,VLOOKUP(R90,'Steel grades'!$B$5:$AB$22,18,FALSE),(VLOOKUP(R90,'Steel grades'!$B$5:$AB$22,18,FALSE)-VLOOKUP(R90,'Steel grades'!$B$5:$AB$22,11,FALSE))/(0.5-0.75)*(P90-0.75)+VLOOKUP(R90,'Steel grades'!$B$5:$AB$22,11,FALSE))),IF(P90&gt;0.75,"Redesign",IF(P90&lt;0.5,VLOOKUP(R90,'Steel grades'!$B$5:$AB$22,26,FALSE),(VLOOKUP(R90,'Steel grades'!$B$5:$AB$22,26,FALSE)-VLOOKUP(R90,'Steel grades'!$B$5:$AB$22,24,FALSE))/(0.5-0.75)*(P90-0.75)+VLOOKUP(R90,'Steel grades'!$B$5:$AB$22,24,FALSE)))))</f>
        <v>180</v>
      </c>
      <c r="R90" s="3" t="str">
        <f>Geometry!M49</f>
        <v>S355 NL/ML</v>
      </c>
      <c r="T90" s="3">
        <f>Geometry_loads!L42</f>
        <v>-73130.84</v>
      </c>
      <c r="U90" s="3">
        <f>Geometry_loads!M42</f>
        <v>63787.07</v>
      </c>
      <c r="V90" s="3">
        <f>Geometry_loads!N42</f>
        <v>160819.35215463999</v>
      </c>
      <c r="W90" s="3">
        <f>Geometry_loads!O42</f>
        <v>-83512.56229309729</v>
      </c>
      <c r="X90" s="3">
        <f t="shared" ref="X90:Y90" si="123">X60</f>
        <v>0</v>
      </c>
      <c r="Y90" s="120">
        <f t="shared" si="123"/>
        <v>0</v>
      </c>
      <c r="Z90" s="220">
        <f t="shared" si="55"/>
        <v>3.936101435682664</v>
      </c>
      <c r="AA90" s="220">
        <f t="shared" si="56"/>
        <v>11.10187678024997</v>
      </c>
      <c r="AB90" s="220">
        <f t="shared" si="57"/>
        <v>5.6950000000000003</v>
      </c>
      <c r="AC90" s="120">
        <f t="shared" si="58"/>
        <v>110</v>
      </c>
      <c r="AD90" s="220">
        <f t="shared" si="59"/>
        <v>92.94621165421195</v>
      </c>
      <c r="AE90" s="220">
        <f t="shared" si="60"/>
        <v>0.38119176466194876</v>
      </c>
      <c r="AF90" s="220">
        <f t="shared" si="61"/>
        <v>0.38646113393155102</v>
      </c>
      <c r="AG90" s="220">
        <f t="shared" si="62"/>
        <v>0.2435754634217398</v>
      </c>
      <c r="AH90" s="220">
        <f t="shared" si="63"/>
        <v>0.88832191554863982</v>
      </c>
      <c r="AI90" s="220">
        <f t="shared" si="64"/>
        <v>50.186209884424102</v>
      </c>
      <c r="AJ90" s="220">
        <f t="shared" si="65"/>
        <v>2.4244811323126152</v>
      </c>
      <c r="AK90" s="220">
        <f t="shared" si="66"/>
        <v>8.5061372685464598E-2</v>
      </c>
      <c r="AL90" s="220">
        <f t="shared" si="67"/>
        <v>0.72033544976380659</v>
      </c>
      <c r="AM90" s="220">
        <f t="shared" si="68"/>
        <v>1</v>
      </c>
      <c r="AN90" s="220">
        <f t="shared" si="69"/>
        <v>0</v>
      </c>
      <c r="AO90" s="220">
        <f t="shared" si="70"/>
        <v>0</v>
      </c>
      <c r="AP90" s="220">
        <f t="shared" si="71"/>
        <v>32.928070209675688</v>
      </c>
      <c r="AQ90" s="220">
        <f t="shared" si="72"/>
        <v>0</v>
      </c>
      <c r="AR90" s="220">
        <f t="shared" si="73"/>
        <v>0</v>
      </c>
      <c r="AS90" s="220">
        <f t="shared" si="74"/>
        <v>0</v>
      </c>
      <c r="AT90" s="220">
        <f t="shared" si="75"/>
        <v>0</v>
      </c>
      <c r="AU90" s="220">
        <f t="shared" si="76"/>
        <v>0</v>
      </c>
      <c r="AV90" s="220">
        <f t="shared" si="77"/>
        <v>0</v>
      </c>
      <c r="AW90" s="220">
        <f t="shared" si="78"/>
        <v>0</v>
      </c>
      <c r="AX90" s="220">
        <f t="shared" si="79"/>
        <v>0</v>
      </c>
    </row>
    <row r="91" spans="3:50">
      <c r="C91" s="12" t="str">
        <f t="shared" si="43"/>
        <v>Can25</v>
      </c>
      <c r="D91" s="2">
        <f t="shared" si="44"/>
        <v>-80.430000000000007</v>
      </c>
      <c r="E91" s="3">
        <f t="shared" ref="E91:F91" si="124">G30</f>
        <v>11.5</v>
      </c>
      <c r="F91" s="120">
        <f t="shared" si="124"/>
        <v>122</v>
      </c>
      <c r="G91" s="120">
        <f t="shared" si="46"/>
        <v>16.769685931813342</v>
      </c>
      <c r="H91" s="120">
        <f t="shared" si="47"/>
        <v>7.710242097531399</v>
      </c>
      <c r="I91" s="120">
        <f t="shared" si="48"/>
        <v>0</v>
      </c>
      <c r="J91" s="120">
        <f>VLOOKUP(R91,'Steel grades'!$B$5:$J$22,IF(F91&gt;200,10,IF(F91&gt;150,9,IF(F91&gt;120,8,IF(F91&gt;100,7,IF(F91&gt;80,6,IF(F91&gt;63,5,IF(F91&gt;40,4,IF(F91&gt;16,3,2)))))))),FALSE)</f>
        <v>295</v>
      </c>
      <c r="K91" s="3">
        <f t="shared" si="49"/>
        <v>234.92680243150312</v>
      </c>
      <c r="L91" s="3">
        <f t="shared" si="50"/>
        <v>26.672899625228862</v>
      </c>
      <c r="M91" s="3">
        <f t="shared" si="51"/>
        <v>117.53643711521197</v>
      </c>
      <c r="N91" s="3">
        <f t="shared" si="52"/>
        <v>7.1382599849171433E-2</v>
      </c>
      <c r="O91" s="3">
        <f t="shared" si="53"/>
        <v>7.2669448800445582E-2</v>
      </c>
      <c r="P91" s="3">
        <f>(ABS(Geometry_loads!S43)/Z91+ABS(Geometry_loads!T43)/AA91)/(1000*J91)</f>
        <v>4.2108437235975994E-2</v>
      </c>
      <c r="Q91" s="22">
        <f>IF(D91&gt;=$R$14,IF(P91&gt;0.75,"Redesign",IF(P91&lt;0.5,VLOOKUP(R91,'Steel grades'!$B$5:$AB$22,27,FALSE),(VLOOKUP(R91,'Steel grades'!$B$5:$AB$22,27,FALSE)-VLOOKUP(R91,'Steel grades'!$B$5:$AB$22,25,FALSE))/(0.5-0.75)*(P91-0.75)+VLOOKUP(R91,'Steel grades'!$B$5:$AB$22,25,FALSE))),IF(D91&lt;$R$2,IF(P91&gt;0.75,"Redesign",IF(P91&lt;0.5,VLOOKUP(R91,'Steel grades'!$B$5:$AB$22,18,FALSE),(VLOOKUP(R91,'Steel grades'!$B$5:$AB$22,18,FALSE)-VLOOKUP(R91,'Steel grades'!$B$5:$AB$22,11,FALSE))/(0.5-0.75)*(P91-0.75)+VLOOKUP(R91,'Steel grades'!$B$5:$AB$22,11,FALSE))),IF(P91&gt;0.75,"Redesign",IF(P91&lt;0.5,VLOOKUP(R91,'Steel grades'!$B$5:$AB$22,26,FALSE),(VLOOKUP(R91,'Steel grades'!$B$5:$AB$22,26,FALSE)-VLOOKUP(R91,'Steel grades'!$B$5:$AB$22,24,FALSE))/(0.5-0.75)*(P91-0.75)+VLOOKUP(R91,'Steel grades'!$B$5:$AB$22,24,FALSE)))))</f>
        <v>180</v>
      </c>
      <c r="R91" s="3" t="str">
        <f>Geometry!M50</f>
        <v>S355 NL/ML</v>
      </c>
      <c r="T91" s="3">
        <f>Geometry_loads!L43</f>
        <v>-73130.84</v>
      </c>
      <c r="U91" s="3">
        <f>Geometry_loads!M43</f>
        <v>63787.07</v>
      </c>
      <c r="V91" s="3">
        <f>Geometry_loads!N43</f>
        <v>1E-100</v>
      </c>
      <c r="W91" s="3">
        <f>Geometry_loads!O43</f>
        <v>-11205.6022600377</v>
      </c>
      <c r="X91" s="3">
        <f t="shared" ref="X91:Y91" si="125">X61</f>
        <v>0</v>
      </c>
      <c r="Y91" s="120">
        <f t="shared" si="125"/>
        <v>0</v>
      </c>
      <c r="Z91" s="220">
        <f t="shared" si="55"/>
        <v>4.3608950279304493</v>
      </c>
      <c r="AA91" s="220">
        <f t="shared" si="56"/>
        <v>12.274380676491754</v>
      </c>
      <c r="AB91" s="220">
        <f t="shared" si="57"/>
        <v>5.6890000000000001</v>
      </c>
      <c r="AC91" s="120">
        <f t="shared" si="58"/>
        <v>122</v>
      </c>
      <c r="AD91" s="220">
        <f t="shared" si="59"/>
        <v>88.256788560504191</v>
      </c>
      <c r="AE91" s="220">
        <f t="shared" si="60"/>
        <v>0.3646416026431924</v>
      </c>
      <c r="AF91" s="220">
        <f t="shared" si="61"/>
        <v>0.39731783114275282</v>
      </c>
      <c r="AG91" s="220">
        <f t="shared" si="62"/>
        <v>0.2</v>
      </c>
      <c r="AH91" s="220">
        <f t="shared" si="63"/>
        <v>0.87599824635475743</v>
      </c>
      <c r="AI91" s="220">
        <f t="shared" si="64"/>
        <v>58.680379175503504</v>
      </c>
      <c r="AJ91" s="220">
        <f t="shared" si="65"/>
        <v>2.2421494253513221</v>
      </c>
      <c r="AK91" s="220">
        <f t="shared" si="66"/>
        <v>9.9458269788988987E-2</v>
      </c>
      <c r="AL91" s="220">
        <f t="shared" si="67"/>
        <v>0.75910843697148678</v>
      </c>
      <c r="AM91" s="220">
        <f t="shared" si="68"/>
        <v>1</v>
      </c>
      <c r="AN91" s="220">
        <f t="shared" si="69"/>
        <v>0</v>
      </c>
      <c r="AO91" s="220">
        <f t="shared" si="70"/>
        <v>0</v>
      </c>
      <c r="AP91" s="220">
        <f t="shared" si="71"/>
        <v>16.769685931813338</v>
      </c>
      <c r="AQ91" s="220">
        <f t="shared" si="72"/>
        <v>0</v>
      </c>
      <c r="AR91" s="220">
        <f t="shared" si="73"/>
        <v>0</v>
      </c>
      <c r="AS91" s="220">
        <f t="shared" si="74"/>
        <v>0</v>
      </c>
      <c r="AT91" s="220">
        <f t="shared" si="75"/>
        <v>0</v>
      </c>
      <c r="AU91" s="220">
        <f t="shared" si="76"/>
        <v>0</v>
      </c>
      <c r="AV91" s="220">
        <f t="shared" si="77"/>
        <v>0</v>
      </c>
      <c r="AW91" s="220">
        <f t="shared" si="78"/>
        <v>0</v>
      </c>
      <c r="AX91" s="220">
        <f t="shared" si="79"/>
        <v>0</v>
      </c>
    </row>
  </sheetData>
  <sheetProtection sheet="1" objects="1" scenarios="1"/>
  <mergeCells count="95">
    <mergeCell ref="AW34:AW35"/>
    <mergeCell ref="AX34:AX35"/>
    <mergeCell ref="AI34:AI35"/>
    <mergeCell ref="AJ34:AJ35"/>
    <mergeCell ref="AF34:AF35"/>
    <mergeCell ref="AG34:AG35"/>
    <mergeCell ref="AR34:AR35"/>
    <mergeCell ref="AS34:AS35"/>
    <mergeCell ref="AH34:AH35"/>
    <mergeCell ref="AK34:AK35"/>
    <mergeCell ref="AL34:AL35"/>
    <mergeCell ref="AO34:AO35"/>
    <mergeCell ref="AC34:AC35"/>
    <mergeCell ref="AX64:AX65"/>
    <mergeCell ref="AU34:AU35"/>
    <mergeCell ref="AV34:AV35"/>
    <mergeCell ref="AT34:AT35"/>
    <mergeCell ref="AM34:AM35"/>
    <mergeCell ref="AN34:AN35"/>
    <mergeCell ref="AP34:AP35"/>
    <mergeCell ref="AQ34:AQ35"/>
    <mergeCell ref="AN64:AN65"/>
    <mergeCell ref="AO64:AO65"/>
    <mergeCell ref="AP64:AP65"/>
    <mergeCell ref="AS64:AS65"/>
    <mergeCell ref="AT64:AT65"/>
    <mergeCell ref="AU64:AU65"/>
    <mergeCell ref="AV64:AV65"/>
    <mergeCell ref="AW64:AW65"/>
    <mergeCell ref="T64:T65"/>
    <mergeCell ref="U64:U65"/>
    <mergeCell ref="V64:V65"/>
    <mergeCell ref="W64:W65"/>
    <mergeCell ref="AA64:AA65"/>
    <mergeCell ref="X64:X65"/>
    <mergeCell ref="Y64:Y65"/>
    <mergeCell ref="AF64:AF65"/>
    <mergeCell ref="Z64:Z65"/>
    <mergeCell ref="AD64:AD65"/>
    <mergeCell ref="AC64:AC65"/>
    <mergeCell ref="AE64:AE65"/>
    <mergeCell ref="AB64:AB65"/>
    <mergeCell ref="AG64:AG65"/>
    <mergeCell ref="AH64:AH65"/>
    <mergeCell ref="H64:H65"/>
    <mergeCell ref="I64:I65"/>
    <mergeCell ref="J64:J65"/>
    <mergeCell ref="K64:K65"/>
    <mergeCell ref="L64:L65"/>
    <mergeCell ref="M64:M65"/>
    <mergeCell ref="N64:N65"/>
    <mergeCell ref="O64:O65"/>
    <mergeCell ref="Q34:Q35"/>
    <mergeCell ref="R34:R35"/>
    <mergeCell ref="R64:R65"/>
    <mergeCell ref="P64:P65"/>
    <mergeCell ref="Q64:Q65"/>
    <mergeCell ref="C64:C65"/>
    <mergeCell ref="D64:D65"/>
    <mergeCell ref="E64:E65"/>
    <mergeCell ref="F64:F65"/>
    <mergeCell ref="G64:G65"/>
    <mergeCell ref="C4:C5"/>
    <mergeCell ref="C34:C35"/>
    <mergeCell ref="D34:D35"/>
    <mergeCell ref="E34:E35"/>
    <mergeCell ref="F34:F35"/>
    <mergeCell ref="G34:G35"/>
    <mergeCell ref="H34:H35"/>
    <mergeCell ref="I34:I35"/>
    <mergeCell ref="J34:J35"/>
    <mergeCell ref="K34:K35"/>
    <mergeCell ref="L34:L35"/>
    <mergeCell ref="M34:M35"/>
    <mergeCell ref="N34:N35"/>
    <mergeCell ref="O34:O35"/>
    <mergeCell ref="AE34:AE35"/>
    <mergeCell ref="P34:P35"/>
    <mergeCell ref="T34:T35"/>
    <mergeCell ref="U34:U35"/>
    <mergeCell ref="V34:V35"/>
    <mergeCell ref="X34:X35"/>
    <mergeCell ref="Y34:Y35"/>
    <mergeCell ref="Z34:Z35"/>
    <mergeCell ref="AA34:AA35"/>
    <mergeCell ref="AD34:AD35"/>
    <mergeCell ref="W34:W35"/>
    <mergeCell ref="AB34:AB35"/>
    <mergeCell ref="AI64:AI65"/>
    <mergeCell ref="AJ64:AJ65"/>
    <mergeCell ref="AM64:AM65"/>
    <mergeCell ref="AQ64:AQ65"/>
    <mergeCell ref="AR64:AR65"/>
    <mergeCell ref="AK64:AK65"/>
    <mergeCell ref="AL64:AL65"/>
  </mergeCells>
  <conditionalFormatting sqref="N37:O61 N67:O91">
    <cfRule type="cellIs" dxfId="7" priority="3" operator="greaterThan">
      <formula>1</formula>
    </cfRule>
    <cfRule type="cellIs" dxfId="6" priority="4" operator="lessThan">
      <formula>0.9</formula>
    </cfRule>
    <cfRule type="cellIs" dxfId="5" priority="5" operator="greaterThan">
      <formula>0.9</formula>
    </cfRule>
  </conditionalFormatting>
  <conditionalFormatting sqref="Q37:Q61 Q67:Q91">
    <cfRule type="cellIs" dxfId="4" priority="2" operator="greaterThan">
      <formula>F37</formula>
    </cfRule>
  </conditionalFormatting>
  <conditionalFormatting sqref="Q37:Q61 Q67:Q91">
    <cfRule type="cellIs" dxfId="3" priority="1" operator="lessThan">
      <formula>F37</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R37:R62 R67:R91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5" t="s">
        <v>557</v>
      </c>
      <c r="Q1" s="195"/>
      <c r="R1" s="195"/>
      <c r="S1" s="195"/>
      <c r="T1" s="32"/>
      <c r="U1" s="205" t="s">
        <v>558</v>
      </c>
      <c r="V1" s="205"/>
      <c r="W1" s="205"/>
      <c r="X1" s="205"/>
      <c r="Y1" s="205"/>
      <c r="Z1" s="32"/>
      <c r="AA1" s="205" t="s">
        <v>560</v>
      </c>
      <c r="AB1" s="205"/>
      <c r="AC1" s="205"/>
      <c r="AD1" s="205"/>
    </row>
    <row r="2" spans="3:55">
      <c r="P2" s="32" t="s">
        <v>196</v>
      </c>
      <c r="Q2" s="32"/>
      <c r="R2" s="194" t="e">
        <f>SUM(I6:I28)</f>
        <v>#REF!</v>
      </c>
      <c r="S2" s="32" t="s">
        <v>91</v>
      </c>
      <c r="T2" s="32"/>
      <c r="U2" s="32" t="s">
        <v>92</v>
      </c>
      <c r="V2" s="32"/>
      <c r="W2" s="32">
        <v>210000000</v>
      </c>
      <c r="X2" s="32" t="s">
        <v>93</v>
      </c>
      <c r="Y2" s="32"/>
      <c r="Z2" s="32"/>
      <c r="AA2" s="32" t="s">
        <v>561</v>
      </c>
      <c r="AB2" s="32"/>
      <c r="AC2" s="194" t="str">
        <f>Control!$F$31</f>
        <v>C</v>
      </c>
      <c r="AD2" s="32"/>
    </row>
    <row r="3" spans="3:55">
      <c r="C3" s="35" t="s">
        <v>441</v>
      </c>
      <c r="P3" s="32"/>
      <c r="Q3" s="32"/>
      <c r="R3" s="32"/>
      <c r="S3" s="32"/>
      <c r="T3" s="32"/>
      <c r="U3" s="205" t="s">
        <v>521</v>
      </c>
      <c r="V3" s="205"/>
      <c r="W3" s="205"/>
      <c r="X3" s="205"/>
      <c r="Y3" s="205"/>
      <c r="Z3" s="32"/>
      <c r="AA3" s="32" t="s">
        <v>563</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4">
        <f>Control!$F$29</f>
        <v>1.1000000000000001</v>
      </c>
      <c r="X4" s="32"/>
      <c r="Y4" s="32"/>
      <c r="Z4" s="32"/>
      <c r="AA4" s="32"/>
      <c r="AB4" s="32" t="s">
        <v>562</v>
      </c>
      <c r="AC4" s="32">
        <f>IF(AC2="A",40,IF(AC2="B",25,16))</f>
        <v>16</v>
      </c>
      <c r="AD4" s="32"/>
      <c r="AU4" s="23"/>
      <c r="AV4" s="191"/>
      <c r="AW4" s="191"/>
      <c r="AX4" s="191"/>
      <c r="AY4" s="191"/>
      <c r="AZ4" s="191"/>
      <c r="BA4" s="191"/>
      <c r="BB4" s="191"/>
      <c r="BC4" s="191"/>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4">
        <f>Control!$F$28</f>
        <v>1</v>
      </c>
      <c r="X5" s="32"/>
      <c r="Y5" s="32"/>
      <c r="Z5" s="32"/>
      <c r="AA5" s="32"/>
      <c r="AB5" s="32" t="s">
        <v>564</v>
      </c>
      <c r="AC5" s="32">
        <f>IF(AC2="A",0.75,IF(AC2="B",0.65,0.5))</f>
        <v>0.5</v>
      </c>
      <c r="AD5" s="32"/>
      <c r="AU5" s="192"/>
      <c r="AV5" s="193"/>
      <c r="AW5" s="193"/>
      <c r="AX5" s="193"/>
      <c r="AY5" s="193"/>
      <c r="AZ5" s="193"/>
      <c r="BA5" s="193"/>
      <c r="BB5" s="193"/>
      <c r="BC5" s="193"/>
    </row>
    <row r="6" spans="3:55">
      <c r="C6" s="12">
        <v>1</v>
      </c>
      <c r="D6" s="44">
        <f>Geometry!D26</f>
        <v>5.8</v>
      </c>
      <c r="E6" s="44">
        <f>Geometry!E26</f>
        <v>2.6</v>
      </c>
      <c r="F6" s="44">
        <f>Geometry!F26</f>
        <v>8</v>
      </c>
      <c r="G6" s="44">
        <f>Geometry!G26</f>
        <v>8</v>
      </c>
      <c r="H6" s="44">
        <f>Geometry!H26</f>
        <v>125</v>
      </c>
      <c r="I6" s="56">
        <f>D6-E6</f>
        <v>3.1999999999999997</v>
      </c>
      <c r="J6" s="57">
        <f>ATAN((G6-F6)/(2*I6))/PI()*180</f>
        <v>0</v>
      </c>
      <c r="K6" s="58">
        <f>IF(J6=0,PI()/4*(F6^2-(F6-(2*H6/1000))^2)*I6*7850/1000,(I6*PI()/12)*((G6^2+G6*F6+F6^2)-((G6-2*(H6/1000))^2+(G6-(2*H6/1000))*(F6-(2*H6/1000))+(F6-(2*H6/1000))^2))*7850/1000)</f>
        <v>77.683732341641601</v>
      </c>
      <c r="L6" s="21"/>
      <c r="P6" s="32"/>
      <c r="Q6" s="32"/>
      <c r="R6" s="32"/>
      <c r="S6" s="32"/>
      <c r="T6" s="32"/>
      <c r="U6" s="32"/>
      <c r="V6" s="32"/>
      <c r="W6" s="32"/>
      <c r="X6" s="32"/>
      <c r="Y6" s="32"/>
      <c r="Z6" s="32"/>
      <c r="AA6" s="32"/>
      <c r="AB6" s="32" t="s">
        <v>565</v>
      </c>
      <c r="AC6" s="32">
        <f>IF(AC2="A",0.75,IF(AC2="B",0.65,0.5))</f>
        <v>0.5</v>
      </c>
      <c r="AD6" s="32"/>
      <c r="AU6" s="192"/>
      <c r="AV6" s="193"/>
      <c r="AW6" s="193"/>
      <c r="AX6" s="193"/>
      <c r="AY6" s="193"/>
      <c r="AZ6" s="193"/>
      <c r="BA6" s="193"/>
      <c r="BB6" s="193"/>
      <c r="BC6" s="193"/>
    </row>
    <row r="7" spans="3:55">
      <c r="C7" s="12">
        <v>2</v>
      </c>
      <c r="D7" s="44">
        <f>Geometry!D27</f>
        <v>2.6</v>
      </c>
      <c r="E7" s="44">
        <f>Geometry!E27</f>
        <v>-0.6</v>
      </c>
      <c r="F7" s="44">
        <f>Geometry!F27</f>
        <v>8</v>
      </c>
      <c r="G7" s="44">
        <f>Geometry!G27</f>
        <v>8</v>
      </c>
      <c r="H7" s="44">
        <f>Geometry!H27</f>
        <v>116</v>
      </c>
      <c r="I7" s="56">
        <f t="shared" ref="I7:I28" si="0">D7-E7</f>
        <v>3.2</v>
      </c>
      <c r="J7" s="57">
        <f t="shared" ref="J7:J28" si="1">ATAN((G7-F7)/(2*I7))/PI()*180</f>
        <v>0</v>
      </c>
      <c r="K7" s="58">
        <f t="shared" ref="K7:K28" si="2">IF(J7=0,PI()/4*(F7^2-(F7-(2*H7/1000))^2)*I7*7850/1000,(I7*PI()/12)*((G7^2+G7*F7+F7^2)-((G7-2*(H7/1000))^2+(G7-(2*H7/1000))*(F7-(2*H7/1000))+(F7-(2*H7/1000))^2))*7850/1000)</f>
        <v>72.172892760029853</v>
      </c>
      <c r="R7" s="29"/>
      <c r="S7" s="29"/>
      <c r="AB7" s="32" t="s">
        <v>604</v>
      </c>
      <c r="AC7">
        <v>3</v>
      </c>
      <c r="AU7" s="192"/>
      <c r="AV7" s="193"/>
      <c r="AW7" s="193"/>
      <c r="AX7" s="193"/>
      <c r="AY7" s="193"/>
      <c r="AZ7" s="193"/>
      <c r="BA7" s="193"/>
      <c r="BB7" s="193"/>
      <c r="BC7" s="193"/>
    </row>
    <row r="8" spans="3:55">
      <c r="C8" s="12">
        <v>3</v>
      </c>
      <c r="D8" s="44">
        <f>Geometry!D28</f>
        <v>-0.6</v>
      </c>
      <c r="E8" s="44">
        <f>Geometry!E28</f>
        <v>-3.8</v>
      </c>
      <c r="F8" s="44">
        <f>Geometry!F28</f>
        <v>8</v>
      </c>
      <c r="G8" s="44">
        <f>Geometry!G28</f>
        <v>8</v>
      </c>
      <c r="H8" s="44">
        <f>Geometry!H28</f>
        <v>125</v>
      </c>
      <c r="I8" s="56">
        <f t="shared" si="0"/>
        <v>3.1999999999999997</v>
      </c>
      <c r="J8" s="57">
        <f t="shared" si="1"/>
        <v>0</v>
      </c>
      <c r="K8" s="58">
        <f t="shared" si="2"/>
        <v>77.683732341641601</v>
      </c>
      <c r="R8" s="29"/>
      <c r="S8" s="29"/>
      <c r="AU8" s="192"/>
      <c r="AV8" s="193"/>
      <c r="AW8" s="193"/>
      <c r="AX8" s="193"/>
      <c r="AY8" s="193"/>
      <c r="AZ8" s="193"/>
      <c r="BA8" s="193"/>
      <c r="BB8" s="193"/>
      <c r="BC8" s="193"/>
    </row>
    <row r="9" spans="3:55">
      <c r="C9" s="12">
        <v>4</v>
      </c>
      <c r="D9" s="44">
        <f>Geometry!D29</f>
        <v>-3.8</v>
      </c>
      <c r="E9" s="44">
        <f>Geometry!E29</f>
        <v>-7.3</v>
      </c>
      <c r="F9" s="44">
        <f>Geometry!F29</f>
        <v>8</v>
      </c>
      <c r="G9" s="44">
        <f>Geometry!G29</f>
        <v>8.4377999999999993</v>
      </c>
      <c r="H9" s="44">
        <f>Geometry!H29</f>
        <v>125</v>
      </c>
      <c r="I9" s="56">
        <f t="shared" si="0"/>
        <v>3.5</v>
      </c>
      <c r="J9" s="57">
        <f t="shared" si="1"/>
        <v>3.5787803472726449</v>
      </c>
      <c r="K9" s="58">
        <f t="shared" si="2"/>
        <v>87.32838350000182</v>
      </c>
      <c r="P9" s="29"/>
      <c r="AU9" s="192"/>
      <c r="AV9" s="193"/>
      <c r="AW9" s="193"/>
      <c r="AX9" s="193"/>
      <c r="AY9" s="193"/>
      <c r="AZ9" s="193"/>
      <c r="BA9" s="193"/>
      <c r="BB9" s="193"/>
      <c r="BC9" s="193"/>
    </row>
    <row r="10" spans="3:55">
      <c r="C10" s="12">
        <v>5</v>
      </c>
      <c r="D10" s="44">
        <f>Geometry!D30</f>
        <v>-7.3</v>
      </c>
      <c r="E10" s="44">
        <f>Geometry!E30</f>
        <v>-10.8</v>
      </c>
      <c r="F10" s="44">
        <f>Geometry!F30</f>
        <v>8.4377999999999993</v>
      </c>
      <c r="G10" s="44">
        <f>Geometry!G30</f>
        <v>8.8756000000000004</v>
      </c>
      <c r="H10" s="44">
        <f>Geometry!H30</f>
        <v>106</v>
      </c>
      <c r="I10" s="56">
        <f t="shared" si="0"/>
        <v>3.5000000000000009</v>
      </c>
      <c r="J10" s="57">
        <f t="shared" si="1"/>
        <v>3.5787803472726587</v>
      </c>
      <c r="K10" s="58">
        <f t="shared" si="2"/>
        <v>78.23392306018836</v>
      </c>
      <c r="P10" s="29"/>
    </row>
    <row r="11" spans="3:55">
      <c r="C11" s="12">
        <v>6</v>
      </c>
      <c r="D11" s="44">
        <f>Geometry!D31</f>
        <v>-10.8</v>
      </c>
      <c r="E11" s="44">
        <f>Geometry!E31</f>
        <v>-14.3</v>
      </c>
      <c r="F11" s="44">
        <f>Geometry!F31</f>
        <v>8.8756000000000004</v>
      </c>
      <c r="G11" s="44">
        <f>Geometry!G31</f>
        <v>9.3133999999999997</v>
      </c>
      <c r="H11" s="44">
        <f>Geometry!H31</f>
        <v>116</v>
      </c>
      <c r="I11" s="56">
        <f t="shared" si="0"/>
        <v>3.5</v>
      </c>
      <c r="J11" s="57">
        <f t="shared" si="1"/>
        <v>3.5787803472726449</v>
      </c>
      <c r="K11" s="58">
        <f t="shared" si="2"/>
        <v>89.897859262459406</v>
      </c>
      <c r="P11" s="29"/>
    </row>
    <row r="12" spans="3:55">
      <c r="C12" s="12">
        <v>7</v>
      </c>
      <c r="D12" s="44">
        <f>Geometry!D32</f>
        <v>-14.3</v>
      </c>
      <c r="E12" s="44">
        <f>Geometry!E32</f>
        <v>-17.8</v>
      </c>
      <c r="F12" s="44">
        <f>Geometry!F32</f>
        <v>9.3133999999999997</v>
      </c>
      <c r="G12" s="44">
        <f>Geometry!G32</f>
        <v>9.7510999999999992</v>
      </c>
      <c r="H12" s="44">
        <f>Geometry!H32</f>
        <v>103</v>
      </c>
      <c r="I12" s="56">
        <f t="shared" si="0"/>
        <v>3.5</v>
      </c>
      <c r="J12" s="57">
        <f t="shared" si="1"/>
        <v>3.5779650246316992</v>
      </c>
      <c r="K12" s="58">
        <f t="shared" si="2"/>
        <v>83.830479241988286</v>
      </c>
      <c r="P12" s="29"/>
    </row>
    <row r="13" spans="3:55">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row>
    <row r="14" spans="3:55">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row>
    <row r="15" spans="3:55">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row>
    <row r="16" spans="3:55">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row>
    <row r="17" spans="3:48">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row>
    <row r="18" spans="3:48">
      <c r="C18" s="12">
        <v>13</v>
      </c>
      <c r="D18" s="44">
        <f>Geometry!D39</f>
        <v>-38.6</v>
      </c>
      <c r="E18" s="44">
        <f>Geometry!E39</f>
        <v>-41.9</v>
      </c>
      <c r="F18" s="44">
        <f>Geometry!F39</f>
        <v>11.5</v>
      </c>
      <c r="G18" s="44">
        <f>Geometry!G39</f>
        <v>11.5</v>
      </c>
      <c r="H18" s="44">
        <f>Geometry!H39</f>
        <v>98</v>
      </c>
      <c r="I18" s="56">
        <f t="shared" si="0"/>
        <v>3.2999999999999972</v>
      </c>
      <c r="J18" s="57">
        <f t="shared" si="1"/>
        <v>0</v>
      </c>
      <c r="K18" s="58">
        <f t="shared" si="2"/>
        <v>90.936991392364675</v>
      </c>
    </row>
    <row r="19" spans="3:48">
      <c r="C19" s="12">
        <v>14</v>
      </c>
      <c r="D19" s="44">
        <f>Geometry!D42</f>
        <v>-48.5</v>
      </c>
      <c r="E19" s="44">
        <f>Geometry!E42</f>
        <v>-51.7</v>
      </c>
      <c r="F19" s="44">
        <f>Geometry!F42</f>
        <v>11.5</v>
      </c>
      <c r="G19" s="44">
        <f>Geometry!G42</f>
        <v>11.5</v>
      </c>
      <c r="H19" s="44">
        <f>Geometry!H42</f>
        <v>95</v>
      </c>
      <c r="I19" s="56">
        <f t="shared" si="0"/>
        <v>3.2000000000000028</v>
      </c>
      <c r="J19" s="57">
        <f t="shared" si="1"/>
        <v>0</v>
      </c>
      <c r="K19" s="58">
        <f t="shared" si="2"/>
        <v>85.504387960746612</v>
      </c>
    </row>
    <row r="20" spans="3:48">
      <c r="C20" s="12">
        <v>15</v>
      </c>
      <c r="D20" s="44">
        <f>Geometry!D43</f>
        <v>-51.7</v>
      </c>
      <c r="E20" s="44">
        <f>Geometry!E43</f>
        <v>-55.3</v>
      </c>
      <c r="F20" s="44">
        <f>Geometry!F43</f>
        <v>11.5</v>
      </c>
      <c r="G20" s="44">
        <f>Geometry!G43</f>
        <v>11.5</v>
      </c>
      <c r="H20" s="44">
        <f>Geometry!H43</f>
        <v>93</v>
      </c>
      <c r="I20" s="56">
        <f t="shared" si="0"/>
        <v>3.5999999999999943</v>
      </c>
      <c r="J20" s="57">
        <f t="shared" si="1"/>
        <v>0</v>
      </c>
      <c r="K20" s="58">
        <f t="shared" si="2"/>
        <v>94.18384587241448</v>
      </c>
    </row>
    <row r="21" spans="3:48">
      <c r="C21" s="12">
        <v>16</v>
      </c>
      <c r="D21" s="44">
        <f>Geometry!D44</f>
        <v>-55.3</v>
      </c>
      <c r="E21" s="44">
        <f>Geometry!E44</f>
        <v>-59.3</v>
      </c>
      <c r="F21" s="44">
        <f>Geometry!F44</f>
        <v>11.5</v>
      </c>
      <c r="G21" s="44">
        <f>Geometry!G44</f>
        <v>11.5</v>
      </c>
      <c r="H21" s="44">
        <f>Geometry!H44</f>
        <v>93</v>
      </c>
      <c r="I21" s="56">
        <f t="shared" si="0"/>
        <v>4</v>
      </c>
      <c r="J21" s="57">
        <f t="shared" si="1"/>
        <v>0</v>
      </c>
      <c r="K21" s="58">
        <f t="shared" si="2"/>
        <v>104.64871763601626</v>
      </c>
    </row>
    <row r="22" spans="3:48">
      <c r="C22" s="12">
        <v>17</v>
      </c>
      <c r="D22" s="44">
        <f>Geometry!D45</f>
        <v>-59.3</v>
      </c>
      <c r="E22" s="44">
        <f>Geometry!E45</f>
        <v>-63.3</v>
      </c>
      <c r="F22" s="44">
        <f>Geometry!F45</f>
        <v>11.5</v>
      </c>
      <c r="G22" s="44">
        <f>Geometry!G45</f>
        <v>11.5</v>
      </c>
      <c r="H22" s="44">
        <f>Geometry!H45</f>
        <v>93</v>
      </c>
      <c r="I22" s="56">
        <f t="shared" si="0"/>
        <v>4</v>
      </c>
      <c r="J22" s="57">
        <f t="shared" si="1"/>
        <v>0</v>
      </c>
      <c r="K22" s="58">
        <f t="shared" si="2"/>
        <v>104.64871763601626</v>
      </c>
    </row>
    <row r="23" spans="3:48">
      <c r="C23" s="12">
        <v>18</v>
      </c>
      <c r="D23" s="44">
        <f>Geometry!D46</f>
        <v>-63.3</v>
      </c>
      <c r="E23" s="44">
        <f>Geometry!E46</f>
        <v>-67.3</v>
      </c>
      <c r="F23" s="44">
        <f>Geometry!F46</f>
        <v>11.5</v>
      </c>
      <c r="G23" s="44">
        <f>Geometry!G46</f>
        <v>11.5</v>
      </c>
      <c r="H23" s="44">
        <f>Geometry!H46</f>
        <v>93</v>
      </c>
      <c r="I23" s="56">
        <f t="shared" si="0"/>
        <v>4</v>
      </c>
      <c r="J23" s="57">
        <f t="shared" si="1"/>
        <v>0</v>
      </c>
      <c r="K23" s="58">
        <f t="shared" si="2"/>
        <v>104.64871763601626</v>
      </c>
    </row>
    <row r="24" spans="3:48">
      <c r="C24" s="12">
        <v>19</v>
      </c>
      <c r="D24" s="44">
        <f>Geometry!D47</f>
        <v>-67.3</v>
      </c>
      <c r="E24" s="44">
        <f>Geometry!E47</f>
        <v>-71</v>
      </c>
      <c r="F24" s="44">
        <f>Geometry!F47</f>
        <v>11.5</v>
      </c>
      <c r="G24" s="44">
        <f>Geometry!G47</f>
        <v>11.5</v>
      </c>
      <c r="H24" s="44">
        <f>Geometry!H47</f>
        <v>96</v>
      </c>
      <c r="I24" s="56">
        <f t="shared" si="0"/>
        <v>3.7000000000000028</v>
      </c>
      <c r="J24" s="57">
        <f t="shared" si="1"/>
        <v>0</v>
      </c>
      <c r="K24" s="58">
        <f t="shared" si="2"/>
        <v>99.896367220086958</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Geometry!D48</f>
        <v>-71</v>
      </c>
      <c r="E26" s="44">
        <f>Geometry!E48</f>
        <v>-74.3</v>
      </c>
      <c r="F26" s="44">
        <f>Geometry!F48</f>
        <v>11.5</v>
      </c>
      <c r="G26" s="44">
        <f>Geometry!G48</f>
        <v>11.5</v>
      </c>
      <c r="H26" s="44">
        <f>Geometry!H48</f>
        <v>100</v>
      </c>
      <c r="I26" s="56">
        <f t="shared" si="0"/>
        <v>3.2999999999999972</v>
      </c>
      <c r="J26" s="57">
        <f t="shared" si="1"/>
        <v>0</v>
      </c>
      <c r="K26" s="58">
        <f t="shared" si="2"/>
        <v>92.776571768017348</v>
      </c>
    </row>
    <row r="27" spans="3:48">
      <c r="C27" s="12">
        <v>22</v>
      </c>
      <c r="D27" s="44">
        <f>Geometry!D49</f>
        <v>-74.3</v>
      </c>
      <c r="E27" s="44">
        <f>Geometry!E49</f>
        <v>-77.430000000000007</v>
      </c>
      <c r="F27" s="44">
        <f>Geometry!F49</f>
        <v>11.5</v>
      </c>
      <c r="G27" s="44">
        <f>Geometry!G49</f>
        <v>11.5</v>
      </c>
      <c r="H27" s="44">
        <f>Geometry!H49</f>
        <v>110</v>
      </c>
      <c r="I27" s="56">
        <f t="shared" si="0"/>
        <v>3.1300000000000097</v>
      </c>
      <c r="J27" s="57">
        <f t="shared" si="1"/>
        <v>0</v>
      </c>
      <c r="K27" s="58">
        <f t="shared" si="2"/>
        <v>96.711980325441203</v>
      </c>
    </row>
    <row r="28" spans="3:48">
      <c r="C28" s="12">
        <v>23</v>
      </c>
      <c r="D28" s="44">
        <f>Geometry!D50</f>
        <v>-77.430000000000007</v>
      </c>
      <c r="E28" s="44">
        <f>Geometry!E50</f>
        <v>-80.430000000000007</v>
      </c>
      <c r="F28" s="44">
        <f>Geometry!F50</f>
        <v>11.5</v>
      </c>
      <c r="G28" s="44">
        <f>Geometry!G50</f>
        <v>11.5</v>
      </c>
      <c r="H28" s="44">
        <f>Geometry!H50</f>
        <v>122</v>
      </c>
      <c r="I28" s="56">
        <f t="shared" si="0"/>
        <v>3</v>
      </c>
      <c r="J28" s="57">
        <f t="shared" si="1"/>
        <v>0</v>
      </c>
      <c r="K28" s="58">
        <f t="shared" si="2"/>
        <v>102.69907790776207</v>
      </c>
    </row>
    <row r="30" spans="3:48">
      <c r="N30" s="180"/>
      <c r="O30" s="180"/>
      <c r="AK30" s="180" t="s">
        <v>539</v>
      </c>
    </row>
    <row r="31" spans="3:48">
      <c r="C31" s="35" t="s">
        <v>221</v>
      </c>
      <c r="F31" t="s">
        <v>540</v>
      </c>
      <c r="I31" s="19"/>
      <c r="J31" s="19"/>
      <c r="N31" s="19"/>
    </row>
    <row r="32" spans="3:48" ht="15" customHeight="1">
      <c r="C32" s="317" t="s">
        <v>222</v>
      </c>
      <c r="D32" s="317" t="s">
        <v>53</v>
      </c>
      <c r="E32" s="317" t="s">
        <v>105</v>
      </c>
      <c r="F32" s="317" t="s">
        <v>101</v>
      </c>
      <c r="G32" s="329" t="s">
        <v>98</v>
      </c>
      <c r="H32" s="317" t="s">
        <v>99</v>
      </c>
      <c r="I32" s="330" t="s">
        <v>102</v>
      </c>
      <c r="J32" s="317" t="s">
        <v>100</v>
      </c>
      <c r="K32" s="329" t="s">
        <v>94</v>
      </c>
      <c r="L32" s="329" t="s">
        <v>213</v>
      </c>
      <c r="M32" s="332" t="s">
        <v>214</v>
      </c>
      <c r="N32" s="317" t="s">
        <v>106</v>
      </c>
      <c r="O32" s="317" t="s">
        <v>107</v>
      </c>
      <c r="P32" s="317" t="s">
        <v>108</v>
      </c>
      <c r="R32" s="317" t="s">
        <v>73</v>
      </c>
      <c r="S32" s="317" t="s">
        <v>78</v>
      </c>
      <c r="T32" s="317" t="s">
        <v>79</v>
      </c>
      <c r="U32" s="317" t="s">
        <v>80</v>
      </c>
      <c r="V32" s="317" t="s">
        <v>84</v>
      </c>
      <c r="W32" s="317" t="s">
        <v>85</v>
      </c>
      <c r="X32" s="317" t="s">
        <v>86</v>
      </c>
      <c r="Y32" s="317" t="s">
        <v>87</v>
      </c>
      <c r="Z32" s="317" t="s">
        <v>573</v>
      </c>
      <c r="AA32" s="317" t="s">
        <v>547</v>
      </c>
      <c r="AB32" s="317" t="s">
        <v>548</v>
      </c>
      <c r="AC32" s="328" t="s">
        <v>550</v>
      </c>
      <c r="AD32" s="317" t="s">
        <v>549</v>
      </c>
      <c r="AE32" s="328" t="s">
        <v>551</v>
      </c>
      <c r="AF32" s="328" t="s">
        <v>552</v>
      </c>
      <c r="AG32" s="317" t="s">
        <v>555</v>
      </c>
      <c r="AH32" s="328" t="s">
        <v>556</v>
      </c>
      <c r="AI32" s="328" t="s">
        <v>553</v>
      </c>
      <c r="AJ32" s="328" t="s">
        <v>554</v>
      </c>
      <c r="AK32" s="334" t="s">
        <v>97</v>
      </c>
      <c r="AL32" s="317" t="s">
        <v>202</v>
      </c>
      <c r="AM32" s="317" t="s">
        <v>203</v>
      </c>
      <c r="AN32" s="317" t="s">
        <v>567</v>
      </c>
      <c r="AO32" s="317" t="s">
        <v>568</v>
      </c>
      <c r="AP32" s="317" t="s">
        <v>569</v>
      </c>
      <c r="AQ32" s="317" t="s">
        <v>570</v>
      </c>
      <c r="AR32" s="317" t="s">
        <v>571</v>
      </c>
      <c r="AS32" s="317" t="s">
        <v>147</v>
      </c>
      <c r="AT32" s="317" t="s">
        <v>145</v>
      </c>
      <c r="AU32" s="317" t="s">
        <v>146</v>
      </c>
      <c r="AV32" s="317" t="s">
        <v>572</v>
      </c>
    </row>
    <row r="33" spans="3:48" ht="18.75" customHeight="1">
      <c r="C33" s="318">
        <v>0</v>
      </c>
      <c r="D33" s="318">
        <v>0</v>
      </c>
      <c r="E33" s="318"/>
      <c r="F33" s="318"/>
      <c r="G33" s="318"/>
      <c r="H33" s="318"/>
      <c r="I33" s="331"/>
      <c r="J33" s="318"/>
      <c r="K33" s="318"/>
      <c r="L33" s="318"/>
      <c r="M33" s="312"/>
      <c r="N33" s="318"/>
      <c r="O33" s="318"/>
      <c r="P33" s="318"/>
      <c r="R33" s="318"/>
      <c r="S33" s="318"/>
      <c r="T33" s="318"/>
      <c r="U33" s="318"/>
      <c r="V33" s="318"/>
      <c r="W33" s="318"/>
      <c r="X33" s="318"/>
      <c r="Y33" s="318"/>
      <c r="Z33" s="318"/>
      <c r="AA33" s="318"/>
      <c r="AB33" s="318"/>
      <c r="AC33" s="318"/>
      <c r="AD33" s="318"/>
      <c r="AE33" s="318"/>
      <c r="AF33" s="318"/>
      <c r="AG33" s="318"/>
      <c r="AH33" s="333"/>
      <c r="AI33" s="318"/>
      <c r="AJ33" s="318"/>
      <c r="AK33" s="335"/>
      <c r="AL33" s="318"/>
      <c r="AM33" s="318"/>
      <c r="AN33" s="318"/>
      <c r="AO33" s="318"/>
      <c r="AP33" s="318"/>
      <c r="AQ33" s="318"/>
      <c r="AR33" s="318"/>
      <c r="AS33" s="318"/>
      <c r="AT33" s="318"/>
      <c r="AU33" s="318"/>
      <c r="AV33" s="318"/>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541</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5.8</v>
      </c>
      <c r="E35" s="3">
        <f>F6</f>
        <v>8</v>
      </c>
      <c r="F35" s="3">
        <f>H6</f>
        <v>125</v>
      </c>
      <c r="G35" s="3">
        <v>141</v>
      </c>
      <c r="H35" s="3">
        <v>0</v>
      </c>
      <c r="I35" s="3">
        <v>0</v>
      </c>
      <c r="J35" s="188">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Geometry!M26</f>
        <v>S355 NL/ML</v>
      </c>
      <c r="R35" s="216">
        <f>-G35*2*PI()*Z35*AA35</f>
        <v>-436043.24284122075</v>
      </c>
      <c r="S35" s="3"/>
      <c r="T35" s="3"/>
      <c r="U35" s="3"/>
      <c r="V35" s="3"/>
      <c r="W35" s="3"/>
      <c r="X35" s="18">
        <f>PI()/4*((E35-2*V35/1000)^2-((E35-2*V35/1000)-2*(F35-V35-W35)/1000)^2)</f>
        <v>3.0925052683774528</v>
      </c>
      <c r="Y35" s="18">
        <f>PI()/32*((E35-2*V35/1000)^4-((E35-2*V35/1000)-2*(F35-V35-W35)/1000)^4)/(E35-2*V35/1000)</f>
        <v>5.9947489821574642</v>
      </c>
      <c r="Z35" s="190">
        <f>(0.5*E35)-(0.5*(AA35/1000))</f>
        <v>3.9375</v>
      </c>
      <c r="AA35" s="190">
        <f>F35</f>
        <v>125</v>
      </c>
      <c r="AB35" s="190" t="e">
        <f t="shared" ref="AB35:AB57" si="6">$R$2/SQRT(Z35*AA35/1000)</f>
        <v>#REF!</v>
      </c>
      <c r="AC35" s="190" t="e">
        <f>(J35/((0.605*$W$2*IF(AB35&gt;0.5*(Z35)/(AA35/1000),MAX(0.6,1+0.2/$AC$7*(1-2*AB35*(AA35/1000)/(Z35))),IF(AB35&lt;=1.7,1.36-(1.83/AB35)+(2.07/AB35^2),1)))*((AA35/1000)/(Z35)/1000)))^0.5</f>
        <v>#REF!</v>
      </c>
      <c r="AD35" s="190">
        <f>0.62/(1+1.91*((((Z35)/(AA35/1000))^0.5*(AA35/1000)/$AC$4)/(AA35/1000))^1.44)</f>
        <v>0.43583523931057638</v>
      </c>
      <c r="AE35" s="190" t="e">
        <f>IF(AND((Z35)/(AA35/1000)&lt;=150,AB35&lt;=6*(Z35)/(AA35/1000),$W$2/(J35*1000)&lt;=1000,500&lt;=$W$2/(J35*1000)),0.2+0.1*(ABS(T35/1000/Y35)/G35),0.2)</f>
        <v>#REF!</v>
      </c>
      <c r="AF35" s="190" t="e">
        <f>IF(AC35&lt;=AE35,1,IF(AC35&gt;=(AD35/(1-0.6))^0.5,AD35/(AC35^2),1-0.6*((AC35-(AE35))/((AD35/(1-0.6))^0.5-AE35))))</f>
        <v>#REF!</v>
      </c>
      <c r="AG35" s="18"/>
      <c r="AH35" s="18"/>
      <c r="AI35" s="18"/>
      <c r="AJ35" s="18"/>
      <c r="AK35" s="190">
        <f>'ULS MP'!AM37</f>
        <v>1</v>
      </c>
      <c r="AL35" s="18">
        <f t="shared" ref="AL35:AL57" si="7">IF(NOT(ISNUMBER(D34)),0,ABS(J5-J6))</f>
        <v>0</v>
      </c>
      <c r="AM35" s="18">
        <f t="shared" ref="AM35:AM57" si="8">MAX(AL35,J6)</f>
        <v>0</v>
      </c>
      <c r="AN35" s="190">
        <f>((ABS(R35/(PI()*((E35-2*V35/1000)-((AA35))/1000*COS(AM35*PI()/180))*(AA35)/1000))/1000)+ABS((4*T35)/(PI()*((E35-V35/1000)-((AA35)/1000)*COS(AM35*PI()/180))^2*((AA35)/1000))/1000))/COS(AM35*PI()/180)</f>
        <v>140.99999999999997</v>
      </c>
      <c r="AO35" s="190">
        <f>((0.6*(AA35)*((E35*1000-2*V35)*(2*(AA35)))^0.5)/((AA35)^2))*(G35*TAN(AL35*PI()/180))</f>
        <v>0</v>
      </c>
      <c r="AP35" s="190">
        <f t="shared" ref="AP35:AP57" si="9">IF(AL35=0,0,0.45*((E35*1000-2*V35)/(F35-V35-W35))^0.5*G35*TAN(AL35*PI()/180)+I35)</f>
        <v>0</v>
      </c>
      <c r="AQ35" s="190">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0">
        <f>1.25*AP35/IF(0.4*$W$2/1000*(AA35)/1000/(E35-2*V35/1000)/J35&gt;2.44,J35,IF(0.4*$W$2/1000*(AA35)/1000/(E35-2*V35/1000)/J35&lt;=0.55,0.4*$W$2/1000*(AA35)/1000/(E35-2*V35/1000),MIN(0.7*(0.4*$W$2/1000*(F35-V35-W35)/1000/(E35-2*V35/1000)/J35)^0.4*J35,J35)))</f>
        <v>0</v>
      </c>
      <c r="AV35" s="190">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2.6</v>
      </c>
      <c r="E36" s="3">
        <f t="shared" ref="E36:E57" si="15">F7</f>
        <v>8</v>
      </c>
      <c r="F36" s="3">
        <f t="shared" ref="F36:F57" si="16">H7</f>
        <v>116</v>
      </c>
      <c r="G36" s="3">
        <v>141</v>
      </c>
      <c r="H36" s="3">
        <v>0</v>
      </c>
      <c r="I36" s="3">
        <v>0</v>
      </c>
      <c r="J36" s="188">
        <f>VLOOKUP(P36,'Steel grades'!$B$5:$J$22,IF(F36&gt;200,10,IF(F36&gt;150,9,IF(F36&gt;120,8,IF(F36&gt;100,7,IF(F36&gt;80,6,IF(F36&gt;63,5,IF(F36&gt;40,4,IF(F36&gt;16,3,2)))))))),FALSE)</f>
        <v>295</v>
      </c>
      <c r="K36" s="3" t="e">
        <f t="shared" si="3"/>
        <v>#REF!</v>
      </c>
      <c r="L36" s="3">
        <v>0</v>
      </c>
      <c r="M36" s="3">
        <v>0</v>
      </c>
      <c r="N36" s="3" t="e">
        <f t="shared" si="4"/>
        <v>#REF!</v>
      </c>
      <c r="O36" s="3">
        <f t="shared" si="5"/>
        <v>0.47796610169491527</v>
      </c>
      <c r="P36" s="3" t="str">
        <f>Geometry!M27</f>
        <v>S355 NL/ML</v>
      </c>
      <c r="R36" s="216">
        <f t="shared" ref="R36:R57" si="17">-G36*2*PI()*Z36*AA36</f>
        <v>-405110.58436163195</v>
      </c>
      <c r="S36" s="3"/>
      <c r="T36" s="3"/>
      <c r="U36" s="3"/>
      <c r="V36" s="3"/>
      <c r="W36" s="3"/>
      <c r="X36" s="18">
        <f t="shared" ref="X36:X57" si="18">PI()/4*((E36-2*V36/1000)^2-((E36-2*V36/1000)-2*(F36-V36-W36)/1000)^2)</f>
        <v>2.8731247117846275</v>
      </c>
      <c r="Y36" s="18">
        <f t="shared" ref="Y36:Y57" si="19">PI()/32*((E36-2*V36/1000)^4-((E36-2*V36/1000)-2*(F36-V36-W36)/1000)^4)/(E36-2*V36/1000)</f>
        <v>5.5820244881683587</v>
      </c>
      <c r="Z36" s="190">
        <f t="shared" ref="Z36:Z57" si="20">(0.5*E36)-(0.5*(AA36/1000))</f>
        <v>3.9420000000000002</v>
      </c>
      <c r="AA36" s="190">
        <f t="shared" ref="AA36:AA57" si="21">F36</f>
        <v>116</v>
      </c>
      <c r="AB36" s="190" t="e">
        <f t="shared" si="6"/>
        <v>#REF!</v>
      </c>
      <c r="AC36" s="190" t="e">
        <f t="shared" ref="AC36:AC57" si="22">(J36/((0.605*$W$2*IF(AB36&gt;0.5*(Z36)/(AA36/1000),MAX(0.6,1+0.2/$AC$7*(1-2*AB36*(AA36/1000)/(Z36))),IF(AB36&lt;=1.7,1.36-(1.83/AB36)+(2.07/AB36^2),1)))*((AA36/1000)/(Z36)/1000)))^0.5</f>
        <v>#REF!</v>
      </c>
      <c r="AD36" s="190">
        <f t="shared" ref="AD36:AD57" si="23">0.62/(1+1.91*((((Z36)/(AA36/1000))^0.5*(AA36/1000)/$AC$4)/(AA36/1000))^1.44)</f>
        <v>0.42868619649654083</v>
      </c>
      <c r="AE36" s="190" t="e">
        <f t="shared" ref="AE36:AE57" si="24">IF(AND((Z36)/(AA36/1000)&lt;=150,AB36&lt;=6*(Z36)/(AA36/1000),$W$2/(J36*1000)&lt;=1000,500&lt;=$W$2/(J36*1000)),0.2+0.1*(ABS(T36/1000/Y36)/G36),0.2)</f>
        <v>#REF!</v>
      </c>
      <c r="AF36" s="190" t="e">
        <f t="shared" ref="AF36:AF57" si="25">IF(AC36&lt;=AE36,1,IF(AC36&gt;=(AD36/(1-0.6))^0.5,AD36/(AC36^2),1-0.6*((AC36-(AE36))/((AD36/(1-0.6))^0.5-AE36))))</f>
        <v>#REF!</v>
      </c>
      <c r="AG36" s="18"/>
      <c r="AH36" s="18"/>
      <c r="AI36" s="18"/>
      <c r="AJ36" s="18"/>
      <c r="AK36" s="190">
        <f>'ULS MP'!AM38</f>
        <v>1</v>
      </c>
      <c r="AL36" s="18">
        <f t="shared" si="7"/>
        <v>0</v>
      </c>
      <c r="AM36" s="18">
        <f t="shared" si="8"/>
        <v>0</v>
      </c>
      <c r="AN36" s="190">
        <f t="shared" ref="AN36:AN57" si="26">((ABS(R36/(PI()*((E36-2*V36/1000)-((AA36))/1000*COS(AM36*PI()/180))*(AA36)/1000))/1000)+ABS((4*T36)/(PI()*((E36-V36/1000)-((AA36)/1000)*COS(AM36*PI()/180))^2*((AA36)/1000))/1000))/COS(AM36*PI()/180)</f>
        <v>141</v>
      </c>
      <c r="AO36" s="190">
        <f t="shared" ref="AO36:AO57" si="27">((0.6*(AA36)*((E36*1000-2*V36)*(2*(AA36)))^0.5)/((AA36)^2))*(G36*TAN(AL36*PI()/180))</f>
        <v>0</v>
      </c>
      <c r="AP36" s="190">
        <f t="shared" si="9"/>
        <v>0</v>
      </c>
      <c r="AQ36" s="190">
        <f t="shared" ref="AQ36:AQ57" si="28">IF(AM36=0,0,1.18*AN36/IF(J36/(2*0.3*$W$2/1000*(AA36)/1000/(E36-2*V36/1000))&lt;=0.17,J36,(1.047-0.274*(J36/(2*0.3*$W$2/1000*(AA36)/1000/(E36-2*V36/1000))))*J36))</f>
        <v>0</v>
      </c>
      <c r="AR36" s="18">
        <f t="shared" si="10"/>
        <v>0</v>
      </c>
      <c r="AS36" s="18">
        <f t="shared" si="11"/>
        <v>0</v>
      </c>
      <c r="AT36" s="18">
        <f t="shared" si="12"/>
        <v>0</v>
      </c>
      <c r="AU36" s="190">
        <f t="shared" ref="AU36:AU57" si="29">1.25*AP36/IF(0.4*$W$2/1000*(AA36)/1000/(E36-2*V36/1000)/J36&gt;2.44,J36,IF(0.4*$W$2/1000*(AA36)/1000/(E36-2*V36/1000)/J36&lt;=0.55,0.4*$W$2/1000*(AA36)/1000/(E36-2*V36/1000),MIN(0.7*(0.4*$W$2/1000*(F36-V36-W36)/1000/(E36-2*V36/1000)/J36)^0.4*J36,J36)))</f>
        <v>0</v>
      </c>
      <c r="AV36" s="190">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-0.6</v>
      </c>
      <c r="E37" s="3">
        <f t="shared" si="15"/>
        <v>8</v>
      </c>
      <c r="F37" s="3">
        <f t="shared" si="16"/>
        <v>125</v>
      </c>
      <c r="G37" s="3">
        <v>141</v>
      </c>
      <c r="H37" s="3">
        <v>0</v>
      </c>
      <c r="I37" s="3">
        <v>0</v>
      </c>
      <c r="J37" s="188">
        <f>VLOOKUP(P37,'Steel grades'!$B$5:$J$22,IF(F37&gt;200,10,IF(F37&gt;150,9,IF(F37&gt;120,8,IF(F37&gt;100,7,IF(F37&gt;80,6,IF(F37&gt;63,5,IF(F37&gt;40,4,IF(F37&gt;16,3,2)))))))),FALSE)</f>
        <v>295</v>
      </c>
      <c r="K37" s="3" t="e">
        <f t="shared" si="3"/>
        <v>#REF!</v>
      </c>
      <c r="L37" s="3">
        <v>0</v>
      </c>
      <c r="M37" s="3">
        <v>0</v>
      </c>
      <c r="N37" s="3" t="e">
        <f t="shared" si="4"/>
        <v>#REF!</v>
      </c>
      <c r="O37" s="3">
        <f t="shared" si="5"/>
        <v>0.47796610169491527</v>
      </c>
      <c r="P37" s="3" t="str">
        <f>Geometry!M28</f>
        <v>S355 NL/ML</v>
      </c>
      <c r="R37" s="216">
        <f t="shared" si="17"/>
        <v>-436043.24284122075</v>
      </c>
      <c r="S37" s="3"/>
      <c r="T37" s="3"/>
      <c r="U37" s="3"/>
      <c r="V37" s="3"/>
      <c r="W37" s="3"/>
      <c r="X37" s="18">
        <f t="shared" si="18"/>
        <v>3.0925052683774528</v>
      </c>
      <c r="Y37" s="18">
        <f t="shared" si="19"/>
        <v>5.9947489821574642</v>
      </c>
      <c r="Z37" s="190">
        <f t="shared" si="20"/>
        <v>3.9375</v>
      </c>
      <c r="AA37" s="190">
        <f t="shared" si="21"/>
        <v>125</v>
      </c>
      <c r="AB37" s="190" t="e">
        <f t="shared" si="6"/>
        <v>#REF!</v>
      </c>
      <c r="AC37" s="190" t="e">
        <f t="shared" si="22"/>
        <v>#REF!</v>
      </c>
      <c r="AD37" s="190">
        <f t="shared" si="23"/>
        <v>0.43583523931057638</v>
      </c>
      <c r="AE37" s="190" t="e">
        <f t="shared" si="24"/>
        <v>#REF!</v>
      </c>
      <c r="AF37" s="190" t="e">
        <f t="shared" si="25"/>
        <v>#REF!</v>
      </c>
      <c r="AG37" s="18"/>
      <c r="AH37" s="18"/>
      <c r="AI37" s="18"/>
      <c r="AJ37" s="18"/>
      <c r="AK37" s="190" t="e">
        <f>'ULS MP'!#REF!</f>
        <v>#REF!</v>
      </c>
      <c r="AL37" s="18">
        <f t="shared" si="7"/>
        <v>0</v>
      </c>
      <c r="AM37" s="18">
        <f t="shared" si="8"/>
        <v>0</v>
      </c>
      <c r="AN37" s="190">
        <f t="shared" si="26"/>
        <v>140.99999999999997</v>
      </c>
      <c r="AO37" s="190">
        <f t="shared" si="27"/>
        <v>0</v>
      </c>
      <c r="AP37" s="190">
        <f t="shared" si="9"/>
        <v>0</v>
      </c>
      <c r="AQ37" s="190">
        <f t="shared" si="28"/>
        <v>0</v>
      </c>
      <c r="AR37" s="18">
        <f t="shared" si="10"/>
        <v>0</v>
      </c>
      <c r="AS37" s="18">
        <f t="shared" si="11"/>
        <v>0</v>
      </c>
      <c r="AT37" s="18">
        <f t="shared" si="12"/>
        <v>0</v>
      </c>
      <c r="AU37" s="190">
        <f t="shared" si="29"/>
        <v>0</v>
      </c>
      <c r="AV37" s="190">
        <f t="shared" si="30"/>
        <v>0</v>
      </c>
    </row>
    <row r="38" spans="3:48" ht="14.85" customHeight="1">
      <c r="C38" s="12" t="str">
        <f t="shared" si="13"/>
        <v>Can4</v>
      </c>
      <c r="D38" s="2">
        <f t="shared" si="14"/>
        <v>-3.8</v>
      </c>
      <c r="E38" s="3">
        <f t="shared" si="15"/>
        <v>8</v>
      </c>
      <c r="F38" s="3">
        <f t="shared" si="16"/>
        <v>125</v>
      </c>
      <c r="G38" s="3">
        <v>141</v>
      </c>
      <c r="H38" s="3">
        <v>0</v>
      </c>
      <c r="I38" s="3">
        <v>0</v>
      </c>
      <c r="J38" s="188">
        <f>VLOOKUP(P38,'Steel grades'!$B$5:$J$22,IF(F38&gt;200,10,IF(F38&gt;150,9,IF(F38&gt;120,8,IF(F38&gt;100,7,IF(F38&gt;80,6,IF(F38&gt;63,5,IF(F38&gt;40,4,IF(F38&gt;16,3,2)))))))),FALSE)</f>
        <v>295</v>
      </c>
      <c r="K38" s="3" t="e">
        <f t="shared" si="3"/>
        <v>#REF!</v>
      </c>
      <c r="L38" s="3">
        <v>0</v>
      </c>
      <c r="M38" s="3">
        <v>0</v>
      </c>
      <c r="N38" s="3" t="e">
        <f t="shared" si="4"/>
        <v>#REF!</v>
      </c>
      <c r="O38" s="3">
        <f t="shared" si="5"/>
        <v>0.74149646522160151</v>
      </c>
      <c r="P38" s="3" t="str">
        <f>Geometry!M29</f>
        <v>S355 NL/ML</v>
      </c>
      <c r="R38" s="216">
        <f t="shared" si="17"/>
        <v>-436043.24284122075</v>
      </c>
      <c r="S38" s="3"/>
      <c r="T38" s="3"/>
      <c r="U38" s="3"/>
      <c r="V38" s="3"/>
      <c r="W38" s="3"/>
      <c r="X38" s="18">
        <f t="shared" si="18"/>
        <v>3.0925052683774528</v>
      </c>
      <c r="Y38" s="18">
        <f t="shared" si="19"/>
        <v>5.9947489821574642</v>
      </c>
      <c r="Z38" s="190">
        <f t="shared" si="20"/>
        <v>3.9375</v>
      </c>
      <c r="AA38" s="190">
        <f t="shared" si="21"/>
        <v>125</v>
      </c>
      <c r="AB38" s="190" t="e">
        <f t="shared" si="6"/>
        <v>#REF!</v>
      </c>
      <c r="AC38" s="190" t="e">
        <f t="shared" si="22"/>
        <v>#REF!</v>
      </c>
      <c r="AD38" s="190">
        <f t="shared" si="23"/>
        <v>0.43583523931057638</v>
      </c>
      <c r="AE38" s="190" t="e">
        <f t="shared" si="24"/>
        <v>#REF!</v>
      </c>
      <c r="AF38" s="190" t="e">
        <f t="shared" si="25"/>
        <v>#REF!</v>
      </c>
      <c r="AG38" s="18"/>
      <c r="AH38" s="18"/>
      <c r="AI38" s="18"/>
      <c r="AJ38" s="18"/>
      <c r="AK38" s="190" t="e">
        <f>'ULS MP'!#REF!</f>
        <v>#REF!</v>
      </c>
      <c r="AL38" s="18">
        <f t="shared" si="7"/>
        <v>3.5787803472726449</v>
      </c>
      <c r="AM38" s="18">
        <f t="shared" si="8"/>
        <v>3.5787803472726449</v>
      </c>
      <c r="AN38" s="190">
        <f t="shared" si="26"/>
        <v>141.27112641547487</v>
      </c>
      <c r="AO38" s="190">
        <f t="shared" si="27"/>
        <v>59.862253962911005</v>
      </c>
      <c r="AP38" s="190">
        <f t="shared" si="9"/>
        <v>31.746754285714236</v>
      </c>
      <c r="AQ38" s="190">
        <f t="shared" si="28"/>
        <v>0.56508450566189938</v>
      </c>
      <c r="AR38" s="18">
        <f t="shared" si="10"/>
        <v>201.13338037838588</v>
      </c>
      <c r="AS38" s="18">
        <f t="shared" si="11"/>
        <v>0.74149646522160151</v>
      </c>
      <c r="AT38" s="18">
        <f t="shared" si="12"/>
        <v>0.74998887598720165</v>
      </c>
      <c r="AU38" s="190">
        <f t="shared" si="29"/>
        <v>0.13452014527845016</v>
      </c>
      <c r="AV38" s="190">
        <f t="shared" si="30"/>
        <v>0.80453352151354351</v>
      </c>
    </row>
    <row r="39" spans="3:48" ht="14.85" customHeight="1">
      <c r="C39" s="12" t="str">
        <f t="shared" si="13"/>
        <v>Can5</v>
      </c>
      <c r="D39" s="2">
        <f t="shared" si="14"/>
        <v>-7.3</v>
      </c>
      <c r="E39" s="3">
        <f t="shared" si="15"/>
        <v>8.4377999999999993</v>
      </c>
      <c r="F39" s="3">
        <f t="shared" si="16"/>
        <v>106</v>
      </c>
      <c r="G39" s="3">
        <v>141</v>
      </c>
      <c r="H39" s="3">
        <v>0</v>
      </c>
      <c r="I39" s="3">
        <v>0</v>
      </c>
      <c r="J39" s="188">
        <f>VLOOKUP(P39,'Steel grades'!$B$5:$J$22,IF(F39&gt;200,10,IF(F39&gt;150,9,IF(F39&gt;120,8,IF(F39&gt;100,7,IF(F39&gt;80,6,IF(F39&gt;63,5,IF(F39&gt;40,4,IF(F39&gt;16,3,2)))))))),FALSE)</f>
        <v>295</v>
      </c>
      <c r="K39" s="3" t="e">
        <f t="shared" si="3"/>
        <v>#REF!</v>
      </c>
      <c r="L39" s="3">
        <v>0</v>
      </c>
      <c r="M39" s="3">
        <v>0</v>
      </c>
      <c r="N39" s="3" t="e">
        <f t="shared" si="4"/>
        <v>#REF!</v>
      </c>
      <c r="O39" s="3">
        <f t="shared" si="5"/>
        <v>0.47888811652804197</v>
      </c>
      <c r="P39" s="3" t="str">
        <f>Geometry!M30</f>
        <v>S355 NL/ML</v>
      </c>
      <c r="R39" s="216">
        <f t="shared" si="17"/>
        <v>-391213.36849744787</v>
      </c>
      <c r="S39" s="3"/>
      <c r="T39" s="3"/>
      <c r="U39" s="3"/>
      <c r="V39" s="3"/>
      <c r="W39" s="3"/>
      <c r="X39" s="18">
        <f t="shared" si="18"/>
        <v>2.7745628971450267</v>
      </c>
      <c r="Y39" s="18">
        <f t="shared" si="19"/>
        <v>5.7075972108891611</v>
      </c>
      <c r="Z39" s="190">
        <f t="shared" si="20"/>
        <v>4.1658999999999997</v>
      </c>
      <c r="AA39" s="190">
        <f t="shared" si="21"/>
        <v>106</v>
      </c>
      <c r="AB39" s="190" t="e">
        <f t="shared" si="6"/>
        <v>#REF!</v>
      </c>
      <c r="AC39" s="190" t="e">
        <f t="shared" si="22"/>
        <v>#REF!</v>
      </c>
      <c r="AD39" s="190">
        <f t="shared" si="23"/>
        <v>0.41456850079038432</v>
      </c>
      <c r="AE39" s="190" t="e">
        <f t="shared" si="24"/>
        <v>#REF!</v>
      </c>
      <c r="AF39" s="190" t="e">
        <f t="shared" si="25"/>
        <v>#REF!</v>
      </c>
      <c r="AG39" s="18"/>
      <c r="AH39" s="18"/>
      <c r="AI39" s="18"/>
      <c r="AJ39" s="18"/>
      <c r="AK39" s="190" t="e">
        <f>'ULS MP'!#REF!</f>
        <v>#REF!</v>
      </c>
      <c r="AL39" s="18">
        <f t="shared" si="7"/>
        <v>1.3766765505351941E-14</v>
      </c>
      <c r="AM39" s="18">
        <f t="shared" si="8"/>
        <v>3.5787803472726587</v>
      </c>
      <c r="AN39" s="190">
        <f t="shared" si="26"/>
        <v>141.27199437577207</v>
      </c>
      <c r="AO39" s="190">
        <f t="shared" si="27"/>
        <v>2.5648166502863255E-13</v>
      </c>
      <c r="AP39" s="190">
        <f t="shared" si="9"/>
        <v>1.3601994344382198E-13</v>
      </c>
      <c r="AQ39" s="190">
        <f t="shared" si="28"/>
        <v>0.56739457383371672</v>
      </c>
      <c r="AR39" s="18">
        <f t="shared" si="10"/>
        <v>141.27199437577232</v>
      </c>
      <c r="AS39" s="18">
        <f t="shared" si="11"/>
        <v>0.47888811652804197</v>
      </c>
      <c r="AT39" s="18">
        <f t="shared" si="12"/>
        <v>0.52677692818084598</v>
      </c>
      <c r="AU39" s="190">
        <f t="shared" si="29"/>
        <v>5.7635569255856774E-16</v>
      </c>
      <c r="AV39" s="190">
        <f t="shared" si="30"/>
        <v>0.56739457383371772</v>
      </c>
    </row>
    <row r="40" spans="3:48" ht="14.85" customHeight="1">
      <c r="C40" s="12" t="str">
        <f t="shared" si="13"/>
        <v>Can6</v>
      </c>
      <c r="D40" s="2">
        <f t="shared" si="14"/>
        <v>-10.8</v>
      </c>
      <c r="E40" s="3">
        <f t="shared" si="15"/>
        <v>8.8756000000000004</v>
      </c>
      <c r="F40" s="3">
        <f t="shared" si="16"/>
        <v>116</v>
      </c>
      <c r="G40" s="3">
        <v>141</v>
      </c>
      <c r="H40" s="3">
        <v>0</v>
      </c>
      <c r="I40" s="3">
        <v>0</v>
      </c>
      <c r="J40" s="188">
        <f>VLOOKUP(P40,'Steel grades'!$B$5:$J$22,IF(F40&gt;200,10,IF(F40&gt;150,9,IF(F40&gt;120,8,IF(F40&gt;100,7,IF(F40&gt;80,6,IF(F40&gt;63,5,IF(F40&gt;40,4,IF(F40&gt;16,3,2)))))))),FALSE)</f>
        <v>295</v>
      </c>
      <c r="K40" s="3" t="e">
        <f t="shared" si="3"/>
        <v>#REF!</v>
      </c>
      <c r="L40" s="3">
        <v>0</v>
      </c>
      <c r="M40" s="3">
        <v>0</v>
      </c>
      <c r="N40" s="3" t="e">
        <f t="shared" si="4"/>
        <v>#REF!</v>
      </c>
      <c r="O40" s="3">
        <f t="shared" si="5"/>
        <v>0.47888763067191831</v>
      </c>
      <c r="P40" s="3" t="str">
        <f>Geometry!M31</f>
        <v>S355 NL/ML</v>
      </c>
      <c r="R40" s="216">
        <f t="shared" si="17"/>
        <v>-450102.31795714755</v>
      </c>
      <c r="S40" s="3"/>
      <c r="T40" s="3"/>
      <c r="U40" s="3"/>
      <c r="V40" s="3"/>
      <c r="W40" s="3"/>
      <c r="X40" s="18">
        <f t="shared" si="18"/>
        <v>3.1922150209726685</v>
      </c>
      <c r="Y40" s="18">
        <f t="shared" si="19"/>
        <v>6.9004772439779281</v>
      </c>
      <c r="Z40" s="190">
        <f t="shared" si="20"/>
        <v>4.3798000000000004</v>
      </c>
      <c r="AA40" s="190">
        <f t="shared" si="21"/>
        <v>116</v>
      </c>
      <c r="AB40" s="190" t="e">
        <f t="shared" si="6"/>
        <v>#REF!</v>
      </c>
      <c r="AC40" s="190" t="e">
        <f t="shared" si="22"/>
        <v>#REF!</v>
      </c>
      <c r="AD40" s="190">
        <f t="shared" si="23"/>
        <v>0.41851304909989034</v>
      </c>
      <c r="AE40" s="190" t="e">
        <f t="shared" si="24"/>
        <v>#REF!</v>
      </c>
      <c r="AF40" s="190" t="e">
        <f t="shared" si="25"/>
        <v>#REF!</v>
      </c>
      <c r="AG40" s="18"/>
      <c r="AH40" s="18"/>
      <c r="AI40" s="18"/>
      <c r="AJ40" s="18"/>
      <c r="AK40" s="190" t="e">
        <f>'ULS MP'!#REF!</f>
        <v>#REF!</v>
      </c>
      <c r="AL40" s="18">
        <f t="shared" si="7"/>
        <v>1.3766765505351941E-14</v>
      </c>
      <c r="AM40" s="18">
        <f t="shared" si="8"/>
        <v>3.5787803472726449</v>
      </c>
      <c r="AN40" s="190">
        <f t="shared" si="26"/>
        <v>141.27185104821558</v>
      </c>
      <c r="AO40" s="190">
        <f t="shared" si="27"/>
        <v>2.514574514200178E-13</v>
      </c>
      <c r="AP40" s="190">
        <f t="shared" si="9"/>
        <v>1.3335545180923608E-13</v>
      </c>
      <c r="AQ40" s="190">
        <f t="shared" si="28"/>
        <v>0.56626762230169747</v>
      </c>
      <c r="AR40" s="18">
        <f t="shared" si="10"/>
        <v>141.27185104821584</v>
      </c>
      <c r="AS40" s="18">
        <f t="shared" si="11"/>
        <v>0.47888763067191831</v>
      </c>
      <c r="AT40" s="18">
        <f t="shared" si="12"/>
        <v>0.52677639373910989</v>
      </c>
      <c r="AU40" s="190">
        <f t="shared" si="29"/>
        <v>5.650654737679495E-16</v>
      </c>
      <c r="AV40" s="190">
        <f t="shared" si="30"/>
        <v>0.56626762230169858</v>
      </c>
    </row>
    <row r="41" spans="3:48" ht="14.85" customHeight="1">
      <c r="C41" s="12" t="str">
        <f t="shared" si="13"/>
        <v>Can7</v>
      </c>
      <c r="D41" s="2">
        <f t="shared" si="14"/>
        <v>-14.3</v>
      </c>
      <c r="E41" s="3">
        <f t="shared" si="15"/>
        <v>9.3133999999999997</v>
      </c>
      <c r="F41" s="3">
        <f t="shared" si="16"/>
        <v>103</v>
      </c>
      <c r="G41" s="3">
        <v>141</v>
      </c>
      <c r="H41" s="3">
        <v>0</v>
      </c>
      <c r="I41" s="3">
        <v>0</v>
      </c>
      <c r="J41" s="188">
        <f>VLOOKUP(P41,'Steel grades'!$B$5:$J$22,IF(F41&gt;200,10,IF(F41&gt;150,9,IF(F41&gt;120,8,IF(F41&gt;100,7,IF(F41&gt;80,6,IF(F41&gt;63,5,IF(F41&gt;40,4,IF(F41&gt;16,3,2)))))))),FALSE)</f>
        <v>295</v>
      </c>
      <c r="K41" s="3" t="e">
        <f t="shared" si="3"/>
        <v>#REF!</v>
      </c>
      <c r="L41" s="3">
        <v>0</v>
      </c>
      <c r="M41" s="3">
        <v>0</v>
      </c>
      <c r="N41" s="3" t="e">
        <f t="shared" si="4"/>
        <v>#REF!</v>
      </c>
      <c r="O41" s="3">
        <f t="shared" si="5"/>
        <v>0.47895856421643707</v>
      </c>
      <c r="P41" s="3" t="str">
        <f>Geometry!M32</f>
        <v>S355 NL/ML</v>
      </c>
      <c r="R41" s="216">
        <f t="shared" si="17"/>
        <v>-420227.72463550209</v>
      </c>
      <c r="S41" s="3"/>
      <c r="T41" s="3"/>
      <c r="U41" s="3"/>
      <c r="V41" s="3"/>
      <c r="W41" s="3"/>
      <c r="X41" s="18">
        <f t="shared" si="18"/>
        <v>2.9803384725922011</v>
      </c>
      <c r="Y41" s="18">
        <f t="shared" si="19"/>
        <v>6.7874811200685032</v>
      </c>
      <c r="Z41" s="190">
        <f t="shared" si="20"/>
        <v>4.6052</v>
      </c>
      <c r="AA41" s="190">
        <f t="shared" si="21"/>
        <v>103</v>
      </c>
      <c r="AB41" s="190" t="e">
        <f t="shared" si="6"/>
        <v>#REF!</v>
      </c>
      <c r="AC41" s="190" t="e">
        <f t="shared" si="22"/>
        <v>#REF!</v>
      </c>
      <c r="AD41" s="190">
        <f t="shared" si="23"/>
        <v>0.40162026784318478</v>
      </c>
      <c r="AE41" s="190" t="e">
        <f t="shared" si="24"/>
        <v>#REF!</v>
      </c>
      <c r="AF41" s="190" t="e">
        <f t="shared" si="25"/>
        <v>#REF!</v>
      </c>
      <c r="AG41" s="18"/>
      <c r="AH41" s="18"/>
      <c r="AI41" s="18"/>
      <c r="AJ41" s="18"/>
      <c r="AK41" s="190" t="e">
        <f>'ULS MP'!#REF!</f>
        <v>#REF!</v>
      </c>
      <c r="AL41" s="18">
        <f t="shared" si="7"/>
        <v>8.1532264094574813E-4</v>
      </c>
      <c r="AM41" s="18">
        <f t="shared" si="8"/>
        <v>3.5779650246316992</v>
      </c>
      <c r="AN41" s="190">
        <f t="shared" si="26"/>
        <v>141.27229412707547</v>
      </c>
      <c r="AO41" s="190">
        <f t="shared" si="27"/>
        <v>1.6189287909061864E-2</v>
      </c>
      <c r="AP41" s="190">
        <f t="shared" si="9"/>
        <v>8.5856664473092734E-3</v>
      </c>
      <c r="AQ41" s="190">
        <f t="shared" si="28"/>
        <v>0.57137777144357715</v>
      </c>
      <c r="AR41" s="18">
        <f t="shared" si="10"/>
        <v>141.28848341498454</v>
      </c>
      <c r="AS41" s="18">
        <f t="shared" si="11"/>
        <v>0.47895856421643707</v>
      </c>
      <c r="AT41" s="18">
        <f t="shared" si="12"/>
        <v>0.52683841273384069</v>
      </c>
      <c r="AU41" s="190">
        <f t="shared" si="29"/>
        <v>3.637994257334438E-5</v>
      </c>
      <c r="AV41" s="190">
        <f t="shared" si="30"/>
        <v>0.57144324924517942</v>
      </c>
    </row>
    <row r="42" spans="3:48" ht="14.85" customHeight="1">
      <c r="C42" s="12" t="str">
        <f t="shared" si="13"/>
        <v>Can8</v>
      </c>
      <c r="D42" s="2">
        <f t="shared" si="14"/>
        <v>-17.8</v>
      </c>
      <c r="E42" s="3">
        <f t="shared" si="15"/>
        <v>9.7510999999999992</v>
      </c>
      <c r="F42" s="3">
        <f t="shared" si="16"/>
        <v>98</v>
      </c>
      <c r="G42" s="3">
        <v>141</v>
      </c>
      <c r="H42" s="3">
        <v>0</v>
      </c>
      <c r="I42" s="3">
        <v>0</v>
      </c>
      <c r="J42" s="188">
        <f>VLOOKUP(P42,'Steel grades'!$B$5:$J$22,IF(F42&gt;200,10,IF(F42&gt;150,9,IF(F42&gt;120,8,IF(F42&gt;100,7,IF(F42&gt;80,6,IF(F42&gt;63,5,IF(F42&gt;40,4,IF(F42&gt;16,3,2)))))))),FALSE)</f>
        <v>315</v>
      </c>
      <c r="K42" s="3" t="e">
        <f t="shared" si="3"/>
        <v>#REF!</v>
      </c>
      <c r="L42" s="3">
        <v>0</v>
      </c>
      <c r="M42" s="3">
        <v>0</v>
      </c>
      <c r="N42" s="3" t="e">
        <f t="shared" si="4"/>
        <v>#REF!</v>
      </c>
      <c r="O42" s="3">
        <f t="shared" si="5"/>
        <v>0.44855297942540534</v>
      </c>
      <c r="P42" s="3" t="str">
        <f>Geometry!M33</f>
        <v>S355 NL/ML</v>
      </c>
      <c r="R42" s="216">
        <f t="shared" si="17"/>
        <v>-419046.16095707187</v>
      </c>
      <c r="S42" s="3"/>
      <c r="T42" s="3"/>
      <c r="U42" s="3"/>
      <c r="V42" s="3"/>
      <c r="W42" s="3"/>
      <c r="X42" s="18">
        <f t="shared" si="18"/>
        <v>2.971958588348016</v>
      </c>
      <c r="Y42" s="18">
        <f t="shared" si="19"/>
        <v>7.1008039394679443</v>
      </c>
      <c r="Z42" s="190">
        <f t="shared" si="20"/>
        <v>4.8265499999999992</v>
      </c>
      <c r="AA42" s="190">
        <f t="shared" si="21"/>
        <v>98</v>
      </c>
      <c r="AB42" s="190" t="e">
        <f t="shared" si="6"/>
        <v>#REF!</v>
      </c>
      <c r="AC42" s="190" t="e">
        <f t="shared" si="22"/>
        <v>#REF!</v>
      </c>
      <c r="AD42" s="190">
        <f t="shared" si="23"/>
        <v>0.3916721083711161</v>
      </c>
      <c r="AE42" s="190" t="e">
        <f t="shared" si="24"/>
        <v>#REF!</v>
      </c>
      <c r="AF42" s="190" t="e">
        <f t="shared" si="25"/>
        <v>#REF!</v>
      </c>
      <c r="AG42" s="18"/>
      <c r="AH42" s="18"/>
      <c r="AI42" s="18"/>
      <c r="AJ42" s="18"/>
      <c r="AK42" s="190" t="e">
        <f>'ULS MP'!#REF!</f>
        <v>#REF!</v>
      </c>
      <c r="AL42" s="18">
        <f t="shared" si="7"/>
        <v>8.1532264096129126E-4</v>
      </c>
      <c r="AM42" s="18">
        <f t="shared" si="8"/>
        <v>3.5787803472726605</v>
      </c>
      <c r="AN42" s="190">
        <f t="shared" si="26"/>
        <v>141.27270242192995</v>
      </c>
      <c r="AO42" s="190">
        <f t="shared" si="27"/>
        <v>1.6982671082062993E-2</v>
      </c>
      <c r="AP42" s="190">
        <f t="shared" si="9"/>
        <v>9.0064214135905721E-3</v>
      </c>
      <c r="AQ42" s="190">
        <f t="shared" si="28"/>
        <v>0.5406512345187553</v>
      </c>
      <c r="AR42" s="18">
        <f t="shared" si="10"/>
        <v>141.28968509301203</v>
      </c>
      <c r="AS42" s="18">
        <f t="shared" si="11"/>
        <v>0.44855297942540534</v>
      </c>
      <c r="AT42" s="18">
        <f t="shared" si="12"/>
        <v>0.49339255111845476</v>
      </c>
      <c r="AU42" s="190">
        <f t="shared" si="29"/>
        <v>3.5739767514248301E-5</v>
      </c>
      <c r="AV42" s="190">
        <f t="shared" si="30"/>
        <v>0.54071622727339608</v>
      </c>
    </row>
    <row r="43" spans="3:48" ht="14.85" customHeight="1">
      <c r="C43" s="12" t="str">
        <f t="shared" si="13"/>
        <v>Can9</v>
      </c>
      <c r="D43" s="2">
        <f t="shared" si="14"/>
        <v>-21.3</v>
      </c>
      <c r="E43" s="3">
        <f t="shared" si="15"/>
        <v>10.1889</v>
      </c>
      <c r="F43" s="3">
        <f t="shared" si="16"/>
        <v>98</v>
      </c>
      <c r="G43" s="3">
        <v>141</v>
      </c>
      <c r="H43" s="3">
        <v>0</v>
      </c>
      <c r="I43" s="3">
        <v>0</v>
      </c>
      <c r="J43" s="188">
        <f>VLOOKUP(P43,'Steel grades'!$B$5:$J$22,IF(F43&gt;200,10,IF(F43&gt;150,9,IF(F43&gt;120,8,IF(F43&gt;100,7,IF(F43&gt;80,6,IF(F43&gt;63,5,IF(F43&gt;40,4,IF(F43&gt;16,3,2)))))))),FALSE)</f>
        <v>315</v>
      </c>
      <c r="K43" s="3" t="e">
        <f t="shared" si="3"/>
        <v>#REF!</v>
      </c>
      <c r="L43" s="3">
        <v>0</v>
      </c>
      <c r="M43" s="3">
        <v>0</v>
      </c>
      <c r="N43" s="3" t="e">
        <f t="shared" si="4"/>
        <v>#REF!</v>
      </c>
      <c r="O43" s="3">
        <f t="shared" si="5"/>
        <v>0.44848515480402534</v>
      </c>
      <c r="P43" s="3" t="str">
        <f>Geometry!M34</f>
        <v>S355 NL/ML</v>
      </c>
      <c r="R43" s="216">
        <f t="shared" si="17"/>
        <v>-438051.28980345349</v>
      </c>
      <c r="S43" s="3"/>
      <c r="T43" s="3"/>
      <c r="U43" s="3"/>
      <c r="V43" s="3"/>
      <c r="W43" s="3"/>
      <c r="X43" s="18">
        <f t="shared" si="18"/>
        <v>3.1067467361947085</v>
      </c>
      <c r="Y43" s="18">
        <f t="shared" si="19"/>
        <v>7.7628165660553865</v>
      </c>
      <c r="Z43" s="190">
        <f t="shared" si="20"/>
        <v>5.0454499999999998</v>
      </c>
      <c r="AA43" s="190">
        <f t="shared" si="21"/>
        <v>98</v>
      </c>
      <c r="AB43" s="190" t="e">
        <f t="shared" si="6"/>
        <v>#REF!</v>
      </c>
      <c r="AC43" s="190" t="e">
        <f t="shared" si="22"/>
        <v>#REF!</v>
      </c>
      <c r="AD43" s="190">
        <f t="shared" si="23"/>
        <v>0.38704661544566482</v>
      </c>
      <c r="AE43" s="190" t="e">
        <f t="shared" si="24"/>
        <v>#REF!</v>
      </c>
      <c r="AF43" s="190" t="e">
        <f t="shared" si="25"/>
        <v>#REF!</v>
      </c>
      <c r="AG43" s="18"/>
      <c r="AH43" s="18"/>
      <c r="AI43" s="18"/>
      <c r="AJ43" s="18"/>
      <c r="AK43" s="190" t="e">
        <f>'ULS MP'!#REF!</f>
        <v>#REF!</v>
      </c>
      <c r="AL43" s="18">
        <f t="shared" si="7"/>
        <v>1.5543122344752192E-14</v>
      </c>
      <c r="AM43" s="18">
        <f t="shared" si="8"/>
        <v>3.5787803472726449</v>
      </c>
      <c r="AN43" s="190">
        <f t="shared" si="26"/>
        <v>141.27282376326755</v>
      </c>
      <c r="AO43" s="190">
        <f t="shared" si="27"/>
        <v>3.3094178575884027E-13</v>
      </c>
      <c r="AP43" s="190">
        <f t="shared" si="9"/>
        <v>1.755083856660462E-13</v>
      </c>
      <c r="AQ43" s="190">
        <f t="shared" si="28"/>
        <v>0.54234722768896981</v>
      </c>
      <c r="AR43" s="18">
        <f t="shared" si="10"/>
        <v>141.27282376326789</v>
      </c>
      <c r="AS43" s="18">
        <f t="shared" si="11"/>
        <v>0.44848515480402534</v>
      </c>
      <c r="AT43" s="18">
        <f t="shared" si="12"/>
        <v>0.49333367028442759</v>
      </c>
      <c r="AU43" s="190">
        <f t="shared" si="29"/>
        <v>6.9646184788113572E-16</v>
      </c>
      <c r="AV43" s="190">
        <f t="shared" si="30"/>
        <v>0.54234722768897103</v>
      </c>
    </row>
    <row r="44" spans="3:48" ht="14.85" customHeight="1">
      <c r="C44" s="12" t="str">
        <f t="shared" si="13"/>
        <v>Can10</v>
      </c>
      <c r="D44" s="2">
        <f t="shared" si="14"/>
        <v>-24.8</v>
      </c>
      <c r="E44" s="3">
        <f t="shared" si="15"/>
        <v>10.6267</v>
      </c>
      <c r="F44" s="3">
        <f t="shared" si="16"/>
        <v>98</v>
      </c>
      <c r="G44" s="3">
        <v>141</v>
      </c>
      <c r="H44" s="3">
        <v>0</v>
      </c>
      <c r="I44" s="3">
        <v>0</v>
      </c>
      <c r="J44" s="188">
        <f>VLOOKUP(P44,'Steel grades'!$B$5:$J$22,IF(F44&gt;200,10,IF(F44&gt;150,9,IF(F44&gt;120,8,IF(F44&gt;100,7,IF(F44&gt;80,6,IF(F44&gt;63,5,IF(F44&gt;40,4,IF(F44&gt;16,3,2)))))))),FALSE)</f>
        <v>315</v>
      </c>
      <c r="K44" s="3" t="e">
        <f t="shared" si="3"/>
        <v>#REF!</v>
      </c>
      <c r="L44" s="3">
        <v>0</v>
      </c>
      <c r="M44" s="3">
        <v>0</v>
      </c>
      <c r="N44" s="3" t="e">
        <f t="shared" si="4"/>
        <v>#REF!</v>
      </c>
      <c r="O44" s="3">
        <f t="shared" si="5"/>
        <v>0.44848550797987058</v>
      </c>
      <c r="P44" s="3" t="str">
        <f>Geometry!M35</f>
        <v>S355 NL/ML</v>
      </c>
      <c r="R44" s="216">
        <f t="shared" si="17"/>
        <v>-457056.41864983505</v>
      </c>
      <c r="S44" s="3"/>
      <c r="T44" s="3"/>
      <c r="U44" s="3"/>
      <c r="V44" s="3"/>
      <c r="W44" s="3"/>
      <c r="X44" s="18">
        <f t="shared" si="18"/>
        <v>3.2415348840413793</v>
      </c>
      <c r="Y44" s="18">
        <f t="shared" si="19"/>
        <v>8.454334265601462</v>
      </c>
      <c r="Z44" s="190">
        <f t="shared" si="20"/>
        <v>5.2643499999999994</v>
      </c>
      <c r="AA44" s="190">
        <f t="shared" si="21"/>
        <v>98</v>
      </c>
      <c r="AB44" s="190" t="e">
        <f t="shared" si="6"/>
        <v>#REF!</v>
      </c>
      <c r="AC44" s="190" t="e">
        <f t="shared" si="22"/>
        <v>#REF!</v>
      </c>
      <c r="AD44" s="190">
        <f t="shared" si="23"/>
        <v>0.38258303469422661</v>
      </c>
      <c r="AE44" s="190" t="e">
        <f t="shared" si="24"/>
        <v>#REF!</v>
      </c>
      <c r="AF44" s="190" t="e">
        <f t="shared" si="25"/>
        <v>#REF!</v>
      </c>
      <c r="AG44" s="18"/>
      <c r="AH44" s="18"/>
      <c r="AI44" s="18"/>
      <c r="AJ44" s="18"/>
      <c r="AK44" s="190" t="e">
        <f>'ULS MP'!#REF!</f>
        <v>#REF!</v>
      </c>
      <c r="AL44" s="18">
        <f t="shared" si="7"/>
        <v>1.5543122344752192E-14</v>
      </c>
      <c r="AM44" s="18">
        <f t="shared" si="8"/>
        <v>3.5787803472726605</v>
      </c>
      <c r="AN44" s="190">
        <f t="shared" si="26"/>
        <v>141.27293501365881</v>
      </c>
      <c r="AO44" s="190">
        <f t="shared" si="27"/>
        <v>3.379770152175898E-13</v>
      </c>
      <c r="AP44" s="190">
        <f t="shared" si="9"/>
        <v>1.7923937950916E-13</v>
      </c>
      <c r="AQ44" s="190">
        <f t="shared" si="28"/>
        <v>0.5440538530152268</v>
      </c>
      <c r="AR44" s="18">
        <f t="shared" si="10"/>
        <v>141.27293501365915</v>
      </c>
      <c r="AS44" s="18">
        <f t="shared" si="11"/>
        <v>0.44848550797987058</v>
      </c>
      <c r="AT44" s="18">
        <f t="shared" si="12"/>
        <v>0.49333405877785741</v>
      </c>
      <c r="AU44" s="190">
        <f t="shared" si="29"/>
        <v>7.1126737900460318E-16</v>
      </c>
      <c r="AV44" s="190">
        <f t="shared" si="30"/>
        <v>0.54405385301522813</v>
      </c>
    </row>
    <row r="45" spans="3:48" ht="14.85" customHeight="1">
      <c r="C45" s="12" t="str">
        <f t="shared" si="13"/>
        <v>Can11</v>
      </c>
      <c r="D45" s="2">
        <f t="shared" si="14"/>
        <v>-28.3</v>
      </c>
      <c r="E45" s="3">
        <f t="shared" si="15"/>
        <v>11.064500000000001</v>
      </c>
      <c r="F45" s="3">
        <f t="shared" si="16"/>
        <v>98</v>
      </c>
      <c r="G45" s="3">
        <v>141</v>
      </c>
      <c r="H45" s="3">
        <v>0</v>
      </c>
      <c r="I45" s="3">
        <v>0</v>
      </c>
      <c r="J45" s="188">
        <f>VLOOKUP(P45,'Steel grades'!$B$5:$J$22,IF(F45&gt;200,10,IF(F45&gt;150,9,IF(F45&gt;120,8,IF(F45&gt;100,7,IF(F45&gt;80,6,IF(F45&gt;63,5,IF(F45&gt;40,4,IF(F45&gt;16,3,2)))))))),FALSE)</f>
        <v>315</v>
      </c>
      <c r="K45" s="3" t="e">
        <f t="shared" si="3"/>
        <v>#REF!</v>
      </c>
      <c r="L45" s="3">
        <v>0</v>
      </c>
      <c r="M45" s="3">
        <v>0</v>
      </c>
      <c r="N45" s="3" t="e">
        <f t="shared" si="4"/>
        <v>#REF!</v>
      </c>
      <c r="O45" s="3">
        <f t="shared" si="5"/>
        <v>0.45014832716301012</v>
      </c>
      <c r="P45" s="3" t="str">
        <f>Geometry!M36</f>
        <v>S355 NL/ML</v>
      </c>
      <c r="R45" s="216">
        <f t="shared" si="17"/>
        <v>-476061.54749621666</v>
      </c>
      <c r="S45" s="3"/>
      <c r="T45" s="3"/>
      <c r="U45" s="3"/>
      <c r="V45" s="3"/>
      <c r="W45" s="3"/>
      <c r="X45" s="18">
        <f t="shared" si="18"/>
        <v>3.3763230318880497</v>
      </c>
      <c r="Y45" s="18">
        <f t="shared" si="19"/>
        <v>9.1753570443507115</v>
      </c>
      <c r="Z45" s="190">
        <f t="shared" si="20"/>
        <v>5.48325</v>
      </c>
      <c r="AA45" s="190">
        <f t="shared" si="21"/>
        <v>98</v>
      </c>
      <c r="AB45" s="190" t="e">
        <f t="shared" si="6"/>
        <v>#REF!</v>
      </c>
      <c r="AC45" s="190" t="e">
        <f t="shared" si="22"/>
        <v>#REF!</v>
      </c>
      <c r="AD45" s="190">
        <f t="shared" si="23"/>
        <v>0.37827116847235309</v>
      </c>
      <c r="AE45" s="190" t="e">
        <f t="shared" si="24"/>
        <v>#REF!</v>
      </c>
      <c r="AF45" s="190" t="e">
        <f t="shared" si="25"/>
        <v>#REF!</v>
      </c>
      <c r="AG45" s="18"/>
      <c r="AH45" s="18"/>
      <c r="AI45" s="18"/>
      <c r="AJ45" s="18"/>
      <c r="AK45" s="190" t="e">
        <f>'ULS MP'!#REF!</f>
        <v>#REF!</v>
      </c>
      <c r="AL45" s="18">
        <f t="shared" si="7"/>
        <v>1.8752787248470071E-2</v>
      </c>
      <c r="AM45" s="18">
        <f t="shared" si="8"/>
        <v>3.5600275600241904</v>
      </c>
      <c r="AN45" s="190">
        <f t="shared" si="26"/>
        <v>141.27017885177855</v>
      </c>
      <c r="AO45" s="190">
        <f t="shared" si="27"/>
        <v>0.41608439605302028</v>
      </c>
      <c r="AP45" s="190">
        <f t="shared" si="9"/>
        <v>0.22066207349624992</v>
      </c>
      <c r="AQ45" s="190">
        <f t="shared" si="28"/>
        <v>0.54576017264959775</v>
      </c>
      <c r="AR45" s="18">
        <f t="shared" si="10"/>
        <v>141.68626324783156</v>
      </c>
      <c r="AS45" s="18">
        <f t="shared" si="11"/>
        <v>0.45014832716301012</v>
      </c>
      <c r="AT45" s="18">
        <f t="shared" si="12"/>
        <v>0.4947774272146499</v>
      </c>
      <c r="AU45" s="190">
        <f t="shared" si="29"/>
        <v>8.8700058869026818E-4</v>
      </c>
      <c r="AV45" s="190">
        <f t="shared" si="30"/>
        <v>0.54736760525619865</v>
      </c>
    </row>
    <row r="46" spans="3:48" ht="14.85" customHeight="1">
      <c r="C46" s="12" t="str">
        <f t="shared" si="13"/>
        <v>Can12</v>
      </c>
      <c r="D46" s="2">
        <f t="shared" si="14"/>
        <v>-31.8</v>
      </c>
      <c r="E46" s="3">
        <f t="shared" si="15"/>
        <v>11.5</v>
      </c>
      <c r="F46" s="3">
        <f t="shared" si="16"/>
        <v>98</v>
      </c>
      <c r="G46" s="3">
        <v>141</v>
      </c>
      <c r="H46" s="3">
        <v>0</v>
      </c>
      <c r="I46" s="3">
        <v>0</v>
      </c>
      <c r="J46" s="188">
        <f>VLOOKUP(P46,'Steel grades'!$B$5:$J$22,IF(F46&gt;200,10,IF(F46&gt;150,9,IF(F46&gt;120,8,IF(F46&gt;100,7,IF(F46&gt;80,6,IF(F46&gt;63,5,IF(F46&gt;40,4,IF(F46&gt;16,3,2)))))))),FALSE)</f>
        <v>315</v>
      </c>
      <c r="K46" s="3" t="e">
        <f t="shared" si="3"/>
        <v>#REF!</v>
      </c>
      <c r="L46" s="3">
        <v>0</v>
      </c>
      <c r="M46" s="3">
        <v>0</v>
      </c>
      <c r="N46" s="3" t="e">
        <f t="shared" si="4"/>
        <v>#REF!</v>
      </c>
      <c r="O46" s="3">
        <f t="shared" si="5"/>
        <v>0.78122679002409012</v>
      </c>
      <c r="P46" s="3" t="str">
        <f>Geometry!M37</f>
        <v>S355 NL/ML</v>
      </c>
      <c r="R46" s="216">
        <f t="shared" si="17"/>
        <v>-494966.83212983736</v>
      </c>
      <c r="S46" s="3"/>
      <c r="T46" s="3"/>
      <c r="U46" s="3"/>
      <c r="V46" s="3"/>
      <c r="W46" s="3"/>
      <c r="X46" s="18">
        <f t="shared" si="18"/>
        <v>3.5104030647506184</v>
      </c>
      <c r="Y46" s="18">
        <f t="shared" si="19"/>
        <v>9.9218648832041048</v>
      </c>
      <c r="Z46" s="190">
        <f t="shared" si="20"/>
        <v>5.7009999999999996</v>
      </c>
      <c r="AA46" s="190">
        <f t="shared" si="21"/>
        <v>98</v>
      </c>
      <c r="AB46" s="190" t="e">
        <f t="shared" si="6"/>
        <v>#REF!</v>
      </c>
      <c r="AC46" s="190" t="e">
        <f t="shared" si="22"/>
        <v>#REF!</v>
      </c>
      <c r="AD46" s="190">
        <f t="shared" si="23"/>
        <v>0.37412331775784907</v>
      </c>
      <c r="AE46" s="190" t="e">
        <f t="shared" si="24"/>
        <v>#REF!</v>
      </c>
      <c r="AF46" s="190" t="e">
        <f t="shared" si="25"/>
        <v>#REF!</v>
      </c>
      <c r="AG46" s="18"/>
      <c r="AH46" s="18"/>
      <c r="AI46" s="18"/>
      <c r="AJ46" s="18"/>
      <c r="AK46" s="190" t="e">
        <f>'ULS MP'!#REF!</f>
        <v>#REF!</v>
      </c>
      <c r="AL46" s="18">
        <f t="shared" si="7"/>
        <v>3.5600275600241904</v>
      </c>
      <c r="AM46" s="18">
        <f t="shared" si="8"/>
        <v>3.5600275600241904</v>
      </c>
      <c r="AN46" s="190">
        <f t="shared" si="26"/>
        <v>141.27027189830832</v>
      </c>
      <c r="AO46" s="190">
        <f t="shared" si="27"/>
        <v>80.632729717665995</v>
      </c>
      <c r="AP46" s="190">
        <f t="shared" si="9"/>
        <v>42.761962476707758</v>
      </c>
      <c r="AQ46" s="190">
        <f t="shared" si="28"/>
        <v>0.54747923258107911</v>
      </c>
      <c r="AR46" s="18">
        <f t="shared" si="10"/>
        <v>221.90300161597432</v>
      </c>
      <c r="AS46" s="18">
        <f t="shared" si="11"/>
        <v>0.78122679002409012</v>
      </c>
      <c r="AT46" s="18">
        <f t="shared" si="12"/>
        <v>0.77489937072245008</v>
      </c>
      <c r="AU46" s="190">
        <f t="shared" si="29"/>
        <v>0.1745662410248402</v>
      </c>
      <c r="AV46" s="190">
        <f t="shared" si="30"/>
        <v>0.85996355354651477</v>
      </c>
    </row>
    <row r="47" spans="3:48" ht="14.85" customHeight="1">
      <c r="C47" s="12" t="str">
        <f t="shared" si="13"/>
        <v>Can13</v>
      </c>
      <c r="D47" s="2">
        <f t="shared" si="14"/>
        <v>-38.6</v>
      </c>
      <c r="E47" s="3">
        <f t="shared" si="15"/>
        <v>11.5</v>
      </c>
      <c r="F47" s="3">
        <f t="shared" si="16"/>
        <v>98</v>
      </c>
      <c r="G47" s="3">
        <v>141</v>
      </c>
      <c r="H47" s="3">
        <v>0</v>
      </c>
      <c r="I47" s="3">
        <v>0</v>
      </c>
      <c r="J47" s="188">
        <f>VLOOKUP(P47,'Steel grades'!$B$5:$J$22,IF(F47&gt;200,10,IF(F47&gt;150,9,IF(F47&gt;120,8,IF(F47&gt;100,7,IF(F47&gt;80,6,IF(F47&gt;63,5,IF(F47&gt;40,4,IF(F47&gt;16,3,2)))))))),FALSE)</f>
        <v>360</v>
      </c>
      <c r="K47" s="3" t="e">
        <f t="shared" si="3"/>
        <v>#REF!</v>
      </c>
      <c r="L47" s="3">
        <v>0</v>
      </c>
      <c r="M47" s="3">
        <v>0</v>
      </c>
      <c r="N47" s="3" t="e">
        <f t="shared" si="4"/>
        <v>#REF!</v>
      </c>
      <c r="O47" s="3">
        <f t="shared" si="5"/>
        <v>0.39166666666666666</v>
      </c>
      <c r="P47" s="3" t="str">
        <f>Geometry!M39</f>
        <v>S420 NL</v>
      </c>
      <c r="R47" s="216">
        <f t="shared" si="17"/>
        <v>-494966.83212983736</v>
      </c>
      <c r="S47" s="3"/>
      <c r="T47" s="3"/>
      <c r="U47" s="3"/>
      <c r="V47" s="3"/>
      <c r="W47" s="3"/>
      <c r="X47" s="18">
        <f t="shared" si="18"/>
        <v>3.5104030647506184</v>
      </c>
      <c r="Y47" s="18">
        <f t="shared" si="19"/>
        <v>9.9218648832041048</v>
      </c>
      <c r="Z47" s="190">
        <f t="shared" si="20"/>
        <v>5.7009999999999996</v>
      </c>
      <c r="AA47" s="190">
        <f t="shared" si="21"/>
        <v>98</v>
      </c>
      <c r="AB47" s="190" t="e">
        <f t="shared" si="6"/>
        <v>#REF!</v>
      </c>
      <c r="AC47" s="190" t="e">
        <f t="shared" si="22"/>
        <v>#REF!</v>
      </c>
      <c r="AD47" s="190">
        <f t="shared" si="23"/>
        <v>0.37412331775784907</v>
      </c>
      <c r="AE47" s="190" t="e">
        <f t="shared" si="24"/>
        <v>#REF!</v>
      </c>
      <c r="AF47" s="190" t="e">
        <f t="shared" si="25"/>
        <v>#REF!</v>
      </c>
      <c r="AG47" s="18"/>
      <c r="AH47" s="18"/>
      <c r="AI47" s="18"/>
      <c r="AJ47" s="18"/>
      <c r="AK47" s="190" t="e">
        <f>'ULS MP'!#REF!</f>
        <v>#REF!</v>
      </c>
      <c r="AL47" s="18">
        <f t="shared" si="7"/>
        <v>0</v>
      </c>
      <c r="AM47" s="18">
        <f t="shared" si="8"/>
        <v>0</v>
      </c>
      <c r="AN47" s="190">
        <f t="shared" si="26"/>
        <v>140.99999999999997</v>
      </c>
      <c r="AO47" s="190">
        <f t="shared" si="27"/>
        <v>0</v>
      </c>
      <c r="AP47" s="190">
        <f t="shared" si="9"/>
        <v>0</v>
      </c>
      <c r="AQ47" s="190">
        <f t="shared" si="28"/>
        <v>0</v>
      </c>
      <c r="AR47" s="18">
        <f t="shared" si="10"/>
        <v>0</v>
      </c>
      <c r="AS47" s="18">
        <f t="shared" si="11"/>
        <v>0</v>
      </c>
      <c r="AT47" s="18">
        <f t="shared" si="12"/>
        <v>0</v>
      </c>
      <c r="AU47" s="190">
        <f t="shared" si="29"/>
        <v>0</v>
      </c>
      <c r="AV47" s="190">
        <f t="shared" si="30"/>
        <v>0</v>
      </c>
    </row>
    <row r="48" spans="3:48" ht="14.85" customHeight="1">
      <c r="C48" s="12" t="str">
        <f t="shared" si="13"/>
        <v>Can14</v>
      </c>
      <c r="D48" s="2">
        <f t="shared" si="14"/>
        <v>-48.5</v>
      </c>
      <c r="E48" s="3">
        <f t="shared" si="15"/>
        <v>11.5</v>
      </c>
      <c r="F48" s="3">
        <f t="shared" si="16"/>
        <v>95</v>
      </c>
      <c r="G48" s="3">
        <v>141</v>
      </c>
      <c r="H48" s="3">
        <v>0</v>
      </c>
      <c r="I48" s="3">
        <v>0</v>
      </c>
      <c r="J48" s="188">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Geometry!M42</f>
        <v>S355 NL/ML</v>
      </c>
      <c r="R48" s="216">
        <f t="shared" si="17"/>
        <v>-479941.03114909632</v>
      </c>
      <c r="S48" s="3"/>
      <c r="T48" s="3"/>
      <c r="U48" s="3"/>
      <c r="V48" s="3"/>
      <c r="W48" s="3"/>
      <c r="X48" s="18">
        <f t="shared" si="18"/>
        <v>3.40383710034819</v>
      </c>
      <c r="Y48" s="18">
        <f t="shared" si="19"/>
        <v>9.6256850373140956</v>
      </c>
      <c r="Z48" s="190">
        <f t="shared" si="20"/>
        <v>5.7024999999999997</v>
      </c>
      <c r="AA48" s="190">
        <f t="shared" si="21"/>
        <v>95</v>
      </c>
      <c r="AB48" s="190" t="e">
        <f t="shared" si="6"/>
        <v>#REF!</v>
      </c>
      <c r="AC48" s="190" t="e">
        <f t="shared" si="22"/>
        <v>#REF!</v>
      </c>
      <c r="AD48" s="190">
        <f t="shared" si="23"/>
        <v>0.37076626697959419</v>
      </c>
      <c r="AE48" s="190" t="e">
        <f t="shared" si="24"/>
        <v>#REF!</v>
      </c>
      <c r="AF48" s="190" t="e">
        <f t="shared" si="25"/>
        <v>#REF!</v>
      </c>
      <c r="AG48" s="18"/>
      <c r="AH48" s="18"/>
      <c r="AI48" s="18"/>
      <c r="AJ48" s="18"/>
      <c r="AK48" s="190" t="e">
        <f>'ULS MP'!#REF!</f>
        <v>#REF!</v>
      </c>
      <c r="AL48" s="18">
        <f t="shared" si="7"/>
        <v>0</v>
      </c>
      <c r="AM48" s="18">
        <f t="shared" si="8"/>
        <v>0</v>
      </c>
      <c r="AN48" s="190">
        <f t="shared" si="26"/>
        <v>141</v>
      </c>
      <c r="AO48" s="190">
        <f t="shared" si="27"/>
        <v>0</v>
      </c>
      <c r="AP48" s="190">
        <f t="shared" si="9"/>
        <v>0</v>
      </c>
      <c r="AQ48" s="190">
        <f t="shared" si="28"/>
        <v>0</v>
      </c>
      <c r="AR48" s="18">
        <f t="shared" si="10"/>
        <v>0</v>
      </c>
      <c r="AS48" s="18">
        <f t="shared" si="11"/>
        <v>0</v>
      </c>
      <c r="AT48" s="18">
        <f t="shared" si="12"/>
        <v>0</v>
      </c>
      <c r="AU48" s="190">
        <f t="shared" si="29"/>
        <v>0</v>
      </c>
      <c r="AV48" s="190">
        <f t="shared" si="30"/>
        <v>0</v>
      </c>
    </row>
    <row r="49" spans="3:48" ht="14.85" customHeight="1">
      <c r="C49" s="12" t="str">
        <f t="shared" si="13"/>
        <v>Can15</v>
      </c>
      <c r="D49" s="2">
        <f t="shared" si="14"/>
        <v>-51.7</v>
      </c>
      <c r="E49" s="3">
        <f t="shared" si="15"/>
        <v>11.5</v>
      </c>
      <c r="F49" s="3">
        <f t="shared" si="16"/>
        <v>93</v>
      </c>
      <c r="G49" s="3">
        <v>141</v>
      </c>
      <c r="H49" s="3">
        <v>0</v>
      </c>
      <c r="I49" s="3">
        <v>0</v>
      </c>
      <c r="J49" s="188">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Geometry!M43</f>
        <v>S355 NL/ML</v>
      </c>
      <c r="R49" s="216">
        <f t="shared" si="17"/>
        <v>-469919.40084962733</v>
      </c>
      <c r="S49" s="3"/>
      <c r="T49" s="3"/>
      <c r="U49" s="3"/>
      <c r="V49" s="3"/>
      <c r="W49" s="3"/>
      <c r="X49" s="18">
        <f t="shared" si="18"/>
        <v>3.332761708153384</v>
      </c>
      <c r="Y49" s="18">
        <f t="shared" si="19"/>
        <v>9.4279697548168109</v>
      </c>
      <c r="Z49" s="190">
        <f t="shared" si="20"/>
        <v>5.7035</v>
      </c>
      <c r="AA49" s="190">
        <f t="shared" si="21"/>
        <v>93</v>
      </c>
      <c r="AB49" s="190" t="e">
        <f t="shared" si="6"/>
        <v>#REF!</v>
      </c>
      <c r="AC49" s="190" t="e">
        <f t="shared" si="22"/>
        <v>#REF!</v>
      </c>
      <c r="AD49" s="190">
        <f t="shared" si="23"/>
        <v>0.36846068790510061</v>
      </c>
      <c r="AE49" s="190" t="e">
        <f t="shared" si="24"/>
        <v>#REF!</v>
      </c>
      <c r="AF49" s="190" t="e">
        <f t="shared" si="25"/>
        <v>#REF!</v>
      </c>
      <c r="AG49" s="18"/>
      <c r="AH49" s="18"/>
      <c r="AI49" s="18"/>
      <c r="AJ49" s="18"/>
      <c r="AK49" s="190" t="e">
        <f>'ULS MP'!#REF!</f>
        <v>#REF!</v>
      </c>
      <c r="AL49" s="18">
        <f t="shared" si="7"/>
        <v>0</v>
      </c>
      <c r="AM49" s="18">
        <f t="shared" si="8"/>
        <v>0</v>
      </c>
      <c r="AN49" s="190">
        <f t="shared" si="26"/>
        <v>140.99999999999997</v>
      </c>
      <c r="AO49" s="190">
        <f t="shared" si="27"/>
        <v>0</v>
      </c>
      <c r="AP49" s="190">
        <f t="shared" si="9"/>
        <v>0</v>
      </c>
      <c r="AQ49" s="190">
        <f t="shared" si="28"/>
        <v>0</v>
      </c>
      <c r="AR49" s="18">
        <f t="shared" si="10"/>
        <v>0</v>
      </c>
      <c r="AS49" s="18">
        <f t="shared" si="11"/>
        <v>0</v>
      </c>
      <c r="AT49" s="18">
        <f t="shared" si="12"/>
        <v>0</v>
      </c>
      <c r="AU49" s="190">
        <f t="shared" si="29"/>
        <v>0</v>
      </c>
      <c r="AV49" s="190">
        <f t="shared" si="30"/>
        <v>0</v>
      </c>
    </row>
    <row r="50" spans="3:48" ht="14.85" customHeight="1">
      <c r="C50" s="12" t="str">
        <f t="shared" si="13"/>
        <v>Can16</v>
      </c>
      <c r="D50" s="2">
        <f t="shared" si="14"/>
        <v>-55.3</v>
      </c>
      <c r="E50" s="3">
        <f t="shared" si="15"/>
        <v>11.5</v>
      </c>
      <c r="F50" s="3">
        <f t="shared" si="16"/>
        <v>93</v>
      </c>
      <c r="G50" s="3">
        <v>141</v>
      </c>
      <c r="H50" s="3">
        <v>0</v>
      </c>
      <c r="I50" s="3">
        <v>0</v>
      </c>
      <c r="J50" s="188">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Geometry!M44</f>
        <v>S355 NL/ML</v>
      </c>
      <c r="R50" s="216">
        <f t="shared" si="17"/>
        <v>-469919.40084962733</v>
      </c>
      <c r="S50" s="3"/>
      <c r="T50" s="3"/>
      <c r="U50" s="3"/>
      <c r="V50" s="3"/>
      <c r="W50" s="3"/>
      <c r="X50" s="18">
        <f t="shared" si="18"/>
        <v>3.332761708153384</v>
      </c>
      <c r="Y50" s="18">
        <f t="shared" si="19"/>
        <v>9.4279697548168109</v>
      </c>
      <c r="Z50" s="190">
        <f t="shared" si="20"/>
        <v>5.7035</v>
      </c>
      <c r="AA50" s="190">
        <f t="shared" si="21"/>
        <v>93</v>
      </c>
      <c r="AB50" s="190" t="e">
        <f t="shared" si="6"/>
        <v>#REF!</v>
      </c>
      <c r="AC50" s="190" t="e">
        <f t="shared" si="22"/>
        <v>#REF!</v>
      </c>
      <c r="AD50" s="190">
        <f t="shared" si="23"/>
        <v>0.36846068790510061</v>
      </c>
      <c r="AE50" s="190" t="e">
        <f t="shared" si="24"/>
        <v>#REF!</v>
      </c>
      <c r="AF50" s="190" t="e">
        <f t="shared" si="25"/>
        <v>#REF!</v>
      </c>
      <c r="AG50" s="18"/>
      <c r="AH50" s="18"/>
      <c r="AI50" s="18"/>
      <c r="AJ50" s="18"/>
      <c r="AK50" s="190" t="e">
        <f>'ULS MP'!#REF!</f>
        <v>#REF!</v>
      </c>
      <c r="AL50" s="18">
        <f t="shared" si="7"/>
        <v>0</v>
      </c>
      <c r="AM50" s="18">
        <f t="shared" si="8"/>
        <v>0</v>
      </c>
      <c r="AN50" s="190">
        <f t="shared" si="26"/>
        <v>140.99999999999997</v>
      </c>
      <c r="AO50" s="190">
        <f t="shared" si="27"/>
        <v>0</v>
      </c>
      <c r="AP50" s="190">
        <f t="shared" si="9"/>
        <v>0</v>
      </c>
      <c r="AQ50" s="190">
        <f t="shared" si="28"/>
        <v>0</v>
      </c>
      <c r="AR50" s="18">
        <f t="shared" si="10"/>
        <v>0</v>
      </c>
      <c r="AS50" s="18">
        <f t="shared" si="11"/>
        <v>0</v>
      </c>
      <c r="AT50" s="18">
        <f t="shared" si="12"/>
        <v>0</v>
      </c>
      <c r="AU50" s="190">
        <f t="shared" si="29"/>
        <v>0</v>
      </c>
      <c r="AV50" s="190">
        <f t="shared" si="30"/>
        <v>0</v>
      </c>
    </row>
    <row r="51" spans="3:48" ht="14.85" customHeight="1">
      <c r="C51" s="12" t="str">
        <f t="shared" si="13"/>
        <v>Can17</v>
      </c>
      <c r="D51" s="2">
        <f t="shared" si="14"/>
        <v>-59.3</v>
      </c>
      <c r="E51" s="3">
        <f t="shared" si="15"/>
        <v>11.5</v>
      </c>
      <c r="F51" s="3">
        <f t="shared" si="16"/>
        <v>93</v>
      </c>
      <c r="G51" s="3">
        <v>141</v>
      </c>
      <c r="H51" s="3">
        <v>0</v>
      </c>
      <c r="I51" s="3">
        <v>0</v>
      </c>
      <c r="J51" s="188">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Geometry!M45</f>
        <v>S355 NL/ML</v>
      </c>
      <c r="R51" s="216">
        <f t="shared" si="17"/>
        <v>-469919.40084962733</v>
      </c>
      <c r="S51" s="3"/>
      <c r="T51" s="3"/>
      <c r="U51" s="3"/>
      <c r="V51" s="3"/>
      <c r="W51" s="3"/>
      <c r="X51" s="18">
        <f t="shared" si="18"/>
        <v>3.332761708153384</v>
      </c>
      <c r="Y51" s="18">
        <f t="shared" si="19"/>
        <v>9.4279697548168109</v>
      </c>
      <c r="Z51" s="190">
        <f t="shared" si="20"/>
        <v>5.7035</v>
      </c>
      <c r="AA51" s="190">
        <f t="shared" si="21"/>
        <v>93</v>
      </c>
      <c r="AB51" s="190" t="e">
        <f t="shared" si="6"/>
        <v>#REF!</v>
      </c>
      <c r="AC51" s="190" t="e">
        <f t="shared" si="22"/>
        <v>#REF!</v>
      </c>
      <c r="AD51" s="190">
        <f t="shared" si="23"/>
        <v>0.36846068790510061</v>
      </c>
      <c r="AE51" s="190" t="e">
        <f t="shared" si="24"/>
        <v>#REF!</v>
      </c>
      <c r="AF51" s="190" t="e">
        <f t="shared" si="25"/>
        <v>#REF!</v>
      </c>
      <c r="AG51" s="18"/>
      <c r="AH51" s="18"/>
      <c r="AI51" s="18"/>
      <c r="AJ51" s="18"/>
      <c r="AK51" s="190" t="e">
        <f>'ULS MP'!#REF!</f>
        <v>#REF!</v>
      </c>
      <c r="AL51" s="18">
        <f t="shared" si="7"/>
        <v>0</v>
      </c>
      <c r="AM51" s="18">
        <f t="shared" si="8"/>
        <v>0</v>
      </c>
      <c r="AN51" s="190">
        <f t="shared" si="26"/>
        <v>140.99999999999997</v>
      </c>
      <c r="AO51" s="190">
        <f t="shared" si="27"/>
        <v>0</v>
      </c>
      <c r="AP51" s="190">
        <f t="shared" si="9"/>
        <v>0</v>
      </c>
      <c r="AQ51" s="190">
        <f t="shared" si="28"/>
        <v>0</v>
      </c>
      <c r="AR51" s="18">
        <f t="shared" si="10"/>
        <v>0</v>
      </c>
      <c r="AS51" s="18">
        <f t="shared" si="11"/>
        <v>0</v>
      </c>
      <c r="AT51" s="18">
        <f t="shared" si="12"/>
        <v>0</v>
      </c>
      <c r="AU51" s="190">
        <f t="shared" si="29"/>
        <v>0</v>
      </c>
      <c r="AV51" s="190">
        <f t="shared" si="30"/>
        <v>0</v>
      </c>
    </row>
    <row r="52" spans="3:48" ht="14.85" customHeight="1">
      <c r="C52" s="12" t="str">
        <f t="shared" si="13"/>
        <v>Can18</v>
      </c>
      <c r="D52" s="2">
        <f t="shared" si="14"/>
        <v>-63.3</v>
      </c>
      <c r="E52" s="3">
        <f t="shared" si="15"/>
        <v>11.5</v>
      </c>
      <c r="F52" s="3">
        <f t="shared" si="16"/>
        <v>93</v>
      </c>
      <c r="G52" s="3">
        <v>141</v>
      </c>
      <c r="H52" s="3">
        <v>0</v>
      </c>
      <c r="I52" s="3">
        <v>0</v>
      </c>
      <c r="J52" s="188">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Geometry!M46</f>
        <v>S355 NL/ML</v>
      </c>
      <c r="R52" s="216">
        <f t="shared" si="17"/>
        <v>-469919.40084962733</v>
      </c>
      <c r="S52" s="3"/>
      <c r="T52" s="3"/>
      <c r="U52" s="3"/>
      <c r="V52" s="3"/>
      <c r="W52" s="3"/>
      <c r="X52" s="18">
        <f t="shared" si="18"/>
        <v>3.332761708153384</v>
      </c>
      <c r="Y52" s="18">
        <f t="shared" si="19"/>
        <v>9.4279697548168109</v>
      </c>
      <c r="Z52" s="190">
        <f t="shared" si="20"/>
        <v>5.7035</v>
      </c>
      <c r="AA52" s="190">
        <f t="shared" si="21"/>
        <v>93</v>
      </c>
      <c r="AB52" s="190" t="e">
        <f t="shared" si="6"/>
        <v>#REF!</v>
      </c>
      <c r="AC52" s="190" t="e">
        <f t="shared" si="22"/>
        <v>#REF!</v>
      </c>
      <c r="AD52" s="190">
        <f t="shared" si="23"/>
        <v>0.36846068790510061</v>
      </c>
      <c r="AE52" s="190" t="e">
        <f t="shared" si="24"/>
        <v>#REF!</v>
      </c>
      <c r="AF52" s="190" t="e">
        <f t="shared" si="25"/>
        <v>#REF!</v>
      </c>
      <c r="AG52" s="18"/>
      <c r="AH52" s="18"/>
      <c r="AI52" s="18"/>
      <c r="AJ52" s="18"/>
      <c r="AK52" s="190" t="e">
        <f>'ULS MP'!#REF!</f>
        <v>#REF!</v>
      </c>
      <c r="AL52" s="18">
        <f t="shared" si="7"/>
        <v>0</v>
      </c>
      <c r="AM52" s="18">
        <f t="shared" si="8"/>
        <v>0</v>
      </c>
      <c r="AN52" s="190">
        <f t="shared" si="26"/>
        <v>140.99999999999997</v>
      </c>
      <c r="AO52" s="190">
        <f t="shared" si="27"/>
        <v>0</v>
      </c>
      <c r="AP52" s="190">
        <f t="shared" si="9"/>
        <v>0</v>
      </c>
      <c r="AQ52" s="190">
        <f t="shared" si="28"/>
        <v>0</v>
      </c>
      <c r="AR52" s="18">
        <f t="shared" si="10"/>
        <v>0</v>
      </c>
      <c r="AS52" s="18">
        <f t="shared" si="11"/>
        <v>0</v>
      </c>
      <c r="AT52" s="18">
        <f t="shared" si="12"/>
        <v>0</v>
      </c>
      <c r="AU52" s="190">
        <f t="shared" si="29"/>
        <v>0</v>
      </c>
      <c r="AV52" s="190">
        <f t="shared" si="30"/>
        <v>0</v>
      </c>
    </row>
    <row r="53" spans="3:48" ht="14.85" customHeight="1">
      <c r="C53" s="12" t="str">
        <f t="shared" si="13"/>
        <v>Can19</v>
      </c>
      <c r="D53" s="2">
        <f t="shared" si="14"/>
        <v>-67.3</v>
      </c>
      <c r="E53" s="3">
        <f t="shared" si="15"/>
        <v>11.5</v>
      </c>
      <c r="F53" s="3">
        <f t="shared" si="16"/>
        <v>96</v>
      </c>
      <c r="G53" s="3">
        <v>141</v>
      </c>
      <c r="H53" s="3">
        <v>0</v>
      </c>
      <c r="I53" s="3">
        <v>0</v>
      </c>
      <c r="J53" s="188">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Geometry!M47</f>
        <v>S355 NL/ML</v>
      </c>
      <c r="R53" s="216">
        <f t="shared" si="17"/>
        <v>-484950.51740513835</v>
      </c>
      <c r="S53" s="3"/>
      <c r="T53" s="3"/>
      <c r="U53" s="3"/>
      <c r="V53" s="3"/>
      <c r="W53" s="3"/>
      <c r="X53" s="18">
        <f t="shared" si="18"/>
        <v>3.43936537166765</v>
      </c>
      <c r="Y53" s="18">
        <f t="shared" si="19"/>
        <v>9.7244640444551145</v>
      </c>
      <c r="Z53" s="190">
        <f t="shared" si="20"/>
        <v>5.702</v>
      </c>
      <c r="AA53" s="190">
        <f t="shared" si="21"/>
        <v>96</v>
      </c>
      <c r="AB53" s="190" t="e">
        <f t="shared" si="6"/>
        <v>#REF!</v>
      </c>
      <c r="AC53" s="190" t="e">
        <f t="shared" si="22"/>
        <v>#REF!</v>
      </c>
      <c r="AD53" s="190">
        <f t="shared" si="23"/>
        <v>0.37189852244974814</v>
      </c>
      <c r="AE53" s="190" t="e">
        <f t="shared" si="24"/>
        <v>#REF!</v>
      </c>
      <c r="AF53" s="190" t="e">
        <f t="shared" si="25"/>
        <v>#REF!</v>
      </c>
      <c r="AG53" s="18"/>
      <c r="AH53" s="18"/>
      <c r="AI53" s="18"/>
      <c r="AJ53" s="18"/>
      <c r="AK53" s="190" t="e">
        <f>'ULS MP'!#REF!</f>
        <v>#REF!</v>
      </c>
      <c r="AL53" s="18">
        <f t="shared" si="7"/>
        <v>0</v>
      </c>
      <c r="AM53" s="18">
        <f t="shared" si="8"/>
        <v>0</v>
      </c>
      <c r="AN53" s="190">
        <f t="shared" si="26"/>
        <v>141</v>
      </c>
      <c r="AO53" s="190">
        <f t="shared" si="27"/>
        <v>0</v>
      </c>
      <c r="AP53" s="190">
        <f t="shared" si="9"/>
        <v>0</v>
      </c>
      <c r="AQ53" s="190">
        <f t="shared" si="28"/>
        <v>0</v>
      </c>
      <c r="AR53" s="18">
        <f t="shared" si="10"/>
        <v>0</v>
      </c>
      <c r="AS53" s="18">
        <f t="shared" si="11"/>
        <v>0</v>
      </c>
      <c r="AT53" s="18">
        <f t="shared" si="12"/>
        <v>0</v>
      </c>
      <c r="AU53" s="190">
        <f t="shared" si="29"/>
        <v>0</v>
      </c>
      <c r="AV53" s="190">
        <f t="shared" si="30"/>
        <v>0</v>
      </c>
    </row>
    <row r="54" spans="3:48" ht="14.85" customHeight="1">
      <c r="C54" s="12" t="str">
        <f t="shared" si="13"/>
        <v>Can20</v>
      </c>
      <c r="D54" s="2" t="e">
        <f t="shared" si="14"/>
        <v>#REF!</v>
      </c>
      <c r="E54" s="3" t="e">
        <f t="shared" si="15"/>
        <v>#REF!</v>
      </c>
      <c r="F54" s="3" t="e">
        <f t="shared" si="16"/>
        <v>#REF!</v>
      </c>
      <c r="G54" s="3">
        <v>141</v>
      </c>
      <c r="H54" s="3">
        <v>0</v>
      </c>
      <c r="I54" s="3">
        <v>0</v>
      </c>
      <c r="J54" s="188"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16" t="e">
        <f t="shared" si="17"/>
        <v>#REF!</v>
      </c>
      <c r="S54" s="3"/>
      <c r="T54" s="3"/>
      <c r="U54" s="3"/>
      <c r="V54" s="3"/>
      <c r="W54" s="3"/>
      <c r="X54" s="18" t="e">
        <f t="shared" si="18"/>
        <v>#REF!</v>
      </c>
      <c r="Y54" s="18" t="e">
        <f t="shared" si="19"/>
        <v>#REF!</v>
      </c>
      <c r="Z54" s="190" t="e">
        <f t="shared" si="20"/>
        <v>#REF!</v>
      </c>
      <c r="AA54" s="190" t="e">
        <f t="shared" si="21"/>
        <v>#REF!</v>
      </c>
      <c r="AB54" s="190" t="e">
        <f t="shared" si="6"/>
        <v>#REF!</v>
      </c>
      <c r="AC54" s="190" t="e">
        <f t="shared" si="22"/>
        <v>#REF!</v>
      </c>
      <c r="AD54" s="190" t="e">
        <f t="shared" si="23"/>
        <v>#REF!</v>
      </c>
      <c r="AE54" s="190" t="e">
        <f t="shared" si="24"/>
        <v>#REF!</v>
      </c>
      <c r="AF54" s="190" t="e">
        <f t="shared" si="25"/>
        <v>#REF!</v>
      </c>
      <c r="AG54" s="18"/>
      <c r="AH54" s="18"/>
      <c r="AI54" s="18"/>
      <c r="AJ54" s="18"/>
      <c r="AK54" s="190" t="e">
        <f>'ULS MP'!#REF!</f>
        <v>#REF!</v>
      </c>
      <c r="AL54" s="18" t="e">
        <f t="shared" si="7"/>
        <v>#REF!</v>
      </c>
      <c r="AM54" s="18" t="e">
        <f t="shared" si="8"/>
        <v>#REF!</v>
      </c>
      <c r="AN54" s="190" t="e">
        <f t="shared" si="26"/>
        <v>#REF!</v>
      </c>
      <c r="AO54" s="190" t="e">
        <f t="shared" si="27"/>
        <v>#REF!</v>
      </c>
      <c r="AP54" s="190" t="e">
        <f t="shared" si="9"/>
        <v>#REF!</v>
      </c>
      <c r="AQ54" s="190" t="e">
        <f t="shared" si="28"/>
        <v>#REF!</v>
      </c>
      <c r="AR54" s="18" t="e">
        <f t="shared" si="10"/>
        <v>#REF!</v>
      </c>
      <c r="AS54" s="18" t="e">
        <f t="shared" si="11"/>
        <v>#REF!</v>
      </c>
      <c r="AT54" s="18" t="e">
        <f t="shared" si="12"/>
        <v>#REF!</v>
      </c>
      <c r="AU54" s="190" t="e">
        <f t="shared" si="29"/>
        <v>#REF!</v>
      </c>
      <c r="AV54" s="190" t="e">
        <f t="shared" si="30"/>
        <v>#REF!</v>
      </c>
    </row>
    <row r="55" spans="3:48" ht="14.85" customHeight="1">
      <c r="C55" s="12" t="str">
        <f t="shared" si="13"/>
        <v>Can21</v>
      </c>
      <c r="D55" s="2">
        <f t="shared" si="14"/>
        <v>-71</v>
      </c>
      <c r="E55" s="3">
        <f t="shared" si="15"/>
        <v>11.5</v>
      </c>
      <c r="F55" s="3">
        <f t="shared" si="16"/>
        <v>100</v>
      </c>
      <c r="G55" s="3">
        <v>141</v>
      </c>
      <c r="H55" s="3">
        <v>0</v>
      </c>
      <c r="I55" s="3">
        <v>0</v>
      </c>
      <c r="J55" s="188">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Geometry!M48</f>
        <v>S355 NL/ML</v>
      </c>
      <c r="R55" s="216">
        <f t="shared" si="17"/>
        <v>-504979.60313802335</v>
      </c>
      <c r="S55" s="3"/>
      <c r="T55" s="3"/>
      <c r="U55" s="3"/>
      <c r="V55" s="3"/>
      <c r="W55" s="3"/>
      <c r="X55" s="18">
        <f t="shared" si="18"/>
        <v>3.5814156250923546</v>
      </c>
      <c r="Y55" s="18">
        <f t="shared" si="19"/>
        <v>10.119056278114197</v>
      </c>
      <c r="Z55" s="190">
        <f t="shared" si="20"/>
        <v>5.7</v>
      </c>
      <c r="AA55" s="190">
        <f t="shared" si="21"/>
        <v>100</v>
      </c>
      <c r="AB55" s="190" t="e">
        <f t="shared" si="6"/>
        <v>#REF!</v>
      </c>
      <c r="AC55" s="190" t="e">
        <f t="shared" si="22"/>
        <v>#REF!</v>
      </c>
      <c r="AD55" s="190">
        <f t="shared" si="23"/>
        <v>0.37629687437838422</v>
      </c>
      <c r="AE55" s="190" t="e">
        <f t="shared" si="24"/>
        <v>#REF!</v>
      </c>
      <c r="AF55" s="190" t="e">
        <f t="shared" si="25"/>
        <v>#REF!</v>
      </c>
      <c r="AG55" s="18"/>
      <c r="AH55" s="18"/>
      <c r="AI55" s="18"/>
      <c r="AJ55" s="18"/>
      <c r="AK55" s="190" t="e">
        <f>'ULS MP'!#REF!</f>
        <v>#REF!</v>
      </c>
      <c r="AL55" s="18">
        <f t="shared" si="7"/>
        <v>0</v>
      </c>
      <c r="AM55" s="18">
        <f t="shared" si="8"/>
        <v>0</v>
      </c>
      <c r="AN55" s="190">
        <f t="shared" si="26"/>
        <v>141</v>
      </c>
      <c r="AO55" s="190">
        <f t="shared" si="27"/>
        <v>0</v>
      </c>
      <c r="AP55" s="190">
        <f t="shared" si="9"/>
        <v>0</v>
      </c>
      <c r="AQ55" s="190">
        <f t="shared" si="28"/>
        <v>0</v>
      </c>
      <c r="AR55" s="18">
        <f t="shared" si="10"/>
        <v>0</v>
      </c>
      <c r="AS55" s="18">
        <f t="shared" si="11"/>
        <v>0</v>
      </c>
      <c r="AT55" s="18">
        <f t="shared" si="12"/>
        <v>0</v>
      </c>
      <c r="AU55" s="190">
        <f t="shared" si="29"/>
        <v>0</v>
      </c>
      <c r="AV55" s="190">
        <f t="shared" si="30"/>
        <v>0</v>
      </c>
    </row>
    <row r="56" spans="3:48" ht="14.85" customHeight="1">
      <c r="C56" s="12" t="str">
        <f t="shared" si="13"/>
        <v>Can22</v>
      </c>
      <c r="D56" s="2">
        <f t="shared" si="14"/>
        <v>-74.3</v>
      </c>
      <c r="E56" s="3">
        <f t="shared" si="15"/>
        <v>11.5</v>
      </c>
      <c r="F56" s="3">
        <f t="shared" si="16"/>
        <v>110</v>
      </c>
      <c r="G56" s="3">
        <v>141</v>
      </c>
      <c r="H56" s="3">
        <v>0</v>
      </c>
      <c r="I56" s="3">
        <v>0</v>
      </c>
      <c r="J56" s="188">
        <f>VLOOKUP(P56,'Steel grades'!$B$5:$J$22,IF(F56&gt;200,10,IF(F56&gt;150,9,IF(F56&gt;120,8,IF(F56&gt;100,7,IF(F56&gt;80,6,IF(F56&gt;63,5,IF(F56&gt;40,4,IF(F56&gt;16,3,2)))))))),FALSE)</f>
        <v>295</v>
      </c>
      <c r="K56" s="3" t="e">
        <f t="shared" si="3"/>
        <v>#REF!</v>
      </c>
      <c r="L56" s="3">
        <v>0</v>
      </c>
      <c r="M56" s="3">
        <v>0</v>
      </c>
      <c r="N56" s="3" t="e">
        <f t="shared" si="4"/>
        <v>#REF!</v>
      </c>
      <c r="O56" s="3">
        <f t="shared" si="5"/>
        <v>0.47796610169491527</v>
      </c>
      <c r="P56" s="3" t="str">
        <f>Geometry!M49</f>
        <v>S355 NL/ML</v>
      </c>
      <c r="R56" s="216">
        <f t="shared" si="17"/>
        <v>-554990.30243125395</v>
      </c>
      <c r="S56" s="3"/>
      <c r="T56" s="3"/>
      <c r="U56" s="3"/>
      <c r="V56" s="3"/>
      <c r="W56" s="3"/>
      <c r="X56" s="18">
        <f t="shared" si="18"/>
        <v>3.936101435682664</v>
      </c>
      <c r="Y56" s="18">
        <f t="shared" si="19"/>
        <v>11.10187678024997</v>
      </c>
      <c r="Z56" s="190">
        <f t="shared" si="20"/>
        <v>5.6950000000000003</v>
      </c>
      <c r="AA56" s="190">
        <f t="shared" si="21"/>
        <v>110</v>
      </c>
      <c r="AB56" s="190" t="e">
        <f t="shared" si="6"/>
        <v>#REF!</v>
      </c>
      <c r="AC56" s="190" t="e">
        <f t="shared" si="22"/>
        <v>#REF!</v>
      </c>
      <c r="AD56" s="190">
        <f t="shared" si="23"/>
        <v>0.38646113393155102</v>
      </c>
      <c r="AE56" s="190" t="e">
        <f t="shared" si="24"/>
        <v>#REF!</v>
      </c>
      <c r="AF56" s="190" t="e">
        <f t="shared" si="25"/>
        <v>#REF!</v>
      </c>
      <c r="AG56" s="18"/>
      <c r="AH56" s="18"/>
      <c r="AI56" s="18"/>
      <c r="AJ56" s="18"/>
      <c r="AK56" s="190" t="e">
        <f>'ULS MP'!#REF!</f>
        <v>#REF!</v>
      </c>
      <c r="AL56" s="18">
        <f t="shared" si="7"/>
        <v>0</v>
      </c>
      <c r="AM56" s="18">
        <f t="shared" si="8"/>
        <v>0</v>
      </c>
      <c r="AN56" s="190">
        <f t="shared" si="26"/>
        <v>141</v>
      </c>
      <c r="AO56" s="190">
        <f t="shared" si="27"/>
        <v>0</v>
      </c>
      <c r="AP56" s="190">
        <f t="shared" si="9"/>
        <v>0</v>
      </c>
      <c r="AQ56" s="190">
        <f t="shared" si="28"/>
        <v>0</v>
      </c>
      <c r="AR56" s="18">
        <f t="shared" si="10"/>
        <v>0</v>
      </c>
      <c r="AS56" s="18">
        <f t="shared" si="11"/>
        <v>0</v>
      </c>
      <c r="AT56" s="18">
        <f t="shared" si="12"/>
        <v>0</v>
      </c>
      <c r="AU56" s="190">
        <f t="shared" si="29"/>
        <v>0</v>
      </c>
      <c r="AV56" s="190">
        <f t="shared" si="30"/>
        <v>0</v>
      </c>
    </row>
    <row r="57" spans="3:48" ht="14.85" customHeight="1">
      <c r="C57" s="12" t="str">
        <f t="shared" si="13"/>
        <v>Can23</v>
      </c>
      <c r="D57" s="2">
        <f t="shared" si="14"/>
        <v>-77.430000000000007</v>
      </c>
      <c r="E57" s="3">
        <f t="shared" si="15"/>
        <v>11.5</v>
      </c>
      <c r="F57" s="3">
        <f t="shared" si="16"/>
        <v>122</v>
      </c>
      <c r="G57" s="3">
        <v>141</v>
      </c>
      <c r="H57" s="3">
        <v>0</v>
      </c>
      <c r="I57" s="3">
        <v>0</v>
      </c>
      <c r="J57" s="188">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Geometry!M50</f>
        <v>S355 NL/ML</v>
      </c>
      <c r="R57" s="216">
        <f t="shared" si="17"/>
        <v>-614886.19893819338</v>
      </c>
      <c r="S57" s="3"/>
      <c r="T57" s="3"/>
      <c r="U57" s="3"/>
      <c r="V57" s="3"/>
      <c r="W57" s="3"/>
      <c r="X57" s="18">
        <f t="shared" si="18"/>
        <v>4.3608950279304493</v>
      </c>
      <c r="Y57" s="18">
        <f t="shared" si="19"/>
        <v>12.274380676491754</v>
      </c>
      <c r="Z57" s="190">
        <f t="shared" si="20"/>
        <v>5.6890000000000001</v>
      </c>
      <c r="AA57" s="190">
        <f t="shared" si="21"/>
        <v>122</v>
      </c>
      <c r="AB57" s="190" t="e">
        <f t="shared" si="6"/>
        <v>#REF!</v>
      </c>
      <c r="AC57" s="190" t="e">
        <f t="shared" si="22"/>
        <v>#REF!</v>
      </c>
      <c r="AD57" s="190">
        <f t="shared" si="23"/>
        <v>0.39731783114275282</v>
      </c>
      <c r="AE57" s="190" t="e">
        <f t="shared" si="24"/>
        <v>#REF!</v>
      </c>
      <c r="AF57" s="190" t="e">
        <f t="shared" si="25"/>
        <v>#REF!</v>
      </c>
      <c r="AG57" s="18"/>
      <c r="AH57" s="18"/>
      <c r="AI57" s="18"/>
      <c r="AJ57" s="18"/>
      <c r="AK57" s="190" t="e">
        <f>'ULS MP'!#REF!</f>
        <v>#REF!</v>
      </c>
      <c r="AL57" s="18">
        <f t="shared" si="7"/>
        <v>0</v>
      </c>
      <c r="AM57" s="18">
        <f t="shared" si="8"/>
        <v>0</v>
      </c>
      <c r="AN57" s="190">
        <f t="shared" si="26"/>
        <v>141</v>
      </c>
      <c r="AO57" s="190">
        <f t="shared" si="27"/>
        <v>0</v>
      </c>
      <c r="AP57" s="190">
        <f t="shared" si="9"/>
        <v>0</v>
      </c>
      <c r="AQ57" s="190">
        <f t="shared" si="28"/>
        <v>0</v>
      </c>
      <c r="AR57" s="18">
        <f t="shared" si="10"/>
        <v>0</v>
      </c>
      <c r="AS57" s="18">
        <f t="shared" si="11"/>
        <v>0</v>
      </c>
      <c r="AT57" s="18">
        <f t="shared" si="12"/>
        <v>0</v>
      </c>
      <c r="AU57" s="190">
        <f t="shared" si="29"/>
        <v>0</v>
      </c>
      <c r="AV57" s="190">
        <f t="shared" si="30"/>
        <v>0</v>
      </c>
    </row>
    <row r="58" spans="3:48" ht="14.85" customHeight="1"/>
    <row r="59" spans="3:48">
      <c r="C59" s="35" t="s">
        <v>223</v>
      </c>
    </row>
    <row r="60" spans="3:48" ht="15" customHeight="1">
      <c r="C60" s="317" t="s">
        <v>222</v>
      </c>
      <c r="D60" s="317" t="s">
        <v>53</v>
      </c>
      <c r="E60" s="317" t="s">
        <v>105</v>
      </c>
      <c r="F60" s="317" t="s">
        <v>101</v>
      </c>
      <c r="G60" s="329" t="s">
        <v>98</v>
      </c>
      <c r="H60" s="317" t="s">
        <v>99</v>
      </c>
      <c r="I60" s="330" t="s">
        <v>102</v>
      </c>
      <c r="J60" s="317" t="s">
        <v>100</v>
      </c>
      <c r="K60" s="329" t="s">
        <v>94</v>
      </c>
      <c r="L60" s="329" t="s">
        <v>213</v>
      </c>
      <c r="M60" s="332" t="s">
        <v>214</v>
      </c>
      <c r="N60" s="317" t="s">
        <v>106</v>
      </c>
      <c r="O60" s="317" t="s">
        <v>107</v>
      </c>
      <c r="P60" s="317" t="s">
        <v>108</v>
      </c>
      <c r="R60" s="317" t="s">
        <v>73</v>
      </c>
      <c r="S60" s="317" t="s">
        <v>78</v>
      </c>
      <c r="T60" s="317" t="s">
        <v>79</v>
      </c>
      <c r="U60" s="317" t="s">
        <v>80</v>
      </c>
      <c r="V60" s="317" t="s">
        <v>84</v>
      </c>
      <c r="W60" s="317" t="s">
        <v>85</v>
      </c>
      <c r="X60" s="317" t="s">
        <v>86</v>
      </c>
      <c r="Y60" s="317" t="s">
        <v>87</v>
      </c>
      <c r="Z60" s="317" t="s">
        <v>573</v>
      </c>
      <c r="AA60" s="317" t="s">
        <v>547</v>
      </c>
      <c r="AB60" s="317" t="s">
        <v>548</v>
      </c>
      <c r="AC60" s="328" t="s">
        <v>550</v>
      </c>
      <c r="AD60" s="317" t="s">
        <v>549</v>
      </c>
      <c r="AE60" s="328" t="s">
        <v>551</v>
      </c>
      <c r="AF60" s="328" t="s">
        <v>552</v>
      </c>
      <c r="AG60" s="317" t="s">
        <v>555</v>
      </c>
      <c r="AH60" s="328" t="s">
        <v>556</v>
      </c>
      <c r="AI60" s="328" t="s">
        <v>553</v>
      </c>
      <c r="AJ60" s="328" t="s">
        <v>554</v>
      </c>
      <c r="AK60" s="334" t="s">
        <v>97</v>
      </c>
      <c r="AL60" s="317" t="s">
        <v>202</v>
      </c>
      <c r="AM60" s="317" t="s">
        <v>203</v>
      </c>
      <c r="AN60" s="317" t="s">
        <v>567</v>
      </c>
      <c r="AO60" s="317" t="s">
        <v>568</v>
      </c>
      <c r="AP60" s="317" t="s">
        <v>569</v>
      </c>
      <c r="AQ60" s="317" t="s">
        <v>570</v>
      </c>
      <c r="AR60" s="317" t="s">
        <v>571</v>
      </c>
      <c r="AS60" s="317" t="s">
        <v>147</v>
      </c>
      <c r="AT60" s="317" t="s">
        <v>145</v>
      </c>
      <c r="AU60" s="317" t="s">
        <v>146</v>
      </c>
      <c r="AV60" s="317" t="s">
        <v>572</v>
      </c>
    </row>
    <row r="61" spans="3:48" ht="18.75" customHeight="1">
      <c r="C61" s="318">
        <v>0</v>
      </c>
      <c r="D61" s="318">
        <v>0</v>
      </c>
      <c r="E61" s="318"/>
      <c r="F61" s="318"/>
      <c r="G61" s="318"/>
      <c r="H61" s="318"/>
      <c r="I61" s="331"/>
      <c r="J61" s="318"/>
      <c r="K61" s="318"/>
      <c r="L61" s="318"/>
      <c r="M61" s="312"/>
      <c r="N61" s="318"/>
      <c r="O61" s="318"/>
      <c r="P61" s="318"/>
      <c r="R61" s="318"/>
      <c r="S61" s="318"/>
      <c r="T61" s="318"/>
      <c r="U61" s="318"/>
      <c r="V61" s="318"/>
      <c r="W61" s="318"/>
      <c r="X61" s="318"/>
      <c r="Y61" s="318"/>
      <c r="Z61" s="318"/>
      <c r="AA61" s="318"/>
      <c r="AB61" s="318"/>
      <c r="AC61" s="318"/>
      <c r="AD61" s="318"/>
      <c r="AE61" s="318"/>
      <c r="AF61" s="318"/>
      <c r="AG61" s="318"/>
      <c r="AH61" s="333"/>
      <c r="AI61" s="318"/>
      <c r="AJ61" s="318"/>
      <c r="AK61" s="335"/>
      <c r="AL61" s="318"/>
      <c r="AM61" s="318"/>
      <c r="AN61" s="318"/>
      <c r="AO61" s="318"/>
      <c r="AP61" s="318"/>
      <c r="AQ61" s="318"/>
      <c r="AR61" s="318"/>
      <c r="AS61" s="318"/>
      <c r="AT61" s="318"/>
      <c r="AU61" s="318"/>
      <c r="AV61" s="318"/>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541</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2.6</v>
      </c>
      <c r="E63" s="3">
        <f t="shared" ref="E63:E85" si="31">G6</f>
        <v>8</v>
      </c>
      <c r="F63" s="3">
        <f t="shared" ref="F63:F85" si="32">H6</f>
        <v>125</v>
      </c>
      <c r="G63" s="3">
        <v>137.19999999999999</v>
      </c>
      <c r="H63" s="3">
        <v>0</v>
      </c>
      <c r="I63" s="3">
        <v>0</v>
      </c>
      <c r="J63" s="188">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Geometry!M26</f>
        <v>S355 NL/ML</v>
      </c>
      <c r="R63" s="216">
        <f>-G63*2*PI()*Z63*AA63</f>
        <v>-424291.72282138641</v>
      </c>
      <c r="S63" s="3"/>
      <c r="T63" s="3"/>
      <c r="U63" s="3"/>
      <c r="V63" s="3"/>
      <c r="W63" s="3"/>
      <c r="X63" s="18">
        <f>PI()/4*((E63-2*V63/1000)^2-((E63-2*V63/1000)-2*(F63-V63-W63)/1000)^2)</f>
        <v>3.0925052683774528</v>
      </c>
      <c r="Y63" s="18">
        <f>PI()/32*((E63-2*V63/1000)^4-((E63-2*V63/1000)-2*(F63-V63-W63)/1000)^4)/(E63-2*V63/1000)</f>
        <v>5.9947489821574642</v>
      </c>
      <c r="Z63" s="190">
        <f>(0.5*E63)-(0.5*(AA63/1000))</f>
        <v>3.9375</v>
      </c>
      <c r="AA63" s="190">
        <f>F63</f>
        <v>125</v>
      </c>
      <c r="AB63" s="190" t="e">
        <f t="shared" ref="AB63:AB85" si="36">$R$2/SQRT(Z63*AA63/1000)</f>
        <v>#REF!</v>
      </c>
      <c r="AC63" s="190" t="e">
        <f>(J63/((0.605*$W$2*IF(AB63&gt;0.5*(Z63)/(AA63/1000),MAX(0.6,1+0.2/$AC$7*(1-2*AB63*(AA63/1000)/(Z63))),IF(AB63&lt;=1.7,1.36-(1.83/AB63)+(2.07/AB63^2),1)))*((AA63/1000)/(Z63)/1000)))^0.5</f>
        <v>#REF!</v>
      </c>
      <c r="AD63" s="190">
        <f>0.62/(1+1.91*((((Z63)/(AA63/1000))^0.5*(AA63/1000)/$AC$4)/(AA63/1000))^1.44)</f>
        <v>0.43583523931057638</v>
      </c>
      <c r="AE63" s="190" t="e">
        <f>IF(AND((Z63)/(AA63/1000)&lt;=150,AB63&lt;=6*(Z63)/(AA63/1000),$W$2/(J63*1000)&lt;=1000,500&lt;=$W$2/(J63*1000)),0.2+0.1*(ABS(T63/1000/Y63)/G63),0.2)</f>
        <v>#REF!</v>
      </c>
      <c r="AF63" s="190" t="e">
        <f>IF(AC63&lt;=AE63,1,IF(AC63&gt;=(AD63/(1-0.6))^0.5,AD63/(AC63^2),1-0.6*((AC63-(AE63))/((AD63/(1-0.6))^0.5-AE63))))</f>
        <v>#REF!</v>
      </c>
      <c r="AG63" s="18"/>
      <c r="AH63" s="18"/>
      <c r="AI63" s="18"/>
      <c r="AJ63" s="18"/>
      <c r="AK63" s="190">
        <f>'ULS MP'!AM67</f>
        <v>1</v>
      </c>
      <c r="AL63" s="18">
        <f t="shared" ref="AL63:AL85" si="37">IF(NOT(ISNUMBER(D64)),0,ABS(J6-J7))</f>
        <v>0</v>
      </c>
      <c r="AM63" s="18">
        <f t="shared" ref="AM63:AM85" si="38">MAX(AL63,J6)</f>
        <v>0</v>
      </c>
      <c r="AN63" s="190">
        <f>((ABS(R63/(PI()*((E63-2*V63/1000)-((AA63))/1000*COS(AM63*PI()/180))*(AA63)/1000))/1000)+ABS((4*T63)/(PI()*((E63-V63/1000)-((AA63)/1000)*COS(AM63*PI()/180))^2*((AA63)/1000))/1000))/COS(AM63*PI()/180)</f>
        <v>137.19999999999996</v>
      </c>
      <c r="AO63" s="190">
        <f>((0.6*(AA63)*((E63*1000-2*V63)*(2*(AA63)))^0.5)/((AA63)^2))*(G63*TAN(AL63*PI()/180))</f>
        <v>0</v>
      </c>
      <c r="AP63" s="190">
        <f t="shared" ref="AP63:AP85" si="39">IF(AL63=0,0,0.45*((E63*1000-2*V63)/(F63-V63-W63))^0.5*G63*TAN(AL63*PI()/180)+I63)</f>
        <v>0</v>
      </c>
      <c r="AQ63" s="190">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0">
        <f>1.25*AP63/IF(0.4*$W$2/1000*(AA63)/1000/(E63-2*V63/1000)/J63&gt;2.44,J63,IF(0.4*$W$2/1000*(AA63)/1000/(E63-2*V63/1000)/J63&lt;=0.55,0.4*$W$2/1000*(AA63)/1000/(E63-2*V63/1000),MIN(0.7*(0.4*$W$2/1000*(F63-V63-W63)/1000/(E63-2*V63/1000)/J63)^0.4*J63,J63)))</f>
        <v>0</v>
      </c>
      <c r="AV63" s="190">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-0.6</v>
      </c>
      <c r="E64" s="3">
        <f t="shared" si="31"/>
        <v>8</v>
      </c>
      <c r="F64" s="3">
        <f t="shared" si="32"/>
        <v>116</v>
      </c>
      <c r="G64" s="3">
        <v>137.19999999999999</v>
      </c>
      <c r="H64" s="3">
        <v>0</v>
      </c>
      <c r="I64" s="3">
        <v>0</v>
      </c>
      <c r="J64" s="188">
        <f>VLOOKUP(P64,'Steel grades'!$B$5:$J$22,IF(F64&gt;200,10,IF(F64&gt;150,9,IF(F64&gt;120,8,IF(F64&gt;100,7,IF(F64&gt;80,6,IF(F64&gt;63,5,IF(F64&gt;40,4,IF(F64&gt;16,3,2)))))))),FALSE)</f>
        <v>295</v>
      </c>
      <c r="K64" s="3" t="e">
        <f t="shared" si="33"/>
        <v>#REF!</v>
      </c>
      <c r="L64" s="3">
        <v>0</v>
      </c>
      <c r="M64" s="3">
        <v>0</v>
      </c>
      <c r="N64" s="3" t="e">
        <f t="shared" si="34"/>
        <v>#REF!</v>
      </c>
      <c r="O64" s="3">
        <f t="shared" si="35"/>
        <v>0.4650847457627118</v>
      </c>
      <c r="P64" s="3" t="str">
        <f>Geometry!M27</f>
        <v>S355 NL/ML</v>
      </c>
      <c r="R64" s="216">
        <f t="shared" ref="R64:R85" si="45">-G64*2*PI()*Z64*AA64</f>
        <v>-394192.71045685036</v>
      </c>
      <c r="S64" s="3"/>
      <c r="T64" s="3"/>
      <c r="U64" s="3"/>
      <c r="V64" s="3"/>
      <c r="W64" s="3"/>
      <c r="X64" s="18">
        <f t="shared" ref="X64:X85" si="46">PI()/4*((E64-2*V64/1000)^2-((E64-2*V64/1000)-2*(F64-V64-W64)/1000)^2)</f>
        <v>2.8731247117846275</v>
      </c>
      <c r="Y64" s="18">
        <f t="shared" ref="Y64:Y85" si="47">PI()/32*((E64-2*V64/1000)^4-((E64-2*V64/1000)-2*(F64-V64-W64)/1000)^4)/(E64-2*V64/1000)</f>
        <v>5.5820244881683587</v>
      </c>
      <c r="Z64" s="190">
        <f t="shared" ref="Z64:Z85" si="48">(0.5*E64)-(0.5*(F64/1000))</f>
        <v>3.9420000000000002</v>
      </c>
      <c r="AA64" s="190">
        <f t="shared" ref="AA64:AA85" si="49">F64</f>
        <v>116</v>
      </c>
      <c r="AB64" s="190" t="e">
        <f t="shared" si="36"/>
        <v>#REF!</v>
      </c>
      <c r="AC64" s="190" t="e">
        <f t="shared" ref="AC64:AC85" si="50">(J64/((0.605*$W$2*IF(AB64&gt;0.5*(Z64)/(AA64/1000),MAX(0.6,1+0.2/$AC$7*(1-2*AB64*(AA64/1000)/(Z64))),IF(AB64&lt;=1.7,1.36-(1.83/AB64)+(2.07/AB64^2),1)))*((AA64/1000)/(Z64)/1000)))^0.5</f>
        <v>#REF!</v>
      </c>
      <c r="AD64" s="190">
        <f t="shared" ref="AD64:AD85" si="51">0.62/(1+1.91*((((Z64)/(AA64/1000))^0.5*(AA64/1000)/$AC$4)/(AA64/1000))^1.44)</f>
        <v>0.42868619649654083</v>
      </c>
      <c r="AE64" s="190" t="e">
        <f t="shared" ref="AE64:AE85" si="52">IF(AND((Z64)/(AA64/1000)&lt;=150,AB64&lt;=6*(Z64)/(AA64/1000),$W$2/(J64*1000)&lt;=1000,500&lt;=$W$2/(J64*1000)),0.2+0.1*(ABS(T64/1000/Y64)/G64),0.2)</f>
        <v>#REF!</v>
      </c>
      <c r="AF64" s="190" t="e">
        <f t="shared" ref="AF64:AF85" si="53">IF(AC64&lt;=AE64,1,IF(AC64&gt;=(AD64/(1-0.6))^0.5,AD64/(AC64^2),1-0.6*((AC64-(AE64))/((AD64/(1-0.6))^0.5-AE64))))</f>
        <v>#REF!</v>
      </c>
      <c r="AG64" s="18"/>
      <c r="AH64" s="18"/>
      <c r="AI64" s="18"/>
      <c r="AJ64" s="18"/>
      <c r="AK64" s="190">
        <f>'ULS MP'!AM68</f>
        <v>1</v>
      </c>
      <c r="AL64" s="18">
        <f t="shared" si="37"/>
        <v>0</v>
      </c>
      <c r="AM64" s="18">
        <f t="shared" si="38"/>
        <v>0</v>
      </c>
      <c r="AN64" s="190">
        <f t="shared" ref="AN64:AN85" si="54">((ABS(R64/(PI()*((E64-2*V64/1000)-((F64-V64-W64))/1000*COS(AM64*PI()/180))*(F64-V64-W64)/1000))/1000)+ABS((4*T64)/(PI()*((E64-V64/1000)-((F64-V64-W64)/1000)*COS(AM64*PI()/180))^2*((F64-V64-W64)/1000))/1000))/COS(AM64*PI()/180)</f>
        <v>137.19999999999996</v>
      </c>
      <c r="AO64" s="190">
        <f t="shared" ref="AO64:AO85" si="55">((0.6*(AA64)*((E64*1000-2*V64)*(2*(AA64)))^0.5)/((AA64)^2))*(G64*TAN(AL64*PI()/180))</f>
        <v>0</v>
      </c>
      <c r="AP64" s="190">
        <f t="shared" si="39"/>
        <v>0</v>
      </c>
      <c r="AQ64" s="190">
        <f t="shared" ref="AQ64:AQ85" si="56">IF(AM64=0,0,1.18*AN64/IF(J64/(2*0.3*$W$2/1000*(AA64)/1000/(E64-2*V64/1000))&lt;=0.17,J64,(1.047-0.274*(J64/(2*0.3*$W$2/1000*(AA64)/1000/(E64-2*V64/1000))))*J64))</f>
        <v>0</v>
      </c>
      <c r="AR64" s="18">
        <f t="shared" si="40"/>
        <v>0</v>
      </c>
      <c r="AS64" s="18">
        <f t="shared" si="41"/>
        <v>0</v>
      </c>
      <c r="AT64" s="18">
        <f t="shared" si="42"/>
        <v>0</v>
      </c>
      <c r="AU64" s="190">
        <f t="shared" ref="AU64:AU85" si="57">1.25*AP64/IF(0.4*$W$2/1000*(AA64)/1000/(E64-2*V64/1000)/J64&gt;2.44,J64,IF(0.4*$W$2/1000*(AA64)/1000/(E64-2*V64/1000)/J64&lt;=0.55,0.4*$W$2/1000*(AA64)/1000/(E64-2*V64/1000),MIN(0.7*(0.4*$W$2/1000*(F64-V64-W64)/1000/(E64-2*V64/1000)/J64)^0.4*J64,J64)))</f>
        <v>0</v>
      </c>
      <c r="AV64" s="190">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-3.8</v>
      </c>
      <c r="E65" s="3">
        <f t="shared" si="31"/>
        <v>8</v>
      </c>
      <c r="F65" s="3">
        <f t="shared" si="32"/>
        <v>125</v>
      </c>
      <c r="G65" s="3">
        <v>137.19999999999999</v>
      </c>
      <c r="H65" s="3">
        <v>0</v>
      </c>
      <c r="I65" s="3">
        <v>0</v>
      </c>
      <c r="J65" s="188">
        <f>VLOOKUP(P65,'Steel grades'!$B$5:$J$22,IF(F65&gt;200,10,IF(F65&gt;150,9,IF(F65&gt;120,8,IF(F65&gt;100,7,IF(F65&gt;80,6,IF(F65&gt;63,5,IF(F65&gt;40,4,IF(F65&gt;16,3,2)))))))),FALSE)</f>
        <v>295</v>
      </c>
      <c r="K65" s="3" t="e">
        <f t="shared" si="33"/>
        <v>#REF!</v>
      </c>
      <c r="L65" s="3">
        <v>0</v>
      </c>
      <c r="M65" s="3">
        <v>0</v>
      </c>
      <c r="N65" s="3" t="e">
        <f t="shared" si="34"/>
        <v>#REF!</v>
      </c>
      <c r="O65" s="3">
        <f t="shared" si="35"/>
        <v>0.72151287254187035</v>
      </c>
      <c r="P65" s="3" t="str">
        <f>Geometry!M28</f>
        <v>S355 NL/ML</v>
      </c>
      <c r="R65" s="216">
        <f t="shared" si="45"/>
        <v>-424291.72282138641</v>
      </c>
      <c r="S65" s="3"/>
      <c r="T65" s="3"/>
      <c r="U65" s="3"/>
      <c r="V65" s="3"/>
      <c r="W65" s="3"/>
      <c r="X65" s="18">
        <f t="shared" si="46"/>
        <v>3.0925052683774528</v>
      </c>
      <c r="Y65" s="18">
        <f t="shared" si="47"/>
        <v>5.9947489821574642</v>
      </c>
      <c r="Z65" s="190">
        <f t="shared" si="48"/>
        <v>3.9375</v>
      </c>
      <c r="AA65" s="190">
        <f t="shared" si="49"/>
        <v>125</v>
      </c>
      <c r="AB65" s="190" t="e">
        <f t="shared" si="36"/>
        <v>#REF!</v>
      </c>
      <c r="AC65" s="190" t="e">
        <f t="shared" si="50"/>
        <v>#REF!</v>
      </c>
      <c r="AD65" s="190">
        <f t="shared" si="51"/>
        <v>0.43583523931057638</v>
      </c>
      <c r="AE65" s="190" t="e">
        <f t="shared" si="52"/>
        <v>#REF!</v>
      </c>
      <c r="AF65" s="190" t="e">
        <f t="shared" si="53"/>
        <v>#REF!</v>
      </c>
      <c r="AG65" s="18"/>
      <c r="AH65" s="18"/>
      <c r="AI65" s="18"/>
      <c r="AJ65" s="18"/>
      <c r="AK65" s="190" t="e">
        <f>'ULS MP'!#REF!</f>
        <v>#REF!</v>
      </c>
      <c r="AL65" s="18">
        <f t="shared" si="37"/>
        <v>3.5787803472726449</v>
      </c>
      <c r="AM65" s="18">
        <f t="shared" si="38"/>
        <v>3.5787803472726449</v>
      </c>
      <c r="AN65" s="190">
        <f t="shared" si="54"/>
        <v>137.46381946243369</v>
      </c>
      <c r="AO65" s="190">
        <f t="shared" si="55"/>
        <v>58.248944990860913</v>
      </c>
      <c r="AP65" s="190">
        <f t="shared" si="39"/>
        <v>30.891167999999947</v>
      </c>
      <c r="AQ65" s="190">
        <f t="shared" si="56"/>
        <v>0.54985527784973465</v>
      </c>
      <c r="AR65" s="18">
        <f t="shared" si="40"/>
        <v>195.7127644532946</v>
      </c>
      <c r="AS65" s="18">
        <f t="shared" si="41"/>
        <v>0.72151287254187035</v>
      </c>
      <c r="AT65" s="18">
        <f t="shared" si="42"/>
        <v>0.72977640982584435</v>
      </c>
      <c r="AU65" s="190">
        <f t="shared" si="57"/>
        <v>0.13089477966101673</v>
      </c>
      <c r="AV65" s="190">
        <f t="shared" si="58"/>
        <v>0.78285105781317843</v>
      </c>
    </row>
    <row r="66" spans="3:48">
      <c r="C66" s="12" t="str">
        <f t="shared" si="43"/>
        <v>Can4</v>
      </c>
      <c r="D66" s="2">
        <f t="shared" si="44"/>
        <v>-7.3</v>
      </c>
      <c r="E66" s="3">
        <f t="shared" si="31"/>
        <v>8.4377999999999993</v>
      </c>
      <c r="F66" s="3">
        <f t="shared" si="32"/>
        <v>125</v>
      </c>
      <c r="G66" s="3">
        <v>137.19999999999999</v>
      </c>
      <c r="H66" s="3">
        <v>0</v>
      </c>
      <c r="I66" s="3">
        <v>0</v>
      </c>
      <c r="J66" s="188">
        <f>VLOOKUP(P66,'Steel grades'!$B$5:$J$22,IF(F66&gt;200,10,IF(F66&gt;150,9,IF(F66&gt;120,8,IF(F66&gt;100,7,IF(F66&gt;80,6,IF(F66&gt;63,5,IF(F66&gt;40,4,IF(F66&gt;16,3,2)))))))),FALSE)</f>
        <v>295</v>
      </c>
      <c r="K66" s="3" t="e">
        <f t="shared" si="33"/>
        <v>#REF!</v>
      </c>
      <c r="L66" s="3">
        <v>0</v>
      </c>
      <c r="M66" s="3">
        <v>0</v>
      </c>
      <c r="N66" s="3" t="e">
        <f t="shared" si="34"/>
        <v>#REF!</v>
      </c>
      <c r="O66" s="3">
        <f t="shared" si="35"/>
        <v>0.46597980864304117</v>
      </c>
      <c r="P66" s="3" t="str">
        <f>Geometry!M29</f>
        <v>S355 NL/ML</v>
      </c>
      <c r="R66" s="216">
        <f t="shared" si="45"/>
        <v>-447879.64869455504</v>
      </c>
      <c r="S66" s="3"/>
      <c r="T66" s="3"/>
      <c r="U66" s="3"/>
      <c r="V66" s="3"/>
      <c r="W66" s="3"/>
      <c r="X66" s="18">
        <f t="shared" si="46"/>
        <v>3.264428926345158</v>
      </c>
      <c r="Y66" s="18">
        <f t="shared" si="47"/>
        <v>6.6851453026913807</v>
      </c>
      <c r="Z66" s="190">
        <f t="shared" si="48"/>
        <v>4.1563999999999997</v>
      </c>
      <c r="AA66" s="190">
        <f t="shared" si="49"/>
        <v>125</v>
      </c>
      <c r="AB66" s="190" t="e">
        <f t="shared" si="36"/>
        <v>#REF!</v>
      </c>
      <c r="AC66" s="190" t="e">
        <f t="shared" si="50"/>
        <v>#REF!</v>
      </c>
      <c r="AD66" s="190">
        <f t="shared" si="51"/>
        <v>0.43075264517302564</v>
      </c>
      <c r="AE66" s="190" t="e">
        <f t="shared" si="52"/>
        <v>#REF!</v>
      </c>
      <c r="AF66" s="190" t="e">
        <f t="shared" si="53"/>
        <v>#REF!</v>
      </c>
      <c r="AG66" s="18"/>
      <c r="AH66" s="18"/>
      <c r="AI66" s="18"/>
      <c r="AJ66" s="18"/>
      <c r="AK66" s="190" t="e">
        <f>'ULS MP'!#REF!</f>
        <v>#REF!</v>
      </c>
      <c r="AL66" s="18">
        <f t="shared" si="37"/>
        <v>1.3766765505351941E-14</v>
      </c>
      <c r="AM66" s="18">
        <f t="shared" si="38"/>
        <v>3.5787803472726449</v>
      </c>
      <c r="AN66" s="190">
        <f t="shared" si="54"/>
        <v>137.46404354969687</v>
      </c>
      <c r="AO66" s="190">
        <f t="shared" si="55"/>
        <v>2.2982075614927794E-13</v>
      </c>
      <c r="AP66" s="190">
        <f t="shared" si="39"/>
        <v>1.218808613479308E-13</v>
      </c>
      <c r="AQ66" s="190">
        <f t="shared" si="56"/>
        <v>0.54985617419878741</v>
      </c>
      <c r="AR66" s="18">
        <f t="shared" si="40"/>
        <v>137.4640435496971</v>
      </c>
      <c r="AS66" s="18">
        <f t="shared" si="41"/>
        <v>0.46597980864304117</v>
      </c>
      <c r="AT66" s="18">
        <f t="shared" si="42"/>
        <v>0.51257778950734512</v>
      </c>
      <c r="AU66" s="190">
        <f t="shared" si="57"/>
        <v>5.1644432774546953E-16</v>
      </c>
      <c r="AV66" s="190">
        <f t="shared" si="58"/>
        <v>0.54985617419878841</v>
      </c>
    </row>
    <row r="67" spans="3:48">
      <c r="C67" s="12" t="str">
        <f t="shared" si="43"/>
        <v>Can5</v>
      </c>
      <c r="D67" s="2">
        <f t="shared" si="44"/>
        <v>-10.8</v>
      </c>
      <c r="E67" s="3">
        <f t="shared" si="31"/>
        <v>8.8756000000000004</v>
      </c>
      <c r="F67" s="3">
        <f t="shared" si="32"/>
        <v>106</v>
      </c>
      <c r="G67" s="3">
        <v>137.19999999999999</v>
      </c>
      <c r="H67" s="3">
        <v>0</v>
      </c>
      <c r="I67" s="3">
        <v>0</v>
      </c>
      <c r="J67" s="188">
        <f>VLOOKUP(P67,'Steel grades'!$B$5:$J$22,IF(F67&gt;200,10,IF(F67&gt;150,9,IF(F67&gt;120,8,IF(F67&gt;100,7,IF(F67&gt;80,6,IF(F67&gt;63,5,IF(F67&gt;40,4,IF(F67&gt;16,3,2)))))))),FALSE)</f>
        <v>295</v>
      </c>
      <c r="K67" s="3" t="e">
        <f t="shared" si="33"/>
        <v>#REF!</v>
      </c>
      <c r="L67" s="3">
        <v>0</v>
      </c>
      <c r="M67" s="3">
        <v>0</v>
      </c>
      <c r="N67" s="3" t="e">
        <f t="shared" si="34"/>
        <v>#REF!</v>
      </c>
      <c r="O67" s="3">
        <f t="shared" si="35"/>
        <v>0.46598248910151974</v>
      </c>
      <c r="P67" s="3" t="str">
        <f>Geometry!M30</f>
        <v>S355 NL/ML</v>
      </c>
      <c r="R67" s="216">
        <f t="shared" si="45"/>
        <v>-400672.59062874375</v>
      </c>
      <c r="S67" s="3"/>
      <c r="T67" s="3"/>
      <c r="U67" s="3"/>
      <c r="V67" s="3"/>
      <c r="W67" s="3"/>
      <c r="X67" s="18">
        <f t="shared" si="46"/>
        <v>2.9203541591016258</v>
      </c>
      <c r="Y67" s="18">
        <f t="shared" si="47"/>
        <v>6.3270435735436301</v>
      </c>
      <c r="Z67" s="190">
        <f t="shared" si="48"/>
        <v>4.3848000000000003</v>
      </c>
      <c r="AA67" s="190">
        <f t="shared" si="49"/>
        <v>106</v>
      </c>
      <c r="AB67" s="190" t="e">
        <f t="shared" si="36"/>
        <v>#REF!</v>
      </c>
      <c r="AC67" s="190" t="e">
        <f t="shared" si="50"/>
        <v>#REF!</v>
      </c>
      <c r="AD67" s="190">
        <f t="shared" si="51"/>
        <v>0.40947246026067879</v>
      </c>
      <c r="AE67" s="190" t="e">
        <f t="shared" si="52"/>
        <v>#REF!</v>
      </c>
      <c r="AF67" s="190" t="e">
        <f t="shared" si="53"/>
        <v>#REF!</v>
      </c>
      <c r="AG67" s="18"/>
      <c r="AH67" s="18"/>
      <c r="AI67" s="18"/>
      <c r="AJ67" s="18"/>
      <c r="AK67" s="190" t="e">
        <f>'ULS MP'!#REF!</f>
        <v>#REF!</v>
      </c>
      <c r="AL67" s="18">
        <f t="shared" si="37"/>
        <v>1.3766765505351941E-14</v>
      </c>
      <c r="AM67" s="18">
        <f t="shared" si="38"/>
        <v>3.5787803472726587</v>
      </c>
      <c r="AN67" s="190">
        <f t="shared" si="54"/>
        <v>137.46483428494801</v>
      </c>
      <c r="AO67" s="190">
        <f t="shared" si="55"/>
        <v>2.5596204439201769E-13</v>
      </c>
      <c r="AP67" s="190">
        <f t="shared" si="39"/>
        <v>1.3574437298697587E-13</v>
      </c>
      <c r="AQ67" s="190">
        <f t="shared" si="56"/>
        <v>0.55357648753137645</v>
      </c>
      <c r="AR67" s="18">
        <f t="shared" si="40"/>
        <v>137.46483428494827</v>
      </c>
      <c r="AS67" s="18">
        <f t="shared" si="41"/>
        <v>0.46598248910151974</v>
      </c>
      <c r="AT67" s="18">
        <f t="shared" si="42"/>
        <v>0.51258073801167148</v>
      </c>
      <c r="AU67" s="190">
        <f t="shared" si="57"/>
        <v>5.751880211312537E-16</v>
      </c>
      <c r="AV67" s="190">
        <f t="shared" si="58"/>
        <v>0.55357648753137745</v>
      </c>
    </row>
    <row r="68" spans="3:48">
      <c r="C68" s="12" t="str">
        <f t="shared" si="43"/>
        <v>Can6</v>
      </c>
      <c r="D68" s="2">
        <f t="shared" si="44"/>
        <v>-14.3</v>
      </c>
      <c r="E68" s="3">
        <f t="shared" si="31"/>
        <v>9.3133999999999997</v>
      </c>
      <c r="F68" s="3">
        <f t="shared" si="32"/>
        <v>116</v>
      </c>
      <c r="G68" s="3">
        <v>137.19999999999999</v>
      </c>
      <c r="H68" s="3">
        <v>0</v>
      </c>
      <c r="I68" s="3">
        <v>0</v>
      </c>
      <c r="J68" s="188">
        <f>VLOOKUP(P68,'Steel grades'!$B$5:$J$22,IF(F68&gt;200,10,IF(F68&gt;150,9,IF(F68&gt;120,8,IF(F68&gt;100,7,IF(F68&gt;80,6,IF(F68&gt;63,5,IF(F68&gt;40,4,IF(F68&gt;16,3,2)))))))),FALSE)</f>
        <v>295</v>
      </c>
      <c r="K68" s="3" t="e">
        <f t="shared" si="33"/>
        <v>#REF!</v>
      </c>
      <c r="L68" s="3">
        <v>0</v>
      </c>
      <c r="M68" s="3">
        <v>0</v>
      </c>
      <c r="N68" s="3" t="e">
        <f t="shared" si="34"/>
        <v>#REF!</v>
      </c>
      <c r="O68" s="3">
        <f t="shared" si="35"/>
        <v>0.46604567416795278</v>
      </c>
      <c r="P68" s="3" t="str">
        <f>Geometry!M31</f>
        <v>S355 NL/ML</v>
      </c>
      <c r="R68" s="216">
        <f t="shared" si="45"/>
        <v>-459861.49608775176</v>
      </c>
      <c r="S68" s="3"/>
      <c r="T68" s="3"/>
      <c r="U68" s="3"/>
      <c r="V68" s="3"/>
      <c r="W68" s="3"/>
      <c r="X68" s="18">
        <f t="shared" si="46"/>
        <v>3.3517601755666919</v>
      </c>
      <c r="Y68" s="18">
        <f t="shared" si="47"/>
        <v>7.6120900260910842</v>
      </c>
      <c r="Z68" s="190">
        <f t="shared" si="48"/>
        <v>4.5987</v>
      </c>
      <c r="AA68" s="190">
        <f t="shared" si="49"/>
        <v>116</v>
      </c>
      <c r="AB68" s="190" t="e">
        <f t="shared" si="36"/>
        <v>#REF!</v>
      </c>
      <c r="AC68" s="190" t="e">
        <f t="shared" si="50"/>
        <v>#REF!</v>
      </c>
      <c r="AD68" s="190">
        <f t="shared" si="51"/>
        <v>0.41370811742886171</v>
      </c>
      <c r="AE68" s="190" t="e">
        <f t="shared" si="52"/>
        <v>#REF!</v>
      </c>
      <c r="AF68" s="190" t="e">
        <f t="shared" si="53"/>
        <v>#REF!</v>
      </c>
      <c r="AG68" s="18"/>
      <c r="AH68" s="18"/>
      <c r="AI68" s="18"/>
      <c r="AJ68" s="18"/>
      <c r="AK68" s="190" t="e">
        <f>'ULS MP'!#REF!</f>
        <v>#REF!</v>
      </c>
      <c r="AL68" s="18">
        <f t="shared" si="37"/>
        <v>8.1532264094574813E-4</v>
      </c>
      <c r="AM68" s="18">
        <f t="shared" si="38"/>
        <v>3.5787803472726449</v>
      </c>
      <c r="AN68" s="190">
        <f t="shared" si="54"/>
        <v>137.46469353932184</v>
      </c>
      <c r="AO68" s="190">
        <f t="shared" si="55"/>
        <v>1.4844048445227067E-2</v>
      </c>
      <c r="AP68" s="190">
        <f t="shared" si="39"/>
        <v>7.8722454869112665E-3</v>
      </c>
      <c r="AQ68" s="190">
        <f t="shared" si="56"/>
        <v>0.55234728923545662</v>
      </c>
      <c r="AR68" s="18">
        <f t="shared" si="40"/>
        <v>137.47953758776708</v>
      </c>
      <c r="AS68" s="18">
        <f t="shared" si="41"/>
        <v>0.46604567416795278</v>
      </c>
      <c r="AT68" s="18">
        <f t="shared" si="42"/>
        <v>0.51263556388658915</v>
      </c>
      <c r="AU68" s="190">
        <f t="shared" si="57"/>
        <v>3.3356972402166388E-5</v>
      </c>
      <c r="AV68" s="190">
        <f t="shared" si="58"/>
        <v>0.55240693415015374</v>
      </c>
    </row>
    <row r="69" spans="3:48">
      <c r="C69" s="12" t="str">
        <f t="shared" si="43"/>
        <v>Can7</v>
      </c>
      <c r="D69" s="2">
        <f t="shared" si="44"/>
        <v>-17.8</v>
      </c>
      <c r="E69" s="3">
        <f t="shared" si="31"/>
        <v>9.7510999999999992</v>
      </c>
      <c r="F69" s="3">
        <f t="shared" si="32"/>
        <v>103</v>
      </c>
      <c r="G69" s="3">
        <v>137.19999999999999</v>
      </c>
      <c r="H69" s="3">
        <v>0</v>
      </c>
      <c r="I69" s="3">
        <v>0</v>
      </c>
      <c r="J69" s="188">
        <f>VLOOKUP(P69,'Steel grades'!$B$5:$J$22,IF(F69&gt;200,10,IF(F69&gt;150,9,IF(F69&gt;120,8,IF(F69&gt;100,7,IF(F69&gt;80,6,IF(F69&gt;63,5,IF(F69&gt;40,4,IF(F69&gt;16,3,2)))))))),FALSE)</f>
        <v>295</v>
      </c>
      <c r="K69" s="3" t="e">
        <f t="shared" si="33"/>
        <v>#REF!</v>
      </c>
      <c r="L69" s="3">
        <v>0</v>
      </c>
      <c r="M69" s="3">
        <v>0</v>
      </c>
      <c r="N69" s="3" t="e">
        <f t="shared" si="34"/>
        <v>#REF!</v>
      </c>
      <c r="O69" s="3">
        <f t="shared" si="35"/>
        <v>0.46605249121431308</v>
      </c>
      <c r="P69" s="3" t="str">
        <f>Geometry!M32</f>
        <v>S355 NL/ML</v>
      </c>
      <c r="R69" s="216">
        <f t="shared" si="45"/>
        <v>-428334.44978606817</v>
      </c>
      <c r="S69" s="3"/>
      <c r="T69" s="3"/>
      <c r="U69" s="3"/>
      <c r="V69" s="3"/>
      <c r="W69" s="3"/>
      <c r="X69" s="18">
        <f t="shared" si="46"/>
        <v>3.1219712083532531</v>
      </c>
      <c r="Y69" s="18">
        <f t="shared" si="47"/>
        <v>7.4515801660461571</v>
      </c>
      <c r="Z69" s="190">
        <f t="shared" si="48"/>
        <v>4.8240499999999997</v>
      </c>
      <c r="AA69" s="190">
        <f t="shared" si="49"/>
        <v>103</v>
      </c>
      <c r="AB69" s="190" t="e">
        <f t="shared" si="36"/>
        <v>#REF!</v>
      </c>
      <c r="AC69" s="190" t="e">
        <f t="shared" si="50"/>
        <v>#REF!</v>
      </c>
      <c r="AD69" s="190">
        <f t="shared" si="51"/>
        <v>0.39686848962967147</v>
      </c>
      <c r="AE69" s="190" t="e">
        <f t="shared" si="52"/>
        <v>#REF!</v>
      </c>
      <c r="AF69" s="190" t="e">
        <f t="shared" si="53"/>
        <v>#REF!</v>
      </c>
      <c r="AG69" s="18"/>
      <c r="AH69" s="18"/>
      <c r="AI69" s="18"/>
      <c r="AJ69" s="18"/>
      <c r="AK69" s="190" t="e">
        <f>'ULS MP'!#REF!</f>
        <v>#REF!</v>
      </c>
      <c r="AL69" s="18">
        <f t="shared" si="37"/>
        <v>8.1532264096129126E-4</v>
      </c>
      <c r="AM69" s="18">
        <f t="shared" si="38"/>
        <v>3.5779650246316992</v>
      </c>
      <c r="AN69" s="190">
        <f t="shared" si="54"/>
        <v>137.46509163908513</v>
      </c>
      <c r="AO69" s="190">
        <f t="shared" si="55"/>
        <v>1.61189008003194E-2</v>
      </c>
      <c r="AP69" s="190">
        <f t="shared" si="39"/>
        <v>8.5483380458843388E-3</v>
      </c>
      <c r="AQ69" s="190">
        <f t="shared" si="56"/>
        <v>0.55751624479804895</v>
      </c>
      <c r="AR69" s="18">
        <f t="shared" si="40"/>
        <v>137.48121053988544</v>
      </c>
      <c r="AS69" s="18">
        <f t="shared" si="41"/>
        <v>0.46605249121431308</v>
      </c>
      <c r="AT69" s="18">
        <f t="shared" si="42"/>
        <v>0.51264180201313225</v>
      </c>
      <c r="AU69" s="190">
        <f t="shared" si="57"/>
        <v>3.6221771380865844E-5</v>
      </c>
      <c r="AV69" s="190">
        <f t="shared" si="58"/>
        <v>0.55758161811528406</v>
      </c>
    </row>
    <row r="70" spans="3:48">
      <c r="C70" s="12" t="str">
        <f t="shared" si="43"/>
        <v>Can8</v>
      </c>
      <c r="D70" s="2">
        <f t="shared" si="44"/>
        <v>-21.3</v>
      </c>
      <c r="E70" s="3">
        <f t="shared" si="31"/>
        <v>10.1889</v>
      </c>
      <c r="F70" s="3">
        <f t="shared" si="32"/>
        <v>98</v>
      </c>
      <c r="G70" s="3">
        <v>137.19999999999999</v>
      </c>
      <c r="H70" s="3">
        <v>0</v>
      </c>
      <c r="I70" s="3">
        <v>0</v>
      </c>
      <c r="J70" s="188">
        <f>VLOOKUP(P70,'Steel grades'!$B$5:$J$22,IF(F70&gt;200,10,IF(F70&gt;150,9,IF(F70&gt;120,8,IF(F70&gt;100,7,IF(F70&gt;80,6,IF(F70&gt;63,5,IF(F70&gt;40,4,IF(F70&gt;16,3,2)))))))),FALSE)</f>
        <v>315</v>
      </c>
      <c r="K70" s="3" t="e">
        <f t="shared" si="33"/>
        <v>#REF!</v>
      </c>
      <c r="L70" s="3">
        <v>0</v>
      </c>
      <c r="M70" s="3">
        <v>0</v>
      </c>
      <c r="N70" s="3" t="e">
        <f t="shared" si="34"/>
        <v>#REF!</v>
      </c>
      <c r="O70" s="3">
        <f t="shared" si="35"/>
        <v>0.43639832084476782</v>
      </c>
      <c r="P70" s="3" t="str">
        <f>Geometry!M33</f>
        <v>S355 NL/ML</v>
      </c>
      <c r="R70" s="216">
        <f t="shared" si="45"/>
        <v>-426245.65220591356</v>
      </c>
      <c r="S70" s="3"/>
      <c r="T70" s="3"/>
      <c r="U70" s="3"/>
      <c r="V70" s="3"/>
      <c r="W70" s="3"/>
      <c r="X70" s="18">
        <f t="shared" si="46"/>
        <v>3.1067467361947085</v>
      </c>
      <c r="Y70" s="18">
        <f t="shared" si="47"/>
        <v>7.7628165660553865</v>
      </c>
      <c r="Z70" s="190">
        <f t="shared" si="48"/>
        <v>5.0454499999999998</v>
      </c>
      <c r="AA70" s="190">
        <f t="shared" si="49"/>
        <v>98</v>
      </c>
      <c r="AB70" s="190" t="e">
        <f t="shared" si="36"/>
        <v>#REF!</v>
      </c>
      <c r="AC70" s="190" t="e">
        <f t="shared" si="50"/>
        <v>#REF!</v>
      </c>
      <c r="AD70" s="190">
        <f t="shared" si="51"/>
        <v>0.38704661544566482</v>
      </c>
      <c r="AE70" s="190" t="e">
        <f t="shared" si="52"/>
        <v>#REF!</v>
      </c>
      <c r="AF70" s="190" t="e">
        <f t="shared" si="53"/>
        <v>#REF!</v>
      </c>
      <c r="AG70" s="18"/>
      <c r="AH70" s="18"/>
      <c r="AI70" s="18"/>
      <c r="AJ70" s="18"/>
      <c r="AK70" s="190" t="e">
        <f>'ULS MP'!#REF!</f>
        <v>#REF!</v>
      </c>
      <c r="AL70" s="18">
        <f t="shared" si="37"/>
        <v>1.5543122344752192E-14</v>
      </c>
      <c r="AM70" s="18">
        <f t="shared" si="38"/>
        <v>3.5787803472726605</v>
      </c>
      <c r="AN70" s="190">
        <f t="shared" si="54"/>
        <v>137.46547106610146</v>
      </c>
      <c r="AO70" s="190">
        <f t="shared" si="55"/>
        <v>3.220227872773963E-13</v>
      </c>
      <c r="AP70" s="190">
        <f t="shared" si="39"/>
        <v>1.7077837243533005E-13</v>
      </c>
      <c r="AQ70" s="190">
        <f t="shared" si="56"/>
        <v>0.52773077758104003</v>
      </c>
      <c r="AR70" s="18">
        <f t="shared" si="40"/>
        <v>137.46547106610177</v>
      </c>
      <c r="AS70" s="18">
        <f t="shared" si="41"/>
        <v>0.43639832084476782</v>
      </c>
      <c r="AT70" s="18">
        <f t="shared" si="42"/>
        <v>0.48003815292924434</v>
      </c>
      <c r="AU70" s="190">
        <f t="shared" si="57"/>
        <v>6.776919541084525E-16</v>
      </c>
      <c r="AV70" s="190">
        <f t="shared" si="58"/>
        <v>0.52773077758104114</v>
      </c>
    </row>
    <row r="71" spans="3:48">
      <c r="C71" s="12" t="str">
        <f t="shared" si="43"/>
        <v>Can9</v>
      </c>
      <c r="D71" s="2">
        <f t="shared" si="44"/>
        <v>-24.8</v>
      </c>
      <c r="E71" s="3">
        <f t="shared" si="31"/>
        <v>10.6267</v>
      </c>
      <c r="F71" s="3">
        <f t="shared" si="32"/>
        <v>98</v>
      </c>
      <c r="G71" s="3">
        <v>137.19999999999999</v>
      </c>
      <c r="H71" s="3">
        <v>0</v>
      </c>
      <c r="I71" s="3">
        <v>0</v>
      </c>
      <c r="J71" s="188">
        <f>VLOOKUP(P71,'Steel grades'!$B$5:$J$22,IF(F71&gt;200,10,IF(F71&gt;150,9,IF(F71&gt;120,8,IF(F71&gt;100,7,IF(F71&gt;80,6,IF(F71&gt;63,5,IF(F71&gt;40,4,IF(F71&gt;16,3,2)))))))),FALSE)</f>
        <v>315</v>
      </c>
      <c r="K71" s="3" t="e">
        <f t="shared" si="33"/>
        <v>#REF!</v>
      </c>
      <c r="L71" s="3">
        <v>0</v>
      </c>
      <c r="M71" s="3">
        <v>0</v>
      </c>
      <c r="N71" s="3" t="e">
        <f t="shared" si="34"/>
        <v>#REF!</v>
      </c>
      <c r="O71" s="3">
        <f t="shared" si="35"/>
        <v>0.43639866450239884</v>
      </c>
      <c r="P71" s="3" t="str">
        <f>Geometry!M34</f>
        <v>S355 NL/ML</v>
      </c>
      <c r="R71" s="216">
        <f t="shared" si="45"/>
        <v>-444738.58609047777</v>
      </c>
      <c r="S71" s="3"/>
      <c r="T71" s="3"/>
      <c r="U71" s="3"/>
      <c r="V71" s="3"/>
      <c r="W71" s="3"/>
      <c r="X71" s="18">
        <f t="shared" si="46"/>
        <v>3.2415348840413793</v>
      </c>
      <c r="Y71" s="18">
        <f t="shared" si="47"/>
        <v>8.454334265601462</v>
      </c>
      <c r="Z71" s="190">
        <f t="shared" si="48"/>
        <v>5.2643499999999994</v>
      </c>
      <c r="AA71" s="190">
        <f t="shared" si="49"/>
        <v>98</v>
      </c>
      <c r="AB71" s="190" t="e">
        <f t="shared" si="36"/>
        <v>#REF!</v>
      </c>
      <c r="AC71" s="190" t="e">
        <f t="shared" si="50"/>
        <v>#REF!</v>
      </c>
      <c r="AD71" s="190">
        <f t="shared" si="51"/>
        <v>0.38258303469422661</v>
      </c>
      <c r="AE71" s="190" t="e">
        <f t="shared" si="52"/>
        <v>#REF!</v>
      </c>
      <c r="AF71" s="190" t="e">
        <f t="shared" si="53"/>
        <v>#REF!</v>
      </c>
      <c r="AG71" s="18"/>
      <c r="AH71" s="18"/>
      <c r="AI71" s="18"/>
      <c r="AJ71" s="18"/>
      <c r="AK71" s="190" t="e">
        <f>'ULS MP'!#REF!</f>
        <v>#REF!</v>
      </c>
      <c r="AL71" s="18">
        <f t="shared" si="37"/>
        <v>1.5543122344752192E-14</v>
      </c>
      <c r="AM71" s="18">
        <f t="shared" si="38"/>
        <v>3.5787803472726449</v>
      </c>
      <c r="AN71" s="190">
        <f t="shared" si="54"/>
        <v>137.46557931825521</v>
      </c>
      <c r="AO71" s="190">
        <f t="shared" si="55"/>
        <v>3.2886841480747039E-13</v>
      </c>
      <c r="AP71" s="190">
        <f t="shared" si="39"/>
        <v>1.744088146713245E-13</v>
      </c>
      <c r="AQ71" s="190">
        <f t="shared" si="56"/>
        <v>0.52939140874956814</v>
      </c>
      <c r="AR71" s="18">
        <f t="shared" si="40"/>
        <v>137.46557931825555</v>
      </c>
      <c r="AS71" s="18">
        <f t="shared" si="41"/>
        <v>0.43639866450239884</v>
      </c>
      <c r="AT71" s="18">
        <f t="shared" si="42"/>
        <v>0.48003853095263849</v>
      </c>
      <c r="AU71" s="190">
        <f t="shared" si="57"/>
        <v>6.9209847091795437E-16</v>
      </c>
      <c r="AV71" s="190">
        <f t="shared" si="58"/>
        <v>0.52939140874956947</v>
      </c>
    </row>
    <row r="72" spans="3:48">
      <c r="C72" s="12" t="str">
        <f t="shared" si="43"/>
        <v>Can10</v>
      </c>
      <c r="D72" s="2">
        <f t="shared" si="44"/>
        <v>-28.3</v>
      </c>
      <c r="E72" s="3">
        <f t="shared" si="31"/>
        <v>11.064500000000001</v>
      </c>
      <c r="F72" s="3">
        <f t="shared" si="32"/>
        <v>98</v>
      </c>
      <c r="G72" s="3">
        <v>137.19999999999999</v>
      </c>
      <c r="H72" s="3">
        <v>0</v>
      </c>
      <c r="I72" s="3">
        <v>0</v>
      </c>
      <c r="J72" s="188">
        <f>VLOOKUP(P72,'Steel grades'!$B$5:$J$22,IF(F72&gt;200,10,IF(F72&gt;150,9,IF(F72&gt;120,8,IF(F72&gt;100,7,IF(F72&gt;80,6,IF(F72&gt;63,5,IF(F72&gt;40,4,IF(F72&gt;16,3,2)))))))),FALSE)</f>
        <v>315</v>
      </c>
      <c r="K72" s="3" t="e">
        <f t="shared" si="33"/>
        <v>#REF!</v>
      </c>
      <c r="L72" s="3">
        <v>0</v>
      </c>
      <c r="M72" s="3">
        <v>0</v>
      </c>
      <c r="N72" s="3" t="e">
        <f t="shared" si="34"/>
        <v>#REF!</v>
      </c>
      <c r="O72" s="3">
        <f t="shared" si="35"/>
        <v>0.43802550024247106</v>
      </c>
      <c r="P72" s="3" t="str">
        <f>Geometry!M35</f>
        <v>S355 NL/ML</v>
      </c>
      <c r="R72" s="216">
        <f t="shared" si="45"/>
        <v>-463231.51997504197</v>
      </c>
      <c r="S72" s="3"/>
      <c r="T72" s="3"/>
      <c r="U72" s="3"/>
      <c r="V72" s="3"/>
      <c r="W72" s="3"/>
      <c r="X72" s="18">
        <f t="shared" si="46"/>
        <v>3.3763230318880497</v>
      </c>
      <c r="Y72" s="18">
        <f t="shared" si="47"/>
        <v>9.1753570443507115</v>
      </c>
      <c r="Z72" s="190">
        <f t="shared" si="48"/>
        <v>5.48325</v>
      </c>
      <c r="AA72" s="190">
        <f t="shared" si="49"/>
        <v>98</v>
      </c>
      <c r="AB72" s="190" t="e">
        <f t="shared" si="36"/>
        <v>#REF!</v>
      </c>
      <c r="AC72" s="190" t="e">
        <f t="shared" si="50"/>
        <v>#REF!</v>
      </c>
      <c r="AD72" s="190">
        <f t="shared" si="51"/>
        <v>0.37827116847235309</v>
      </c>
      <c r="AE72" s="190" t="e">
        <f t="shared" si="52"/>
        <v>#REF!</v>
      </c>
      <c r="AF72" s="190" t="e">
        <f t="shared" si="53"/>
        <v>#REF!</v>
      </c>
      <c r="AG72" s="18"/>
      <c r="AH72" s="18"/>
      <c r="AI72" s="18"/>
      <c r="AJ72" s="18"/>
      <c r="AK72" s="190" t="e">
        <f>'ULS MP'!#REF!</f>
        <v>#REF!</v>
      </c>
      <c r="AL72" s="18">
        <f t="shared" si="37"/>
        <v>1.8752787248470071E-2</v>
      </c>
      <c r="AM72" s="18">
        <f t="shared" si="38"/>
        <v>3.5787803472726605</v>
      </c>
      <c r="AN72" s="190">
        <f t="shared" si="54"/>
        <v>137.46567892736564</v>
      </c>
      <c r="AO72" s="190">
        <f t="shared" si="55"/>
        <v>0.40487077403173316</v>
      </c>
      <c r="AP72" s="190">
        <f t="shared" si="39"/>
        <v>0.21471515236656369</v>
      </c>
      <c r="AQ72" s="190">
        <f t="shared" si="56"/>
        <v>0.53106248802521938</v>
      </c>
      <c r="AR72" s="18">
        <f t="shared" si="40"/>
        <v>137.87054970139738</v>
      </c>
      <c r="AS72" s="18">
        <f t="shared" si="41"/>
        <v>0.43802550024247106</v>
      </c>
      <c r="AT72" s="18">
        <f t="shared" si="42"/>
        <v>0.48145271324297506</v>
      </c>
      <c r="AU72" s="190">
        <f t="shared" si="57"/>
        <v>8.6309560828584935E-4</v>
      </c>
      <c r="AV72" s="190">
        <f t="shared" si="58"/>
        <v>0.53262659975306081</v>
      </c>
    </row>
    <row r="73" spans="3:48">
      <c r="C73" s="12" t="str">
        <f t="shared" si="43"/>
        <v>Can11</v>
      </c>
      <c r="D73" s="2">
        <f t="shared" si="44"/>
        <v>-31.8</v>
      </c>
      <c r="E73" s="3">
        <f t="shared" si="31"/>
        <v>11.5</v>
      </c>
      <c r="F73" s="3">
        <f t="shared" si="32"/>
        <v>98</v>
      </c>
      <c r="G73" s="3">
        <v>137.19999999999999</v>
      </c>
      <c r="H73" s="3">
        <v>0</v>
      </c>
      <c r="I73" s="3">
        <v>0</v>
      </c>
      <c r="J73" s="188">
        <f>VLOOKUP(P73,'Steel grades'!$B$5:$J$22,IF(F73&gt;200,10,IF(F73&gt;150,9,IF(F73&gt;120,8,IF(F73&gt;100,7,IF(F73&gt;80,6,IF(F73&gt;63,5,IF(F73&gt;40,4,IF(F73&gt;16,3,2)))))))),FALSE)</f>
        <v>315</v>
      </c>
      <c r="K73" s="3" t="e">
        <f t="shared" si="33"/>
        <v>#REF!</v>
      </c>
      <c r="L73" s="3">
        <v>0</v>
      </c>
      <c r="M73" s="3">
        <v>0</v>
      </c>
      <c r="N73" s="3" t="e">
        <f t="shared" si="34"/>
        <v>#REF!</v>
      </c>
      <c r="O73" s="3">
        <f t="shared" si="35"/>
        <v>0.76017245100216424</v>
      </c>
      <c r="P73" s="3" t="str">
        <f>Geometry!M36</f>
        <v>S355 NL/ML</v>
      </c>
      <c r="R73" s="216">
        <f t="shared" si="45"/>
        <v>-481627.30048378499</v>
      </c>
      <c r="S73" s="3"/>
      <c r="T73" s="3"/>
      <c r="U73" s="3"/>
      <c r="V73" s="3"/>
      <c r="W73" s="3"/>
      <c r="X73" s="18">
        <f t="shared" si="46"/>
        <v>3.5104030647506184</v>
      </c>
      <c r="Y73" s="18">
        <f t="shared" si="47"/>
        <v>9.9218648832041048</v>
      </c>
      <c r="Z73" s="190">
        <f t="shared" si="48"/>
        <v>5.7009999999999996</v>
      </c>
      <c r="AA73" s="190">
        <f t="shared" si="49"/>
        <v>98</v>
      </c>
      <c r="AB73" s="190" t="e">
        <f t="shared" si="36"/>
        <v>#REF!</v>
      </c>
      <c r="AC73" s="190" t="e">
        <f t="shared" si="50"/>
        <v>#REF!</v>
      </c>
      <c r="AD73" s="190">
        <f t="shared" si="51"/>
        <v>0.37412331775784907</v>
      </c>
      <c r="AE73" s="190" t="e">
        <f t="shared" si="52"/>
        <v>#REF!</v>
      </c>
      <c r="AF73" s="190" t="e">
        <f t="shared" si="53"/>
        <v>#REF!</v>
      </c>
      <c r="AG73" s="18"/>
      <c r="AH73" s="18"/>
      <c r="AI73" s="18"/>
      <c r="AJ73" s="18"/>
      <c r="AK73" s="190" t="e">
        <f>'ULS MP'!#REF!</f>
        <v>#REF!</v>
      </c>
      <c r="AL73" s="18">
        <f t="shared" si="37"/>
        <v>3.5600275600241904</v>
      </c>
      <c r="AM73" s="18">
        <f t="shared" si="38"/>
        <v>3.5600275600241904</v>
      </c>
      <c r="AN73" s="190">
        <f t="shared" si="54"/>
        <v>137.46298797480782</v>
      </c>
      <c r="AO73" s="190">
        <f t="shared" si="55"/>
        <v>78.459649058608321</v>
      </c>
      <c r="AP73" s="190">
        <f t="shared" si="39"/>
        <v>41.609512424144</v>
      </c>
      <c r="AQ73" s="190">
        <f t="shared" si="56"/>
        <v>0.53272447312144722</v>
      </c>
      <c r="AR73" s="18">
        <f t="shared" si="40"/>
        <v>215.92263703341615</v>
      </c>
      <c r="AS73" s="18">
        <f t="shared" si="41"/>
        <v>0.76017245100216424</v>
      </c>
      <c r="AT73" s="18">
        <f t="shared" si="42"/>
        <v>0.75401555789446917</v>
      </c>
      <c r="AU73" s="190">
        <f t="shared" si="57"/>
        <v>0.16986161892629836</v>
      </c>
      <c r="AV73" s="190">
        <f t="shared" si="58"/>
        <v>0.83678723082682149</v>
      </c>
    </row>
    <row r="74" spans="3:48">
      <c r="C74" s="12" t="str">
        <f t="shared" si="43"/>
        <v>Can12</v>
      </c>
      <c r="D74" s="2">
        <f t="shared" si="44"/>
        <v>-35.299999999999997</v>
      </c>
      <c r="E74" s="3">
        <f t="shared" si="31"/>
        <v>11.5</v>
      </c>
      <c r="F74" s="3">
        <f t="shared" si="32"/>
        <v>98</v>
      </c>
      <c r="G74" s="3">
        <v>137.19999999999999</v>
      </c>
      <c r="H74" s="3">
        <v>0</v>
      </c>
      <c r="I74" s="3">
        <v>0</v>
      </c>
      <c r="J74" s="188">
        <f>VLOOKUP(P74,'Steel grades'!$B$5:$J$22,IF(F74&gt;200,10,IF(F74&gt;150,9,IF(F74&gt;120,8,IF(F74&gt;100,7,IF(F74&gt;80,6,IF(F74&gt;63,5,IF(F74&gt;40,4,IF(F74&gt;16,3,2)))))))),FALSE)</f>
        <v>315</v>
      </c>
      <c r="K74" s="3" t="e">
        <f t="shared" si="33"/>
        <v>#REF!</v>
      </c>
      <c r="L74" s="3">
        <v>0</v>
      </c>
      <c r="M74" s="3">
        <v>0</v>
      </c>
      <c r="N74" s="3" t="e">
        <f t="shared" si="34"/>
        <v>#REF!</v>
      </c>
      <c r="O74" s="3">
        <f t="shared" si="35"/>
        <v>0.43555555555555553</v>
      </c>
      <c r="P74" s="3" t="str">
        <f>Geometry!M37</f>
        <v>S355 NL/ML</v>
      </c>
      <c r="R74" s="216">
        <f t="shared" si="45"/>
        <v>-481627.30048378499</v>
      </c>
      <c r="S74" s="3"/>
      <c r="T74" s="3"/>
      <c r="U74" s="3"/>
      <c r="V74" s="3"/>
      <c r="W74" s="3"/>
      <c r="X74" s="18">
        <f t="shared" si="46"/>
        <v>3.5104030647506184</v>
      </c>
      <c r="Y74" s="18">
        <f t="shared" si="47"/>
        <v>9.9218648832041048</v>
      </c>
      <c r="Z74" s="190">
        <f t="shared" si="48"/>
        <v>5.7009999999999996</v>
      </c>
      <c r="AA74" s="190">
        <f t="shared" si="49"/>
        <v>98</v>
      </c>
      <c r="AB74" s="190" t="e">
        <f t="shared" si="36"/>
        <v>#REF!</v>
      </c>
      <c r="AC74" s="190" t="e">
        <f t="shared" si="50"/>
        <v>#REF!</v>
      </c>
      <c r="AD74" s="190">
        <f t="shared" si="51"/>
        <v>0.37412331775784907</v>
      </c>
      <c r="AE74" s="190" t="e">
        <f t="shared" si="52"/>
        <v>#REF!</v>
      </c>
      <c r="AF74" s="190" t="e">
        <f t="shared" si="53"/>
        <v>#REF!</v>
      </c>
      <c r="AG74" s="18"/>
      <c r="AH74" s="18"/>
      <c r="AI74" s="18"/>
      <c r="AJ74" s="18"/>
      <c r="AK74" s="190" t="e">
        <f>'ULS MP'!#REF!</f>
        <v>#REF!</v>
      </c>
      <c r="AL74" s="18">
        <f t="shared" si="37"/>
        <v>0</v>
      </c>
      <c r="AM74" s="18">
        <f t="shared" si="38"/>
        <v>0</v>
      </c>
      <c r="AN74" s="190">
        <f t="shared" si="54"/>
        <v>137.19999999999993</v>
      </c>
      <c r="AO74" s="190">
        <f t="shared" si="55"/>
        <v>0</v>
      </c>
      <c r="AP74" s="190">
        <f t="shared" si="39"/>
        <v>0</v>
      </c>
      <c r="AQ74" s="190">
        <f t="shared" si="56"/>
        <v>0</v>
      </c>
      <c r="AR74" s="18">
        <f t="shared" si="40"/>
        <v>0</v>
      </c>
      <c r="AS74" s="18">
        <f t="shared" si="41"/>
        <v>0</v>
      </c>
      <c r="AT74" s="18">
        <f t="shared" si="42"/>
        <v>0</v>
      </c>
      <c r="AU74" s="190">
        <f t="shared" si="57"/>
        <v>0</v>
      </c>
      <c r="AV74" s="190">
        <f t="shared" si="58"/>
        <v>0</v>
      </c>
    </row>
    <row r="75" spans="3:48">
      <c r="C75" s="12" t="str">
        <f t="shared" si="43"/>
        <v>Can13</v>
      </c>
      <c r="D75" s="2">
        <f t="shared" si="44"/>
        <v>-41.9</v>
      </c>
      <c r="E75" s="3">
        <f t="shared" si="31"/>
        <v>11.5</v>
      </c>
      <c r="F75" s="3">
        <f t="shared" si="32"/>
        <v>98</v>
      </c>
      <c r="G75" s="3">
        <v>137.19999999999999</v>
      </c>
      <c r="H75" s="3">
        <v>0</v>
      </c>
      <c r="I75" s="3">
        <v>0</v>
      </c>
      <c r="J75" s="188">
        <f>VLOOKUP(P75,'Steel grades'!$B$5:$J$22,IF(F75&gt;200,10,IF(F75&gt;150,9,IF(F75&gt;120,8,IF(F75&gt;100,7,IF(F75&gt;80,6,IF(F75&gt;63,5,IF(F75&gt;40,4,IF(F75&gt;16,3,2)))))))),FALSE)</f>
        <v>360</v>
      </c>
      <c r="K75" s="3" t="e">
        <f t="shared" si="33"/>
        <v>#REF!</v>
      </c>
      <c r="L75" s="3">
        <v>0</v>
      </c>
      <c r="M75" s="3">
        <v>0</v>
      </c>
      <c r="N75" s="3" t="e">
        <f t="shared" si="34"/>
        <v>#REF!</v>
      </c>
      <c r="O75" s="3">
        <f t="shared" si="35"/>
        <v>0.38111111111111107</v>
      </c>
      <c r="P75" s="3" t="str">
        <f>Geometry!M39</f>
        <v>S420 NL</v>
      </c>
      <c r="R75" s="216">
        <f t="shared" si="45"/>
        <v>-481627.30048378499</v>
      </c>
      <c r="S75" s="3"/>
      <c r="T75" s="3"/>
      <c r="U75" s="3"/>
      <c r="V75" s="3"/>
      <c r="W75" s="3"/>
      <c r="X75" s="18">
        <f t="shared" si="46"/>
        <v>3.5104030647506184</v>
      </c>
      <c r="Y75" s="18">
        <f t="shared" si="47"/>
        <v>9.9218648832041048</v>
      </c>
      <c r="Z75" s="190">
        <f t="shared" si="48"/>
        <v>5.7009999999999996</v>
      </c>
      <c r="AA75" s="190">
        <f t="shared" si="49"/>
        <v>98</v>
      </c>
      <c r="AB75" s="190" t="e">
        <f t="shared" si="36"/>
        <v>#REF!</v>
      </c>
      <c r="AC75" s="190" t="e">
        <f t="shared" si="50"/>
        <v>#REF!</v>
      </c>
      <c r="AD75" s="190">
        <f t="shared" si="51"/>
        <v>0.37412331775784907</v>
      </c>
      <c r="AE75" s="190" t="e">
        <f t="shared" si="52"/>
        <v>#REF!</v>
      </c>
      <c r="AF75" s="190" t="e">
        <f t="shared" si="53"/>
        <v>#REF!</v>
      </c>
      <c r="AG75" s="18"/>
      <c r="AH75" s="18"/>
      <c r="AI75" s="18"/>
      <c r="AJ75" s="18"/>
      <c r="AK75" s="190" t="e">
        <f>'ULS MP'!#REF!</f>
        <v>#REF!</v>
      </c>
      <c r="AL75" s="18">
        <f t="shared" si="37"/>
        <v>0</v>
      </c>
      <c r="AM75" s="18">
        <f t="shared" si="38"/>
        <v>0</v>
      </c>
      <c r="AN75" s="190">
        <f t="shared" si="54"/>
        <v>137.19999999999993</v>
      </c>
      <c r="AO75" s="190">
        <f t="shared" si="55"/>
        <v>0</v>
      </c>
      <c r="AP75" s="190">
        <f t="shared" si="39"/>
        <v>0</v>
      </c>
      <c r="AQ75" s="190">
        <f t="shared" si="56"/>
        <v>0</v>
      </c>
      <c r="AR75" s="18">
        <f t="shared" si="40"/>
        <v>0</v>
      </c>
      <c r="AS75" s="18">
        <f t="shared" si="41"/>
        <v>0</v>
      </c>
      <c r="AT75" s="18">
        <f t="shared" si="42"/>
        <v>0</v>
      </c>
      <c r="AU75" s="190">
        <f t="shared" si="57"/>
        <v>0</v>
      </c>
      <c r="AV75" s="190">
        <f t="shared" si="58"/>
        <v>0</v>
      </c>
    </row>
    <row r="76" spans="3:48">
      <c r="C76" s="12" t="str">
        <f t="shared" si="43"/>
        <v>Can14</v>
      </c>
      <c r="D76" s="2">
        <f t="shared" si="44"/>
        <v>-51.7</v>
      </c>
      <c r="E76" s="3">
        <f t="shared" si="31"/>
        <v>11.5</v>
      </c>
      <c r="F76" s="3">
        <f t="shared" si="32"/>
        <v>95</v>
      </c>
      <c r="G76" s="3">
        <v>137.19999999999999</v>
      </c>
      <c r="H76" s="3">
        <v>0</v>
      </c>
      <c r="I76" s="3">
        <v>0</v>
      </c>
      <c r="J76" s="188">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Geometry!M42</f>
        <v>S355 NL/ML</v>
      </c>
      <c r="R76" s="216">
        <f t="shared" si="45"/>
        <v>-467006.45016777312</v>
      </c>
      <c r="S76" s="3"/>
      <c r="T76" s="3"/>
      <c r="U76" s="3"/>
      <c r="V76" s="3"/>
      <c r="W76" s="3"/>
      <c r="X76" s="18">
        <f t="shared" si="46"/>
        <v>3.40383710034819</v>
      </c>
      <c r="Y76" s="18">
        <f t="shared" si="47"/>
        <v>9.6256850373140956</v>
      </c>
      <c r="Z76" s="190">
        <f t="shared" si="48"/>
        <v>5.7024999999999997</v>
      </c>
      <c r="AA76" s="190">
        <f t="shared" si="49"/>
        <v>95</v>
      </c>
      <c r="AB76" s="190" t="e">
        <f t="shared" si="36"/>
        <v>#REF!</v>
      </c>
      <c r="AC76" s="190" t="e">
        <f t="shared" si="50"/>
        <v>#REF!</v>
      </c>
      <c r="AD76" s="190">
        <f t="shared" si="51"/>
        <v>0.37076626697959419</v>
      </c>
      <c r="AE76" s="190" t="e">
        <f t="shared" si="52"/>
        <v>#REF!</v>
      </c>
      <c r="AF76" s="190" t="e">
        <f t="shared" si="53"/>
        <v>#REF!</v>
      </c>
      <c r="AG76" s="18"/>
      <c r="AH76" s="18"/>
      <c r="AI76" s="18"/>
      <c r="AJ76" s="18"/>
      <c r="AK76" s="190" t="e">
        <f>'ULS MP'!#REF!</f>
        <v>#REF!</v>
      </c>
      <c r="AL76" s="18">
        <f t="shared" si="37"/>
        <v>0</v>
      </c>
      <c r="AM76" s="18">
        <f t="shared" si="38"/>
        <v>0</v>
      </c>
      <c r="AN76" s="190">
        <f t="shared" si="54"/>
        <v>137.19999999999999</v>
      </c>
      <c r="AO76" s="190">
        <f t="shared" si="55"/>
        <v>0</v>
      </c>
      <c r="AP76" s="190">
        <f t="shared" si="39"/>
        <v>0</v>
      </c>
      <c r="AQ76" s="190">
        <f t="shared" si="56"/>
        <v>0</v>
      </c>
      <c r="AR76" s="18">
        <f t="shared" si="40"/>
        <v>0</v>
      </c>
      <c r="AS76" s="18">
        <f t="shared" si="41"/>
        <v>0</v>
      </c>
      <c r="AT76" s="18">
        <f t="shared" si="42"/>
        <v>0</v>
      </c>
      <c r="AU76" s="190">
        <f t="shared" si="57"/>
        <v>0</v>
      </c>
      <c r="AV76" s="190">
        <f t="shared" si="58"/>
        <v>0</v>
      </c>
    </row>
    <row r="77" spans="3:48">
      <c r="C77" s="12" t="str">
        <f t="shared" si="43"/>
        <v>Can15</v>
      </c>
      <c r="D77" s="2">
        <f t="shared" si="44"/>
        <v>-55.3</v>
      </c>
      <c r="E77" s="3">
        <f t="shared" si="31"/>
        <v>11.5</v>
      </c>
      <c r="F77" s="3">
        <f t="shared" si="32"/>
        <v>93</v>
      </c>
      <c r="G77" s="3">
        <v>137.19999999999999</v>
      </c>
      <c r="H77" s="3">
        <v>0</v>
      </c>
      <c r="I77" s="3">
        <v>0</v>
      </c>
      <c r="J77" s="188">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Geometry!M43</f>
        <v>S355 NL/ML</v>
      </c>
      <c r="R77" s="216">
        <f t="shared" si="45"/>
        <v>-457254.90635864442</v>
      </c>
      <c r="S77" s="3"/>
      <c r="T77" s="3"/>
      <c r="U77" s="3"/>
      <c r="V77" s="3"/>
      <c r="W77" s="3"/>
      <c r="X77" s="18">
        <f t="shared" si="46"/>
        <v>3.332761708153384</v>
      </c>
      <c r="Y77" s="18">
        <f t="shared" si="47"/>
        <v>9.4279697548168109</v>
      </c>
      <c r="Z77" s="190">
        <f t="shared" si="48"/>
        <v>5.7035</v>
      </c>
      <c r="AA77" s="190">
        <f t="shared" si="49"/>
        <v>93</v>
      </c>
      <c r="AB77" s="190" t="e">
        <f t="shared" si="36"/>
        <v>#REF!</v>
      </c>
      <c r="AC77" s="190" t="e">
        <f t="shared" si="50"/>
        <v>#REF!</v>
      </c>
      <c r="AD77" s="190">
        <f t="shared" si="51"/>
        <v>0.36846068790510061</v>
      </c>
      <c r="AE77" s="190" t="e">
        <f t="shared" si="52"/>
        <v>#REF!</v>
      </c>
      <c r="AF77" s="190" t="e">
        <f t="shared" si="53"/>
        <v>#REF!</v>
      </c>
      <c r="AG77" s="18"/>
      <c r="AH77" s="18"/>
      <c r="AI77" s="18"/>
      <c r="AJ77" s="18"/>
      <c r="AK77" s="190" t="e">
        <f>'ULS MP'!#REF!</f>
        <v>#REF!</v>
      </c>
      <c r="AL77" s="18">
        <f t="shared" si="37"/>
        <v>0</v>
      </c>
      <c r="AM77" s="18">
        <f t="shared" si="38"/>
        <v>0</v>
      </c>
      <c r="AN77" s="190">
        <f t="shared" si="54"/>
        <v>137.19999999999996</v>
      </c>
      <c r="AO77" s="190">
        <f t="shared" si="55"/>
        <v>0</v>
      </c>
      <c r="AP77" s="190">
        <f t="shared" si="39"/>
        <v>0</v>
      </c>
      <c r="AQ77" s="190">
        <f t="shared" si="56"/>
        <v>0</v>
      </c>
      <c r="AR77" s="18">
        <f t="shared" si="40"/>
        <v>0</v>
      </c>
      <c r="AS77" s="18">
        <f t="shared" si="41"/>
        <v>0</v>
      </c>
      <c r="AT77" s="18">
        <f t="shared" si="42"/>
        <v>0</v>
      </c>
      <c r="AU77" s="190">
        <f t="shared" si="57"/>
        <v>0</v>
      </c>
      <c r="AV77" s="190">
        <f t="shared" si="58"/>
        <v>0</v>
      </c>
    </row>
    <row r="78" spans="3:48">
      <c r="C78" s="12" t="str">
        <f t="shared" si="43"/>
        <v>Can16</v>
      </c>
      <c r="D78" s="2">
        <f t="shared" si="44"/>
        <v>-59.3</v>
      </c>
      <c r="E78" s="3">
        <f t="shared" si="31"/>
        <v>11.5</v>
      </c>
      <c r="F78" s="3">
        <f t="shared" si="32"/>
        <v>93</v>
      </c>
      <c r="G78" s="3">
        <v>137.19999999999999</v>
      </c>
      <c r="H78" s="3">
        <v>0</v>
      </c>
      <c r="I78" s="3">
        <v>0</v>
      </c>
      <c r="J78" s="188">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Geometry!M44</f>
        <v>S355 NL/ML</v>
      </c>
      <c r="R78" s="216">
        <f t="shared" si="45"/>
        <v>-457254.90635864442</v>
      </c>
      <c r="S78" s="3"/>
      <c r="T78" s="3"/>
      <c r="U78" s="3"/>
      <c r="V78" s="3"/>
      <c r="W78" s="3"/>
      <c r="X78" s="18">
        <f t="shared" si="46"/>
        <v>3.332761708153384</v>
      </c>
      <c r="Y78" s="18">
        <f t="shared" si="47"/>
        <v>9.4279697548168109</v>
      </c>
      <c r="Z78" s="190">
        <f t="shared" si="48"/>
        <v>5.7035</v>
      </c>
      <c r="AA78" s="190">
        <f t="shared" si="49"/>
        <v>93</v>
      </c>
      <c r="AB78" s="190" t="e">
        <f t="shared" si="36"/>
        <v>#REF!</v>
      </c>
      <c r="AC78" s="190" t="e">
        <f t="shared" si="50"/>
        <v>#REF!</v>
      </c>
      <c r="AD78" s="190">
        <f t="shared" si="51"/>
        <v>0.36846068790510061</v>
      </c>
      <c r="AE78" s="190" t="e">
        <f t="shared" si="52"/>
        <v>#REF!</v>
      </c>
      <c r="AF78" s="190" t="e">
        <f t="shared" si="53"/>
        <v>#REF!</v>
      </c>
      <c r="AG78" s="18"/>
      <c r="AH78" s="18"/>
      <c r="AI78" s="18"/>
      <c r="AJ78" s="18"/>
      <c r="AK78" s="190" t="e">
        <f>'ULS MP'!#REF!</f>
        <v>#REF!</v>
      </c>
      <c r="AL78" s="18">
        <f t="shared" si="37"/>
        <v>0</v>
      </c>
      <c r="AM78" s="18">
        <f t="shared" si="38"/>
        <v>0</v>
      </c>
      <c r="AN78" s="190">
        <f t="shared" si="54"/>
        <v>137.19999999999996</v>
      </c>
      <c r="AO78" s="190">
        <f t="shared" si="55"/>
        <v>0</v>
      </c>
      <c r="AP78" s="190">
        <f t="shared" si="39"/>
        <v>0</v>
      </c>
      <c r="AQ78" s="190">
        <f t="shared" si="56"/>
        <v>0</v>
      </c>
      <c r="AR78" s="18">
        <f t="shared" si="40"/>
        <v>0</v>
      </c>
      <c r="AS78" s="18">
        <f t="shared" si="41"/>
        <v>0</v>
      </c>
      <c r="AT78" s="18">
        <f t="shared" si="42"/>
        <v>0</v>
      </c>
      <c r="AU78" s="190">
        <f t="shared" si="57"/>
        <v>0</v>
      </c>
      <c r="AV78" s="190">
        <f t="shared" si="58"/>
        <v>0</v>
      </c>
    </row>
    <row r="79" spans="3:48">
      <c r="C79" s="12" t="str">
        <f t="shared" si="43"/>
        <v>Can17</v>
      </c>
      <c r="D79" s="2">
        <f t="shared" si="44"/>
        <v>-63.3</v>
      </c>
      <c r="E79" s="3">
        <f t="shared" si="31"/>
        <v>11.5</v>
      </c>
      <c r="F79" s="3">
        <f t="shared" si="32"/>
        <v>93</v>
      </c>
      <c r="G79" s="3">
        <v>137.19999999999999</v>
      </c>
      <c r="H79" s="3">
        <v>0</v>
      </c>
      <c r="I79" s="3">
        <v>0</v>
      </c>
      <c r="J79" s="188">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Geometry!M45</f>
        <v>S355 NL/ML</v>
      </c>
      <c r="R79" s="216">
        <f t="shared" si="45"/>
        <v>-457254.90635864442</v>
      </c>
      <c r="S79" s="3"/>
      <c r="T79" s="3"/>
      <c r="U79" s="3"/>
      <c r="V79" s="3"/>
      <c r="W79" s="3"/>
      <c r="X79" s="18">
        <f t="shared" si="46"/>
        <v>3.332761708153384</v>
      </c>
      <c r="Y79" s="18">
        <f t="shared" si="47"/>
        <v>9.4279697548168109</v>
      </c>
      <c r="Z79" s="190">
        <f t="shared" si="48"/>
        <v>5.7035</v>
      </c>
      <c r="AA79" s="190">
        <f t="shared" si="49"/>
        <v>93</v>
      </c>
      <c r="AB79" s="190" t="e">
        <f t="shared" si="36"/>
        <v>#REF!</v>
      </c>
      <c r="AC79" s="190" t="e">
        <f t="shared" si="50"/>
        <v>#REF!</v>
      </c>
      <c r="AD79" s="190">
        <f t="shared" si="51"/>
        <v>0.36846068790510061</v>
      </c>
      <c r="AE79" s="190" t="e">
        <f t="shared" si="52"/>
        <v>#REF!</v>
      </c>
      <c r="AF79" s="190" t="e">
        <f t="shared" si="53"/>
        <v>#REF!</v>
      </c>
      <c r="AG79" s="18"/>
      <c r="AH79" s="18"/>
      <c r="AI79" s="18"/>
      <c r="AJ79" s="18"/>
      <c r="AK79" s="190" t="e">
        <f>'ULS MP'!#REF!</f>
        <v>#REF!</v>
      </c>
      <c r="AL79" s="18">
        <f t="shared" si="37"/>
        <v>0</v>
      </c>
      <c r="AM79" s="18">
        <f t="shared" si="38"/>
        <v>0</v>
      </c>
      <c r="AN79" s="190">
        <f t="shared" si="54"/>
        <v>137.19999999999996</v>
      </c>
      <c r="AO79" s="190">
        <f t="shared" si="55"/>
        <v>0</v>
      </c>
      <c r="AP79" s="190">
        <f t="shared" si="39"/>
        <v>0</v>
      </c>
      <c r="AQ79" s="190">
        <f t="shared" si="56"/>
        <v>0</v>
      </c>
      <c r="AR79" s="18">
        <f t="shared" si="40"/>
        <v>0</v>
      </c>
      <c r="AS79" s="18">
        <f t="shared" si="41"/>
        <v>0</v>
      </c>
      <c r="AT79" s="18">
        <f t="shared" si="42"/>
        <v>0</v>
      </c>
      <c r="AU79" s="190">
        <f t="shared" si="57"/>
        <v>0</v>
      </c>
      <c r="AV79" s="190">
        <f t="shared" si="58"/>
        <v>0</v>
      </c>
    </row>
    <row r="80" spans="3:48">
      <c r="C80" s="12" t="str">
        <f t="shared" si="43"/>
        <v>Can18</v>
      </c>
      <c r="D80" s="2">
        <f t="shared" si="44"/>
        <v>-67.3</v>
      </c>
      <c r="E80" s="3">
        <f t="shared" si="31"/>
        <v>11.5</v>
      </c>
      <c r="F80" s="3">
        <f t="shared" si="32"/>
        <v>93</v>
      </c>
      <c r="G80" s="3">
        <v>137.19999999999999</v>
      </c>
      <c r="H80" s="3">
        <v>0</v>
      </c>
      <c r="I80" s="3">
        <v>0</v>
      </c>
      <c r="J80" s="188">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Geometry!M46</f>
        <v>S355 NL/ML</v>
      </c>
      <c r="R80" s="216">
        <f t="shared" si="45"/>
        <v>-457254.90635864442</v>
      </c>
      <c r="S80" s="3"/>
      <c r="T80" s="3"/>
      <c r="U80" s="3"/>
      <c r="V80" s="3"/>
      <c r="W80" s="3"/>
      <c r="X80" s="18">
        <f t="shared" si="46"/>
        <v>3.332761708153384</v>
      </c>
      <c r="Y80" s="18">
        <f t="shared" si="47"/>
        <v>9.4279697548168109</v>
      </c>
      <c r="Z80" s="190">
        <f t="shared" si="48"/>
        <v>5.7035</v>
      </c>
      <c r="AA80" s="190">
        <f t="shared" si="49"/>
        <v>93</v>
      </c>
      <c r="AB80" s="190" t="e">
        <f t="shared" si="36"/>
        <v>#REF!</v>
      </c>
      <c r="AC80" s="190" t="e">
        <f t="shared" si="50"/>
        <v>#REF!</v>
      </c>
      <c r="AD80" s="190">
        <f t="shared" si="51"/>
        <v>0.36846068790510061</v>
      </c>
      <c r="AE80" s="190" t="e">
        <f t="shared" si="52"/>
        <v>#REF!</v>
      </c>
      <c r="AF80" s="190" t="e">
        <f t="shared" si="53"/>
        <v>#REF!</v>
      </c>
      <c r="AG80" s="18"/>
      <c r="AH80" s="18"/>
      <c r="AI80" s="18"/>
      <c r="AJ80" s="18"/>
      <c r="AK80" s="190" t="e">
        <f>'ULS MP'!#REF!</f>
        <v>#REF!</v>
      </c>
      <c r="AL80" s="18">
        <f t="shared" si="37"/>
        <v>0</v>
      </c>
      <c r="AM80" s="18">
        <f t="shared" si="38"/>
        <v>0</v>
      </c>
      <c r="AN80" s="190">
        <f t="shared" si="54"/>
        <v>137.19999999999996</v>
      </c>
      <c r="AO80" s="190">
        <f t="shared" si="55"/>
        <v>0</v>
      </c>
      <c r="AP80" s="190">
        <f t="shared" si="39"/>
        <v>0</v>
      </c>
      <c r="AQ80" s="190">
        <f t="shared" si="56"/>
        <v>0</v>
      </c>
      <c r="AR80" s="18">
        <f t="shared" si="40"/>
        <v>0</v>
      </c>
      <c r="AS80" s="18">
        <f t="shared" si="41"/>
        <v>0</v>
      </c>
      <c r="AT80" s="18">
        <f t="shared" si="42"/>
        <v>0</v>
      </c>
      <c r="AU80" s="190">
        <f t="shared" si="57"/>
        <v>0</v>
      </c>
      <c r="AV80" s="190">
        <f t="shared" si="58"/>
        <v>0</v>
      </c>
    </row>
    <row r="81" spans="3:48">
      <c r="C81" s="12" t="str">
        <f t="shared" si="43"/>
        <v>Can19</v>
      </c>
      <c r="D81" s="2">
        <f t="shared" si="44"/>
        <v>-71</v>
      </c>
      <c r="E81" s="3">
        <f t="shared" si="31"/>
        <v>11.5</v>
      </c>
      <c r="F81" s="3">
        <f t="shared" si="32"/>
        <v>96</v>
      </c>
      <c r="G81" s="3">
        <v>137.19999999999999</v>
      </c>
      <c r="H81" s="3">
        <v>0</v>
      </c>
      <c r="I81" s="3">
        <v>0</v>
      </c>
      <c r="J81" s="188">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Geometry!M47</f>
        <v>S355 NL/ML</v>
      </c>
      <c r="R81" s="216">
        <f t="shared" si="45"/>
        <v>-471880.92899280123</v>
      </c>
      <c r="S81" s="3"/>
      <c r="T81" s="3"/>
      <c r="U81" s="3"/>
      <c r="V81" s="3"/>
      <c r="W81" s="3"/>
      <c r="X81" s="18">
        <f t="shared" si="46"/>
        <v>3.43936537166765</v>
      </c>
      <c r="Y81" s="18">
        <f t="shared" si="47"/>
        <v>9.7244640444551145</v>
      </c>
      <c r="Z81" s="190">
        <f t="shared" si="48"/>
        <v>5.702</v>
      </c>
      <c r="AA81" s="190">
        <f t="shared" si="49"/>
        <v>96</v>
      </c>
      <c r="AB81" s="190" t="e">
        <f t="shared" si="36"/>
        <v>#REF!</v>
      </c>
      <c r="AC81" s="190" t="e">
        <f t="shared" si="50"/>
        <v>#REF!</v>
      </c>
      <c r="AD81" s="190">
        <f t="shared" si="51"/>
        <v>0.37189852244974814</v>
      </c>
      <c r="AE81" s="190" t="e">
        <f t="shared" si="52"/>
        <v>#REF!</v>
      </c>
      <c r="AF81" s="190" t="e">
        <f t="shared" si="53"/>
        <v>#REF!</v>
      </c>
      <c r="AG81" s="18"/>
      <c r="AH81" s="18"/>
      <c r="AI81" s="18"/>
      <c r="AJ81" s="18"/>
      <c r="AK81" s="190" t="e">
        <f>'ULS MP'!#REF!</f>
        <v>#REF!</v>
      </c>
      <c r="AL81" s="18">
        <f t="shared" si="37"/>
        <v>0</v>
      </c>
      <c r="AM81" s="18">
        <f t="shared" si="38"/>
        <v>0</v>
      </c>
      <c r="AN81" s="190">
        <f t="shared" si="54"/>
        <v>137.19999999999996</v>
      </c>
      <c r="AO81" s="190">
        <f t="shared" si="55"/>
        <v>0</v>
      </c>
      <c r="AP81" s="190">
        <f t="shared" si="39"/>
        <v>0</v>
      </c>
      <c r="AQ81" s="190">
        <f t="shared" si="56"/>
        <v>0</v>
      </c>
      <c r="AR81" s="18">
        <f t="shared" si="40"/>
        <v>0</v>
      </c>
      <c r="AS81" s="18">
        <f t="shared" si="41"/>
        <v>0</v>
      </c>
      <c r="AT81" s="18">
        <f t="shared" si="42"/>
        <v>0</v>
      </c>
      <c r="AU81" s="190">
        <f t="shared" si="57"/>
        <v>0</v>
      </c>
      <c r="AV81" s="190">
        <f t="shared" si="58"/>
        <v>0</v>
      </c>
    </row>
    <row r="82" spans="3:48">
      <c r="C82" s="12" t="str">
        <f t="shared" si="43"/>
        <v>Can20</v>
      </c>
      <c r="D82" s="2" t="e">
        <f t="shared" si="44"/>
        <v>#REF!</v>
      </c>
      <c r="E82" s="3" t="e">
        <f t="shared" si="31"/>
        <v>#REF!</v>
      </c>
      <c r="F82" s="3" t="e">
        <f t="shared" si="32"/>
        <v>#REF!</v>
      </c>
      <c r="G82" s="3">
        <v>137.19999999999999</v>
      </c>
      <c r="H82" s="3">
        <v>0</v>
      </c>
      <c r="I82" s="3">
        <v>0</v>
      </c>
      <c r="J82" s="188"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16" t="e">
        <f t="shared" si="45"/>
        <v>#REF!</v>
      </c>
      <c r="S82" s="3"/>
      <c r="T82" s="3"/>
      <c r="U82" s="3"/>
      <c r="V82" s="3"/>
      <c r="W82" s="3"/>
      <c r="X82" s="18" t="e">
        <f t="shared" si="46"/>
        <v>#REF!</v>
      </c>
      <c r="Y82" s="18" t="e">
        <f t="shared" si="47"/>
        <v>#REF!</v>
      </c>
      <c r="Z82" s="190" t="e">
        <f t="shared" si="48"/>
        <v>#REF!</v>
      </c>
      <c r="AA82" s="190" t="e">
        <f t="shared" si="49"/>
        <v>#REF!</v>
      </c>
      <c r="AB82" s="190" t="e">
        <f t="shared" si="36"/>
        <v>#REF!</v>
      </c>
      <c r="AC82" s="190" t="e">
        <f t="shared" si="50"/>
        <v>#REF!</v>
      </c>
      <c r="AD82" s="190" t="e">
        <f t="shared" si="51"/>
        <v>#REF!</v>
      </c>
      <c r="AE82" s="190" t="e">
        <f t="shared" si="52"/>
        <v>#REF!</v>
      </c>
      <c r="AF82" s="190" t="e">
        <f t="shared" si="53"/>
        <v>#REF!</v>
      </c>
      <c r="AG82" s="18"/>
      <c r="AH82" s="18"/>
      <c r="AI82" s="18"/>
      <c r="AJ82" s="18"/>
      <c r="AK82" s="190" t="e">
        <f>'ULS MP'!#REF!</f>
        <v>#REF!</v>
      </c>
      <c r="AL82" s="18" t="e">
        <f t="shared" si="37"/>
        <v>#REF!</v>
      </c>
      <c r="AM82" s="18" t="e">
        <f t="shared" si="38"/>
        <v>#REF!</v>
      </c>
      <c r="AN82" s="190" t="e">
        <f t="shared" si="54"/>
        <v>#REF!</v>
      </c>
      <c r="AO82" s="190" t="e">
        <f t="shared" si="55"/>
        <v>#REF!</v>
      </c>
      <c r="AP82" s="190" t="e">
        <f t="shared" si="39"/>
        <v>#REF!</v>
      </c>
      <c r="AQ82" s="190" t="e">
        <f t="shared" si="56"/>
        <v>#REF!</v>
      </c>
      <c r="AR82" s="18" t="e">
        <f t="shared" si="40"/>
        <v>#REF!</v>
      </c>
      <c r="AS82" s="18" t="e">
        <f t="shared" si="41"/>
        <v>#REF!</v>
      </c>
      <c r="AT82" s="18" t="e">
        <f t="shared" si="42"/>
        <v>#REF!</v>
      </c>
      <c r="AU82" s="190" t="e">
        <f t="shared" si="57"/>
        <v>#REF!</v>
      </c>
      <c r="AV82" s="190" t="e">
        <f t="shared" si="58"/>
        <v>#REF!</v>
      </c>
    </row>
    <row r="83" spans="3:48">
      <c r="C83" s="12" t="str">
        <f t="shared" si="43"/>
        <v>Can21</v>
      </c>
      <c r="D83" s="2">
        <f t="shared" si="44"/>
        <v>-74.3</v>
      </c>
      <c r="E83" s="3">
        <f t="shared" si="31"/>
        <v>11.5</v>
      </c>
      <c r="F83" s="3">
        <f t="shared" si="32"/>
        <v>100</v>
      </c>
      <c r="G83" s="3">
        <v>137.19999999999999</v>
      </c>
      <c r="H83" s="3">
        <v>0</v>
      </c>
      <c r="I83" s="3">
        <v>0</v>
      </c>
      <c r="J83" s="188">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Geometry!M48</f>
        <v>S355 NL/ML</v>
      </c>
      <c r="R83" s="216">
        <f t="shared" si="45"/>
        <v>-491370.22376267234</v>
      </c>
      <c r="S83" s="3"/>
      <c r="T83" s="3"/>
      <c r="U83" s="3"/>
      <c r="V83" s="3"/>
      <c r="W83" s="3"/>
      <c r="X83" s="18">
        <f t="shared" si="46"/>
        <v>3.5814156250923546</v>
      </c>
      <c r="Y83" s="18">
        <f t="shared" si="47"/>
        <v>10.119056278114197</v>
      </c>
      <c r="Z83" s="190">
        <f t="shared" si="48"/>
        <v>5.7</v>
      </c>
      <c r="AA83" s="190">
        <f t="shared" si="49"/>
        <v>100</v>
      </c>
      <c r="AB83" s="190" t="e">
        <f t="shared" si="36"/>
        <v>#REF!</v>
      </c>
      <c r="AC83" s="190" t="e">
        <f t="shared" si="50"/>
        <v>#REF!</v>
      </c>
      <c r="AD83" s="190">
        <f t="shared" si="51"/>
        <v>0.37629687437838422</v>
      </c>
      <c r="AE83" s="190" t="e">
        <f t="shared" si="52"/>
        <v>#REF!</v>
      </c>
      <c r="AF83" s="190" t="e">
        <f t="shared" si="53"/>
        <v>#REF!</v>
      </c>
      <c r="AG83" s="18"/>
      <c r="AH83" s="18"/>
      <c r="AI83" s="18"/>
      <c r="AJ83" s="18"/>
      <c r="AK83" s="190" t="e">
        <f>'ULS MP'!#REF!</f>
        <v>#REF!</v>
      </c>
      <c r="AL83" s="18">
        <f t="shared" si="37"/>
        <v>0</v>
      </c>
      <c r="AM83" s="18">
        <f t="shared" si="38"/>
        <v>0</v>
      </c>
      <c r="AN83" s="190">
        <f t="shared" si="54"/>
        <v>137.19999999999999</v>
      </c>
      <c r="AO83" s="190">
        <f t="shared" si="55"/>
        <v>0</v>
      </c>
      <c r="AP83" s="190">
        <f t="shared" si="39"/>
        <v>0</v>
      </c>
      <c r="AQ83" s="190">
        <f t="shared" si="56"/>
        <v>0</v>
      </c>
      <c r="AR83" s="18">
        <f t="shared" si="40"/>
        <v>0</v>
      </c>
      <c r="AS83" s="18">
        <f t="shared" si="41"/>
        <v>0</v>
      </c>
      <c r="AT83" s="18">
        <f t="shared" si="42"/>
        <v>0</v>
      </c>
      <c r="AU83" s="190">
        <f t="shared" si="57"/>
        <v>0</v>
      </c>
      <c r="AV83" s="190">
        <f t="shared" si="58"/>
        <v>0</v>
      </c>
    </row>
    <row r="84" spans="3:48">
      <c r="C84" s="12" t="str">
        <f t="shared" si="43"/>
        <v>Can22</v>
      </c>
      <c r="D84" s="2">
        <f t="shared" si="44"/>
        <v>-77.430000000000007</v>
      </c>
      <c r="E84" s="3">
        <f t="shared" si="31"/>
        <v>11.5</v>
      </c>
      <c r="F84" s="3">
        <f t="shared" si="32"/>
        <v>110</v>
      </c>
      <c r="G84" s="3">
        <v>137.19999999999999</v>
      </c>
      <c r="H84" s="3">
        <v>0</v>
      </c>
      <c r="I84" s="3">
        <v>0</v>
      </c>
      <c r="J84" s="188">
        <f>VLOOKUP(P84,'Steel grades'!$B$5:$J$22,IF(F84&gt;200,10,IF(F84&gt;150,9,IF(F84&gt;120,8,IF(F84&gt;100,7,IF(F84&gt;80,6,IF(F84&gt;63,5,IF(F84&gt;40,4,IF(F84&gt;16,3,2)))))))),FALSE)</f>
        <v>295</v>
      </c>
      <c r="K84" s="3" t="e">
        <f t="shared" si="33"/>
        <v>#REF!</v>
      </c>
      <c r="L84" s="3">
        <v>0</v>
      </c>
      <c r="M84" s="3">
        <v>0</v>
      </c>
      <c r="N84" s="3" t="e">
        <f t="shared" si="34"/>
        <v>#REF!</v>
      </c>
      <c r="O84" s="3">
        <f t="shared" si="35"/>
        <v>0.4650847457627118</v>
      </c>
      <c r="P84" s="3" t="str">
        <f>Geometry!M49</f>
        <v>S355 NL/ML</v>
      </c>
      <c r="R84" s="216">
        <f t="shared" si="45"/>
        <v>-540033.11697565974</v>
      </c>
      <c r="S84" s="3"/>
      <c r="T84" s="3"/>
      <c r="U84" s="3"/>
      <c r="V84" s="3"/>
      <c r="W84" s="3"/>
      <c r="X84" s="18">
        <f t="shared" si="46"/>
        <v>3.936101435682664</v>
      </c>
      <c r="Y84" s="18">
        <f t="shared" si="47"/>
        <v>11.10187678024997</v>
      </c>
      <c r="Z84" s="190">
        <f t="shared" si="48"/>
        <v>5.6950000000000003</v>
      </c>
      <c r="AA84" s="190">
        <f t="shared" si="49"/>
        <v>110</v>
      </c>
      <c r="AB84" s="190" t="e">
        <f t="shared" si="36"/>
        <v>#REF!</v>
      </c>
      <c r="AC84" s="190" t="e">
        <f t="shared" si="50"/>
        <v>#REF!</v>
      </c>
      <c r="AD84" s="190">
        <f t="shared" si="51"/>
        <v>0.38646113393155102</v>
      </c>
      <c r="AE84" s="190" t="e">
        <f t="shared" si="52"/>
        <v>#REF!</v>
      </c>
      <c r="AF84" s="190" t="e">
        <f t="shared" si="53"/>
        <v>#REF!</v>
      </c>
      <c r="AG84" s="18"/>
      <c r="AH84" s="18"/>
      <c r="AI84" s="18"/>
      <c r="AJ84" s="18"/>
      <c r="AK84" s="190" t="e">
        <f>'ULS MP'!#REF!</f>
        <v>#REF!</v>
      </c>
      <c r="AL84" s="18">
        <f t="shared" si="37"/>
        <v>0</v>
      </c>
      <c r="AM84" s="18">
        <f t="shared" si="38"/>
        <v>0</v>
      </c>
      <c r="AN84" s="190">
        <f t="shared" si="54"/>
        <v>137.19999999999996</v>
      </c>
      <c r="AO84" s="190">
        <f t="shared" si="55"/>
        <v>0</v>
      </c>
      <c r="AP84" s="190">
        <f t="shared" si="39"/>
        <v>0</v>
      </c>
      <c r="AQ84" s="190">
        <f t="shared" si="56"/>
        <v>0</v>
      </c>
      <c r="AR84" s="18">
        <f t="shared" si="40"/>
        <v>0</v>
      </c>
      <c r="AS84" s="18">
        <f t="shared" si="41"/>
        <v>0</v>
      </c>
      <c r="AT84" s="18">
        <f t="shared" si="42"/>
        <v>0</v>
      </c>
      <c r="AU84" s="190">
        <f t="shared" si="57"/>
        <v>0</v>
      </c>
      <c r="AV84" s="190">
        <f t="shared" si="58"/>
        <v>0</v>
      </c>
    </row>
    <row r="85" spans="3:48">
      <c r="C85" s="12" t="str">
        <f t="shared" si="43"/>
        <v>Can23</v>
      </c>
      <c r="D85" s="2">
        <f t="shared" si="44"/>
        <v>-80.430000000000007</v>
      </c>
      <c r="E85" s="3">
        <f t="shared" si="31"/>
        <v>11.5</v>
      </c>
      <c r="F85" s="3">
        <f t="shared" si="32"/>
        <v>122</v>
      </c>
      <c r="G85" s="3">
        <v>137.19999999999999</v>
      </c>
      <c r="H85" s="3">
        <v>0</v>
      </c>
      <c r="I85" s="3">
        <v>0</v>
      </c>
      <c r="J85" s="188">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Geometry!M50</f>
        <v>S355 NL/ML</v>
      </c>
      <c r="R85" s="216">
        <f t="shared" si="45"/>
        <v>-598314.79783205746</v>
      </c>
      <c r="S85" s="3"/>
      <c r="T85" s="3"/>
      <c r="U85" s="3"/>
      <c r="V85" s="3"/>
      <c r="W85" s="3"/>
      <c r="X85" s="18">
        <f t="shared" si="46"/>
        <v>4.3608950279304493</v>
      </c>
      <c r="Y85" s="18">
        <f t="shared" si="47"/>
        <v>12.274380676491754</v>
      </c>
      <c r="Z85" s="190">
        <f t="shared" si="48"/>
        <v>5.6890000000000001</v>
      </c>
      <c r="AA85" s="190">
        <f t="shared" si="49"/>
        <v>122</v>
      </c>
      <c r="AB85" s="190" t="e">
        <f t="shared" si="36"/>
        <v>#REF!</v>
      </c>
      <c r="AC85" s="190" t="e">
        <f t="shared" si="50"/>
        <v>#REF!</v>
      </c>
      <c r="AD85" s="190">
        <f t="shared" si="51"/>
        <v>0.39731783114275282</v>
      </c>
      <c r="AE85" s="190" t="e">
        <f t="shared" si="52"/>
        <v>#REF!</v>
      </c>
      <c r="AF85" s="190" t="e">
        <f t="shared" si="53"/>
        <v>#REF!</v>
      </c>
      <c r="AG85" s="18"/>
      <c r="AH85" s="18"/>
      <c r="AI85" s="18"/>
      <c r="AJ85" s="18"/>
      <c r="AK85" s="190" t="e">
        <f>'ULS MP'!#REF!</f>
        <v>#REF!</v>
      </c>
      <c r="AL85" s="18">
        <f t="shared" si="37"/>
        <v>0</v>
      </c>
      <c r="AM85" s="18">
        <f t="shared" si="38"/>
        <v>0</v>
      </c>
      <c r="AN85" s="190">
        <f t="shared" si="54"/>
        <v>137.19999999999996</v>
      </c>
      <c r="AO85" s="190">
        <f t="shared" si="55"/>
        <v>0</v>
      </c>
      <c r="AP85" s="190">
        <f t="shared" si="39"/>
        <v>0</v>
      </c>
      <c r="AQ85" s="190">
        <f t="shared" si="56"/>
        <v>0</v>
      </c>
      <c r="AR85" s="18">
        <f t="shared" si="40"/>
        <v>0</v>
      </c>
      <c r="AS85" s="18">
        <f t="shared" si="41"/>
        <v>0</v>
      </c>
      <c r="AT85" s="18">
        <f t="shared" si="42"/>
        <v>0</v>
      </c>
      <c r="AU85" s="190">
        <f t="shared" si="57"/>
        <v>0</v>
      </c>
      <c r="AV85" s="190">
        <f t="shared" si="58"/>
        <v>0</v>
      </c>
    </row>
  </sheetData>
  <sheetProtection sheet="1" objects="1" scenarios="1"/>
  <mergeCells count="90">
    <mergeCell ref="AS32:AS33"/>
    <mergeCell ref="AT32:AT33"/>
    <mergeCell ref="AU32:AU33"/>
    <mergeCell ref="AV32:AV33"/>
    <mergeCell ref="AS60:AS61"/>
    <mergeCell ref="AT60:AT61"/>
    <mergeCell ref="AU60:AU61"/>
    <mergeCell ref="AV60:AV61"/>
    <mergeCell ref="AG32:AG33"/>
    <mergeCell ref="AN32:AN33"/>
    <mergeCell ref="AO32:AO33"/>
    <mergeCell ref="AP32:AP33"/>
    <mergeCell ref="AQ32:AQ33"/>
    <mergeCell ref="Z32:Z33"/>
    <mergeCell ref="Z60:Z61"/>
    <mergeCell ref="AA32:AA33"/>
    <mergeCell ref="AF32:AF33"/>
    <mergeCell ref="X60:X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AR60:AR61"/>
    <mergeCell ref="AK60:AK61"/>
    <mergeCell ref="AL60:AL61"/>
    <mergeCell ref="AM60:AM61"/>
    <mergeCell ref="AN60:AN61"/>
    <mergeCell ref="AO60:AO61"/>
    <mergeCell ref="AP60:AP61"/>
    <mergeCell ref="H60:H61"/>
    <mergeCell ref="I60:I61"/>
    <mergeCell ref="J60:J61"/>
    <mergeCell ref="K60:K61"/>
    <mergeCell ref="L60:L61"/>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K32:K33"/>
    <mergeCell ref="L32:L33"/>
    <mergeCell ref="M32:M33"/>
    <mergeCell ref="N32:N33"/>
    <mergeCell ref="O32:O33"/>
    <mergeCell ref="H32:H33"/>
    <mergeCell ref="I32:I33"/>
    <mergeCell ref="J32:J33"/>
    <mergeCell ref="C32:C33"/>
    <mergeCell ref="D32:D33"/>
    <mergeCell ref="E32:E33"/>
    <mergeCell ref="F32:F33"/>
    <mergeCell ref="G32:G33"/>
  </mergeCells>
  <conditionalFormatting sqref="N35:O57 N63:O85">
    <cfRule type="cellIs" dxfId="2" priority="3" operator="greaterThan">
      <formula>1</formula>
    </cfRule>
    <cfRule type="cellIs" dxfId="1" priority="4" operator="lessThan">
      <formula>0.9</formula>
    </cfRule>
    <cfRule type="cellIs" dxfId="0"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1" t="s">
        <v>534</v>
      </c>
      <c r="S1" s="181"/>
      <c r="T1" s="181"/>
      <c r="U1" s="181"/>
    </row>
    <row r="2" spans="3:34">
      <c r="S2" t="s">
        <v>235</v>
      </c>
      <c r="T2" t="s">
        <v>446</v>
      </c>
    </row>
    <row r="3" spans="3:34">
      <c r="C3" s="35" t="s">
        <v>441</v>
      </c>
      <c r="R3" s="8" t="s">
        <v>437</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231</v>
      </c>
      <c r="S5">
        <f>IF(Control!$F$39="EC",1,3)</f>
        <v>1</v>
      </c>
      <c r="Y5" s="6"/>
      <c r="Z5" s="6"/>
      <c r="AA5" s="6"/>
      <c r="AB5" s="6"/>
      <c r="AC5" s="6"/>
      <c r="AD5" s="6"/>
      <c r="AE5" s="6"/>
      <c r="AF5" s="6"/>
      <c r="AG5" s="6"/>
      <c r="AH5" s="6"/>
    </row>
    <row r="6" spans="3:34">
      <c r="C6" s="12">
        <v>1</v>
      </c>
      <c r="D6" s="44">
        <f>Geometry!D26</f>
        <v>5.8</v>
      </c>
      <c r="E6" s="44">
        <f>Geometry!E26</f>
        <v>2.6</v>
      </c>
      <c r="F6" s="44">
        <f>Geometry!F26</f>
        <v>8</v>
      </c>
      <c r="G6" s="44">
        <f>Geometry!G26</f>
        <v>8</v>
      </c>
      <c r="H6" s="44">
        <f>Geometry!H26</f>
        <v>125</v>
      </c>
      <c r="I6" s="56">
        <f>D6-E6</f>
        <v>3.1999999999999997</v>
      </c>
      <c r="J6" s="57">
        <f>ATAN((G6-F6)/(2*I6))/PI()*180</f>
        <v>0</v>
      </c>
      <c r="K6" s="58">
        <f>IF(J6=0,PI()/4*(F6^2-(F6-(2*H6/1000))^2)*I6*7850/1000,(I6*PI()/12)*((G6^2+G6*F6+F6^2)-((G6-2*(H6/1000))^2+(G6-(2*H6/1000))*(F6-(2*H6/1000))+(F6-(2*H6/1000))^2))*7850/1000)</f>
        <v>77.683732341641601</v>
      </c>
      <c r="R6" s="181" t="s">
        <v>535</v>
      </c>
      <c r="S6" s="181"/>
      <c r="T6" s="181"/>
      <c r="U6" s="181"/>
      <c r="Y6" s="6"/>
      <c r="Z6" s="6"/>
      <c r="AA6" s="6"/>
      <c r="AB6" s="6"/>
      <c r="AC6" s="6"/>
      <c r="AD6" s="6"/>
      <c r="AE6" s="6"/>
      <c r="AF6" s="6"/>
      <c r="AG6" s="6"/>
      <c r="AH6" s="6"/>
    </row>
    <row r="7" spans="3:34">
      <c r="C7" s="12">
        <v>2</v>
      </c>
      <c r="D7" s="44">
        <f>Geometry!D27</f>
        <v>2.6</v>
      </c>
      <c r="E7" s="44">
        <f>Geometry!E27</f>
        <v>-0.6</v>
      </c>
      <c r="F7" s="44">
        <f>Geometry!F27</f>
        <v>8</v>
      </c>
      <c r="G7" s="44">
        <f>Geometry!G27</f>
        <v>8</v>
      </c>
      <c r="H7" s="44">
        <f>Geometry!H27</f>
        <v>116</v>
      </c>
      <c r="I7" s="56">
        <f t="shared" ref="I7:I28" si="0">D7-E7</f>
        <v>3.2</v>
      </c>
      <c r="J7" s="57">
        <f t="shared" ref="J7:J28" si="1">ATAN((G7-F7)/(2*I7))/PI()*180</f>
        <v>0</v>
      </c>
      <c r="K7" s="58">
        <f t="shared" ref="K7:K28" si="2">IF(J7=0,PI()/4*(F7^2-(F7-(2*H7/1000))^2)*I7*7850/1000,(I7*PI()/12)*((G7^2+G7*F7+F7^2)-((G7-2*(H7/1000))^2+(G7-(2*H7/1000))*(F7-(2*H7/1000))+(F7-(2*H7/1000))^2))*7850/1000)</f>
        <v>72.172892760029853</v>
      </c>
      <c r="R7" t="s">
        <v>233</v>
      </c>
      <c r="S7" t="s">
        <v>237</v>
      </c>
      <c r="T7" t="s">
        <v>298</v>
      </c>
      <c r="U7" t="s">
        <v>236</v>
      </c>
    </row>
    <row r="8" spans="3:34">
      <c r="C8" s="12">
        <v>3</v>
      </c>
      <c r="D8" s="44">
        <f>Geometry!D28</f>
        <v>-0.6</v>
      </c>
      <c r="E8" s="44">
        <f>Geometry!E28</f>
        <v>-3.8</v>
      </c>
      <c r="F8" s="44">
        <f>Geometry!F28</f>
        <v>8</v>
      </c>
      <c r="G8" s="44">
        <f>Geometry!G28</f>
        <v>8</v>
      </c>
      <c r="H8" s="44">
        <f>Geometry!H28</f>
        <v>125</v>
      </c>
      <c r="I8" s="56">
        <f t="shared" si="0"/>
        <v>3.1999999999999997</v>
      </c>
      <c r="J8" s="57">
        <f t="shared" si="1"/>
        <v>0</v>
      </c>
      <c r="K8" s="58">
        <f t="shared" si="2"/>
        <v>77.683732341641601</v>
      </c>
      <c r="R8" t="s">
        <v>235</v>
      </c>
      <c r="S8">
        <f>IF($S$3="EC",90,52.63)</f>
        <v>90</v>
      </c>
      <c r="T8">
        <f>IF($S$3="EC",112,65.5)</f>
        <v>112</v>
      </c>
    </row>
    <row r="9" spans="3:34">
      <c r="C9" s="12">
        <v>4</v>
      </c>
      <c r="D9" s="44">
        <f>Geometry!D29</f>
        <v>-3.8</v>
      </c>
      <c r="E9" s="44">
        <f>Geometry!E29</f>
        <v>-7.3</v>
      </c>
      <c r="F9" s="44">
        <f>Geometry!F29</f>
        <v>8</v>
      </c>
      <c r="G9" s="44">
        <f>Geometry!G29</f>
        <v>8.4377999999999993</v>
      </c>
      <c r="H9" s="44">
        <f>Geometry!H29</f>
        <v>125</v>
      </c>
      <c r="I9" s="56">
        <f t="shared" si="0"/>
        <v>3.5</v>
      </c>
      <c r="J9" s="57">
        <f t="shared" si="1"/>
        <v>3.5787803472726449</v>
      </c>
      <c r="K9" s="58">
        <f t="shared" si="2"/>
        <v>87.32838350000182</v>
      </c>
      <c r="R9" t="s">
        <v>234</v>
      </c>
      <c r="S9">
        <f>IF($S$3="EC",100,52.63)</f>
        <v>100</v>
      </c>
      <c r="T9">
        <f>IF($S$3="EC",112,65.5)</f>
        <v>112</v>
      </c>
      <c r="U9">
        <f>IF($T$3="EC",140,93.59)</f>
        <v>140</v>
      </c>
    </row>
    <row r="10" spans="3:34">
      <c r="C10" s="12">
        <v>5</v>
      </c>
      <c r="D10" s="44">
        <f>Geometry!D30</f>
        <v>-7.3</v>
      </c>
      <c r="E10" s="44">
        <f>Geometry!E30</f>
        <v>-10.8</v>
      </c>
      <c r="F10" s="44">
        <f>Geometry!F30</f>
        <v>8.4377999999999993</v>
      </c>
      <c r="G10" s="44">
        <f>Geometry!G30</f>
        <v>8.8756000000000004</v>
      </c>
      <c r="H10" s="44">
        <f>Geometry!H30</f>
        <v>106</v>
      </c>
      <c r="I10" s="56">
        <f t="shared" si="0"/>
        <v>3.5000000000000009</v>
      </c>
      <c r="J10" s="57">
        <f t="shared" si="1"/>
        <v>3.5787803472726587</v>
      </c>
      <c r="K10" s="58">
        <f t="shared" si="2"/>
        <v>78.23392306018836</v>
      </c>
      <c r="R10" t="s">
        <v>533</v>
      </c>
      <c r="S10">
        <f>IF(S3="EC",225,131.62)</f>
        <v>225</v>
      </c>
    </row>
    <row r="11" spans="3:34">
      <c r="C11" s="12">
        <v>6</v>
      </c>
      <c r="D11" s="44">
        <f>Geometry!D31</f>
        <v>-10.8</v>
      </c>
      <c r="E11" s="44">
        <f>Geometry!E31</f>
        <v>-14.3</v>
      </c>
      <c r="F11" s="44">
        <f>Geometry!F31</f>
        <v>8.8756000000000004</v>
      </c>
      <c r="G11" s="44">
        <f>Geometry!G31</f>
        <v>9.3133999999999997</v>
      </c>
      <c r="H11" s="44">
        <f>Geometry!H31</f>
        <v>116</v>
      </c>
      <c r="I11" s="56">
        <f t="shared" si="0"/>
        <v>3.5</v>
      </c>
      <c r="J11" s="57">
        <f t="shared" si="1"/>
        <v>3.5787803472726449</v>
      </c>
      <c r="K11" s="58">
        <f t="shared" si="2"/>
        <v>89.897859262459406</v>
      </c>
      <c r="R11" t="s">
        <v>523</v>
      </c>
      <c r="S11">
        <v>1.3</v>
      </c>
    </row>
    <row r="12" spans="3:34">
      <c r="C12" s="12">
        <v>7</v>
      </c>
      <c r="D12" s="44">
        <f>Geometry!D32</f>
        <v>-14.3</v>
      </c>
      <c r="E12" s="44">
        <f>Geometry!E32</f>
        <v>-17.8</v>
      </c>
      <c r="F12" s="44">
        <f>Geometry!F32</f>
        <v>9.3133999999999997</v>
      </c>
      <c r="G12" s="44">
        <f>Geometry!G32</f>
        <v>9.7510999999999992</v>
      </c>
      <c r="H12" s="44">
        <f>Geometry!H32</f>
        <v>103</v>
      </c>
      <c r="I12" s="56">
        <f t="shared" si="0"/>
        <v>3.5</v>
      </c>
      <c r="J12" s="57">
        <f t="shared" si="1"/>
        <v>3.5779650246316992</v>
      </c>
      <c r="K12" s="58">
        <f t="shared" si="2"/>
        <v>83.830479241988286</v>
      </c>
      <c r="S12" t="s">
        <v>91</v>
      </c>
      <c r="T12" t="s">
        <v>71</v>
      </c>
    </row>
    <row r="13" spans="3:34">
      <c r="C13" s="12">
        <v>8</v>
      </c>
      <c r="D13" s="44">
        <f>Geometry!D33</f>
        <v>-17.8</v>
      </c>
      <c r="E13" s="44">
        <f>Geometry!E33</f>
        <v>-21.3</v>
      </c>
      <c r="F13" s="44">
        <f>Geometry!F33</f>
        <v>9.7510999999999992</v>
      </c>
      <c r="G13" s="44">
        <f>Geometry!G33</f>
        <v>10.1889</v>
      </c>
      <c r="H13" s="44">
        <f>Geometry!H33</f>
        <v>98</v>
      </c>
      <c r="I13" s="56">
        <f t="shared" si="0"/>
        <v>3.5</v>
      </c>
      <c r="J13" s="57">
        <f t="shared" si="1"/>
        <v>3.5787803472726605</v>
      </c>
      <c r="K13" s="58">
        <f t="shared" si="2"/>
        <v>83.506214395905687</v>
      </c>
      <c r="R13" t="s">
        <v>232</v>
      </c>
      <c r="S13">
        <f>IF($T$3="EC",3,4)</f>
        <v>3</v>
      </c>
      <c r="T13">
        <f>IF($T$3="EC",2000000,10000000)</f>
        <v>2000000</v>
      </c>
    </row>
    <row r="14" spans="3:34">
      <c r="C14" s="12">
        <v>9</v>
      </c>
      <c r="D14" s="44">
        <f>Geometry!D34</f>
        <v>-21.3</v>
      </c>
      <c r="E14" s="44">
        <f>Geometry!E34</f>
        <v>-24.8</v>
      </c>
      <c r="F14" s="44">
        <f>Geometry!F34</f>
        <v>10.1889</v>
      </c>
      <c r="G14" s="44">
        <f>Geometry!G34</f>
        <v>10.6267</v>
      </c>
      <c r="H14" s="44">
        <f>Geometry!H34</f>
        <v>98</v>
      </c>
      <c r="I14" s="56">
        <f t="shared" si="0"/>
        <v>3.5</v>
      </c>
      <c r="J14" s="57">
        <f t="shared" si="1"/>
        <v>3.5787803472726449</v>
      </c>
      <c r="K14" s="58">
        <f t="shared" si="2"/>
        <v>87.209518757992953</v>
      </c>
    </row>
    <row r="15" spans="3:34">
      <c r="C15" s="12">
        <v>10</v>
      </c>
      <c r="D15" s="44">
        <f>Geometry!D35</f>
        <v>-24.8</v>
      </c>
      <c r="E15" s="44">
        <f>Geometry!E35</f>
        <v>-28.3</v>
      </c>
      <c r="F15" s="44">
        <f>Geometry!F35</f>
        <v>10.6267</v>
      </c>
      <c r="G15" s="44">
        <f>Geometry!G35</f>
        <v>11.064500000000001</v>
      </c>
      <c r="H15" s="44">
        <f>Geometry!H35</f>
        <v>98</v>
      </c>
      <c r="I15" s="56">
        <f t="shared" si="0"/>
        <v>3.5</v>
      </c>
      <c r="J15" s="57">
        <f t="shared" si="1"/>
        <v>3.5787803472726605</v>
      </c>
      <c r="K15" s="58">
        <f t="shared" si="2"/>
        <v>90.912823120080617</v>
      </c>
    </row>
    <row r="16" spans="3:34">
      <c r="C16" s="12">
        <v>11</v>
      </c>
      <c r="D16" s="44">
        <f>Geometry!D36</f>
        <v>-28.3</v>
      </c>
      <c r="E16" s="44">
        <f>Geometry!E36</f>
        <v>-31.8</v>
      </c>
      <c r="F16" s="44">
        <f>Geometry!F36</f>
        <v>11.064500000000001</v>
      </c>
      <c r="G16" s="44">
        <f>Geometry!G36</f>
        <v>11.5</v>
      </c>
      <c r="H16" s="44">
        <f>Geometry!H36</f>
        <v>98</v>
      </c>
      <c r="I16" s="56">
        <f t="shared" si="0"/>
        <v>3.5</v>
      </c>
      <c r="J16" s="57">
        <f t="shared" si="1"/>
        <v>3.5600275600241904</v>
      </c>
      <c r="K16" s="58">
        <f t="shared" si="2"/>
        <v>94.606399752574163</v>
      </c>
    </row>
    <row r="17" spans="3:16">
      <c r="C17" s="12">
        <v>12</v>
      </c>
      <c r="D17" s="44">
        <f>Geometry!D37</f>
        <v>-31.8</v>
      </c>
      <c r="E17" s="44">
        <f>Geometry!E37</f>
        <v>-35.299999999999997</v>
      </c>
      <c r="F17" s="44">
        <f>Geometry!F37</f>
        <v>11.5</v>
      </c>
      <c r="G17" s="44">
        <f>Geometry!G37</f>
        <v>11.5</v>
      </c>
      <c r="H17" s="44">
        <f>Geometry!H37</f>
        <v>98</v>
      </c>
      <c r="I17" s="56">
        <f t="shared" si="0"/>
        <v>3.4999999999999964</v>
      </c>
      <c r="J17" s="57">
        <f t="shared" si="1"/>
        <v>0</v>
      </c>
      <c r="K17" s="58">
        <f t="shared" si="2"/>
        <v>96.448324204023137</v>
      </c>
    </row>
    <row r="18" spans="3:16">
      <c r="C18" s="12">
        <v>13</v>
      </c>
      <c r="D18" s="44">
        <f>Geometry!D39</f>
        <v>-38.6</v>
      </c>
      <c r="E18" s="44">
        <f>Geometry!E39</f>
        <v>-41.9</v>
      </c>
      <c r="F18" s="44">
        <f>Geometry!F39</f>
        <v>11.5</v>
      </c>
      <c r="G18" s="44">
        <f>Geometry!G39</f>
        <v>11.5</v>
      </c>
      <c r="H18" s="44">
        <f>Geometry!H39</f>
        <v>98</v>
      </c>
      <c r="I18" s="56">
        <f t="shared" si="0"/>
        <v>3.2999999999999972</v>
      </c>
      <c r="J18" s="57">
        <f t="shared" si="1"/>
        <v>0</v>
      </c>
      <c r="K18" s="58">
        <f t="shared" si="2"/>
        <v>90.936991392364675</v>
      </c>
    </row>
    <row r="19" spans="3:16">
      <c r="C19" s="12">
        <v>14</v>
      </c>
      <c r="D19" s="44">
        <f>Geometry!D42</f>
        <v>-48.5</v>
      </c>
      <c r="E19" s="44">
        <f>Geometry!E42</f>
        <v>-51.7</v>
      </c>
      <c r="F19" s="44">
        <f>Geometry!F42</f>
        <v>11.5</v>
      </c>
      <c r="G19" s="44">
        <f>Geometry!G42</f>
        <v>11.5</v>
      </c>
      <c r="H19" s="44">
        <f>Geometry!H42</f>
        <v>95</v>
      </c>
      <c r="I19" s="56">
        <f t="shared" si="0"/>
        <v>3.2000000000000028</v>
      </c>
      <c r="J19" s="57">
        <f t="shared" si="1"/>
        <v>0</v>
      </c>
      <c r="K19" s="58">
        <f t="shared" si="2"/>
        <v>85.504387960746612</v>
      </c>
    </row>
    <row r="20" spans="3:16">
      <c r="C20" s="12">
        <v>15</v>
      </c>
      <c r="D20" s="44">
        <f>Geometry!D43</f>
        <v>-51.7</v>
      </c>
      <c r="E20" s="44">
        <f>Geometry!E43</f>
        <v>-55.3</v>
      </c>
      <c r="F20" s="44">
        <f>Geometry!F43</f>
        <v>11.5</v>
      </c>
      <c r="G20" s="44">
        <f>Geometry!G43</f>
        <v>11.5</v>
      </c>
      <c r="H20" s="44">
        <f>Geometry!H43</f>
        <v>93</v>
      </c>
      <c r="I20" s="56">
        <f t="shared" si="0"/>
        <v>3.5999999999999943</v>
      </c>
      <c r="J20" s="57">
        <f t="shared" si="1"/>
        <v>0</v>
      </c>
      <c r="K20" s="58">
        <f t="shared" si="2"/>
        <v>94.18384587241448</v>
      </c>
    </row>
    <row r="21" spans="3:16">
      <c r="C21" s="12">
        <v>16</v>
      </c>
      <c r="D21" s="44">
        <f>Geometry!D44</f>
        <v>-55.3</v>
      </c>
      <c r="E21" s="44">
        <f>Geometry!E44</f>
        <v>-59.3</v>
      </c>
      <c r="F21" s="44">
        <f>Geometry!F44</f>
        <v>11.5</v>
      </c>
      <c r="G21" s="44">
        <f>Geometry!G44</f>
        <v>11.5</v>
      </c>
      <c r="H21" s="44">
        <f>Geometry!H44</f>
        <v>93</v>
      </c>
      <c r="I21" s="56">
        <f t="shared" si="0"/>
        <v>4</v>
      </c>
      <c r="J21" s="57">
        <f t="shared" si="1"/>
        <v>0</v>
      </c>
      <c r="K21" s="58">
        <f t="shared" si="2"/>
        <v>104.64871763601626</v>
      </c>
    </row>
    <row r="22" spans="3:16">
      <c r="C22" s="12">
        <v>17</v>
      </c>
      <c r="D22" s="44">
        <f>Geometry!D45</f>
        <v>-59.3</v>
      </c>
      <c r="E22" s="44">
        <f>Geometry!E45</f>
        <v>-63.3</v>
      </c>
      <c r="F22" s="44">
        <f>Geometry!F45</f>
        <v>11.5</v>
      </c>
      <c r="G22" s="44">
        <f>Geometry!G45</f>
        <v>11.5</v>
      </c>
      <c r="H22" s="44">
        <f>Geometry!H45</f>
        <v>93</v>
      </c>
      <c r="I22" s="56">
        <f t="shared" si="0"/>
        <v>4</v>
      </c>
      <c r="J22" s="57">
        <f t="shared" si="1"/>
        <v>0</v>
      </c>
      <c r="K22" s="58">
        <f t="shared" si="2"/>
        <v>104.64871763601626</v>
      </c>
    </row>
    <row r="23" spans="3:16">
      <c r="C23" s="12">
        <v>18</v>
      </c>
      <c r="D23" s="44">
        <f>Geometry!D46</f>
        <v>-63.3</v>
      </c>
      <c r="E23" s="44">
        <f>Geometry!E46</f>
        <v>-67.3</v>
      </c>
      <c r="F23" s="44">
        <f>Geometry!F46</f>
        <v>11.5</v>
      </c>
      <c r="G23" s="44">
        <f>Geometry!G46</f>
        <v>11.5</v>
      </c>
      <c r="H23" s="44">
        <f>Geometry!H46</f>
        <v>93</v>
      </c>
      <c r="I23" s="56">
        <f t="shared" si="0"/>
        <v>4</v>
      </c>
      <c r="J23" s="57">
        <f t="shared" si="1"/>
        <v>0</v>
      </c>
      <c r="K23" s="58">
        <f t="shared" si="2"/>
        <v>104.64871763601626</v>
      </c>
    </row>
    <row r="24" spans="3:16">
      <c r="C24" s="12">
        <v>19</v>
      </c>
      <c r="D24" s="44">
        <f>Geometry!D47</f>
        <v>-67.3</v>
      </c>
      <c r="E24" s="44">
        <f>Geometry!E47</f>
        <v>-71</v>
      </c>
      <c r="F24" s="44">
        <f>Geometry!F47</f>
        <v>11.5</v>
      </c>
      <c r="G24" s="44">
        <f>Geometry!G47</f>
        <v>11.5</v>
      </c>
      <c r="H24" s="44">
        <f>Geometry!H47</f>
        <v>96</v>
      </c>
      <c r="I24" s="56">
        <f t="shared" si="0"/>
        <v>3.7000000000000028</v>
      </c>
      <c r="J24" s="57">
        <f t="shared" si="1"/>
        <v>0</v>
      </c>
      <c r="K24" s="58">
        <f t="shared" si="2"/>
        <v>99.896367220086958</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Geometry!D48</f>
        <v>-71</v>
      </c>
      <c r="E26" s="44">
        <f>Geometry!E48</f>
        <v>-74.3</v>
      </c>
      <c r="F26" s="44">
        <f>Geometry!F48</f>
        <v>11.5</v>
      </c>
      <c r="G26" s="44">
        <f>Geometry!G48</f>
        <v>11.5</v>
      </c>
      <c r="H26" s="44">
        <f>Geometry!H48</f>
        <v>100</v>
      </c>
      <c r="I26" s="56">
        <f t="shared" si="0"/>
        <v>3.2999999999999972</v>
      </c>
      <c r="J26" s="57">
        <f t="shared" si="1"/>
        <v>0</v>
      </c>
      <c r="K26" s="58">
        <f t="shared" si="2"/>
        <v>92.776571768017348</v>
      </c>
    </row>
    <row r="27" spans="3:16">
      <c r="C27" s="12">
        <v>22</v>
      </c>
      <c r="D27" s="44">
        <f>Geometry!D49</f>
        <v>-74.3</v>
      </c>
      <c r="E27" s="44">
        <f>Geometry!E49</f>
        <v>-77.430000000000007</v>
      </c>
      <c r="F27" s="44">
        <f>Geometry!F49</f>
        <v>11.5</v>
      </c>
      <c r="G27" s="44">
        <f>Geometry!G49</f>
        <v>11.5</v>
      </c>
      <c r="H27" s="44">
        <f>Geometry!H49</f>
        <v>110</v>
      </c>
      <c r="I27" s="56">
        <f t="shared" si="0"/>
        <v>3.1300000000000097</v>
      </c>
      <c r="J27" s="57">
        <f t="shared" si="1"/>
        <v>0</v>
      </c>
      <c r="K27" s="58">
        <f t="shared" si="2"/>
        <v>96.711980325441203</v>
      </c>
    </row>
    <row r="28" spans="3:16">
      <c r="C28" s="12">
        <v>23</v>
      </c>
      <c r="D28" s="44">
        <f>Geometry!D50</f>
        <v>-77.430000000000007</v>
      </c>
      <c r="E28" s="44">
        <f>Geometry!E50</f>
        <v>-80.430000000000007</v>
      </c>
      <c r="F28" s="44">
        <f>Geometry!F50</f>
        <v>11.5</v>
      </c>
      <c r="G28" s="44">
        <f>Geometry!G50</f>
        <v>11.5</v>
      </c>
      <c r="H28" s="44">
        <f>Geometry!H50</f>
        <v>122</v>
      </c>
      <c r="I28" s="56">
        <f t="shared" si="0"/>
        <v>3</v>
      </c>
      <c r="J28" s="57">
        <f t="shared" si="1"/>
        <v>0</v>
      </c>
      <c r="K28" s="58">
        <f t="shared" si="2"/>
        <v>102.69907790776207</v>
      </c>
    </row>
    <row r="31" spans="3:16">
      <c r="C31" s="35" t="s">
        <v>229</v>
      </c>
      <c r="M31" s="313" t="s">
        <v>282</v>
      </c>
      <c r="N31" s="314"/>
      <c r="O31" s="313" t="s">
        <v>283</v>
      </c>
      <c r="P31" s="314"/>
    </row>
    <row r="32" spans="3:16" ht="15" customHeight="1">
      <c r="C32" s="317" t="s">
        <v>19</v>
      </c>
      <c r="D32" s="317" t="s">
        <v>278</v>
      </c>
      <c r="E32" s="317" t="s">
        <v>280</v>
      </c>
      <c r="F32" s="317" t="s">
        <v>279</v>
      </c>
      <c r="G32" s="317" t="s">
        <v>241</v>
      </c>
      <c r="H32" s="317" t="s">
        <v>242</v>
      </c>
      <c r="I32" s="317" t="s">
        <v>225</v>
      </c>
      <c r="J32" s="317" t="s">
        <v>226</v>
      </c>
      <c r="K32" s="317" t="s">
        <v>284</v>
      </c>
      <c r="L32" s="317" t="s">
        <v>227</v>
      </c>
      <c r="M32" s="317" t="s">
        <v>275</v>
      </c>
      <c r="N32" s="317" t="s">
        <v>276</v>
      </c>
      <c r="O32" s="317" t="s">
        <v>275</v>
      </c>
      <c r="P32" s="317" t="s">
        <v>276</v>
      </c>
    </row>
    <row r="33" spans="3:16">
      <c r="C33" s="318">
        <v>0</v>
      </c>
      <c r="D33" s="318">
        <v>0</v>
      </c>
      <c r="E33" s="318"/>
      <c r="F33" s="318"/>
      <c r="G33" s="318"/>
      <c r="H33" s="318"/>
      <c r="I33" s="318"/>
      <c r="J33" s="318"/>
      <c r="K33" s="318"/>
      <c r="L33" s="318"/>
      <c r="M33" s="318"/>
      <c r="N33" s="318"/>
      <c r="O33" s="318"/>
      <c r="P33" s="318"/>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2.6</v>
      </c>
      <c r="E35" s="3">
        <f>H6</f>
        <v>125</v>
      </c>
      <c r="F35" s="4">
        <f>H7</f>
        <v>116</v>
      </c>
      <c r="G35" s="3">
        <f>'FLS MP'!L37</f>
        <v>0.84619050644410299</v>
      </c>
      <c r="H35" s="3">
        <f>'FLS MP'!M37</f>
        <v>1.0659183543810986</v>
      </c>
      <c r="I35" s="3">
        <f>IF(OR('FLS MP'!N37="n",'FLS MP'!N37="i"),$S$8,$T$8)</f>
        <v>112</v>
      </c>
      <c r="J35" s="3">
        <f>IF(OR('FLS MP'!N37="n",'FLS MP'!N37="o"),$S$8,$T$8)</f>
        <v>112</v>
      </c>
      <c r="K35" s="3">
        <f>IF(OR('FLS MP'!N37="n",'FLS MP'!N37="i"),0.2,0.1)</f>
        <v>0.1</v>
      </c>
      <c r="L35" s="3">
        <f>IF(OR('FLS MP'!N37="n",'FLS MP'!N37="o"),0.2,0.1)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-0.6</v>
      </c>
      <c r="E36" s="3">
        <f t="shared" ref="E36:E56" si="5">H7</f>
        <v>116</v>
      </c>
      <c r="F36" s="4">
        <f t="shared" ref="F36:F56" si="6">H8</f>
        <v>125</v>
      </c>
      <c r="G36" s="3">
        <f>'FLS MP'!L38</f>
        <v>0.84619050644410299</v>
      </c>
      <c r="H36" s="3">
        <f>'FLS MP'!M38</f>
        <v>1.0659183543810986</v>
      </c>
      <c r="I36" s="3">
        <f>IF(OR('FLS MP'!N38="n",'FLS MP'!N38="i"),$S$8,$T$8)</f>
        <v>90</v>
      </c>
      <c r="J36" s="3">
        <f>IF(OR('FLS MP'!N38="n",'FLS MP'!N38="o"),$S$8,$T$8)</f>
        <v>112</v>
      </c>
      <c r="K36" s="3">
        <f>IF(OR('FLS MP'!N38="n",'FLS MP'!N38="i"),0.2,0.1)</f>
        <v>0.2</v>
      </c>
      <c r="L36" s="3">
        <f>IF(OR('FLS MP'!N38="n",'FLS MP'!N38="o"),0.2,0.1)</f>
        <v>0.1</v>
      </c>
      <c r="M36" s="46">
        <f>IF(Control!$F$47="N",Control!$F$48,1.1)</f>
        <v>0.1</v>
      </c>
      <c r="N36" s="46">
        <f>IF(Control!$F$47="N",Control!$F$48,1.1)</f>
        <v>0.1</v>
      </c>
      <c r="O36" s="46">
        <f>IF(Control!$F$47="N",Control!$F$48,1.1)</f>
        <v>0.1</v>
      </c>
      <c r="P36" s="46">
        <f>IF(Control!$F$47="N",Control!$F$48,1.1)</f>
        <v>0.1</v>
      </c>
    </row>
    <row r="37" spans="3:16">
      <c r="C37" s="12" t="str">
        <f t="shared" si="3"/>
        <v>CW3</v>
      </c>
      <c r="D37" s="2">
        <f t="shared" si="4"/>
        <v>-3.8</v>
      </c>
      <c r="E37" s="3">
        <f t="shared" si="5"/>
        <v>125</v>
      </c>
      <c r="F37" s="4">
        <f t="shared" si="6"/>
        <v>125</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-7.3</v>
      </c>
      <c r="E38" s="3">
        <f t="shared" si="5"/>
        <v>125</v>
      </c>
      <c r="F38" s="4">
        <f t="shared" si="6"/>
        <v>106</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-10.8</v>
      </c>
      <c r="E39" s="3">
        <f t="shared" si="5"/>
        <v>106</v>
      </c>
      <c r="F39" s="4">
        <f t="shared" si="6"/>
        <v>116</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-14.3</v>
      </c>
      <c r="E40" s="3">
        <f t="shared" si="5"/>
        <v>116</v>
      </c>
      <c r="F40" s="4">
        <f t="shared" si="6"/>
        <v>103</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-17.8</v>
      </c>
      <c r="E41" s="3">
        <f t="shared" si="5"/>
        <v>103</v>
      </c>
      <c r="F41" s="4">
        <f t="shared" si="6"/>
        <v>98</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-21.3</v>
      </c>
      <c r="E42" s="3">
        <f t="shared" si="5"/>
        <v>98</v>
      </c>
      <c r="F42" s="4">
        <f t="shared" si="6"/>
        <v>98</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-24.8</v>
      </c>
      <c r="E43" s="3">
        <f t="shared" si="5"/>
        <v>98</v>
      </c>
      <c r="F43" s="4">
        <f t="shared" si="6"/>
        <v>98</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-28.3</v>
      </c>
      <c r="E44" s="3">
        <f t="shared" si="5"/>
        <v>98</v>
      </c>
      <c r="F44" s="4">
        <f t="shared" si="6"/>
        <v>98</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-31.8</v>
      </c>
      <c r="E45" s="3">
        <f t="shared" si="5"/>
        <v>98</v>
      </c>
      <c r="F45" s="4">
        <f t="shared" si="6"/>
        <v>98</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f t="shared" si="4"/>
        <v>-35.299999999999997</v>
      </c>
      <c r="E46" s="3">
        <f t="shared" si="5"/>
        <v>98</v>
      </c>
      <c r="F46" s="4">
        <f t="shared" si="6"/>
        <v>98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-41.9</v>
      </c>
      <c r="E47" s="3">
        <f t="shared" si="5"/>
        <v>98</v>
      </c>
      <c r="F47" s="4">
        <f t="shared" si="6"/>
        <v>95</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-51.7</v>
      </c>
      <c r="E48" s="3">
        <f t="shared" si="5"/>
        <v>95</v>
      </c>
      <c r="F48" s="4">
        <f t="shared" si="6"/>
        <v>93</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-55.3</v>
      </c>
      <c r="E49" s="3">
        <f t="shared" si="5"/>
        <v>93</v>
      </c>
      <c r="F49" s="4">
        <f t="shared" si="6"/>
        <v>93</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-59.3</v>
      </c>
      <c r="E50" s="3">
        <f t="shared" si="5"/>
        <v>93</v>
      </c>
      <c r="F50" s="4">
        <f t="shared" si="6"/>
        <v>93</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-63.3</v>
      </c>
      <c r="E51" s="3">
        <f t="shared" si="5"/>
        <v>93</v>
      </c>
      <c r="F51" s="4">
        <f t="shared" si="6"/>
        <v>93</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-67.3</v>
      </c>
      <c r="E52" s="3">
        <f t="shared" si="5"/>
        <v>93</v>
      </c>
      <c r="F52" s="4">
        <f t="shared" si="6"/>
        <v>96</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-71</v>
      </c>
      <c r="E53" s="3">
        <f t="shared" si="5"/>
        <v>96</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100</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-74.3</v>
      </c>
      <c r="E55" s="3">
        <f t="shared" si="5"/>
        <v>100</v>
      </c>
      <c r="F55" s="4">
        <f t="shared" si="6"/>
        <v>110</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-77.430000000000007</v>
      </c>
      <c r="E56" s="3">
        <f t="shared" si="5"/>
        <v>110</v>
      </c>
      <c r="F56" s="4">
        <f t="shared" si="6"/>
        <v>122</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205</v>
      </c>
    </row>
    <row r="60" spans="3:16" ht="14.85" customHeight="1">
      <c r="C60" s="317" t="s">
        <v>150</v>
      </c>
      <c r="D60" s="317" t="s">
        <v>278</v>
      </c>
      <c r="E60" s="317" t="s">
        <v>5</v>
      </c>
      <c r="F60" s="317" t="s">
        <v>190</v>
      </c>
      <c r="G60" s="317" t="s">
        <v>228</v>
      </c>
      <c r="H60" s="317" t="s">
        <v>91</v>
      </c>
      <c r="I60" s="317" t="s">
        <v>49</v>
      </c>
      <c r="J60" s="317" t="s">
        <v>60</v>
      </c>
      <c r="L60" s="317" t="s">
        <v>537</v>
      </c>
    </row>
    <row r="61" spans="3:16">
      <c r="C61" s="318">
        <v>0</v>
      </c>
      <c r="D61" s="318">
        <v>0</v>
      </c>
      <c r="E61" s="318"/>
      <c r="F61" s="318"/>
      <c r="G61" s="318"/>
      <c r="H61" s="318"/>
      <c r="I61" s="318"/>
      <c r="J61" s="318"/>
      <c r="L61" s="318"/>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Geometry!AD26</f>
        <v>MP1-01-01</v>
      </c>
      <c r="D63" s="2">
        <f>Geometry!AF26</f>
        <v>4.5999999999999996</v>
      </c>
      <c r="E63" s="3">
        <f>Geometry!AM26</f>
        <v>125</v>
      </c>
      <c r="F63" s="4">
        <f>Geometry!AG26</f>
        <v>1.1000000000000001</v>
      </c>
      <c r="G63" s="188">
        <f>IF(Geometry!AI26="n",$S$9,IF(Geometry!AI26="g",$T$9,IF(Geometry!AI26="o",$U$9,IF(OR(Geometry!AI26="nn",Geometry!AI26="gn"),$S$10))))</f>
        <v>112</v>
      </c>
      <c r="H63" s="47">
        <f>IF(AND(Geometry!AI26="o",'FLS MP'!$AG$11,$T$3="DNV"),4,3)</f>
        <v>3</v>
      </c>
      <c r="I63" s="188">
        <f>IF(Geometry!AI26="n",'FLS MP'!$AG$11,IF(Geometry!AI26="g",'FLS MP'!$AG$12,IF(Geometry!AI26="o",'FLS MP'!$AG$14,IF(OR(Geometry!AI26="nn",Geometry!AI26="gn"),0))))</f>
        <v>0.2</v>
      </c>
      <c r="J63" s="46">
        <f>IF(UPPER(Control!$F$47)="N",Control!$F$58,1.1)</f>
        <v>0</v>
      </c>
      <c r="L63" s="188">
        <f>IF(AND(Geometry!AI26="gn",OR(G63=131.62,G63=225)),$S$11,1)</f>
        <v>1</v>
      </c>
    </row>
    <row r="64" spans="3:16">
      <c r="C64" s="12" t="str">
        <f>Geometry!AD27</f>
        <v>MP1-01-02</v>
      </c>
      <c r="D64" s="2">
        <f>Geometry!AF27</f>
        <v>3.0999999999999996</v>
      </c>
      <c r="E64" s="3">
        <f>Geometry!AM27</f>
        <v>125</v>
      </c>
      <c r="F64" s="4">
        <f>Geometry!AG27</f>
        <v>1.25</v>
      </c>
      <c r="G64" s="188">
        <f>IF(Geometry!AI27="n",$S$9,IF(Geometry!AI27="g",$T$9,IF(Geometry!AI27="o",$U$9,IF(OR(Geometry!AI27="nn",Geometry!AI27="gn"),$S$10))))</f>
        <v>112</v>
      </c>
      <c r="H64" s="47">
        <f>IF(AND(Geometry!AI27="o",'FLS MP'!$AG$11,$T$3="DNV"),4,3)</f>
        <v>3</v>
      </c>
      <c r="I64" s="188">
        <f>IF(Geometry!AI27="n",'FLS MP'!$AG$11,IF(Geometry!AI27="g",'FLS MP'!$AG$12,IF(Geometry!AI27="o",'FLS MP'!$AG$14,IF(OR(Geometry!AI27="nn",Geometry!AI27="gn"),0))))</f>
        <v>0.2</v>
      </c>
      <c r="J64" s="46">
        <f>IF(UPPER(Control!$F$47)="N",Control!$F$58,1.1)</f>
        <v>0</v>
      </c>
      <c r="L64" s="188">
        <f>IF(AND(Geometry!AI27="gn",OR(G64=131.62,G64=225)),$S$11,1)</f>
        <v>1</v>
      </c>
    </row>
    <row r="65" spans="3:12">
      <c r="C65" s="12" t="e">
        <f>Geometry!#REF!</f>
        <v>#REF!</v>
      </c>
      <c r="D65" s="2" t="e">
        <f>Geometry!#REF!</f>
        <v>#REF!</v>
      </c>
      <c r="E65" s="3" t="e">
        <f>Geometry!#REF!</f>
        <v>#REF!</v>
      </c>
      <c r="F65" s="4" t="e">
        <f>Geometry!#REF!</f>
        <v>#REF!</v>
      </c>
      <c r="G65" s="188" t="e">
        <f>IF(Geometry!#REF!="n",$S$9,IF(Geometry!#REF!="g",$T$9,IF(Geometry!#REF!="o",$U$9,IF(OR(Geometry!#REF!="nn",Geometry!#REF!="gn"),$S$10))))</f>
        <v>#REF!</v>
      </c>
      <c r="H65" s="47" t="e">
        <f>IF(AND(Geometry!#REF!="o",'FLS MP'!$AG$11,$T$3="DNV"),4,3)</f>
        <v>#REF!</v>
      </c>
      <c r="I65" s="188" t="e">
        <f>IF(Geometry!#REF!="n",'FLS MP'!$AG$11,IF(Geometry!#REF!="g",'FLS MP'!$AG$12,IF(Geometry!#REF!="o",'FLS MP'!$AG$14,IF(OR(Geometry!#REF!="nn",Geometry!#REF!="gn"),0))))</f>
        <v>#REF!</v>
      </c>
      <c r="J65" s="46">
        <f>IF(UPPER(Control!$F$47)="N",Control!$F$58,1.1)</f>
        <v>0</v>
      </c>
      <c r="L65" s="188" t="e">
        <f>IF(AND(Geometry!#REF!="gn",OR(G65=131.62,G65=225)),$S$11,1)</f>
        <v>#REF!</v>
      </c>
    </row>
    <row r="66" spans="3:12">
      <c r="C66" s="12" t="str">
        <f>Geometry!AD28</f>
        <v>MP6-01</v>
      </c>
      <c r="D66" s="2">
        <f>Geometry!AF28</f>
        <v>-12.3575</v>
      </c>
      <c r="E66" s="3">
        <f>Geometry!AM28</f>
        <v>116</v>
      </c>
      <c r="F66" s="4">
        <f>Geometry!AG28</f>
        <v>2</v>
      </c>
      <c r="G66" s="188">
        <f>IF(Geometry!AI28="n",$S$9,IF(Geometry!AI28="g",$T$9,IF(Geometry!AI28="o",$U$9,IF(OR(Geometry!AI28="nn",Geometry!AI28="gn"),$S$10))))</f>
        <v>140</v>
      </c>
      <c r="H66" s="47">
        <f>IF(AND(Geometry!AI28="o",'FLS MP'!$AG$11,$T$3="DNV"),4,3)</f>
        <v>3</v>
      </c>
      <c r="I66" s="188">
        <f>IF(Geometry!AI28="n",'FLS MP'!$AG$11,IF(Geometry!AI28="g",'FLS MP'!$AG$12,IF(Geometry!AI28="o",'FLS MP'!$AG$14,IF(OR(Geometry!AI28="nn",Geometry!AI28="gn"),0))))</f>
        <v>0.1</v>
      </c>
      <c r="J66" s="46">
        <f>IF(UPPER(Control!$F$47)="N",Control!$F$58,1.1)</f>
        <v>0</v>
      </c>
      <c r="L66" s="188">
        <f>IF(AND(Geometry!AI28="gn",OR(G66=131.62,G66=225)),$S$11,1)</f>
        <v>1</v>
      </c>
    </row>
    <row r="67" spans="3:12">
      <c r="C67" s="12" t="str">
        <f>Geometry!AD29</f>
        <v>MP9-01</v>
      </c>
      <c r="D67" s="2">
        <f>Geometry!AF29</f>
        <v>-22.715</v>
      </c>
      <c r="E67" s="3">
        <f>Geometry!AM29</f>
        <v>98</v>
      </c>
      <c r="F67" s="4">
        <f>Geometry!AG29</f>
        <v>1.6</v>
      </c>
      <c r="G67" s="188">
        <f>IF(Geometry!AI29="n",$S$9,IF(Geometry!AI29="g",$T$9,IF(Geometry!AI29="o",$U$9,IF(OR(Geometry!AI29="nn",Geometry!AI29="gn"),$S$10))))</f>
        <v>140</v>
      </c>
      <c r="H67" s="47">
        <f>IF(AND(Geometry!AI29="o",'FLS MP'!$AG$11,$T$3="DNV"),4,3)</f>
        <v>3</v>
      </c>
      <c r="I67" s="188">
        <f>IF(Geometry!AI29="n",'FLS MP'!$AG$11,IF(Geometry!AI29="g",'FLS MP'!$AG$12,IF(Geometry!AI29="o",'FLS MP'!$AG$14,IF(OR(Geometry!AI29="nn",Geometry!AI29="gn"),0))))</f>
        <v>0.1</v>
      </c>
      <c r="J67" s="46">
        <f>IF(UPPER(Control!$F$47)="N",Control!$F$58,1.1)</f>
        <v>0</v>
      </c>
      <c r="L67" s="188">
        <f>IF(AND(Geometry!AI29="gn",OR(G67=131.62,G67=225)),$S$11,1)</f>
        <v>1</v>
      </c>
    </row>
    <row r="68" spans="3:12">
      <c r="C68" s="12" t="e">
        <f>Geometry!#REF!</f>
        <v>#REF!</v>
      </c>
      <c r="D68" s="2" t="e">
        <f>Geometry!#REF!</f>
        <v>#REF!</v>
      </c>
      <c r="E68" s="3" t="e">
        <f>Geometry!#REF!</f>
        <v>#REF!</v>
      </c>
      <c r="F68" s="4" t="e">
        <f>Geometry!#REF!</f>
        <v>#REF!</v>
      </c>
      <c r="G68" s="188" t="e">
        <f>IF(Geometry!#REF!="n",$S$9,IF(Geometry!#REF!="g",$T$9,IF(Geometry!#REF!="o",$U$9,IF(OR(Geometry!#REF!="nn",Geometry!#REF!="gn"),$S$10))))</f>
        <v>#REF!</v>
      </c>
      <c r="H68" s="47" t="e">
        <f>IF(AND(Geometry!#REF!="o",'FLS MP'!$AG$11,$T$3="DNV"),4,3)</f>
        <v>#REF!</v>
      </c>
      <c r="I68" s="188" t="e">
        <f>IF(Geometry!#REF!="n",'FLS MP'!$AG$11,IF(Geometry!#REF!="g",'FLS MP'!$AG$12,IF(Geometry!#REF!="o",'FLS MP'!$AG$14,IF(OR(Geometry!#REF!="nn",Geometry!#REF!="gn"),0))))</f>
        <v>#REF!</v>
      </c>
      <c r="J68" s="46">
        <f>IF(UPPER(Control!$F$47)="N",Control!$F$58,1.1)</f>
        <v>0</v>
      </c>
      <c r="L68" s="188" t="e">
        <f>IF(AND(Geometry!#REF!="gn",OR(G68=131.62,G68=225)),$S$11,1)</f>
        <v>#REF!</v>
      </c>
    </row>
    <row r="69" spans="3:12">
      <c r="C69" s="12" t="e">
        <f>Geometry!#REF!</f>
        <v>#REF!</v>
      </c>
      <c r="D69" s="2" t="e">
        <f>Geometry!#REF!</f>
        <v>#REF!</v>
      </c>
      <c r="E69" s="3" t="e">
        <f>Geometry!#REF!</f>
        <v>#REF!</v>
      </c>
      <c r="F69" s="4" t="e">
        <f>Geometry!#REF!</f>
        <v>#REF!</v>
      </c>
      <c r="G69" s="188" t="e">
        <f>IF(Geometry!#REF!="n",$S$9,IF(Geometry!#REF!="g",$T$9,IF(Geometry!#REF!="o",$U$9,IF(OR(Geometry!#REF!="nn",Geometry!#REF!="gn"),$S$10))))</f>
        <v>#REF!</v>
      </c>
      <c r="H69" s="47" t="e">
        <f>IF(AND(Geometry!#REF!="o",'FLS MP'!$AG$11,$T$3="DNV"),4,3)</f>
        <v>#REF!</v>
      </c>
      <c r="I69" s="188" t="e">
        <f>IF(Geometry!#REF!="n",'FLS MP'!$AG$11,IF(Geometry!#REF!="g",'FLS MP'!$AG$12,IF(Geometry!#REF!="o",'FLS MP'!$AG$14,IF(OR(Geometry!#REF!="nn",Geometry!#REF!="gn"),0))))</f>
        <v>#REF!</v>
      </c>
      <c r="J69" s="46">
        <f>IF(UPPER(Control!$F$47)="N",Control!$F$58,1.1)</f>
        <v>0</v>
      </c>
      <c r="L69" s="188" t="e">
        <f>IF(AND(Geometry!#REF!="gn",OR(G69=131.62,G69=225)),$S$11,1)</f>
        <v>#REF!</v>
      </c>
    </row>
    <row r="70" spans="3:12">
      <c r="C70" s="12" t="e">
        <f>Geometry!#REF!</f>
        <v>#REF!</v>
      </c>
      <c r="D70" s="2" t="e">
        <f>Geometry!#REF!</f>
        <v>#REF!</v>
      </c>
      <c r="E70" s="3" t="e">
        <f>Geometry!#REF!</f>
        <v>#REF!</v>
      </c>
      <c r="F70" s="4" t="e">
        <f>Geometry!#REF!</f>
        <v>#REF!</v>
      </c>
      <c r="G70" s="188" t="e">
        <f>IF(Geometry!#REF!="n",$S$9,IF(Geometry!#REF!="g",$T$9,IF(Geometry!#REF!="o",$U$9,IF(OR(Geometry!#REF!="nn",Geometry!#REF!="gn"),$S$10))))</f>
        <v>#REF!</v>
      </c>
      <c r="H70" s="47" t="e">
        <f>IF(AND(Geometry!#REF!="o",'FLS MP'!$AG$11,$T$3="DNV"),4,3)</f>
        <v>#REF!</v>
      </c>
      <c r="I70" s="188" t="e">
        <f>IF(Geometry!#REF!="n",'FLS MP'!$AG$11,IF(Geometry!#REF!="g",'FLS MP'!$AG$12,IF(Geometry!#REF!="o",'FLS MP'!$AG$14,IF(OR(Geometry!#REF!="nn",Geometry!#REF!="gn"),0))))</f>
        <v>#REF!</v>
      </c>
      <c r="J70" s="46">
        <f>IF(UPPER(Control!$F$47)="N",Control!$F$58,1.1)</f>
        <v>0</v>
      </c>
      <c r="L70" s="188" t="e">
        <f>IF(AND(Geometry!#REF!="gn",OR(G70=131.62,G70=225)),$S$11,1)</f>
        <v>#REF!</v>
      </c>
    </row>
    <row r="71" spans="3:12">
      <c r="C71" s="12" t="e">
        <f>Geometry!#REF!</f>
        <v>#REF!</v>
      </c>
      <c r="D71" s="2" t="e">
        <f>Geometry!#REF!</f>
        <v>#REF!</v>
      </c>
      <c r="E71" s="3" t="e">
        <f>Geometry!#REF!</f>
        <v>#REF!</v>
      </c>
      <c r="F71" s="4" t="e">
        <f>Geometry!#REF!</f>
        <v>#REF!</v>
      </c>
      <c r="G71" s="188" t="e">
        <f>IF(Geometry!#REF!="n",$S$9,IF(Geometry!#REF!="g",$T$9,IF(Geometry!#REF!="o",$U$9,IF(OR(Geometry!#REF!="nn",Geometry!#REF!="gn"),$S$10))))</f>
        <v>#REF!</v>
      </c>
      <c r="H71" s="47" t="e">
        <f>IF(AND(Geometry!#REF!="o",'FLS MP'!$AG$11,$T$3="DNV"),4,3)</f>
        <v>#REF!</v>
      </c>
      <c r="I71" s="188" t="e">
        <f>IF(Geometry!#REF!="n",'FLS MP'!$AG$11,IF(Geometry!#REF!="g",'FLS MP'!$AG$12,IF(Geometry!#REF!="o",'FLS MP'!$AG$14,IF(OR(Geometry!#REF!="nn",Geometry!#REF!="gn"),0))))</f>
        <v>#REF!</v>
      </c>
      <c r="J71" s="46">
        <f>IF(UPPER(Control!$F$47)="N",Control!$F$58,1.1)</f>
        <v>0</v>
      </c>
      <c r="L71" s="188" t="e">
        <f>IF(AND(Geometry!#REF!="gn",OR(G71=131.62,G71=225)),$S$11,1)</f>
        <v>#REF!</v>
      </c>
    </row>
    <row r="72" spans="3:12">
      <c r="C72" s="12" t="e">
        <f>Geometry!#REF!</f>
        <v>#REF!</v>
      </c>
      <c r="D72" s="2" t="e">
        <f>Geometry!#REF!</f>
        <v>#REF!</v>
      </c>
      <c r="E72" s="3" t="e">
        <f>Geometry!#REF!</f>
        <v>#REF!</v>
      </c>
      <c r="F72" s="4" t="e">
        <f>Geometry!#REF!</f>
        <v>#REF!</v>
      </c>
      <c r="G72" s="188" t="e">
        <f>IF(Geometry!#REF!="n",$S$9,IF(Geometry!#REF!="g",$T$9,IF(Geometry!#REF!="o",$U$9,IF(OR(Geometry!#REF!="nn",Geometry!#REF!="gn"),$S$10))))</f>
        <v>#REF!</v>
      </c>
      <c r="H72" s="47" t="e">
        <f>IF(AND(Geometry!#REF!="o",'FLS MP'!$AG$11,$T$3="DNV"),4,3)</f>
        <v>#REF!</v>
      </c>
      <c r="I72" s="188" t="e">
        <f>IF(Geometry!#REF!="n",'FLS MP'!$AG$11,IF(Geometry!#REF!="g",'FLS MP'!$AG$12,IF(Geometry!#REF!="o",'FLS MP'!$AG$14,IF(OR(Geometry!#REF!="nn",Geometry!#REF!="gn"),0))))</f>
        <v>#REF!</v>
      </c>
      <c r="J72" s="46">
        <f>IF(UPPER(Control!$F$47)="N",Control!$F$58,1.1)</f>
        <v>0</v>
      </c>
      <c r="L72" s="188" t="e">
        <f>IF(AND(Geometry!#REF!="gn",OR(G72=131.62,G72=225)),$S$11,1)</f>
        <v>#REF!</v>
      </c>
    </row>
    <row r="73" spans="3:12">
      <c r="C73" s="12" t="e">
        <f>Geometry!#REF!</f>
        <v>#REF!</v>
      </c>
      <c r="D73" s="2" t="e">
        <f>Geometry!#REF!</f>
        <v>#REF!</v>
      </c>
      <c r="E73" s="3" t="e">
        <f>Geometry!#REF!</f>
        <v>#REF!</v>
      </c>
      <c r="F73" s="4" t="e">
        <f>Geometry!#REF!</f>
        <v>#REF!</v>
      </c>
      <c r="G73" s="188" t="e">
        <f>IF(Geometry!#REF!="n",$S$9,IF(Geometry!#REF!="g",$T$9,IF(Geometry!#REF!="o",$U$9,IF(OR(Geometry!#REF!="nn",Geometry!#REF!="gn"),$S$10))))</f>
        <v>#REF!</v>
      </c>
      <c r="H73" s="47" t="e">
        <f>IF(AND(Geometry!#REF!="o",'FLS MP'!$AG$11,$T$3="DNV"),4,3)</f>
        <v>#REF!</v>
      </c>
      <c r="I73" s="188" t="e">
        <f>IF(Geometry!#REF!="n",'FLS MP'!$AG$11,IF(Geometry!#REF!="g",'FLS MP'!$AG$12,IF(Geometry!#REF!="o",'FLS MP'!$AG$14,IF(OR(Geometry!#REF!="nn",Geometry!#REF!="gn"),0))))</f>
        <v>#REF!</v>
      </c>
      <c r="J73" s="46">
        <f>IF(UPPER(Control!$F$47)="N",Control!$F$58,1.1)</f>
        <v>0</v>
      </c>
      <c r="L73" s="188" t="e">
        <f>IF(AND(Geometry!#REF!="gn",OR(G73=131.62,G73=225)),$S$11,1)</f>
        <v>#REF!</v>
      </c>
    </row>
  </sheetData>
  <sheetProtection sheet="1" objects="1" scenarios="1"/>
  <mergeCells count="25">
    <mergeCell ref="M31:N31"/>
    <mergeCell ref="O31:P31"/>
    <mergeCell ref="N32:N33"/>
    <mergeCell ref="O32:O33"/>
    <mergeCell ref="P32:P33"/>
    <mergeCell ref="I60:I61"/>
    <mergeCell ref="J60:J61"/>
    <mergeCell ref="L32:L33"/>
    <mergeCell ref="M32:M33"/>
    <mergeCell ref="G60:G61"/>
    <mergeCell ref="I32:I33"/>
    <mergeCell ref="J32:J33"/>
    <mergeCell ref="K32:K33"/>
    <mergeCell ref="L60:L61"/>
    <mergeCell ref="C60:C61"/>
    <mergeCell ref="D60:D61"/>
    <mergeCell ref="E60:E61"/>
    <mergeCell ref="G32:G33"/>
    <mergeCell ref="H32:H33"/>
    <mergeCell ref="F32:F33"/>
    <mergeCell ref="E32:E33"/>
    <mergeCell ref="C32:C33"/>
    <mergeCell ref="D32:D33"/>
    <mergeCell ref="H60:H61"/>
    <mergeCell ref="F60:F6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438</v>
      </c>
      <c r="D4" s="48" t="str">
        <f>'FLS MP (driving)'!$S$3</f>
        <v>EC</v>
      </c>
      <c r="M4" t="s">
        <v>149</v>
      </c>
      <c r="N4" t="s">
        <v>256</v>
      </c>
    </row>
    <row r="5" spans="3:14">
      <c r="C5" s="89" t="s">
        <v>238</v>
      </c>
      <c r="D5" s="90">
        <f>'FLS MP (driving)'!I35</f>
        <v>112</v>
      </c>
      <c r="F5" s="89" t="s">
        <v>241</v>
      </c>
      <c r="G5" s="92">
        <f>'FLS MP (driving)'!G35</f>
        <v>0.84619050644410299</v>
      </c>
      <c r="I5" s="89" t="s">
        <v>243</v>
      </c>
      <c r="J5" s="92">
        <f>(25/'FLS MP (driving)'!E35)^'FLS MP (driving)'!K35</f>
        <v>0.85133992252078461</v>
      </c>
      <c r="L5" t="s">
        <v>122</v>
      </c>
      <c r="M5">
        <v>1.25</v>
      </c>
      <c r="N5">
        <v>1</v>
      </c>
    </row>
    <row r="6" spans="3:14">
      <c r="C6" s="89" t="s">
        <v>240</v>
      </c>
      <c r="D6" s="90">
        <f>'FLS MP (driving)'!J35</f>
        <v>112</v>
      </c>
      <c r="F6" s="89" t="s">
        <v>242</v>
      </c>
      <c r="G6" s="92">
        <f>'FLS MP (driving)'!H35</f>
        <v>1.0659183543810986</v>
      </c>
      <c r="I6" s="89" t="s">
        <v>245</v>
      </c>
      <c r="J6" s="92">
        <f>(25/'FLS MP (driving)'!E35)^'FLS MP (driving)'!L35</f>
        <v>0.85133992252078461</v>
      </c>
      <c r="L6" t="s">
        <v>231</v>
      </c>
      <c r="M6">
        <v>1</v>
      </c>
      <c r="N6">
        <v>3</v>
      </c>
    </row>
    <row r="7" spans="3:14">
      <c r="C7" s="89" t="s">
        <v>91</v>
      </c>
      <c r="D7" s="91">
        <v>3</v>
      </c>
      <c r="I7" s="89" t="s">
        <v>244</v>
      </c>
      <c r="J7" s="92">
        <f>(25/'FLS MP (driving)'!F35)^'FLS MP (driving)'!K35</f>
        <v>0.85772526337829658</v>
      </c>
      <c r="M7" t="s">
        <v>457</v>
      </c>
      <c r="N7" t="s">
        <v>458</v>
      </c>
    </row>
    <row r="8" spans="3:14">
      <c r="C8" s="89" t="s">
        <v>71</v>
      </c>
      <c r="D8" s="91">
        <f>IF($D$4="EC",2000000,10000000)</f>
        <v>2000000</v>
      </c>
      <c r="I8" s="89" t="s">
        <v>246</v>
      </c>
      <c r="J8" s="92">
        <f>(25/'FLS MP (driving)'!F35)^'FLS MP (driving)'!L35</f>
        <v>0.85772526337829658</v>
      </c>
      <c r="L8" t="s">
        <v>456</v>
      </c>
      <c r="M8">
        <f>IF(AND(D4="DNV",D5=65.5),'FLS MP'!AE19,1)</f>
        <v>1</v>
      </c>
      <c r="N8">
        <f>IF(AND(D4="DNV",D6=65.5),'FLS MP'!AE19,1)</f>
        <v>1</v>
      </c>
    </row>
    <row r="9" spans="3:14">
      <c r="C9" s="89" t="s">
        <v>239</v>
      </c>
      <c r="D9" s="91">
        <f>MAX(1,Control!$K$3)</f>
        <v>1.2</v>
      </c>
    </row>
    <row r="10" spans="3:14">
      <c r="C10" s="89" t="s">
        <v>122</v>
      </c>
      <c r="D10" s="91">
        <f>IF(Control!$F$39="DNV",N5,M5)</f>
        <v>1.25</v>
      </c>
      <c r="G10" s="336" t="s">
        <v>247</v>
      </c>
      <c r="H10" s="337"/>
      <c r="I10" s="337"/>
      <c r="J10" s="338"/>
    </row>
    <row r="11" spans="3:14">
      <c r="C11" s="89" t="s">
        <v>231</v>
      </c>
      <c r="D11" s="91">
        <f>IF(Control!$F$39="DNV",N6,M6)</f>
        <v>1</v>
      </c>
      <c r="G11" s="48" t="s">
        <v>248</v>
      </c>
      <c r="H11" s="48" t="s">
        <v>249</v>
      </c>
      <c r="I11" s="48" t="s">
        <v>250</v>
      </c>
      <c r="J11" s="48" t="s">
        <v>251</v>
      </c>
    </row>
    <row r="12" spans="3:14">
      <c r="G12" s="93">
        <f>$D$11*SUM('FLS driv. welds'!G17:G501)</f>
        <v>0</v>
      </c>
      <c r="H12" s="93">
        <f>$D$11*SUM('FLS driv. welds'!H17:H501)</f>
        <v>0</v>
      </c>
      <c r="I12" s="93">
        <f>$D$11*SUM('FLS driv. welds'!I17:I501)</f>
        <v>0</v>
      </c>
      <c r="J12" s="93">
        <f>$D$11*SUM('FLS driv. welds'!J17:J501)</f>
        <v>0</v>
      </c>
    </row>
    <row r="15" spans="3:14">
      <c r="C15" s="48" t="s">
        <v>252</v>
      </c>
      <c r="D15" s="48" t="s">
        <v>253</v>
      </c>
      <c r="E15" s="48" t="s">
        <v>254</v>
      </c>
      <c r="F15" s="48" t="s">
        <v>255</v>
      </c>
      <c r="G15" s="48" t="s">
        <v>248</v>
      </c>
      <c r="H15" s="48" t="s">
        <v>249</v>
      </c>
      <c r="I15" s="48" t="s">
        <v>250</v>
      </c>
      <c r="J15" s="48" t="s">
        <v>251</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437</v>
      </c>
      <c r="D4" s="48" t="str">
        <f>IF(OR(D5=100,D5=112,D5=140),"EC","DNV")</f>
        <v>EC</v>
      </c>
      <c r="J4" t="s">
        <v>149</v>
      </c>
      <c r="K4" t="s">
        <v>256</v>
      </c>
    </row>
    <row r="5" spans="3:18">
      <c r="C5" s="89" t="s">
        <v>257</v>
      </c>
      <c r="D5" s="90">
        <f>'FLS MP (driving)'!G63</f>
        <v>112</v>
      </c>
      <c r="F5" s="89" t="s">
        <v>212</v>
      </c>
      <c r="G5" s="92">
        <f>'FLS MP (driving)'!F63</f>
        <v>1.1000000000000001</v>
      </c>
      <c r="I5" t="s">
        <v>122</v>
      </c>
      <c r="J5">
        <v>1.25</v>
      </c>
      <c r="K5">
        <v>1</v>
      </c>
    </row>
    <row r="6" spans="3:18">
      <c r="C6" s="89" t="s">
        <v>91</v>
      </c>
      <c r="D6" s="91">
        <f>'FLS MP (driving)'!H63</f>
        <v>3</v>
      </c>
      <c r="I6" t="s">
        <v>231</v>
      </c>
      <c r="J6">
        <v>1</v>
      </c>
      <c r="K6">
        <v>3</v>
      </c>
    </row>
    <row r="7" spans="3:18">
      <c r="C7" s="89" t="s">
        <v>71</v>
      </c>
      <c r="D7" s="91">
        <f>IF($D$4="EC",2000000,10000000)</f>
        <v>2000000</v>
      </c>
      <c r="F7" s="89" t="s">
        <v>35</v>
      </c>
      <c r="G7" s="92">
        <f>(25/'FLS MP (driving)'!E35)^'FLS MP (driving)'!K35</f>
        <v>0.85133992252078461</v>
      </c>
      <c r="I7" t="s">
        <v>536</v>
      </c>
      <c r="J7">
        <v>1.3</v>
      </c>
      <c r="M7" s="180"/>
      <c r="N7" s="180"/>
      <c r="O7" s="180"/>
      <c r="P7" s="180"/>
      <c r="Q7" s="180"/>
      <c r="R7" s="180"/>
    </row>
    <row r="8" spans="3:18">
      <c r="C8" s="89" t="s">
        <v>239</v>
      </c>
      <c r="D8" s="91">
        <f>MAX(1,Control!$K$3)</f>
        <v>1.2</v>
      </c>
      <c r="I8" t="s">
        <v>456</v>
      </c>
      <c r="J8">
        <f>IF(AND(D4="DNV",D5=65.5),'FLS MP'!AE19,1)</f>
        <v>1</v>
      </c>
    </row>
    <row r="9" spans="3:18">
      <c r="C9" s="89" t="s">
        <v>122</v>
      </c>
      <c r="D9" s="91">
        <f>IF(Control!$F$39="DNV",K5,J5)</f>
        <v>1.25</v>
      </c>
      <c r="G9" s="94" t="s">
        <v>285</v>
      </c>
    </row>
    <row r="10" spans="3:18">
      <c r="C10" s="89" t="s">
        <v>231</v>
      </c>
      <c r="D10" s="91">
        <f>IF(Control!$F$39="DNV",K6,J6)</f>
        <v>1</v>
      </c>
      <c r="G10" s="93">
        <f>$D$10*SUM(G15:G499)</f>
        <v>0</v>
      </c>
    </row>
    <row r="13" spans="3:18">
      <c r="C13" s="48" t="s">
        <v>252</v>
      </c>
      <c r="D13" s="48" t="s">
        <v>253</v>
      </c>
      <c r="E13" s="48" t="s">
        <v>254</v>
      </c>
      <c r="F13" s="48" t="s">
        <v>255</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2025-03-18T15:01:21Z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