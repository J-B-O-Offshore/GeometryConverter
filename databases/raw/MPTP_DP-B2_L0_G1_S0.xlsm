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1.xml" ContentType="application/vnd.ms-excel.controlproperties+xml"/>
  <Override PartName="/xl/drawings/drawing10.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DieseArbeitsmappe" defaultThemeVersion="166925"/>
  <mc:AlternateContent xmlns:mc="http://schemas.openxmlformats.org/markup-compatibility/2006">
    <mc:Choice Requires="x15">
      <x15ac:absPath xmlns:x15ac="http://schemas.microsoft.com/office/spreadsheetml/2010/11/ac" url="E:\Projekte\24A525_Dreekant\02_MP\01_FEED\"/>
    </mc:Choice>
  </mc:AlternateContent>
  <xr:revisionPtr revIDLastSave="0" documentId="13_ncr:1_{D2D59CBD-C309-4B7C-90A2-B0EF5014F212}" xr6:coauthVersionLast="47" xr6:coauthVersionMax="47" xr10:uidLastSave="{00000000-0000-0000-0000-000000000000}"/>
  <bookViews>
    <workbookView xWindow="-108" yWindow="-108" windowWidth="46296" windowHeight="25536" activeTab="4" xr2:uid="{D7B4A1B3-3D13-4911-9BA7-27295B5E0B1E}"/>
  </bookViews>
  <sheets>
    <sheet name="Manual" sheetId="287" r:id="rId1"/>
    <sheet name="Rev info" sheetId="289" r:id="rId2"/>
    <sheet name="Control" sheetId="734" r:id="rId3"/>
    <sheet name="Notes" sheetId="751" r:id="rId4"/>
    <sheet name="Geometry" sheetId="574" r:id="rId5"/>
    <sheet name="Eff. thickness (DNVGL-RP-C203)" sheetId="291" r:id="rId6"/>
    <sheet name="Loads" sheetId="4" r:id="rId7"/>
    <sheet name="Background_data" sheetId="575" state="hidden" r:id="rId8"/>
    <sheet name="Steel grades" sheetId="54" state="hidden" r:id="rId9"/>
    <sheet name="Draw.Gen. TP" sheetId="402" r:id="rId10"/>
    <sheet name="Draw.Gen. MP" sheetId="401" r:id="rId11"/>
    <sheet name="Geometry_loads" sheetId="21" r:id="rId12"/>
    <sheet name="FLS TP" sheetId="5" r:id="rId13"/>
    <sheet name="FLS MP" sheetId="19" r:id="rId14"/>
    <sheet name="ULS TP" sheetId="17" r:id="rId15"/>
    <sheet name="ULS MP" sheetId="18" r:id="rId16"/>
    <sheet name="ULS MP (driving)" sheetId="20" r:id="rId17"/>
    <sheet name="FLS MP (driving)" sheetId="23" r:id="rId18"/>
    <sheet name="FLS driv. welds" sheetId="24" r:id="rId19"/>
    <sheet name="FLS driv. attachments" sheetId="51" r:id="rId20"/>
  </sheets>
  <functionGroups builtInGroupCount="19"/>
  <definedNames>
    <definedName name="_xlnm.Print_Area" localSheetId="2">Control!$E$6:$G$48</definedName>
    <definedName name="_xlnm.Print_Area" localSheetId="10">'Draw.Gen. MP'!$I$6</definedName>
    <definedName name="_xlnm.Print_Area" localSheetId="9">'Draw.Gen. TP'!$I$6</definedName>
    <definedName name="_xlnm.Print_Area" localSheetId="19">'FLS driv. attachments'!#REF!</definedName>
    <definedName name="_xlnm.Print_Area" localSheetId="18">'FLS driv. welds'!#REF!</definedName>
    <definedName name="Height_Top" localSheetId="9">'Draw.Gen. TP'!$C$6:$C$47</definedName>
    <definedName name="Height_Top">'Draw.Gen. MP'!$C$6:$C$47</definedName>
    <definedName name="Print_Area" localSheetId="19">'FLS driv. attachments'!$C$5:$G$14</definedName>
    <definedName name="Print_Area" localSheetId="18">'FLS driv. welds'!$C$5:$G$16</definedName>
    <definedName name="top" localSheetId="9">'Draw.Gen. TP'!$C$6:$C$25</definedName>
    <definedName name="top">'Draw.Gen. MP'!$C$6:$C$25</definedName>
    <definedName name="top_1" localSheetId="9">'Draw.Gen. TP'!$C$6:$C$47</definedName>
    <definedName name="top_1">'Draw.Gen. MP'!$C$6:$C$47</definedName>
    <definedName name="topmlat" localSheetId="9">'Draw.Gen. TP'!$C$6:$C$47</definedName>
    <definedName name="topmlat">'Draw.Gen. MP'!$C$6:$C$47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64" i="18" l="1"/>
  <c r="D64" i="18"/>
  <c r="E64" i="18"/>
  <c r="F64" i="18"/>
  <c r="J64" i="18"/>
  <c r="R64" i="18"/>
  <c r="X64" i="18"/>
  <c r="Y64" i="18"/>
  <c r="Z64" i="18"/>
  <c r="AA64" i="18"/>
  <c r="AC64" i="18"/>
  <c r="AN64" i="18"/>
  <c r="AO64" i="18"/>
  <c r="AR64" i="18"/>
  <c r="AW64" i="18" s="1"/>
  <c r="AT64" i="18"/>
  <c r="AU64" i="18" s="1"/>
  <c r="AV64" i="18"/>
  <c r="C65" i="18"/>
  <c r="D65" i="18"/>
  <c r="E65" i="18"/>
  <c r="F65" i="18"/>
  <c r="R65" i="18"/>
  <c r="J65" i="18" s="1"/>
  <c r="X65" i="18"/>
  <c r="Y65" i="18"/>
  <c r="Z65" i="18"/>
  <c r="AA65" i="18"/>
  <c r="AC65" i="18"/>
  <c r="AN65" i="18"/>
  <c r="AO65" i="18"/>
  <c r="C66" i="18"/>
  <c r="D66" i="18"/>
  <c r="E66" i="18"/>
  <c r="R66" i="18"/>
  <c r="X66" i="18"/>
  <c r="Y66" i="18"/>
  <c r="C67" i="18"/>
  <c r="D67" i="18"/>
  <c r="E67" i="18"/>
  <c r="R67" i="18"/>
  <c r="X67" i="18"/>
  <c r="Y67" i="18"/>
  <c r="C68" i="18"/>
  <c r="D68" i="18"/>
  <c r="E68" i="18"/>
  <c r="F68" i="18"/>
  <c r="R68" i="18"/>
  <c r="J68" i="18" s="1"/>
  <c r="X68" i="18"/>
  <c r="Y68" i="18"/>
  <c r="AC68" i="18"/>
  <c r="C69" i="18"/>
  <c r="D69" i="18"/>
  <c r="E69" i="18"/>
  <c r="F69" i="18"/>
  <c r="R69" i="18"/>
  <c r="J69" i="18" s="1"/>
  <c r="X69" i="18"/>
  <c r="Y69" i="18"/>
  <c r="C70" i="18"/>
  <c r="D70" i="18"/>
  <c r="E70" i="18"/>
  <c r="F70" i="18"/>
  <c r="R70" i="18"/>
  <c r="J70" i="18" s="1"/>
  <c r="X70" i="18"/>
  <c r="Y70" i="18"/>
  <c r="AN70" i="18"/>
  <c r="C71" i="18"/>
  <c r="D71" i="18"/>
  <c r="E71" i="18"/>
  <c r="F71" i="18"/>
  <c r="R71" i="18"/>
  <c r="J71" i="18" s="1"/>
  <c r="V71" i="18"/>
  <c r="X71" i="18"/>
  <c r="Y71" i="18"/>
  <c r="AN71" i="18"/>
  <c r="AO71" i="18" s="1"/>
  <c r="C72" i="18"/>
  <c r="D72" i="18"/>
  <c r="E72" i="18"/>
  <c r="R72" i="18"/>
  <c r="X72" i="18"/>
  <c r="Y72" i="18"/>
  <c r="C73" i="18"/>
  <c r="E73" i="18"/>
  <c r="R73" i="18"/>
  <c r="X73" i="18"/>
  <c r="Y73" i="18"/>
  <c r="C74" i="18"/>
  <c r="E74" i="18"/>
  <c r="F74" i="18"/>
  <c r="J74" i="18"/>
  <c r="R74" i="18"/>
  <c r="C75" i="18"/>
  <c r="D75" i="18"/>
  <c r="E75" i="18"/>
  <c r="F75" i="18"/>
  <c r="R75" i="18"/>
  <c r="T75" i="18"/>
  <c r="C76" i="18"/>
  <c r="D76" i="18"/>
  <c r="E76" i="18"/>
  <c r="AA76" i="18" s="1"/>
  <c r="F76" i="18"/>
  <c r="AC76" i="18" s="1"/>
  <c r="I76" i="18"/>
  <c r="J76" i="18"/>
  <c r="R76" i="18"/>
  <c r="X76" i="18"/>
  <c r="AB76" i="18" s="1"/>
  <c r="Y76" i="18"/>
  <c r="AN76" i="18"/>
  <c r="AO76" i="18"/>
  <c r="AR76" i="18"/>
  <c r="AS76" i="18"/>
  <c r="AT76" i="18"/>
  <c r="C77" i="18"/>
  <c r="D77" i="18"/>
  <c r="E77" i="18"/>
  <c r="F77" i="18"/>
  <c r="AC77" i="18" s="1"/>
  <c r="I77" i="18"/>
  <c r="J77" i="18"/>
  <c r="R77" i="18"/>
  <c r="W77" i="18"/>
  <c r="X77" i="18"/>
  <c r="Z77" i="18" s="1"/>
  <c r="Y77" i="18"/>
  <c r="AN77" i="18"/>
  <c r="AO77" i="18" s="1"/>
  <c r="AS77" i="18" s="1"/>
  <c r="AT77" i="18"/>
  <c r="AV77" i="18" s="1"/>
  <c r="C78" i="18"/>
  <c r="D78" i="18"/>
  <c r="E78" i="18"/>
  <c r="F78" i="18"/>
  <c r="J78" i="18" s="1"/>
  <c r="I78" i="18"/>
  <c r="R78" i="18"/>
  <c r="X78" i="18"/>
  <c r="Y78" i="18"/>
  <c r="AN78" i="18"/>
  <c r="C79" i="18"/>
  <c r="D79" i="18"/>
  <c r="E79" i="18"/>
  <c r="I79" i="18"/>
  <c r="R79" i="18"/>
  <c r="X79" i="18"/>
  <c r="Y79" i="18"/>
  <c r="AN79" i="18"/>
  <c r="AR79" i="18"/>
  <c r="AT79" i="18"/>
  <c r="C80" i="18"/>
  <c r="D80" i="18"/>
  <c r="E80" i="18"/>
  <c r="I80" i="18"/>
  <c r="R80" i="18"/>
  <c r="T80" i="18"/>
  <c r="U80" i="18"/>
  <c r="V80" i="18"/>
  <c r="W80" i="18"/>
  <c r="X80" i="18"/>
  <c r="Y80" i="18"/>
  <c r="AN80" i="18"/>
  <c r="AO80" i="18"/>
  <c r="AR80" i="18"/>
  <c r="AS80" i="18"/>
  <c r="AT80" i="18"/>
  <c r="C81" i="18"/>
  <c r="D81" i="18"/>
  <c r="E81" i="18"/>
  <c r="I81" i="18"/>
  <c r="R81" i="18"/>
  <c r="T81" i="18"/>
  <c r="U81" i="18"/>
  <c r="X81" i="18"/>
  <c r="Y81" i="18"/>
  <c r="AN81" i="18"/>
  <c r="AO81" i="18"/>
  <c r="AR81" i="18"/>
  <c r="AS81" i="18"/>
  <c r="AT81" i="18"/>
  <c r="C82" i="18"/>
  <c r="D82" i="18"/>
  <c r="E82" i="18"/>
  <c r="I82" i="18"/>
  <c r="R82" i="18"/>
  <c r="X82" i="18"/>
  <c r="Y82" i="18"/>
  <c r="C83" i="18"/>
  <c r="D83" i="18"/>
  <c r="E83" i="18"/>
  <c r="F83" i="18"/>
  <c r="R83" i="18"/>
  <c r="J83" i="18" s="1"/>
  <c r="X83" i="18"/>
  <c r="Y83" i="18"/>
  <c r="Z83" i="18"/>
  <c r="AA83" i="18"/>
  <c r="AC83" i="18"/>
  <c r="C84" i="18"/>
  <c r="E84" i="18"/>
  <c r="F84" i="18"/>
  <c r="R84" i="18"/>
  <c r="J84" i="18" s="1"/>
  <c r="X84" i="18"/>
  <c r="Y84" i="18"/>
  <c r="AC84" i="18"/>
  <c r="C85" i="18"/>
  <c r="E85" i="18"/>
  <c r="F85" i="18"/>
  <c r="R85" i="18"/>
  <c r="AN85" i="18"/>
  <c r="AO85" i="18"/>
  <c r="AS85" i="18" s="1"/>
  <c r="AR85" i="18"/>
  <c r="AT85" i="18"/>
  <c r="AN63" i="18"/>
  <c r="C36" i="18"/>
  <c r="D36" i="18"/>
  <c r="E36" i="18"/>
  <c r="F36" i="18"/>
  <c r="J36" i="18"/>
  <c r="R36" i="18"/>
  <c r="X36" i="18"/>
  <c r="Y36" i="18"/>
  <c r="Z36" i="18"/>
  <c r="AA36" i="18"/>
  <c r="AC36" i="18"/>
  <c r="AN36" i="18"/>
  <c r="AO36" i="18"/>
  <c r="AR36" i="18"/>
  <c r="AS36" i="18"/>
  <c r="AT36" i="18"/>
  <c r="AU36" i="18"/>
  <c r="C37" i="18"/>
  <c r="D37" i="18"/>
  <c r="E37" i="18"/>
  <c r="F37" i="18"/>
  <c r="R37" i="18"/>
  <c r="J37" i="18" s="1"/>
  <c r="X37" i="18"/>
  <c r="Y37" i="18"/>
  <c r="Z37" i="18"/>
  <c r="AA37" i="18"/>
  <c r="AC37" i="18"/>
  <c r="AN37" i="18"/>
  <c r="AO37" i="18"/>
  <c r="AR37" i="18"/>
  <c r="AS37" i="18"/>
  <c r="AT37" i="18"/>
  <c r="C38" i="18"/>
  <c r="D38" i="18"/>
  <c r="AN39" i="18" s="1"/>
  <c r="E38" i="18"/>
  <c r="R38" i="18"/>
  <c r="X38" i="18"/>
  <c r="Y38" i="18"/>
  <c r="AN38" i="18"/>
  <c r="AO38" i="18"/>
  <c r="C39" i="18"/>
  <c r="D39" i="18"/>
  <c r="E39" i="18"/>
  <c r="R39" i="18"/>
  <c r="C40" i="18"/>
  <c r="D40" i="18"/>
  <c r="E40" i="18"/>
  <c r="F40" i="18"/>
  <c r="R40" i="18"/>
  <c r="J40" i="18" s="1"/>
  <c r="C41" i="18"/>
  <c r="D41" i="18"/>
  <c r="E41" i="18"/>
  <c r="F41" i="18"/>
  <c r="R41" i="18"/>
  <c r="J41" i="18" s="1"/>
  <c r="C42" i="18"/>
  <c r="D42" i="18"/>
  <c r="E42" i="18"/>
  <c r="F42" i="18"/>
  <c r="R42" i="18"/>
  <c r="T42" i="18"/>
  <c r="X42" i="18"/>
  <c r="AN42" i="18"/>
  <c r="C43" i="18"/>
  <c r="D43" i="18"/>
  <c r="E43" i="18"/>
  <c r="F43" i="18"/>
  <c r="R43" i="18"/>
  <c r="J43" i="18" s="1"/>
  <c r="X43" i="18"/>
  <c r="Y43" i="18"/>
  <c r="AN43" i="18"/>
  <c r="AO43" i="18" s="1"/>
  <c r="C44" i="18"/>
  <c r="D44" i="18"/>
  <c r="E44" i="18"/>
  <c r="R44" i="18"/>
  <c r="AN44" i="18"/>
  <c r="AO44" i="18" s="1"/>
  <c r="C45" i="18"/>
  <c r="D45" i="18"/>
  <c r="E45" i="18"/>
  <c r="R45" i="18"/>
  <c r="C46" i="18"/>
  <c r="E46" i="18"/>
  <c r="F46" i="18"/>
  <c r="J46" i="18"/>
  <c r="R46" i="18"/>
  <c r="C47" i="18"/>
  <c r="E47" i="18"/>
  <c r="F47" i="18"/>
  <c r="J47" i="18"/>
  <c r="R47" i="18"/>
  <c r="C48" i="18"/>
  <c r="D48" i="18"/>
  <c r="E48" i="18"/>
  <c r="F48" i="18"/>
  <c r="R48" i="18"/>
  <c r="T48" i="18"/>
  <c r="X48" i="18"/>
  <c r="Y48" i="18"/>
  <c r="Z48" i="18"/>
  <c r="AA48" i="18"/>
  <c r="C49" i="18"/>
  <c r="D49" i="18"/>
  <c r="E49" i="18"/>
  <c r="F49" i="18"/>
  <c r="AC49" i="18" s="1"/>
  <c r="I49" i="18"/>
  <c r="R49" i="18"/>
  <c r="X49" i="18"/>
  <c r="Y49" i="18"/>
  <c r="Z49" i="18"/>
  <c r="AA49" i="18"/>
  <c r="AN49" i="18"/>
  <c r="AO49" i="18" s="1"/>
  <c r="AS49" i="18" s="1"/>
  <c r="AR49" i="18"/>
  <c r="AT49" i="18"/>
  <c r="C50" i="18"/>
  <c r="D50" i="18"/>
  <c r="E50" i="18"/>
  <c r="I50" i="18"/>
  <c r="R50" i="18"/>
  <c r="T50" i="18"/>
  <c r="U50" i="18"/>
  <c r="V50" i="18"/>
  <c r="W50" i="18"/>
  <c r="X50" i="18"/>
  <c r="Y50" i="18"/>
  <c r="AN50" i="18"/>
  <c r="AO50" i="18" s="1"/>
  <c r="AS50" i="18" s="1"/>
  <c r="AT50" i="18"/>
  <c r="C51" i="18"/>
  <c r="D51" i="18"/>
  <c r="E51" i="18"/>
  <c r="I51" i="18"/>
  <c r="R51" i="18"/>
  <c r="U51" i="18"/>
  <c r="V51" i="18"/>
  <c r="W51" i="18"/>
  <c r="X51" i="18"/>
  <c r="Y51" i="18"/>
  <c r="AN51" i="18"/>
  <c r="AO51" i="18"/>
  <c r="AR51" i="18"/>
  <c r="AS51" i="18"/>
  <c r="AT51" i="18"/>
  <c r="C52" i="18"/>
  <c r="D52" i="18"/>
  <c r="E52" i="18"/>
  <c r="F52" i="18"/>
  <c r="Z52" i="18" s="1"/>
  <c r="I52" i="18"/>
  <c r="J52" i="18"/>
  <c r="R52" i="18"/>
  <c r="X52" i="18"/>
  <c r="Y52" i="18"/>
  <c r="AN52" i="18"/>
  <c r="AO52" i="18"/>
  <c r="AR52" i="18"/>
  <c r="AS52" i="18"/>
  <c r="AT52" i="18"/>
  <c r="C53" i="18"/>
  <c r="D53" i="18"/>
  <c r="E53" i="18"/>
  <c r="F53" i="18"/>
  <c r="Z53" i="18" s="1"/>
  <c r="I53" i="18"/>
  <c r="R53" i="18"/>
  <c r="U53" i="18"/>
  <c r="X53" i="18"/>
  <c r="Y53" i="18"/>
  <c r="AN53" i="18"/>
  <c r="AO53" i="18"/>
  <c r="AR53" i="18"/>
  <c r="AS53" i="18"/>
  <c r="AT53" i="18"/>
  <c r="C54" i="18"/>
  <c r="D54" i="18"/>
  <c r="E54" i="18"/>
  <c r="I54" i="18"/>
  <c r="R54" i="18"/>
  <c r="T54" i="18"/>
  <c r="U54" i="18"/>
  <c r="X54" i="18"/>
  <c r="Y54" i="18"/>
  <c r="AN54" i="18"/>
  <c r="AO54" i="18"/>
  <c r="AR54" i="18"/>
  <c r="AS54" i="18"/>
  <c r="AT54" i="18"/>
  <c r="C55" i="18"/>
  <c r="D55" i="18"/>
  <c r="E55" i="18"/>
  <c r="F55" i="18"/>
  <c r="R55" i="18"/>
  <c r="J55" i="18" s="1"/>
  <c r="AN55" i="18"/>
  <c r="AO55" i="18" s="1"/>
  <c r="AS55" i="18" s="1"/>
  <c r="AR55" i="18"/>
  <c r="AT55" i="18"/>
  <c r="C56" i="18"/>
  <c r="D56" i="18"/>
  <c r="E56" i="18"/>
  <c r="F56" i="18"/>
  <c r="R56" i="18"/>
  <c r="J56" i="18" s="1"/>
  <c r="C57" i="18"/>
  <c r="E57" i="18"/>
  <c r="F57" i="18"/>
  <c r="R57" i="18"/>
  <c r="J57" i="18" s="1"/>
  <c r="D7" i="18"/>
  <c r="E7" i="18"/>
  <c r="F7" i="18"/>
  <c r="G7" i="18"/>
  <c r="J7" i="18" s="1"/>
  <c r="K7" i="18" s="1"/>
  <c r="H7" i="18"/>
  <c r="I7" i="18"/>
  <c r="D8" i="18"/>
  <c r="E8" i="18"/>
  <c r="F8" i="18"/>
  <c r="G8" i="18"/>
  <c r="H8" i="18"/>
  <c r="I8" i="18"/>
  <c r="J8" i="18"/>
  <c r="K8" i="18" s="1"/>
  <c r="D9" i="18"/>
  <c r="I9" i="18" s="1"/>
  <c r="J9" i="18" s="1"/>
  <c r="K9" i="18" s="1"/>
  <c r="E9" i="18"/>
  <c r="F9" i="18"/>
  <c r="G9" i="18"/>
  <c r="H9" i="18"/>
  <c r="F38" i="18" s="1"/>
  <c r="Z38" i="18" s="1"/>
  <c r="D10" i="18"/>
  <c r="I10" i="18" s="1"/>
  <c r="E10" i="18"/>
  <c r="F10" i="18"/>
  <c r="G10" i="18"/>
  <c r="J10" i="18" s="1"/>
  <c r="H10" i="18"/>
  <c r="F67" i="18" s="1"/>
  <c r="D11" i="18"/>
  <c r="E11" i="18"/>
  <c r="F11" i="18"/>
  <c r="G11" i="18"/>
  <c r="H11" i="18"/>
  <c r="I11" i="18"/>
  <c r="J11" i="18"/>
  <c r="K11" i="18" s="1"/>
  <c r="D12" i="18"/>
  <c r="I12" i="18" s="1"/>
  <c r="J12" i="18" s="1"/>
  <c r="K12" i="18" s="1"/>
  <c r="E12" i="18"/>
  <c r="F12" i="18"/>
  <c r="G12" i="18"/>
  <c r="H12" i="18"/>
  <c r="D13" i="18"/>
  <c r="E13" i="18"/>
  <c r="F13" i="18"/>
  <c r="G13" i="18"/>
  <c r="J13" i="18" s="1"/>
  <c r="K13" i="18" s="1"/>
  <c r="H13" i="18"/>
  <c r="I13" i="18"/>
  <c r="D14" i="18"/>
  <c r="I14" i="18" s="1"/>
  <c r="E14" i="18"/>
  <c r="F14" i="18"/>
  <c r="G14" i="18"/>
  <c r="J14" i="18" s="1"/>
  <c r="K14" i="18" s="1"/>
  <c r="H14" i="18"/>
  <c r="D15" i="18"/>
  <c r="E15" i="18"/>
  <c r="F15" i="18"/>
  <c r="G15" i="18"/>
  <c r="H15" i="18"/>
  <c r="F44" i="18" s="1"/>
  <c r="I15" i="18"/>
  <c r="J15" i="18" s="1"/>
  <c r="K15" i="18" s="1"/>
  <c r="D16" i="18"/>
  <c r="E16" i="18"/>
  <c r="D73" i="18" s="1"/>
  <c r="F16" i="18"/>
  <c r="G16" i="18"/>
  <c r="H16" i="18"/>
  <c r="F73" i="18" s="1"/>
  <c r="AC73" i="18" s="1"/>
  <c r="E17" i="18"/>
  <c r="D74" i="18" s="1"/>
  <c r="F17" i="18"/>
  <c r="G17" i="18"/>
  <c r="H17" i="18"/>
  <c r="E18" i="18"/>
  <c r="F18" i="18"/>
  <c r="G18" i="18"/>
  <c r="H18" i="18"/>
  <c r="E19" i="18"/>
  <c r="F19" i="18"/>
  <c r="G19" i="18"/>
  <c r="H19" i="18"/>
  <c r="E20" i="18"/>
  <c r="F20" i="18"/>
  <c r="G20" i="18"/>
  <c r="H20" i="18"/>
  <c r="E21" i="18"/>
  <c r="F21" i="18"/>
  <c r="G21" i="18"/>
  <c r="H21" i="18"/>
  <c r="F50" i="18" s="1"/>
  <c r="J50" i="18" s="1"/>
  <c r="E22" i="18"/>
  <c r="F22" i="18"/>
  <c r="G22" i="18"/>
  <c r="H22" i="18"/>
  <c r="F79" i="18" s="1"/>
  <c r="J79" i="18" s="1"/>
  <c r="E23" i="18"/>
  <c r="F23" i="18"/>
  <c r="G23" i="18"/>
  <c r="H23" i="18"/>
  <c r="F80" i="18" s="1"/>
  <c r="E24" i="18"/>
  <c r="F24" i="18"/>
  <c r="G24" i="18"/>
  <c r="H24" i="18"/>
  <c r="F81" i="18" s="1"/>
  <c r="E25" i="18"/>
  <c r="F25" i="18"/>
  <c r="G25" i="18"/>
  <c r="H25" i="18"/>
  <c r="F82" i="18" s="1"/>
  <c r="E26" i="18"/>
  <c r="F26" i="18"/>
  <c r="G26" i="18"/>
  <c r="H26" i="18"/>
  <c r="F27" i="18"/>
  <c r="G27" i="18"/>
  <c r="H27" i="18"/>
  <c r="E28" i="18"/>
  <c r="D85" i="18" s="1"/>
  <c r="F28" i="18"/>
  <c r="G28" i="18"/>
  <c r="H28" i="18"/>
  <c r="E6" i="18"/>
  <c r="F6" i="18"/>
  <c r="G6" i="18"/>
  <c r="H6" i="18"/>
  <c r="D6" i="18"/>
  <c r="S30" i="574"/>
  <c r="T30" i="574"/>
  <c r="U30" i="574"/>
  <c r="V30" i="574"/>
  <c r="W30" i="574"/>
  <c r="S34" i="574"/>
  <c r="T34" i="574"/>
  <c r="U34" i="574"/>
  <c r="V34" i="574"/>
  <c r="W34" i="574"/>
  <c r="S35" i="574"/>
  <c r="T35" i="574"/>
  <c r="U35" i="574"/>
  <c r="V35" i="574"/>
  <c r="W35" i="574"/>
  <c r="S36" i="574"/>
  <c r="W36" i="574" s="1"/>
  <c r="T36" i="574"/>
  <c r="U36" i="574"/>
  <c r="V36" i="574"/>
  <c r="W29" i="574"/>
  <c r="V29" i="574"/>
  <c r="U29" i="574"/>
  <c r="T29" i="574"/>
  <c r="S29" i="574"/>
  <c r="C158" i="19"/>
  <c r="D158" i="19"/>
  <c r="E158" i="19"/>
  <c r="F158" i="19"/>
  <c r="J158" i="19"/>
  <c r="K158" i="19"/>
  <c r="M158" i="19" s="1"/>
  <c r="L158" i="19"/>
  <c r="O158" i="19"/>
  <c r="Q158" i="19"/>
  <c r="X158" i="19"/>
  <c r="Y158" i="19"/>
  <c r="Z158" i="19"/>
  <c r="AA158" i="19"/>
  <c r="AG158" i="19"/>
  <c r="AH158" i="19"/>
  <c r="AI158" i="19"/>
  <c r="C159" i="19"/>
  <c r="D159" i="19"/>
  <c r="X159" i="19" s="1"/>
  <c r="E159" i="19"/>
  <c r="F159" i="19"/>
  <c r="K159" i="19"/>
  <c r="L159" i="19"/>
  <c r="P159" i="19" s="1"/>
  <c r="M159" i="19"/>
  <c r="O159" i="19"/>
  <c r="Q159" i="19"/>
  <c r="S159" i="19"/>
  <c r="AH159" i="19"/>
  <c r="AI159" i="19"/>
  <c r="C160" i="19"/>
  <c r="D160" i="19"/>
  <c r="E160" i="19"/>
  <c r="F160" i="19"/>
  <c r="K160" i="19"/>
  <c r="L160" i="19"/>
  <c r="N160" i="19"/>
  <c r="O160" i="19"/>
  <c r="P160" i="19"/>
  <c r="Q160" i="19"/>
  <c r="R160" i="19"/>
  <c r="T160" i="19"/>
  <c r="X160" i="19"/>
  <c r="AH160" i="19"/>
  <c r="AI160" i="19"/>
  <c r="C161" i="19"/>
  <c r="K161" i="19"/>
  <c r="L161" i="19"/>
  <c r="N161" i="19"/>
  <c r="O161" i="19"/>
  <c r="P161" i="19"/>
  <c r="Q161" i="19"/>
  <c r="R161" i="19"/>
  <c r="T161" i="19"/>
  <c r="AH161" i="19"/>
  <c r="AI161" i="19"/>
  <c r="C162" i="19"/>
  <c r="D162" i="19"/>
  <c r="E162" i="19"/>
  <c r="F162" i="19"/>
  <c r="I162" i="19"/>
  <c r="K162" i="19"/>
  <c r="L162" i="19"/>
  <c r="N162" i="19"/>
  <c r="O162" i="19"/>
  <c r="P162" i="19"/>
  <c r="Q162" i="19"/>
  <c r="R162" i="19"/>
  <c r="T162" i="19"/>
  <c r="X162" i="19"/>
  <c r="AF162" i="19" s="1"/>
  <c r="Z162" i="19"/>
  <c r="AA162" i="19"/>
  <c r="AH162" i="19"/>
  <c r="AI162" i="19"/>
  <c r="C163" i="19"/>
  <c r="D163" i="19"/>
  <c r="AA163" i="19" s="1"/>
  <c r="E163" i="19"/>
  <c r="F163" i="19"/>
  <c r="I163" i="19"/>
  <c r="K163" i="19"/>
  <c r="L163" i="19"/>
  <c r="N163" i="19" s="1"/>
  <c r="T163" i="19"/>
  <c r="X163" i="19"/>
  <c r="AF163" i="19" s="1"/>
  <c r="Y163" i="19"/>
  <c r="AG163" i="19" s="1"/>
  <c r="Z163" i="19"/>
  <c r="AH163" i="19"/>
  <c r="AI163" i="19"/>
  <c r="C164" i="19"/>
  <c r="D164" i="19"/>
  <c r="X164" i="19" s="1"/>
  <c r="E164" i="19"/>
  <c r="F164" i="19"/>
  <c r="K164" i="19"/>
  <c r="O164" i="19" s="1"/>
  <c r="L164" i="19"/>
  <c r="P164" i="19" s="1"/>
  <c r="Y164" i="19"/>
  <c r="AG164" i="19" s="1"/>
  <c r="Z164" i="19"/>
  <c r="AA164" i="19"/>
  <c r="AH164" i="19"/>
  <c r="AI164" i="19"/>
  <c r="Y157" i="19"/>
  <c r="X157" i="19"/>
  <c r="F157" i="19"/>
  <c r="E157" i="19"/>
  <c r="C145" i="19"/>
  <c r="D145" i="19"/>
  <c r="G145" i="19"/>
  <c r="H145" i="19"/>
  <c r="I145" i="19"/>
  <c r="C146" i="19"/>
  <c r="D146" i="19"/>
  <c r="G146" i="19"/>
  <c r="H146" i="19"/>
  <c r="I146" i="19"/>
  <c r="C147" i="19"/>
  <c r="D147" i="19"/>
  <c r="G147" i="19"/>
  <c r="H147" i="19"/>
  <c r="I147" i="19"/>
  <c r="C148" i="19"/>
  <c r="D148" i="19"/>
  <c r="D161" i="19" s="1"/>
  <c r="Y161" i="19" s="1"/>
  <c r="J161" i="19" s="1"/>
  <c r="G148" i="19"/>
  <c r="H148" i="19"/>
  <c r="I148" i="19"/>
  <c r="C149" i="19"/>
  <c r="D149" i="19"/>
  <c r="G149" i="19"/>
  <c r="H149" i="19"/>
  <c r="I149" i="19"/>
  <c r="C150" i="19"/>
  <c r="D150" i="19"/>
  <c r="G150" i="19"/>
  <c r="H150" i="19"/>
  <c r="I150" i="19"/>
  <c r="C151" i="19"/>
  <c r="D151" i="19"/>
  <c r="G151" i="19"/>
  <c r="H151" i="19"/>
  <c r="I151" i="19"/>
  <c r="I144" i="19"/>
  <c r="H144" i="19"/>
  <c r="G144" i="19"/>
  <c r="D144" i="19"/>
  <c r="C144" i="19"/>
  <c r="E117" i="19"/>
  <c r="F117" i="19"/>
  <c r="O117" i="19"/>
  <c r="P117" i="19"/>
  <c r="Q117" i="19"/>
  <c r="R117" i="19"/>
  <c r="AJ117" i="19"/>
  <c r="AK117" i="19"/>
  <c r="E118" i="19"/>
  <c r="F118" i="19"/>
  <c r="O118" i="19"/>
  <c r="P118" i="19"/>
  <c r="Q118" i="19"/>
  <c r="R118" i="19"/>
  <c r="AJ118" i="19"/>
  <c r="AK118" i="19"/>
  <c r="E119" i="19"/>
  <c r="F119" i="19"/>
  <c r="O119" i="19"/>
  <c r="P119" i="19"/>
  <c r="Q119" i="19"/>
  <c r="R119" i="19"/>
  <c r="AJ119" i="19"/>
  <c r="AK119" i="19"/>
  <c r="E120" i="19"/>
  <c r="F120" i="19"/>
  <c r="O120" i="19"/>
  <c r="P120" i="19"/>
  <c r="Q120" i="19"/>
  <c r="R120" i="19"/>
  <c r="AJ120" i="19"/>
  <c r="AK120" i="19"/>
  <c r="E121" i="19"/>
  <c r="F121" i="19"/>
  <c r="O121" i="19"/>
  <c r="P121" i="19"/>
  <c r="Q121" i="19"/>
  <c r="R121" i="19"/>
  <c r="AJ121" i="19"/>
  <c r="AK121" i="19"/>
  <c r="E122" i="19"/>
  <c r="F122" i="19"/>
  <c r="O122" i="19"/>
  <c r="P122" i="19"/>
  <c r="Q122" i="19"/>
  <c r="R122" i="19"/>
  <c r="AJ122" i="19"/>
  <c r="AK122" i="19"/>
  <c r="E123" i="19"/>
  <c r="F123" i="19"/>
  <c r="O123" i="19"/>
  <c r="P123" i="19"/>
  <c r="Q123" i="19"/>
  <c r="R123" i="19"/>
  <c r="AJ123" i="19"/>
  <c r="AK123" i="19"/>
  <c r="E124" i="19"/>
  <c r="F124" i="19"/>
  <c r="O124" i="19"/>
  <c r="P124" i="19"/>
  <c r="Q124" i="19"/>
  <c r="R124" i="19"/>
  <c r="AJ124" i="19"/>
  <c r="AK124" i="19"/>
  <c r="E125" i="19"/>
  <c r="F125" i="19"/>
  <c r="O125" i="19"/>
  <c r="P125" i="19"/>
  <c r="Q125" i="19"/>
  <c r="R125" i="19"/>
  <c r="AJ125" i="19"/>
  <c r="AK125" i="19"/>
  <c r="O126" i="19"/>
  <c r="P126" i="19"/>
  <c r="Q126" i="19"/>
  <c r="R126" i="19"/>
  <c r="AJ126" i="19"/>
  <c r="AK126" i="19"/>
  <c r="O127" i="19"/>
  <c r="P127" i="19"/>
  <c r="Q127" i="19"/>
  <c r="R127" i="19"/>
  <c r="AJ127" i="19"/>
  <c r="AK127" i="19"/>
  <c r="E128" i="19"/>
  <c r="F128" i="19"/>
  <c r="O128" i="19"/>
  <c r="P128" i="19"/>
  <c r="Q128" i="19"/>
  <c r="R128" i="19"/>
  <c r="AJ128" i="19"/>
  <c r="AK128" i="19"/>
  <c r="E129" i="19"/>
  <c r="F129" i="19"/>
  <c r="O129" i="19"/>
  <c r="P129" i="19"/>
  <c r="Q129" i="19"/>
  <c r="R129" i="19"/>
  <c r="AJ129" i="19"/>
  <c r="AK129" i="19"/>
  <c r="E130" i="19"/>
  <c r="F130" i="19"/>
  <c r="O130" i="19"/>
  <c r="P130" i="19"/>
  <c r="Q130" i="19"/>
  <c r="R130" i="19"/>
  <c r="AJ130" i="19"/>
  <c r="AK130" i="19"/>
  <c r="E131" i="19"/>
  <c r="F131" i="19"/>
  <c r="O131" i="19"/>
  <c r="P131" i="19"/>
  <c r="Q131" i="19"/>
  <c r="R131" i="19"/>
  <c r="AJ131" i="19"/>
  <c r="AK131" i="19"/>
  <c r="E132" i="19"/>
  <c r="F132" i="19"/>
  <c r="O132" i="19"/>
  <c r="P132" i="19"/>
  <c r="Q132" i="19"/>
  <c r="R132" i="19"/>
  <c r="AJ132" i="19"/>
  <c r="AK132" i="19"/>
  <c r="E133" i="19"/>
  <c r="F133" i="19"/>
  <c r="O133" i="19"/>
  <c r="P133" i="19"/>
  <c r="Q133" i="19"/>
  <c r="R133" i="19"/>
  <c r="AJ133" i="19"/>
  <c r="AK133" i="19"/>
  <c r="E134" i="19"/>
  <c r="F134" i="19"/>
  <c r="O134" i="19"/>
  <c r="P134" i="19"/>
  <c r="Q134" i="19"/>
  <c r="R134" i="19"/>
  <c r="AJ134" i="19"/>
  <c r="AK134" i="19"/>
  <c r="D135" i="19"/>
  <c r="E135" i="19"/>
  <c r="F135" i="19"/>
  <c r="O135" i="19"/>
  <c r="P135" i="19"/>
  <c r="Q135" i="19"/>
  <c r="R135" i="19"/>
  <c r="AJ135" i="19"/>
  <c r="AK135" i="19"/>
  <c r="E136" i="19"/>
  <c r="F136" i="19"/>
  <c r="O136" i="19"/>
  <c r="P136" i="19"/>
  <c r="Q136" i="19"/>
  <c r="R136" i="19"/>
  <c r="AJ136" i="19"/>
  <c r="AK136" i="19"/>
  <c r="O137" i="19"/>
  <c r="P137" i="19"/>
  <c r="Q137" i="19"/>
  <c r="R137" i="19"/>
  <c r="AJ137" i="19"/>
  <c r="AK137" i="19"/>
  <c r="F116" i="19"/>
  <c r="E116" i="19"/>
  <c r="E90" i="19"/>
  <c r="F90" i="19"/>
  <c r="O90" i="19"/>
  <c r="P90" i="19"/>
  <c r="Q90" i="19"/>
  <c r="R90" i="19"/>
  <c r="AJ90" i="19"/>
  <c r="AK90" i="19"/>
  <c r="D91" i="19"/>
  <c r="E91" i="19"/>
  <c r="F91" i="19"/>
  <c r="O91" i="19"/>
  <c r="P91" i="19"/>
  <c r="Q91" i="19"/>
  <c r="R91" i="19"/>
  <c r="AJ91" i="19"/>
  <c r="AK91" i="19"/>
  <c r="E92" i="19"/>
  <c r="F92" i="19"/>
  <c r="O92" i="19"/>
  <c r="P92" i="19"/>
  <c r="Q92" i="19"/>
  <c r="R92" i="19"/>
  <c r="AJ92" i="19"/>
  <c r="AK92" i="19"/>
  <c r="E93" i="19"/>
  <c r="F93" i="19"/>
  <c r="O93" i="19"/>
  <c r="P93" i="19"/>
  <c r="Q93" i="19"/>
  <c r="R93" i="19"/>
  <c r="AJ93" i="19"/>
  <c r="AK93" i="19"/>
  <c r="D94" i="19"/>
  <c r="E94" i="19"/>
  <c r="F94" i="19"/>
  <c r="O94" i="19"/>
  <c r="P94" i="19"/>
  <c r="Q94" i="19"/>
  <c r="R94" i="19"/>
  <c r="AJ94" i="19"/>
  <c r="AK94" i="19"/>
  <c r="E95" i="19"/>
  <c r="F95" i="19"/>
  <c r="O95" i="19"/>
  <c r="P95" i="19"/>
  <c r="Q95" i="19"/>
  <c r="R95" i="19"/>
  <c r="AJ95" i="19"/>
  <c r="AK95" i="19"/>
  <c r="C96" i="19"/>
  <c r="E96" i="19"/>
  <c r="F96" i="19"/>
  <c r="O96" i="19"/>
  <c r="P96" i="19"/>
  <c r="Q96" i="19"/>
  <c r="R96" i="19"/>
  <c r="AJ96" i="19"/>
  <c r="AK96" i="19"/>
  <c r="C97" i="19"/>
  <c r="D97" i="19"/>
  <c r="E97" i="19"/>
  <c r="F97" i="19"/>
  <c r="O97" i="19"/>
  <c r="P97" i="19"/>
  <c r="Q97" i="19"/>
  <c r="R97" i="19"/>
  <c r="AJ97" i="19"/>
  <c r="AK97" i="19"/>
  <c r="E98" i="19"/>
  <c r="F98" i="19"/>
  <c r="O98" i="19"/>
  <c r="P98" i="19"/>
  <c r="Q98" i="19"/>
  <c r="R98" i="19"/>
  <c r="AJ98" i="19"/>
  <c r="AK98" i="19"/>
  <c r="O99" i="19"/>
  <c r="P99" i="19"/>
  <c r="Q99" i="19"/>
  <c r="R99" i="19"/>
  <c r="AJ99" i="19"/>
  <c r="AK99" i="19"/>
  <c r="O100" i="19"/>
  <c r="P100" i="19"/>
  <c r="Q100" i="19"/>
  <c r="R100" i="19"/>
  <c r="AJ100" i="19"/>
  <c r="AK100" i="19"/>
  <c r="E101" i="19"/>
  <c r="F101" i="19"/>
  <c r="O101" i="19"/>
  <c r="P101" i="19"/>
  <c r="Q101" i="19"/>
  <c r="R101" i="19"/>
  <c r="AJ101" i="19"/>
  <c r="AK101" i="19"/>
  <c r="C102" i="19"/>
  <c r="E102" i="19"/>
  <c r="F102" i="19"/>
  <c r="O102" i="19"/>
  <c r="P102" i="19"/>
  <c r="Q102" i="19"/>
  <c r="R102" i="19"/>
  <c r="AJ102" i="19"/>
  <c r="AK102" i="19"/>
  <c r="E103" i="19"/>
  <c r="F103" i="19"/>
  <c r="O103" i="19"/>
  <c r="P103" i="19"/>
  <c r="Q103" i="19"/>
  <c r="R103" i="19"/>
  <c r="AJ103" i="19"/>
  <c r="AK103" i="19"/>
  <c r="E104" i="19"/>
  <c r="F104" i="19"/>
  <c r="O104" i="19"/>
  <c r="P104" i="19"/>
  <c r="Q104" i="19"/>
  <c r="R104" i="19"/>
  <c r="AJ104" i="19"/>
  <c r="AK104" i="19"/>
  <c r="E105" i="19"/>
  <c r="F105" i="19"/>
  <c r="O105" i="19"/>
  <c r="P105" i="19"/>
  <c r="Q105" i="19"/>
  <c r="R105" i="19"/>
  <c r="AJ105" i="19"/>
  <c r="AK105" i="19"/>
  <c r="E106" i="19"/>
  <c r="F106" i="19"/>
  <c r="O106" i="19"/>
  <c r="P106" i="19"/>
  <c r="Q106" i="19"/>
  <c r="R106" i="19"/>
  <c r="AJ106" i="19"/>
  <c r="AK106" i="19"/>
  <c r="E107" i="19"/>
  <c r="F107" i="19"/>
  <c r="O107" i="19"/>
  <c r="P107" i="19"/>
  <c r="Q107" i="19"/>
  <c r="R107" i="19"/>
  <c r="AJ107" i="19"/>
  <c r="AK107" i="19"/>
  <c r="E108" i="19"/>
  <c r="F108" i="19"/>
  <c r="O108" i="19"/>
  <c r="P108" i="19"/>
  <c r="Q108" i="19"/>
  <c r="R108" i="19"/>
  <c r="AJ108" i="19"/>
  <c r="AK108" i="19"/>
  <c r="E109" i="19"/>
  <c r="F109" i="19"/>
  <c r="O109" i="19"/>
  <c r="P109" i="19"/>
  <c r="Q109" i="19"/>
  <c r="R109" i="19"/>
  <c r="AJ109" i="19"/>
  <c r="AK109" i="19"/>
  <c r="O110" i="19"/>
  <c r="P110" i="19"/>
  <c r="Q110" i="19"/>
  <c r="R110" i="19"/>
  <c r="AJ110" i="19"/>
  <c r="AK110" i="19"/>
  <c r="F89" i="19"/>
  <c r="E89" i="19"/>
  <c r="E63" i="19"/>
  <c r="F63" i="19"/>
  <c r="O63" i="19"/>
  <c r="P63" i="19"/>
  <c r="Q63" i="19"/>
  <c r="R63" i="19"/>
  <c r="AJ63" i="19"/>
  <c r="AK63" i="19"/>
  <c r="E64" i="19"/>
  <c r="F64" i="19"/>
  <c r="O64" i="19"/>
  <c r="P64" i="19"/>
  <c r="Q64" i="19"/>
  <c r="R64" i="19"/>
  <c r="AJ64" i="19"/>
  <c r="AK64" i="19"/>
  <c r="E65" i="19"/>
  <c r="F65" i="19"/>
  <c r="O65" i="19"/>
  <c r="P65" i="19"/>
  <c r="Q65" i="19"/>
  <c r="R65" i="19"/>
  <c r="AJ65" i="19"/>
  <c r="AK65" i="19"/>
  <c r="E66" i="19"/>
  <c r="F66" i="19"/>
  <c r="O66" i="19"/>
  <c r="P66" i="19"/>
  <c r="Q66" i="19"/>
  <c r="R66" i="19"/>
  <c r="AJ66" i="19"/>
  <c r="AK66" i="19"/>
  <c r="E67" i="19"/>
  <c r="F67" i="19"/>
  <c r="O67" i="19"/>
  <c r="P67" i="19"/>
  <c r="Q67" i="19"/>
  <c r="R67" i="19"/>
  <c r="AJ67" i="19"/>
  <c r="AK67" i="19"/>
  <c r="E68" i="19"/>
  <c r="F68" i="19"/>
  <c r="O68" i="19"/>
  <c r="P68" i="19"/>
  <c r="Q68" i="19"/>
  <c r="R68" i="19"/>
  <c r="AJ68" i="19"/>
  <c r="AK68" i="19"/>
  <c r="E69" i="19"/>
  <c r="F69" i="19"/>
  <c r="O69" i="19"/>
  <c r="P69" i="19"/>
  <c r="Q69" i="19"/>
  <c r="R69" i="19"/>
  <c r="AJ69" i="19"/>
  <c r="AK69" i="19"/>
  <c r="C70" i="19"/>
  <c r="E70" i="19"/>
  <c r="F70" i="19"/>
  <c r="O70" i="19"/>
  <c r="P70" i="19"/>
  <c r="Q70" i="19"/>
  <c r="R70" i="19"/>
  <c r="AJ70" i="19"/>
  <c r="AK70" i="19"/>
  <c r="E71" i="19"/>
  <c r="F71" i="19"/>
  <c r="O71" i="19"/>
  <c r="P71" i="19"/>
  <c r="Q71" i="19"/>
  <c r="R71" i="19"/>
  <c r="AJ71" i="19"/>
  <c r="AK71" i="19"/>
  <c r="O72" i="19"/>
  <c r="P72" i="19"/>
  <c r="Q72" i="19"/>
  <c r="R72" i="19"/>
  <c r="AJ72" i="19"/>
  <c r="AK72" i="19"/>
  <c r="O73" i="19"/>
  <c r="P73" i="19"/>
  <c r="Q73" i="19"/>
  <c r="R73" i="19"/>
  <c r="AJ73" i="19"/>
  <c r="AK73" i="19"/>
  <c r="E74" i="19"/>
  <c r="F74" i="19"/>
  <c r="O74" i="19"/>
  <c r="P74" i="19"/>
  <c r="Q74" i="19"/>
  <c r="R74" i="19"/>
  <c r="AJ74" i="19"/>
  <c r="AK74" i="19"/>
  <c r="E75" i="19"/>
  <c r="F75" i="19"/>
  <c r="O75" i="19"/>
  <c r="P75" i="19"/>
  <c r="Q75" i="19"/>
  <c r="R75" i="19"/>
  <c r="AJ75" i="19"/>
  <c r="AK75" i="19"/>
  <c r="E76" i="19"/>
  <c r="F76" i="19"/>
  <c r="O76" i="19"/>
  <c r="P76" i="19"/>
  <c r="Q76" i="19"/>
  <c r="R76" i="19"/>
  <c r="AJ76" i="19"/>
  <c r="AK76" i="19"/>
  <c r="E77" i="19"/>
  <c r="F77" i="19"/>
  <c r="O77" i="19"/>
  <c r="P77" i="19"/>
  <c r="Q77" i="19"/>
  <c r="R77" i="19"/>
  <c r="AJ77" i="19"/>
  <c r="AK77" i="19"/>
  <c r="E78" i="19"/>
  <c r="F78" i="19"/>
  <c r="O78" i="19"/>
  <c r="P78" i="19"/>
  <c r="Q78" i="19"/>
  <c r="R78" i="19"/>
  <c r="AJ78" i="19"/>
  <c r="AK78" i="19"/>
  <c r="E79" i="19"/>
  <c r="F79" i="19"/>
  <c r="O79" i="19"/>
  <c r="P79" i="19"/>
  <c r="Q79" i="19"/>
  <c r="R79" i="19"/>
  <c r="AJ79" i="19"/>
  <c r="AK79" i="19"/>
  <c r="E80" i="19"/>
  <c r="F80" i="19"/>
  <c r="O80" i="19"/>
  <c r="P80" i="19"/>
  <c r="Q80" i="19"/>
  <c r="R80" i="19"/>
  <c r="AJ80" i="19"/>
  <c r="AK80" i="19"/>
  <c r="E81" i="19"/>
  <c r="F81" i="19"/>
  <c r="O81" i="19"/>
  <c r="P81" i="19"/>
  <c r="Q81" i="19"/>
  <c r="R81" i="19"/>
  <c r="AJ81" i="19"/>
  <c r="AK81" i="19"/>
  <c r="E82" i="19"/>
  <c r="F82" i="19"/>
  <c r="O82" i="19"/>
  <c r="P82" i="19"/>
  <c r="Q82" i="19"/>
  <c r="R82" i="19"/>
  <c r="AJ82" i="19"/>
  <c r="AK82" i="19"/>
  <c r="O83" i="19"/>
  <c r="P83" i="19"/>
  <c r="Q83" i="19"/>
  <c r="R83" i="19"/>
  <c r="AJ83" i="19"/>
  <c r="AK83" i="19"/>
  <c r="F62" i="19"/>
  <c r="E62" i="19"/>
  <c r="C36" i="19"/>
  <c r="N36" i="19"/>
  <c r="C37" i="19"/>
  <c r="C64" i="19" s="1"/>
  <c r="N37" i="19"/>
  <c r="C38" i="19"/>
  <c r="C65" i="19" s="1"/>
  <c r="N38" i="19"/>
  <c r="C39" i="19"/>
  <c r="C66" i="19" s="1"/>
  <c r="N39" i="19"/>
  <c r="C40" i="19"/>
  <c r="C94" i="19" s="1"/>
  <c r="N40" i="19"/>
  <c r="C41" i="19"/>
  <c r="N41" i="19"/>
  <c r="C42" i="19"/>
  <c r="C69" i="19" s="1"/>
  <c r="N42" i="19"/>
  <c r="C43" i="19"/>
  <c r="N43" i="19"/>
  <c r="C44" i="19"/>
  <c r="C71" i="19" s="1"/>
  <c r="N44" i="19"/>
  <c r="C45" i="19"/>
  <c r="C72" i="19" s="1"/>
  <c r="N45" i="19"/>
  <c r="C46" i="19"/>
  <c r="C73" i="19" s="1"/>
  <c r="E46" i="19"/>
  <c r="N46" i="19"/>
  <c r="C47" i="19"/>
  <c r="N47" i="19"/>
  <c r="C48" i="19"/>
  <c r="C75" i="19" s="1"/>
  <c r="N48" i="19"/>
  <c r="C49" i="19"/>
  <c r="C76" i="19" s="1"/>
  <c r="G49" i="19"/>
  <c r="AD130" i="19" s="1"/>
  <c r="AF130" i="19" s="1"/>
  <c r="N49" i="19"/>
  <c r="C50" i="19"/>
  <c r="C77" i="19" s="1"/>
  <c r="N50" i="19"/>
  <c r="C51" i="19"/>
  <c r="N51" i="19"/>
  <c r="C52" i="19"/>
  <c r="N52" i="19"/>
  <c r="C53" i="19"/>
  <c r="C80" i="19" s="1"/>
  <c r="N53" i="19"/>
  <c r="C54" i="19"/>
  <c r="C81" i="19" s="1"/>
  <c r="N54" i="19"/>
  <c r="C55" i="19"/>
  <c r="N55" i="19"/>
  <c r="C56" i="19"/>
  <c r="C83" i="19" s="1"/>
  <c r="N56" i="19"/>
  <c r="N35" i="19"/>
  <c r="D7" i="19"/>
  <c r="E7" i="19"/>
  <c r="D36" i="19" s="1"/>
  <c r="F7" i="19"/>
  <c r="G7" i="19"/>
  <c r="E36" i="19" s="1"/>
  <c r="AB117" i="19" s="1"/>
  <c r="H7" i="19"/>
  <c r="G36" i="19" s="1"/>
  <c r="AD63" i="19" s="1"/>
  <c r="D8" i="19"/>
  <c r="E8" i="19"/>
  <c r="D37" i="19" s="1"/>
  <c r="F8" i="19"/>
  <c r="G8" i="19"/>
  <c r="E37" i="19" s="1"/>
  <c r="H8" i="19"/>
  <c r="D9" i="19"/>
  <c r="E9" i="19"/>
  <c r="D119" i="19" s="1"/>
  <c r="F9" i="19"/>
  <c r="G9" i="19"/>
  <c r="E38" i="19" s="1"/>
  <c r="H9" i="19"/>
  <c r="H37" i="19" s="1"/>
  <c r="AE91" i="19" s="1"/>
  <c r="D10" i="19"/>
  <c r="E10" i="19"/>
  <c r="D39" i="19" s="1"/>
  <c r="F10" i="19"/>
  <c r="G10" i="19"/>
  <c r="E39" i="19" s="1"/>
  <c r="H10" i="19"/>
  <c r="H38" i="19" s="1"/>
  <c r="AD92" i="19" s="1"/>
  <c r="D11" i="19"/>
  <c r="E11" i="19"/>
  <c r="D40" i="19" s="1"/>
  <c r="F11" i="19"/>
  <c r="G11" i="19"/>
  <c r="E40" i="19" s="1"/>
  <c r="H11" i="19"/>
  <c r="H39" i="19" s="1"/>
  <c r="D12" i="19"/>
  <c r="E12" i="19"/>
  <c r="D122" i="19" s="1"/>
  <c r="F12" i="19"/>
  <c r="G12" i="19"/>
  <c r="E41" i="19" s="1"/>
  <c r="H12" i="19"/>
  <c r="H40" i="19" s="1"/>
  <c r="AD94" i="19" s="1"/>
  <c r="AF94" i="19" s="1"/>
  <c r="D13" i="19"/>
  <c r="E13" i="19"/>
  <c r="D42" i="19" s="1"/>
  <c r="F13" i="19"/>
  <c r="G13" i="19"/>
  <c r="E42" i="19" s="1"/>
  <c r="AB69" i="19" s="1"/>
  <c r="H13" i="19"/>
  <c r="G42" i="19" s="1"/>
  <c r="AD69" i="19" s="1"/>
  <c r="AF69" i="19" s="1"/>
  <c r="D14" i="19"/>
  <c r="E14" i="19"/>
  <c r="D43" i="19" s="1"/>
  <c r="F14" i="19"/>
  <c r="G14" i="19"/>
  <c r="E43" i="19" s="1"/>
  <c r="H14" i="19"/>
  <c r="H42" i="19" s="1"/>
  <c r="I14" i="19"/>
  <c r="D15" i="19"/>
  <c r="E15" i="19"/>
  <c r="D125" i="19" s="1"/>
  <c r="F15" i="19"/>
  <c r="G15" i="19"/>
  <c r="E44" i="19" s="1"/>
  <c r="H15" i="19"/>
  <c r="H43" i="19" s="1"/>
  <c r="AD97" i="19" s="1"/>
  <c r="AF97" i="19" s="1"/>
  <c r="D16" i="19"/>
  <c r="E16" i="19"/>
  <c r="D45" i="19" s="1"/>
  <c r="F16" i="19"/>
  <c r="G16" i="19"/>
  <c r="H16" i="19"/>
  <c r="H44" i="19" s="1"/>
  <c r="E17" i="19"/>
  <c r="D73" i="19" s="1"/>
  <c r="F17" i="19"/>
  <c r="G17" i="19"/>
  <c r="H17" i="19"/>
  <c r="H45" i="19" s="1"/>
  <c r="AE99" i="19" s="1"/>
  <c r="E18" i="19"/>
  <c r="D128" i="19" s="1"/>
  <c r="F18" i="19"/>
  <c r="G18" i="19"/>
  <c r="E47" i="19" s="1"/>
  <c r="AB128" i="19" s="1"/>
  <c r="H18" i="19"/>
  <c r="G47" i="19" s="1"/>
  <c r="AE74" i="19" s="1"/>
  <c r="AG74" i="19" s="1"/>
  <c r="E19" i="19"/>
  <c r="D48" i="19" s="1"/>
  <c r="F19" i="19"/>
  <c r="G19" i="19"/>
  <c r="E48" i="19" s="1"/>
  <c r="H19" i="19"/>
  <c r="H47" i="19" s="1"/>
  <c r="AD101" i="19" s="1"/>
  <c r="AF101" i="19" s="1"/>
  <c r="E20" i="19"/>
  <c r="D76" i="19" s="1"/>
  <c r="F20" i="19"/>
  <c r="G20" i="19"/>
  <c r="E49" i="19" s="1"/>
  <c r="AB130" i="19" s="1"/>
  <c r="H20" i="19"/>
  <c r="H48" i="19" s="1"/>
  <c r="AD102" i="19" s="1"/>
  <c r="AF102" i="19" s="1"/>
  <c r="E21" i="19"/>
  <c r="D77" i="19" s="1"/>
  <c r="F21" i="19"/>
  <c r="G21" i="19"/>
  <c r="E50" i="19" s="1"/>
  <c r="H21" i="19"/>
  <c r="E22" i="19"/>
  <c r="D132" i="19" s="1"/>
  <c r="F22" i="19"/>
  <c r="G22" i="19"/>
  <c r="E51" i="19" s="1"/>
  <c r="H22" i="19"/>
  <c r="H50" i="19" s="1"/>
  <c r="E23" i="19"/>
  <c r="D52" i="19" s="1"/>
  <c r="F23" i="19"/>
  <c r="G23" i="19"/>
  <c r="E52" i="19" s="1"/>
  <c r="H23" i="19"/>
  <c r="G52" i="19" s="1"/>
  <c r="E24" i="19"/>
  <c r="D53" i="19" s="1"/>
  <c r="F24" i="19"/>
  <c r="G24" i="19"/>
  <c r="E53" i="19" s="1"/>
  <c r="H24" i="19"/>
  <c r="H52" i="19" s="1"/>
  <c r="E25" i="19"/>
  <c r="D54" i="19" s="1"/>
  <c r="F25" i="19"/>
  <c r="G25" i="19"/>
  <c r="E54" i="19" s="1"/>
  <c r="H25" i="19"/>
  <c r="H53" i="19" s="1"/>
  <c r="AE107" i="19" s="1"/>
  <c r="AG107" i="19" s="1"/>
  <c r="E26" i="19"/>
  <c r="D136" i="19" s="1"/>
  <c r="F26" i="19"/>
  <c r="G26" i="19"/>
  <c r="E55" i="19" s="1"/>
  <c r="H26" i="19"/>
  <c r="H54" i="19" s="1"/>
  <c r="F27" i="19"/>
  <c r="G27" i="19"/>
  <c r="E56" i="19" s="1"/>
  <c r="H27" i="19"/>
  <c r="H55" i="19" s="1"/>
  <c r="E28" i="19"/>
  <c r="F28" i="19"/>
  <c r="G28" i="19"/>
  <c r="H28" i="19"/>
  <c r="H56" i="19" s="1"/>
  <c r="AD110" i="19" s="1"/>
  <c r="AF110" i="19" s="1"/>
  <c r="E6" i="19"/>
  <c r="F6" i="19"/>
  <c r="G6" i="19"/>
  <c r="H6" i="19"/>
  <c r="D6" i="19"/>
  <c r="C34" i="17"/>
  <c r="D34" i="17"/>
  <c r="E34" i="17"/>
  <c r="F34" i="17"/>
  <c r="J34" i="17"/>
  <c r="R34" i="17"/>
  <c r="T34" i="17"/>
  <c r="U34" i="17"/>
  <c r="V34" i="17"/>
  <c r="W34" i="17"/>
  <c r="H34" i="17" s="1"/>
  <c r="X34" i="17"/>
  <c r="Y34" i="17"/>
  <c r="Z34" i="17"/>
  <c r="AA34" i="17"/>
  <c r="P34" i="17" s="1"/>
  <c r="Q34" i="17" s="1"/>
  <c r="AB34" i="17"/>
  <c r="I34" i="17" s="1"/>
  <c r="AC34" i="17"/>
  <c r="AM34" i="17"/>
  <c r="C35" i="17"/>
  <c r="D35" i="17"/>
  <c r="AN34" i="17" s="1"/>
  <c r="E35" i="17"/>
  <c r="Z35" i="17" s="1"/>
  <c r="F35" i="17"/>
  <c r="R35" i="17"/>
  <c r="J35" i="17" s="1"/>
  <c r="U35" i="17"/>
  <c r="V35" i="17"/>
  <c r="W35" i="17"/>
  <c r="X35" i="17"/>
  <c r="Y35" i="17"/>
  <c r="AC35" i="17"/>
  <c r="AB35" i="17" s="1"/>
  <c r="AM35" i="17"/>
  <c r="C36" i="17"/>
  <c r="D36" i="17"/>
  <c r="E36" i="17"/>
  <c r="F36" i="17"/>
  <c r="Z36" i="17" s="1"/>
  <c r="R36" i="17"/>
  <c r="X36" i="17"/>
  <c r="Y36" i="17"/>
  <c r="AM36" i="17"/>
  <c r="AN36" i="17"/>
  <c r="AO36" i="17" s="1"/>
  <c r="AS36" i="17" s="1"/>
  <c r="AR36" i="17"/>
  <c r="AT36" i="17"/>
  <c r="AN33" i="17"/>
  <c r="C25" i="17"/>
  <c r="D25" i="17"/>
  <c r="E25" i="17"/>
  <c r="F25" i="17"/>
  <c r="J25" i="17"/>
  <c r="R25" i="17"/>
  <c r="T25" i="17"/>
  <c r="U25" i="17"/>
  <c r="V25" i="17"/>
  <c r="X25" i="17"/>
  <c r="Y25" i="17"/>
  <c r="Z25" i="17"/>
  <c r="AA25" i="17"/>
  <c r="AC25" i="17"/>
  <c r="AM25" i="17"/>
  <c r="AN25" i="17"/>
  <c r="AO25" i="17" s="1"/>
  <c r="AS25" i="17" s="1"/>
  <c r="AR25" i="17"/>
  <c r="AT25" i="17"/>
  <c r="AU25" i="17" s="1"/>
  <c r="AV25" i="17"/>
  <c r="C26" i="17"/>
  <c r="D26" i="17"/>
  <c r="AN27" i="17" s="1"/>
  <c r="E26" i="17"/>
  <c r="F26" i="17"/>
  <c r="R26" i="17"/>
  <c r="J26" i="17" s="1"/>
  <c r="X26" i="17"/>
  <c r="AM26" i="17"/>
  <c r="AN26" i="17"/>
  <c r="AO26" i="17"/>
  <c r="AR26" i="17"/>
  <c r="AS26" i="17"/>
  <c r="AT26" i="17"/>
  <c r="C27" i="17"/>
  <c r="D27" i="17"/>
  <c r="E27" i="17"/>
  <c r="F27" i="17"/>
  <c r="R27" i="17"/>
  <c r="J27" i="17" s="1"/>
  <c r="U27" i="17"/>
  <c r="X27" i="17"/>
  <c r="AM27" i="17"/>
  <c r="AM24" i="17"/>
  <c r="D7" i="17"/>
  <c r="E7" i="17"/>
  <c r="F7" i="17"/>
  <c r="G7" i="17"/>
  <c r="H7" i="17"/>
  <c r="I7" i="17"/>
  <c r="J7" i="17"/>
  <c r="K7" i="17" s="1"/>
  <c r="D8" i="17"/>
  <c r="I8" i="17" s="1"/>
  <c r="E8" i="17"/>
  <c r="F8" i="17"/>
  <c r="G8" i="17"/>
  <c r="J8" i="17" s="1"/>
  <c r="K8" i="17" s="1"/>
  <c r="H8" i="17"/>
  <c r="D9" i="17"/>
  <c r="E9" i="17"/>
  <c r="F9" i="17"/>
  <c r="J9" i="17" s="1"/>
  <c r="K9" i="17" s="1"/>
  <c r="G9" i="17"/>
  <c r="H9" i="17"/>
  <c r="I9" i="17"/>
  <c r="E6" i="17"/>
  <c r="F6" i="17"/>
  <c r="G6" i="17"/>
  <c r="H6" i="17"/>
  <c r="D6" i="17"/>
  <c r="S13" i="574"/>
  <c r="T13" i="574"/>
  <c r="U13" i="574"/>
  <c r="V13" i="574"/>
  <c r="W13" i="574"/>
  <c r="W12" i="574"/>
  <c r="V12" i="574"/>
  <c r="U12" i="574"/>
  <c r="T12" i="574"/>
  <c r="S12" i="574"/>
  <c r="C83" i="5"/>
  <c r="D83" i="5"/>
  <c r="E83" i="5"/>
  <c r="F83" i="5"/>
  <c r="K83" i="5"/>
  <c r="L83" i="5"/>
  <c r="N83" i="5" s="1"/>
  <c r="V83" i="5"/>
  <c r="X83" i="5" s="1"/>
  <c r="W83" i="5"/>
  <c r="Y83" i="5"/>
  <c r="AD83" i="5"/>
  <c r="AE83" i="5"/>
  <c r="AF83" i="5"/>
  <c r="AG83" i="5"/>
  <c r="C84" i="5"/>
  <c r="D84" i="5"/>
  <c r="V84" i="5" s="1"/>
  <c r="E84" i="5"/>
  <c r="F84" i="5"/>
  <c r="K84" i="5"/>
  <c r="L84" i="5"/>
  <c r="N84" i="5"/>
  <c r="O84" i="5"/>
  <c r="P84" i="5"/>
  <c r="R84" i="5"/>
  <c r="W84" i="5"/>
  <c r="AE84" i="5" s="1"/>
  <c r="AF84" i="5"/>
  <c r="AG84" i="5"/>
  <c r="C85" i="5"/>
  <c r="D85" i="5"/>
  <c r="Y85" i="5" s="1"/>
  <c r="E85" i="5"/>
  <c r="F85" i="5"/>
  <c r="K85" i="5"/>
  <c r="L85" i="5"/>
  <c r="N85" i="5" s="1"/>
  <c r="O85" i="5"/>
  <c r="R85" i="5"/>
  <c r="V85" i="5"/>
  <c r="AD85" i="5" s="1"/>
  <c r="W85" i="5"/>
  <c r="AE85" i="5" s="1"/>
  <c r="X85" i="5"/>
  <c r="AF85" i="5"/>
  <c r="AG85" i="5"/>
  <c r="C86" i="5"/>
  <c r="D86" i="5"/>
  <c r="V86" i="5" s="1"/>
  <c r="E86" i="5"/>
  <c r="F86" i="5"/>
  <c r="K86" i="5"/>
  <c r="O86" i="5" s="1"/>
  <c r="L86" i="5"/>
  <c r="P86" i="5" s="1"/>
  <c r="AF86" i="5"/>
  <c r="AG86" i="5"/>
  <c r="C87" i="5"/>
  <c r="D87" i="5"/>
  <c r="V87" i="5" s="1"/>
  <c r="AD87" i="5" s="1"/>
  <c r="E87" i="5"/>
  <c r="F87" i="5"/>
  <c r="K87" i="5"/>
  <c r="L87" i="5"/>
  <c r="N87" i="5" s="1"/>
  <c r="O87" i="5"/>
  <c r="P87" i="5"/>
  <c r="AF87" i="5"/>
  <c r="AG87" i="5"/>
  <c r="C88" i="5"/>
  <c r="D88" i="5"/>
  <c r="V88" i="5" s="1"/>
  <c r="E88" i="5"/>
  <c r="F88" i="5"/>
  <c r="K88" i="5"/>
  <c r="L88" i="5"/>
  <c r="N88" i="5"/>
  <c r="O88" i="5"/>
  <c r="P88" i="5"/>
  <c r="R88" i="5"/>
  <c r="W88" i="5"/>
  <c r="AE88" i="5" s="1"/>
  <c r="AF88" i="5"/>
  <c r="AG88" i="5"/>
  <c r="C89" i="5"/>
  <c r="D89" i="5"/>
  <c r="V89" i="5" s="1"/>
  <c r="AD89" i="5" s="1"/>
  <c r="E89" i="5"/>
  <c r="F89" i="5"/>
  <c r="K89" i="5"/>
  <c r="L89" i="5"/>
  <c r="N89" i="5"/>
  <c r="O89" i="5"/>
  <c r="P89" i="5"/>
  <c r="R89" i="5"/>
  <c r="AF89" i="5"/>
  <c r="AG89" i="5"/>
  <c r="C90" i="5"/>
  <c r="D90" i="5"/>
  <c r="E90" i="5"/>
  <c r="F90" i="5"/>
  <c r="K90" i="5"/>
  <c r="O90" i="5" s="1"/>
  <c r="L90" i="5"/>
  <c r="M90" i="5"/>
  <c r="V90" i="5"/>
  <c r="W90" i="5"/>
  <c r="X90" i="5"/>
  <c r="Y90" i="5"/>
  <c r="AE90" i="5"/>
  <c r="AF90" i="5"/>
  <c r="AG90" i="5"/>
  <c r="C91" i="5"/>
  <c r="D91" i="5"/>
  <c r="E91" i="5"/>
  <c r="F91" i="5"/>
  <c r="K91" i="5"/>
  <c r="L91" i="5"/>
  <c r="M91" i="5"/>
  <c r="O91" i="5"/>
  <c r="P91" i="5"/>
  <c r="Q91" i="5"/>
  <c r="V91" i="5"/>
  <c r="X91" i="5" s="1"/>
  <c r="W91" i="5"/>
  <c r="Y91" i="5"/>
  <c r="AD91" i="5"/>
  <c r="AE91" i="5"/>
  <c r="AF91" i="5"/>
  <c r="AG91" i="5"/>
  <c r="W82" i="5"/>
  <c r="V82" i="5"/>
  <c r="F82" i="5"/>
  <c r="E82" i="5"/>
  <c r="C68" i="5"/>
  <c r="D68" i="5"/>
  <c r="E68" i="5"/>
  <c r="G68" i="5"/>
  <c r="H68" i="5"/>
  <c r="I68" i="5"/>
  <c r="C69" i="5"/>
  <c r="D69" i="5"/>
  <c r="E69" i="5"/>
  <c r="G69" i="5"/>
  <c r="H69" i="5"/>
  <c r="I69" i="5"/>
  <c r="C70" i="5"/>
  <c r="D70" i="5"/>
  <c r="E70" i="5"/>
  <c r="G70" i="5"/>
  <c r="H70" i="5"/>
  <c r="I70" i="5"/>
  <c r="C71" i="5"/>
  <c r="D71" i="5"/>
  <c r="E71" i="5"/>
  <c r="G71" i="5"/>
  <c r="H71" i="5"/>
  <c r="I71" i="5"/>
  <c r="C72" i="5"/>
  <c r="D72" i="5"/>
  <c r="E72" i="5"/>
  <c r="G72" i="5"/>
  <c r="H72" i="5"/>
  <c r="I72" i="5"/>
  <c r="C73" i="5"/>
  <c r="D73" i="5"/>
  <c r="E73" i="5"/>
  <c r="G73" i="5"/>
  <c r="H73" i="5"/>
  <c r="I73" i="5"/>
  <c r="C74" i="5"/>
  <c r="D74" i="5"/>
  <c r="E74" i="5"/>
  <c r="G74" i="5"/>
  <c r="H74" i="5"/>
  <c r="I74" i="5"/>
  <c r="C75" i="5"/>
  <c r="D75" i="5"/>
  <c r="E75" i="5"/>
  <c r="G75" i="5"/>
  <c r="H75" i="5"/>
  <c r="I75" i="5"/>
  <c r="C76" i="5"/>
  <c r="D76" i="5"/>
  <c r="E76" i="5"/>
  <c r="G76" i="5"/>
  <c r="H76" i="5"/>
  <c r="I76" i="5"/>
  <c r="I67" i="5"/>
  <c r="H67" i="5"/>
  <c r="G67" i="5"/>
  <c r="E67" i="5"/>
  <c r="D67" i="5"/>
  <c r="C67" i="5"/>
  <c r="D59" i="5"/>
  <c r="E59" i="5"/>
  <c r="F59" i="5"/>
  <c r="O59" i="5"/>
  <c r="P59" i="5"/>
  <c r="AH59" i="5"/>
  <c r="AI59" i="5"/>
  <c r="D60" i="5"/>
  <c r="E60" i="5"/>
  <c r="F60" i="5"/>
  <c r="O60" i="5"/>
  <c r="P60" i="5"/>
  <c r="AH60" i="5"/>
  <c r="AI60" i="5"/>
  <c r="F58" i="5"/>
  <c r="E58" i="5"/>
  <c r="E51" i="5"/>
  <c r="F51" i="5"/>
  <c r="O51" i="5"/>
  <c r="P51" i="5"/>
  <c r="AH51" i="5"/>
  <c r="AI51" i="5"/>
  <c r="C52" i="5"/>
  <c r="E52" i="5"/>
  <c r="F52" i="5"/>
  <c r="O52" i="5"/>
  <c r="P52" i="5"/>
  <c r="AH52" i="5"/>
  <c r="AI52" i="5"/>
  <c r="F50" i="5"/>
  <c r="E50" i="5"/>
  <c r="E43" i="5"/>
  <c r="F43" i="5"/>
  <c r="O43" i="5"/>
  <c r="P43" i="5"/>
  <c r="AH43" i="5"/>
  <c r="AI43" i="5"/>
  <c r="E44" i="5"/>
  <c r="F44" i="5"/>
  <c r="O44" i="5"/>
  <c r="P44" i="5"/>
  <c r="AH44" i="5"/>
  <c r="AI44" i="5"/>
  <c r="F42" i="5"/>
  <c r="E42" i="5"/>
  <c r="C35" i="5"/>
  <c r="C43" i="5" s="1"/>
  <c r="N35" i="5"/>
  <c r="C36" i="5"/>
  <c r="C44" i="5" s="1"/>
  <c r="N36" i="5"/>
  <c r="N34" i="5"/>
  <c r="D7" i="5"/>
  <c r="E7" i="5"/>
  <c r="D35" i="5" s="1"/>
  <c r="F7" i="5"/>
  <c r="G7" i="5"/>
  <c r="E35" i="5" s="1"/>
  <c r="Z59" i="5" s="1"/>
  <c r="H7" i="5"/>
  <c r="G35" i="5" s="1"/>
  <c r="AB59" i="5" s="1"/>
  <c r="AD59" i="5" s="1"/>
  <c r="D8" i="5"/>
  <c r="E8" i="5"/>
  <c r="D36" i="5" s="1"/>
  <c r="F8" i="5"/>
  <c r="G8" i="5"/>
  <c r="E36" i="5" s="1"/>
  <c r="H8" i="5"/>
  <c r="H35" i="5" s="1"/>
  <c r="Z51" i="5" s="1"/>
  <c r="I8" i="5"/>
  <c r="D9" i="5"/>
  <c r="E9" i="5"/>
  <c r="F9" i="5"/>
  <c r="G9" i="5"/>
  <c r="H9" i="5"/>
  <c r="H36" i="5" s="1"/>
  <c r="E6" i="5"/>
  <c r="F6" i="5"/>
  <c r="G6" i="5"/>
  <c r="H6" i="5"/>
  <c r="D6" i="5"/>
  <c r="C49" i="21"/>
  <c r="E49" i="21"/>
  <c r="F49" i="21"/>
  <c r="G49" i="21" s="1"/>
  <c r="J49" i="21"/>
  <c r="O49" i="21" s="1"/>
  <c r="K49" i="21"/>
  <c r="Q49" i="21"/>
  <c r="R49" i="21"/>
  <c r="S49" i="21" s="1"/>
  <c r="T49" i="21"/>
  <c r="U49" i="21"/>
  <c r="C50" i="21"/>
  <c r="E50" i="21"/>
  <c r="F50" i="21"/>
  <c r="G50" i="21"/>
  <c r="H50" i="21"/>
  <c r="J50" i="21"/>
  <c r="K50" i="21"/>
  <c r="O50" i="21" s="1"/>
  <c r="L50" i="21"/>
  <c r="M50" i="21"/>
  <c r="N50" i="21"/>
  <c r="Q50" i="21"/>
  <c r="R50" i="21"/>
  <c r="C51" i="21"/>
  <c r="E51" i="21"/>
  <c r="F51" i="21"/>
  <c r="G51" i="21" s="1"/>
  <c r="J51" i="21"/>
  <c r="K51" i="21"/>
  <c r="L51" i="21" s="1"/>
  <c r="O51" i="21"/>
  <c r="Q51" i="21"/>
  <c r="R51" i="21"/>
  <c r="S51" i="21" s="1"/>
  <c r="T51" i="21"/>
  <c r="U51" i="21"/>
  <c r="C52" i="21"/>
  <c r="E52" i="21"/>
  <c r="F52" i="21"/>
  <c r="G52" i="21"/>
  <c r="H52" i="21"/>
  <c r="J52" i="21"/>
  <c r="K52" i="21"/>
  <c r="L52" i="21"/>
  <c r="M52" i="21"/>
  <c r="N52" i="21"/>
  <c r="O52" i="21"/>
  <c r="Q52" i="21"/>
  <c r="R52" i="21"/>
  <c r="S52" i="21"/>
  <c r="T52" i="21"/>
  <c r="U52" i="21"/>
  <c r="C53" i="21"/>
  <c r="E53" i="21"/>
  <c r="F53" i="21"/>
  <c r="G53" i="21" s="1"/>
  <c r="J53" i="21"/>
  <c r="K53" i="21"/>
  <c r="L53" i="21" s="1"/>
  <c r="Q53" i="21"/>
  <c r="R53" i="21"/>
  <c r="S53" i="21" s="1"/>
  <c r="T53" i="21"/>
  <c r="U53" i="21"/>
  <c r="C54" i="21"/>
  <c r="E54" i="21"/>
  <c r="F54" i="21"/>
  <c r="G54" i="21"/>
  <c r="H54" i="21"/>
  <c r="J54" i="21"/>
  <c r="K54" i="21"/>
  <c r="N54" i="21" s="1"/>
  <c r="Q54" i="21"/>
  <c r="R54" i="21"/>
  <c r="C55" i="21"/>
  <c r="E55" i="21"/>
  <c r="F55" i="21"/>
  <c r="G55" i="21" s="1"/>
  <c r="J55" i="21"/>
  <c r="K55" i="21"/>
  <c r="L55" i="21" s="1"/>
  <c r="O55" i="21"/>
  <c r="Q55" i="21"/>
  <c r="R55" i="21"/>
  <c r="C56" i="21"/>
  <c r="E56" i="21"/>
  <c r="F56" i="21"/>
  <c r="G56" i="21"/>
  <c r="H56" i="21"/>
  <c r="J56" i="21"/>
  <c r="K56" i="21"/>
  <c r="U56" i="21" s="1"/>
  <c r="L56" i="21"/>
  <c r="M56" i="21"/>
  <c r="N56" i="21"/>
  <c r="O56" i="21"/>
  <c r="Q56" i="21"/>
  <c r="R56" i="21"/>
  <c r="C57" i="21"/>
  <c r="E57" i="21"/>
  <c r="F57" i="21"/>
  <c r="G57" i="21" s="1"/>
  <c r="J57" i="21"/>
  <c r="K57" i="21"/>
  <c r="L57" i="21" s="1"/>
  <c r="O57" i="21"/>
  <c r="Q57" i="21"/>
  <c r="R57" i="21"/>
  <c r="S57" i="21" s="1"/>
  <c r="T57" i="21"/>
  <c r="U57" i="21"/>
  <c r="C48" i="21"/>
  <c r="R48" i="21" s="1"/>
  <c r="C65" i="21"/>
  <c r="E65" i="21" s="1"/>
  <c r="F65" i="21"/>
  <c r="J65" i="21"/>
  <c r="K65" i="21"/>
  <c r="M65" i="21" s="1"/>
  <c r="O65" i="21"/>
  <c r="Q65" i="21"/>
  <c r="R65" i="21"/>
  <c r="S65" i="21" s="1"/>
  <c r="C66" i="21"/>
  <c r="E66" i="21" s="1"/>
  <c r="H66" i="21" s="1"/>
  <c r="F66" i="21"/>
  <c r="G66" i="21" s="1"/>
  <c r="J66" i="21"/>
  <c r="K66" i="21"/>
  <c r="U66" i="21" s="1"/>
  <c r="L66" i="21"/>
  <c r="M66" i="21"/>
  <c r="N66" i="21"/>
  <c r="O66" i="21"/>
  <c r="Q66" i="21"/>
  <c r="R66" i="21"/>
  <c r="C67" i="21"/>
  <c r="E67" i="21"/>
  <c r="F67" i="21"/>
  <c r="G67" i="21"/>
  <c r="H67" i="21"/>
  <c r="J67" i="21"/>
  <c r="K67" i="21"/>
  <c r="L67" i="21" s="1"/>
  <c r="M67" i="21"/>
  <c r="O67" i="21"/>
  <c r="Q67" i="21"/>
  <c r="R67" i="21"/>
  <c r="S67" i="21" s="1"/>
  <c r="C68" i="21"/>
  <c r="E68" i="21" s="1"/>
  <c r="Q68" i="21"/>
  <c r="C69" i="21"/>
  <c r="E69" i="21"/>
  <c r="F69" i="21"/>
  <c r="G69" i="21"/>
  <c r="H69" i="21"/>
  <c r="J69" i="21"/>
  <c r="K69" i="21"/>
  <c r="L69" i="21" s="1"/>
  <c r="M69" i="21"/>
  <c r="O69" i="21"/>
  <c r="Q69" i="21"/>
  <c r="R69" i="21"/>
  <c r="S69" i="21" s="1"/>
  <c r="C70" i="21"/>
  <c r="E70" i="21" s="1"/>
  <c r="H70" i="21" s="1"/>
  <c r="F70" i="21"/>
  <c r="J70" i="21"/>
  <c r="K70" i="21"/>
  <c r="O70" i="21" s="1"/>
  <c r="L70" i="21"/>
  <c r="Q70" i="21"/>
  <c r="R70" i="21"/>
  <c r="C71" i="21"/>
  <c r="E71" i="21"/>
  <c r="F71" i="21"/>
  <c r="G71" i="21"/>
  <c r="H71" i="21"/>
  <c r="J71" i="21"/>
  <c r="K71" i="21"/>
  <c r="L71" i="21" s="1"/>
  <c r="M71" i="21"/>
  <c r="Q71" i="21"/>
  <c r="R71" i="21"/>
  <c r="C64" i="21"/>
  <c r="R64" i="21"/>
  <c r="E8" i="21"/>
  <c r="F8" i="21"/>
  <c r="G8" i="21" s="1"/>
  <c r="J8" i="21"/>
  <c r="K8" i="21"/>
  <c r="U8" i="21" s="1"/>
  <c r="L8" i="21"/>
  <c r="T33" i="17" s="1"/>
  <c r="M8" i="21"/>
  <c r="U33" i="17" s="1"/>
  <c r="N8" i="21"/>
  <c r="V33" i="17" s="1"/>
  <c r="O8" i="21"/>
  <c r="W33" i="17" s="1"/>
  <c r="Q8" i="21"/>
  <c r="R8" i="21"/>
  <c r="S8" i="21" s="1"/>
  <c r="P33" i="17" s="1"/>
  <c r="T8" i="21"/>
  <c r="E9" i="21"/>
  <c r="F9" i="21"/>
  <c r="G9" i="21" s="1"/>
  <c r="J9" i="21"/>
  <c r="K9" i="21"/>
  <c r="L9" i="21"/>
  <c r="T26" i="17" s="1"/>
  <c r="M9" i="21"/>
  <c r="U26" i="17" s="1"/>
  <c r="N9" i="21"/>
  <c r="V26" i="17" s="1"/>
  <c r="O9" i="21"/>
  <c r="W26" i="17" s="1"/>
  <c r="Q9" i="21"/>
  <c r="R9" i="21"/>
  <c r="S9" i="21"/>
  <c r="T9" i="21"/>
  <c r="U9" i="21"/>
  <c r="E10" i="21"/>
  <c r="F10" i="21"/>
  <c r="G10" i="21" s="1"/>
  <c r="J10" i="21"/>
  <c r="K10" i="21"/>
  <c r="L10" i="21" s="1"/>
  <c r="M10" i="21"/>
  <c r="N10" i="21"/>
  <c r="V27" i="17" s="1"/>
  <c r="O10" i="21"/>
  <c r="W27" i="17" s="1"/>
  <c r="Q10" i="21"/>
  <c r="R10" i="21"/>
  <c r="S10" i="21" s="1"/>
  <c r="E11" i="21"/>
  <c r="F11" i="21"/>
  <c r="G11" i="21" s="1"/>
  <c r="J11" i="21"/>
  <c r="K11" i="21"/>
  <c r="S11" i="21" s="1"/>
  <c r="L11" i="21"/>
  <c r="T36" i="17" s="1"/>
  <c r="M11" i="21"/>
  <c r="U36" i="17" s="1"/>
  <c r="N11" i="21"/>
  <c r="V36" i="17" s="1"/>
  <c r="O11" i="21"/>
  <c r="W36" i="17" s="1"/>
  <c r="Q11" i="21"/>
  <c r="R11" i="21"/>
  <c r="C9" i="21"/>
  <c r="C10" i="21"/>
  <c r="C11" i="21"/>
  <c r="C8" i="21"/>
  <c r="C7" i="21"/>
  <c r="R7" i="21"/>
  <c r="E19" i="21"/>
  <c r="F19" i="21"/>
  <c r="G19" i="21"/>
  <c r="H19" i="21"/>
  <c r="J19" i="21"/>
  <c r="O19" i="21" s="1"/>
  <c r="K19" i="21"/>
  <c r="M19" i="21" s="1"/>
  <c r="Q19" i="21"/>
  <c r="R19" i="21"/>
  <c r="S19" i="21"/>
  <c r="P63" i="18" s="1"/>
  <c r="T19" i="21"/>
  <c r="U19" i="21"/>
  <c r="E20" i="21"/>
  <c r="F20" i="21"/>
  <c r="G20" i="21"/>
  <c r="H20" i="21"/>
  <c r="J20" i="21"/>
  <c r="K20" i="21"/>
  <c r="M20" i="21" s="1"/>
  <c r="U64" i="18" s="1"/>
  <c r="L20" i="21"/>
  <c r="T64" i="18" s="1"/>
  <c r="Q20" i="21"/>
  <c r="R20" i="21"/>
  <c r="E21" i="21"/>
  <c r="F21" i="21"/>
  <c r="G21" i="21" s="1"/>
  <c r="J21" i="21"/>
  <c r="K21" i="21"/>
  <c r="L21" i="21" s="1"/>
  <c r="T38" i="18" s="1"/>
  <c r="O21" i="21"/>
  <c r="W65" i="18" s="1"/>
  <c r="Q21" i="21"/>
  <c r="R21" i="21"/>
  <c r="S21" i="21" s="1"/>
  <c r="U21" i="21"/>
  <c r="E22" i="21"/>
  <c r="F22" i="21"/>
  <c r="G22" i="21" s="1"/>
  <c r="J22" i="21"/>
  <c r="K22" i="21"/>
  <c r="N22" i="21" s="1"/>
  <c r="Q22" i="21"/>
  <c r="R22" i="21"/>
  <c r="T22" i="21" s="1"/>
  <c r="S22" i="21"/>
  <c r="E23" i="21"/>
  <c r="F23" i="21"/>
  <c r="H23" i="21" s="1"/>
  <c r="G23" i="21"/>
  <c r="J23" i="21"/>
  <c r="K23" i="21"/>
  <c r="T23" i="21" s="1"/>
  <c r="L23" i="21"/>
  <c r="T40" i="18" s="1"/>
  <c r="M23" i="21"/>
  <c r="U67" i="18" s="1"/>
  <c r="N23" i="21"/>
  <c r="V40" i="18" s="1"/>
  <c r="O23" i="21"/>
  <c r="W67" i="18" s="1"/>
  <c r="Q23" i="21"/>
  <c r="R23" i="21"/>
  <c r="E24" i="21"/>
  <c r="F24" i="21"/>
  <c r="G24" i="21" s="1"/>
  <c r="J24" i="21"/>
  <c r="K24" i="21"/>
  <c r="U24" i="21" s="1"/>
  <c r="L24" i="21"/>
  <c r="T68" i="18" s="1"/>
  <c r="M24" i="21"/>
  <c r="U41" i="18" s="1"/>
  <c r="N24" i="21"/>
  <c r="V68" i="18" s="1"/>
  <c r="O24" i="21"/>
  <c r="W41" i="18" s="1"/>
  <c r="Q24" i="21"/>
  <c r="R24" i="21"/>
  <c r="S24" i="21"/>
  <c r="T24" i="21"/>
  <c r="E25" i="21"/>
  <c r="F25" i="21"/>
  <c r="G25" i="21"/>
  <c r="H25" i="21"/>
  <c r="J25" i="21"/>
  <c r="K25" i="21"/>
  <c r="L25" i="21" s="1"/>
  <c r="T69" i="18" s="1"/>
  <c r="Q25" i="21"/>
  <c r="R25" i="21"/>
  <c r="S25" i="21" s="1"/>
  <c r="E26" i="21"/>
  <c r="F26" i="21"/>
  <c r="G26" i="21" s="1"/>
  <c r="H26" i="21"/>
  <c r="J26" i="21"/>
  <c r="K26" i="21"/>
  <c r="L26" i="21" s="1"/>
  <c r="T43" i="18" s="1"/>
  <c r="N26" i="21"/>
  <c r="V70" i="18" s="1"/>
  <c r="Q26" i="21"/>
  <c r="R26" i="21"/>
  <c r="E27" i="21"/>
  <c r="F27" i="21"/>
  <c r="G27" i="21" s="1"/>
  <c r="J27" i="21"/>
  <c r="K27" i="21"/>
  <c r="N27" i="21" s="1"/>
  <c r="V44" i="18" s="1"/>
  <c r="L27" i="21"/>
  <c r="T44" i="18" s="1"/>
  <c r="Q27" i="21"/>
  <c r="R27" i="21"/>
  <c r="U27" i="21" s="1"/>
  <c r="E28" i="21"/>
  <c r="F28" i="21"/>
  <c r="H28" i="21" s="1"/>
  <c r="G28" i="21"/>
  <c r="J28" i="21"/>
  <c r="K28" i="21"/>
  <c r="M28" i="21" s="1"/>
  <c r="U72" i="18" s="1"/>
  <c r="L28" i="21"/>
  <c r="T45" i="18" s="1"/>
  <c r="Q28" i="21"/>
  <c r="R28" i="21"/>
  <c r="E31" i="21"/>
  <c r="F31" i="21"/>
  <c r="G31" i="21" s="1"/>
  <c r="J31" i="21"/>
  <c r="K31" i="21"/>
  <c r="L31" i="21" s="1"/>
  <c r="Q31" i="21"/>
  <c r="R31" i="21"/>
  <c r="S31" i="21" s="1"/>
  <c r="E32" i="21"/>
  <c r="F32" i="21"/>
  <c r="H32" i="21" s="1"/>
  <c r="G32" i="21"/>
  <c r="J32" i="21"/>
  <c r="K32" i="21"/>
  <c r="M32" i="21" s="1"/>
  <c r="U49" i="18" s="1"/>
  <c r="L32" i="21"/>
  <c r="T49" i="18" s="1"/>
  <c r="O32" i="21"/>
  <c r="W49" i="18" s="1"/>
  <c r="Q32" i="21"/>
  <c r="R32" i="21"/>
  <c r="E33" i="21"/>
  <c r="F33" i="21"/>
  <c r="G33" i="21" s="1"/>
  <c r="H33" i="21"/>
  <c r="J33" i="21"/>
  <c r="K33" i="21"/>
  <c r="O33" i="21" s="1"/>
  <c r="L33" i="21"/>
  <c r="T77" i="18" s="1"/>
  <c r="M33" i="21"/>
  <c r="U77" i="18" s="1"/>
  <c r="N33" i="21"/>
  <c r="V77" i="18" s="1"/>
  <c r="Q33" i="21"/>
  <c r="R33" i="21"/>
  <c r="U33" i="21" s="1"/>
  <c r="S33" i="21"/>
  <c r="T33" i="21"/>
  <c r="E34" i="21"/>
  <c r="F34" i="21"/>
  <c r="G34" i="21" s="1"/>
  <c r="J34" i="21"/>
  <c r="K34" i="21"/>
  <c r="L34" i="21" s="1"/>
  <c r="M34" i="21"/>
  <c r="U78" i="18" s="1"/>
  <c r="N34" i="21"/>
  <c r="V78" i="18" s="1"/>
  <c r="O34" i="21"/>
  <c r="W78" i="18" s="1"/>
  <c r="Q34" i="21"/>
  <c r="R34" i="21"/>
  <c r="U34" i="21" s="1"/>
  <c r="S34" i="21"/>
  <c r="T34" i="21"/>
  <c r="E35" i="21"/>
  <c r="F35" i="21"/>
  <c r="G35" i="21"/>
  <c r="H35" i="21"/>
  <c r="J35" i="21"/>
  <c r="K35" i="21"/>
  <c r="L35" i="21" s="1"/>
  <c r="T52" i="18" s="1"/>
  <c r="Q35" i="21"/>
  <c r="R35" i="21"/>
  <c r="E36" i="21"/>
  <c r="H36" i="21" s="1"/>
  <c r="F36" i="21"/>
  <c r="G36" i="21" s="1"/>
  <c r="J36" i="21"/>
  <c r="K36" i="21"/>
  <c r="M36" i="21" s="1"/>
  <c r="L36" i="21"/>
  <c r="T53" i="18" s="1"/>
  <c r="N36" i="21"/>
  <c r="V53" i="18" s="1"/>
  <c r="O36" i="21"/>
  <c r="W53" i="18" s="1"/>
  <c r="Q36" i="21"/>
  <c r="R36" i="21"/>
  <c r="S36" i="21" s="1"/>
  <c r="E37" i="21"/>
  <c r="H37" i="21" s="1"/>
  <c r="F37" i="21"/>
  <c r="G37" i="21" s="1"/>
  <c r="J37" i="21"/>
  <c r="K37" i="21"/>
  <c r="L37" i="21" s="1"/>
  <c r="M37" i="21"/>
  <c r="Q37" i="21"/>
  <c r="R37" i="21"/>
  <c r="T37" i="21" s="1"/>
  <c r="S37" i="21"/>
  <c r="U37" i="21"/>
  <c r="E38" i="21"/>
  <c r="F38" i="21"/>
  <c r="H38" i="21" s="1"/>
  <c r="G38" i="21"/>
  <c r="J38" i="21"/>
  <c r="K38" i="21"/>
  <c r="M38" i="21" s="1"/>
  <c r="U82" i="18" s="1"/>
  <c r="Q38" i="21"/>
  <c r="R38" i="21"/>
  <c r="E39" i="21"/>
  <c r="F39" i="21"/>
  <c r="H39" i="21" s="1"/>
  <c r="G39" i="21"/>
  <c r="J39" i="21"/>
  <c r="K39" i="21"/>
  <c r="N39" i="21" s="1"/>
  <c r="V56" i="18" s="1"/>
  <c r="L39" i="21"/>
  <c r="T83" i="18" s="1"/>
  <c r="M39" i="21"/>
  <c r="U83" i="18" s="1"/>
  <c r="O39" i="21"/>
  <c r="W56" i="18" s="1"/>
  <c r="Q39" i="21"/>
  <c r="R39" i="21"/>
  <c r="E41" i="21"/>
  <c r="F41" i="21"/>
  <c r="G41" i="21" s="1"/>
  <c r="J41" i="21"/>
  <c r="K41" i="21"/>
  <c r="L41" i="21" s="1"/>
  <c r="T85" i="18" s="1"/>
  <c r="N41" i="21"/>
  <c r="V85" i="18" s="1"/>
  <c r="Q41" i="21"/>
  <c r="R41" i="21"/>
  <c r="S41" i="21" s="1"/>
  <c r="C20" i="21"/>
  <c r="C21" i="21"/>
  <c r="C22" i="21"/>
  <c r="C23" i="21"/>
  <c r="C24" i="21"/>
  <c r="C25" i="21"/>
  <c r="C26" i="21"/>
  <c r="C27" i="21"/>
  <c r="C28" i="21"/>
  <c r="C29" i="21"/>
  <c r="J29" i="21" s="1"/>
  <c r="C30" i="21"/>
  <c r="F30" i="21" s="1"/>
  <c r="C31" i="21"/>
  <c r="C32" i="21"/>
  <c r="C33" i="21"/>
  <c r="C34" i="21"/>
  <c r="C35" i="21"/>
  <c r="C36" i="21"/>
  <c r="C37" i="21"/>
  <c r="C38" i="21"/>
  <c r="C39" i="21"/>
  <c r="C41" i="21"/>
  <c r="C19" i="21"/>
  <c r="C18" i="21"/>
  <c r="R18" i="21"/>
  <c r="Q18" i="21"/>
  <c r="K18" i="21"/>
  <c r="J18" i="21"/>
  <c r="F18" i="21"/>
  <c r="G18" i="21" s="1"/>
  <c r="E18" i="21"/>
  <c r="D39" i="574"/>
  <c r="D17" i="19" s="1"/>
  <c r="AC36" i="17" l="1"/>
  <c r="AA36" i="17"/>
  <c r="J36" i="17"/>
  <c r="T78" i="18"/>
  <c r="T51" i="18"/>
  <c r="V66" i="18"/>
  <c r="V39" i="18"/>
  <c r="T35" i="17"/>
  <c r="T27" i="17"/>
  <c r="W63" i="18"/>
  <c r="W36" i="18"/>
  <c r="U36" i="18"/>
  <c r="U63" i="18"/>
  <c r="U55" i="18"/>
  <c r="U45" i="18"/>
  <c r="U54" i="21"/>
  <c r="T71" i="18"/>
  <c r="U35" i="21"/>
  <c r="T70" i="21"/>
  <c r="T35" i="21"/>
  <c r="U68" i="18"/>
  <c r="N38" i="21"/>
  <c r="O35" i="21"/>
  <c r="S32" i="21"/>
  <c r="S26" i="21"/>
  <c r="S23" i="21"/>
  <c r="O20" i="21"/>
  <c r="N70" i="21"/>
  <c r="T66" i="21"/>
  <c r="T56" i="21"/>
  <c r="M54" i="21"/>
  <c r="T41" i="18"/>
  <c r="L38" i="21"/>
  <c r="N35" i="21"/>
  <c r="T26" i="21"/>
  <c r="N20" i="21"/>
  <c r="M70" i="21"/>
  <c r="S66" i="21"/>
  <c r="S56" i="21"/>
  <c r="L54" i="21"/>
  <c r="L49" i="21"/>
  <c r="W25" i="17"/>
  <c r="T65" i="18"/>
  <c r="T79" i="18"/>
  <c r="W40" i="18"/>
  <c r="W83" i="18"/>
  <c r="U40" i="18"/>
  <c r="U56" i="18"/>
  <c r="V43" i="18"/>
  <c r="T56" i="18"/>
  <c r="U50" i="21"/>
  <c r="T50" i="21"/>
  <c r="P64" i="18"/>
  <c r="Q64" i="18" s="1"/>
  <c r="O53" i="21"/>
  <c r="S50" i="21"/>
  <c r="U76" i="18"/>
  <c r="O26" i="21"/>
  <c r="T70" i="18"/>
  <c r="AV36" i="18"/>
  <c r="U39" i="21"/>
  <c r="U28" i="21"/>
  <c r="N19" i="21"/>
  <c r="S71" i="21"/>
  <c r="U55" i="21"/>
  <c r="U37" i="18"/>
  <c r="T76" i="18"/>
  <c r="T72" i="18"/>
  <c r="T67" i="18"/>
  <c r="O37" i="21"/>
  <c r="O18" i="21"/>
  <c r="W35" i="18" s="1"/>
  <c r="U18" i="21"/>
  <c r="T39" i="21"/>
  <c r="U36" i="21"/>
  <c r="S28" i="21"/>
  <c r="L22" i="21"/>
  <c r="L65" i="21"/>
  <c r="T55" i="21"/>
  <c r="T37" i="18"/>
  <c r="V67" i="18"/>
  <c r="V83" i="18"/>
  <c r="W76" i="18"/>
  <c r="S39" i="21"/>
  <c r="P83" i="18" s="1"/>
  <c r="Q83" i="18" s="1"/>
  <c r="T36" i="21"/>
  <c r="L19" i="21"/>
  <c r="O71" i="21"/>
  <c r="S55" i="21"/>
  <c r="AU55" i="18"/>
  <c r="AW36" i="17"/>
  <c r="G34" i="17"/>
  <c r="W38" i="18"/>
  <c r="U20" i="21"/>
  <c r="S70" i="21"/>
  <c r="S38" i="21"/>
  <c r="P82" i="18" s="1"/>
  <c r="Q82" i="18" s="1"/>
  <c r="T20" i="21"/>
  <c r="U11" i="21"/>
  <c r="U38" i="21"/>
  <c r="U23" i="21"/>
  <c r="S20" i="21"/>
  <c r="T11" i="21"/>
  <c r="O54" i="21"/>
  <c r="P25" i="17"/>
  <c r="Q25" i="17" s="1"/>
  <c r="AU52" i="18"/>
  <c r="V41" i="18"/>
  <c r="P36" i="18"/>
  <c r="Q36" i="18" s="1"/>
  <c r="U70" i="21"/>
  <c r="T54" i="21"/>
  <c r="W68" i="18"/>
  <c r="S54" i="21"/>
  <c r="T38" i="21"/>
  <c r="S35" i="21"/>
  <c r="U26" i="21"/>
  <c r="U41" i="21"/>
  <c r="O41" i="21"/>
  <c r="W85" i="18" s="1"/>
  <c r="M41" i="21"/>
  <c r="U85" i="18" s="1"/>
  <c r="H41" i="21"/>
  <c r="Z82" i="18"/>
  <c r="AA82" i="18"/>
  <c r="AC82" i="18"/>
  <c r="AB82" i="18" s="1"/>
  <c r="AD107" i="19"/>
  <c r="AF107" i="19" s="1"/>
  <c r="J82" i="18"/>
  <c r="F54" i="18"/>
  <c r="Z81" i="18"/>
  <c r="AA81" i="18"/>
  <c r="AC81" i="18"/>
  <c r="AC53" i="18"/>
  <c r="AA53" i="18"/>
  <c r="J53" i="18"/>
  <c r="AU53" i="18" s="1"/>
  <c r="J81" i="18"/>
  <c r="AV81" i="18" s="1"/>
  <c r="AX81" i="18" s="1"/>
  <c r="J80" i="18"/>
  <c r="Z80" i="18"/>
  <c r="AA80" i="18"/>
  <c r="AC80" i="18"/>
  <c r="AC52" i="18"/>
  <c r="AA52" i="18"/>
  <c r="AV52" i="18"/>
  <c r="AW52" i="18"/>
  <c r="AU80" i="18"/>
  <c r="AW80" i="18"/>
  <c r="Z51" i="18"/>
  <c r="F51" i="18"/>
  <c r="Z79" i="18"/>
  <c r="Z78" i="18"/>
  <c r="Z50" i="18"/>
  <c r="K10" i="18"/>
  <c r="F39" i="18"/>
  <c r="F72" i="18"/>
  <c r="Z72" i="18" s="1"/>
  <c r="AB98" i="19"/>
  <c r="F45" i="18"/>
  <c r="J45" i="18" s="1"/>
  <c r="G45" i="19"/>
  <c r="AE72" i="19" s="1"/>
  <c r="J73" i="18"/>
  <c r="D46" i="19"/>
  <c r="E30" i="21"/>
  <c r="R30" i="21"/>
  <c r="Q30" i="21"/>
  <c r="G30" i="21"/>
  <c r="H30" i="21"/>
  <c r="K30" i="21"/>
  <c r="U30" i="21" s="1"/>
  <c r="J30" i="21"/>
  <c r="D127" i="19"/>
  <c r="I16" i="18"/>
  <c r="F29" i="21"/>
  <c r="E29" i="21"/>
  <c r="R29" i="21"/>
  <c r="Q29" i="21"/>
  <c r="K29" i="21"/>
  <c r="H29" i="21"/>
  <c r="Z67" i="18"/>
  <c r="AA67" i="18"/>
  <c r="AC67" i="18"/>
  <c r="AB67" i="18" s="1"/>
  <c r="I67" i="18" s="1"/>
  <c r="J39" i="18"/>
  <c r="J67" i="18"/>
  <c r="AE92" i="19"/>
  <c r="AG92" i="19" s="1"/>
  <c r="F66" i="18"/>
  <c r="J38" i="18"/>
  <c r="AC38" i="18"/>
  <c r="AA38" i="18"/>
  <c r="J66" i="18"/>
  <c r="R68" i="21"/>
  <c r="S68" i="21" s="1"/>
  <c r="K68" i="21"/>
  <c r="J68" i="21"/>
  <c r="X161" i="19"/>
  <c r="I161" i="19" s="1"/>
  <c r="AF92" i="19"/>
  <c r="U68" i="21"/>
  <c r="T68" i="21"/>
  <c r="O68" i="21"/>
  <c r="N68" i="21"/>
  <c r="M68" i="21"/>
  <c r="F68" i="21"/>
  <c r="G68" i="21" s="1"/>
  <c r="F161" i="19" s="1"/>
  <c r="Z161" i="19"/>
  <c r="AG91" i="19"/>
  <c r="AF76" i="18"/>
  <c r="H76" i="18"/>
  <c r="AX64" i="18"/>
  <c r="H77" i="18"/>
  <c r="Z76" i="18"/>
  <c r="J85" i="18"/>
  <c r="AB73" i="18"/>
  <c r="I73" i="18" s="1"/>
  <c r="AB65" i="18"/>
  <c r="AV79" i="18"/>
  <c r="AA84" i="18"/>
  <c r="Z84" i="18"/>
  <c r="AB84" i="18"/>
  <c r="AU79" i="18"/>
  <c r="I85" i="18"/>
  <c r="J75" i="18"/>
  <c r="AB64" i="18"/>
  <c r="I83" i="18"/>
  <c r="AN82" i="18"/>
  <c r="AC69" i="18"/>
  <c r="AA68" i="18"/>
  <c r="AB68" i="18"/>
  <c r="Z68" i="18"/>
  <c r="P68" i="18" s="1"/>
  <c r="Q68" i="18" s="1"/>
  <c r="Z69" i="18"/>
  <c r="AA69" i="18"/>
  <c r="AB69" i="18"/>
  <c r="I68" i="18"/>
  <c r="AN67" i="18"/>
  <c r="AN68" i="18"/>
  <c r="AN66" i="18"/>
  <c r="AT78" i="18"/>
  <c r="P65" i="18"/>
  <c r="Q65" i="18" s="1"/>
  <c r="AR78" i="18"/>
  <c r="AC70" i="18"/>
  <c r="Z70" i="18"/>
  <c r="AA70" i="18"/>
  <c r="AB70" i="18"/>
  <c r="AV76" i="18"/>
  <c r="AX76" i="18" s="1"/>
  <c r="AU76" i="18"/>
  <c r="AN69" i="18"/>
  <c r="AW81" i="18"/>
  <c r="AC79" i="18"/>
  <c r="AR77" i="18"/>
  <c r="AW77" i="18" s="1"/>
  <c r="AX77" i="18" s="1"/>
  <c r="AW76" i="18"/>
  <c r="AA79" i="18"/>
  <c r="P79" i="18" s="1"/>
  <c r="Q79" i="18" s="1"/>
  <c r="AP77" i="18"/>
  <c r="AA73" i="18"/>
  <c r="Z73" i="18"/>
  <c r="AC71" i="18"/>
  <c r="AB71" i="18" s="1"/>
  <c r="AA71" i="18"/>
  <c r="Z71" i="18"/>
  <c r="P71" i="18" s="1"/>
  <c r="Q71" i="18" s="1"/>
  <c r="AB83" i="18"/>
  <c r="G83" i="18" s="1"/>
  <c r="AF82" i="18"/>
  <c r="AC78" i="18"/>
  <c r="AA78" i="18"/>
  <c r="P78" i="18" s="1"/>
  <c r="Q78" i="18" s="1"/>
  <c r="AB77" i="18"/>
  <c r="AC72" i="18"/>
  <c r="H83" i="18"/>
  <c r="AV80" i="18"/>
  <c r="AX80" i="18" s="1"/>
  <c r="AA77" i="18"/>
  <c r="P77" i="18" s="1"/>
  <c r="Q77" i="18" s="1"/>
  <c r="AA72" i="18"/>
  <c r="AB72" i="18"/>
  <c r="AO70" i="18"/>
  <c r="AU37" i="18"/>
  <c r="AV37" i="18"/>
  <c r="P37" i="18"/>
  <c r="Q37" i="18" s="1"/>
  <c r="AB49" i="18"/>
  <c r="AC48" i="18"/>
  <c r="AB48" i="18" s="1"/>
  <c r="AO42" i="18"/>
  <c r="AB37" i="18"/>
  <c r="AN40" i="18"/>
  <c r="X39" i="18"/>
  <c r="Y39" i="18"/>
  <c r="AB36" i="18"/>
  <c r="X56" i="18"/>
  <c r="I56" i="18"/>
  <c r="Y56" i="18"/>
  <c r="AA40" i="18"/>
  <c r="Z40" i="18"/>
  <c r="P40" i="18" s="1"/>
  <c r="Q40" i="18" s="1"/>
  <c r="X55" i="18"/>
  <c r="Y55" i="18"/>
  <c r="I55" i="18"/>
  <c r="AN41" i="18"/>
  <c r="X40" i="18"/>
  <c r="Y40" i="18"/>
  <c r="J49" i="18"/>
  <c r="J48" i="18"/>
  <c r="AC41" i="18"/>
  <c r="AV55" i="18"/>
  <c r="AV50" i="18"/>
  <c r="J42" i="18"/>
  <c r="Z41" i="18"/>
  <c r="P41" i="18" s="1"/>
  <c r="Q41" i="18" s="1"/>
  <c r="AA41" i="18"/>
  <c r="AO39" i="18"/>
  <c r="Y41" i="18"/>
  <c r="X41" i="18"/>
  <c r="AB41" i="18" s="1"/>
  <c r="AW37" i="18"/>
  <c r="AR50" i="18"/>
  <c r="AC42" i="18"/>
  <c r="AV49" i="18"/>
  <c r="Y44" i="18"/>
  <c r="AC44" i="18" s="1"/>
  <c r="Z42" i="18"/>
  <c r="AA42" i="18"/>
  <c r="AB42" i="18"/>
  <c r="X44" i="18"/>
  <c r="Y42" i="18"/>
  <c r="AW53" i="18"/>
  <c r="AW36" i="18"/>
  <c r="AX36" i="18" s="1"/>
  <c r="AC43" i="18"/>
  <c r="AP43" i="18" s="1"/>
  <c r="AS43" i="18" s="1"/>
  <c r="Y45" i="18"/>
  <c r="AA45" i="18" s="1"/>
  <c r="J44" i="18"/>
  <c r="AA43" i="18"/>
  <c r="AB43" i="18"/>
  <c r="G43" i="18" s="1"/>
  <c r="Z43" i="18"/>
  <c r="AC50" i="18"/>
  <c r="AB50" i="18" s="1"/>
  <c r="X45" i="18"/>
  <c r="AB38" i="18"/>
  <c r="AA50" i="18"/>
  <c r="P50" i="18" s="1"/>
  <c r="Q50" i="18" s="1"/>
  <c r="D17" i="18"/>
  <c r="J16" i="18"/>
  <c r="K16" i="18" s="1"/>
  <c r="AF164" i="19"/>
  <c r="I164" i="19"/>
  <c r="N164" i="19"/>
  <c r="J163" i="19"/>
  <c r="J164" i="19"/>
  <c r="AF160" i="19"/>
  <c r="AG161" i="19"/>
  <c r="AF161" i="19"/>
  <c r="AA159" i="19"/>
  <c r="Z159" i="19"/>
  <c r="AA160" i="19"/>
  <c r="Y159" i="19"/>
  <c r="Z160" i="19"/>
  <c r="S158" i="19"/>
  <c r="AA161" i="19"/>
  <c r="Y160" i="19"/>
  <c r="R158" i="19"/>
  <c r="R159" i="19"/>
  <c r="P158" i="19"/>
  <c r="Y162" i="19"/>
  <c r="T164" i="19"/>
  <c r="R163" i="19"/>
  <c r="Q163" i="19"/>
  <c r="R164" i="19"/>
  <c r="P163" i="19"/>
  <c r="Q164" i="19"/>
  <c r="O163" i="19"/>
  <c r="I160" i="19"/>
  <c r="AB137" i="19"/>
  <c r="AD133" i="19"/>
  <c r="AF133" i="19" s="1"/>
  <c r="AE133" i="19"/>
  <c r="AG133" i="19" s="1"/>
  <c r="AB127" i="19"/>
  <c r="C67" i="19"/>
  <c r="AE130" i="19"/>
  <c r="AG130" i="19" s="1"/>
  <c r="H51" i="19"/>
  <c r="AD105" i="19" s="1"/>
  <c r="AF105" i="19" s="1"/>
  <c r="AB107" i="19"/>
  <c r="C104" i="19"/>
  <c r="AB79" i="19"/>
  <c r="C91" i="19"/>
  <c r="AE117" i="19"/>
  <c r="AG117" i="19" s="1"/>
  <c r="AD117" i="19"/>
  <c r="AF117" i="19" s="1"/>
  <c r="D133" i="19"/>
  <c r="AE110" i="19"/>
  <c r="AG110" i="19" s="1"/>
  <c r="D107" i="19"/>
  <c r="D129" i="19"/>
  <c r="C107" i="19"/>
  <c r="AB96" i="19"/>
  <c r="D126" i="19"/>
  <c r="D123" i="19"/>
  <c r="AB91" i="19"/>
  <c r="G48" i="19"/>
  <c r="D80" i="19"/>
  <c r="D103" i="19"/>
  <c r="D49" i="19"/>
  <c r="AE128" i="19"/>
  <c r="AG128" i="19" s="1"/>
  <c r="D120" i="19"/>
  <c r="I15" i="19"/>
  <c r="AD128" i="19"/>
  <c r="AF128" i="19" s="1"/>
  <c r="AE102" i="19"/>
  <c r="AG102" i="19" s="1"/>
  <c r="D134" i="19"/>
  <c r="AB110" i="19"/>
  <c r="D99" i="19"/>
  <c r="C99" i="19"/>
  <c r="D130" i="19"/>
  <c r="D72" i="19"/>
  <c r="G56" i="19"/>
  <c r="D79" i="19"/>
  <c r="D121" i="19"/>
  <c r="D124" i="19"/>
  <c r="D102" i="19"/>
  <c r="AE126" i="19"/>
  <c r="AG126" i="19" s="1"/>
  <c r="D117" i="19"/>
  <c r="D75" i="19"/>
  <c r="AB133" i="19"/>
  <c r="AD126" i="19"/>
  <c r="AF126" i="19" s="1"/>
  <c r="AB94" i="19"/>
  <c r="C92" i="19"/>
  <c r="D131" i="19"/>
  <c r="AG99" i="19"/>
  <c r="AE123" i="19"/>
  <c r="AG123" i="19" s="1"/>
  <c r="I12" i="19"/>
  <c r="AE63" i="19"/>
  <c r="AG63" i="19" s="1"/>
  <c r="AE94" i="19"/>
  <c r="AG94" i="19" s="1"/>
  <c r="AD123" i="19"/>
  <c r="AF123" i="19" s="1"/>
  <c r="AD91" i="19"/>
  <c r="AF91" i="19" s="1"/>
  <c r="AB123" i="19"/>
  <c r="AB92" i="19"/>
  <c r="G41" i="19"/>
  <c r="AE97" i="19"/>
  <c r="AG97" i="19" s="1"/>
  <c r="D67" i="19"/>
  <c r="D118" i="19"/>
  <c r="AE83" i="19"/>
  <c r="AG83" i="19" s="1"/>
  <c r="AB83" i="19"/>
  <c r="AD83" i="19"/>
  <c r="AF83" i="19" s="1"/>
  <c r="C68" i="19"/>
  <c r="C95" i="19"/>
  <c r="C78" i="19"/>
  <c r="C105" i="19"/>
  <c r="D38" i="19"/>
  <c r="D92" i="19"/>
  <c r="AE104" i="19"/>
  <c r="AG104" i="19" s="1"/>
  <c r="AD104" i="19"/>
  <c r="AF104" i="19" s="1"/>
  <c r="D71" i="19"/>
  <c r="D98" i="19"/>
  <c r="I9" i="19"/>
  <c r="J9" i="19" s="1"/>
  <c r="AB105" i="19"/>
  <c r="H36" i="19"/>
  <c r="G37" i="19"/>
  <c r="AB118" i="19" s="1"/>
  <c r="D51" i="19"/>
  <c r="D105" i="19"/>
  <c r="AD96" i="19"/>
  <c r="AF96" i="19" s="1"/>
  <c r="AE96" i="19"/>
  <c r="AG96" i="19" s="1"/>
  <c r="C63" i="19"/>
  <c r="C90" i="19"/>
  <c r="AB97" i="19"/>
  <c r="G50" i="19"/>
  <c r="K50" i="19" s="1"/>
  <c r="H49" i="19"/>
  <c r="K49" i="19" s="1"/>
  <c r="C74" i="19"/>
  <c r="C101" i="19"/>
  <c r="K48" i="19"/>
  <c r="AB102" i="19"/>
  <c r="C110" i="19"/>
  <c r="AD108" i="19"/>
  <c r="AF108" i="19" s="1"/>
  <c r="AE108" i="19"/>
  <c r="AG108" i="19" s="1"/>
  <c r="D68" i="19"/>
  <c r="D95" i="19"/>
  <c r="AD109" i="19"/>
  <c r="AF109" i="19" s="1"/>
  <c r="AE109" i="19"/>
  <c r="AG109" i="19" s="1"/>
  <c r="C82" i="19"/>
  <c r="C109" i="19"/>
  <c r="AD93" i="19"/>
  <c r="AF93" i="19" s="1"/>
  <c r="AE93" i="19"/>
  <c r="AG93" i="19" s="1"/>
  <c r="AB101" i="19"/>
  <c r="D55" i="19"/>
  <c r="D109" i="19"/>
  <c r="D47" i="19"/>
  <c r="D101" i="19"/>
  <c r="AB104" i="19"/>
  <c r="AD99" i="19"/>
  <c r="AF99" i="19" s="1"/>
  <c r="AB108" i="19"/>
  <c r="AB109" i="19"/>
  <c r="J52" i="19"/>
  <c r="K52" i="19"/>
  <c r="AE106" i="19"/>
  <c r="AG106" i="19" s="1"/>
  <c r="AD106" i="19"/>
  <c r="AF106" i="19" s="1"/>
  <c r="AD98" i="19"/>
  <c r="AF98" i="19" s="1"/>
  <c r="AE98" i="19"/>
  <c r="AG98" i="19" s="1"/>
  <c r="C79" i="19"/>
  <c r="C106" i="19"/>
  <c r="D41" i="19"/>
  <c r="D70" i="19"/>
  <c r="AG72" i="19"/>
  <c r="D100" i="19"/>
  <c r="G53" i="19"/>
  <c r="AB134" i="19" s="1"/>
  <c r="C100" i="19"/>
  <c r="AB93" i="19"/>
  <c r="D96" i="19"/>
  <c r="AE101" i="19"/>
  <c r="AG101" i="19" s="1"/>
  <c r="C103" i="19"/>
  <c r="I7" i="19"/>
  <c r="J7" i="19" s="1"/>
  <c r="K7" i="19" s="1"/>
  <c r="AB106" i="19"/>
  <c r="C98" i="19"/>
  <c r="D64" i="19"/>
  <c r="D93" i="19"/>
  <c r="D108" i="19"/>
  <c r="C108" i="19"/>
  <c r="AB76" i="19"/>
  <c r="AB63" i="19"/>
  <c r="C93" i="19"/>
  <c r="J12" i="19"/>
  <c r="K12" i="19" s="1"/>
  <c r="D104" i="19"/>
  <c r="D106" i="19"/>
  <c r="D90" i="19"/>
  <c r="I10" i="19"/>
  <c r="J10" i="19" s="1"/>
  <c r="AD72" i="19"/>
  <c r="AF72" i="19" s="1"/>
  <c r="AB74" i="19"/>
  <c r="I52" i="19"/>
  <c r="D44" i="19"/>
  <c r="D50" i="19"/>
  <c r="H41" i="19"/>
  <c r="AB95" i="19" s="1"/>
  <c r="D69" i="19"/>
  <c r="I16" i="19"/>
  <c r="AD74" i="19"/>
  <c r="AF74" i="19" s="1"/>
  <c r="D81" i="19"/>
  <c r="D65" i="19"/>
  <c r="J15" i="19"/>
  <c r="K15" i="19" s="1"/>
  <c r="G54" i="19"/>
  <c r="D82" i="19"/>
  <c r="AE69" i="19"/>
  <c r="AG69" i="19" s="1"/>
  <c r="D66" i="19"/>
  <c r="I56" i="19"/>
  <c r="J48" i="19"/>
  <c r="G40" i="19"/>
  <c r="AF63" i="19"/>
  <c r="AD79" i="19"/>
  <c r="AF79" i="19" s="1"/>
  <c r="I17" i="19"/>
  <c r="J17" i="19" s="1"/>
  <c r="G38" i="19"/>
  <c r="AB119" i="19" s="1"/>
  <c r="AE79" i="19"/>
  <c r="AG79" i="19" s="1"/>
  <c r="G46" i="19"/>
  <c r="AD76" i="19"/>
  <c r="AF76" i="19" s="1"/>
  <c r="D74" i="19"/>
  <c r="D78" i="19"/>
  <c r="AE76" i="19"/>
  <c r="AG76" i="19" s="1"/>
  <c r="G51" i="19"/>
  <c r="AB132" i="19" s="1"/>
  <c r="D63" i="19"/>
  <c r="K47" i="19"/>
  <c r="I47" i="19"/>
  <c r="J47" i="19"/>
  <c r="I45" i="19"/>
  <c r="J45" i="19"/>
  <c r="K45" i="19"/>
  <c r="J16" i="19"/>
  <c r="J53" i="19"/>
  <c r="I50" i="19"/>
  <c r="J50" i="19"/>
  <c r="I42" i="19"/>
  <c r="J42" i="19"/>
  <c r="K42" i="19"/>
  <c r="I11" i="19"/>
  <c r="J11" i="19" s="1"/>
  <c r="G44" i="19"/>
  <c r="AB71" i="19" s="1"/>
  <c r="H46" i="19"/>
  <c r="AB100" i="19" s="1"/>
  <c r="J14" i="19"/>
  <c r="G43" i="19"/>
  <c r="G55" i="19"/>
  <c r="AB136" i="19" s="1"/>
  <c r="I8" i="19"/>
  <c r="J8" i="19" s="1"/>
  <c r="I13" i="19"/>
  <c r="J13" i="19" s="1"/>
  <c r="I48" i="19"/>
  <c r="G39" i="19"/>
  <c r="E45" i="19"/>
  <c r="K56" i="19"/>
  <c r="I53" i="19"/>
  <c r="J56" i="19"/>
  <c r="AD35" i="17"/>
  <c r="AI35" i="17" s="1"/>
  <c r="AF35" i="17"/>
  <c r="H35" i="17"/>
  <c r="I35" i="17"/>
  <c r="G35" i="17"/>
  <c r="AE35" i="17"/>
  <c r="AJ35" i="17"/>
  <c r="AK35" i="17" s="1"/>
  <c r="L35" i="17" s="1"/>
  <c r="AL35" i="17"/>
  <c r="M35" i="17" s="1"/>
  <c r="AR34" i="17"/>
  <c r="AW34" i="17" s="1"/>
  <c r="AO34" i="17"/>
  <c r="AS34" i="17" s="1"/>
  <c r="AT34" i="17"/>
  <c r="AQ34" i="17"/>
  <c r="AU36" i="17"/>
  <c r="AV36" i="17"/>
  <c r="P36" i="17"/>
  <c r="Q36" i="17" s="1"/>
  <c r="AF34" i="17"/>
  <c r="AD34" i="17"/>
  <c r="AB36" i="17"/>
  <c r="H36" i="17" s="1"/>
  <c r="AQ35" i="17"/>
  <c r="AN35" i="17"/>
  <c r="AA35" i="17"/>
  <c r="AP36" i="17"/>
  <c r="AO27" i="17"/>
  <c r="AS27" i="17" s="1"/>
  <c r="AR27" i="17"/>
  <c r="AT27" i="17"/>
  <c r="AP25" i="17"/>
  <c r="AU26" i="17"/>
  <c r="AV26" i="17"/>
  <c r="AB25" i="17"/>
  <c r="H25" i="17" s="1"/>
  <c r="Y27" i="17"/>
  <c r="AA27" i="17" s="1"/>
  <c r="AW25" i="17"/>
  <c r="AX25" i="17" s="1"/>
  <c r="Y26" i="17"/>
  <c r="X86" i="5"/>
  <c r="AD86" i="5"/>
  <c r="AD84" i="5"/>
  <c r="AD88" i="5"/>
  <c r="J91" i="5"/>
  <c r="I91" i="5"/>
  <c r="I83" i="5"/>
  <c r="J83" i="5"/>
  <c r="Y88" i="5"/>
  <c r="R87" i="5"/>
  <c r="N86" i="5"/>
  <c r="J85" i="5"/>
  <c r="X88" i="5"/>
  <c r="I85" i="5"/>
  <c r="X89" i="5"/>
  <c r="W89" i="5"/>
  <c r="AE89" i="5" s="1"/>
  <c r="Q90" i="5"/>
  <c r="P90" i="5"/>
  <c r="Y84" i="5"/>
  <c r="R83" i="5"/>
  <c r="X84" i="5"/>
  <c r="P83" i="5"/>
  <c r="O83" i="5"/>
  <c r="W86" i="5"/>
  <c r="P85" i="5"/>
  <c r="R86" i="5"/>
  <c r="X87" i="5"/>
  <c r="W87" i="5"/>
  <c r="AE87" i="5" s="1"/>
  <c r="AC59" i="5"/>
  <c r="AE59" i="5" s="1"/>
  <c r="AB52" i="5"/>
  <c r="AD52" i="5" s="1"/>
  <c r="AC52" i="5"/>
  <c r="AE52" i="5" s="1"/>
  <c r="Z52" i="5"/>
  <c r="AC51" i="5"/>
  <c r="AE51" i="5" s="1"/>
  <c r="AB51" i="5"/>
  <c r="AD51" i="5" s="1"/>
  <c r="J8" i="5"/>
  <c r="K8" i="5" s="1"/>
  <c r="Z43" i="5"/>
  <c r="I7" i="5"/>
  <c r="J7" i="5" s="1"/>
  <c r="C51" i="5"/>
  <c r="AB43" i="5"/>
  <c r="AD43" i="5" s="1"/>
  <c r="AC43" i="5"/>
  <c r="AE43" i="5" s="1"/>
  <c r="D44" i="5"/>
  <c r="D52" i="5" s="1"/>
  <c r="G36" i="5"/>
  <c r="D43" i="5"/>
  <c r="D51" i="5" s="1"/>
  <c r="I9" i="5"/>
  <c r="J9" i="5" s="1"/>
  <c r="I35" i="5"/>
  <c r="J35" i="5"/>
  <c r="K35" i="5"/>
  <c r="N57" i="21"/>
  <c r="N55" i="21"/>
  <c r="N53" i="21"/>
  <c r="N51" i="21"/>
  <c r="N49" i="21"/>
  <c r="M57" i="21"/>
  <c r="M55" i="21"/>
  <c r="M53" i="21"/>
  <c r="M51" i="21"/>
  <c r="M49" i="21"/>
  <c r="H55" i="21"/>
  <c r="H53" i="21"/>
  <c r="H51" i="21"/>
  <c r="H49" i="21"/>
  <c r="H57" i="21"/>
  <c r="E48" i="21"/>
  <c r="F48" i="21"/>
  <c r="J48" i="21"/>
  <c r="K48" i="21"/>
  <c r="Q48" i="21"/>
  <c r="G70" i="21"/>
  <c r="G65" i="21"/>
  <c r="H65" i="21"/>
  <c r="U71" i="21"/>
  <c r="U69" i="21"/>
  <c r="U67" i="21"/>
  <c r="U65" i="21"/>
  <c r="T71" i="21"/>
  <c r="T69" i="21"/>
  <c r="T67" i="21"/>
  <c r="T65" i="21"/>
  <c r="N71" i="21"/>
  <c r="N69" i="21"/>
  <c r="N67" i="21"/>
  <c r="N65" i="21"/>
  <c r="E64" i="21"/>
  <c r="F64" i="21"/>
  <c r="J64" i="21"/>
  <c r="K64" i="21"/>
  <c r="Q64" i="21"/>
  <c r="H9" i="21"/>
  <c r="H11" i="21"/>
  <c r="U10" i="21"/>
  <c r="T10" i="21"/>
  <c r="P35" i="17" s="1"/>
  <c r="Q35" i="17" s="1"/>
  <c r="H8" i="21"/>
  <c r="H10" i="21"/>
  <c r="E7" i="21"/>
  <c r="F7" i="21"/>
  <c r="J7" i="21"/>
  <c r="K7" i="21"/>
  <c r="Q7" i="21"/>
  <c r="M27" i="21"/>
  <c r="O31" i="21"/>
  <c r="N31" i="21"/>
  <c r="M31" i="21"/>
  <c r="H27" i="21"/>
  <c r="U22" i="21"/>
  <c r="T41" i="21"/>
  <c r="H31" i="21"/>
  <c r="M35" i="21"/>
  <c r="N37" i="21"/>
  <c r="O22" i="21"/>
  <c r="T28" i="21"/>
  <c r="M22" i="21"/>
  <c r="U32" i="21"/>
  <c r="T32" i="21"/>
  <c r="O28" i="21"/>
  <c r="M26" i="21"/>
  <c r="H22" i="21"/>
  <c r="N28" i="21"/>
  <c r="H24" i="21"/>
  <c r="N32" i="21"/>
  <c r="T21" i="21"/>
  <c r="P38" i="18" s="1"/>
  <c r="Q38" i="18" s="1"/>
  <c r="U25" i="21"/>
  <c r="T25" i="21"/>
  <c r="O38" i="21"/>
  <c r="N21" i="21"/>
  <c r="T27" i="21"/>
  <c r="M21" i="21"/>
  <c r="H34" i="21"/>
  <c r="U29" i="21"/>
  <c r="S27" i="21"/>
  <c r="O25" i="21"/>
  <c r="U31" i="21"/>
  <c r="T31" i="21"/>
  <c r="O27" i="21"/>
  <c r="M25" i="21"/>
  <c r="H21" i="21"/>
  <c r="N25" i="21"/>
  <c r="H18" i="21"/>
  <c r="S18" i="21"/>
  <c r="M18" i="21"/>
  <c r="U35" i="18" s="1"/>
  <c r="T18" i="21"/>
  <c r="N18" i="21"/>
  <c r="V35" i="18" s="1"/>
  <c r="L18" i="21"/>
  <c r="T35" i="18" s="1"/>
  <c r="V52" i="18" l="1"/>
  <c r="V79" i="18"/>
  <c r="T55" i="18"/>
  <c r="T82" i="18"/>
  <c r="U71" i="18"/>
  <c r="U44" i="18"/>
  <c r="V42" i="18"/>
  <c r="AP42" i="18" s="1"/>
  <c r="V69" i="18"/>
  <c r="V63" i="18"/>
  <c r="V36" i="18"/>
  <c r="U42" i="18"/>
  <c r="U69" i="18"/>
  <c r="U48" i="18"/>
  <c r="U75" i="18"/>
  <c r="G38" i="18"/>
  <c r="W44" i="18"/>
  <c r="W71" i="18"/>
  <c r="V48" i="18"/>
  <c r="V75" i="18"/>
  <c r="W48" i="18"/>
  <c r="W75" i="18"/>
  <c r="W64" i="18"/>
  <c r="H64" i="18" s="1"/>
  <c r="W37" i="18"/>
  <c r="W43" i="18"/>
  <c r="H43" i="18" s="1"/>
  <c r="W70" i="18"/>
  <c r="H70" i="18" s="1"/>
  <c r="H82" i="18"/>
  <c r="W52" i="18"/>
  <c r="W79" i="18"/>
  <c r="V55" i="18"/>
  <c r="V82" i="18"/>
  <c r="U38" i="18"/>
  <c r="H38" i="18" s="1"/>
  <c r="U65" i="18"/>
  <c r="H65" i="18" s="1"/>
  <c r="T36" i="18"/>
  <c r="T63" i="18"/>
  <c r="V65" i="18"/>
  <c r="AP65" i="18" s="1"/>
  <c r="AS65" i="18" s="1"/>
  <c r="V38" i="18"/>
  <c r="AP38" i="18" s="1"/>
  <c r="AS38" i="18" s="1"/>
  <c r="AX36" i="17"/>
  <c r="W55" i="18"/>
  <c r="W82" i="18"/>
  <c r="V76" i="18"/>
  <c r="V49" i="18"/>
  <c r="AP49" i="18" s="1"/>
  <c r="V72" i="18"/>
  <c r="V45" i="18"/>
  <c r="T66" i="18"/>
  <c r="G66" i="18" s="1"/>
  <c r="T39" i="18"/>
  <c r="U43" i="18"/>
  <c r="U70" i="18"/>
  <c r="W45" i="18"/>
  <c r="W72" i="18"/>
  <c r="W69" i="18"/>
  <c r="W42" i="18"/>
  <c r="P70" i="18"/>
  <c r="Q70" i="18" s="1"/>
  <c r="P52" i="18"/>
  <c r="Q52" i="18" s="1"/>
  <c r="AP70" i="18"/>
  <c r="W54" i="18"/>
  <c r="W81" i="18"/>
  <c r="W66" i="18"/>
  <c r="H66" i="18" s="1"/>
  <c r="W39" i="18"/>
  <c r="P76" i="18"/>
  <c r="Q76" i="18" s="1"/>
  <c r="T29" i="21"/>
  <c r="V54" i="18"/>
  <c r="V81" i="18"/>
  <c r="AP81" i="18" s="1"/>
  <c r="AU77" i="18"/>
  <c r="V64" i="18"/>
  <c r="AP64" i="18" s="1"/>
  <c r="AS64" i="18" s="1"/>
  <c r="V37" i="18"/>
  <c r="AP37" i="18" s="1"/>
  <c r="U66" i="18"/>
  <c r="U39" i="18"/>
  <c r="U52" i="18"/>
  <c r="U79" i="18"/>
  <c r="Z54" i="18"/>
  <c r="AA54" i="18"/>
  <c r="AC54" i="18"/>
  <c r="J54" i="18"/>
  <c r="AU81" i="18"/>
  <c r="P53" i="18"/>
  <c r="Q53" i="18" s="1"/>
  <c r="AP53" i="18"/>
  <c r="AB53" i="18"/>
  <c r="AB81" i="18"/>
  <c r="AV53" i="18"/>
  <c r="P81" i="18"/>
  <c r="Q81" i="18" s="1"/>
  <c r="AX52" i="18"/>
  <c r="AB52" i="18"/>
  <c r="AP52" i="18"/>
  <c r="AB80" i="18"/>
  <c r="AP80" i="18"/>
  <c r="P80" i="18"/>
  <c r="Q80" i="18" s="1"/>
  <c r="J51" i="18"/>
  <c r="AA51" i="18"/>
  <c r="AC51" i="18"/>
  <c r="P51" i="18"/>
  <c r="Q51" i="18" s="1"/>
  <c r="AB77" i="19"/>
  <c r="AE77" i="19"/>
  <c r="AG77" i="19" s="1"/>
  <c r="AP50" i="18"/>
  <c r="AW50" i="18"/>
  <c r="AX50" i="18" s="1"/>
  <c r="P67" i="18"/>
  <c r="Q67" i="18" s="1"/>
  <c r="J72" i="18"/>
  <c r="P72" i="18" s="1"/>
  <c r="Q72" i="18" s="1"/>
  <c r="T30" i="21"/>
  <c r="L30" i="21"/>
  <c r="M30" i="21"/>
  <c r="N30" i="21"/>
  <c r="O30" i="21"/>
  <c r="S30" i="21"/>
  <c r="E127" i="19"/>
  <c r="E100" i="19"/>
  <c r="E73" i="19"/>
  <c r="F127" i="19"/>
  <c r="F100" i="19"/>
  <c r="F73" i="19"/>
  <c r="G29" i="21"/>
  <c r="F126" i="19" s="1"/>
  <c r="AN45" i="18"/>
  <c r="AN72" i="18"/>
  <c r="E126" i="19"/>
  <c r="E99" i="19"/>
  <c r="E72" i="19"/>
  <c r="S29" i="21"/>
  <c r="L29" i="21"/>
  <c r="M29" i="21"/>
  <c r="N29" i="21"/>
  <c r="O29" i="21"/>
  <c r="I17" i="18"/>
  <c r="J17" i="18" s="1"/>
  <c r="AO68" i="18" s="1"/>
  <c r="D46" i="18"/>
  <c r="G67" i="18"/>
  <c r="AR67" i="18" s="1"/>
  <c r="AW67" i="18" s="1"/>
  <c r="H67" i="18"/>
  <c r="AC66" i="18"/>
  <c r="AB66" i="18" s="1"/>
  <c r="Z66" i="18"/>
  <c r="P66" i="18" s="1"/>
  <c r="Q66" i="18" s="1"/>
  <c r="AA66" i="18"/>
  <c r="H68" i="21"/>
  <c r="E161" i="19" s="1"/>
  <c r="L68" i="21"/>
  <c r="AF71" i="18"/>
  <c r="H71" i="18"/>
  <c r="I71" i="18"/>
  <c r="G71" i="18"/>
  <c r="AO67" i="18"/>
  <c r="AQ71" i="18"/>
  <c r="I65" i="18"/>
  <c r="G65" i="18"/>
  <c r="AF65" i="18"/>
  <c r="AF70" i="18"/>
  <c r="AF69" i="18"/>
  <c r="P69" i="18"/>
  <c r="Q69" i="18" s="1"/>
  <c r="AF73" i="18"/>
  <c r="AF84" i="18"/>
  <c r="I66" i="18"/>
  <c r="AF66" i="18"/>
  <c r="AP71" i="18"/>
  <c r="AS71" i="18" s="1"/>
  <c r="AF68" i="18"/>
  <c r="G68" i="18"/>
  <c r="H69" i="18"/>
  <c r="AS70" i="18"/>
  <c r="G70" i="18"/>
  <c r="AQ70" i="18" s="1"/>
  <c r="AF72" i="18"/>
  <c r="I72" i="18"/>
  <c r="AW78" i="18"/>
  <c r="AB78" i="18"/>
  <c r="AU85" i="18"/>
  <c r="AV85" i="18"/>
  <c r="H68" i="18"/>
  <c r="AF83" i="18"/>
  <c r="G69" i="18"/>
  <c r="AO82" i="18"/>
  <c r="AR82" i="18"/>
  <c r="AW82" i="18" s="1"/>
  <c r="AT82" i="18"/>
  <c r="AU78" i="18"/>
  <c r="AV78" i="18"/>
  <c r="G64" i="18"/>
  <c r="I64" i="18"/>
  <c r="AF64" i="18"/>
  <c r="AF77" i="18"/>
  <c r="G77" i="18"/>
  <c r="AO72" i="18"/>
  <c r="G72" i="18"/>
  <c r="AP72" i="18"/>
  <c r="H72" i="18"/>
  <c r="AB79" i="18"/>
  <c r="AW79" i="18"/>
  <c r="AX79" i="18" s="1"/>
  <c r="AO66" i="18"/>
  <c r="AR69" i="18"/>
  <c r="AW69" i="18" s="1"/>
  <c r="I69" i="18"/>
  <c r="AF67" i="18"/>
  <c r="I70" i="18"/>
  <c r="AR68" i="18"/>
  <c r="AW68" i="18" s="1"/>
  <c r="AP44" i="18"/>
  <c r="AS44" i="18" s="1"/>
  <c r="AB44" i="18"/>
  <c r="AQ38" i="18"/>
  <c r="AT38" i="18" s="1"/>
  <c r="AF41" i="18"/>
  <c r="I41" i="18"/>
  <c r="H41" i="18"/>
  <c r="G41" i="18"/>
  <c r="P43" i="18"/>
  <c r="Q43" i="18" s="1"/>
  <c r="G42" i="18"/>
  <c r="AF42" i="18"/>
  <c r="P42" i="18"/>
  <c r="Q42" i="18" s="1"/>
  <c r="Z55" i="18"/>
  <c r="AA55" i="18"/>
  <c r="AC55" i="18"/>
  <c r="AS42" i="18"/>
  <c r="AR43" i="18"/>
  <c r="AW43" i="18" s="1"/>
  <c r="AQ43" i="18"/>
  <c r="AT43" i="18" s="1"/>
  <c r="AU49" i="18"/>
  <c r="AA44" i="18"/>
  <c r="Z45" i="18"/>
  <c r="P45" i="18" s="1"/>
  <c r="Q45" i="18" s="1"/>
  <c r="H42" i="18"/>
  <c r="AC45" i="18"/>
  <c r="AB45" i="18" s="1"/>
  <c r="Z44" i="18"/>
  <c r="AF48" i="18"/>
  <c r="G48" i="18"/>
  <c r="I48" i="18"/>
  <c r="AU50" i="18"/>
  <c r="AF49" i="18"/>
  <c r="G49" i="18"/>
  <c r="AC56" i="18"/>
  <c r="AF43" i="18"/>
  <c r="I43" i="18"/>
  <c r="AX37" i="18"/>
  <c r="G36" i="18"/>
  <c r="H36" i="18"/>
  <c r="I36" i="18"/>
  <c r="AF36" i="18"/>
  <c r="P48" i="18"/>
  <c r="Q48" i="18" s="1"/>
  <c r="AW49" i="18"/>
  <c r="AX49" i="18" s="1"/>
  <c r="AB56" i="18"/>
  <c r="AO45" i="18"/>
  <c r="I38" i="18"/>
  <c r="AF38" i="18"/>
  <c r="AA56" i="18"/>
  <c r="AC40" i="18"/>
  <c r="Z56" i="18"/>
  <c r="G37" i="18"/>
  <c r="H37" i="18"/>
  <c r="I37" i="18"/>
  <c r="AF37" i="18"/>
  <c r="AR41" i="18"/>
  <c r="AW41" i="18" s="1"/>
  <c r="AO41" i="18"/>
  <c r="AF50" i="18"/>
  <c r="G50" i="18"/>
  <c r="H50" i="18"/>
  <c r="I42" i="18"/>
  <c r="P49" i="18"/>
  <c r="Q49" i="18" s="1"/>
  <c r="H49" i="18"/>
  <c r="Z39" i="18"/>
  <c r="AA39" i="18"/>
  <c r="AC39" i="18"/>
  <c r="AX53" i="18"/>
  <c r="AO40" i="18"/>
  <c r="AG162" i="19"/>
  <c r="J162" i="19"/>
  <c r="J159" i="19"/>
  <c r="AG159" i="19"/>
  <c r="J160" i="19"/>
  <c r="AG160" i="19"/>
  <c r="AD68" i="19"/>
  <c r="AF68" i="19" s="1"/>
  <c r="AD122" i="19"/>
  <c r="AF122" i="19" s="1"/>
  <c r="AE122" i="19"/>
  <c r="AG122" i="19" s="1"/>
  <c r="AD118" i="19"/>
  <c r="AF118" i="19" s="1"/>
  <c r="AE118" i="19"/>
  <c r="AG118" i="19" s="1"/>
  <c r="AE68" i="19"/>
  <c r="AG68" i="19" s="1"/>
  <c r="AD121" i="19"/>
  <c r="AF121" i="19" s="1"/>
  <c r="AE121" i="19"/>
  <c r="AG121" i="19" s="1"/>
  <c r="I54" i="19"/>
  <c r="AB135" i="19"/>
  <c r="AD135" i="19"/>
  <c r="AF135" i="19" s="1"/>
  <c r="AE135" i="19"/>
  <c r="AG135" i="19" s="1"/>
  <c r="K41" i="19"/>
  <c r="K51" i="19"/>
  <c r="AD132" i="19"/>
  <c r="AF132" i="19" s="1"/>
  <c r="AE132" i="19"/>
  <c r="AG132" i="19" s="1"/>
  <c r="AD80" i="19"/>
  <c r="AF80" i="19" s="1"/>
  <c r="AD134" i="19"/>
  <c r="AF134" i="19" s="1"/>
  <c r="AE134" i="19"/>
  <c r="AG134" i="19" s="1"/>
  <c r="AD120" i="19"/>
  <c r="AF120" i="19" s="1"/>
  <c r="AE120" i="19"/>
  <c r="AG120" i="19" s="1"/>
  <c r="AB64" i="19"/>
  <c r="AD129" i="19"/>
  <c r="AF129" i="19" s="1"/>
  <c r="AE129" i="19"/>
  <c r="AG129" i="19" s="1"/>
  <c r="AD75" i="19"/>
  <c r="AF75" i="19" s="1"/>
  <c r="AE75" i="19"/>
  <c r="AG75" i="19" s="1"/>
  <c r="AB80" i="19"/>
  <c r="AB120" i="19"/>
  <c r="AB81" i="19"/>
  <c r="AE105" i="19"/>
  <c r="AG105" i="19" s="1"/>
  <c r="AB121" i="19"/>
  <c r="K40" i="19"/>
  <c r="AE80" i="19"/>
  <c r="AG80" i="19" s="1"/>
  <c r="AB122" i="19"/>
  <c r="AD77" i="19"/>
  <c r="AF77" i="19" s="1"/>
  <c r="AD131" i="19"/>
  <c r="AF131" i="19" s="1"/>
  <c r="AE131" i="19"/>
  <c r="AG131" i="19" s="1"/>
  <c r="I46" i="19"/>
  <c r="AD127" i="19"/>
  <c r="AF127" i="19" s="1"/>
  <c r="AE127" i="19"/>
  <c r="AG127" i="19" s="1"/>
  <c r="AB75" i="19"/>
  <c r="AB82" i="19"/>
  <c r="AD136" i="19"/>
  <c r="AF136" i="19" s="1"/>
  <c r="AE136" i="19"/>
  <c r="AG136" i="19" s="1"/>
  <c r="J49" i="19"/>
  <c r="AB129" i="19"/>
  <c r="AB70" i="19"/>
  <c r="AD124" i="19"/>
  <c r="AF124" i="19" s="1"/>
  <c r="AE124" i="19"/>
  <c r="AG124" i="19" s="1"/>
  <c r="AD137" i="19"/>
  <c r="AF137" i="19" s="1"/>
  <c r="AE137" i="19"/>
  <c r="AG137" i="19" s="1"/>
  <c r="K37" i="19"/>
  <c r="K38" i="19"/>
  <c r="AD119" i="19"/>
  <c r="AF119" i="19" s="1"/>
  <c r="AE119" i="19"/>
  <c r="AG119" i="19" s="1"/>
  <c r="AB68" i="19"/>
  <c r="AB131" i="19"/>
  <c r="AB126" i="19"/>
  <c r="AB67" i="19"/>
  <c r="J37" i="19"/>
  <c r="AD125" i="19"/>
  <c r="AF125" i="19" s="1"/>
  <c r="AE125" i="19"/>
  <c r="AG125" i="19" s="1"/>
  <c r="AB125" i="19"/>
  <c r="AB124" i="19"/>
  <c r="AE64" i="19"/>
  <c r="AG64" i="19" s="1"/>
  <c r="AD64" i="19"/>
  <c r="AF64" i="19" s="1"/>
  <c r="AE90" i="19"/>
  <c r="AG90" i="19" s="1"/>
  <c r="AD90" i="19"/>
  <c r="AF90" i="19" s="1"/>
  <c r="AD100" i="19"/>
  <c r="AF100" i="19" s="1"/>
  <c r="AE100" i="19"/>
  <c r="AG100" i="19" s="1"/>
  <c r="AB90" i="19"/>
  <c r="I49" i="19"/>
  <c r="AD103" i="19"/>
  <c r="AF103" i="19" s="1"/>
  <c r="AE103" i="19"/>
  <c r="AG103" i="19" s="1"/>
  <c r="AB103" i="19"/>
  <c r="AB99" i="19"/>
  <c r="K36" i="19"/>
  <c r="J36" i="19"/>
  <c r="I36" i="19"/>
  <c r="I37" i="19"/>
  <c r="K53" i="19"/>
  <c r="J41" i="19"/>
  <c r="AD95" i="19"/>
  <c r="AF95" i="19" s="1"/>
  <c r="AE95" i="19"/>
  <c r="AG95" i="19" s="1"/>
  <c r="AD81" i="19"/>
  <c r="AF81" i="19" s="1"/>
  <c r="AE81" i="19"/>
  <c r="AG81" i="19" s="1"/>
  <c r="AD73" i="19"/>
  <c r="AF73" i="19" s="1"/>
  <c r="AE73" i="19"/>
  <c r="AG73" i="19" s="1"/>
  <c r="AE70" i="19"/>
  <c r="AG70" i="19" s="1"/>
  <c r="AD70" i="19"/>
  <c r="AF70" i="19" s="1"/>
  <c r="AD66" i="19"/>
  <c r="AF66" i="19" s="1"/>
  <c r="AE66" i="19"/>
  <c r="AG66" i="19" s="1"/>
  <c r="AD82" i="19"/>
  <c r="AF82" i="19" s="1"/>
  <c r="AE82" i="19"/>
  <c r="AG82" i="19" s="1"/>
  <c r="K46" i="19"/>
  <c r="AE65" i="19"/>
  <c r="AG65" i="19" s="1"/>
  <c r="AD65" i="19"/>
  <c r="AF65" i="19" s="1"/>
  <c r="J46" i="19"/>
  <c r="AB78" i="19"/>
  <c r="I41" i="19"/>
  <c r="AB73" i="19"/>
  <c r="AB65" i="19"/>
  <c r="I38" i="19"/>
  <c r="I51" i="19"/>
  <c r="AD78" i="19"/>
  <c r="AF78" i="19" s="1"/>
  <c r="AE78" i="19"/>
  <c r="AG78" i="19" s="1"/>
  <c r="AE67" i="19"/>
  <c r="AG67" i="19" s="1"/>
  <c r="AD67" i="19"/>
  <c r="AF67" i="19" s="1"/>
  <c r="J40" i="19"/>
  <c r="I40" i="19"/>
  <c r="K54" i="19"/>
  <c r="AB72" i="19"/>
  <c r="F44" i="19"/>
  <c r="P44" i="19" s="1"/>
  <c r="U44" i="19" s="1"/>
  <c r="V44" i="19" s="1"/>
  <c r="M44" i="19" s="1"/>
  <c r="AE71" i="19"/>
  <c r="AG71" i="19" s="1"/>
  <c r="AD71" i="19"/>
  <c r="AF71" i="19" s="1"/>
  <c r="J54" i="19"/>
  <c r="J51" i="19"/>
  <c r="J38" i="19"/>
  <c r="AB66" i="19"/>
  <c r="K11" i="19"/>
  <c r="F40" i="19"/>
  <c r="P40" i="19" s="1"/>
  <c r="K8" i="19"/>
  <c r="F37" i="19"/>
  <c r="P37" i="19" s="1"/>
  <c r="F36" i="19"/>
  <c r="P36" i="19" s="1"/>
  <c r="K10" i="19"/>
  <c r="F39" i="19"/>
  <c r="P39" i="19" s="1"/>
  <c r="J44" i="19"/>
  <c r="I44" i="19"/>
  <c r="K13" i="19"/>
  <c r="F42" i="19"/>
  <c r="P42" i="19" s="1"/>
  <c r="F41" i="19"/>
  <c r="P41" i="19" s="1"/>
  <c r="I55" i="19"/>
  <c r="J55" i="19"/>
  <c r="K55" i="19"/>
  <c r="I43" i="19"/>
  <c r="J43" i="19"/>
  <c r="K43" i="19"/>
  <c r="I39" i="19"/>
  <c r="J39" i="19"/>
  <c r="K39" i="19"/>
  <c r="K14" i="19"/>
  <c r="F43" i="19"/>
  <c r="P43" i="19" s="1"/>
  <c r="K17" i="19"/>
  <c r="K9" i="19"/>
  <c r="F38" i="19"/>
  <c r="P38" i="19" s="1"/>
  <c r="K16" i="19"/>
  <c r="F45" i="19"/>
  <c r="P45" i="19" s="1"/>
  <c r="K44" i="19"/>
  <c r="AE34" i="17"/>
  <c r="AI34" i="17"/>
  <c r="AJ34" i="17" s="1"/>
  <c r="AK34" i="17" s="1"/>
  <c r="L34" i="17" s="1"/>
  <c r="AG34" i="17"/>
  <c r="G36" i="17"/>
  <c r="AD36" i="17"/>
  <c r="AG36" i="17" s="1"/>
  <c r="AF36" i="17"/>
  <c r="AP34" i="17"/>
  <c r="AG35" i="17"/>
  <c r="AL34" i="17"/>
  <c r="M34" i="17" s="1"/>
  <c r="AU34" i="17"/>
  <c r="O34" i="17" s="1"/>
  <c r="AV34" i="17"/>
  <c r="AX34" i="17" s="1"/>
  <c r="AH35" i="17"/>
  <c r="K35" i="17" s="1"/>
  <c r="AR35" i="17"/>
  <c r="AW35" i="17" s="1"/>
  <c r="AO35" i="17"/>
  <c r="AT35" i="17"/>
  <c r="I36" i="17"/>
  <c r="AA26" i="17"/>
  <c r="AC26" i="17"/>
  <c r="G25" i="17"/>
  <c r="AC27" i="17"/>
  <c r="Z27" i="17"/>
  <c r="P27" i="17" s="1"/>
  <c r="Q27" i="17" s="1"/>
  <c r="AW27" i="17"/>
  <c r="I25" i="17"/>
  <c r="AD25" i="17"/>
  <c r="AF25" i="17"/>
  <c r="AG25" i="17"/>
  <c r="Z26" i="17"/>
  <c r="P26" i="17" s="1"/>
  <c r="Q26" i="17" s="1"/>
  <c r="AU27" i="17"/>
  <c r="AV27" i="17"/>
  <c r="Y87" i="5"/>
  <c r="Y86" i="5"/>
  <c r="AE86" i="5"/>
  <c r="I87" i="5"/>
  <c r="J87" i="5"/>
  <c r="I88" i="5"/>
  <c r="J88" i="5"/>
  <c r="I86" i="5"/>
  <c r="J86" i="5"/>
  <c r="I84" i="5"/>
  <c r="J84" i="5"/>
  <c r="Y89" i="5"/>
  <c r="F35" i="5"/>
  <c r="P35" i="5" s="1"/>
  <c r="K7" i="5"/>
  <c r="AB60" i="5"/>
  <c r="AD60" i="5" s="1"/>
  <c r="AC60" i="5"/>
  <c r="AE60" i="5" s="1"/>
  <c r="Z60" i="5"/>
  <c r="K9" i="5"/>
  <c r="F36" i="5"/>
  <c r="P36" i="5" s="1"/>
  <c r="I36" i="5"/>
  <c r="J36" i="5"/>
  <c r="K36" i="5"/>
  <c r="AB44" i="5"/>
  <c r="AD44" i="5" s="1"/>
  <c r="AC44" i="5"/>
  <c r="AE44" i="5" s="1"/>
  <c r="Z44" i="5"/>
  <c r="R35" i="5"/>
  <c r="U35" i="5"/>
  <c r="O48" i="21"/>
  <c r="N48" i="21"/>
  <c r="M48" i="21"/>
  <c r="L48" i="21"/>
  <c r="H48" i="21"/>
  <c r="G48" i="21"/>
  <c r="S48" i="21"/>
  <c r="T48" i="21"/>
  <c r="U48" i="21"/>
  <c r="O64" i="21"/>
  <c r="N64" i="21"/>
  <c r="M64" i="21"/>
  <c r="L64" i="21"/>
  <c r="H64" i="21"/>
  <c r="G64" i="21"/>
  <c r="S64" i="21"/>
  <c r="T64" i="21"/>
  <c r="U64" i="21"/>
  <c r="H7" i="21"/>
  <c r="G7" i="21"/>
  <c r="O7" i="21"/>
  <c r="W24" i="17" s="1"/>
  <c r="N7" i="21"/>
  <c r="V24" i="17" s="1"/>
  <c r="M7" i="21"/>
  <c r="U24" i="17" s="1"/>
  <c r="L7" i="21"/>
  <c r="T24" i="17" s="1"/>
  <c r="S7" i="21"/>
  <c r="T7" i="21"/>
  <c r="U7" i="21"/>
  <c r="P73" i="18" l="1"/>
  <c r="Q73" i="18" s="1"/>
  <c r="H48" i="18"/>
  <c r="AX78" i="18"/>
  <c r="AR38" i="18"/>
  <c r="AW38" i="18" s="1"/>
  <c r="AP76" i="18"/>
  <c r="G76" i="18"/>
  <c r="AX27" i="17"/>
  <c r="G82" i="18"/>
  <c r="AQ82" i="18" s="1"/>
  <c r="AP36" i="18"/>
  <c r="AV54" i="18"/>
  <c r="AU54" i="18"/>
  <c r="AB54" i="18"/>
  <c r="AW54" i="18"/>
  <c r="AP54" i="18"/>
  <c r="P54" i="18"/>
  <c r="Q54" i="18" s="1"/>
  <c r="AF81" i="18"/>
  <c r="G81" i="18"/>
  <c r="H81" i="18"/>
  <c r="AF53" i="18"/>
  <c r="G53" i="18"/>
  <c r="H53" i="18"/>
  <c r="G80" i="18"/>
  <c r="H80" i="18"/>
  <c r="AF80" i="18"/>
  <c r="AF52" i="18"/>
  <c r="G52" i="18"/>
  <c r="H52" i="18"/>
  <c r="AB51" i="18"/>
  <c r="AW51" i="18"/>
  <c r="AP51" i="18"/>
  <c r="AU51" i="18"/>
  <c r="AV51" i="18"/>
  <c r="AQ67" i="18"/>
  <c r="W74" i="18"/>
  <c r="W47" i="18"/>
  <c r="V74" i="18"/>
  <c r="V47" i="18"/>
  <c r="U74" i="18"/>
  <c r="U47" i="18"/>
  <c r="T74" i="18"/>
  <c r="T47" i="18"/>
  <c r="F99" i="19"/>
  <c r="F72" i="19"/>
  <c r="AP45" i="18"/>
  <c r="AS45" i="18" s="1"/>
  <c r="X46" i="18"/>
  <c r="Y46" i="18"/>
  <c r="Y74" i="18" s="1"/>
  <c r="K17" i="18"/>
  <c r="AN73" i="18"/>
  <c r="AN46" i="18"/>
  <c r="W46" i="18"/>
  <c r="W73" i="18"/>
  <c r="V46" i="18"/>
  <c r="V73" i="18"/>
  <c r="U46" i="18"/>
  <c r="U73" i="18"/>
  <c r="T46" i="18"/>
  <c r="T73" i="18"/>
  <c r="G73" i="18" s="1"/>
  <c r="AQ73" i="18" s="1"/>
  <c r="AR66" i="18"/>
  <c r="AW66" i="18" s="1"/>
  <c r="AU82" i="18"/>
  <c r="O82" i="18" s="1"/>
  <c r="AV82" i="18"/>
  <c r="AX82" i="18" s="1"/>
  <c r="AS82" i="18"/>
  <c r="AP82" i="18"/>
  <c r="AT70" i="18"/>
  <c r="AR65" i="18"/>
  <c r="AW65" i="18" s="1"/>
  <c r="AQ65" i="18"/>
  <c r="AT65" i="18" s="1"/>
  <c r="AQ72" i="18"/>
  <c r="AT72" i="18" s="1"/>
  <c r="AS72" i="18"/>
  <c r="AR70" i="18"/>
  <c r="AW70" i="18" s="1"/>
  <c r="AR72" i="18"/>
  <c r="AW72" i="18" s="1"/>
  <c r="AQ66" i="18"/>
  <c r="AQ69" i="18"/>
  <c r="O77" i="18"/>
  <c r="AQ77" i="18"/>
  <c r="AP68" i="18"/>
  <c r="AS68" i="18" s="1"/>
  <c r="AP67" i="18"/>
  <c r="AT67" i="18" s="1"/>
  <c r="AQ68" i="18"/>
  <c r="AT68" i="18" s="1"/>
  <c r="O64" i="18"/>
  <c r="AQ64" i="18"/>
  <c r="AF78" i="18"/>
  <c r="G78" i="18"/>
  <c r="H78" i="18"/>
  <c r="AT71" i="18"/>
  <c r="AP66" i="18"/>
  <c r="AS66" i="18" s="1"/>
  <c r="AR71" i="18"/>
  <c r="AW71" i="18" s="1"/>
  <c r="G79" i="18"/>
  <c r="AF79" i="18"/>
  <c r="H79" i="18"/>
  <c r="AU38" i="18"/>
  <c r="O38" i="18" s="1"/>
  <c r="AV38" i="18"/>
  <c r="AX38" i="18" s="1"/>
  <c r="AU43" i="18"/>
  <c r="O43" i="18" s="1"/>
  <c r="AV43" i="18"/>
  <c r="AX43" i="18" s="1"/>
  <c r="AF56" i="18"/>
  <c r="H56" i="18"/>
  <c r="G56" i="18"/>
  <c r="O49" i="18"/>
  <c r="Y42" i="574" s="1"/>
  <c r="AQ49" i="18"/>
  <c r="AQ42" i="18"/>
  <c r="AT42" i="18"/>
  <c r="AF45" i="18"/>
  <c r="G45" i="18"/>
  <c r="H45" i="18"/>
  <c r="I45" i="18"/>
  <c r="AP41" i="18"/>
  <c r="AS41" i="18" s="1"/>
  <c r="AQ41" i="18"/>
  <c r="O36" i="18"/>
  <c r="AQ36" i="18"/>
  <c r="AW55" i="18"/>
  <c r="AX55" i="18" s="1"/>
  <c r="AP55" i="18"/>
  <c r="O37" i="18"/>
  <c r="AQ37" i="18"/>
  <c r="P56" i="18"/>
  <c r="Q56" i="18" s="1"/>
  <c r="AP40" i="18"/>
  <c r="AB40" i="18"/>
  <c r="AB55" i="18"/>
  <c r="O50" i="18"/>
  <c r="AQ50" i="18"/>
  <c r="AS40" i="18"/>
  <c r="P55" i="18"/>
  <c r="Q55" i="18" s="1"/>
  <c r="AP39" i="18"/>
  <c r="AS39" i="18" s="1"/>
  <c r="AB39" i="18"/>
  <c r="AR42" i="18"/>
  <c r="AW42" i="18" s="1"/>
  <c r="P39" i="18"/>
  <c r="Q39" i="18" s="1"/>
  <c r="P44" i="18"/>
  <c r="Q44" i="18" s="1"/>
  <c r="AF44" i="18"/>
  <c r="H44" i="18"/>
  <c r="G44" i="18"/>
  <c r="I44" i="18"/>
  <c r="R44" i="19"/>
  <c r="S44" i="19" s="1"/>
  <c r="L44" i="19" s="1"/>
  <c r="R41" i="19"/>
  <c r="U41" i="19"/>
  <c r="U42" i="19"/>
  <c r="R42" i="19"/>
  <c r="U45" i="19"/>
  <c r="R45" i="19"/>
  <c r="R39" i="19"/>
  <c r="U39" i="19"/>
  <c r="U38" i="19"/>
  <c r="R38" i="19"/>
  <c r="R36" i="19"/>
  <c r="U36" i="19"/>
  <c r="R37" i="19"/>
  <c r="S37" i="19" s="1"/>
  <c r="L37" i="19" s="1"/>
  <c r="U37" i="19"/>
  <c r="V37" i="19" s="1"/>
  <c r="M37" i="19" s="1"/>
  <c r="U43" i="19"/>
  <c r="R43" i="19"/>
  <c r="R40" i="19"/>
  <c r="U40" i="19"/>
  <c r="AU35" i="17"/>
  <c r="O35" i="17" s="1"/>
  <c r="AV35" i="17"/>
  <c r="AX35" i="17" s="1"/>
  <c r="AS35" i="17"/>
  <c r="N35" i="17" s="1"/>
  <c r="AP35" i="17"/>
  <c r="AI36" i="17"/>
  <c r="AJ36" i="17" s="1"/>
  <c r="AK36" i="17" s="1"/>
  <c r="L36" i="17" s="1"/>
  <c r="AL36" i="17"/>
  <c r="M36" i="17" s="1"/>
  <c r="AE36" i="17"/>
  <c r="AH36" i="17" s="1"/>
  <c r="K36" i="17" s="1"/>
  <c r="N36" i="17" s="1"/>
  <c r="O36" i="17"/>
  <c r="AQ36" i="17"/>
  <c r="AH34" i="17"/>
  <c r="K34" i="17" s="1"/>
  <c r="N34" i="17" s="1"/>
  <c r="X12" i="574" s="1"/>
  <c r="AE25" i="17"/>
  <c r="AH25" i="17" s="1"/>
  <c r="K25" i="17" s="1"/>
  <c r="N25" i="17" s="1"/>
  <c r="AI25" i="17"/>
  <c r="AJ25" i="17" s="1"/>
  <c r="AK25" i="17" s="1"/>
  <c r="L25" i="17" s="1"/>
  <c r="AL25" i="17"/>
  <c r="M25" i="17" s="1"/>
  <c r="AB27" i="17"/>
  <c r="AP27" i="17"/>
  <c r="O25" i="17"/>
  <c r="Y12" i="574" s="1"/>
  <c r="AQ25" i="17"/>
  <c r="AB26" i="17"/>
  <c r="AW26" i="17"/>
  <c r="AX26" i="17" s="1"/>
  <c r="AP26" i="17"/>
  <c r="J89" i="5"/>
  <c r="I89" i="5"/>
  <c r="R36" i="5"/>
  <c r="U36" i="5"/>
  <c r="AX54" i="18" l="1"/>
  <c r="AT66" i="18"/>
  <c r="AQ76" i="18"/>
  <c r="O76" i="18"/>
  <c r="Y29" i="574"/>
  <c r="Y30" i="574"/>
  <c r="AX51" i="18"/>
  <c r="H54" i="18"/>
  <c r="G54" i="18"/>
  <c r="AF54" i="18"/>
  <c r="AQ53" i="18"/>
  <c r="O53" i="18"/>
  <c r="AQ81" i="18"/>
  <c r="O81" i="18"/>
  <c r="O52" i="18"/>
  <c r="AQ52" i="18"/>
  <c r="O80" i="18"/>
  <c r="AQ80" i="18"/>
  <c r="G51" i="18"/>
  <c r="AF51" i="18"/>
  <c r="H51" i="18"/>
  <c r="H73" i="18"/>
  <c r="AT46" i="18"/>
  <c r="AO46" i="18"/>
  <c r="AS46" i="18" s="1"/>
  <c r="AR46" i="18"/>
  <c r="AO73" i="18"/>
  <c r="AS73" i="18" s="1"/>
  <c r="AT73" i="18"/>
  <c r="AR73" i="18"/>
  <c r="AW73" i="18" s="1"/>
  <c r="X74" i="18"/>
  <c r="AC46" i="18"/>
  <c r="AP46" i="18" s="1"/>
  <c r="Z46" i="18"/>
  <c r="AA46" i="18"/>
  <c r="P46" i="18" s="1"/>
  <c r="Q46" i="18" s="1"/>
  <c r="AB46" i="18"/>
  <c r="AU65" i="18"/>
  <c r="O65" i="18" s="1"/>
  <c r="AV65" i="18"/>
  <c r="AX65" i="18" s="1"/>
  <c r="AU67" i="18"/>
  <c r="O67" i="18" s="1"/>
  <c r="AV67" i="18"/>
  <c r="AX67" i="18" s="1"/>
  <c r="O78" i="18"/>
  <c r="Y43" i="574" s="1"/>
  <c r="AQ78" i="18"/>
  <c r="AU66" i="18"/>
  <c r="O66" i="18" s="1"/>
  <c r="Y31" i="574" s="1"/>
  <c r="AV66" i="18"/>
  <c r="AX66" i="18" s="1"/>
  <c r="AU72" i="18"/>
  <c r="O72" i="18" s="1"/>
  <c r="AV72" i="18"/>
  <c r="AX72" i="18" s="1"/>
  <c r="AU68" i="18"/>
  <c r="O68" i="18" s="1"/>
  <c r="AV68" i="18"/>
  <c r="AX68" i="18" s="1"/>
  <c r="AS67" i="18"/>
  <c r="AU70" i="18"/>
  <c r="O70" i="18" s="1"/>
  <c r="AV70" i="18"/>
  <c r="AX70" i="18" s="1"/>
  <c r="O79" i="18"/>
  <c r="AQ79" i="18"/>
  <c r="AU71" i="18"/>
  <c r="O71" i="18" s="1"/>
  <c r="Y36" i="574" s="1"/>
  <c r="AV71" i="18"/>
  <c r="AX71" i="18" s="1"/>
  <c r="AR45" i="18"/>
  <c r="AW45" i="18" s="1"/>
  <c r="AQ45" i="18"/>
  <c r="AT45" i="18" s="1"/>
  <c r="H39" i="18"/>
  <c r="AF39" i="18"/>
  <c r="I39" i="18"/>
  <c r="G39" i="18"/>
  <c r="AU42" i="18"/>
  <c r="O42" i="18" s="1"/>
  <c r="AV42" i="18"/>
  <c r="AX42" i="18" s="1"/>
  <c r="AR44" i="18"/>
  <c r="AW44" i="18" s="1"/>
  <c r="AQ44" i="18"/>
  <c r="AT44" i="18" s="1"/>
  <c r="AF55" i="18"/>
  <c r="H55" i="18"/>
  <c r="G55" i="18"/>
  <c r="AT41" i="18"/>
  <c r="H40" i="18"/>
  <c r="AF40" i="18"/>
  <c r="I40" i="18"/>
  <c r="G40" i="18"/>
  <c r="H27" i="17"/>
  <c r="AD27" i="17"/>
  <c r="AF27" i="17"/>
  <c r="G27" i="17"/>
  <c r="AG27" i="17" s="1"/>
  <c r="I27" i="17"/>
  <c r="AD26" i="17"/>
  <c r="AF26" i="17"/>
  <c r="H26" i="17"/>
  <c r="I26" i="17"/>
  <c r="G26" i="17"/>
  <c r="Y35" i="574" l="1"/>
  <c r="O54" i="18"/>
  <c r="Y47" i="574" s="1"/>
  <c r="AQ54" i="18"/>
  <c r="Y46" i="574"/>
  <c r="Y45" i="574"/>
  <c r="O51" i="18"/>
  <c r="Y44" i="574" s="1"/>
  <c r="AQ51" i="18"/>
  <c r="G46" i="18"/>
  <c r="AQ46" i="18" s="1"/>
  <c r="AF46" i="18"/>
  <c r="I46" i="18"/>
  <c r="AV73" i="18"/>
  <c r="AX73" i="18" s="1"/>
  <c r="AU73" i="18"/>
  <c r="O73" i="18" s="1"/>
  <c r="AC74" i="18"/>
  <c r="AB74" i="18"/>
  <c r="AA74" i="18"/>
  <c r="Z74" i="18"/>
  <c r="AW46" i="18"/>
  <c r="AU46" i="18"/>
  <c r="AV46" i="18"/>
  <c r="H46" i="18"/>
  <c r="AP73" i="18"/>
  <c r="AU44" i="18"/>
  <c r="O44" i="18" s="1"/>
  <c r="Y37" i="574" s="1"/>
  <c r="AV44" i="18"/>
  <c r="AX44" i="18" s="1"/>
  <c r="AV45" i="18"/>
  <c r="AX45" i="18" s="1"/>
  <c r="AU45" i="18"/>
  <c r="O45" i="18" s="1"/>
  <c r="Y38" i="574" s="1"/>
  <c r="AQ39" i="18"/>
  <c r="AT39" i="18" s="1"/>
  <c r="AR39" i="18"/>
  <c r="AW39" i="18" s="1"/>
  <c r="AQ40" i="18"/>
  <c r="AT40" i="18" s="1"/>
  <c r="AR40" i="18"/>
  <c r="AW40" i="18" s="1"/>
  <c r="AU41" i="18"/>
  <c r="O41" i="18" s="1"/>
  <c r="AV41" i="18"/>
  <c r="AX41" i="18" s="1"/>
  <c r="O55" i="18"/>
  <c r="AQ55" i="18"/>
  <c r="AI26" i="17"/>
  <c r="AJ26" i="17" s="1"/>
  <c r="AK26" i="17" s="1"/>
  <c r="L26" i="17" s="1"/>
  <c r="AE26" i="17"/>
  <c r="AL26" i="17"/>
  <c r="M26" i="17" s="1"/>
  <c r="AG26" i="17"/>
  <c r="O27" i="17"/>
  <c r="Y14" i="574" s="1"/>
  <c r="AQ27" i="17"/>
  <c r="AI27" i="17"/>
  <c r="AJ27" i="17" s="1"/>
  <c r="AK27" i="17" s="1"/>
  <c r="L27" i="17" s="1"/>
  <c r="AL27" i="17"/>
  <c r="M27" i="17" s="1"/>
  <c r="AE27" i="17"/>
  <c r="AH27" i="17" s="1"/>
  <c r="K27" i="17" s="1"/>
  <c r="O26" i="17"/>
  <c r="Y13" i="574" s="1"/>
  <c r="AQ26" i="17"/>
  <c r="N27" i="17" l="1"/>
  <c r="X14" i="574" s="1"/>
  <c r="AX46" i="18"/>
  <c r="O46" i="18"/>
  <c r="G74" i="18"/>
  <c r="I74" i="18"/>
  <c r="H74" i="18"/>
  <c r="AF74" i="18"/>
  <c r="P74" i="18"/>
  <c r="Q74" i="18" s="1"/>
  <c r="AU39" i="18"/>
  <c r="O39" i="18" s="1"/>
  <c r="Y32" i="574" s="1"/>
  <c r="AV39" i="18"/>
  <c r="AX39" i="18" s="1"/>
  <c r="AU40" i="18"/>
  <c r="O40" i="18" s="1"/>
  <c r="Y33" i="574" s="1"/>
  <c r="AV40" i="18"/>
  <c r="AX40" i="18" s="1"/>
  <c r="AH26" i="17"/>
  <c r="K26" i="17" s="1"/>
  <c r="N26" i="17" s="1"/>
  <c r="X13" i="574" s="1"/>
  <c r="D42" i="574" l="1"/>
  <c r="D20" i="19" l="1"/>
  <c r="I20" i="19" s="1"/>
  <c r="J20" i="19" s="1"/>
  <c r="K20" i="19" s="1"/>
  <c r="D20" i="18"/>
  <c r="I20" i="18" s="1"/>
  <c r="J20" i="18" s="1"/>
  <c r="K20" i="18" s="1"/>
  <c r="D40" i="574" l="1"/>
  <c r="D41" i="574"/>
  <c r="D43" i="574"/>
  <c r="D44" i="574"/>
  <c r="D45" i="574"/>
  <c r="D46" i="574"/>
  <c r="D47" i="574"/>
  <c r="D48" i="574"/>
  <c r="D49" i="574"/>
  <c r="L39" i="574"/>
  <c r="AF31" i="574"/>
  <c r="D14" i="574"/>
  <c r="E49" i="574"/>
  <c r="E27" i="18" s="1"/>
  <c r="D84" i="18" s="1"/>
  <c r="AF28" i="574"/>
  <c r="AF30" i="574"/>
  <c r="AF33" i="574"/>
  <c r="AF32" i="574"/>
  <c r="AF35" i="574"/>
  <c r="AF34" i="574"/>
  <c r="I84" i="18" l="1"/>
  <c r="D19" i="19"/>
  <c r="I19" i="19" s="1"/>
  <c r="J19" i="19" s="1"/>
  <c r="D19" i="18"/>
  <c r="I19" i="18" s="1"/>
  <c r="J19" i="18" s="1"/>
  <c r="K19" i="18" s="1"/>
  <c r="D27" i="19"/>
  <c r="D27" i="18"/>
  <c r="I27" i="18" s="1"/>
  <c r="J27" i="18" s="1"/>
  <c r="D26" i="19"/>
  <c r="I26" i="19" s="1"/>
  <c r="J26" i="19" s="1"/>
  <c r="D26" i="18"/>
  <c r="I26" i="18" s="1"/>
  <c r="J26" i="18" s="1"/>
  <c r="K26" i="18" s="1"/>
  <c r="D25" i="19"/>
  <c r="I25" i="19" s="1"/>
  <c r="J25" i="19" s="1"/>
  <c r="K25" i="19" s="1"/>
  <c r="D25" i="18"/>
  <c r="I25" i="18" s="1"/>
  <c r="J25" i="18" s="1"/>
  <c r="K25" i="18" s="1"/>
  <c r="D24" i="19"/>
  <c r="I24" i="19" s="1"/>
  <c r="J24" i="19" s="1"/>
  <c r="D24" i="18"/>
  <c r="I24" i="18" s="1"/>
  <c r="J24" i="18" s="1"/>
  <c r="K24" i="18" s="1"/>
  <c r="D23" i="19"/>
  <c r="I23" i="19" s="1"/>
  <c r="J23" i="19" s="1"/>
  <c r="D23" i="18"/>
  <c r="I23" i="18" s="1"/>
  <c r="J23" i="18" s="1"/>
  <c r="K23" i="18" s="1"/>
  <c r="D22" i="19"/>
  <c r="I22" i="19" s="1"/>
  <c r="J22" i="19" s="1"/>
  <c r="D22" i="18"/>
  <c r="I22" i="18" s="1"/>
  <c r="J22" i="18" s="1"/>
  <c r="K22" i="18" s="1"/>
  <c r="D21" i="19"/>
  <c r="I21" i="19" s="1"/>
  <c r="J21" i="19" s="1"/>
  <c r="D21" i="18"/>
  <c r="I21" i="18" s="1"/>
  <c r="J21" i="18" s="1"/>
  <c r="K21" i="18" s="1"/>
  <c r="D18" i="19"/>
  <c r="I18" i="19" s="1"/>
  <c r="J18" i="19" s="1"/>
  <c r="F46" i="19" s="1"/>
  <c r="P46" i="19" s="1"/>
  <c r="D18" i="18"/>
  <c r="K24" i="19"/>
  <c r="F53" i="19"/>
  <c r="P53" i="19" s="1"/>
  <c r="K22" i="19"/>
  <c r="F51" i="19"/>
  <c r="P51" i="19" s="1"/>
  <c r="K21" i="19"/>
  <c r="F50" i="19"/>
  <c r="P50" i="19" s="1"/>
  <c r="F49" i="19"/>
  <c r="P49" i="19" s="1"/>
  <c r="K19" i="19"/>
  <c r="F48" i="19"/>
  <c r="P48" i="19" s="1"/>
  <c r="K23" i="19"/>
  <c r="F52" i="19"/>
  <c r="P52" i="19" s="1"/>
  <c r="K26" i="19"/>
  <c r="C40" i="21"/>
  <c r="Q40" i="21" s="1"/>
  <c r="E27" i="19"/>
  <c r="I27" i="19" s="1"/>
  <c r="J27" i="19" s="1"/>
  <c r="I39" i="574"/>
  <c r="J39" i="574" s="1"/>
  <c r="K39" i="574" s="1"/>
  <c r="D50" i="574"/>
  <c r="AF29" i="574"/>
  <c r="K27" i="18" l="1"/>
  <c r="AO78" i="18"/>
  <c r="AN56" i="18"/>
  <c r="AN83" i="18"/>
  <c r="F47" i="19"/>
  <c r="P47" i="19" s="1"/>
  <c r="K18" i="19"/>
  <c r="I18" i="18"/>
  <c r="J18" i="18" s="1"/>
  <c r="D47" i="18"/>
  <c r="D28" i="19"/>
  <c r="I28" i="19" s="1"/>
  <c r="J28" i="19" s="1"/>
  <c r="K28" i="19" s="1"/>
  <c r="D28" i="18"/>
  <c r="F54" i="19"/>
  <c r="P54" i="19" s="1"/>
  <c r="F40" i="21"/>
  <c r="H40" i="21" s="1"/>
  <c r="E137" i="19" s="1"/>
  <c r="K40" i="21"/>
  <c r="E40" i="21"/>
  <c r="J40" i="21"/>
  <c r="L40" i="21" s="1"/>
  <c r="R40" i="21"/>
  <c r="S40" i="21" s="1"/>
  <c r="D110" i="19"/>
  <c r="D137" i="19"/>
  <c r="D56" i="19"/>
  <c r="D83" i="19"/>
  <c r="R49" i="19"/>
  <c r="U49" i="19"/>
  <c r="U50" i="19"/>
  <c r="R50" i="19"/>
  <c r="R46" i="19"/>
  <c r="U46" i="19"/>
  <c r="U51" i="19"/>
  <c r="R51" i="19"/>
  <c r="K27" i="19"/>
  <c r="F56" i="19"/>
  <c r="P56" i="19" s="1"/>
  <c r="R54" i="19"/>
  <c r="U54" i="19"/>
  <c r="F55" i="19"/>
  <c r="P55" i="19" s="1"/>
  <c r="U48" i="19"/>
  <c r="R48" i="19"/>
  <c r="U47" i="19"/>
  <c r="R47" i="19"/>
  <c r="R53" i="19"/>
  <c r="U53" i="19"/>
  <c r="R52" i="19"/>
  <c r="U52" i="19"/>
  <c r="O40" i="21" l="1"/>
  <c r="W84" i="18" s="1"/>
  <c r="I28" i="18"/>
  <c r="J28" i="18" s="1"/>
  <c r="D57" i="18"/>
  <c r="AR56" i="18"/>
  <c r="AW56" i="18" s="1"/>
  <c r="AO56" i="18"/>
  <c r="AT56" i="18"/>
  <c r="AQ56" i="18"/>
  <c r="T84" i="18"/>
  <c r="T57" i="18"/>
  <c r="AS78" i="18"/>
  <c r="AP78" i="18"/>
  <c r="AO83" i="18"/>
  <c r="AR83" i="18"/>
  <c r="AW83" i="18" s="1"/>
  <c r="AT83" i="18"/>
  <c r="AQ83" i="18"/>
  <c r="X47" i="18"/>
  <c r="Y47" i="18"/>
  <c r="Y75" i="18" s="1"/>
  <c r="AN48" i="18"/>
  <c r="K18" i="18"/>
  <c r="AN75" i="18"/>
  <c r="AO69" i="18"/>
  <c r="AP69" i="18" s="1"/>
  <c r="AN47" i="18"/>
  <c r="AN74" i="18"/>
  <c r="M40" i="21"/>
  <c r="G40" i="21"/>
  <c r="F137" i="19" s="1"/>
  <c r="T40" i="21"/>
  <c r="P84" i="18" s="1"/>
  <c r="Q84" i="18" s="1"/>
  <c r="U40" i="21"/>
  <c r="N40" i="21"/>
  <c r="F83" i="19"/>
  <c r="F110" i="19"/>
  <c r="E83" i="19"/>
  <c r="E110" i="19"/>
  <c r="U55" i="19"/>
  <c r="R55" i="19"/>
  <c r="U56" i="19"/>
  <c r="R56" i="19"/>
  <c r="W57" i="18" l="1"/>
  <c r="V84" i="18"/>
  <c r="V57" i="18"/>
  <c r="G84" i="18"/>
  <c r="Y57" i="18"/>
  <c r="Y85" i="18" s="1"/>
  <c r="X57" i="18"/>
  <c r="I57" i="18"/>
  <c r="K28" i="18"/>
  <c r="AO79" i="18"/>
  <c r="AN84" i="18"/>
  <c r="AN57" i="18"/>
  <c r="AU83" i="18"/>
  <c r="O83" i="18" s="1"/>
  <c r="Y48" i="574" s="1"/>
  <c r="AV83" i="18"/>
  <c r="AX83" i="18" s="1"/>
  <c r="AU56" i="18"/>
  <c r="O56" i="18" s="1"/>
  <c r="AV56" i="18"/>
  <c r="AX56" i="18" s="1"/>
  <c r="U84" i="18"/>
  <c r="U57" i="18"/>
  <c r="AP83" i="18"/>
  <c r="AS83" i="18"/>
  <c r="AS56" i="18"/>
  <c r="AP56" i="18"/>
  <c r="H84" i="18"/>
  <c r="AS69" i="18"/>
  <c r="AT69" i="18"/>
  <c r="AQ48" i="18"/>
  <c r="AO48" i="18"/>
  <c r="AR48" i="18"/>
  <c r="AW48" i="18" s="1"/>
  <c r="AT48" i="18"/>
  <c r="AO74" i="18"/>
  <c r="AR74" i="18"/>
  <c r="AW74" i="18" s="1"/>
  <c r="AT74" i="18"/>
  <c r="AQ74" i="18"/>
  <c r="AR47" i="18"/>
  <c r="AO47" i="18"/>
  <c r="AS47" i="18" s="1"/>
  <c r="AT47" i="18"/>
  <c r="AT75" i="18"/>
  <c r="AR75" i="18"/>
  <c r="AO75" i="18"/>
  <c r="AS75" i="18" s="1"/>
  <c r="Z47" i="18"/>
  <c r="AA47" i="18"/>
  <c r="X75" i="18"/>
  <c r="AC47" i="18"/>
  <c r="AB47" i="18"/>
  <c r="AP47" i="18"/>
  <c r="L41" i="574"/>
  <c r="AS79" i="18" l="1"/>
  <c r="AP79" i="18"/>
  <c r="AQ84" i="18"/>
  <c r="AR57" i="18"/>
  <c r="AO57" i="18"/>
  <c r="AS57" i="18" s="1"/>
  <c r="AT57" i="18"/>
  <c r="AR84" i="18"/>
  <c r="AW84" i="18" s="1"/>
  <c r="AO84" i="18"/>
  <c r="AT84" i="18"/>
  <c r="X85" i="18"/>
  <c r="AC57" i="18"/>
  <c r="AP57" i="18" s="1"/>
  <c r="AA57" i="18"/>
  <c r="Z57" i="18"/>
  <c r="AU75" i="18"/>
  <c r="AV75" i="18"/>
  <c r="P47" i="18"/>
  <c r="Q47" i="18" s="1"/>
  <c r="AF47" i="18"/>
  <c r="G47" i="18"/>
  <c r="AQ47" i="18" s="1"/>
  <c r="H47" i="18"/>
  <c r="I47" i="18"/>
  <c r="AV47" i="18"/>
  <c r="AU47" i="18"/>
  <c r="O47" i="18" s="1"/>
  <c r="AV74" i="18"/>
  <c r="AX74" i="18" s="1"/>
  <c r="AU74" i="18"/>
  <c r="O74" i="18" s="1"/>
  <c r="Y39" i="574" s="1"/>
  <c r="AU69" i="18"/>
  <c r="O69" i="18" s="1"/>
  <c r="Y34" i="574" s="1"/>
  <c r="AV69" i="18"/>
  <c r="AX69" i="18" s="1"/>
  <c r="AC75" i="18"/>
  <c r="AB75" i="18" s="1"/>
  <c r="AA75" i="18"/>
  <c r="Z75" i="18"/>
  <c r="P75" i="18" s="1"/>
  <c r="Q75" i="18" s="1"/>
  <c r="AP75" i="18"/>
  <c r="AW75" i="18"/>
  <c r="AW47" i="18"/>
  <c r="AS74" i="18"/>
  <c r="AP74" i="18"/>
  <c r="AV48" i="18"/>
  <c r="AX48" i="18" s="1"/>
  <c r="AU48" i="18"/>
  <c r="O48" i="18" s="1"/>
  <c r="Y41" i="574" s="1"/>
  <c r="AS48" i="18"/>
  <c r="AP48" i="18"/>
  <c r="I41" i="574"/>
  <c r="J41" i="574" s="1"/>
  <c r="K41" i="574" s="1"/>
  <c r="AS84" i="18" l="1"/>
  <c r="AP84" i="18"/>
  <c r="P57" i="18"/>
  <c r="Q57" i="18" s="1"/>
  <c r="AB57" i="18"/>
  <c r="AC85" i="18"/>
  <c r="AW85" i="18" s="1"/>
  <c r="AX85" i="18" s="1"/>
  <c r="AA85" i="18"/>
  <c r="AB85" i="18"/>
  <c r="Z85" i="18"/>
  <c r="P85" i="18" s="1"/>
  <c r="Q85" i="18" s="1"/>
  <c r="AP85" i="18"/>
  <c r="AU84" i="18"/>
  <c r="O84" i="18" s="1"/>
  <c r="Y49" i="574" s="1"/>
  <c r="AV84" i="18"/>
  <c r="AX84" i="18" s="1"/>
  <c r="AU57" i="18"/>
  <c r="AV57" i="18"/>
  <c r="AW57" i="18"/>
  <c r="H75" i="18"/>
  <c r="AF75" i="18"/>
  <c r="G75" i="18"/>
  <c r="I75" i="18"/>
  <c r="AX47" i="18"/>
  <c r="AX75" i="18"/>
  <c r="M4" i="4"/>
  <c r="P3" i="575"/>
  <c r="D30" i="574"/>
  <c r="D31" i="574"/>
  <c r="D32" i="574"/>
  <c r="D33" i="574"/>
  <c r="D34" i="574"/>
  <c r="D35" i="574"/>
  <c r="D36" i="574"/>
  <c r="D37" i="574"/>
  <c r="D38" i="574"/>
  <c r="D29" i="574"/>
  <c r="D13" i="574"/>
  <c r="D12" i="574"/>
  <c r="AF57" i="18" l="1"/>
  <c r="H57" i="18"/>
  <c r="G57" i="18"/>
  <c r="AX57" i="18"/>
  <c r="AF85" i="18"/>
  <c r="G85" i="18"/>
  <c r="H85" i="18"/>
  <c r="O75" i="18"/>
  <c r="Y40" i="574" s="1"/>
  <c r="AQ75" i="18"/>
  <c r="AK19" i="574"/>
  <c r="AL19" i="574" s="1"/>
  <c r="AK20" i="574"/>
  <c r="AK11" i="574"/>
  <c r="AK18" i="574"/>
  <c r="AK17" i="574"/>
  <c r="AK16" i="574"/>
  <c r="AK13" i="574"/>
  <c r="AK35" i="574"/>
  <c r="AK34" i="574"/>
  <c r="AK33" i="574"/>
  <c r="D62" i="20"/>
  <c r="D34" i="20"/>
  <c r="E5" i="20"/>
  <c r="D5" i="20"/>
  <c r="X6" i="18"/>
  <c r="X5" i="18"/>
  <c r="S14" i="18"/>
  <c r="S9" i="18"/>
  <c r="S8" i="18"/>
  <c r="S7" i="18"/>
  <c r="S6" i="18"/>
  <c r="D62" i="18"/>
  <c r="D34" i="18"/>
  <c r="AN35" i="18" s="1"/>
  <c r="E5" i="18"/>
  <c r="D5" i="18"/>
  <c r="S3" i="18"/>
  <c r="S2" i="18"/>
  <c r="X6" i="17"/>
  <c r="X5" i="17"/>
  <c r="S14" i="17"/>
  <c r="S9" i="17"/>
  <c r="S8" i="17"/>
  <c r="S7" i="17"/>
  <c r="S6" i="17"/>
  <c r="S2" i="17"/>
  <c r="D32" i="17"/>
  <c r="D23" i="17"/>
  <c r="AN24" i="17" s="1"/>
  <c r="E5" i="17"/>
  <c r="D5" i="17"/>
  <c r="D156" i="19"/>
  <c r="D143" i="19"/>
  <c r="D115" i="19"/>
  <c r="D88" i="19"/>
  <c r="D61" i="19"/>
  <c r="D34" i="19"/>
  <c r="E5" i="19"/>
  <c r="D5" i="19"/>
  <c r="D81" i="5"/>
  <c r="D66" i="5"/>
  <c r="D57" i="5"/>
  <c r="D49" i="5"/>
  <c r="D41" i="5"/>
  <c r="D33" i="5"/>
  <c r="E5" i="5"/>
  <c r="D5" i="5"/>
  <c r="O57" i="18" l="1"/>
  <c r="AQ57" i="18"/>
  <c r="O85" i="18"/>
  <c r="AQ85" i="18"/>
  <c r="AN19" i="574" a="1"/>
  <c r="AN19" i="574" s="1"/>
  <c r="AM19" i="574"/>
  <c r="F75" i="5" s="1"/>
  <c r="AL20" i="574"/>
  <c r="AM20" i="574"/>
  <c r="F76" i="5" s="1"/>
  <c r="AN20" i="574" a="1"/>
  <c r="AN20" i="574" s="1"/>
  <c r="AL11" i="574"/>
  <c r="AN11" i="574" a="1"/>
  <c r="AN11" i="574" s="1"/>
  <c r="AM11" i="574"/>
  <c r="F67" i="5" s="1"/>
  <c r="AL18" i="574"/>
  <c r="AM18" i="574"/>
  <c r="F74" i="5" s="1"/>
  <c r="AN18" i="574" a="1"/>
  <c r="AN18" i="574" s="1"/>
  <c r="AL17" i="574"/>
  <c r="AN17" i="574" a="1"/>
  <c r="AN17" i="574" s="1"/>
  <c r="AM17" i="574"/>
  <c r="F73" i="5" s="1"/>
  <c r="AL16" i="574"/>
  <c r="AN16" i="574" a="1"/>
  <c r="AN16" i="574" s="1"/>
  <c r="AM16" i="574"/>
  <c r="F72" i="5" s="1"/>
  <c r="AL13" i="574"/>
  <c r="AN13" i="574" a="1"/>
  <c r="AN13" i="574" s="1"/>
  <c r="AM13" i="574"/>
  <c r="F69" i="5" s="1"/>
  <c r="AL33" i="574"/>
  <c r="E149" i="19" s="1"/>
  <c r="AN33" i="574" a="1"/>
  <c r="AN33" i="574" s="1"/>
  <c r="AM33" i="574"/>
  <c r="F149" i="19" s="1"/>
  <c r="AN34" i="574" a="1"/>
  <c r="AN34" i="574" s="1"/>
  <c r="AL34" i="574"/>
  <c r="E150" i="19" s="1"/>
  <c r="AM34" i="574"/>
  <c r="F150" i="19" s="1"/>
  <c r="AM35" i="574"/>
  <c r="F151" i="19" s="1"/>
  <c r="AN35" i="574" a="1"/>
  <c r="AN35" i="574" s="1"/>
  <c r="AL35" i="574"/>
  <c r="E151" i="19" s="1"/>
  <c r="W5" i="20"/>
  <c r="W4" i="20"/>
  <c r="AC2" i="20"/>
  <c r="W10" i="18"/>
  <c r="W9" i="18"/>
  <c r="AA10" i="18"/>
  <c r="AA9" i="18"/>
  <c r="R9" i="18"/>
  <c r="P9" i="18"/>
  <c r="R8" i="18"/>
  <c r="P8" i="18"/>
  <c r="R7" i="18"/>
  <c r="P7" i="18"/>
  <c r="R6" i="18"/>
  <c r="P6" i="18"/>
  <c r="W6" i="18"/>
  <c r="W5" i="18"/>
  <c r="W3" i="18"/>
  <c r="AC2" i="18"/>
  <c r="R14" i="17"/>
  <c r="Q13" i="17"/>
  <c r="Q12" i="17"/>
  <c r="Q11" i="17"/>
  <c r="W10" i="17"/>
  <c r="W9" i="17"/>
  <c r="AC10" i="17"/>
  <c r="AC9" i="17"/>
  <c r="AA10" i="17"/>
  <c r="AA9" i="17"/>
  <c r="P9" i="17"/>
  <c r="P8" i="17"/>
  <c r="P7" i="17"/>
  <c r="P6" i="17"/>
  <c r="R9" i="17"/>
  <c r="R8" i="17"/>
  <c r="R7" i="17"/>
  <c r="R6" i="17"/>
  <c r="W3" i="17"/>
  <c r="R2" i="17"/>
  <c r="AC2" i="17"/>
  <c r="AC10" i="18"/>
  <c r="AC9" i="18"/>
  <c r="R14" i="18"/>
  <c r="Q13" i="18"/>
  <c r="Q12" i="18"/>
  <c r="Q11" i="18"/>
  <c r="R2" i="18"/>
  <c r="R3" i="18" s="1"/>
  <c r="AB26" i="19"/>
  <c r="AB25" i="19"/>
  <c r="AF26" i="19"/>
  <c r="AF25" i="19"/>
  <c r="W6" i="17"/>
  <c r="W5" i="17"/>
  <c r="X16" i="19"/>
  <c r="X15" i="19"/>
  <c r="X14" i="19"/>
  <c r="X13" i="19"/>
  <c r="Z16" i="19"/>
  <c r="Z15" i="19"/>
  <c r="Z14" i="19"/>
  <c r="Z13" i="19"/>
  <c r="Z12" i="19"/>
  <c r="Z9" i="19"/>
  <c r="Z6" i="19"/>
  <c r="Z5" i="19"/>
  <c r="Z4" i="19"/>
  <c r="T3" i="23"/>
  <c r="D8" i="51"/>
  <c r="D9" i="24"/>
  <c r="P116" i="19"/>
  <c r="O116" i="19"/>
  <c r="Z8" i="19"/>
  <c r="AC4" i="19"/>
  <c r="AD113" i="19"/>
  <c r="AD86" i="19"/>
  <c r="AD59" i="19"/>
  <c r="AB55" i="5"/>
  <c r="AB47" i="5"/>
  <c r="AB39" i="5"/>
  <c r="R116" i="19"/>
  <c r="Q116" i="19"/>
  <c r="R89" i="19"/>
  <c r="Q89" i="19"/>
  <c r="R62" i="19"/>
  <c r="Q62" i="19"/>
  <c r="P58" i="5"/>
  <c r="O58" i="5"/>
  <c r="P50" i="5"/>
  <c r="O50" i="5"/>
  <c r="P42" i="5"/>
  <c r="O42" i="5"/>
  <c r="AB27" i="5"/>
  <c r="AB26" i="5"/>
  <c r="X14" i="5"/>
  <c r="X15" i="5"/>
  <c r="X16" i="5"/>
  <c r="X13" i="5"/>
  <c r="D62" i="23"/>
  <c r="D34" i="23"/>
  <c r="E5" i="23"/>
  <c r="D5" i="23"/>
  <c r="C63" i="21"/>
  <c r="C47" i="21"/>
  <c r="C17" i="21"/>
  <c r="G4" i="4"/>
  <c r="C4" i="4"/>
  <c r="C4" i="574"/>
  <c r="AF27" i="574"/>
  <c r="E27" i="574"/>
  <c r="D27" i="574"/>
  <c r="AF10" i="574"/>
  <c r="E10" i="574"/>
  <c r="D10" i="574"/>
  <c r="D10" i="51"/>
  <c r="G10" i="51" s="1"/>
  <c r="D9" i="51"/>
  <c r="D11" i="24"/>
  <c r="D10" i="24"/>
  <c r="S5" i="23"/>
  <c r="S4" i="23"/>
  <c r="S3" i="23"/>
  <c r="F155" i="19"/>
  <c r="E155" i="19"/>
  <c r="F114" i="19"/>
  <c r="E114" i="19"/>
  <c r="F87" i="19"/>
  <c r="E87" i="19"/>
  <c r="F60" i="19"/>
  <c r="E60" i="19"/>
  <c r="F80" i="5"/>
  <c r="E80" i="5"/>
  <c r="F56" i="5"/>
  <c r="E56" i="5"/>
  <c r="F48" i="5"/>
  <c r="E48" i="5"/>
  <c r="F40" i="5"/>
  <c r="E40" i="5"/>
  <c r="H62" i="21"/>
  <c r="H46" i="21"/>
  <c r="H16" i="21"/>
  <c r="H5" i="21"/>
  <c r="E3" i="4"/>
  <c r="C3" i="574"/>
  <c r="C2" i="574"/>
  <c r="AF27" i="5"/>
  <c r="AF26" i="5"/>
  <c r="AC4" i="5"/>
  <c r="Z16" i="5"/>
  <c r="Z15" i="5"/>
  <c r="Z14" i="5"/>
  <c r="Z13" i="5"/>
  <c r="Z12" i="5"/>
  <c r="Z9" i="5"/>
  <c r="Z8" i="5"/>
  <c r="Z6" i="5"/>
  <c r="Z5" i="5"/>
  <c r="Z4" i="5"/>
  <c r="AC87" i="5" l="1"/>
  <c r="Z87" i="5"/>
  <c r="AB87" i="5"/>
  <c r="AA87" i="5"/>
  <c r="Z84" i="5"/>
  <c r="AB84" i="5"/>
  <c r="AC84" i="5"/>
  <c r="AA84" i="5"/>
  <c r="Z88" i="5"/>
  <c r="AB88" i="5"/>
  <c r="AC88" i="5"/>
  <c r="AA88" i="5"/>
  <c r="Z89" i="5"/>
  <c r="AB89" i="5"/>
  <c r="AC89" i="5"/>
  <c r="AA89" i="5"/>
  <c r="AC91" i="5"/>
  <c r="Z91" i="5"/>
  <c r="AB91" i="5"/>
  <c r="AA91" i="5"/>
  <c r="AB90" i="5"/>
  <c r="AC90" i="5"/>
  <c r="Z90" i="5"/>
  <c r="AA90" i="5"/>
  <c r="AD90" i="5"/>
  <c r="Y50" i="574"/>
  <c r="AD162" i="19"/>
  <c r="AE162" i="19"/>
  <c r="AD163" i="19"/>
  <c r="AE163" i="19"/>
  <c r="AB163" i="19"/>
  <c r="AC163" i="19"/>
  <c r="AD164" i="19"/>
  <c r="AE164" i="19"/>
  <c r="AB164" i="19"/>
  <c r="AC164" i="19"/>
  <c r="AB162" i="19"/>
  <c r="AC162" i="19"/>
  <c r="X79" i="19"/>
  <c r="X133" i="19" s="1"/>
  <c r="Z72" i="19"/>
  <c r="Z126" i="19" s="1"/>
  <c r="Z64" i="19"/>
  <c r="Z118" i="19" s="1"/>
  <c r="Z80" i="19"/>
  <c r="Z134" i="19" s="1"/>
  <c r="X76" i="19"/>
  <c r="X130" i="19" s="1"/>
  <c r="X64" i="19"/>
  <c r="X118" i="19" s="1"/>
  <c r="X72" i="19"/>
  <c r="X126" i="19" s="1"/>
  <c r="AH126" i="19" s="1"/>
  <c r="Z76" i="19"/>
  <c r="Z130" i="19" s="1"/>
  <c r="Z67" i="19"/>
  <c r="Z121" i="19" s="1"/>
  <c r="Z71" i="19"/>
  <c r="Z125" i="19" s="1"/>
  <c r="Z70" i="19"/>
  <c r="Z124" i="19" s="1"/>
  <c r="X71" i="19"/>
  <c r="X125" i="19" s="1"/>
  <c r="AH125" i="19" s="1"/>
  <c r="Z79" i="19"/>
  <c r="Z133" i="19" s="1"/>
  <c r="X70" i="19"/>
  <c r="X124" i="19" s="1"/>
  <c r="AH124" i="19" s="1"/>
  <c r="X75" i="19"/>
  <c r="X129" i="19" s="1"/>
  <c r="X68" i="19"/>
  <c r="X122" i="19" s="1"/>
  <c r="X77" i="19"/>
  <c r="X131" i="19" s="1"/>
  <c r="Z77" i="19"/>
  <c r="Z131" i="19" s="1"/>
  <c r="Z68" i="19"/>
  <c r="Z122" i="19" s="1"/>
  <c r="Z73" i="19"/>
  <c r="Z127" i="19" s="1"/>
  <c r="X67" i="19"/>
  <c r="X121" i="19" s="1"/>
  <c r="X73" i="19"/>
  <c r="X127" i="19" s="1"/>
  <c r="X80" i="19"/>
  <c r="X134" i="19" s="1"/>
  <c r="Z75" i="19"/>
  <c r="Z129" i="19" s="1"/>
  <c r="Z69" i="19"/>
  <c r="Z123" i="19" s="1"/>
  <c r="X63" i="19"/>
  <c r="X117" i="19" s="1"/>
  <c r="Z63" i="19"/>
  <c r="Z117" i="19" s="1"/>
  <c r="X82" i="19"/>
  <c r="X136" i="19" s="1"/>
  <c r="AH136" i="19" s="1"/>
  <c r="Z82" i="19"/>
  <c r="Z136" i="19" s="1"/>
  <c r="X65" i="19"/>
  <c r="X119" i="19" s="1"/>
  <c r="Z65" i="19"/>
  <c r="Z119" i="19" s="1"/>
  <c r="Z66" i="19"/>
  <c r="Z120" i="19" s="1"/>
  <c r="X66" i="19"/>
  <c r="X120" i="19" s="1"/>
  <c r="Z81" i="19"/>
  <c r="Z135" i="19" s="1"/>
  <c r="X81" i="19"/>
  <c r="X135" i="19" s="1"/>
  <c r="X78" i="19"/>
  <c r="X132" i="19" s="1"/>
  <c r="Z78" i="19"/>
  <c r="Z132" i="19" s="1"/>
  <c r="X74" i="19"/>
  <c r="X128" i="19" s="1"/>
  <c r="Z74" i="19"/>
  <c r="Z128" i="19" s="1"/>
  <c r="X69" i="19"/>
  <c r="X123" i="19" s="1"/>
  <c r="X83" i="19"/>
  <c r="X137" i="19" s="1"/>
  <c r="AH137" i="19" s="1"/>
  <c r="Z83" i="19"/>
  <c r="Z137" i="19" s="1"/>
  <c r="Y76" i="19"/>
  <c r="Y130" i="19" s="1"/>
  <c r="Y64" i="19"/>
  <c r="Y118" i="19" s="1"/>
  <c r="Y75" i="19"/>
  <c r="Y129" i="19" s="1"/>
  <c r="AA64" i="19"/>
  <c r="Y80" i="19"/>
  <c r="Y134" i="19" s="1"/>
  <c r="AA80" i="19"/>
  <c r="AA79" i="19"/>
  <c r="AA75" i="19"/>
  <c r="Y67" i="19"/>
  <c r="Y121" i="19" s="1"/>
  <c r="AA70" i="19"/>
  <c r="AA71" i="19"/>
  <c r="Y70" i="19"/>
  <c r="Y124" i="19" s="1"/>
  <c r="Y71" i="19"/>
  <c r="Y125" i="19" s="1"/>
  <c r="AI125" i="19" s="1"/>
  <c r="AA76" i="19"/>
  <c r="Y79" i="19"/>
  <c r="Y133" i="19" s="1"/>
  <c r="AA72" i="19"/>
  <c r="Y72" i="19"/>
  <c r="Y126" i="19" s="1"/>
  <c r="AI126" i="19" s="1"/>
  <c r="Y68" i="19"/>
  <c r="Y122" i="19" s="1"/>
  <c r="Y77" i="19"/>
  <c r="Y131" i="19" s="1"/>
  <c r="AA68" i="19"/>
  <c r="AA67" i="19"/>
  <c r="AA77" i="19"/>
  <c r="Y73" i="19"/>
  <c r="Y127" i="19" s="1"/>
  <c r="AI127" i="19" s="1"/>
  <c r="AA73" i="19"/>
  <c r="Y63" i="19"/>
  <c r="Y117" i="19" s="1"/>
  <c r="AI117" i="19" s="1"/>
  <c r="AA63" i="19"/>
  <c r="Y82" i="19"/>
  <c r="Y136" i="19" s="1"/>
  <c r="AA82" i="19"/>
  <c r="Y65" i="19"/>
  <c r="Y119" i="19" s="1"/>
  <c r="AA65" i="19"/>
  <c r="Y81" i="19"/>
  <c r="Y135" i="19" s="1"/>
  <c r="Y66" i="19"/>
  <c r="Y120" i="19" s="1"/>
  <c r="AA66" i="19"/>
  <c r="AA81" i="19"/>
  <c r="AA78" i="19"/>
  <c r="Y78" i="19"/>
  <c r="Y132" i="19" s="1"/>
  <c r="Y74" i="19"/>
  <c r="Y128" i="19" s="1"/>
  <c r="AA74" i="19"/>
  <c r="AA69" i="19"/>
  <c r="Y69" i="19"/>
  <c r="Y123" i="19" s="1"/>
  <c r="AA83" i="19"/>
  <c r="Y83" i="19"/>
  <c r="Y137" i="19" s="1"/>
  <c r="AI137" i="19" s="1"/>
  <c r="Q42" i="19" a="1"/>
  <c r="Q42" i="19" s="1"/>
  <c r="S42" i="19" s="1"/>
  <c r="L42" i="19" s="1"/>
  <c r="Q39" i="19" a="1"/>
  <c r="Q39" i="19" s="1"/>
  <c r="S39" i="19" s="1"/>
  <c r="L39" i="19" s="1"/>
  <c r="Q45" i="19" a="1"/>
  <c r="Q45" i="19" s="1"/>
  <c r="S45" i="19" s="1"/>
  <c r="L45" i="19" s="1"/>
  <c r="Q36" i="19" a="1"/>
  <c r="Q36" i="19" s="1"/>
  <c r="S36" i="19" s="1"/>
  <c r="L36" i="19" s="1"/>
  <c r="T45" i="19" a="1"/>
  <c r="T45" i="19" s="1"/>
  <c r="V45" i="19" s="1"/>
  <c r="M45" i="19" s="1"/>
  <c r="Q55" i="19" a="1"/>
  <c r="Q55" i="19" s="1"/>
  <c r="S55" i="19" s="1"/>
  <c r="L55" i="19" s="1"/>
  <c r="Q52" i="19" a="1"/>
  <c r="Q52" i="19" s="1"/>
  <c r="S52" i="19" s="1"/>
  <c r="L52" i="19" s="1"/>
  <c r="Q49" i="19" a="1"/>
  <c r="Q49" i="19" s="1"/>
  <c r="S49" i="19" s="1"/>
  <c r="L49" i="19" s="1"/>
  <c r="Q53" i="19" a="1"/>
  <c r="Q53" i="19" s="1"/>
  <c r="S53" i="19" s="1"/>
  <c r="L53" i="19" s="1"/>
  <c r="T56" i="19" a="1"/>
  <c r="T56" i="19" s="1"/>
  <c r="V56" i="19" s="1"/>
  <c r="M56" i="19" s="1"/>
  <c r="Q40" i="19" a="1"/>
  <c r="Q40" i="19" s="1"/>
  <c r="S40" i="19" s="1"/>
  <c r="L40" i="19" s="1"/>
  <c r="T37" i="19" a="1"/>
  <c r="T37" i="19" s="1"/>
  <c r="Q47" i="19" a="1"/>
  <c r="Q47" i="19" s="1"/>
  <c r="S47" i="19" s="1"/>
  <c r="L47" i="19" s="1"/>
  <c r="T43" i="19" a="1"/>
  <c r="T43" i="19" s="1"/>
  <c r="V43" i="19" s="1"/>
  <c r="M43" i="19" s="1"/>
  <c r="T49" i="19" a="1"/>
  <c r="T49" i="19" s="1"/>
  <c r="V49" i="19" s="1"/>
  <c r="M49" i="19" s="1"/>
  <c r="T48" i="19" a="1"/>
  <c r="T48" i="19" s="1"/>
  <c r="V48" i="19" s="1"/>
  <c r="M48" i="19" s="1"/>
  <c r="Q56" i="19" a="1"/>
  <c r="Q56" i="19" s="1"/>
  <c r="S56" i="19" s="1"/>
  <c r="L56" i="19" s="1"/>
  <c r="T47" i="19" a="1"/>
  <c r="T47" i="19" s="1"/>
  <c r="V47" i="19" s="1"/>
  <c r="M47" i="19" s="1"/>
  <c r="Q48" i="19" a="1"/>
  <c r="Q48" i="19" s="1"/>
  <c r="S48" i="19" s="1"/>
  <c r="L48" i="19" s="1"/>
  <c r="T52" i="19" a="1"/>
  <c r="T52" i="19" s="1"/>
  <c r="V52" i="19" s="1"/>
  <c r="M52" i="19" s="1"/>
  <c r="T40" i="19" a="1"/>
  <c r="T40" i="19" s="1"/>
  <c r="V40" i="19" s="1"/>
  <c r="M40" i="19" s="1"/>
  <c r="T50" i="19" a="1"/>
  <c r="T50" i="19" s="1"/>
  <c r="V50" i="19" s="1"/>
  <c r="M50" i="19" s="1"/>
  <c r="Q46" i="19" a="1"/>
  <c r="Q46" i="19" s="1"/>
  <c r="S46" i="19" s="1"/>
  <c r="L46" i="19" s="1"/>
  <c r="T42" i="19" a="1"/>
  <c r="T42" i="19" s="1"/>
  <c r="V42" i="19" s="1"/>
  <c r="M42" i="19" s="1"/>
  <c r="T36" i="19" a="1"/>
  <c r="T36" i="19" s="1"/>
  <c r="V36" i="19" s="1"/>
  <c r="M36" i="19" s="1"/>
  <c r="T53" i="19" a="1"/>
  <c r="T53" i="19" s="1"/>
  <c r="V53" i="19" s="1"/>
  <c r="M53" i="19" s="1"/>
  <c r="Q50" i="19" a="1"/>
  <c r="Q50" i="19" s="1"/>
  <c r="S50" i="19" s="1"/>
  <c r="L50" i="19" s="1"/>
  <c r="Q41" i="19" a="1"/>
  <c r="Q41" i="19" s="1"/>
  <c r="S41" i="19" s="1"/>
  <c r="L41" i="19" s="1"/>
  <c r="Q37" i="19" a="1"/>
  <c r="Q37" i="19" s="1"/>
  <c r="T54" i="19" a="1"/>
  <c r="T54" i="19" s="1"/>
  <c r="V54" i="19" s="1"/>
  <c r="M54" i="19" s="1"/>
  <c r="T46" i="19" a="1"/>
  <c r="T46" i="19" s="1"/>
  <c r="V46" i="19" s="1"/>
  <c r="M46" i="19" s="1"/>
  <c r="Q44" i="19" a="1"/>
  <c r="Q44" i="19" s="1"/>
  <c r="T41" i="19" a="1"/>
  <c r="T41" i="19" s="1"/>
  <c r="V41" i="19" s="1"/>
  <c r="M41" i="19" s="1"/>
  <c r="Q51" i="19" a="1"/>
  <c r="Q51" i="19" s="1"/>
  <c r="S51" i="19" s="1"/>
  <c r="L51" i="19" s="1"/>
  <c r="T38" i="19" a="1"/>
  <c r="T38" i="19" s="1"/>
  <c r="V38" i="19" s="1"/>
  <c r="M38" i="19" s="1"/>
  <c r="Q54" i="19" a="1"/>
  <c r="Q54" i="19" s="1"/>
  <c r="S54" i="19" s="1"/>
  <c r="L54" i="19" s="1"/>
  <c r="T51" i="19" a="1"/>
  <c r="T51" i="19" s="1"/>
  <c r="V51" i="19" s="1"/>
  <c r="M51" i="19" s="1"/>
  <c r="Q38" i="19" a="1"/>
  <c r="Q38" i="19" s="1"/>
  <c r="S38" i="19" s="1"/>
  <c r="L38" i="19" s="1"/>
  <c r="T39" i="19" a="1"/>
  <c r="T39" i="19" s="1"/>
  <c r="V39" i="19" s="1"/>
  <c r="M39" i="19" s="1"/>
  <c r="Q43" i="19" a="1"/>
  <c r="Q43" i="19" s="1"/>
  <c r="S43" i="19" s="1"/>
  <c r="L43" i="19" s="1"/>
  <c r="T55" i="19" a="1"/>
  <c r="T55" i="19" s="1"/>
  <c r="V55" i="19" s="1"/>
  <c r="M55" i="19" s="1"/>
  <c r="T44" i="19" a="1"/>
  <c r="T44" i="19" s="1"/>
  <c r="W44" i="5"/>
  <c r="W60" i="5" s="1"/>
  <c r="AG60" i="5" s="1"/>
  <c r="W43" i="5"/>
  <c r="W59" i="5" s="1"/>
  <c r="AG59" i="5" s="1"/>
  <c r="Y44" i="5"/>
  <c r="V43" i="5"/>
  <c r="V59" i="5" s="1"/>
  <c r="AF59" i="5" s="1"/>
  <c r="V44" i="5"/>
  <c r="V60" i="5" s="1"/>
  <c r="Q35" i="5" a="1"/>
  <c r="Q35" i="5" s="1"/>
  <c r="S35" i="5" s="1"/>
  <c r="L35" i="5" s="1"/>
  <c r="T35" i="5" a="1"/>
  <c r="T35" i="5" s="1"/>
  <c r="V35" i="5" s="1"/>
  <c r="M35" i="5" s="1"/>
  <c r="Q36" i="5" a="1"/>
  <c r="Q36" i="5" s="1"/>
  <c r="S36" i="5" s="1"/>
  <c r="L36" i="5" s="1"/>
  <c r="T36" i="5" a="1"/>
  <c r="T36" i="5" s="1"/>
  <c r="V36" i="5" s="1"/>
  <c r="M36" i="5" s="1"/>
  <c r="AK65" i="20"/>
  <c r="AK66" i="20"/>
  <c r="AK67" i="20"/>
  <c r="AK68" i="20"/>
  <c r="AK69" i="20"/>
  <c r="AK70" i="20"/>
  <c r="AK71" i="20"/>
  <c r="AK72" i="20"/>
  <c r="AK73" i="20"/>
  <c r="AK74" i="20"/>
  <c r="AK75" i="20"/>
  <c r="AK76" i="20"/>
  <c r="AK77" i="20"/>
  <c r="AK78" i="20"/>
  <c r="AK79" i="20"/>
  <c r="AK80" i="20"/>
  <c r="AK81" i="20"/>
  <c r="AK82" i="20"/>
  <c r="AK83" i="20"/>
  <c r="AK84" i="20"/>
  <c r="AK85" i="20"/>
  <c r="AK37" i="20"/>
  <c r="AK38" i="20"/>
  <c r="AK39" i="20"/>
  <c r="AK40" i="20"/>
  <c r="AK41" i="20"/>
  <c r="AK42" i="20"/>
  <c r="AK43" i="20"/>
  <c r="AK44" i="20"/>
  <c r="AK45" i="20"/>
  <c r="AK46" i="20"/>
  <c r="AK47" i="20"/>
  <c r="AK48" i="20"/>
  <c r="AK49" i="20"/>
  <c r="AK50" i="20"/>
  <c r="AK51" i="20"/>
  <c r="AK52" i="20"/>
  <c r="AK53" i="20"/>
  <c r="AK54" i="20"/>
  <c r="AK55" i="20"/>
  <c r="AK56" i="20"/>
  <c r="AK57" i="20"/>
  <c r="S10" i="23"/>
  <c r="G63" i="23" s="1"/>
  <c r="L63" i="23" s="1"/>
  <c r="AF9" i="19"/>
  <c r="AD7" i="5"/>
  <c r="AG9" i="5"/>
  <c r="J90" i="5" l="1"/>
  <c r="I90" i="5"/>
  <c r="G89" i="5"/>
  <c r="M89" i="5" s="1"/>
  <c r="Q89" i="5" s="1"/>
  <c r="AS18" i="574" s="1"/>
  <c r="H89" i="5"/>
  <c r="G90" i="5"/>
  <c r="H90" i="5"/>
  <c r="N90" i="5" s="1"/>
  <c r="R90" i="5" s="1"/>
  <c r="AS19" i="574" s="1"/>
  <c r="G88" i="5"/>
  <c r="M88" i="5" s="1"/>
  <c r="Q88" i="5" s="1"/>
  <c r="AS17" i="574" s="1"/>
  <c r="H88" i="5"/>
  <c r="G91" i="5"/>
  <c r="H91" i="5"/>
  <c r="N91" i="5" s="1"/>
  <c r="R91" i="5" s="1"/>
  <c r="AS20" i="574" s="1"/>
  <c r="H84" i="5"/>
  <c r="G84" i="5"/>
  <c r="M84" i="5" s="1"/>
  <c r="Q84" i="5" s="1"/>
  <c r="AS13" i="574" s="1"/>
  <c r="H87" i="5"/>
  <c r="G87" i="5"/>
  <c r="M87" i="5" s="1"/>
  <c r="Q87" i="5" s="1"/>
  <c r="AS16" i="574" s="1"/>
  <c r="G162" i="19"/>
  <c r="M162" i="19" s="1"/>
  <c r="S162" i="19" s="1"/>
  <c r="AS33" i="574" s="1"/>
  <c r="H162" i="19"/>
  <c r="G164" i="19"/>
  <c r="M164" i="19" s="1"/>
  <c r="S164" i="19" s="1"/>
  <c r="AS35" i="574" s="1"/>
  <c r="H164" i="19"/>
  <c r="G163" i="19"/>
  <c r="H163" i="19"/>
  <c r="M163" i="19"/>
  <c r="S163" i="19" s="1"/>
  <c r="AS34" i="574" s="1"/>
  <c r="AA95" i="19"/>
  <c r="AA122" i="19"/>
  <c r="I122" i="19" s="1"/>
  <c r="AH117" i="19"/>
  <c r="AA98" i="19"/>
  <c r="AA125" i="19"/>
  <c r="H125" i="19" s="1"/>
  <c r="AH119" i="19"/>
  <c r="G119" i="19"/>
  <c r="I119" i="19"/>
  <c r="J119" i="19"/>
  <c r="AC119" i="19"/>
  <c r="AI122" i="19"/>
  <c r="I129" i="19"/>
  <c r="J129" i="19"/>
  <c r="AC129" i="19"/>
  <c r="H129" i="19"/>
  <c r="AA97" i="19"/>
  <c r="AA124" i="19"/>
  <c r="H124" i="19" s="1"/>
  <c r="AH134" i="19"/>
  <c r="I127" i="19"/>
  <c r="AI129" i="19"/>
  <c r="AA99" i="19"/>
  <c r="AA126" i="19"/>
  <c r="G126" i="19" s="1"/>
  <c r="AH127" i="19"/>
  <c r="AA110" i="19"/>
  <c r="AA137" i="19"/>
  <c r="I137" i="19" s="1"/>
  <c r="AI130" i="19"/>
  <c r="AA94" i="19"/>
  <c r="AA121" i="19"/>
  <c r="H121" i="19" s="1"/>
  <c r="G117" i="19"/>
  <c r="I117" i="19"/>
  <c r="J117" i="19"/>
  <c r="AC117" i="19"/>
  <c r="AI124" i="19"/>
  <c r="G125" i="19"/>
  <c r="AI121" i="19"/>
  <c r="AH123" i="19"/>
  <c r="AI131" i="19"/>
  <c r="AA102" i="19"/>
  <c r="AA129" i="19"/>
  <c r="G129" i="19" s="1"/>
  <c r="AA106" i="19"/>
  <c r="AA133" i="19"/>
  <c r="G133" i="19" s="1"/>
  <c r="AI128" i="19"/>
  <c r="I133" i="19"/>
  <c r="J133" i="19"/>
  <c r="AC133" i="19"/>
  <c r="H133" i="19"/>
  <c r="AI119" i="19"/>
  <c r="I128" i="19"/>
  <c r="AA104" i="19"/>
  <c r="AA131" i="19"/>
  <c r="G131" i="19" s="1"/>
  <c r="I131" i="19"/>
  <c r="J131" i="19"/>
  <c r="AC131" i="19"/>
  <c r="H131" i="19"/>
  <c r="AA101" i="19"/>
  <c r="AA128" i="19"/>
  <c r="G128" i="19" s="1"/>
  <c r="AA93" i="19"/>
  <c r="AA120" i="19"/>
  <c r="H120" i="19" s="1"/>
  <c r="AA109" i="19"/>
  <c r="AA136" i="19"/>
  <c r="I136" i="19" s="1"/>
  <c r="AH128" i="19"/>
  <c r="AH118" i="19"/>
  <c r="G120" i="19"/>
  <c r="I120" i="19"/>
  <c r="J120" i="19"/>
  <c r="AC120" i="19"/>
  <c r="AI123" i="19"/>
  <c r="AA96" i="19"/>
  <c r="AA123" i="19"/>
  <c r="H123" i="19" s="1"/>
  <c r="AA105" i="19"/>
  <c r="AA132" i="19"/>
  <c r="G132" i="19" s="1"/>
  <c r="AI136" i="19"/>
  <c r="AH130" i="19"/>
  <c r="AI133" i="19"/>
  <c r="AH131" i="19"/>
  <c r="AI134" i="19"/>
  <c r="AI120" i="19"/>
  <c r="AA90" i="19"/>
  <c r="AA117" i="19"/>
  <c r="H117" i="19" s="1"/>
  <c r="AH132" i="19"/>
  <c r="AH129" i="19"/>
  <c r="AI135" i="19"/>
  <c r="AH135" i="19"/>
  <c r="G118" i="19"/>
  <c r="AH121" i="19"/>
  <c r="AH122" i="19"/>
  <c r="AA108" i="19"/>
  <c r="AA135" i="19"/>
  <c r="AA100" i="19"/>
  <c r="AA127" i="19"/>
  <c r="G127" i="19" s="1"/>
  <c r="I135" i="19"/>
  <c r="J135" i="19"/>
  <c r="AC135" i="19"/>
  <c r="H135" i="19"/>
  <c r="G135" i="19"/>
  <c r="AA103" i="19"/>
  <c r="AA130" i="19"/>
  <c r="G130" i="19" s="1"/>
  <c r="AA107" i="19"/>
  <c r="AA134" i="19"/>
  <c r="G134" i="19" s="1"/>
  <c r="AI132" i="19"/>
  <c r="AA91" i="19"/>
  <c r="AA118" i="19"/>
  <c r="H118" i="19" s="1"/>
  <c r="AI118" i="19"/>
  <c r="AA92" i="19"/>
  <c r="AA119" i="19"/>
  <c r="H119" i="19" s="1"/>
  <c r="AH120" i="19"/>
  <c r="AH133" i="19"/>
  <c r="AI99" i="19"/>
  <c r="Y99" i="19"/>
  <c r="AH106" i="19"/>
  <c r="X106" i="19"/>
  <c r="AH90" i="19"/>
  <c r="X90" i="19"/>
  <c r="X92" i="19"/>
  <c r="AH92" i="19"/>
  <c r="AC63" i="19"/>
  <c r="Z90" i="19"/>
  <c r="AC90" i="19"/>
  <c r="Y106" i="19"/>
  <c r="AI106" i="19"/>
  <c r="AC73" i="19"/>
  <c r="Z100" i="19"/>
  <c r="AC100" i="19"/>
  <c r="Z95" i="19"/>
  <c r="AC95" i="19"/>
  <c r="Y100" i="19"/>
  <c r="AI100" i="19"/>
  <c r="AC82" i="19"/>
  <c r="Z109" i="19"/>
  <c r="AC109" i="19"/>
  <c r="AC69" i="19"/>
  <c r="Z96" i="19"/>
  <c r="AC96" i="19"/>
  <c r="Y98" i="19"/>
  <c r="AI98" i="19"/>
  <c r="AC65" i="19"/>
  <c r="AC92" i="19"/>
  <c r="Z92" i="19"/>
  <c r="AH102" i="19"/>
  <c r="X102" i="19"/>
  <c r="AI104" i="19"/>
  <c r="Y104" i="19"/>
  <c r="AH107" i="19"/>
  <c r="X107" i="19"/>
  <c r="AI110" i="19"/>
  <c r="Y110" i="19"/>
  <c r="X97" i="19"/>
  <c r="AH97" i="19"/>
  <c r="Y102" i="19"/>
  <c r="AI102" i="19"/>
  <c r="Z106" i="19"/>
  <c r="AC106" i="19"/>
  <c r="AI91" i="19"/>
  <c r="Y91" i="19"/>
  <c r="AH98" i="19"/>
  <c r="X98" i="19"/>
  <c r="AC66" i="19"/>
  <c r="Z93" i="19"/>
  <c r="AC93" i="19"/>
  <c r="Y103" i="19"/>
  <c r="AI103" i="19"/>
  <c r="Z97" i="19"/>
  <c r="AC97" i="19"/>
  <c r="AH109" i="19"/>
  <c r="X109" i="19"/>
  <c r="Z110" i="19"/>
  <c r="AC110" i="19"/>
  <c r="Z98" i="19"/>
  <c r="AC98" i="19"/>
  <c r="Y95" i="19"/>
  <c r="AI95" i="19"/>
  <c r="X110" i="19"/>
  <c r="AH110" i="19"/>
  <c r="Z94" i="19"/>
  <c r="AC94" i="19"/>
  <c r="Y105" i="19"/>
  <c r="AI105" i="19"/>
  <c r="AH96" i="19"/>
  <c r="X96" i="19"/>
  <c r="Z103" i="19"/>
  <c r="AC103" i="19"/>
  <c r="X94" i="19"/>
  <c r="AH94" i="19"/>
  <c r="AI96" i="19"/>
  <c r="Y96" i="19"/>
  <c r="X95" i="19"/>
  <c r="AH95" i="19"/>
  <c r="Y92" i="19"/>
  <c r="AI92" i="19"/>
  <c r="Z101" i="19"/>
  <c r="AC101" i="19"/>
  <c r="AH99" i="19"/>
  <c r="X99" i="19"/>
  <c r="AI107" i="19"/>
  <c r="Y107" i="19"/>
  <c r="AH101" i="19"/>
  <c r="X101" i="19"/>
  <c r="X91" i="19"/>
  <c r="AH91" i="19"/>
  <c r="AH93" i="19"/>
  <c r="X93" i="19"/>
  <c r="X100" i="19"/>
  <c r="AH100" i="19"/>
  <c r="AI101" i="19"/>
  <c r="Y101" i="19"/>
  <c r="AI109" i="19"/>
  <c r="Y109" i="19"/>
  <c r="Z105" i="19"/>
  <c r="AC105" i="19"/>
  <c r="X103" i="19"/>
  <c r="AH103" i="19"/>
  <c r="AH104" i="19"/>
  <c r="X104" i="19"/>
  <c r="AI93" i="19"/>
  <c r="Y93" i="19"/>
  <c r="X105" i="19"/>
  <c r="AH105" i="19"/>
  <c r="Z107" i="19"/>
  <c r="AC107" i="19"/>
  <c r="AI97" i="19"/>
  <c r="Y97" i="19"/>
  <c r="AI94" i="19"/>
  <c r="Y94" i="19"/>
  <c r="Y90" i="19"/>
  <c r="AI90" i="19"/>
  <c r="X108" i="19"/>
  <c r="AH108" i="19"/>
  <c r="Z91" i="19"/>
  <c r="AC91" i="19"/>
  <c r="AC75" i="19"/>
  <c r="Z102" i="19"/>
  <c r="AC102" i="19"/>
  <c r="Z104" i="19"/>
  <c r="AC104" i="19"/>
  <c r="Y108" i="19"/>
  <c r="AI108" i="19"/>
  <c r="Z108" i="19"/>
  <c r="AC108" i="19"/>
  <c r="Z99" i="19"/>
  <c r="AC99" i="19"/>
  <c r="AI77" i="19"/>
  <c r="J77" i="19"/>
  <c r="H77" i="19"/>
  <c r="AI71" i="19"/>
  <c r="J71" i="19"/>
  <c r="H71" i="19"/>
  <c r="I80" i="19"/>
  <c r="AH80" i="19"/>
  <c r="G80" i="19"/>
  <c r="AI70" i="19"/>
  <c r="J70" i="19"/>
  <c r="H70" i="19"/>
  <c r="I73" i="19"/>
  <c r="AH73" i="19"/>
  <c r="G73" i="19"/>
  <c r="AH67" i="19"/>
  <c r="I67" i="19"/>
  <c r="G67" i="19"/>
  <c r="AI68" i="19"/>
  <c r="J68" i="19"/>
  <c r="H68" i="19"/>
  <c r="AC68" i="19"/>
  <c r="AC77" i="19"/>
  <c r="I63" i="19"/>
  <c r="AH63" i="19"/>
  <c r="G63" i="19"/>
  <c r="AH77" i="19"/>
  <c r="I77" i="19"/>
  <c r="G77" i="19"/>
  <c r="I68" i="19"/>
  <c r="AH68" i="19"/>
  <c r="G68" i="19"/>
  <c r="I75" i="19"/>
  <c r="AH75" i="19"/>
  <c r="G75" i="19"/>
  <c r="AH70" i="19"/>
  <c r="I70" i="19"/>
  <c r="G70" i="19"/>
  <c r="AC79" i="19"/>
  <c r="J64" i="19"/>
  <c r="AI64" i="19"/>
  <c r="H64" i="19"/>
  <c r="AH71" i="19"/>
  <c r="I71" i="19"/>
  <c r="G71" i="19"/>
  <c r="J76" i="19"/>
  <c r="AI76" i="19"/>
  <c r="H76" i="19"/>
  <c r="AC70" i="19"/>
  <c r="AH65" i="19"/>
  <c r="I65" i="19"/>
  <c r="G65" i="19"/>
  <c r="J79" i="19"/>
  <c r="AI79" i="19"/>
  <c r="H79" i="19"/>
  <c r="J66" i="19"/>
  <c r="AI66" i="19"/>
  <c r="H66" i="19"/>
  <c r="AC83" i="19"/>
  <c r="AC71" i="19"/>
  <c r="J81" i="19"/>
  <c r="AI81" i="19"/>
  <c r="H81" i="19"/>
  <c r="AH83" i="19"/>
  <c r="I83" i="19"/>
  <c r="G83" i="19"/>
  <c r="AC67" i="19"/>
  <c r="I69" i="19"/>
  <c r="AH69" i="19"/>
  <c r="G69" i="19"/>
  <c r="AC76" i="19"/>
  <c r="I82" i="19"/>
  <c r="AH82" i="19"/>
  <c r="G82" i="19"/>
  <c r="AI83" i="19"/>
  <c r="J83" i="19"/>
  <c r="H83" i="19"/>
  <c r="AI67" i="19"/>
  <c r="J67" i="19"/>
  <c r="H67" i="19"/>
  <c r="J80" i="19"/>
  <c r="AI80" i="19"/>
  <c r="H80" i="19"/>
  <c r="AI75" i="19"/>
  <c r="J75" i="19"/>
  <c r="H75" i="19"/>
  <c r="AI65" i="19"/>
  <c r="J65" i="19"/>
  <c r="H65" i="19"/>
  <c r="AC74" i="19"/>
  <c r="AH72" i="19"/>
  <c r="I72" i="19"/>
  <c r="G72" i="19"/>
  <c r="I74" i="19"/>
  <c r="AH74" i="19"/>
  <c r="G74" i="19"/>
  <c r="I64" i="19"/>
  <c r="AH64" i="19"/>
  <c r="G64" i="19"/>
  <c r="J74" i="19"/>
  <c r="AI74" i="19"/>
  <c r="H74" i="19"/>
  <c r="J78" i="19"/>
  <c r="AI78" i="19"/>
  <c r="H78" i="19"/>
  <c r="J82" i="19"/>
  <c r="AI82" i="19"/>
  <c r="H82" i="19"/>
  <c r="AC78" i="19"/>
  <c r="I76" i="19"/>
  <c r="AH76" i="19"/>
  <c r="G76" i="19"/>
  <c r="I78" i="19"/>
  <c r="AH78" i="19"/>
  <c r="G78" i="19"/>
  <c r="AC80" i="19"/>
  <c r="AI63" i="19"/>
  <c r="J63" i="19"/>
  <c r="H63" i="19"/>
  <c r="AH81" i="19"/>
  <c r="I81" i="19"/>
  <c r="G81" i="19"/>
  <c r="AC64" i="19"/>
  <c r="J72" i="19"/>
  <c r="AI72" i="19"/>
  <c r="H72" i="19"/>
  <c r="AI69" i="19"/>
  <c r="J69" i="19"/>
  <c r="H69" i="19"/>
  <c r="AC81" i="19"/>
  <c r="AC72" i="19"/>
  <c r="AI73" i="19"/>
  <c r="J73" i="19"/>
  <c r="H73" i="19"/>
  <c r="AH66" i="19"/>
  <c r="I66" i="19"/>
  <c r="G66" i="19"/>
  <c r="I79" i="19"/>
  <c r="AH79" i="19"/>
  <c r="G79" i="19"/>
  <c r="AF60" i="5"/>
  <c r="Y52" i="5"/>
  <c r="Y60" i="5"/>
  <c r="X44" i="5"/>
  <c r="X60" i="5" s="1"/>
  <c r="V52" i="5"/>
  <c r="AF52" i="5"/>
  <c r="AF43" i="5"/>
  <c r="V51" i="5"/>
  <c r="AF51" i="5"/>
  <c r="AG43" i="5"/>
  <c r="W51" i="5"/>
  <c r="AG51" i="5"/>
  <c r="AG44" i="5"/>
  <c r="W52" i="5"/>
  <c r="AG52" i="5"/>
  <c r="G44" i="5"/>
  <c r="J44" i="5"/>
  <c r="H44" i="5"/>
  <c r="I44" i="5"/>
  <c r="AA44" i="5"/>
  <c r="X43" i="5"/>
  <c r="X59" i="5" s="1"/>
  <c r="K44" i="5"/>
  <c r="L44" i="5"/>
  <c r="K43" i="5"/>
  <c r="L43" i="5"/>
  <c r="AF44" i="5"/>
  <c r="Y43" i="5"/>
  <c r="AG7" i="5"/>
  <c r="C64" i="20"/>
  <c r="P64" i="20"/>
  <c r="C65" i="20"/>
  <c r="P65" i="20"/>
  <c r="C66" i="20"/>
  <c r="P66" i="20"/>
  <c r="C67" i="20"/>
  <c r="P67" i="20"/>
  <c r="C68" i="20"/>
  <c r="P68" i="20"/>
  <c r="C69" i="20"/>
  <c r="P69" i="20"/>
  <c r="C70" i="20"/>
  <c r="P70" i="20"/>
  <c r="C71" i="20"/>
  <c r="P71" i="20"/>
  <c r="C72" i="20"/>
  <c r="P72" i="20"/>
  <c r="C73" i="20"/>
  <c r="P73" i="20"/>
  <c r="C74" i="20"/>
  <c r="P74" i="20"/>
  <c r="C75" i="20"/>
  <c r="P75" i="20"/>
  <c r="C76" i="20"/>
  <c r="P76" i="20"/>
  <c r="C77" i="20"/>
  <c r="P77" i="20"/>
  <c r="C78" i="20"/>
  <c r="P78" i="20"/>
  <c r="C79" i="20"/>
  <c r="P79" i="20"/>
  <c r="C80" i="20"/>
  <c r="P80" i="20"/>
  <c r="C81" i="20"/>
  <c r="P81" i="20"/>
  <c r="C82" i="20"/>
  <c r="P82" i="20"/>
  <c r="C83" i="20"/>
  <c r="P83" i="20"/>
  <c r="C84" i="20"/>
  <c r="P84" i="20"/>
  <c r="C85" i="20"/>
  <c r="P85" i="20"/>
  <c r="AL85" i="20"/>
  <c r="C36" i="20"/>
  <c r="P36" i="20"/>
  <c r="C37" i="20"/>
  <c r="P37" i="20"/>
  <c r="C38" i="20"/>
  <c r="P38" i="20"/>
  <c r="C39" i="20"/>
  <c r="P39" i="20"/>
  <c r="C40" i="20"/>
  <c r="P40" i="20"/>
  <c r="C41" i="20"/>
  <c r="P41" i="20"/>
  <c r="C42" i="20"/>
  <c r="P42" i="20"/>
  <c r="C43" i="20"/>
  <c r="P43" i="20"/>
  <c r="C44" i="20"/>
  <c r="P44" i="20"/>
  <c r="C45" i="20"/>
  <c r="P45" i="20"/>
  <c r="C46" i="20"/>
  <c r="P46" i="20"/>
  <c r="C47" i="20"/>
  <c r="P47" i="20"/>
  <c r="C48" i="20"/>
  <c r="P48" i="20"/>
  <c r="C49" i="20"/>
  <c r="P49" i="20"/>
  <c r="C50" i="20"/>
  <c r="P50" i="20"/>
  <c r="C51" i="20"/>
  <c r="P51" i="20"/>
  <c r="C52" i="20"/>
  <c r="P52" i="20"/>
  <c r="C53" i="20"/>
  <c r="P53" i="20"/>
  <c r="C54" i="20"/>
  <c r="P54" i="20"/>
  <c r="C55" i="20"/>
  <c r="P55" i="20"/>
  <c r="C56" i="20"/>
  <c r="P56" i="20"/>
  <c r="C57" i="20"/>
  <c r="P57" i="20"/>
  <c r="D7" i="20"/>
  <c r="D36" i="20" s="1"/>
  <c r="E7" i="20"/>
  <c r="D64" i="20" s="1"/>
  <c r="F7" i="20"/>
  <c r="E36" i="20" s="1"/>
  <c r="G7" i="20"/>
  <c r="E64" i="20" s="1"/>
  <c r="H7" i="20"/>
  <c r="F64" i="20" s="1"/>
  <c r="AA64" i="20" s="1"/>
  <c r="D8" i="20"/>
  <c r="D37" i="20" s="1"/>
  <c r="E8" i="20"/>
  <c r="D65" i="20" s="1"/>
  <c r="F8" i="20"/>
  <c r="E37" i="20" s="1"/>
  <c r="G8" i="20"/>
  <c r="E65" i="20" s="1"/>
  <c r="H8" i="20"/>
  <c r="F65" i="20" s="1"/>
  <c r="D9" i="20"/>
  <c r="D38" i="20" s="1"/>
  <c r="E9" i="20"/>
  <c r="D66" i="20" s="1"/>
  <c r="F9" i="20"/>
  <c r="E38" i="20" s="1"/>
  <c r="G9" i="20"/>
  <c r="E66" i="20" s="1"/>
  <c r="H9" i="20"/>
  <c r="F66" i="20" s="1"/>
  <c r="AA66" i="20" s="1"/>
  <c r="D10" i="20"/>
  <c r="E10" i="20"/>
  <c r="D67" i="20" s="1"/>
  <c r="F10" i="20"/>
  <c r="E39" i="20" s="1"/>
  <c r="G10" i="20"/>
  <c r="E67" i="20" s="1"/>
  <c r="H10" i="20"/>
  <c r="F39" i="20" s="1"/>
  <c r="AA39" i="20" s="1"/>
  <c r="D11" i="20"/>
  <c r="E11" i="20"/>
  <c r="D68" i="20" s="1"/>
  <c r="F11" i="20"/>
  <c r="E40" i="20" s="1"/>
  <c r="G11" i="20"/>
  <c r="E68" i="20" s="1"/>
  <c r="H11" i="20"/>
  <c r="F40" i="20" s="1"/>
  <c r="AA40" i="20" s="1"/>
  <c r="D12" i="20"/>
  <c r="D41" i="20" s="1"/>
  <c r="E12" i="20"/>
  <c r="D69" i="20" s="1"/>
  <c r="F12" i="20"/>
  <c r="E41" i="20" s="1"/>
  <c r="G12" i="20"/>
  <c r="E69" i="20" s="1"/>
  <c r="H12" i="20"/>
  <c r="F41" i="20" s="1"/>
  <c r="AA41" i="20" s="1"/>
  <c r="D13" i="20"/>
  <c r="D42" i="20" s="1"/>
  <c r="E13" i="20"/>
  <c r="D70" i="20" s="1"/>
  <c r="F13" i="20"/>
  <c r="E42" i="20" s="1"/>
  <c r="G13" i="20"/>
  <c r="E70" i="20" s="1"/>
  <c r="H13" i="20"/>
  <c r="F70" i="20" s="1"/>
  <c r="D14" i="20"/>
  <c r="E14" i="20"/>
  <c r="D71" i="20" s="1"/>
  <c r="F14" i="20"/>
  <c r="E43" i="20" s="1"/>
  <c r="G14" i="20"/>
  <c r="E71" i="20" s="1"/>
  <c r="H14" i="20"/>
  <c r="F71" i="20" s="1"/>
  <c r="AA71" i="20" s="1"/>
  <c r="D15" i="20"/>
  <c r="D44" i="20" s="1"/>
  <c r="E15" i="20"/>
  <c r="D72" i="20" s="1"/>
  <c r="F15" i="20"/>
  <c r="E44" i="20" s="1"/>
  <c r="G15" i="20"/>
  <c r="E72" i="20" s="1"/>
  <c r="H15" i="20"/>
  <c r="F72" i="20" s="1"/>
  <c r="D16" i="20"/>
  <c r="E16" i="20"/>
  <c r="D73" i="20" s="1"/>
  <c r="F16" i="20"/>
  <c r="E45" i="20" s="1"/>
  <c r="G16" i="20"/>
  <c r="H16" i="20"/>
  <c r="F45" i="20" s="1"/>
  <c r="AA45" i="20" s="1"/>
  <c r="D17" i="20"/>
  <c r="D46" i="20" s="1"/>
  <c r="E17" i="20"/>
  <c r="D74" i="20" s="1"/>
  <c r="F17" i="20"/>
  <c r="E46" i="20" s="1"/>
  <c r="G17" i="20"/>
  <c r="E74" i="20" s="1"/>
  <c r="H17" i="20"/>
  <c r="D18" i="20"/>
  <c r="E18" i="20"/>
  <c r="D75" i="20" s="1"/>
  <c r="F18" i="20"/>
  <c r="E47" i="20" s="1"/>
  <c r="G18" i="20"/>
  <c r="E75" i="20" s="1"/>
  <c r="H18" i="20"/>
  <c r="F75" i="20" s="1"/>
  <c r="AA75" i="20" s="1"/>
  <c r="D19" i="20"/>
  <c r="D48" i="20" s="1"/>
  <c r="E19" i="20"/>
  <c r="D76" i="20" s="1"/>
  <c r="F19" i="20"/>
  <c r="E48" i="20" s="1"/>
  <c r="G19" i="20"/>
  <c r="E76" i="20" s="1"/>
  <c r="H19" i="20"/>
  <c r="F76" i="20" s="1"/>
  <c r="AA76" i="20" s="1"/>
  <c r="D20" i="20"/>
  <c r="E20" i="20"/>
  <c r="D77" i="20" s="1"/>
  <c r="F20" i="20"/>
  <c r="E49" i="20" s="1"/>
  <c r="G20" i="20"/>
  <c r="E77" i="20" s="1"/>
  <c r="H20" i="20"/>
  <c r="F49" i="20" s="1"/>
  <c r="AA49" i="20" s="1"/>
  <c r="D21" i="20"/>
  <c r="D50" i="20" s="1"/>
  <c r="E21" i="20"/>
  <c r="F21" i="20"/>
  <c r="E50" i="20" s="1"/>
  <c r="G21" i="20"/>
  <c r="E78" i="20" s="1"/>
  <c r="H21" i="20"/>
  <c r="F50" i="20" s="1"/>
  <c r="AA50" i="20" s="1"/>
  <c r="D22" i="20"/>
  <c r="E22" i="20"/>
  <c r="D79" i="20" s="1"/>
  <c r="F22" i="20"/>
  <c r="E51" i="20" s="1"/>
  <c r="G22" i="20"/>
  <c r="E79" i="20" s="1"/>
  <c r="H22" i="20"/>
  <c r="F51" i="20" s="1"/>
  <c r="AA51" i="20" s="1"/>
  <c r="D23" i="20"/>
  <c r="D52" i="20" s="1"/>
  <c r="E23" i="20"/>
  <c r="D80" i="20" s="1"/>
  <c r="F23" i="20"/>
  <c r="E52" i="20" s="1"/>
  <c r="G23" i="20"/>
  <c r="E80" i="20" s="1"/>
  <c r="H23" i="20"/>
  <c r="F52" i="20" s="1"/>
  <c r="AA52" i="20" s="1"/>
  <c r="D24" i="20"/>
  <c r="D53" i="20" s="1"/>
  <c r="E24" i="20"/>
  <c r="D81" i="20" s="1"/>
  <c r="F24" i="20"/>
  <c r="E53" i="20" s="1"/>
  <c r="G24" i="20"/>
  <c r="E81" i="20" s="1"/>
  <c r="H24" i="20"/>
  <c r="F53" i="20" s="1"/>
  <c r="AA53" i="20" s="1"/>
  <c r="D25" i="20"/>
  <c r="D54" i="20" s="1"/>
  <c r="E25" i="20"/>
  <c r="F25" i="20"/>
  <c r="E54" i="20" s="1"/>
  <c r="G25" i="20"/>
  <c r="E82" i="20" s="1"/>
  <c r="H25" i="20"/>
  <c r="F82" i="20" s="1"/>
  <c r="AA82" i="20" s="1"/>
  <c r="D26" i="20"/>
  <c r="D55" i="20" s="1"/>
  <c r="E26" i="20"/>
  <c r="D83" i="20" s="1"/>
  <c r="F26" i="20"/>
  <c r="E55" i="20" s="1"/>
  <c r="G26" i="20"/>
  <c r="E83" i="20" s="1"/>
  <c r="H26" i="20"/>
  <c r="D27" i="20"/>
  <c r="D56" i="20" s="1"/>
  <c r="E27" i="20"/>
  <c r="D84" i="20" s="1"/>
  <c r="F27" i="20"/>
  <c r="E56" i="20" s="1"/>
  <c r="G27" i="20"/>
  <c r="E84" i="20" s="1"/>
  <c r="H27" i="20"/>
  <c r="D28" i="20"/>
  <c r="D57" i="20" s="1"/>
  <c r="E28" i="20"/>
  <c r="D85" i="20" s="1"/>
  <c r="F28" i="20"/>
  <c r="E57" i="20" s="1"/>
  <c r="G28" i="20"/>
  <c r="E85" i="20" s="1"/>
  <c r="H28" i="20"/>
  <c r="F57" i="20" s="1"/>
  <c r="AA57" i="20" s="1"/>
  <c r="E6" i="20"/>
  <c r="F6" i="20"/>
  <c r="G6" i="20"/>
  <c r="H6" i="20"/>
  <c r="D6" i="20"/>
  <c r="C64" i="23"/>
  <c r="D64" i="23"/>
  <c r="F64" i="23"/>
  <c r="J64" i="23"/>
  <c r="C65" i="23"/>
  <c r="D65" i="23"/>
  <c r="F65" i="23"/>
  <c r="J65" i="23"/>
  <c r="C66" i="23"/>
  <c r="D66" i="23"/>
  <c r="F66" i="23"/>
  <c r="J66" i="23"/>
  <c r="C67" i="23"/>
  <c r="D67" i="23"/>
  <c r="F67" i="23"/>
  <c r="J67" i="23"/>
  <c r="C68" i="23"/>
  <c r="D68" i="23"/>
  <c r="F68" i="23"/>
  <c r="J68" i="23"/>
  <c r="C69" i="23"/>
  <c r="D69" i="23"/>
  <c r="F69" i="23"/>
  <c r="J69" i="23"/>
  <c r="C70" i="23"/>
  <c r="D70" i="23"/>
  <c r="F70" i="23"/>
  <c r="J70" i="23"/>
  <c r="C71" i="23"/>
  <c r="D71" i="23"/>
  <c r="F71" i="23"/>
  <c r="J71" i="23"/>
  <c r="C72" i="23"/>
  <c r="D72" i="23"/>
  <c r="F72" i="23"/>
  <c r="J72" i="23"/>
  <c r="C73" i="23"/>
  <c r="D73" i="23"/>
  <c r="F73" i="23"/>
  <c r="J73" i="23"/>
  <c r="J63" i="23"/>
  <c r="F63" i="23"/>
  <c r="D63" i="23"/>
  <c r="C63" i="23"/>
  <c r="C36" i="23"/>
  <c r="M36" i="23"/>
  <c r="N36" i="23"/>
  <c r="O36" i="23"/>
  <c r="P36" i="23"/>
  <c r="C37" i="23"/>
  <c r="M37" i="23"/>
  <c r="N37" i="23"/>
  <c r="O37" i="23"/>
  <c r="P37" i="23"/>
  <c r="C38" i="23"/>
  <c r="M38" i="23"/>
  <c r="N38" i="23"/>
  <c r="O38" i="23"/>
  <c r="P38" i="23"/>
  <c r="C39" i="23"/>
  <c r="M39" i="23"/>
  <c r="N39" i="23"/>
  <c r="O39" i="23"/>
  <c r="P39" i="23"/>
  <c r="C40" i="23"/>
  <c r="M40" i="23"/>
  <c r="N40" i="23"/>
  <c r="O40" i="23"/>
  <c r="P40" i="23"/>
  <c r="C41" i="23"/>
  <c r="I41" i="23"/>
  <c r="J41" i="23"/>
  <c r="K41" i="23"/>
  <c r="L41" i="23"/>
  <c r="M41" i="23"/>
  <c r="N41" i="23"/>
  <c r="O41" i="23"/>
  <c r="P41" i="23"/>
  <c r="C42" i="23"/>
  <c r="I42" i="23"/>
  <c r="J42" i="23"/>
  <c r="K42" i="23"/>
  <c r="L42" i="23"/>
  <c r="M42" i="23"/>
  <c r="N42" i="23"/>
  <c r="O42" i="23"/>
  <c r="P42" i="23"/>
  <c r="C43" i="23"/>
  <c r="I43" i="23"/>
  <c r="J43" i="23"/>
  <c r="K43" i="23"/>
  <c r="L43" i="23"/>
  <c r="M43" i="23"/>
  <c r="N43" i="23"/>
  <c r="O43" i="23"/>
  <c r="P43" i="23"/>
  <c r="C44" i="23"/>
  <c r="L44" i="23"/>
  <c r="M44" i="23"/>
  <c r="N44" i="23"/>
  <c r="O44" i="23"/>
  <c r="P44" i="23"/>
  <c r="C45" i="23"/>
  <c r="M45" i="23"/>
  <c r="N45" i="23"/>
  <c r="O45" i="23"/>
  <c r="P45" i="23"/>
  <c r="C46" i="23"/>
  <c r="M46" i="23"/>
  <c r="N46" i="23"/>
  <c r="O46" i="23"/>
  <c r="P46" i="23"/>
  <c r="C47" i="23"/>
  <c r="M47" i="23"/>
  <c r="N47" i="23"/>
  <c r="O47" i="23"/>
  <c r="P47" i="23"/>
  <c r="C48" i="23"/>
  <c r="I48" i="23"/>
  <c r="M48" i="23"/>
  <c r="N48" i="23"/>
  <c r="O48" i="23"/>
  <c r="P48" i="23"/>
  <c r="C49" i="23"/>
  <c r="I49" i="23"/>
  <c r="J49" i="23"/>
  <c r="K49" i="23"/>
  <c r="L49" i="23"/>
  <c r="M49" i="23"/>
  <c r="N49" i="23"/>
  <c r="O49" i="23"/>
  <c r="P49" i="23"/>
  <c r="C50" i="23"/>
  <c r="I50" i="23"/>
  <c r="J50" i="23"/>
  <c r="K50" i="23"/>
  <c r="L50" i="23"/>
  <c r="M50" i="23"/>
  <c r="N50" i="23"/>
  <c r="O50" i="23"/>
  <c r="P50" i="23"/>
  <c r="C51" i="23"/>
  <c r="J51" i="23"/>
  <c r="K51" i="23"/>
  <c r="L51" i="23"/>
  <c r="M51" i="23"/>
  <c r="N51" i="23"/>
  <c r="O51" i="23"/>
  <c r="P51" i="23"/>
  <c r="C52" i="23"/>
  <c r="M52" i="23"/>
  <c r="N52" i="23"/>
  <c r="O52" i="23"/>
  <c r="P52" i="23"/>
  <c r="C53" i="23"/>
  <c r="M53" i="23"/>
  <c r="N53" i="23"/>
  <c r="O53" i="23"/>
  <c r="P53" i="23"/>
  <c r="C54" i="23"/>
  <c r="M54" i="23"/>
  <c r="N54" i="23"/>
  <c r="O54" i="23"/>
  <c r="P54" i="23"/>
  <c r="C55" i="23"/>
  <c r="M55" i="23"/>
  <c r="N55" i="23"/>
  <c r="O55" i="23"/>
  <c r="P55" i="23"/>
  <c r="C56" i="23"/>
  <c r="I56" i="23"/>
  <c r="J56" i="23"/>
  <c r="K56" i="23"/>
  <c r="M56" i="23"/>
  <c r="N56" i="23"/>
  <c r="O56" i="23"/>
  <c r="P56" i="23"/>
  <c r="N35" i="23"/>
  <c r="P62" i="19" s="1"/>
  <c r="O35" i="23"/>
  <c r="O89" i="19" s="1"/>
  <c r="P35" i="23"/>
  <c r="P89" i="19" s="1"/>
  <c r="M35" i="23"/>
  <c r="O62" i="19" s="1"/>
  <c r="D7" i="23"/>
  <c r="E7" i="23"/>
  <c r="D36" i="23" s="1"/>
  <c r="F7" i="23"/>
  <c r="G7" i="23"/>
  <c r="H7" i="23"/>
  <c r="E36" i="23" s="1"/>
  <c r="D8" i="23"/>
  <c r="E8" i="23"/>
  <c r="D37" i="23" s="1"/>
  <c r="F8" i="23"/>
  <c r="G8" i="23"/>
  <c r="H8" i="23"/>
  <c r="E37" i="23" s="1"/>
  <c r="D9" i="23"/>
  <c r="E9" i="23"/>
  <c r="D38" i="23" s="1"/>
  <c r="F9" i="23"/>
  <c r="G9" i="23"/>
  <c r="H9" i="23"/>
  <c r="E38" i="23" s="1"/>
  <c r="D10" i="23"/>
  <c r="E10" i="23"/>
  <c r="D39" i="23" s="1"/>
  <c r="F10" i="23"/>
  <c r="G10" i="23"/>
  <c r="H10" i="23"/>
  <c r="E39" i="23" s="1"/>
  <c r="D11" i="23"/>
  <c r="E11" i="23"/>
  <c r="D40" i="23" s="1"/>
  <c r="F11" i="23"/>
  <c r="G11" i="23"/>
  <c r="H11" i="23"/>
  <c r="E40" i="23" s="1"/>
  <c r="D12" i="23"/>
  <c r="E12" i="23"/>
  <c r="D41" i="23" s="1"/>
  <c r="F12" i="23"/>
  <c r="G12" i="23"/>
  <c r="H12" i="23"/>
  <c r="E41" i="23" s="1"/>
  <c r="D13" i="23"/>
  <c r="E13" i="23"/>
  <c r="D42" i="23" s="1"/>
  <c r="F13" i="23"/>
  <c r="G13" i="23"/>
  <c r="H13" i="23"/>
  <c r="F41" i="23" s="1"/>
  <c r="D14" i="23"/>
  <c r="E14" i="23"/>
  <c r="D43" i="23" s="1"/>
  <c r="F14" i="23"/>
  <c r="G14" i="23"/>
  <c r="H14" i="23"/>
  <c r="E43" i="23" s="1"/>
  <c r="D15" i="23"/>
  <c r="E15" i="23"/>
  <c r="D44" i="23" s="1"/>
  <c r="F15" i="23"/>
  <c r="G15" i="23"/>
  <c r="H15" i="23"/>
  <c r="F43" i="23" s="1"/>
  <c r="D16" i="23"/>
  <c r="E16" i="23"/>
  <c r="D45" i="23" s="1"/>
  <c r="F16" i="23"/>
  <c r="G16" i="23"/>
  <c r="H16" i="23"/>
  <c r="E45" i="23" s="1"/>
  <c r="D17" i="23"/>
  <c r="E17" i="23"/>
  <c r="D46" i="23" s="1"/>
  <c r="F17" i="23"/>
  <c r="G17" i="23"/>
  <c r="H17" i="23"/>
  <c r="E46" i="23" s="1"/>
  <c r="D18" i="23"/>
  <c r="E18" i="23"/>
  <c r="D47" i="23" s="1"/>
  <c r="F18" i="23"/>
  <c r="G18" i="23"/>
  <c r="H18" i="23"/>
  <c r="E47" i="23" s="1"/>
  <c r="D19" i="23"/>
  <c r="E19" i="23"/>
  <c r="D48" i="23" s="1"/>
  <c r="F19" i="23"/>
  <c r="G19" i="23"/>
  <c r="H19" i="23"/>
  <c r="E48" i="23" s="1"/>
  <c r="D20" i="23"/>
  <c r="E20" i="23"/>
  <c r="D49" i="23" s="1"/>
  <c r="F20" i="23"/>
  <c r="G20" i="23"/>
  <c r="H20" i="23"/>
  <c r="E49" i="23" s="1"/>
  <c r="D21" i="23"/>
  <c r="E21" i="23"/>
  <c r="D50" i="23" s="1"/>
  <c r="F21" i="23"/>
  <c r="G21" i="23"/>
  <c r="H21" i="23"/>
  <c r="E50" i="23" s="1"/>
  <c r="D22" i="23"/>
  <c r="E22" i="23"/>
  <c r="D51" i="23" s="1"/>
  <c r="F22" i="23"/>
  <c r="G22" i="23"/>
  <c r="H22" i="23"/>
  <c r="F50" i="23" s="1"/>
  <c r="D23" i="23"/>
  <c r="E23" i="23"/>
  <c r="D52" i="23" s="1"/>
  <c r="F23" i="23"/>
  <c r="G23" i="23"/>
  <c r="H23" i="23"/>
  <c r="E52" i="23" s="1"/>
  <c r="D24" i="23"/>
  <c r="E24" i="23"/>
  <c r="D53" i="23" s="1"/>
  <c r="F24" i="23"/>
  <c r="G24" i="23"/>
  <c r="H24" i="23"/>
  <c r="E53" i="23" s="1"/>
  <c r="D25" i="23"/>
  <c r="E25" i="23"/>
  <c r="D54" i="23" s="1"/>
  <c r="F25" i="23"/>
  <c r="G25" i="23"/>
  <c r="H25" i="23"/>
  <c r="E54" i="23" s="1"/>
  <c r="D26" i="23"/>
  <c r="E26" i="23"/>
  <c r="D55" i="23" s="1"/>
  <c r="F26" i="23"/>
  <c r="G26" i="23"/>
  <c r="H26" i="23"/>
  <c r="E55" i="23" s="1"/>
  <c r="D27" i="23"/>
  <c r="E27" i="23"/>
  <c r="D56" i="23" s="1"/>
  <c r="F27" i="23"/>
  <c r="G27" i="23"/>
  <c r="H27" i="23"/>
  <c r="E56" i="23" s="1"/>
  <c r="D28" i="23"/>
  <c r="E28" i="23"/>
  <c r="F28" i="23"/>
  <c r="G28" i="23"/>
  <c r="H28" i="23"/>
  <c r="F56" i="23" s="1"/>
  <c r="E6" i="23"/>
  <c r="F6" i="23"/>
  <c r="G6" i="23"/>
  <c r="H6" i="23"/>
  <c r="D6" i="23"/>
  <c r="K37" i="23"/>
  <c r="I38" i="23"/>
  <c r="I39" i="23"/>
  <c r="I40" i="23"/>
  <c r="I44" i="23"/>
  <c r="I45" i="23"/>
  <c r="L46" i="23"/>
  <c r="K47" i="23"/>
  <c r="J48" i="23"/>
  <c r="I51" i="23"/>
  <c r="I52" i="23"/>
  <c r="J53" i="23"/>
  <c r="I54" i="23"/>
  <c r="I55" i="23"/>
  <c r="L56" i="23"/>
  <c r="AK30" i="574"/>
  <c r="I35" i="574"/>
  <c r="J35" i="574" s="1"/>
  <c r="K35" i="574" s="1"/>
  <c r="L35" i="574"/>
  <c r="I36" i="574"/>
  <c r="J36" i="574" s="1"/>
  <c r="K36" i="574" s="1"/>
  <c r="L36" i="574"/>
  <c r="I37" i="574"/>
  <c r="J37" i="574" s="1"/>
  <c r="K37" i="574" s="1"/>
  <c r="L37" i="574"/>
  <c r="I38" i="574"/>
  <c r="J38" i="574" s="1"/>
  <c r="K38" i="574" s="1"/>
  <c r="L38" i="574"/>
  <c r="I40" i="574"/>
  <c r="J40" i="574" s="1"/>
  <c r="K40" i="574" s="1"/>
  <c r="L40" i="574"/>
  <c r="H126" i="19" l="1"/>
  <c r="AC126" i="19"/>
  <c r="J126" i="19"/>
  <c r="I126" i="19"/>
  <c r="AC137" i="19"/>
  <c r="H134" i="19"/>
  <c r="AC134" i="19"/>
  <c r="J124" i="19"/>
  <c r="J134" i="19"/>
  <c r="G124" i="19"/>
  <c r="I134" i="19"/>
  <c r="I124" i="19"/>
  <c r="AC124" i="19"/>
  <c r="AC130" i="19"/>
  <c r="H130" i="19"/>
  <c r="J130" i="19"/>
  <c r="I130" i="19"/>
  <c r="AC121" i="19"/>
  <c r="G121" i="19"/>
  <c r="H122" i="19"/>
  <c r="J121" i="19"/>
  <c r="AC122" i="19"/>
  <c r="I123" i="19"/>
  <c r="I121" i="19"/>
  <c r="J122" i="19"/>
  <c r="G123" i="19"/>
  <c r="G122" i="19"/>
  <c r="AC123" i="19"/>
  <c r="J123" i="19"/>
  <c r="H132" i="19"/>
  <c r="H136" i="19"/>
  <c r="H137" i="19"/>
  <c r="AC132" i="19"/>
  <c r="G136" i="19"/>
  <c r="G137" i="19"/>
  <c r="AC118" i="19"/>
  <c r="J132" i="19"/>
  <c r="AC128" i="19"/>
  <c r="AC125" i="19"/>
  <c r="AC127" i="19"/>
  <c r="AC136" i="19"/>
  <c r="J137" i="19"/>
  <c r="J118" i="19"/>
  <c r="I132" i="19"/>
  <c r="H128" i="19"/>
  <c r="J125" i="19"/>
  <c r="H127" i="19"/>
  <c r="J136" i="19"/>
  <c r="I118" i="19"/>
  <c r="J128" i="19"/>
  <c r="I125" i="19"/>
  <c r="J127" i="19"/>
  <c r="J108" i="19"/>
  <c r="H108" i="19"/>
  <c r="I100" i="19"/>
  <c r="G100" i="19"/>
  <c r="J95" i="19"/>
  <c r="H95" i="19"/>
  <c r="I93" i="19"/>
  <c r="G93" i="19"/>
  <c r="I91" i="19"/>
  <c r="G91" i="19"/>
  <c r="J98" i="19"/>
  <c r="H98" i="19"/>
  <c r="I101" i="19"/>
  <c r="G101" i="19"/>
  <c r="I109" i="19"/>
  <c r="G109" i="19"/>
  <c r="J107" i="19"/>
  <c r="H107" i="19"/>
  <c r="I108" i="19"/>
  <c r="G108" i="19"/>
  <c r="I99" i="19"/>
  <c r="G99" i="19"/>
  <c r="J90" i="19"/>
  <c r="H90" i="19"/>
  <c r="J103" i="19"/>
  <c r="H103" i="19"/>
  <c r="J94" i="19"/>
  <c r="H94" i="19"/>
  <c r="J100" i="19"/>
  <c r="H100" i="19"/>
  <c r="J97" i="19"/>
  <c r="H97" i="19"/>
  <c r="J92" i="19"/>
  <c r="H92" i="19"/>
  <c r="I98" i="19"/>
  <c r="G98" i="19"/>
  <c r="I95" i="19"/>
  <c r="G95" i="19"/>
  <c r="J91" i="19"/>
  <c r="H91" i="19"/>
  <c r="J96" i="19"/>
  <c r="H96" i="19"/>
  <c r="I105" i="19"/>
  <c r="G105" i="19"/>
  <c r="J93" i="19"/>
  <c r="H93" i="19"/>
  <c r="J106" i="19"/>
  <c r="H106" i="19"/>
  <c r="I94" i="19"/>
  <c r="G94" i="19"/>
  <c r="I104" i="19"/>
  <c r="G104" i="19"/>
  <c r="J102" i="19"/>
  <c r="H102" i="19"/>
  <c r="I96" i="19"/>
  <c r="G96" i="19"/>
  <c r="I97" i="19"/>
  <c r="G97" i="19"/>
  <c r="I103" i="19"/>
  <c r="G103" i="19"/>
  <c r="J110" i="19"/>
  <c r="H110" i="19"/>
  <c r="I92" i="19"/>
  <c r="G92" i="19"/>
  <c r="I90" i="19"/>
  <c r="G90" i="19"/>
  <c r="J105" i="19"/>
  <c r="H105" i="19"/>
  <c r="I107" i="19"/>
  <c r="G107" i="19"/>
  <c r="J109" i="19"/>
  <c r="H109" i="19"/>
  <c r="I106" i="19"/>
  <c r="G106" i="19"/>
  <c r="J104" i="19"/>
  <c r="H104" i="19"/>
  <c r="J101" i="19"/>
  <c r="H101" i="19"/>
  <c r="J99" i="19"/>
  <c r="H99" i="19"/>
  <c r="I110" i="19"/>
  <c r="G110" i="19"/>
  <c r="I102" i="19"/>
  <c r="G102" i="19"/>
  <c r="Y51" i="5"/>
  <c r="Y59" i="5"/>
  <c r="J59" i="5"/>
  <c r="AA59" i="5"/>
  <c r="I59" i="5"/>
  <c r="G59" i="5"/>
  <c r="H59" i="5"/>
  <c r="G60" i="5"/>
  <c r="J60" i="5"/>
  <c r="I60" i="5"/>
  <c r="AA60" i="5"/>
  <c r="H60" i="5"/>
  <c r="X51" i="5"/>
  <c r="AA51" i="5"/>
  <c r="X52" i="5"/>
  <c r="AA52" i="5"/>
  <c r="G43" i="5"/>
  <c r="H43" i="5"/>
  <c r="I43" i="5"/>
  <c r="J43" i="5"/>
  <c r="AA43" i="5"/>
  <c r="AL30" i="574"/>
  <c r="E146" i="19" s="1"/>
  <c r="Y82" i="20"/>
  <c r="Z39" i="20"/>
  <c r="R39" i="20" s="1"/>
  <c r="J50" i="20"/>
  <c r="I28" i="23"/>
  <c r="J28" i="23" s="1"/>
  <c r="K28" i="23" s="1"/>
  <c r="I12" i="23"/>
  <c r="J12" i="23" s="1"/>
  <c r="K12" i="23" s="1"/>
  <c r="F51" i="23"/>
  <c r="X41" i="20"/>
  <c r="F46" i="23"/>
  <c r="I21" i="20"/>
  <c r="J21" i="20" s="1"/>
  <c r="Y76" i="20"/>
  <c r="F77" i="20"/>
  <c r="AA77" i="20" s="1"/>
  <c r="I11" i="20"/>
  <c r="J11" i="20" s="1"/>
  <c r="K11" i="20" s="1"/>
  <c r="F47" i="23"/>
  <c r="X50" i="20"/>
  <c r="F43" i="20"/>
  <c r="AA43" i="20" s="1"/>
  <c r="Z43" i="20" s="1"/>
  <c r="R43" i="20" s="1"/>
  <c r="I13" i="23"/>
  <c r="J13" i="23" s="1"/>
  <c r="K13" i="23" s="1"/>
  <c r="Y51" i="20"/>
  <c r="Z49" i="20"/>
  <c r="R49" i="20" s="1"/>
  <c r="I21" i="23"/>
  <c r="J21" i="23" s="1"/>
  <c r="K21" i="23" s="1"/>
  <c r="I25" i="23"/>
  <c r="J25" i="23" s="1"/>
  <c r="K25" i="23" s="1"/>
  <c r="I17" i="23"/>
  <c r="J17" i="23" s="1"/>
  <c r="K17" i="23" s="1"/>
  <c r="I9" i="23"/>
  <c r="J9" i="23" s="1"/>
  <c r="K9" i="23" s="1"/>
  <c r="I8" i="23"/>
  <c r="J8" i="23" s="1"/>
  <c r="K8" i="23" s="1"/>
  <c r="I11" i="23"/>
  <c r="J11" i="23" s="1"/>
  <c r="K11" i="23" s="1"/>
  <c r="Y71" i="20"/>
  <c r="I22" i="23"/>
  <c r="J22" i="23" s="1"/>
  <c r="K22" i="23" s="1"/>
  <c r="Z57" i="20"/>
  <c r="R57" i="20" s="1"/>
  <c r="Z82" i="20"/>
  <c r="R82" i="20" s="1"/>
  <c r="F48" i="20"/>
  <c r="J48" i="20" s="1"/>
  <c r="J45" i="20"/>
  <c r="F68" i="20"/>
  <c r="AA68" i="20" s="1"/>
  <c r="F49" i="23"/>
  <c r="Z41" i="20"/>
  <c r="R41" i="20" s="1"/>
  <c r="F44" i="23"/>
  <c r="F81" i="20"/>
  <c r="AA81" i="20" s="1"/>
  <c r="Y65" i="20"/>
  <c r="I7" i="23"/>
  <c r="J7" i="23" s="1"/>
  <c r="K7" i="23" s="1"/>
  <c r="X49" i="20"/>
  <c r="D78" i="20"/>
  <c r="I23" i="23"/>
  <c r="J23" i="23" s="1"/>
  <c r="K23" i="23" s="1"/>
  <c r="I15" i="23"/>
  <c r="J15" i="23" s="1"/>
  <c r="K15" i="23" s="1"/>
  <c r="I22" i="20"/>
  <c r="J22" i="20" s="1"/>
  <c r="I18" i="23"/>
  <c r="J18" i="23" s="1"/>
  <c r="K18" i="23" s="1"/>
  <c r="I24" i="20"/>
  <c r="J24" i="20" s="1"/>
  <c r="K24" i="20" s="1"/>
  <c r="F38" i="20"/>
  <c r="AA38" i="20" s="1"/>
  <c r="Z38" i="20" s="1"/>
  <c r="R38" i="20" s="1"/>
  <c r="I16" i="23"/>
  <c r="J16" i="23" s="1"/>
  <c r="K16" i="23" s="1"/>
  <c r="E42" i="23"/>
  <c r="I18" i="20"/>
  <c r="J18" i="20" s="1"/>
  <c r="I10" i="20"/>
  <c r="J10" i="20" s="1"/>
  <c r="F37" i="20"/>
  <c r="AA37" i="20" s="1"/>
  <c r="Z37" i="20" s="1"/>
  <c r="R37" i="20" s="1"/>
  <c r="Z66" i="20"/>
  <c r="R66" i="20" s="1"/>
  <c r="X66" i="20"/>
  <c r="Y66" i="20"/>
  <c r="Z53" i="20"/>
  <c r="R53" i="20" s="1"/>
  <c r="Y53" i="20"/>
  <c r="X53" i="20"/>
  <c r="X64" i="20"/>
  <c r="I24" i="23"/>
  <c r="J24" i="23" s="1"/>
  <c r="K24" i="23" s="1"/>
  <c r="I10" i="23"/>
  <c r="J10" i="23" s="1"/>
  <c r="K10" i="23" s="1"/>
  <c r="E51" i="23"/>
  <c r="F48" i="23"/>
  <c r="F45" i="23"/>
  <c r="F84" i="20"/>
  <c r="AA84" i="20" s="1"/>
  <c r="F56" i="20"/>
  <c r="AA56" i="20" s="1"/>
  <c r="Z56" i="20" s="1"/>
  <c r="R56" i="20" s="1"/>
  <c r="Z50" i="20"/>
  <c r="R50" i="20" s="1"/>
  <c r="I14" i="20"/>
  <c r="J14" i="20" s="1"/>
  <c r="Z64" i="20"/>
  <c r="R64" i="20" s="1"/>
  <c r="J53" i="20"/>
  <c r="X82" i="20"/>
  <c r="F79" i="20"/>
  <c r="Z79" i="20" s="1"/>
  <c r="F73" i="20"/>
  <c r="AA73" i="20" s="1"/>
  <c r="Z71" i="20"/>
  <c r="R71" i="20" s="1"/>
  <c r="X71" i="20"/>
  <c r="F69" i="20"/>
  <c r="AA69" i="20" s="1"/>
  <c r="I19" i="23"/>
  <c r="J19" i="23" s="1"/>
  <c r="K19" i="23" s="1"/>
  <c r="D49" i="20"/>
  <c r="I20" i="20"/>
  <c r="J20" i="20" s="1"/>
  <c r="K20" i="20" s="1"/>
  <c r="Z75" i="20"/>
  <c r="R75" i="20" s="1"/>
  <c r="Y49" i="20"/>
  <c r="F44" i="20"/>
  <c r="X44" i="20" s="1"/>
  <c r="F85" i="20"/>
  <c r="AA85" i="20" s="1"/>
  <c r="AO85" i="20" s="1"/>
  <c r="J82" i="20"/>
  <c r="Z76" i="20"/>
  <c r="R76" i="20" s="1"/>
  <c r="X76" i="20"/>
  <c r="F67" i="20"/>
  <c r="AA67" i="20" s="1"/>
  <c r="E44" i="23"/>
  <c r="I28" i="20"/>
  <c r="J28" i="20" s="1"/>
  <c r="K28" i="20" s="1"/>
  <c r="I19" i="20"/>
  <c r="J19" i="20" s="1"/>
  <c r="AA65" i="20"/>
  <c r="X65" i="20"/>
  <c r="Z51" i="20"/>
  <c r="R51" i="20" s="1"/>
  <c r="X51" i="20"/>
  <c r="Z40" i="20"/>
  <c r="R40" i="20" s="1"/>
  <c r="X40" i="20"/>
  <c r="Y40" i="20"/>
  <c r="F42" i="23"/>
  <c r="J49" i="20"/>
  <c r="F36" i="20"/>
  <c r="AA36" i="20" s="1"/>
  <c r="Z36" i="20" s="1"/>
  <c r="R36" i="20" s="1"/>
  <c r="F80" i="20"/>
  <c r="AA80" i="20" s="1"/>
  <c r="I20" i="23"/>
  <c r="J20" i="23" s="1"/>
  <c r="K20" i="23" s="1"/>
  <c r="F55" i="23"/>
  <c r="F54" i="23"/>
  <c r="F53" i="23"/>
  <c r="F52" i="23"/>
  <c r="F40" i="23"/>
  <c r="F39" i="23"/>
  <c r="F38" i="23"/>
  <c r="F37" i="23"/>
  <c r="F36" i="23"/>
  <c r="Z45" i="20"/>
  <c r="R45" i="20" s="1"/>
  <c r="J57" i="20"/>
  <c r="F54" i="20"/>
  <c r="J54" i="20" s="1"/>
  <c r="J52" i="20"/>
  <c r="Y50" i="20"/>
  <c r="Y45" i="20"/>
  <c r="J41" i="20"/>
  <c r="Y39" i="20"/>
  <c r="Y75" i="20"/>
  <c r="I27" i="23"/>
  <c r="J27" i="23" s="1"/>
  <c r="K27" i="23" s="1"/>
  <c r="F83" i="20"/>
  <c r="AA83" i="20" s="1"/>
  <c r="F55" i="20"/>
  <c r="AA55" i="20" s="1"/>
  <c r="Z55" i="20" s="1"/>
  <c r="R55" i="20" s="1"/>
  <c r="I25" i="20"/>
  <c r="J25" i="20" s="1"/>
  <c r="D82" i="20"/>
  <c r="I23" i="20"/>
  <c r="J23" i="20" s="1"/>
  <c r="K23" i="20" s="1"/>
  <c r="F46" i="20"/>
  <c r="AA46" i="20" s="1"/>
  <c r="Z46" i="20" s="1"/>
  <c r="R46" i="20" s="1"/>
  <c r="F74" i="20"/>
  <c r="AA74" i="20" s="1"/>
  <c r="F47" i="20"/>
  <c r="AA47" i="20" s="1"/>
  <c r="Z47" i="20" s="1"/>
  <c r="R47" i="20" s="1"/>
  <c r="X45" i="20"/>
  <c r="X39" i="20"/>
  <c r="F78" i="20"/>
  <c r="AA78" i="20" s="1"/>
  <c r="X75" i="20"/>
  <c r="I16" i="20"/>
  <c r="J16" i="20" s="1"/>
  <c r="K16" i="20" s="1"/>
  <c r="D45" i="20"/>
  <c r="X57" i="20"/>
  <c r="Y57" i="20"/>
  <c r="Z52" i="20"/>
  <c r="R52" i="20" s="1"/>
  <c r="X52" i="20"/>
  <c r="Y52" i="20"/>
  <c r="Y41" i="20"/>
  <c r="Y64" i="20"/>
  <c r="J64" i="20"/>
  <c r="I27" i="20"/>
  <c r="J27" i="20" s="1"/>
  <c r="K27" i="20" s="1"/>
  <c r="I7" i="20"/>
  <c r="J7" i="20" s="1"/>
  <c r="J39" i="20"/>
  <c r="J75" i="20"/>
  <c r="E73" i="20"/>
  <c r="J65" i="20"/>
  <c r="I13" i="20"/>
  <c r="J13" i="20" s="1"/>
  <c r="K13" i="20" s="1"/>
  <c r="J51" i="20"/>
  <c r="J76" i="20"/>
  <c r="J71" i="20"/>
  <c r="J66" i="20"/>
  <c r="J40" i="20"/>
  <c r="Z65" i="20"/>
  <c r="I8" i="20"/>
  <c r="J8" i="20" s="1"/>
  <c r="D47" i="20"/>
  <c r="D39" i="20"/>
  <c r="I15" i="20"/>
  <c r="J15" i="20" s="1"/>
  <c r="I12" i="20"/>
  <c r="J12" i="20" s="1"/>
  <c r="D43" i="20"/>
  <c r="I26" i="20"/>
  <c r="J26" i="20" s="1"/>
  <c r="I17" i="20"/>
  <c r="J17" i="20" s="1"/>
  <c r="AR85" i="20"/>
  <c r="I26" i="23"/>
  <c r="J26" i="23" s="1"/>
  <c r="K26" i="23" s="1"/>
  <c r="D51" i="20"/>
  <c r="AP85" i="20"/>
  <c r="I9" i="20"/>
  <c r="J9" i="20" s="1"/>
  <c r="D40" i="20"/>
  <c r="I14" i="23"/>
  <c r="J14" i="23" s="1"/>
  <c r="K14" i="23" s="1"/>
  <c r="AA72" i="20"/>
  <c r="Z72" i="20"/>
  <c r="J72" i="20"/>
  <c r="X72" i="20"/>
  <c r="Y72" i="20"/>
  <c r="AA70" i="20"/>
  <c r="Z70" i="20"/>
  <c r="J70" i="20"/>
  <c r="X70" i="20"/>
  <c r="Y70" i="20"/>
  <c r="F42" i="20"/>
  <c r="E73" i="23"/>
  <c r="K157" i="19"/>
  <c r="Q157" i="19" s="1"/>
  <c r="L36" i="23"/>
  <c r="K36" i="23"/>
  <c r="L52" i="23"/>
  <c r="K52" i="23"/>
  <c r="J52" i="23"/>
  <c r="L45" i="23"/>
  <c r="K45" i="23"/>
  <c r="L54" i="23"/>
  <c r="J45" i="23"/>
  <c r="L38" i="23"/>
  <c r="J47" i="23"/>
  <c r="L40" i="23"/>
  <c r="I47" i="23"/>
  <c r="K40" i="23"/>
  <c r="J40" i="23"/>
  <c r="I53" i="23"/>
  <c r="K46" i="23"/>
  <c r="I37" i="23"/>
  <c r="L55" i="23"/>
  <c r="J46" i="23"/>
  <c r="L39" i="23"/>
  <c r="J37" i="23"/>
  <c r="K55" i="23"/>
  <c r="I46" i="23"/>
  <c r="K39" i="23"/>
  <c r="K44" i="23"/>
  <c r="L53" i="23"/>
  <c r="J44" i="23"/>
  <c r="L37" i="23"/>
  <c r="K53" i="23"/>
  <c r="J55" i="23"/>
  <c r="L48" i="23"/>
  <c r="J39" i="23"/>
  <c r="K48" i="23"/>
  <c r="K54" i="23"/>
  <c r="K38" i="23"/>
  <c r="J54" i="23"/>
  <c r="L47" i="23"/>
  <c r="J38" i="23"/>
  <c r="AN30" i="574" a="1"/>
  <c r="AN30" i="574" s="1"/>
  <c r="AM30" i="574"/>
  <c r="F146" i="19" s="1"/>
  <c r="AB159" i="19" l="1"/>
  <c r="AC159" i="19"/>
  <c r="I159" i="19" s="1"/>
  <c r="AD159" i="19"/>
  <c r="AE159" i="19"/>
  <c r="AF159" i="19"/>
  <c r="J52" i="5"/>
  <c r="I52" i="5"/>
  <c r="H52" i="5"/>
  <c r="G52" i="5"/>
  <c r="H51" i="5"/>
  <c r="I51" i="5"/>
  <c r="G51" i="5"/>
  <c r="J51" i="5"/>
  <c r="AL49" i="20"/>
  <c r="AO49" i="20" s="1"/>
  <c r="AM85" i="20"/>
  <c r="AL50" i="20"/>
  <c r="AO50" i="20" s="1"/>
  <c r="J55" i="20"/>
  <c r="X37" i="20"/>
  <c r="J43" i="20"/>
  <c r="J37" i="20"/>
  <c r="J44" i="20"/>
  <c r="R65" i="20"/>
  <c r="X47" i="20"/>
  <c r="X68" i="20"/>
  <c r="J38" i="20"/>
  <c r="Y81" i="20"/>
  <c r="AL84" i="20"/>
  <c r="AL57" i="20"/>
  <c r="J79" i="20"/>
  <c r="J68" i="20"/>
  <c r="J67" i="20"/>
  <c r="J81" i="20"/>
  <c r="X81" i="20"/>
  <c r="Y44" i="20"/>
  <c r="J77" i="20"/>
  <c r="AA44" i="20"/>
  <c r="Z44" i="20" s="1"/>
  <c r="Y43" i="20"/>
  <c r="Y47" i="20"/>
  <c r="X85" i="20"/>
  <c r="J46" i="20"/>
  <c r="Y48" i="20"/>
  <c r="Y38" i="20"/>
  <c r="J85" i="20"/>
  <c r="X78" i="20"/>
  <c r="J36" i="20"/>
  <c r="Y77" i="20"/>
  <c r="X77" i="20"/>
  <c r="Z77" i="20"/>
  <c r="R77" i="20" s="1"/>
  <c r="Y79" i="20"/>
  <c r="J73" i="20"/>
  <c r="Z84" i="20"/>
  <c r="R84" i="20" s="1"/>
  <c r="X43" i="20"/>
  <c r="AL53" i="20"/>
  <c r="AO53" i="20" s="1"/>
  <c r="Z78" i="20"/>
  <c r="R78" i="20" s="1"/>
  <c r="Z68" i="20"/>
  <c r="R68" i="20" s="1"/>
  <c r="Y37" i="20"/>
  <c r="AL68" i="20"/>
  <c r="AL45" i="20"/>
  <c r="AO45" i="20" s="1"/>
  <c r="AL80" i="20"/>
  <c r="AO80" i="20" s="1"/>
  <c r="Z74" i="20"/>
  <c r="R74" i="20" s="1"/>
  <c r="Y84" i="20"/>
  <c r="Z81" i="20"/>
  <c r="R81" i="20" s="1"/>
  <c r="AL81" i="20"/>
  <c r="AO81" i="20" s="1"/>
  <c r="J84" i="20"/>
  <c r="Z83" i="20"/>
  <c r="R83" i="20" s="1"/>
  <c r="J83" i="20"/>
  <c r="Y78" i="20"/>
  <c r="Y68" i="20"/>
  <c r="X84" i="20"/>
  <c r="X38" i="20"/>
  <c r="AL54" i="20"/>
  <c r="AP54" i="20" s="1"/>
  <c r="X36" i="20"/>
  <c r="Z85" i="20"/>
  <c r="R85" i="20" s="1"/>
  <c r="J69" i="20"/>
  <c r="X83" i="20"/>
  <c r="AL47" i="20"/>
  <c r="AO47" i="20" s="1"/>
  <c r="Y69" i="20"/>
  <c r="AA48" i="20"/>
  <c r="Z48" i="20" s="1"/>
  <c r="R48" i="20" s="1"/>
  <c r="X48" i="20"/>
  <c r="J47" i="20"/>
  <c r="AL46" i="20"/>
  <c r="AM46" i="20" s="1"/>
  <c r="J80" i="20"/>
  <c r="Y56" i="20"/>
  <c r="X69" i="20"/>
  <c r="Y55" i="20"/>
  <c r="O157" i="19"/>
  <c r="J74" i="20"/>
  <c r="Y83" i="20"/>
  <c r="X56" i="20"/>
  <c r="Y67" i="20"/>
  <c r="J78" i="20"/>
  <c r="AA54" i="20"/>
  <c r="Z54" i="20" s="1"/>
  <c r="R54" i="20" s="1"/>
  <c r="X54" i="20"/>
  <c r="Y54" i="20"/>
  <c r="Y85" i="20"/>
  <c r="X67" i="20"/>
  <c r="Z69" i="20"/>
  <c r="R69" i="20" s="1"/>
  <c r="Z73" i="20"/>
  <c r="R73" i="20" s="1"/>
  <c r="X73" i="20"/>
  <c r="Y73" i="20"/>
  <c r="Z67" i="20"/>
  <c r="R67" i="20" s="1"/>
  <c r="Y46" i="20"/>
  <c r="Y80" i="20"/>
  <c r="X46" i="20"/>
  <c r="K17" i="20"/>
  <c r="J56" i="20"/>
  <c r="X55" i="20"/>
  <c r="X80" i="20"/>
  <c r="Y74" i="20"/>
  <c r="AA79" i="20"/>
  <c r="R79" i="20" s="1"/>
  <c r="X79" i="20"/>
  <c r="Y36" i="20"/>
  <c r="Z80" i="20"/>
  <c r="R80" i="20" s="1"/>
  <c r="X74" i="20"/>
  <c r="AL42" i="20"/>
  <c r="AM42" i="20" s="1"/>
  <c r="K18" i="20"/>
  <c r="AL75" i="20"/>
  <c r="K15" i="20"/>
  <c r="AL72" i="20"/>
  <c r="AO72" i="20" s="1"/>
  <c r="K9" i="20"/>
  <c r="AL66" i="20"/>
  <c r="AL73" i="20"/>
  <c r="K25" i="20"/>
  <c r="AL82" i="20"/>
  <c r="AL39" i="20"/>
  <c r="K10" i="20"/>
  <c r="AL67" i="20"/>
  <c r="K12" i="20"/>
  <c r="AL69" i="20"/>
  <c r="AL41" i="20"/>
  <c r="AL52" i="20"/>
  <c r="AL40" i="20"/>
  <c r="K26" i="20"/>
  <c r="AL83" i="20"/>
  <c r="AL48" i="20"/>
  <c r="AL55" i="20"/>
  <c r="K22" i="20"/>
  <c r="AL79" i="20"/>
  <c r="K19" i="20"/>
  <c r="AL76" i="20"/>
  <c r="K8" i="20"/>
  <c r="AL65" i="20"/>
  <c r="AL56" i="20"/>
  <c r="K21" i="20"/>
  <c r="AL77" i="20"/>
  <c r="AL78" i="20"/>
  <c r="AL51" i="20"/>
  <c r="AL44" i="20"/>
  <c r="AL74" i="20"/>
  <c r="AL38" i="20"/>
  <c r="K7" i="20"/>
  <c r="AL37" i="20"/>
  <c r="AL64" i="20"/>
  <c r="K14" i="20"/>
  <c r="AL70" i="20"/>
  <c r="AL71" i="20"/>
  <c r="AL43" i="20"/>
  <c r="R72" i="20"/>
  <c r="AA42" i="20"/>
  <c r="J42" i="20"/>
  <c r="X42" i="20"/>
  <c r="Y42" i="20"/>
  <c r="E71" i="23"/>
  <c r="E65" i="23"/>
  <c r="E72" i="23"/>
  <c r="E69" i="23"/>
  <c r="R70" i="20"/>
  <c r="E70" i="23"/>
  <c r="F61" i="734"/>
  <c r="F64" i="734" s="1"/>
  <c r="X3" i="574" s="1"/>
  <c r="AD10" i="734"/>
  <c r="E57" i="734"/>
  <c r="AD9" i="734"/>
  <c r="E56" i="734"/>
  <c r="AD8" i="734"/>
  <c r="E54" i="734"/>
  <c r="AD6" i="734"/>
  <c r="F53" i="734"/>
  <c r="F55" i="734" s="1"/>
  <c r="AD5" i="734"/>
  <c r="AD4" i="734"/>
  <c r="E50" i="734"/>
  <c r="E49" i="734"/>
  <c r="E48" i="734"/>
  <c r="J6" i="734"/>
  <c r="G44" i="734"/>
  <c r="E44" i="734"/>
  <c r="G36" i="734"/>
  <c r="G35" i="734"/>
  <c r="G22" i="734"/>
  <c r="G19" i="734"/>
  <c r="G18" i="734"/>
  <c r="G17" i="734"/>
  <c r="G16" i="734"/>
  <c r="G10" i="734"/>
  <c r="G9" i="734"/>
  <c r="G8" i="734"/>
  <c r="P63" i="20"/>
  <c r="P35" i="20"/>
  <c r="G159" i="19" l="1"/>
  <c r="H159" i="19"/>
  <c r="N159" i="19" s="1"/>
  <c r="T159" i="19" s="1"/>
  <c r="AS30" i="574" s="1"/>
  <c r="AU85" i="20"/>
  <c r="AM57" i="20"/>
  <c r="AP47" i="20"/>
  <c r="AU47" i="20" s="1"/>
  <c r="AP84" i="20"/>
  <c r="AU84" i="20" s="1"/>
  <c r="AP57" i="20"/>
  <c r="AU57" i="20" s="1"/>
  <c r="AM49" i="20"/>
  <c r="AP49" i="20"/>
  <c r="AU49" i="20" s="1"/>
  <c r="AO44" i="20"/>
  <c r="AO57" i="20"/>
  <c r="AR54" i="20"/>
  <c r="AT54" i="20" s="1"/>
  <c r="AO46" i="20"/>
  <c r="AM54" i="20"/>
  <c r="AQ54" i="20" s="1"/>
  <c r="AN85" i="20"/>
  <c r="AQ85" i="20" s="1"/>
  <c r="AO84" i="20"/>
  <c r="AM84" i="20"/>
  <c r="AT85" i="20"/>
  <c r="AP80" i="20"/>
  <c r="AU80" i="20" s="1"/>
  <c r="AO68" i="20"/>
  <c r="AP46" i="20"/>
  <c r="AU46" i="20" s="1"/>
  <c r="AP50" i="20"/>
  <c r="AU50" i="20" s="1"/>
  <c r="AM50" i="20"/>
  <c r="AM45" i="20"/>
  <c r="AN45" i="20" s="1"/>
  <c r="AQ45" i="20" s="1"/>
  <c r="AP45" i="20"/>
  <c r="AU45" i="20" s="1"/>
  <c r="AP53" i="20"/>
  <c r="AU53" i="20" s="1"/>
  <c r="AM53" i="20"/>
  <c r="AR81" i="20"/>
  <c r="AT81" i="20" s="1"/>
  <c r="AP81" i="20"/>
  <c r="AU81" i="20" s="1"/>
  <c r="AM81" i="20"/>
  <c r="AN81" i="20" s="1"/>
  <c r="AM80" i="20"/>
  <c r="AM47" i="20"/>
  <c r="AN47" i="20" s="1"/>
  <c r="AR47" i="20" s="1"/>
  <c r="AS85" i="20"/>
  <c r="O85" i="20" s="1"/>
  <c r="AM68" i="20"/>
  <c r="AP68" i="20"/>
  <c r="AU68" i="20" s="1"/>
  <c r="AU54" i="20"/>
  <c r="AO54" i="20"/>
  <c r="AM44" i="20"/>
  <c r="AP44" i="20"/>
  <c r="AU44" i="20" s="1"/>
  <c r="AO56" i="20"/>
  <c r="AM56" i="20"/>
  <c r="AP56" i="20"/>
  <c r="AU56" i="20" s="1"/>
  <c r="AO82" i="20"/>
  <c r="AP82" i="20"/>
  <c r="AU82" i="20" s="1"/>
  <c r="AR82" i="20"/>
  <c r="AM82" i="20"/>
  <c r="AO74" i="20"/>
  <c r="AP74" i="20"/>
  <c r="AU74" i="20" s="1"/>
  <c r="AM74" i="20"/>
  <c r="AP42" i="20"/>
  <c r="AU42" i="20" s="1"/>
  <c r="AO38" i="20"/>
  <c r="AM38" i="20"/>
  <c r="AP38" i="20"/>
  <c r="AU38" i="20" s="1"/>
  <c r="AO76" i="20"/>
  <c r="AM76" i="20"/>
  <c r="AP76" i="20"/>
  <c r="AU76" i="20" s="1"/>
  <c r="AN46" i="20"/>
  <c r="AQ46" i="20" s="1"/>
  <c r="AO67" i="20"/>
  <c r="AM67" i="20"/>
  <c r="AP67" i="20"/>
  <c r="AU67" i="20" s="1"/>
  <c r="AO66" i="20"/>
  <c r="AM66" i="20"/>
  <c r="AP66" i="20"/>
  <c r="AU66" i="20" s="1"/>
  <c r="AO73" i="20"/>
  <c r="AM73" i="20"/>
  <c r="AP73" i="20"/>
  <c r="AU73" i="20" s="1"/>
  <c r="AM72" i="20"/>
  <c r="AN72" i="20" s="1"/>
  <c r="AP72" i="20"/>
  <c r="AU72" i="20" s="1"/>
  <c r="AO51" i="20"/>
  <c r="AM51" i="20"/>
  <c r="AP51" i="20"/>
  <c r="AU51" i="20" s="1"/>
  <c r="AO40" i="20"/>
  <c r="AP40" i="20"/>
  <c r="AU40" i="20" s="1"/>
  <c r="AM40" i="20"/>
  <c r="AO39" i="20"/>
  <c r="AM39" i="20"/>
  <c r="AP39" i="20"/>
  <c r="AU39" i="20" s="1"/>
  <c r="AO55" i="20"/>
  <c r="AM55" i="20"/>
  <c r="AP55" i="20"/>
  <c r="AU55" i="20" s="1"/>
  <c r="AR55" i="20"/>
  <c r="AO78" i="20"/>
  <c r="AM78" i="20"/>
  <c r="AP78" i="20"/>
  <c r="AU78" i="20" s="1"/>
  <c r="AO65" i="20"/>
  <c r="AM65" i="20"/>
  <c r="AP65" i="20"/>
  <c r="AU65" i="20" s="1"/>
  <c r="AO48" i="20"/>
  <c r="AP48" i="20"/>
  <c r="AU48" i="20" s="1"/>
  <c r="AM48" i="20"/>
  <c r="AM52" i="20"/>
  <c r="AO52" i="20"/>
  <c r="AP52" i="20"/>
  <c r="AU52" i="20" s="1"/>
  <c r="AO69" i="20"/>
  <c r="AM69" i="20"/>
  <c r="AP69" i="20"/>
  <c r="AU69" i="20" s="1"/>
  <c r="AO75" i="20"/>
  <c r="AM75" i="20"/>
  <c r="AP75" i="20"/>
  <c r="AU75" i="20" s="1"/>
  <c r="AO77" i="20"/>
  <c r="AM77" i="20"/>
  <c r="AP77" i="20"/>
  <c r="AU77" i="20" s="1"/>
  <c r="AO79" i="20"/>
  <c r="AP79" i="20"/>
  <c r="AU79" i="20" s="1"/>
  <c r="AM79" i="20"/>
  <c r="AO83" i="20"/>
  <c r="AM83" i="20"/>
  <c r="AP83" i="20"/>
  <c r="AU83" i="20" s="1"/>
  <c r="AO41" i="20"/>
  <c r="AM41" i="20"/>
  <c r="AP41" i="20"/>
  <c r="AU41" i="20" s="1"/>
  <c r="AO37" i="20"/>
  <c r="AM37" i="20"/>
  <c r="AP37" i="20"/>
  <c r="AU37" i="20" s="1"/>
  <c r="AO64" i="20"/>
  <c r="AP64" i="20"/>
  <c r="AU64" i="20" s="1"/>
  <c r="AM64" i="20"/>
  <c r="AO71" i="20"/>
  <c r="AM71" i="20"/>
  <c r="AN71" i="20" s="1"/>
  <c r="AQ71" i="20" s="1"/>
  <c r="AP71" i="20"/>
  <c r="AU71" i="20" s="1"/>
  <c r="AM70" i="20"/>
  <c r="AN70" i="20" s="1"/>
  <c r="AQ70" i="20" s="1"/>
  <c r="AP70" i="20"/>
  <c r="AU70" i="20" s="1"/>
  <c r="AO70" i="20"/>
  <c r="AO43" i="20"/>
  <c r="AM43" i="20"/>
  <c r="AN43" i="20" s="1"/>
  <c r="AQ43" i="20" s="1"/>
  <c r="AP43" i="20"/>
  <c r="AU43" i="20" s="1"/>
  <c r="R44" i="20"/>
  <c r="Z42" i="20"/>
  <c r="AO42" i="20"/>
  <c r="F54" i="734"/>
  <c r="F62" i="734"/>
  <c r="V3" i="574" s="1"/>
  <c r="F63" i="734"/>
  <c r="W3" i="574" s="1"/>
  <c r="R63" i="18"/>
  <c r="R35" i="18"/>
  <c r="R33" i="17"/>
  <c r="R24" i="17"/>
  <c r="L50" i="574"/>
  <c r="I50" i="574"/>
  <c r="J50" i="574" s="1"/>
  <c r="K50" i="574" s="1"/>
  <c r="L49" i="574"/>
  <c r="I49" i="574"/>
  <c r="J49" i="574" s="1"/>
  <c r="K49" i="574" s="1"/>
  <c r="L48" i="574"/>
  <c r="I48" i="574"/>
  <c r="J48" i="574" s="1"/>
  <c r="K48" i="574" s="1"/>
  <c r="L47" i="574"/>
  <c r="I47" i="574"/>
  <c r="J47" i="574" s="1"/>
  <c r="K47" i="574" s="1"/>
  <c r="L46" i="574"/>
  <c r="I46" i="574"/>
  <c r="J46" i="574" s="1"/>
  <c r="K46" i="574" s="1"/>
  <c r="L45" i="574"/>
  <c r="I45" i="574"/>
  <c r="J45" i="574" s="1"/>
  <c r="K45" i="574" s="1"/>
  <c r="L44" i="574"/>
  <c r="I44" i="574"/>
  <c r="J44" i="574" s="1"/>
  <c r="K44" i="574" s="1"/>
  <c r="L43" i="574"/>
  <c r="I43" i="574"/>
  <c r="J43" i="574" s="1"/>
  <c r="K43" i="574" s="1"/>
  <c r="L42" i="574"/>
  <c r="I42" i="574"/>
  <c r="J42" i="574" s="1"/>
  <c r="K42" i="574" s="1"/>
  <c r="L34" i="574"/>
  <c r="I34" i="574"/>
  <c r="J34" i="574" s="1"/>
  <c r="K34" i="574" s="1"/>
  <c r="L33" i="574"/>
  <c r="I33" i="574"/>
  <c r="J33" i="574" s="1"/>
  <c r="K33" i="574" s="1"/>
  <c r="L32" i="574"/>
  <c r="I32" i="574"/>
  <c r="J32" i="574" s="1"/>
  <c r="K32" i="574" s="1"/>
  <c r="AK32" i="574"/>
  <c r="L31" i="574"/>
  <c r="I31" i="574"/>
  <c r="J31" i="574" s="1"/>
  <c r="K31" i="574" s="1"/>
  <c r="AK31" i="574"/>
  <c r="AM35" i="18" s="1"/>
  <c r="L30" i="574"/>
  <c r="I30" i="574"/>
  <c r="J30" i="574" s="1"/>
  <c r="K30" i="574" s="1"/>
  <c r="AK29" i="574"/>
  <c r="L29" i="574"/>
  <c r="I29" i="574"/>
  <c r="J29" i="574" s="1"/>
  <c r="K29" i="574" s="1"/>
  <c r="AK28" i="574"/>
  <c r="L28" i="574"/>
  <c r="I28" i="574"/>
  <c r="J28" i="574" s="1"/>
  <c r="K28" i="574" s="1"/>
  <c r="L14" i="574"/>
  <c r="I14" i="574"/>
  <c r="J14" i="574" s="1"/>
  <c r="K14" i="574" s="1"/>
  <c r="AK15" i="574"/>
  <c r="L13" i="574"/>
  <c r="I13" i="574"/>
  <c r="J13" i="574" s="1"/>
  <c r="K13" i="574" s="1"/>
  <c r="AK14" i="574"/>
  <c r="L12" i="574"/>
  <c r="I12" i="574"/>
  <c r="AK12" i="574"/>
  <c r="L11" i="574"/>
  <c r="I11" i="574"/>
  <c r="J11" i="574" s="1"/>
  <c r="K11" i="574" s="1"/>
  <c r="AM45" i="18" l="1"/>
  <c r="AM54" i="18"/>
  <c r="AM36" i="18"/>
  <c r="AM40" i="18"/>
  <c r="AM43" i="18"/>
  <c r="AM57" i="18"/>
  <c r="AM48" i="18"/>
  <c r="AM50" i="18"/>
  <c r="AM53" i="18"/>
  <c r="AM46" i="18"/>
  <c r="AM38" i="18"/>
  <c r="AM41" i="18"/>
  <c r="AM55" i="18"/>
  <c r="AM44" i="18"/>
  <c r="AM52" i="18"/>
  <c r="AM49" i="18"/>
  <c r="AM42" i="18"/>
  <c r="AM47" i="18"/>
  <c r="AM51" i="18"/>
  <c r="AM37" i="18"/>
  <c r="AM39" i="18"/>
  <c r="AM56" i="18"/>
  <c r="AM33" i="17"/>
  <c r="AN57" i="20"/>
  <c r="AQ57" i="20" s="1"/>
  <c r="AV85" i="20"/>
  <c r="AN49" i="20"/>
  <c r="AR49" i="20" s="1"/>
  <c r="AT49" i="20" s="1"/>
  <c r="AV49" i="20" s="1"/>
  <c r="AR46" i="20"/>
  <c r="AT46" i="20" s="1"/>
  <c r="AV46" i="20" s="1"/>
  <c r="AN50" i="20"/>
  <c r="AR50" i="20" s="1"/>
  <c r="AT50" i="20" s="1"/>
  <c r="AV50" i="20" s="1"/>
  <c r="AS47" i="20"/>
  <c r="O47" i="20" s="1"/>
  <c r="AS54" i="20"/>
  <c r="O54" i="20" s="1"/>
  <c r="AN54" i="20"/>
  <c r="AN84" i="20"/>
  <c r="AR84" i="20" s="1"/>
  <c r="AT47" i="20"/>
  <c r="AV47" i="20" s="1"/>
  <c r="AN53" i="20"/>
  <c r="AR53" i="20" s="1"/>
  <c r="AT53" i="20" s="1"/>
  <c r="AV53" i="20" s="1"/>
  <c r="AS81" i="20"/>
  <c r="O81" i="20" s="1"/>
  <c r="AN68" i="20"/>
  <c r="AR68" i="20" s="1"/>
  <c r="AV81" i="20"/>
  <c r="AQ81" i="20"/>
  <c r="AV54" i="20"/>
  <c r="AQ47" i="20"/>
  <c r="AR45" i="20"/>
  <c r="AT45" i="20" s="1"/>
  <c r="AV45" i="20" s="1"/>
  <c r="AN80" i="20"/>
  <c r="AR80" i="20" s="1"/>
  <c r="AT80" i="20" s="1"/>
  <c r="AV80" i="20" s="1"/>
  <c r="AN44" i="20"/>
  <c r="AQ44" i="20" s="1"/>
  <c r="AR70" i="20"/>
  <c r="AS70" i="20" s="1"/>
  <c r="O70" i="20" s="1"/>
  <c r="AQ72" i="20"/>
  <c r="AR72" i="20"/>
  <c r="AS72" i="20" s="1"/>
  <c r="O72" i="20" s="1"/>
  <c r="AR43" i="20"/>
  <c r="AS43" i="20" s="1"/>
  <c r="O43" i="20" s="1"/>
  <c r="AR71" i="20"/>
  <c r="AS71" i="20" s="1"/>
  <c r="O71" i="20" s="1"/>
  <c r="AN56" i="20"/>
  <c r="AR56" i="20" s="1"/>
  <c r="AN52" i="20"/>
  <c r="AR52" i="20" s="1"/>
  <c r="AN65" i="20"/>
  <c r="AR65" i="20" s="1"/>
  <c r="AQ82" i="20"/>
  <c r="AN82" i="20"/>
  <c r="AN73" i="20"/>
  <c r="AR73" i="20" s="1"/>
  <c r="AS73" i="20" s="1"/>
  <c r="O73" i="20" s="1"/>
  <c r="AN77" i="20"/>
  <c r="AR77" i="20" s="1"/>
  <c r="AT77" i="20" s="1"/>
  <c r="AV77" i="20" s="1"/>
  <c r="AN41" i="20"/>
  <c r="AR41" i="20" s="1"/>
  <c r="AN74" i="20"/>
  <c r="AR74" i="20" s="1"/>
  <c r="AT74" i="20" s="1"/>
  <c r="AV74" i="20" s="1"/>
  <c r="AN79" i="20"/>
  <c r="AR79" i="20" s="1"/>
  <c r="AN75" i="20"/>
  <c r="AR75" i="20" s="1"/>
  <c r="AN69" i="20"/>
  <c r="AQ69" i="20" s="1"/>
  <c r="AN48" i="20"/>
  <c r="AR48" i="20" s="1"/>
  <c r="AS55" i="20"/>
  <c r="O55" i="20" s="1"/>
  <c r="AT55" i="20"/>
  <c r="AV55" i="20" s="1"/>
  <c r="AN76" i="20"/>
  <c r="AR76" i="20" s="1"/>
  <c r="AN83" i="20"/>
  <c r="AR83" i="20" s="1"/>
  <c r="AT83" i="20" s="1"/>
  <c r="AV83" i="20" s="1"/>
  <c r="AN40" i="20"/>
  <c r="AR40" i="20" s="1"/>
  <c r="AS40" i="20" s="1"/>
  <c r="O40" i="20" s="1"/>
  <c r="AS82" i="20"/>
  <c r="O82" i="20" s="1"/>
  <c r="AT82" i="20"/>
  <c r="AV82" i="20" s="1"/>
  <c r="AN39" i="20"/>
  <c r="AR39" i="20" s="1"/>
  <c r="AN51" i="20"/>
  <c r="AR51" i="20" s="1"/>
  <c r="AS51" i="20" s="1"/>
  <c r="O51" i="20" s="1"/>
  <c r="AN66" i="20"/>
  <c r="AR66" i="20" s="1"/>
  <c r="AS66" i="20" s="1"/>
  <c r="O66" i="20" s="1"/>
  <c r="AN78" i="20"/>
  <c r="AR78" i="20" s="1"/>
  <c r="AS78" i="20" s="1"/>
  <c r="O78" i="20" s="1"/>
  <c r="AN55" i="20"/>
  <c r="AQ55" i="20" s="1"/>
  <c r="AN67" i="20"/>
  <c r="AR67" i="20" s="1"/>
  <c r="AS67" i="20" s="1"/>
  <c r="O67" i="20" s="1"/>
  <c r="AN38" i="20"/>
  <c r="AR38" i="20" s="1"/>
  <c r="AN64" i="20"/>
  <c r="AR64" i="20" s="1"/>
  <c r="AN37" i="20"/>
  <c r="AR37" i="20" s="1"/>
  <c r="J12" i="574"/>
  <c r="K12" i="574" s="1"/>
  <c r="R42" i="20"/>
  <c r="AN42" i="20" s="1"/>
  <c r="AQ42" i="20" s="1"/>
  <c r="AL32" i="574"/>
  <c r="E148" i="19" s="1"/>
  <c r="AN32" i="574" a="1"/>
  <c r="AN32" i="574" s="1"/>
  <c r="AM12" i="574"/>
  <c r="F68" i="5" s="1"/>
  <c r="AN12" i="574" a="1"/>
  <c r="AN12" i="574" s="1"/>
  <c r="AM15" i="574"/>
  <c r="F71" i="5" s="1"/>
  <c r="AN15" i="574" a="1"/>
  <c r="AN15" i="574" s="1"/>
  <c r="AM28" i="574"/>
  <c r="F144" i="19" s="1"/>
  <c r="AN28" i="574" a="1"/>
  <c r="AN28" i="574" s="1"/>
  <c r="AM29" i="574"/>
  <c r="F145" i="19" s="1"/>
  <c r="AN29" i="574" a="1"/>
  <c r="AN29" i="574" s="1"/>
  <c r="AL14" i="574"/>
  <c r="AN14" i="574" a="1"/>
  <c r="AN14" i="574" s="1"/>
  <c r="AM31" i="574"/>
  <c r="F147" i="19" s="1"/>
  <c r="AN31" i="574" a="1"/>
  <c r="AN31" i="574" s="1"/>
  <c r="AM14" i="574"/>
  <c r="F70" i="5" s="1"/>
  <c r="AM32" i="574"/>
  <c r="F148" i="19" s="1"/>
  <c r="AL12" i="574"/>
  <c r="AL31" i="574"/>
  <c r="E147" i="19" s="1"/>
  <c r="AL15" i="574"/>
  <c r="AL29" i="574"/>
  <c r="E145" i="19" s="1"/>
  <c r="AL28" i="574"/>
  <c r="E144" i="19" s="1"/>
  <c r="Z85" i="5" l="1"/>
  <c r="AB85" i="5"/>
  <c r="AC85" i="5"/>
  <c r="AA85" i="5"/>
  <c r="Z86" i="5"/>
  <c r="AB86" i="5"/>
  <c r="AC86" i="5"/>
  <c r="AA86" i="5"/>
  <c r="Z83" i="5"/>
  <c r="AB83" i="5"/>
  <c r="AC83" i="5"/>
  <c r="AA83" i="5"/>
  <c r="AM79" i="18"/>
  <c r="AM65" i="18"/>
  <c r="AM67" i="18"/>
  <c r="AM78" i="18"/>
  <c r="AM76" i="18"/>
  <c r="AM85" i="18"/>
  <c r="AM84" i="18"/>
  <c r="AM77" i="18"/>
  <c r="AM69" i="18"/>
  <c r="AM71" i="18"/>
  <c r="AM75" i="18"/>
  <c r="AM72" i="18"/>
  <c r="AM81" i="18"/>
  <c r="AM68" i="18"/>
  <c r="AM70" i="18"/>
  <c r="AM83" i="18"/>
  <c r="AM64" i="18"/>
  <c r="AM74" i="18"/>
  <c r="AM82" i="18"/>
  <c r="AM80" i="18"/>
  <c r="AM66" i="18"/>
  <c r="AM73" i="18"/>
  <c r="AB161" i="19"/>
  <c r="AC161" i="19"/>
  <c r="AE160" i="19"/>
  <c r="AD160" i="19"/>
  <c r="AD158" i="19"/>
  <c r="AE158" i="19"/>
  <c r="AF158" i="19"/>
  <c r="AD161" i="19"/>
  <c r="AE161" i="19"/>
  <c r="AB158" i="19"/>
  <c r="AC158" i="19"/>
  <c r="I158" i="19" s="1"/>
  <c r="AB160" i="19"/>
  <c r="AC160" i="19"/>
  <c r="AS50" i="20"/>
  <c r="O50" i="20" s="1"/>
  <c r="AT78" i="20"/>
  <c r="AV78" i="20" s="1"/>
  <c r="AT51" i="20"/>
  <c r="AV51" i="20" s="1"/>
  <c r="AS49" i="20"/>
  <c r="O49" i="20" s="1"/>
  <c r="AT84" i="20"/>
  <c r="AV84" i="20" s="1"/>
  <c r="AS84" i="20"/>
  <c r="O84" i="20" s="1"/>
  <c r="AR57" i="20"/>
  <c r="AQ84" i="20"/>
  <c r="AT56" i="20"/>
  <c r="AV56" i="20" s="1"/>
  <c r="AS56" i="20"/>
  <c r="O56" i="20" s="1"/>
  <c r="AQ56" i="20"/>
  <c r="AS83" i="20"/>
  <c r="O83" i="20" s="1"/>
  <c r="AQ83" i="20"/>
  <c r="AS80" i="20"/>
  <c r="O80" i="20" s="1"/>
  <c r="AQ53" i="20"/>
  <c r="AS53" i="20"/>
  <c r="O53" i="20" s="1"/>
  <c r="AQ80" i="20"/>
  <c r="AT79" i="20"/>
  <c r="AV79" i="20" s="1"/>
  <c r="AS79" i="20"/>
  <c r="O79" i="20" s="1"/>
  <c r="AS52" i="20"/>
  <c r="O52" i="20" s="1"/>
  <c r="AT52" i="20"/>
  <c r="AV52" i="20" s="1"/>
  <c r="AQ79" i="20"/>
  <c r="AQ52" i="20"/>
  <c r="AQ51" i="20"/>
  <c r="AQ78" i="20"/>
  <c r="AS77" i="20"/>
  <c r="O77" i="20" s="1"/>
  <c r="AQ77" i="20"/>
  <c r="AQ50" i="20"/>
  <c r="AS76" i="20"/>
  <c r="O76" i="20" s="1"/>
  <c r="AT76" i="20"/>
  <c r="AV76" i="20" s="1"/>
  <c r="AQ76" i="20"/>
  <c r="AQ49" i="20"/>
  <c r="AT75" i="20"/>
  <c r="AV75" i="20" s="1"/>
  <c r="AS75" i="20"/>
  <c r="O75" i="20" s="1"/>
  <c r="AT48" i="20"/>
  <c r="AV48" i="20" s="1"/>
  <c r="AS48" i="20"/>
  <c r="O48" i="20" s="1"/>
  <c r="AQ48" i="20"/>
  <c r="AQ75" i="20"/>
  <c r="AS37" i="20"/>
  <c r="O37" i="20" s="1"/>
  <c r="AT37" i="20"/>
  <c r="AV37" i="20" s="1"/>
  <c r="AS64" i="20"/>
  <c r="O64" i="20" s="1"/>
  <c r="AT64" i="20"/>
  <c r="AV64" i="20" s="1"/>
  <c r="AQ37" i="20"/>
  <c r="AQ64" i="20"/>
  <c r="AT67" i="20"/>
  <c r="AV67" i="20" s="1"/>
  <c r="AQ41" i="20"/>
  <c r="AQ40" i="20"/>
  <c r="AS74" i="20"/>
  <c r="O74" i="20" s="1"/>
  <c r="AQ65" i="20"/>
  <c r="AQ67" i="20"/>
  <c r="AT66" i="20"/>
  <c r="AV66" i="20" s="1"/>
  <c r="AS39" i="20"/>
  <c r="O39" i="20" s="1"/>
  <c r="AT39" i="20"/>
  <c r="AV39" i="20" s="1"/>
  <c r="AT41" i="20"/>
  <c r="AV41" i="20" s="1"/>
  <c r="AS41" i="20"/>
  <c r="O41" i="20" s="1"/>
  <c r="AT68" i="20"/>
  <c r="AV68" i="20" s="1"/>
  <c r="AS68" i="20"/>
  <c r="O68" i="20" s="1"/>
  <c r="AT65" i="20"/>
  <c r="AV65" i="20" s="1"/>
  <c r="AS65" i="20"/>
  <c r="O65" i="20" s="1"/>
  <c r="AS38" i="20"/>
  <c r="O38" i="20" s="1"/>
  <c r="AT38" i="20"/>
  <c r="AV38" i="20" s="1"/>
  <c r="AQ38" i="20"/>
  <c r="AQ66" i="20"/>
  <c r="AQ74" i="20"/>
  <c r="AQ39" i="20"/>
  <c r="AT40" i="20"/>
  <c r="AV40" i="20" s="1"/>
  <c r="AQ68" i="20"/>
  <c r="AS46" i="20"/>
  <c r="O46" i="20" s="1"/>
  <c r="AT43" i="20"/>
  <c r="AV43" i="20" s="1"/>
  <c r="AM63" i="18"/>
  <c r="AK63" i="20" s="1"/>
  <c r="AK35" i="20"/>
  <c r="AK36" i="20"/>
  <c r="AQ73" i="20"/>
  <c r="AT73" i="20"/>
  <c r="AV73" i="20" s="1"/>
  <c r="AR44" i="20"/>
  <c r="AT44" i="20" s="1"/>
  <c r="AV44" i="20" s="1"/>
  <c r="AS45" i="20"/>
  <c r="O45" i="20" s="1"/>
  <c r="AT70" i="20"/>
  <c r="AV70" i="20" s="1"/>
  <c r="AT71" i="20"/>
  <c r="AV71" i="20" s="1"/>
  <c r="AR69" i="20"/>
  <c r="AS69" i="20" s="1"/>
  <c r="O69" i="20" s="1"/>
  <c r="AT72" i="20"/>
  <c r="AV72" i="20" s="1"/>
  <c r="E67" i="23"/>
  <c r="E66" i="23"/>
  <c r="AR42" i="20"/>
  <c r="E64" i="23"/>
  <c r="E68" i="23"/>
  <c r="E63" i="23"/>
  <c r="D34" i="5"/>
  <c r="E34" i="5"/>
  <c r="G34" i="5"/>
  <c r="C34" i="5"/>
  <c r="G86" i="5" l="1"/>
  <c r="M86" i="5" s="1"/>
  <c r="Q86" i="5" s="1"/>
  <c r="AS15" i="574" s="1"/>
  <c r="H86" i="5"/>
  <c r="G83" i="5"/>
  <c r="M83" i="5" s="1"/>
  <c r="Q83" i="5" s="1"/>
  <c r="AS12" i="574" s="1"/>
  <c r="H83" i="5"/>
  <c r="H85" i="5"/>
  <c r="G85" i="5"/>
  <c r="M85" i="5" s="1"/>
  <c r="Q85" i="5" s="1"/>
  <c r="AS14" i="574" s="1"/>
  <c r="H161" i="19"/>
  <c r="G161" i="19"/>
  <c r="M161" i="19" s="1"/>
  <c r="S161" i="19" s="1"/>
  <c r="AS32" i="574" s="1"/>
  <c r="G160" i="19"/>
  <c r="H160" i="19"/>
  <c r="H158" i="19"/>
  <c r="N158" i="19" s="1"/>
  <c r="T158" i="19" s="1"/>
  <c r="AS29" i="574" s="1"/>
  <c r="G158" i="19"/>
  <c r="M160" i="19"/>
  <c r="S160" i="19" s="1"/>
  <c r="AS31" i="574" s="1"/>
  <c r="AT57" i="20"/>
  <c r="AV57" i="20" s="1"/>
  <c r="AS57" i="20"/>
  <c r="O57" i="20" s="1"/>
  <c r="AK64" i="20"/>
  <c r="AS44" i="20"/>
  <c r="O44" i="20" s="1"/>
  <c r="AT69" i="20"/>
  <c r="AV69" i="20" s="1"/>
  <c r="AB42" i="5"/>
  <c r="AC58" i="5"/>
  <c r="AB58" i="5"/>
  <c r="AC42" i="5"/>
  <c r="AT42" i="20"/>
  <c r="AV42" i="20" s="1"/>
  <c r="AS42" i="20"/>
  <c r="O42" i="20" s="1"/>
  <c r="H34" i="5"/>
  <c r="I34" i="5" l="1"/>
  <c r="AC50" i="5"/>
  <c r="AB50" i="5"/>
  <c r="U9" i="23"/>
  <c r="J34" i="5"/>
  <c r="K34" i="5"/>
  <c r="T8" i="23"/>
  <c r="D4" i="24"/>
  <c r="D8" i="24" s="1"/>
  <c r="T9" i="23"/>
  <c r="S9" i="23"/>
  <c r="G66" i="23" s="1"/>
  <c r="L66" i="23" s="1"/>
  <c r="S8" i="23"/>
  <c r="S13" i="23"/>
  <c r="T13" i="23"/>
  <c r="G31" i="291"/>
  <c r="G32" i="291"/>
  <c r="G33" i="291"/>
  <c r="G34" i="291"/>
  <c r="G35" i="291"/>
  <c r="G36" i="291"/>
  <c r="G37" i="291"/>
  <c r="G38" i="291"/>
  <c r="G39" i="291"/>
  <c r="G40" i="291"/>
  <c r="G41" i="291"/>
  <c r="G42" i="291"/>
  <c r="G43" i="291"/>
  <c r="G44" i="291"/>
  <c r="G45" i="291"/>
  <c r="G46" i="291"/>
  <c r="G47" i="291"/>
  <c r="G48" i="291"/>
  <c r="G49" i="291"/>
  <c r="G50" i="291"/>
  <c r="G51" i="291"/>
  <c r="G52" i="291"/>
  <c r="G53" i="291"/>
  <c r="G54" i="291"/>
  <c r="G55" i="291"/>
  <c r="G56" i="291"/>
  <c r="G57" i="291"/>
  <c r="G58" i="291"/>
  <c r="G59" i="291"/>
  <c r="G60" i="291"/>
  <c r="G61" i="291"/>
  <c r="G62" i="291"/>
  <c r="G63" i="291"/>
  <c r="G64" i="291"/>
  <c r="G65" i="291"/>
  <c r="G66" i="291"/>
  <c r="G67" i="291"/>
  <c r="G68" i="291"/>
  <c r="G69" i="291"/>
  <c r="G70" i="291"/>
  <c r="G71" i="291"/>
  <c r="G72" i="291"/>
  <c r="G73" i="291"/>
  <c r="G74" i="291"/>
  <c r="G75" i="291"/>
  <c r="G76" i="291"/>
  <c r="G77" i="291"/>
  <c r="G78" i="291"/>
  <c r="G79" i="291"/>
  <c r="G80" i="291"/>
  <c r="G81" i="291"/>
  <c r="G82" i="291"/>
  <c r="G83" i="291"/>
  <c r="G84" i="291"/>
  <c r="G85" i="291"/>
  <c r="G86" i="291"/>
  <c r="G87" i="291"/>
  <c r="G88" i="291"/>
  <c r="G89" i="291"/>
  <c r="G90" i="291"/>
  <c r="G91" i="291"/>
  <c r="G92" i="291"/>
  <c r="G93" i="291"/>
  <c r="G94" i="291"/>
  <c r="G95" i="291"/>
  <c r="G96" i="291"/>
  <c r="G97" i="291"/>
  <c r="G98" i="291"/>
  <c r="G99" i="291"/>
  <c r="G100" i="291"/>
  <c r="G101" i="291"/>
  <c r="G102" i="291"/>
  <c r="G103" i="291"/>
  <c r="G104" i="291"/>
  <c r="G105" i="291"/>
  <c r="G106" i="291"/>
  <c r="G107" i="291"/>
  <c r="G108" i="291"/>
  <c r="G109" i="291"/>
  <c r="G110" i="291"/>
  <c r="G111" i="291"/>
  <c r="G112" i="291"/>
  <c r="G113" i="291"/>
  <c r="G114" i="291"/>
  <c r="G115" i="291"/>
  <c r="G116" i="291"/>
  <c r="G117" i="291"/>
  <c r="G118" i="291"/>
  <c r="G119" i="291"/>
  <c r="G120" i="291"/>
  <c r="G121" i="291"/>
  <c r="G122" i="291"/>
  <c r="G123" i="291"/>
  <c r="G124" i="291"/>
  <c r="G125" i="291"/>
  <c r="G126" i="291"/>
  <c r="G127" i="291"/>
  <c r="G128" i="291"/>
  <c r="G129" i="291"/>
  <c r="G130" i="291"/>
  <c r="G131" i="291"/>
  <c r="G132" i="291"/>
  <c r="G133" i="291"/>
  <c r="G134" i="291"/>
  <c r="G135" i="291"/>
  <c r="G136" i="291"/>
  <c r="G137" i="291"/>
  <c r="G138" i="291"/>
  <c r="G139" i="291"/>
  <c r="G140" i="291"/>
  <c r="G141" i="291"/>
  <c r="G142" i="291"/>
  <c r="G143" i="291"/>
  <c r="G144" i="291"/>
  <c r="G145" i="291"/>
  <c r="G146" i="291"/>
  <c r="G147" i="291"/>
  <c r="G148" i="291"/>
  <c r="G149" i="291"/>
  <c r="G150" i="291"/>
  <c r="G151" i="291"/>
  <c r="E31" i="291"/>
  <c r="E32" i="291"/>
  <c r="E33" i="291"/>
  <c r="E34" i="291"/>
  <c r="E35" i="291"/>
  <c r="E36" i="291"/>
  <c r="E37" i="291"/>
  <c r="E38" i="291"/>
  <c r="E39" i="291"/>
  <c r="E40" i="291"/>
  <c r="E41" i="291"/>
  <c r="E42" i="291"/>
  <c r="E43" i="291"/>
  <c r="E44" i="291"/>
  <c r="E45" i="291"/>
  <c r="E46" i="291"/>
  <c r="E47" i="291"/>
  <c r="E48" i="291"/>
  <c r="E49" i="291"/>
  <c r="E50" i="291"/>
  <c r="E51" i="291"/>
  <c r="E52" i="291"/>
  <c r="E53" i="291"/>
  <c r="E54" i="291"/>
  <c r="E55" i="291"/>
  <c r="E56" i="291"/>
  <c r="E57" i="291"/>
  <c r="E58" i="291"/>
  <c r="E59" i="291"/>
  <c r="E60" i="291"/>
  <c r="E61" i="291"/>
  <c r="E62" i="291"/>
  <c r="E63" i="291"/>
  <c r="E64" i="291"/>
  <c r="E65" i="291"/>
  <c r="E66" i="291"/>
  <c r="E67" i="291"/>
  <c r="E68" i="291"/>
  <c r="E69" i="291"/>
  <c r="E70" i="291"/>
  <c r="E71" i="291"/>
  <c r="E72" i="291"/>
  <c r="E73" i="291"/>
  <c r="E74" i="291"/>
  <c r="E75" i="291"/>
  <c r="E76" i="291"/>
  <c r="E77" i="291"/>
  <c r="E78" i="291"/>
  <c r="E79" i="291"/>
  <c r="E80" i="291"/>
  <c r="E81" i="291"/>
  <c r="E82" i="291"/>
  <c r="E83" i="291"/>
  <c r="E84" i="291"/>
  <c r="E85" i="291"/>
  <c r="E86" i="291"/>
  <c r="E87" i="291"/>
  <c r="E88" i="291"/>
  <c r="E89" i="291"/>
  <c r="E90" i="291"/>
  <c r="E91" i="291"/>
  <c r="E92" i="291"/>
  <c r="E93" i="291"/>
  <c r="E94" i="291"/>
  <c r="E95" i="291"/>
  <c r="E96" i="291"/>
  <c r="E97" i="291"/>
  <c r="E98" i="291"/>
  <c r="E99" i="291"/>
  <c r="E100" i="291"/>
  <c r="E101" i="291"/>
  <c r="E102" i="291"/>
  <c r="E103" i="291"/>
  <c r="E104" i="291"/>
  <c r="E105" i="291"/>
  <c r="E106" i="291"/>
  <c r="E107" i="291"/>
  <c r="E108" i="291"/>
  <c r="E109" i="291"/>
  <c r="E110" i="291"/>
  <c r="E111" i="291"/>
  <c r="E112" i="291"/>
  <c r="E113" i="291"/>
  <c r="E114" i="291"/>
  <c r="E115" i="291"/>
  <c r="E116" i="291"/>
  <c r="E117" i="291"/>
  <c r="E118" i="291"/>
  <c r="E119" i="291"/>
  <c r="E120" i="291"/>
  <c r="E121" i="291"/>
  <c r="E122" i="291"/>
  <c r="E123" i="291"/>
  <c r="E124" i="291"/>
  <c r="E125" i="291"/>
  <c r="E126" i="291"/>
  <c r="E127" i="291"/>
  <c r="E128" i="291"/>
  <c r="E129" i="291"/>
  <c r="E130" i="291"/>
  <c r="E131" i="291"/>
  <c r="E132" i="291"/>
  <c r="E133" i="291"/>
  <c r="E134" i="291"/>
  <c r="E135" i="291"/>
  <c r="E136" i="291"/>
  <c r="E137" i="291"/>
  <c r="E138" i="291"/>
  <c r="E139" i="291"/>
  <c r="E140" i="291"/>
  <c r="E141" i="291"/>
  <c r="E142" i="291"/>
  <c r="E143" i="291"/>
  <c r="E144" i="291"/>
  <c r="E145" i="291"/>
  <c r="E146" i="291"/>
  <c r="E147" i="291"/>
  <c r="E148" i="291"/>
  <c r="E149" i="291"/>
  <c r="E150" i="291"/>
  <c r="E151" i="291"/>
  <c r="T34" i="5" l="1" a="1"/>
  <c r="T34" i="5" s="1"/>
  <c r="Q34" i="5" a="1"/>
  <c r="Q34" i="5" s="1"/>
  <c r="G71" i="23"/>
  <c r="L71" i="23" s="1"/>
  <c r="G72" i="23"/>
  <c r="L72" i="23" s="1"/>
  <c r="G73" i="23"/>
  <c r="L73" i="23" s="1"/>
  <c r="G65" i="23"/>
  <c r="L65" i="23" s="1"/>
  <c r="I36" i="23"/>
  <c r="J36" i="23"/>
  <c r="G69" i="23"/>
  <c r="L69" i="23" s="1"/>
  <c r="G70" i="23"/>
  <c r="L70" i="23" s="1"/>
  <c r="G64" i="23"/>
  <c r="L64" i="23" s="1"/>
  <c r="G67" i="23"/>
  <c r="L67" i="23" s="1"/>
  <c r="G68" i="23"/>
  <c r="L68" i="23" s="1"/>
  <c r="D58" i="5" l="1"/>
  <c r="AI58" i="5" l="1"/>
  <c r="AH58" i="5"/>
  <c r="D116" i="19"/>
  <c r="D89" i="19"/>
  <c r="AK116" i="19" l="1"/>
  <c r="AJ116" i="19"/>
  <c r="AK89" i="19"/>
  <c r="AJ89" i="19"/>
  <c r="D81" i="401" l="1"/>
  <c r="D81" i="402"/>
  <c r="O68" i="402"/>
  <c r="N68" i="402"/>
  <c r="O67" i="402"/>
  <c r="O63" i="402"/>
  <c r="N63" i="402"/>
  <c r="O62" i="402"/>
  <c r="N62" i="402"/>
  <c r="O60" i="402"/>
  <c r="O68" i="401"/>
  <c r="O67" i="401"/>
  <c r="N68" i="401" s="1"/>
  <c r="O63" i="401"/>
  <c r="N63" i="401"/>
  <c r="O62" i="401"/>
  <c r="N62" i="401"/>
  <c r="O60" i="401"/>
  <c r="D63" i="20" l="1"/>
  <c r="E63" i="20"/>
  <c r="F63" i="20"/>
  <c r="D35" i="20"/>
  <c r="C82" i="5"/>
  <c r="D42" i="5"/>
  <c r="F35" i="23"/>
  <c r="C35" i="23"/>
  <c r="E35" i="23"/>
  <c r="D35" i="23"/>
  <c r="C63" i="20"/>
  <c r="C35" i="20"/>
  <c r="C63" i="18"/>
  <c r="C35" i="18"/>
  <c r="E63" i="18"/>
  <c r="E35" i="18"/>
  <c r="D63" i="18"/>
  <c r="AC5" i="18"/>
  <c r="C33" i="17"/>
  <c r="C24" i="17"/>
  <c r="F24" i="17"/>
  <c r="E33" i="17"/>
  <c r="E24" i="17"/>
  <c r="D33" i="17"/>
  <c r="D24" i="17"/>
  <c r="AC6" i="17"/>
  <c r="D157" i="19"/>
  <c r="C157" i="19"/>
  <c r="H35" i="19"/>
  <c r="C35" i="19"/>
  <c r="C89" i="19" s="1"/>
  <c r="G35" i="19"/>
  <c r="E35" i="19"/>
  <c r="D35" i="19"/>
  <c r="L82" i="5"/>
  <c r="P82" i="5" s="1"/>
  <c r="D82" i="5"/>
  <c r="C50" i="5"/>
  <c r="F151" i="291"/>
  <c r="D151" i="291"/>
  <c r="F150" i="291"/>
  <c r="D150" i="291"/>
  <c r="F149" i="291"/>
  <c r="D149" i="291"/>
  <c r="F148" i="291"/>
  <c r="D148" i="291"/>
  <c r="F147" i="291"/>
  <c r="D147" i="291"/>
  <c r="F146" i="291"/>
  <c r="D146" i="291"/>
  <c r="F145" i="291"/>
  <c r="D145" i="291"/>
  <c r="F144" i="291"/>
  <c r="D144" i="291"/>
  <c r="F143" i="291"/>
  <c r="D143" i="291"/>
  <c r="F142" i="291"/>
  <c r="D142" i="291"/>
  <c r="F141" i="291"/>
  <c r="D141" i="291"/>
  <c r="F140" i="291"/>
  <c r="D140" i="291"/>
  <c r="F139" i="291"/>
  <c r="D139" i="291"/>
  <c r="F138" i="291"/>
  <c r="D138" i="291"/>
  <c r="F137" i="291"/>
  <c r="D137" i="291"/>
  <c r="F136" i="291"/>
  <c r="D136" i="291"/>
  <c r="F135" i="291"/>
  <c r="D135" i="291"/>
  <c r="F134" i="291"/>
  <c r="D134" i="291"/>
  <c r="F133" i="291"/>
  <c r="D133" i="291"/>
  <c r="F132" i="291"/>
  <c r="D132" i="291"/>
  <c r="F131" i="291"/>
  <c r="D131" i="291"/>
  <c r="F130" i="291"/>
  <c r="D130" i="291"/>
  <c r="F129" i="291"/>
  <c r="D129" i="291"/>
  <c r="F128" i="291"/>
  <c r="D128" i="291"/>
  <c r="F127" i="291"/>
  <c r="D127" i="291"/>
  <c r="F126" i="291"/>
  <c r="D126" i="291"/>
  <c r="F125" i="291"/>
  <c r="D125" i="291"/>
  <c r="F124" i="291"/>
  <c r="D124" i="291"/>
  <c r="F123" i="291"/>
  <c r="D123" i="291"/>
  <c r="F122" i="291"/>
  <c r="D122" i="291"/>
  <c r="F121" i="291"/>
  <c r="D121" i="291"/>
  <c r="F120" i="291"/>
  <c r="D120" i="291"/>
  <c r="F119" i="291"/>
  <c r="D119" i="291"/>
  <c r="F118" i="291"/>
  <c r="D118" i="291"/>
  <c r="F117" i="291"/>
  <c r="D117" i="291"/>
  <c r="F116" i="291"/>
  <c r="D116" i="291"/>
  <c r="F115" i="291"/>
  <c r="D115" i="291"/>
  <c r="F114" i="291"/>
  <c r="D114" i="291"/>
  <c r="F113" i="291"/>
  <c r="D113" i="291"/>
  <c r="F112" i="291"/>
  <c r="D112" i="291"/>
  <c r="F111" i="291"/>
  <c r="D111" i="291"/>
  <c r="F110" i="291"/>
  <c r="D110" i="291"/>
  <c r="F109" i="291"/>
  <c r="D109" i="291"/>
  <c r="F108" i="291"/>
  <c r="D108" i="291"/>
  <c r="F107" i="291"/>
  <c r="D107" i="291"/>
  <c r="F106" i="291"/>
  <c r="D106" i="291"/>
  <c r="F105" i="291"/>
  <c r="D105" i="291"/>
  <c r="F104" i="291"/>
  <c r="D104" i="291"/>
  <c r="F103" i="291"/>
  <c r="D103" i="291"/>
  <c r="F102" i="291"/>
  <c r="D102" i="291"/>
  <c r="F101" i="291"/>
  <c r="D101" i="291"/>
  <c r="F100" i="291"/>
  <c r="D100" i="291"/>
  <c r="F99" i="291"/>
  <c r="D99" i="291"/>
  <c r="F98" i="291"/>
  <c r="D98" i="291"/>
  <c r="F97" i="291"/>
  <c r="D97" i="291"/>
  <c r="F96" i="291"/>
  <c r="D96" i="291"/>
  <c r="F95" i="291"/>
  <c r="D95" i="291"/>
  <c r="F94" i="291"/>
  <c r="D94" i="291"/>
  <c r="F93" i="291"/>
  <c r="D93" i="291"/>
  <c r="F92" i="291"/>
  <c r="D92" i="291"/>
  <c r="F91" i="291"/>
  <c r="D91" i="291"/>
  <c r="F90" i="291"/>
  <c r="D90" i="291"/>
  <c r="F89" i="291"/>
  <c r="D89" i="291"/>
  <c r="F88" i="291"/>
  <c r="D88" i="291"/>
  <c r="F87" i="291"/>
  <c r="D87" i="291"/>
  <c r="F86" i="291"/>
  <c r="D86" i="291"/>
  <c r="F85" i="291"/>
  <c r="D85" i="291"/>
  <c r="F84" i="291"/>
  <c r="D84" i="291"/>
  <c r="F83" i="291"/>
  <c r="D83" i="291"/>
  <c r="F82" i="291"/>
  <c r="D82" i="291"/>
  <c r="F81" i="291"/>
  <c r="D81" i="291"/>
  <c r="F80" i="291"/>
  <c r="D80" i="291"/>
  <c r="F79" i="291"/>
  <c r="D79" i="291"/>
  <c r="F78" i="291"/>
  <c r="D78" i="291"/>
  <c r="F77" i="291"/>
  <c r="D77" i="291"/>
  <c r="F76" i="291"/>
  <c r="D76" i="291"/>
  <c r="F75" i="291"/>
  <c r="D75" i="291"/>
  <c r="F74" i="291"/>
  <c r="D74" i="291"/>
  <c r="F73" i="291"/>
  <c r="D73" i="291"/>
  <c r="F72" i="291"/>
  <c r="D72" i="291"/>
  <c r="F71" i="291"/>
  <c r="D71" i="291"/>
  <c r="F70" i="291"/>
  <c r="D70" i="291"/>
  <c r="F69" i="291"/>
  <c r="D69" i="291"/>
  <c r="F68" i="291"/>
  <c r="D68" i="291"/>
  <c r="F67" i="291"/>
  <c r="D67" i="291"/>
  <c r="F66" i="291"/>
  <c r="D66" i="291"/>
  <c r="F65" i="291"/>
  <c r="D65" i="291"/>
  <c r="F64" i="291"/>
  <c r="D64" i="291"/>
  <c r="F63" i="291"/>
  <c r="D63" i="291"/>
  <c r="F62" i="291"/>
  <c r="D62" i="291"/>
  <c r="F61" i="291"/>
  <c r="D61" i="291"/>
  <c r="F60" i="291"/>
  <c r="D60" i="291"/>
  <c r="F59" i="291"/>
  <c r="D59" i="291"/>
  <c r="F58" i="291"/>
  <c r="D58" i="291"/>
  <c r="F57" i="291"/>
  <c r="D57" i="291"/>
  <c r="F56" i="291"/>
  <c r="D56" i="291"/>
  <c r="F55" i="291"/>
  <c r="D55" i="291"/>
  <c r="F54" i="291"/>
  <c r="D54" i="291"/>
  <c r="F53" i="291"/>
  <c r="D53" i="291"/>
  <c r="F52" i="291"/>
  <c r="D52" i="291"/>
  <c r="F51" i="291"/>
  <c r="D51" i="291"/>
  <c r="F50" i="291"/>
  <c r="D50" i="291"/>
  <c r="F49" i="291"/>
  <c r="D49" i="291"/>
  <c r="F48" i="291"/>
  <c r="D48" i="291"/>
  <c r="F47" i="291"/>
  <c r="D47" i="291"/>
  <c r="F46" i="291"/>
  <c r="D46" i="291"/>
  <c r="F45" i="291"/>
  <c r="D45" i="291"/>
  <c r="F44" i="291"/>
  <c r="D44" i="291"/>
  <c r="F43" i="291"/>
  <c r="D43" i="291"/>
  <c r="F42" i="291"/>
  <c r="D42" i="291"/>
  <c r="F41" i="291"/>
  <c r="D41" i="291"/>
  <c r="F40" i="291"/>
  <c r="D40" i="291"/>
  <c r="F39" i="291"/>
  <c r="D39" i="291"/>
  <c r="F38" i="291"/>
  <c r="D38" i="291"/>
  <c r="F37" i="291"/>
  <c r="D37" i="291"/>
  <c r="F36" i="291"/>
  <c r="D36" i="291"/>
  <c r="F35" i="291"/>
  <c r="D35" i="291"/>
  <c r="F34" i="291"/>
  <c r="D34" i="291"/>
  <c r="F33" i="291"/>
  <c r="D33" i="291"/>
  <c r="F32" i="291"/>
  <c r="D32" i="291"/>
  <c r="F31" i="291"/>
  <c r="D31" i="291"/>
  <c r="W42" i="5" l="1"/>
  <c r="V42" i="5"/>
  <c r="AG157" i="19"/>
  <c r="W58" i="5"/>
  <c r="AG58" i="5" s="1"/>
  <c r="X42" i="5"/>
  <c r="AE116" i="19"/>
  <c r="AG116" i="19" s="1"/>
  <c r="AD116" i="19"/>
  <c r="AF116" i="19" s="1"/>
  <c r="AE62" i="19"/>
  <c r="AD62" i="19"/>
  <c r="AF62" i="19" s="1"/>
  <c r="AI42" i="5"/>
  <c r="AH42" i="5"/>
  <c r="AE89" i="19"/>
  <c r="AD89" i="19"/>
  <c r="AF89" i="19" s="1"/>
  <c r="AG82" i="5"/>
  <c r="AF82" i="5"/>
  <c r="AI157" i="19"/>
  <c r="AH157" i="19"/>
  <c r="AA63" i="20"/>
  <c r="Z63" i="20" s="1"/>
  <c r="J63" i="20"/>
  <c r="G36" i="23"/>
  <c r="H51" i="23"/>
  <c r="H43" i="23"/>
  <c r="H54" i="23"/>
  <c r="G45" i="23"/>
  <c r="H45" i="23"/>
  <c r="G41" i="23"/>
  <c r="H41" i="23"/>
  <c r="G55" i="23"/>
  <c r="H55" i="23"/>
  <c r="G52" i="23"/>
  <c r="G49" i="23"/>
  <c r="H53" i="23"/>
  <c r="H37" i="23"/>
  <c r="G53" i="23"/>
  <c r="H48" i="23"/>
  <c r="G37" i="23"/>
  <c r="H52" i="23"/>
  <c r="G51" i="23"/>
  <c r="G48" i="23"/>
  <c r="G43" i="23"/>
  <c r="H50" i="23"/>
  <c r="H49" i="23"/>
  <c r="H46" i="23"/>
  <c r="H40" i="23"/>
  <c r="G42" i="23"/>
  <c r="H47" i="23"/>
  <c r="H56" i="23"/>
  <c r="G47" i="23"/>
  <c r="H38" i="23"/>
  <c r="G38" i="23"/>
  <c r="G40" i="23"/>
  <c r="G56" i="23"/>
  <c r="H39" i="23"/>
  <c r="H44" i="23"/>
  <c r="H42" i="23"/>
  <c r="G54" i="23"/>
  <c r="G39" i="23"/>
  <c r="G50" i="23"/>
  <c r="G46" i="23"/>
  <c r="G44" i="23"/>
  <c r="AC8" i="19"/>
  <c r="AB116" i="19"/>
  <c r="AB89" i="19"/>
  <c r="AE58" i="5"/>
  <c r="AD58" i="5"/>
  <c r="AD42" i="5"/>
  <c r="Z42" i="5"/>
  <c r="Z58" i="5"/>
  <c r="AD50" i="5"/>
  <c r="Z50" i="5"/>
  <c r="AE20" i="5"/>
  <c r="AD6" i="5"/>
  <c r="AD8" i="5"/>
  <c r="N82" i="5"/>
  <c r="D50" i="5"/>
  <c r="C2" i="24"/>
  <c r="I6" i="23"/>
  <c r="J6" i="23" s="1"/>
  <c r="K6" i="23" s="1"/>
  <c r="I35" i="23"/>
  <c r="G5" i="51"/>
  <c r="C2" i="51"/>
  <c r="R12" i="18"/>
  <c r="AC4" i="18"/>
  <c r="R11" i="18"/>
  <c r="AC6" i="18"/>
  <c r="W7" i="18"/>
  <c r="D35" i="18"/>
  <c r="I6" i="18"/>
  <c r="R4" i="18" s="1"/>
  <c r="F63" i="18"/>
  <c r="J63" i="18" s="1"/>
  <c r="F35" i="18"/>
  <c r="J35" i="18" s="1"/>
  <c r="AD14" i="19"/>
  <c r="AC7" i="19"/>
  <c r="I6" i="19"/>
  <c r="J6" i="19" s="1"/>
  <c r="AA157" i="19"/>
  <c r="AF23" i="19"/>
  <c r="AB62" i="19"/>
  <c r="AF6" i="19"/>
  <c r="AE4" i="19"/>
  <c r="AG11" i="19"/>
  <c r="I35" i="19"/>
  <c r="C62" i="19"/>
  <c r="AG12" i="19"/>
  <c r="L35" i="23"/>
  <c r="K35" i="23"/>
  <c r="D62" i="19"/>
  <c r="AD11" i="19"/>
  <c r="AE19" i="19"/>
  <c r="AD12" i="19"/>
  <c r="AG14" i="19"/>
  <c r="AD13" i="19"/>
  <c r="AC6" i="19"/>
  <c r="J35" i="19"/>
  <c r="K35" i="19"/>
  <c r="R11" i="17"/>
  <c r="Z3" i="54" s="1"/>
  <c r="AE3" i="54" s="1"/>
  <c r="W7" i="17"/>
  <c r="J24" i="17"/>
  <c r="R12" i="17"/>
  <c r="Y3" i="54" s="1"/>
  <c r="AD3" i="54" s="1"/>
  <c r="AC4" i="17"/>
  <c r="AC5" i="17"/>
  <c r="Y24" i="17"/>
  <c r="Y33" i="17" s="1"/>
  <c r="X24" i="17"/>
  <c r="F33" i="17"/>
  <c r="J33" i="17" s="1"/>
  <c r="I6" i="17"/>
  <c r="R4" i="17" s="1"/>
  <c r="AG12" i="5"/>
  <c r="I6" i="20"/>
  <c r="R2" i="20" s="1"/>
  <c r="AL35" i="20"/>
  <c r="E35" i="20"/>
  <c r="AC6" i="20"/>
  <c r="AC5" i="20"/>
  <c r="AC4" i="20"/>
  <c r="X63" i="20"/>
  <c r="Y63" i="20"/>
  <c r="F35" i="20"/>
  <c r="I6" i="5"/>
  <c r="J6" i="5" s="1"/>
  <c r="F34" i="5" s="1"/>
  <c r="P34" i="5" s="1"/>
  <c r="AF24" i="5"/>
  <c r="C42" i="5"/>
  <c r="AG13" i="5"/>
  <c r="AD12" i="5"/>
  <c r="AD13" i="5"/>
  <c r="AG15" i="5"/>
  <c r="AD14" i="5"/>
  <c r="AD15" i="5"/>
  <c r="AG6" i="5"/>
  <c r="AE4" i="5"/>
  <c r="AD64" i="18" l="1"/>
  <c r="AD79" i="18"/>
  <c r="AD82" i="18"/>
  <c r="AD81" i="18"/>
  <c r="AD65" i="18"/>
  <c r="AD78" i="18"/>
  <c r="AD83" i="18"/>
  <c r="AD80" i="18"/>
  <c r="AD51" i="18"/>
  <c r="AD53" i="18"/>
  <c r="AD75" i="18"/>
  <c r="AD85" i="18"/>
  <c r="AD72" i="18"/>
  <c r="AD52" i="18"/>
  <c r="AD84" i="18"/>
  <c r="AD70" i="18"/>
  <c r="AD71" i="18"/>
  <c r="AD67" i="18"/>
  <c r="AD74" i="18"/>
  <c r="AD54" i="18"/>
  <c r="AD77" i="18"/>
  <c r="AD73" i="18"/>
  <c r="AD68" i="18"/>
  <c r="AD76" i="18"/>
  <c r="AD69" i="18"/>
  <c r="AD48" i="18"/>
  <c r="AD42" i="18"/>
  <c r="AD38" i="18"/>
  <c r="AD49" i="18"/>
  <c r="AD57" i="18"/>
  <c r="AD43" i="18"/>
  <c r="AD66" i="18"/>
  <c r="AD47" i="18"/>
  <c r="AD37" i="18"/>
  <c r="AD41" i="18"/>
  <c r="AD46" i="18"/>
  <c r="AD36" i="18"/>
  <c r="AD50" i="18"/>
  <c r="AD45" i="18"/>
  <c r="AD56" i="18"/>
  <c r="AD44" i="18"/>
  <c r="AD39" i="18"/>
  <c r="AD40" i="18"/>
  <c r="AD55" i="18"/>
  <c r="N121" i="19"/>
  <c r="T121" i="19" s="1"/>
  <c r="M130" i="19"/>
  <c r="S130" i="19" s="1"/>
  <c r="M125" i="19"/>
  <c r="S125" i="19" s="1"/>
  <c r="M123" i="19"/>
  <c r="S123" i="19" s="1"/>
  <c r="N134" i="19"/>
  <c r="T134" i="19" s="1"/>
  <c r="M127" i="19"/>
  <c r="S127" i="19" s="1"/>
  <c r="N120" i="19"/>
  <c r="T120" i="19" s="1"/>
  <c r="M119" i="19"/>
  <c r="S119" i="19" s="1"/>
  <c r="N130" i="19"/>
  <c r="T130" i="19" s="1"/>
  <c r="M128" i="19"/>
  <c r="S128" i="19" s="1"/>
  <c r="M132" i="19"/>
  <c r="S132" i="19" s="1"/>
  <c r="N122" i="19"/>
  <c r="T122" i="19" s="1"/>
  <c r="M136" i="19"/>
  <c r="S136" i="19" s="1"/>
  <c r="N123" i="19"/>
  <c r="T123" i="19" s="1"/>
  <c r="M129" i="19"/>
  <c r="S129" i="19" s="1"/>
  <c r="N127" i="19"/>
  <c r="T127" i="19" s="1"/>
  <c r="L137" i="19"/>
  <c r="N137" i="19" s="1"/>
  <c r="T137" i="19" s="1"/>
  <c r="K125" i="19"/>
  <c r="K132" i="19"/>
  <c r="K122" i="19"/>
  <c r="M122" i="19" s="1"/>
  <c r="S122" i="19" s="1"/>
  <c r="L125" i="19"/>
  <c r="N125" i="19" s="1"/>
  <c r="T125" i="19" s="1"/>
  <c r="L132" i="19"/>
  <c r="N132" i="19" s="1"/>
  <c r="T132" i="19" s="1"/>
  <c r="K118" i="19"/>
  <c r="M118" i="19" s="1"/>
  <c r="S118" i="19" s="1"/>
  <c r="L122" i="19"/>
  <c r="K128" i="19"/>
  <c r="L118" i="19"/>
  <c r="N118" i="19" s="1"/>
  <c r="T118" i="19" s="1"/>
  <c r="L128" i="19"/>
  <c r="N128" i="19" s="1"/>
  <c r="T128" i="19" s="1"/>
  <c r="K136" i="19"/>
  <c r="L136" i="19"/>
  <c r="N136" i="19" s="1"/>
  <c r="T136" i="19" s="1"/>
  <c r="K131" i="19"/>
  <c r="M131" i="19" s="1"/>
  <c r="S131" i="19" s="1"/>
  <c r="L131" i="19"/>
  <c r="N131" i="19" s="1"/>
  <c r="T131" i="19" s="1"/>
  <c r="K117" i="19"/>
  <c r="M117" i="19" s="1"/>
  <c r="S117" i="19" s="1"/>
  <c r="L117" i="19"/>
  <c r="N117" i="19" s="1"/>
  <c r="T117" i="19" s="1"/>
  <c r="K124" i="19"/>
  <c r="M124" i="19" s="1"/>
  <c r="S124" i="19" s="1"/>
  <c r="L124" i="19"/>
  <c r="N124" i="19" s="1"/>
  <c r="T124" i="19" s="1"/>
  <c r="K135" i="19"/>
  <c r="M135" i="19" s="1"/>
  <c r="S135" i="19" s="1"/>
  <c r="K121" i="19"/>
  <c r="M121" i="19" s="1"/>
  <c r="S121" i="19" s="1"/>
  <c r="L135" i="19"/>
  <c r="N135" i="19" s="1"/>
  <c r="T135" i="19" s="1"/>
  <c r="L121" i="19"/>
  <c r="K127" i="19"/>
  <c r="L127" i="19"/>
  <c r="K130" i="19"/>
  <c r="L130" i="19"/>
  <c r="K134" i="19"/>
  <c r="M134" i="19" s="1"/>
  <c r="S134" i="19" s="1"/>
  <c r="L134" i="19"/>
  <c r="K120" i="19"/>
  <c r="M120" i="19" s="1"/>
  <c r="S120" i="19" s="1"/>
  <c r="L120" i="19"/>
  <c r="K123" i="19"/>
  <c r="L123" i="19"/>
  <c r="K126" i="19"/>
  <c r="M126" i="19" s="1"/>
  <c r="S126" i="19" s="1"/>
  <c r="L126" i="19"/>
  <c r="N126" i="19" s="1"/>
  <c r="T126" i="19" s="1"/>
  <c r="K129" i="19"/>
  <c r="L129" i="19"/>
  <c r="N129" i="19" s="1"/>
  <c r="T129" i="19" s="1"/>
  <c r="K133" i="19"/>
  <c r="M133" i="19" s="1"/>
  <c r="S133" i="19" s="1"/>
  <c r="L133" i="19"/>
  <c r="N133" i="19" s="1"/>
  <c r="T133" i="19" s="1"/>
  <c r="K119" i="19"/>
  <c r="L119" i="19"/>
  <c r="N119" i="19" s="1"/>
  <c r="T119" i="19" s="1"/>
  <c r="K137" i="19"/>
  <c r="M137" i="19" s="1"/>
  <c r="S137" i="19" s="1"/>
  <c r="K98" i="19"/>
  <c r="L98" i="19"/>
  <c r="K103" i="19"/>
  <c r="M103" i="19" s="1"/>
  <c r="S103" i="19" s="1"/>
  <c r="U43" i="574" s="1"/>
  <c r="K102" i="19"/>
  <c r="M102" i="19" s="1"/>
  <c r="S102" i="19" s="1"/>
  <c r="U42" i="574" s="1"/>
  <c r="L96" i="19"/>
  <c r="N96" i="19" s="1"/>
  <c r="T96" i="19" s="1"/>
  <c r="L92" i="19"/>
  <c r="N92" i="19" s="1"/>
  <c r="T92" i="19" s="1"/>
  <c r="V32" i="574" s="1"/>
  <c r="K97" i="19"/>
  <c r="M97" i="19" s="1"/>
  <c r="S97" i="19" s="1"/>
  <c r="U37" i="574" s="1"/>
  <c r="L95" i="19"/>
  <c r="N95" i="19" s="1"/>
  <c r="T95" i="19" s="1"/>
  <c r="K100" i="19"/>
  <c r="M100" i="19" s="1"/>
  <c r="S100" i="19" s="1"/>
  <c r="U40" i="574" s="1"/>
  <c r="L100" i="19"/>
  <c r="N100" i="19" s="1"/>
  <c r="T100" i="19" s="1"/>
  <c r="V40" i="574" s="1"/>
  <c r="K108" i="19"/>
  <c r="M108" i="19" s="1"/>
  <c r="S108" i="19" s="1"/>
  <c r="U48" i="574" s="1"/>
  <c r="L108" i="19"/>
  <c r="N108" i="19" s="1"/>
  <c r="T108" i="19" s="1"/>
  <c r="V48" i="574" s="1"/>
  <c r="K92" i="19"/>
  <c r="M92" i="19" s="1"/>
  <c r="S92" i="19" s="1"/>
  <c r="U32" i="574" s="1"/>
  <c r="L102" i="19"/>
  <c r="K90" i="19"/>
  <c r="M90" i="19" s="1"/>
  <c r="S90" i="19" s="1"/>
  <c r="L90" i="19"/>
  <c r="N90" i="19" s="1"/>
  <c r="T90" i="19" s="1"/>
  <c r="L107" i="19"/>
  <c r="N107" i="19" s="1"/>
  <c r="T107" i="19" s="1"/>
  <c r="V47" i="574" s="1"/>
  <c r="K94" i="19"/>
  <c r="M94" i="19" s="1"/>
  <c r="S94" i="19" s="1"/>
  <c r="L97" i="19"/>
  <c r="L91" i="19"/>
  <c r="N91" i="19" s="1"/>
  <c r="T91" i="19" s="1"/>
  <c r="V31" i="574" s="1"/>
  <c r="K93" i="19"/>
  <c r="M93" i="19" s="1"/>
  <c r="S93" i="19" s="1"/>
  <c r="U33" i="574" s="1"/>
  <c r="K101" i="19"/>
  <c r="L101" i="19"/>
  <c r="L93" i="19"/>
  <c r="N93" i="19" s="1"/>
  <c r="T93" i="19" s="1"/>
  <c r="V33" i="574" s="1"/>
  <c r="K107" i="19"/>
  <c r="M107" i="19" s="1"/>
  <c r="S107" i="19" s="1"/>
  <c r="U47" i="574" s="1"/>
  <c r="K96" i="19"/>
  <c r="M96" i="19" s="1"/>
  <c r="S96" i="19" s="1"/>
  <c r="L99" i="19"/>
  <c r="N99" i="19" s="1"/>
  <c r="T99" i="19" s="1"/>
  <c r="V39" i="574" s="1"/>
  <c r="K95" i="19"/>
  <c r="M95" i="19" s="1"/>
  <c r="S95" i="19" s="1"/>
  <c r="K110" i="19"/>
  <c r="M110" i="19" s="1"/>
  <c r="S110" i="19" s="1"/>
  <c r="U50" i="574" s="1"/>
  <c r="K99" i="19"/>
  <c r="M99" i="19" s="1"/>
  <c r="S99" i="19" s="1"/>
  <c r="U39" i="574" s="1"/>
  <c r="L110" i="19"/>
  <c r="K109" i="19"/>
  <c r="M109" i="19" s="1"/>
  <c r="S109" i="19" s="1"/>
  <c r="U49" i="574" s="1"/>
  <c r="L94" i="19"/>
  <c r="N94" i="19" s="1"/>
  <c r="T94" i="19" s="1"/>
  <c r="L109" i="19"/>
  <c r="N109" i="19" s="1"/>
  <c r="T109" i="19" s="1"/>
  <c r="V49" i="574" s="1"/>
  <c r="N98" i="19"/>
  <c r="T98" i="19" s="1"/>
  <c r="V38" i="574" s="1"/>
  <c r="M98" i="19"/>
  <c r="S98" i="19" s="1"/>
  <c r="U38" i="574" s="1"/>
  <c r="N101" i="19"/>
  <c r="T101" i="19" s="1"/>
  <c r="V41" i="574" s="1"/>
  <c r="N102" i="19"/>
  <c r="T102" i="19" s="1"/>
  <c r="V42" i="574" s="1"/>
  <c r="N97" i="19"/>
  <c r="T97" i="19" s="1"/>
  <c r="V37" i="574" s="1"/>
  <c r="M101" i="19"/>
  <c r="S101" i="19" s="1"/>
  <c r="U41" i="574" s="1"/>
  <c r="N110" i="19"/>
  <c r="T110" i="19" s="1"/>
  <c r="V50" i="574" s="1"/>
  <c r="K106" i="19"/>
  <c r="M106" i="19" s="1"/>
  <c r="S106" i="19" s="1"/>
  <c r="U46" i="574" s="1"/>
  <c r="L106" i="19"/>
  <c r="N106" i="19" s="1"/>
  <c r="T106" i="19" s="1"/>
  <c r="V46" i="574" s="1"/>
  <c r="K105" i="19"/>
  <c r="M105" i="19" s="1"/>
  <c r="S105" i="19" s="1"/>
  <c r="U45" i="574" s="1"/>
  <c r="L103" i="19"/>
  <c r="N103" i="19" s="1"/>
  <c r="T103" i="19" s="1"/>
  <c r="V43" i="574" s="1"/>
  <c r="L105" i="19"/>
  <c r="N105" i="19" s="1"/>
  <c r="T105" i="19" s="1"/>
  <c r="V45" i="574" s="1"/>
  <c r="L104" i="19"/>
  <c r="N104" i="19" s="1"/>
  <c r="T104" i="19" s="1"/>
  <c r="V44" i="574" s="1"/>
  <c r="K104" i="19"/>
  <c r="M104" i="19" s="1"/>
  <c r="S104" i="19" s="1"/>
  <c r="U44" i="574" s="1"/>
  <c r="K91" i="19"/>
  <c r="M91" i="19" s="1"/>
  <c r="S91" i="19" s="1"/>
  <c r="U31" i="574" s="1"/>
  <c r="M69" i="19"/>
  <c r="S69" i="19" s="1"/>
  <c r="M76" i="19"/>
  <c r="S76" i="19" s="1"/>
  <c r="S43" i="574" s="1"/>
  <c r="M70" i="19"/>
  <c r="S70" i="19" s="1"/>
  <c r="S37" i="574" s="1"/>
  <c r="W37" i="574" s="1"/>
  <c r="M79" i="19"/>
  <c r="S79" i="19" s="1"/>
  <c r="S46" i="574" s="1"/>
  <c r="M68" i="19"/>
  <c r="S68" i="19" s="1"/>
  <c r="K73" i="19"/>
  <c r="M73" i="19" s="1"/>
  <c r="S73" i="19" s="1"/>
  <c r="S40" i="574" s="1"/>
  <c r="L80" i="19"/>
  <c r="N80" i="19" s="1"/>
  <c r="T80" i="19" s="1"/>
  <c r="T47" i="574" s="1"/>
  <c r="K69" i="19"/>
  <c r="L69" i="19"/>
  <c r="N69" i="19" s="1"/>
  <c r="T69" i="19" s="1"/>
  <c r="K68" i="19"/>
  <c r="L68" i="19"/>
  <c r="N68" i="19" s="1"/>
  <c r="T68" i="19" s="1"/>
  <c r="L73" i="19"/>
  <c r="N73" i="19" s="1"/>
  <c r="T73" i="19" s="1"/>
  <c r="T40" i="574" s="1"/>
  <c r="K66" i="19"/>
  <c r="M66" i="19" s="1"/>
  <c r="S66" i="19" s="1"/>
  <c r="S33" i="574" s="1"/>
  <c r="L82" i="19"/>
  <c r="N82" i="19" s="1"/>
  <c r="T82" i="19" s="1"/>
  <c r="T49" i="574" s="1"/>
  <c r="K65" i="19"/>
  <c r="M65" i="19" s="1"/>
  <c r="S65" i="19" s="1"/>
  <c r="S32" i="574" s="1"/>
  <c r="K70" i="19"/>
  <c r="L66" i="19"/>
  <c r="N66" i="19" s="1"/>
  <c r="T66" i="19" s="1"/>
  <c r="T33" i="574" s="1"/>
  <c r="L65" i="19"/>
  <c r="N65" i="19" s="1"/>
  <c r="T65" i="19" s="1"/>
  <c r="T32" i="574" s="1"/>
  <c r="L81" i="19"/>
  <c r="N81" i="19" s="1"/>
  <c r="T81" i="19" s="1"/>
  <c r="T48" i="574" s="1"/>
  <c r="L71" i="19"/>
  <c r="N71" i="19" s="1"/>
  <c r="T71" i="19" s="1"/>
  <c r="T38" i="574" s="1"/>
  <c r="K81" i="19"/>
  <c r="M81" i="19" s="1"/>
  <c r="S81" i="19" s="1"/>
  <c r="S48" i="574" s="1"/>
  <c r="K74" i="19"/>
  <c r="M74" i="19" s="1"/>
  <c r="S74" i="19" s="1"/>
  <c r="S41" i="574" s="1"/>
  <c r="L74" i="19"/>
  <c r="N74" i="19" s="1"/>
  <c r="T74" i="19" s="1"/>
  <c r="T41" i="574" s="1"/>
  <c r="L63" i="19"/>
  <c r="N63" i="19" s="1"/>
  <c r="T63" i="19" s="1"/>
  <c r="L70" i="19"/>
  <c r="N70" i="19" s="1"/>
  <c r="T70" i="19" s="1"/>
  <c r="T37" i="574" s="1"/>
  <c r="K75" i="19"/>
  <c r="M75" i="19" s="1"/>
  <c r="S75" i="19" s="1"/>
  <c r="S42" i="574" s="1"/>
  <c r="L75" i="19"/>
  <c r="N75" i="19" s="1"/>
  <c r="T75" i="19" s="1"/>
  <c r="T42" i="574" s="1"/>
  <c r="K83" i="19"/>
  <c r="M83" i="19" s="1"/>
  <c r="S83" i="19" s="1"/>
  <c r="S50" i="574" s="1"/>
  <c r="K63" i="19"/>
  <c r="M63" i="19" s="1"/>
  <c r="S63" i="19" s="1"/>
  <c r="K82" i="19"/>
  <c r="M82" i="19" s="1"/>
  <c r="S82" i="19" s="1"/>
  <c r="S49" i="574" s="1"/>
  <c r="L64" i="19"/>
  <c r="N64" i="19" s="1"/>
  <c r="T64" i="19" s="1"/>
  <c r="T31" i="574" s="1"/>
  <c r="K72" i="19"/>
  <c r="M72" i="19" s="1"/>
  <c r="S72" i="19" s="1"/>
  <c r="S39" i="574" s="1"/>
  <c r="K67" i="19"/>
  <c r="M67" i="19" s="1"/>
  <c r="S67" i="19" s="1"/>
  <c r="K76" i="19"/>
  <c r="L72" i="19"/>
  <c r="N72" i="19" s="1"/>
  <c r="T72" i="19" s="1"/>
  <c r="T39" i="574" s="1"/>
  <c r="L83" i="19"/>
  <c r="N83" i="19" s="1"/>
  <c r="T83" i="19" s="1"/>
  <c r="T50" i="574" s="1"/>
  <c r="K71" i="19"/>
  <c r="M71" i="19" s="1"/>
  <c r="S71" i="19" s="1"/>
  <c r="S38" i="574" s="1"/>
  <c r="K80" i="19"/>
  <c r="M80" i="19" s="1"/>
  <c r="S80" i="19" s="1"/>
  <c r="S47" i="574" s="1"/>
  <c r="L67" i="19"/>
  <c r="N67" i="19" s="1"/>
  <c r="T67" i="19" s="1"/>
  <c r="L77" i="19"/>
  <c r="N77" i="19" s="1"/>
  <c r="T77" i="19" s="1"/>
  <c r="T44" i="574" s="1"/>
  <c r="K77" i="19"/>
  <c r="M77" i="19" s="1"/>
  <c r="S77" i="19" s="1"/>
  <c r="S44" i="574" s="1"/>
  <c r="K78" i="19"/>
  <c r="M78" i="19" s="1"/>
  <c r="S78" i="19" s="1"/>
  <c r="S45" i="574" s="1"/>
  <c r="K79" i="19"/>
  <c r="K64" i="19"/>
  <c r="M64" i="19" s="1"/>
  <c r="S64" i="19" s="1"/>
  <c r="S31" i="574" s="1"/>
  <c r="W31" i="574" s="1"/>
  <c r="L79" i="19"/>
  <c r="N79" i="19" s="1"/>
  <c r="T79" i="19" s="1"/>
  <c r="T46" i="574" s="1"/>
  <c r="L78" i="19"/>
  <c r="N78" i="19" s="1"/>
  <c r="T78" i="19" s="1"/>
  <c r="T45" i="574" s="1"/>
  <c r="L76" i="19"/>
  <c r="N76" i="19" s="1"/>
  <c r="T76" i="19" s="1"/>
  <c r="T43" i="574" s="1"/>
  <c r="Y62" i="19"/>
  <c r="X62" i="19"/>
  <c r="M59" i="5"/>
  <c r="Q59" i="5" s="1"/>
  <c r="K59" i="5"/>
  <c r="L59" i="5"/>
  <c r="N59" i="5" s="1"/>
  <c r="R59" i="5" s="1"/>
  <c r="K60" i="5"/>
  <c r="M60" i="5" s="1"/>
  <c r="Q60" i="5" s="1"/>
  <c r="L60" i="5"/>
  <c r="N60" i="5" s="1"/>
  <c r="R60" i="5" s="1"/>
  <c r="M44" i="5"/>
  <c r="Q44" i="5" s="1"/>
  <c r="S14" i="574" s="1"/>
  <c r="N44" i="5"/>
  <c r="N43" i="5"/>
  <c r="M43" i="5"/>
  <c r="Q43" i="5" s="1"/>
  <c r="AH89" i="19"/>
  <c r="AF157" i="19"/>
  <c r="Z157" i="19"/>
  <c r="AC157" i="19" s="1"/>
  <c r="I157" i="19" s="1"/>
  <c r="AG14" i="5"/>
  <c r="I63" i="23"/>
  <c r="AE157" i="19"/>
  <c r="AD157" i="19"/>
  <c r="T35" i="19" a="1"/>
  <c r="T35" i="19" s="1"/>
  <c r="Q35" i="19" a="1"/>
  <c r="Q35" i="19" s="1"/>
  <c r="H63" i="23"/>
  <c r="AF24" i="19"/>
  <c r="AF8" i="19"/>
  <c r="AC11" i="18"/>
  <c r="AG8" i="5"/>
  <c r="AG62" i="19"/>
  <c r="AB64" i="20"/>
  <c r="AC64" i="20" s="1"/>
  <c r="AB57" i="20"/>
  <c r="AC57" i="20" s="1"/>
  <c r="AB49" i="20"/>
  <c r="AC49" i="20" s="1"/>
  <c r="AB45" i="20"/>
  <c r="AC45" i="20" s="1"/>
  <c r="AB75" i="20"/>
  <c r="AC75" i="20" s="1"/>
  <c r="AB69" i="20"/>
  <c r="AC69" i="20" s="1"/>
  <c r="AB48" i="20"/>
  <c r="AC48" i="20" s="1"/>
  <c r="AB38" i="20"/>
  <c r="AC38" i="20" s="1"/>
  <c r="AB41" i="20"/>
  <c r="AC41" i="20" s="1"/>
  <c r="AB65" i="20"/>
  <c r="AC65" i="20" s="1"/>
  <c r="AB72" i="20"/>
  <c r="AC72" i="20" s="1"/>
  <c r="AB67" i="20"/>
  <c r="AC67" i="20" s="1"/>
  <c r="AB54" i="20"/>
  <c r="AC54" i="20" s="1"/>
  <c r="AB36" i="20"/>
  <c r="AC36" i="20" s="1"/>
  <c r="AB37" i="20"/>
  <c r="AC37" i="20" s="1"/>
  <c r="AB81" i="20"/>
  <c r="AC81" i="20" s="1"/>
  <c r="AB50" i="20"/>
  <c r="AC50" i="20" s="1"/>
  <c r="AB80" i="20"/>
  <c r="AC80" i="20" s="1"/>
  <c r="AB52" i="20"/>
  <c r="AC52" i="20" s="1"/>
  <c r="AB43" i="20"/>
  <c r="AC43" i="20" s="1"/>
  <c r="AB39" i="20"/>
  <c r="AC39" i="20" s="1"/>
  <c r="AB85" i="20"/>
  <c r="AC85" i="20" s="1"/>
  <c r="AB70" i="20"/>
  <c r="AC70" i="20" s="1"/>
  <c r="AB56" i="20"/>
  <c r="AC56" i="20" s="1"/>
  <c r="AB53" i="20"/>
  <c r="AC53" i="20" s="1"/>
  <c r="AB83" i="20"/>
  <c r="AC83" i="20" s="1"/>
  <c r="AB66" i="20"/>
  <c r="AC66" i="20" s="1"/>
  <c r="AB46" i="20"/>
  <c r="AC46" i="20" s="1"/>
  <c r="AB82" i="20"/>
  <c r="AC82" i="20" s="1"/>
  <c r="AB40" i="20"/>
  <c r="AC40" i="20" s="1"/>
  <c r="AB73" i="20"/>
  <c r="AC73" i="20" s="1"/>
  <c r="AB55" i="20"/>
  <c r="AC55" i="20" s="1"/>
  <c r="AB47" i="20"/>
  <c r="AC47" i="20" s="1"/>
  <c r="AB63" i="20"/>
  <c r="AE63" i="20" s="1"/>
  <c r="AB51" i="20"/>
  <c r="AC51" i="20" s="1"/>
  <c r="AB74" i="20"/>
  <c r="AC74" i="20" s="1"/>
  <c r="AB77" i="20"/>
  <c r="AC77" i="20" s="1"/>
  <c r="AB71" i="20"/>
  <c r="AC71" i="20" s="1"/>
  <c r="AB79" i="20"/>
  <c r="AC79" i="20" s="1"/>
  <c r="AB76" i="20"/>
  <c r="AC76" i="20" s="1"/>
  <c r="AB78" i="20"/>
  <c r="AC78" i="20" s="1"/>
  <c r="AB68" i="20"/>
  <c r="AC68" i="20" s="1"/>
  <c r="AB84" i="20"/>
  <c r="AC84" i="20" s="1"/>
  <c r="AB44" i="20"/>
  <c r="AC44" i="20" s="1"/>
  <c r="AB42" i="20"/>
  <c r="AC42" i="20" s="1"/>
  <c r="AI50" i="5"/>
  <c r="AH50" i="5"/>
  <c r="AA35" i="20"/>
  <c r="Z35" i="20" s="1"/>
  <c r="J35" i="20"/>
  <c r="R63" i="20"/>
  <c r="AK62" i="19"/>
  <c r="AJ62" i="19"/>
  <c r="S34" i="5"/>
  <c r="L34" i="5" s="1"/>
  <c r="R34" i="5"/>
  <c r="U34" i="5"/>
  <c r="AD65" i="20"/>
  <c r="AD75" i="20"/>
  <c r="AD83" i="20"/>
  <c r="AD40" i="20"/>
  <c r="AD50" i="20"/>
  <c r="AD64" i="20"/>
  <c r="AD66" i="20"/>
  <c r="AD76" i="20"/>
  <c r="AD84" i="20"/>
  <c r="AD41" i="20"/>
  <c r="AD51" i="20"/>
  <c r="AD74" i="20"/>
  <c r="AD67" i="20"/>
  <c r="AD77" i="20"/>
  <c r="AD85" i="20"/>
  <c r="AD43" i="20"/>
  <c r="AD52" i="20"/>
  <c r="AD68" i="20"/>
  <c r="AD78" i="20"/>
  <c r="AD63" i="20"/>
  <c r="AD45" i="20"/>
  <c r="AD53" i="20"/>
  <c r="AD39" i="20"/>
  <c r="AD57" i="20"/>
  <c r="AD69" i="20"/>
  <c r="AD79" i="20"/>
  <c r="AD36" i="20"/>
  <c r="AD46" i="20"/>
  <c r="AD54" i="20"/>
  <c r="AD71" i="20"/>
  <c r="AD80" i="20"/>
  <c r="AD37" i="20"/>
  <c r="AD47" i="20"/>
  <c r="AD55" i="20"/>
  <c r="AD49" i="20"/>
  <c r="AD73" i="20"/>
  <c r="AD81" i="20"/>
  <c r="AD38" i="20"/>
  <c r="AD48" i="20"/>
  <c r="AD56" i="20"/>
  <c r="AD82" i="20"/>
  <c r="AD72" i="20"/>
  <c r="AD70" i="20"/>
  <c r="AD44" i="20"/>
  <c r="AD42" i="20"/>
  <c r="AT35" i="18"/>
  <c r="AR35" i="18"/>
  <c r="AT24" i="17"/>
  <c r="AR24" i="17"/>
  <c r="AR35" i="20"/>
  <c r="I71" i="23"/>
  <c r="I72" i="23"/>
  <c r="I65" i="23"/>
  <c r="I73" i="23"/>
  <c r="I66" i="23"/>
  <c r="I64" i="23"/>
  <c r="I67" i="23"/>
  <c r="I68" i="23"/>
  <c r="I69" i="23"/>
  <c r="I70" i="23"/>
  <c r="AC24" i="17"/>
  <c r="X33" i="17"/>
  <c r="AA33" i="17" s="1"/>
  <c r="Z24" i="17"/>
  <c r="P24" i="17" s="1"/>
  <c r="V34" i="5"/>
  <c r="M34" i="5" s="1"/>
  <c r="H36" i="23"/>
  <c r="H71" i="23"/>
  <c r="H64" i="23"/>
  <c r="H68" i="23"/>
  <c r="H72" i="23"/>
  <c r="H65" i="23"/>
  <c r="H73" i="23"/>
  <c r="H69" i="23"/>
  <c r="H66" i="23"/>
  <c r="H70" i="23"/>
  <c r="H67" i="23"/>
  <c r="L116" i="19"/>
  <c r="K116" i="19"/>
  <c r="AG13" i="19"/>
  <c r="AI6" i="54"/>
  <c r="AE11" i="54"/>
  <c r="AI22" i="54"/>
  <c r="AI16" i="54"/>
  <c r="AE17" i="54"/>
  <c r="AE14" i="54"/>
  <c r="AE20" i="54"/>
  <c r="AI15" i="54"/>
  <c r="AI12" i="54"/>
  <c r="AE10" i="54"/>
  <c r="AE22" i="54"/>
  <c r="AE9" i="54"/>
  <c r="AE21" i="54"/>
  <c r="AE18" i="54"/>
  <c r="AI9" i="54"/>
  <c r="AI21" i="54"/>
  <c r="AI18" i="54"/>
  <c r="AE13" i="54"/>
  <c r="AI8" i="54"/>
  <c r="AE6" i="54"/>
  <c r="AE19" i="54"/>
  <c r="AE16" i="54"/>
  <c r="AI11" i="54"/>
  <c r="AI10" i="54"/>
  <c r="AI13" i="54"/>
  <c r="AI19" i="54"/>
  <c r="AI5" i="54"/>
  <c r="AI17" i="54"/>
  <c r="AI14" i="54"/>
  <c r="AI7" i="54"/>
  <c r="AE5" i="54"/>
  <c r="AI20" i="54"/>
  <c r="AE15" i="54"/>
  <c r="AE12" i="54"/>
  <c r="AE8" i="54"/>
  <c r="AE7" i="54"/>
  <c r="AD21" i="54"/>
  <c r="AH22" i="54"/>
  <c r="AH19" i="54"/>
  <c r="AH16" i="54"/>
  <c r="AD17" i="54"/>
  <c r="AD14" i="54"/>
  <c r="AD7" i="54"/>
  <c r="AH5" i="54"/>
  <c r="AD6" i="54"/>
  <c r="AD15" i="54"/>
  <c r="AH10" i="54"/>
  <c r="AD11" i="54"/>
  <c r="AD20" i="54"/>
  <c r="AH15" i="54"/>
  <c r="AH12" i="54"/>
  <c r="AD10" i="54"/>
  <c r="AH21" i="54"/>
  <c r="AH18" i="54"/>
  <c r="AD13" i="54"/>
  <c r="AH8" i="54"/>
  <c r="AD5" i="54"/>
  <c r="AH20" i="54"/>
  <c r="AD8" i="54"/>
  <c r="AH9" i="54"/>
  <c r="AH6" i="54"/>
  <c r="AD22" i="54"/>
  <c r="AD19" i="54"/>
  <c r="AD16" i="54"/>
  <c r="AH11" i="54"/>
  <c r="AD9" i="54"/>
  <c r="AH17" i="54"/>
  <c r="AH14" i="54"/>
  <c r="AH7" i="54"/>
  <c r="AD12" i="54"/>
  <c r="AD18" i="54"/>
  <c r="AH13" i="54"/>
  <c r="R82" i="5"/>
  <c r="AA62" i="19"/>
  <c r="AA116" i="19" s="1"/>
  <c r="AC82" i="5"/>
  <c r="X58" i="5"/>
  <c r="X50" i="5"/>
  <c r="AF42" i="5"/>
  <c r="V58" i="5"/>
  <c r="AF58" i="5" s="1"/>
  <c r="AE42" i="5"/>
  <c r="L42" i="5"/>
  <c r="K42" i="5"/>
  <c r="L58" i="5"/>
  <c r="K58" i="5"/>
  <c r="Z82" i="5"/>
  <c r="X82" i="5"/>
  <c r="Y82" i="5"/>
  <c r="Y42" i="5"/>
  <c r="AB157" i="19"/>
  <c r="H157" i="19" s="1"/>
  <c r="J6" i="18"/>
  <c r="AB82" i="5"/>
  <c r="J35" i="23"/>
  <c r="Y35" i="18"/>
  <c r="Y63" i="18" s="1"/>
  <c r="AF7" i="19"/>
  <c r="K62" i="19"/>
  <c r="L62" i="19"/>
  <c r="L89" i="19"/>
  <c r="AG89" i="19"/>
  <c r="K89" i="19"/>
  <c r="F35" i="19"/>
  <c r="P35" i="19" s="1"/>
  <c r="K6" i="19"/>
  <c r="J157" i="19"/>
  <c r="J5" i="24"/>
  <c r="G7" i="51"/>
  <c r="J7" i="24"/>
  <c r="J8" i="24"/>
  <c r="J6" i="24"/>
  <c r="Z62" i="19"/>
  <c r="AI3" i="54"/>
  <c r="AF3" i="54"/>
  <c r="AB3" i="54"/>
  <c r="AA24" i="17"/>
  <c r="AC3" i="54"/>
  <c r="AA3" i="54"/>
  <c r="AH3" i="54"/>
  <c r="J6" i="17"/>
  <c r="J6" i="20"/>
  <c r="Y35" i="20"/>
  <c r="X35" i="20"/>
  <c r="AE50" i="5"/>
  <c r="AF25" i="5"/>
  <c r="AC11" i="17"/>
  <c r="K6" i="5"/>
  <c r="V50" i="5"/>
  <c r="AF50" i="5"/>
  <c r="W50" i="5"/>
  <c r="AG50" i="5"/>
  <c r="AG42" i="5"/>
  <c r="AD82" i="5"/>
  <c r="AE82" i="5"/>
  <c r="AI66" i="18" l="1"/>
  <c r="AJ66" i="18" s="1"/>
  <c r="AK66" i="18" s="1"/>
  <c r="L66" i="18" s="1"/>
  <c r="AE66" i="18"/>
  <c r="AL66" i="18"/>
  <c r="M66" i="18" s="1"/>
  <c r="AG66" i="18"/>
  <c r="AH66" i="18" s="1"/>
  <c r="K66" i="18" s="1"/>
  <c r="AG43" i="18"/>
  <c r="AI43" i="18"/>
  <c r="AJ43" i="18" s="1"/>
  <c r="AK43" i="18" s="1"/>
  <c r="L43" i="18" s="1"/>
  <c r="AE43" i="18"/>
  <c r="AL43" i="18"/>
  <c r="M43" i="18" s="1"/>
  <c r="AG38" i="18"/>
  <c r="AL38" i="18"/>
  <c r="M38" i="18" s="1"/>
  <c r="AI38" i="18"/>
  <c r="AJ38" i="18" s="1"/>
  <c r="AK38" i="18" s="1"/>
  <c r="L38" i="18" s="1"/>
  <c r="AE38" i="18"/>
  <c r="AH38" i="18" s="1"/>
  <c r="K38" i="18" s="1"/>
  <c r="AI42" i="18"/>
  <c r="AJ42" i="18" s="1"/>
  <c r="AK42" i="18" s="1"/>
  <c r="L42" i="18" s="1"/>
  <c r="AL42" i="18"/>
  <c r="M42" i="18" s="1"/>
  <c r="AG42" i="18"/>
  <c r="AE42" i="18"/>
  <c r="AI48" i="18"/>
  <c r="AJ48" i="18" s="1"/>
  <c r="AK48" i="18" s="1"/>
  <c r="L48" i="18" s="1"/>
  <c r="AE48" i="18"/>
  <c r="AG48" i="18"/>
  <c r="AL48" i="18"/>
  <c r="M48" i="18" s="1"/>
  <c r="W38" i="574"/>
  <c r="AI69" i="18"/>
  <c r="AJ69" i="18" s="1"/>
  <c r="AK69" i="18" s="1"/>
  <c r="L69" i="18" s="1"/>
  <c r="AE69" i="18"/>
  <c r="AL69" i="18"/>
  <c r="M69" i="18" s="1"/>
  <c r="AG69" i="18"/>
  <c r="AI76" i="18"/>
  <c r="AJ76" i="18" s="1"/>
  <c r="AK76" i="18" s="1"/>
  <c r="L76" i="18" s="1"/>
  <c r="AE76" i="18"/>
  <c r="AL76" i="18"/>
  <c r="M76" i="18" s="1"/>
  <c r="AG76" i="18"/>
  <c r="AI68" i="18"/>
  <c r="AJ68" i="18" s="1"/>
  <c r="AK68" i="18" s="1"/>
  <c r="L68" i="18" s="1"/>
  <c r="AL68" i="18"/>
  <c r="M68" i="18" s="1"/>
  <c r="AG68" i="18"/>
  <c r="AE68" i="18"/>
  <c r="AI73" i="18"/>
  <c r="AJ73" i="18" s="1"/>
  <c r="AK73" i="18" s="1"/>
  <c r="L73" i="18" s="1"/>
  <c r="AL73" i="18"/>
  <c r="M73" i="18" s="1"/>
  <c r="AE73" i="18"/>
  <c r="AG73" i="18"/>
  <c r="AI49" i="18"/>
  <c r="AJ49" i="18" s="1"/>
  <c r="AK49" i="18" s="1"/>
  <c r="L49" i="18" s="1"/>
  <c r="AG49" i="18"/>
  <c r="AE49" i="18"/>
  <c r="AL49" i="18"/>
  <c r="M49" i="18" s="1"/>
  <c r="AI77" i="18"/>
  <c r="AJ77" i="18" s="1"/>
  <c r="AK77" i="18" s="1"/>
  <c r="L77" i="18" s="1"/>
  <c r="AE77" i="18"/>
  <c r="AL77" i="18"/>
  <c r="M77" i="18" s="1"/>
  <c r="AG77" i="18"/>
  <c r="AI54" i="18"/>
  <c r="AJ54" i="18" s="1"/>
  <c r="AK54" i="18" s="1"/>
  <c r="L54" i="18" s="1"/>
  <c r="AL54" i="18"/>
  <c r="M54" i="18" s="1"/>
  <c r="AG54" i="18"/>
  <c r="AE54" i="18"/>
  <c r="AL74" i="18"/>
  <c r="M74" i="18" s="1"/>
  <c r="AI74" i="18"/>
  <c r="AJ74" i="18" s="1"/>
  <c r="AK74" i="18" s="1"/>
  <c r="L74" i="18" s="1"/>
  <c r="AE74" i="18"/>
  <c r="AG74" i="18"/>
  <c r="AG67" i="18"/>
  <c r="AL67" i="18"/>
  <c r="M67" i="18" s="1"/>
  <c r="AE67" i="18"/>
  <c r="AI67" i="18"/>
  <c r="AJ67" i="18" s="1"/>
  <c r="AK67" i="18" s="1"/>
  <c r="L67" i="18" s="1"/>
  <c r="AI71" i="18"/>
  <c r="AJ71" i="18" s="1"/>
  <c r="AK71" i="18" s="1"/>
  <c r="L71" i="18" s="1"/>
  <c r="AL71" i="18"/>
  <c r="M71" i="18" s="1"/>
  <c r="AE71" i="18"/>
  <c r="AG71" i="18"/>
  <c r="AG70" i="18"/>
  <c r="AI70" i="18"/>
  <c r="AJ70" i="18" s="1"/>
  <c r="AK70" i="18" s="1"/>
  <c r="L70" i="18" s="1"/>
  <c r="AL70" i="18"/>
  <c r="M70" i="18" s="1"/>
  <c r="AE70" i="18"/>
  <c r="AE84" i="18"/>
  <c r="AL84" i="18"/>
  <c r="M84" i="18" s="1"/>
  <c r="AG84" i="18"/>
  <c r="AH84" i="18" s="1"/>
  <c r="K84" i="18" s="1"/>
  <c r="AI84" i="18"/>
  <c r="AJ84" i="18" s="1"/>
  <c r="AK84" i="18" s="1"/>
  <c r="L84" i="18" s="1"/>
  <c r="AI52" i="18"/>
  <c r="AJ52" i="18" s="1"/>
  <c r="AK52" i="18" s="1"/>
  <c r="L52" i="18" s="1"/>
  <c r="AL52" i="18"/>
  <c r="M52" i="18" s="1"/>
  <c r="AG52" i="18"/>
  <c r="AE52" i="18"/>
  <c r="AE72" i="18"/>
  <c r="AI72" i="18"/>
  <c r="AJ72" i="18" s="1"/>
  <c r="AK72" i="18" s="1"/>
  <c r="L72" i="18" s="1"/>
  <c r="AL72" i="18"/>
  <c r="M72" i="18" s="1"/>
  <c r="AG72" i="18"/>
  <c r="AG55" i="18"/>
  <c r="AI55" i="18"/>
  <c r="AJ55" i="18" s="1"/>
  <c r="AK55" i="18" s="1"/>
  <c r="L55" i="18" s="1"/>
  <c r="AE55" i="18"/>
  <c r="AL55" i="18"/>
  <c r="M55" i="18" s="1"/>
  <c r="AG85" i="18"/>
  <c r="AE85" i="18"/>
  <c r="AL85" i="18"/>
  <c r="M85" i="18" s="1"/>
  <c r="AI85" i="18"/>
  <c r="AJ85" i="18" s="1"/>
  <c r="AK85" i="18" s="1"/>
  <c r="L85" i="18" s="1"/>
  <c r="AE40" i="18"/>
  <c r="AG40" i="18"/>
  <c r="AL40" i="18"/>
  <c r="M40" i="18" s="1"/>
  <c r="AI40" i="18"/>
  <c r="AJ40" i="18" s="1"/>
  <c r="AK40" i="18" s="1"/>
  <c r="L40" i="18" s="1"/>
  <c r="AI75" i="18"/>
  <c r="AJ75" i="18" s="1"/>
  <c r="AK75" i="18" s="1"/>
  <c r="L75" i="18" s="1"/>
  <c r="AL75" i="18"/>
  <c r="M75" i="18" s="1"/>
  <c r="AE75" i="18"/>
  <c r="AG75" i="18"/>
  <c r="AG39" i="18"/>
  <c r="AE39" i="18"/>
  <c r="AL39" i="18"/>
  <c r="M39" i="18" s="1"/>
  <c r="AI39" i="18"/>
  <c r="AJ39" i="18" s="1"/>
  <c r="AK39" i="18" s="1"/>
  <c r="L39" i="18" s="1"/>
  <c r="AI53" i="18"/>
  <c r="AJ53" i="18" s="1"/>
  <c r="AK53" i="18" s="1"/>
  <c r="L53" i="18" s="1"/>
  <c r="AG53" i="18"/>
  <c r="AL53" i="18"/>
  <c r="M53" i="18" s="1"/>
  <c r="AE53" i="18"/>
  <c r="AG44" i="18"/>
  <c r="AI44" i="18"/>
  <c r="AJ44" i="18" s="1"/>
  <c r="AK44" i="18" s="1"/>
  <c r="L44" i="18" s="1"/>
  <c r="AL44" i="18"/>
  <c r="M44" i="18" s="1"/>
  <c r="AE44" i="18"/>
  <c r="AI51" i="18"/>
  <c r="AJ51" i="18" s="1"/>
  <c r="AK51" i="18" s="1"/>
  <c r="L51" i="18" s="1"/>
  <c r="AE51" i="18"/>
  <c r="AL51" i="18"/>
  <c r="M51" i="18" s="1"/>
  <c r="AG51" i="18"/>
  <c r="AH51" i="18" s="1"/>
  <c r="K51" i="18" s="1"/>
  <c r="AG56" i="18"/>
  <c r="AI56" i="18"/>
  <c r="AJ56" i="18" s="1"/>
  <c r="AK56" i="18" s="1"/>
  <c r="L56" i="18" s="1"/>
  <c r="AE56" i="18"/>
  <c r="AL56" i="18"/>
  <c r="M56" i="18" s="1"/>
  <c r="AE80" i="18"/>
  <c r="AL80" i="18"/>
  <c r="M80" i="18" s="1"/>
  <c r="AI80" i="18"/>
  <c r="AJ80" i="18" s="1"/>
  <c r="AK80" i="18" s="1"/>
  <c r="L80" i="18" s="1"/>
  <c r="AG80" i="18"/>
  <c r="AH80" i="18" s="1"/>
  <c r="K80" i="18" s="1"/>
  <c r="AG45" i="18"/>
  <c r="AE45" i="18"/>
  <c r="AI45" i="18"/>
  <c r="AJ45" i="18" s="1"/>
  <c r="AK45" i="18" s="1"/>
  <c r="L45" i="18" s="1"/>
  <c r="AL45" i="18"/>
  <c r="M45" i="18" s="1"/>
  <c r="AE83" i="18"/>
  <c r="AI83" i="18"/>
  <c r="AJ83" i="18" s="1"/>
  <c r="AK83" i="18" s="1"/>
  <c r="L83" i="18" s="1"/>
  <c r="AL83" i="18"/>
  <c r="M83" i="18" s="1"/>
  <c r="AG83" i="18"/>
  <c r="AI57" i="18"/>
  <c r="AJ57" i="18" s="1"/>
  <c r="AK57" i="18" s="1"/>
  <c r="L57" i="18" s="1"/>
  <c r="AL57" i="18"/>
  <c r="M57" i="18" s="1"/>
  <c r="AG57" i="18"/>
  <c r="AE57" i="18"/>
  <c r="AG50" i="18"/>
  <c r="AI50" i="18"/>
  <c r="AJ50" i="18" s="1"/>
  <c r="AK50" i="18" s="1"/>
  <c r="L50" i="18" s="1"/>
  <c r="AE50" i="18"/>
  <c r="AH50" i="18" s="1"/>
  <c r="K50" i="18" s="1"/>
  <c r="AL50" i="18"/>
  <c r="M50" i="18" s="1"/>
  <c r="AL78" i="18"/>
  <c r="M78" i="18" s="1"/>
  <c r="AE78" i="18"/>
  <c r="AI78" i="18"/>
  <c r="AJ78" i="18" s="1"/>
  <c r="AK78" i="18" s="1"/>
  <c r="L78" i="18" s="1"/>
  <c r="AG78" i="18"/>
  <c r="AG36" i="18"/>
  <c r="AE36" i="18"/>
  <c r="AL36" i="18"/>
  <c r="M36" i="18" s="1"/>
  <c r="AI36" i="18"/>
  <c r="AJ36" i="18" s="1"/>
  <c r="AK36" i="18" s="1"/>
  <c r="L36" i="18" s="1"/>
  <c r="AI65" i="18"/>
  <c r="AJ65" i="18" s="1"/>
  <c r="AK65" i="18" s="1"/>
  <c r="L65" i="18" s="1"/>
  <c r="AG65" i="18"/>
  <c r="AL65" i="18"/>
  <c r="M65" i="18" s="1"/>
  <c r="AE65" i="18"/>
  <c r="AE46" i="18"/>
  <c r="AI46" i="18"/>
  <c r="AJ46" i="18" s="1"/>
  <c r="AK46" i="18" s="1"/>
  <c r="L46" i="18" s="1"/>
  <c r="AL46" i="18"/>
  <c r="M46" i="18" s="1"/>
  <c r="AG46" i="18"/>
  <c r="AI81" i="18"/>
  <c r="AJ81" i="18" s="1"/>
  <c r="AK81" i="18" s="1"/>
  <c r="L81" i="18" s="1"/>
  <c r="AL81" i="18"/>
  <c r="M81" i="18" s="1"/>
  <c r="AE81" i="18"/>
  <c r="AG81" i="18"/>
  <c r="AI41" i="18"/>
  <c r="AJ41" i="18" s="1"/>
  <c r="AK41" i="18" s="1"/>
  <c r="L41" i="18" s="1"/>
  <c r="AE41" i="18"/>
  <c r="AL41" i="18"/>
  <c r="M41" i="18" s="1"/>
  <c r="AG41" i="18"/>
  <c r="AI82" i="18"/>
  <c r="AJ82" i="18" s="1"/>
  <c r="AK82" i="18" s="1"/>
  <c r="L82" i="18" s="1"/>
  <c r="AL82" i="18"/>
  <c r="M82" i="18" s="1"/>
  <c r="AE82" i="18"/>
  <c r="AG82" i="18"/>
  <c r="AG37" i="18"/>
  <c r="AI37" i="18"/>
  <c r="AJ37" i="18" s="1"/>
  <c r="AK37" i="18" s="1"/>
  <c r="L37" i="18" s="1"/>
  <c r="AL37" i="18"/>
  <c r="M37" i="18" s="1"/>
  <c r="AE37" i="18"/>
  <c r="AH37" i="18" s="1"/>
  <c r="K37" i="18" s="1"/>
  <c r="AL79" i="18"/>
  <c r="M79" i="18" s="1"/>
  <c r="AE79" i="18"/>
  <c r="AI79" i="18"/>
  <c r="AJ79" i="18" s="1"/>
  <c r="AK79" i="18" s="1"/>
  <c r="L79" i="18" s="1"/>
  <c r="AG79" i="18"/>
  <c r="AG47" i="18"/>
  <c r="AI47" i="18"/>
  <c r="AJ47" i="18" s="1"/>
  <c r="AK47" i="18" s="1"/>
  <c r="L47" i="18" s="1"/>
  <c r="AL47" i="18"/>
  <c r="M47" i="18" s="1"/>
  <c r="AE47" i="18"/>
  <c r="AE64" i="18"/>
  <c r="AI64" i="18"/>
  <c r="AJ64" i="18" s="1"/>
  <c r="AK64" i="18" s="1"/>
  <c r="L64" i="18" s="1"/>
  <c r="AL64" i="18"/>
  <c r="M64" i="18" s="1"/>
  <c r="AG64" i="18"/>
  <c r="W33" i="574"/>
  <c r="W32" i="574"/>
  <c r="W40" i="574"/>
  <c r="W50" i="574"/>
  <c r="W46" i="574"/>
  <c r="W43" i="574"/>
  <c r="W45" i="574"/>
  <c r="W47" i="574"/>
  <c r="W44" i="574"/>
  <c r="W39" i="574"/>
  <c r="W49" i="574"/>
  <c r="W42" i="574"/>
  <c r="W48" i="574"/>
  <c r="W41" i="574"/>
  <c r="R43" i="5"/>
  <c r="K51" i="5"/>
  <c r="M51" i="5" s="1"/>
  <c r="Q51" i="5" s="1"/>
  <c r="L51" i="5"/>
  <c r="N51" i="5" s="1"/>
  <c r="R51" i="5" s="1"/>
  <c r="R44" i="5"/>
  <c r="T14" i="574" s="1"/>
  <c r="W14" i="574" s="1"/>
  <c r="K52" i="5"/>
  <c r="M52" i="5" s="1"/>
  <c r="Q52" i="5" s="1"/>
  <c r="U14" i="574" s="1"/>
  <c r="L52" i="5"/>
  <c r="N52" i="5" s="1"/>
  <c r="R52" i="5" s="1"/>
  <c r="V14" i="574" s="1"/>
  <c r="AO63" i="18"/>
  <c r="X35" i="18"/>
  <c r="Z35" i="18" s="1"/>
  <c r="L157" i="19"/>
  <c r="N157" i="19" s="1"/>
  <c r="AC63" i="20"/>
  <c r="AO35" i="20"/>
  <c r="R35" i="20"/>
  <c r="AE75" i="20"/>
  <c r="AO35" i="18"/>
  <c r="AE84" i="20"/>
  <c r="AE51" i="20"/>
  <c r="AE66" i="20"/>
  <c r="AE52" i="20"/>
  <c r="AE67" i="20"/>
  <c r="AE45" i="20"/>
  <c r="AE54" i="20"/>
  <c r="AD35" i="20"/>
  <c r="AE68" i="20"/>
  <c r="AE83" i="20"/>
  <c r="AE80" i="20"/>
  <c r="AE72" i="20"/>
  <c r="AE49" i="20"/>
  <c r="AE44" i="20"/>
  <c r="AE74" i="20"/>
  <c r="AE43" i="20"/>
  <c r="AE78" i="20"/>
  <c r="AE47" i="20"/>
  <c r="AE53" i="20"/>
  <c r="AB35" i="20"/>
  <c r="AE35" i="20" s="1"/>
  <c r="AE65" i="20"/>
  <c r="AE57" i="20"/>
  <c r="AE46" i="20"/>
  <c r="AE76" i="20"/>
  <c r="AE55" i="20"/>
  <c r="AE56" i="20"/>
  <c r="AE50" i="20"/>
  <c r="AE41" i="20"/>
  <c r="AE64" i="20"/>
  <c r="AL63" i="20"/>
  <c r="AO63" i="20" s="1"/>
  <c r="AL36" i="20"/>
  <c r="AE79" i="20"/>
  <c r="AE73" i="20"/>
  <c r="AE70" i="20"/>
  <c r="AE81" i="20"/>
  <c r="AE38" i="20"/>
  <c r="AE71" i="20"/>
  <c r="AE40" i="20"/>
  <c r="AE85" i="20"/>
  <c r="AE37" i="20"/>
  <c r="AE48" i="20"/>
  <c r="AE42" i="20"/>
  <c r="AE77" i="20"/>
  <c r="AE82" i="20"/>
  <c r="AE39" i="20"/>
  <c r="AE36" i="20"/>
  <c r="AE69" i="20"/>
  <c r="U35" i="19"/>
  <c r="R35" i="19"/>
  <c r="S35" i="19"/>
  <c r="L35" i="19" s="1"/>
  <c r="G35" i="23" s="1"/>
  <c r="V35" i="19"/>
  <c r="M35" i="19" s="1"/>
  <c r="H35" i="23" s="1"/>
  <c r="Z33" i="17"/>
  <c r="AW24" i="17"/>
  <c r="AV35" i="18"/>
  <c r="AU35" i="18"/>
  <c r="AV24" i="17"/>
  <c r="AU24" i="17"/>
  <c r="AT35" i="20"/>
  <c r="AC33" i="17"/>
  <c r="AB24" i="17"/>
  <c r="I24" i="17" s="1"/>
  <c r="AJ3" i="54"/>
  <c r="AJ22" i="54"/>
  <c r="AJ5" i="54"/>
  <c r="AF17" i="54"/>
  <c r="Z17" i="54" s="1"/>
  <c r="AF7" i="54"/>
  <c r="Z7" i="54" s="1"/>
  <c r="AF20" i="54"/>
  <c r="Z20" i="54" s="1"/>
  <c r="AJ15" i="54"/>
  <c r="AF10" i="54"/>
  <c r="Z10" i="54" s="1"/>
  <c r="AJ21" i="54"/>
  <c r="AJ18" i="54"/>
  <c r="AF13" i="54"/>
  <c r="Z13" i="54" s="1"/>
  <c r="AJ8" i="54"/>
  <c r="AF6" i="54"/>
  <c r="Z6" i="54" s="1"/>
  <c r="AJ7" i="54"/>
  <c r="AJ6" i="54"/>
  <c r="AF14" i="54"/>
  <c r="Z14" i="54" s="1"/>
  <c r="AF22" i="54"/>
  <c r="Z22" i="54" s="1"/>
  <c r="AF19" i="54"/>
  <c r="Z19" i="54" s="1"/>
  <c r="AF16" i="54"/>
  <c r="Z16" i="54" s="1"/>
  <c r="AJ11" i="54"/>
  <c r="AF9" i="54"/>
  <c r="Z9" i="54" s="1"/>
  <c r="AJ17" i="54"/>
  <c r="AJ14" i="54"/>
  <c r="AF5" i="54"/>
  <c r="Z5" i="54" s="1"/>
  <c r="AF8" i="54"/>
  <c r="Z8" i="54" s="1"/>
  <c r="AF11" i="54"/>
  <c r="Z11" i="54" s="1"/>
  <c r="AJ16" i="54"/>
  <c r="AJ12" i="54"/>
  <c r="AJ20" i="54"/>
  <c r="AF15" i="54"/>
  <c r="Z15" i="54" s="1"/>
  <c r="AF12" i="54"/>
  <c r="Z12" i="54" s="1"/>
  <c r="AJ10" i="54"/>
  <c r="AF21" i="54"/>
  <c r="Z21" i="54" s="1"/>
  <c r="AF18" i="54"/>
  <c r="Z18" i="54" s="1"/>
  <c r="AJ13" i="54"/>
  <c r="AJ19" i="54"/>
  <c r="AJ9" i="54"/>
  <c r="AC12" i="54"/>
  <c r="Y12" i="54" s="1"/>
  <c r="AC21" i="54"/>
  <c r="Y21" i="54" s="1"/>
  <c r="AC18" i="54"/>
  <c r="Y18" i="54" s="1"/>
  <c r="AC8" i="54"/>
  <c r="Y8" i="54" s="1"/>
  <c r="AG22" i="54"/>
  <c r="AG19" i="54"/>
  <c r="AG16" i="54"/>
  <c r="AC11" i="54"/>
  <c r="Y11" i="54" s="1"/>
  <c r="AG9" i="54"/>
  <c r="AG15" i="54"/>
  <c r="AG12" i="54"/>
  <c r="AG11" i="54"/>
  <c r="AG7" i="54"/>
  <c r="AG20" i="54"/>
  <c r="AC17" i="54"/>
  <c r="Y17" i="54" s="1"/>
  <c r="AC14" i="54"/>
  <c r="Y14" i="54" s="1"/>
  <c r="AC7" i="54"/>
  <c r="Y7" i="54" s="1"/>
  <c r="AG5" i="54"/>
  <c r="AC20" i="54"/>
  <c r="Y20" i="54" s="1"/>
  <c r="AC10" i="54"/>
  <c r="Y10" i="54" s="1"/>
  <c r="AG6" i="54"/>
  <c r="AC15" i="54"/>
  <c r="Y15" i="54" s="1"/>
  <c r="AG10" i="54"/>
  <c r="AG21" i="54"/>
  <c r="AG18" i="54"/>
  <c r="AC13" i="54"/>
  <c r="Y13" i="54" s="1"/>
  <c r="AG8" i="54"/>
  <c r="AC6" i="54"/>
  <c r="Y6" i="54" s="1"/>
  <c r="AC22" i="54"/>
  <c r="Y22" i="54" s="1"/>
  <c r="AC19" i="54"/>
  <c r="Y19" i="54" s="1"/>
  <c r="AC16" i="54"/>
  <c r="Y16" i="54" s="1"/>
  <c r="AC9" i="54"/>
  <c r="Y9" i="54" s="1"/>
  <c r="AG17" i="54"/>
  <c r="AG14" i="54"/>
  <c r="AC5" i="54"/>
  <c r="Y5" i="54" s="1"/>
  <c r="AG13" i="54"/>
  <c r="X116" i="19"/>
  <c r="AH116" i="19" s="1"/>
  <c r="Z116" i="19"/>
  <c r="H116" i="19" s="1"/>
  <c r="AC62" i="19"/>
  <c r="J62" i="19" s="1"/>
  <c r="AA89" i="19"/>
  <c r="H62" i="19"/>
  <c r="Y116" i="19"/>
  <c r="AI116" i="19" s="1"/>
  <c r="Y50" i="5"/>
  <c r="I50" i="5" s="1"/>
  <c r="Y58" i="5"/>
  <c r="I58" i="5" s="1"/>
  <c r="G42" i="5"/>
  <c r="M42" i="5" s="1"/>
  <c r="AA42" i="5"/>
  <c r="H42" i="5"/>
  <c r="N42" i="5" s="1"/>
  <c r="K50" i="5" s="1"/>
  <c r="I42" i="5"/>
  <c r="J42" i="5"/>
  <c r="K82" i="5"/>
  <c r="O82" i="5" s="1"/>
  <c r="AA82" i="5"/>
  <c r="J82" i="5" s="1"/>
  <c r="G82" i="5"/>
  <c r="H82" i="5"/>
  <c r="AA50" i="5"/>
  <c r="I82" i="5"/>
  <c r="G157" i="19"/>
  <c r="M157" i="19" s="1"/>
  <c r="K6" i="18"/>
  <c r="D5" i="24"/>
  <c r="M8" i="24" s="1"/>
  <c r="D6" i="24"/>
  <c r="N8" i="24" s="1"/>
  <c r="AD63" i="18"/>
  <c r="D6" i="51"/>
  <c r="X89" i="19"/>
  <c r="AH62" i="19"/>
  <c r="G62" i="19"/>
  <c r="Y89" i="19"/>
  <c r="AI89" i="19"/>
  <c r="AI62" i="19"/>
  <c r="Z89" i="19"/>
  <c r="AC89" i="19"/>
  <c r="AG3" i="54"/>
  <c r="K6" i="17"/>
  <c r="AO24" i="17"/>
  <c r="AP35" i="20"/>
  <c r="AU35" i="20" s="1"/>
  <c r="K6" i="20"/>
  <c r="AM35" i="20"/>
  <c r="AH43" i="18" l="1"/>
  <c r="K43" i="18" s="1"/>
  <c r="AH77" i="18"/>
  <c r="K77" i="18" s="1"/>
  <c r="AH54" i="18"/>
  <c r="K54" i="18" s="1"/>
  <c r="N84" i="18"/>
  <c r="AH73" i="18"/>
  <c r="K73" i="18" s="1"/>
  <c r="N73" i="18" s="1"/>
  <c r="N66" i="18"/>
  <c r="AH49" i="18"/>
  <c r="K49" i="18" s="1"/>
  <c r="AH53" i="18"/>
  <c r="K53" i="18" s="1"/>
  <c r="AH39" i="18"/>
  <c r="K39" i="18" s="1"/>
  <c r="N39" i="18" s="1"/>
  <c r="AH65" i="18"/>
  <c r="K65" i="18" s="1"/>
  <c r="N65" i="18" s="1"/>
  <c r="N54" i="18"/>
  <c r="AH44" i="18"/>
  <c r="K44" i="18" s="1"/>
  <c r="N44" i="18" s="1"/>
  <c r="AH81" i="18"/>
  <c r="K81" i="18" s="1"/>
  <c r="N81" i="18" s="1"/>
  <c r="AH75" i="18"/>
  <c r="K75" i="18" s="1"/>
  <c r="N75" i="18" s="1"/>
  <c r="AH71" i="18"/>
  <c r="K71" i="18" s="1"/>
  <c r="AH41" i="18"/>
  <c r="K41" i="18" s="1"/>
  <c r="AH69" i="18"/>
  <c r="K69" i="18" s="1"/>
  <c r="AH85" i="18"/>
  <c r="K85" i="18" s="1"/>
  <c r="N85" i="18" s="1"/>
  <c r="AH45" i="18"/>
  <c r="K45" i="18" s="1"/>
  <c r="N45" i="18" s="1"/>
  <c r="X38" i="574" s="1"/>
  <c r="AH72" i="18"/>
  <c r="K72" i="18" s="1"/>
  <c r="N72" i="18" s="1"/>
  <c r="X37" i="574" s="1"/>
  <c r="AH52" i="18"/>
  <c r="K52" i="18" s="1"/>
  <c r="N52" i="18" s="1"/>
  <c r="N37" i="18"/>
  <c r="X30" i="574" s="1"/>
  <c r="AH83" i="18"/>
  <c r="K83" i="18" s="1"/>
  <c r="N83" i="18" s="1"/>
  <c r="N71" i="18"/>
  <c r="N41" i="18"/>
  <c r="AH76" i="18"/>
  <c r="K76" i="18" s="1"/>
  <c r="N76" i="18" s="1"/>
  <c r="N69" i="18"/>
  <c r="AH40" i="18"/>
  <c r="K40" i="18" s="1"/>
  <c r="N40" i="18" s="1"/>
  <c r="X33" i="574" s="1"/>
  <c r="AH67" i="18"/>
  <c r="K67" i="18" s="1"/>
  <c r="N67" i="18" s="1"/>
  <c r="N80" i="18"/>
  <c r="AH74" i="18"/>
  <c r="K74" i="18" s="1"/>
  <c r="N74" i="18" s="1"/>
  <c r="AH46" i="18"/>
  <c r="K46" i="18" s="1"/>
  <c r="N46" i="18" s="1"/>
  <c r="AH48" i="18"/>
  <c r="K48" i="18" s="1"/>
  <c r="N48" i="18" s="1"/>
  <c r="AH56" i="18"/>
  <c r="K56" i="18" s="1"/>
  <c r="N56" i="18" s="1"/>
  <c r="X49" i="574" s="1"/>
  <c r="AH55" i="18"/>
  <c r="K55" i="18" s="1"/>
  <c r="N55" i="18" s="1"/>
  <c r="AH42" i="18"/>
  <c r="K42" i="18" s="1"/>
  <c r="N42" i="18" s="1"/>
  <c r="AH64" i="18"/>
  <c r="K64" i="18" s="1"/>
  <c r="N64" i="18" s="1"/>
  <c r="AH47" i="18"/>
  <c r="K47" i="18" s="1"/>
  <c r="N47" i="18" s="1"/>
  <c r="N51" i="18"/>
  <c r="N77" i="18"/>
  <c r="N38" i="18"/>
  <c r="X31" i="574" s="1"/>
  <c r="AH36" i="18"/>
  <c r="K36" i="18" s="1"/>
  <c r="N36" i="18" s="1"/>
  <c r="N49" i="18"/>
  <c r="AH79" i="18"/>
  <c r="K79" i="18" s="1"/>
  <c r="N79" i="18" s="1"/>
  <c r="AH78" i="18"/>
  <c r="K78" i="18" s="1"/>
  <c r="N78" i="18" s="1"/>
  <c r="N43" i="18"/>
  <c r="N53" i="18"/>
  <c r="X46" i="574" s="1"/>
  <c r="N50" i="18"/>
  <c r="AH82" i="18"/>
  <c r="K82" i="18" s="1"/>
  <c r="N82" i="18" s="1"/>
  <c r="X47" i="574" s="1"/>
  <c r="AH57" i="18"/>
  <c r="K57" i="18" s="1"/>
  <c r="N57" i="18" s="1"/>
  <c r="AH70" i="18"/>
  <c r="K70" i="18" s="1"/>
  <c r="N70" i="18" s="1"/>
  <c r="AH68" i="18"/>
  <c r="K68" i="18" s="1"/>
  <c r="N68" i="18" s="1"/>
  <c r="AR63" i="18"/>
  <c r="AA35" i="18"/>
  <c r="P35" i="18" s="1"/>
  <c r="X63" i="18"/>
  <c r="Z63" i="18" s="1"/>
  <c r="AC35" i="18"/>
  <c r="AW35" i="18" s="1"/>
  <c r="AX35" i="18" s="1"/>
  <c r="P157" i="19"/>
  <c r="R157" i="19"/>
  <c r="AC35" i="20"/>
  <c r="AF35" i="20" s="1"/>
  <c r="AM63" i="20"/>
  <c r="AN63" i="20" s="1"/>
  <c r="AF43" i="20"/>
  <c r="K43" i="20" s="1"/>
  <c r="N43" i="20" s="1"/>
  <c r="AF72" i="20"/>
  <c r="K72" i="20" s="1"/>
  <c r="N72" i="20" s="1"/>
  <c r="AF54" i="20"/>
  <c r="K54" i="20" s="1"/>
  <c r="N54" i="20" s="1"/>
  <c r="AF41" i="20"/>
  <c r="K41" i="20" s="1"/>
  <c r="N41" i="20" s="1"/>
  <c r="AF53" i="20"/>
  <c r="K53" i="20" s="1"/>
  <c r="N53" i="20" s="1"/>
  <c r="AF37" i="20"/>
  <c r="K37" i="20" s="1"/>
  <c r="N37" i="20" s="1"/>
  <c r="AF52" i="20"/>
  <c r="K52" i="20" s="1"/>
  <c r="N52" i="20" s="1"/>
  <c r="AF77" i="20"/>
  <c r="K77" i="20" s="1"/>
  <c r="N77" i="20" s="1"/>
  <c r="AF79" i="20"/>
  <c r="K79" i="20" s="1"/>
  <c r="N79" i="20" s="1"/>
  <c r="AF50" i="20"/>
  <c r="K50" i="20" s="1"/>
  <c r="N50" i="20" s="1"/>
  <c r="AF74" i="20"/>
  <c r="K74" i="20" s="1"/>
  <c r="N74" i="20" s="1"/>
  <c r="AF80" i="20"/>
  <c r="K80" i="20" s="1"/>
  <c r="N80" i="20" s="1"/>
  <c r="AF36" i="20"/>
  <c r="K36" i="20" s="1"/>
  <c r="AF42" i="20"/>
  <c r="K42" i="20" s="1"/>
  <c r="N42" i="20" s="1"/>
  <c r="AF81" i="20"/>
  <c r="K81" i="20" s="1"/>
  <c r="N81" i="20" s="1"/>
  <c r="AF56" i="20"/>
  <c r="K56" i="20" s="1"/>
  <c r="N56" i="20" s="1"/>
  <c r="AF47" i="20"/>
  <c r="K47" i="20" s="1"/>
  <c r="N47" i="20" s="1"/>
  <c r="AF83" i="20"/>
  <c r="K83" i="20" s="1"/>
  <c r="N83" i="20" s="1"/>
  <c r="AF70" i="20"/>
  <c r="K70" i="20" s="1"/>
  <c r="N70" i="20" s="1"/>
  <c r="AF49" i="20"/>
  <c r="K49" i="20" s="1"/>
  <c r="N49" i="20" s="1"/>
  <c r="AF39" i="20"/>
  <c r="K39" i="20" s="1"/>
  <c r="N39" i="20" s="1"/>
  <c r="AF48" i="20"/>
  <c r="K48" i="20" s="1"/>
  <c r="N48" i="20" s="1"/>
  <c r="AF71" i="20"/>
  <c r="K71" i="20" s="1"/>
  <c r="N71" i="20" s="1"/>
  <c r="AF57" i="20"/>
  <c r="K57" i="20" s="1"/>
  <c r="N57" i="20" s="1"/>
  <c r="AF78" i="20"/>
  <c r="K78" i="20" s="1"/>
  <c r="N78" i="20" s="1"/>
  <c r="AF44" i="20"/>
  <c r="K44" i="20" s="1"/>
  <c r="N44" i="20" s="1"/>
  <c r="AF67" i="20"/>
  <c r="K67" i="20" s="1"/>
  <c r="N67" i="20" s="1"/>
  <c r="AF84" i="20"/>
  <c r="K84" i="20" s="1"/>
  <c r="N84" i="20" s="1"/>
  <c r="AF64" i="20"/>
  <c r="K64" i="20" s="1"/>
  <c r="N64" i="20" s="1"/>
  <c r="AF55" i="20"/>
  <c r="K55" i="20" s="1"/>
  <c r="N55" i="20" s="1"/>
  <c r="AF65" i="20"/>
  <c r="K65" i="20" s="1"/>
  <c r="N65" i="20" s="1"/>
  <c r="AF68" i="20"/>
  <c r="K68" i="20" s="1"/>
  <c r="N68" i="20" s="1"/>
  <c r="AF82" i="20"/>
  <c r="K82" i="20" s="1"/>
  <c r="N82" i="20" s="1"/>
  <c r="AF73" i="20"/>
  <c r="K73" i="20" s="1"/>
  <c r="N73" i="20" s="1"/>
  <c r="AF76" i="20"/>
  <c r="K76" i="20" s="1"/>
  <c r="N76" i="20" s="1"/>
  <c r="AF75" i="20"/>
  <c r="K75" i="20" s="1"/>
  <c r="N75" i="20" s="1"/>
  <c r="AF69" i="20"/>
  <c r="K69" i="20" s="1"/>
  <c r="N69" i="20" s="1"/>
  <c r="AF85" i="20"/>
  <c r="K85" i="20" s="1"/>
  <c r="N85" i="20" s="1"/>
  <c r="AF66" i="20"/>
  <c r="K66" i="20" s="1"/>
  <c r="N66" i="20" s="1"/>
  <c r="AO36" i="20"/>
  <c r="AM36" i="20"/>
  <c r="AP36" i="20"/>
  <c r="AU36" i="20" s="1"/>
  <c r="AF40" i="20"/>
  <c r="K40" i="20" s="1"/>
  <c r="N40" i="20" s="1"/>
  <c r="AF38" i="20"/>
  <c r="K38" i="20" s="1"/>
  <c r="N38" i="20" s="1"/>
  <c r="AF46" i="20"/>
  <c r="K46" i="20" s="1"/>
  <c r="N46" i="20" s="1"/>
  <c r="AF45" i="20"/>
  <c r="K45" i="20" s="1"/>
  <c r="N45" i="20" s="1"/>
  <c r="AF51" i="20"/>
  <c r="K51" i="20" s="1"/>
  <c r="N51" i="20" s="1"/>
  <c r="AX24" i="17"/>
  <c r="AP24" i="17"/>
  <c r="AS24" i="17" s="1"/>
  <c r="AN35" i="20"/>
  <c r="AQ35" i="20" s="1"/>
  <c r="AS35" i="20"/>
  <c r="O35" i="20" s="1"/>
  <c r="AV35" i="20"/>
  <c r="AB33" i="17"/>
  <c r="I33" i="17" s="1"/>
  <c r="AD24" i="17"/>
  <c r="AE24" i="17" s="1"/>
  <c r="G24" i="17"/>
  <c r="H24" i="17"/>
  <c r="AF24" i="17"/>
  <c r="AB21" i="54"/>
  <c r="G116" i="19"/>
  <c r="AA17" i="54"/>
  <c r="AA18" i="54"/>
  <c r="AA20" i="54"/>
  <c r="AA19" i="54"/>
  <c r="AA6" i="54"/>
  <c r="AA7" i="54"/>
  <c r="AA22" i="54"/>
  <c r="AA13" i="54"/>
  <c r="AA5" i="54"/>
  <c r="AA15" i="54"/>
  <c r="AA8" i="54"/>
  <c r="AA12" i="54"/>
  <c r="AA14" i="54"/>
  <c r="AA21" i="54"/>
  <c r="AA10" i="54"/>
  <c r="AA16" i="54"/>
  <c r="AB10" i="54"/>
  <c r="AB14" i="54"/>
  <c r="AB6" i="54"/>
  <c r="AB15" i="54"/>
  <c r="AB17" i="54"/>
  <c r="AB7" i="54"/>
  <c r="AB9" i="54"/>
  <c r="AB20" i="54"/>
  <c r="AA9" i="54"/>
  <c r="AB19" i="54"/>
  <c r="AB12" i="54"/>
  <c r="AB11" i="54"/>
  <c r="AB8" i="54"/>
  <c r="AA11" i="54"/>
  <c r="AB13" i="54"/>
  <c r="AB16" i="54"/>
  <c r="AB5" i="54"/>
  <c r="Q24" i="17" s="1"/>
  <c r="AB18" i="54"/>
  <c r="AB22" i="54"/>
  <c r="AC116" i="19"/>
  <c r="I116" i="19" s="1"/>
  <c r="I62" i="19"/>
  <c r="M62" i="19" s="1"/>
  <c r="I89" i="19"/>
  <c r="J89" i="19"/>
  <c r="H89" i="19"/>
  <c r="AA58" i="5"/>
  <c r="J50" i="5"/>
  <c r="J58" i="5"/>
  <c r="H58" i="5"/>
  <c r="N58" i="5" s="1"/>
  <c r="G58" i="5"/>
  <c r="M58" i="5" s="1"/>
  <c r="G50" i="5"/>
  <c r="M50" i="5" s="1"/>
  <c r="Q50" i="5" s="1"/>
  <c r="H50" i="5"/>
  <c r="Q42" i="5"/>
  <c r="R42" i="5"/>
  <c r="L50" i="5"/>
  <c r="M82" i="5"/>
  <c r="Q82" i="5" s="1"/>
  <c r="AS11" i="574" s="1"/>
  <c r="N62" i="19"/>
  <c r="D5" i="51"/>
  <c r="G5" i="24"/>
  <c r="G6" i="24"/>
  <c r="G89" i="19"/>
  <c r="AO33" i="17"/>
  <c r="AP63" i="20"/>
  <c r="AU63" i="20" s="1"/>
  <c r="X39" i="574" l="1"/>
  <c r="X50" i="574"/>
  <c r="X45" i="574"/>
  <c r="X32" i="574"/>
  <c r="X41" i="574"/>
  <c r="X35" i="574"/>
  <c r="X48" i="574"/>
  <c r="X40" i="574"/>
  <c r="X34" i="574"/>
  <c r="X29" i="574"/>
  <c r="X36" i="574"/>
  <c r="X42" i="574"/>
  <c r="X44" i="574"/>
  <c r="X43" i="574"/>
  <c r="AA63" i="18"/>
  <c r="AB35" i="18"/>
  <c r="H35" i="18" s="1"/>
  <c r="AC63" i="18"/>
  <c r="AP63" i="18" s="1"/>
  <c r="AS63" i="18" s="1"/>
  <c r="AP35" i="18"/>
  <c r="AS35" i="18" s="1"/>
  <c r="M89" i="19"/>
  <c r="M116" i="19"/>
  <c r="AQ63" i="20"/>
  <c r="AD33" i="17"/>
  <c r="AN36" i="20"/>
  <c r="AR36" i="20" s="1"/>
  <c r="AP33" i="17"/>
  <c r="AS33" i="17" s="1"/>
  <c r="G33" i="17"/>
  <c r="AR33" i="17" s="1"/>
  <c r="AW33" i="17" s="1"/>
  <c r="H33" i="17"/>
  <c r="AF33" i="17"/>
  <c r="AG24" i="17"/>
  <c r="O24" i="17"/>
  <c r="AQ24" i="17"/>
  <c r="AI24" i="17"/>
  <c r="AJ24" i="17" s="1"/>
  <c r="AK24" i="17" s="1"/>
  <c r="L24" i="17" s="1"/>
  <c r="AL24" i="17"/>
  <c r="M24" i="17" s="1"/>
  <c r="K35" i="20"/>
  <c r="N35" i="20" s="1"/>
  <c r="Q33" i="17"/>
  <c r="Q35" i="18"/>
  <c r="J116" i="19"/>
  <c r="N116" i="19" s="1"/>
  <c r="N89" i="19"/>
  <c r="N50" i="5"/>
  <c r="R50" i="5" s="1"/>
  <c r="D4" i="51"/>
  <c r="R58" i="5"/>
  <c r="Q58" i="5"/>
  <c r="AR63" i="20"/>
  <c r="AF63" i="20"/>
  <c r="K63" i="20" s="1"/>
  <c r="AS36" i="20" l="1"/>
  <c r="O36" i="20" s="1"/>
  <c r="AT36" i="20"/>
  <c r="AV36" i="20" s="1"/>
  <c r="AQ36" i="20"/>
  <c r="Q63" i="18"/>
  <c r="AD35" i="18"/>
  <c r="AI35" i="18" s="1"/>
  <c r="AJ35" i="18" s="1"/>
  <c r="AK35" i="18" s="1"/>
  <c r="L35" i="18" s="1"/>
  <c r="I35" i="18"/>
  <c r="G35" i="18"/>
  <c r="AF35" i="18"/>
  <c r="AW63" i="18"/>
  <c r="AB63" i="18"/>
  <c r="AE63" i="18" s="1"/>
  <c r="AI33" i="17"/>
  <c r="AJ33" i="17" s="1"/>
  <c r="AK33" i="17" s="1"/>
  <c r="L33" i="17" s="1"/>
  <c r="AE33" i="17"/>
  <c r="AG33" i="17"/>
  <c r="AL33" i="17"/>
  <c r="M33" i="17" s="1"/>
  <c r="N36" i="20"/>
  <c r="AQ33" i="17"/>
  <c r="AT33" i="17" s="1"/>
  <c r="AH24" i="17"/>
  <c r="K24" i="17" s="1"/>
  <c r="N24" i="17" s="1"/>
  <c r="J12" i="24"/>
  <c r="H12" i="24"/>
  <c r="I12" i="24"/>
  <c r="G12" i="24"/>
  <c r="D7" i="51"/>
  <c r="J8" i="51"/>
  <c r="S116" i="19"/>
  <c r="T62" i="19"/>
  <c r="S62" i="19"/>
  <c r="T116" i="19"/>
  <c r="AT63" i="20"/>
  <c r="AS63" i="20"/>
  <c r="O63" i="20" s="1"/>
  <c r="AV33" i="17" l="1"/>
  <c r="AX33" i="17" s="1"/>
  <c r="AU33" i="17"/>
  <c r="O33" i="17" s="1"/>
  <c r="AL63" i="18"/>
  <c r="M63" i="18" s="1"/>
  <c r="AF63" i="18"/>
  <c r="I63" i="18"/>
  <c r="AI63" i="18"/>
  <c r="AJ63" i="18" s="1"/>
  <c r="AK63" i="18" s="1"/>
  <c r="L63" i="18" s="1"/>
  <c r="H63" i="18"/>
  <c r="G63" i="18"/>
  <c r="O35" i="18"/>
  <c r="AG35" i="18"/>
  <c r="AL35" i="18"/>
  <c r="M35" i="18" s="1"/>
  <c r="AE35" i="18"/>
  <c r="AQ35" i="18"/>
  <c r="AH33" i="17"/>
  <c r="K33" i="17" s="1"/>
  <c r="AV63" i="20"/>
  <c r="N63" i="20" s="1"/>
  <c r="AG63" i="18"/>
  <c r="AH63" i="18" s="1"/>
  <c r="K63" i="18" s="1"/>
  <c r="AQ63" i="18"/>
  <c r="AT63" i="18" s="1"/>
  <c r="S89" i="19"/>
  <c r="T89" i="19"/>
  <c r="T157" i="19"/>
  <c r="AS28" i="574" s="1"/>
  <c r="S157" i="19"/>
  <c r="N33" i="17" l="1"/>
  <c r="X11" i="574" s="1"/>
  <c r="AV63" i="18"/>
  <c r="AX63" i="18" s="1"/>
  <c r="N63" i="18" s="1"/>
  <c r="AU63" i="18"/>
  <c r="O63" i="18" s="1"/>
  <c r="Y28" i="574" s="1"/>
  <c r="AH35" i="18"/>
  <c r="K35" i="18" s="1"/>
  <c r="N35" i="18" s="1"/>
  <c r="Y11" i="574"/>
  <c r="X28" i="57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Sebastian Kelma</author>
  </authors>
  <commentList>
    <comment ref="V3" authorId="0" shapeId="0" xr:uid="{D2AFE85E-85DA-4FE1-B490-D6DE6BBDE54B}">
      <text>
        <r>
          <rPr>
            <b/>
            <sz val="9"/>
            <color indexed="81"/>
            <rFont val="Segoe UI"/>
            <family val="2"/>
          </rPr>
          <t>Sebastian Kelma:</t>
        </r>
        <r>
          <rPr>
            <sz val="9"/>
            <color indexed="81"/>
            <rFont val="Segoe UI"/>
            <family val="2"/>
          </rPr>
          <t xml:space="preserve">
(default): output file will </t>
        </r>
        <r>
          <rPr>
            <u/>
            <sz val="9"/>
            <color indexed="81"/>
            <rFont val="Segoe UI"/>
            <family val="2"/>
          </rPr>
          <t>not</t>
        </r>
        <r>
          <rPr>
            <sz val="9"/>
            <color indexed="81"/>
            <rFont val="Segoe UI"/>
            <family val="2"/>
          </rPr>
          <t xml:space="preserve"> be generated.
"Y" or "y" (for Yes): output file will be generated.</t>
        </r>
      </text>
    </comment>
    <comment ref="AD3" authorId="0" shapeId="0" xr:uid="{F0EFF793-3F2C-45DA-A4A1-A4A7FBFEAF1D}">
      <text>
        <r>
          <rPr>
            <b/>
            <sz val="9"/>
            <color indexed="81"/>
            <rFont val="Segoe UI"/>
            <family val="2"/>
          </rPr>
          <t>Sebastian Kelma:</t>
        </r>
        <r>
          <rPr>
            <sz val="9"/>
            <color indexed="81"/>
            <rFont val="Segoe UI"/>
            <family val="2"/>
          </rPr>
          <t xml:space="preserve">
(default): MP drawing input will </t>
        </r>
        <r>
          <rPr>
            <u/>
            <sz val="9"/>
            <color indexed="81"/>
            <rFont val="Segoe UI"/>
            <family val="2"/>
          </rPr>
          <t>not</t>
        </r>
        <r>
          <rPr>
            <sz val="9"/>
            <color indexed="81"/>
            <rFont val="Segoe UI"/>
            <family val="2"/>
          </rPr>
          <t xml:space="preserve"> be prepared.
"Y" or "y" (for Yes): MP drawing input will be prepared.</t>
        </r>
      </text>
    </comment>
    <comment ref="AD5" authorId="0" shapeId="0" xr:uid="{F3477D32-5C73-455C-9C27-539C45415F4D}">
      <text>
        <r>
          <rPr>
            <b/>
            <sz val="9"/>
            <color indexed="81"/>
            <rFont val="Segoe UI"/>
            <family val="2"/>
          </rPr>
          <t>Sebastian Kelma:</t>
        </r>
        <r>
          <rPr>
            <sz val="9"/>
            <color indexed="81"/>
            <rFont val="Segoe UI"/>
            <family val="2"/>
          </rPr>
          <t xml:space="preserve">
If left empty or non-existing path: path of this file</t>
        </r>
      </text>
    </comment>
    <comment ref="AD6" authorId="0" shapeId="0" xr:uid="{80EC4C65-F999-475D-977D-04839B803702}">
      <text>
        <r>
          <rPr>
            <b/>
            <sz val="9"/>
            <color indexed="81"/>
            <rFont val="Segoe UI"/>
            <family val="2"/>
          </rPr>
          <t>Sebastian Kelma:</t>
        </r>
        <r>
          <rPr>
            <sz val="9"/>
            <color indexed="81"/>
            <rFont val="Segoe UI"/>
            <family val="2"/>
          </rPr>
          <t xml:space="preserve">
If left empty: "DrawingGenerator_MP"</t>
        </r>
      </text>
    </comment>
    <comment ref="AD7" authorId="0" shapeId="0" xr:uid="{6218AD87-17E0-4C18-A028-CF53E1876C50}">
      <text>
        <r>
          <rPr>
            <b/>
            <sz val="9"/>
            <color indexed="81"/>
            <rFont val="Segoe UI"/>
            <family val="2"/>
          </rPr>
          <t>Sebastian Kelma:</t>
        </r>
        <r>
          <rPr>
            <sz val="9"/>
            <color indexed="81"/>
            <rFont val="Segoe UI"/>
            <family val="2"/>
          </rPr>
          <t xml:space="preserve">
(default): TP drawing input will </t>
        </r>
        <r>
          <rPr>
            <u/>
            <sz val="9"/>
            <color indexed="81"/>
            <rFont val="Segoe UI"/>
            <family val="2"/>
          </rPr>
          <t>not</t>
        </r>
        <r>
          <rPr>
            <sz val="9"/>
            <color indexed="81"/>
            <rFont val="Segoe UI"/>
            <family val="2"/>
          </rPr>
          <t xml:space="preserve"> be prepared.
"Y" or "y" (for Yes): TP drawing input will be prepared.</t>
        </r>
      </text>
    </comment>
    <comment ref="V8" authorId="0" shapeId="0" xr:uid="{994A897F-954F-435D-84C6-1AA26BCF2F0D}">
      <text>
        <r>
          <rPr>
            <b/>
            <sz val="9"/>
            <color indexed="81"/>
            <rFont val="Segoe UI"/>
            <family val="2"/>
          </rPr>
          <t>Sebastian Kelma:</t>
        </r>
        <r>
          <rPr>
            <sz val="9"/>
            <color indexed="81"/>
            <rFont val="Segoe UI"/>
            <family val="2"/>
          </rPr>
          <t xml:space="preserve">
If left empty: "Monopile"</t>
        </r>
      </text>
    </comment>
    <comment ref="V9" authorId="0" shapeId="0" xr:uid="{2C5B56AD-8866-4305-9207-597ACCC86A0D}">
      <text>
        <r>
          <rPr>
            <b/>
            <sz val="9"/>
            <color indexed="81"/>
            <rFont val="Segoe UI"/>
            <family val="2"/>
          </rPr>
          <t>Sebastian Kelma:</t>
        </r>
        <r>
          <rPr>
            <sz val="9"/>
            <color indexed="81"/>
            <rFont val="Segoe UI"/>
            <family val="2"/>
          </rPr>
          <t xml:space="preserve">
If left empty: "Transition piece"</t>
        </r>
      </text>
    </comment>
    <comment ref="AD9" authorId="0" shapeId="0" xr:uid="{ABCACE12-4FAE-4AC6-8F9A-C4B77395CEAE}">
      <text>
        <r>
          <rPr>
            <b/>
            <sz val="9"/>
            <color indexed="81"/>
            <rFont val="Segoe UI"/>
            <family val="2"/>
          </rPr>
          <t>Sebastian Kelma:</t>
        </r>
        <r>
          <rPr>
            <sz val="9"/>
            <color indexed="81"/>
            <rFont val="Segoe UI"/>
            <family val="2"/>
          </rPr>
          <t xml:space="preserve">
If left empty or non-existing path: path of this file</t>
        </r>
      </text>
    </comment>
    <comment ref="V10" authorId="0" shapeId="0" xr:uid="{01173F23-4596-4955-93C4-66808C5EF9F3}">
      <text>
        <r>
          <rPr>
            <b/>
            <sz val="9"/>
            <color indexed="81"/>
            <rFont val="Segoe UI"/>
            <family val="2"/>
          </rPr>
          <t>Sebastian Kelma:</t>
        </r>
        <r>
          <rPr>
            <sz val="9"/>
            <color indexed="81"/>
            <rFont val="Segoe UI"/>
            <family val="2"/>
          </rPr>
          <t xml:space="preserve">
(default): MP design will </t>
        </r>
        <r>
          <rPr>
            <u/>
            <sz val="9"/>
            <color indexed="81"/>
            <rFont val="Segoe UI"/>
            <family val="2"/>
          </rPr>
          <t>not</t>
        </r>
        <r>
          <rPr>
            <sz val="9"/>
            <color indexed="81"/>
            <rFont val="Segoe UI"/>
            <family val="2"/>
          </rPr>
          <t xml:space="preserve"> be included in output.
"Y" or "y" (for Yes): MP design will be included in output.</t>
        </r>
      </text>
    </comment>
    <comment ref="AD10" authorId="0" shapeId="0" xr:uid="{47B19E5C-5854-43B5-B45C-D6B9FDBCB4AE}">
      <text>
        <r>
          <rPr>
            <b/>
            <sz val="9"/>
            <color indexed="81"/>
            <rFont val="Segoe UI"/>
            <family val="2"/>
          </rPr>
          <t>Sebastian Kelma:</t>
        </r>
        <r>
          <rPr>
            <sz val="9"/>
            <color indexed="81"/>
            <rFont val="Segoe UI"/>
            <family val="2"/>
          </rPr>
          <t xml:space="preserve">
If left empty: "DrawingGenerator_MP"</t>
        </r>
      </text>
    </comment>
    <comment ref="V11" authorId="0" shapeId="0" xr:uid="{778138E6-FD2B-4BB3-B4A2-4ECEEDF578C8}">
      <text>
        <r>
          <rPr>
            <b/>
            <sz val="9"/>
            <color indexed="81"/>
            <rFont val="Segoe UI"/>
            <family val="2"/>
          </rPr>
          <t>Sebastian Kelma:</t>
        </r>
        <r>
          <rPr>
            <sz val="9"/>
            <color indexed="81"/>
            <rFont val="Segoe UI"/>
            <family val="2"/>
          </rPr>
          <t xml:space="preserve">
(default): TP design will </t>
        </r>
        <r>
          <rPr>
            <u/>
            <sz val="9"/>
            <color indexed="81"/>
            <rFont val="Segoe UI"/>
            <family val="2"/>
          </rPr>
          <t>not</t>
        </r>
        <r>
          <rPr>
            <sz val="9"/>
            <color indexed="81"/>
            <rFont val="Segoe UI"/>
            <family val="2"/>
          </rPr>
          <t xml:space="preserve"> be included in output.
"Y" or "y" (for Yes): TP design will be included in output.</t>
        </r>
      </text>
    </comment>
    <comment ref="V12" authorId="0" shapeId="0" xr:uid="{6F3F5262-DA4E-4F4D-94D1-3FC94D5F7530}">
      <text>
        <r>
          <rPr>
            <b/>
            <sz val="9"/>
            <color indexed="81"/>
            <rFont val="Segoe UI"/>
            <family val="2"/>
          </rPr>
          <t>Sebastian Kelma:</t>
        </r>
        <r>
          <rPr>
            <sz val="9"/>
            <color indexed="81"/>
            <rFont val="Segoe UI"/>
            <family val="2"/>
          </rPr>
          <t xml:space="preserve">
(default): Detailed driving FLS analysis will not be included in output.
"Y" or "y" (for Yes): Detailed driving FLS analysis will be included in output (if Plot MP in cell G24 is also "Y" or "y").</t>
        </r>
      </text>
    </comment>
    <comment ref="V13" authorId="0" shapeId="0" xr:uid="{31E52C5F-2531-4494-9A67-32AEC2A2196A}">
      <text>
        <r>
          <rPr>
            <b/>
            <sz val="9"/>
            <color indexed="81"/>
            <rFont val="Segoe UI"/>
            <family val="2"/>
          </rPr>
          <t>Sebastian Kelma:</t>
        </r>
        <r>
          <rPr>
            <sz val="9"/>
            <color indexed="81"/>
            <rFont val="Segoe UI"/>
            <family val="2"/>
          </rPr>
          <t xml:space="preserve">
(default): Detailed driving ULS analysis will </t>
        </r>
        <r>
          <rPr>
            <u/>
            <sz val="9"/>
            <color indexed="81"/>
            <rFont val="Segoe UI"/>
            <family val="2"/>
          </rPr>
          <t>not</t>
        </r>
        <r>
          <rPr>
            <sz val="9"/>
            <color indexed="81"/>
            <rFont val="Segoe UI"/>
            <family val="2"/>
          </rPr>
          <t xml:space="preserve"> be included in output.
"Y" or "y" (for Yes): Detailed driving ULS analysis will be included in output (</t>
        </r>
        <r>
          <rPr>
            <u/>
            <sz val="9"/>
            <color indexed="81"/>
            <rFont val="Segoe UI"/>
            <family val="2"/>
          </rPr>
          <t>if Plot MP in cell G24 is also "Y" or "y"</t>
        </r>
        <r>
          <rPr>
            <sz val="9"/>
            <color indexed="81"/>
            <rFont val="Segoe UI"/>
            <family val="2"/>
          </rPr>
          <t>).</t>
        </r>
      </text>
    </comment>
    <comment ref="V14" authorId="0" shapeId="0" xr:uid="{A8968D38-F113-441B-8C42-816EA13B08C8}">
      <text>
        <r>
          <rPr>
            <b/>
            <sz val="9"/>
            <color indexed="81"/>
            <rFont val="Segoe UI"/>
            <family val="2"/>
          </rPr>
          <t>Sebastian Kelma:</t>
        </r>
        <r>
          <rPr>
            <sz val="9"/>
            <color indexed="81"/>
            <rFont val="Segoe UI"/>
            <family val="2"/>
          </rPr>
          <t xml:space="preserve">
Ratio of width to height of the rectangle crreated with the "Get print ratio"-button.</t>
        </r>
      </text>
    </comment>
    <comment ref="E22" authorId="0" shapeId="0" xr:uid="{74733B5D-FD9A-4EFE-9F53-6A52BFC8C351}">
      <text>
        <r>
          <rPr>
            <b/>
            <sz val="9"/>
            <color indexed="81"/>
            <rFont val="Segoe UI"/>
            <family val="2"/>
          </rPr>
          <t>Sebastian Kelma:</t>
        </r>
        <r>
          <rPr>
            <sz val="9"/>
            <color indexed="81"/>
            <rFont val="Segoe UI"/>
            <family val="2"/>
          </rPr>
          <t xml:space="preserve">
Positive direction is upwards.</t>
        </r>
      </text>
    </comment>
    <comment ref="E30" authorId="0" shapeId="0" xr:uid="{3AD81AEF-4C3C-44E9-87CC-8019B96051DE}">
      <text>
        <r>
          <rPr>
            <b/>
            <sz val="9"/>
            <color indexed="81"/>
            <rFont val="Segoe UI"/>
            <family val="2"/>
          </rPr>
          <t>Sebastian Kelma:</t>
        </r>
        <r>
          <rPr>
            <sz val="9"/>
            <color indexed="81"/>
            <rFont val="Segoe UI"/>
            <family val="2"/>
          </rPr>
          <t xml:space="preserve">
A, B, or C</t>
        </r>
      </text>
    </comment>
    <comment ref="E31" authorId="0" shapeId="0" xr:uid="{A9E48F3B-AD11-421B-8807-A74610E0E447}">
      <text>
        <r>
          <rPr>
            <b/>
            <sz val="9"/>
            <color indexed="81"/>
            <rFont val="Segoe UI"/>
            <family val="2"/>
          </rPr>
          <t>Sebastian Kelma:</t>
        </r>
        <r>
          <rPr>
            <sz val="9"/>
            <color indexed="81"/>
            <rFont val="Segoe UI"/>
            <family val="2"/>
          </rPr>
          <t xml:space="preserve">
A, B, or C</t>
        </r>
      </text>
    </comment>
    <comment ref="E39" authorId="0" shapeId="0" xr:uid="{36C4E45B-C339-473E-BF36-64B9C8F2642B}">
      <text>
        <r>
          <rPr>
            <b/>
            <sz val="9"/>
            <color indexed="81"/>
            <rFont val="Segoe UI"/>
            <family val="2"/>
          </rPr>
          <t>Sebastian Kelma:</t>
        </r>
        <r>
          <rPr>
            <sz val="9"/>
            <color indexed="81"/>
            <rFont val="Segoe UI"/>
            <family val="2"/>
          </rPr>
          <t xml:space="preserve">
DNV or EC</t>
        </r>
      </text>
    </comment>
    <comment ref="E43" authorId="0" shapeId="0" xr:uid="{AE27E67E-21A4-45EF-BF88-D967E14D301A}">
      <text>
        <r>
          <rPr>
            <b/>
            <sz val="9"/>
            <color indexed="81"/>
            <rFont val="Segoe UI"/>
            <family val="2"/>
          </rPr>
          <t>Sebastian Kelma:</t>
        </r>
        <r>
          <rPr>
            <sz val="9"/>
            <color indexed="81"/>
            <rFont val="Segoe UI"/>
            <family val="2"/>
          </rPr>
          <t xml:space="preserve">
"Y" for Yes or "N" for No .</t>
        </r>
      </text>
    </comment>
    <comment ref="E47" authorId="0" shapeId="0" xr:uid="{D44D2502-AC9B-47BA-801F-A3F7A452114E}">
      <text>
        <r>
          <rPr>
            <b/>
            <sz val="9"/>
            <color indexed="81"/>
            <rFont val="Segoe UI"/>
            <family val="2"/>
          </rPr>
          <t>Sebastian Kelma:</t>
        </r>
        <r>
          <rPr>
            <sz val="9"/>
            <color indexed="81"/>
            <rFont val="Segoe UI"/>
            <family val="2"/>
          </rPr>
          <t xml:space="preserve">
(default): MP driving design will </t>
        </r>
        <r>
          <rPr>
            <u/>
            <sz val="9"/>
            <color indexed="81"/>
            <rFont val="Segoe UI"/>
            <family val="2"/>
          </rPr>
          <t>not</t>
        </r>
        <r>
          <rPr>
            <sz val="9"/>
            <color indexed="81"/>
            <rFont val="Segoe UI"/>
            <family val="2"/>
          </rPr>
          <t xml:space="preserve"> be carried out.
"Y" or "y" (for Yes): MP driving design will be carried out.</t>
        </r>
      </text>
    </comment>
    <comment ref="E50" authorId="0" shapeId="0" xr:uid="{CDB1F25B-ED04-429E-AA82-01F21FAA076F}">
      <text>
        <r>
          <rPr>
            <b/>
            <sz val="9"/>
            <color indexed="81"/>
            <rFont val="Segoe UI"/>
            <family val="2"/>
          </rPr>
          <t>Sebastian Kelma:</t>
        </r>
        <r>
          <rPr>
            <sz val="9"/>
            <color indexed="81"/>
            <rFont val="Segoe UI"/>
            <family val="2"/>
          </rPr>
          <t xml:space="preserve">
(default): MP driving design will </t>
        </r>
        <r>
          <rPr>
            <u/>
            <sz val="9"/>
            <color indexed="81"/>
            <rFont val="Segoe UI"/>
            <family val="2"/>
          </rPr>
          <t>not</t>
        </r>
        <r>
          <rPr>
            <sz val="9"/>
            <color indexed="81"/>
            <rFont val="Segoe UI"/>
            <family val="2"/>
          </rPr>
          <t xml:space="preserve"> be carried out.
"Y" or "y" (for Yes): MP driving design will be carried out for information only (if C43 is not "Y" or "y").</t>
        </r>
      </text>
    </comment>
    <comment ref="E51" authorId="0" shapeId="0" xr:uid="{90726529-E7DD-4D8C-BDA3-AE92940C4B4A}">
      <text>
        <r>
          <rPr>
            <b/>
            <sz val="9"/>
            <color indexed="81"/>
            <rFont val="Segoe UI"/>
            <family val="2"/>
          </rPr>
          <t>Sebastian Kelma:</t>
        </r>
        <r>
          <rPr>
            <sz val="9"/>
            <color indexed="81"/>
            <rFont val="Segoe UI"/>
            <family val="2"/>
          </rPr>
          <t xml:space="preserve">
Effective thickness according to DNVGL-RP-C203 (2020), sec. 2.4.3
- Data sheet "eff. thickness (DNVGL-RP-C203)" to be filled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Sebastian Kelma</author>
  </authors>
  <commentList>
    <comment ref="B3" authorId="0" shapeId="0" xr:uid="{CD45448B-DEDB-4585-8272-C1223B369263}">
      <text>
        <r>
          <rPr>
            <b/>
            <sz val="9"/>
            <color indexed="81"/>
            <rFont val="Segoe UI"/>
            <family val="2"/>
          </rPr>
          <t>Sebastian Kelma:</t>
        </r>
        <r>
          <rPr>
            <sz val="9"/>
            <color indexed="81"/>
            <rFont val="Segoe UI"/>
            <family val="2"/>
          </rPr>
          <t xml:space="preserve">
If left empty, the title of the side in the output is "Genreal note" (for one note) or "Genreal notes" (for several notes).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Sebastian Kelma</author>
  </authors>
  <commentList>
    <comment ref="AH9" authorId="0" shapeId="0" xr:uid="{B8B16041-1AD0-49FD-A20C-6BAA3CA69BAF}">
      <text>
        <r>
          <rPr>
            <b/>
            <sz val="9"/>
            <color indexed="81"/>
            <rFont val="Segoe UI"/>
            <family val="2"/>
          </rPr>
          <t>Sebastian Kelma:</t>
        </r>
        <r>
          <rPr>
            <sz val="9"/>
            <color indexed="81"/>
            <rFont val="Segoe UI"/>
            <family val="2"/>
          </rPr>
          <t xml:space="preserve">
O = Outside
I = Inside</t>
        </r>
      </text>
    </comment>
    <comment ref="AI9" authorId="0" shapeId="0" xr:uid="{82AB28E8-2302-4C26-A58B-80DE3523E5D3}">
      <text>
        <r>
          <rPr>
            <b/>
            <sz val="9"/>
            <color indexed="81"/>
            <rFont val="Segoe UI"/>
            <family val="2"/>
          </rPr>
          <t>Sebastian Kelma:</t>
        </r>
        <r>
          <rPr>
            <sz val="9"/>
            <color indexed="81"/>
            <rFont val="Segoe UI"/>
            <family val="2"/>
          </rPr>
          <t xml:space="preserve">
n = welded
g = ground
o = opening</t>
        </r>
      </text>
    </comment>
    <comment ref="AJ9" authorId="0" shapeId="0" xr:uid="{EEE7A95C-79B1-49CD-8928-D120F3ACA985}">
      <text>
        <r>
          <rPr>
            <b/>
            <sz val="9"/>
            <color indexed="81"/>
            <rFont val="Segoe UI"/>
            <family val="2"/>
          </rPr>
          <t>Sebastian Kelma:</t>
        </r>
        <r>
          <rPr>
            <sz val="9"/>
            <color indexed="81"/>
            <rFont val="Segoe UI"/>
            <family val="2"/>
          </rPr>
          <t xml:space="preserve">
To be added for openings ("o" in column AI)</t>
        </r>
      </text>
    </comment>
    <comment ref="AH26" authorId="0" shapeId="0" xr:uid="{8DAAE68E-4206-46EF-B550-A5BA5C99995E}">
      <text>
        <r>
          <rPr>
            <b/>
            <sz val="9"/>
            <color indexed="81"/>
            <rFont val="Segoe UI"/>
            <family val="2"/>
          </rPr>
          <t>Sebastian Kelma:</t>
        </r>
        <r>
          <rPr>
            <sz val="9"/>
            <color indexed="81"/>
            <rFont val="Segoe UI"/>
            <family val="2"/>
          </rPr>
          <t xml:space="preserve">
O = Outside
I = Inside</t>
        </r>
      </text>
    </comment>
    <comment ref="AI26" authorId="0" shapeId="0" xr:uid="{1FC879D4-6A49-4802-B0AA-DC3C60CDD308}">
      <text>
        <r>
          <rPr>
            <b/>
            <sz val="9"/>
            <color indexed="81"/>
            <rFont val="Segoe UI"/>
            <family val="2"/>
          </rPr>
          <t>Sebastian Kelma:</t>
        </r>
        <r>
          <rPr>
            <sz val="9"/>
            <color indexed="81"/>
            <rFont val="Segoe UI"/>
            <family val="2"/>
          </rPr>
          <t xml:space="preserve">
n = welded
g = ground
o = opening</t>
        </r>
      </text>
    </comment>
    <comment ref="AJ26" authorId="0" shapeId="0" xr:uid="{888C290E-63D3-4250-9205-ADC2BE41835B}">
      <text>
        <r>
          <rPr>
            <b/>
            <sz val="9"/>
            <color indexed="81"/>
            <rFont val="Segoe UI"/>
            <family val="2"/>
          </rPr>
          <t>Sebastian Kelma:</t>
        </r>
        <r>
          <rPr>
            <sz val="9"/>
            <color indexed="81"/>
            <rFont val="Segoe UI"/>
            <family val="2"/>
          </rPr>
          <t xml:space="preserve">
To be added for openings ("o" in column AI)</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<sst xmlns="http://schemas.openxmlformats.org/spreadsheetml/2006/main" count="2487" uniqueCount="675">
  <si>
    <t>section</t>
  </si>
  <si>
    <t>top</t>
  </si>
  <si>
    <t>bottom</t>
  </si>
  <si>
    <t>Dtop</t>
  </si>
  <si>
    <t>Dbottom</t>
  </si>
  <si>
    <t>t</t>
  </si>
  <si>
    <t>l</t>
  </si>
  <si>
    <t>slope</t>
  </si>
  <si>
    <t>weight</t>
  </si>
  <si>
    <t>[m]</t>
  </si>
  <si>
    <t>[mm]</t>
  </si>
  <si>
    <t>[°]</t>
  </si>
  <si>
    <t>[t]</t>
  </si>
  <si>
    <t>delta_t</t>
  </si>
  <si>
    <t>delta_m</t>
  </si>
  <si>
    <t>delta_0</t>
  </si>
  <si>
    <t>[-]</t>
  </si>
  <si>
    <t>Diameter</t>
  </si>
  <si>
    <t>Cone tr.</t>
  </si>
  <si>
    <t xml:space="preserve">Weld Nr. </t>
  </si>
  <si>
    <t>[kNm]</t>
  </si>
  <si>
    <t>Iy</t>
  </si>
  <si>
    <t>Iyc</t>
  </si>
  <si>
    <r>
      <t>[m</t>
    </r>
    <r>
      <rPr>
        <b/>
        <vertAlign val="superscript"/>
        <sz val="8"/>
        <color theme="0"/>
        <rFont val="Arial"/>
        <family val="2"/>
      </rPr>
      <t>4</t>
    </r>
    <r>
      <rPr>
        <b/>
        <sz val="8"/>
        <color theme="0"/>
        <rFont val="Arial"/>
        <family val="2"/>
      </rPr>
      <t>]</t>
    </r>
  </si>
  <si>
    <t>Stresses</t>
  </si>
  <si>
    <t>Outside</t>
  </si>
  <si>
    <t>Inside</t>
  </si>
  <si>
    <t>Notch class</t>
  </si>
  <si>
    <t>m=3 N=1e7</t>
  </si>
  <si>
    <t>M</t>
  </si>
  <si>
    <t xml:space="preserve">Above the weld </t>
  </si>
  <si>
    <t>free corrosion?</t>
  </si>
  <si>
    <t>[yes = X]</t>
  </si>
  <si>
    <t xml:space="preserve">Outside </t>
  </si>
  <si>
    <t xml:space="preserve">inside </t>
  </si>
  <si>
    <t>ft</t>
  </si>
  <si>
    <t>o</t>
  </si>
  <si>
    <t xml:space="preserve">KF normal </t>
  </si>
  <si>
    <t xml:space="preserve">Analysis Time </t>
  </si>
  <si>
    <t>Coating Life</t>
  </si>
  <si>
    <t xml:space="preserve">Norm </t>
  </si>
  <si>
    <t xml:space="preserve">Total life time </t>
  </si>
  <si>
    <t xml:space="preserve">From installation to end of analysis time only </t>
  </si>
  <si>
    <t xml:space="preserve">Free corrosion time </t>
  </si>
  <si>
    <t xml:space="preserve">Analysis with coating </t>
  </si>
  <si>
    <t xml:space="preserve">outside </t>
  </si>
  <si>
    <t>free cor out</t>
  </si>
  <si>
    <t>free cor ins</t>
  </si>
  <si>
    <t xml:space="preserve">FLS Corrosion in entire life time </t>
  </si>
  <si>
    <t>n</t>
  </si>
  <si>
    <t>Verifications from above the weld</t>
  </si>
  <si>
    <t>Verifications from below the weld</t>
  </si>
  <si>
    <t>LAT</t>
  </si>
  <si>
    <t>Elevation</t>
  </si>
  <si>
    <t>Attachment</t>
  </si>
  <si>
    <t>Wall thickness</t>
  </si>
  <si>
    <t>Att. As welded</t>
  </si>
  <si>
    <t>Ru</t>
  </si>
  <si>
    <t>Ra</t>
  </si>
  <si>
    <t xml:space="preserve">Factor grinding </t>
  </si>
  <si>
    <t>Damage</t>
  </si>
  <si>
    <t>Operation</t>
  </si>
  <si>
    <t xml:space="preserve">Transport </t>
  </si>
  <si>
    <t xml:space="preserve">Total </t>
  </si>
  <si>
    <t xml:space="preserve">Inside </t>
  </si>
  <si>
    <t>SF  inspectable</t>
  </si>
  <si>
    <t>SF un-inspectable</t>
  </si>
  <si>
    <t>DFF inspectable</t>
  </si>
  <si>
    <t>DFF un-inspectable</t>
  </si>
  <si>
    <t xml:space="preserve">inspection shall be considered </t>
  </si>
  <si>
    <t>Welds above this height are to be inspected</t>
  </si>
  <si>
    <t>N</t>
  </si>
  <si>
    <t>FLS Loads [kNm]</t>
  </si>
  <si>
    <t>Axial</t>
  </si>
  <si>
    <t xml:space="preserve">Torsion </t>
  </si>
  <si>
    <t xml:space="preserve">Bending </t>
  </si>
  <si>
    <t xml:space="preserve">Shear </t>
  </si>
  <si>
    <t>[MPa]</t>
  </si>
  <si>
    <t>torsion</t>
  </si>
  <si>
    <t xml:space="preserve">bending </t>
  </si>
  <si>
    <t>shear</t>
  </si>
  <si>
    <t>KN</t>
  </si>
  <si>
    <t>KNm</t>
  </si>
  <si>
    <t>kNm</t>
  </si>
  <si>
    <t>Corrosion Allowance outside</t>
  </si>
  <si>
    <t>Corrosion Allowance inside</t>
  </si>
  <si>
    <t>Area</t>
  </si>
  <si>
    <t>Section modulus</t>
  </si>
  <si>
    <t>mm</t>
  </si>
  <si>
    <t>m²</t>
  </si>
  <si>
    <t>m³</t>
  </si>
  <si>
    <t>m</t>
  </si>
  <si>
    <t>E-modul</t>
  </si>
  <si>
    <t>kN/m²</t>
  </si>
  <si>
    <r>
      <rPr>
        <b/>
        <sz val="8"/>
        <color theme="0"/>
        <rFont val="Symbol"/>
        <family val="1"/>
        <charset val="2"/>
      </rPr>
      <t>s</t>
    </r>
    <r>
      <rPr>
        <b/>
        <sz val="8"/>
        <color theme="0"/>
        <rFont val="Arial"/>
        <family val="2"/>
      </rPr>
      <t>x,Rd</t>
    </r>
  </si>
  <si>
    <t>SF Buckling</t>
  </si>
  <si>
    <t>SF Yielding</t>
  </si>
  <si>
    <t>Opening</t>
  </si>
  <si>
    <r>
      <rPr>
        <b/>
        <sz val="8"/>
        <color theme="0"/>
        <rFont val="Symbol"/>
        <family val="1"/>
        <charset val="2"/>
      </rPr>
      <t>s</t>
    </r>
    <r>
      <rPr>
        <b/>
        <sz val="8"/>
        <color theme="0"/>
        <rFont val="Arial"/>
        <family val="2"/>
      </rPr>
      <t>R</t>
    </r>
  </si>
  <si>
    <r>
      <t xml:space="preserve"> </t>
    </r>
    <r>
      <rPr>
        <b/>
        <sz val="8"/>
        <color theme="0"/>
        <rFont val="Symbol"/>
        <family val="1"/>
        <charset val="2"/>
      </rPr>
      <t>t</t>
    </r>
    <r>
      <rPr>
        <b/>
        <sz val="8"/>
        <color theme="0"/>
        <rFont val="Arial"/>
        <family val="2"/>
      </rPr>
      <t>R</t>
    </r>
  </si>
  <si>
    <t>fy,k</t>
  </si>
  <si>
    <t>min t</t>
  </si>
  <si>
    <t>sq</t>
  </si>
  <si>
    <t>Db</t>
  </si>
  <si>
    <t>Dt</t>
  </si>
  <si>
    <t>D</t>
  </si>
  <si>
    <t>UR Buckling</t>
  </si>
  <si>
    <t>UR Equiv.</t>
  </si>
  <si>
    <t>Steel</t>
  </si>
  <si>
    <t>S355 NL/ML</t>
  </si>
  <si>
    <t>Nominal thickness [mm]</t>
  </si>
  <si>
    <t>S460 NL</t>
  </si>
  <si>
    <t>S460 ML</t>
  </si>
  <si>
    <t>&lt;=16</t>
  </si>
  <si>
    <t>&lt;=40</t>
  </si>
  <si>
    <t>&lt;=63</t>
  </si>
  <si>
    <t>&lt;=80</t>
  </si>
  <si>
    <t>&lt;=100</t>
  </si>
  <si>
    <t>&lt;= 150</t>
  </si>
  <si>
    <t>&lt;=200</t>
  </si>
  <si>
    <t>&lt;= 120</t>
  </si>
  <si>
    <t>n.n</t>
  </si>
  <si>
    <t>SF</t>
  </si>
  <si>
    <t>S420 NL</t>
  </si>
  <si>
    <t>S420 ML</t>
  </si>
  <si>
    <t>sEd = 0.75 fy(t)</t>
  </si>
  <si>
    <t>sEd = 0.50 fy(t)</t>
  </si>
  <si>
    <t xml:space="preserve">Design temperature </t>
  </si>
  <si>
    <t>DTR</t>
  </si>
  <si>
    <t xml:space="preserve">Help cells only </t>
  </si>
  <si>
    <t xml:space="preserve">Above R.H. </t>
  </si>
  <si>
    <t xml:space="preserve">Below R.H. </t>
  </si>
  <si>
    <t xml:space="preserve">Reference level </t>
  </si>
  <si>
    <t>DT</t>
  </si>
  <si>
    <t>ULS Design Loads [kN / kNm]</t>
  </si>
  <si>
    <t>ULS Char. Loads [kN / kNm]</t>
  </si>
  <si>
    <t>UR for Material</t>
  </si>
  <si>
    <t xml:space="preserve">Mudline </t>
  </si>
  <si>
    <t>C</t>
  </si>
  <si>
    <t>HSWL</t>
  </si>
  <si>
    <t>Wave crest</t>
  </si>
  <si>
    <t>Hoop</t>
  </si>
  <si>
    <t>MPa</t>
  </si>
  <si>
    <t>Water density</t>
  </si>
  <si>
    <t>t/m³</t>
  </si>
  <si>
    <t>A</t>
  </si>
  <si>
    <t>B</t>
  </si>
  <si>
    <t>junc. Yield</t>
  </si>
  <si>
    <t>CO</t>
  </si>
  <si>
    <t>EC</t>
  </si>
  <si>
    <t>Att.</t>
  </si>
  <si>
    <t>Openings</t>
  </si>
  <si>
    <t xml:space="preserve">Design Report </t>
  </si>
  <si>
    <t>Document code</t>
  </si>
  <si>
    <t>Issued on</t>
  </si>
  <si>
    <t>Reference Number</t>
  </si>
  <si>
    <t>Status</t>
  </si>
  <si>
    <t>Employer</t>
  </si>
  <si>
    <t>Rev.</t>
  </si>
  <si>
    <t>Subrev.</t>
  </si>
  <si>
    <t xml:space="preserve">Splash zone </t>
  </si>
  <si>
    <t>External upper limit</t>
  </si>
  <si>
    <t xml:space="preserve">External lower limit </t>
  </si>
  <si>
    <t>Internal upper limit</t>
  </si>
  <si>
    <t>Internal lower limit</t>
  </si>
  <si>
    <t>Design temperature above LAT</t>
  </si>
  <si>
    <t>DTr</t>
  </si>
  <si>
    <t>°C</t>
  </si>
  <si>
    <t xml:space="preserve">Water pressure from passing 50 year wave </t>
  </si>
  <si>
    <t xml:space="preserve">Wave crest H50 </t>
  </si>
  <si>
    <t xml:space="preserve">Operation life time </t>
  </si>
  <si>
    <t xml:space="preserve">Useful life time coating in splash zone </t>
  </si>
  <si>
    <t xml:space="preserve">Detailed driving damage calculation? </t>
  </si>
  <si>
    <t>Y</t>
  </si>
  <si>
    <t>Shall inspection be considered?</t>
  </si>
  <si>
    <t>Transition piece</t>
  </si>
  <si>
    <t>UO</t>
  </si>
  <si>
    <t>UI</t>
  </si>
  <si>
    <t>BO</t>
  </si>
  <si>
    <t>BI</t>
  </si>
  <si>
    <t>MAX</t>
  </si>
  <si>
    <t>ULS</t>
  </si>
  <si>
    <t xml:space="preserve">Buckling </t>
  </si>
  <si>
    <t xml:space="preserve">Yield </t>
  </si>
  <si>
    <t xml:space="preserve">LAT elevation </t>
  </si>
  <si>
    <t xml:space="preserve">Interface to tower </t>
  </si>
  <si>
    <t xml:space="preserve">MP top </t>
  </si>
  <si>
    <t xml:space="preserve">Sheet </t>
  </si>
  <si>
    <t xml:space="preserve">Driving fatigue analysis </t>
  </si>
  <si>
    <t>Output file</t>
  </si>
  <si>
    <t>Create PDF</t>
  </si>
  <si>
    <t>Appendix ID</t>
  </si>
  <si>
    <t xml:space="preserve">Title </t>
  </si>
  <si>
    <t xml:space="preserve">SCF </t>
  </si>
  <si>
    <r>
      <t xml:space="preserve">location (O </t>
    </r>
    <r>
      <rPr>
        <b/>
        <u val="singleAccounting"/>
        <sz val="8"/>
        <color theme="0"/>
        <rFont val="Arial"/>
        <family val="2"/>
      </rPr>
      <t>= Outside / I = Inside</t>
    </r>
    <r>
      <rPr>
        <b/>
        <sz val="8"/>
        <color theme="0"/>
        <rFont val="Arial"/>
        <family val="2"/>
      </rPr>
      <t xml:space="preserve">) </t>
    </r>
  </si>
  <si>
    <t>O</t>
  </si>
  <si>
    <t>I</t>
  </si>
  <si>
    <t>LAT elevation</t>
  </si>
  <si>
    <t xml:space="preserve">Embedded buckling length </t>
  </si>
  <si>
    <t xml:space="preserve">Buckling Length </t>
  </si>
  <si>
    <t>Transport damage MP</t>
  </si>
  <si>
    <t xml:space="preserve">Transport damage TP </t>
  </si>
  <si>
    <t>Fabrication quality class TP</t>
  </si>
  <si>
    <t>Fabrication quality class MP</t>
  </si>
  <si>
    <t xml:space="preserve">Modal analysis </t>
  </si>
  <si>
    <t xml:space="preserve">Cone start </t>
  </si>
  <si>
    <t>Inclination</t>
  </si>
  <si>
    <t>Welds</t>
  </si>
  <si>
    <t>Attachments</t>
  </si>
  <si>
    <t>Verifications of attachments</t>
  </si>
  <si>
    <t>Attachment MP</t>
  </si>
  <si>
    <t>ID</t>
  </si>
  <si>
    <t>Description</t>
  </si>
  <si>
    <t>Attachment TP</t>
  </si>
  <si>
    <t>Monopile</t>
  </si>
  <si>
    <t>SCF</t>
  </si>
  <si>
    <r>
      <rPr>
        <b/>
        <sz val="11"/>
        <color theme="0"/>
        <rFont val="Symbol"/>
        <family val="1"/>
        <charset val="2"/>
      </rPr>
      <t>s</t>
    </r>
    <r>
      <rPr>
        <b/>
        <sz val="8"/>
        <color theme="0"/>
        <rFont val="Symbol"/>
        <family val="1"/>
        <charset val="2"/>
      </rPr>
      <t>q</t>
    </r>
    <r>
      <rPr>
        <b/>
        <sz val="8"/>
        <color theme="0"/>
        <rFont val="Calibri"/>
        <family val="2"/>
        <scheme val="minor"/>
      </rPr>
      <t>,Rd</t>
    </r>
  </si>
  <si>
    <r>
      <rPr>
        <b/>
        <sz val="11"/>
        <color theme="0"/>
        <rFont val="Symbol"/>
        <family val="1"/>
        <charset val="2"/>
      </rPr>
      <t>t</t>
    </r>
    <r>
      <rPr>
        <b/>
        <sz val="8"/>
        <color theme="0"/>
        <rFont val="Calibri"/>
        <family val="2"/>
        <scheme val="minor"/>
      </rPr>
      <t>x</t>
    </r>
    <r>
      <rPr>
        <b/>
        <sz val="8"/>
        <color theme="0"/>
        <rFont val="Symbol"/>
        <family val="1"/>
        <charset val="2"/>
      </rPr>
      <t>q</t>
    </r>
    <r>
      <rPr>
        <b/>
        <sz val="8"/>
        <color theme="0"/>
        <rFont val="Calibri"/>
        <family val="2"/>
        <scheme val="minor"/>
      </rPr>
      <t>,Rd</t>
    </r>
  </si>
  <si>
    <t>Driving</t>
  </si>
  <si>
    <t>* Outside = o ; Inside = i ; Both = b ; non = n</t>
  </si>
  <si>
    <t>ULS Design Loads</t>
  </si>
  <si>
    <t>ULS Characteristic Loads</t>
  </si>
  <si>
    <t>Damages</t>
  </si>
  <si>
    <t>FLS</t>
  </si>
  <si>
    <t>Verification at can top</t>
  </si>
  <si>
    <t xml:space="preserve">Can Nr. </t>
  </si>
  <si>
    <t>Verification at can bottom</t>
  </si>
  <si>
    <t>Column in sheet "Loads" ---&gt;</t>
  </si>
  <si>
    <t>FATo</t>
  </si>
  <si>
    <t>FATi</t>
  </si>
  <si>
    <t>ni</t>
  </si>
  <si>
    <t>FAT</t>
  </si>
  <si>
    <t>Verifications at the welds</t>
  </si>
  <si>
    <t>Oscillation factor (min 1.00)</t>
  </si>
  <si>
    <t>DFF</t>
  </si>
  <si>
    <t>Cable openings</t>
  </si>
  <si>
    <t>FAT classes</t>
  </si>
  <si>
    <t>att.</t>
  </si>
  <si>
    <t>weld</t>
  </si>
  <si>
    <t>opening</t>
  </si>
  <si>
    <t>normal</t>
  </si>
  <si>
    <t>FATo [MPa]</t>
  </si>
  <si>
    <t>OF</t>
  </si>
  <si>
    <t>FATi [MPa]</t>
  </si>
  <si>
    <t>SCFo</t>
  </si>
  <si>
    <t>SCFi</t>
  </si>
  <si>
    <t xml:space="preserve">ftuo </t>
  </si>
  <si>
    <t>ftbo</t>
  </si>
  <si>
    <t>ftui</t>
  </si>
  <si>
    <t>ftbi</t>
  </si>
  <si>
    <t>Total damage due to pile driving</t>
  </si>
  <si>
    <t xml:space="preserve">D uo </t>
  </si>
  <si>
    <t xml:space="preserve">D ui </t>
  </si>
  <si>
    <t xml:space="preserve">D bo </t>
  </si>
  <si>
    <t xml:space="preserve">D bi </t>
  </si>
  <si>
    <t>Penetration</t>
  </si>
  <si>
    <t>Blows</t>
  </si>
  <si>
    <t>Range u</t>
  </si>
  <si>
    <t>Range b</t>
  </si>
  <si>
    <t>DNV</t>
  </si>
  <si>
    <t>FAT [MPa]</t>
  </si>
  <si>
    <t xml:space="preserve">Design temperature below LAT </t>
  </si>
  <si>
    <t>mm/y</t>
  </si>
  <si>
    <t>Steel grade</t>
  </si>
  <si>
    <t>D/t</t>
  </si>
  <si>
    <t>b</t>
  </si>
  <si>
    <t>i</t>
  </si>
  <si>
    <t>m=3, N=1e7</t>
  </si>
  <si>
    <t>[kN]</t>
  </si>
  <si>
    <r>
      <rPr>
        <b/>
        <sz val="8"/>
        <color theme="0"/>
        <rFont val="Symbol"/>
        <family val="1"/>
        <charset val="2"/>
      </rPr>
      <t>t</t>
    </r>
    <r>
      <rPr>
        <b/>
        <sz val="8"/>
        <color theme="0"/>
        <rFont val="Arial"/>
        <family val="2"/>
      </rPr>
      <t>R</t>
    </r>
  </si>
  <si>
    <t>Print ratio</t>
  </si>
  <si>
    <t>Stresses (corr.)</t>
  </si>
  <si>
    <t>Structural design</t>
  </si>
  <si>
    <t xml:space="preserve">Basis of design </t>
  </si>
  <si>
    <t>ULS design</t>
  </si>
  <si>
    <t xml:space="preserve">Fatigue design </t>
  </si>
  <si>
    <t>years</t>
  </si>
  <si>
    <t>Safety factor for yielding (gm,0)</t>
  </si>
  <si>
    <t>Safety factor for buckling (gm,1)</t>
  </si>
  <si>
    <t>outside</t>
  </si>
  <si>
    <t>inside</t>
  </si>
  <si>
    <t>Diam.</t>
  </si>
  <si>
    <t>Elev.</t>
  </si>
  <si>
    <t>t below</t>
  </si>
  <si>
    <t>t above</t>
  </si>
  <si>
    <t>DEL bend. mom.</t>
  </si>
  <si>
    <t>Damage above weld</t>
  </si>
  <si>
    <t>Damage below weld</t>
  </si>
  <si>
    <t>no</t>
  </si>
  <si>
    <t>Total damage</t>
  </si>
  <si>
    <t>max WT</t>
  </si>
  <si>
    <t>Number of eigenmodes</t>
  </si>
  <si>
    <t>Path (JBOOST out file)</t>
  </si>
  <si>
    <t xml:space="preserve">Reference N for loads from load calculation </t>
  </si>
  <si>
    <t xml:space="preserve">Reference N for verification </t>
  </si>
  <si>
    <t>Scaling factor for m=3</t>
  </si>
  <si>
    <t>Upper side ground? *</t>
  </si>
  <si>
    <t xml:space="preserve">KF - ground </t>
  </si>
  <si>
    <t>Att. ground</t>
  </si>
  <si>
    <t>Att. ground  fre cor</t>
  </si>
  <si>
    <t xml:space="preserve">Ground? 
Outside = o
Inside = i
Both = b
non = n </t>
  </si>
  <si>
    <t>TYPE
welded (n); ground (g); opening (o)</t>
  </si>
  <si>
    <t>ground</t>
  </si>
  <si>
    <t>Att. ground fre cor</t>
  </si>
  <si>
    <t>Name for MP</t>
  </si>
  <si>
    <t>Name for TP</t>
  </si>
  <si>
    <t>Path (geo excel workbook)</t>
  </si>
  <si>
    <t>Path (for saving)</t>
  </si>
  <si>
    <t>File name (for saving)</t>
  </si>
  <si>
    <t>Revision</t>
  </si>
  <si>
    <t>SKe / WAO</t>
  </si>
  <si>
    <t>General</t>
  </si>
  <si>
    <t>How to use it</t>
  </si>
  <si>
    <t>Within the sheets "Control" and "Geometry_input", the general settings, the geometries of the primary structures  as well as the loads along the sructures are to be put in. The required cell inputs should be self-explaining. Only cells in light-grey can be changed.
All other sheets are for information only, include the calculation schemes, or are required for the generation of the output file.</t>
  </si>
  <si>
    <t>_"Control"</t>
  </si>
  <si>
    <t>_"Geometry input"</t>
  </si>
  <si>
    <t>_"Loads"</t>
  </si>
  <si>
    <t>Within the sheet "Loads", the loads along the structures are to be put in. They are brought into the required format and sequence by clicking the button "Load check". This is also automatically done when the complete design is carried out.</t>
  </si>
  <si>
    <t>Within the sheet "Geometry_input", additional sections or additional attachments are added by clicking the grey plus sign above the respective tables.
Sections or attachments are deleted by clicking the grey minus sign above the respective tables. Only the selected section or attachment (selected grey cell associated to section or attachment) is deleted.
Structural analysis is carried out or is updated by clicking the respective buttons.</t>
  </si>
  <si>
    <r>
      <t xml:space="preserve">With this workbook, structural analysis of primary steel structures (mostly for monopiles and transition pieces) are carried out. The documentation of the structural design can be generated automatically on the basis of the calculations.
</t>
    </r>
    <r>
      <rPr>
        <b/>
        <sz val="11"/>
        <color theme="1"/>
        <rFont val="Calibri"/>
        <family val="2"/>
        <scheme val="minor"/>
      </rPr>
      <t>This workbook is an in-house tool of JBO. Under no circumstances it is allowed to share a copy with clients. Only the generated output shall be provided to clients.</t>
    </r>
  </si>
  <si>
    <t>Load summary</t>
  </si>
  <si>
    <t>Issue date</t>
  </si>
  <si>
    <t xml:space="preserve">Change log </t>
  </si>
  <si>
    <t>- First release</t>
  </si>
  <si>
    <t>1.0</t>
  </si>
  <si>
    <t>Rev. author</t>
  </si>
  <si>
    <t>Help</t>
  </si>
  <si>
    <t>Input for Drawing Generator</t>
  </si>
  <si>
    <t>Include MP?</t>
  </si>
  <si>
    <t>Include TP?</t>
  </si>
  <si>
    <t>Include driving fatigue?</t>
  </si>
  <si>
    <t>Include driving MP ULS?</t>
  </si>
  <si>
    <t>Plot MP?</t>
  </si>
  <si>
    <t>Plot TP?</t>
  </si>
  <si>
    <t>C:\Users\sebastian.kelma\Sebastian\VBA-Tools\MP-TOOL\DrawingGenerator_V1.6.2_beta.xlsm</t>
  </si>
  <si>
    <t>Height</t>
  </si>
  <si>
    <t>Endurance limit ULS</t>
  </si>
  <si>
    <t>Endurance limit FLS</t>
  </si>
  <si>
    <t>Can weight: maximum value</t>
  </si>
  <si>
    <t>D/t ratio: maximum value</t>
  </si>
  <si>
    <t>Design limits: monopile</t>
  </si>
  <si>
    <t>Can length (cylindrical): minimum value</t>
  </si>
  <si>
    <t>Can length (cylindrical): maximum value</t>
  </si>
  <si>
    <t>Can length (conical): minimum value</t>
  </si>
  <si>
    <t>Can length (conical): maximum value</t>
  </si>
  <si>
    <t>Design limits: transition piece</t>
  </si>
  <si>
    <t xml:space="preserve">Norm / guideline </t>
  </si>
  <si>
    <t>Effective thickness for driving (DNVGL-RP-C203, 2020; sec. 2.4.3)?</t>
  </si>
  <si>
    <t>Effective thickness (DNVGL-RP-C203, 2020; sec. 2.4.3)?</t>
  </si>
  <si>
    <t>L3</t>
  </si>
  <si>
    <t>L4</t>
  </si>
  <si>
    <t>Additional width on the inside for tapered section (L3+...)</t>
  </si>
  <si>
    <t>_"FLS TP", "FLS MP"</t>
  </si>
  <si>
    <t>_"ULS TP", "ULS MP"</t>
  </si>
  <si>
    <t>_"Eff. thickness (DNVGL-RP-C203)"</t>
  </si>
  <si>
    <t>These sheets are mostly automatically filled by clicking the respective button in the sheet "Geometry_input".
Exceptions:
- Opening is adaptable (grey cells in column AI).</t>
  </si>
  <si>
    <t>These sheets are mostly automatically filled by clicking the respective button in the sheet "Geometry_input".
Exceptions:
- Free corrosion is adaptable for welds as well as attachments (grey cells in columns T and U in "FLS TP", columns V and W in "FLS MP").</t>
  </si>
  <si>
    <t>In case that the effective thickness according to DNVGL-RP-C203 (2020), section 2.4.3, is to be applied, this sheet has to be filled.
A value for the weld geometry (referring to the figures in the sheet "Eff. thickness (DNVGL-RP-C203)") has to be defined for each possible wall thickness. Values for both MP and TP are to be stated. These values are project-specific, and they usually are provided by the manufacturer.</t>
  </si>
  <si>
    <t>[mLAT]</t>
  </si>
  <si>
    <t>upper end grinded?</t>
  </si>
  <si>
    <t>Steel Grade</t>
  </si>
  <si>
    <t>Autostart</t>
  </si>
  <si>
    <t>[m wrt. RSL]</t>
  </si>
  <si>
    <t>- =no grinding ; 1=inside ;
2=outside ; 3=in- and outside</t>
  </si>
  <si>
    <t>[grade]</t>
  </si>
  <si>
    <t>von [m]</t>
  </si>
  <si>
    <t>bis [m]</t>
  </si>
  <si>
    <t>Move Drawing</t>
  </si>
  <si>
    <t>Vertical moving [cm]</t>
  </si>
  <si>
    <t>Horizontal moving [cm]</t>
  </si>
  <si>
    <t>Direction for Client Template:</t>
  </si>
  <si>
    <t>M:\02_Software\02_Intern\02_Tools\Drawing Generator\Client Templates\Client_BalticPower.dwg</t>
  </si>
  <si>
    <t>Additional Notes: 
- All dimensions are in mm.  
- Conceptual design for damper study (damper excluded) 
- Steel grade S355 NL/ML  acc. DIN EN 10025-3/-4
- Sections with cable openings shall be fabricated in S420 NL/ML 
- Cans with attachments and/or cut-outs are to be with   z-quality Z35. 
   This requirement may be eased in a future design phase.
- All welds are full penetration welds (double V butt joints)  u.n.o. 
- Notch class 90 (SN-curve D) is chosen for the circumferential welds unless noted otherwise 
- Longitudinal welds in adjacent cans are to be oriented at least 30° from each other 
- The minimum distance between the outer edge of attachments and/or cut-outs to
    circumferential welds shall be a minimum of 400 mm UNO. 
- Bevelling between cans of different wall thickness shall be 1:4 unless the
   thickness step is equalized by the weld (e.g. step smaller 4 mm) 
- Thickness steps between adjacent cans are on the inside 
- Location, number and shape of cable holes and water replenishment holes is
   to be determined in the detailed design</t>
  </si>
  <si>
    <t>Heights</t>
  </si>
  <si>
    <t>Reference Level</t>
  </si>
  <si>
    <t>[name]</t>
  </si>
  <si>
    <t>Seabed</t>
  </si>
  <si>
    <t>Additional Heights</t>
  </si>
  <si>
    <t>Arrow up/down?</t>
  </si>
  <si>
    <t>Table</t>
  </si>
  <si>
    <t>PARAMETER</t>
  </si>
  <si>
    <t>UNIT</t>
  </si>
  <si>
    <t>VALUE</t>
  </si>
  <si>
    <t>DENSITY STEEL</t>
  </si>
  <si>
    <t>kg/m³</t>
  </si>
  <si>
    <t>YOUNG'S MODULUS</t>
  </si>
  <si>
    <t>N/m²</t>
  </si>
  <si>
    <t>Center of Gravity from Bottom [m] :</t>
  </si>
  <si>
    <t>Modification</t>
  </si>
  <si>
    <t>Name</t>
  </si>
  <si>
    <t>Date</t>
  </si>
  <si>
    <r>
      <rPr>
        <b/>
        <u/>
        <sz val="11"/>
        <color theme="1"/>
        <rFont val="Calibri"/>
        <family val="2"/>
        <scheme val="minor"/>
      </rPr>
      <t>Notes:</t>
    </r>
    <r>
      <rPr>
        <u/>
        <sz val="11"/>
        <color theme="1"/>
        <rFont val="Calibri"/>
        <family val="2"/>
        <scheme val="minor"/>
      </rPr>
      <t xml:space="preserve">
</t>
    </r>
    <r>
      <rPr>
        <sz val="11"/>
        <color theme="1"/>
        <rFont val="Calibri"/>
        <family val="2"/>
        <scheme val="minor"/>
      </rPr>
      <t>-Weight calculated by a density of 7850 kg/m^3</t>
    </r>
  </si>
  <si>
    <t>Is first can Flange?</t>
  </si>
  <si>
    <t>Yes</t>
  </si>
  <si>
    <t>Is last can Pile driving shoe?</t>
  </si>
  <si>
    <t>Beschichtung</t>
  </si>
  <si>
    <t>Zone ID</t>
  </si>
  <si>
    <t>Innen / Außen?</t>
  </si>
  <si>
    <t>top end [m]</t>
  </si>
  <si>
    <t>bottom end [m]</t>
  </si>
  <si>
    <t>External atmospheric</t>
  </si>
  <si>
    <t>OUTSIDE</t>
  </si>
  <si>
    <t>External splash</t>
  </si>
  <si>
    <t>External submerged</t>
  </si>
  <si>
    <t>External buried</t>
  </si>
  <si>
    <t>Internal atmospheric above ATP</t>
  </si>
  <si>
    <t>INSIDE</t>
  </si>
  <si>
    <t>Internal atmospheric below ATP</t>
  </si>
  <si>
    <t>Internal splash</t>
  </si>
  <si>
    <t>Internal submerged</t>
  </si>
  <si>
    <t>Internal buried</t>
  </si>
  <si>
    <t>Drawing Name</t>
  </si>
  <si>
    <t>Project Name</t>
  </si>
  <si>
    <t>JBO Drawing Number</t>
  </si>
  <si>
    <t>Designed by:</t>
  </si>
  <si>
    <t>WAO</t>
  </si>
  <si>
    <t xml:space="preserve">Baltic Power - Offshore Wind Farm </t>
  </si>
  <si>
    <t>21A559-JBO-TNMPCD-EN-3022-A3</t>
  </si>
  <si>
    <t>Monopile - Cluster D WTG V236</t>
  </si>
  <si>
    <t>Conceptual design</t>
  </si>
  <si>
    <t>Primary Steel (excl. damper)</t>
  </si>
  <si>
    <t>TP or MP?</t>
  </si>
  <si>
    <t>MP</t>
  </si>
  <si>
    <t>English or German Drawing output?</t>
  </si>
  <si>
    <t>EN</t>
  </si>
  <si>
    <t>Draft?</t>
  </si>
  <si>
    <t>No</t>
  </si>
  <si>
    <t>Direction for Drawing</t>
  </si>
  <si>
    <t>I:\2021\A\557_BalticPowerOWF\04_Konstruktion\00_PDF\01_Drawings\3022\A3</t>
  </si>
  <si>
    <t>A4 or A3?</t>
  </si>
  <si>
    <t>A4</t>
  </si>
  <si>
    <t>Drawing Name (pdf)</t>
  </si>
  <si>
    <t>Scale:                                    1:</t>
  </si>
  <si>
    <t>TP</t>
  </si>
  <si>
    <t>TEST MP</t>
  </si>
  <si>
    <t>TEST TP</t>
  </si>
  <si>
    <t>1.1</t>
  </si>
  <si>
    <t>SKe</t>
  </si>
  <si>
    <t>- Effective thickness (DNVGL-RP-C203) added</t>
  </si>
  <si>
    <t>1.2</t>
  </si>
  <si>
    <t>- Optimisation of VBA coding regarding speed
- Sheets for additional input for DrawingGenerator added</t>
  </si>
  <si>
    <t>_"Draw.Gen. TP", "Draw.Gen. MP"</t>
  </si>
  <si>
    <t>Within the sheets "Control", the general settings required for the structural analysis are to be put in.
The header for the output file is generated by clicking the button "Get output". Then, the header is filled with the defined informations. The header is shown in the sheet "Header" (for information only).
The output file is generated by clicking the button "Get output".
Before generating the output file, it is stringly recommended to update the print ratio by clicking the button "Get print ratio" and following the given instructions. Otherwise the pages of the generated output file are not set appropriately, and also the header is stretched. Unfortunately, no other method is known yet to exclude the stretching of the output.
The geometry and steel grades can be copied to a copy for the Drawing Generator (V1.6.3) by clicking the button "Input for Drawing Generator". Additional information which shall be added to the Drawing Generator sheet can be declared in the sheets "Draw.Gen. TP" for the transition piece" and in "Draw.Gen. MP" for the monopile.</t>
  </si>
  <si>
    <t>Additional information which shall be added to the Drawing Generator (1.6.3) sheets can be declared in the sheets "Draw.Gen. TP" for the transition piece" and in "Draw.Gen. MP" for the monopile.
Only cells colored in light grey can be filled. Only the contents of cells which are not empty are copied to the defined copy of the Drawing Generator. The cells in blueish colour are filled automatically.</t>
  </si>
  <si>
    <t xml:space="preserve">Corrosion allowance rate outside </t>
  </si>
  <si>
    <t xml:space="preserve">Corrosion allowance rate inside </t>
  </si>
  <si>
    <t>1.3</t>
  </si>
  <si>
    <t>- Scaling factor for SN curve for design according to DNVGL-RP-C203 added
- Minor adaptions</t>
  </si>
  <si>
    <t>Scaling factor SN curve</t>
  </si>
  <si>
    <t>- Calculation of endurance limits due to load contingency factors added</t>
  </si>
  <si>
    <t>MP, att.</t>
  </si>
  <si>
    <t>Endurance TP</t>
  </si>
  <si>
    <t>Endurance MP</t>
  </si>
  <si>
    <t>Endurance MP, att.</t>
  </si>
  <si>
    <t>SN slope</t>
  </si>
  <si>
    <t>Load contingency factor on FLS loads in sheet "Loads"</t>
  </si>
  <si>
    <t>LW1</t>
  </si>
  <si>
    <t>LW2</t>
  </si>
  <si>
    <t>LW3</t>
  </si>
  <si>
    <t>LW4</t>
  </si>
  <si>
    <t>LW5</t>
  </si>
  <si>
    <t>LW6</t>
  </si>
  <si>
    <t>LW7</t>
  </si>
  <si>
    <t xml:space="preserve">long welds </t>
  </si>
  <si>
    <t xml:space="preserve">SN Curve </t>
  </si>
  <si>
    <t xml:space="preserve">SN Cruve </t>
  </si>
  <si>
    <t>Verifications of longitudinal welds</t>
  </si>
  <si>
    <t xml:space="preserve">FLS damages </t>
  </si>
  <si>
    <t>Geometry</t>
  </si>
  <si>
    <t>g</t>
  </si>
  <si>
    <t>Section</t>
  </si>
  <si>
    <t>+ n = no</t>
  </si>
  <si>
    <r>
      <rPr>
        <b/>
        <sz val="11"/>
        <color rgb="FFBF0000"/>
        <rFont val="Calibri"/>
        <family val="2"/>
        <scheme val="minor"/>
      </rPr>
      <t>Free corr.</t>
    </r>
    <r>
      <rPr>
        <b/>
        <sz val="11"/>
        <color theme="0"/>
        <rFont val="Calibri"/>
        <family val="2"/>
        <scheme val="minor"/>
      </rPr>
      <t>? +</t>
    </r>
  </si>
  <si>
    <t xml:space="preserve">Base material </t>
  </si>
  <si>
    <r>
      <rPr>
        <b/>
        <sz val="11"/>
        <color rgb="FFC00000"/>
        <rFont val="Calibri"/>
        <family val="2"/>
        <scheme val="minor"/>
      </rPr>
      <t>Free corr.</t>
    </r>
    <r>
      <rPr>
        <b/>
        <sz val="11"/>
        <color theme="0"/>
        <rFont val="Calibri"/>
        <family val="2"/>
        <scheme val="minor"/>
      </rPr>
      <t xml:space="preserve"> at upper side? +</t>
    </r>
  </si>
  <si>
    <t>Output? +</t>
  </si>
  <si>
    <r>
      <t xml:space="preserve">FLS
</t>
    </r>
    <r>
      <rPr>
        <b/>
        <sz val="8"/>
        <color theme="0"/>
        <rFont val="Calibri"/>
        <family val="2"/>
        <scheme val="minor"/>
      </rPr>
      <t>upper side</t>
    </r>
  </si>
  <si>
    <t>Location att.</t>
  </si>
  <si>
    <t>Type att.</t>
  </si>
  <si>
    <t>Ground?</t>
  </si>
  <si>
    <t>Format free corr. att.</t>
  </si>
  <si>
    <t>Format free corr. sections</t>
  </si>
  <si>
    <t>- Driving fatigue updated for new format of geotechnical input file
- FLS verification for longitudinal welds added
- Option for output of FLS/ULS verifications added
- Minor adaptions and corrections</t>
  </si>
  <si>
    <t>Grinding factor</t>
  </si>
  <si>
    <t>outer</t>
  </si>
  <si>
    <t>inner</t>
  </si>
  <si>
    <t>Distance to next weld</t>
  </si>
  <si>
    <t>Draw.Gen? *</t>
  </si>
  <si>
    <t>* y = yes</t>
  </si>
  <si>
    <t>Create identical copy</t>
  </si>
  <si>
    <t>Loads</t>
  </si>
  <si>
    <t>Sheet</t>
  </si>
  <si>
    <t>Path (Load summary)</t>
  </si>
  <si>
    <t>Path of new file</t>
  </si>
  <si>
    <t>Path (header file)</t>
  </si>
  <si>
    <t>Header file</t>
  </si>
  <si>
    <t>General settings</t>
  </si>
  <si>
    <t>TP-less design</t>
  </si>
  <si>
    <t>Notes to be added to output</t>
  </si>
  <si>
    <t>Title</t>
  </si>
  <si>
    <t>Note #1</t>
  </si>
  <si>
    <t>Note #2</t>
  </si>
  <si>
    <t>lsdgcae ykdgmca aals adcasudfhn shfüoiefjcsd shfmacga</t>
  </si>
  <si>
    <t>Copy data from …</t>
  </si>
  <si>
    <t>sheet "Control"</t>
  </si>
  <si>
    <t>sheet "Loads"</t>
  </si>
  <si>
    <t>sheet "Geometry"</t>
  </si>
  <si>
    <t>sheet "Eff. thickness (DNVGL-RP-C203)"</t>
  </si>
  <si>
    <t>sheet "Draw.Gen. TP"</t>
  </si>
  <si>
    <t>sheet "Draw.Gen. MP"</t>
  </si>
  <si>
    <t>sheet "Notes"</t>
  </si>
  <si>
    <t>Blanco file</t>
  </si>
  <si>
    <t>S355 NLO</t>
  </si>
  <si>
    <t>S355 MLO</t>
  </si>
  <si>
    <t>S420 MLO</t>
  </si>
  <si>
    <t>S460 MLO</t>
  </si>
  <si>
    <t>NV D36</t>
  </si>
  <si>
    <t>NV E36</t>
  </si>
  <si>
    <t>NV F36</t>
  </si>
  <si>
    <t>NV D420</t>
  </si>
  <si>
    <t>NV E420</t>
  </si>
  <si>
    <t>NV F420</t>
  </si>
  <si>
    <t>NV D460</t>
  </si>
  <si>
    <t>NV E460</t>
  </si>
  <si>
    <t>NV F460</t>
  </si>
  <si>
    <t>MP3-01-01</t>
  </si>
  <si>
    <t>MP3-01-02</t>
  </si>
  <si>
    <t>MP9-01</t>
  </si>
  <si>
    <t>MP13-01</t>
  </si>
  <si>
    <t>MP14-01</t>
  </si>
  <si>
    <t>IAC hole</t>
  </si>
  <si>
    <t>LW8</t>
  </si>
  <si>
    <t>LW9</t>
  </si>
  <si>
    <t>LW10</t>
  </si>
  <si>
    <t>LW11</t>
  </si>
  <si>
    <t>LW12</t>
  </si>
  <si>
    <t>LW13</t>
  </si>
  <si>
    <t>LW14</t>
  </si>
  <si>
    <t>LW15</t>
  </si>
  <si>
    <t>LW16</t>
  </si>
  <si>
    <t>LW17</t>
  </si>
  <si>
    <t>LW18</t>
  </si>
  <si>
    <t>LW19</t>
  </si>
  <si>
    <t>LW20</t>
  </si>
  <si>
    <t>LW21</t>
  </si>
  <si>
    <t>LW22</t>
  </si>
  <si>
    <t>Notch classes</t>
  </si>
  <si>
    <t>Att.n</t>
  </si>
  <si>
    <t>Splash zone</t>
  </si>
  <si>
    <t>Grinding factor acc. To DNV-RP-C203</t>
  </si>
  <si>
    <t>Free corrosion</t>
  </si>
  <si>
    <t>Att. Grounded</t>
  </si>
  <si>
    <t>Safety concept</t>
  </si>
  <si>
    <t>Standard</t>
  </si>
  <si>
    <t>Fabrication factor (IIW)</t>
  </si>
  <si>
    <t>butt weld</t>
  </si>
  <si>
    <t>conus</t>
  </si>
  <si>
    <t>total</t>
  </si>
  <si>
    <t>SCF inside</t>
  </si>
  <si>
    <t>SCF outside</t>
  </si>
  <si>
    <t>TYPE
welded (n); welded notch (nn); ground (g); ground notch(gn); opening (o)</t>
  </si>
  <si>
    <t>nn</t>
  </si>
  <si>
    <t>gn</t>
  </si>
  <si>
    <t>Fabrication factor (IIW, DNV)</t>
  </si>
  <si>
    <t>att. Notch stress</t>
  </si>
  <si>
    <t>Standard and safety concept</t>
  </si>
  <si>
    <t>S/N Data</t>
  </si>
  <si>
    <t>Fabrication factor</t>
  </si>
  <si>
    <t>Fabrication factor (only for notch stress)</t>
  </si>
  <si>
    <t xml:space="preserve">Embedded length </t>
  </si>
  <si>
    <t>Verknüpft mit ULS MP</t>
  </si>
  <si>
    <t>Am besten diese tabellen can top und can bottom an ULS MP angleichen</t>
  </si>
  <si>
    <t>Katze über tastatur</t>
  </si>
  <si>
    <t xml:space="preserve"> [m]</t>
  </si>
  <si>
    <r>
      <rPr>
        <b/>
        <sz val="8"/>
        <color theme="0"/>
        <rFont val="Symbol"/>
        <family val="1"/>
        <charset val="2"/>
      </rPr>
      <t>s</t>
    </r>
    <r>
      <rPr>
        <b/>
        <sz val="8"/>
        <color theme="0"/>
        <rFont val="Arial"/>
        <family val="2"/>
      </rPr>
      <t>x,Ed</t>
    </r>
  </si>
  <si>
    <r>
      <rPr>
        <b/>
        <sz val="8"/>
        <color theme="0"/>
        <rFont val="Symbol"/>
        <family val="1"/>
        <charset val="2"/>
      </rPr>
      <t>t</t>
    </r>
    <r>
      <rPr>
        <b/>
        <sz val="8"/>
        <color theme="0"/>
        <rFont val="Calibri"/>
        <family val="2"/>
        <scheme val="minor"/>
      </rPr>
      <t>x</t>
    </r>
    <r>
      <rPr>
        <b/>
        <sz val="8"/>
        <color theme="0"/>
        <rFont val="Symbol"/>
        <family val="1"/>
        <charset val="2"/>
      </rPr>
      <t>q</t>
    </r>
    <r>
      <rPr>
        <b/>
        <sz val="8"/>
        <color theme="0"/>
        <rFont val="Arial"/>
        <family val="2"/>
      </rPr>
      <t>,Ed</t>
    </r>
  </si>
  <si>
    <r>
      <rPr>
        <b/>
        <sz val="8"/>
        <color theme="0"/>
        <rFont val="Symbol"/>
        <family val="1"/>
        <charset val="2"/>
      </rPr>
      <t>sq</t>
    </r>
    <r>
      <rPr>
        <b/>
        <sz val="8"/>
        <color theme="0"/>
        <rFont val="Arial"/>
        <family val="2"/>
      </rPr>
      <t>,Ed</t>
    </r>
  </si>
  <si>
    <r>
      <rPr>
        <b/>
        <sz val="11"/>
        <color theme="0"/>
        <rFont val="Symbol"/>
        <family val="1"/>
        <charset val="2"/>
      </rPr>
      <t>s</t>
    </r>
    <r>
      <rPr>
        <b/>
        <sz val="8"/>
        <color theme="0"/>
        <rFont val="Symbol"/>
        <family val="1"/>
        <charset val="2"/>
      </rPr>
      <t>q</t>
    </r>
    <r>
      <rPr>
        <b/>
        <sz val="8"/>
        <color theme="0"/>
        <rFont val="Arial"/>
        <family val="2"/>
      </rPr>
      <t>,Rd</t>
    </r>
  </si>
  <si>
    <r>
      <rPr>
        <b/>
        <sz val="11"/>
        <color theme="0"/>
        <rFont val="Symbol"/>
        <family val="1"/>
        <charset val="2"/>
      </rPr>
      <t>t</t>
    </r>
    <r>
      <rPr>
        <b/>
        <sz val="8"/>
        <color theme="0"/>
        <rFont val="Calibri"/>
        <family val="2"/>
        <scheme val="minor"/>
      </rPr>
      <t>x</t>
    </r>
    <r>
      <rPr>
        <b/>
        <sz val="8"/>
        <color theme="0"/>
        <rFont val="Symbol"/>
        <family val="1"/>
        <charset val="2"/>
      </rPr>
      <t>q</t>
    </r>
    <r>
      <rPr>
        <b/>
        <sz val="8"/>
        <color theme="0"/>
        <rFont val="Arial"/>
        <family val="2"/>
      </rPr>
      <t>,Rd</t>
    </r>
  </si>
  <si>
    <t>min t with corrosion allowance</t>
  </si>
  <si>
    <r>
      <t xml:space="preserve">Length parameter
</t>
    </r>
    <r>
      <rPr>
        <b/>
        <sz val="8"/>
        <color theme="0"/>
        <rFont val="Aptos Narrow"/>
        <family val="2"/>
      </rPr>
      <t>ω</t>
    </r>
  </si>
  <si>
    <r>
      <rPr>
        <b/>
        <sz val="11"/>
        <color theme="0"/>
        <rFont val="Aptos Narrow"/>
        <family val="2"/>
      </rPr>
      <t>α</t>
    </r>
    <r>
      <rPr>
        <b/>
        <sz val="8"/>
        <color theme="0"/>
        <rFont val="Arial"/>
        <family val="2"/>
      </rPr>
      <t>x</t>
    </r>
  </si>
  <si>
    <t>λx</t>
  </si>
  <si>
    <t>λx0</t>
  </si>
  <si>
    <t>Χx0</t>
  </si>
  <si>
    <t>Χθ</t>
  </si>
  <si>
    <t>Χτ</t>
  </si>
  <si>
    <r>
      <rPr>
        <b/>
        <sz val="10"/>
        <color theme="0"/>
        <rFont val="Aptos Narrow"/>
        <family val="2"/>
      </rPr>
      <t>σ</t>
    </r>
    <r>
      <rPr>
        <b/>
        <sz val="8"/>
        <color theme="0"/>
        <rFont val="Aptos Narrow"/>
        <family val="2"/>
      </rPr>
      <t>θ</t>
    </r>
    <r>
      <rPr>
        <b/>
        <sz val="8"/>
        <color theme="0"/>
        <rFont val="Arial"/>
        <family val="2"/>
      </rPr>
      <t>,Rcr</t>
    </r>
  </si>
  <si>
    <t>λθ</t>
  </si>
  <si>
    <t>Geometrical Parameter</t>
  </si>
  <si>
    <t>Physical constants</t>
  </si>
  <si>
    <t>Hydrostatic pressure</t>
  </si>
  <si>
    <t>DIN EN 1993-1-6 Buckling Parameter</t>
  </si>
  <si>
    <t>Tolerance Class</t>
  </si>
  <si>
    <t>Q</t>
  </si>
  <si>
    <t>Buckling Parameters</t>
  </si>
  <si>
    <t>αθ</t>
  </si>
  <si>
    <t>ατ</t>
  </si>
  <si>
    <t>mm/year</t>
  </si>
  <si>
    <r>
      <rPr>
        <b/>
        <sz val="11"/>
        <color theme="0"/>
        <rFont val="Aptos Narrow"/>
        <family val="2"/>
      </rPr>
      <t>σ</t>
    </r>
    <r>
      <rPr>
        <b/>
        <sz val="8"/>
        <color theme="0"/>
        <rFont val="Arial"/>
        <family val="2"/>
      </rPr>
      <t>a,eq</t>
    </r>
  </si>
  <si>
    <r>
      <rPr>
        <b/>
        <sz val="11"/>
        <color theme="0"/>
        <rFont val="Aptos Narrow"/>
        <family val="2"/>
      </rPr>
      <t>σ</t>
    </r>
    <r>
      <rPr>
        <b/>
        <sz val="8"/>
        <color theme="0"/>
        <rFont val="Arial"/>
        <family val="2"/>
      </rPr>
      <t>b,jt</t>
    </r>
  </si>
  <si>
    <r>
      <rPr>
        <b/>
        <sz val="11"/>
        <color theme="0"/>
        <rFont val="Aptos Narrow"/>
        <family val="2"/>
      </rPr>
      <t>σ</t>
    </r>
    <r>
      <rPr>
        <b/>
        <sz val="8"/>
        <color theme="0"/>
        <rFont val="Arial"/>
        <family val="2"/>
      </rPr>
      <t>h,t</t>
    </r>
  </si>
  <si>
    <t>local buck
Um</t>
  </si>
  <si>
    <r>
      <rPr>
        <b/>
        <sz val="11"/>
        <color theme="0"/>
        <rFont val="Aptos Narrow"/>
        <family val="2"/>
      </rPr>
      <t>σ</t>
    </r>
    <r>
      <rPr>
        <b/>
        <sz val="8"/>
        <color theme="0"/>
        <rFont val="Arial"/>
        <family val="2"/>
      </rPr>
      <t>max</t>
    </r>
  </si>
  <si>
    <t>junc. Buckling
Um</t>
  </si>
  <si>
    <t>Radius r
@ Shell Middle</t>
  </si>
  <si>
    <t>Check 
convex (cv)
concav (cc)</t>
  </si>
  <si>
    <t>SKe / NIm</t>
  </si>
  <si>
    <t>Height w.r.t. reference level</t>
  </si>
  <si>
    <t>Opening factor</t>
  </si>
  <si>
    <t>Location</t>
  </si>
  <si>
    <t>Type</t>
  </si>
  <si>
    <t>Format openings att.</t>
  </si>
  <si>
    <t>Top</t>
  </si>
  <si>
    <t>Bottom</t>
  </si>
  <si>
    <t>Slope</t>
  </si>
  <si>
    <t>Weight</t>
  </si>
  <si>
    <t>test_file___</t>
  </si>
  <si>
    <t>Length</t>
  </si>
  <si>
    <t>D, top</t>
  </si>
  <si>
    <t>D, bottom</t>
  </si>
  <si>
    <t>Lists for dropdowns in "Control"</t>
  </si>
  <si>
    <t>ON HOLD</t>
  </si>
  <si>
    <t>Formats in "Geometry"</t>
  </si>
  <si>
    <t>Lists for dropdowns in "Geometry"</t>
  </si>
  <si>
    <t>- Full restructuring of the "Control" Sheet
- Restructuring of the Header
- Extended material database
- Update of the SCF calculation for CWs (Conus SCF without superposition)
- Notch class for verification of Attachments with Notch stress concept
- Update of the ULS verification
- Read-in of loads updated</t>
  </si>
  <si>
    <t>STRUCTURE</t>
  </si>
  <si>
    <t>2.01</t>
  </si>
  <si>
    <t>.\Testfiles\00A000-JBO-DRMPDD-EN-0000-01 - Design Report - Monopile - Appendix A01-G-6.xlsm</t>
  </si>
  <si>
    <t>.\Testfiles\JBOOST.out</t>
  </si>
  <si>
    <t>.\Testfiles\22A532_Header_2024-01-10.xlsm</t>
  </si>
  <si>
    <t>Output_Stress_Table</t>
  </si>
  <si>
    <t>O:\Offshore\11_Tools\JBOOM (MPTOOL)\Testfiles\</t>
  </si>
  <si>
    <t>Primary Structure MP</t>
  </si>
  <si>
    <t>NSC-JBO-N37-FOU-ENG-00024</t>
  </si>
  <si>
    <t>14.02.2024</t>
  </si>
  <si>
    <t>22A532-JBO-DRMPDD-EN-3101-N37</t>
  </si>
  <si>
    <t>IFR</t>
  </si>
  <si>
    <t>01</t>
  </si>
  <si>
    <t>ATP support ring</t>
  </si>
  <si>
    <t>ATP support stiffener (bottom)</t>
  </si>
  <si>
    <t>MP3-01-03</t>
  </si>
  <si>
    <t>ATP support stiffener (rathole)</t>
  </si>
  <si>
    <t>Water replenishment hole</t>
  </si>
  <si>
    <t>MP11-01</t>
  </si>
  <si>
    <t>Sonar transponder cable hole</t>
  </si>
  <si>
    <t>MP11-02</t>
  </si>
  <si>
    <t>Sonar transponder stud connector</t>
  </si>
  <si>
    <t>- Synchronisation with LoadSummary tool, sheets regarding loads adapted
- Relative paths</t>
  </si>
  <si>
    <t>Sheets and cells are mostly locked for a reason. Please do not add or delete any new rows or columns. The potentionally resulting errors may be hazardous.
Adding sheets to this workbook is at your own risk, as this may cause a reduction of the performance to fill data into this workbook and of your computer.
Fell free to contact Sebastian Kelma (kelma@j-b-o.de or via Teams) for help, issues/errors and recommendation for future improvements.</t>
  </si>
  <si>
    <t>Cxb</t>
  </si>
  <si>
    <t>2.00</t>
  </si>
  <si>
    <t>2.02</t>
  </si>
  <si>
    <t>Bug fixes:
- Relative paths
- Figure generation: lower limit of y-axis for figures showing geometries, ULS, FLS corrected</t>
  </si>
  <si>
    <t xml:space="preserve">TP1-02 </t>
  </si>
  <si>
    <t xml:space="preserve"> Cable opening </t>
  </si>
  <si>
    <t xml:space="preserve">TP1-03 </t>
  </si>
  <si>
    <t xml:space="preserve"> Access ladder support </t>
  </si>
  <si>
    <t xml:space="preserve">TP1-04 </t>
  </si>
  <si>
    <t xml:space="preserve"> Service Platform </t>
  </si>
  <si>
    <t xml:space="preserve">TP1-05 </t>
  </si>
  <si>
    <t xml:space="preserve"> Ventilation Opening </t>
  </si>
  <si>
    <t xml:space="preserve"> ICCP Cable opening </t>
  </si>
  <si>
    <t xml:space="preserve"> ICCP Cable pipe support </t>
  </si>
  <si>
    <t>TP1-01</t>
  </si>
  <si>
    <t>MAP support</t>
  </si>
  <si>
    <t>Stud Junction Box Platform</t>
  </si>
  <si>
    <t>Stud Bolting Platform</t>
  </si>
  <si>
    <t>TP4-01</t>
  </si>
  <si>
    <t>TP4-02</t>
  </si>
  <si>
    <t>TP5-01</t>
  </si>
  <si>
    <t>TP4-03</t>
  </si>
  <si>
    <t>TP4-04</t>
  </si>
  <si>
    <t>i:\2024\A\24A525_EnBW_Dreekant_FEED\03_Lasten\01_LILA\08_Load_Summaries\02_py-WaveLoadGenWaves\2025-03-04_Load_summary_V3.03_DP-B2-FLS-UNIdirectional-FullULS_L0G1S0.xlsm</t>
  </si>
  <si>
    <t>Applied load contingencies: 0.001 (m=3), 0.001 (m=4)[FILE :i:\2024\A\24A525_EnBW_Dreekant_FEED\03_Lasten\01_LILA\08_Load_Summaries\02_py-WaveLoadGenWaves\2025-03-04_Load_summary_V3.03_DP-B2-FLS-UNIdirectional-FullULS_L0G1S0.xlsm]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</si>
</sst>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 #,##0.00\ &quot;€&quot;_-;\-* #,##0.00\ &quot;€&quot;_-;_-* &quot;-&quot;??\ &quot;€&quot;_-;_-@_-"/>
    <numFmt numFmtId="164" formatCode="0.000"/>
    <numFmt numFmtId="165" formatCode="0.0"/>
    <numFmt numFmtId="166" formatCode="_-* #,##0.00\ [$€-1]_-;\-* #,##0.00\ [$€-1]_-;_-* &quot;-&quot;??\ [$€-1]_-"/>
    <numFmt numFmtId="167" formatCode="#,##0_ ;\-#,##0\ "/>
    <numFmt numFmtId="168" formatCode="0.0000"/>
  </numFmts>
  <fonts count="55">
    <font>
      <sz val="11"/>
      <color theme="1"/>
      <name val="Calibri"/>
      <family val="2"/>
      <scheme val="minor"/>
    </font>
    <font>
      <sz val="11"/>
      <color theme="1"/>
      <name val="Calibri"/>
      <family val="2"/>
      <scheme val="minor"/>
    </font>
    <font>
      <b/>
      <sz val="11"/>
      <color theme="0"/>
      <name val="Calibri"/>
      <family val="2"/>
      <scheme val="minor"/>
    </font>
    <font>
      <sz val="10"/>
      <name val="Arial"/>
      <family val="2"/>
    </font>
    <font>
      <sz val="10"/>
      <name val="Optima"/>
      <family val="2"/>
    </font>
    <font>
      <sz val="10"/>
      <name val="Optima"/>
    </font>
    <font>
      <sz val="11"/>
      <color theme="1"/>
      <name val="Calibri"/>
      <family val="2"/>
    </font>
    <font>
      <b/>
      <sz val="11"/>
      <color theme="1"/>
      <name val="Calibri"/>
      <family val="2"/>
    </font>
    <font>
      <b/>
      <sz val="8"/>
      <color theme="0"/>
      <name val="Arial"/>
      <family val="2"/>
    </font>
    <font>
      <b/>
      <sz val="8"/>
      <color theme="0"/>
      <name val="Calibri"/>
      <family val="2"/>
      <scheme val="minor"/>
    </font>
    <font>
      <sz val="8"/>
      <name val="Arial"/>
      <family val="2"/>
    </font>
    <font>
      <sz val="8"/>
      <color theme="1"/>
      <name val="Arial"/>
      <family val="2"/>
    </font>
    <font>
      <b/>
      <vertAlign val="superscript"/>
      <sz val="8"/>
      <color theme="0"/>
      <name val="Arial"/>
      <family val="2"/>
    </font>
    <font>
      <sz val="11"/>
      <name val="Calibri"/>
      <family val="2"/>
      <scheme val="minor"/>
    </font>
    <font>
      <sz val="11"/>
      <name val="Calibri"/>
      <family val="2"/>
    </font>
    <font>
      <sz val="8"/>
      <name val="Calibri"/>
      <family val="2"/>
      <scheme val="minor"/>
    </font>
    <font>
      <b/>
      <sz val="11"/>
      <name val="Arial"/>
      <family val="2"/>
    </font>
    <font>
      <sz val="11"/>
      <color theme="1"/>
      <name val="Arial"/>
      <family val="2"/>
    </font>
    <font>
      <b/>
      <sz val="8"/>
      <color theme="0"/>
      <name val="Symbol"/>
      <family val="1"/>
      <charset val="2"/>
    </font>
    <font>
      <b/>
      <sz val="8"/>
      <color theme="0"/>
      <name val="Arial"/>
      <family val="1"/>
      <charset val="2"/>
    </font>
    <font>
      <sz val="8"/>
      <color rgb="FFFFFFFF"/>
      <name val="Arial"/>
      <family val="2"/>
    </font>
    <font>
      <i/>
      <sz val="8"/>
      <color theme="0"/>
      <name val="Arial"/>
      <family val="2"/>
    </font>
    <font>
      <sz val="8"/>
      <color theme="1"/>
      <name val="Calibri"/>
      <family val="2"/>
      <scheme val="minor"/>
    </font>
    <font>
      <b/>
      <sz val="11"/>
      <color theme="1"/>
      <name val="Calibri"/>
      <family val="2"/>
      <scheme val="minor"/>
    </font>
    <font>
      <sz val="10"/>
      <color theme="1"/>
      <name val="Arial"/>
      <family val="2"/>
    </font>
    <font>
      <b/>
      <sz val="10"/>
      <color theme="1"/>
      <name val="Arial"/>
      <family val="2"/>
    </font>
    <font>
      <b/>
      <sz val="11"/>
      <color theme="0"/>
      <name val="Calibri"/>
      <family val="2"/>
    </font>
    <font>
      <b/>
      <u val="singleAccounting"/>
      <sz val="8"/>
      <color theme="0"/>
      <name val="Arial"/>
      <family val="2"/>
    </font>
    <font>
      <b/>
      <sz val="11"/>
      <color theme="0"/>
      <name val="Symbol"/>
      <family val="1"/>
      <charset val="2"/>
    </font>
    <font>
      <b/>
      <sz val="8"/>
      <color rgb="FFFFFFFF"/>
      <name val="Arial"/>
      <family val="2"/>
    </font>
    <font>
      <b/>
      <i/>
      <sz val="8"/>
      <color theme="0"/>
      <name val="Arial"/>
      <family val="2"/>
    </font>
    <font>
      <sz val="11"/>
      <color theme="0" tint="-0.34998626667073579"/>
      <name val="Calibri"/>
      <family val="2"/>
      <scheme val="minor"/>
    </font>
    <font>
      <b/>
      <sz val="10"/>
      <color theme="4" tint="-0.499984740745262"/>
      <name val="Arial"/>
      <family val="2"/>
    </font>
    <font>
      <b/>
      <sz val="11"/>
      <name val="Calibri"/>
      <family val="2"/>
      <scheme val="minor"/>
    </font>
    <font>
      <sz val="9"/>
      <color indexed="81"/>
      <name val="Segoe UI"/>
      <family val="2"/>
    </font>
    <font>
      <b/>
      <sz val="9"/>
      <color indexed="81"/>
      <name val="Segoe UI"/>
      <family val="2"/>
    </font>
    <font>
      <u/>
      <sz val="9"/>
      <color indexed="81"/>
      <name val="Segoe UI"/>
      <family val="2"/>
    </font>
    <font>
      <b/>
      <sz val="10"/>
      <color theme="0"/>
      <name val="Arial"/>
      <family val="2"/>
    </font>
    <font>
      <b/>
      <u/>
      <sz val="11"/>
      <color theme="0" tint="-4.9989318521683403E-2"/>
      <name val="Calibri"/>
      <family val="2"/>
      <scheme val="minor"/>
    </font>
    <font>
      <b/>
      <sz val="11"/>
      <color theme="0" tint="-4.9989318521683403E-2"/>
      <name val="Calibri"/>
      <family val="2"/>
      <scheme val="minor"/>
    </font>
    <font>
      <b/>
      <u/>
      <sz val="11"/>
      <color theme="1"/>
      <name val="Calibri"/>
      <family val="2"/>
      <scheme val="minor"/>
    </font>
    <font>
      <u/>
      <sz val="11"/>
      <color theme="1"/>
      <name val="Calibri"/>
      <family val="2"/>
      <scheme val="minor"/>
    </font>
    <font>
      <sz val="11"/>
      <color theme="0"/>
      <name val="Calibri"/>
      <family val="2"/>
      <scheme val="minor"/>
    </font>
    <font>
      <b/>
      <sz val="11"/>
      <color rgb="FFBF0000"/>
      <name val="Calibri"/>
      <family val="2"/>
      <scheme val="minor"/>
    </font>
    <font>
      <b/>
      <sz val="9"/>
      <color theme="0"/>
      <name val="Calibri"/>
      <family val="2"/>
      <scheme val="minor"/>
    </font>
    <font>
      <b/>
      <sz val="11"/>
      <color rgb="FFC00000"/>
      <name val="Calibri"/>
      <family val="2"/>
      <scheme val="minor"/>
    </font>
    <font>
      <b/>
      <sz val="11"/>
      <color theme="4" tint="-0.499984740745262"/>
      <name val="Calibri"/>
      <family val="2"/>
      <scheme val="minor"/>
    </font>
    <font>
      <b/>
      <sz val="8"/>
      <color theme="0"/>
      <name val="Aptos Narrow"/>
      <family val="2"/>
    </font>
    <font>
      <b/>
      <sz val="10"/>
      <color theme="0"/>
      <name val="Aptos Narrow"/>
      <family val="2"/>
    </font>
    <font>
      <b/>
      <sz val="11"/>
      <color theme="0"/>
      <name val="Aptos Narrow"/>
      <family val="2"/>
    </font>
    <font>
      <sz val="10"/>
      <color theme="1"/>
      <name val="Aptos Narrow"/>
      <family val="2"/>
    </font>
    <font>
      <sz val="10"/>
      <color theme="1"/>
      <name val="Calibri"/>
      <family val="2"/>
      <scheme val="minor"/>
    </font>
    <font>
      <sz val="11"/>
      <color theme="0" tint="-0.14999847407452621"/>
      <name val="Calibri"/>
      <family val="2"/>
      <scheme val="minor"/>
    </font>
    <font>
      <b/>
      <sz val="11"/>
      <color rgb="FF000000"/>
      <name val="Calibri"/>
      <family val="2"/>
    </font>
    <font>
      <b/>
      <sz val="11"/>
      <color rgb="FFFF0000"/>
      <name val="Calibri"/>
      <family val="2"/>
      <scheme val="minor"/>
    </font>
  </fonts>
  <fills count="23">
    <fill>
      <patternFill patternType="none"/>
    </fill>
    <fill>
      <patternFill patternType="gray125"/>
    </fill>
    <fill>
      <patternFill patternType="solid">
        <fgColor rgb="FF008F85"/>
        <bgColor indexed="64"/>
      </patternFill>
    </fill>
    <fill>
      <patternFill patternType="solid">
        <fgColor theme="0"/>
        <bgColor indexed="64"/>
      </patternFill>
    </fill>
    <fill>
      <patternFill patternType="solid">
        <fgColor rgb="FFFFC000"/>
        <bgColor indexed="64"/>
      </patternFill>
    </fill>
    <fill>
      <patternFill patternType="solid">
        <fgColor rgb="FFFFF2CC"/>
        <bgColor indexed="64"/>
      </patternFill>
    </fill>
    <fill>
      <patternFill patternType="solid">
        <fgColor theme="5" tint="0.79998168889431442"/>
        <bgColor indexed="64"/>
      </patternFill>
    </fill>
    <fill>
      <patternFill patternType="solid">
        <fgColor rgb="FF009085"/>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2F2F2"/>
        <bgColor indexed="64"/>
      </patternFill>
    </fill>
    <fill>
      <patternFill patternType="solid">
        <fgColor theme="0" tint="-0.499984740745262"/>
        <bgColor rgb="FF000000"/>
      </patternFill>
    </fill>
    <fill>
      <patternFill patternType="solid">
        <fgColor theme="0" tint="-0.499984740745262"/>
        <bgColor indexed="64"/>
      </patternFill>
    </fill>
    <fill>
      <patternFill patternType="solid">
        <fgColor theme="0" tint="-0.14999847407452621"/>
        <bgColor rgb="FF000000"/>
      </patternFill>
    </fill>
    <fill>
      <patternFill patternType="solid">
        <fgColor theme="4" tint="0.59999389629810485"/>
        <bgColor rgb="FF000000"/>
      </patternFill>
    </fill>
    <fill>
      <patternFill patternType="solid">
        <fgColor theme="4" tint="0.59999389629810485"/>
        <bgColor indexed="64"/>
      </patternFill>
    </fill>
    <fill>
      <patternFill patternType="solid">
        <fgColor theme="4" tint="0.79998168889431442"/>
        <bgColor indexed="64"/>
      </patternFill>
    </fill>
    <fill>
      <patternFill patternType="solid">
        <fgColor rgb="FFBFE3E1"/>
        <bgColor indexed="64"/>
      </patternFill>
    </fill>
    <fill>
      <patternFill patternType="solid">
        <fgColor rgb="FFD9D9D9"/>
        <bgColor indexed="64"/>
      </patternFill>
    </fill>
    <fill>
      <patternFill patternType="solid">
        <fgColor rgb="FFFFFF00"/>
        <bgColor indexed="64"/>
      </patternFill>
    </fill>
    <fill>
      <patternFill patternType="solid">
        <fgColor theme="0" tint="-0.249977111117893"/>
        <bgColor indexed="64"/>
      </patternFill>
    </fill>
    <fill>
      <patternFill patternType="solid">
        <fgColor rgb="FF80C7C3"/>
        <bgColor indexed="64"/>
      </patternFill>
    </fill>
    <fill>
      <patternFill patternType="solid">
        <fgColor rgb="FFFF0000"/>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style="thin">
        <color indexed="64"/>
      </top>
      <bottom/>
      <diagonal/>
    </border>
    <border>
      <left/>
      <right style="thin">
        <color indexed="64"/>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medium">
        <color auto="1"/>
      </right>
      <top/>
      <bottom/>
      <diagonal/>
    </border>
    <border>
      <left style="medium">
        <color auto="1"/>
      </left>
      <right/>
      <top/>
      <bottom/>
      <diagonal/>
    </border>
  </borders>
  <cellStyleXfs count="31">
    <xf numFmtId="0" fontId="0" fillId="0" borderId="0"/>
    <xf numFmtId="166" fontId="1" fillId="0" borderId="0"/>
    <xf numFmtId="166" fontId="3" fillId="0" borderId="0"/>
    <xf numFmtId="9" fontId="3" fillId="0" borderId="0" applyFont="0" applyFill="0" applyBorder="0" applyAlignment="0" applyProtection="0"/>
    <xf numFmtId="166" fontId="3" fillId="0" borderId="0" applyFont="0" applyFill="0" applyBorder="0" applyAlignment="0" applyProtection="0"/>
    <xf numFmtId="166" fontId="4" fillId="0" borderId="0"/>
    <xf numFmtId="44" fontId="4" fillId="0" borderId="0" applyFont="0" applyFill="0" applyBorder="0" applyAlignment="0" applyProtection="0"/>
    <xf numFmtId="166" fontId="3" fillId="0" borderId="0" applyFont="0" applyFill="0" applyBorder="0" applyAlignment="0" applyProtection="0"/>
    <xf numFmtId="166" fontId="5" fillId="0" borderId="0"/>
    <xf numFmtId="166" fontId="1" fillId="0" borderId="0"/>
    <xf numFmtId="166" fontId="1" fillId="0" borderId="0"/>
    <xf numFmtId="166" fontId="1" fillId="0" borderId="0"/>
    <xf numFmtId="44"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166" fontId="1" fillId="0" borderId="0"/>
    <xf numFmtId="0" fontId="1" fillId="0" borderId="0"/>
    <xf numFmtId="0" fontId="1" fillId="0" borderId="0"/>
    <xf numFmtId="0" fontId="1" fillId="0" borderId="0"/>
    <xf numFmtId="0" fontId="1" fillId="0" borderId="0"/>
    <xf numFmtId="166" fontId="1" fillId="0" borderId="0"/>
    <xf numFmtId="9" fontId="1"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cellStyleXfs>
  <cellXfs count="339">
    <xf numFmtId="0" fontId="0" fillId="0" borderId="0" xfId="0"/>
    <xf numFmtId="166" fontId="9" fillId="2" borderId="1" xfId="9" applyFont="1" applyFill="1" applyBorder="1" applyAlignment="1">
      <alignment horizontal="center" vertical="center"/>
    </xf>
    <xf numFmtId="2" fontId="8" fillId="2" borderId="1" xfId="9" applyNumberFormat="1" applyFont="1" applyFill="1" applyBorder="1" applyAlignment="1">
      <alignment horizontal="center" vertical="center" wrapText="1"/>
    </xf>
    <xf numFmtId="2" fontId="10" fillId="3" borderId="1" xfId="9" applyNumberFormat="1" applyFont="1" applyFill="1" applyBorder="1" applyAlignment="1">
      <alignment horizontal="center" vertical="center" wrapText="1"/>
    </xf>
    <xf numFmtId="2" fontId="11" fillId="3" borderId="1" xfId="9" applyNumberFormat="1" applyFont="1" applyFill="1" applyBorder="1" applyAlignment="1">
      <alignment horizontal="center" vertical="center" wrapText="1"/>
    </xf>
    <xf numFmtId="0" fontId="8" fillId="2" borderId="1" xfId="0" applyFont="1" applyFill="1" applyBorder="1" applyAlignment="1">
      <alignment horizontal="center" vertical="center" wrapText="1"/>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left"/>
    </xf>
    <xf numFmtId="1" fontId="16" fillId="3" borderId="1" xfId="9" applyNumberFormat="1" applyFont="1" applyFill="1" applyBorder="1" applyAlignment="1">
      <alignment horizontal="center" vertical="center" wrapText="1"/>
    </xf>
    <xf numFmtId="2" fontId="0" fillId="0" borderId="0" xfId="0" applyNumberFormat="1"/>
    <xf numFmtId="0" fontId="17" fillId="0" borderId="0" xfId="0" applyFont="1"/>
    <xf numFmtId="0" fontId="8" fillId="2" borderId="1" xfId="0" applyFont="1" applyFill="1" applyBorder="1" applyAlignment="1">
      <alignment horizontal="center" vertical="center"/>
    </xf>
    <xf numFmtId="2" fontId="8" fillId="2" borderId="1" xfId="0" applyNumberFormat="1" applyFont="1" applyFill="1" applyBorder="1" applyAlignment="1">
      <alignment horizontal="center" vertical="center"/>
    </xf>
    <xf numFmtId="2" fontId="0" fillId="4" borderId="1" xfId="1" applyNumberFormat="1" applyFont="1" applyFill="1" applyBorder="1" applyAlignment="1">
      <alignment horizontal="center" vertical="center"/>
    </xf>
    <xf numFmtId="1" fontId="0" fillId="4" borderId="1" xfId="1" applyNumberFormat="1" applyFont="1" applyFill="1" applyBorder="1" applyAlignment="1">
      <alignment horizontal="center" vertical="center"/>
    </xf>
    <xf numFmtId="0" fontId="0" fillId="6" borderId="0" xfId="0" applyFill="1" applyAlignment="1">
      <alignment horizontal="center"/>
    </xf>
    <xf numFmtId="0" fontId="0" fillId="0" borderId="0" xfId="0" applyAlignment="1">
      <alignment horizontal="left" vertical="center"/>
    </xf>
    <xf numFmtId="164" fontId="10" fillId="3" borderId="1" xfId="9" applyNumberFormat="1" applyFont="1" applyFill="1" applyBorder="1" applyAlignment="1">
      <alignment horizontal="center" vertical="center" wrapText="1"/>
    </xf>
    <xf numFmtId="0" fontId="0" fillId="0" borderId="0" xfId="0" applyAlignment="1">
      <alignment wrapText="1"/>
    </xf>
    <xf numFmtId="166" fontId="7" fillId="0" borderId="0" xfId="1" applyFont="1" applyAlignment="1">
      <alignment horizontal="center" vertical="center"/>
    </xf>
    <xf numFmtId="0" fontId="1" fillId="0" borderId="0" xfId="0" applyFont="1"/>
    <xf numFmtId="1" fontId="10" fillId="3" borderId="1" xfId="9" applyNumberFormat="1" applyFont="1" applyFill="1" applyBorder="1" applyAlignment="1">
      <alignment horizontal="center" vertical="center" wrapText="1"/>
    </xf>
    <xf numFmtId="0" fontId="20" fillId="0" borderId="0" xfId="0" applyFont="1" applyAlignment="1">
      <alignment vertical="center" wrapText="1"/>
    </xf>
    <xf numFmtId="0" fontId="20" fillId="0" borderId="0" xfId="0" applyFont="1" applyAlignment="1">
      <alignment vertical="top" wrapText="1"/>
    </xf>
    <xf numFmtId="2" fontId="10" fillId="3" borderId="4" xfId="9" applyNumberFormat="1" applyFont="1" applyFill="1" applyBorder="1" applyAlignment="1">
      <alignment horizontal="center" vertical="center" wrapText="1"/>
    </xf>
    <xf numFmtId="1" fontId="10" fillId="3" borderId="4" xfId="9" applyNumberFormat="1" applyFont="1" applyFill="1" applyBorder="1" applyAlignment="1">
      <alignment horizontal="center" vertical="center" wrapText="1"/>
    </xf>
    <xf numFmtId="1" fontId="8" fillId="2" borderId="1" xfId="9" applyNumberFormat="1" applyFont="1" applyFill="1" applyBorder="1" applyAlignment="1">
      <alignment horizontal="center" vertical="center" wrapText="1"/>
    </xf>
    <xf numFmtId="165" fontId="10" fillId="3" borderId="4" xfId="9" applyNumberFormat="1" applyFont="1" applyFill="1" applyBorder="1" applyAlignment="1">
      <alignment horizontal="center" vertical="center" wrapText="1"/>
    </xf>
    <xf numFmtId="0" fontId="22" fillId="0" borderId="0" xfId="0" applyFont="1"/>
    <xf numFmtId="166" fontId="8" fillId="2" borderId="1" xfId="9" applyFont="1" applyFill="1" applyBorder="1" applyAlignment="1">
      <alignment horizontal="center" vertical="center" wrapText="1"/>
    </xf>
    <xf numFmtId="166" fontId="8" fillId="2" borderId="8" xfId="9" applyFont="1" applyFill="1" applyBorder="1" applyAlignment="1">
      <alignment horizontal="center" vertical="center" wrapText="1"/>
    </xf>
    <xf numFmtId="0" fontId="24" fillId="0" borderId="0" xfId="0" applyFont="1"/>
    <xf numFmtId="2" fontId="0" fillId="6" borderId="0" xfId="0" applyNumberFormat="1" applyFill="1" applyAlignment="1">
      <alignment horizontal="center"/>
    </xf>
    <xf numFmtId="166" fontId="8" fillId="2" borderId="5" xfId="9" applyFont="1" applyFill="1" applyBorder="1" applyAlignment="1">
      <alignment horizontal="center" vertical="center" wrapText="1"/>
    </xf>
    <xf numFmtId="0" fontId="23" fillId="0" borderId="0" xfId="0" applyFont="1"/>
    <xf numFmtId="0" fontId="11" fillId="0" borderId="1" xfId="0" applyFont="1" applyBorder="1" applyAlignment="1">
      <alignment horizontal="center"/>
    </xf>
    <xf numFmtId="0" fontId="11" fillId="0" borderId="1" xfId="0" applyFont="1" applyBorder="1" applyAlignment="1">
      <alignment horizontal="center" vertical="center"/>
    </xf>
    <xf numFmtId="0" fontId="0" fillId="0" borderId="11" xfId="0" applyBorder="1"/>
    <xf numFmtId="164" fontId="0" fillId="0" borderId="0" xfId="0" applyNumberFormat="1"/>
    <xf numFmtId="11" fontId="0" fillId="0" borderId="0" xfId="0" applyNumberFormat="1"/>
    <xf numFmtId="1" fontId="0" fillId="0" borderId="0" xfId="0" applyNumberFormat="1"/>
    <xf numFmtId="0" fontId="13" fillId="5" borderId="1" xfId="0" applyFont="1" applyFill="1" applyBorder="1" applyAlignment="1" applyProtection="1">
      <alignment horizontal="center" vertical="center"/>
      <protection locked="0"/>
    </xf>
    <xf numFmtId="168" fontId="10" fillId="3" borderId="1" xfId="9" applyNumberFormat="1" applyFont="1" applyFill="1" applyBorder="1" applyAlignment="1">
      <alignment horizontal="center" vertical="center" wrapText="1"/>
    </xf>
    <xf numFmtId="2" fontId="13" fillId="8" borderId="1" xfId="0" applyNumberFormat="1" applyFont="1" applyFill="1" applyBorder="1" applyAlignment="1" applyProtection="1">
      <alignment horizontal="center" vertical="center"/>
      <protection locked="0"/>
    </xf>
    <xf numFmtId="1" fontId="13" fillId="8" borderId="1" xfId="0" applyNumberFormat="1" applyFont="1" applyFill="1" applyBorder="1" applyAlignment="1" applyProtection="1">
      <alignment horizontal="center" vertical="center"/>
      <protection locked="0"/>
    </xf>
    <xf numFmtId="10" fontId="10" fillId="3" borderId="1" xfId="28" applyNumberFormat="1" applyFont="1" applyFill="1" applyBorder="1" applyAlignment="1">
      <alignment horizontal="center" vertical="center" wrapText="1"/>
    </xf>
    <xf numFmtId="0" fontId="10" fillId="3" borderId="1" xfId="9" applyNumberFormat="1" applyFont="1" applyFill="1" applyBorder="1" applyAlignment="1">
      <alignment horizontal="center" vertical="center" wrapText="1"/>
    </xf>
    <xf numFmtId="166" fontId="2" fillId="2" borderId="1" xfId="9" applyFont="1" applyFill="1" applyBorder="1" applyAlignment="1">
      <alignment horizontal="center" vertical="center" wrapText="1"/>
    </xf>
    <xf numFmtId="0" fontId="24" fillId="0" borderId="0" xfId="0" applyFont="1" applyAlignment="1">
      <alignment horizontal="left"/>
    </xf>
    <xf numFmtId="0" fontId="29" fillId="7" borderId="1" xfId="0" applyFont="1" applyFill="1" applyBorder="1" applyAlignment="1">
      <alignment horizontal="center" vertical="center" wrapText="1"/>
    </xf>
    <xf numFmtId="0" fontId="30" fillId="7" borderId="1" xfId="0" applyFont="1" applyFill="1" applyBorder="1" applyAlignment="1">
      <alignment horizontal="center" vertical="center" wrapText="1"/>
    </xf>
    <xf numFmtId="166" fontId="26" fillId="11" borderId="1" xfId="1" applyFont="1" applyFill="1" applyBorder="1" applyAlignment="1">
      <alignment horizontal="center" vertical="center"/>
    </xf>
    <xf numFmtId="0" fontId="13" fillId="8" borderId="1" xfId="0" applyFont="1" applyFill="1" applyBorder="1" applyAlignment="1" applyProtection="1">
      <alignment horizontal="center" vertical="center"/>
      <protection locked="0"/>
    </xf>
    <xf numFmtId="0" fontId="2" fillId="12" borderId="1" xfId="0" applyFont="1" applyFill="1" applyBorder="1" applyAlignment="1">
      <alignment horizontal="center"/>
    </xf>
    <xf numFmtId="165" fontId="0" fillId="0" borderId="0" xfId="0" applyNumberFormat="1"/>
    <xf numFmtId="2" fontId="14" fillId="13" borderId="1" xfId="1" applyNumberFormat="1" applyFont="1" applyFill="1" applyBorder="1" applyAlignment="1">
      <alignment horizontal="center" vertical="center"/>
    </xf>
    <xf numFmtId="164" fontId="14" fillId="13" borderId="1" xfId="1" applyNumberFormat="1" applyFont="1" applyFill="1" applyBorder="1" applyAlignment="1">
      <alignment horizontal="center" vertical="center"/>
    </xf>
    <xf numFmtId="165" fontId="0" fillId="9" borderId="1" xfId="1" applyNumberFormat="1" applyFont="1" applyFill="1" applyBorder="1" applyAlignment="1">
      <alignment horizontal="center" vertical="center"/>
    </xf>
    <xf numFmtId="165" fontId="0" fillId="15" borderId="1" xfId="1" applyNumberFormat="1" applyFont="1" applyFill="1" applyBorder="1" applyAlignment="1">
      <alignment horizontal="center" vertical="center"/>
    </xf>
    <xf numFmtId="2" fontId="13" fillId="15" borderId="1" xfId="0" applyNumberFormat="1" applyFont="1" applyFill="1" applyBorder="1" applyAlignment="1">
      <alignment horizontal="center"/>
    </xf>
    <xf numFmtId="2" fontId="0" fillId="15" borderId="1" xfId="0" applyNumberFormat="1" applyFill="1" applyBorder="1" applyAlignment="1">
      <alignment horizontal="center"/>
    </xf>
    <xf numFmtId="0" fontId="31" fillId="0" borderId="0" xfId="0" applyFont="1"/>
    <xf numFmtId="0" fontId="24" fillId="8" borderId="3" xfId="0" applyFont="1" applyFill="1" applyBorder="1" applyAlignment="1" applyProtection="1">
      <alignment horizontal="left"/>
      <protection locked="0"/>
    </xf>
    <xf numFmtId="0" fontId="24" fillId="8" borderId="4" xfId="0" applyFont="1" applyFill="1" applyBorder="1" applyAlignment="1" applyProtection="1">
      <alignment horizontal="left"/>
      <protection locked="0"/>
    </xf>
    <xf numFmtId="0" fontId="24" fillId="9" borderId="8" xfId="0" quotePrefix="1" applyFont="1" applyFill="1" applyBorder="1" applyAlignment="1" applyProtection="1">
      <alignment horizontal="left"/>
      <protection locked="0"/>
    </xf>
    <xf numFmtId="0" fontId="25" fillId="15" borderId="8" xfId="0" applyFont="1" applyFill="1" applyBorder="1"/>
    <xf numFmtId="0" fontId="25" fillId="16" borderId="4" xfId="0" applyFont="1" applyFill="1" applyBorder="1"/>
    <xf numFmtId="0" fontId="25" fillId="16" borderId="3" xfId="0" applyFont="1" applyFill="1" applyBorder="1"/>
    <xf numFmtId="0" fontId="32" fillId="0" borderId="0" xfId="0" applyFont="1"/>
    <xf numFmtId="166" fontId="7" fillId="14" borderId="1" xfId="1" applyFont="1" applyFill="1" applyBorder="1" applyAlignment="1">
      <alignment horizontal="center" vertical="center"/>
    </xf>
    <xf numFmtId="0" fontId="33" fillId="15" borderId="1" xfId="0" applyFont="1" applyFill="1" applyBorder="1" applyAlignment="1">
      <alignment horizontal="center" vertical="center"/>
    </xf>
    <xf numFmtId="2" fontId="13" fillId="16" borderId="1" xfId="0" applyNumberFormat="1" applyFont="1" applyFill="1" applyBorder="1" applyAlignment="1" applyProtection="1">
      <alignment horizontal="center" vertical="center"/>
      <protection locked="0"/>
    </xf>
    <xf numFmtId="1" fontId="13" fillId="16" borderId="1" xfId="0" applyNumberFormat="1" applyFont="1" applyFill="1" applyBorder="1" applyAlignment="1" applyProtection="1">
      <alignment horizontal="center" vertical="center"/>
      <protection locked="0"/>
    </xf>
    <xf numFmtId="0" fontId="0" fillId="0" borderId="0" xfId="0" applyProtection="1">
      <protection locked="0"/>
    </xf>
    <xf numFmtId="2" fontId="13" fillId="8" borderId="1" xfId="9" applyNumberFormat="1" applyFont="1" applyFill="1" applyBorder="1" applyAlignment="1" applyProtection="1">
      <alignment horizontal="center" vertical="center" wrapText="1"/>
      <protection locked="0"/>
    </xf>
    <xf numFmtId="0" fontId="2" fillId="2" borderId="1" xfId="0" applyFont="1" applyFill="1" applyBorder="1" applyAlignment="1">
      <alignment vertical="top" wrapText="1"/>
    </xf>
    <xf numFmtId="0" fontId="0" fillId="17" borderId="1" xfId="0" applyFill="1" applyBorder="1" applyAlignment="1">
      <alignment vertical="top" wrapText="1"/>
    </xf>
    <xf numFmtId="0" fontId="37" fillId="2" borderId="1" xfId="0" applyFont="1" applyFill="1" applyBorder="1" applyAlignment="1">
      <alignment horizontal="center" vertical="center" wrapText="1"/>
    </xf>
    <xf numFmtId="14" fontId="24" fillId="10" borderId="1" xfId="0" applyNumberFormat="1" applyFont="1" applyFill="1" applyBorder="1" applyAlignment="1">
      <alignment horizontal="center" vertical="center" wrapText="1"/>
    </xf>
    <xf numFmtId="14" fontId="24" fillId="18" borderId="1" xfId="0" applyNumberFormat="1" applyFont="1" applyFill="1" applyBorder="1" applyAlignment="1">
      <alignment horizontal="center" vertical="center" wrapText="1"/>
    </xf>
    <xf numFmtId="49" fontId="24" fillId="10" borderId="1" xfId="0" quotePrefix="1" applyNumberFormat="1" applyFont="1" applyFill="1" applyBorder="1" applyAlignment="1">
      <alignment horizontal="center" vertical="center" wrapText="1"/>
    </xf>
    <xf numFmtId="49" fontId="24" fillId="10" borderId="1" xfId="0" quotePrefix="1" applyNumberFormat="1" applyFont="1" applyFill="1" applyBorder="1" applyAlignment="1">
      <alignment horizontal="left" vertical="center" wrapText="1"/>
    </xf>
    <xf numFmtId="49" fontId="24" fillId="18" borderId="1" xfId="0" applyNumberFormat="1" applyFont="1" applyFill="1" applyBorder="1" applyAlignment="1">
      <alignment horizontal="center" vertical="center" wrapText="1"/>
    </xf>
    <xf numFmtId="49" fontId="24" fillId="10" borderId="1" xfId="0" applyNumberFormat="1" applyFont="1" applyFill="1" applyBorder="1" applyAlignment="1">
      <alignment horizontal="center" vertical="center" wrapText="1"/>
    </xf>
    <xf numFmtId="49" fontId="24" fillId="18" borderId="1" xfId="0" quotePrefix="1" applyNumberFormat="1" applyFont="1" applyFill="1" applyBorder="1" applyAlignment="1">
      <alignment horizontal="left" vertical="center" wrapText="1"/>
    </xf>
    <xf numFmtId="166" fontId="8" fillId="12" borderId="5" xfId="9" applyFont="1" applyFill="1" applyBorder="1" applyAlignment="1">
      <alignment horizontal="center" vertical="center" wrapText="1"/>
    </xf>
    <xf numFmtId="166" fontId="8" fillId="2" borderId="2" xfId="9" applyFont="1" applyFill="1" applyBorder="1" applyAlignment="1">
      <alignment horizontal="center" vertical="center" wrapText="1"/>
    </xf>
    <xf numFmtId="165" fontId="13" fillId="8" borderId="1" xfId="0" applyNumberFormat="1" applyFont="1" applyFill="1" applyBorder="1" applyAlignment="1" applyProtection="1">
      <alignment horizontal="center" vertical="center"/>
      <protection locked="0"/>
    </xf>
    <xf numFmtId="166" fontId="2" fillId="2" borderId="1" xfId="9" applyFont="1" applyFill="1" applyBorder="1" applyAlignment="1">
      <alignment horizontal="left" vertical="center"/>
    </xf>
    <xf numFmtId="2" fontId="6" fillId="0" borderId="1" xfId="1" applyNumberFormat="1" applyFont="1" applyBorder="1"/>
    <xf numFmtId="0" fontId="6" fillId="0" borderId="1" xfId="1" applyNumberFormat="1" applyFont="1" applyBorder="1"/>
    <xf numFmtId="164" fontId="6" fillId="0" borderId="1" xfId="1" applyNumberFormat="1" applyFont="1" applyBorder="1"/>
    <xf numFmtId="10" fontId="6" fillId="0" borderId="1" xfId="28" applyNumberFormat="1" applyFont="1" applyFill="1" applyBorder="1" applyAlignment="1">
      <alignment horizontal="center"/>
    </xf>
    <xf numFmtId="166" fontId="2" fillId="2" borderId="1" xfId="9" applyFont="1" applyFill="1" applyBorder="1" applyAlignment="1">
      <alignment horizontal="center" vertical="center"/>
    </xf>
    <xf numFmtId="166" fontId="26" fillId="11" borderId="1" xfId="1" applyFont="1" applyFill="1" applyBorder="1" applyAlignment="1">
      <alignment horizontal="left" vertical="center"/>
    </xf>
    <xf numFmtId="0" fontId="33" fillId="15" borderId="3" xfId="0" applyFont="1" applyFill="1" applyBorder="1" applyAlignment="1">
      <alignment horizontal="center" vertical="center"/>
    </xf>
    <xf numFmtId="164" fontId="0" fillId="0" borderId="1" xfId="0" applyNumberFormat="1" applyBorder="1"/>
    <xf numFmtId="1" fontId="0" fillId="0" borderId="1" xfId="0" applyNumberFormat="1" applyBorder="1"/>
    <xf numFmtId="0" fontId="0" fillId="0" borderId="0" xfId="0" applyAlignment="1">
      <alignment vertical="top" wrapText="1"/>
    </xf>
    <xf numFmtId="0" fontId="0" fillId="15" borderId="1" xfId="1" applyNumberFormat="1" applyFont="1" applyFill="1" applyBorder="1" applyAlignment="1">
      <alignment horizontal="center" vertical="center"/>
    </xf>
    <xf numFmtId="0" fontId="13" fillId="0" borderId="0" xfId="0" applyFont="1"/>
    <xf numFmtId="0" fontId="0" fillId="0" borderId="0" xfId="0" applyAlignment="1">
      <alignment vertical="center"/>
    </xf>
    <xf numFmtId="164" fontId="13" fillId="8" borderId="1" xfId="0" applyNumberFormat="1" applyFont="1" applyFill="1" applyBorder="1" applyAlignment="1" applyProtection="1">
      <alignment horizontal="center" vertical="center"/>
      <protection locked="0"/>
    </xf>
    <xf numFmtId="166" fontId="26" fillId="11" borderId="1" xfId="1" applyFont="1" applyFill="1" applyBorder="1" applyAlignment="1">
      <alignment horizontal="right" vertical="center"/>
    </xf>
    <xf numFmtId="0" fontId="13" fillId="8" borderId="5" xfId="0" applyFont="1" applyFill="1" applyBorder="1" applyAlignment="1" applyProtection="1">
      <alignment horizontal="left" vertical="center"/>
      <protection locked="0"/>
    </xf>
    <xf numFmtId="0" fontId="13" fillId="8" borderId="6" xfId="0" applyFont="1" applyFill="1" applyBorder="1" applyAlignment="1">
      <alignment horizontal="left" vertical="center"/>
    </xf>
    <xf numFmtId="0" fontId="13" fillId="8" borderId="2" xfId="0" applyFont="1" applyFill="1" applyBorder="1" applyAlignment="1">
      <alignment horizontal="left" vertical="center"/>
    </xf>
    <xf numFmtId="168" fontId="13" fillId="8" borderId="1" xfId="0" applyNumberFormat="1" applyFont="1" applyFill="1" applyBorder="1" applyAlignment="1" applyProtection="1">
      <alignment horizontal="center" vertical="center"/>
      <protection locked="0"/>
    </xf>
    <xf numFmtId="0" fontId="0" fillId="0" borderId="0" xfId="0" quotePrefix="1"/>
    <xf numFmtId="2" fontId="33" fillId="8" borderId="1" xfId="0" applyNumberFormat="1" applyFont="1" applyFill="1" applyBorder="1" applyAlignment="1" applyProtection="1">
      <alignment horizontal="center" vertical="center"/>
      <protection locked="0"/>
    </xf>
    <xf numFmtId="166" fontId="2" fillId="11" borderId="1" xfId="1" applyFont="1" applyFill="1" applyBorder="1" applyAlignment="1">
      <alignment horizontal="center" vertical="center"/>
    </xf>
    <xf numFmtId="167" fontId="42" fillId="11" borderId="1" xfId="1" applyNumberFormat="1" applyFont="1" applyFill="1" applyBorder="1" applyAlignment="1">
      <alignment horizontal="center" vertical="center"/>
    </xf>
    <xf numFmtId="2" fontId="13" fillId="14" borderId="1" xfId="1" applyNumberFormat="1" applyFont="1" applyFill="1" applyBorder="1" applyAlignment="1">
      <alignment horizontal="center" vertical="center"/>
    </xf>
    <xf numFmtId="164" fontId="13" fillId="14" borderId="1" xfId="1" applyNumberFormat="1" applyFont="1" applyFill="1" applyBorder="1" applyAlignment="1">
      <alignment horizontal="center" vertical="center"/>
    </xf>
    <xf numFmtId="0" fontId="13" fillId="14" borderId="1" xfId="1" applyNumberFormat="1" applyFont="1" applyFill="1" applyBorder="1" applyAlignment="1">
      <alignment horizontal="center" vertical="center"/>
    </xf>
    <xf numFmtId="1" fontId="13" fillId="8" borderId="1" xfId="9" applyNumberFormat="1" applyFont="1" applyFill="1" applyBorder="1" applyAlignment="1" applyProtection="1">
      <alignment horizontal="center" vertical="center" wrapText="1"/>
      <protection locked="0"/>
    </xf>
    <xf numFmtId="1" fontId="33" fillId="8" borderId="1" xfId="9" applyNumberFormat="1" applyFont="1" applyFill="1" applyBorder="1" applyAlignment="1" applyProtection="1">
      <alignment horizontal="center" vertical="center" wrapText="1"/>
      <protection locked="0"/>
    </xf>
    <xf numFmtId="166" fontId="44" fillId="12" borderId="4" xfId="9" applyFont="1" applyFill="1" applyBorder="1" applyAlignment="1">
      <alignment horizontal="center" vertical="center" wrapText="1"/>
    </xf>
    <xf numFmtId="2" fontId="0" fillId="0" borderId="0" xfId="0" applyNumberFormat="1" applyAlignment="1">
      <alignment horizontal="center"/>
    </xf>
    <xf numFmtId="2" fontId="10" fillId="0" borderId="1" xfId="9" applyNumberFormat="1" applyFont="1" applyBorder="1" applyAlignment="1">
      <alignment horizontal="center" vertical="center" wrapText="1"/>
    </xf>
    <xf numFmtId="0" fontId="11" fillId="0" borderId="1" xfId="0" applyFont="1" applyBorder="1" applyAlignment="1" applyProtection="1">
      <alignment horizontal="center" vertical="center"/>
      <protection locked="0"/>
    </xf>
    <xf numFmtId="0" fontId="0" fillId="8" borderId="9" xfId="0" applyFill="1" applyBorder="1" applyAlignment="1" applyProtection="1">
      <alignment horizontal="left"/>
      <protection locked="0"/>
    </xf>
    <xf numFmtId="0" fontId="0" fillId="8" borderId="3" xfId="0" applyFill="1" applyBorder="1" applyAlignment="1" applyProtection="1">
      <alignment horizontal="left"/>
      <protection locked="0"/>
    </xf>
    <xf numFmtId="0" fontId="0" fillId="9" borderId="0" xfId="0" applyFill="1" applyAlignment="1" applyProtection="1">
      <alignment horizontal="left"/>
      <protection locked="0"/>
    </xf>
    <xf numFmtId="2" fontId="0" fillId="9" borderId="8" xfId="0" applyNumberFormat="1" applyFill="1" applyBorder="1" applyAlignment="1" applyProtection="1">
      <alignment horizontal="left"/>
      <protection locked="0"/>
    </xf>
    <xf numFmtId="0" fontId="0" fillId="9" borderId="4" xfId="0" applyFill="1" applyBorder="1" applyAlignment="1" applyProtection="1">
      <alignment horizontal="left"/>
      <protection locked="0"/>
    </xf>
    <xf numFmtId="0" fontId="0" fillId="9" borderId="8" xfId="0" applyFill="1" applyBorder="1" applyAlignment="1" applyProtection="1">
      <alignment horizontal="left"/>
      <protection locked="0"/>
    </xf>
    <xf numFmtId="0" fontId="0" fillId="8" borderId="0" xfId="0" applyFill="1" applyAlignment="1" applyProtection="1">
      <alignment horizontal="left"/>
      <protection locked="0"/>
    </xf>
    <xf numFmtId="0" fontId="0" fillId="8" borderId="8" xfId="0" applyFill="1" applyBorder="1" applyAlignment="1" applyProtection="1">
      <alignment horizontal="left"/>
      <protection locked="0"/>
    </xf>
    <xf numFmtId="0" fontId="0" fillId="9" borderId="8" xfId="0" quotePrefix="1" applyFill="1" applyBorder="1" applyAlignment="1" applyProtection="1">
      <alignment horizontal="left"/>
      <protection locked="0"/>
    </xf>
    <xf numFmtId="0" fontId="0" fillId="8" borderId="4" xfId="0" applyFill="1" applyBorder="1" applyAlignment="1" applyProtection="1">
      <alignment horizontal="left"/>
      <protection locked="0"/>
    </xf>
    <xf numFmtId="2" fontId="0" fillId="8" borderId="11" xfId="0" applyNumberFormat="1" applyFill="1" applyBorder="1" applyAlignment="1" applyProtection="1">
      <alignment horizontal="left"/>
      <protection locked="0"/>
    </xf>
    <xf numFmtId="0" fontId="0" fillId="8" borderId="1" xfId="0" applyFill="1" applyBorder="1" applyProtection="1">
      <protection locked="0"/>
    </xf>
    <xf numFmtId="0" fontId="0" fillId="9" borderId="11" xfId="0" quotePrefix="1" applyFill="1" applyBorder="1" applyAlignment="1" applyProtection="1">
      <alignment horizontal="left"/>
      <protection locked="0"/>
    </xf>
    <xf numFmtId="0" fontId="0" fillId="8" borderId="12" xfId="0" applyFill="1" applyBorder="1" applyAlignment="1" applyProtection="1">
      <alignment horizontal="left"/>
      <protection locked="0"/>
    </xf>
    <xf numFmtId="0" fontId="0" fillId="9" borderId="7" xfId="0" applyFill="1" applyBorder="1" applyAlignment="1" applyProtection="1">
      <alignment horizontal="left"/>
      <protection locked="0"/>
    </xf>
    <xf numFmtId="0" fontId="0" fillId="8" borderId="7" xfId="0" quotePrefix="1" applyFill="1" applyBorder="1" applyAlignment="1" applyProtection="1">
      <alignment horizontal="left"/>
      <protection locked="0"/>
    </xf>
    <xf numFmtId="0" fontId="0" fillId="9" borderId="14" xfId="0" applyFill="1" applyBorder="1" applyAlignment="1" applyProtection="1">
      <alignment horizontal="left"/>
      <protection locked="0"/>
    </xf>
    <xf numFmtId="2" fontId="0" fillId="8" borderId="12" xfId="0" applyNumberFormat="1" applyFill="1" applyBorder="1" applyAlignment="1" applyProtection="1">
      <alignment horizontal="left"/>
      <protection locked="0"/>
    </xf>
    <xf numFmtId="2" fontId="0" fillId="9" borderId="7" xfId="0" applyNumberFormat="1" applyFill="1" applyBorder="1" applyAlignment="1" applyProtection="1">
      <alignment horizontal="left"/>
      <protection locked="0"/>
    </xf>
    <xf numFmtId="2" fontId="0" fillId="8" borderId="0" xfId="0" applyNumberFormat="1" applyFill="1" applyAlignment="1" applyProtection="1">
      <alignment horizontal="left"/>
      <protection locked="0"/>
    </xf>
    <xf numFmtId="2" fontId="0" fillId="9" borderId="0" xfId="0" applyNumberFormat="1" applyFill="1" applyAlignment="1" applyProtection="1">
      <alignment horizontal="left"/>
      <protection locked="0"/>
    </xf>
    <xf numFmtId="2" fontId="0" fillId="9" borderId="14" xfId="0" applyNumberFormat="1" applyFill="1" applyBorder="1" applyAlignment="1" applyProtection="1">
      <alignment horizontal="left"/>
      <protection locked="0"/>
    </xf>
    <xf numFmtId="2" fontId="0" fillId="8" borderId="7" xfId="0" applyNumberFormat="1" applyFill="1" applyBorder="1" applyAlignment="1" applyProtection="1">
      <alignment horizontal="left"/>
      <protection locked="0"/>
    </xf>
    <xf numFmtId="0" fontId="0" fillId="8" borderId="7" xfId="0" applyFill="1" applyBorder="1" applyAlignment="1" applyProtection="1">
      <alignment horizontal="left"/>
      <protection locked="0"/>
    </xf>
    <xf numFmtId="11" fontId="0" fillId="9" borderId="7" xfId="0" applyNumberFormat="1" applyFill="1" applyBorder="1" applyAlignment="1" applyProtection="1">
      <alignment horizontal="left"/>
      <protection locked="0"/>
    </xf>
    <xf numFmtId="164" fontId="0" fillId="9" borderId="7" xfId="0" applyNumberFormat="1" applyFill="1" applyBorder="1" applyAlignment="1" applyProtection="1">
      <alignment horizontal="left"/>
      <protection locked="0"/>
    </xf>
    <xf numFmtId="164" fontId="0" fillId="8" borderId="11" xfId="0" applyNumberFormat="1" applyFill="1" applyBorder="1" applyAlignment="1" applyProtection="1">
      <alignment horizontal="left"/>
      <protection locked="0"/>
    </xf>
    <xf numFmtId="0" fontId="0" fillId="8" borderId="12" xfId="28" applyNumberFormat="1" applyFont="1" applyFill="1" applyBorder="1" applyAlignment="1" applyProtection="1">
      <alignment horizontal="left"/>
      <protection locked="0"/>
    </xf>
    <xf numFmtId="0" fontId="0" fillId="9" borderId="8" xfId="0" applyFill="1" applyBorder="1" applyProtection="1">
      <protection locked="0"/>
    </xf>
    <xf numFmtId="0" fontId="0" fillId="8" borderId="3" xfId="0" applyFill="1" applyBorder="1" applyProtection="1">
      <protection locked="0"/>
    </xf>
    <xf numFmtId="0" fontId="0" fillId="8" borderId="8" xfId="0" applyFill="1" applyBorder="1" applyProtection="1">
      <protection locked="0"/>
    </xf>
    <xf numFmtId="0" fontId="0" fillId="9" borderId="4" xfId="0" applyFill="1" applyBorder="1" applyProtection="1">
      <protection locked="0"/>
    </xf>
    <xf numFmtId="0" fontId="0" fillId="0" borderId="16" xfId="0" applyBorder="1"/>
    <xf numFmtId="0" fontId="0" fillId="0" borderId="17" xfId="0" applyBorder="1"/>
    <xf numFmtId="0" fontId="46" fillId="0" borderId="0" xfId="0" applyFont="1"/>
    <xf numFmtId="0" fontId="23" fillId="16" borderId="1" xfId="0" applyFont="1" applyFill="1" applyBorder="1"/>
    <xf numFmtId="0" fontId="23" fillId="16" borderId="12" xfId="0" applyFont="1" applyFill="1" applyBorder="1"/>
    <xf numFmtId="0" fontId="23" fillId="16" borderId="3" xfId="0" applyFont="1" applyFill="1" applyBorder="1"/>
    <xf numFmtId="0" fontId="23" fillId="15" borderId="7" xfId="0" applyFont="1" applyFill="1" applyBorder="1"/>
    <xf numFmtId="0" fontId="23" fillId="15" borderId="14" xfId="0" applyFont="1" applyFill="1" applyBorder="1"/>
    <xf numFmtId="0" fontId="23" fillId="15" borderId="8" xfId="0" applyFont="1" applyFill="1" applyBorder="1"/>
    <xf numFmtId="0" fontId="23" fillId="16" borderId="8" xfId="0" applyFont="1" applyFill="1" applyBorder="1"/>
    <xf numFmtId="0" fontId="0" fillId="16" borderId="13" xfId="0" applyFill="1" applyBorder="1" applyAlignment="1">
      <alignment horizontal="left"/>
    </xf>
    <xf numFmtId="0" fontId="23" fillId="16" borderId="14" xfId="0" applyFont="1" applyFill="1" applyBorder="1"/>
    <xf numFmtId="0" fontId="0" fillId="15" borderId="10" xfId="0" applyFill="1" applyBorder="1" applyAlignment="1">
      <alignment horizontal="left"/>
    </xf>
    <xf numFmtId="0" fontId="0" fillId="16" borderId="10" xfId="0" applyFill="1" applyBorder="1" applyAlignment="1">
      <alignment horizontal="left"/>
    </xf>
    <xf numFmtId="0" fontId="23" fillId="15" borderId="4" xfId="0" applyFont="1" applyFill="1" applyBorder="1"/>
    <xf numFmtId="0" fontId="23" fillId="16" borderId="4" xfId="0" applyFont="1" applyFill="1" applyBorder="1"/>
    <xf numFmtId="0" fontId="0" fillId="16" borderId="15" xfId="0" applyFill="1" applyBorder="1" applyAlignment="1">
      <alignment horizontal="left"/>
    </xf>
    <xf numFmtId="0" fontId="0" fillId="15" borderId="15" xfId="0" quotePrefix="1" applyFill="1" applyBorder="1" applyAlignment="1">
      <alignment horizontal="left"/>
    </xf>
    <xf numFmtId="14" fontId="0" fillId="16" borderId="10" xfId="0" quotePrefix="1" applyNumberFormat="1" applyFill="1" applyBorder="1" applyAlignment="1">
      <alignment horizontal="left"/>
    </xf>
    <xf numFmtId="0" fontId="0" fillId="15" borderId="15" xfId="0" applyFill="1" applyBorder="1" applyAlignment="1">
      <alignment horizontal="left"/>
    </xf>
    <xf numFmtId="0" fontId="23" fillId="16" borderId="7" xfId="0" applyFont="1" applyFill="1" applyBorder="1"/>
    <xf numFmtId="11" fontId="0" fillId="16" borderId="7" xfId="0" applyNumberFormat="1" applyFill="1" applyBorder="1" applyAlignment="1">
      <alignment horizontal="left"/>
    </xf>
    <xf numFmtId="164" fontId="13" fillId="15" borderId="7" xfId="0" applyNumberFormat="1" applyFont="1" applyFill="1" applyBorder="1" applyAlignment="1">
      <alignment horizontal="left"/>
    </xf>
    <xf numFmtId="164" fontId="0" fillId="16" borderId="7" xfId="0" applyNumberFormat="1" applyFill="1" applyBorder="1" applyAlignment="1">
      <alignment horizontal="left"/>
    </xf>
    <xf numFmtId="14" fontId="0" fillId="16" borderId="15" xfId="0" quotePrefix="1" applyNumberFormat="1" applyFill="1" applyBorder="1" applyAlignment="1">
      <alignment horizontal="left"/>
    </xf>
    <xf numFmtId="0" fontId="13" fillId="15" borderId="7" xfId="0" applyFont="1" applyFill="1" applyBorder="1" applyAlignment="1">
      <alignment horizontal="left"/>
    </xf>
    <xf numFmtId="168" fontId="0" fillId="16" borderId="7" xfId="0" applyNumberFormat="1" applyFill="1" applyBorder="1" applyAlignment="1">
      <alignment horizontal="left"/>
    </xf>
    <xf numFmtId="168" fontId="13" fillId="15" borderId="7" xfId="0" applyNumberFormat="1" applyFont="1" applyFill="1" applyBorder="1" applyAlignment="1">
      <alignment horizontal="left"/>
    </xf>
    <xf numFmtId="168" fontId="0" fillId="16" borderId="14" xfId="0" applyNumberFormat="1" applyFill="1" applyBorder="1" applyAlignment="1">
      <alignment horizontal="left"/>
    </xf>
    <xf numFmtId="0" fontId="0" fillId="8" borderId="1" xfId="0" applyFill="1" applyBorder="1" applyAlignment="1" applyProtection="1">
      <alignment horizontal="left"/>
      <protection locked="0"/>
    </xf>
    <xf numFmtId="0" fontId="0" fillId="19" borderId="0" xfId="0" applyFill="1"/>
    <xf numFmtId="0" fontId="0" fillId="9" borderId="0" xfId="0" applyFill="1"/>
    <xf numFmtId="0" fontId="0" fillId="9" borderId="0" xfId="0" applyFill="1" applyAlignment="1">
      <alignment horizontal="center"/>
    </xf>
    <xf numFmtId="166" fontId="8" fillId="2" borderId="5" xfId="9" applyFont="1" applyFill="1" applyBorder="1" applyAlignment="1">
      <alignment vertical="center" wrapText="1"/>
    </xf>
    <xf numFmtId="166" fontId="8" fillId="2" borderId="6" xfId="9" applyFont="1" applyFill="1" applyBorder="1" applyAlignment="1">
      <alignment vertical="center" wrapText="1"/>
    </xf>
    <xf numFmtId="166" fontId="8" fillId="2" borderId="2" xfId="9" applyFont="1" applyFill="1" applyBorder="1" applyAlignment="1">
      <alignment vertical="center" wrapText="1"/>
    </xf>
    <xf numFmtId="166" fontId="8" fillId="2" borderId="1" xfId="9" applyFont="1" applyFill="1" applyBorder="1" applyAlignment="1">
      <alignment vertical="center" wrapText="1"/>
    </xf>
    <xf numFmtId="166" fontId="8" fillId="2" borderId="5" xfId="9" applyFont="1" applyFill="1" applyBorder="1" applyAlignment="1">
      <alignment vertical="center"/>
    </xf>
    <xf numFmtId="2" fontId="10" fillId="19" borderId="1" xfId="9" applyNumberFormat="1" applyFont="1" applyFill="1" applyBorder="1" applyAlignment="1">
      <alignment horizontal="center" vertical="center" wrapText="1"/>
    </xf>
    <xf numFmtId="2" fontId="0" fillId="0" borderId="0" xfId="1" applyNumberFormat="1" applyFont="1" applyAlignment="1">
      <alignment horizontal="center" vertical="center"/>
    </xf>
    <xf numFmtId="164" fontId="10" fillId="19" borderId="1" xfId="9" applyNumberFormat="1" applyFont="1" applyFill="1" applyBorder="1" applyAlignment="1">
      <alignment horizontal="center" vertical="center" wrapText="1"/>
    </xf>
    <xf numFmtId="0" fontId="21" fillId="0" borderId="0" xfId="0" applyFont="1" applyAlignment="1">
      <alignment vertical="top" wrapText="1"/>
    </xf>
    <xf numFmtId="2" fontId="10" fillId="0" borderId="0" xfId="9" applyNumberFormat="1" applyFont="1" applyAlignment="1">
      <alignment horizontal="center" vertical="center" wrapText="1"/>
    </xf>
    <xf numFmtId="1" fontId="10" fillId="0" borderId="0" xfId="9" applyNumberFormat="1" applyFont="1" applyAlignment="1">
      <alignment horizontal="center" vertical="center" wrapText="1"/>
    </xf>
    <xf numFmtId="2" fontId="24" fillId="0" borderId="0" xfId="0" applyNumberFormat="1" applyFont="1"/>
    <xf numFmtId="0" fontId="24" fillId="20" borderId="0" xfId="0" applyFont="1" applyFill="1"/>
    <xf numFmtId="0" fontId="24" fillId="0" borderId="0" xfId="0" applyFont="1" applyAlignment="1">
      <alignment horizontal="left" vertical="center"/>
    </xf>
    <xf numFmtId="0" fontId="24" fillId="0" borderId="0" xfId="0" applyFont="1" applyAlignment="1">
      <alignment vertical="center"/>
    </xf>
    <xf numFmtId="0" fontId="24" fillId="20" borderId="0" xfId="0" applyFont="1" applyFill="1" applyAlignment="1">
      <alignment horizontal="left" vertical="center"/>
    </xf>
    <xf numFmtId="0" fontId="24" fillId="20" borderId="0" xfId="0" applyFont="1" applyFill="1" applyAlignment="1">
      <alignment vertical="center"/>
    </xf>
    <xf numFmtId="0" fontId="50" fillId="0" borderId="0" xfId="0" applyFont="1"/>
    <xf numFmtId="2" fontId="24" fillId="0" borderId="0" xfId="0" applyNumberFormat="1" applyFont="1" applyAlignment="1">
      <alignment horizontal="center"/>
    </xf>
    <xf numFmtId="0" fontId="24" fillId="21" borderId="0" xfId="0" applyFont="1" applyFill="1" applyAlignment="1">
      <alignment vertical="center"/>
    </xf>
    <xf numFmtId="2" fontId="0" fillId="4" borderId="0" xfId="1" applyNumberFormat="1" applyFont="1" applyFill="1" applyAlignment="1">
      <alignment horizontal="center" vertical="center"/>
    </xf>
    <xf numFmtId="1" fontId="0" fillId="4" borderId="0" xfId="1" applyNumberFormat="1" applyFont="1" applyFill="1" applyAlignment="1">
      <alignment horizontal="center" vertical="center"/>
    </xf>
    <xf numFmtId="0" fontId="24" fillId="21" borderId="0" xfId="0" applyFont="1" applyFill="1"/>
    <xf numFmtId="0" fontId="24" fillId="0" borderId="0" xfId="0" applyFont="1" applyAlignment="1">
      <alignment horizontal="center"/>
    </xf>
    <xf numFmtId="0" fontId="22" fillId="0" borderId="0" xfId="0" applyFont="1" applyAlignment="1">
      <alignment vertical="center"/>
    </xf>
    <xf numFmtId="0" fontId="11" fillId="0" borderId="0" xfId="0" applyFont="1"/>
    <xf numFmtId="0" fontId="11" fillId="0" borderId="0" xfId="0" applyFont="1" applyAlignment="1">
      <alignment vertical="center"/>
    </xf>
    <xf numFmtId="0" fontId="24" fillId="0" borderId="0" xfId="0" applyFont="1" applyAlignment="1">
      <alignment horizontal="center" vertical="center"/>
    </xf>
    <xf numFmtId="0" fontId="51" fillId="20" borderId="0" xfId="0" applyFont="1" applyFill="1"/>
    <xf numFmtId="0" fontId="51" fillId="3" borderId="0" xfId="0" applyFont="1" applyFill="1"/>
    <xf numFmtId="0" fontId="51" fillId="21" borderId="0" xfId="0" applyFont="1" applyFill="1"/>
    <xf numFmtId="0" fontId="51" fillId="0" borderId="0" xfId="0" applyFont="1"/>
    <xf numFmtId="165" fontId="24" fillId="0" borderId="0" xfId="0" applyNumberFormat="1" applyFont="1" applyAlignment="1">
      <alignment horizontal="center"/>
    </xf>
    <xf numFmtId="1" fontId="10" fillId="19" borderId="1" xfId="9" applyNumberFormat="1" applyFont="1" applyFill="1" applyBorder="1" applyAlignment="1">
      <alignment horizontal="center" vertical="center" wrapText="1"/>
    </xf>
    <xf numFmtId="2" fontId="13" fillId="15" borderId="1" xfId="0" applyNumberFormat="1" applyFont="1" applyFill="1" applyBorder="1" applyAlignment="1">
      <alignment horizontal="center" vertical="center"/>
    </xf>
    <xf numFmtId="1" fontId="16" fillId="0" borderId="1" xfId="9" applyNumberFormat="1" applyFont="1" applyBorder="1" applyAlignment="1">
      <alignment horizontal="center" vertical="center" wrapText="1"/>
    </xf>
    <xf numFmtId="2" fontId="10" fillId="0" borderId="4" xfId="9" applyNumberFormat="1" applyFont="1" applyBorder="1" applyAlignment="1">
      <alignment horizontal="center" vertical="center" wrapText="1"/>
    </xf>
    <xf numFmtId="164" fontId="10" fillId="0" borderId="1" xfId="9" applyNumberFormat="1" applyFont="1" applyBorder="1" applyAlignment="1">
      <alignment horizontal="center" vertical="center" wrapText="1"/>
    </xf>
    <xf numFmtId="0" fontId="0" fillId="22" borderId="0" xfId="0" applyFill="1"/>
    <xf numFmtId="0" fontId="2" fillId="22" borderId="0" xfId="0" applyFont="1" applyFill="1" applyAlignment="1">
      <alignment horizontal="center"/>
    </xf>
    <xf numFmtId="0" fontId="52" fillId="8" borderId="0" xfId="0" applyFont="1" applyFill="1"/>
    <xf numFmtId="0" fontId="54" fillId="0" borderId="0" xfId="0" applyFont="1" applyProtection="1">
      <protection locked="0"/>
    </xf>
    <xf numFmtId="0" fontId="37" fillId="2" borderId="5" xfId="0" applyFont="1" applyFill="1" applyBorder="1" applyAlignment="1">
      <alignment horizontal="center" vertical="center" wrapText="1"/>
    </xf>
    <xf numFmtId="0" fontId="37" fillId="2" borderId="6" xfId="0" applyFont="1" applyFill="1" applyBorder="1" applyAlignment="1">
      <alignment horizontal="center" vertical="center" wrapText="1"/>
    </xf>
    <xf numFmtId="0" fontId="37" fillId="2" borderId="2" xfId="0" applyFont="1" applyFill="1" applyBorder="1" applyAlignment="1">
      <alignment horizontal="center" vertical="center" wrapText="1"/>
    </xf>
    <xf numFmtId="0" fontId="0" fillId="8" borderId="12" xfId="0" applyFill="1" applyBorder="1" applyAlignment="1" applyProtection="1">
      <alignment horizontal="left"/>
      <protection locked="0"/>
    </xf>
    <xf numFmtId="0" fontId="0" fillId="8" borderId="13" xfId="0" applyFill="1" applyBorder="1" applyAlignment="1" applyProtection="1">
      <alignment horizontal="left"/>
      <protection locked="0"/>
    </xf>
    <xf numFmtId="0" fontId="0" fillId="9" borderId="14" xfId="0" applyFill="1" applyBorder="1" applyAlignment="1" applyProtection="1">
      <alignment horizontal="left"/>
      <protection locked="0"/>
    </xf>
    <xf numFmtId="0" fontId="0" fillId="9" borderId="15" xfId="0" applyFill="1" applyBorder="1" applyAlignment="1" applyProtection="1">
      <alignment horizontal="left"/>
      <protection locked="0"/>
    </xf>
    <xf numFmtId="166" fontId="2" fillId="11" borderId="3" xfId="1" applyFont="1" applyFill="1" applyBorder="1" applyAlignment="1">
      <alignment horizontal="center" vertical="center" wrapText="1"/>
    </xf>
    <xf numFmtId="166" fontId="2" fillId="11" borderId="4" xfId="1" applyFont="1" applyFill="1" applyBorder="1" applyAlignment="1">
      <alignment horizontal="center" vertical="center" wrapText="1"/>
    </xf>
    <xf numFmtId="166" fontId="2" fillId="11" borderId="3" xfId="1" applyFont="1" applyFill="1" applyBorder="1" applyAlignment="1">
      <alignment horizontal="center" vertical="center"/>
    </xf>
    <xf numFmtId="166" fontId="2" fillId="11" borderId="4" xfId="1" applyFont="1" applyFill="1" applyBorder="1" applyAlignment="1">
      <alignment horizontal="center" vertical="center"/>
    </xf>
    <xf numFmtId="0" fontId="2" fillId="12" borderId="5" xfId="0" applyFont="1" applyFill="1" applyBorder="1" applyAlignment="1">
      <alignment horizontal="center"/>
    </xf>
    <xf numFmtId="0" fontId="2" fillId="12" borderId="2" xfId="0" applyFont="1" applyFill="1" applyBorder="1" applyAlignment="1">
      <alignment horizontal="center"/>
    </xf>
    <xf numFmtId="166" fontId="2" fillId="11" borderId="1" xfId="1" applyFont="1" applyFill="1" applyBorder="1" applyAlignment="1">
      <alignment horizontal="center" vertical="center" wrapText="1"/>
    </xf>
    <xf numFmtId="166" fontId="44" fillId="12" borderId="3" xfId="9" applyFont="1" applyFill="1" applyBorder="1" applyAlignment="1">
      <alignment horizontal="center" vertical="center" wrapText="1"/>
    </xf>
    <xf numFmtId="166" fontId="44" fillId="12" borderId="8" xfId="9" applyFont="1" applyFill="1" applyBorder="1" applyAlignment="1">
      <alignment horizontal="center" vertical="center" wrapText="1"/>
    </xf>
    <xf numFmtId="166" fontId="44" fillId="12" borderId="4" xfId="9" applyFont="1" applyFill="1" applyBorder="1" applyAlignment="1">
      <alignment horizontal="center" vertical="center" wrapText="1"/>
    </xf>
    <xf numFmtId="0" fontId="2" fillId="12" borderId="6" xfId="0" applyFont="1" applyFill="1" applyBorder="1" applyAlignment="1">
      <alignment horizontal="center"/>
    </xf>
    <xf numFmtId="166" fontId="2" fillId="12" borderId="1" xfId="9" applyFont="1" applyFill="1" applyBorder="1" applyAlignment="1">
      <alignment horizontal="center" vertical="center" wrapText="1"/>
    </xf>
    <xf numFmtId="0" fontId="38" fillId="0" borderId="0" xfId="0" applyFont="1"/>
    <xf numFmtId="0" fontId="39" fillId="0" borderId="0" xfId="0" applyFont="1"/>
    <xf numFmtId="0" fontId="2" fillId="12" borderId="5" xfId="0" applyFont="1" applyFill="1" applyBorder="1" applyAlignment="1">
      <alignment horizontal="left"/>
    </xf>
    <xf numFmtId="0" fontId="2" fillId="12" borderId="6" xfId="0" applyFont="1" applyFill="1" applyBorder="1" applyAlignment="1">
      <alignment horizontal="left"/>
    </xf>
    <xf numFmtId="0" fontId="13" fillId="8" borderId="1" xfId="0" applyFont="1" applyFill="1" applyBorder="1" applyAlignment="1" applyProtection="1">
      <alignment horizontal="center" vertical="center"/>
      <protection locked="0"/>
    </xf>
    <xf numFmtId="166" fontId="26" fillId="11" borderId="1" xfId="1" applyFont="1" applyFill="1" applyBorder="1" applyAlignment="1">
      <alignment horizontal="left" vertical="center"/>
    </xf>
    <xf numFmtId="166" fontId="26" fillId="11" borderId="5" xfId="1" applyFont="1" applyFill="1" applyBorder="1" applyAlignment="1">
      <alignment horizontal="center" vertical="center"/>
    </xf>
    <xf numFmtId="166" fontId="26" fillId="11" borderId="2" xfId="1" applyFont="1" applyFill="1" applyBorder="1" applyAlignment="1">
      <alignment horizontal="center" vertical="center"/>
    </xf>
    <xf numFmtId="166" fontId="26" fillId="11" borderId="5" xfId="1" applyFont="1" applyFill="1" applyBorder="1" applyAlignment="1">
      <alignment horizontal="left" vertical="center"/>
    </xf>
    <xf numFmtId="166" fontId="26" fillId="11" borderId="6" xfId="1" applyFont="1" applyFill="1" applyBorder="1" applyAlignment="1">
      <alignment horizontal="left" vertical="center"/>
    </xf>
    <xf numFmtId="166" fontId="26" fillId="11" borderId="2" xfId="1" applyFont="1" applyFill="1" applyBorder="1" applyAlignment="1">
      <alignment horizontal="left" vertical="center"/>
    </xf>
    <xf numFmtId="0" fontId="33" fillId="15" borderId="1" xfId="0" applyFont="1" applyFill="1" applyBorder="1" applyAlignment="1">
      <alignment horizontal="center"/>
    </xf>
    <xf numFmtId="0" fontId="33" fillId="15" borderId="12" xfId="0" applyFont="1" applyFill="1" applyBorder="1" applyAlignment="1">
      <alignment horizontal="center"/>
    </xf>
    <xf numFmtId="0" fontId="33" fillId="15" borderId="9" xfId="0" applyFont="1" applyFill="1" applyBorder="1" applyAlignment="1">
      <alignment horizontal="center"/>
    </xf>
    <xf numFmtId="0" fontId="33" fillId="15" borderId="13" xfId="0" applyFont="1" applyFill="1" applyBorder="1" applyAlignment="1">
      <alignment horizontal="center"/>
    </xf>
    <xf numFmtId="0" fontId="13" fillId="15" borderId="14" xfId="0" applyFont="1" applyFill="1" applyBorder="1" applyAlignment="1">
      <alignment horizontal="center"/>
    </xf>
    <xf numFmtId="0" fontId="13" fillId="15" borderId="11" xfId="0" applyFont="1" applyFill="1" applyBorder="1" applyAlignment="1">
      <alignment horizontal="center"/>
    </xf>
    <xf numFmtId="0" fontId="13" fillId="15" borderId="15" xfId="0" applyFont="1" applyFill="1" applyBorder="1" applyAlignment="1">
      <alignment horizontal="center"/>
    </xf>
    <xf numFmtId="1" fontId="0" fillId="0" borderId="11" xfId="0" applyNumberFormat="1" applyBorder="1" applyAlignment="1">
      <alignment horizontal="center"/>
    </xf>
    <xf numFmtId="0" fontId="8" fillId="2" borderId="6" xfId="0" applyFont="1" applyFill="1" applyBorder="1" applyAlignment="1">
      <alignment horizontal="center" vertical="center"/>
    </xf>
    <xf numFmtId="0" fontId="8" fillId="7" borderId="5" xfId="0" applyFont="1" applyFill="1" applyBorder="1" applyAlignment="1">
      <alignment horizontal="center" vertical="center" wrapText="1"/>
    </xf>
    <xf numFmtId="0" fontId="8" fillId="7" borderId="6" xfId="0" applyFont="1" applyFill="1" applyBorder="1" applyAlignment="1">
      <alignment horizontal="center" vertical="center" wrapText="1"/>
    </xf>
    <xf numFmtId="0" fontId="8" fillId="7" borderId="2" xfId="0" applyFont="1" applyFill="1" applyBorder="1" applyAlignment="1">
      <alignment horizontal="center" vertical="center" wrapText="1"/>
    </xf>
    <xf numFmtId="0" fontId="8" fillId="2" borderId="5" xfId="0" applyFont="1" applyFill="1" applyBorder="1" applyAlignment="1">
      <alignment horizontal="center" vertical="center"/>
    </xf>
    <xf numFmtId="0" fontId="0" fillId="15" borderId="12" xfId="1" applyNumberFormat="1" applyFont="1" applyFill="1" applyBorder="1" applyAlignment="1">
      <alignment horizontal="left" vertical="top" wrapText="1"/>
    </xf>
    <xf numFmtId="0" fontId="0" fillId="15" borderId="9" xfId="1" applyNumberFormat="1" applyFont="1" applyFill="1" applyBorder="1" applyAlignment="1">
      <alignment horizontal="left" vertical="top" wrapText="1"/>
    </xf>
    <xf numFmtId="0" fontId="0" fillId="15" borderId="13" xfId="1" applyNumberFormat="1" applyFont="1" applyFill="1" applyBorder="1" applyAlignment="1">
      <alignment horizontal="left" vertical="top" wrapText="1"/>
    </xf>
    <xf numFmtId="0" fontId="0" fillId="15" borderId="7" xfId="1" applyNumberFormat="1" applyFont="1" applyFill="1" applyBorder="1" applyAlignment="1">
      <alignment horizontal="left" vertical="top" wrapText="1"/>
    </xf>
    <xf numFmtId="0" fontId="0" fillId="15" borderId="0" xfId="1" applyNumberFormat="1" applyFont="1" applyFill="1" applyAlignment="1">
      <alignment horizontal="left" vertical="top" wrapText="1"/>
    </xf>
    <xf numFmtId="0" fontId="0" fillId="15" borderId="10" xfId="1" applyNumberFormat="1" applyFont="1" applyFill="1" applyBorder="1" applyAlignment="1">
      <alignment horizontal="left" vertical="top" wrapText="1"/>
    </xf>
    <xf numFmtId="0" fontId="0" fillId="15" borderId="14" xfId="1" applyNumberFormat="1" applyFont="1" applyFill="1" applyBorder="1" applyAlignment="1">
      <alignment horizontal="left" vertical="top" wrapText="1"/>
    </xf>
    <xf numFmtId="0" fontId="0" fillId="15" borderId="11" xfId="1" applyNumberFormat="1" applyFont="1" applyFill="1" applyBorder="1" applyAlignment="1">
      <alignment horizontal="left" vertical="top" wrapText="1"/>
    </xf>
    <xf numFmtId="0" fontId="0" fillId="15" borderId="15" xfId="1" applyNumberFormat="1" applyFont="1" applyFill="1" applyBorder="1" applyAlignment="1">
      <alignment horizontal="left" vertical="top" wrapText="1"/>
    </xf>
    <xf numFmtId="166" fontId="26" fillId="11" borderId="6" xfId="1" applyFont="1" applyFill="1" applyBorder="1" applyAlignment="1">
      <alignment horizontal="center" vertical="center"/>
    </xf>
    <xf numFmtId="166" fontId="26" fillId="11" borderId="1" xfId="1" applyFont="1" applyFill="1" applyBorder="1" applyAlignment="1">
      <alignment horizontal="center" vertical="center"/>
    </xf>
    <xf numFmtId="0" fontId="13" fillId="8" borderId="5" xfId="0" applyFont="1" applyFill="1" applyBorder="1" applyAlignment="1" applyProtection="1">
      <alignment horizontal="center" vertical="center"/>
      <protection locked="0"/>
    </xf>
    <xf numFmtId="0" fontId="13" fillId="8" borderId="6" xfId="0" applyFont="1" applyFill="1" applyBorder="1" applyAlignment="1" applyProtection="1">
      <alignment horizontal="center" vertical="center"/>
      <protection locked="0"/>
    </xf>
    <xf numFmtId="0" fontId="13" fillId="8" borderId="2" xfId="0" applyFont="1" applyFill="1" applyBorder="1" applyAlignment="1" applyProtection="1">
      <alignment horizontal="center" vertical="center"/>
      <protection locked="0"/>
    </xf>
    <xf numFmtId="0" fontId="13" fillId="8" borderId="14" xfId="0" applyFont="1" applyFill="1" applyBorder="1" applyAlignment="1" applyProtection="1">
      <alignment horizontal="center" vertical="center"/>
      <protection locked="0"/>
    </xf>
    <xf numFmtId="0" fontId="13" fillId="8" borderId="11" xfId="0" applyFont="1" applyFill="1" applyBorder="1" applyAlignment="1" applyProtection="1">
      <alignment horizontal="center" vertical="center"/>
      <protection locked="0"/>
    </xf>
    <xf numFmtId="0" fontId="13" fillId="8" borderId="15" xfId="0" applyFont="1" applyFill="1" applyBorder="1" applyAlignment="1" applyProtection="1">
      <alignment horizontal="center" vertical="center"/>
      <protection locked="0"/>
    </xf>
    <xf numFmtId="166" fontId="26" fillId="11" borderId="12" xfId="1" applyFont="1" applyFill="1" applyBorder="1" applyAlignment="1">
      <alignment horizontal="center" vertical="center"/>
    </xf>
    <xf numFmtId="166" fontId="26" fillId="11" borderId="9" xfId="1" applyFont="1" applyFill="1" applyBorder="1" applyAlignment="1">
      <alignment horizontal="center" vertical="center"/>
    </xf>
    <xf numFmtId="166" fontId="26" fillId="11" borderId="13" xfId="1" applyFont="1" applyFill="1" applyBorder="1" applyAlignment="1">
      <alignment horizontal="center" vertical="center"/>
    </xf>
    <xf numFmtId="0" fontId="13" fillId="8" borderId="5" xfId="0" applyFont="1" applyFill="1" applyBorder="1" applyAlignment="1" applyProtection="1">
      <alignment horizontal="left" vertical="center"/>
      <protection locked="0"/>
    </xf>
    <xf numFmtId="0" fontId="13" fillId="8" borderId="6" xfId="0" applyFont="1" applyFill="1" applyBorder="1" applyAlignment="1" applyProtection="1">
      <alignment horizontal="left" vertical="center"/>
      <protection locked="0"/>
    </xf>
    <xf numFmtId="0" fontId="13" fillId="8" borderId="2" xfId="0" applyFont="1" applyFill="1" applyBorder="1" applyAlignment="1" applyProtection="1">
      <alignment horizontal="left" vertical="center"/>
      <protection locked="0"/>
    </xf>
    <xf numFmtId="0" fontId="13" fillId="8" borderId="12" xfId="0" applyFont="1" applyFill="1" applyBorder="1" applyAlignment="1" applyProtection="1">
      <alignment horizontal="left" vertical="top" wrapText="1"/>
      <protection locked="0"/>
    </xf>
    <xf numFmtId="0" fontId="13" fillId="8" borderId="9" xfId="0" applyFont="1" applyFill="1" applyBorder="1" applyAlignment="1" applyProtection="1">
      <alignment horizontal="left" vertical="top" wrapText="1"/>
      <protection locked="0"/>
    </xf>
    <xf numFmtId="0" fontId="13" fillId="8" borderId="13" xfId="0" applyFont="1" applyFill="1" applyBorder="1" applyAlignment="1" applyProtection="1">
      <alignment horizontal="left" vertical="top" wrapText="1"/>
      <protection locked="0"/>
    </xf>
    <xf numFmtId="0" fontId="13" fillId="8" borderId="7" xfId="0" applyFont="1" applyFill="1" applyBorder="1" applyAlignment="1" applyProtection="1">
      <alignment horizontal="left" vertical="top" wrapText="1"/>
      <protection locked="0"/>
    </xf>
    <xf numFmtId="0" fontId="13" fillId="8" borderId="0" xfId="0" applyFont="1" applyFill="1" applyAlignment="1" applyProtection="1">
      <alignment horizontal="left" vertical="top" wrapText="1"/>
      <protection locked="0"/>
    </xf>
    <xf numFmtId="0" fontId="13" fillId="8" borderId="10" xfId="0" applyFont="1" applyFill="1" applyBorder="1" applyAlignment="1" applyProtection="1">
      <alignment horizontal="left" vertical="top" wrapText="1"/>
      <protection locked="0"/>
    </xf>
    <xf numFmtId="0" fontId="13" fillId="8" borderId="14" xfId="0" applyFont="1" applyFill="1" applyBorder="1" applyAlignment="1" applyProtection="1">
      <alignment horizontal="left" vertical="top" wrapText="1"/>
      <protection locked="0"/>
    </xf>
    <xf numFmtId="0" fontId="13" fillId="8" borderId="11" xfId="0" applyFont="1" applyFill="1" applyBorder="1" applyAlignment="1" applyProtection="1">
      <alignment horizontal="left" vertical="top" wrapText="1"/>
      <protection locked="0"/>
    </xf>
    <xf numFmtId="0" fontId="13" fillId="8" borderId="15" xfId="0" applyFont="1" applyFill="1" applyBorder="1" applyAlignment="1" applyProtection="1">
      <alignment horizontal="left" vertical="top" wrapText="1"/>
      <protection locked="0"/>
    </xf>
    <xf numFmtId="0" fontId="0" fillId="15" borderId="1" xfId="1" applyNumberFormat="1" applyFont="1" applyFill="1" applyBorder="1" applyAlignment="1">
      <alignment horizontal="center" vertical="center"/>
    </xf>
    <xf numFmtId="166" fontId="7" fillId="14" borderId="5" xfId="1" applyFont="1" applyFill="1" applyBorder="1" applyAlignment="1">
      <alignment horizontal="center" vertical="center"/>
    </xf>
    <xf numFmtId="166" fontId="7" fillId="14" borderId="2" xfId="1" applyFont="1" applyFill="1" applyBorder="1" applyAlignment="1">
      <alignment horizontal="center" vertical="center"/>
    </xf>
    <xf numFmtId="166" fontId="7" fillId="14" borderId="6" xfId="1" applyFont="1" applyFill="1" applyBorder="1" applyAlignment="1">
      <alignment horizontal="center" vertical="center"/>
    </xf>
    <xf numFmtId="0" fontId="8" fillId="2" borderId="3" xfId="0" applyFont="1" applyFill="1" applyBorder="1" applyAlignment="1">
      <alignment horizontal="center" vertical="center"/>
    </xf>
    <xf numFmtId="0" fontId="8" fillId="2" borderId="4" xfId="0" applyFont="1" applyFill="1" applyBorder="1" applyAlignment="1">
      <alignment horizontal="center" vertical="center"/>
    </xf>
    <xf numFmtId="0" fontId="8" fillId="2" borderId="5" xfId="0" applyFont="1" applyFill="1" applyBorder="1" applyAlignment="1">
      <alignment horizontal="center" vertical="center" wrapText="1"/>
    </xf>
    <xf numFmtId="0" fontId="8" fillId="2" borderId="2" xfId="0" applyFont="1" applyFill="1" applyBorder="1" applyAlignment="1">
      <alignment horizontal="center" vertical="center" wrapText="1"/>
    </xf>
    <xf numFmtId="166" fontId="8" fillId="2" borderId="1" xfId="9" applyFont="1" applyFill="1" applyBorder="1" applyAlignment="1">
      <alignment horizontal="center" vertical="center" wrapText="1"/>
    </xf>
    <xf numFmtId="166" fontId="8" fillId="2" borderId="5" xfId="9" applyFont="1" applyFill="1" applyBorder="1" applyAlignment="1">
      <alignment horizontal="center" vertical="center" wrapText="1"/>
    </xf>
    <xf numFmtId="166" fontId="8" fillId="2" borderId="2" xfId="9" applyFont="1" applyFill="1" applyBorder="1" applyAlignment="1">
      <alignment horizontal="center" vertical="center" wrapText="1"/>
    </xf>
    <xf numFmtId="166" fontId="8" fillId="2" borderId="1" xfId="9" applyFont="1" applyFill="1" applyBorder="1" applyAlignment="1">
      <alignment horizontal="center" vertical="center"/>
    </xf>
    <xf numFmtId="166" fontId="8" fillId="2" borderId="6" xfId="9" applyFont="1" applyFill="1" applyBorder="1" applyAlignment="1">
      <alignment horizontal="center" vertical="center" wrapText="1"/>
    </xf>
    <xf numFmtId="166" fontId="8" fillId="2" borderId="3" xfId="9" applyFont="1" applyFill="1" applyBorder="1" applyAlignment="1">
      <alignment horizontal="center" vertical="center" wrapText="1"/>
    </xf>
    <xf numFmtId="166" fontId="8" fillId="2" borderId="4" xfId="9" applyFont="1" applyFill="1" applyBorder="1" applyAlignment="1">
      <alignment horizontal="center" vertical="center" wrapText="1"/>
    </xf>
    <xf numFmtId="0" fontId="8" fillId="2" borderId="2" xfId="0" applyFont="1" applyFill="1" applyBorder="1" applyAlignment="1">
      <alignment horizontal="center" vertical="center"/>
    </xf>
    <xf numFmtId="166" fontId="8" fillId="2" borderId="5" xfId="9" applyFont="1" applyFill="1" applyBorder="1" applyAlignment="1">
      <alignment horizontal="center" vertical="center"/>
    </xf>
    <xf numFmtId="166" fontId="8" fillId="2" borderId="6" xfId="9" applyFont="1" applyFill="1" applyBorder="1" applyAlignment="1">
      <alignment horizontal="center" vertical="center"/>
    </xf>
    <xf numFmtId="166" fontId="8" fillId="2" borderId="2" xfId="9" applyFont="1" applyFill="1" applyBorder="1" applyAlignment="1">
      <alignment horizontal="center" vertical="center"/>
    </xf>
    <xf numFmtId="166" fontId="8" fillId="2" borderId="8" xfId="9" applyFont="1" applyFill="1" applyBorder="1" applyAlignment="1">
      <alignment horizontal="center" vertical="center" wrapText="1"/>
    </xf>
    <xf numFmtId="166" fontId="8" fillId="2" borderId="14" xfId="9" applyFont="1" applyFill="1" applyBorder="1" applyAlignment="1">
      <alignment horizontal="center" vertical="center" wrapText="1"/>
    </xf>
    <xf numFmtId="0" fontId="2" fillId="2" borderId="5" xfId="0" applyFont="1" applyFill="1" applyBorder="1" applyAlignment="1">
      <alignment horizontal="center"/>
    </xf>
    <xf numFmtId="0" fontId="2" fillId="2" borderId="6" xfId="0" applyFont="1" applyFill="1" applyBorder="1" applyAlignment="1">
      <alignment horizontal="center"/>
    </xf>
    <xf numFmtId="0" fontId="2" fillId="2" borderId="2" xfId="0" applyFont="1" applyFill="1" applyBorder="1" applyAlignment="1">
      <alignment horizontal="center"/>
    </xf>
    <xf numFmtId="166" fontId="48" fillId="2" borderId="3" xfId="9" applyFont="1" applyFill="1" applyBorder="1" applyAlignment="1">
      <alignment horizontal="center" vertical="center" wrapText="1"/>
    </xf>
    <xf numFmtId="166" fontId="19" fillId="2" borderId="3" xfId="9" applyFont="1" applyFill="1" applyBorder="1" applyAlignment="1">
      <alignment horizontal="center" vertical="center" wrapText="1"/>
    </xf>
    <xf numFmtId="166" fontId="18" fillId="2" borderId="3" xfId="9" applyFont="1" applyFill="1" applyBorder="1" applyAlignment="1">
      <alignment horizontal="center" vertical="center" wrapText="1"/>
    </xf>
    <xf numFmtId="166" fontId="18" fillId="2" borderId="4" xfId="9" applyFont="1" applyFill="1" applyBorder="1" applyAlignment="1">
      <alignment horizontal="center" vertical="center" wrapText="1"/>
    </xf>
    <xf numFmtId="166" fontId="19" fillId="2" borderId="1" xfId="9" applyFont="1" applyFill="1" applyBorder="1" applyAlignment="1">
      <alignment horizontal="center" vertical="center" wrapText="1"/>
    </xf>
    <xf numFmtId="166" fontId="48" fillId="2" borderId="4" xfId="9" applyFont="1" applyFill="1" applyBorder="1" applyAlignment="1">
      <alignment horizontal="center" vertical="center" wrapText="1"/>
    </xf>
    <xf numFmtId="166" fontId="8" fillId="12" borderId="3" xfId="9" applyFont="1" applyFill="1" applyBorder="1" applyAlignment="1">
      <alignment horizontal="center" vertical="center" wrapText="1"/>
    </xf>
    <xf numFmtId="166" fontId="8" fillId="12" borderId="4" xfId="9" applyFont="1" applyFill="1" applyBorder="1" applyAlignment="1">
      <alignment horizontal="center" vertical="center" wrapText="1"/>
    </xf>
    <xf numFmtId="166" fontId="2" fillId="2" borderId="5" xfId="9" applyFont="1" applyFill="1" applyBorder="1" applyAlignment="1">
      <alignment horizontal="center" vertical="center" wrapText="1"/>
    </xf>
    <xf numFmtId="166" fontId="2" fillId="2" borderId="6" xfId="9" applyFont="1" applyFill="1" applyBorder="1" applyAlignment="1">
      <alignment horizontal="center" vertical="center" wrapText="1"/>
    </xf>
    <xf numFmtId="166" fontId="2" fillId="2" borderId="2" xfId="9" applyFont="1" applyFill="1" applyBorder="1" applyAlignment="1">
      <alignment horizontal="center" vertical="center" wrapText="1"/>
    </xf>
  </cellXfs>
  <cellStyles count="31">
    <cellStyle name="Euro" xfId="4" xr:uid="{7B4BC4FB-913C-43C7-9FC7-F17490FF70CF}"/>
    <cellStyle name="Euro 2" xfId="6" xr:uid="{E69D233B-E128-46F3-A364-08D975E79FDF}"/>
    <cellStyle name="Euro 2 2" xfId="12" xr:uid="{F8B3BC93-38D2-473C-9871-0ED98D17261A}"/>
    <cellStyle name="Euro 2 2 2" xfId="30" xr:uid="{FD241EE0-63DA-436C-B887-F9B1E53FCD83}"/>
    <cellStyle name="Euro 2 3" xfId="29" xr:uid="{261A68EF-0CBA-4941-9995-E701B631EBCB}"/>
    <cellStyle name="Euro 3" xfId="7" xr:uid="{79ADE184-F9EB-419D-B75D-D08447763C8B}"/>
    <cellStyle name="Prozent" xfId="28" builtinId="5"/>
    <cellStyle name="Prozent 2" xfId="3" xr:uid="{4FA12DC7-F29F-4841-8D8F-1F0BD0BDC6BC}"/>
    <cellStyle name="Standard" xfId="0" builtinId="0"/>
    <cellStyle name="Standard 10" xfId="19" xr:uid="{956B8FC6-C59B-4880-A42F-572A683E8781}"/>
    <cellStyle name="Standard 11" xfId="20" xr:uid="{AC44B800-3511-4415-BD9C-EC0BB5835C7A}"/>
    <cellStyle name="Standard 12" xfId="11" xr:uid="{51288AB2-F878-484C-BF05-ED5765A19738}"/>
    <cellStyle name="Standard 12 2" xfId="23" xr:uid="{03EB0834-BB03-4A1D-862A-0C870B68BA82}"/>
    <cellStyle name="Standard 13" xfId="24" xr:uid="{E7A81481-2B40-4B7B-89BC-A0DEB1366719}"/>
    <cellStyle name="Standard 14" xfId="25" xr:uid="{788E9A68-434C-4572-BF40-FC9688D755BF}"/>
    <cellStyle name="Standard 15" xfId="26" xr:uid="{7E7031AB-665B-4CE7-A044-A704155C52F7}"/>
    <cellStyle name="Standard 16" xfId="21" xr:uid="{8D6D7310-5351-4DCF-8790-E48CA83B9990}"/>
    <cellStyle name="Standard 17" xfId="22" xr:uid="{BDE615C6-2FEB-45CD-AD8F-00041F0AF94C}"/>
    <cellStyle name="Standard 18" xfId="27" xr:uid="{D1982165-6B9E-492B-99C7-0D9C89C09895}"/>
    <cellStyle name="Standard 2" xfId="2" xr:uid="{A2CC2798-3F05-4E63-B6DB-16E54BAB707C}"/>
    <cellStyle name="Standard 3" xfId="5" xr:uid="{FF22A0D0-7E37-40A4-880D-119A978AB963}"/>
    <cellStyle name="Standard 3 2" xfId="8" xr:uid="{BE4205DA-51FB-4DA6-AC6C-83AB739F008E}"/>
    <cellStyle name="Standard 4" xfId="1" xr:uid="{1A4532D3-64B1-4848-B373-0BEF635DDBD4}"/>
    <cellStyle name="Standard 4 2" xfId="13" xr:uid="{B3261A65-BF02-4525-A9C1-D7AD6A4277B8}"/>
    <cellStyle name="Standard 5" xfId="9" xr:uid="{AE97F292-2F0D-4D60-B77C-104CC105341B}"/>
    <cellStyle name="Standard 5 2" xfId="14" xr:uid="{819C6EF8-A77F-44E4-962E-6EF1B84423A3}"/>
    <cellStyle name="Standard 6" xfId="10" xr:uid="{EDCB92AA-9C3A-4311-BD09-B21AB9BF48D8}"/>
    <cellStyle name="Standard 6 2" xfId="15" xr:uid="{276BF6A9-B541-466C-AEDE-EBA156DDE44A}"/>
    <cellStyle name="Standard 7" xfId="16" xr:uid="{C915928E-CA72-4833-81EC-1CCA9AEB7264}"/>
    <cellStyle name="Standard 8" xfId="17" xr:uid="{8390B906-17B2-4FA2-B04F-F27D1C16E0B0}"/>
    <cellStyle name="Standard 9" xfId="18" xr:uid="{4605124C-300B-40F5-BB80-FA63DF390AD5}"/>
  </cellStyles>
  <dxfs count="67">
    <dxf>
      <fill>
        <patternFill>
          <fgColor indexed="64"/>
          <bgColor rgb="FFFF0000"/>
        </patternFill>
      </fill>
    </dxf>
    <dxf>
      <fill>
        <patternFill>
          <fgColor indexed="64"/>
          <bgColor rgb="FFFFC000"/>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FF0000"/>
        </patternFill>
      </fill>
    </dxf>
    <dxf>
      <fill>
        <patternFill>
          <fgColor indexed="64"/>
          <bgColor rgb="FFFFC000"/>
        </patternFill>
      </fill>
    </dxf>
    <dxf>
      <fill>
        <patternFill>
          <fgColor indexed="64"/>
          <bgColor rgb="FFFFC000"/>
        </patternFill>
      </fill>
    </dxf>
    <dxf>
      <fill>
        <patternFill>
          <fgColor indexed="64"/>
          <bgColor rgb="FFFF0000"/>
        </patternFill>
      </fill>
    </dxf>
    <dxf>
      <fill>
        <patternFill>
          <fgColor indexed="64"/>
          <bgColor rgb="FFFF0000"/>
        </patternFill>
      </fill>
    </dxf>
    <dxf>
      <fill>
        <patternFill>
          <fgColor indexed="64"/>
          <bgColor rgb="FFFFC000"/>
        </patternFill>
      </fill>
    </dxf>
    <dxf>
      <fill>
        <patternFill>
          <fgColor indexed="64"/>
          <bgColor rgb="FFFF0000"/>
        </patternFill>
      </fill>
    </dxf>
    <dxf>
      <fill>
        <patternFill>
          <fgColor indexed="64"/>
          <bgColor rgb="FFFFC000"/>
        </patternFill>
      </fill>
    </dxf>
    <dxf>
      <fill>
        <patternFill>
          <fgColor indexed="64"/>
          <bgColor rgb="FFFF0000"/>
        </patternFill>
      </fill>
    </dxf>
    <dxf>
      <fill>
        <patternFill>
          <fgColor indexed="64"/>
          <bgColor rgb="FFFFC000"/>
        </patternFill>
      </fill>
    </dxf>
    <dxf>
      <fill>
        <patternFill>
          <fgColor indexed="64"/>
          <bgColor rgb="FFFFC000"/>
        </patternFill>
      </fill>
    </dxf>
    <dxf>
      <fill>
        <patternFill>
          <fgColor indexed="64"/>
          <bgColor rgb="FFFF0000"/>
        </patternFill>
      </fill>
    </dxf>
    <dxf>
      <fill>
        <patternFill>
          <fgColor indexed="64"/>
          <bgColor rgb="FFC00000"/>
        </patternFill>
      </fill>
    </dxf>
    <dxf>
      <fill>
        <patternFill>
          <fgColor indexed="64"/>
          <bgColor rgb="FFC00000"/>
        </patternFill>
      </fill>
    </dxf>
    <dxf>
      <font>
        <color theme="0" tint="-0.14999847407452621"/>
      </font>
      <fill>
        <patternFill patternType="solid">
          <fgColor indexed="64"/>
          <bgColor theme="0" tint="-4.9989318521683403E-2"/>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8F85"/>
        </patternFill>
      </fill>
    </dxf>
    <dxf>
      <fill>
        <patternFill>
          <bgColor rgb="FFFF0000"/>
        </patternFill>
      </fill>
    </dxf>
    <dxf>
      <fill>
        <patternFill>
          <bgColor rgb="FFFF0000"/>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29FCD2DC-325B-4E59-A7B8-DA51E50A1FD0}">
      <tableStyleElement type="wholeTable" dxfId="66"/>
      <tableStyleElement type="headerRow" dxfId="65"/>
    </tableStyle>
  </tableStyles>
  <colors>
    <mruColors>
      <color rgb="FF80C7C3"/>
      <color rgb="FFBF0000"/>
      <color rgb="FF008F85"/>
      <color rgb="FFBFE3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21</xdr:col>
      <xdr:colOff>0</xdr:colOff>
      <xdr:row>15</xdr:row>
      <xdr:rowOff>0</xdr:rowOff>
    </xdr:from>
    <xdr:to>
      <xdr:col>21</xdr:col>
      <xdr:colOff>1292825</xdr:colOff>
      <xdr:row>16</xdr:row>
      <xdr:rowOff>126075</xdr:rowOff>
    </xdr:to>
    <xdr:sp macro="[0]!Ratio_for_plotting" textlink="">
      <xdr:nvSpPr>
        <xdr:cNvPr id="3" name="Rechteck 2">
          <a:extLst>
            <a:ext uri="{FF2B5EF4-FFF2-40B4-BE49-F238E27FC236}">
              <a16:creationId xmlns:a16="http://schemas.microsoft.com/office/drawing/2014/main" id="{00000000-0008-0000-0200-000003000000}"/>
            </a:ext>
          </a:extLst>
        </xdr:cNvPr>
        <xdr:cNvSpPr/>
      </xdr:nvSpPr>
      <xdr:spPr>
        <a:xfrm>
          <a:off x="6584950" y="47752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Get print ratio</a:t>
          </a:r>
        </a:p>
      </xdr:txBody>
    </xdr:sp>
    <xdr:clientData/>
  </xdr:twoCellAnchor>
  <xdr:twoCellAnchor>
    <xdr:from>
      <xdr:col>29</xdr:col>
      <xdr:colOff>0</xdr:colOff>
      <xdr:row>11</xdr:row>
      <xdr:rowOff>0</xdr:rowOff>
    </xdr:from>
    <xdr:to>
      <xdr:col>29</xdr:col>
      <xdr:colOff>2124075</xdr:colOff>
      <xdr:row>12</xdr:row>
      <xdr:rowOff>126075</xdr:rowOff>
    </xdr:to>
    <xdr:sp macro="[0]!Generate_input_for_DrawingGenerator" textlink="">
      <xdr:nvSpPr>
        <xdr:cNvPr id="5" name="Rechteck 4">
          <a:extLst>
            <a:ext uri="{FF2B5EF4-FFF2-40B4-BE49-F238E27FC236}">
              <a16:creationId xmlns:a16="http://schemas.microsoft.com/office/drawing/2014/main" id="{00000000-0008-0000-0200-000005000000}"/>
            </a:ext>
          </a:extLst>
        </xdr:cNvPr>
        <xdr:cNvSpPr/>
      </xdr:nvSpPr>
      <xdr:spPr>
        <a:xfrm>
          <a:off x="6584950" y="8890000"/>
          <a:ext cx="212407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Input</a:t>
          </a:r>
          <a:r>
            <a:rPr lang="en-GB" sz="1100" b="1" baseline="0">
              <a:solidFill>
                <a:sysClr val="windowText" lastClr="000000"/>
              </a:solidFill>
              <a:latin typeface="+mn-lt"/>
              <a:ea typeface="+mn-ea"/>
              <a:cs typeface="+mn-cs"/>
            </a:rPr>
            <a:t> for Drawing Generator</a:t>
          </a:r>
          <a:endParaRPr lang="en-GB" sz="1100" b="1">
            <a:solidFill>
              <a:sysClr val="windowText" lastClr="000000"/>
            </a:solidFill>
            <a:latin typeface="+mn-lt"/>
            <a:ea typeface="+mn-ea"/>
            <a:cs typeface="+mn-cs"/>
          </a:endParaRPr>
        </a:p>
      </xdr:txBody>
    </xdr:sp>
    <xdr:clientData/>
  </xdr:twoCellAnchor>
  <xdr:twoCellAnchor>
    <xdr:from>
      <xdr:col>1</xdr:col>
      <xdr:colOff>0</xdr:colOff>
      <xdr:row>1</xdr:row>
      <xdr:rowOff>0</xdr:rowOff>
    </xdr:from>
    <xdr:to>
      <xdr:col>2</xdr:col>
      <xdr:colOff>530825</xdr:colOff>
      <xdr:row>2</xdr:row>
      <xdr:rowOff>107025</xdr:rowOff>
    </xdr:to>
    <xdr:sp macro="[0]!Control_go_to_geometry" textlink="">
      <xdr:nvSpPr>
        <xdr:cNvPr id="6" name="Rechteck 5">
          <a:extLst>
            <a:ext uri="{FF2B5EF4-FFF2-40B4-BE49-F238E27FC236}">
              <a16:creationId xmlns:a16="http://schemas.microsoft.com/office/drawing/2014/main" id="{00000000-0008-0000-0200-000006000000}"/>
            </a:ext>
          </a:extLst>
        </xdr:cNvPr>
        <xdr:cNvSpPr/>
      </xdr:nvSpPr>
      <xdr:spPr>
        <a:xfrm>
          <a:off x="762000" y="18415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Go to "Geometry"</a:t>
          </a:r>
        </a:p>
      </xdr:txBody>
    </xdr:sp>
    <xdr:clientData/>
  </xdr:twoCellAnchor>
  <xdr:twoCellAnchor>
    <xdr:from>
      <xdr:col>1</xdr:col>
      <xdr:colOff>0</xdr:colOff>
      <xdr:row>7</xdr:row>
      <xdr:rowOff>0</xdr:rowOff>
    </xdr:from>
    <xdr:to>
      <xdr:col>2</xdr:col>
      <xdr:colOff>530825</xdr:colOff>
      <xdr:row>8</xdr:row>
      <xdr:rowOff>107025</xdr:rowOff>
    </xdr:to>
    <xdr:sp macro="[0]!Control_show_all" textlink="">
      <xdr:nvSpPr>
        <xdr:cNvPr id="7" name="Rechteck 6">
          <a:extLst>
            <a:ext uri="{FF2B5EF4-FFF2-40B4-BE49-F238E27FC236}">
              <a16:creationId xmlns:a16="http://schemas.microsoft.com/office/drawing/2014/main" id="{00000000-0008-0000-0200-000007000000}"/>
            </a:ext>
          </a:extLst>
        </xdr:cNvPr>
        <xdr:cNvSpPr/>
      </xdr:nvSpPr>
      <xdr:spPr>
        <a:xfrm>
          <a:off x="762000" y="7366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Show all settings</a:t>
          </a:r>
        </a:p>
      </xdr:txBody>
    </xdr:sp>
    <xdr:clientData/>
  </xdr:twoCellAnchor>
  <xdr:twoCellAnchor>
    <xdr:from>
      <xdr:col>1</xdr:col>
      <xdr:colOff>0</xdr:colOff>
      <xdr:row>9</xdr:row>
      <xdr:rowOff>0</xdr:rowOff>
    </xdr:from>
    <xdr:to>
      <xdr:col>2</xdr:col>
      <xdr:colOff>530825</xdr:colOff>
      <xdr:row>10</xdr:row>
      <xdr:rowOff>107025</xdr:rowOff>
    </xdr:to>
    <xdr:sp macro="[0]!Control_show_general_settings" textlink="">
      <xdr:nvSpPr>
        <xdr:cNvPr id="8" name="Rechteck 7">
          <a:extLst>
            <a:ext uri="{FF2B5EF4-FFF2-40B4-BE49-F238E27FC236}">
              <a16:creationId xmlns:a16="http://schemas.microsoft.com/office/drawing/2014/main" id="{00000000-0008-0000-0200-000008000000}"/>
            </a:ext>
          </a:extLst>
        </xdr:cNvPr>
        <xdr:cNvSpPr/>
      </xdr:nvSpPr>
      <xdr:spPr>
        <a:xfrm>
          <a:off x="762000" y="11049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a:t>
          </a:r>
          <a:r>
            <a:rPr lang="en-GB" sz="1100" b="1" baseline="0">
              <a:solidFill>
                <a:sysClr val="windowText" lastClr="000000"/>
              </a:solidFill>
              <a:latin typeface="+mn-lt"/>
              <a:ea typeface="+mn-ea"/>
              <a:cs typeface="Arial" panose="020B0604020202020204" pitchFamily="34" charset="0"/>
            </a:rPr>
            <a:t>eneral settings</a:t>
          </a:r>
          <a:endParaRPr lang="en-GB" sz="1100" b="1">
            <a:solidFill>
              <a:sysClr val="windowText" lastClr="000000"/>
            </a:solidFill>
            <a:latin typeface="+mn-lt"/>
            <a:ea typeface="+mn-ea"/>
            <a:cs typeface="Arial" panose="020B0604020202020204" pitchFamily="34" charset="0"/>
          </a:endParaRPr>
        </a:p>
      </xdr:txBody>
    </xdr:sp>
    <xdr:clientData/>
  </xdr:twoCellAnchor>
  <xdr:twoCellAnchor>
    <xdr:from>
      <xdr:col>1</xdr:col>
      <xdr:colOff>0</xdr:colOff>
      <xdr:row>11</xdr:row>
      <xdr:rowOff>0</xdr:rowOff>
    </xdr:from>
    <xdr:to>
      <xdr:col>2</xdr:col>
      <xdr:colOff>530825</xdr:colOff>
      <xdr:row>12</xdr:row>
      <xdr:rowOff>107025</xdr:rowOff>
    </xdr:to>
    <xdr:sp macro="[0]!Control_show_driv_fat" textlink="">
      <xdr:nvSpPr>
        <xdr:cNvPr id="9" name="Rechteck 8">
          <a:extLst>
            <a:ext uri="{FF2B5EF4-FFF2-40B4-BE49-F238E27FC236}">
              <a16:creationId xmlns:a16="http://schemas.microsoft.com/office/drawing/2014/main" id="{00000000-0008-0000-0200-000009000000}"/>
            </a:ext>
          </a:extLst>
        </xdr:cNvPr>
        <xdr:cNvSpPr/>
      </xdr:nvSpPr>
      <xdr:spPr>
        <a:xfrm>
          <a:off x="762000" y="14732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Driving fatigue</a:t>
          </a:r>
        </a:p>
      </xdr:txBody>
    </xdr:sp>
    <xdr:clientData/>
  </xdr:twoCellAnchor>
  <xdr:twoCellAnchor>
    <xdr:from>
      <xdr:col>1</xdr:col>
      <xdr:colOff>0</xdr:colOff>
      <xdr:row>13</xdr:row>
      <xdr:rowOff>0</xdr:rowOff>
    </xdr:from>
    <xdr:to>
      <xdr:col>2</xdr:col>
      <xdr:colOff>530825</xdr:colOff>
      <xdr:row>14</xdr:row>
      <xdr:rowOff>107025</xdr:rowOff>
    </xdr:to>
    <xdr:sp macro="[0]!Control_show_loads" textlink="">
      <xdr:nvSpPr>
        <xdr:cNvPr id="10" name="Rechteck 9">
          <a:extLst>
            <a:ext uri="{FF2B5EF4-FFF2-40B4-BE49-F238E27FC236}">
              <a16:creationId xmlns:a16="http://schemas.microsoft.com/office/drawing/2014/main" id="{00000000-0008-0000-0200-00000A000000}"/>
            </a:ext>
          </a:extLst>
        </xdr:cNvPr>
        <xdr:cNvSpPr/>
      </xdr:nvSpPr>
      <xdr:spPr>
        <a:xfrm>
          <a:off x="762000" y="18415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Loads</a:t>
          </a:r>
        </a:p>
      </xdr:txBody>
    </xdr:sp>
    <xdr:clientData/>
  </xdr:twoCellAnchor>
  <xdr:twoCellAnchor>
    <xdr:from>
      <xdr:col>1</xdr:col>
      <xdr:colOff>0</xdr:colOff>
      <xdr:row>15</xdr:row>
      <xdr:rowOff>0</xdr:rowOff>
    </xdr:from>
    <xdr:to>
      <xdr:col>2</xdr:col>
      <xdr:colOff>530825</xdr:colOff>
      <xdr:row>16</xdr:row>
      <xdr:rowOff>107025</xdr:rowOff>
    </xdr:to>
    <xdr:sp macro="[0]!Control_show_modal" textlink="">
      <xdr:nvSpPr>
        <xdr:cNvPr id="11" name="Rechteck 10">
          <a:extLst>
            <a:ext uri="{FF2B5EF4-FFF2-40B4-BE49-F238E27FC236}">
              <a16:creationId xmlns:a16="http://schemas.microsoft.com/office/drawing/2014/main" id="{00000000-0008-0000-0200-00000B000000}"/>
            </a:ext>
          </a:extLst>
        </xdr:cNvPr>
        <xdr:cNvSpPr/>
      </xdr:nvSpPr>
      <xdr:spPr>
        <a:xfrm>
          <a:off x="762000" y="22098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Modal analysis</a:t>
          </a:r>
        </a:p>
      </xdr:txBody>
    </xdr:sp>
    <xdr:clientData/>
  </xdr:twoCellAnchor>
  <xdr:twoCellAnchor>
    <xdr:from>
      <xdr:col>1</xdr:col>
      <xdr:colOff>0</xdr:colOff>
      <xdr:row>17</xdr:row>
      <xdr:rowOff>0</xdr:rowOff>
    </xdr:from>
    <xdr:to>
      <xdr:col>2</xdr:col>
      <xdr:colOff>530825</xdr:colOff>
      <xdr:row>18</xdr:row>
      <xdr:rowOff>107025</xdr:rowOff>
    </xdr:to>
    <xdr:sp macro="[0]!Control_show_output" textlink="">
      <xdr:nvSpPr>
        <xdr:cNvPr id="12" name="Rechteck 11">
          <a:extLst>
            <a:ext uri="{FF2B5EF4-FFF2-40B4-BE49-F238E27FC236}">
              <a16:creationId xmlns:a16="http://schemas.microsoft.com/office/drawing/2014/main" id="{00000000-0008-0000-0200-00000C000000}"/>
            </a:ext>
          </a:extLst>
        </xdr:cNvPr>
        <xdr:cNvSpPr/>
      </xdr:nvSpPr>
      <xdr:spPr>
        <a:xfrm>
          <a:off x="762000" y="25781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Output</a:t>
          </a:r>
          <a:r>
            <a:rPr lang="en-GB" sz="1100" b="1" baseline="0">
              <a:solidFill>
                <a:sysClr val="windowText" lastClr="000000"/>
              </a:solidFill>
              <a:latin typeface="+mn-lt"/>
              <a:ea typeface="+mn-ea"/>
              <a:cs typeface="Arial" panose="020B0604020202020204" pitchFamily="34" charset="0"/>
            </a:rPr>
            <a:t> settings</a:t>
          </a:r>
          <a:endParaRPr lang="en-GB" sz="1100" b="1">
            <a:solidFill>
              <a:sysClr val="windowText" lastClr="000000"/>
            </a:solidFill>
            <a:latin typeface="+mn-lt"/>
            <a:ea typeface="+mn-ea"/>
            <a:cs typeface="Arial" panose="020B0604020202020204" pitchFamily="34" charset="0"/>
          </a:endParaRPr>
        </a:p>
      </xdr:txBody>
    </xdr:sp>
    <xdr:clientData/>
  </xdr:twoCellAnchor>
  <xdr:twoCellAnchor>
    <xdr:from>
      <xdr:col>1</xdr:col>
      <xdr:colOff>0</xdr:colOff>
      <xdr:row>19</xdr:row>
      <xdr:rowOff>0</xdr:rowOff>
    </xdr:from>
    <xdr:to>
      <xdr:col>2</xdr:col>
      <xdr:colOff>530825</xdr:colOff>
      <xdr:row>20</xdr:row>
      <xdr:rowOff>107025</xdr:rowOff>
    </xdr:to>
    <xdr:sp macro="[0]!Control_show_header" textlink="">
      <xdr:nvSpPr>
        <xdr:cNvPr id="13" name="Rechteck 12">
          <a:extLst>
            <a:ext uri="{FF2B5EF4-FFF2-40B4-BE49-F238E27FC236}">
              <a16:creationId xmlns:a16="http://schemas.microsoft.com/office/drawing/2014/main" id="{00000000-0008-0000-0200-00000D000000}"/>
            </a:ext>
          </a:extLst>
        </xdr:cNvPr>
        <xdr:cNvSpPr/>
      </xdr:nvSpPr>
      <xdr:spPr>
        <a:xfrm>
          <a:off x="762000" y="29464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Header</a:t>
          </a:r>
          <a:r>
            <a:rPr lang="en-GB" sz="1100" b="1" baseline="0">
              <a:solidFill>
                <a:sysClr val="windowText" lastClr="000000"/>
              </a:solidFill>
              <a:latin typeface="+mn-lt"/>
              <a:ea typeface="+mn-ea"/>
              <a:cs typeface="Arial" panose="020B0604020202020204" pitchFamily="34" charset="0"/>
            </a:rPr>
            <a:t> </a:t>
          </a:r>
          <a:r>
            <a:rPr lang="en-GB" sz="1100" b="1">
              <a:solidFill>
                <a:sysClr val="windowText" lastClr="000000"/>
              </a:solidFill>
              <a:latin typeface="+mn-lt"/>
              <a:ea typeface="+mn-ea"/>
              <a:cs typeface="Arial" panose="020B0604020202020204" pitchFamily="34" charset="0"/>
            </a:rPr>
            <a:t>settings</a:t>
          </a:r>
        </a:p>
      </xdr:txBody>
    </xdr:sp>
    <xdr:clientData/>
  </xdr:twoCellAnchor>
  <xdr:twoCellAnchor>
    <xdr:from>
      <xdr:col>1</xdr:col>
      <xdr:colOff>0</xdr:colOff>
      <xdr:row>4</xdr:row>
      <xdr:rowOff>0</xdr:rowOff>
    </xdr:from>
    <xdr:to>
      <xdr:col>2</xdr:col>
      <xdr:colOff>534000</xdr:colOff>
      <xdr:row>5</xdr:row>
      <xdr:rowOff>103850</xdr:rowOff>
    </xdr:to>
    <xdr:sp macro="[0]!Generate_output_file" textlink="">
      <xdr:nvSpPr>
        <xdr:cNvPr id="15" name="Rechteck 14">
          <a:extLst>
            <a:ext uri="{FF2B5EF4-FFF2-40B4-BE49-F238E27FC236}">
              <a16:creationId xmlns:a16="http://schemas.microsoft.com/office/drawing/2014/main" id="{00000000-0008-0000-0200-00000F000000}"/>
            </a:ext>
          </a:extLst>
        </xdr:cNvPr>
        <xdr:cNvSpPr/>
      </xdr:nvSpPr>
      <xdr:spPr>
        <a:xfrm>
          <a:off x="762000" y="736600"/>
          <a:ext cx="1296000"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Generate output</a:t>
          </a:r>
        </a:p>
      </xdr:txBody>
    </xdr:sp>
    <xdr:clientData/>
  </xdr:twoCellAnchor>
  <xdr:twoCellAnchor>
    <xdr:from>
      <xdr:col>1</xdr:col>
      <xdr:colOff>0</xdr:colOff>
      <xdr:row>20</xdr:row>
      <xdr:rowOff>184148</xdr:rowOff>
    </xdr:from>
    <xdr:to>
      <xdr:col>2</xdr:col>
      <xdr:colOff>530825</xdr:colOff>
      <xdr:row>24</xdr:row>
      <xdr:rowOff>99148</xdr:rowOff>
    </xdr:to>
    <xdr:sp macro="[0]!Control_show_drawgen" textlink="">
      <xdr:nvSpPr>
        <xdr:cNvPr id="16" name="Rechteck 15">
          <a:extLst>
            <a:ext uri="{FF2B5EF4-FFF2-40B4-BE49-F238E27FC236}">
              <a16:creationId xmlns:a16="http://schemas.microsoft.com/office/drawing/2014/main" id="{00000000-0008-0000-0200-000010000000}"/>
            </a:ext>
          </a:extLst>
        </xdr:cNvPr>
        <xdr:cNvSpPr/>
      </xdr:nvSpPr>
      <xdr:spPr>
        <a:xfrm>
          <a:off x="762000" y="3867148"/>
          <a:ext cx="1292825" cy="6516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baseline="0">
              <a:solidFill>
                <a:sysClr val="windowText" lastClr="000000"/>
              </a:solidFill>
              <a:latin typeface="+mn-lt"/>
              <a:ea typeface="+mn-ea"/>
              <a:cs typeface="Arial" panose="020B0604020202020204" pitchFamily="34" charset="0"/>
            </a:rPr>
            <a:t>Settings for "Drawing Generator"</a:t>
          </a:r>
          <a:endParaRPr lang="en-GB" sz="1100" b="1">
            <a:solidFill>
              <a:sysClr val="windowText" lastClr="000000"/>
            </a:solidFill>
            <a:latin typeface="+mn-lt"/>
            <a:ea typeface="+mn-ea"/>
            <a:cs typeface="Arial" panose="020B0604020202020204" pitchFamily="34" charset="0"/>
          </a:endParaRPr>
        </a:p>
      </xdr:txBody>
    </xdr:sp>
    <xdr:clientData/>
  </xdr:twoCellAnchor>
  <xdr:twoCellAnchor>
    <xdr:from>
      <xdr:col>1</xdr:col>
      <xdr:colOff>0</xdr:colOff>
      <xdr:row>24</xdr:row>
      <xdr:rowOff>184149</xdr:rowOff>
    </xdr:from>
    <xdr:to>
      <xdr:col>2</xdr:col>
      <xdr:colOff>530825</xdr:colOff>
      <xdr:row>28</xdr:row>
      <xdr:rowOff>99149</xdr:rowOff>
    </xdr:to>
    <xdr:sp macro="[0]!Control_show_copy" textlink="">
      <xdr:nvSpPr>
        <xdr:cNvPr id="19" name="Rechteck 18">
          <a:extLst>
            <a:ext uri="{FF2B5EF4-FFF2-40B4-BE49-F238E27FC236}">
              <a16:creationId xmlns:a16="http://schemas.microsoft.com/office/drawing/2014/main" id="{00000000-0008-0000-0200-000013000000}"/>
            </a:ext>
          </a:extLst>
        </xdr:cNvPr>
        <xdr:cNvSpPr/>
      </xdr:nvSpPr>
      <xdr:spPr>
        <a:xfrm>
          <a:off x="762000" y="4603749"/>
          <a:ext cx="1292825" cy="6516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Settings for creating copy of this file</a:t>
          </a:r>
        </a:p>
      </xdr:txBody>
    </xdr:sp>
    <xdr:clientData/>
  </xdr:twoCellAnchor>
  <xdr:twoCellAnchor>
    <xdr:from>
      <xdr:col>25</xdr:col>
      <xdr:colOff>0</xdr:colOff>
      <xdr:row>7</xdr:row>
      <xdr:rowOff>0</xdr:rowOff>
    </xdr:from>
    <xdr:to>
      <xdr:col>25</xdr:col>
      <xdr:colOff>1080000</xdr:colOff>
      <xdr:row>9</xdr:row>
      <xdr:rowOff>99700</xdr:rowOff>
    </xdr:to>
    <xdr:sp macro="[0]!Get_required_header_information" textlink="">
      <xdr:nvSpPr>
        <xdr:cNvPr id="22" name="Rechteck 21">
          <a:extLst>
            <a:ext uri="{FF2B5EF4-FFF2-40B4-BE49-F238E27FC236}">
              <a16:creationId xmlns:a16="http://schemas.microsoft.com/office/drawing/2014/main" id="{00000000-0008-0000-0200-000016000000}"/>
            </a:ext>
          </a:extLst>
        </xdr:cNvPr>
        <xdr:cNvSpPr/>
      </xdr:nvSpPr>
      <xdr:spPr>
        <a:xfrm>
          <a:off x="3048000" y="920750"/>
          <a:ext cx="1080000" cy="46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00" b="1">
              <a:solidFill>
                <a:sysClr val="windowText" lastClr="000000"/>
              </a:solidFill>
              <a:latin typeface="Arial" panose="020B0604020202020204" pitchFamily="34" charset="0"/>
              <a:ea typeface="+mn-ea"/>
              <a:cs typeface="Arial" panose="020B0604020202020204" pitchFamily="34" charset="0"/>
            </a:rPr>
            <a:t>Get required header input</a:t>
          </a:r>
        </a:p>
      </xdr:txBody>
    </xdr:sp>
    <xdr:clientData/>
  </xdr:twoCellAnchor>
  <xdr:twoCellAnchor>
    <xdr:from>
      <xdr:col>26</xdr:col>
      <xdr:colOff>1168400</xdr:colOff>
      <xdr:row>7</xdr:row>
      <xdr:rowOff>0</xdr:rowOff>
    </xdr:from>
    <xdr:to>
      <xdr:col>26</xdr:col>
      <xdr:colOff>2245225</xdr:colOff>
      <xdr:row>8</xdr:row>
      <xdr:rowOff>107025</xdr:rowOff>
    </xdr:to>
    <xdr:sp macro="[0]!Delete_header" textlink="">
      <xdr:nvSpPr>
        <xdr:cNvPr id="23" name="Rechteck 22">
          <a:extLst>
            <a:ext uri="{FF2B5EF4-FFF2-40B4-BE49-F238E27FC236}">
              <a16:creationId xmlns:a16="http://schemas.microsoft.com/office/drawing/2014/main" id="{00000000-0008-0000-0200-000017000000}"/>
            </a:ext>
          </a:extLst>
        </xdr:cNvPr>
        <xdr:cNvSpPr/>
      </xdr:nvSpPr>
      <xdr:spPr>
        <a:xfrm>
          <a:off x="5397500" y="1266825"/>
          <a:ext cx="1076825"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00" b="1">
              <a:solidFill>
                <a:sysClr val="windowText" lastClr="000000"/>
              </a:solidFill>
              <a:latin typeface="Arial" panose="020B0604020202020204" pitchFamily="34" charset="0"/>
              <a:ea typeface="+mn-ea"/>
              <a:cs typeface="Arial" panose="020B0604020202020204" pitchFamily="34" charset="0"/>
            </a:rPr>
            <a:t>Delete header</a:t>
          </a:r>
        </a:p>
      </xdr:txBody>
    </xdr:sp>
    <xdr:clientData/>
  </xdr:twoCellAnchor>
  <xdr:twoCellAnchor>
    <xdr:from>
      <xdr:col>13</xdr:col>
      <xdr:colOff>0</xdr:colOff>
      <xdr:row>1</xdr:row>
      <xdr:rowOff>0</xdr:rowOff>
    </xdr:from>
    <xdr:to>
      <xdr:col>14</xdr:col>
      <xdr:colOff>534000</xdr:colOff>
      <xdr:row>2</xdr:row>
      <xdr:rowOff>103850</xdr:rowOff>
    </xdr:to>
    <xdr:sp macro="[0]!Get_loads" textlink="">
      <xdr:nvSpPr>
        <xdr:cNvPr id="14" name="Rechteck 13">
          <a:extLst>
            <a:ext uri="{FF2B5EF4-FFF2-40B4-BE49-F238E27FC236}">
              <a16:creationId xmlns:a16="http://schemas.microsoft.com/office/drawing/2014/main" id="{00000000-0008-0000-0200-00000E000000}"/>
            </a:ext>
          </a:extLst>
        </xdr:cNvPr>
        <xdr:cNvSpPr/>
      </xdr:nvSpPr>
      <xdr:spPr>
        <a:xfrm>
          <a:off x="20745450" y="158750"/>
          <a:ext cx="1296000" cy="26895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50" b="1">
              <a:solidFill>
                <a:sysClr val="windowText" lastClr="000000"/>
              </a:solidFill>
              <a:latin typeface="+mn-lt"/>
              <a:ea typeface="+mn-ea"/>
              <a:cs typeface="Arial" panose="020B0604020202020204" pitchFamily="34" charset="0"/>
            </a:rPr>
            <a:t>Get</a:t>
          </a:r>
          <a:r>
            <a:rPr lang="en-GB" sz="1050" b="1" baseline="0">
              <a:solidFill>
                <a:sysClr val="windowText" lastClr="000000"/>
              </a:solidFill>
              <a:latin typeface="+mn-lt"/>
              <a:ea typeface="+mn-ea"/>
              <a:cs typeface="Arial" panose="020B0604020202020204" pitchFamily="34" charset="0"/>
            </a:rPr>
            <a:t> loads</a:t>
          </a:r>
          <a:endParaRPr lang="en-GB" sz="1050" b="1">
            <a:solidFill>
              <a:sysClr val="windowText" lastClr="000000"/>
            </a:solidFill>
            <a:latin typeface="+mn-lt"/>
            <a:ea typeface="+mn-ea"/>
            <a:cs typeface="Arial" panose="020B0604020202020204" pitchFamily="34" charset="0"/>
          </a:endParaRPr>
        </a:p>
      </xdr:txBody>
    </xdr:sp>
    <xdr:clientData/>
  </xdr:twoCellAnchor>
  <xdr:twoCellAnchor>
    <xdr:from>
      <xdr:col>22</xdr:col>
      <xdr:colOff>0</xdr:colOff>
      <xdr:row>15</xdr:row>
      <xdr:rowOff>0</xdr:rowOff>
    </xdr:from>
    <xdr:to>
      <xdr:col>22</xdr:col>
      <xdr:colOff>1296000</xdr:colOff>
      <xdr:row>16</xdr:row>
      <xdr:rowOff>107025</xdr:rowOff>
    </xdr:to>
    <xdr:sp macro="[0]!Generate_output_file" textlink="">
      <xdr:nvSpPr>
        <xdr:cNvPr id="2" name="Rechteck 1">
          <a:extLst>
            <a:ext uri="{FF2B5EF4-FFF2-40B4-BE49-F238E27FC236}">
              <a16:creationId xmlns:a16="http://schemas.microsoft.com/office/drawing/2014/main" id="{00000000-0008-0000-0200-000002000000}"/>
            </a:ext>
          </a:extLst>
        </xdr:cNvPr>
        <xdr:cNvSpPr/>
      </xdr:nvSpPr>
      <xdr:spPr>
        <a:xfrm>
          <a:off x="4591050" y="2714625"/>
          <a:ext cx="1296000"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Generate output</a:t>
          </a:r>
        </a:p>
      </xdr:txBody>
    </xdr:sp>
    <xdr:clientData/>
  </xdr:twoCellAnchor>
  <xdr:twoCellAnchor>
    <xdr:from>
      <xdr:col>26</xdr:col>
      <xdr:colOff>0</xdr:colOff>
      <xdr:row>7</xdr:row>
      <xdr:rowOff>0</xdr:rowOff>
    </xdr:from>
    <xdr:to>
      <xdr:col>26</xdr:col>
      <xdr:colOff>1076825</xdr:colOff>
      <xdr:row>8</xdr:row>
      <xdr:rowOff>107025</xdr:rowOff>
    </xdr:to>
    <xdr:sp macro="[0]!Check_header" textlink="">
      <xdr:nvSpPr>
        <xdr:cNvPr id="17" name="Rechteck 16">
          <a:extLst>
            <a:ext uri="{FF2B5EF4-FFF2-40B4-BE49-F238E27FC236}">
              <a16:creationId xmlns:a16="http://schemas.microsoft.com/office/drawing/2014/main" id="{00000000-0008-0000-0200-000011000000}"/>
            </a:ext>
          </a:extLst>
        </xdr:cNvPr>
        <xdr:cNvSpPr/>
      </xdr:nvSpPr>
      <xdr:spPr>
        <a:xfrm>
          <a:off x="4229100" y="1266825"/>
          <a:ext cx="1076825"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00" b="1">
              <a:solidFill>
                <a:sysClr val="windowText" lastClr="000000"/>
              </a:solidFill>
              <a:latin typeface="Arial" panose="020B0604020202020204" pitchFamily="34" charset="0"/>
              <a:ea typeface="+mn-ea"/>
              <a:cs typeface="Arial" panose="020B0604020202020204" pitchFamily="34" charset="0"/>
            </a:rPr>
            <a:t>Check header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249600</xdr:colOff>
      <xdr:row>5</xdr:row>
      <xdr:rowOff>179750</xdr:rowOff>
    </xdr:from>
    <xdr:to>
      <xdr:col>5</xdr:col>
      <xdr:colOff>0</xdr:colOff>
      <xdr:row>8</xdr:row>
      <xdr:rowOff>0</xdr:rowOff>
    </xdr:to>
    <xdr:sp macro="[0]!TP_add_section" textlink="">
      <xdr:nvSpPr>
        <xdr:cNvPr id="2" name="Additionszeichen 1">
          <a:extLst>
            <a:ext uri="{FF2B5EF4-FFF2-40B4-BE49-F238E27FC236}">
              <a16:creationId xmlns:a16="http://schemas.microsoft.com/office/drawing/2014/main" id="{00000000-0008-0000-0400-000002000000}"/>
            </a:ext>
          </a:extLst>
        </xdr:cNvPr>
        <xdr:cNvSpPr/>
      </xdr:nvSpPr>
      <xdr:spPr>
        <a:xfrm>
          <a:off x="2897550" y="1087800"/>
          <a:ext cx="350475" cy="36000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100" b="1"/>
        </a:p>
      </xdr:txBody>
    </xdr:sp>
    <xdr:clientData/>
  </xdr:twoCellAnchor>
  <xdr:twoCellAnchor>
    <xdr:from>
      <xdr:col>5</xdr:col>
      <xdr:colOff>0</xdr:colOff>
      <xdr:row>5</xdr:row>
      <xdr:rowOff>179750</xdr:rowOff>
    </xdr:from>
    <xdr:to>
      <xdr:col>5</xdr:col>
      <xdr:colOff>360000</xdr:colOff>
      <xdr:row>8</xdr:row>
      <xdr:rowOff>0</xdr:rowOff>
    </xdr:to>
    <xdr:sp macro="[0]!TP_delete_section" textlink="">
      <xdr:nvSpPr>
        <xdr:cNvPr id="3" name="Minuszeichen 2">
          <a:extLst>
            <a:ext uri="{FF2B5EF4-FFF2-40B4-BE49-F238E27FC236}">
              <a16:creationId xmlns:a16="http://schemas.microsoft.com/office/drawing/2014/main" id="{00000000-0008-0000-0400-000003000000}"/>
            </a:ext>
          </a:extLst>
        </xdr:cNvPr>
        <xdr:cNvSpPr/>
      </xdr:nvSpPr>
      <xdr:spPr>
        <a:xfrm>
          <a:off x="3248025" y="1087800"/>
          <a:ext cx="360000" cy="360000"/>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endParaRPr lang="en-GB" sz="1100" b="1">
            <a:solidFill>
              <a:schemeClr val="lt1"/>
            </a:solidFill>
            <a:latin typeface="+mn-lt"/>
            <a:ea typeface="+mn-ea"/>
            <a:cs typeface="+mn-cs"/>
          </a:endParaRPr>
        </a:p>
      </xdr:txBody>
    </xdr:sp>
    <xdr:clientData/>
  </xdr:twoCellAnchor>
  <xdr:twoCellAnchor>
    <xdr:from>
      <xdr:col>5</xdr:col>
      <xdr:colOff>0</xdr:colOff>
      <xdr:row>23</xdr:row>
      <xdr:rowOff>0</xdr:rowOff>
    </xdr:from>
    <xdr:to>
      <xdr:col>5</xdr:col>
      <xdr:colOff>360000</xdr:colOff>
      <xdr:row>25</xdr:row>
      <xdr:rowOff>1225</xdr:rowOff>
    </xdr:to>
    <xdr:sp macro="[0]!MP_delete_section" textlink="">
      <xdr:nvSpPr>
        <xdr:cNvPr id="4" name="Minuszeichen 3">
          <a:extLst>
            <a:ext uri="{FF2B5EF4-FFF2-40B4-BE49-F238E27FC236}">
              <a16:creationId xmlns:a16="http://schemas.microsoft.com/office/drawing/2014/main" id="{00000000-0008-0000-0400-000004000000}"/>
            </a:ext>
          </a:extLst>
        </xdr:cNvPr>
        <xdr:cNvSpPr/>
      </xdr:nvSpPr>
      <xdr:spPr>
        <a:xfrm>
          <a:off x="3248025" y="3800475"/>
          <a:ext cx="360000" cy="363175"/>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4</xdr:col>
      <xdr:colOff>249600</xdr:colOff>
      <xdr:row>23</xdr:row>
      <xdr:rowOff>0</xdr:rowOff>
    </xdr:from>
    <xdr:to>
      <xdr:col>5</xdr:col>
      <xdr:colOff>0</xdr:colOff>
      <xdr:row>25</xdr:row>
      <xdr:rowOff>0</xdr:rowOff>
    </xdr:to>
    <xdr:sp macro="[0]!MP_add_section" textlink="">
      <xdr:nvSpPr>
        <xdr:cNvPr id="5" name="Additionszeichen 4">
          <a:extLst>
            <a:ext uri="{FF2B5EF4-FFF2-40B4-BE49-F238E27FC236}">
              <a16:creationId xmlns:a16="http://schemas.microsoft.com/office/drawing/2014/main" id="{00000000-0008-0000-0400-000005000000}"/>
            </a:ext>
          </a:extLst>
        </xdr:cNvPr>
        <xdr:cNvSpPr/>
      </xdr:nvSpPr>
      <xdr:spPr>
        <a:xfrm>
          <a:off x="2897550" y="3800475"/>
          <a:ext cx="350475" cy="36195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30</xdr:col>
      <xdr:colOff>402000</xdr:colOff>
      <xdr:row>23</xdr:row>
      <xdr:rowOff>9525</xdr:rowOff>
    </xdr:from>
    <xdr:to>
      <xdr:col>31</xdr:col>
      <xdr:colOff>0</xdr:colOff>
      <xdr:row>25</xdr:row>
      <xdr:rowOff>9525</xdr:rowOff>
    </xdr:to>
    <xdr:sp macro="[0]!MP_add_attachment" textlink="">
      <xdr:nvSpPr>
        <xdr:cNvPr id="6" name="Additionszeichen 5">
          <a:extLst>
            <a:ext uri="{FF2B5EF4-FFF2-40B4-BE49-F238E27FC236}">
              <a16:creationId xmlns:a16="http://schemas.microsoft.com/office/drawing/2014/main" id="{00000000-0008-0000-0400-000006000000}"/>
            </a:ext>
          </a:extLst>
        </xdr:cNvPr>
        <xdr:cNvSpPr/>
      </xdr:nvSpPr>
      <xdr:spPr>
        <a:xfrm>
          <a:off x="14279925" y="3806825"/>
          <a:ext cx="360000" cy="36195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30</xdr:col>
      <xdr:colOff>402000</xdr:colOff>
      <xdr:row>6</xdr:row>
      <xdr:rowOff>0</xdr:rowOff>
    </xdr:from>
    <xdr:to>
      <xdr:col>31</xdr:col>
      <xdr:colOff>0</xdr:colOff>
      <xdr:row>8</xdr:row>
      <xdr:rowOff>0</xdr:rowOff>
    </xdr:to>
    <xdr:sp macro="[0]!TP_add_attachment" textlink="">
      <xdr:nvSpPr>
        <xdr:cNvPr id="7" name="Additionszeichen 6">
          <a:extLst>
            <a:ext uri="{FF2B5EF4-FFF2-40B4-BE49-F238E27FC236}">
              <a16:creationId xmlns:a16="http://schemas.microsoft.com/office/drawing/2014/main" id="{00000000-0008-0000-0400-000007000000}"/>
            </a:ext>
          </a:extLst>
        </xdr:cNvPr>
        <xdr:cNvSpPr/>
      </xdr:nvSpPr>
      <xdr:spPr>
        <a:xfrm>
          <a:off x="14279925" y="1085850"/>
          <a:ext cx="360000" cy="36195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31</xdr:col>
      <xdr:colOff>0</xdr:colOff>
      <xdr:row>6</xdr:row>
      <xdr:rowOff>0</xdr:rowOff>
    </xdr:from>
    <xdr:to>
      <xdr:col>31</xdr:col>
      <xdr:colOff>360000</xdr:colOff>
      <xdr:row>7</xdr:row>
      <xdr:rowOff>179025</xdr:rowOff>
    </xdr:to>
    <xdr:sp macro="[0]!TP_delete_attachment" textlink="">
      <xdr:nvSpPr>
        <xdr:cNvPr id="8" name="Minuszeichen 7">
          <a:extLst>
            <a:ext uri="{FF2B5EF4-FFF2-40B4-BE49-F238E27FC236}">
              <a16:creationId xmlns:a16="http://schemas.microsoft.com/office/drawing/2014/main" id="{00000000-0008-0000-0400-000008000000}"/>
            </a:ext>
          </a:extLst>
        </xdr:cNvPr>
        <xdr:cNvSpPr/>
      </xdr:nvSpPr>
      <xdr:spPr>
        <a:xfrm>
          <a:off x="14639925" y="1085850"/>
          <a:ext cx="360000" cy="363175"/>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31</xdr:col>
      <xdr:colOff>0</xdr:colOff>
      <xdr:row>23</xdr:row>
      <xdr:rowOff>0</xdr:rowOff>
    </xdr:from>
    <xdr:to>
      <xdr:col>31</xdr:col>
      <xdr:colOff>360000</xdr:colOff>
      <xdr:row>24</xdr:row>
      <xdr:rowOff>179025</xdr:rowOff>
    </xdr:to>
    <xdr:sp macro="[0]!MP_delete_attachment" textlink="">
      <xdr:nvSpPr>
        <xdr:cNvPr id="9" name="Minuszeichen 8">
          <a:extLst>
            <a:ext uri="{FF2B5EF4-FFF2-40B4-BE49-F238E27FC236}">
              <a16:creationId xmlns:a16="http://schemas.microsoft.com/office/drawing/2014/main" id="{00000000-0008-0000-0400-000009000000}"/>
            </a:ext>
          </a:extLst>
        </xdr:cNvPr>
        <xdr:cNvSpPr/>
      </xdr:nvSpPr>
      <xdr:spPr>
        <a:xfrm>
          <a:off x="14639925" y="3800475"/>
          <a:ext cx="360000" cy="363175"/>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2</xdr:col>
      <xdr:colOff>0</xdr:colOff>
      <xdr:row>3</xdr:row>
      <xdr:rowOff>0</xdr:rowOff>
    </xdr:from>
    <xdr:to>
      <xdr:col>3</xdr:col>
      <xdr:colOff>495300</xdr:colOff>
      <xdr:row>4</xdr:row>
      <xdr:rowOff>107025</xdr:rowOff>
    </xdr:to>
    <xdr:sp macro="[0]!run_MP_TP_design" textlink="">
      <xdr:nvSpPr>
        <xdr:cNvPr id="15" name="Rechteck 14">
          <a:extLst>
            <a:ext uri="{FF2B5EF4-FFF2-40B4-BE49-F238E27FC236}">
              <a16:creationId xmlns:a16="http://schemas.microsoft.com/office/drawing/2014/main" id="{00000000-0008-0000-0400-00000F000000}"/>
            </a:ext>
          </a:extLst>
        </xdr:cNvPr>
        <xdr:cNvSpPr/>
      </xdr:nvSpPr>
      <xdr:spPr>
        <a:xfrm>
          <a:off x="1524000" y="542925"/>
          <a:ext cx="1019175"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MP TP design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4</xdr:row>
      <xdr:rowOff>0</xdr:rowOff>
    </xdr:from>
    <xdr:to>
      <xdr:col>10</xdr:col>
      <xdr:colOff>161925</xdr:colOff>
      <xdr:row>25</xdr:row>
      <xdr:rowOff>104775</xdr:rowOff>
    </xdr:to>
    <xdr:pic>
      <xdr:nvPicPr>
        <xdr:cNvPr id="5" name="Grafik 5">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000" y="723900"/>
          <a:ext cx="6257925" cy="3905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0</xdr:colOff>
      <xdr:row>8</xdr:row>
      <xdr:rowOff>0</xdr:rowOff>
    </xdr:from>
    <xdr:to>
      <xdr:col>16</xdr:col>
      <xdr:colOff>87777</xdr:colOff>
      <xdr:row>24</xdr:row>
      <xdr:rowOff>164082</xdr:rowOff>
    </xdr:to>
    <xdr:pic>
      <xdr:nvPicPr>
        <xdr:cNvPr id="8" name="Grafik 3">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0" y="1447800"/>
          <a:ext cx="3897777" cy="30596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190500</xdr:colOff>
      <xdr:row>1</xdr:row>
      <xdr:rowOff>0</xdr:rowOff>
    </xdr:from>
    <xdr:to>
      <xdr:col>1</xdr:col>
      <xdr:colOff>464050</xdr:colOff>
      <xdr:row>3</xdr:row>
      <xdr:rowOff>1225</xdr:rowOff>
    </xdr:to>
    <xdr:sp macro="[0]!Loads_clear" textlink="">
      <xdr:nvSpPr>
        <xdr:cNvPr id="3" name="Rechteck 2">
          <a:extLst>
            <a:ext uri="{FF2B5EF4-FFF2-40B4-BE49-F238E27FC236}">
              <a16:creationId xmlns:a16="http://schemas.microsoft.com/office/drawing/2014/main" id="{00000000-0008-0000-0600-000003000000}"/>
            </a:ext>
          </a:extLst>
        </xdr:cNvPr>
        <xdr:cNvSpPr/>
      </xdr:nvSpPr>
      <xdr:spPr>
        <a:xfrm>
          <a:off x="190500" y="180975"/>
          <a:ext cx="1073650" cy="363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Clear data</a:t>
          </a:r>
        </a:p>
      </xdr:txBody>
    </xdr:sp>
    <xdr:clientData/>
  </xdr:twoCellAnchor>
  <xdr:twoCellAnchor>
    <xdr:from>
      <xdr:col>0</xdr:col>
      <xdr:colOff>190500</xdr:colOff>
      <xdr:row>4</xdr:row>
      <xdr:rowOff>0</xdr:rowOff>
    </xdr:from>
    <xdr:to>
      <xdr:col>1</xdr:col>
      <xdr:colOff>464050</xdr:colOff>
      <xdr:row>6</xdr:row>
      <xdr:rowOff>1225</xdr:rowOff>
    </xdr:to>
    <xdr:sp macro="[0]!Loads_sort" textlink="">
      <xdr:nvSpPr>
        <xdr:cNvPr id="5" name="Rechteck 4">
          <a:extLst>
            <a:ext uri="{FF2B5EF4-FFF2-40B4-BE49-F238E27FC236}">
              <a16:creationId xmlns:a16="http://schemas.microsoft.com/office/drawing/2014/main" id="{00000000-0008-0000-0600-000005000000}"/>
            </a:ext>
          </a:extLst>
        </xdr:cNvPr>
        <xdr:cNvSpPr/>
      </xdr:nvSpPr>
      <xdr:spPr>
        <a:xfrm>
          <a:off x="190500" y="723900"/>
          <a:ext cx="1073650" cy="363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Load check</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0</xdr:colOff>
      <xdr:row>3</xdr:row>
      <xdr:rowOff>0</xdr:rowOff>
    </xdr:from>
    <xdr:to>
      <xdr:col>3</xdr:col>
      <xdr:colOff>133350</xdr:colOff>
      <xdr:row>3</xdr:row>
      <xdr:rowOff>190500</xdr:rowOff>
    </xdr:to>
    <xdr:pic>
      <xdr:nvPicPr>
        <xdr:cNvPr id="2" name="Grafik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971800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0</xdr:colOff>
      <xdr:row>3</xdr:row>
      <xdr:rowOff>0</xdr:rowOff>
    </xdr:from>
    <xdr:to>
      <xdr:col>4</xdr:col>
      <xdr:colOff>133350</xdr:colOff>
      <xdr:row>3</xdr:row>
      <xdr:rowOff>190500</xdr:rowOff>
    </xdr:to>
    <xdr:pic>
      <xdr:nvPicPr>
        <xdr:cNvPr id="3" name="Grafik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07042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3</xdr:row>
      <xdr:rowOff>0</xdr:rowOff>
    </xdr:from>
    <xdr:to>
      <xdr:col>5</xdr:col>
      <xdr:colOff>133350</xdr:colOff>
      <xdr:row>3</xdr:row>
      <xdr:rowOff>190500</xdr:rowOff>
    </xdr:to>
    <xdr:pic>
      <xdr:nvPicPr>
        <xdr:cNvPr id="4" name="Grafik 3">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42285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3</xdr:row>
      <xdr:rowOff>0</xdr:rowOff>
    </xdr:from>
    <xdr:to>
      <xdr:col>6</xdr:col>
      <xdr:colOff>133350</xdr:colOff>
      <xdr:row>3</xdr:row>
      <xdr:rowOff>190500</xdr:rowOff>
    </xdr:to>
    <xdr:pic>
      <xdr:nvPicPr>
        <xdr:cNvPr id="5" name="Grafik 4">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77527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156155</xdr:colOff>
      <xdr:row>42</xdr:row>
      <xdr:rowOff>115336</xdr:rowOff>
    </xdr:from>
    <xdr:to>
      <xdr:col>14</xdr:col>
      <xdr:colOff>156155</xdr:colOff>
      <xdr:row>51</xdr:row>
      <xdr:rowOff>156883</xdr:rowOff>
    </xdr:to>
    <xdr:cxnSp macro="">
      <xdr:nvCxnSpPr>
        <xdr:cNvPr id="2" name="Gerade Verbindung mit Pfeil 1">
          <a:extLst>
            <a:ext uri="{FF2B5EF4-FFF2-40B4-BE49-F238E27FC236}">
              <a16:creationId xmlns:a16="http://schemas.microsoft.com/office/drawing/2014/main" id="{00000000-0008-0000-0900-000002000000}"/>
            </a:ext>
          </a:extLst>
        </xdr:cNvPr>
        <xdr:cNvCxnSpPr/>
      </xdr:nvCxnSpPr>
      <xdr:spPr>
        <a:xfrm flipV="1">
          <a:off x="17256705" y="7716286"/>
          <a:ext cx="0" cy="1673497"/>
        </a:xfrm>
        <a:prstGeom prst="straightConnector1">
          <a:avLst/>
        </a:prstGeom>
        <a:ln w="28575">
          <a:tailEnd type="triangle"/>
        </a:ln>
      </xdr:spPr>
      <xdr:style>
        <a:lnRef idx="3">
          <a:schemeClr val="dk1"/>
        </a:lnRef>
        <a:fillRef idx="0">
          <a:schemeClr val="dk1"/>
        </a:fillRef>
        <a:effectRef idx="2">
          <a:schemeClr val="dk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156155</xdr:colOff>
      <xdr:row>42</xdr:row>
      <xdr:rowOff>115336</xdr:rowOff>
    </xdr:from>
    <xdr:to>
      <xdr:col>14</xdr:col>
      <xdr:colOff>156155</xdr:colOff>
      <xdr:row>51</xdr:row>
      <xdr:rowOff>156883</xdr:rowOff>
    </xdr:to>
    <xdr:cxnSp macro="">
      <xdr:nvCxnSpPr>
        <xdr:cNvPr id="2" name="Gerade Verbindung mit Pfeil 1">
          <a:extLst>
            <a:ext uri="{FF2B5EF4-FFF2-40B4-BE49-F238E27FC236}">
              <a16:creationId xmlns:a16="http://schemas.microsoft.com/office/drawing/2014/main" id="{00000000-0008-0000-0A00-000002000000}"/>
            </a:ext>
          </a:extLst>
        </xdr:cNvPr>
        <xdr:cNvCxnSpPr/>
      </xdr:nvCxnSpPr>
      <xdr:spPr>
        <a:xfrm flipV="1">
          <a:off x="15847005" y="7716286"/>
          <a:ext cx="0" cy="1673497"/>
        </a:xfrm>
        <a:prstGeom prst="straightConnector1">
          <a:avLst/>
        </a:prstGeom>
        <a:ln w="28575">
          <a:tailEnd type="triangle"/>
        </a:ln>
      </xdr:spPr>
      <xdr:style>
        <a:lnRef idx="3">
          <a:schemeClr val="dk1"/>
        </a:lnRef>
        <a:fillRef idx="0">
          <a:schemeClr val="dk1"/>
        </a:fillRef>
        <a:effectRef idx="2">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218824</xdr:colOff>
      <xdr:row>2</xdr:row>
      <xdr:rowOff>0</xdr:rowOff>
    </xdr:from>
    <xdr:to>
      <xdr:col>1</xdr:col>
      <xdr:colOff>212824</xdr:colOff>
      <xdr:row>5</xdr:row>
      <xdr:rowOff>250</xdr:rowOff>
    </xdr:to>
    <xdr:sp macro="[0]!Loads_update" textlink="">
      <xdr:nvSpPr>
        <xdr:cNvPr id="3" name="Rechteck 2">
          <a:extLst>
            <a:ext uri="{FF2B5EF4-FFF2-40B4-BE49-F238E27FC236}">
              <a16:creationId xmlns:a16="http://schemas.microsoft.com/office/drawing/2014/main" id="{00000000-0008-0000-0B00-000003000000}"/>
            </a:ext>
          </a:extLst>
        </xdr:cNvPr>
        <xdr:cNvSpPr/>
      </xdr:nvSpPr>
      <xdr:spPr>
        <a:xfrm>
          <a:off x="218824" y="361950"/>
          <a:ext cx="756000" cy="543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Load update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48</xdr:col>
      <xdr:colOff>0</xdr:colOff>
      <xdr:row>3</xdr:row>
      <xdr:rowOff>0</xdr:rowOff>
    </xdr:from>
    <xdr:to>
      <xdr:col>48</xdr:col>
      <xdr:colOff>133350</xdr:colOff>
      <xdr:row>3</xdr:row>
      <xdr:rowOff>190500</xdr:rowOff>
    </xdr:to>
    <xdr:pic>
      <xdr:nvPicPr>
        <xdr:cNvPr id="2" name="Grafik 1">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982277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49</xdr:col>
      <xdr:colOff>0</xdr:colOff>
      <xdr:row>3</xdr:row>
      <xdr:rowOff>0</xdr:rowOff>
    </xdr:from>
    <xdr:to>
      <xdr:col>49</xdr:col>
      <xdr:colOff>133350</xdr:colOff>
      <xdr:row>3</xdr:row>
      <xdr:rowOff>190500</xdr:rowOff>
    </xdr:to>
    <xdr:pic>
      <xdr:nvPicPr>
        <xdr:cNvPr id="3" name="Grafik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17520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50</xdr:col>
      <xdr:colOff>0</xdr:colOff>
      <xdr:row>3</xdr:row>
      <xdr:rowOff>0</xdr:rowOff>
    </xdr:from>
    <xdr:to>
      <xdr:col>50</xdr:col>
      <xdr:colOff>133350</xdr:colOff>
      <xdr:row>3</xdr:row>
      <xdr:rowOff>190500</xdr:rowOff>
    </xdr:to>
    <xdr:pic>
      <xdr:nvPicPr>
        <xdr:cNvPr id="4" name="Grafik 3">
          <a:extLst>
            <a:ext uri="{FF2B5EF4-FFF2-40B4-BE49-F238E27FC236}">
              <a16:creationId xmlns:a16="http://schemas.microsoft.com/office/drawing/2014/main" id="{00000000-0008-0000-1000-000004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52762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51</xdr:col>
      <xdr:colOff>0</xdr:colOff>
      <xdr:row>3</xdr:row>
      <xdr:rowOff>0</xdr:rowOff>
    </xdr:from>
    <xdr:to>
      <xdr:col>51</xdr:col>
      <xdr:colOff>133350</xdr:colOff>
      <xdr:row>3</xdr:row>
      <xdr:rowOff>190500</xdr:rowOff>
    </xdr:to>
    <xdr:pic>
      <xdr:nvPicPr>
        <xdr:cNvPr id="5" name="Grafik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88005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12</xdr:col>
          <xdr:colOff>0</xdr:colOff>
          <xdr:row>3</xdr:row>
          <xdr:rowOff>0</xdr:rowOff>
        </xdr:from>
        <xdr:to>
          <xdr:col>14</xdr:col>
          <xdr:colOff>0</xdr:colOff>
          <xdr:row>6</xdr:row>
          <xdr:rowOff>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000-000001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Calibri"/>
                  <a:cs typeface="Calibri"/>
                </a:rPr>
                <a:t>Run ULS analysis: MP driving</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3</xdr:row>
          <xdr:rowOff>0</xdr:rowOff>
        </xdr:from>
        <xdr:to>
          <xdr:col>14</xdr:col>
          <xdr:colOff>0</xdr:colOff>
          <xdr:row>6</xdr:row>
          <xdr:rowOff>0</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1100-000001A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Calibri"/>
                  <a:cs typeface="Calibri"/>
                </a:rPr>
                <a:t>Run FLS analysis: MP</a:t>
              </a:r>
            </a:p>
          </xdr:txBody>
        </xdr:sp>
        <xdr:clientData fPrintsWithSheet="0"/>
      </xdr:twoCellAnchor>
    </mc:Choice>
    <mc:Fallback/>
  </mc:AlternateContent>
</xdr:wsDr>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60370-91ED-4B63-88C2-F91284C49D72}">
  <sheetPr codeName="Tabelle9">
    <tabColor theme="0" tint="-0.249977111117893"/>
  </sheetPr>
  <dimension ref="B2:C12"/>
  <sheetViews>
    <sheetView topLeftCell="A8" workbookViewId="0">
      <selection activeCell="C13" sqref="C13"/>
    </sheetView>
  </sheetViews>
  <sheetFormatPr baseColWidth="10" defaultRowHeight="14.4"/>
  <cols>
    <col min="2" max="2" width="18.5546875" customWidth="1"/>
    <col min="3" max="3" width="60.5546875" customWidth="1"/>
  </cols>
  <sheetData>
    <row r="2" spans="2:3" ht="115.2">
      <c r="B2" s="76" t="s">
        <v>311</v>
      </c>
      <c r="C2" s="77" t="s">
        <v>319</v>
      </c>
    </row>
    <row r="4" spans="2:3" ht="86.4">
      <c r="B4" s="76" t="s">
        <v>312</v>
      </c>
      <c r="C4" s="77" t="s">
        <v>313</v>
      </c>
    </row>
    <row r="5" spans="2:3" ht="288">
      <c r="B5" s="76" t="s">
        <v>314</v>
      </c>
      <c r="C5" s="77" t="s">
        <v>442</v>
      </c>
    </row>
    <row r="6" spans="2:3" ht="144">
      <c r="B6" s="76" t="s">
        <v>315</v>
      </c>
      <c r="C6" s="77" t="s">
        <v>318</v>
      </c>
    </row>
    <row r="7" spans="2:3" ht="57.6">
      <c r="B7" s="76" t="s">
        <v>316</v>
      </c>
      <c r="C7" s="77" t="s">
        <v>317</v>
      </c>
    </row>
    <row r="8" spans="2:3" ht="100.8">
      <c r="B8" s="76" t="s">
        <v>354</v>
      </c>
      <c r="C8" s="77" t="s">
        <v>357</v>
      </c>
    </row>
    <row r="9" spans="2:3" ht="100.8">
      <c r="B9" s="76" t="s">
        <v>441</v>
      </c>
      <c r="C9" s="77" t="s">
        <v>443</v>
      </c>
    </row>
    <row r="10" spans="2:3" ht="86.4">
      <c r="B10" s="76" t="s">
        <v>352</v>
      </c>
      <c r="C10" s="77" t="s">
        <v>356</v>
      </c>
    </row>
    <row r="11" spans="2:3" ht="72">
      <c r="B11" s="76" t="s">
        <v>353</v>
      </c>
      <c r="C11" s="77" t="s">
        <v>355</v>
      </c>
    </row>
    <row r="12" spans="2:3" ht="129.6">
      <c r="B12" s="76" t="s">
        <v>326</v>
      </c>
      <c r="C12" s="77" t="s">
        <v>649</v>
      </c>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5D16E-835C-46DF-A1CD-99FAEEAF2194}">
  <sheetPr codeName="Tabelle11">
    <tabColor theme="0" tint="-0.249977111117893"/>
  </sheetPr>
  <dimension ref="B2:E12"/>
  <sheetViews>
    <sheetView workbookViewId="0">
      <selection activeCell="E34" sqref="E34"/>
    </sheetView>
  </sheetViews>
  <sheetFormatPr baseColWidth="10" defaultColWidth="10.77734375" defaultRowHeight="13.2"/>
  <cols>
    <col min="1" max="1" width="10.5546875" style="32"/>
    <col min="2" max="2" width="12.5546875" style="32" customWidth="1"/>
    <col min="3" max="3" width="10.77734375" style="32" bestFit="1" customWidth="1"/>
    <col min="4" max="4" width="12.5546875" style="32" customWidth="1"/>
    <col min="5" max="5" width="50.5546875" style="32" customWidth="1"/>
    <col min="6" max="16384" width="10.77734375" style="32"/>
  </cols>
  <sheetData>
    <row r="2" spans="2:5" ht="25.5" customHeight="1">
      <c r="B2" s="229" t="s">
        <v>320</v>
      </c>
      <c r="C2" s="230"/>
      <c r="D2" s="230"/>
      <c r="E2" s="231"/>
    </row>
    <row r="3" spans="2:5" ht="26.4">
      <c r="B3" s="78" t="s">
        <v>309</v>
      </c>
      <c r="C3" s="78" t="s">
        <v>325</v>
      </c>
      <c r="D3" s="78" t="s">
        <v>321</v>
      </c>
      <c r="E3" s="78" t="s">
        <v>322</v>
      </c>
    </row>
    <row r="4" spans="2:5">
      <c r="B4" s="81" t="s">
        <v>324</v>
      </c>
      <c r="C4" s="81" t="s">
        <v>310</v>
      </c>
      <c r="D4" s="79">
        <v>44614</v>
      </c>
      <c r="E4" s="82" t="s">
        <v>323</v>
      </c>
    </row>
    <row r="5" spans="2:5">
      <c r="B5" s="83" t="s">
        <v>436</v>
      </c>
      <c r="C5" s="83" t="s">
        <v>437</v>
      </c>
      <c r="D5" s="80">
        <v>44643</v>
      </c>
      <c r="E5" s="85" t="s">
        <v>438</v>
      </c>
    </row>
    <row r="6" spans="2:5" ht="26.4">
      <c r="B6" s="84" t="s">
        <v>439</v>
      </c>
      <c r="C6" s="84" t="s">
        <v>437</v>
      </c>
      <c r="D6" s="79">
        <v>44722</v>
      </c>
      <c r="E6" s="82" t="s">
        <v>440</v>
      </c>
    </row>
    <row r="7" spans="2:5" ht="39.6">
      <c r="B7" s="83" t="s">
        <v>446</v>
      </c>
      <c r="C7" s="83" t="s">
        <v>437</v>
      </c>
      <c r="D7" s="80">
        <v>44743</v>
      </c>
      <c r="E7" s="85" t="s">
        <v>447</v>
      </c>
    </row>
    <row r="8" spans="2:5" ht="26.4">
      <c r="B8" s="84">
        <v>1.4</v>
      </c>
      <c r="C8" s="84" t="s">
        <v>437</v>
      </c>
      <c r="D8" s="79">
        <v>44811</v>
      </c>
      <c r="E8" s="82" t="s">
        <v>449</v>
      </c>
    </row>
    <row r="9" spans="2:5" ht="66">
      <c r="B9" s="83">
        <v>1.5</v>
      </c>
      <c r="C9" s="83" t="s">
        <v>437</v>
      </c>
      <c r="D9" s="80">
        <v>44951</v>
      </c>
      <c r="E9" s="85" t="s">
        <v>482</v>
      </c>
    </row>
    <row r="10" spans="2:5" ht="118.8">
      <c r="B10" s="81" t="s">
        <v>651</v>
      </c>
      <c r="C10" s="84" t="s">
        <v>607</v>
      </c>
      <c r="D10" s="79">
        <v>45300</v>
      </c>
      <c r="E10" s="82" t="s">
        <v>625</v>
      </c>
    </row>
    <row r="11" spans="2:5" ht="39.6">
      <c r="B11" s="83" t="s">
        <v>627</v>
      </c>
      <c r="C11" s="83" t="s">
        <v>437</v>
      </c>
      <c r="D11" s="80">
        <v>45390</v>
      </c>
      <c r="E11" s="85" t="s">
        <v>648</v>
      </c>
    </row>
    <row r="12" spans="2:5" ht="52.8">
      <c r="B12" s="81" t="s">
        <v>652</v>
      </c>
      <c r="C12" s="84" t="s">
        <v>437</v>
      </c>
      <c r="D12" s="79">
        <v>45418</v>
      </c>
      <c r="E12" s="82" t="s">
        <v>653</v>
      </c>
    </row>
  </sheetData>
  <mergeCells count="1">
    <mergeCell ref="B2:E2"/>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5CBB8-10A4-48B1-971F-F701ED369C99}">
  <sheetPr codeName="Tabelle2">
    <tabColor rgb="FF008F85"/>
    <pageSetUpPr fitToPage="1"/>
  </sheetPr>
  <dimension ref="C2:AL80"/>
  <sheetViews>
    <sheetView workbookViewId="0">
      <selection activeCell="F11" sqref="F11"/>
    </sheetView>
  </sheetViews>
  <sheetFormatPr baseColWidth="10" defaultRowHeight="14.4"/>
  <cols>
    <col min="3" max="3" width="10.77734375" style="154"/>
    <col min="4" max="4" width="10.77734375" style="155" customWidth="1"/>
    <col min="5" max="5" width="53.21875" customWidth="1"/>
    <col min="6" max="7" width="10.77734375" customWidth="1"/>
    <col min="8" max="8" width="10.77734375" style="154" customWidth="1"/>
    <col min="9" max="9" width="10.77734375" style="155" customWidth="1"/>
    <col min="10" max="10" width="59.21875" customWidth="1"/>
    <col min="11" max="11" width="75.5546875" customWidth="1"/>
    <col min="12" max="12" width="10.77734375" style="154" customWidth="1"/>
    <col min="13" max="13" width="10.77734375" style="155" customWidth="1"/>
    <col min="14" max="14" width="10.77734375" customWidth="1"/>
    <col min="15" max="15" width="75.5546875" customWidth="1"/>
    <col min="16" max="16" width="10.77734375" style="154" customWidth="1"/>
    <col min="17" max="17" width="10.77734375" style="155" customWidth="1"/>
    <col min="18" max="18" width="10.77734375" customWidth="1"/>
    <col min="19" max="19" width="75.5546875" customWidth="1"/>
    <col min="20" max="20" width="10.77734375" style="154" customWidth="1"/>
    <col min="21" max="21" width="10.77734375" style="155" customWidth="1"/>
    <col min="22" max="22" width="22.21875" customWidth="1"/>
    <col min="23" max="23" width="75.5546875" customWidth="1"/>
    <col min="24" max="24" width="10.77734375" style="154" customWidth="1"/>
    <col min="25" max="25" width="10.77734375" style="155" customWidth="1"/>
    <col min="26" max="26" width="16.77734375" customWidth="1"/>
    <col min="27" max="27" width="60.5546875" customWidth="1"/>
    <col min="28" max="28" width="10.77734375" style="154" customWidth="1"/>
    <col min="29" max="29" width="10.77734375" style="155" customWidth="1"/>
    <col min="30" max="30" width="26.77734375" customWidth="1"/>
    <col min="31" max="31" width="75.5546875" customWidth="1"/>
    <col min="32" max="32" width="10.77734375" style="154" customWidth="1"/>
    <col min="33" max="33" width="10.77734375" style="155" customWidth="1"/>
    <col min="34" max="35" width="14.21875" customWidth="1"/>
    <col min="36" max="36" width="75.5546875" customWidth="1"/>
    <col min="37" max="37" width="10.77734375" style="154" customWidth="1"/>
    <col min="38" max="38" width="10.77734375" style="155"/>
  </cols>
  <sheetData>
    <row r="2" spans="5:36">
      <c r="E2" s="156" t="s">
        <v>496</v>
      </c>
      <c r="J2" s="156" t="s">
        <v>188</v>
      </c>
      <c r="R2" s="156" t="s">
        <v>204</v>
      </c>
      <c r="V2" s="156" t="s">
        <v>189</v>
      </c>
      <c r="AD2" s="156" t="s">
        <v>327</v>
      </c>
      <c r="AH2" s="156" t="s">
        <v>489</v>
      </c>
      <c r="AI2" s="156"/>
    </row>
    <row r="3" spans="5:36">
      <c r="E3" s="157" t="s">
        <v>497</v>
      </c>
      <c r="F3" s="183" t="s">
        <v>71</v>
      </c>
      <c r="J3" s="158" t="s">
        <v>233</v>
      </c>
      <c r="K3" s="123">
        <v>1.2</v>
      </c>
      <c r="R3" s="158" t="s">
        <v>292</v>
      </c>
      <c r="S3" s="123" t="s">
        <v>629</v>
      </c>
      <c r="V3" s="159" t="s">
        <v>190</v>
      </c>
      <c r="W3" s="123" t="s">
        <v>173</v>
      </c>
      <c r="AD3" s="159" t="s">
        <v>332</v>
      </c>
      <c r="AE3" s="123" t="s">
        <v>173</v>
      </c>
      <c r="AH3" s="158" t="s">
        <v>511</v>
      </c>
      <c r="AI3" s="232"/>
      <c r="AJ3" s="233"/>
    </row>
    <row r="4" spans="5:36">
      <c r="J4" s="160" t="s">
        <v>306</v>
      </c>
      <c r="K4" s="125" t="s">
        <v>628</v>
      </c>
      <c r="R4" s="161" t="s">
        <v>291</v>
      </c>
      <c r="S4" s="126">
        <v>5</v>
      </c>
      <c r="V4" s="162" t="s">
        <v>307</v>
      </c>
      <c r="W4" s="127" t="s">
        <v>632</v>
      </c>
      <c r="AD4" s="162" t="str">
        <f>IF(UPPER(AE3)="Y","  Path (Draw. Gen., MP, excel)","")</f>
        <v xml:space="preserve">  Path (Draw. Gen., MP, excel)</v>
      </c>
      <c r="AE4" s="125" t="s">
        <v>334</v>
      </c>
      <c r="AH4" s="161" t="s">
        <v>493</v>
      </c>
      <c r="AI4" s="234"/>
      <c r="AJ4" s="235"/>
    </row>
    <row r="5" spans="5:36">
      <c r="J5" s="163" t="s">
        <v>187</v>
      </c>
      <c r="K5" s="129" t="s">
        <v>631</v>
      </c>
      <c r="N5" s="156" t="s">
        <v>490</v>
      </c>
      <c r="V5" s="163" t="s">
        <v>308</v>
      </c>
      <c r="W5" s="129" t="s">
        <v>617</v>
      </c>
      <c r="AD5" s="163" t="str">
        <f>IF(UPPER(AE3)="Y","  Path (for saving, MP)","")</f>
        <v xml:space="preserve">  Path (for saving, MP)</v>
      </c>
      <c r="AE5" s="129"/>
    </row>
    <row r="6" spans="5:36">
      <c r="E6" s="156" t="s">
        <v>273</v>
      </c>
      <c r="J6" s="160" t="str">
        <f>IF(F39="DNV","SN curves for driving (base material)","")</f>
        <v/>
      </c>
      <c r="K6" s="125" t="s">
        <v>149</v>
      </c>
      <c r="N6" s="158" t="s">
        <v>492</v>
      </c>
      <c r="O6" s="123" t="s">
        <v>673</v>
      </c>
      <c r="V6" s="162" t="s">
        <v>191</v>
      </c>
      <c r="W6" s="130" t="s">
        <v>145</v>
      </c>
      <c r="AD6" s="162" t="str">
        <f>IF(UPPER(AE3)="Y","  File name (for saving, MP)","")</f>
        <v xml:space="preserve">  File name (for saving, MP)</v>
      </c>
      <c r="AE6" s="125"/>
      <c r="AH6" s="156" t="s">
        <v>503</v>
      </c>
    </row>
    <row r="7" spans="5:36">
      <c r="E7" s="159" t="s">
        <v>132</v>
      </c>
      <c r="F7" s="122" t="s">
        <v>52</v>
      </c>
      <c r="G7" s="164"/>
      <c r="J7" s="165" t="s">
        <v>347</v>
      </c>
      <c r="K7" s="131" t="s">
        <v>71</v>
      </c>
      <c r="N7" s="161" t="s">
        <v>491</v>
      </c>
      <c r="O7" s="126" t="s">
        <v>626</v>
      </c>
      <c r="V7" s="163" t="s">
        <v>192</v>
      </c>
      <c r="W7" s="129" t="s">
        <v>272</v>
      </c>
      <c r="AD7" s="163" t="s">
        <v>333</v>
      </c>
      <c r="AE7" s="129" t="s">
        <v>173</v>
      </c>
      <c r="AH7" s="159" t="s">
        <v>504</v>
      </c>
      <c r="AI7" s="123" t="s">
        <v>71</v>
      </c>
    </row>
    <row r="8" spans="5:36">
      <c r="E8" s="162" t="s">
        <v>137</v>
      </c>
      <c r="F8" s="124">
        <v>-45.43</v>
      </c>
      <c r="G8" s="166" t="str">
        <f>"m"&amp;$F$7</f>
        <v>mLAT</v>
      </c>
      <c r="V8" s="162" t="s">
        <v>304</v>
      </c>
      <c r="W8" s="127"/>
      <c r="AD8" s="162" t="str">
        <f>IF(UPPER(AE7)="Y","  Path (Draw. Gen., TP, excel)","")</f>
        <v xml:space="preserve">  Path (Draw. Gen., TP, excel)</v>
      </c>
      <c r="AE8" s="125" t="s">
        <v>334</v>
      </c>
      <c r="AH8" s="162" t="s">
        <v>510</v>
      </c>
      <c r="AI8" s="127" t="s">
        <v>71</v>
      </c>
    </row>
    <row r="9" spans="5:36">
      <c r="E9" s="163" t="s">
        <v>185</v>
      </c>
      <c r="F9" s="128">
        <v>20.9</v>
      </c>
      <c r="G9" s="167" t="str">
        <f>"m"&amp;$F$7</f>
        <v>mLAT</v>
      </c>
      <c r="V9" s="163" t="s">
        <v>305</v>
      </c>
      <c r="W9" s="129"/>
      <c r="AD9" s="163" t="str">
        <f>IF(UPPER(AE7)="Y","  Path (for saving, TP)","")</f>
        <v xml:space="preserve">  Path (for saving, TP)</v>
      </c>
      <c r="AE9" s="129"/>
      <c r="AH9" s="163" t="s">
        <v>506</v>
      </c>
      <c r="AI9" s="129" t="s">
        <v>71</v>
      </c>
    </row>
    <row r="10" spans="5:36">
      <c r="E10" s="162" t="s">
        <v>186</v>
      </c>
      <c r="F10" s="124">
        <v>5.5</v>
      </c>
      <c r="G10" s="166" t="str">
        <f>"m"&amp;$F$7</f>
        <v>mLAT</v>
      </c>
      <c r="V10" s="162" t="s">
        <v>328</v>
      </c>
      <c r="W10" s="127" t="s">
        <v>173</v>
      </c>
      <c r="AD10" s="168" t="str">
        <f>IF(UPPER(AE7)="Y","  File name (for saving, TP)","")</f>
        <v xml:space="preserve">  File name (for saving, TP)</v>
      </c>
      <c r="AE10" s="126"/>
      <c r="AH10" s="162" t="s">
        <v>507</v>
      </c>
      <c r="AI10" s="127" t="s">
        <v>71</v>
      </c>
    </row>
    <row r="11" spans="5:36">
      <c r="E11" s="163" t="s">
        <v>143</v>
      </c>
      <c r="F11" s="128">
        <v>1.0249999999999999</v>
      </c>
      <c r="G11" s="167" t="s">
        <v>144</v>
      </c>
      <c r="V11" s="163" t="s">
        <v>329</v>
      </c>
      <c r="W11" s="129" t="s">
        <v>173</v>
      </c>
      <c r="Z11" s="156" t="s">
        <v>495</v>
      </c>
      <c r="AH11" s="163" t="s">
        <v>505</v>
      </c>
      <c r="AI11" s="129" t="s">
        <v>71</v>
      </c>
    </row>
    <row r="12" spans="5:36">
      <c r="E12" s="162" t="s">
        <v>444</v>
      </c>
      <c r="F12" s="124">
        <v>0.3</v>
      </c>
      <c r="G12" s="166" t="s">
        <v>262</v>
      </c>
      <c r="V12" s="162" t="s">
        <v>330</v>
      </c>
      <c r="W12" s="127" t="s">
        <v>173</v>
      </c>
      <c r="Z12" s="157" t="s">
        <v>494</v>
      </c>
      <c r="AA12" s="133" t="s">
        <v>630</v>
      </c>
      <c r="AH12" s="162" t="s">
        <v>508</v>
      </c>
      <c r="AI12" s="127" t="s">
        <v>71</v>
      </c>
    </row>
    <row r="13" spans="5:36">
      <c r="E13" s="169" t="s">
        <v>445</v>
      </c>
      <c r="F13" s="132">
        <v>0.15</v>
      </c>
      <c r="G13" s="170" t="s">
        <v>262</v>
      </c>
      <c r="V13" s="163" t="s">
        <v>331</v>
      </c>
      <c r="W13" s="129" t="s">
        <v>173</v>
      </c>
      <c r="AH13" s="169" t="s">
        <v>509</v>
      </c>
      <c r="AI13" s="131" t="s">
        <v>71</v>
      </c>
    </row>
    <row r="14" spans="5:36">
      <c r="V14" s="161" t="s">
        <v>270</v>
      </c>
      <c r="W14" s="126">
        <v>1.0900000000000001</v>
      </c>
      <c r="Z14" s="159" t="s">
        <v>152</v>
      </c>
      <c r="AA14" s="151" t="s">
        <v>633</v>
      </c>
    </row>
    <row r="15" spans="5:36">
      <c r="E15" s="156" t="s">
        <v>160</v>
      </c>
      <c r="Z15" s="162" t="s">
        <v>153</v>
      </c>
      <c r="AA15" s="150" t="s">
        <v>634</v>
      </c>
      <c r="AJ15" s="225"/>
    </row>
    <row r="16" spans="5:36">
      <c r="E16" s="159" t="s">
        <v>161</v>
      </c>
      <c r="F16" s="122">
        <v>8.1</v>
      </c>
      <c r="G16" s="164" t="str">
        <f>"m"&amp;$F$7</f>
        <v>mLAT</v>
      </c>
      <c r="Z16" s="163" t="s">
        <v>154</v>
      </c>
      <c r="AA16" s="152" t="s">
        <v>635</v>
      </c>
      <c r="AJ16" s="226" t="s">
        <v>622</v>
      </c>
    </row>
    <row r="17" spans="5:36">
      <c r="E17" s="162" t="s">
        <v>162</v>
      </c>
      <c r="F17" s="124">
        <v>-3.4</v>
      </c>
      <c r="G17" s="166" t="str">
        <f>"m"&amp;$F$7</f>
        <v>mLAT</v>
      </c>
      <c r="Z17" s="162" t="s">
        <v>155</v>
      </c>
      <c r="AA17" s="150" t="s">
        <v>636</v>
      </c>
      <c r="AJ17" s="225"/>
    </row>
    <row r="18" spans="5:36">
      <c r="E18" s="163" t="s">
        <v>163</v>
      </c>
      <c r="F18" s="128">
        <v>3</v>
      </c>
      <c r="G18" s="167" t="str">
        <f>"m"&amp;$F$7</f>
        <v>mLAT</v>
      </c>
      <c r="Z18" s="163" t="s">
        <v>156</v>
      </c>
      <c r="AA18" s="152"/>
    </row>
    <row r="19" spans="5:36">
      <c r="E19" s="168" t="s">
        <v>164</v>
      </c>
      <c r="F19" s="134">
        <v>-0.6</v>
      </c>
      <c r="G19" s="171" t="str">
        <f>"m"&amp;$F$7</f>
        <v>mLAT</v>
      </c>
      <c r="Z19" s="162" t="s">
        <v>157</v>
      </c>
      <c r="AA19" s="150" t="s">
        <v>637</v>
      </c>
    </row>
    <row r="20" spans="5:36">
      <c r="F20" s="8"/>
      <c r="Z20" s="163" t="s">
        <v>158</v>
      </c>
      <c r="AA20" s="152" t="s">
        <v>638</v>
      </c>
    </row>
    <row r="21" spans="5:36">
      <c r="E21" s="156" t="s">
        <v>127</v>
      </c>
      <c r="F21" s="8"/>
      <c r="Z21" s="168" t="s">
        <v>159</v>
      </c>
      <c r="AA21" s="153" t="s">
        <v>638</v>
      </c>
    </row>
    <row r="22" spans="5:36">
      <c r="E22" s="159" t="s">
        <v>197</v>
      </c>
      <c r="F22" s="135">
        <v>0</v>
      </c>
      <c r="G22" s="164" t="str">
        <f>"m"&amp;$F$7</f>
        <v>mLAT</v>
      </c>
    </row>
    <row r="23" spans="5:36">
      <c r="E23" s="162" t="s">
        <v>165</v>
      </c>
      <c r="F23" s="136">
        <v>-15</v>
      </c>
      <c r="G23" s="166" t="s">
        <v>167</v>
      </c>
    </row>
    <row r="24" spans="5:36">
      <c r="E24" s="163" t="s">
        <v>261</v>
      </c>
      <c r="F24" s="137">
        <v>-5</v>
      </c>
      <c r="G24" s="172" t="s">
        <v>167</v>
      </c>
    </row>
    <row r="25" spans="5:36">
      <c r="E25" s="168" t="s">
        <v>166</v>
      </c>
      <c r="F25" s="138">
        <v>-10</v>
      </c>
      <c r="G25" s="173" t="s">
        <v>167</v>
      </c>
    </row>
    <row r="26" spans="5:36">
      <c r="F26" s="8"/>
    </row>
    <row r="27" spans="5:36">
      <c r="E27" s="156" t="s">
        <v>274</v>
      </c>
      <c r="F27" s="8"/>
    </row>
    <row r="28" spans="5:36">
      <c r="E28" s="159" t="s">
        <v>277</v>
      </c>
      <c r="F28" s="139">
        <v>1</v>
      </c>
      <c r="G28" s="164"/>
    </row>
    <row r="29" spans="5:36">
      <c r="E29" s="162" t="s">
        <v>278</v>
      </c>
      <c r="F29" s="140">
        <v>1.1000000000000001</v>
      </c>
      <c r="G29" s="166"/>
    </row>
    <row r="30" spans="5:36">
      <c r="E30" s="163" t="s">
        <v>202</v>
      </c>
      <c r="F30" s="141" t="s">
        <v>138</v>
      </c>
      <c r="G30" s="167"/>
    </row>
    <row r="31" spans="5:36">
      <c r="E31" s="162" t="s">
        <v>203</v>
      </c>
      <c r="F31" s="142" t="s">
        <v>138</v>
      </c>
      <c r="G31" s="166"/>
    </row>
    <row r="32" spans="5:36">
      <c r="E32" s="169" t="s">
        <v>198</v>
      </c>
      <c r="F32" s="132">
        <v>0.66666666666666663</v>
      </c>
      <c r="G32" s="170"/>
    </row>
    <row r="34" spans="5:7">
      <c r="E34" s="156" t="s">
        <v>168</v>
      </c>
    </row>
    <row r="35" spans="5:7">
      <c r="E35" s="158" t="s">
        <v>139</v>
      </c>
      <c r="F35" s="139">
        <v>3.8</v>
      </c>
      <c r="G35" s="164" t="str">
        <f>"m"&amp;$F$7</f>
        <v>mLAT</v>
      </c>
    </row>
    <row r="36" spans="5:7">
      <c r="E36" s="161" t="s">
        <v>169</v>
      </c>
      <c r="F36" s="143">
        <v>17.3</v>
      </c>
      <c r="G36" s="173" t="str">
        <f>"m"&amp;$F$7</f>
        <v>mLAT</v>
      </c>
    </row>
    <row r="38" spans="5:7">
      <c r="E38" s="156" t="s">
        <v>275</v>
      </c>
    </row>
    <row r="39" spans="5:7">
      <c r="E39" s="158" t="s">
        <v>346</v>
      </c>
      <c r="F39" s="135" t="s">
        <v>149</v>
      </c>
      <c r="G39" s="164"/>
    </row>
    <row r="40" spans="5:7">
      <c r="E40" s="160" t="s">
        <v>41</v>
      </c>
      <c r="F40" s="140">
        <v>31</v>
      </c>
      <c r="G40" s="166" t="s">
        <v>276</v>
      </c>
    </row>
    <row r="41" spans="5:7">
      <c r="E41" s="174" t="s">
        <v>170</v>
      </c>
      <c r="F41" s="144">
        <v>30</v>
      </c>
      <c r="G41" s="167" t="s">
        <v>276</v>
      </c>
    </row>
    <row r="42" spans="5:7">
      <c r="E42" s="160" t="s">
        <v>171</v>
      </c>
      <c r="F42" s="140">
        <v>19</v>
      </c>
      <c r="G42" s="166" t="s">
        <v>276</v>
      </c>
    </row>
    <row r="43" spans="5:7">
      <c r="E43" s="174" t="s">
        <v>174</v>
      </c>
      <c r="F43" s="145" t="s">
        <v>71</v>
      </c>
      <c r="G43" s="167"/>
    </row>
    <row r="44" spans="5:7">
      <c r="E44" s="160" t="str">
        <f>IF(UPPER(F43)="N","","  Inspection is possible above")</f>
        <v/>
      </c>
      <c r="F44" s="140">
        <v>0</v>
      </c>
      <c r="G44" s="166" t="str">
        <f>IF(F43="N","","m"&amp;$F$7)</f>
        <v/>
      </c>
    </row>
    <row r="45" spans="5:7">
      <c r="E45" s="174" t="s">
        <v>200</v>
      </c>
      <c r="F45" s="144">
        <v>0</v>
      </c>
      <c r="G45" s="167"/>
    </row>
    <row r="46" spans="5:7">
      <c r="E46" s="160" t="s">
        <v>201</v>
      </c>
      <c r="F46" s="140">
        <v>0</v>
      </c>
      <c r="G46" s="166"/>
    </row>
    <row r="47" spans="5:7">
      <c r="E47" s="174" t="s">
        <v>172</v>
      </c>
      <c r="F47" s="145" t="s">
        <v>71</v>
      </c>
      <c r="G47" s="167"/>
    </row>
    <row r="48" spans="5:7">
      <c r="E48" s="160" t="str">
        <f>IF(UPPER(F47)="Y","  Value to consider for detailed driving damage (long. welds)","  Value to consider for detailed driving damage (circ. and long. welds)")</f>
        <v xml:space="preserve">  Value to consider for detailed driving damage (circ. and long. welds)</v>
      </c>
      <c r="F48" s="140">
        <v>0.1</v>
      </c>
      <c r="G48" s="166"/>
    </row>
    <row r="49" spans="5:7">
      <c r="E49" s="163" t="str">
        <f>IF(UPPER(F47)="Y","","  Value to consider for detailed driving damage (attachments)")</f>
        <v xml:space="preserve">  Value to consider for detailed driving damage (attachments)</v>
      </c>
      <c r="F49" s="144">
        <v>0.3</v>
      </c>
      <c r="G49" s="172"/>
    </row>
    <row r="50" spans="5:7">
      <c r="E50" s="160" t="str">
        <f>IF(UPPER(F47)="Y","","  Include detailed driving damage in report anyway?")</f>
        <v xml:space="preserve">  Include detailed driving damage in report anyway?</v>
      </c>
      <c r="F50" s="140" t="s">
        <v>71</v>
      </c>
      <c r="G50" s="166"/>
    </row>
    <row r="51" spans="5:7">
      <c r="E51" s="163" t="s">
        <v>348</v>
      </c>
      <c r="F51" s="145" t="s">
        <v>71</v>
      </c>
      <c r="G51" s="172"/>
    </row>
    <row r="52" spans="5:7">
      <c r="E52" s="160" t="s">
        <v>293</v>
      </c>
      <c r="F52" s="146">
        <v>10000000</v>
      </c>
      <c r="G52" s="166"/>
    </row>
    <row r="53" spans="5:7">
      <c r="E53" s="163" t="s">
        <v>294</v>
      </c>
      <c r="F53" s="175">
        <f>IF(F39="EC",2000000,10000000)</f>
        <v>2000000</v>
      </c>
      <c r="G53" s="172"/>
    </row>
    <row r="54" spans="5:7">
      <c r="E54" s="160" t="str">
        <f>IF(F39="EC","Scaling factor for m=4","Scaling factor for m=5")</f>
        <v>Scaling factor for m=4</v>
      </c>
      <c r="F54" s="176">
        <f>(F52/F53)^(1/IF(F39="EC",4,5))</f>
        <v>1.4953487812212205</v>
      </c>
      <c r="G54" s="166"/>
    </row>
    <row r="55" spans="5:7">
      <c r="E55" s="163" t="s">
        <v>295</v>
      </c>
      <c r="F55" s="177">
        <f>(F52/F53)^(1/3)</f>
        <v>1.7099759466766968</v>
      </c>
      <c r="G55" s="172"/>
    </row>
    <row r="56" spans="5:7">
      <c r="E56" s="160" t="str">
        <f>IF(F39="DNV","Scaling factor for SN curve (in air)","")</f>
        <v/>
      </c>
      <c r="F56" s="147">
        <v>1</v>
      </c>
      <c r="G56" s="166"/>
    </row>
    <row r="57" spans="5:7">
      <c r="E57" s="169" t="str">
        <f>IF(F39="DNV","Scaling factor for SN curve (splash zone above water)","")</f>
        <v/>
      </c>
      <c r="F57" s="148">
        <v>1</v>
      </c>
      <c r="G57" s="178"/>
    </row>
    <row r="59" spans="5:7">
      <c r="E59" s="156" t="s">
        <v>337</v>
      </c>
    </row>
    <row r="60" spans="5:7">
      <c r="E60" s="158" t="s">
        <v>455</v>
      </c>
      <c r="F60" s="149">
        <v>1</v>
      </c>
      <c r="G60" s="164"/>
    </row>
    <row r="61" spans="5:7">
      <c r="E61" s="160" t="s">
        <v>454</v>
      </c>
      <c r="F61" s="179">
        <f>IF(F39="EC",4,5)</f>
        <v>4</v>
      </c>
      <c r="G61" s="166"/>
    </row>
    <row r="62" spans="5:7">
      <c r="E62" s="174" t="s">
        <v>451</v>
      </c>
      <c r="F62" s="180">
        <f>F46+(1-F46)/F60^F61</f>
        <v>1</v>
      </c>
      <c r="G62" s="167"/>
    </row>
    <row r="63" spans="5:7">
      <c r="E63" s="160" t="s">
        <v>452</v>
      </c>
      <c r="F63" s="181">
        <f>F45+F48+(1-(F45+F48))/F60^F61</f>
        <v>1</v>
      </c>
      <c r="G63" s="166"/>
    </row>
    <row r="64" spans="5:7">
      <c r="E64" s="169" t="s">
        <v>453</v>
      </c>
      <c r="F64" s="182">
        <f>F45+F49+(1-(F45+F49))/F60^F61</f>
        <v>1</v>
      </c>
      <c r="G64" s="178"/>
    </row>
    <row r="66" spans="5:7">
      <c r="E66" s="156" t="s">
        <v>345</v>
      </c>
    </row>
    <row r="67" spans="5:7">
      <c r="E67" s="158" t="s">
        <v>341</v>
      </c>
      <c r="F67" s="139">
        <v>3</v>
      </c>
      <c r="G67" s="164" t="s">
        <v>91</v>
      </c>
    </row>
    <row r="68" spans="5:7">
      <c r="E68" s="160" t="s">
        <v>342</v>
      </c>
      <c r="F68" s="140">
        <v>4</v>
      </c>
      <c r="G68" s="166" t="s">
        <v>91</v>
      </c>
    </row>
    <row r="69" spans="5:7">
      <c r="E69" s="174" t="s">
        <v>343</v>
      </c>
      <c r="F69" s="144">
        <v>2</v>
      </c>
      <c r="G69" s="167" t="s">
        <v>91</v>
      </c>
    </row>
    <row r="70" spans="5:7">
      <c r="E70" s="160" t="s">
        <v>344</v>
      </c>
      <c r="F70" s="140">
        <v>3</v>
      </c>
      <c r="G70" s="166" t="s">
        <v>91</v>
      </c>
    </row>
    <row r="71" spans="5:7">
      <c r="E71" s="174" t="s">
        <v>338</v>
      </c>
      <c r="F71" s="144">
        <v>105</v>
      </c>
      <c r="G71" s="167" t="s">
        <v>5</v>
      </c>
    </row>
    <row r="72" spans="5:7">
      <c r="E72" s="161" t="s">
        <v>339</v>
      </c>
      <c r="F72" s="143">
        <v>125</v>
      </c>
      <c r="G72" s="173"/>
    </row>
    <row r="74" spans="5:7">
      <c r="E74" s="156" t="s">
        <v>340</v>
      </c>
    </row>
    <row r="75" spans="5:7">
      <c r="E75" s="158" t="s">
        <v>341</v>
      </c>
      <c r="F75" s="139">
        <v>0.5</v>
      </c>
      <c r="G75" s="164" t="s">
        <v>91</v>
      </c>
    </row>
    <row r="76" spans="5:7">
      <c r="E76" s="160" t="s">
        <v>342</v>
      </c>
      <c r="F76" s="140">
        <v>4.0519999999999996</v>
      </c>
      <c r="G76" s="166" t="s">
        <v>91</v>
      </c>
    </row>
    <row r="77" spans="5:7">
      <c r="E77" s="174" t="s">
        <v>343</v>
      </c>
      <c r="F77" s="144">
        <v>0.5</v>
      </c>
      <c r="G77" s="167" t="s">
        <v>91</v>
      </c>
    </row>
    <row r="78" spans="5:7">
      <c r="E78" s="160" t="s">
        <v>344</v>
      </c>
      <c r="F78" s="140">
        <v>3.9940000000000002</v>
      </c>
      <c r="G78" s="166" t="s">
        <v>91</v>
      </c>
    </row>
    <row r="79" spans="5:7">
      <c r="E79" s="174" t="s">
        <v>338</v>
      </c>
      <c r="F79" s="144">
        <v>105</v>
      </c>
      <c r="G79" s="167" t="s">
        <v>5</v>
      </c>
    </row>
    <row r="80" spans="5:7">
      <c r="E80" s="161" t="s">
        <v>339</v>
      </c>
      <c r="F80" s="143">
        <v>125</v>
      </c>
      <c r="G80" s="173"/>
    </row>
  </sheetData>
  <sheetProtection sheet="1" objects="1" scenarios="1"/>
  <mergeCells count="2">
    <mergeCell ref="AI3:AJ3"/>
    <mergeCell ref="AI4:AJ4"/>
  </mergeCells>
  <pageMargins left="0.7" right="0.7" top="0.78740157499999996" bottom="0.78740157499999996" header="0.3" footer="0.3"/>
  <pageSetup paperSize="9" fitToHeight="0" orientation="portrait" r:id="rId1"/>
  <drawing r:id="rId2"/>
  <legacyDrawing r:id="rId3"/>
  <extLst>
    <ext xmlns:x14="http://schemas.microsoft.com/office/spreadsheetml/2009/9/main" uri="{CCE6A557-97BC-4b89-ADB6-D9C93CAAB3DF}">
      <x14:dataValidations xmlns:xm="http://schemas.microsoft.com/office/excel/2006/main" count="5">
        <x14:dataValidation type="list" allowBlank="1" showInputMessage="1" showErrorMessage="1" errorTitle="Error" error="Wrong entry. Please select one of the options." xr:uid="{D896F312-5DC6-4DD5-87B1-E336BA57BFB6}">
          <x14:formula1>
            <xm:f>Background_data!$P$3:$P$4</xm:f>
          </x14:formula1>
          <xm:sqref>K6</xm:sqref>
        </x14:dataValidation>
        <x14:dataValidation type="list" allowBlank="1" showInputMessage="1" showErrorMessage="1" errorTitle="Error" error="Wrong entry. Please select one of the options." xr:uid="{3173C576-ED84-4BEE-B5F2-F6CFB00C9B42}">
          <x14:formula1>
            <xm:f>Background_data!$M$3:$M$5</xm:f>
          </x14:formula1>
          <xm:sqref>K8</xm:sqref>
        </x14:dataValidation>
        <x14:dataValidation type="list" allowBlank="1" showInputMessage="1" showErrorMessage="1" errorTitle="Error" error="Wrong entry. Please select one of the options." xr:uid="{BD80918F-2231-4A69-9F90-A790C4E5C92B}">
          <x14:formula1>
            <xm:f>Background_data!$O$3:$O$4</xm:f>
          </x14:formula1>
          <xm:sqref>K7 AI7:AI13 F50:F51 F47 F43 W10:W13 AE7 AE3 W3 F3</xm:sqref>
        </x14:dataValidation>
        <x14:dataValidation type="list" allowBlank="1" showInputMessage="1" showErrorMessage="1" errorTitle="Error" error="Wrong entry. Please select one of the options." xr:uid="{DFB663D7-B937-4177-BA27-AA523BE921B6}">
          <x14:formula1>
            <xm:f>Background_data!$N$3:$N$5</xm:f>
          </x14:formula1>
          <xm:sqref>F30:F31</xm:sqref>
        </x14:dataValidation>
        <x14:dataValidation type="list" allowBlank="1" showInputMessage="1" showErrorMessage="1" errorTitle="Error" error="Wrong entry. Please select one of the options." xr:uid="{0CFEE001-4987-4DC0-9C10-6783A3418769}">
          <x14:formula1>
            <xm:f>Background_data!$M$3:$M$4</xm:f>
          </x14:formula1>
          <xm:sqref>F39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2ABAD-2705-491A-9950-7B623AFC5102}">
  <sheetPr codeName="Tabelle20">
    <tabColor rgb="FF008F85"/>
  </sheetPr>
  <dimension ref="B2:C5"/>
  <sheetViews>
    <sheetView workbookViewId="0"/>
  </sheetViews>
  <sheetFormatPr baseColWidth="10" defaultRowHeight="14.4"/>
  <cols>
    <col min="2" max="2" width="10.77734375" customWidth="1"/>
    <col min="3" max="3" width="80.5546875" customWidth="1"/>
  </cols>
  <sheetData>
    <row r="2" spans="2:3">
      <c r="B2" s="69" t="s">
        <v>498</v>
      </c>
    </row>
    <row r="3" spans="2:3">
      <c r="B3" s="68" t="s">
        <v>499</v>
      </c>
      <c r="C3" s="63"/>
    </row>
    <row r="4" spans="2:3">
      <c r="B4" s="66" t="s">
        <v>500</v>
      </c>
      <c r="C4" s="65" t="s">
        <v>502</v>
      </c>
    </row>
    <row r="5" spans="2:3">
      <c r="B5" s="67" t="s">
        <v>501</v>
      </c>
      <c r="C5" s="64" t="s">
        <v>572</v>
      </c>
    </row>
  </sheetData>
  <pageMargins left="0.7" right="0.7" top="0.78740157499999996" bottom="0.78740157499999996"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1322F-3A78-4B73-8010-ACE6584C9922}">
  <sheetPr codeName="Tabelle18">
    <tabColor rgb="FF008F85"/>
  </sheetPr>
  <dimension ref="C2:AV50"/>
  <sheetViews>
    <sheetView tabSelected="1" topLeftCell="B1" zoomScale="115" zoomScaleNormal="115" workbookViewId="0">
      <selection activeCell="K54" sqref="K54"/>
    </sheetView>
  </sheetViews>
  <sheetFormatPr baseColWidth="10" defaultRowHeight="14.4"/>
  <cols>
    <col min="3" max="3" width="7.44140625" bestFit="1" customWidth="1"/>
    <col min="4" max="5" width="8.5546875" bestFit="1" customWidth="1"/>
    <col min="6" max="6" width="6" bestFit="1" customWidth="1"/>
    <col min="7" max="7" width="9.44140625" bestFit="1" customWidth="1"/>
    <col min="8" max="8" width="5.5546875" bestFit="1" customWidth="1"/>
    <col min="9" max="9" width="6.5546875" bestFit="1" customWidth="1"/>
    <col min="10" max="10" width="5.5546875" bestFit="1" customWidth="1"/>
    <col min="11" max="11" width="7.44140625" bestFit="1" customWidth="1"/>
    <col min="12" max="12" width="7.44140625" customWidth="1"/>
    <col min="13" max="13" width="12.44140625" customWidth="1"/>
    <col min="14" max="14" width="7.5546875" customWidth="1"/>
    <col min="15" max="15" width="2.5546875" customWidth="1"/>
    <col min="16" max="17" width="6.5546875" customWidth="1"/>
    <col min="18" max="18" width="2.5546875" customWidth="1"/>
    <col min="19" max="25" width="8.5546875" customWidth="1"/>
    <col min="26" max="26" width="2.5546875" customWidth="1"/>
    <col min="27" max="28" width="8.5546875" customWidth="1"/>
    <col min="32" max="32" width="10.77734375" customWidth="1"/>
    <col min="33" max="33" width="5.5546875" bestFit="1" customWidth="1"/>
    <col min="34" max="34" width="10.77734375" customWidth="1"/>
    <col min="35" max="35" width="7.21875" customWidth="1"/>
    <col min="36" max="36" width="8.21875" customWidth="1"/>
    <col min="37" max="37" width="7.44140625" bestFit="1" customWidth="1"/>
    <col min="38" max="38" width="4.44140625" bestFit="1" customWidth="1"/>
    <col min="39" max="39" width="5.5546875" customWidth="1"/>
    <col min="40" max="40" width="11" customWidth="1"/>
    <col min="41" max="41" width="2.5546875" customWidth="1"/>
    <col min="42" max="43" width="6.5546875" customWidth="1"/>
    <col min="44" max="44" width="2.5546875" customWidth="1"/>
    <col min="46" max="46" width="2.5546875" customWidth="1"/>
    <col min="47" max="47" width="8.5546875" customWidth="1"/>
  </cols>
  <sheetData>
    <row r="2" spans="3:48">
      <c r="C2" s="248" t="str">
        <f>IF(Control!$F$43="Y","NOTE","")</f>
        <v/>
      </c>
      <c r="D2" s="248"/>
      <c r="E2" s="248"/>
      <c r="F2" s="248"/>
      <c r="G2" s="248"/>
      <c r="H2" s="248"/>
      <c r="I2" s="248"/>
      <c r="J2" s="248"/>
      <c r="K2" s="248"/>
      <c r="L2" s="248"/>
      <c r="V2" s="111" t="s">
        <v>433</v>
      </c>
      <c r="W2" s="111" t="s">
        <v>422</v>
      </c>
      <c r="X2" s="111" t="s">
        <v>450</v>
      </c>
    </row>
    <row r="3" spans="3:48">
      <c r="C3" s="249" t="str">
        <f>IF(Control!$F$43="Y","Inspection is considered in structural design (cell C39 in sheet ""Control"").","")</f>
        <v/>
      </c>
      <c r="D3" s="249"/>
      <c r="E3" s="249"/>
      <c r="F3" s="249"/>
      <c r="G3" s="249"/>
      <c r="H3" s="249"/>
      <c r="I3" s="249"/>
      <c r="J3" s="249"/>
      <c r="K3" s="249"/>
      <c r="L3" s="249"/>
      <c r="S3" s="250" t="s">
        <v>337</v>
      </c>
      <c r="T3" s="251"/>
      <c r="U3" s="251"/>
      <c r="V3" s="108">
        <f>Control!$F$62</f>
        <v>1</v>
      </c>
      <c r="W3" s="108">
        <f>Control!$F$63</f>
        <v>1</v>
      </c>
      <c r="X3" s="108">
        <f>Control!$F$64</f>
        <v>1</v>
      </c>
      <c r="Z3" s="228" t="s">
        <v>674</v>
      </c>
    </row>
    <row r="4" spans="3:48">
      <c r="C4" t="str">
        <f>"m"&amp;Control!$F$7</f>
        <v>mLAT</v>
      </c>
      <c r="S4" s="250" t="s">
        <v>336</v>
      </c>
      <c r="T4" s="251"/>
      <c r="U4" s="251"/>
      <c r="V4" s="252">
        <v>1</v>
      </c>
      <c r="W4" s="252"/>
      <c r="X4" s="252"/>
    </row>
    <row r="5" spans="3:48">
      <c r="M5" s="227"/>
    </row>
    <row r="7" spans="3:48">
      <c r="C7" t="s">
        <v>175</v>
      </c>
      <c r="N7" t="s">
        <v>219</v>
      </c>
      <c r="AD7" s="35" t="s">
        <v>213</v>
      </c>
      <c r="AH7" s="39"/>
      <c r="AP7" s="109" t="s">
        <v>471</v>
      </c>
      <c r="AQ7" s="109"/>
      <c r="AU7" s="109" t="s">
        <v>471</v>
      </c>
      <c r="AV7" s="109" t="s">
        <v>488</v>
      </c>
    </row>
    <row r="8" spans="3:48">
      <c r="N8" s="109" t="s">
        <v>471</v>
      </c>
      <c r="AA8" s="109" t="s">
        <v>471</v>
      </c>
      <c r="AH8" s="39"/>
    </row>
    <row r="9" spans="3:48" ht="14.85" customHeight="1">
      <c r="C9" s="238" t="s">
        <v>470</v>
      </c>
      <c r="D9" s="111" t="s">
        <v>613</v>
      </c>
      <c r="E9" s="111" t="s">
        <v>614</v>
      </c>
      <c r="F9" s="111" t="s">
        <v>619</v>
      </c>
      <c r="G9" s="111" t="s">
        <v>620</v>
      </c>
      <c r="H9" s="111" t="s">
        <v>5</v>
      </c>
      <c r="I9" s="111" t="s">
        <v>618</v>
      </c>
      <c r="J9" s="111" t="s">
        <v>615</v>
      </c>
      <c r="K9" s="111" t="s">
        <v>616</v>
      </c>
      <c r="L9" s="111" t="s">
        <v>264</v>
      </c>
      <c r="M9" s="236" t="s">
        <v>263</v>
      </c>
      <c r="N9" s="243" t="s">
        <v>296</v>
      </c>
      <c r="P9" s="247" t="s">
        <v>474</v>
      </c>
      <c r="Q9" s="247"/>
      <c r="S9" s="240" t="s">
        <v>467</v>
      </c>
      <c r="T9" s="246"/>
      <c r="U9" s="246"/>
      <c r="V9" s="246"/>
      <c r="W9" s="241"/>
      <c r="X9" s="240" t="s">
        <v>181</v>
      </c>
      <c r="Y9" s="241"/>
      <c r="AA9" s="240" t="s">
        <v>475</v>
      </c>
      <c r="AB9" s="241"/>
      <c r="AD9" s="238" t="s">
        <v>211</v>
      </c>
      <c r="AE9" s="238" t="s">
        <v>212</v>
      </c>
      <c r="AF9" s="111" t="s">
        <v>53</v>
      </c>
      <c r="AG9" s="111" t="s">
        <v>215</v>
      </c>
      <c r="AH9" s="238" t="s">
        <v>610</v>
      </c>
      <c r="AI9" s="238" t="s">
        <v>611</v>
      </c>
      <c r="AJ9" s="236" t="s">
        <v>609</v>
      </c>
      <c r="AK9" s="238" t="s">
        <v>0</v>
      </c>
      <c r="AL9" s="111" t="s">
        <v>105</v>
      </c>
      <c r="AM9" s="111" t="s">
        <v>5</v>
      </c>
      <c r="AN9" s="236" t="s">
        <v>486</v>
      </c>
      <c r="AP9" s="242" t="s">
        <v>472</v>
      </c>
      <c r="AQ9" s="242"/>
      <c r="AS9" s="54" t="s">
        <v>222</v>
      </c>
      <c r="AU9" s="236" t="s">
        <v>475</v>
      </c>
      <c r="AV9" s="236" t="s">
        <v>487</v>
      </c>
    </row>
    <row r="10" spans="3:48">
      <c r="C10" s="239"/>
      <c r="D10" s="111" t="str">
        <f>"[m"&amp;Control!$F$7&amp;"]"</f>
        <v>[mLAT]</v>
      </c>
      <c r="E10" s="111" t="str">
        <f>"[m"&amp;Control!$F$7&amp;"]"</f>
        <v>[mLAT]</v>
      </c>
      <c r="F10" s="111" t="s">
        <v>9</v>
      </c>
      <c r="G10" s="111" t="s">
        <v>9</v>
      </c>
      <c r="H10" s="111" t="s">
        <v>10</v>
      </c>
      <c r="I10" s="111" t="s">
        <v>9</v>
      </c>
      <c r="J10" s="111" t="s">
        <v>11</v>
      </c>
      <c r="K10" s="111" t="s">
        <v>12</v>
      </c>
      <c r="L10" s="111" t="s">
        <v>16</v>
      </c>
      <c r="M10" s="237"/>
      <c r="N10" s="244"/>
      <c r="P10" s="247"/>
      <c r="Q10" s="247"/>
      <c r="S10" s="238" t="s">
        <v>176</v>
      </c>
      <c r="T10" s="238" t="s">
        <v>177</v>
      </c>
      <c r="U10" s="238" t="s">
        <v>178</v>
      </c>
      <c r="V10" s="238" t="s">
        <v>179</v>
      </c>
      <c r="W10" s="238" t="s">
        <v>180</v>
      </c>
      <c r="X10" s="111" t="s">
        <v>182</v>
      </c>
      <c r="Y10" s="111" t="s">
        <v>183</v>
      </c>
      <c r="AA10" s="236" t="s">
        <v>476</v>
      </c>
      <c r="AB10" s="111" t="s">
        <v>181</v>
      </c>
      <c r="AD10" s="239"/>
      <c r="AE10" s="239"/>
      <c r="AF10" s="111" t="str">
        <f>"[m"&amp;Control!$F$7&amp;"]"</f>
        <v>[mLAT]</v>
      </c>
      <c r="AG10" s="111" t="s">
        <v>10</v>
      </c>
      <c r="AH10" s="239"/>
      <c r="AI10" s="239"/>
      <c r="AJ10" s="237"/>
      <c r="AK10" s="239"/>
      <c r="AL10" s="111" t="s">
        <v>9</v>
      </c>
      <c r="AM10" s="111" t="s">
        <v>10</v>
      </c>
      <c r="AN10" s="237"/>
      <c r="AP10" s="118" t="s">
        <v>25</v>
      </c>
      <c r="AQ10" s="118" t="s">
        <v>26</v>
      </c>
      <c r="AS10" s="54" t="s">
        <v>223</v>
      </c>
      <c r="AU10" s="237"/>
      <c r="AV10" s="237"/>
    </row>
    <row r="11" spans="3:48">
      <c r="C11" s="112">
        <v>1</v>
      </c>
      <c r="D11" s="44">
        <v>20.9</v>
      </c>
      <c r="E11" s="44">
        <v>17.5</v>
      </c>
      <c r="F11" s="44">
        <v>7.5</v>
      </c>
      <c r="G11" s="44">
        <v>7.5</v>
      </c>
      <c r="H11" s="45">
        <v>85</v>
      </c>
      <c r="I11" s="113">
        <f t="shared" ref="I11:I13" si="0">D11-E11</f>
        <v>3.3999999999999986</v>
      </c>
      <c r="J11" s="114">
        <f t="shared" ref="J11:J13" si="1">ATAN((G11-F11)/(2*I11))/PI()*180</f>
        <v>0</v>
      </c>
      <c r="K11" s="59">
        <f t="shared" ref="K11:K13" si="2">IF(J11=0,PI()/4*(F11^2-(F11-(2*H11/1000))^2)*I11*7850/1000,(I11*PI()/12)*((G11^2+G11*F11+F11^2)-((G11-2*(H11/1000))^2+(G11-(2*H11/1000))*(F11-(2*H11/1000))+(F11-(2*H11/1000))^2))*7850/1000)</f>
        <v>52.847996496995393</v>
      </c>
      <c r="L11" s="59">
        <f t="shared" ref="L11:L13" si="3">MAX(F11:G11)/H11*1000</f>
        <v>88.235294117647058</v>
      </c>
      <c r="M11" s="75" t="s">
        <v>109</v>
      </c>
      <c r="N11" s="245"/>
      <c r="P11" s="118" t="s">
        <v>25</v>
      </c>
      <c r="Q11" s="118" t="s">
        <v>26</v>
      </c>
      <c r="S11" s="239"/>
      <c r="T11" s="239"/>
      <c r="U11" s="239"/>
      <c r="V11" s="239"/>
      <c r="W11" s="239"/>
      <c r="X11" s="60">
        <f>MAX('ULS TP'!N33,'ULS TP'!N24)</f>
        <v>0.6534879062156177</v>
      </c>
      <c r="Y11" s="60">
        <f>MAX('ULS TP'!O33,'ULS TP'!O24)</f>
        <v>0.51157043438634364</v>
      </c>
      <c r="AA11" s="237"/>
      <c r="AB11" s="44"/>
      <c r="AD11" s="53" t="s">
        <v>664</v>
      </c>
      <c r="AE11" s="53" t="s">
        <v>665</v>
      </c>
      <c r="AF11" s="44">
        <v>20</v>
      </c>
      <c r="AG11" s="44">
        <v>1.2</v>
      </c>
      <c r="AH11" s="53" t="s">
        <v>195</v>
      </c>
      <c r="AI11" s="53" t="s">
        <v>469</v>
      </c>
      <c r="AJ11" s="53"/>
      <c r="AK11" s="115">
        <f t="shared" ref="AK11:AK20" si="4">MATCH(AF11,$D$11:$D$23,-1)</f>
        <v>1</v>
      </c>
      <c r="AL11" s="113">
        <f t="shared" ref="AL11:AL20" si="5">INDEX($F$11:$F$23,AK11)+(INDEX($G$11:$G$23,AK11)-INDEX($F$11:$F$23,AK11))/(INDEX($E$11:$E$23,AK11)-INDEX($D$11:$D$23,AK11))*(AF11-INDEX($D$11:$D$23,AK11))</f>
        <v>7.5</v>
      </c>
      <c r="AM11" s="115">
        <f t="shared" ref="AM11:AM20" si="6">INDEX($H$11:$H$23,AK11)</f>
        <v>85</v>
      </c>
      <c r="AN11" s="113" cm="1">
        <f t="array" ref="AN11">MIN(ABS(AF11-INDEX($D$11:$D$23,AK11)),ABS(AF11-INDEX($E$11:$E$23,AK11)))</f>
        <v>0.89999999999999858</v>
      </c>
      <c r="AP11" s="116"/>
      <c r="AQ11" s="116"/>
      <c r="AS11" s="60">
        <f>IF(AH11="o",'FLS TP'!Q82,'FLS TP'!R82)</f>
        <v>0.50138190445837405</v>
      </c>
      <c r="AU11" s="44" t="s">
        <v>49</v>
      </c>
      <c r="AV11" s="44"/>
    </row>
    <row r="12" spans="3:48">
      <c r="C12" s="112">
        <v>2</v>
      </c>
      <c r="D12" s="221">
        <f t="shared" ref="D12:D13" si="7">E11</f>
        <v>17.5</v>
      </c>
      <c r="E12" s="44">
        <v>13.5</v>
      </c>
      <c r="F12" s="44">
        <v>7.5</v>
      </c>
      <c r="G12" s="44">
        <v>7.5</v>
      </c>
      <c r="H12" s="45">
        <v>85</v>
      </c>
      <c r="I12" s="113">
        <f t="shared" si="0"/>
        <v>4</v>
      </c>
      <c r="J12" s="114">
        <f t="shared" si="1"/>
        <v>0</v>
      </c>
      <c r="K12" s="59">
        <f t="shared" si="2"/>
        <v>62.174113525876955</v>
      </c>
      <c r="L12" s="59">
        <f t="shared" si="3"/>
        <v>88.235294117647058</v>
      </c>
      <c r="M12" s="75" t="s">
        <v>109</v>
      </c>
      <c r="N12" s="117" t="s">
        <v>49</v>
      </c>
      <c r="P12" s="110"/>
      <c r="Q12" s="110"/>
      <c r="S12" s="60">
        <f>'FLS TP'!Q42</f>
        <v>0.60685825174206875</v>
      </c>
      <c r="T12" s="61">
        <f>'FLS TP'!R42</f>
        <v>0.55367906982666093</v>
      </c>
      <c r="U12" s="61">
        <f>'FLS TP'!Q50</f>
        <v>0.60685825174206875</v>
      </c>
      <c r="V12" s="61">
        <f>'FLS TP'!R50</f>
        <v>0.55367906982666093</v>
      </c>
      <c r="W12" s="61">
        <f>MAX(S12:V12)</f>
        <v>0.60685825174206875</v>
      </c>
      <c r="X12" s="60">
        <f>MAX('ULS TP'!N34,'ULS TP'!N25)</f>
        <v>0.57606889158719798</v>
      </c>
      <c r="Y12" s="60">
        <f>MAX('ULS TP'!O34,'ULS TP'!O25)</f>
        <v>0.52968652695882201</v>
      </c>
      <c r="AA12" s="44"/>
      <c r="AB12" s="44"/>
      <c r="AD12" s="53" t="s">
        <v>654</v>
      </c>
      <c r="AE12" s="53" t="s">
        <v>655</v>
      </c>
      <c r="AF12" s="44">
        <v>19.8</v>
      </c>
      <c r="AG12" s="44">
        <v>2.0099999999999998</v>
      </c>
      <c r="AH12" s="53" t="s">
        <v>195</v>
      </c>
      <c r="AI12" s="53" t="s">
        <v>36</v>
      </c>
      <c r="AJ12" s="53">
        <v>0.85</v>
      </c>
      <c r="AK12" s="115">
        <f t="shared" si="4"/>
        <v>1</v>
      </c>
      <c r="AL12" s="113">
        <f t="shared" si="5"/>
        <v>7.5</v>
      </c>
      <c r="AM12" s="115">
        <f t="shared" si="6"/>
        <v>85</v>
      </c>
      <c r="AN12" s="113" cm="1">
        <f t="array" ref="AN12">MIN(ABS(AF12-INDEX($D$11:$D$23,AK12)),ABS(AF12-INDEX($E$11:$E$23,AK12)))</f>
        <v>1.0999999999999979</v>
      </c>
      <c r="AP12" s="116"/>
      <c r="AQ12" s="116"/>
      <c r="AS12" s="60">
        <f>IF(AH12="o",'FLS TP'!Q83,'FLS TP'!R83)</f>
        <v>0.99731785350427615</v>
      </c>
      <c r="AU12" s="44" t="s">
        <v>49</v>
      </c>
      <c r="AV12" s="44"/>
    </row>
    <row r="13" spans="3:48">
      <c r="C13" s="112">
        <v>3</v>
      </c>
      <c r="D13" s="221">
        <f t="shared" si="7"/>
        <v>13.5</v>
      </c>
      <c r="E13" s="44">
        <v>9.5</v>
      </c>
      <c r="F13" s="44">
        <v>7.5</v>
      </c>
      <c r="G13" s="44">
        <v>7.5</v>
      </c>
      <c r="H13" s="45">
        <v>92</v>
      </c>
      <c r="I13" s="113">
        <f t="shared" si="0"/>
        <v>4</v>
      </c>
      <c r="J13" s="114">
        <f t="shared" si="1"/>
        <v>0</v>
      </c>
      <c r="K13" s="59">
        <f t="shared" si="2"/>
        <v>67.23080660976909</v>
      </c>
      <c r="L13" s="59">
        <f t="shared" si="3"/>
        <v>81.521739130434781</v>
      </c>
      <c r="M13" s="75" t="s">
        <v>109</v>
      </c>
      <c r="N13" s="117" t="s">
        <v>49</v>
      </c>
      <c r="P13" s="110"/>
      <c r="Q13" s="110"/>
      <c r="S13" s="60">
        <f>'FLS TP'!Q43</f>
        <v>0.41952172662784037</v>
      </c>
      <c r="T13" s="61">
        <f>'FLS TP'!R43</f>
        <v>0.98157852363788123</v>
      </c>
      <c r="U13" s="61">
        <f>'FLS TP'!Q51</f>
        <v>0.32934911896839147</v>
      </c>
      <c r="V13" s="61">
        <f>'FLS TP'!R51</f>
        <v>0.76472622692593262</v>
      </c>
      <c r="W13" s="61">
        <f t="shared" ref="W13:W14" si="8">MAX(S13:V13)</f>
        <v>0.98157852363788123</v>
      </c>
      <c r="X13" s="60">
        <f>MAX('ULS TP'!N35,'ULS TP'!N26)</f>
        <v>0.64256892100732421</v>
      </c>
      <c r="Y13" s="60">
        <f>MAX('ULS TP'!O35,'ULS TP'!O26)</f>
        <v>0.51201845597339912</v>
      </c>
      <c r="AA13" s="44"/>
      <c r="AB13" s="44"/>
      <c r="AD13" s="53" t="s">
        <v>656</v>
      </c>
      <c r="AE13" s="53" t="s">
        <v>657</v>
      </c>
      <c r="AF13" s="44">
        <v>20.8</v>
      </c>
      <c r="AG13" s="44">
        <v>1.04</v>
      </c>
      <c r="AH13" s="53" t="s">
        <v>195</v>
      </c>
      <c r="AI13" s="53" t="s">
        <v>49</v>
      </c>
      <c r="AJ13" s="53"/>
      <c r="AK13" s="115">
        <f t="shared" si="4"/>
        <v>1</v>
      </c>
      <c r="AL13" s="113">
        <f t="shared" si="5"/>
        <v>7.5</v>
      </c>
      <c r="AM13" s="115">
        <f t="shared" si="6"/>
        <v>85</v>
      </c>
      <c r="AN13" s="113" cm="1">
        <f t="array" ref="AN13">MIN(ABS(AF13-INDEX($D$11:$D$23,AK13)),ABS(AF13-INDEX($E$11:$E$23,AK13)))</f>
        <v>9.9999999999997868E-2</v>
      </c>
      <c r="AP13" s="116"/>
      <c r="AQ13" s="116"/>
      <c r="AS13" s="60">
        <f>IF(AH13="o",'FLS TP'!Q84,'FLS TP'!R84)</f>
        <v>0.7073671231722185</v>
      </c>
      <c r="AU13" s="44" t="s">
        <v>49</v>
      </c>
      <c r="AV13" s="44"/>
    </row>
    <row r="14" spans="3:48">
      <c r="C14" s="112">
        <v>4</v>
      </c>
      <c r="D14" s="221">
        <f>E13</f>
        <v>9.5</v>
      </c>
      <c r="E14" s="44">
        <v>5.5</v>
      </c>
      <c r="F14" s="44">
        <v>7.5</v>
      </c>
      <c r="G14" s="44">
        <v>7.5</v>
      </c>
      <c r="H14" s="45">
        <v>100</v>
      </c>
      <c r="I14" s="113">
        <f>D14-E14</f>
        <v>4</v>
      </c>
      <c r="J14" s="114">
        <f>ATAN((G14-F14)/(2*I14))/PI()*180</f>
        <v>0</v>
      </c>
      <c r="K14" s="59">
        <f>IF(J14=0,PI()/4*(F14^2-(F14-(2*H14/1000))^2)*I14*7850/1000,(I14*PI()/12)*((G14^2+G14*F14+F14^2)-((G14-2*(H14/1000))^2+(G14-(2*H14/1000))*(F14-(2*H14/1000))+(F14-(2*H14/1000))^2))*7850/1000)</f>
        <v>72.998046898812447</v>
      </c>
      <c r="L14" s="59">
        <f>MAX(F14:G14)/H14*1000</f>
        <v>75</v>
      </c>
      <c r="M14" s="75" t="s">
        <v>109</v>
      </c>
      <c r="N14" s="117" t="s">
        <v>49</v>
      </c>
      <c r="P14" s="110"/>
      <c r="Q14" s="110"/>
      <c r="S14" s="60">
        <f>'FLS TP'!Q44</f>
        <v>0.3470093608430509</v>
      </c>
      <c r="T14" s="61">
        <f>'FLS TP'!R44</f>
        <v>0.85558639219385479</v>
      </c>
      <c r="U14" s="61">
        <f>'FLS TP'!Q52</f>
        <v>0.26918074242281009</v>
      </c>
      <c r="V14" s="61">
        <f>'FLS TP'!R52</f>
        <v>0.65790519868536856</v>
      </c>
      <c r="W14" s="61">
        <f t="shared" si="8"/>
        <v>0.85558639219385479</v>
      </c>
      <c r="X14" s="60">
        <f>MAX('ULS TP'!N36,'ULS TP'!N27)</f>
        <v>0.51668015118125732</v>
      </c>
      <c r="Y14" s="60">
        <f>MAX('ULS TP'!O36,'ULS TP'!O27)</f>
        <v>0.48814323173752383</v>
      </c>
      <c r="AA14" s="44"/>
      <c r="AB14" s="44"/>
      <c r="AD14" s="53" t="s">
        <v>658</v>
      </c>
      <c r="AE14" s="53" t="s">
        <v>659</v>
      </c>
      <c r="AF14" s="44">
        <v>20.8</v>
      </c>
      <c r="AG14" s="44">
        <v>1.28</v>
      </c>
      <c r="AH14" s="53" t="s">
        <v>195</v>
      </c>
      <c r="AI14" s="53" t="s">
        <v>469</v>
      </c>
      <c r="AJ14" s="53"/>
      <c r="AK14" s="115">
        <f t="shared" si="4"/>
        <v>1</v>
      </c>
      <c r="AL14" s="113">
        <f t="shared" si="5"/>
        <v>7.5</v>
      </c>
      <c r="AM14" s="115">
        <f t="shared" si="6"/>
        <v>85</v>
      </c>
      <c r="AN14" s="113" cm="1">
        <f t="array" ref="AN14">MIN(ABS(AF14-INDEX($D$11:$D$23,AK14)),ABS(AF14-INDEX($E$11:$E$23,AK14)))</f>
        <v>9.9999999999997868E-2</v>
      </c>
      <c r="AP14" s="116"/>
      <c r="AQ14" s="116"/>
      <c r="AS14" s="60">
        <f>IF(AH14="o",'FLS TP'!Q85,'FLS TP'!R85)</f>
        <v>0.63224839395672161</v>
      </c>
      <c r="AU14" s="44"/>
      <c r="AV14" s="44"/>
    </row>
    <row r="15" spans="3:48">
      <c r="AD15" s="53" t="s">
        <v>660</v>
      </c>
      <c r="AE15" s="53" t="s">
        <v>661</v>
      </c>
      <c r="AF15" s="44">
        <v>20.100000000000001</v>
      </c>
      <c r="AG15" s="44">
        <v>2.0099999999999998</v>
      </c>
      <c r="AH15" s="53" t="s">
        <v>195</v>
      </c>
      <c r="AI15" s="53" t="s">
        <v>36</v>
      </c>
      <c r="AJ15" s="53">
        <v>0.85</v>
      </c>
      <c r="AK15" s="115">
        <f t="shared" si="4"/>
        <v>1</v>
      </c>
      <c r="AL15" s="113">
        <f t="shared" si="5"/>
        <v>7.5</v>
      </c>
      <c r="AM15" s="115">
        <f t="shared" si="6"/>
        <v>85</v>
      </c>
      <c r="AN15" s="113" cm="1">
        <f t="array" ref="AN15">MIN(ABS(AF15-INDEX($D$11:$D$23,AK15)),ABS(AF15-INDEX($E$11:$E$23,AK15)))</f>
        <v>0.79999999999999716</v>
      </c>
      <c r="AP15" s="116"/>
      <c r="AQ15" s="116"/>
      <c r="AS15" s="60">
        <f>IF(AH15="o",'FLS TP'!Q86,'FLS TP'!R86)</f>
        <v>0.9875881879270989</v>
      </c>
      <c r="AU15" s="44"/>
      <c r="AV15" s="44"/>
    </row>
    <row r="16" spans="3:48">
      <c r="AD16" s="53" t="s">
        <v>668</v>
      </c>
      <c r="AE16" s="53" t="s">
        <v>662</v>
      </c>
      <c r="AF16" s="44">
        <v>11.8</v>
      </c>
      <c r="AG16" s="44">
        <v>2.0099999999999998</v>
      </c>
      <c r="AH16" s="53" t="s">
        <v>195</v>
      </c>
      <c r="AI16" s="53" t="s">
        <v>36</v>
      </c>
      <c r="AJ16" s="53">
        <v>0.85</v>
      </c>
      <c r="AK16" s="115">
        <f t="shared" si="4"/>
        <v>3</v>
      </c>
      <c r="AL16" s="113">
        <f t="shared" si="5"/>
        <v>7.5</v>
      </c>
      <c r="AM16" s="115">
        <f t="shared" si="6"/>
        <v>92</v>
      </c>
      <c r="AN16" s="113" cm="1">
        <f t="array" ref="AN16">MIN(ABS(AF16-INDEX($D$11:$D$23,AK16)),ABS(AF16-INDEX($E$11:$E$23,AK16)))</f>
        <v>1.6999999999999993</v>
      </c>
      <c r="AP16" s="116"/>
      <c r="AQ16" s="116"/>
      <c r="AS16" s="60">
        <f>IF(AH16="o",'FLS TP'!Q87,'FLS TP'!R87)</f>
        <v>0.97962968616660828</v>
      </c>
      <c r="AU16" s="44"/>
      <c r="AV16" s="44"/>
    </row>
    <row r="17" spans="3:48">
      <c r="AD17" s="53" t="s">
        <v>669</v>
      </c>
      <c r="AE17" s="53" t="s">
        <v>663</v>
      </c>
      <c r="AF17" s="44">
        <v>11.2</v>
      </c>
      <c r="AG17" s="44">
        <v>1.03</v>
      </c>
      <c r="AH17" s="53" t="s">
        <v>195</v>
      </c>
      <c r="AI17" s="53" t="s">
        <v>49</v>
      </c>
      <c r="AJ17" s="53"/>
      <c r="AK17" s="115">
        <f t="shared" si="4"/>
        <v>3</v>
      </c>
      <c r="AL17" s="113">
        <f t="shared" si="5"/>
        <v>7.5</v>
      </c>
      <c r="AM17" s="115">
        <f t="shared" si="6"/>
        <v>92</v>
      </c>
      <c r="AN17" s="113" cm="1">
        <f t="array" ref="AN17">MIN(ABS(AF17-INDEX($D$11:$D$23,AK17)),ABS(AF17-INDEX($E$11:$E$23,AK17)))</f>
        <v>1.6999999999999993</v>
      </c>
      <c r="AP17" s="116"/>
      <c r="AQ17" s="116"/>
      <c r="AS17" s="60">
        <f>IF(AH17="o",'FLS TP'!Q88,'FLS TP'!R88)</f>
        <v>0.75003303437924285</v>
      </c>
      <c r="AU17" s="44"/>
      <c r="AV17" s="44"/>
    </row>
    <row r="18" spans="3:48">
      <c r="AD18" s="53" t="s">
        <v>671</v>
      </c>
      <c r="AE18" s="53" t="s">
        <v>663</v>
      </c>
      <c r="AF18" s="44">
        <v>9.0399999999999991</v>
      </c>
      <c r="AG18" s="44">
        <v>1.04</v>
      </c>
      <c r="AH18" s="53" t="s">
        <v>195</v>
      </c>
      <c r="AI18" s="53" t="s">
        <v>49</v>
      </c>
      <c r="AJ18" s="53"/>
      <c r="AK18" s="115">
        <f t="shared" si="4"/>
        <v>4</v>
      </c>
      <c r="AL18" s="113">
        <f t="shared" si="5"/>
        <v>7.5</v>
      </c>
      <c r="AM18" s="115">
        <f t="shared" si="6"/>
        <v>100</v>
      </c>
      <c r="AN18" s="113" cm="1">
        <f t="array" ref="AN18">MIN(ABS(AF18-INDEX($D$11:$D$23,AK18)),ABS(AF18-INDEX($E$11:$E$23,AK18)))</f>
        <v>0.46000000000000085</v>
      </c>
      <c r="AP18" s="116"/>
      <c r="AQ18" s="116"/>
      <c r="AS18" s="60">
        <f>IF(AH18="o",'FLS TP'!Q89,'FLS TP'!R89)</f>
        <v>0.669287784767158</v>
      </c>
      <c r="AU18" s="44"/>
      <c r="AV18" s="44"/>
    </row>
    <row r="19" spans="3:48">
      <c r="AD19" s="53" t="s">
        <v>670</v>
      </c>
      <c r="AE19" s="53" t="s">
        <v>667</v>
      </c>
      <c r="AF19" s="44">
        <v>6</v>
      </c>
      <c r="AG19" s="44">
        <v>1.25</v>
      </c>
      <c r="AH19" s="53" t="s">
        <v>196</v>
      </c>
      <c r="AI19" s="53" t="s">
        <v>469</v>
      </c>
      <c r="AJ19" s="53"/>
      <c r="AK19" s="115">
        <f t="shared" si="4"/>
        <v>4</v>
      </c>
      <c r="AL19" s="113">
        <f t="shared" si="5"/>
        <v>7.5</v>
      </c>
      <c r="AM19" s="115">
        <f t="shared" si="6"/>
        <v>100</v>
      </c>
      <c r="AN19" s="113" cm="1">
        <f t="array" ref="AN19">MIN(ABS(AF19-INDEX($D$11:$D$23,AK19)),ABS(AF19-INDEX($E$11:$E$23,AK19)))</f>
        <v>0.5</v>
      </c>
      <c r="AP19" s="116"/>
      <c r="AQ19" s="116"/>
      <c r="AS19" s="60">
        <f>IF(AH19="o",'FLS TP'!Q90,'FLS TP'!R90)</f>
        <v>0.52001059356730728</v>
      </c>
      <c r="AU19" s="44"/>
      <c r="AV19" s="44"/>
    </row>
    <row r="20" spans="3:48">
      <c r="AD20" s="53" t="s">
        <v>672</v>
      </c>
      <c r="AE20" s="53" t="s">
        <v>666</v>
      </c>
      <c r="AF20" s="44">
        <v>10</v>
      </c>
      <c r="AG20" s="44">
        <v>1.25</v>
      </c>
      <c r="AH20" s="53" t="s">
        <v>196</v>
      </c>
      <c r="AI20" s="53" t="s">
        <v>469</v>
      </c>
      <c r="AJ20" s="53"/>
      <c r="AK20" s="115">
        <f t="shared" si="4"/>
        <v>3</v>
      </c>
      <c r="AL20" s="113">
        <f t="shared" si="5"/>
        <v>7.5</v>
      </c>
      <c r="AM20" s="115">
        <f t="shared" si="6"/>
        <v>92</v>
      </c>
      <c r="AN20" s="113" cm="1">
        <f t="array" ref="AN20">MIN(ABS(AF20-INDEX($D$11:$D$23,AK20)),ABS(AF20-INDEX($E$11:$E$23,AK20)))</f>
        <v>0.5</v>
      </c>
      <c r="AP20" s="116"/>
      <c r="AQ20" s="116"/>
      <c r="AS20" s="60">
        <f>IF(AH20="o",'FLS TP'!Q91,'FLS TP'!R91)</f>
        <v>0.57732430478360286</v>
      </c>
      <c r="AU20" s="44"/>
      <c r="AV20" s="44"/>
    </row>
    <row r="24" spans="3:48">
      <c r="C24" s="35" t="s">
        <v>214</v>
      </c>
      <c r="N24" t="s">
        <v>219</v>
      </c>
      <c r="S24" s="10"/>
      <c r="T24" s="10"/>
      <c r="AD24" s="35" t="s">
        <v>210</v>
      </c>
      <c r="AH24" s="39"/>
      <c r="AP24" s="109" t="s">
        <v>471</v>
      </c>
      <c r="AU24" s="109" t="s">
        <v>471</v>
      </c>
      <c r="AV24" s="109" t="s">
        <v>488</v>
      </c>
    </row>
    <row r="25" spans="3:48">
      <c r="D25" s="38"/>
      <c r="E25" s="38"/>
      <c r="F25" s="38"/>
      <c r="G25" s="38"/>
      <c r="H25" s="38"/>
      <c r="I25" s="38"/>
      <c r="J25" s="38"/>
      <c r="K25" s="38"/>
      <c r="L25" s="38"/>
      <c r="M25" s="38"/>
      <c r="N25" s="109" t="s">
        <v>471</v>
      </c>
      <c r="AA25" s="109" t="s">
        <v>471</v>
      </c>
      <c r="AH25" s="39"/>
    </row>
    <row r="26" spans="3:48" ht="14.85" customHeight="1">
      <c r="C26" s="238" t="s">
        <v>470</v>
      </c>
      <c r="D26" s="111" t="s">
        <v>613</v>
      </c>
      <c r="E26" s="111" t="s">
        <v>614</v>
      </c>
      <c r="F26" s="111" t="s">
        <v>619</v>
      </c>
      <c r="G26" s="111" t="s">
        <v>620</v>
      </c>
      <c r="H26" s="111" t="s">
        <v>5</v>
      </c>
      <c r="I26" s="111" t="s">
        <v>618</v>
      </c>
      <c r="J26" s="111" t="s">
        <v>615</v>
      </c>
      <c r="K26" s="111" t="s">
        <v>616</v>
      </c>
      <c r="L26" s="111" t="s">
        <v>264</v>
      </c>
      <c r="M26" s="236" t="s">
        <v>263</v>
      </c>
      <c r="N26" s="243" t="s">
        <v>296</v>
      </c>
      <c r="P26" s="247" t="s">
        <v>474</v>
      </c>
      <c r="Q26" s="247"/>
      <c r="S26" s="240" t="s">
        <v>467</v>
      </c>
      <c r="T26" s="246"/>
      <c r="U26" s="246"/>
      <c r="V26" s="246"/>
      <c r="W26" s="241"/>
      <c r="X26" s="240" t="s">
        <v>181</v>
      </c>
      <c r="Y26" s="241"/>
      <c r="AA26" s="240" t="s">
        <v>475</v>
      </c>
      <c r="AB26" s="241"/>
      <c r="AD26" s="238" t="s">
        <v>211</v>
      </c>
      <c r="AE26" s="238" t="s">
        <v>212</v>
      </c>
      <c r="AF26" s="111" t="s">
        <v>53</v>
      </c>
      <c r="AG26" s="111" t="s">
        <v>215</v>
      </c>
      <c r="AH26" s="238" t="s">
        <v>610</v>
      </c>
      <c r="AI26" s="238" t="s">
        <v>611</v>
      </c>
      <c r="AJ26" s="236" t="s">
        <v>609</v>
      </c>
      <c r="AK26" s="238" t="s">
        <v>0</v>
      </c>
      <c r="AL26" s="111" t="s">
        <v>105</v>
      </c>
      <c r="AM26" s="111" t="s">
        <v>5</v>
      </c>
      <c r="AN26" s="236" t="s">
        <v>486</v>
      </c>
      <c r="AP26" s="242" t="s">
        <v>472</v>
      </c>
      <c r="AQ26" s="242"/>
      <c r="AS26" s="54" t="s">
        <v>222</v>
      </c>
      <c r="AU26" s="236" t="s">
        <v>475</v>
      </c>
      <c r="AV26" s="236" t="s">
        <v>487</v>
      </c>
    </row>
    <row r="27" spans="3:48">
      <c r="C27" s="239"/>
      <c r="D27" s="111" t="str">
        <f>"[m"&amp;Control!$F$7&amp;"]"</f>
        <v>[mLAT]</v>
      </c>
      <c r="E27" s="111" t="str">
        <f>"[m"&amp;Control!$F$7&amp;"]"</f>
        <v>[mLAT]</v>
      </c>
      <c r="F27" s="111" t="s">
        <v>9</v>
      </c>
      <c r="G27" s="111" t="s">
        <v>9</v>
      </c>
      <c r="H27" s="111" t="s">
        <v>10</v>
      </c>
      <c r="I27" s="111" t="s">
        <v>9</v>
      </c>
      <c r="J27" s="111" t="s">
        <v>11</v>
      </c>
      <c r="K27" s="111" t="s">
        <v>12</v>
      </c>
      <c r="L27" s="111" t="s">
        <v>16</v>
      </c>
      <c r="M27" s="237"/>
      <c r="N27" s="244"/>
      <c r="P27" s="247"/>
      <c r="Q27" s="247"/>
      <c r="S27" s="238" t="s">
        <v>176</v>
      </c>
      <c r="T27" s="238" t="s">
        <v>177</v>
      </c>
      <c r="U27" s="238" t="s">
        <v>178</v>
      </c>
      <c r="V27" s="238" t="s">
        <v>179</v>
      </c>
      <c r="W27" s="238" t="s">
        <v>180</v>
      </c>
      <c r="X27" s="111" t="s">
        <v>182</v>
      </c>
      <c r="Y27" s="111" t="s">
        <v>183</v>
      </c>
      <c r="AA27" s="236" t="s">
        <v>476</v>
      </c>
      <c r="AB27" s="111" t="s">
        <v>181</v>
      </c>
      <c r="AD27" s="239"/>
      <c r="AE27" s="239"/>
      <c r="AF27" s="111" t="str">
        <f>"[m"&amp;Control!$F$7&amp;"]"</f>
        <v>[mLAT]</v>
      </c>
      <c r="AG27" s="111" t="s">
        <v>10</v>
      </c>
      <c r="AH27" s="239"/>
      <c r="AI27" s="239"/>
      <c r="AJ27" s="237"/>
      <c r="AK27" s="239"/>
      <c r="AL27" s="111" t="s">
        <v>9</v>
      </c>
      <c r="AM27" s="111" t="s">
        <v>10</v>
      </c>
      <c r="AN27" s="237"/>
      <c r="AP27" s="118" t="s">
        <v>25</v>
      </c>
      <c r="AQ27" s="118" t="s">
        <v>26</v>
      </c>
      <c r="AS27" s="54" t="s">
        <v>223</v>
      </c>
      <c r="AU27" s="237"/>
      <c r="AV27" s="237"/>
    </row>
    <row r="28" spans="3:48">
      <c r="C28" s="112">
        <v>1</v>
      </c>
      <c r="D28" s="44">
        <v>5.5</v>
      </c>
      <c r="E28" s="44">
        <v>1.6</v>
      </c>
      <c r="F28" s="44">
        <v>7.5</v>
      </c>
      <c r="G28" s="44">
        <v>7.5</v>
      </c>
      <c r="H28" s="45">
        <v>108</v>
      </c>
      <c r="I28" s="113">
        <f t="shared" ref="I28:I34" si="9">D28-E28</f>
        <v>3.9</v>
      </c>
      <c r="J28" s="114">
        <f>ATAN((G28-F28)/(2*I28))/PI()*180</f>
        <v>0</v>
      </c>
      <c r="K28" s="59">
        <f>IF(J28=0,PI()/4*(F28^2-(F28-(2*H28/1000))^2)*I28*7850/1000,(I28*PI()/12)*((G28^2+G28*F28+F28^2)-((G28-2*(H28/1000))^2+(G28-(2*H28/1000))*(F28-(2*H28/1000))+(F28-(2*H28/1000))^2))*7850/1000)</f>
        <v>76.783843986196089</v>
      </c>
      <c r="L28" s="59">
        <f>MAX(F28:G28)/H28*1000</f>
        <v>69.444444444444443</v>
      </c>
      <c r="M28" s="75" t="s">
        <v>109</v>
      </c>
      <c r="N28" s="245"/>
      <c r="P28" s="118" t="s">
        <v>25</v>
      </c>
      <c r="Q28" s="118" t="s">
        <v>26</v>
      </c>
      <c r="S28" s="239"/>
      <c r="T28" s="239"/>
      <c r="U28" s="239"/>
      <c r="V28" s="239"/>
      <c r="W28" s="239"/>
      <c r="X28" s="60">
        <f>MAX('ULS MP'!N35,'ULS MP'!N63)</f>
        <v>0.58258068518446937</v>
      </c>
      <c r="Y28" s="60">
        <f>MAX('ULS MP'!O35,'ULS MP'!O63)</f>
        <v>0.49359319147546071</v>
      </c>
      <c r="AA28" s="237"/>
      <c r="AB28" s="44"/>
      <c r="AD28" s="53" t="s">
        <v>525</v>
      </c>
      <c r="AE28" s="53" t="s">
        <v>639</v>
      </c>
      <c r="AF28" s="44">
        <f>5.8-1.2</f>
        <v>4.5999999999999996</v>
      </c>
      <c r="AG28" s="44">
        <v>1.1000000000000001</v>
      </c>
      <c r="AH28" s="53" t="s">
        <v>196</v>
      </c>
      <c r="AI28" s="53" t="s">
        <v>49</v>
      </c>
      <c r="AJ28" s="53"/>
      <c r="AK28" s="115">
        <f>MATCH(AF28,$D$28:$D$50,-1)</f>
        <v>1</v>
      </c>
      <c r="AL28" s="113">
        <f>INDEX($F$28:$F$50,AK28)+(INDEX($G$28:$G$50,AK28)-INDEX($F$28:$F$50,AK28))/(INDEX($E$28:$E$50,AK28)-INDEX($D$28:$D$50,AK28))*(AF28-INDEX($D$28:$D$50,AK28))</f>
        <v>7.5</v>
      </c>
      <c r="AM28" s="115">
        <f>INDEX($H$28:$H$50,AK28)</f>
        <v>108</v>
      </c>
      <c r="AN28" s="113" cm="1">
        <f t="array" ref="AN28">MIN(ABS(AF28-INDEX($D$28:$D$50,AK28)),ABS(AF28-INDEX($E$28:$E$50,AK28)))</f>
        <v>0.90000000000000036</v>
      </c>
      <c r="AP28" s="116"/>
      <c r="AQ28" s="116"/>
      <c r="AS28" s="60">
        <f>IF(AH28="o",'FLS MP'!S157,'FLS MP'!T157)</f>
        <v>1.0003166480574133</v>
      </c>
      <c r="AU28" s="44"/>
      <c r="AV28" s="44"/>
    </row>
    <row r="29" spans="3:48">
      <c r="C29" s="112">
        <v>2</v>
      </c>
      <c r="D29" s="221">
        <f>E28</f>
        <v>1.6</v>
      </c>
      <c r="E29" s="44">
        <v>-2.2999999999999998</v>
      </c>
      <c r="F29" s="44">
        <v>7.5</v>
      </c>
      <c r="G29" s="44">
        <v>7.5</v>
      </c>
      <c r="H29" s="45">
        <v>100</v>
      </c>
      <c r="I29" s="113">
        <f t="shared" si="9"/>
        <v>3.9</v>
      </c>
      <c r="J29" s="114">
        <f t="shared" ref="J29:J34" si="10">ATAN((G29-F29)/(2*I29))/PI()*180</f>
        <v>0</v>
      </c>
      <c r="K29" s="59">
        <f t="shared" ref="K29:K34" si="11">IF(J29=0,PI()/4*(F29^2-(F29-(2*H29/1000))^2)*I29*7850/1000,(I29*PI()/12)*((G29^2+G29*F29+F29^2)-((G29-2*(H29/1000))^2+(G29-(2*H29/1000))*(F29-(2*H29/1000))+(F29-(2*H29/1000))^2))*7850/1000)</f>
        <v>71.17309572634214</v>
      </c>
      <c r="L29" s="59">
        <f t="shared" ref="L29:L34" si="12">MAX(F29:G29)/H29*1000</f>
        <v>75</v>
      </c>
      <c r="M29" s="75" t="s">
        <v>109</v>
      </c>
      <c r="N29" s="117" t="s">
        <v>265</v>
      </c>
      <c r="P29" s="110"/>
      <c r="Q29" s="110"/>
      <c r="S29" s="61">
        <f>'FLS MP'!S62</f>
        <v>0.47276954268478333</v>
      </c>
      <c r="T29" s="61">
        <f>'FLS MP'!T62</f>
        <v>0.80585624382985332</v>
      </c>
      <c r="U29" s="61">
        <f>'FLS MP'!S89</f>
        <v>0.55541993800165912</v>
      </c>
      <c r="V29" s="61">
        <f>'FLS MP'!T89</f>
        <v>0.96957698403427572</v>
      </c>
      <c r="W29" s="61">
        <f>MAX(S29:V29)</f>
        <v>0.96957698403427572</v>
      </c>
      <c r="X29" s="60">
        <f>MAX('ULS MP'!N36,'ULS MP'!N64)</f>
        <v>0.6827135288982904</v>
      </c>
      <c r="Y29" s="60">
        <f>MAX('ULS MP'!O36,'ULS MP'!O64)</f>
        <v>0.52780174508095168</v>
      </c>
      <c r="AA29" s="44"/>
      <c r="AB29" s="44"/>
      <c r="AD29" s="53" t="s">
        <v>526</v>
      </c>
      <c r="AE29" s="53" t="s">
        <v>640</v>
      </c>
      <c r="AF29" s="44">
        <f>AF28-1</f>
        <v>3.5999999999999996</v>
      </c>
      <c r="AG29" s="44">
        <v>1.4</v>
      </c>
      <c r="AH29" s="53" t="s">
        <v>196</v>
      </c>
      <c r="AI29" s="53" t="s">
        <v>469</v>
      </c>
      <c r="AJ29" s="53"/>
      <c r="AK29" s="115">
        <f>MATCH(AF29,$D$28:$D$50,-1)</f>
        <v>1</v>
      </c>
      <c r="AL29" s="113">
        <f>INDEX($F$28:$F$50,AK29)+(INDEX($G$28:$G$50,AK29)-INDEX($F$28:$F$50,AK29))/(INDEX($E$28:$E$50,AK29)-INDEX($D$28:$D$50,AK29))*(AF29-INDEX($D$28:$D$50,AK29))</f>
        <v>7.5</v>
      </c>
      <c r="AM29" s="115">
        <f>INDEX($H$28:$H$50,AK29)</f>
        <v>108</v>
      </c>
      <c r="AN29" s="113" cm="1">
        <f t="array" ref="AN29">MIN(ABS(AF29-INDEX($D$28:$D$50,AK29)),ABS(AF29-INDEX($E$28:$E$50,AK29)))</f>
        <v>1.9000000000000004</v>
      </c>
      <c r="AP29" s="116"/>
      <c r="AQ29" s="116"/>
      <c r="AS29" s="60">
        <f>IF(AH29="o",'FLS MP'!S158,'FLS MP'!T158)</f>
        <v>0.97063695191765631</v>
      </c>
      <c r="AU29" s="44"/>
      <c r="AV29" s="44"/>
    </row>
    <row r="30" spans="3:48">
      <c r="C30" s="112">
        <v>3</v>
      </c>
      <c r="D30" s="221">
        <f t="shared" ref="D30:D39" si="13">E29</f>
        <v>-2.2999999999999998</v>
      </c>
      <c r="E30" s="44">
        <v>-6.2</v>
      </c>
      <c r="F30" s="44">
        <v>7.5</v>
      </c>
      <c r="G30" s="44">
        <v>7.5</v>
      </c>
      <c r="H30" s="45">
        <v>100</v>
      </c>
      <c r="I30" s="113">
        <f t="shared" si="9"/>
        <v>3.9000000000000004</v>
      </c>
      <c r="J30" s="114">
        <f t="shared" si="10"/>
        <v>0</v>
      </c>
      <c r="K30" s="59">
        <f t="shared" si="11"/>
        <v>71.17309572634214</v>
      </c>
      <c r="L30" s="59">
        <f t="shared" si="12"/>
        <v>75</v>
      </c>
      <c r="M30" s="75" t="s">
        <v>109</v>
      </c>
      <c r="N30" s="117" t="s">
        <v>49</v>
      </c>
      <c r="P30" s="110"/>
      <c r="Q30" s="110"/>
      <c r="S30" s="61">
        <f>'FLS MP'!S63</f>
        <v>0.72709177971825734</v>
      </c>
      <c r="T30" s="61">
        <f>'FLS MP'!T63</f>
        <v>0.66283033250948642</v>
      </c>
      <c r="U30" s="61">
        <f>'FLS MP'!S90</f>
        <v>0.72709177971825734</v>
      </c>
      <c r="V30" s="61">
        <f>'FLS MP'!T90</f>
        <v>0.66283033250948642</v>
      </c>
      <c r="W30" s="61">
        <f t="shared" ref="W30:W50" si="14">MAX(S30:V30)</f>
        <v>0.72709177971825734</v>
      </c>
      <c r="X30" s="60">
        <f>MAX('ULS MP'!N37,'ULS MP'!N65)</f>
        <v>0.83830219026236152</v>
      </c>
      <c r="Y30" s="60">
        <f>MAX('ULS MP'!O37,'ULS MP'!O65)</f>
        <v>0.76812513294905271</v>
      </c>
      <c r="AA30" s="44"/>
      <c r="AB30" s="44"/>
      <c r="AD30" s="53" t="s">
        <v>641</v>
      </c>
      <c r="AE30" s="53" t="s">
        <v>642</v>
      </c>
      <c r="AF30" s="44">
        <f>AF28-0.1</f>
        <v>4.5</v>
      </c>
      <c r="AG30" s="44">
        <v>1.1499999999999999</v>
      </c>
      <c r="AH30" s="53" t="s">
        <v>196</v>
      </c>
      <c r="AI30" s="53" t="s">
        <v>469</v>
      </c>
      <c r="AJ30" s="53"/>
      <c r="AK30" s="115">
        <f>MATCH(AF30,$D$28:$D$50,-1)</f>
        <v>1</v>
      </c>
      <c r="AL30" s="113">
        <f>INDEX($F$28:$F$50,AK30)+(INDEX($G$28:$G$50,AK30)-INDEX($F$28:$F$50,AK30))/(INDEX($E$28:$E$50,AK30)-INDEX($D$28:$D$50,AK30))*(AF30-INDEX($D$28:$D$50,AK30))</f>
        <v>7.5</v>
      </c>
      <c r="AM30" s="115">
        <f>INDEX($H$28:$H$50,AK30)</f>
        <v>108</v>
      </c>
      <c r="AN30" s="113" cm="1">
        <f t="array" ref="AN30">MIN(ABS(AF30-INDEX($D$28:$D$50,AK30)),ABS(AF30-INDEX($E$28:$E$50,AK30)))</f>
        <v>1</v>
      </c>
      <c r="AP30" s="116"/>
      <c r="AQ30" s="116"/>
      <c r="AS30" s="60">
        <f>IF(AH30="o",'FLS MP'!S159,'FLS MP'!T159)</f>
        <v>0.59702007746460894</v>
      </c>
      <c r="AU30" s="44"/>
      <c r="AV30" s="44"/>
    </row>
    <row r="31" spans="3:48">
      <c r="C31" s="112">
        <v>4</v>
      </c>
      <c r="D31" s="221">
        <f t="shared" si="13"/>
        <v>-6.2</v>
      </c>
      <c r="E31" s="44">
        <v>-10.1</v>
      </c>
      <c r="F31" s="44">
        <v>7.5</v>
      </c>
      <c r="G31" s="44">
        <v>7.8282999999999996</v>
      </c>
      <c r="H31" s="45">
        <v>100</v>
      </c>
      <c r="I31" s="113">
        <f t="shared" si="9"/>
        <v>3.8999999999999995</v>
      </c>
      <c r="J31" s="114">
        <f t="shared" si="10"/>
        <v>2.4101421139187913</v>
      </c>
      <c r="K31" s="59">
        <f t="shared" si="11"/>
        <v>72.751888113298889</v>
      </c>
      <c r="L31" s="59">
        <f t="shared" si="12"/>
        <v>78.282999999999987</v>
      </c>
      <c r="M31" s="75" t="s">
        <v>109</v>
      </c>
      <c r="N31" s="117" t="s">
        <v>36</v>
      </c>
      <c r="P31" s="110"/>
      <c r="Q31" s="110"/>
      <c r="S31" s="61">
        <f>'FLS MP'!S64</f>
        <v>0.65193318771435105</v>
      </c>
      <c r="T31" s="61">
        <f>'FLS MP'!T64</f>
        <v>0.80389626630392397</v>
      </c>
      <c r="U31" s="61">
        <f>'FLS MP'!S91</f>
        <v>0.65193318771435105</v>
      </c>
      <c r="V31" s="61">
        <f>'FLS MP'!T91</f>
        <v>0.80389626630392397</v>
      </c>
      <c r="W31" s="61">
        <f t="shared" si="14"/>
        <v>0.80389626630392397</v>
      </c>
      <c r="X31" s="60">
        <f>MAX('ULS MP'!N38,'ULS MP'!N66)</f>
        <v>0.80297032141868574</v>
      </c>
      <c r="Y31" s="60">
        <f>MAX('ULS MP'!O38,'ULS MP'!O66)</f>
        <v>0.73646152833481004</v>
      </c>
      <c r="AA31" s="44"/>
      <c r="AB31" s="44"/>
      <c r="AD31" s="53" t="s">
        <v>527</v>
      </c>
      <c r="AE31" s="53" t="s">
        <v>643</v>
      </c>
      <c r="AF31" s="44">
        <f>Control!F8*0.25-1</f>
        <v>-12.3575</v>
      </c>
      <c r="AG31" s="44">
        <v>2</v>
      </c>
      <c r="AH31" s="53" t="s">
        <v>195</v>
      </c>
      <c r="AI31" s="53" t="s">
        <v>36</v>
      </c>
      <c r="AJ31" s="53">
        <v>0.85199999999999998</v>
      </c>
      <c r="AK31" s="115">
        <f>MATCH(AF31,$D$28:$D$50,-1)</f>
        <v>5</v>
      </c>
      <c r="AL31" s="113">
        <f>INDEX($F$28:$F$50,AK31)+(INDEX($G$28:$G$50,AK31)-INDEX($F$28:$F$50,AK31))/(INDEX($E$28:$E$50,AK31)-INDEX($D$28:$D$50,AK31))*(AF31-INDEX($D$28:$D$50,AK31))</f>
        <v>8.018335192307692</v>
      </c>
      <c r="AM31" s="115">
        <f>INDEX($H$28:$H$50,AK31)</f>
        <v>106</v>
      </c>
      <c r="AN31" s="113" cm="1">
        <f t="array" ref="AN31">MIN(ABS(AF31-INDEX($D$28:$D$50,AK31)),ABS(AF31-INDEX($E$28:$E$50,AK31)))</f>
        <v>1.6425000000000001</v>
      </c>
      <c r="AP31" s="116"/>
      <c r="AQ31" s="116"/>
      <c r="AS31" s="60">
        <f>IF(AH31="o",'FLS MP'!S160,'FLS MP'!T160)</f>
        <v>0.99397516522171259</v>
      </c>
      <c r="AU31" s="44"/>
      <c r="AV31" s="44"/>
    </row>
    <row r="32" spans="3:48">
      <c r="C32" s="112">
        <v>5</v>
      </c>
      <c r="D32" s="221">
        <f t="shared" si="13"/>
        <v>-10.1</v>
      </c>
      <c r="E32" s="44">
        <v>-14</v>
      </c>
      <c r="F32" s="44">
        <v>7.8282999999999996</v>
      </c>
      <c r="G32" s="44">
        <v>8.1565999999999992</v>
      </c>
      <c r="H32" s="45">
        <v>106</v>
      </c>
      <c r="I32" s="113">
        <f t="shared" si="9"/>
        <v>3.9000000000000004</v>
      </c>
      <c r="J32" s="114">
        <f t="shared" si="10"/>
        <v>2.4101421139187904</v>
      </c>
      <c r="K32" s="59">
        <f t="shared" si="11"/>
        <v>80.402870870063566</v>
      </c>
      <c r="L32" s="59">
        <f t="shared" si="12"/>
        <v>76.94905660377357</v>
      </c>
      <c r="M32" s="75" t="s">
        <v>109</v>
      </c>
      <c r="N32" s="117" t="s">
        <v>49</v>
      </c>
      <c r="P32" s="110"/>
      <c r="Q32" s="110"/>
      <c r="S32" s="61">
        <f>'FLS MP'!S65</f>
        <v>0.47891911389904507</v>
      </c>
      <c r="T32" s="61">
        <f>'FLS MP'!T65</f>
        <v>0.7954494473860737</v>
      </c>
      <c r="U32" s="61">
        <f>'FLS MP'!S92</f>
        <v>0.41737954209850281</v>
      </c>
      <c r="V32" s="61">
        <f>'FLS MP'!T92</f>
        <v>0.67884607686734078</v>
      </c>
      <c r="W32" s="61">
        <f t="shared" si="14"/>
        <v>0.7954494473860737</v>
      </c>
      <c r="X32" s="60">
        <f>MAX('ULS MP'!N39,'ULS MP'!N67)</f>
        <v>0.68998060568645248</v>
      </c>
      <c r="Y32" s="60">
        <f>MAX('ULS MP'!O39,'ULS MP'!O67)</f>
        <v>0.51789563106498038</v>
      </c>
      <c r="AA32" s="44"/>
      <c r="AB32" s="44"/>
      <c r="AD32" s="53" t="s">
        <v>644</v>
      </c>
      <c r="AE32" s="53" t="s">
        <v>645</v>
      </c>
      <c r="AF32" s="44">
        <f>Control!F8*0.5</f>
        <v>-22.715</v>
      </c>
      <c r="AG32" s="44">
        <v>1.56</v>
      </c>
      <c r="AH32" s="53" t="s">
        <v>195</v>
      </c>
      <c r="AI32" s="53" t="s">
        <v>36</v>
      </c>
      <c r="AJ32" s="53"/>
      <c r="AK32" s="115">
        <f>MATCH(AF32,$D$28:$D$50,-1)</f>
        <v>8</v>
      </c>
      <c r="AL32" s="113">
        <f>INDEX($F$28:$F$50,AK32)+(INDEX($G$28:$G$50,AK32)-INDEX($F$28:$F$50,AK32))/(INDEX($E$28:$E$50,AK32)-INDEX($D$28:$D$50,AK32))*(AF32-INDEX($D$28:$D$50,AK32))</f>
        <v>8.8901242307692314</v>
      </c>
      <c r="AM32" s="115">
        <f>INDEX($H$28:$H$50,AK32)</f>
        <v>93</v>
      </c>
      <c r="AN32" s="113" cm="1">
        <f t="array" ref="AN32">MIN(ABS(AF32-INDEX($D$28:$D$50,AK32)),ABS(AF32-INDEX($E$28:$E$50,AK32)))</f>
        <v>0.91499999999999915</v>
      </c>
      <c r="AP32" s="116"/>
      <c r="AQ32" s="116"/>
      <c r="AS32" s="60">
        <f>IF(AH32="o",'FLS MP'!S161,'FLS MP'!T161)</f>
        <v>0.54735649132903286</v>
      </c>
      <c r="AU32" s="44"/>
      <c r="AV32" s="44"/>
    </row>
    <row r="33" spans="3:48">
      <c r="C33" s="112">
        <v>6</v>
      </c>
      <c r="D33" s="221">
        <f t="shared" si="13"/>
        <v>-14</v>
      </c>
      <c r="E33" s="44">
        <v>-17.899999999999999</v>
      </c>
      <c r="F33" s="44">
        <v>8.1565999999999992</v>
      </c>
      <c r="G33" s="44">
        <v>8.4847999999999999</v>
      </c>
      <c r="H33" s="45">
        <v>98</v>
      </c>
      <c r="I33" s="113">
        <f t="shared" si="9"/>
        <v>3.8999999999999986</v>
      </c>
      <c r="J33" s="114">
        <f t="shared" si="10"/>
        <v>2.4094088512562686</v>
      </c>
      <c r="K33" s="59">
        <f t="shared" si="11"/>
        <v>77.504096478974418</v>
      </c>
      <c r="L33" s="59">
        <f t="shared" si="12"/>
        <v>86.579591836734693</v>
      </c>
      <c r="M33" s="75" t="s">
        <v>109</v>
      </c>
      <c r="N33" s="117" t="s">
        <v>49</v>
      </c>
      <c r="P33" s="110"/>
      <c r="Q33" s="110"/>
      <c r="S33" s="61">
        <f>'FLS MP'!S66</f>
        <v>0.3240818218800392</v>
      </c>
      <c r="T33" s="61">
        <f>'FLS MP'!T66</f>
        <v>0.6220049243747765</v>
      </c>
      <c r="U33" s="61">
        <f>'FLS MP'!S93</f>
        <v>0.38466232589428195</v>
      </c>
      <c r="V33" s="61">
        <f>'FLS MP'!T93</f>
        <v>0.76848710153662336</v>
      </c>
      <c r="W33" s="61">
        <f t="shared" si="14"/>
        <v>0.76848710153662336</v>
      </c>
      <c r="X33" s="60">
        <f>MAX('ULS MP'!N40,'ULS MP'!N68)</f>
        <v>0.66693141031860526</v>
      </c>
      <c r="Y33" s="60">
        <f>MAX('ULS MP'!O40,'ULS MP'!O68)</f>
        <v>0.50599590560456753</v>
      </c>
      <c r="AA33" s="44"/>
      <c r="AB33" s="44"/>
      <c r="AD33" s="53" t="s">
        <v>646</v>
      </c>
      <c r="AE33" s="53" t="s">
        <v>647</v>
      </c>
      <c r="AF33" s="44">
        <f>Control!F8*0.5-1</f>
        <v>-23.715</v>
      </c>
      <c r="AG33" s="44">
        <v>1.25</v>
      </c>
      <c r="AH33" s="53" t="s">
        <v>195</v>
      </c>
      <c r="AI33" s="53" t="s">
        <v>469</v>
      </c>
      <c r="AJ33" s="53"/>
      <c r="AK33" s="115">
        <f>MATCH(AF33,$D$28:$D$50,-1)</f>
        <v>8</v>
      </c>
      <c r="AL33" s="113">
        <f>INDEX($F$28:$F$50,AK33)+(INDEX($G$28:$G$50,AK33)-INDEX($F$28:$F$50,AK33))/(INDEX($E$28:$E$50,AK33)-INDEX($D$28:$D$50,AK33))*(AF33-INDEX($D$28:$D$50,AK33))</f>
        <v>8.9743037179487182</v>
      </c>
      <c r="AM33" s="115">
        <f>INDEX($H$28:$H$50,AK33)</f>
        <v>93</v>
      </c>
      <c r="AN33" s="113" cm="1">
        <f t="array" ref="AN33">MIN(ABS(AF33-INDEX($D$28:$D$50,AK33)),ABS(AF33-INDEX($E$28:$E$50,AK33)))</f>
        <v>1.9149999999999991</v>
      </c>
      <c r="AP33" s="116"/>
      <c r="AQ33" s="116"/>
      <c r="AS33" s="60">
        <f>IF(AH33="o",'FLS MP'!S162,'FLS MP'!T162)</f>
        <v>0.70568567506425151</v>
      </c>
      <c r="AU33" s="44"/>
      <c r="AV33" s="44"/>
    </row>
    <row r="34" spans="3:48">
      <c r="C34" s="112">
        <v>7</v>
      </c>
      <c r="D34" s="221">
        <f t="shared" si="13"/>
        <v>-17.899999999999999</v>
      </c>
      <c r="E34" s="44">
        <v>-21.8</v>
      </c>
      <c r="F34" s="44">
        <v>8.4847999999999999</v>
      </c>
      <c r="G34" s="44">
        <v>8.8131000000000004</v>
      </c>
      <c r="H34" s="45">
        <v>93</v>
      </c>
      <c r="I34" s="113">
        <f t="shared" si="9"/>
        <v>3.9000000000000021</v>
      </c>
      <c r="J34" s="114">
        <f t="shared" si="10"/>
        <v>2.4101421139187957</v>
      </c>
      <c r="K34" s="59">
        <f t="shared" si="11"/>
        <v>76.530636080163617</v>
      </c>
      <c r="L34" s="59">
        <f t="shared" si="12"/>
        <v>94.764516129032259</v>
      </c>
      <c r="M34" s="75" t="s">
        <v>109</v>
      </c>
      <c r="N34" s="117" t="s">
        <v>49</v>
      </c>
      <c r="P34" s="110"/>
      <c r="Q34" s="110"/>
      <c r="S34" s="61">
        <f>'FLS MP'!S67</f>
        <v>0.38587088327521113</v>
      </c>
      <c r="T34" s="61">
        <f>'FLS MP'!T67</f>
        <v>0.59076094403668999</v>
      </c>
      <c r="U34" s="61">
        <f>'FLS MP'!S94</f>
        <v>0.43563381372407417</v>
      </c>
      <c r="V34" s="61">
        <f>'FLS MP'!T94</f>
        <v>0.67897568832462274</v>
      </c>
      <c r="W34" s="61">
        <f t="shared" si="14"/>
        <v>0.67897568832462274</v>
      </c>
      <c r="X34" s="60">
        <f>MAX('ULS MP'!N41,'ULS MP'!N69)</f>
        <v>0.78169785856340956</v>
      </c>
      <c r="Y34" s="60">
        <f>MAX('ULS MP'!O41,'ULS MP'!O69)</f>
        <v>0.51745895279173504</v>
      </c>
      <c r="AA34" s="44"/>
      <c r="AB34" s="44"/>
      <c r="AD34" s="53" t="s">
        <v>528</v>
      </c>
      <c r="AE34" s="53" t="s">
        <v>643</v>
      </c>
      <c r="AF34" s="44">
        <f>Control!F8*0.75</f>
        <v>-34.072499999999998</v>
      </c>
      <c r="AG34" s="44">
        <v>2</v>
      </c>
      <c r="AH34" s="53" t="s">
        <v>195</v>
      </c>
      <c r="AI34" s="53" t="s">
        <v>36</v>
      </c>
      <c r="AJ34" s="53">
        <v>0.84599999999999997</v>
      </c>
      <c r="AK34" s="115">
        <f>MATCH(AF34,$D$28:$D$50,-1)</f>
        <v>11</v>
      </c>
      <c r="AL34" s="113">
        <f>INDEX($F$28:$F$50,AK34)+(INDEX($G$28:$G$50,AK34)-INDEX($F$28:$F$50,AK34))/(INDEX($E$28:$E$50,AK34)-INDEX($D$28:$D$50,AK34))*(AF34-INDEX($D$28:$D$50,AK34))</f>
        <v>9.8000000000000007</v>
      </c>
      <c r="AM34" s="115">
        <f>INDEX($H$28:$H$50,AK34)</f>
        <v>93</v>
      </c>
      <c r="AN34" s="113" cm="1">
        <f t="array" ref="AN34">MIN(ABS(AF34-INDEX($D$28:$D$50,AK34)),ABS(AF34-INDEX($E$28:$E$50,AK34)))</f>
        <v>0.57249999999999801</v>
      </c>
      <c r="AP34" s="116"/>
      <c r="AQ34" s="116"/>
      <c r="AS34" s="60">
        <f>IF(AH34="o",'FLS MP'!S163,'FLS MP'!T163)</f>
        <v>0.80599454783055502</v>
      </c>
      <c r="AU34" s="44"/>
      <c r="AV34" s="44"/>
    </row>
    <row r="35" spans="3:48">
      <c r="C35" s="112">
        <v>8</v>
      </c>
      <c r="D35" s="221">
        <f t="shared" si="13"/>
        <v>-21.8</v>
      </c>
      <c r="E35" s="44">
        <v>-25.7</v>
      </c>
      <c r="F35" s="44">
        <v>8.8131000000000004</v>
      </c>
      <c r="G35" s="44">
        <v>9.1414000000000009</v>
      </c>
      <c r="H35" s="45">
        <v>93</v>
      </c>
      <c r="I35" s="113">
        <f t="shared" ref="I35:I39" si="15">D35-E35</f>
        <v>3.8999999999999986</v>
      </c>
      <c r="J35" s="114">
        <f t="shared" ref="J35:J39" si="16">ATAN((G35-F35)/(2*I35))/PI()*180</f>
        <v>2.4101421139187984</v>
      </c>
      <c r="K35" s="59">
        <f t="shared" ref="K35:K39" si="17">IF(J35=0,PI()/4*(F35^2-(F35-(2*H35/1000))^2)*I35*7850/1000,(I35*PI()/12)*((G35^2+G35*F35+F35^2)-((G35-2*(H35/1000))^2+(G35-(2*H35/1000))*(F35-(2*H35/1000))+(F35-(2*H35/1000))^2))*7850/1000)</f>
        <v>79.467189919903291</v>
      </c>
      <c r="L35" s="59">
        <f t="shared" ref="L35:L39" si="18">MAX(F35:G35)/H35*1000</f>
        <v>98.294623655913981</v>
      </c>
      <c r="M35" s="75" t="s">
        <v>109</v>
      </c>
      <c r="N35" s="117" t="s">
        <v>49</v>
      </c>
      <c r="P35" s="110"/>
      <c r="Q35" s="110"/>
      <c r="S35" s="61">
        <f>'FLS MP'!S68</f>
        <v>0.49324714206983311</v>
      </c>
      <c r="T35" s="61">
        <f>'FLS MP'!T68</f>
        <v>0.46108555218168934</v>
      </c>
      <c r="U35" s="61">
        <f>'FLS MP'!S95</f>
        <v>0.49324714206983311</v>
      </c>
      <c r="V35" s="61">
        <f>'FLS MP'!T95</f>
        <v>0.46108555218168934</v>
      </c>
      <c r="W35" s="61">
        <f t="shared" si="14"/>
        <v>0.49324714206983311</v>
      </c>
      <c r="X35" s="60">
        <f>MAX('ULS MP'!N42,'ULS MP'!N70)</f>
        <v>0.78985526322611144</v>
      </c>
      <c r="Y35" s="60">
        <f>MAX('ULS MP'!O42,'ULS MP'!O70)</f>
        <v>0.50496748458453589</v>
      </c>
      <c r="AA35" s="44"/>
      <c r="AB35" s="44"/>
      <c r="AD35" s="53" t="s">
        <v>529</v>
      </c>
      <c r="AE35" s="53" t="s">
        <v>530</v>
      </c>
      <c r="AF35" s="44">
        <f>Control!F8+5</f>
        <v>-40.43</v>
      </c>
      <c r="AG35" s="44">
        <v>2.1230000000000002</v>
      </c>
      <c r="AH35" s="53" t="s">
        <v>195</v>
      </c>
      <c r="AI35" s="53" t="s">
        <v>36</v>
      </c>
      <c r="AJ35" s="53">
        <v>0.84599999999999997</v>
      </c>
      <c r="AK35" s="115">
        <f>MATCH(AF35,$D$28:$D$50,-1)</f>
        <v>13</v>
      </c>
      <c r="AL35" s="113">
        <f>INDEX($F$28:$F$50,AK35)+(INDEX($G$28:$G$50,AK35)-INDEX($F$28:$F$50,AK35))/(INDEX($E$28:$E$50,AK35)-INDEX($D$28:$D$50,AK35))*(AF35-INDEX($D$28:$D$50,AK35))</f>
        <v>9.8000000000000007</v>
      </c>
      <c r="AM35" s="115">
        <f>INDEX($H$28:$H$50,AK35)</f>
        <v>102</v>
      </c>
      <c r="AN35" s="113" cm="1">
        <f t="array" ref="AN35">MIN(ABS(AF35-INDEX($D$28:$D$50,AK35)),ABS(AF35-INDEX($E$28:$E$50,AK35)))</f>
        <v>0.22999999999999687</v>
      </c>
      <c r="AP35" s="116"/>
      <c r="AQ35" s="116"/>
      <c r="AS35" s="60">
        <f>IF(AH35="o",'FLS MP'!S164,'FLS MP'!T164)</f>
        <v>0.95682979443478189</v>
      </c>
      <c r="AU35" s="44"/>
      <c r="AV35" s="44"/>
    </row>
    <row r="36" spans="3:48">
      <c r="C36" s="112">
        <v>9</v>
      </c>
      <c r="D36" s="221">
        <f t="shared" si="13"/>
        <v>-25.7</v>
      </c>
      <c r="E36" s="44">
        <v>-29.6</v>
      </c>
      <c r="F36" s="44">
        <v>9.1414000000000009</v>
      </c>
      <c r="G36" s="44">
        <v>9.4696999999999996</v>
      </c>
      <c r="H36" s="45">
        <v>93</v>
      </c>
      <c r="I36" s="113">
        <f t="shared" si="15"/>
        <v>3.9000000000000021</v>
      </c>
      <c r="J36" s="114">
        <f t="shared" si="16"/>
        <v>2.4101421139187829</v>
      </c>
      <c r="K36" s="59">
        <f t="shared" si="17"/>
        <v>82.403743759642452</v>
      </c>
      <c r="L36" s="59">
        <f t="shared" si="18"/>
        <v>101.8247311827957</v>
      </c>
      <c r="M36" s="75" t="s">
        <v>109</v>
      </c>
      <c r="N36" s="117" t="s">
        <v>49</v>
      </c>
      <c r="P36" s="110"/>
      <c r="Q36" s="110"/>
      <c r="S36" s="61">
        <f>'FLS MP'!S69</f>
        <v>0.44044956352293463</v>
      </c>
      <c r="T36" s="61">
        <f>'FLS MP'!T69</f>
        <v>0.41357532823190923</v>
      </c>
      <c r="U36" s="61">
        <f>'FLS MP'!S96</f>
        <v>0.44044956352293463</v>
      </c>
      <c r="V36" s="61">
        <f>'FLS MP'!T96</f>
        <v>0.41357532823190923</v>
      </c>
      <c r="W36" s="61">
        <f t="shared" si="14"/>
        <v>0.44044956352293463</v>
      </c>
      <c r="X36" s="60">
        <f>MAX('ULS MP'!N43,'ULS MP'!N71)</f>
        <v>0.79482911128973088</v>
      </c>
      <c r="Y36" s="60">
        <f>MAX('ULS MP'!O43,'ULS MP'!O71)</f>
        <v>0.4947854032083725</v>
      </c>
      <c r="AA36" s="44"/>
      <c r="AB36" s="44"/>
    </row>
    <row r="37" spans="3:48">
      <c r="C37" s="112">
        <v>10</v>
      </c>
      <c r="D37" s="221">
        <f t="shared" si="13"/>
        <v>-29.6</v>
      </c>
      <c r="E37" s="44">
        <v>-33.5</v>
      </c>
      <c r="F37" s="44">
        <v>9.4696999999999996</v>
      </c>
      <c r="G37" s="44">
        <v>9.8000000000000007</v>
      </c>
      <c r="H37" s="45">
        <v>93</v>
      </c>
      <c r="I37" s="113">
        <f t="shared" si="15"/>
        <v>3.8999999999999986</v>
      </c>
      <c r="J37" s="114">
        <f t="shared" si="16"/>
        <v>2.4248072009611419</v>
      </c>
      <c r="K37" s="59">
        <f t="shared" si="17"/>
        <v>85.349242326277192</v>
      </c>
      <c r="L37" s="59">
        <f t="shared" si="18"/>
        <v>105.3763440860215</v>
      </c>
      <c r="M37" s="75" t="s">
        <v>109</v>
      </c>
      <c r="N37" s="117" t="s">
        <v>49</v>
      </c>
      <c r="P37" s="110"/>
      <c r="Q37" s="110"/>
      <c r="S37" s="61">
        <f>'FLS MP'!S70</f>
        <v>0.40411071094732776</v>
      </c>
      <c r="T37" s="61">
        <f>'FLS MP'!T70</f>
        <v>0.38091260365764057</v>
      </c>
      <c r="U37" s="61">
        <f>'FLS MP'!S97</f>
        <v>0.40411071094732776</v>
      </c>
      <c r="V37" s="61">
        <f>'FLS MP'!T97</f>
        <v>0.38091260365764057</v>
      </c>
      <c r="W37" s="61">
        <f t="shared" si="14"/>
        <v>0.40411071094732776</v>
      </c>
      <c r="X37" s="60">
        <f>MAX('ULS MP'!N44,'ULS MP'!N72)</f>
        <v>0.79985873758479265</v>
      </c>
      <c r="Y37" s="60">
        <f>MAX('ULS MP'!O44,'ULS MP'!O72)</f>
        <v>0.69276495608250788</v>
      </c>
      <c r="AA37" s="44"/>
      <c r="AB37" s="44"/>
    </row>
    <row r="38" spans="3:48">
      <c r="C38" s="112">
        <v>11</v>
      </c>
      <c r="D38" s="221">
        <f t="shared" si="13"/>
        <v>-33.5</v>
      </c>
      <c r="E38" s="44">
        <v>-36.799999999999997</v>
      </c>
      <c r="F38" s="44">
        <v>9.8000000000000007</v>
      </c>
      <c r="G38" s="44">
        <v>9.8000000000000007</v>
      </c>
      <c r="H38" s="45">
        <v>93</v>
      </c>
      <c r="I38" s="113">
        <f t="shared" si="15"/>
        <v>3.2999999999999972</v>
      </c>
      <c r="J38" s="114">
        <f t="shared" si="16"/>
        <v>0</v>
      </c>
      <c r="K38" s="59">
        <f t="shared" si="17"/>
        <v>73.468546438727955</v>
      </c>
      <c r="L38" s="59">
        <f t="shared" si="18"/>
        <v>105.3763440860215</v>
      </c>
      <c r="M38" s="75" t="s">
        <v>109</v>
      </c>
      <c r="N38" s="117" t="s">
        <v>266</v>
      </c>
      <c r="P38" s="110"/>
      <c r="Q38" s="110"/>
      <c r="S38" s="61">
        <f>'FLS MP'!S71</f>
        <v>0.40366902017658424</v>
      </c>
      <c r="T38" s="61">
        <f>'FLS MP'!T71</f>
        <v>0.34345517983289175</v>
      </c>
      <c r="U38" s="61">
        <f>'FLS MP'!S98</f>
        <v>0.40366902017658424</v>
      </c>
      <c r="V38" s="61">
        <f>'FLS MP'!T98</f>
        <v>0.34345517983289175</v>
      </c>
      <c r="W38" s="61">
        <f t="shared" si="14"/>
        <v>0.40366902017658424</v>
      </c>
      <c r="X38" s="60">
        <f>MAX('ULS MP'!N45,'ULS MP'!N73)</f>
        <v>0.96407421779317182</v>
      </c>
      <c r="Y38" s="60">
        <f>MAX('ULS MP'!O45,'ULS MP'!O73)</f>
        <v>0.69276495608250788</v>
      </c>
      <c r="AA38" s="44"/>
      <c r="AB38" s="44"/>
    </row>
    <row r="39" spans="3:48">
      <c r="C39" s="112">
        <v>12</v>
      </c>
      <c r="D39" s="221">
        <f>E38</f>
        <v>-36.799999999999997</v>
      </c>
      <c r="E39" s="44">
        <v>-40.200000000000003</v>
      </c>
      <c r="F39" s="44">
        <v>9.8000000000000007</v>
      </c>
      <c r="G39" s="44">
        <v>9.8000000000000007</v>
      </c>
      <c r="H39" s="45">
        <v>93</v>
      </c>
      <c r="I39" s="113">
        <f t="shared" ref="I39" si="19">D39-E39</f>
        <v>3.4000000000000057</v>
      </c>
      <c r="J39" s="114">
        <f t="shared" ref="J39" si="20">ATAN((G39-F39)/(2*I39))/PI()*180</f>
        <v>0</v>
      </c>
      <c r="K39" s="59">
        <f t="shared" ref="K39" si="21">IF(J39=0,PI()/4*(F39^2-(F39-(2*H39/1000))^2)*I39*7850/1000,(I39*PI()/12)*((G39^2+G39*F39+F39^2)-((G39-2*(H39/1000))^2+(G39-(2*H39/1000))*(F39-(2*H39/1000))+(F39-(2*H39/1000))^2))*7850/1000)</f>
        <v>75.694866027780506</v>
      </c>
      <c r="L39" s="59">
        <f t="shared" ref="L39" si="22">MAX(F39:G39)/H39*1000</f>
        <v>105.3763440860215</v>
      </c>
      <c r="M39" s="75" t="s">
        <v>109</v>
      </c>
      <c r="N39" s="117" t="s">
        <v>49</v>
      </c>
      <c r="P39" s="110"/>
      <c r="Q39" s="110"/>
      <c r="S39" s="61">
        <f>'FLS MP'!S72</f>
        <v>0.43217070196778429</v>
      </c>
      <c r="T39" s="61">
        <f>'FLS MP'!T72</f>
        <v>0.40766174055665294</v>
      </c>
      <c r="U39" s="61">
        <f>'FLS MP'!S99</f>
        <v>0.43217070196778429</v>
      </c>
      <c r="V39" s="61">
        <f>'FLS MP'!T99</f>
        <v>0.40766174055665294</v>
      </c>
      <c r="W39" s="61">
        <f t="shared" si="14"/>
        <v>0.43217070196778429</v>
      </c>
      <c r="X39" s="60">
        <f>MAX('ULS MP'!N46,'ULS MP'!N74)</f>
        <v>0.86556425223743383</v>
      </c>
      <c r="Y39" s="60">
        <f>MAX('ULS MP'!O46,'ULS MP'!O74)</f>
        <v>0.50161629980658051</v>
      </c>
      <c r="AA39" s="44"/>
      <c r="AB39" s="44"/>
    </row>
    <row r="40" spans="3:48">
      <c r="C40" s="112">
        <v>13</v>
      </c>
      <c r="D40" s="221">
        <f>E39</f>
        <v>-40.200000000000003</v>
      </c>
      <c r="E40" s="44">
        <v>-43.8</v>
      </c>
      <c r="F40" s="44">
        <v>9.8000000000000007</v>
      </c>
      <c r="G40" s="44">
        <v>9.8000000000000007</v>
      </c>
      <c r="H40" s="45">
        <v>102</v>
      </c>
      <c r="I40" s="113">
        <f>D40-E40</f>
        <v>3.5999999999999943</v>
      </c>
      <c r="J40" s="114">
        <f>ATAN((G40-F40)/(2*I40))/PI()*180</f>
        <v>0</v>
      </c>
      <c r="K40" s="59">
        <f>IF(J40=0,PI()/4*(F40^2-(F40-(2*H40/1000))^2)*I40*7850/1000,(I40*PI()/12)*((G40^2+G40*F40+F40^2)-((G40-2*(H40/1000))^2+(G40-(2*H40/1000))*(F40-(2*H40/1000))+(F40-(2*H40/1000))^2))*7850/1000)</f>
        <v>87.822214054197303</v>
      </c>
      <c r="L40" s="59">
        <f>MAX(F40:G40)/H40*1000</f>
        <v>96.078431372549019</v>
      </c>
      <c r="M40" s="75" t="s">
        <v>123</v>
      </c>
      <c r="N40" s="117" t="s">
        <v>49</v>
      </c>
      <c r="P40" s="110"/>
      <c r="Q40" s="110"/>
      <c r="S40" s="61">
        <f>'FLS MP'!S73</f>
        <v>0.32270870493404713</v>
      </c>
      <c r="T40" s="61">
        <f>'FLS MP'!T73</f>
        <v>0.72562976484020947</v>
      </c>
      <c r="U40" s="61">
        <f>'FLS MP'!S100</f>
        <v>0.26755738262805462</v>
      </c>
      <c r="V40" s="61">
        <f>'FLS MP'!T100</f>
        <v>0.56718432592036461</v>
      </c>
      <c r="W40" s="61">
        <f t="shared" si="14"/>
        <v>0.72562976484020947</v>
      </c>
      <c r="X40" s="60">
        <f>MAX('ULS MP'!N47,'ULS MP'!N75)</f>
        <v>0.79759867693237674</v>
      </c>
      <c r="Y40" s="60">
        <f>MAX('ULS MP'!O47,'ULS MP'!O75)</f>
        <v>0.44501835126979056</v>
      </c>
      <c r="AA40" s="44"/>
      <c r="AB40" s="44"/>
    </row>
    <row r="41" spans="3:48">
      <c r="C41" s="112">
        <v>14</v>
      </c>
      <c r="D41" s="221">
        <f>E40</f>
        <v>-43.8</v>
      </c>
      <c r="E41" s="44">
        <v>-47.8</v>
      </c>
      <c r="F41" s="44">
        <v>9.8000000000000007</v>
      </c>
      <c r="G41" s="44">
        <v>9.8000000000000007</v>
      </c>
      <c r="H41" s="45">
        <v>92</v>
      </c>
      <c r="I41" s="113">
        <f t="shared" ref="I41" si="23">D41-E41</f>
        <v>4</v>
      </c>
      <c r="J41" s="114">
        <f t="shared" ref="J41" si="24">ATAN((G41-F41)/(2*I41))/PI()*180</f>
        <v>0</v>
      </c>
      <c r="K41" s="59">
        <f t="shared" ref="K41" si="25">IF(J41=0,PI()/4*(F41^2-(F41-(2*H41/1000))^2)*I41*7850/1000,(I41*PI()/12)*((G41^2+G41*F41+F41^2)-((G41-2*(H41/1000))^2+(G41-(2*H41/1000))*(F41-(2*H41/1000))+(F41-(2*H41/1000))^2))*7850/1000)</f>
        <v>88.104302182456252</v>
      </c>
      <c r="L41" s="59">
        <f t="shared" ref="L41" si="26">MAX(F41:G41)/H41*1000</f>
        <v>106.5217391304348</v>
      </c>
      <c r="M41" s="75" t="s">
        <v>109</v>
      </c>
      <c r="N41" s="117" t="s">
        <v>49</v>
      </c>
      <c r="P41" s="110"/>
      <c r="Q41" s="110"/>
      <c r="S41" s="61">
        <f>'FLS MP'!S74</f>
        <v>0.29300805777084171</v>
      </c>
      <c r="T41" s="61">
        <f>'FLS MP'!T74</f>
        <v>0.71036317048954223</v>
      </c>
      <c r="U41" s="61">
        <f>'FLS MP'!S101</f>
        <v>0.3652406229289622</v>
      </c>
      <c r="V41" s="61">
        <f>'FLS MP'!T101</f>
        <v>0.94580408911153435</v>
      </c>
      <c r="W41" s="61">
        <f t="shared" si="14"/>
        <v>0.94580408911153435</v>
      </c>
      <c r="X41" s="60">
        <f>MAX('ULS MP'!N48,'ULS MP'!N76)</f>
        <v>0.94039741105790275</v>
      </c>
      <c r="Y41" s="60">
        <f>MAX('ULS MP'!O48,'ULS MP'!O76)</f>
        <v>0.57711665994585681</v>
      </c>
      <c r="AA41" s="44"/>
      <c r="AB41" s="44"/>
    </row>
    <row r="42" spans="3:48">
      <c r="C42" s="112">
        <v>15</v>
      </c>
      <c r="D42" s="221">
        <f>E41</f>
        <v>-47.8</v>
      </c>
      <c r="E42" s="44">
        <v>-51.8</v>
      </c>
      <c r="F42" s="44">
        <v>9.8000000000000007</v>
      </c>
      <c r="G42" s="44">
        <v>9.8000000000000007</v>
      </c>
      <c r="H42" s="45">
        <v>90</v>
      </c>
      <c r="I42" s="113">
        <f t="shared" ref="I42:I50" si="27">D42-E42</f>
        <v>4</v>
      </c>
      <c r="J42" s="114">
        <f t="shared" ref="J42:J50" si="28">ATAN((G42-F42)/(2*I42))/PI()*180</f>
        <v>0</v>
      </c>
      <c r="K42" s="59">
        <f t="shared" ref="K42:K50" si="29">IF(J42=0,PI()/4*(F42^2-(F42-(2*H42/1000))^2)*I42*7850/1000,(I42*PI()/12)*((G42^2+G42*F42+F42^2)-((G42-2*(H42/1000))^2+(G42-(2*H42/1000))*(F42-(2*H42/1000))+(F42-(2*H42/1000))^2))*7850/1000)</f>
        <v>86.206747547124479</v>
      </c>
      <c r="L42" s="59">
        <f t="shared" ref="L42:L50" si="30">MAX(F42:G42)/H42*1000</f>
        <v>108.8888888888889</v>
      </c>
      <c r="M42" s="75" t="s">
        <v>109</v>
      </c>
      <c r="N42" s="117" t="s">
        <v>49</v>
      </c>
      <c r="P42" s="110"/>
      <c r="Q42" s="110"/>
      <c r="S42" s="61">
        <f>'FLS MP'!S75</f>
        <v>0.72153768919264583</v>
      </c>
      <c r="T42" s="61">
        <f>'FLS MP'!T75</f>
        <v>0.85228962702706579</v>
      </c>
      <c r="U42" s="61">
        <f>'FLS MP'!S102</f>
        <v>0.7651899965451483</v>
      </c>
      <c r="V42" s="61">
        <f>'FLS MP'!T102</f>
        <v>0.90646548223269285</v>
      </c>
      <c r="W42" s="61">
        <f t="shared" si="14"/>
        <v>0.90646548223269285</v>
      </c>
      <c r="X42" s="60">
        <f>MAX('ULS MP'!N49,'ULS MP'!N77)</f>
        <v>0.75656473688293768</v>
      </c>
      <c r="Y42" s="60">
        <f>MAX('ULS MP'!O49,'ULS MP'!O77)</f>
        <v>0.62015476754070109</v>
      </c>
      <c r="AA42" s="44"/>
      <c r="AB42" s="44"/>
    </row>
    <row r="43" spans="3:48">
      <c r="C43" s="112">
        <v>16</v>
      </c>
      <c r="D43" s="221">
        <f>E42</f>
        <v>-51.8</v>
      </c>
      <c r="E43" s="44">
        <v>-55.8</v>
      </c>
      <c r="F43" s="44">
        <v>9.8000000000000007</v>
      </c>
      <c r="G43" s="44">
        <v>9.8000000000000007</v>
      </c>
      <c r="H43" s="45">
        <v>81</v>
      </c>
      <c r="I43" s="113">
        <f t="shared" si="27"/>
        <v>4</v>
      </c>
      <c r="J43" s="114">
        <f t="shared" si="28"/>
        <v>0</v>
      </c>
      <c r="K43" s="59">
        <f t="shared" si="29"/>
        <v>77.657985733209031</v>
      </c>
      <c r="L43" s="59">
        <f t="shared" si="30"/>
        <v>120.98765432098767</v>
      </c>
      <c r="M43" s="75" t="s">
        <v>109</v>
      </c>
      <c r="N43" s="117" t="s">
        <v>266</v>
      </c>
      <c r="P43" s="110"/>
      <c r="Q43" s="110"/>
      <c r="S43" s="61">
        <f>'FLS MP'!S76</f>
        <v>0.63896990823364219</v>
      </c>
      <c r="T43" s="61">
        <f>'FLS MP'!T76</f>
        <v>0.53203474548276175</v>
      </c>
      <c r="U43" s="61">
        <f>'FLS MP'!S103</f>
        <v>0.84677339832530529</v>
      </c>
      <c r="V43" s="61">
        <f>'FLS MP'!T103</f>
        <v>0.72906191411654642</v>
      </c>
      <c r="W43" s="61">
        <f t="shared" si="14"/>
        <v>0.84677339832530529</v>
      </c>
      <c r="X43" s="60">
        <f>MAX('ULS MP'!N50,'ULS MP'!N78)</f>
        <v>0.89405872683299337</v>
      </c>
      <c r="Y43" s="60">
        <f>MAX('ULS MP'!O50,'ULS MP'!O78)</f>
        <v>0.71544023445345561</v>
      </c>
      <c r="AA43" s="44"/>
      <c r="AB43" s="44"/>
    </row>
    <row r="44" spans="3:48">
      <c r="C44" s="112">
        <v>17</v>
      </c>
      <c r="D44" s="221">
        <f>E43</f>
        <v>-55.8</v>
      </c>
      <c r="E44" s="44">
        <v>-59.8</v>
      </c>
      <c r="F44" s="44">
        <v>9.8000000000000007</v>
      </c>
      <c r="G44" s="44">
        <v>9.8000000000000007</v>
      </c>
      <c r="H44" s="45">
        <v>81</v>
      </c>
      <c r="I44" s="113">
        <f t="shared" si="27"/>
        <v>4</v>
      </c>
      <c r="J44" s="114">
        <f t="shared" si="28"/>
        <v>0</v>
      </c>
      <c r="K44" s="59">
        <f t="shared" si="29"/>
        <v>77.657985733209031</v>
      </c>
      <c r="L44" s="59">
        <f t="shared" si="30"/>
        <v>120.98765432098767</v>
      </c>
      <c r="M44" s="75" t="s">
        <v>109</v>
      </c>
      <c r="N44" s="117" t="s">
        <v>265</v>
      </c>
      <c r="P44" s="110"/>
      <c r="Q44" s="110"/>
      <c r="S44" s="61">
        <f>'FLS MP'!S77</f>
        <v>0.54485814770534413</v>
      </c>
      <c r="T44" s="61">
        <f>'FLS MP'!T77</f>
        <v>0.51616440741292047</v>
      </c>
      <c r="U44" s="61">
        <f>'FLS MP'!S104</f>
        <v>0.54485814770534413</v>
      </c>
      <c r="V44" s="61">
        <f>'FLS MP'!T104</f>
        <v>0.51616440741292047</v>
      </c>
      <c r="W44" s="61">
        <f t="shared" si="14"/>
        <v>0.54485814770534413</v>
      </c>
      <c r="X44" s="60">
        <f>MAX('ULS MP'!N51,'ULS MP'!N79)</f>
        <v>0.91684543574403832</v>
      </c>
      <c r="Y44" s="60">
        <f>MAX('ULS MP'!O51,'ULS MP'!O79)</f>
        <v>0.73010503815206862</v>
      </c>
      <c r="AA44" s="44"/>
      <c r="AB44" s="44"/>
    </row>
    <row r="45" spans="3:48">
      <c r="C45" s="112">
        <v>18</v>
      </c>
      <c r="D45" s="221">
        <f>E44</f>
        <v>-59.8</v>
      </c>
      <c r="E45" s="44">
        <v>-63.8</v>
      </c>
      <c r="F45" s="44">
        <v>9.8000000000000007</v>
      </c>
      <c r="G45" s="44">
        <v>9.8000000000000007</v>
      </c>
      <c r="H45" s="45">
        <v>81</v>
      </c>
      <c r="I45" s="113">
        <f t="shared" si="27"/>
        <v>4</v>
      </c>
      <c r="J45" s="114">
        <f t="shared" si="28"/>
        <v>0</v>
      </c>
      <c r="K45" s="59">
        <f t="shared" si="29"/>
        <v>77.657985733209031</v>
      </c>
      <c r="L45" s="59">
        <f t="shared" si="30"/>
        <v>120.98765432098767</v>
      </c>
      <c r="M45" s="75" t="s">
        <v>109</v>
      </c>
      <c r="N45" s="117" t="s">
        <v>265</v>
      </c>
      <c r="P45" s="110"/>
      <c r="Q45" s="110"/>
      <c r="S45" s="61">
        <f>'FLS MP'!S78</f>
        <v>0.5577157686661115</v>
      </c>
      <c r="T45" s="61">
        <f>'FLS MP'!T78</f>
        <v>0.52819270055642797</v>
      </c>
      <c r="U45" s="61">
        <f>'FLS MP'!S105</f>
        <v>0.5577157686661115</v>
      </c>
      <c r="V45" s="61">
        <f>'FLS MP'!T105</f>
        <v>0.52819270055642797</v>
      </c>
      <c r="W45" s="61">
        <f t="shared" si="14"/>
        <v>0.5577157686661115</v>
      </c>
      <c r="X45" s="60">
        <f>MAX('ULS MP'!N52,'ULS MP'!N80)</f>
        <v>0.91712697036148827</v>
      </c>
      <c r="Y45" s="60">
        <f>MAX('ULS MP'!O52,'ULS MP'!O80)</f>
        <v>0.73010503815206862</v>
      </c>
      <c r="AA45" s="44"/>
      <c r="AB45" s="44"/>
    </row>
    <row r="46" spans="3:48">
      <c r="C46" s="112">
        <v>19</v>
      </c>
      <c r="D46" s="221">
        <f>E45</f>
        <v>-63.8</v>
      </c>
      <c r="E46" s="44">
        <v>-67.8</v>
      </c>
      <c r="F46" s="44">
        <v>9.8000000000000007</v>
      </c>
      <c r="G46" s="44">
        <v>9.8000000000000007</v>
      </c>
      <c r="H46" s="45">
        <v>81</v>
      </c>
      <c r="I46" s="113">
        <f t="shared" si="27"/>
        <v>4</v>
      </c>
      <c r="J46" s="114">
        <f t="shared" si="28"/>
        <v>0</v>
      </c>
      <c r="K46" s="59">
        <f t="shared" si="29"/>
        <v>77.657985733209031</v>
      </c>
      <c r="L46" s="59">
        <f t="shared" si="30"/>
        <v>120.98765432098767</v>
      </c>
      <c r="M46" s="75" t="s">
        <v>109</v>
      </c>
      <c r="N46" s="117" t="s">
        <v>265</v>
      </c>
      <c r="P46" s="110"/>
      <c r="Q46" s="110"/>
      <c r="S46" s="61">
        <f>'FLS MP'!S79</f>
        <v>0.40319022105870372</v>
      </c>
      <c r="T46" s="61">
        <f>'FLS MP'!T79</f>
        <v>0.38363418615828582</v>
      </c>
      <c r="U46" s="61">
        <f>'FLS MP'!S106</f>
        <v>0.40319022105870372</v>
      </c>
      <c r="V46" s="61">
        <f>'FLS MP'!T106</f>
        <v>0.38363418615828582</v>
      </c>
      <c r="W46" s="61">
        <f t="shared" si="14"/>
        <v>0.40319022105870372</v>
      </c>
      <c r="X46" s="60">
        <f>MAX('ULS MP'!N53,'ULS MP'!N81)</f>
        <v>0.8771565531815313</v>
      </c>
      <c r="Y46" s="60">
        <f>MAX('ULS MP'!O53,'ULS MP'!O81)</f>
        <v>0.71594848084992657</v>
      </c>
      <c r="AA46" s="44"/>
      <c r="AB46" s="44"/>
    </row>
    <row r="47" spans="3:48">
      <c r="C47" s="112">
        <v>20</v>
      </c>
      <c r="D47" s="221">
        <f>E46</f>
        <v>-67.8</v>
      </c>
      <c r="E47" s="44">
        <v>-71.8</v>
      </c>
      <c r="F47" s="44">
        <v>9.8000000000000007</v>
      </c>
      <c r="G47" s="44">
        <v>9.8000000000000007</v>
      </c>
      <c r="H47" s="45">
        <v>81</v>
      </c>
      <c r="I47" s="113">
        <f t="shared" si="27"/>
        <v>4</v>
      </c>
      <c r="J47" s="114">
        <f t="shared" si="28"/>
        <v>0</v>
      </c>
      <c r="K47" s="59">
        <f t="shared" si="29"/>
        <v>77.657985733209031</v>
      </c>
      <c r="L47" s="59">
        <f t="shared" si="30"/>
        <v>120.98765432098767</v>
      </c>
      <c r="M47" s="75" t="s">
        <v>109</v>
      </c>
      <c r="N47" s="117" t="s">
        <v>49</v>
      </c>
      <c r="P47" s="110"/>
      <c r="Q47" s="110"/>
      <c r="S47" s="61">
        <f>'FLS MP'!S80</f>
        <v>0.59657510071002606</v>
      </c>
      <c r="T47" s="61">
        <f>'FLS MP'!T80</f>
        <v>0.56454557163664754</v>
      </c>
      <c r="U47" s="61">
        <f>'FLS MP'!S107</f>
        <v>0.59657510071002606</v>
      </c>
      <c r="V47" s="61">
        <f>'FLS MP'!T107</f>
        <v>0.56454557163664754</v>
      </c>
      <c r="W47" s="61">
        <f t="shared" si="14"/>
        <v>0.59657510071002606</v>
      </c>
      <c r="X47" s="60">
        <f>MAX('ULS MP'!N54,'ULS MP'!N82)</f>
        <v>0.86462418860666568</v>
      </c>
      <c r="Y47" s="60">
        <f>MAX('ULS MP'!O54,'ULS MP'!O82)</f>
        <v>0.66593662865594039</v>
      </c>
      <c r="AA47" s="44"/>
      <c r="AB47" s="44"/>
    </row>
    <row r="48" spans="3:48">
      <c r="C48" s="112">
        <v>21</v>
      </c>
      <c r="D48" s="221">
        <f>E47</f>
        <v>-71.8</v>
      </c>
      <c r="E48" s="44">
        <v>-75.8</v>
      </c>
      <c r="F48" s="44">
        <v>9.8000000000000007</v>
      </c>
      <c r="G48" s="44">
        <v>9.8000000000000007</v>
      </c>
      <c r="H48" s="45">
        <v>90</v>
      </c>
      <c r="I48" s="113">
        <f t="shared" si="27"/>
        <v>4</v>
      </c>
      <c r="J48" s="114">
        <f t="shared" si="28"/>
        <v>0</v>
      </c>
      <c r="K48" s="59">
        <f t="shared" si="29"/>
        <v>86.206747547124479</v>
      </c>
      <c r="L48" s="59">
        <f t="shared" si="30"/>
        <v>108.8888888888889</v>
      </c>
      <c r="M48" s="75" t="s">
        <v>109</v>
      </c>
      <c r="N48" s="117" t="s">
        <v>49</v>
      </c>
      <c r="P48" s="110"/>
      <c r="Q48" s="110"/>
      <c r="S48" s="61">
        <f>'FLS MP'!S81</f>
        <v>0.16604666559898829</v>
      </c>
      <c r="T48" s="61">
        <f>'FLS MP'!T81</f>
        <v>0.31353816528608169</v>
      </c>
      <c r="U48" s="61">
        <f>'FLS MP'!S108</f>
        <v>0.14766796109349103</v>
      </c>
      <c r="V48" s="61">
        <f>'FLS MP'!T108</f>
        <v>0.25296912642711022</v>
      </c>
      <c r="W48" s="61">
        <f t="shared" si="14"/>
        <v>0.31353816528608169</v>
      </c>
      <c r="X48" s="60">
        <f>MAX('ULS MP'!N55,'ULS MP'!N83)</f>
        <v>0.6192953914812328</v>
      </c>
      <c r="Y48" s="60">
        <f>MAX('ULS MP'!O55,'ULS MP'!O83)</f>
        <v>0.53437926061880692</v>
      </c>
      <c r="AA48" s="44"/>
      <c r="AB48" s="44"/>
    </row>
    <row r="49" spans="3:28">
      <c r="C49" s="112">
        <v>22</v>
      </c>
      <c r="D49" s="221">
        <f>E48</f>
        <v>-75.8</v>
      </c>
      <c r="E49" s="44">
        <f>E50+3</f>
        <v>-79.73</v>
      </c>
      <c r="F49" s="44">
        <v>9.8000000000000007</v>
      </c>
      <c r="G49" s="44">
        <v>9.8000000000000007</v>
      </c>
      <c r="H49" s="45">
        <v>95</v>
      </c>
      <c r="I49" s="113">
        <f t="shared" si="27"/>
        <v>3.9300000000000068</v>
      </c>
      <c r="J49" s="114">
        <f t="shared" si="28"/>
        <v>0</v>
      </c>
      <c r="K49" s="59">
        <f t="shared" si="29"/>
        <v>89.357544242521442</v>
      </c>
      <c r="L49" s="59">
        <f t="shared" si="30"/>
        <v>103.15789473684211</v>
      </c>
      <c r="M49" s="75" t="s">
        <v>109</v>
      </c>
      <c r="N49" s="117" t="s">
        <v>49</v>
      </c>
      <c r="P49" s="110"/>
      <c r="Q49" s="110"/>
      <c r="S49" s="61">
        <f>'FLS MP'!S82</f>
        <v>0.10665192558490748</v>
      </c>
      <c r="T49" s="61">
        <f>'FLS MP'!T82</f>
        <v>0.11184887625477273</v>
      </c>
      <c r="U49" s="61">
        <f>'FLS MP'!S109</f>
        <v>0.10562956638421032</v>
      </c>
      <c r="V49" s="61">
        <f>'FLS MP'!T109</f>
        <v>0.10998614778795709</v>
      </c>
      <c r="W49" s="61">
        <f t="shared" si="14"/>
        <v>0.11184887625477273</v>
      </c>
      <c r="X49" s="60">
        <f>MAX('ULS MP'!N56,'ULS MP'!N84)</f>
        <v>0.56786021782195173</v>
      </c>
      <c r="Y49" s="60">
        <f>MAX('ULS MP'!O56,'ULS MP'!O84)</f>
        <v>0.42747147966345639</v>
      </c>
      <c r="AA49" s="44"/>
      <c r="AB49" s="44"/>
    </row>
    <row r="50" spans="3:28">
      <c r="C50" s="112">
        <v>23</v>
      </c>
      <c r="D50" s="221">
        <f>E49</f>
        <v>-79.73</v>
      </c>
      <c r="E50" s="44">
        <v>-82.73</v>
      </c>
      <c r="F50" s="44">
        <v>9.8000000000000007</v>
      </c>
      <c r="G50" s="44">
        <v>9.8000000000000007</v>
      </c>
      <c r="H50" s="45">
        <v>100</v>
      </c>
      <c r="I50" s="113">
        <f t="shared" si="27"/>
        <v>3</v>
      </c>
      <c r="J50" s="114">
        <f t="shared" si="28"/>
        <v>0</v>
      </c>
      <c r="K50" s="59">
        <f t="shared" si="29"/>
        <v>71.764971782278351</v>
      </c>
      <c r="L50" s="59">
        <f t="shared" si="30"/>
        <v>98</v>
      </c>
      <c r="M50" s="75" t="s">
        <v>109</v>
      </c>
      <c r="N50" s="117" t="s">
        <v>49</v>
      </c>
      <c r="P50" s="110"/>
      <c r="Q50" s="110"/>
      <c r="S50" s="61">
        <f>'FLS MP'!S83</f>
        <v>0.10004624857057066</v>
      </c>
      <c r="T50" s="61">
        <f>'FLS MP'!T83</f>
        <v>0.10007971191619269</v>
      </c>
      <c r="U50" s="61">
        <f>'FLS MP'!S110</f>
        <v>0.10003948947368939</v>
      </c>
      <c r="V50" s="61">
        <f>'FLS MP'!T110</f>
        <v>0.10006777939093886</v>
      </c>
      <c r="W50" s="61">
        <f t="shared" si="14"/>
        <v>0.10007971191619269</v>
      </c>
      <c r="X50" s="60">
        <f>MAX('ULS MP'!N57,'ULS MP'!N85)</f>
        <v>0.3954185800840937</v>
      </c>
      <c r="Y50" s="60">
        <f>MAX('ULS MP'!O57,'ULS MP'!O85)</f>
        <v>0.26884399877620202</v>
      </c>
      <c r="AA50" s="44"/>
      <c r="AB50" s="44"/>
    </row>
  </sheetData>
  <sheetProtection sheet="1" objects="1" scenarios="1"/>
  <mergeCells count="51">
    <mergeCell ref="AN9:AN10"/>
    <mergeCell ref="AN26:AN27"/>
    <mergeCell ref="X9:Y9"/>
    <mergeCell ref="AD26:AD27"/>
    <mergeCell ref="AE9:AE10"/>
    <mergeCell ref="AK26:AK27"/>
    <mergeCell ref="AH9:AH10"/>
    <mergeCell ref="AH26:AH27"/>
    <mergeCell ref="AI26:AI27"/>
    <mergeCell ref="AI9:AI10"/>
    <mergeCell ref="AK9:AK10"/>
    <mergeCell ref="AE26:AE27"/>
    <mergeCell ref="AJ9:AJ10"/>
    <mergeCell ref="AJ26:AJ27"/>
    <mergeCell ref="C2:L2"/>
    <mergeCell ref="C3:L3"/>
    <mergeCell ref="S3:U3"/>
    <mergeCell ref="S4:U4"/>
    <mergeCell ref="V4:X4"/>
    <mergeCell ref="C9:C10"/>
    <mergeCell ref="C26:C27"/>
    <mergeCell ref="M26:M27"/>
    <mergeCell ref="N26:N28"/>
    <mergeCell ref="S26:W26"/>
    <mergeCell ref="M9:M10"/>
    <mergeCell ref="N9:N11"/>
    <mergeCell ref="S9:W9"/>
    <mergeCell ref="P26:Q27"/>
    <mergeCell ref="S27:S28"/>
    <mergeCell ref="T27:T28"/>
    <mergeCell ref="U27:U28"/>
    <mergeCell ref="V27:V28"/>
    <mergeCell ref="P9:Q10"/>
    <mergeCell ref="V10:V11"/>
    <mergeCell ref="W10:W11"/>
    <mergeCell ref="AV9:AV10"/>
    <mergeCell ref="AV26:AV27"/>
    <mergeCell ref="AU9:AU10"/>
    <mergeCell ref="AU26:AU27"/>
    <mergeCell ref="S10:S11"/>
    <mergeCell ref="AA9:AB9"/>
    <mergeCell ref="AA10:AA11"/>
    <mergeCell ref="W27:W28"/>
    <mergeCell ref="T10:T11"/>
    <mergeCell ref="U10:U11"/>
    <mergeCell ref="AA26:AB26"/>
    <mergeCell ref="X26:Y26"/>
    <mergeCell ref="AP9:AQ9"/>
    <mergeCell ref="AP26:AQ26"/>
    <mergeCell ref="AA27:AA28"/>
    <mergeCell ref="AD9:AD10"/>
  </mergeCells>
  <phoneticPr fontId="15" type="noConversion"/>
  <conditionalFormatting sqref="AJ33:AJ35 AJ11:AJ20">
    <cfRule type="expression" dxfId="64" priority="358">
      <formula>AND($AI11="o",ISBLANK($AJ11))</formula>
    </cfRule>
  </conditionalFormatting>
  <conditionalFormatting sqref="AJ28:AJ32">
    <cfRule type="expression" dxfId="63" priority="279">
      <formula>AND($AI28="o",ISBLANK($AJ28))</formula>
    </cfRule>
  </conditionalFormatting>
  <conditionalFormatting sqref="S12:W14">
    <cfRule type="cellIs" dxfId="38" priority="12" operator="greaterThan">
      <formula>0.9*$V$3</formula>
    </cfRule>
  </conditionalFormatting>
  <conditionalFormatting sqref="S12:W14">
    <cfRule type="cellIs" dxfId="37" priority="11" operator="greaterThan">
      <formula>1*$V$3</formula>
    </cfRule>
  </conditionalFormatting>
  <conditionalFormatting sqref="AS11:AS20">
    <cfRule type="cellIs" dxfId="36" priority="10" operator="greaterThan">
      <formula>0.9*$V$3</formula>
    </cfRule>
  </conditionalFormatting>
  <conditionalFormatting sqref="AS11:AS20">
    <cfRule type="cellIs" dxfId="35" priority="9" operator="greaterThan">
      <formula>1*$V$3</formula>
    </cfRule>
  </conditionalFormatting>
  <conditionalFormatting sqref="X11:Y14">
    <cfRule type="cellIs" dxfId="34" priority="8" operator="greaterThan">
      <formula>0.9*$V$4</formula>
    </cfRule>
  </conditionalFormatting>
  <conditionalFormatting sqref="X11:Y14">
    <cfRule type="cellIs" dxfId="33" priority="7" operator="greaterThan">
      <formula>1*$V$4</formula>
    </cfRule>
  </conditionalFormatting>
  <conditionalFormatting sqref="S29:W50">
    <cfRule type="cellIs" dxfId="32" priority="5" operator="greaterThan">
      <formula>1*$V$3</formula>
    </cfRule>
    <cfRule type="cellIs" dxfId="31" priority="6" operator="greaterThan">
      <formula>0.9*$V$3</formula>
    </cfRule>
  </conditionalFormatting>
  <conditionalFormatting sqref="AS28:AS35">
    <cfRule type="cellIs" dxfId="30" priority="4" operator="greaterThan">
      <formula>0.9*$X$3</formula>
    </cfRule>
  </conditionalFormatting>
  <conditionalFormatting sqref="AS28:AS35">
    <cfRule type="cellIs" dxfId="29" priority="3" operator="greaterThan">
      <formula>1*$X$3</formula>
    </cfRule>
  </conditionalFormatting>
  <conditionalFormatting sqref="X28:Y50">
    <cfRule type="cellIs" dxfId="1" priority="2" operator="greaterThan">
      <formula>0.9*$V$4</formula>
    </cfRule>
    <cfRule type="cellIs" dxfId="0" priority="1" operator="greaterThan">
      <formula>1*$V$4</formula>
    </cfRule>
  </conditionalFormatting>
  <pageMargins left="0.7" right="0.7" top="0.78740157499999996" bottom="0.78740157499999996"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75" id="{00000000-000E-0000-0400-0000F1000000}">
            <xm:f>Control!$F$43="Y"</xm:f>
            <x14:dxf>
              <fill>
                <patternFill>
                  <bgColor rgb="FF008F85"/>
                </patternFill>
              </fill>
            </x14:dxf>
          </x14:cfRule>
          <xm:sqref>C2:C3</xm:sqref>
        </x14:conditionalFormatting>
        <x14:conditionalFormatting xmlns:xm="http://schemas.microsoft.com/office/excel/2006/main">
          <x14:cfRule type="expression" priority="476" id="{00000000-000E-0000-0400-0000E9000000}">
            <xm:f>$I11&lt;IF(ABS($J11)&lt;0.001,Control!$F$67,Control!$F$69)</xm:f>
            <x14:dxf>
              <fill>
                <patternFill>
                  <bgColor rgb="FFFF0000"/>
                </patternFill>
              </fill>
            </x14:dxf>
          </x14:cfRule>
          <x14:cfRule type="expression" priority="477" id="{00000000-000E-0000-0400-0000EA000000}">
            <xm:f>$I11&gt;IF(ABS($J11)&lt;0.001,Control!$F$68,Control!$F$70)</xm:f>
            <x14:dxf>
              <fill>
                <patternFill>
                  <bgColor rgb="FFFF0000"/>
                </patternFill>
              </fill>
            </x14:dxf>
          </x14:cfRule>
          <xm:sqref>I11:I14</xm:sqref>
        </x14:conditionalFormatting>
        <x14:conditionalFormatting xmlns:xm="http://schemas.microsoft.com/office/excel/2006/main">
          <x14:cfRule type="expression" priority="478" id="{00000000-000E-0000-0400-0000EB000000}">
            <xm:f>$K11&gt;Control!$F$71</xm:f>
            <x14:dxf>
              <fill>
                <patternFill>
                  <bgColor rgb="FFFF0000"/>
                </patternFill>
              </fill>
            </x14:dxf>
          </x14:cfRule>
          <xm:sqref>K11:K14</xm:sqref>
        </x14:conditionalFormatting>
        <x14:conditionalFormatting xmlns:xm="http://schemas.microsoft.com/office/excel/2006/main">
          <x14:cfRule type="expression" priority="479" id="{00000000-000E-0000-0400-0000EC000000}">
            <xm:f>$K28&gt;Control!$F$79</xm:f>
            <x14:dxf>
              <fill>
                <patternFill>
                  <bgColor rgb="FFFF0000"/>
                </patternFill>
              </fill>
            </x14:dxf>
          </x14:cfRule>
          <xm:sqref>K28:K50</xm:sqref>
        </x14:conditionalFormatting>
        <x14:conditionalFormatting xmlns:xm="http://schemas.microsoft.com/office/excel/2006/main">
          <x14:cfRule type="expression" priority="480" id="{00000000-000E-0000-0400-0000ED000000}">
            <xm:f>$L11&gt;Control!$F$72</xm:f>
            <x14:dxf>
              <fill>
                <patternFill>
                  <bgColor rgb="FFFF0000"/>
                </patternFill>
              </fill>
            </x14:dxf>
          </x14:cfRule>
          <xm:sqref>L11:L14</xm:sqref>
        </x14:conditionalFormatting>
        <x14:conditionalFormatting xmlns:xm="http://schemas.microsoft.com/office/excel/2006/main">
          <x14:cfRule type="expression" priority="481" id="{00000000-000E-0000-0400-0000EE000000}">
            <xm:f>$L28&gt;Control!$F$80</xm:f>
            <x14:dxf>
              <fill>
                <patternFill>
                  <bgColor rgb="FFFF0000"/>
                </patternFill>
              </fill>
            </x14:dxf>
          </x14:cfRule>
          <xm:sqref>L28:L50</xm:sqref>
        </x14:conditionalFormatting>
        <x14:conditionalFormatting xmlns:xm="http://schemas.microsoft.com/office/excel/2006/main">
          <x14:cfRule type="expression" priority="482" id="{00000000-000E-0000-0400-0000EF000000}">
            <xm:f>$I28&lt;IF(ABS($J28)&lt;0.001,Control!$F$75,Control!$F$77)</xm:f>
            <x14:dxf>
              <fill>
                <patternFill>
                  <bgColor rgb="FFFF0000"/>
                </patternFill>
              </fill>
            </x14:dxf>
          </x14:cfRule>
          <x14:cfRule type="expression" priority="483" id="{00000000-000E-0000-0400-0000F0000000}">
            <xm:f>$I28&gt;IF(ABS($J28)&lt;0.001,Control!$F$76,Control!$F$78)</xm:f>
            <x14:dxf>
              <fill>
                <patternFill>
                  <bgColor rgb="FFFF0000"/>
                </patternFill>
              </fill>
            </x14:dxf>
          </x14:cfRule>
          <xm:sqref>I28:I50</xm:sqref>
        </x14:conditionalFormatting>
        <x14:conditionalFormatting xmlns:xm="http://schemas.microsoft.com/office/excel/2006/main">
          <x14:cfRule type="expression" priority="223" id="{61073FFA-47E4-4FD5-A26A-A1653486F161}">
            <xm:f>NOT(OR($D12&gt;=Control!$F$16,$D12&lt;=Control!$F$22,P12="n"))</xm:f>
            <x14:dxf>
              <fill>
                <patternFill>
                  <fgColor indexed="64"/>
                  <bgColor rgb="FFC00000"/>
                </patternFill>
              </fill>
            </x14:dxf>
          </x14:cfRule>
          <xm:sqref>P12:P14 P39:P50</xm:sqref>
        </x14:conditionalFormatting>
        <x14:conditionalFormatting xmlns:xm="http://schemas.microsoft.com/office/excel/2006/main">
          <x14:cfRule type="expression" priority="222" id="{474AE970-46EC-40B4-91CD-58BFC45C42F2}">
            <xm:f>NOT(OR($D12&gt;=Control!$F$18,$D12&lt;=Control!$F$22,Q12="n"))</xm:f>
            <x14:dxf>
              <fill>
                <patternFill>
                  <fgColor indexed="64"/>
                  <bgColor rgb="FFC00000"/>
                </patternFill>
              </fill>
            </x14:dxf>
          </x14:cfRule>
          <xm:sqref>Q12:Q14 Q39:Q50</xm:sqref>
        </x14:conditionalFormatting>
        <x14:conditionalFormatting xmlns:xm="http://schemas.microsoft.com/office/excel/2006/main">
          <x14:cfRule type="expression" priority="219" id="{307DCFB8-8CF4-41ED-AA0D-FF02B8739C18}">
            <xm:f>NOT(OR($AF33&gt;=Control!$F$16,$AF33&lt;=Control!$F$22,AP34="n"))</xm:f>
            <x14:dxf>
              <fill>
                <patternFill>
                  <fgColor indexed="64"/>
                  <bgColor rgb="FFC00000"/>
                </patternFill>
              </fill>
            </x14:dxf>
          </x14:cfRule>
          <xm:sqref>AP34:AP35</xm:sqref>
        </x14:conditionalFormatting>
        <x14:conditionalFormatting xmlns:xm="http://schemas.microsoft.com/office/excel/2006/main">
          <x14:cfRule type="expression" priority="218" id="{F92B2C41-C064-43DC-B8B0-221039ED10FC}">
            <xm:f>NOT(OR($AF33&gt;=Control!$F$18,$AF33&lt;=Control!$F$22,AQ34="n"))</xm:f>
            <x14:dxf>
              <fill>
                <patternFill>
                  <fgColor indexed="64"/>
                  <bgColor rgb="FFC00000"/>
                </patternFill>
              </fill>
            </x14:dxf>
          </x14:cfRule>
          <xm:sqref>AQ34:AQ35</xm:sqref>
        </x14:conditionalFormatting>
        <x14:conditionalFormatting xmlns:xm="http://schemas.microsoft.com/office/excel/2006/main">
          <x14:cfRule type="expression" priority="205" id="{F692F933-2EE3-4AB1-82CE-A2292BB7D2EE}">
            <xm:f>NOT(OR($AF27&gt;=Control!$F$16,$AF27&lt;=Control!$F$22,AP28="n"))</xm:f>
            <x14:dxf>
              <fill>
                <patternFill>
                  <fgColor indexed="64"/>
                  <bgColor rgb="FFC00000"/>
                </patternFill>
              </fill>
            </x14:dxf>
          </x14:cfRule>
          <xm:sqref>AP28:AP32</xm:sqref>
        </x14:conditionalFormatting>
        <x14:conditionalFormatting xmlns:xm="http://schemas.microsoft.com/office/excel/2006/main">
          <x14:cfRule type="expression" priority="204" id="{A1ED6201-9D4D-4F2C-923A-4BF8F6424AE1}">
            <xm:f>NOT(OR($AF27&gt;=Control!$F$18,$AF27&lt;=Control!$F$22,AQ28="n"))</xm:f>
            <x14:dxf>
              <fill>
                <patternFill>
                  <fgColor indexed="64"/>
                  <bgColor rgb="FFC00000"/>
                </patternFill>
              </fill>
            </x14:dxf>
          </x14:cfRule>
          <xm:sqref>AQ28:AQ32</xm:sqref>
        </x14:conditionalFormatting>
        <x14:conditionalFormatting xmlns:xm="http://schemas.microsoft.com/office/excel/2006/main">
          <x14:cfRule type="expression" priority="487" id="{307DCFB8-8CF4-41ED-AA0D-FF02B8739C18}">
            <xm:f>NOT(OR(#REF!&gt;=Control!$F$16,#REF!&lt;=Control!$F$22,AP33="n"))</xm:f>
            <x14:dxf>
              <fill>
                <patternFill>
                  <fgColor indexed="64"/>
                  <bgColor rgb="FFC00000"/>
                </patternFill>
              </fill>
            </x14:dxf>
          </x14:cfRule>
          <xm:sqref>AP33</xm:sqref>
        </x14:conditionalFormatting>
        <x14:conditionalFormatting xmlns:xm="http://schemas.microsoft.com/office/excel/2006/main">
          <x14:cfRule type="expression" priority="490" id="{F92B2C41-C064-43DC-B8B0-221039ED10FC}">
            <xm:f>NOT(OR(#REF!&gt;=Control!$F$18,#REF!&lt;=Control!$F$22,AQ33="n"))</xm:f>
            <x14:dxf>
              <fill>
                <patternFill>
                  <fgColor indexed="64"/>
                  <bgColor rgb="FFC00000"/>
                </patternFill>
              </fill>
            </x14:dxf>
          </x14:cfRule>
          <xm:sqref>AQ33</xm:sqref>
        </x14:conditionalFormatting>
        <x14:conditionalFormatting xmlns:xm="http://schemas.microsoft.com/office/excel/2006/main">
          <x14:cfRule type="expression" priority="114" id="{8B663077-F80A-44A3-B9A4-EFE8543C851A}">
            <xm:f>NOT(OR($AF10&gt;=Control!$F$16,$AF10&lt;=Control!$F$22,AP11="n"))</xm:f>
            <x14:dxf>
              <fill>
                <patternFill>
                  <fgColor indexed="64"/>
                  <bgColor rgb="FFC00000"/>
                </patternFill>
              </fill>
            </x14:dxf>
          </x14:cfRule>
          <xm:sqref>AP11:AP20</xm:sqref>
        </x14:conditionalFormatting>
        <x14:conditionalFormatting xmlns:xm="http://schemas.microsoft.com/office/excel/2006/main">
          <x14:cfRule type="expression" priority="113" id="{82CD4D5E-6ED8-4427-944C-CA11EB893774}">
            <xm:f>NOT(OR($AF10&gt;=Control!$F$18,$AF10&lt;=Control!$F$22,AQ11="n"))</xm:f>
            <x14:dxf>
              <fill>
                <patternFill>
                  <fgColor indexed="64"/>
                  <bgColor rgb="FFC00000"/>
                </patternFill>
              </fill>
            </x14:dxf>
          </x14:cfRule>
          <xm:sqref>AQ11:AQ20</xm:sqref>
        </x14:conditionalFormatting>
        <x14:conditionalFormatting xmlns:xm="http://schemas.microsoft.com/office/excel/2006/main">
          <x14:cfRule type="expression" priority="75" id="{956DB593-624B-411E-8459-5B7D82BD524E}">
            <xm:f>Control!$F$3="Y"</xm:f>
            <x14:dxf>
              <font>
                <color theme="0" tint="-0.14999847407452621"/>
              </font>
              <fill>
                <patternFill patternType="solid">
                  <fgColor indexed="64"/>
                  <bgColor theme="0" tint="-4.9989318521683403E-2"/>
                </patternFill>
              </fill>
            </x14:dxf>
          </x14:cfRule>
          <xm:sqref>A7:XFD10 A21:XFD21 A12:R14 A15:AR20 A11:W11 AT11:XFD20 Z11:AR14</xm:sqref>
        </x14:conditionalFormatting>
        <x14:conditionalFormatting xmlns:xm="http://schemas.microsoft.com/office/excel/2006/main">
          <x14:cfRule type="expression" priority="62" id="{78BA936B-6BE2-4802-9540-5ED2AC9BBDD9}">
            <xm:f>NOT(OR($D29&gt;=Control!$F$16,$D29&lt;=Control!$F$22,P29="n"))</xm:f>
            <x14:dxf>
              <fill>
                <patternFill>
                  <fgColor indexed="64"/>
                  <bgColor rgb="FFC00000"/>
                </patternFill>
              </fill>
            </x14:dxf>
          </x14:cfRule>
          <xm:sqref>P29:P38</xm:sqref>
        </x14:conditionalFormatting>
        <x14:conditionalFormatting xmlns:xm="http://schemas.microsoft.com/office/excel/2006/main">
          <x14:cfRule type="expression" priority="61" id="{6CF0CD81-399D-462B-BA6E-D4EE0932232E}">
            <xm:f>NOT(OR($D29&gt;=Control!$F$18,$D29&lt;=Control!$F$22,Q29="n"))</xm:f>
            <x14:dxf>
              <fill>
                <patternFill>
                  <fgColor indexed="64"/>
                  <bgColor rgb="FFC00000"/>
                </patternFill>
              </fill>
            </x14:dxf>
          </x14:cfRule>
          <xm:sqref>Q29:Q38</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5377AAB8-2C87-469E-A790-EC189B42033B}">
          <x14:formula1>
            <xm:f>'Steel grades'!$B$5:$B$22</xm:f>
          </x14:formula1>
          <xm:sqref>M11:M14 M16 M28:M50</xm:sqref>
        </x14:dataValidation>
        <x14:dataValidation type="list" allowBlank="1" showInputMessage="1" showErrorMessage="1" xr:uid="{C65FF9C4-EC74-45F5-BBB1-15BDC55ED1DD}">
          <x14:formula1>
            <xm:f>Background_data!$B$4:$B$7</xm:f>
          </x14:formula1>
          <xm:sqref>N16 N12:N14 N29:N50</xm:sqref>
        </x14:dataValidation>
        <x14:dataValidation type="list" allowBlank="1" showInputMessage="1" showErrorMessage="1" xr:uid="{D54E488E-D67A-4D88-8248-D5A66731EFA3}">
          <x14:formula1>
            <xm:f>Background_data!$C$4:$C$5</xm:f>
          </x14:formula1>
          <xm:sqref>AH11:AH20</xm:sqref>
        </x14:dataValidation>
        <x14:dataValidation type="list" allowBlank="1" showInputMessage="1" showErrorMessage="1" xr:uid="{03DDE262-7980-40AF-B76C-AA7F87C4E878}">
          <x14:formula1>
            <xm:f>Background_data!$D$4:$D$8</xm:f>
          </x14:formula1>
          <xm:sqref>AI11:AI20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56A79-8117-4D31-8842-9F8F6EEE4786}">
  <sheetPr codeName="Tabelle16">
    <tabColor rgb="FF008F85"/>
  </sheetPr>
  <dimension ref="C1:M151"/>
  <sheetViews>
    <sheetView workbookViewId="0"/>
  </sheetViews>
  <sheetFormatPr baseColWidth="10" defaultRowHeight="14.4"/>
  <cols>
    <col min="3" max="7" width="10.5546875" style="74"/>
  </cols>
  <sheetData>
    <row r="1" customFormat="1"/>
    <row r="2" customFormat="1"/>
    <row r="3" customFormat="1"/>
    <row r="4" customFormat="1"/>
    <row r="5" customFormat="1"/>
    <row r="6" customFormat="1"/>
    <row r="7" customFormat="1"/>
    <row r="8" customFormat="1"/>
    <row r="9" customFormat="1"/>
    <row r="10" customFormat="1"/>
    <row r="11" customFormat="1"/>
    <row r="12" customFormat="1"/>
    <row r="13" customFormat="1"/>
    <row r="14" customFormat="1"/>
    <row r="15" customFormat="1"/>
    <row r="16" customFormat="1"/>
    <row r="17" spans="3:13">
      <c r="C17"/>
      <c r="D17"/>
      <c r="E17"/>
      <c r="F17"/>
      <c r="G17"/>
    </row>
    <row r="18" spans="3:13">
      <c r="C18"/>
      <c r="D18"/>
      <c r="E18"/>
      <c r="F18"/>
      <c r="G18"/>
    </row>
    <row r="19" spans="3:13">
      <c r="C19"/>
      <c r="D19"/>
      <c r="E19"/>
      <c r="F19"/>
      <c r="G19"/>
    </row>
    <row r="20" spans="3:13">
      <c r="C20"/>
      <c r="D20"/>
      <c r="E20"/>
      <c r="F20"/>
      <c r="G20"/>
    </row>
    <row r="21" spans="3:13">
      <c r="C21"/>
      <c r="D21"/>
      <c r="E21"/>
      <c r="F21"/>
      <c r="G21"/>
    </row>
    <row r="22" spans="3:13">
      <c r="C22"/>
      <c r="D22"/>
      <c r="E22"/>
      <c r="F22"/>
      <c r="G22"/>
    </row>
    <row r="23" spans="3:13">
      <c r="C23"/>
      <c r="D23"/>
      <c r="E23"/>
      <c r="F23"/>
      <c r="G23"/>
    </row>
    <row r="24" spans="3:13">
      <c r="C24"/>
      <c r="D24"/>
      <c r="E24"/>
      <c r="F24"/>
      <c r="G24"/>
    </row>
    <row r="25" spans="3:13">
      <c r="C25"/>
      <c r="D25"/>
      <c r="E25"/>
      <c r="F25"/>
      <c r="G25"/>
    </row>
    <row r="26" spans="3:13">
      <c r="C26"/>
      <c r="D26"/>
      <c r="E26"/>
      <c r="F26"/>
      <c r="G26"/>
    </row>
    <row r="27" spans="3:13">
      <c r="C27"/>
      <c r="D27"/>
      <c r="E27"/>
      <c r="F27"/>
      <c r="G27"/>
    </row>
    <row r="28" spans="3:13">
      <c r="C28"/>
      <c r="D28" s="254" t="s">
        <v>214</v>
      </c>
      <c r="E28" s="255"/>
      <c r="F28" s="254" t="s">
        <v>175</v>
      </c>
      <c r="G28" s="255"/>
      <c r="I28" s="256" t="s">
        <v>351</v>
      </c>
      <c r="J28" s="257"/>
      <c r="K28" s="257"/>
      <c r="L28" s="257"/>
      <c r="M28" s="258"/>
    </row>
    <row r="29" spans="3:13">
      <c r="C29" s="52" t="s">
        <v>5</v>
      </c>
      <c r="D29" s="52" t="s">
        <v>349</v>
      </c>
      <c r="E29" s="52" t="s">
        <v>350</v>
      </c>
      <c r="F29" s="52" t="s">
        <v>349</v>
      </c>
      <c r="G29" s="52" t="s">
        <v>350</v>
      </c>
      <c r="I29" s="253" t="s">
        <v>214</v>
      </c>
      <c r="J29" s="253"/>
      <c r="K29" s="52" t="s">
        <v>10</v>
      </c>
      <c r="L29" s="45">
        <v>3</v>
      </c>
    </row>
    <row r="30" spans="3:13">
      <c r="C30" s="52" t="s">
        <v>10</v>
      </c>
      <c r="D30" s="52" t="s">
        <v>10</v>
      </c>
      <c r="E30" s="52" t="s">
        <v>10</v>
      </c>
      <c r="F30" s="52" t="s">
        <v>10</v>
      </c>
      <c r="G30" s="52" t="s">
        <v>10</v>
      </c>
      <c r="I30" s="253" t="s">
        <v>175</v>
      </c>
      <c r="J30" s="253"/>
      <c r="K30" s="52" t="s">
        <v>10</v>
      </c>
      <c r="L30" s="45">
        <v>3</v>
      </c>
    </row>
    <row r="31" spans="3:13">
      <c r="C31" s="45">
        <v>30</v>
      </c>
      <c r="D31" s="88">
        <f>ROUNDUP($C31*0.8,0)</f>
        <v>24</v>
      </c>
      <c r="E31" s="88">
        <f>ROUNDUP($C31*0.9,0)</f>
        <v>27</v>
      </c>
      <c r="F31" s="88">
        <f>ROUNDUP($C31*0.8,0)</f>
        <v>24</v>
      </c>
      <c r="G31" s="88">
        <f>ROUNDUP($C31*0.9,0)</f>
        <v>27</v>
      </c>
    </row>
    <row r="32" spans="3:13">
      <c r="C32" s="45">
        <v>31</v>
      </c>
      <c r="D32" s="88">
        <f t="shared" ref="D32:D95" si="0">ROUNDUP($C32*0.8,0)</f>
        <v>25</v>
      </c>
      <c r="E32" s="88">
        <f t="shared" ref="E32:E95" si="1">ROUNDUP($C32*0.9,0)</f>
        <v>28</v>
      </c>
      <c r="F32" s="88">
        <f t="shared" ref="F32:F95" si="2">ROUNDUP($C32*0.8,0)</f>
        <v>25</v>
      </c>
      <c r="G32" s="88">
        <f t="shared" ref="G32:G95" si="3">ROUNDUP($C32*0.9,0)</f>
        <v>28</v>
      </c>
    </row>
    <row r="33" spans="3:7">
      <c r="C33" s="45">
        <v>32</v>
      </c>
      <c r="D33" s="88">
        <f t="shared" si="0"/>
        <v>26</v>
      </c>
      <c r="E33" s="88">
        <f t="shared" si="1"/>
        <v>29</v>
      </c>
      <c r="F33" s="88">
        <f t="shared" si="2"/>
        <v>26</v>
      </c>
      <c r="G33" s="88">
        <f t="shared" si="3"/>
        <v>29</v>
      </c>
    </row>
    <row r="34" spans="3:7">
      <c r="C34" s="45">
        <v>33</v>
      </c>
      <c r="D34" s="88">
        <f t="shared" si="0"/>
        <v>27</v>
      </c>
      <c r="E34" s="88">
        <f t="shared" si="1"/>
        <v>30</v>
      </c>
      <c r="F34" s="88">
        <f t="shared" si="2"/>
        <v>27</v>
      </c>
      <c r="G34" s="88">
        <f t="shared" si="3"/>
        <v>30</v>
      </c>
    </row>
    <row r="35" spans="3:7">
      <c r="C35" s="45">
        <v>34</v>
      </c>
      <c r="D35" s="88">
        <f t="shared" si="0"/>
        <v>28</v>
      </c>
      <c r="E35" s="88">
        <f t="shared" si="1"/>
        <v>31</v>
      </c>
      <c r="F35" s="88">
        <f t="shared" si="2"/>
        <v>28</v>
      </c>
      <c r="G35" s="88">
        <f t="shared" si="3"/>
        <v>31</v>
      </c>
    </row>
    <row r="36" spans="3:7">
      <c r="C36" s="45">
        <v>35</v>
      </c>
      <c r="D36" s="88">
        <f t="shared" si="0"/>
        <v>28</v>
      </c>
      <c r="E36" s="88">
        <f t="shared" si="1"/>
        <v>32</v>
      </c>
      <c r="F36" s="88">
        <f t="shared" si="2"/>
        <v>28</v>
      </c>
      <c r="G36" s="88">
        <f t="shared" si="3"/>
        <v>32</v>
      </c>
    </row>
    <row r="37" spans="3:7">
      <c r="C37" s="45">
        <v>36</v>
      </c>
      <c r="D37" s="88">
        <f t="shared" si="0"/>
        <v>29</v>
      </c>
      <c r="E37" s="88">
        <f t="shared" si="1"/>
        <v>33</v>
      </c>
      <c r="F37" s="88">
        <f t="shared" si="2"/>
        <v>29</v>
      </c>
      <c r="G37" s="88">
        <f t="shared" si="3"/>
        <v>33</v>
      </c>
    </row>
    <row r="38" spans="3:7">
      <c r="C38" s="45">
        <v>37</v>
      </c>
      <c r="D38" s="88">
        <f t="shared" si="0"/>
        <v>30</v>
      </c>
      <c r="E38" s="88">
        <f t="shared" si="1"/>
        <v>34</v>
      </c>
      <c r="F38" s="88">
        <f t="shared" si="2"/>
        <v>30</v>
      </c>
      <c r="G38" s="88">
        <f t="shared" si="3"/>
        <v>34</v>
      </c>
    </row>
    <row r="39" spans="3:7">
      <c r="C39" s="45">
        <v>38</v>
      </c>
      <c r="D39" s="88">
        <f t="shared" si="0"/>
        <v>31</v>
      </c>
      <c r="E39" s="88">
        <f t="shared" si="1"/>
        <v>35</v>
      </c>
      <c r="F39" s="88">
        <f t="shared" si="2"/>
        <v>31</v>
      </c>
      <c r="G39" s="88">
        <f t="shared" si="3"/>
        <v>35</v>
      </c>
    </row>
    <row r="40" spans="3:7">
      <c r="C40" s="45">
        <v>39</v>
      </c>
      <c r="D40" s="88">
        <f t="shared" si="0"/>
        <v>32</v>
      </c>
      <c r="E40" s="88">
        <f t="shared" si="1"/>
        <v>36</v>
      </c>
      <c r="F40" s="88">
        <f t="shared" si="2"/>
        <v>32</v>
      </c>
      <c r="G40" s="88">
        <f t="shared" si="3"/>
        <v>36</v>
      </c>
    </row>
    <row r="41" spans="3:7">
      <c r="C41" s="45">
        <v>40</v>
      </c>
      <c r="D41" s="88">
        <f t="shared" si="0"/>
        <v>32</v>
      </c>
      <c r="E41" s="88">
        <f t="shared" si="1"/>
        <v>36</v>
      </c>
      <c r="F41" s="88">
        <f t="shared" si="2"/>
        <v>32</v>
      </c>
      <c r="G41" s="88">
        <f t="shared" si="3"/>
        <v>36</v>
      </c>
    </row>
    <row r="42" spans="3:7">
      <c r="C42" s="45">
        <v>41</v>
      </c>
      <c r="D42" s="88">
        <f t="shared" si="0"/>
        <v>33</v>
      </c>
      <c r="E42" s="88">
        <f t="shared" si="1"/>
        <v>37</v>
      </c>
      <c r="F42" s="88">
        <f t="shared" si="2"/>
        <v>33</v>
      </c>
      <c r="G42" s="88">
        <f t="shared" si="3"/>
        <v>37</v>
      </c>
    </row>
    <row r="43" spans="3:7">
      <c r="C43" s="45">
        <v>42</v>
      </c>
      <c r="D43" s="88">
        <f t="shared" si="0"/>
        <v>34</v>
      </c>
      <c r="E43" s="88">
        <f t="shared" si="1"/>
        <v>38</v>
      </c>
      <c r="F43" s="88">
        <f t="shared" si="2"/>
        <v>34</v>
      </c>
      <c r="G43" s="88">
        <f t="shared" si="3"/>
        <v>38</v>
      </c>
    </row>
    <row r="44" spans="3:7">
      <c r="C44" s="45">
        <v>43</v>
      </c>
      <c r="D44" s="88">
        <f t="shared" si="0"/>
        <v>35</v>
      </c>
      <c r="E44" s="88">
        <f t="shared" si="1"/>
        <v>39</v>
      </c>
      <c r="F44" s="88">
        <f t="shared" si="2"/>
        <v>35</v>
      </c>
      <c r="G44" s="88">
        <f t="shared" si="3"/>
        <v>39</v>
      </c>
    </row>
    <row r="45" spans="3:7">
      <c r="C45" s="45">
        <v>44</v>
      </c>
      <c r="D45" s="88">
        <f t="shared" si="0"/>
        <v>36</v>
      </c>
      <c r="E45" s="88">
        <f t="shared" si="1"/>
        <v>40</v>
      </c>
      <c r="F45" s="88">
        <f t="shared" si="2"/>
        <v>36</v>
      </c>
      <c r="G45" s="88">
        <f t="shared" si="3"/>
        <v>40</v>
      </c>
    </row>
    <row r="46" spans="3:7">
      <c r="C46" s="45">
        <v>45</v>
      </c>
      <c r="D46" s="88">
        <f t="shared" si="0"/>
        <v>36</v>
      </c>
      <c r="E46" s="88">
        <f t="shared" si="1"/>
        <v>41</v>
      </c>
      <c r="F46" s="88">
        <f t="shared" si="2"/>
        <v>36</v>
      </c>
      <c r="G46" s="88">
        <f t="shared" si="3"/>
        <v>41</v>
      </c>
    </row>
    <row r="47" spans="3:7">
      <c r="C47" s="45">
        <v>46</v>
      </c>
      <c r="D47" s="88">
        <f t="shared" si="0"/>
        <v>37</v>
      </c>
      <c r="E47" s="88">
        <f t="shared" si="1"/>
        <v>42</v>
      </c>
      <c r="F47" s="88">
        <f t="shared" si="2"/>
        <v>37</v>
      </c>
      <c r="G47" s="88">
        <f t="shared" si="3"/>
        <v>42</v>
      </c>
    </row>
    <row r="48" spans="3:7">
      <c r="C48" s="45">
        <v>47</v>
      </c>
      <c r="D48" s="88">
        <f t="shared" si="0"/>
        <v>38</v>
      </c>
      <c r="E48" s="88">
        <f t="shared" si="1"/>
        <v>43</v>
      </c>
      <c r="F48" s="88">
        <f t="shared" si="2"/>
        <v>38</v>
      </c>
      <c r="G48" s="88">
        <f t="shared" si="3"/>
        <v>43</v>
      </c>
    </row>
    <row r="49" spans="3:7">
      <c r="C49" s="45">
        <v>48</v>
      </c>
      <c r="D49" s="88">
        <f t="shared" si="0"/>
        <v>39</v>
      </c>
      <c r="E49" s="88">
        <f t="shared" si="1"/>
        <v>44</v>
      </c>
      <c r="F49" s="88">
        <f t="shared" si="2"/>
        <v>39</v>
      </c>
      <c r="G49" s="88">
        <f t="shared" si="3"/>
        <v>44</v>
      </c>
    </row>
    <row r="50" spans="3:7">
      <c r="C50" s="45">
        <v>49</v>
      </c>
      <c r="D50" s="88">
        <f t="shared" si="0"/>
        <v>40</v>
      </c>
      <c r="E50" s="88">
        <f t="shared" si="1"/>
        <v>45</v>
      </c>
      <c r="F50" s="88">
        <f t="shared" si="2"/>
        <v>40</v>
      </c>
      <c r="G50" s="88">
        <f t="shared" si="3"/>
        <v>45</v>
      </c>
    </row>
    <row r="51" spans="3:7">
      <c r="C51" s="45">
        <v>50</v>
      </c>
      <c r="D51" s="88">
        <f t="shared" si="0"/>
        <v>40</v>
      </c>
      <c r="E51" s="88">
        <f t="shared" si="1"/>
        <v>45</v>
      </c>
      <c r="F51" s="88">
        <f t="shared" si="2"/>
        <v>40</v>
      </c>
      <c r="G51" s="88">
        <f t="shared" si="3"/>
        <v>45</v>
      </c>
    </row>
    <row r="52" spans="3:7">
      <c r="C52" s="45">
        <v>51</v>
      </c>
      <c r="D52" s="88">
        <f t="shared" si="0"/>
        <v>41</v>
      </c>
      <c r="E52" s="88">
        <f t="shared" si="1"/>
        <v>46</v>
      </c>
      <c r="F52" s="88">
        <f t="shared" si="2"/>
        <v>41</v>
      </c>
      <c r="G52" s="88">
        <f t="shared" si="3"/>
        <v>46</v>
      </c>
    </row>
    <row r="53" spans="3:7">
      <c r="C53" s="45">
        <v>52</v>
      </c>
      <c r="D53" s="88">
        <f t="shared" si="0"/>
        <v>42</v>
      </c>
      <c r="E53" s="88">
        <f t="shared" si="1"/>
        <v>47</v>
      </c>
      <c r="F53" s="88">
        <f t="shared" si="2"/>
        <v>42</v>
      </c>
      <c r="G53" s="88">
        <f t="shared" si="3"/>
        <v>47</v>
      </c>
    </row>
    <row r="54" spans="3:7">
      <c r="C54" s="45">
        <v>53</v>
      </c>
      <c r="D54" s="88">
        <f t="shared" si="0"/>
        <v>43</v>
      </c>
      <c r="E54" s="88">
        <f t="shared" si="1"/>
        <v>48</v>
      </c>
      <c r="F54" s="88">
        <f t="shared" si="2"/>
        <v>43</v>
      </c>
      <c r="G54" s="88">
        <f t="shared" si="3"/>
        <v>48</v>
      </c>
    </row>
    <row r="55" spans="3:7">
      <c r="C55" s="45">
        <v>54</v>
      </c>
      <c r="D55" s="88">
        <f t="shared" si="0"/>
        <v>44</v>
      </c>
      <c r="E55" s="88">
        <f t="shared" si="1"/>
        <v>49</v>
      </c>
      <c r="F55" s="88">
        <f t="shared" si="2"/>
        <v>44</v>
      </c>
      <c r="G55" s="88">
        <f t="shared" si="3"/>
        <v>49</v>
      </c>
    </row>
    <row r="56" spans="3:7">
      <c r="C56" s="45">
        <v>55</v>
      </c>
      <c r="D56" s="88">
        <f t="shared" si="0"/>
        <v>44</v>
      </c>
      <c r="E56" s="88">
        <f t="shared" si="1"/>
        <v>50</v>
      </c>
      <c r="F56" s="88">
        <f t="shared" si="2"/>
        <v>44</v>
      </c>
      <c r="G56" s="88">
        <f t="shared" si="3"/>
        <v>50</v>
      </c>
    </row>
    <row r="57" spans="3:7">
      <c r="C57" s="45">
        <v>56</v>
      </c>
      <c r="D57" s="88">
        <f t="shared" si="0"/>
        <v>45</v>
      </c>
      <c r="E57" s="88">
        <f t="shared" si="1"/>
        <v>51</v>
      </c>
      <c r="F57" s="88">
        <f t="shared" si="2"/>
        <v>45</v>
      </c>
      <c r="G57" s="88">
        <f t="shared" si="3"/>
        <v>51</v>
      </c>
    </row>
    <row r="58" spans="3:7">
      <c r="C58" s="45">
        <v>57</v>
      </c>
      <c r="D58" s="88">
        <f t="shared" si="0"/>
        <v>46</v>
      </c>
      <c r="E58" s="88">
        <f t="shared" si="1"/>
        <v>52</v>
      </c>
      <c r="F58" s="88">
        <f t="shared" si="2"/>
        <v>46</v>
      </c>
      <c r="G58" s="88">
        <f t="shared" si="3"/>
        <v>52</v>
      </c>
    </row>
    <row r="59" spans="3:7">
      <c r="C59" s="45">
        <v>58</v>
      </c>
      <c r="D59" s="88">
        <f t="shared" si="0"/>
        <v>47</v>
      </c>
      <c r="E59" s="88">
        <f t="shared" si="1"/>
        <v>53</v>
      </c>
      <c r="F59" s="88">
        <f t="shared" si="2"/>
        <v>47</v>
      </c>
      <c r="G59" s="88">
        <f t="shared" si="3"/>
        <v>53</v>
      </c>
    </row>
    <row r="60" spans="3:7">
      <c r="C60" s="45">
        <v>59</v>
      </c>
      <c r="D60" s="88">
        <f t="shared" si="0"/>
        <v>48</v>
      </c>
      <c r="E60" s="88">
        <f t="shared" si="1"/>
        <v>54</v>
      </c>
      <c r="F60" s="88">
        <f t="shared" si="2"/>
        <v>48</v>
      </c>
      <c r="G60" s="88">
        <f t="shared" si="3"/>
        <v>54</v>
      </c>
    </row>
    <row r="61" spans="3:7">
      <c r="C61" s="45">
        <v>60</v>
      </c>
      <c r="D61" s="88">
        <f t="shared" si="0"/>
        <v>48</v>
      </c>
      <c r="E61" s="88">
        <f t="shared" si="1"/>
        <v>54</v>
      </c>
      <c r="F61" s="88">
        <f t="shared" si="2"/>
        <v>48</v>
      </c>
      <c r="G61" s="88">
        <f t="shared" si="3"/>
        <v>54</v>
      </c>
    </row>
    <row r="62" spans="3:7">
      <c r="C62" s="45">
        <v>61</v>
      </c>
      <c r="D62" s="88">
        <f t="shared" si="0"/>
        <v>49</v>
      </c>
      <c r="E62" s="88">
        <f t="shared" si="1"/>
        <v>55</v>
      </c>
      <c r="F62" s="88">
        <f t="shared" si="2"/>
        <v>49</v>
      </c>
      <c r="G62" s="88">
        <f t="shared" si="3"/>
        <v>55</v>
      </c>
    </row>
    <row r="63" spans="3:7">
      <c r="C63" s="45">
        <v>62</v>
      </c>
      <c r="D63" s="88">
        <f t="shared" si="0"/>
        <v>50</v>
      </c>
      <c r="E63" s="88">
        <f t="shared" si="1"/>
        <v>56</v>
      </c>
      <c r="F63" s="88">
        <f t="shared" si="2"/>
        <v>50</v>
      </c>
      <c r="G63" s="88">
        <f t="shared" si="3"/>
        <v>56</v>
      </c>
    </row>
    <row r="64" spans="3:7">
      <c r="C64" s="45">
        <v>63</v>
      </c>
      <c r="D64" s="88">
        <f t="shared" si="0"/>
        <v>51</v>
      </c>
      <c r="E64" s="88">
        <f t="shared" si="1"/>
        <v>57</v>
      </c>
      <c r="F64" s="88">
        <f t="shared" si="2"/>
        <v>51</v>
      </c>
      <c r="G64" s="88">
        <f t="shared" si="3"/>
        <v>57</v>
      </c>
    </row>
    <row r="65" spans="3:7">
      <c r="C65" s="45">
        <v>64</v>
      </c>
      <c r="D65" s="88">
        <f t="shared" si="0"/>
        <v>52</v>
      </c>
      <c r="E65" s="88">
        <f t="shared" si="1"/>
        <v>58</v>
      </c>
      <c r="F65" s="88">
        <f t="shared" si="2"/>
        <v>52</v>
      </c>
      <c r="G65" s="88">
        <f t="shared" si="3"/>
        <v>58</v>
      </c>
    </row>
    <row r="66" spans="3:7">
      <c r="C66" s="45">
        <v>65</v>
      </c>
      <c r="D66" s="88">
        <f t="shared" si="0"/>
        <v>52</v>
      </c>
      <c r="E66" s="88">
        <f t="shared" si="1"/>
        <v>59</v>
      </c>
      <c r="F66" s="88">
        <f t="shared" si="2"/>
        <v>52</v>
      </c>
      <c r="G66" s="88">
        <f t="shared" si="3"/>
        <v>59</v>
      </c>
    </row>
    <row r="67" spans="3:7">
      <c r="C67" s="45">
        <v>66</v>
      </c>
      <c r="D67" s="88">
        <f t="shared" si="0"/>
        <v>53</v>
      </c>
      <c r="E67" s="88">
        <f t="shared" si="1"/>
        <v>60</v>
      </c>
      <c r="F67" s="88">
        <f t="shared" si="2"/>
        <v>53</v>
      </c>
      <c r="G67" s="88">
        <f t="shared" si="3"/>
        <v>60</v>
      </c>
    </row>
    <row r="68" spans="3:7">
      <c r="C68" s="45">
        <v>67</v>
      </c>
      <c r="D68" s="88">
        <f t="shared" si="0"/>
        <v>54</v>
      </c>
      <c r="E68" s="88">
        <f t="shared" si="1"/>
        <v>61</v>
      </c>
      <c r="F68" s="88">
        <f t="shared" si="2"/>
        <v>54</v>
      </c>
      <c r="G68" s="88">
        <f t="shared" si="3"/>
        <v>61</v>
      </c>
    </row>
    <row r="69" spans="3:7">
      <c r="C69" s="45">
        <v>68</v>
      </c>
      <c r="D69" s="88">
        <f t="shared" si="0"/>
        <v>55</v>
      </c>
      <c r="E69" s="88">
        <f t="shared" si="1"/>
        <v>62</v>
      </c>
      <c r="F69" s="88">
        <f t="shared" si="2"/>
        <v>55</v>
      </c>
      <c r="G69" s="88">
        <f t="shared" si="3"/>
        <v>62</v>
      </c>
    </row>
    <row r="70" spans="3:7">
      <c r="C70" s="45">
        <v>69</v>
      </c>
      <c r="D70" s="88">
        <f t="shared" si="0"/>
        <v>56</v>
      </c>
      <c r="E70" s="88">
        <f t="shared" si="1"/>
        <v>63</v>
      </c>
      <c r="F70" s="88">
        <f t="shared" si="2"/>
        <v>56</v>
      </c>
      <c r="G70" s="88">
        <f t="shared" si="3"/>
        <v>63</v>
      </c>
    </row>
    <row r="71" spans="3:7">
      <c r="C71" s="45">
        <v>70</v>
      </c>
      <c r="D71" s="88">
        <f t="shared" si="0"/>
        <v>56</v>
      </c>
      <c r="E71" s="88">
        <f t="shared" si="1"/>
        <v>63</v>
      </c>
      <c r="F71" s="88">
        <f t="shared" si="2"/>
        <v>56</v>
      </c>
      <c r="G71" s="88">
        <f t="shared" si="3"/>
        <v>63</v>
      </c>
    </row>
    <row r="72" spans="3:7">
      <c r="C72" s="45">
        <v>71</v>
      </c>
      <c r="D72" s="88">
        <f t="shared" si="0"/>
        <v>57</v>
      </c>
      <c r="E72" s="88">
        <f t="shared" si="1"/>
        <v>64</v>
      </c>
      <c r="F72" s="88">
        <f t="shared" si="2"/>
        <v>57</v>
      </c>
      <c r="G72" s="88">
        <f t="shared" si="3"/>
        <v>64</v>
      </c>
    </row>
    <row r="73" spans="3:7">
      <c r="C73" s="45">
        <v>72</v>
      </c>
      <c r="D73" s="88">
        <f t="shared" si="0"/>
        <v>58</v>
      </c>
      <c r="E73" s="88">
        <f t="shared" si="1"/>
        <v>65</v>
      </c>
      <c r="F73" s="88">
        <f t="shared" si="2"/>
        <v>58</v>
      </c>
      <c r="G73" s="88">
        <f t="shared" si="3"/>
        <v>65</v>
      </c>
    </row>
    <row r="74" spans="3:7">
      <c r="C74" s="45">
        <v>73</v>
      </c>
      <c r="D74" s="88">
        <f t="shared" si="0"/>
        <v>59</v>
      </c>
      <c r="E74" s="88">
        <f t="shared" si="1"/>
        <v>66</v>
      </c>
      <c r="F74" s="88">
        <f t="shared" si="2"/>
        <v>59</v>
      </c>
      <c r="G74" s="88">
        <f t="shared" si="3"/>
        <v>66</v>
      </c>
    </row>
    <row r="75" spans="3:7">
      <c r="C75" s="45">
        <v>74</v>
      </c>
      <c r="D75" s="88">
        <f t="shared" si="0"/>
        <v>60</v>
      </c>
      <c r="E75" s="88">
        <f t="shared" si="1"/>
        <v>67</v>
      </c>
      <c r="F75" s="88">
        <f t="shared" si="2"/>
        <v>60</v>
      </c>
      <c r="G75" s="88">
        <f t="shared" si="3"/>
        <v>67</v>
      </c>
    </row>
    <row r="76" spans="3:7">
      <c r="C76" s="45">
        <v>75</v>
      </c>
      <c r="D76" s="88">
        <f t="shared" si="0"/>
        <v>60</v>
      </c>
      <c r="E76" s="88">
        <f t="shared" si="1"/>
        <v>68</v>
      </c>
      <c r="F76" s="88">
        <f t="shared" si="2"/>
        <v>60</v>
      </c>
      <c r="G76" s="88">
        <f t="shared" si="3"/>
        <v>68</v>
      </c>
    </row>
    <row r="77" spans="3:7">
      <c r="C77" s="45">
        <v>76</v>
      </c>
      <c r="D77" s="88">
        <f t="shared" si="0"/>
        <v>61</v>
      </c>
      <c r="E77" s="88">
        <f t="shared" si="1"/>
        <v>69</v>
      </c>
      <c r="F77" s="88">
        <f t="shared" si="2"/>
        <v>61</v>
      </c>
      <c r="G77" s="88">
        <f t="shared" si="3"/>
        <v>69</v>
      </c>
    </row>
    <row r="78" spans="3:7">
      <c r="C78" s="45">
        <v>77</v>
      </c>
      <c r="D78" s="88">
        <f t="shared" si="0"/>
        <v>62</v>
      </c>
      <c r="E78" s="88">
        <f t="shared" si="1"/>
        <v>70</v>
      </c>
      <c r="F78" s="88">
        <f t="shared" si="2"/>
        <v>62</v>
      </c>
      <c r="G78" s="88">
        <f t="shared" si="3"/>
        <v>70</v>
      </c>
    </row>
    <row r="79" spans="3:7">
      <c r="C79" s="45">
        <v>78</v>
      </c>
      <c r="D79" s="88">
        <f t="shared" si="0"/>
        <v>63</v>
      </c>
      <c r="E79" s="88">
        <f t="shared" si="1"/>
        <v>71</v>
      </c>
      <c r="F79" s="88">
        <f t="shared" si="2"/>
        <v>63</v>
      </c>
      <c r="G79" s="88">
        <f t="shared" si="3"/>
        <v>71</v>
      </c>
    </row>
    <row r="80" spans="3:7">
      <c r="C80" s="45">
        <v>79</v>
      </c>
      <c r="D80" s="88">
        <f t="shared" si="0"/>
        <v>64</v>
      </c>
      <c r="E80" s="88">
        <f t="shared" si="1"/>
        <v>72</v>
      </c>
      <c r="F80" s="88">
        <f t="shared" si="2"/>
        <v>64</v>
      </c>
      <c r="G80" s="88">
        <f t="shared" si="3"/>
        <v>72</v>
      </c>
    </row>
    <row r="81" spans="3:7">
      <c r="C81" s="45">
        <v>80</v>
      </c>
      <c r="D81" s="88">
        <f t="shared" si="0"/>
        <v>64</v>
      </c>
      <c r="E81" s="88">
        <f t="shared" si="1"/>
        <v>72</v>
      </c>
      <c r="F81" s="88">
        <f t="shared" si="2"/>
        <v>64</v>
      </c>
      <c r="G81" s="88">
        <f t="shared" si="3"/>
        <v>72</v>
      </c>
    </row>
    <row r="82" spans="3:7">
      <c r="C82" s="45">
        <v>81</v>
      </c>
      <c r="D82" s="88">
        <f t="shared" si="0"/>
        <v>65</v>
      </c>
      <c r="E82" s="88">
        <f t="shared" si="1"/>
        <v>73</v>
      </c>
      <c r="F82" s="88">
        <f t="shared" si="2"/>
        <v>65</v>
      </c>
      <c r="G82" s="88">
        <f t="shared" si="3"/>
        <v>73</v>
      </c>
    </row>
    <row r="83" spans="3:7">
      <c r="C83" s="45">
        <v>82</v>
      </c>
      <c r="D83" s="88">
        <f t="shared" si="0"/>
        <v>66</v>
      </c>
      <c r="E83" s="88">
        <f t="shared" si="1"/>
        <v>74</v>
      </c>
      <c r="F83" s="88">
        <f t="shared" si="2"/>
        <v>66</v>
      </c>
      <c r="G83" s="88">
        <f t="shared" si="3"/>
        <v>74</v>
      </c>
    </row>
    <row r="84" spans="3:7">
      <c r="C84" s="45">
        <v>83</v>
      </c>
      <c r="D84" s="88">
        <f t="shared" si="0"/>
        <v>67</v>
      </c>
      <c r="E84" s="88">
        <f t="shared" si="1"/>
        <v>75</v>
      </c>
      <c r="F84" s="88">
        <f t="shared" si="2"/>
        <v>67</v>
      </c>
      <c r="G84" s="88">
        <f t="shared" si="3"/>
        <v>75</v>
      </c>
    </row>
    <row r="85" spans="3:7">
      <c r="C85" s="45">
        <v>84</v>
      </c>
      <c r="D85" s="88">
        <f t="shared" si="0"/>
        <v>68</v>
      </c>
      <c r="E85" s="88">
        <f t="shared" si="1"/>
        <v>76</v>
      </c>
      <c r="F85" s="88">
        <f t="shared" si="2"/>
        <v>68</v>
      </c>
      <c r="G85" s="88">
        <f t="shared" si="3"/>
        <v>76</v>
      </c>
    </row>
    <row r="86" spans="3:7">
      <c r="C86" s="45">
        <v>85</v>
      </c>
      <c r="D86" s="88">
        <f t="shared" si="0"/>
        <v>68</v>
      </c>
      <c r="E86" s="88">
        <f t="shared" si="1"/>
        <v>77</v>
      </c>
      <c r="F86" s="88">
        <f t="shared" si="2"/>
        <v>68</v>
      </c>
      <c r="G86" s="88">
        <f t="shared" si="3"/>
        <v>77</v>
      </c>
    </row>
    <row r="87" spans="3:7">
      <c r="C87" s="45">
        <v>86</v>
      </c>
      <c r="D87" s="88">
        <f t="shared" si="0"/>
        <v>69</v>
      </c>
      <c r="E87" s="88">
        <f t="shared" si="1"/>
        <v>78</v>
      </c>
      <c r="F87" s="88">
        <f t="shared" si="2"/>
        <v>69</v>
      </c>
      <c r="G87" s="88">
        <f t="shared" si="3"/>
        <v>78</v>
      </c>
    </row>
    <row r="88" spans="3:7">
      <c r="C88" s="45">
        <v>87</v>
      </c>
      <c r="D88" s="88">
        <f t="shared" si="0"/>
        <v>70</v>
      </c>
      <c r="E88" s="88">
        <f t="shared" si="1"/>
        <v>79</v>
      </c>
      <c r="F88" s="88">
        <f t="shared" si="2"/>
        <v>70</v>
      </c>
      <c r="G88" s="88">
        <f t="shared" si="3"/>
        <v>79</v>
      </c>
    </row>
    <row r="89" spans="3:7">
      <c r="C89" s="45">
        <v>88</v>
      </c>
      <c r="D89" s="88">
        <f t="shared" si="0"/>
        <v>71</v>
      </c>
      <c r="E89" s="88">
        <f t="shared" si="1"/>
        <v>80</v>
      </c>
      <c r="F89" s="88">
        <f t="shared" si="2"/>
        <v>71</v>
      </c>
      <c r="G89" s="88">
        <f t="shared" si="3"/>
        <v>80</v>
      </c>
    </row>
    <row r="90" spans="3:7">
      <c r="C90" s="45">
        <v>89</v>
      </c>
      <c r="D90" s="88">
        <f t="shared" si="0"/>
        <v>72</v>
      </c>
      <c r="E90" s="88">
        <f t="shared" si="1"/>
        <v>81</v>
      </c>
      <c r="F90" s="88">
        <f t="shared" si="2"/>
        <v>72</v>
      </c>
      <c r="G90" s="88">
        <f t="shared" si="3"/>
        <v>81</v>
      </c>
    </row>
    <row r="91" spans="3:7">
      <c r="C91" s="45">
        <v>90</v>
      </c>
      <c r="D91" s="88">
        <f t="shared" si="0"/>
        <v>72</v>
      </c>
      <c r="E91" s="88">
        <f t="shared" si="1"/>
        <v>81</v>
      </c>
      <c r="F91" s="88">
        <f t="shared" si="2"/>
        <v>72</v>
      </c>
      <c r="G91" s="88">
        <f t="shared" si="3"/>
        <v>81</v>
      </c>
    </row>
    <row r="92" spans="3:7">
      <c r="C92" s="45">
        <v>91</v>
      </c>
      <c r="D92" s="88">
        <f t="shared" si="0"/>
        <v>73</v>
      </c>
      <c r="E92" s="88">
        <f t="shared" si="1"/>
        <v>82</v>
      </c>
      <c r="F92" s="88">
        <f t="shared" si="2"/>
        <v>73</v>
      </c>
      <c r="G92" s="88">
        <f t="shared" si="3"/>
        <v>82</v>
      </c>
    </row>
    <row r="93" spans="3:7">
      <c r="C93" s="45">
        <v>92</v>
      </c>
      <c r="D93" s="88">
        <f t="shared" si="0"/>
        <v>74</v>
      </c>
      <c r="E93" s="88">
        <f t="shared" si="1"/>
        <v>83</v>
      </c>
      <c r="F93" s="88">
        <f t="shared" si="2"/>
        <v>74</v>
      </c>
      <c r="G93" s="88">
        <f t="shared" si="3"/>
        <v>83</v>
      </c>
    </row>
    <row r="94" spans="3:7">
      <c r="C94" s="45">
        <v>93</v>
      </c>
      <c r="D94" s="88">
        <f t="shared" si="0"/>
        <v>75</v>
      </c>
      <c r="E94" s="88">
        <f t="shared" si="1"/>
        <v>84</v>
      </c>
      <c r="F94" s="88">
        <f t="shared" si="2"/>
        <v>75</v>
      </c>
      <c r="G94" s="88">
        <f t="shared" si="3"/>
        <v>84</v>
      </c>
    </row>
    <row r="95" spans="3:7">
      <c r="C95" s="45">
        <v>94</v>
      </c>
      <c r="D95" s="88">
        <f t="shared" si="0"/>
        <v>76</v>
      </c>
      <c r="E95" s="88">
        <f t="shared" si="1"/>
        <v>85</v>
      </c>
      <c r="F95" s="88">
        <f t="shared" si="2"/>
        <v>76</v>
      </c>
      <c r="G95" s="88">
        <f t="shared" si="3"/>
        <v>85</v>
      </c>
    </row>
    <row r="96" spans="3:7">
      <c r="C96" s="45">
        <v>95</v>
      </c>
      <c r="D96" s="88">
        <f t="shared" ref="D96:D151" si="4">ROUNDUP($C96*0.8,0)</f>
        <v>76</v>
      </c>
      <c r="E96" s="88">
        <f t="shared" ref="E96:E151" si="5">ROUNDUP($C96*0.9,0)</f>
        <v>86</v>
      </c>
      <c r="F96" s="88">
        <f t="shared" ref="F96:F151" si="6">ROUNDUP($C96*0.8,0)</f>
        <v>76</v>
      </c>
      <c r="G96" s="88">
        <f t="shared" ref="G96:G151" si="7">ROUNDUP($C96*0.9,0)</f>
        <v>86</v>
      </c>
    </row>
    <row r="97" spans="3:7">
      <c r="C97" s="45">
        <v>96</v>
      </c>
      <c r="D97" s="88">
        <f t="shared" si="4"/>
        <v>77</v>
      </c>
      <c r="E97" s="88">
        <f t="shared" si="5"/>
        <v>87</v>
      </c>
      <c r="F97" s="88">
        <f t="shared" si="6"/>
        <v>77</v>
      </c>
      <c r="G97" s="88">
        <f t="shared" si="7"/>
        <v>87</v>
      </c>
    </row>
    <row r="98" spans="3:7">
      <c r="C98" s="45">
        <v>97</v>
      </c>
      <c r="D98" s="88">
        <f t="shared" si="4"/>
        <v>78</v>
      </c>
      <c r="E98" s="88">
        <f t="shared" si="5"/>
        <v>88</v>
      </c>
      <c r="F98" s="88">
        <f t="shared" si="6"/>
        <v>78</v>
      </c>
      <c r="G98" s="88">
        <f t="shared" si="7"/>
        <v>88</v>
      </c>
    </row>
    <row r="99" spans="3:7">
      <c r="C99" s="45">
        <v>98</v>
      </c>
      <c r="D99" s="88">
        <f t="shared" si="4"/>
        <v>79</v>
      </c>
      <c r="E99" s="88">
        <f t="shared" si="5"/>
        <v>89</v>
      </c>
      <c r="F99" s="88">
        <f t="shared" si="6"/>
        <v>79</v>
      </c>
      <c r="G99" s="88">
        <f t="shared" si="7"/>
        <v>89</v>
      </c>
    </row>
    <row r="100" spans="3:7">
      <c r="C100" s="45">
        <v>99</v>
      </c>
      <c r="D100" s="88">
        <f t="shared" si="4"/>
        <v>80</v>
      </c>
      <c r="E100" s="88">
        <f t="shared" si="5"/>
        <v>90</v>
      </c>
      <c r="F100" s="88">
        <f t="shared" si="6"/>
        <v>80</v>
      </c>
      <c r="G100" s="88">
        <f t="shared" si="7"/>
        <v>90</v>
      </c>
    </row>
    <row r="101" spans="3:7">
      <c r="C101" s="45">
        <v>100</v>
      </c>
      <c r="D101" s="88">
        <f t="shared" si="4"/>
        <v>80</v>
      </c>
      <c r="E101" s="88">
        <f t="shared" si="5"/>
        <v>90</v>
      </c>
      <c r="F101" s="88">
        <f t="shared" si="6"/>
        <v>80</v>
      </c>
      <c r="G101" s="88">
        <f t="shared" si="7"/>
        <v>90</v>
      </c>
    </row>
    <row r="102" spans="3:7">
      <c r="C102" s="45">
        <v>101</v>
      </c>
      <c r="D102" s="88">
        <f t="shared" si="4"/>
        <v>81</v>
      </c>
      <c r="E102" s="88">
        <f t="shared" si="5"/>
        <v>91</v>
      </c>
      <c r="F102" s="88">
        <f t="shared" si="6"/>
        <v>81</v>
      </c>
      <c r="G102" s="88">
        <f t="shared" si="7"/>
        <v>91</v>
      </c>
    </row>
    <row r="103" spans="3:7">
      <c r="C103" s="45">
        <v>102</v>
      </c>
      <c r="D103" s="88">
        <f t="shared" si="4"/>
        <v>82</v>
      </c>
      <c r="E103" s="88">
        <f t="shared" si="5"/>
        <v>92</v>
      </c>
      <c r="F103" s="88">
        <f t="shared" si="6"/>
        <v>82</v>
      </c>
      <c r="G103" s="88">
        <f t="shared" si="7"/>
        <v>92</v>
      </c>
    </row>
    <row r="104" spans="3:7">
      <c r="C104" s="45">
        <v>103</v>
      </c>
      <c r="D104" s="88">
        <f t="shared" si="4"/>
        <v>83</v>
      </c>
      <c r="E104" s="88">
        <f t="shared" si="5"/>
        <v>93</v>
      </c>
      <c r="F104" s="88">
        <f t="shared" si="6"/>
        <v>83</v>
      </c>
      <c r="G104" s="88">
        <f t="shared" si="7"/>
        <v>93</v>
      </c>
    </row>
    <row r="105" spans="3:7">
      <c r="C105" s="45">
        <v>104</v>
      </c>
      <c r="D105" s="88">
        <f t="shared" si="4"/>
        <v>84</v>
      </c>
      <c r="E105" s="88">
        <f t="shared" si="5"/>
        <v>94</v>
      </c>
      <c r="F105" s="88">
        <f t="shared" si="6"/>
        <v>84</v>
      </c>
      <c r="G105" s="88">
        <f t="shared" si="7"/>
        <v>94</v>
      </c>
    </row>
    <row r="106" spans="3:7">
      <c r="C106" s="45">
        <v>105</v>
      </c>
      <c r="D106" s="88">
        <f t="shared" si="4"/>
        <v>84</v>
      </c>
      <c r="E106" s="88">
        <f t="shared" si="5"/>
        <v>95</v>
      </c>
      <c r="F106" s="88">
        <f t="shared" si="6"/>
        <v>84</v>
      </c>
      <c r="G106" s="88">
        <f t="shared" si="7"/>
        <v>95</v>
      </c>
    </row>
    <row r="107" spans="3:7">
      <c r="C107" s="45">
        <v>106</v>
      </c>
      <c r="D107" s="88">
        <f t="shared" si="4"/>
        <v>85</v>
      </c>
      <c r="E107" s="88">
        <f t="shared" si="5"/>
        <v>96</v>
      </c>
      <c r="F107" s="88">
        <f t="shared" si="6"/>
        <v>85</v>
      </c>
      <c r="G107" s="88">
        <f t="shared" si="7"/>
        <v>96</v>
      </c>
    </row>
    <row r="108" spans="3:7">
      <c r="C108" s="45">
        <v>107</v>
      </c>
      <c r="D108" s="88">
        <f t="shared" si="4"/>
        <v>86</v>
      </c>
      <c r="E108" s="88">
        <f t="shared" si="5"/>
        <v>97</v>
      </c>
      <c r="F108" s="88">
        <f t="shared" si="6"/>
        <v>86</v>
      </c>
      <c r="G108" s="88">
        <f t="shared" si="7"/>
        <v>97</v>
      </c>
    </row>
    <row r="109" spans="3:7">
      <c r="C109" s="45">
        <v>108</v>
      </c>
      <c r="D109" s="88">
        <f t="shared" si="4"/>
        <v>87</v>
      </c>
      <c r="E109" s="88">
        <f t="shared" si="5"/>
        <v>98</v>
      </c>
      <c r="F109" s="88">
        <f t="shared" si="6"/>
        <v>87</v>
      </c>
      <c r="G109" s="88">
        <f t="shared" si="7"/>
        <v>98</v>
      </c>
    </row>
    <row r="110" spans="3:7">
      <c r="C110" s="45">
        <v>109</v>
      </c>
      <c r="D110" s="88">
        <f t="shared" si="4"/>
        <v>88</v>
      </c>
      <c r="E110" s="88">
        <f t="shared" si="5"/>
        <v>99</v>
      </c>
      <c r="F110" s="88">
        <f t="shared" si="6"/>
        <v>88</v>
      </c>
      <c r="G110" s="88">
        <f t="shared" si="7"/>
        <v>99</v>
      </c>
    </row>
    <row r="111" spans="3:7">
      <c r="C111" s="45">
        <v>110</v>
      </c>
      <c r="D111" s="88">
        <f t="shared" si="4"/>
        <v>88</v>
      </c>
      <c r="E111" s="88">
        <f t="shared" si="5"/>
        <v>99</v>
      </c>
      <c r="F111" s="88">
        <f t="shared" si="6"/>
        <v>88</v>
      </c>
      <c r="G111" s="88">
        <f t="shared" si="7"/>
        <v>99</v>
      </c>
    </row>
    <row r="112" spans="3:7">
      <c r="C112" s="45">
        <v>111</v>
      </c>
      <c r="D112" s="88">
        <f t="shared" si="4"/>
        <v>89</v>
      </c>
      <c r="E112" s="88">
        <f t="shared" si="5"/>
        <v>100</v>
      </c>
      <c r="F112" s="88">
        <f t="shared" si="6"/>
        <v>89</v>
      </c>
      <c r="G112" s="88">
        <f t="shared" si="7"/>
        <v>100</v>
      </c>
    </row>
    <row r="113" spans="3:7">
      <c r="C113" s="45">
        <v>112</v>
      </c>
      <c r="D113" s="88">
        <f t="shared" si="4"/>
        <v>90</v>
      </c>
      <c r="E113" s="88">
        <f t="shared" si="5"/>
        <v>101</v>
      </c>
      <c r="F113" s="88">
        <f t="shared" si="6"/>
        <v>90</v>
      </c>
      <c r="G113" s="88">
        <f t="shared" si="7"/>
        <v>101</v>
      </c>
    </row>
    <row r="114" spans="3:7">
      <c r="C114" s="45">
        <v>113</v>
      </c>
      <c r="D114" s="88">
        <f t="shared" si="4"/>
        <v>91</v>
      </c>
      <c r="E114" s="88">
        <f t="shared" si="5"/>
        <v>102</v>
      </c>
      <c r="F114" s="88">
        <f t="shared" si="6"/>
        <v>91</v>
      </c>
      <c r="G114" s="88">
        <f t="shared" si="7"/>
        <v>102</v>
      </c>
    </row>
    <row r="115" spans="3:7">
      <c r="C115" s="45">
        <v>114</v>
      </c>
      <c r="D115" s="88">
        <f t="shared" si="4"/>
        <v>92</v>
      </c>
      <c r="E115" s="88">
        <f t="shared" si="5"/>
        <v>103</v>
      </c>
      <c r="F115" s="88">
        <f t="shared" si="6"/>
        <v>92</v>
      </c>
      <c r="G115" s="88">
        <f t="shared" si="7"/>
        <v>103</v>
      </c>
    </row>
    <row r="116" spans="3:7">
      <c r="C116" s="45">
        <v>115</v>
      </c>
      <c r="D116" s="88">
        <f t="shared" si="4"/>
        <v>92</v>
      </c>
      <c r="E116" s="88">
        <f t="shared" si="5"/>
        <v>104</v>
      </c>
      <c r="F116" s="88">
        <f t="shared" si="6"/>
        <v>92</v>
      </c>
      <c r="G116" s="88">
        <f t="shared" si="7"/>
        <v>104</v>
      </c>
    </row>
    <row r="117" spans="3:7">
      <c r="C117" s="45">
        <v>116</v>
      </c>
      <c r="D117" s="88">
        <f t="shared" si="4"/>
        <v>93</v>
      </c>
      <c r="E117" s="88">
        <f t="shared" si="5"/>
        <v>105</v>
      </c>
      <c r="F117" s="88">
        <f t="shared" si="6"/>
        <v>93</v>
      </c>
      <c r="G117" s="88">
        <f t="shared" si="7"/>
        <v>105</v>
      </c>
    </row>
    <row r="118" spans="3:7">
      <c r="C118" s="45">
        <v>117</v>
      </c>
      <c r="D118" s="88">
        <f t="shared" si="4"/>
        <v>94</v>
      </c>
      <c r="E118" s="88">
        <f t="shared" si="5"/>
        <v>106</v>
      </c>
      <c r="F118" s="88">
        <f t="shared" si="6"/>
        <v>94</v>
      </c>
      <c r="G118" s="88">
        <f t="shared" si="7"/>
        <v>106</v>
      </c>
    </row>
    <row r="119" spans="3:7">
      <c r="C119" s="45">
        <v>118</v>
      </c>
      <c r="D119" s="88">
        <f t="shared" si="4"/>
        <v>95</v>
      </c>
      <c r="E119" s="88">
        <f t="shared" si="5"/>
        <v>107</v>
      </c>
      <c r="F119" s="88">
        <f t="shared" si="6"/>
        <v>95</v>
      </c>
      <c r="G119" s="88">
        <f t="shared" si="7"/>
        <v>107</v>
      </c>
    </row>
    <row r="120" spans="3:7">
      <c r="C120" s="45">
        <v>119</v>
      </c>
      <c r="D120" s="88">
        <f t="shared" si="4"/>
        <v>96</v>
      </c>
      <c r="E120" s="88">
        <f t="shared" si="5"/>
        <v>108</v>
      </c>
      <c r="F120" s="88">
        <f t="shared" si="6"/>
        <v>96</v>
      </c>
      <c r="G120" s="88">
        <f t="shared" si="7"/>
        <v>108</v>
      </c>
    </row>
    <row r="121" spans="3:7">
      <c r="C121" s="45">
        <v>120</v>
      </c>
      <c r="D121" s="88">
        <f t="shared" si="4"/>
        <v>96</v>
      </c>
      <c r="E121" s="88">
        <f t="shared" si="5"/>
        <v>108</v>
      </c>
      <c r="F121" s="88">
        <f t="shared" si="6"/>
        <v>96</v>
      </c>
      <c r="G121" s="88">
        <f t="shared" si="7"/>
        <v>108</v>
      </c>
    </row>
    <row r="122" spans="3:7">
      <c r="C122" s="45">
        <v>121</v>
      </c>
      <c r="D122" s="88">
        <f t="shared" si="4"/>
        <v>97</v>
      </c>
      <c r="E122" s="88">
        <f t="shared" si="5"/>
        <v>109</v>
      </c>
      <c r="F122" s="88">
        <f t="shared" si="6"/>
        <v>97</v>
      </c>
      <c r="G122" s="88">
        <f t="shared" si="7"/>
        <v>109</v>
      </c>
    </row>
    <row r="123" spans="3:7">
      <c r="C123" s="45">
        <v>122</v>
      </c>
      <c r="D123" s="88">
        <f t="shared" si="4"/>
        <v>98</v>
      </c>
      <c r="E123" s="88">
        <f t="shared" si="5"/>
        <v>110</v>
      </c>
      <c r="F123" s="88">
        <f t="shared" si="6"/>
        <v>98</v>
      </c>
      <c r="G123" s="88">
        <f t="shared" si="7"/>
        <v>110</v>
      </c>
    </row>
    <row r="124" spans="3:7">
      <c r="C124" s="45">
        <v>123</v>
      </c>
      <c r="D124" s="88">
        <f t="shared" si="4"/>
        <v>99</v>
      </c>
      <c r="E124" s="88">
        <f t="shared" si="5"/>
        <v>111</v>
      </c>
      <c r="F124" s="88">
        <f t="shared" si="6"/>
        <v>99</v>
      </c>
      <c r="G124" s="88">
        <f t="shared" si="7"/>
        <v>111</v>
      </c>
    </row>
    <row r="125" spans="3:7">
      <c r="C125" s="45">
        <v>124</v>
      </c>
      <c r="D125" s="88">
        <f t="shared" si="4"/>
        <v>100</v>
      </c>
      <c r="E125" s="88">
        <f t="shared" si="5"/>
        <v>112</v>
      </c>
      <c r="F125" s="88">
        <f t="shared" si="6"/>
        <v>100</v>
      </c>
      <c r="G125" s="88">
        <f t="shared" si="7"/>
        <v>112</v>
      </c>
    </row>
    <row r="126" spans="3:7">
      <c r="C126" s="45">
        <v>125</v>
      </c>
      <c r="D126" s="88">
        <f t="shared" si="4"/>
        <v>100</v>
      </c>
      <c r="E126" s="88">
        <f t="shared" si="5"/>
        <v>113</v>
      </c>
      <c r="F126" s="88">
        <f t="shared" si="6"/>
        <v>100</v>
      </c>
      <c r="G126" s="88">
        <f t="shared" si="7"/>
        <v>113</v>
      </c>
    </row>
    <row r="127" spans="3:7">
      <c r="C127" s="45">
        <v>126</v>
      </c>
      <c r="D127" s="88">
        <f t="shared" si="4"/>
        <v>101</v>
      </c>
      <c r="E127" s="88">
        <f t="shared" si="5"/>
        <v>114</v>
      </c>
      <c r="F127" s="88">
        <f t="shared" si="6"/>
        <v>101</v>
      </c>
      <c r="G127" s="88">
        <f t="shared" si="7"/>
        <v>114</v>
      </c>
    </row>
    <row r="128" spans="3:7">
      <c r="C128" s="45">
        <v>127</v>
      </c>
      <c r="D128" s="88">
        <f t="shared" si="4"/>
        <v>102</v>
      </c>
      <c r="E128" s="88">
        <f t="shared" si="5"/>
        <v>115</v>
      </c>
      <c r="F128" s="88">
        <f t="shared" si="6"/>
        <v>102</v>
      </c>
      <c r="G128" s="88">
        <f t="shared" si="7"/>
        <v>115</v>
      </c>
    </row>
    <row r="129" spans="3:7">
      <c r="C129" s="45">
        <v>128</v>
      </c>
      <c r="D129" s="88">
        <f t="shared" si="4"/>
        <v>103</v>
      </c>
      <c r="E129" s="88">
        <f t="shared" si="5"/>
        <v>116</v>
      </c>
      <c r="F129" s="88">
        <f t="shared" si="6"/>
        <v>103</v>
      </c>
      <c r="G129" s="88">
        <f t="shared" si="7"/>
        <v>116</v>
      </c>
    </row>
    <row r="130" spans="3:7">
      <c r="C130" s="45">
        <v>129</v>
      </c>
      <c r="D130" s="88">
        <f t="shared" si="4"/>
        <v>104</v>
      </c>
      <c r="E130" s="88">
        <f t="shared" si="5"/>
        <v>117</v>
      </c>
      <c r="F130" s="88">
        <f t="shared" si="6"/>
        <v>104</v>
      </c>
      <c r="G130" s="88">
        <f t="shared" si="7"/>
        <v>117</v>
      </c>
    </row>
    <row r="131" spans="3:7">
      <c r="C131" s="45">
        <v>130</v>
      </c>
      <c r="D131" s="88">
        <f t="shared" si="4"/>
        <v>104</v>
      </c>
      <c r="E131" s="88">
        <f t="shared" si="5"/>
        <v>117</v>
      </c>
      <c r="F131" s="88">
        <f t="shared" si="6"/>
        <v>104</v>
      </c>
      <c r="G131" s="88">
        <f t="shared" si="7"/>
        <v>117</v>
      </c>
    </row>
    <row r="132" spans="3:7">
      <c r="C132" s="45">
        <v>131</v>
      </c>
      <c r="D132" s="88">
        <f t="shared" si="4"/>
        <v>105</v>
      </c>
      <c r="E132" s="88">
        <f t="shared" si="5"/>
        <v>118</v>
      </c>
      <c r="F132" s="88">
        <f t="shared" si="6"/>
        <v>105</v>
      </c>
      <c r="G132" s="88">
        <f t="shared" si="7"/>
        <v>118</v>
      </c>
    </row>
    <row r="133" spans="3:7">
      <c r="C133" s="45">
        <v>132</v>
      </c>
      <c r="D133" s="88">
        <f t="shared" si="4"/>
        <v>106</v>
      </c>
      <c r="E133" s="88">
        <f t="shared" si="5"/>
        <v>119</v>
      </c>
      <c r="F133" s="88">
        <f t="shared" si="6"/>
        <v>106</v>
      </c>
      <c r="G133" s="88">
        <f t="shared" si="7"/>
        <v>119</v>
      </c>
    </row>
    <row r="134" spans="3:7">
      <c r="C134" s="45">
        <v>133</v>
      </c>
      <c r="D134" s="88">
        <f t="shared" si="4"/>
        <v>107</v>
      </c>
      <c r="E134" s="88">
        <f t="shared" si="5"/>
        <v>120</v>
      </c>
      <c r="F134" s="88">
        <f t="shared" si="6"/>
        <v>107</v>
      </c>
      <c r="G134" s="88">
        <f t="shared" si="7"/>
        <v>120</v>
      </c>
    </row>
    <row r="135" spans="3:7">
      <c r="C135" s="45">
        <v>134</v>
      </c>
      <c r="D135" s="88">
        <f t="shared" si="4"/>
        <v>108</v>
      </c>
      <c r="E135" s="88">
        <f t="shared" si="5"/>
        <v>121</v>
      </c>
      <c r="F135" s="88">
        <f t="shared" si="6"/>
        <v>108</v>
      </c>
      <c r="G135" s="88">
        <f t="shared" si="7"/>
        <v>121</v>
      </c>
    </row>
    <row r="136" spans="3:7">
      <c r="C136" s="45">
        <v>135</v>
      </c>
      <c r="D136" s="88">
        <f t="shared" si="4"/>
        <v>108</v>
      </c>
      <c r="E136" s="88">
        <f t="shared" si="5"/>
        <v>122</v>
      </c>
      <c r="F136" s="88">
        <f t="shared" si="6"/>
        <v>108</v>
      </c>
      <c r="G136" s="88">
        <f t="shared" si="7"/>
        <v>122</v>
      </c>
    </row>
    <row r="137" spans="3:7">
      <c r="C137" s="45">
        <v>136</v>
      </c>
      <c r="D137" s="88">
        <f t="shared" si="4"/>
        <v>109</v>
      </c>
      <c r="E137" s="88">
        <f t="shared" si="5"/>
        <v>123</v>
      </c>
      <c r="F137" s="88">
        <f t="shared" si="6"/>
        <v>109</v>
      </c>
      <c r="G137" s="88">
        <f t="shared" si="7"/>
        <v>123</v>
      </c>
    </row>
    <row r="138" spans="3:7">
      <c r="C138" s="45">
        <v>137</v>
      </c>
      <c r="D138" s="88">
        <f t="shared" si="4"/>
        <v>110</v>
      </c>
      <c r="E138" s="88">
        <f t="shared" si="5"/>
        <v>124</v>
      </c>
      <c r="F138" s="88">
        <f t="shared" si="6"/>
        <v>110</v>
      </c>
      <c r="G138" s="88">
        <f t="shared" si="7"/>
        <v>124</v>
      </c>
    </row>
    <row r="139" spans="3:7">
      <c r="C139" s="45">
        <v>138</v>
      </c>
      <c r="D139" s="88">
        <f t="shared" si="4"/>
        <v>111</v>
      </c>
      <c r="E139" s="88">
        <f t="shared" si="5"/>
        <v>125</v>
      </c>
      <c r="F139" s="88">
        <f t="shared" si="6"/>
        <v>111</v>
      </c>
      <c r="G139" s="88">
        <f t="shared" si="7"/>
        <v>125</v>
      </c>
    </row>
    <row r="140" spans="3:7">
      <c r="C140" s="45">
        <v>139</v>
      </c>
      <c r="D140" s="88">
        <f t="shared" si="4"/>
        <v>112</v>
      </c>
      <c r="E140" s="88">
        <f t="shared" si="5"/>
        <v>126</v>
      </c>
      <c r="F140" s="88">
        <f t="shared" si="6"/>
        <v>112</v>
      </c>
      <c r="G140" s="88">
        <f t="shared" si="7"/>
        <v>126</v>
      </c>
    </row>
    <row r="141" spans="3:7">
      <c r="C141" s="45">
        <v>140</v>
      </c>
      <c r="D141" s="88">
        <f t="shared" si="4"/>
        <v>112</v>
      </c>
      <c r="E141" s="88">
        <f t="shared" si="5"/>
        <v>126</v>
      </c>
      <c r="F141" s="88">
        <f t="shared" si="6"/>
        <v>112</v>
      </c>
      <c r="G141" s="88">
        <f t="shared" si="7"/>
        <v>126</v>
      </c>
    </row>
    <row r="142" spans="3:7">
      <c r="C142" s="45">
        <v>141</v>
      </c>
      <c r="D142" s="88">
        <f t="shared" si="4"/>
        <v>113</v>
      </c>
      <c r="E142" s="88">
        <f t="shared" si="5"/>
        <v>127</v>
      </c>
      <c r="F142" s="88">
        <f t="shared" si="6"/>
        <v>113</v>
      </c>
      <c r="G142" s="88">
        <f t="shared" si="7"/>
        <v>127</v>
      </c>
    </row>
    <row r="143" spans="3:7">
      <c r="C143" s="45">
        <v>142</v>
      </c>
      <c r="D143" s="88">
        <f t="shared" si="4"/>
        <v>114</v>
      </c>
      <c r="E143" s="88">
        <f t="shared" si="5"/>
        <v>128</v>
      </c>
      <c r="F143" s="88">
        <f t="shared" si="6"/>
        <v>114</v>
      </c>
      <c r="G143" s="88">
        <f t="shared" si="7"/>
        <v>128</v>
      </c>
    </row>
    <row r="144" spans="3:7">
      <c r="C144" s="45">
        <v>143</v>
      </c>
      <c r="D144" s="88">
        <f t="shared" si="4"/>
        <v>115</v>
      </c>
      <c r="E144" s="88">
        <f t="shared" si="5"/>
        <v>129</v>
      </c>
      <c r="F144" s="88">
        <f t="shared" si="6"/>
        <v>115</v>
      </c>
      <c r="G144" s="88">
        <f t="shared" si="7"/>
        <v>129</v>
      </c>
    </row>
    <row r="145" spans="3:7">
      <c r="C145" s="45">
        <v>144</v>
      </c>
      <c r="D145" s="88">
        <f t="shared" si="4"/>
        <v>116</v>
      </c>
      <c r="E145" s="88">
        <f t="shared" si="5"/>
        <v>130</v>
      </c>
      <c r="F145" s="88">
        <f t="shared" si="6"/>
        <v>116</v>
      </c>
      <c r="G145" s="88">
        <f t="shared" si="7"/>
        <v>130</v>
      </c>
    </row>
    <row r="146" spans="3:7">
      <c r="C146" s="45">
        <v>145</v>
      </c>
      <c r="D146" s="88">
        <f t="shared" si="4"/>
        <v>116</v>
      </c>
      <c r="E146" s="88">
        <f t="shared" si="5"/>
        <v>131</v>
      </c>
      <c r="F146" s="88">
        <f t="shared" si="6"/>
        <v>116</v>
      </c>
      <c r="G146" s="88">
        <f t="shared" si="7"/>
        <v>131</v>
      </c>
    </row>
    <row r="147" spans="3:7">
      <c r="C147" s="45">
        <v>146</v>
      </c>
      <c r="D147" s="88">
        <f t="shared" si="4"/>
        <v>117</v>
      </c>
      <c r="E147" s="88">
        <f t="shared" si="5"/>
        <v>132</v>
      </c>
      <c r="F147" s="88">
        <f t="shared" si="6"/>
        <v>117</v>
      </c>
      <c r="G147" s="88">
        <f t="shared" si="7"/>
        <v>132</v>
      </c>
    </row>
    <row r="148" spans="3:7">
      <c r="C148" s="45">
        <v>147</v>
      </c>
      <c r="D148" s="88">
        <f t="shared" si="4"/>
        <v>118</v>
      </c>
      <c r="E148" s="88">
        <f t="shared" si="5"/>
        <v>133</v>
      </c>
      <c r="F148" s="88">
        <f t="shared" si="6"/>
        <v>118</v>
      </c>
      <c r="G148" s="88">
        <f t="shared" si="7"/>
        <v>133</v>
      </c>
    </row>
    <row r="149" spans="3:7">
      <c r="C149" s="45">
        <v>148</v>
      </c>
      <c r="D149" s="88">
        <f t="shared" si="4"/>
        <v>119</v>
      </c>
      <c r="E149" s="88">
        <f t="shared" si="5"/>
        <v>134</v>
      </c>
      <c r="F149" s="88">
        <f t="shared" si="6"/>
        <v>119</v>
      </c>
      <c r="G149" s="88">
        <f t="shared" si="7"/>
        <v>134</v>
      </c>
    </row>
    <row r="150" spans="3:7">
      <c r="C150" s="45">
        <v>149</v>
      </c>
      <c r="D150" s="88">
        <f t="shared" si="4"/>
        <v>120</v>
      </c>
      <c r="E150" s="88">
        <f t="shared" si="5"/>
        <v>135</v>
      </c>
      <c r="F150" s="88">
        <f t="shared" si="6"/>
        <v>120</v>
      </c>
      <c r="G150" s="88">
        <f t="shared" si="7"/>
        <v>135</v>
      </c>
    </row>
    <row r="151" spans="3:7">
      <c r="C151" s="45">
        <v>150</v>
      </c>
      <c r="D151" s="88">
        <f t="shared" si="4"/>
        <v>120</v>
      </c>
      <c r="E151" s="88">
        <f t="shared" si="5"/>
        <v>135</v>
      </c>
      <c r="F151" s="88">
        <f t="shared" si="6"/>
        <v>120</v>
      </c>
      <c r="G151" s="88">
        <f t="shared" si="7"/>
        <v>135</v>
      </c>
    </row>
  </sheetData>
  <sheetProtection sheet="1" objects="1" scenarios="1" formatCells="0" formatColumns="0"/>
  <mergeCells count="5">
    <mergeCell ref="I30:J30"/>
    <mergeCell ref="F28:G28"/>
    <mergeCell ref="D28:E28"/>
    <mergeCell ref="I28:M28"/>
    <mergeCell ref="I29:J29"/>
  </mergeCells>
  <phoneticPr fontId="15" type="noConversion"/>
  <pageMargins left="0.7" right="0.7" top="0.78740157499999996" bottom="0.78740157499999996"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4CB13-C841-4578-ADA7-006FBCBEF105}">
  <sheetPr codeName="Tabelle3">
    <tabColor rgb="FF008F85"/>
  </sheetPr>
  <dimension ref="C1:P115"/>
  <sheetViews>
    <sheetView topLeftCell="A76" workbookViewId="0">
      <selection activeCell="Q21" sqref="Q21"/>
    </sheetView>
  </sheetViews>
  <sheetFormatPr baseColWidth="10" defaultColWidth="11.44140625" defaultRowHeight="14.4"/>
  <cols>
    <col min="12" max="12" width="1.5546875" customWidth="1"/>
  </cols>
  <sheetData>
    <row r="1" spans="3:16">
      <c r="C1" s="6"/>
      <c r="D1" s="6"/>
      <c r="E1" s="6"/>
    </row>
    <row r="2" spans="3:16">
      <c r="C2" s="259" t="s">
        <v>72</v>
      </c>
      <c r="D2" s="259"/>
      <c r="E2" s="259"/>
      <c r="G2" s="260" t="s">
        <v>134</v>
      </c>
      <c r="H2" s="261"/>
      <c r="I2" s="261"/>
      <c r="J2" s="261"/>
      <c r="K2" s="262"/>
      <c r="M2" s="260" t="s">
        <v>135</v>
      </c>
      <c r="N2" s="261"/>
      <c r="O2" s="261"/>
      <c r="P2" s="262"/>
    </row>
    <row r="3" spans="3:16">
      <c r="C3" s="71"/>
      <c r="D3" s="71" t="s">
        <v>28</v>
      </c>
      <c r="E3" s="71" t="str">
        <f>IF(Control!$F$39="EC","m=4 N=1E7","m=5 N=1e7")</f>
        <v>m=4 N=1E7</v>
      </c>
      <c r="G3" s="263"/>
      <c r="H3" s="264"/>
      <c r="I3" s="264"/>
      <c r="J3" s="264"/>
      <c r="K3" s="265"/>
      <c r="M3" s="263"/>
      <c r="N3" s="264"/>
      <c r="O3" s="264"/>
      <c r="P3" s="265"/>
    </row>
    <row r="4" spans="3:16">
      <c r="C4" s="96" t="str">
        <f>"m"&amp;Control!$F$7</f>
        <v>mLAT</v>
      </c>
      <c r="D4" s="96" t="s">
        <v>29</v>
      </c>
      <c r="E4" s="96" t="s">
        <v>29</v>
      </c>
      <c r="G4" s="96" t="str">
        <f>"m"&amp;Control!$F$7</f>
        <v>mLAT</v>
      </c>
      <c r="H4" s="96" t="s">
        <v>73</v>
      </c>
      <c r="I4" s="96" t="s">
        <v>74</v>
      </c>
      <c r="J4" s="96" t="s">
        <v>75</v>
      </c>
      <c r="K4" s="96" t="s">
        <v>76</v>
      </c>
      <c r="M4" s="96" t="str">
        <f>"m"&amp;Control!$F$7</f>
        <v>mLAT</v>
      </c>
      <c r="N4" s="96" t="s">
        <v>73</v>
      </c>
      <c r="O4" s="96" t="s">
        <v>75</v>
      </c>
      <c r="P4" s="96" t="s">
        <v>76</v>
      </c>
    </row>
    <row r="5" spans="3:16">
      <c r="C5" s="97">
        <v>-82.72999999999999</v>
      </c>
      <c r="D5" s="98"/>
      <c r="E5" s="98">
        <v>-4.65661287307739E-10</v>
      </c>
      <c r="G5" s="97">
        <v>-82.730099999999993</v>
      </c>
      <c r="H5" s="97">
        <v>-44127.25</v>
      </c>
      <c r="I5" s="97">
        <v>-46415.88</v>
      </c>
      <c r="J5" s="97">
        <v>-1.4901161193847699E-8</v>
      </c>
      <c r="K5" s="97">
        <v>-8582.9213663624796</v>
      </c>
      <c r="L5" s="39"/>
      <c r="M5" s="97">
        <v>-82.72999999999999</v>
      </c>
      <c r="N5" s="98">
        <v>-32686.85</v>
      </c>
      <c r="O5" s="98">
        <v>1.4901161193847699E-8</v>
      </c>
      <c r="P5" s="98">
        <v>-6270.7899471992296</v>
      </c>
    </row>
    <row r="6" spans="3:16">
      <c r="C6" s="97">
        <v>-82.263750000000002</v>
      </c>
      <c r="D6" s="98"/>
      <c r="E6" s="98">
        <v>851.596014747396</v>
      </c>
      <c r="G6" s="97">
        <v>-82.263750000000002</v>
      </c>
      <c r="H6" s="97">
        <v>-44127.25</v>
      </c>
      <c r="I6" s="97">
        <v>-46415.88</v>
      </c>
      <c r="J6" s="97">
        <v>4001.7870870381598</v>
      </c>
      <c r="K6" s="97">
        <v>-8582.9213663624796</v>
      </c>
      <c r="L6" s="39"/>
      <c r="M6" s="97">
        <v>-82.263750000000002</v>
      </c>
      <c r="N6" s="98">
        <v>-32686.85</v>
      </c>
      <c r="O6" s="98">
        <v>2923.7558129057302</v>
      </c>
      <c r="P6" s="98">
        <v>-6270.7899471992296</v>
      </c>
    </row>
    <row r="7" spans="3:16">
      <c r="C7" s="97">
        <v>-81.75</v>
      </c>
      <c r="D7" s="98"/>
      <c r="E7" s="98">
        <v>3480.1181190521502</v>
      </c>
      <c r="G7" s="97">
        <v>-81.75</v>
      </c>
      <c r="H7" s="97">
        <v>-44127.25</v>
      </c>
      <c r="I7" s="97">
        <v>-46415.88</v>
      </c>
      <c r="J7" s="97">
        <v>16757.377262920101</v>
      </c>
      <c r="K7" s="97">
        <v>-24828.3993690549</v>
      </c>
      <c r="L7" s="39"/>
      <c r="M7" s="97">
        <v>-81.75</v>
      </c>
      <c r="N7" s="98">
        <v>-32686.85</v>
      </c>
      <c r="O7" s="98">
        <v>12243.1953061149</v>
      </c>
      <c r="P7" s="98">
        <v>-18140.028210686502</v>
      </c>
    </row>
    <row r="8" spans="3:16">
      <c r="C8" s="97">
        <v>-81.331249999999997</v>
      </c>
      <c r="D8" s="98"/>
      <c r="E8" s="98">
        <v>6730.2034564386104</v>
      </c>
      <c r="G8" s="97">
        <v>-81.331249999999997</v>
      </c>
      <c r="H8" s="97">
        <v>-44127.25</v>
      </c>
      <c r="I8" s="97">
        <v>-46415.88</v>
      </c>
      <c r="J8" s="97">
        <v>32903.138154700398</v>
      </c>
      <c r="K8" s="97">
        <v>-38557.040935721197</v>
      </c>
      <c r="L8" s="39"/>
      <c r="M8" s="97">
        <v>-81.331249999999997</v>
      </c>
      <c r="N8" s="98">
        <v>-32686.85</v>
      </c>
      <c r="O8" s="98">
        <v>24040.3138918728</v>
      </c>
      <c r="P8" s="98">
        <v>-28172.223488317301</v>
      </c>
    </row>
    <row r="9" spans="3:16">
      <c r="C9" s="97">
        <v>-80.865000000000009</v>
      </c>
      <c r="D9" s="98"/>
      <c r="E9" s="98">
        <v>10972.6398182013</v>
      </c>
      <c r="G9" s="97">
        <v>-80.865000000000009</v>
      </c>
      <c r="H9" s="97">
        <v>-44127.25</v>
      </c>
      <c r="I9" s="97">
        <v>-46415.88</v>
      </c>
      <c r="J9" s="97">
        <v>54846.541209444396</v>
      </c>
      <c r="K9" s="97">
        <v>-47063.599044958202</v>
      </c>
      <c r="L9" s="39"/>
      <c r="M9" s="97">
        <v>-80.865000000000009</v>
      </c>
      <c r="N9" s="98">
        <v>-32686.85</v>
      </c>
      <c r="O9" s="98">
        <v>40074.859223783002</v>
      </c>
      <c r="P9" s="98">
        <v>-34390.445752109103</v>
      </c>
    </row>
    <row r="10" spans="3:16">
      <c r="C10" s="97">
        <v>-80.72999999999999</v>
      </c>
      <c r="D10" s="98"/>
      <c r="E10" s="98">
        <v>12301.628609666601</v>
      </c>
      <c r="G10" s="97">
        <v>-80.72999999999999</v>
      </c>
      <c r="H10" s="97">
        <v>-44127.25</v>
      </c>
      <c r="I10" s="97">
        <v>-46415.88</v>
      </c>
      <c r="J10" s="97">
        <v>61874.849790006898</v>
      </c>
      <c r="K10" s="97">
        <v>-52061.545041346901</v>
      </c>
      <c r="L10" s="39"/>
      <c r="M10" s="97">
        <v>-80.72999999999999</v>
      </c>
      <c r="N10" s="98">
        <v>-32686.85</v>
      </c>
      <c r="O10" s="98">
        <v>45211.042810589097</v>
      </c>
      <c r="P10" s="98">
        <v>-38045.804346953897</v>
      </c>
    </row>
    <row r="11" spans="3:16">
      <c r="C11" s="97">
        <v>-80.398750000000007</v>
      </c>
      <c r="D11" s="98"/>
      <c r="E11" s="98">
        <v>15756.7661889428</v>
      </c>
      <c r="G11" s="97">
        <v>-80.398750000000007</v>
      </c>
      <c r="H11" s="97">
        <v>-44127.25</v>
      </c>
      <c r="I11" s="97">
        <v>-46415.88</v>
      </c>
      <c r="J11" s="97">
        <v>80410.110484823599</v>
      </c>
      <c r="K11" s="97">
        <v>-55955.5039845586</v>
      </c>
      <c r="L11" s="39"/>
      <c r="M11" s="97">
        <v>-80.398750000000007</v>
      </c>
      <c r="N11" s="98">
        <v>-32686.85</v>
      </c>
      <c r="O11" s="98">
        <v>58757.269788183301</v>
      </c>
      <c r="P11" s="98">
        <v>-40894.2701209511</v>
      </c>
    </row>
    <row r="12" spans="3:16">
      <c r="C12" s="97">
        <v>-79.932500000000005</v>
      </c>
      <c r="D12" s="98"/>
      <c r="E12" s="98">
        <v>21023.897558279299</v>
      </c>
      <c r="G12" s="97">
        <v>-79.932500000000005</v>
      </c>
      <c r="H12" s="97">
        <v>-44127.25</v>
      </c>
      <c r="I12" s="97">
        <v>-46415.88</v>
      </c>
      <c r="J12" s="97">
        <v>109281.699522808</v>
      </c>
      <c r="K12" s="97">
        <v>-61922.979169840502</v>
      </c>
      <c r="L12" s="39"/>
      <c r="M12" s="97">
        <v>-79.932500000000005</v>
      </c>
      <c r="N12" s="98">
        <v>-32686.85</v>
      </c>
      <c r="O12" s="98">
        <v>79860.6273469031</v>
      </c>
      <c r="P12" s="98">
        <v>-45261.8928873943</v>
      </c>
    </row>
    <row r="13" spans="3:16">
      <c r="C13" s="97">
        <v>-79.466250000000002</v>
      </c>
      <c r="D13" s="98"/>
      <c r="E13" s="98">
        <v>26672.6426779795</v>
      </c>
      <c r="G13" s="97">
        <v>-79.466250000000002</v>
      </c>
      <c r="H13" s="97">
        <v>-44127.25</v>
      </c>
      <c r="I13" s="97">
        <v>-46415.88</v>
      </c>
      <c r="J13" s="97">
        <v>140916.838310286</v>
      </c>
      <c r="K13" s="97">
        <v>-67850.163619372906</v>
      </c>
      <c r="L13" s="39"/>
      <c r="M13" s="97">
        <v>-79.466250000000002</v>
      </c>
      <c r="N13" s="98">
        <v>-32686.85</v>
      </c>
      <c r="O13" s="98">
        <v>102988.64264468099</v>
      </c>
      <c r="P13" s="98">
        <v>-49604.3223544594</v>
      </c>
    </row>
    <row r="14" spans="3:16">
      <c r="C14" s="97">
        <v>-79</v>
      </c>
      <c r="D14" s="98"/>
      <c r="E14" s="98">
        <v>32626.643410009801</v>
      </c>
      <c r="G14" s="97">
        <v>-79</v>
      </c>
      <c r="H14" s="97">
        <v>-44127.25</v>
      </c>
      <c r="I14" s="97">
        <v>-46415.88</v>
      </c>
      <c r="J14" s="97">
        <v>174871.27258239701</v>
      </c>
      <c r="K14" s="97">
        <v>-72824.523907952695</v>
      </c>
      <c r="L14" s="39"/>
      <c r="M14" s="97">
        <v>-79</v>
      </c>
      <c r="N14" s="98">
        <v>-32686.85</v>
      </c>
      <c r="O14" s="98">
        <v>127812.869023547</v>
      </c>
      <c r="P14" s="98">
        <v>-53242.308587344603</v>
      </c>
    </row>
    <row r="15" spans="3:16">
      <c r="C15" s="97">
        <v>-78.533749999999998</v>
      </c>
      <c r="D15" s="98"/>
      <c r="E15" s="98">
        <v>38821.713950900797</v>
      </c>
      <c r="G15" s="97">
        <v>-78.533749999999998</v>
      </c>
      <c r="H15" s="97">
        <v>-44127.25</v>
      </c>
      <c r="I15" s="97">
        <v>-46415.88</v>
      </c>
      <c r="J15" s="97">
        <v>210742.54973949501</v>
      </c>
      <c r="K15" s="97">
        <v>-76935.715082319206</v>
      </c>
      <c r="L15" s="39"/>
      <c r="M15" s="97">
        <v>-78.533749999999998</v>
      </c>
      <c r="N15" s="98">
        <v>-32686.85</v>
      </c>
      <c r="O15" s="98">
        <v>154019.18483191001</v>
      </c>
      <c r="P15" s="98">
        <v>-56206.575460321197</v>
      </c>
    </row>
    <row r="16" spans="3:16">
      <c r="C16" s="97">
        <v>-78.067499999999995</v>
      </c>
      <c r="D16" s="98"/>
      <c r="E16" s="98">
        <v>45204.056943078103</v>
      </c>
      <c r="G16" s="97">
        <v>-78.067499999999995</v>
      </c>
      <c r="H16" s="97">
        <v>-44127.25</v>
      </c>
      <c r="I16" s="97">
        <v>-46415.88</v>
      </c>
      <c r="J16" s="97">
        <v>248152.97457352301</v>
      </c>
      <c r="K16" s="97">
        <v>-80236.836105122304</v>
      </c>
      <c r="L16" s="39"/>
      <c r="M16" s="97">
        <v>-78.067499999999995</v>
      </c>
      <c r="N16" s="98">
        <v>-32686.85</v>
      </c>
      <c r="O16" s="98">
        <v>181324.05570286501</v>
      </c>
      <c r="P16" s="98">
        <v>-58562.725728602301</v>
      </c>
    </row>
    <row r="17" spans="3:16">
      <c r="C17" s="97">
        <v>-77.601249999999993</v>
      </c>
      <c r="D17" s="98"/>
      <c r="E17" s="98">
        <v>51730.332196522999</v>
      </c>
      <c r="G17" s="97">
        <v>-77.601249999999993</v>
      </c>
      <c r="H17" s="97">
        <v>-44127.25</v>
      </c>
      <c r="I17" s="97">
        <v>-46415.88</v>
      </c>
      <c r="J17" s="97">
        <v>286750.17043544399</v>
      </c>
      <c r="K17" s="97">
        <v>-82782.189516236904</v>
      </c>
      <c r="L17" s="39"/>
      <c r="M17" s="97">
        <v>-77.601249999999993</v>
      </c>
      <c r="N17" s="98">
        <v>-32686.85</v>
      </c>
      <c r="O17" s="98">
        <v>209475.245107725</v>
      </c>
      <c r="P17" s="98">
        <v>-60377.886123041499</v>
      </c>
    </row>
    <row r="18" spans="3:16">
      <c r="C18" s="97">
        <v>-77.134999999999991</v>
      </c>
      <c r="D18" s="98"/>
      <c r="E18" s="98">
        <v>58364.406203047802</v>
      </c>
      <c r="G18" s="97">
        <v>-77.134999999999991</v>
      </c>
      <c r="H18" s="97">
        <v>-44127.25</v>
      </c>
      <c r="I18" s="97">
        <v>-46415.88</v>
      </c>
      <c r="J18" s="97">
        <v>326217.78952425002</v>
      </c>
      <c r="K18" s="97">
        <v>-84649.048984034496</v>
      </c>
      <c r="L18" s="39"/>
      <c r="M18" s="97">
        <v>-77.134999999999991</v>
      </c>
      <c r="N18" s="98">
        <v>-32686.85</v>
      </c>
      <c r="O18" s="98">
        <v>238247.76440314899</v>
      </c>
      <c r="P18" s="98">
        <v>-61710.497148342598</v>
      </c>
    </row>
    <row r="19" spans="3:16">
      <c r="C19" s="97">
        <v>-76.73</v>
      </c>
      <c r="D19" s="98"/>
      <c r="E19" s="98">
        <v>64190.190566349302</v>
      </c>
      <c r="G19" s="97">
        <v>-76.73</v>
      </c>
      <c r="H19" s="97">
        <v>-44127.25</v>
      </c>
      <c r="I19" s="97">
        <v>-46415.88</v>
      </c>
      <c r="J19" s="97">
        <v>360978.00788071798</v>
      </c>
      <c r="K19" s="97">
        <v>-85827.699645528395</v>
      </c>
      <c r="L19" s="39"/>
      <c r="M19" s="97">
        <v>-76.73</v>
      </c>
      <c r="N19" s="98">
        <v>-32686.85</v>
      </c>
      <c r="O19" s="98">
        <v>263583.07263173198</v>
      </c>
      <c r="P19" s="98">
        <v>-62556.316613740702</v>
      </c>
    </row>
    <row r="20" spans="3:16">
      <c r="C20" s="97">
        <v>-76.668750000000003</v>
      </c>
      <c r="D20" s="98"/>
      <c r="E20" s="98">
        <v>65075.887434553399</v>
      </c>
      <c r="G20" s="97">
        <v>-76.668750000000003</v>
      </c>
      <c r="H20" s="97">
        <v>-44127.25</v>
      </c>
      <c r="I20" s="97">
        <v>-46415.88</v>
      </c>
      <c r="J20" s="97">
        <v>366261.675363302</v>
      </c>
      <c r="K20" s="97">
        <v>-86263.958899965699</v>
      </c>
      <c r="L20" s="39"/>
      <c r="M20" s="97">
        <v>-76.668750000000003</v>
      </c>
      <c r="N20" s="98">
        <v>-32686.85</v>
      </c>
      <c r="O20" s="98">
        <v>267434.11614966398</v>
      </c>
      <c r="P20" s="98">
        <v>-62874.1798852293</v>
      </c>
    </row>
    <row r="21" spans="3:16">
      <c r="C21" s="97">
        <v>-76.202500000000001</v>
      </c>
      <c r="D21" s="98"/>
      <c r="E21" s="98">
        <v>71855.881858503402</v>
      </c>
      <c r="G21" s="97">
        <v>-76.202500000000001</v>
      </c>
      <c r="H21" s="97">
        <v>-44127.25</v>
      </c>
      <c r="I21" s="97">
        <v>-46415.88</v>
      </c>
      <c r="J21" s="97">
        <v>406692.82968504698</v>
      </c>
      <c r="K21" s="97">
        <v>-86715.612486449099</v>
      </c>
      <c r="L21" s="39"/>
      <c r="M21" s="97">
        <v>-76.202500000000001</v>
      </c>
      <c r="N21" s="98">
        <v>-32686.85</v>
      </c>
      <c r="O21" s="98">
        <v>296903.313421175</v>
      </c>
      <c r="P21" s="98">
        <v>-63204.712646601103</v>
      </c>
    </row>
    <row r="22" spans="3:16">
      <c r="C22" s="97">
        <v>-75.736249999999998</v>
      </c>
      <c r="D22" s="98"/>
      <c r="E22" s="98">
        <v>78678.034925843604</v>
      </c>
      <c r="G22" s="97">
        <v>-75.736249999999998</v>
      </c>
      <c r="H22" s="97">
        <v>-44127.25</v>
      </c>
      <c r="I22" s="97">
        <v>-46415.88</v>
      </c>
      <c r="J22" s="97">
        <v>447245.74932780903</v>
      </c>
      <c r="K22" s="97">
        <v>-86976.771351764706</v>
      </c>
      <c r="L22" s="39"/>
      <c r="M22" s="97">
        <v>-75.736249999999998</v>
      </c>
      <c r="N22" s="98">
        <v>-32686.85</v>
      </c>
      <c r="O22" s="98">
        <v>326473.14043922001</v>
      </c>
      <c r="P22" s="98">
        <v>-63420.540521274401</v>
      </c>
    </row>
    <row r="23" spans="3:16">
      <c r="C23" s="97">
        <v>-75.27</v>
      </c>
      <c r="D23" s="98"/>
      <c r="E23" s="98">
        <v>85522.867277115598</v>
      </c>
      <c r="G23" s="97">
        <v>-75.27</v>
      </c>
      <c r="H23" s="97">
        <v>-44127.25</v>
      </c>
      <c r="I23" s="97">
        <v>-46415.88</v>
      </c>
      <c r="J23" s="97">
        <v>487663.86357746302</v>
      </c>
      <c r="K23" s="97">
        <v>-86687.644503295698</v>
      </c>
      <c r="L23" s="39"/>
      <c r="M23" s="97">
        <v>-75.27</v>
      </c>
      <c r="N23" s="98">
        <v>-32686.85</v>
      </c>
      <c r="O23" s="98">
        <v>355966.076944731</v>
      </c>
      <c r="P23" s="98">
        <v>-63255.627893840203</v>
      </c>
    </row>
    <row r="24" spans="3:16">
      <c r="C24" s="97">
        <v>-74.803750000000008</v>
      </c>
      <c r="D24" s="98"/>
      <c r="E24" s="98">
        <v>92375.638747065299</v>
      </c>
      <c r="G24" s="97">
        <v>-74.803750000000008</v>
      </c>
      <c r="H24" s="97">
        <v>-44127.25</v>
      </c>
      <c r="I24" s="97">
        <v>-46415.88</v>
      </c>
      <c r="J24" s="97">
        <v>527804.28399488295</v>
      </c>
      <c r="K24" s="97">
        <v>-86092.054514540796</v>
      </c>
      <c r="L24" s="39"/>
      <c r="M24" s="97">
        <v>-74.803750000000008</v>
      </c>
      <c r="N24" s="98">
        <v>-32686.85</v>
      </c>
      <c r="O24" s="98">
        <v>385281.309388794</v>
      </c>
      <c r="P24" s="98">
        <v>-62874.493177611999</v>
      </c>
    </row>
    <row r="25" spans="3:16">
      <c r="C25" s="97">
        <v>-74.337500000000006</v>
      </c>
      <c r="D25" s="98"/>
      <c r="E25" s="98">
        <v>99225.845307827898</v>
      </c>
      <c r="G25" s="97">
        <v>-74.337500000000006</v>
      </c>
      <c r="H25" s="97">
        <v>-44127.25</v>
      </c>
      <c r="I25" s="97">
        <v>-46415.88</v>
      </c>
      <c r="J25" s="97">
        <v>567562.50452052103</v>
      </c>
      <c r="K25" s="97">
        <v>-85272.322843273403</v>
      </c>
      <c r="L25" s="39"/>
      <c r="M25" s="97">
        <v>-74.337500000000006</v>
      </c>
      <c r="N25" s="98">
        <v>-32686.85</v>
      </c>
      <c r="O25" s="98">
        <v>414346.256745808</v>
      </c>
      <c r="P25" s="98">
        <v>-62337.688701374602</v>
      </c>
    </row>
    <row r="26" spans="3:16">
      <c r="C26" s="97">
        <v>-73.871250000000003</v>
      </c>
      <c r="D26" s="98"/>
      <c r="E26" s="98">
        <v>106065.170922673</v>
      </c>
      <c r="G26" s="97">
        <v>-73.871250000000003</v>
      </c>
      <c r="H26" s="97">
        <v>-44127.25</v>
      </c>
      <c r="I26" s="97">
        <v>-46415.88</v>
      </c>
      <c r="J26" s="97">
        <v>606854.23769208801</v>
      </c>
      <c r="K26" s="97">
        <v>-84271.813772708396</v>
      </c>
      <c r="L26" s="39"/>
      <c r="M26" s="97">
        <v>-73.871250000000003</v>
      </c>
      <c r="N26" s="98">
        <v>-32686.85</v>
      </c>
      <c r="O26" s="98">
        <v>443102.87570425897</v>
      </c>
      <c r="P26" s="98">
        <v>-61676.394548981203</v>
      </c>
    </row>
    <row r="27" spans="3:16">
      <c r="C27" s="97">
        <v>-73.405000000000001</v>
      </c>
      <c r="D27" s="98"/>
      <c r="E27" s="98">
        <v>112886.43993936401</v>
      </c>
      <c r="G27" s="97">
        <v>-73.405000000000001</v>
      </c>
      <c r="H27" s="97">
        <v>-44127.25</v>
      </c>
      <c r="I27" s="97">
        <v>-46415.88</v>
      </c>
      <c r="J27" s="97">
        <v>645606.72134089505</v>
      </c>
      <c r="K27" s="97">
        <v>-83115.246431870997</v>
      </c>
      <c r="L27" s="39"/>
      <c r="M27" s="97">
        <v>-73.405000000000001</v>
      </c>
      <c r="N27" s="98">
        <v>-32686.85</v>
      </c>
      <c r="O27" s="98">
        <v>471501.37590616901</v>
      </c>
      <c r="P27" s="98">
        <v>-60908.311425051499</v>
      </c>
    </row>
    <row r="28" spans="3:16">
      <c r="C28" s="97">
        <v>-72.938749999999999</v>
      </c>
      <c r="D28" s="98"/>
      <c r="E28" s="98">
        <v>119683.239497666</v>
      </c>
      <c r="G28" s="97">
        <v>-72.938749999999999</v>
      </c>
      <c r="H28" s="97">
        <v>-44127.25</v>
      </c>
      <c r="I28" s="97">
        <v>-46415.88</v>
      </c>
      <c r="J28" s="97">
        <v>683753.50270318997</v>
      </c>
      <c r="K28" s="97">
        <v>-81816.153055856703</v>
      </c>
      <c r="L28" s="39"/>
      <c r="M28" s="97">
        <v>-72.938749999999999</v>
      </c>
      <c r="N28" s="98">
        <v>-32686.85</v>
      </c>
      <c r="O28" s="98">
        <v>499496.50058507198</v>
      </c>
      <c r="P28" s="98">
        <v>-60043.162850155102</v>
      </c>
    </row>
    <row r="29" spans="3:16">
      <c r="C29" s="97">
        <v>-72.63</v>
      </c>
      <c r="D29" s="98"/>
      <c r="E29" s="98">
        <v>124167.313287207</v>
      </c>
      <c r="G29" s="97">
        <v>-72.63</v>
      </c>
      <c r="H29" s="97">
        <v>-44127.25</v>
      </c>
      <c r="I29" s="97">
        <v>-46415.88</v>
      </c>
      <c r="J29" s="97">
        <v>708645.79031948699</v>
      </c>
      <c r="K29" s="97">
        <v>-80622.793899122495</v>
      </c>
      <c r="L29" s="39"/>
      <c r="M29" s="97">
        <v>-72.63</v>
      </c>
      <c r="N29" s="98">
        <v>-32686.85</v>
      </c>
      <c r="O29" s="98">
        <v>517788.986563757</v>
      </c>
      <c r="P29" s="98">
        <v>-59246.918149643701</v>
      </c>
    </row>
    <row r="30" spans="3:16">
      <c r="C30" s="97">
        <v>-72.472499999999997</v>
      </c>
      <c r="D30" s="98"/>
      <c r="E30" s="98">
        <v>126448.31870298801</v>
      </c>
      <c r="G30" s="97">
        <v>-72.472499999999997</v>
      </c>
      <c r="H30" s="97">
        <v>-44127.25</v>
      </c>
      <c r="I30" s="97">
        <v>-46415.88</v>
      </c>
      <c r="J30" s="97">
        <v>721213.586766958</v>
      </c>
      <c r="K30" s="97">
        <v>-79795.532999416799</v>
      </c>
      <c r="L30" s="39"/>
      <c r="M30" s="97">
        <v>-72.472499999999997</v>
      </c>
      <c r="N30" s="98">
        <v>-32686.85</v>
      </c>
      <c r="O30" s="98">
        <v>527033.17199619103</v>
      </c>
      <c r="P30" s="98">
        <v>-58693.240840541803</v>
      </c>
    </row>
    <row r="31" spans="3:16">
      <c r="C31" s="97">
        <v>-72.006249999999994</v>
      </c>
      <c r="D31" s="98"/>
      <c r="E31" s="98">
        <v>133173.95065542401</v>
      </c>
      <c r="G31" s="97">
        <v>-72.006249999999994</v>
      </c>
      <c r="H31" s="97">
        <v>-44127.25</v>
      </c>
      <c r="I31" s="97">
        <v>-46415.88</v>
      </c>
      <c r="J31" s="97">
        <v>757886.69643194997</v>
      </c>
      <c r="K31" s="97">
        <v>-78655.463088403703</v>
      </c>
      <c r="L31" s="39"/>
      <c r="M31" s="97">
        <v>-72.006249999999994</v>
      </c>
      <c r="N31" s="98">
        <v>-32686.85</v>
      </c>
      <c r="O31" s="98">
        <v>554042.94867594505</v>
      </c>
      <c r="P31" s="98">
        <v>-57929.815935205101</v>
      </c>
    </row>
    <row r="32" spans="3:16">
      <c r="C32" s="97">
        <v>-71.539999999999992</v>
      </c>
      <c r="D32" s="98"/>
      <c r="E32" s="98">
        <v>139852.875433298</v>
      </c>
      <c r="G32" s="97">
        <v>-71.539999999999992</v>
      </c>
      <c r="H32" s="97">
        <v>-44127.25</v>
      </c>
      <c r="I32" s="97">
        <v>-46415.88</v>
      </c>
      <c r="J32" s="97">
        <v>793695.04257239401</v>
      </c>
      <c r="K32" s="97">
        <v>-76800.7423923959</v>
      </c>
      <c r="L32" s="39"/>
      <c r="M32" s="97">
        <v>-71.539999999999992</v>
      </c>
      <c r="N32" s="98">
        <v>-32686.85</v>
      </c>
      <c r="O32" s="98">
        <v>580472.78950386494</v>
      </c>
      <c r="P32" s="98">
        <v>-56685.985689888803</v>
      </c>
    </row>
    <row r="33" spans="3:16">
      <c r="C33" s="97">
        <v>-71.073750000000004</v>
      </c>
      <c r="D33" s="98"/>
      <c r="E33" s="98">
        <v>146478.21921379201</v>
      </c>
      <c r="G33" s="97">
        <v>-71.073750000000004</v>
      </c>
      <c r="H33" s="97">
        <v>-44127.25</v>
      </c>
      <c r="I33" s="97">
        <v>-46415.88</v>
      </c>
      <c r="J33" s="97">
        <v>828565.84616951598</v>
      </c>
      <c r="K33" s="97">
        <v>-74789.927286086095</v>
      </c>
      <c r="L33" s="39"/>
      <c r="M33" s="97">
        <v>-71.073750000000004</v>
      </c>
      <c r="N33" s="98">
        <v>-32686.85</v>
      </c>
      <c r="O33" s="98">
        <v>606272.88991361903</v>
      </c>
      <c r="P33" s="98">
        <v>-55335.335999512099</v>
      </c>
    </row>
    <row r="34" spans="3:16">
      <c r="C34" s="97">
        <v>-70.607500000000002</v>
      </c>
      <c r="D34" s="98"/>
      <c r="E34" s="98">
        <v>153042.59357559701</v>
      </c>
      <c r="G34" s="97">
        <v>-70.607500000000002</v>
      </c>
      <c r="H34" s="97">
        <v>-44127.25</v>
      </c>
      <c r="I34" s="97">
        <v>-46415.88</v>
      </c>
      <c r="J34" s="97">
        <v>862424.69217655098</v>
      </c>
      <c r="K34" s="97">
        <v>-72619.508862279894</v>
      </c>
      <c r="L34" s="39"/>
      <c r="M34" s="97">
        <v>-70.607500000000002</v>
      </c>
      <c r="N34" s="98">
        <v>-32686.85</v>
      </c>
      <c r="O34" s="98">
        <v>631391.964484856</v>
      </c>
      <c r="P34" s="98">
        <v>-53874.690769438203</v>
      </c>
    </row>
    <row r="35" spans="3:16">
      <c r="C35" s="97">
        <v>-70.141249999999999</v>
      </c>
      <c r="D35" s="98"/>
      <c r="E35" s="98">
        <v>159537.92636328301</v>
      </c>
      <c r="G35" s="97">
        <v>-70.141249999999999</v>
      </c>
      <c r="H35" s="97">
        <v>-44127.25</v>
      </c>
      <c r="I35" s="97">
        <v>-46415.88</v>
      </c>
      <c r="J35" s="97">
        <v>895202.54122649098</v>
      </c>
      <c r="K35" s="97">
        <v>-70301.016729110299</v>
      </c>
      <c r="L35" s="39"/>
      <c r="M35" s="97">
        <v>-70.141249999999999</v>
      </c>
      <c r="N35" s="98">
        <v>-32686.85</v>
      </c>
      <c r="O35" s="98">
        <v>655781.48993253696</v>
      </c>
      <c r="P35" s="98">
        <v>-52309.974150485803</v>
      </c>
    </row>
    <row r="36" spans="3:16">
      <c r="C36" s="97">
        <v>-69.674999999999997</v>
      </c>
      <c r="D36" s="98"/>
      <c r="E36" s="98">
        <v>165955.32395309801</v>
      </c>
      <c r="G36" s="97">
        <v>-69.674999999999997</v>
      </c>
      <c r="H36" s="97">
        <v>-44127.25</v>
      </c>
      <c r="I36" s="97">
        <v>-46415.88</v>
      </c>
      <c r="J36" s="97">
        <v>926833.71252335596</v>
      </c>
      <c r="K36" s="97">
        <v>-67841.654256015099</v>
      </c>
      <c r="L36" s="39"/>
      <c r="M36" s="97">
        <v>-69.674999999999997</v>
      </c>
      <c r="N36" s="98">
        <v>-32686.85</v>
      </c>
      <c r="O36" s="98">
        <v>679391.24221979105</v>
      </c>
      <c r="P36" s="98">
        <v>-50637.538417743301</v>
      </c>
    </row>
    <row r="37" spans="3:16">
      <c r="C37" s="97">
        <v>-69.208749999999995</v>
      </c>
      <c r="D37" s="98"/>
      <c r="E37" s="98">
        <v>172284.951962185</v>
      </c>
      <c r="G37" s="97">
        <v>-69.208749999999995</v>
      </c>
      <c r="H37" s="97">
        <v>-44127.25</v>
      </c>
      <c r="I37" s="97">
        <v>-46415.88</v>
      </c>
      <c r="J37" s="97">
        <v>957253.73089426802</v>
      </c>
      <c r="K37" s="97">
        <v>-65244.0072297917</v>
      </c>
      <c r="L37" s="39"/>
      <c r="M37" s="97">
        <v>-69.208749999999995</v>
      </c>
      <c r="N37" s="98">
        <v>-32686.85</v>
      </c>
      <c r="O37" s="98">
        <v>702168.49715194898</v>
      </c>
      <c r="P37" s="98">
        <v>-48852.021302215602</v>
      </c>
    </row>
    <row r="38" spans="3:16">
      <c r="C38" s="97">
        <v>-68.742500000000007</v>
      </c>
      <c r="D38" s="98"/>
      <c r="E38" s="98">
        <v>178515.93741247899</v>
      </c>
      <c r="G38" s="97">
        <v>-68.742500000000007</v>
      </c>
      <c r="H38" s="97">
        <v>-44127.25</v>
      </c>
      <c r="I38" s="97">
        <v>-46415.88</v>
      </c>
      <c r="J38" s="97">
        <v>986394.78781130898</v>
      </c>
      <c r="K38" s="97">
        <v>-62500.926363650004</v>
      </c>
      <c r="L38" s="39"/>
      <c r="M38" s="97">
        <v>-68.742500000000007</v>
      </c>
      <c r="N38" s="98">
        <v>-32686.85</v>
      </c>
      <c r="O38" s="98">
        <v>724058.27430436795</v>
      </c>
      <c r="P38" s="98">
        <v>-46948.583704890902</v>
      </c>
    </row>
    <row r="39" spans="3:16">
      <c r="C39" s="97">
        <v>-68.53</v>
      </c>
      <c r="D39" s="98"/>
      <c r="E39" s="98">
        <v>181319.09338082699</v>
      </c>
      <c r="G39" s="97">
        <v>-68.53</v>
      </c>
      <c r="H39" s="97">
        <v>-44127.25</v>
      </c>
      <c r="I39" s="97">
        <v>-46415.88</v>
      </c>
      <c r="J39" s="97">
        <v>999228.93690562202</v>
      </c>
      <c r="K39" s="97">
        <v>-60395.995738032303</v>
      </c>
      <c r="L39" s="39"/>
      <c r="M39" s="97">
        <v>-68.53</v>
      </c>
      <c r="N39" s="98">
        <v>-32686.85</v>
      </c>
      <c r="O39" s="98">
        <v>733722.31027530099</v>
      </c>
      <c r="P39" s="98">
        <v>-45477.816333782903</v>
      </c>
    </row>
    <row r="40" spans="3:16">
      <c r="C40" s="97">
        <v>-68.276250000000005</v>
      </c>
      <c r="D40" s="98"/>
      <c r="E40" s="98">
        <v>184638.008066179</v>
      </c>
      <c r="G40" s="97">
        <v>-68.276250000000005</v>
      </c>
      <c r="H40" s="97">
        <v>-44127.25</v>
      </c>
      <c r="I40" s="97">
        <v>-46415.88</v>
      </c>
      <c r="J40" s="97">
        <v>1014220.8311985401</v>
      </c>
      <c r="K40" s="97">
        <v>-59081.356819228997</v>
      </c>
      <c r="L40" s="39"/>
      <c r="M40" s="97">
        <v>-68.276250000000005</v>
      </c>
      <c r="N40" s="98">
        <v>-32686.85</v>
      </c>
      <c r="O40" s="98">
        <v>745025.92936569499</v>
      </c>
      <c r="P40" s="98">
        <v>-44546.2821296037</v>
      </c>
    </row>
    <row r="41" spans="3:16">
      <c r="C41" s="97">
        <v>-67.81</v>
      </c>
      <c r="D41" s="98"/>
      <c r="E41" s="98">
        <v>190650.67500257699</v>
      </c>
      <c r="G41" s="97">
        <v>-67.81</v>
      </c>
      <c r="H41" s="97">
        <v>-44127.25</v>
      </c>
      <c r="I41" s="97">
        <v>-46415.88</v>
      </c>
      <c r="J41" s="97">
        <v>1040796.34320739</v>
      </c>
      <c r="K41" s="97">
        <v>-56998.417177368203</v>
      </c>
      <c r="L41" s="39"/>
      <c r="M41" s="97">
        <v>-67.81</v>
      </c>
      <c r="N41" s="98">
        <v>-32686.85</v>
      </c>
      <c r="O41" s="98">
        <v>765107.15025175398</v>
      </c>
      <c r="P41" s="98">
        <v>-43069.642651073402</v>
      </c>
    </row>
    <row r="42" spans="3:16">
      <c r="C42" s="97">
        <v>-67.34375</v>
      </c>
      <c r="D42" s="98"/>
      <c r="E42" s="98">
        <v>196539.411686056</v>
      </c>
      <c r="G42" s="97">
        <v>-67.34375</v>
      </c>
      <c r="H42" s="97">
        <v>-44127.25</v>
      </c>
      <c r="I42" s="97">
        <v>-46415.88</v>
      </c>
      <c r="J42" s="97">
        <v>1066055.1226337899</v>
      </c>
      <c r="K42" s="97">
        <v>-54174.325847453998</v>
      </c>
      <c r="L42" s="39"/>
      <c r="M42" s="97">
        <v>-67.34375</v>
      </c>
      <c r="N42" s="98">
        <v>-32686.85</v>
      </c>
      <c r="O42" s="98">
        <v>784254.04080175597</v>
      </c>
      <c r="P42" s="98">
        <v>-41065.716997376199</v>
      </c>
    </row>
    <row r="43" spans="3:16">
      <c r="C43" s="97">
        <v>-66.877499999999998</v>
      </c>
      <c r="D43" s="98"/>
      <c r="E43" s="98">
        <v>202290.00108522599</v>
      </c>
      <c r="G43" s="97">
        <v>-66.877499999999998</v>
      </c>
      <c r="H43" s="97">
        <v>-44127.25</v>
      </c>
      <c r="I43" s="97">
        <v>-46415.88</v>
      </c>
      <c r="J43" s="97">
        <v>1089938.0803763601</v>
      </c>
      <c r="K43" s="97">
        <v>-51223.501860751698</v>
      </c>
      <c r="L43" s="39"/>
      <c r="M43" s="97">
        <v>-66.877499999999998</v>
      </c>
      <c r="N43" s="98">
        <v>-32686.85</v>
      </c>
      <c r="O43" s="98">
        <v>802423.69061090099</v>
      </c>
      <c r="P43" s="98">
        <v>-38969.758303832299</v>
      </c>
    </row>
    <row r="44" spans="3:16">
      <c r="C44" s="97">
        <v>-66.430000000000007</v>
      </c>
      <c r="D44" s="98"/>
      <c r="E44" s="98">
        <v>207664.86348310101</v>
      </c>
      <c r="G44" s="97">
        <v>-66.430000000000007</v>
      </c>
      <c r="H44" s="97">
        <v>-44127.25</v>
      </c>
      <c r="I44" s="97">
        <v>-46415.88</v>
      </c>
      <c r="J44" s="97">
        <v>1111511.1985758201</v>
      </c>
      <c r="K44" s="97">
        <v>-48208.085361833997</v>
      </c>
      <c r="L44" s="39"/>
      <c r="M44" s="97">
        <v>-66.430000000000007</v>
      </c>
      <c r="N44" s="98">
        <v>-32686.85</v>
      </c>
      <c r="O44" s="98">
        <v>818903.16077676404</v>
      </c>
      <c r="P44" s="98">
        <v>-36825.631655516598</v>
      </c>
    </row>
    <row r="45" spans="3:16">
      <c r="C45" s="97">
        <v>-65.944999999999993</v>
      </c>
      <c r="D45" s="98"/>
      <c r="E45" s="98">
        <v>213341.508424008</v>
      </c>
      <c r="G45" s="97">
        <v>-65.944999999999993</v>
      </c>
      <c r="H45" s="97">
        <v>-44127.25</v>
      </c>
      <c r="I45" s="97">
        <v>-46415.88</v>
      </c>
      <c r="J45" s="97">
        <v>1133601.3282172801</v>
      </c>
      <c r="K45" s="97">
        <v>-45546.659054659198</v>
      </c>
      <c r="L45" s="39"/>
      <c r="M45" s="97">
        <v>-65.944999999999993</v>
      </c>
      <c r="N45" s="98">
        <v>-32686.85</v>
      </c>
      <c r="O45" s="98">
        <v>835826.99262390297</v>
      </c>
      <c r="P45" s="98">
        <v>-34894.498653945899</v>
      </c>
    </row>
    <row r="46" spans="3:16">
      <c r="C46" s="97">
        <v>-65.478749999999991</v>
      </c>
      <c r="D46" s="98"/>
      <c r="E46" s="98">
        <v>218636.80797761001</v>
      </c>
      <c r="G46" s="97">
        <v>-65.478749999999991</v>
      </c>
      <c r="H46" s="97">
        <v>-44127.25</v>
      </c>
      <c r="I46" s="97">
        <v>-46415.88</v>
      </c>
      <c r="J46" s="97">
        <v>1153527.12609778</v>
      </c>
      <c r="K46" s="97">
        <v>-42736.2957221748</v>
      </c>
      <c r="L46" s="39"/>
      <c r="M46" s="97">
        <v>-65.478749999999991</v>
      </c>
      <c r="N46" s="98">
        <v>-32686.85</v>
      </c>
      <c r="O46" s="98">
        <v>851144.68460038304</v>
      </c>
      <c r="P46" s="98">
        <v>-32852.958662564699</v>
      </c>
    </row>
    <row r="47" spans="3:16">
      <c r="C47" s="97">
        <v>-65.012500000000003</v>
      </c>
      <c r="D47" s="98"/>
      <c r="E47" s="98">
        <v>223757.02631159301</v>
      </c>
      <c r="G47" s="97">
        <v>-65.012500000000003</v>
      </c>
      <c r="H47" s="97">
        <v>-44127.25</v>
      </c>
      <c r="I47" s="97">
        <v>-46415.88</v>
      </c>
      <c r="J47" s="97">
        <v>1172127.5076854799</v>
      </c>
      <c r="K47" s="97">
        <v>-39893.579812823402</v>
      </c>
      <c r="L47" s="39"/>
      <c r="M47" s="97">
        <v>-65.012500000000003</v>
      </c>
      <c r="N47" s="98">
        <v>-32686.85</v>
      </c>
      <c r="O47" s="98">
        <v>865498.451575674</v>
      </c>
      <c r="P47" s="98">
        <v>-30785.559196435799</v>
      </c>
    </row>
    <row r="48" spans="3:16">
      <c r="C48" s="97">
        <v>-64.546250000000001</v>
      </c>
      <c r="D48" s="98"/>
      <c r="E48" s="98">
        <v>228684.58382566299</v>
      </c>
      <c r="G48" s="97">
        <v>-64.546250000000001</v>
      </c>
      <c r="H48" s="97">
        <v>-44127.25</v>
      </c>
      <c r="I48" s="97">
        <v>-46415.88</v>
      </c>
      <c r="J48" s="97">
        <v>1189362.6983993601</v>
      </c>
      <c r="K48" s="97">
        <v>-36965.556490971903</v>
      </c>
      <c r="L48" s="39"/>
      <c r="M48" s="97">
        <v>-64.546250000000001</v>
      </c>
      <c r="N48" s="98">
        <v>-32686.85</v>
      </c>
      <c r="O48" s="98">
        <v>878858.19974775601</v>
      </c>
      <c r="P48" s="98">
        <v>-28653.615382420499</v>
      </c>
    </row>
    <row r="49" spans="3:16">
      <c r="C49" s="97">
        <v>-64.430000000000007</v>
      </c>
      <c r="D49" s="98"/>
      <c r="E49" s="98">
        <v>229880.23719747001</v>
      </c>
      <c r="G49" s="97">
        <v>-64.430000000000007</v>
      </c>
      <c r="H49" s="97">
        <v>-44127.25</v>
      </c>
      <c r="I49" s="97">
        <v>-46415.88</v>
      </c>
      <c r="J49" s="97">
        <v>1193441.3213499801</v>
      </c>
      <c r="K49" s="97">
        <v>-35084.928608318303</v>
      </c>
      <c r="L49" s="39"/>
      <c r="M49" s="97">
        <v>-64.430000000000007</v>
      </c>
      <c r="N49" s="98">
        <v>-32686.85</v>
      </c>
      <c r="O49" s="98">
        <v>882029.80742821097</v>
      </c>
      <c r="P49" s="98">
        <v>-27282.646713510399</v>
      </c>
    </row>
    <row r="50" spans="3:16">
      <c r="C50" s="97">
        <v>-64.08</v>
      </c>
      <c r="D50" s="98"/>
      <c r="E50" s="98">
        <v>233383.570853613</v>
      </c>
      <c r="G50" s="97">
        <v>-64.08</v>
      </c>
      <c r="H50" s="97">
        <v>-44127.25</v>
      </c>
      <c r="I50" s="97">
        <v>-46415.88</v>
      </c>
      <c r="J50" s="97">
        <v>1205086.6816704399</v>
      </c>
      <c r="K50" s="97">
        <v>-33272.4580579596</v>
      </c>
      <c r="L50" s="39"/>
      <c r="M50" s="97">
        <v>-64.08</v>
      </c>
      <c r="N50" s="98">
        <v>-32686.85</v>
      </c>
      <c r="O50" s="98">
        <v>891119.19216281199</v>
      </c>
      <c r="P50" s="98">
        <v>-25969.670670203701</v>
      </c>
    </row>
    <row r="51" spans="3:16">
      <c r="C51" s="97">
        <v>-63.613749999999996</v>
      </c>
      <c r="D51" s="98"/>
      <c r="E51" s="98">
        <v>237809.65064668999</v>
      </c>
      <c r="G51" s="97">
        <v>-63.613749999999996</v>
      </c>
      <c r="H51" s="97">
        <v>-44127.25</v>
      </c>
      <c r="I51" s="97">
        <v>-46415.88</v>
      </c>
      <c r="J51" s="97">
        <v>1219089.69944531</v>
      </c>
      <c r="K51" s="97">
        <v>-30033.282090827699</v>
      </c>
      <c r="L51" s="39"/>
      <c r="M51" s="97">
        <v>-63.613749999999996</v>
      </c>
      <c r="N51" s="98">
        <v>-32686.85</v>
      </c>
      <c r="O51" s="98">
        <v>902132.45436438196</v>
      </c>
      <c r="P51" s="98">
        <v>-23620.937697688001</v>
      </c>
    </row>
    <row r="52" spans="3:16">
      <c r="C52" s="97">
        <v>-63.147500000000001</v>
      </c>
      <c r="D52" s="98"/>
      <c r="E52" s="98">
        <v>241935.047187224</v>
      </c>
      <c r="G52" s="97">
        <v>-63.147500000000001</v>
      </c>
      <c r="H52" s="97">
        <v>-44127.25</v>
      </c>
      <c r="I52" s="97">
        <v>-46415.88</v>
      </c>
      <c r="J52" s="97">
        <v>1231321.93031958</v>
      </c>
      <c r="K52" s="97">
        <v>-26235.3477196846</v>
      </c>
      <c r="L52" s="39"/>
      <c r="M52" s="97">
        <v>-63.147500000000001</v>
      </c>
      <c r="N52" s="98">
        <v>-32686.85</v>
      </c>
      <c r="O52" s="98">
        <v>911860.06023244595</v>
      </c>
      <c r="P52" s="98">
        <v>-20863.497840371401</v>
      </c>
    </row>
    <row r="53" spans="3:16">
      <c r="C53" s="97">
        <v>-62.83</v>
      </c>
      <c r="D53" s="98"/>
      <c r="E53" s="98">
        <v>244556.69960611101</v>
      </c>
      <c r="G53" s="97">
        <v>-62.83</v>
      </c>
      <c r="H53" s="97">
        <v>-44127.25</v>
      </c>
      <c r="I53" s="97">
        <v>-46415.88</v>
      </c>
      <c r="J53" s="97">
        <v>1238613.2178621599</v>
      </c>
      <c r="K53" s="97">
        <v>-22964.685173473401</v>
      </c>
      <c r="L53" s="39"/>
      <c r="M53" s="97">
        <v>-62.83</v>
      </c>
      <c r="N53" s="98">
        <v>-32686.85</v>
      </c>
      <c r="O53" s="98">
        <v>917729.29049085104</v>
      </c>
      <c r="P53" s="98">
        <v>-18485.764593382901</v>
      </c>
    </row>
    <row r="54" spans="3:16">
      <c r="C54" s="97">
        <v>-62.681249999999999</v>
      </c>
      <c r="D54" s="98"/>
      <c r="E54" s="98">
        <v>245755.00942965999</v>
      </c>
      <c r="G54" s="97">
        <v>-62.681249999999999</v>
      </c>
      <c r="H54" s="97">
        <v>-44127.25</v>
      </c>
      <c r="I54" s="97">
        <v>-46415.88</v>
      </c>
      <c r="J54" s="97">
        <v>1241878.36267698</v>
      </c>
      <c r="K54" s="97">
        <v>-21950.553376923701</v>
      </c>
      <c r="L54" s="39"/>
      <c r="M54" s="97">
        <v>-62.681249999999999</v>
      </c>
      <c r="N54" s="98">
        <v>-32686.85</v>
      </c>
      <c r="O54" s="98">
        <v>920363.46938216698</v>
      </c>
      <c r="P54" s="98">
        <v>-17708.765657060299</v>
      </c>
    </row>
    <row r="55" spans="3:16">
      <c r="C55" s="97">
        <v>-62.215000000000003</v>
      </c>
      <c r="D55" s="98"/>
      <c r="E55" s="98">
        <v>249383.92472949301</v>
      </c>
      <c r="G55" s="97">
        <v>-62.215000000000003</v>
      </c>
      <c r="H55" s="97">
        <v>-44127.25</v>
      </c>
      <c r="I55" s="97">
        <v>-46415.88</v>
      </c>
      <c r="J55" s="97">
        <v>1251487.02362345</v>
      </c>
      <c r="K55" s="97">
        <v>-20608.388088849701</v>
      </c>
      <c r="L55" s="39"/>
      <c r="M55" s="97">
        <v>-62.215000000000003</v>
      </c>
      <c r="N55" s="98">
        <v>-32686.85</v>
      </c>
      <c r="O55" s="98">
        <v>928140.552243724</v>
      </c>
      <c r="P55" s="98">
        <v>-16680.0704802197</v>
      </c>
    </row>
    <row r="56" spans="3:16">
      <c r="C56" s="97">
        <v>-62.03</v>
      </c>
      <c r="D56" s="98"/>
      <c r="E56" s="98">
        <v>250765.86519073299</v>
      </c>
      <c r="G56" s="97">
        <v>-62.03</v>
      </c>
      <c r="H56" s="97">
        <v>-44127.25</v>
      </c>
      <c r="I56" s="97">
        <v>-46415.88</v>
      </c>
      <c r="J56" s="97">
        <v>1255034.12377065</v>
      </c>
      <c r="K56" s="97">
        <v>-19173.5143098062</v>
      </c>
      <c r="L56" s="39"/>
      <c r="M56" s="97">
        <v>-62.03</v>
      </c>
      <c r="N56" s="98">
        <v>-32686.85</v>
      </c>
      <c r="O56" s="98">
        <v>931022.68272414804</v>
      </c>
      <c r="P56" s="98">
        <v>-15579.083678273801</v>
      </c>
    </row>
    <row r="57" spans="3:16">
      <c r="C57" s="97">
        <v>-61.748750000000001</v>
      </c>
      <c r="D57" s="98"/>
      <c r="E57" s="98">
        <v>252741.683239367</v>
      </c>
      <c r="G57" s="97">
        <v>-61.748750000000001</v>
      </c>
      <c r="H57" s="97">
        <v>-44127.25</v>
      </c>
      <c r="I57" s="97">
        <v>-46415.88</v>
      </c>
      <c r="J57" s="97">
        <v>1259866.49515525</v>
      </c>
      <c r="K57" s="97">
        <v>-17181.764922849801</v>
      </c>
      <c r="L57" s="39"/>
      <c r="M57" s="97">
        <v>-61.748750000000001</v>
      </c>
      <c r="N57" s="98">
        <v>-32686.85</v>
      </c>
      <c r="O57" s="98">
        <v>934997.11160014605</v>
      </c>
      <c r="P57" s="98">
        <v>-14131.3026701487</v>
      </c>
    </row>
    <row r="58" spans="3:16">
      <c r="C58" s="97">
        <v>-61.282499999999999</v>
      </c>
      <c r="D58" s="98"/>
      <c r="E58" s="98">
        <v>255668.484340642</v>
      </c>
      <c r="G58" s="97">
        <v>-61.282499999999999</v>
      </c>
      <c r="H58" s="97">
        <v>-44127.25</v>
      </c>
      <c r="I58" s="97">
        <v>-46415.88</v>
      </c>
      <c r="J58" s="97">
        <v>1266370.8890007599</v>
      </c>
      <c r="K58" s="97">
        <v>-13950.4425641526</v>
      </c>
      <c r="L58" s="39"/>
      <c r="M58" s="97">
        <v>-61.282499999999999</v>
      </c>
      <c r="N58" s="98">
        <v>-32686.85</v>
      </c>
      <c r="O58" s="98">
        <v>940489.79227034003</v>
      </c>
      <c r="P58" s="98">
        <v>-11780.548354315601</v>
      </c>
    </row>
    <row r="59" spans="3:16">
      <c r="C59" s="97">
        <v>-60.816249999999997</v>
      </c>
      <c r="D59" s="98"/>
      <c r="E59" s="98">
        <v>258125.509653213</v>
      </c>
      <c r="G59" s="97">
        <v>-60.816249999999997</v>
      </c>
      <c r="H59" s="97">
        <v>-44127.25</v>
      </c>
      <c r="I59" s="97">
        <v>-46415.88</v>
      </c>
      <c r="J59" s="97">
        <v>1270961.02153909</v>
      </c>
      <c r="K59" s="97">
        <v>-9844.78828583215</v>
      </c>
      <c r="L59" s="39"/>
      <c r="M59" s="97">
        <v>-60.816249999999997</v>
      </c>
      <c r="N59" s="98">
        <v>-32686.85</v>
      </c>
      <c r="O59" s="98">
        <v>944587.94434026605</v>
      </c>
      <c r="P59" s="98">
        <v>-8789.6022947127294</v>
      </c>
    </row>
    <row r="60" spans="3:16">
      <c r="C60" s="97">
        <v>-60.35</v>
      </c>
      <c r="D60" s="98"/>
      <c r="E60" s="98">
        <v>260076.229752924</v>
      </c>
      <c r="G60" s="97">
        <v>-60.35</v>
      </c>
      <c r="H60" s="97">
        <v>-44127.25</v>
      </c>
      <c r="I60" s="97">
        <v>-46415.88</v>
      </c>
      <c r="J60" s="97">
        <v>1273604.7398566899</v>
      </c>
      <c r="K60" s="97">
        <v>-5670.1733352416204</v>
      </c>
      <c r="L60" s="39"/>
      <c r="M60" s="97">
        <v>-60.35</v>
      </c>
      <c r="N60" s="98">
        <v>-32686.85</v>
      </c>
      <c r="O60" s="98">
        <v>947266.17088132398</v>
      </c>
      <c r="P60" s="98">
        <v>-5744.1856108813699</v>
      </c>
    </row>
    <row r="61" spans="3:16">
      <c r="C61" s="97">
        <v>-59.883749999999999</v>
      </c>
      <c r="D61" s="98"/>
      <c r="E61" s="98">
        <v>261482.449446246</v>
      </c>
      <c r="G61" s="97">
        <v>-59.883749999999999</v>
      </c>
      <c r="H61" s="97">
        <v>-44127.25</v>
      </c>
      <c r="I61" s="97">
        <v>-46415.88</v>
      </c>
      <c r="J61" s="97">
        <v>1274272.7438543399</v>
      </c>
      <c r="K61" s="97">
        <v>-1432.7163489018601</v>
      </c>
      <c r="L61" s="39"/>
      <c r="M61" s="97">
        <v>-59.883749999999999</v>
      </c>
      <c r="N61" s="98">
        <v>-32686.85</v>
      </c>
      <c r="O61" s="98">
        <v>948501.07766167098</v>
      </c>
      <c r="P61" s="98">
        <v>-2648.5936307581701</v>
      </c>
    </row>
    <row r="62" spans="3:16">
      <c r="C62" s="97">
        <v>-59.53</v>
      </c>
      <c r="D62" s="98"/>
      <c r="E62" s="98">
        <v>262159.54263231001</v>
      </c>
      <c r="G62" s="97">
        <v>-59.53</v>
      </c>
      <c r="H62" s="97">
        <v>-44127.25</v>
      </c>
      <c r="I62" s="97">
        <v>-46415.88</v>
      </c>
      <c r="J62" s="97">
        <v>1273443.9249014601</v>
      </c>
      <c r="K62" s="97">
        <v>2342.9511036386202</v>
      </c>
      <c r="L62" s="39"/>
      <c r="M62" s="97">
        <v>-59.53</v>
      </c>
      <c r="N62" s="98">
        <v>-32686.85</v>
      </c>
      <c r="O62" s="98">
        <v>948460.91562174296</v>
      </c>
      <c r="P62" s="98">
        <v>113.532268292387</v>
      </c>
    </row>
    <row r="63" spans="3:16">
      <c r="C63" s="97">
        <v>-59.417500000000004</v>
      </c>
      <c r="D63" s="98"/>
      <c r="E63" s="98">
        <v>262340.70356350398</v>
      </c>
      <c r="G63" s="97">
        <v>-59.417500000000004</v>
      </c>
      <c r="H63" s="97">
        <v>-44127.25</v>
      </c>
      <c r="I63" s="97">
        <v>-46415.88</v>
      </c>
      <c r="J63" s="97">
        <v>1273078.71177584</v>
      </c>
      <c r="K63" s="97">
        <v>3246.33889360074</v>
      </c>
      <c r="L63" s="39"/>
      <c r="M63" s="97">
        <v>-59.417500000000004</v>
      </c>
      <c r="N63" s="98">
        <v>-32686.85</v>
      </c>
      <c r="O63" s="98">
        <v>948368.54063314199</v>
      </c>
      <c r="P63" s="98">
        <v>821.11100987705902</v>
      </c>
    </row>
    <row r="64" spans="3:16">
      <c r="C64" s="97">
        <v>-58.951250000000002</v>
      </c>
      <c r="D64" s="98"/>
      <c r="E64" s="98">
        <v>262912.862598648</v>
      </c>
      <c r="G64" s="97">
        <v>-58.951250000000002</v>
      </c>
      <c r="H64" s="97">
        <v>-44127.25</v>
      </c>
      <c r="I64" s="97">
        <v>-46415.88</v>
      </c>
      <c r="J64" s="97">
        <v>1271042.68804005</v>
      </c>
      <c r="K64" s="97">
        <v>4366.8069404608104</v>
      </c>
      <c r="L64" s="39"/>
      <c r="M64" s="97">
        <v>-58.951250000000002</v>
      </c>
      <c r="N64" s="98">
        <v>-32686.85</v>
      </c>
      <c r="O64" s="98">
        <v>947576.40391559899</v>
      </c>
      <c r="P64" s="98">
        <v>1698.9527456278399</v>
      </c>
    </row>
    <row r="65" spans="3:16">
      <c r="C65" s="97">
        <v>-58.484999999999999</v>
      </c>
      <c r="D65" s="98"/>
      <c r="E65" s="98">
        <v>263177.71195913502</v>
      </c>
      <c r="G65" s="97">
        <v>-58.484999999999999</v>
      </c>
      <c r="H65" s="97">
        <v>-44127.25</v>
      </c>
      <c r="I65" s="97">
        <v>-46415.88</v>
      </c>
      <c r="J65" s="97">
        <v>1268168.63818698</v>
      </c>
      <c r="K65" s="97">
        <v>6164.1819904800504</v>
      </c>
      <c r="L65" s="39"/>
      <c r="M65" s="97">
        <v>-58.484999999999999</v>
      </c>
      <c r="N65" s="98">
        <v>-32686.85</v>
      </c>
      <c r="O65" s="98">
        <v>946126.97951588</v>
      </c>
      <c r="P65" s="98">
        <v>3108.68503963377</v>
      </c>
    </row>
    <row r="66" spans="3:16">
      <c r="C66" s="97">
        <v>-58.018749999999997</v>
      </c>
      <c r="D66" s="98"/>
      <c r="E66" s="98">
        <v>263115.41390717198</v>
      </c>
      <c r="G66" s="97">
        <v>-58.018749999999997</v>
      </c>
      <c r="H66" s="97">
        <v>-44127.25</v>
      </c>
      <c r="I66" s="97">
        <v>-46415.88</v>
      </c>
      <c r="J66" s="97">
        <v>1264461.8042041799</v>
      </c>
      <c r="K66" s="97">
        <v>7950.3141722385799</v>
      </c>
      <c r="L66" s="39"/>
      <c r="M66" s="97">
        <v>-58.018749999999997</v>
      </c>
      <c r="N66" s="98">
        <v>-32686.85</v>
      </c>
      <c r="O66" s="98">
        <v>944023.65609632398</v>
      </c>
      <c r="P66" s="98">
        <v>4511.1494253465198</v>
      </c>
    </row>
    <row r="67" spans="3:16">
      <c r="C67" s="97">
        <v>-57.552500000000002</v>
      </c>
      <c r="D67" s="98"/>
      <c r="E67" s="98">
        <v>262705.88028737699</v>
      </c>
      <c r="G67" s="97">
        <v>-57.552500000000002</v>
      </c>
      <c r="H67" s="97">
        <v>-44127.25</v>
      </c>
      <c r="I67" s="97">
        <v>-46415.88</v>
      </c>
      <c r="J67" s="97">
        <v>1259929.02343726</v>
      </c>
      <c r="K67" s="97">
        <v>9721.7818057125005</v>
      </c>
      <c r="L67" s="39"/>
      <c r="M67" s="97">
        <v>-57.552500000000002</v>
      </c>
      <c r="N67" s="98">
        <v>-32686.85</v>
      </c>
      <c r="O67" s="98">
        <v>941271.09651490999</v>
      </c>
      <c r="P67" s="98">
        <v>5903.6130431992897</v>
      </c>
    </row>
    <row r="68" spans="3:16">
      <c r="C68" s="97">
        <v>-57.33</v>
      </c>
      <c r="D68" s="98"/>
      <c r="E68" s="98">
        <v>262380.94141282898</v>
      </c>
      <c r="G68" s="97">
        <v>-57.33</v>
      </c>
      <c r="H68" s="97">
        <v>-44127.25</v>
      </c>
      <c r="I68" s="97">
        <v>-46415.88</v>
      </c>
      <c r="J68" s="97">
        <v>1257477.80088577</v>
      </c>
      <c r="K68" s="97">
        <v>11016.7305686083</v>
      </c>
      <c r="L68" s="39"/>
      <c r="M68" s="97">
        <v>-57.33</v>
      </c>
      <c r="N68" s="98">
        <v>-32686.85</v>
      </c>
      <c r="O68" s="98">
        <v>939730.81193938898</v>
      </c>
      <c r="P68" s="98">
        <v>6922.6273060616804</v>
      </c>
    </row>
    <row r="69" spans="3:16">
      <c r="C69" s="97">
        <v>-57.08625</v>
      </c>
      <c r="D69" s="98"/>
      <c r="E69" s="98">
        <v>262010.20625895599</v>
      </c>
      <c r="G69" s="97">
        <v>-57.08625</v>
      </c>
      <c r="H69" s="97">
        <v>-44127.25</v>
      </c>
      <c r="I69" s="97">
        <v>-46415.88</v>
      </c>
      <c r="J69" s="97">
        <v>1254746.88620648</v>
      </c>
      <c r="K69" s="97">
        <v>11203.752530792401</v>
      </c>
      <c r="L69" s="39"/>
      <c r="M69" s="97">
        <v>-57.08625</v>
      </c>
      <c r="N69" s="98">
        <v>-32686.85</v>
      </c>
      <c r="O69" s="98">
        <v>938004.42680415499</v>
      </c>
      <c r="P69" s="98">
        <v>7082.6056827063403</v>
      </c>
    </row>
    <row r="70" spans="3:16">
      <c r="C70" s="97">
        <v>-56.62</v>
      </c>
      <c r="D70" s="98"/>
      <c r="E70" s="98">
        <v>261257.51152289301</v>
      </c>
      <c r="G70" s="97">
        <v>-56.62</v>
      </c>
      <c r="H70" s="97">
        <v>-44127.25</v>
      </c>
      <c r="I70" s="97">
        <v>-46415.88</v>
      </c>
      <c r="J70" s="97">
        <v>1249390.21576393</v>
      </c>
      <c r="K70" s="97">
        <v>11488.837410255999</v>
      </c>
      <c r="L70" s="39"/>
      <c r="M70" s="97">
        <v>-56.62</v>
      </c>
      <c r="N70" s="98">
        <v>-32686.85</v>
      </c>
      <c r="O70" s="98">
        <v>934588.37436971103</v>
      </c>
      <c r="P70" s="98">
        <v>7326.6540149074299</v>
      </c>
    </row>
    <row r="71" spans="3:16">
      <c r="C71" s="97">
        <v>-56.153750000000002</v>
      </c>
      <c r="D71" s="98"/>
      <c r="E71" s="98">
        <v>260446.33156942201</v>
      </c>
      <c r="G71" s="97">
        <v>-56.153750000000002</v>
      </c>
      <c r="H71" s="97">
        <v>-44127.25</v>
      </c>
      <c r="I71" s="97">
        <v>-46415.88</v>
      </c>
      <c r="J71" s="97">
        <v>1243858.7217065699</v>
      </c>
      <c r="K71" s="97">
        <v>11863.7942250085</v>
      </c>
      <c r="L71" s="39"/>
      <c r="M71" s="97">
        <v>-56.153750000000002</v>
      </c>
      <c r="N71" s="98">
        <v>-32686.85</v>
      </c>
      <c r="O71" s="98">
        <v>931022.46823883103</v>
      </c>
      <c r="P71" s="98">
        <v>7648.0560448707502</v>
      </c>
    </row>
    <row r="72" spans="3:16">
      <c r="C72" s="97">
        <v>-55.6875</v>
      </c>
      <c r="D72" s="98"/>
      <c r="E72" s="98">
        <v>259575.51324743999</v>
      </c>
      <c r="G72" s="97">
        <v>-55.6875</v>
      </c>
      <c r="H72" s="97">
        <v>-44127.25</v>
      </c>
      <c r="I72" s="97">
        <v>-46415.88</v>
      </c>
      <c r="J72" s="97">
        <v>1238152.75176902</v>
      </c>
      <c r="K72" s="97">
        <v>12238.0052280321</v>
      </c>
      <c r="L72" s="39"/>
      <c r="M72" s="97">
        <v>-55.6875</v>
      </c>
      <c r="N72" s="98">
        <v>-32686.85</v>
      </c>
      <c r="O72" s="98">
        <v>927306.78688558901</v>
      </c>
      <c r="P72" s="98">
        <v>7969.2897657020903</v>
      </c>
    </row>
    <row r="73" spans="3:16">
      <c r="C73" s="97">
        <v>-55.221249999999998</v>
      </c>
      <c r="D73" s="98"/>
      <c r="E73" s="98">
        <v>258644.04546967501</v>
      </c>
      <c r="G73" s="97">
        <v>-55.221249999999998</v>
      </c>
      <c r="H73" s="97">
        <v>-44127.25</v>
      </c>
      <c r="I73" s="97">
        <v>-46415.88</v>
      </c>
      <c r="J73" s="97">
        <v>1232273.09893268</v>
      </c>
      <c r="K73" s="97">
        <v>12610.5154667193</v>
      </c>
      <c r="L73" s="39"/>
      <c r="M73" s="97">
        <v>-55.221249999999998</v>
      </c>
      <c r="N73" s="98">
        <v>-32686.85</v>
      </c>
      <c r="O73" s="98">
        <v>923441.78789959801</v>
      </c>
      <c r="P73" s="98">
        <v>8289.5420611272602</v>
      </c>
    </row>
    <row r="74" spans="3:16">
      <c r="C74" s="97">
        <v>-54.754999999999995</v>
      </c>
      <c r="D74" s="98"/>
      <c r="E74" s="98">
        <v>257651.04992303799</v>
      </c>
      <c r="G74" s="97">
        <v>-54.754999999999995</v>
      </c>
      <c r="H74" s="97">
        <v>-44127.25</v>
      </c>
      <c r="I74" s="97">
        <v>-46415.88</v>
      </c>
      <c r="J74" s="97">
        <v>1226220.7561105599</v>
      </c>
      <c r="K74" s="97">
        <v>12980.8961331306</v>
      </c>
      <c r="L74" s="39"/>
      <c r="M74" s="97">
        <v>-54.754999999999995</v>
      </c>
      <c r="N74" s="98">
        <v>-32686.85</v>
      </c>
      <c r="O74" s="98">
        <v>919428.12967485201</v>
      </c>
      <c r="P74" s="98">
        <v>8608.3822514124895</v>
      </c>
    </row>
    <row r="75" spans="3:16">
      <c r="C75" s="97">
        <v>-54.379999999999995</v>
      </c>
      <c r="D75" s="98"/>
      <c r="E75" s="98">
        <v>256807.21818554599</v>
      </c>
      <c r="G75" s="97">
        <v>-54.379999999999995</v>
      </c>
      <c r="H75" s="97">
        <v>-44127.25</v>
      </c>
      <c r="I75" s="97">
        <v>-46415.88</v>
      </c>
      <c r="J75" s="97">
        <v>1221228.49358732</v>
      </c>
      <c r="K75" s="97">
        <v>13312.7000621712</v>
      </c>
      <c r="L75" s="39"/>
      <c r="M75" s="97">
        <v>-54.379999999999995</v>
      </c>
      <c r="N75" s="98">
        <v>-32686.85</v>
      </c>
      <c r="O75" s="98">
        <v>916092.753211156</v>
      </c>
      <c r="P75" s="98">
        <v>8894.3372366805597</v>
      </c>
    </row>
    <row r="76" spans="3:16">
      <c r="C76" s="97">
        <v>-54.28875</v>
      </c>
      <c r="D76" s="98"/>
      <c r="E76" s="98">
        <v>256594.27785526999</v>
      </c>
      <c r="G76" s="97">
        <v>-54.28875</v>
      </c>
      <c r="H76" s="97">
        <v>-44127.25</v>
      </c>
      <c r="I76" s="97">
        <v>-46415.88</v>
      </c>
      <c r="J76" s="97">
        <v>1219995.5782431399</v>
      </c>
      <c r="K76" s="97">
        <v>13511.401035173099</v>
      </c>
      <c r="L76" s="39"/>
      <c r="M76" s="97">
        <v>-54.28875</v>
      </c>
      <c r="N76" s="98">
        <v>-32686.85</v>
      </c>
      <c r="O76" s="98">
        <v>915265.14079105901</v>
      </c>
      <c r="P76" s="98">
        <v>9069.7251525886804</v>
      </c>
    </row>
    <row r="77" spans="3:16">
      <c r="C77" s="97">
        <v>-53.822499999999998</v>
      </c>
      <c r="D77" s="98"/>
      <c r="E77" s="98">
        <v>255459.69317608501</v>
      </c>
      <c r="G77" s="97">
        <v>-53.822499999999998</v>
      </c>
      <c r="H77" s="97">
        <v>-44127.25</v>
      </c>
      <c r="I77" s="97">
        <v>-46415.88</v>
      </c>
      <c r="J77" s="97">
        <v>1213585.3080122799</v>
      </c>
      <c r="K77" s="97">
        <v>13748.5688594903</v>
      </c>
      <c r="L77" s="39"/>
      <c r="M77" s="97">
        <v>-53.822499999999998</v>
      </c>
      <c r="N77" s="98">
        <v>-32686.85</v>
      </c>
      <c r="O77" s="98">
        <v>910938.761599869</v>
      </c>
      <c r="P77" s="98">
        <v>9279.0974606714408</v>
      </c>
    </row>
    <row r="78" spans="3:16">
      <c r="C78" s="97">
        <v>-53.356250000000003</v>
      </c>
      <c r="D78" s="98"/>
      <c r="E78" s="98">
        <v>254246.816982485</v>
      </c>
      <c r="G78" s="97">
        <v>-53.356250000000003</v>
      </c>
      <c r="H78" s="97">
        <v>-44127.25</v>
      </c>
      <c r="I78" s="97">
        <v>-46415.88</v>
      </c>
      <c r="J78" s="97">
        <v>1206991.90716088</v>
      </c>
      <c r="K78" s="97">
        <v>14141.342308806101</v>
      </c>
      <c r="L78" s="39"/>
      <c r="M78" s="97">
        <v>-53.356250000000003</v>
      </c>
      <c r="N78" s="98">
        <v>-32686.85</v>
      </c>
      <c r="O78" s="98">
        <v>906450.60972687602</v>
      </c>
      <c r="P78" s="98">
        <v>9626.0629984096195</v>
      </c>
    </row>
    <row r="79" spans="3:16">
      <c r="C79" s="97">
        <v>-52.89</v>
      </c>
      <c r="D79" s="98"/>
      <c r="E79" s="98">
        <v>252955.44022985501</v>
      </c>
      <c r="G79" s="97">
        <v>-52.89</v>
      </c>
      <c r="H79" s="97">
        <v>-44127.25</v>
      </c>
      <c r="I79" s="97">
        <v>-46415.88</v>
      </c>
      <c r="J79" s="97">
        <v>1200217.4772912101</v>
      </c>
      <c r="K79" s="97">
        <v>14529.608299474099</v>
      </c>
      <c r="L79" s="39"/>
      <c r="M79" s="97">
        <v>-52.89</v>
      </c>
      <c r="N79" s="98">
        <v>-32686.85</v>
      </c>
      <c r="O79" s="98">
        <v>901802.46670807898</v>
      </c>
      <c r="P79" s="98">
        <v>9969.2075470858308</v>
      </c>
    </row>
    <row r="80" spans="3:16">
      <c r="C80" s="97">
        <v>-52.423749999999998</v>
      </c>
      <c r="D80" s="98"/>
      <c r="E80" s="98">
        <v>251585.59886490699</v>
      </c>
      <c r="G80" s="97">
        <v>-52.423749999999998</v>
      </c>
      <c r="H80" s="97">
        <v>-44127.25</v>
      </c>
      <c r="I80" s="97">
        <v>-46415.88</v>
      </c>
      <c r="J80" s="97">
        <v>1193264.4195592599</v>
      </c>
      <c r="K80" s="97">
        <v>14912.7243581245</v>
      </c>
      <c r="L80" s="39"/>
      <c r="M80" s="97">
        <v>-52.423749999999998</v>
      </c>
      <c r="N80" s="98">
        <v>-32686.85</v>
      </c>
      <c r="O80" s="98">
        <v>896996.40970119799</v>
      </c>
      <c r="P80" s="98">
        <v>10307.897065618899</v>
      </c>
    </row>
    <row r="81" spans="3:16">
      <c r="C81" s="97">
        <v>-51.957499999999996</v>
      </c>
      <c r="D81" s="98"/>
      <c r="E81" s="98">
        <v>250137.60626989201</v>
      </c>
      <c r="G81" s="97">
        <v>-51.957499999999996</v>
      </c>
      <c r="H81" s="97">
        <v>-44127.25</v>
      </c>
      <c r="I81" s="97">
        <v>-46415.88</v>
      </c>
      <c r="J81" s="97">
        <v>1186135.4682191899</v>
      </c>
      <c r="K81" s="97">
        <v>15289.976064365201</v>
      </c>
      <c r="L81" s="39"/>
      <c r="M81" s="97">
        <v>-51.957499999999996</v>
      </c>
      <c r="N81" s="98">
        <v>-32686.85</v>
      </c>
      <c r="O81" s="98">
        <v>892034.84160853899</v>
      </c>
      <c r="P81" s="98">
        <v>10641.432906575001</v>
      </c>
    </row>
    <row r="82" spans="3:16">
      <c r="C82" s="97">
        <v>-51.491250000000001</v>
      </c>
      <c r="D82" s="98"/>
      <c r="E82" s="98">
        <v>248612.06154564201</v>
      </c>
      <c r="G82" s="97">
        <v>-51.491250000000001</v>
      </c>
      <c r="H82" s="97">
        <v>-44127.25</v>
      </c>
      <c r="I82" s="97">
        <v>-46415.88</v>
      </c>
      <c r="J82" s="97">
        <v>1178833.7303315699</v>
      </c>
      <c r="K82" s="97">
        <v>15660.5638340642</v>
      </c>
      <c r="L82" s="39"/>
      <c r="M82" s="97">
        <v>-51.491250000000001</v>
      </c>
      <c r="N82" s="98">
        <v>-32686.85</v>
      </c>
      <c r="O82" s="98">
        <v>886920.52634620701</v>
      </c>
      <c r="P82" s="98">
        <v>10969.0407771154</v>
      </c>
    </row>
    <row r="83" spans="3:16">
      <c r="C83" s="97">
        <v>-51.43</v>
      </c>
      <c r="D83" s="98"/>
      <c r="E83" s="98">
        <v>248405.96023987199</v>
      </c>
      <c r="G83" s="97">
        <v>-51.43</v>
      </c>
      <c r="H83" s="97">
        <v>-44127.25</v>
      </c>
      <c r="I83" s="97">
        <v>-46415.88</v>
      </c>
      <c r="J83" s="97">
        <v>1177861.9428063601</v>
      </c>
      <c r="K83" s="97">
        <v>15865.9187836972</v>
      </c>
      <c r="L83" s="39"/>
      <c r="M83" s="97">
        <v>-51.43</v>
      </c>
      <c r="N83" s="98">
        <v>-32686.85</v>
      </c>
      <c r="O83" s="98">
        <v>886237.55698847806</v>
      </c>
      <c r="P83" s="98">
        <v>11150.5201263159</v>
      </c>
    </row>
    <row r="84" spans="3:16">
      <c r="C84" s="97">
        <v>-51.024999999999999</v>
      </c>
      <c r="D84" s="98"/>
      <c r="E84" s="98">
        <v>247006.66772775701</v>
      </c>
      <c r="G84" s="97">
        <v>-51.024999999999999</v>
      </c>
      <c r="H84" s="97">
        <v>-44127.25</v>
      </c>
      <c r="I84" s="97">
        <v>-46415.88</v>
      </c>
      <c r="J84" s="97">
        <v>1171367.21017948</v>
      </c>
      <c r="K84" s="97">
        <v>16036.376855439599</v>
      </c>
      <c r="L84" s="39"/>
      <c r="M84" s="97">
        <v>-51.024999999999999</v>
      </c>
      <c r="N84" s="98">
        <v>-32686.85</v>
      </c>
      <c r="O84" s="98">
        <v>881659.09532629</v>
      </c>
      <c r="P84" s="98">
        <v>11304.8436101802</v>
      </c>
    </row>
    <row r="85" spans="3:16">
      <c r="C85" s="97">
        <v>-50.558750000000003</v>
      </c>
      <c r="D85" s="98"/>
      <c r="E85" s="98">
        <v>245318.396462014</v>
      </c>
      <c r="G85" s="97">
        <v>-50.558750000000003</v>
      </c>
      <c r="H85" s="97">
        <v>-44127.25</v>
      </c>
      <c r="I85" s="97">
        <v>-46415.88</v>
      </c>
      <c r="J85" s="97">
        <v>1163744.6317245399</v>
      </c>
      <c r="K85" s="97">
        <v>16348.693737277499</v>
      </c>
      <c r="L85" s="39"/>
      <c r="M85" s="97">
        <v>-50.558750000000003</v>
      </c>
      <c r="N85" s="98">
        <v>-32686.85</v>
      </c>
      <c r="O85" s="98">
        <v>876256.45402842795</v>
      </c>
      <c r="P85" s="98">
        <v>11587.434418979101</v>
      </c>
    </row>
    <row r="86" spans="3:16">
      <c r="C86" s="97">
        <v>-50.092500000000001</v>
      </c>
      <c r="D86" s="98"/>
      <c r="E86" s="98">
        <v>243549.14853206801</v>
      </c>
      <c r="G86" s="97">
        <v>-50.092500000000001</v>
      </c>
      <c r="H86" s="97">
        <v>-44127.25</v>
      </c>
      <c r="I86" s="97">
        <v>-46415.88</v>
      </c>
      <c r="J86" s="97">
        <v>1155970.22505155</v>
      </c>
      <c r="K86" s="97">
        <v>16674.330665909001</v>
      </c>
      <c r="L86" s="39"/>
      <c r="M86" s="97">
        <v>-50.092500000000001</v>
      </c>
      <c r="N86" s="98">
        <v>-32686.85</v>
      </c>
      <c r="O86" s="98">
        <v>870716.557038486</v>
      </c>
      <c r="P86" s="98">
        <v>11881.816600427301</v>
      </c>
    </row>
    <row r="87" spans="3:16">
      <c r="C87" s="97">
        <v>-49.626249999999999</v>
      </c>
      <c r="D87" s="98"/>
      <c r="E87" s="98">
        <v>241701.20196388999</v>
      </c>
      <c r="G87" s="97">
        <v>-49.626249999999999</v>
      </c>
      <c r="H87" s="97">
        <v>-44127.25</v>
      </c>
      <c r="I87" s="97">
        <v>-46415.88</v>
      </c>
      <c r="J87" s="97">
        <v>1148048.59278567</v>
      </c>
      <c r="K87" s="97">
        <v>16990.096012602698</v>
      </c>
      <c r="L87" s="39"/>
      <c r="M87" s="97">
        <v>-49.626249999999999</v>
      </c>
      <c r="N87" s="98">
        <v>-32686.85</v>
      </c>
      <c r="O87" s="98">
        <v>865043.71704338503</v>
      </c>
      <c r="P87" s="98">
        <v>12166.949051162899</v>
      </c>
    </row>
    <row r="88" spans="3:16">
      <c r="C88" s="97">
        <v>-49.16</v>
      </c>
      <c r="D88" s="98"/>
      <c r="E88" s="98">
        <v>239777.351455519</v>
      </c>
      <c r="G88" s="97">
        <v>-49.16</v>
      </c>
      <c r="H88" s="97">
        <v>-44127.25</v>
      </c>
      <c r="I88" s="97">
        <v>-46415.88</v>
      </c>
      <c r="J88" s="97">
        <v>1139985.0228809</v>
      </c>
      <c r="K88" s="97">
        <v>17294.519903074099</v>
      </c>
      <c r="L88" s="39"/>
      <c r="M88" s="97">
        <v>-49.16</v>
      </c>
      <c r="N88" s="98">
        <v>-32686.85</v>
      </c>
      <c r="O88" s="98">
        <v>859242.89144544303</v>
      </c>
      <c r="P88" s="98">
        <v>12441.4490035279</v>
      </c>
    </row>
    <row r="89" spans="3:16">
      <c r="C89" s="97">
        <v>-48.693750000000001</v>
      </c>
      <c r="D89" s="98"/>
      <c r="E89" s="98">
        <v>237780.97883553599</v>
      </c>
      <c r="G89" s="97">
        <v>-48.693750000000001</v>
      </c>
      <c r="H89" s="97">
        <v>-44127.25</v>
      </c>
      <c r="I89" s="97">
        <v>-46415.88</v>
      </c>
      <c r="J89" s="97">
        <v>1131785.6302436299</v>
      </c>
      <c r="K89" s="97">
        <v>17585.8287125682</v>
      </c>
      <c r="L89" s="39"/>
      <c r="M89" s="97">
        <v>-48.693750000000001</v>
      </c>
      <c r="N89" s="98">
        <v>-32686.85</v>
      </c>
      <c r="O89" s="98">
        <v>853319.80700904096</v>
      </c>
      <c r="P89" s="98">
        <v>12703.6663516472</v>
      </c>
    </row>
    <row r="90" spans="3:16">
      <c r="C90" s="97">
        <v>-48.227499999999999</v>
      </c>
      <c r="D90" s="98"/>
      <c r="E90" s="98">
        <v>235716.14075593799</v>
      </c>
      <c r="G90" s="97">
        <v>-48.227499999999999</v>
      </c>
      <c r="H90" s="97">
        <v>-44127.25</v>
      </c>
      <c r="I90" s="97">
        <v>-46415.88</v>
      </c>
      <c r="J90" s="97">
        <v>1123457.5437439401</v>
      </c>
      <c r="K90" s="97">
        <v>17861.8477206426</v>
      </c>
      <c r="L90" s="39"/>
      <c r="M90" s="97">
        <v>-48.227499999999999</v>
      </c>
      <c r="N90" s="98">
        <v>-32686.85</v>
      </c>
      <c r="O90" s="98">
        <v>847281.12292802299</v>
      </c>
      <c r="P90" s="98">
        <v>12951.601246152701</v>
      </c>
    </row>
    <row r="91" spans="3:16">
      <c r="C91" s="97">
        <v>-47.93</v>
      </c>
      <c r="D91" s="98"/>
      <c r="E91" s="98">
        <v>234365.38101131099</v>
      </c>
      <c r="G91" s="97">
        <v>-47.93</v>
      </c>
      <c r="H91" s="97">
        <v>-44127.25</v>
      </c>
      <c r="I91" s="97">
        <v>-46415.88</v>
      </c>
      <c r="J91" s="97">
        <v>1118080.7760143599</v>
      </c>
      <c r="K91" s="97">
        <v>18073.168838530499</v>
      </c>
      <c r="L91" s="39"/>
      <c r="M91" s="97">
        <v>-47.93</v>
      </c>
      <c r="N91" s="98">
        <v>-32686.85</v>
      </c>
      <c r="O91" s="98">
        <v>843371.69044545304</v>
      </c>
      <c r="P91" s="98">
        <v>13140.949520898301</v>
      </c>
    </row>
    <row r="92" spans="3:16">
      <c r="C92" s="97">
        <v>-47.761249999999997</v>
      </c>
      <c r="D92" s="98"/>
      <c r="E92" s="98">
        <v>233577.34271553901</v>
      </c>
      <c r="G92" s="97">
        <v>-47.761249999999997</v>
      </c>
      <c r="H92" s="97">
        <v>-44127.25</v>
      </c>
      <c r="I92" s="97">
        <v>-46415.88</v>
      </c>
      <c r="J92" s="97">
        <v>1115003.7722902901</v>
      </c>
      <c r="K92" s="97">
        <v>18234.096143132301</v>
      </c>
      <c r="L92" s="39"/>
      <c r="M92" s="97">
        <v>-47.761249999999997</v>
      </c>
      <c r="N92" s="98">
        <v>-32686.85</v>
      </c>
      <c r="O92" s="98">
        <v>841128.31091779505</v>
      </c>
      <c r="P92" s="98">
        <v>13294.100905228601</v>
      </c>
    </row>
    <row r="93" spans="3:16">
      <c r="C93" s="97">
        <v>-47.295000000000002</v>
      </c>
      <c r="D93" s="98"/>
      <c r="E93" s="98">
        <v>231320.63341389201</v>
      </c>
      <c r="G93" s="97">
        <v>-47.295000000000002</v>
      </c>
      <c r="H93" s="97">
        <v>-44127.25</v>
      </c>
      <c r="I93" s="97">
        <v>-46415.88</v>
      </c>
      <c r="J93" s="97">
        <v>1106403.1602831499</v>
      </c>
      <c r="K93" s="97">
        <v>18446.352830573898</v>
      </c>
      <c r="L93" s="39"/>
      <c r="M93" s="97">
        <v>-47.295000000000002</v>
      </c>
      <c r="N93" s="98">
        <v>-32686.85</v>
      </c>
      <c r="O93" s="98">
        <v>834835.80831119395</v>
      </c>
      <c r="P93" s="98">
        <v>13495.984142797801</v>
      </c>
    </row>
    <row r="94" spans="3:16">
      <c r="C94" s="97">
        <v>-46.828749999999999</v>
      </c>
      <c r="D94" s="98"/>
      <c r="E94" s="98">
        <v>228960.513552822</v>
      </c>
      <c r="G94" s="97">
        <v>-46.828749999999999</v>
      </c>
      <c r="H94" s="97">
        <v>-44127.25</v>
      </c>
      <c r="I94" s="97">
        <v>-46415.88</v>
      </c>
      <c r="J94" s="97">
        <v>1097672.3860778799</v>
      </c>
      <c r="K94" s="97">
        <v>18725.521083563799</v>
      </c>
      <c r="L94" s="39"/>
      <c r="M94" s="97">
        <v>-46.828749999999999</v>
      </c>
      <c r="N94" s="98">
        <v>-32686.85</v>
      </c>
      <c r="O94" s="98">
        <v>828419.72431112803</v>
      </c>
      <c r="P94" s="98">
        <v>13761.0380699077</v>
      </c>
    </row>
    <row r="95" spans="3:16">
      <c r="C95" s="97">
        <v>-46.362499999999997</v>
      </c>
      <c r="D95" s="98"/>
      <c r="E95" s="98">
        <v>226513.20242268199</v>
      </c>
      <c r="G95" s="97">
        <v>-46.362499999999997</v>
      </c>
      <c r="H95" s="97">
        <v>-44127.25</v>
      </c>
      <c r="I95" s="97">
        <v>-46415.88</v>
      </c>
      <c r="J95" s="97">
        <v>1088830.6443141999</v>
      </c>
      <c r="K95" s="97">
        <v>18963.521208999398</v>
      </c>
      <c r="L95" s="39"/>
      <c r="M95" s="97">
        <v>-46.362499999999997</v>
      </c>
      <c r="N95" s="98">
        <v>-32686.85</v>
      </c>
      <c r="O95" s="98">
        <v>821898.49121521402</v>
      </c>
      <c r="P95" s="98">
        <v>13986.558918814801</v>
      </c>
    </row>
    <row r="96" spans="3:16">
      <c r="C96" s="97">
        <v>-45.896250000000002</v>
      </c>
      <c r="D96" s="98"/>
      <c r="E96" s="98">
        <v>223999.11750000299</v>
      </c>
      <c r="G96" s="97">
        <v>-45.896250000000002</v>
      </c>
      <c r="H96" s="97">
        <v>-44127.25</v>
      </c>
      <c r="I96" s="97">
        <v>-46415.88</v>
      </c>
      <c r="J96" s="97">
        <v>1079903.04250002</v>
      </c>
      <c r="K96" s="97">
        <v>19147.671451345599</v>
      </c>
      <c r="L96" s="39"/>
      <c r="M96" s="97">
        <v>-45.896250000000002</v>
      </c>
      <c r="N96" s="98">
        <v>-32686.85</v>
      </c>
      <c r="O96" s="98">
        <v>815296.056250036</v>
      </c>
      <c r="P96" s="98">
        <v>14160.7184240078</v>
      </c>
    </row>
    <row r="97" spans="3:16">
      <c r="C97" s="97">
        <v>-45.43</v>
      </c>
      <c r="D97" s="98">
        <v>233154.00000000003</v>
      </c>
      <c r="E97" s="98">
        <v>221445.00000000003</v>
      </c>
      <c r="G97" s="97">
        <v>-45.43</v>
      </c>
      <c r="H97" s="97">
        <v>-44127.25</v>
      </c>
      <c r="I97" s="97">
        <v>-46415.88</v>
      </c>
      <c r="J97" s="97">
        <v>1070924.1000000001</v>
      </c>
      <c r="K97" s="97">
        <v>19257.89</v>
      </c>
      <c r="L97" s="39"/>
      <c r="M97" s="97">
        <v>-45.43</v>
      </c>
      <c r="N97" s="98">
        <v>-32686.85</v>
      </c>
      <c r="O97" s="98">
        <v>808644.7</v>
      </c>
      <c r="P97" s="98">
        <v>14265.1</v>
      </c>
    </row>
    <row r="98" spans="3:16">
      <c r="C98" s="97">
        <v>-43.5</v>
      </c>
      <c r="D98" s="98">
        <v>226152.00000000003</v>
      </c>
      <c r="E98" s="98">
        <v>215055.00000000003</v>
      </c>
      <c r="G98" s="97">
        <v>-43.5</v>
      </c>
      <c r="H98" s="97">
        <v>-43511.64</v>
      </c>
      <c r="I98" s="97">
        <v>-46415.72</v>
      </c>
      <c r="J98" s="97">
        <v>1038026.6000000001</v>
      </c>
      <c r="K98" s="97">
        <v>18817.78</v>
      </c>
      <c r="L98" s="39"/>
      <c r="M98" s="97">
        <v>-43.5</v>
      </c>
      <c r="N98" s="98">
        <v>-32230.85</v>
      </c>
      <c r="O98" s="98">
        <v>783534.2</v>
      </c>
      <c r="P98" s="98">
        <v>13939.1</v>
      </c>
    </row>
    <row r="99" spans="3:16">
      <c r="C99" s="97">
        <v>-41.3</v>
      </c>
      <c r="D99" s="98">
        <v>218646.00000000003</v>
      </c>
      <c r="E99" s="98">
        <v>208215.00000000003</v>
      </c>
      <c r="G99" s="97">
        <v>-41.3</v>
      </c>
      <c r="H99" s="97">
        <v>-42809.73</v>
      </c>
      <c r="I99" s="97">
        <v>-46415.24</v>
      </c>
      <c r="J99" s="97">
        <v>1002841.8</v>
      </c>
      <c r="K99" s="97">
        <v>18347.18</v>
      </c>
      <c r="L99" s="39"/>
      <c r="M99" s="97">
        <v>-41.3</v>
      </c>
      <c r="N99" s="98">
        <v>-31710.91</v>
      </c>
      <c r="O99" s="98">
        <v>756862.8</v>
      </c>
      <c r="P99" s="98">
        <v>13590.51</v>
      </c>
    </row>
    <row r="100" spans="3:16">
      <c r="C100" s="97">
        <v>-37.4</v>
      </c>
      <c r="D100" s="98">
        <v>206478.00000000003</v>
      </c>
      <c r="E100" s="98">
        <v>197253.00000000003</v>
      </c>
      <c r="G100" s="97">
        <v>-37.4</v>
      </c>
      <c r="H100" s="97">
        <v>-42412.06</v>
      </c>
      <c r="I100" s="97">
        <v>-46413.54</v>
      </c>
      <c r="J100" s="97">
        <v>942958.4</v>
      </c>
      <c r="K100" s="97">
        <v>17385.41</v>
      </c>
      <c r="L100" s="39"/>
      <c r="M100" s="97">
        <v>-37.4</v>
      </c>
      <c r="N100" s="98">
        <v>-31416.34</v>
      </c>
      <c r="O100" s="98">
        <v>711493.9</v>
      </c>
      <c r="P100" s="98">
        <v>12878.08</v>
      </c>
    </row>
    <row r="101" spans="3:16">
      <c r="C101" s="97">
        <v>-33.5</v>
      </c>
      <c r="D101" s="98">
        <v>195858.00000000003</v>
      </c>
      <c r="E101" s="98">
        <v>187380.00000000003</v>
      </c>
      <c r="G101" s="97">
        <v>-33.5</v>
      </c>
      <c r="H101" s="97">
        <v>-41010.39</v>
      </c>
      <c r="I101" s="97">
        <v>-46410.559999999998</v>
      </c>
      <c r="J101" s="97">
        <v>889951.5</v>
      </c>
      <c r="K101" s="97">
        <v>16372.09</v>
      </c>
      <c r="L101" s="39"/>
      <c r="M101" s="97">
        <v>-33.5</v>
      </c>
      <c r="N101" s="98">
        <v>-30378.06</v>
      </c>
      <c r="O101" s="98">
        <v>671308.7</v>
      </c>
      <c r="P101" s="98">
        <v>12127.48</v>
      </c>
    </row>
    <row r="102" spans="3:16">
      <c r="C102" s="97">
        <v>-29.6</v>
      </c>
      <c r="D102" s="98">
        <v>186417.00000000003</v>
      </c>
      <c r="E102" s="98">
        <v>178596.00000000003</v>
      </c>
      <c r="G102" s="97">
        <v>-29.6</v>
      </c>
      <c r="H102" s="97">
        <v>-39544.53</v>
      </c>
      <c r="I102" s="97">
        <v>-46406.65</v>
      </c>
      <c r="J102" s="97">
        <v>846105.59999999998</v>
      </c>
      <c r="K102" s="97">
        <v>15366.7</v>
      </c>
      <c r="L102" s="39"/>
      <c r="M102" s="97">
        <v>-29.6</v>
      </c>
      <c r="N102" s="98">
        <v>-29292.240000000002</v>
      </c>
      <c r="O102" s="98">
        <v>637996</v>
      </c>
      <c r="P102" s="98">
        <v>11382.74</v>
      </c>
    </row>
    <row r="103" spans="3:16">
      <c r="C103" s="97">
        <v>-25.7</v>
      </c>
      <c r="D103" s="98">
        <v>178281.00000000003</v>
      </c>
      <c r="E103" s="98">
        <v>171009.00000000003</v>
      </c>
      <c r="G103" s="97">
        <v>-25.7</v>
      </c>
      <c r="H103" s="97">
        <v>-38136.42</v>
      </c>
      <c r="I103" s="97">
        <v>-46402.080000000002</v>
      </c>
      <c r="J103" s="97">
        <v>805362.6</v>
      </c>
      <c r="K103" s="97">
        <v>14372.83</v>
      </c>
      <c r="L103" s="39"/>
      <c r="M103" s="97">
        <v>-25.7</v>
      </c>
      <c r="N103" s="98">
        <v>-28249.200000000001</v>
      </c>
      <c r="O103" s="98">
        <v>607066.1</v>
      </c>
      <c r="P103" s="98">
        <v>10646.54</v>
      </c>
    </row>
    <row r="104" spans="3:16">
      <c r="C104" s="97">
        <v>-21.8</v>
      </c>
      <c r="D104" s="98">
        <v>171423.00000000003</v>
      </c>
      <c r="E104" s="98">
        <v>164592.00000000003</v>
      </c>
      <c r="G104" s="97">
        <v>-21.8</v>
      </c>
      <c r="H104" s="97">
        <v>-36785.86</v>
      </c>
      <c r="I104" s="97">
        <v>-46396.94</v>
      </c>
      <c r="J104" s="97">
        <v>767033.20000000007</v>
      </c>
      <c r="K104" s="97">
        <v>13411.9</v>
      </c>
      <c r="L104" s="39"/>
      <c r="M104" s="97">
        <v>-21.8</v>
      </c>
      <c r="N104" s="98">
        <v>-27248.78</v>
      </c>
      <c r="O104" s="98">
        <v>578003.9</v>
      </c>
      <c r="P104" s="98">
        <v>9934.7369999999992</v>
      </c>
    </row>
    <row r="105" spans="3:16">
      <c r="C105" s="97">
        <v>-17.899999999999999</v>
      </c>
      <c r="D105" s="98">
        <v>165474.00000000003</v>
      </c>
      <c r="E105" s="98">
        <v>158895.00000000003</v>
      </c>
      <c r="G105" s="97">
        <v>-17.899999999999999</v>
      </c>
      <c r="H105" s="97">
        <v>-35492.58</v>
      </c>
      <c r="I105" s="97">
        <v>-46391.3</v>
      </c>
      <c r="J105" s="97">
        <v>731520.5</v>
      </c>
      <c r="K105" s="97">
        <v>12559.69</v>
      </c>
      <c r="L105" s="39"/>
      <c r="M105" s="97">
        <v>-17.899999999999999</v>
      </c>
      <c r="N105" s="98">
        <v>-26290.799999999999</v>
      </c>
      <c r="O105" s="98">
        <v>551094.19999999995</v>
      </c>
      <c r="P105" s="98">
        <v>9303.4709999999995</v>
      </c>
    </row>
    <row r="106" spans="3:16">
      <c r="C106" s="97">
        <v>-14</v>
      </c>
      <c r="D106" s="98">
        <v>160281.00000000003</v>
      </c>
      <c r="E106" s="98">
        <v>153909</v>
      </c>
      <c r="G106" s="97">
        <v>-14</v>
      </c>
      <c r="H106" s="97">
        <v>-34256.61</v>
      </c>
      <c r="I106" s="97">
        <v>-46385.24</v>
      </c>
      <c r="J106" s="97">
        <v>698834.8</v>
      </c>
      <c r="K106" s="97">
        <v>11672.46</v>
      </c>
      <c r="L106" s="39"/>
      <c r="M106" s="97">
        <v>-14</v>
      </c>
      <c r="N106" s="98">
        <v>-25375.27</v>
      </c>
      <c r="O106" s="98">
        <v>526356.30000000005</v>
      </c>
      <c r="P106" s="98">
        <v>8646.268</v>
      </c>
    </row>
    <row r="107" spans="3:16">
      <c r="C107" s="97">
        <v>-10.1</v>
      </c>
      <c r="D107" s="98">
        <v>156096</v>
      </c>
      <c r="E107" s="98">
        <v>149796</v>
      </c>
      <c r="G107" s="97">
        <v>-10.1</v>
      </c>
      <c r="H107" s="97">
        <v>-33077.980000000003</v>
      </c>
      <c r="I107" s="97">
        <v>-46378.85</v>
      </c>
      <c r="J107" s="97">
        <v>669003.9</v>
      </c>
      <c r="K107" s="97">
        <v>10938.87</v>
      </c>
      <c r="L107" s="39"/>
      <c r="M107" s="97">
        <v>-10.1</v>
      </c>
      <c r="N107" s="98">
        <v>-24502.21</v>
      </c>
      <c r="O107" s="98">
        <v>503798.2</v>
      </c>
      <c r="P107" s="98">
        <v>8102.87</v>
      </c>
    </row>
    <row r="108" spans="3:16">
      <c r="C108" s="97">
        <v>-6.2</v>
      </c>
      <c r="D108" s="98">
        <v>152019</v>
      </c>
      <c r="E108" s="98">
        <v>145746</v>
      </c>
      <c r="G108" s="97">
        <v>-6.2</v>
      </c>
      <c r="H108" s="97">
        <v>-32020.5</v>
      </c>
      <c r="I108" s="97">
        <v>-46371.59</v>
      </c>
      <c r="J108" s="97">
        <v>641335.4</v>
      </c>
      <c r="K108" s="97">
        <v>10686.01</v>
      </c>
      <c r="L108" s="39"/>
      <c r="M108" s="97">
        <v>-6.2</v>
      </c>
      <c r="N108" s="98">
        <v>-23718.880000000001</v>
      </c>
      <c r="O108" s="98">
        <v>482904.1</v>
      </c>
      <c r="P108" s="98">
        <v>7915.5619999999999</v>
      </c>
    </row>
    <row r="109" spans="3:16">
      <c r="C109" s="97">
        <v>-2.2999999999999998</v>
      </c>
      <c r="D109" s="98">
        <v>148230</v>
      </c>
      <c r="E109" s="98">
        <v>142083</v>
      </c>
      <c r="G109" s="97">
        <v>-2.2999999999999998</v>
      </c>
      <c r="H109" s="97">
        <v>-30823.42</v>
      </c>
      <c r="I109" s="97">
        <v>-46363.46</v>
      </c>
      <c r="J109" s="97">
        <v>617316</v>
      </c>
      <c r="K109" s="97">
        <v>10947.93</v>
      </c>
      <c r="L109" s="39"/>
      <c r="M109" s="97">
        <v>-2.2999999999999998</v>
      </c>
      <c r="N109" s="98">
        <v>-22832.16</v>
      </c>
      <c r="O109" s="98">
        <v>464769.8</v>
      </c>
      <c r="P109" s="98">
        <v>8109.5820000000003</v>
      </c>
    </row>
    <row r="110" spans="3:16">
      <c r="C110" s="97">
        <v>1.6</v>
      </c>
      <c r="D110" s="98">
        <v>144027</v>
      </c>
      <c r="E110" s="98">
        <v>138060</v>
      </c>
      <c r="G110" s="97">
        <v>1.6</v>
      </c>
      <c r="H110" s="97">
        <v>-29625.58</v>
      </c>
      <c r="I110" s="97">
        <v>-46354.1</v>
      </c>
      <c r="J110" s="97">
        <v>597208.5</v>
      </c>
      <c r="K110" s="97">
        <v>10947.41</v>
      </c>
      <c r="L110" s="39"/>
      <c r="M110" s="97">
        <v>1.6</v>
      </c>
      <c r="N110" s="98">
        <v>-21944.87</v>
      </c>
      <c r="O110" s="98">
        <v>449590.3</v>
      </c>
      <c r="P110" s="98">
        <v>8109.1909999999998</v>
      </c>
    </row>
    <row r="111" spans="3:16">
      <c r="C111" s="97">
        <v>5.4999999999999973</v>
      </c>
      <c r="D111" s="98">
        <v>139698</v>
      </c>
      <c r="E111" s="98">
        <v>134010</v>
      </c>
      <c r="G111" s="97">
        <v>5.4999999999999973</v>
      </c>
      <c r="H111" s="97">
        <v>-27429.67</v>
      </c>
      <c r="I111" s="97">
        <v>-46345.27</v>
      </c>
      <c r="J111" s="97">
        <v>577926.10000000009</v>
      </c>
      <c r="K111" s="97">
        <v>11589.35</v>
      </c>
      <c r="L111" s="39"/>
      <c r="M111" s="97">
        <v>5.4999999999999973</v>
      </c>
      <c r="N111" s="98">
        <v>-20318.27</v>
      </c>
      <c r="O111" s="98">
        <v>435060.6</v>
      </c>
      <c r="P111" s="98">
        <v>8584.7009999999991</v>
      </c>
    </row>
    <row r="112" spans="3:16">
      <c r="C112" s="97">
        <v>9.2999999999999972</v>
      </c>
      <c r="D112" s="98">
        <v>135477</v>
      </c>
      <c r="E112" s="98">
        <v>130014.00000000001</v>
      </c>
      <c r="G112" s="97">
        <v>9.2999999999999972</v>
      </c>
      <c r="H112" s="97">
        <v>-25772.48</v>
      </c>
      <c r="I112" s="97">
        <v>-46336.89</v>
      </c>
      <c r="J112" s="97">
        <v>559561.4</v>
      </c>
      <c r="K112" s="97">
        <v>12116.83</v>
      </c>
      <c r="L112" s="39"/>
      <c r="M112" s="97">
        <v>9.2999999999999972</v>
      </c>
      <c r="N112" s="98">
        <v>-19090.73</v>
      </c>
      <c r="O112" s="98">
        <v>421233.3</v>
      </c>
      <c r="P112" s="98">
        <v>8975.43</v>
      </c>
    </row>
    <row r="113" spans="3:16">
      <c r="C113" s="97">
        <v>13.199999999999998</v>
      </c>
      <c r="D113" s="98">
        <v>131337</v>
      </c>
      <c r="E113" s="98">
        <v>126063.00000000001</v>
      </c>
      <c r="G113" s="97">
        <v>13.199999999999998</v>
      </c>
      <c r="H113" s="97">
        <v>-24933.63</v>
      </c>
      <c r="I113" s="97">
        <v>-46327.74</v>
      </c>
      <c r="J113" s="97">
        <v>540685.6</v>
      </c>
      <c r="K113" s="97">
        <v>4918.924</v>
      </c>
      <c r="L113" s="39"/>
      <c r="M113" s="97">
        <v>13.199999999999998</v>
      </c>
      <c r="N113" s="98">
        <v>-18469.36</v>
      </c>
      <c r="O113" s="98">
        <v>407027.5</v>
      </c>
      <c r="P113" s="98">
        <v>3643.6469999999999</v>
      </c>
    </row>
    <row r="114" spans="3:16">
      <c r="C114" s="97">
        <v>17.099999999999998</v>
      </c>
      <c r="D114" s="98">
        <v>127386.00000000001</v>
      </c>
      <c r="E114" s="98">
        <v>122220.00000000001</v>
      </c>
      <c r="G114" s="97">
        <v>17.099999999999998</v>
      </c>
      <c r="H114" s="97">
        <v>-24046.15</v>
      </c>
      <c r="I114" s="97">
        <v>-46317.86</v>
      </c>
      <c r="J114" s="97">
        <v>521982.1</v>
      </c>
      <c r="K114" s="97">
        <v>4633.5659999999998</v>
      </c>
      <c r="L114" s="39"/>
      <c r="M114" s="97">
        <v>17.099999999999998</v>
      </c>
      <c r="N114" s="98">
        <v>-17811.96</v>
      </c>
      <c r="O114" s="98">
        <v>392956.4</v>
      </c>
      <c r="P114" s="98">
        <v>3432.2710000000002</v>
      </c>
    </row>
    <row r="115" spans="3:16">
      <c r="C115" s="97">
        <v>20.9</v>
      </c>
      <c r="D115" s="98">
        <v>123615.00000000001</v>
      </c>
      <c r="E115" s="98">
        <v>118512.00000000001</v>
      </c>
      <c r="G115" s="97">
        <v>20.9</v>
      </c>
      <c r="H115" s="97">
        <v>-22572.85</v>
      </c>
      <c r="I115" s="97">
        <v>-46307.77</v>
      </c>
      <c r="J115" s="97">
        <v>504389</v>
      </c>
      <c r="K115" s="97">
        <v>4510.1319999999996</v>
      </c>
      <c r="L115" s="39"/>
      <c r="M115" s="97">
        <v>20.9</v>
      </c>
      <c r="N115" s="98">
        <v>-16720.63</v>
      </c>
      <c r="O115" s="98">
        <v>379706.8</v>
      </c>
      <c r="P115" s="98">
        <v>3340.8380000000002</v>
      </c>
    </row>
  </sheetData>
  <sortState xmlns:xlrd2="http://schemas.microsoft.com/office/spreadsheetml/2017/richdata2" ref="M5:P115">
    <sortCondition ref="M5:M115"/>
  </sortState>
  <mergeCells count="5">
    <mergeCell ref="C2:E2"/>
    <mergeCell ref="G2:K2"/>
    <mergeCell ref="G3:K3"/>
    <mergeCell ref="M2:P2"/>
    <mergeCell ref="M3:P3"/>
  </mergeCells>
  <phoneticPr fontId="15" type="noConversion"/>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23A44-F5F3-4F5A-B6E2-905D82B1144A}">
  <sheetPr codeName="Tabelle19"/>
  <dimension ref="B2:P10"/>
  <sheetViews>
    <sheetView workbookViewId="0">
      <selection activeCell="F22" sqref="F22"/>
    </sheetView>
  </sheetViews>
  <sheetFormatPr baseColWidth="10" defaultRowHeight="14.4"/>
  <sheetData>
    <row r="2" spans="2:16">
      <c r="B2" s="35" t="s">
        <v>624</v>
      </c>
      <c r="F2" s="35" t="s">
        <v>623</v>
      </c>
      <c r="M2" s="35" t="s">
        <v>621</v>
      </c>
    </row>
    <row r="3" spans="2:16">
      <c r="B3" t="s">
        <v>479</v>
      </c>
      <c r="C3" t="s">
        <v>477</v>
      </c>
      <c r="D3" t="s">
        <v>478</v>
      </c>
      <c r="F3" t="s">
        <v>481</v>
      </c>
      <c r="M3" t="s">
        <v>259</v>
      </c>
      <c r="N3" t="s">
        <v>145</v>
      </c>
      <c r="O3" t="s">
        <v>173</v>
      </c>
      <c r="P3" t="str">
        <f>Control!F39</f>
        <v>EC</v>
      </c>
    </row>
    <row r="4" spans="2:16">
      <c r="B4" t="s">
        <v>49</v>
      </c>
      <c r="C4" t="s">
        <v>196</v>
      </c>
      <c r="D4" t="s">
        <v>49</v>
      </c>
      <c r="F4" s="110"/>
      <c r="G4" s="110"/>
      <c r="M4" t="s">
        <v>149</v>
      </c>
      <c r="N4" t="s">
        <v>146</v>
      </c>
      <c r="O4" t="s">
        <v>71</v>
      </c>
      <c r="P4" t="s">
        <v>149</v>
      </c>
    </row>
    <row r="5" spans="2:16">
      <c r="B5" t="s">
        <v>266</v>
      </c>
      <c r="C5" t="s">
        <v>195</v>
      </c>
      <c r="D5" t="s">
        <v>561</v>
      </c>
      <c r="N5" t="s">
        <v>138</v>
      </c>
    </row>
    <row r="6" spans="2:16">
      <c r="B6" t="s">
        <v>36</v>
      </c>
      <c r="D6" t="s">
        <v>469</v>
      </c>
      <c r="F6" t="s">
        <v>480</v>
      </c>
    </row>
    <row r="7" spans="2:16">
      <c r="B7" t="s">
        <v>265</v>
      </c>
      <c r="D7" t="s">
        <v>562</v>
      </c>
      <c r="F7" s="116"/>
      <c r="G7" s="116"/>
    </row>
    <row r="8" spans="2:16">
      <c r="D8" t="s">
        <v>36</v>
      </c>
    </row>
    <row r="9" spans="2:16">
      <c r="F9" t="s">
        <v>612</v>
      </c>
    </row>
    <row r="10" spans="2:16">
      <c r="F10" s="116"/>
    </row>
  </sheetData>
  <conditionalFormatting sqref="F10">
    <cfRule type="expression" dxfId="28" priority="1">
      <formula>AND($AI9="o",ISBLANK($AJ9))</formula>
    </cfRule>
  </conditionalFormatting>
  <pageMargins left="0.7" right="0.7" top="0.78740157499999996" bottom="0.78740157499999996" header="0.3" footer="0.3"/>
  <extLst>
    <ext xmlns:x14="http://schemas.microsoft.com/office/spreadsheetml/2009/9/main" uri="{78C0D931-6437-407d-A8EE-F0AAD7539E65}">
      <x14:conditionalFormattings>
        <x14:conditionalFormatting xmlns:xm="http://schemas.microsoft.com/office/excel/2006/main">
          <x14:cfRule type="expression" priority="5" id="{00000000-000E-0000-0700-000005000000}">
            <xm:f>NOT(OR($D4&gt;=Control!$F$16,$D4&lt;=Control!$F$22,F4="n"))</xm:f>
            <x14:dxf>
              <fill>
                <patternFill>
                  <fgColor indexed="64"/>
                  <bgColor rgb="FFC00000"/>
                </patternFill>
              </fill>
            </x14:dxf>
          </x14:cfRule>
          <xm:sqref>F4</xm:sqref>
        </x14:conditionalFormatting>
        <x14:conditionalFormatting xmlns:xm="http://schemas.microsoft.com/office/excel/2006/main">
          <x14:cfRule type="expression" priority="4" id="{00000000-000E-0000-0700-000004000000}">
            <xm:f>NOT(OR($D4&gt;=Control!$F$18,$D4&lt;=Control!$F$22,G4="n"))</xm:f>
            <x14:dxf>
              <fill>
                <patternFill>
                  <fgColor indexed="64"/>
                  <bgColor rgb="FFC00000"/>
                </patternFill>
              </fill>
            </x14:dxf>
          </x14:cfRule>
          <xm:sqref>G4</xm:sqref>
        </x14:conditionalFormatting>
        <x14:conditionalFormatting xmlns:xm="http://schemas.microsoft.com/office/excel/2006/main">
          <x14:cfRule type="expression" priority="3" id="{00000000-000E-0000-0700-000003000000}">
            <xm:f>NOT(OR($AF6&gt;=Control!$F$16,$AF6&lt;=Control!$F$22,F7="n"))</xm:f>
            <x14:dxf>
              <fill>
                <patternFill>
                  <fgColor indexed="64"/>
                  <bgColor rgb="FFC00000"/>
                </patternFill>
              </fill>
            </x14:dxf>
          </x14:cfRule>
          <xm:sqref>F7</xm:sqref>
        </x14:conditionalFormatting>
        <x14:conditionalFormatting xmlns:xm="http://schemas.microsoft.com/office/excel/2006/main">
          <x14:cfRule type="expression" priority="2" id="{00000000-000E-0000-0700-000002000000}">
            <xm:f>NOT(OR($AF6&gt;=Control!$F$18,$AF6&lt;=Control!$F$22,G7="n"))</xm:f>
            <x14:dxf>
              <fill>
                <patternFill>
                  <fgColor indexed="64"/>
                  <bgColor rgb="FFC00000"/>
                </patternFill>
              </fill>
            </x14:dxf>
          </x14:cfRule>
          <xm:sqref>G7</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FECC4-E75D-4187-9CE2-DBD46F15A9CD}">
  <sheetPr codeName="Tabelle12"/>
  <dimension ref="B2:AJ22"/>
  <sheetViews>
    <sheetView workbookViewId="0">
      <selection activeCell="H30" sqref="H30"/>
    </sheetView>
  </sheetViews>
  <sheetFormatPr baseColWidth="10" defaultRowHeight="14.4"/>
  <cols>
    <col min="2" max="2" width="14.5546875" bestFit="1" customWidth="1"/>
    <col min="3" max="36" width="5.5546875" customWidth="1"/>
  </cols>
  <sheetData>
    <row r="2" spans="2:36">
      <c r="AC2" s="266" t="s">
        <v>129</v>
      </c>
      <c r="AD2" s="266"/>
      <c r="AE2" s="266"/>
      <c r="AF2" s="266"/>
      <c r="AG2" s="266"/>
      <c r="AH2" s="266"/>
      <c r="AI2" s="266"/>
      <c r="AJ2" s="266"/>
    </row>
    <row r="3" spans="2:36">
      <c r="B3" s="23"/>
      <c r="C3" s="24"/>
      <c r="D3" s="24"/>
      <c r="E3" s="24"/>
      <c r="F3" s="24"/>
      <c r="G3" s="24"/>
      <c r="K3" s="27">
        <v>10</v>
      </c>
      <c r="L3" s="27">
        <v>0</v>
      </c>
      <c r="M3" s="27">
        <v>-10</v>
      </c>
      <c r="N3" s="27">
        <v>-20</v>
      </c>
      <c r="O3" s="27">
        <v>-30</v>
      </c>
      <c r="P3" s="27">
        <v>-40</v>
      </c>
      <c r="Q3" s="27">
        <v>-50</v>
      </c>
      <c r="R3" s="27">
        <v>10</v>
      </c>
      <c r="S3" s="27">
        <v>0</v>
      </c>
      <c r="T3" s="27">
        <v>-10</v>
      </c>
      <c r="U3" s="27">
        <v>-20</v>
      </c>
      <c r="V3" s="27">
        <v>-30</v>
      </c>
      <c r="W3" s="27">
        <v>-40</v>
      </c>
      <c r="X3" s="27">
        <v>-50</v>
      </c>
      <c r="Y3" s="27">
        <f>'ULS TP'!R12</f>
        <v>-15</v>
      </c>
      <c r="Z3" s="27">
        <f>'ULS TP'!R11</f>
        <v>-25</v>
      </c>
      <c r="AA3" s="27">
        <f>Y3</f>
        <v>-15</v>
      </c>
      <c r="AB3" s="27">
        <f>Z3</f>
        <v>-25</v>
      </c>
      <c r="AC3" s="27">
        <f>IF(Y3-K3&gt;-10,K3,IF(Y3-L3&gt;-10,L3,IF(Y3-M3&gt;-10,M3,IF(Y3-N3&gt;-10,N3,IF(Y3-O3&gt;-10,O3,IF(Y3-P3&gt;-10,P3,IF(Y3-Q3&gt;-10,Q3,"eror")))))))</f>
        <v>-10</v>
      </c>
      <c r="AD3" s="27">
        <f>IF(Y3-R3&gt;0,R3,IF(Y3-R3&gt;-10,S3,IF(Y3-S3&gt;-10,T3,IF(Y3-T3&gt;-10,U3,IF(Y3-U3&gt;-10,V3,IF(Y3-V3&gt;-10,W3,IF(Y3-W3&gt;-10,X3,"error")))))))</f>
        <v>-20</v>
      </c>
      <c r="AE3" s="27">
        <f>IF(Z3-K3&gt;-10,K3,IF(Z3-L3&gt;-10,L3,IF(Z3-M3&gt;-10,M3,IF(Z3-N3&gt;-10,N3,IF(Z3-O3&gt;-10,O3,IF(Z3-P3&gt;-10,P3,IF(Z3-Q3&gt;-10,Q3,"eror")))))))</f>
        <v>-20</v>
      </c>
      <c r="AF3" s="27">
        <f>IF(Z3-R3&gt;0,R3,IF(Z3-R3&gt;-10,S3,IF(Z3-S3&gt;-10,T3,IF(Z3-T3&gt;-10,U3,IF(Z3-U3&gt;-10,V3,IF(Z3-V3&gt;-10,W3,IF(Z3-W3&gt;-10,X3,"error")))))))</f>
        <v>-30</v>
      </c>
      <c r="AG3" s="27">
        <f>AC3</f>
        <v>-10</v>
      </c>
      <c r="AH3" s="27">
        <f>AD3</f>
        <v>-20</v>
      </c>
      <c r="AI3" s="27">
        <f>AE3</f>
        <v>-20</v>
      </c>
      <c r="AJ3" s="27">
        <f>AF3</f>
        <v>-30</v>
      </c>
    </row>
    <row r="4" spans="2:36" ht="20.399999999999999">
      <c r="B4" s="50" t="s">
        <v>110</v>
      </c>
      <c r="C4" s="51" t="s">
        <v>113</v>
      </c>
      <c r="D4" s="51" t="s">
        <v>114</v>
      </c>
      <c r="E4" s="51" t="s">
        <v>115</v>
      </c>
      <c r="F4" s="51" t="s">
        <v>116</v>
      </c>
      <c r="G4" s="51" t="s">
        <v>117</v>
      </c>
      <c r="H4" s="51" t="s">
        <v>120</v>
      </c>
      <c r="I4" s="51" t="s">
        <v>118</v>
      </c>
      <c r="J4" s="51" t="s">
        <v>119</v>
      </c>
      <c r="K4" s="268" t="s">
        <v>125</v>
      </c>
      <c r="L4" s="269"/>
      <c r="M4" s="269"/>
      <c r="N4" s="269"/>
      <c r="O4" s="269"/>
      <c r="P4" s="269"/>
      <c r="Q4" s="270"/>
      <c r="R4" s="268" t="s">
        <v>126</v>
      </c>
      <c r="S4" s="269"/>
      <c r="T4" s="269"/>
      <c r="U4" s="269"/>
      <c r="V4" s="269"/>
      <c r="W4" s="269"/>
      <c r="X4" s="270"/>
      <c r="Y4" s="271" t="s">
        <v>125</v>
      </c>
      <c r="Z4" s="267"/>
      <c r="AA4" s="267" t="s">
        <v>126</v>
      </c>
      <c r="AB4" s="267"/>
      <c r="AC4" s="271" t="s">
        <v>125</v>
      </c>
      <c r="AD4" s="267"/>
      <c r="AE4" s="271" t="s">
        <v>125</v>
      </c>
      <c r="AF4" s="267"/>
      <c r="AG4" s="267" t="s">
        <v>126</v>
      </c>
      <c r="AH4" s="267"/>
      <c r="AI4" s="267" t="s">
        <v>126</v>
      </c>
      <c r="AJ4" s="267"/>
    </row>
    <row r="5" spans="2:36">
      <c r="B5" s="25" t="s">
        <v>109</v>
      </c>
      <c r="C5" s="26">
        <v>355</v>
      </c>
      <c r="D5" s="26">
        <v>345</v>
      </c>
      <c r="E5" s="26">
        <v>335</v>
      </c>
      <c r="F5" s="26">
        <v>325</v>
      </c>
      <c r="G5" s="26">
        <v>315</v>
      </c>
      <c r="H5" s="26">
        <v>295</v>
      </c>
      <c r="I5" s="26">
        <v>295</v>
      </c>
      <c r="J5" s="26">
        <v>285</v>
      </c>
      <c r="K5" s="26">
        <v>155</v>
      </c>
      <c r="L5" s="26">
        <v>130</v>
      </c>
      <c r="M5" s="26">
        <v>110</v>
      </c>
      <c r="N5" s="26">
        <v>90</v>
      </c>
      <c r="O5" s="26">
        <v>75</v>
      </c>
      <c r="P5" s="26">
        <v>60</v>
      </c>
      <c r="Q5" s="26">
        <v>50</v>
      </c>
      <c r="R5" s="26">
        <v>200</v>
      </c>
      <c r="S5" s="26">
        <v>180</v>
      </c>
      <c r="T5" s="26">
        <v>155</v>
      </c>
      <c r="U5" s="26">
        <v>135</v>
      </c>
      <c r="V5" s="26">
        <v>110</v>
      </c>
      <c r="W5" s="26">
        <v>95</v>
      </c>
      <c r="X5" s="26">
        <v>80</v>
      </c>
      <c r="Y5" s="28">
        <f>(AD5-AC5)/($AD$3-$AC$3)*($Y$3-$AC$3)+AC5</f>
        <v>100</v>
      </c>
      <c r="Z5" s="28">
        <f>(AF5-AE5)/($AF$3-$AE$3)*($Z$3-$AE$3)+AE5</f>
        <v>82.5</v>
      </c>
      <c r="AA5" s="28">
        <f t="shared" ref="AA5:AA22" si="0">(AH5-AG5)/($AH$3-$AG$3)*($AA$3-$AG$3)+AG5</f>
        <v>145</v>
      </c>
      <c r="AB5" s="28">
        <f t="shared" ref="AB5:AB22" si="1">(AJ5-AI5)/($AJ$3-$AI$3)*($AB$3-$AI$3)+AI5</f>
        <v>122.5</v>
      </c>
      <c r="AC5" s="28">
        <f t="shared" ref="AC5:AC22" si="2">VLOOKUP(B5,$B$5:$X$22,IF(AC$3=$K$3,10,IF(AC$3=$L$3,11,IF(AC$3=$M$3,12,IF(AC$3=$N$3,13,IF(AC$3=$O$3,14,IF(AC$3=$P$3,15,IF(AC$3=$Q$3,16))))))),FALSE)</f>
        <v>110</v>
      </c>
      <c r="AD5" s="28">
        <f t="shared" ref="AD5:AD22" si="3">VLOOKUP(B5,$B$5:$X$22,IF(AD$3=$K$3,10,IF(AD$3=$L$3,11,IF(AD$3=$M$3,12,IF(AD$3=$N$3,13,IF(AD$3=$O$3,14,IF(AD$3=$P$3,15,IF(AD$3=$Q$3,16))))))),FALSE)</f>
        <v>90</v>
      </c>
      <c r="AE5" s="28">
        <f t="shared" ref="AE5:AE22" si="4">VLOOKUP(B5,$B$5:$X$22,IF(AE$3=$K$3,10,IF(AE$3=$L$3,11,IF(AE$3=$M$3,12,IF(AE$3=$N$3,13,IF(AE$3=$O$3,14,IF(AE$3=$P$3,15,IF(AE$3=$Q$3,16))))))),FALSE)</f>
        <v>90</v>
      </c>
      <c r="AF5" s="28">
        <f t="shared" ref="AF5:AF22" si="5">VLOOKUP(B5,$B$5:$X$22,IF(AF$3=$K$3,10,IF(AF$3=$L$3,11,IF(AF$3=$M$3,12,IF(AF$3=$N$3,13,IF(AF$3=$O$3,14,IF(AF$3=$P$3,15,IF(AF$3=$Q$3,16))))))),FALSE)</f>
        <v>75</v>
      </c>
      <c r="AG5" s="28">
        <f t="shared" ref="AG5:AG22" si="6">VLOOKUP(B5,$B$5:$X$22,IF(AC$3=$K$3,10,IF(AC$3=$L$3,11,IF(AC$3=$M$3,12,IF(AC$3=$N$3,13,IF(AC$3=$O$3,14,IF(AC$3=$P$3,15,IF(AC$3=$Q$3,16)))))))+7,FALSE)</f>
        <v>155</v>
      </c>
      <c r="AH5" s="28">
        <f t="shared" ref="AH5:AH22" si="7">VLOOKUP(B5,$B$5:$X$22,IF(AD$3=$K$3,10,IF(AD$3=$L$3,11,IF(AD$3=$M$3,12,IF(AD$3=$N$3,13,IF(AD$3=$O$3,14,IF(AD$3=$P$3,15,IF(AD$3=$Q$3,16)))))))+7,FALSE)</f>
        <v>135</v>
      </c>
      <c r="AI5" s="28">
        <f t="shared" ref="AI5:AI22" si="8">VLOOKUP(B5,$B$5:$X$22,IF(AE$3=$K$3,10,IF(AE$3=$L$3,11,IF(AE$3=$M$3,12,IF(AE$3=$N$3,13,IF(AE$3=$O$3,14,IF(AE$3=$P$3,15,IF(AE$3=$Q$3,16)))))))+7,FALSE)</f>
        <v>135</v>
      </c>
      <c r="AJ5" s="28">
        <f t="shared" ref="AJ5:AJ22" si="9">VLOOKUP(B5,$B$5:$X$22,IF(AF$3=$K$3,10,IF(AF$3=$L$3,11,IF(AF$3=$M$3,12,IF(AF$3=$N$3,13,IF(AF$3=$O$3,14,IF(AF$3=$P$3,15,IF(AF$3=$Q$3,16)))))))+7,FALSE)</f>
        <v>110</v>
      </c>
    </row>
    <row r="6" spans="2:36">
      <c r="B6" s="25" t="s">
        <v>512</v>
      </c>
      <c r="C6" s="26">
        <v>355</v>
      </c>
      <c r="D6" s="26">
        <v>345</v>
      </c>
      <c r="E6" s="26">
        <v>335</v>
      </c>
      <c r="F6" s="26">
        <v>325</v>
      </c>
      <c r="G6" s="26">
        <v>325</v>
      </c>
      <c r="H6" s="26">
        <v>320</v>
      </c>
      <c r="I6" s="26">
        <v>320</v>
      </c>
      <c r="J6" s="26">
        <v>300</v>
      </c>
      <c r="K6" s="26">
        <v>200</v>
      </c>
      <c r="L6" s="26">
        <v>200</v>
      </c>
      <c r="M6" s="26">
        <v>200</v>
      </c>
      <c r="N6" s="26">
        <v>200</v>
      </c>
      <c r="O6" s="26">
        <v>200</v>
      </c>
      <c r="P6" s="26">
        <v>200</v>
      </c>
      <c r="Q6" s="26">
        <v>200</v>
      </c>
      <c r="R6" s="26">
        <v>200</v>
      </c>
      <c r="S6" s="26">
        <v>200</v>
      </c>
      <c r="T6" s="26">
        <v>200</v>
      </c>
      <c r="U6" s="26">
        <v>200</v>
      </c>
      <c r="V6" s="26">
        <v>200</v>
      </c>
      <c r="W6" s="26">
        <v>200</v>
      </c>
      <c r="X6" s="26">
        <v>200</v>
      </c>
      <c r="Y6" s="28">
        <f t="shared" ref="Y6:Y22" si="10">(AD6-AC6)/($AD$3-$AC$3)*($Y$3-$AC$3)+AC6</f>
        <v>200</v>
      </c>
      <c r="Z6" s="28">
        <f t="shared" ref="Z6:Z22" si="11">(AF6-AE6)/($AF$3-$AE$3)*($Z$3-$AE$3)+AE6</f>
        <v>200</v>
      </c>
      <c r="AA6" s="28">
        <f t="shared" si="0"/>
        <v>200</v>
      </c>
      <c r="AB6" s="28">
        <f t="shared" si="1"/>
        <v>200</v>
      </c>
      <c r="AC6" s="28">
        <f t="shared" si="2"/>
        <v>200</v>
      </c>
      <c r="AD6" s="28">
        <f t="shared" si="3"/>
        <v>200</v>
      </c>
      <c r="AE6" s="28">
        <f t="shared" si="4"/>
        <v>200</v>
      </c>
      <c r="AF6" s="28">
        <f t="shared" si="5"/>
        <v>200</v>
      </c>
      <c r="AG6" s="28">
        <f t="shared" si="6"/>
        <v>200</v>
      </c>
      <c r="AH6" s="28">
        <f t="shared" si="7"/>
        <v>200</v>
      </c>
      <c r="AI6" s="28">
        <f t="shared" si="8"/>
        <v>200</v>
      </c>
      <c r="AJ6" s="28">
        <f t="shared" si="9"/>
        <v>200</v>
      </c>
    </row>
    <row r="7" spans="2:36">
      <c r="B7" s="25" t="s">
        <v>513</v>
      </c>
      <c r="C7" s="26">
        <v>355</v>
      </c>
      <c r="D7" s="26">
        <v>345</v>
      </c>
      <c r="E7" s="26">
        <v>335</v>
      </c>
      <c r="F7" s="26">
        <v>325</v>
      </c>
      <c r="G7" s="26">
        <v>325</v>
      </c>
      <c r="H7" s="26">
        <v>325</v>
      </c>
      <c r="I7" s="26" t="s">
        <v>121</v>
      </c>
      <c r="J7" s="26" t="s">
        <v>121</v>
      </c>
      <c r="K7" s="26">
        <v>120</v>
      </c>
      <c r="L7" s="26">
        <v>120</v>
      </c>
      <c r="M7" s="26">
        <v>120</v>
      </c>
      <c r="N7" s="26">
        <v>120</v>
      </c>
      <c r="O7" s="26">
        <v>120</v>
      </c>
      <c r="P7" s="26">
        <v>120</v>
      </c>
      <c r="Q7" s="26">
        <v>120</v>
      </c>
      <c r="R7" s="26">
        <v>120</v>
      </c>
      <c r="S7" s="26">
        <v>120</v>
      </c>
      <c r="T7" s="26">
        <v>120</v>
      </c>
      <c r="U7" s="26">
        <v>120</v>
      </c>
      <c r="V7" s="26">
        <v>120</v>
      </c>
      <c r="W7" s="26">
        <v>120</v>
      </c>
      <c r="X7" s="26">
        <v>120</v>
      </c>
      <c r="Y7" s="28">
        <f t="shared" si="10"/>
        <v>120</v>
      </c>
      <c r="Z7" s="28">
        <f t="shared" si="11"/>
        <v>120</v>
      </c>
      <c r="AA7" s="28">
        <f t="shared" si="0"/>
        <v>120</v>
      </c>
      <c r="AB7" s="28">
        <f t="shared" si="1"/>
        <v>120</v>
      </c>
      <c r="AC7" s="28">
        <f t="shared" si="2"/>
        <v>120</v>
      </c>
      <c r="AD7" s="28">
        <f t="shared" si="3"/>
        <v>120</v>
      </c>
      <c r="AE7" s="28">
        <f t="shared" si="4"/>
        <v>120</v>
      </c>
      <c r="AF7" s="28">
        <f t="shared" si="5"/>
        <v>120</v>
      </c>
      <c r="AG7" s="28">
        <f t="shared" si="6"/>
        <v>120</v>
      </c>
      <c r="AH7" s="28">
        <f t="shared" si="7"/>
        <v>120</v>
      </c>
      <c r="AI7" s="28">
        <f t="shared" si="8"/>
        <v>120</v>
      </c>
      <c r="AJ7" s="28">
        <f t="shared" si="9"/>
        <v>120</v>
      </c>
    </row>
    <row r="8" spans="2:36">
      <c r="B8" s="25" t="s">
        <v>123</v>
      </c>
      <c r="C8" s="26">
        <v>420</v>
      </c>
      <c r="D8" s="26">
        <v>400</v>
      </c>
      <c r="E8" s="26">
        <v>390</v>
      </c>
      <c r="F8" s="26">
        <v>370</v>
      </c>
      <c r="G8" s="26">
        <v>360</v>
      </c>
      <c r="H8" s="26">
        <v>340</v>
      </c>
      <c r="I8" s="26">
        <v>340</v>
      </c>
      <c r="J8" s="26">
        <v>330</v>
      </c>
      <c r="K8" s="26">
        <v>135</v>
      </c>
      <c r="L8" s="26">
        <v>115</v>
      </c>
      <c r="M8" s="26">
        <v>95</v>
      </c>
      <c r="N8" s="26">
        <v>80</v>
      </c>
      <c r="O8" s="26">
        <v>65</v>
      </c>
      <c r="P8" s="26">
        <v>55</v>
      </c>
      <c r="Q8" s="26">
        <v>45</v>
      </c>
      <c r="R8" s="26">
        <v>190</v>
      </c>
      <c r="S8" s="26">
        <v>165</v>
      </c>
      <c r="T8" s="26">
        <v>140</v>
      </c>
      <c r="U8" s="26">
        <v>120</v>
      </c>
      <c r="V8" s="26">
        <v>100</v>
      </c>
      <c r="W8" s="26">
        <v>85</v>
      </c>
      <c r="X8" s="26">
        <v>70</v>
      </c>
      <c r="Y8" s="28">
        <f t="shared" si="10"/>
        <v>87.5</v>
      </c>
      <c r="Z8" s="28">
        <f t="shared" si="11"/>
        <v>72.5</v>
      </c>
      <c r="AA8" s="28">
        <f t="shared" si="0"/>
        <v>130</v>
      </c>
      <c r="AB8" s="28">
        <f t="shared" si="1"/>
        <v>110</v>
      </c>
      <c r="AC8" s="28">
        <f t="shared" si="2"/>
        <v>95</v>
      </c>
      <c r="AD8" s="28">
        <f t="shared" si="3"/>
        <v>80</v>
      </c>
      <c r="AE8" s="28">
        <f t="shared" si="4"/>
        <v>80</v>
      </c>
      <c r="AF8" s="28">
        <f t="shared" si="5"/>
        <v>65</v>
      </c>
      <c r="AG8" s="28">
        <f t="shared" si="6"/>
        <v>140</v>
      </c>
      <c r="AH8" s="28">
        <f t="shared" si="7"/>
        <v>120</v>
      </c>
      <c r="AI8" s="28">
        <f t="shared" si="8"/>
        <v>120</v>
      </c>
      <c r="AJ8" s="28">
        <f t="shared" si="9"/>
        <v>100</v>
      </c>
    </row>
    <row r="9" spans="2:36">
      <c r="B9" s="25" t="s">
        <v>124</v>
      </c>
      <c r="C9" s="26">
        <v>420</v>
      </c>
      <c r="D9" s="26">
        <v>400</v>
      </c>
      <c r="E9" s="26">
        <v>390</v>
      </c>
      <c r="F9" s="26">
        <v>380</v>
      </c>
      <c r="G9" s="26">
        <v>370</v>
      </c>
      <c r="H9" s="26">
        <v>365</v>
      </c>
      <c r="I9" s="26" t="s">
        <v>121</v>
      </c>
      <c r="J9" s="26" t="s">
        <v>121</v>
      </c>
      <c r="K9" s="26">
        <v>135</v>
      </c>
      <c r="L9" s="26">
        <v>115</v>
      </c>
      <c r="M9" s="26">
        <v>95</v>
      </c>
      <c r="N9" s="26">
        <v>80</v>
      </c>
      <c r="O9" s="26">
        <v>65</v>
      </c>
      <c r="P9" s="26">
        <v>55</v>
      </c>
      <c r="Q9" s="26">
        <v>45</v>
      </c>
      <c r="R9" s="26">
        <v>190</v>
      </c>
      <c r="S9" s="26">
        <v>165</v>
      </c>
      <c r="T9" s="26">
        <v>140</v>
      </c>
      <c r="U9" s="26">
        <v>120</v>
      </c>
      <c r="V9" s="26">
        <v>100</v>
      </c>
      <c r="W9" s="26">
        <v>85</v>
      </c>
      <c r="X9" s="26">
        <v>70</v>
      </c>
      <c r="Y9" s="28">
        <f t="shared" si="10"/>
        <v>87.5</v>
      </c>
      <c r="Z9" s="28">
        <f t="shared" si="11"/>
        <v>72.5</v>
      </c>
      <c r="AA9" s="28">
        <f t="shared" si="0"/>
        <v>130</v>
      </c>
      <c r="AB9" s="28">
        <f t="shared" si="1"/>
        <v>110</v>
      </c>
      <c r="AC9" s="28">
        <f t="shared" si="2"/>
        <v>95</v>
      </c>
      <c r="AD9" s="28">
        <f t="shared" si="3"/>
        <v>80</v>
      </c>
      <c r="AE9" s="28">
        <f t="shared" si="4"/>
        <v>80</v>
      </c>
      <c r="AF9" s="28">
        <f t="shared" si="5"/>
        <v>65</v>
      </c>
      <c r="AG9" s="28">
        <f t="shared" si="6"/>
        <v>140</v>
      </c>
      <c r="AH9" s="28">
        <f t="shared" si="7"/>
        <v>120</v>
      </c>
      <c r="AI9" s="28">
        <f t="shared" si="8"/>
        <v>120</v>
      </c>
      <c r="AJ9" s="28">
        <f t="shared" si="9"/>
        <v>100</v>
      </c>
    </row>
    <row r="10" spans="2:36">
      <c r="B10" s="25" t="s">
        <v>514</v>
      </c>
      <c r="C10" s="26">
        <v>420</v>
      </c>
      <c r="D10" s="26">
        <v>400</v>
      </c>
      <c r="E10" s="26">
        <v>390</v>
      </c>
      <c r="F10" s="26">
        <v>380</v>
      </c>
      <c r="G10" s="26">
        <v>380</v>
      </c>
      <c r="H10" s="26">
        <v>380</v>
      </c>
      <c r="I10" s="26" t="s">
        <v>121</v>
      </c>
      <c r="J10" s="26" t="s">
        <v>121</v>
      </c>
      <c r="K10" s="26">
        <v>120</v>
      </c>
      <c r="L10" s="26">
        <v>120</v>
      </c>
      <c r="M10" s="26">
        <v>120</v>
      </c>
      <c r="N10" s="26">
        <v>120</v>
      </c>
      <c r="O10" s="26">
        <v>120</v>
      </c>
      <c r="P10" s="26">
        <v>120</v>
      </c>
      <c r="Q10" s="26">
        <v>120</v>
      </c>
      <c r="R10" s="26">
        <v>120</v>
      </c>
      <c r="S10" s="26">
        <v>120</v>
      </c>
      <c r="T10" s="26">
        <v>120</v>
      </c>
      <c r="U10" s="26">
        <v>120</v>
      </c>
      <c r="V10" s="26">
        <v>120</v>
      </c>
      <c r="W10" s="26">
        <v>120</v>
      </c>
      <c r="X10" s="26">
        <v>120</v>
      </c>
      <c r="Y10" s="28">
        <f t="shared" si="10"/>
        <v>120</v>
      </c>
      <c r="Z10" s="28">
        <f t="shared" si="11"/>
        <v>120</v>
      </c>
      <c r="AA10" s="28">
        <f t="shared" si="0"/>
        <v>120</v>
      </c>
      <c r="AB10" s="28">
        <f t="shared" si="1"/>
        <v>120</v>
      </c>
      <c r="AC10" s="28">
        <f t="shared" si="2"/>
        <v>120</v>
      </c>
      <c r="AD10" s="28">
        <f t="shared" si="3"/>
        <v>120</v>
      </c>
      <c r="AE10" s="28">
        <f t="shared" si="4"/>
        <v>120</v>
      </c>
      <c r="AF10" s="28">
        <f t="shared" si="5"/>
        <v>120</v>
      </c>
      <c r="AG10" s="28">
        <f t="shared" si="6"/>
        <v>120</v>
      </c>
      <c r="AH10" s="28">
        <f t="shared" si="7"/>
        <v>120</v>
      </c>
      <c r="AI10" s="28">
        <f t="shared" si="8"/>
        <v>120</v>
      </c>
      <c r="AJ10" s="28">
        <f t="shared" si="9"/>
        <v>120</v>
      </c>
    </row>
    <row r="11" spans="2:36">
      <c r="B11" s="25" t="s">
        <v>111</v>
      </c>
      <c r="C11" s="26">
        <v>460</v>
      </c>
      <c r="D11" s="26">
        <v>440</v>
      </c>
      <c r="E11" s="26">
        <v>430</v>
      </c>
      <c r="F11" s="26">
        <v>410</v>
      </c>
      <c r="G11" s="26">
        <v>400</v>
      </c>
      <c r="H11" s="26">
        <v>380</v>
      </c>
      <c r="I11" s="26">
        <v>380</v>
      </c>
      <c r="J11" s="26">
        <v>370</v>
      </c>
      <c r="K11" s="26">
        <v>125</v>
      </c>
      <c r="L11" s="26">
        <v>105</v>
      </c>
      <c r="M11" s="26">
        <v>90</v>
      </c>
      <c r="N11" s="26">
        <v>70</v>
      </c>
      <c r="O11" s="26">
        <v>60</v>
      </c>
      <c r="P11" s="26">
        <v>50</v>
      </c>
      <c r="Q11" s="26">
        <v>40</v>
      </c>
      <c r="R11" s="26">
        <v>180</v>
      </c>
      <c r="S11" s="26">
        <v>155</v>
      </c>
      <c r="T11" s="26">
        <v>130</v>
      </c>
      <c r="U11" s="26">
        <v>110</v>
      </c>
      <c r="V11" s="26">
        <v>95</v>
      </c>
      <c r="W11" s="26">
        <v>75</v>
      </c>
      <c r="X11" s="26">
        <v>65</v>
      </c>
      <c r="Y11" s="28">
        <f t="shared" si="10"/>
        <v>80</v>
      </c>
      <c r="Z11" s="28">
        <f t="shared" si="11"/>
        <v>65</v>
      </c>
      <c r="AA11" s="28">
        <f t="shared" si="0"/>
        <v>120</v>
      </c>
      <c r="AB11" s="28">
        <f t="shared" si="1"/>
        <v>102.5</v>
      </c>
      <c r="AC11" s="28">
        <f t="shared" si="2"/>
        <v>90</v>
      </c>
      <c r="AD11" s="28">
        <f t="shared" si="3"/>
        <v>70</v>
      </c>
      <c r="AE11" s="28">
        <f t="shared" si="4"/>
        <v>70</v>
      </c>
      <c r="AF11" s="28">
        <f t="shared" si="5"/>
        <v>60</v>
      </c>
      <c r="AG11" s="28">
        <f t="shared" si="6"/>
        <v>130</v>
      </c>
      <c r="AH11" s="28">
        <f t="shared" si="7"/>
        <v>110</v>
      </c>
      <c r="AI11" s="28">
        <f t="shared" si="8"/>
        <v>110</v>
      </c>
      <c r="AJ11" s="28">
        <f t="shared" si="9"/>
        <v>95</v>
      </c>
    </row>
    <row r="12" spans="2:36">
      <c r="B12" s="25" t="s">
        <v>112</v>
      </c>
      <c r="C12" s="26">
        <v>460</v>
      </c>
      <c r="D12" s="26">
        <v>440</v>
      </c>
      <c r="E12" s="26">
        <v>430</v>
      </c>
      <c r="F12" s="26">
        <v>410</v>
      </c>
      <c r="G12" s="26">
        <v>400</v>
      </c>
      <c r="H12" s="26">
        <v>385</v>
      </c>
      <c r="I12" s="26" t="s">
        <v>121</v>
      </c>
      <c r="J12" s="26" t="s">
        <v>121</v>
      </c>
      <c r="K12" s="26">
        <v>125</v>
      </c>
      <c r="L12" s="26">
        <v>105</v>
      </c>
      <c r="M12" s="26">
        <v>90</v>
      </c>
      <c r="N12" s="26">
        <v>70</v>
      </c>
      <c r="O12" s="26">
        <v>60</v>
      </c>
      <c r="P12" s="26">
        <v>50</v>
      </c>
      <c r="Q12" s="26">
        <v>40</v>
      </c>
      <c r="R12" s="26">
        <v>180</v>
      </c>
      <c r="S12" s="26">
        <v>155</v>
      </c>
      <c r="T12" s="26">
        <v>130</v>
      </c>
      <c r="U12" s="26">
        <v>110</v>
      </c>
      <c r="V12" s="26">
        <v>95</v>
      </c>
      <c r="W12" s="26">
        <v>75</v>
      </c>
      <c r="X12" s="26">
        <v>65</v>
      </c>
      <c r="Y12" s="28">
        <f t="shared" si="10"/>
        <v>80</v>
      </c>
      <c r="Z12" s="28">
        <f t="shared" si="11"/>
        <v>65</v>
      </c>
      <c r="AA12" s="28">
        <f t="shared" si="0"/>
        <v>120</v>
      </c>
      <c r="AB12" s="28">
        <f t="shared" si="1"/>
        <v>102.5</v>
      </c>
      <c r="AC12" s="28">
        <f t="shared" si="2"/>
        <v>90</v>
      </c>
      <c r="AD12" s="28">
        <f t="shared" si="3"/>
        <v>70</v>
      </c>
      <c r="AE12" s="28">
        <f t="shared" si="4"/>
        <v>70</v>
      </c>
      <c r="AF12" s="28">
        <f t="shared" si="5"/>
        <v>60</v>
      </c>
      <c r="AG12" s="28">
        <f t="shared" si="6"/>
        <v>130</v>
      </c>
      <c r="AH12" s="28">
        <f t="shared" si="7"/>
        <v>110</v>
      </c>
      <c r="AI12" s="28">
        <f t="shared" si="8"/>
        <v>110</v>
      </c>
      <c r="AJ12" s="28">
        <f t="shared" si="9"/>
        <v>95</v>
      </c>
    </row>
    <row r="13" spans="2:36">
      <c r="B13" s="25" t="s">
        <v>515</v>
      </c>
      <c r="C13" s="26">
        <v>460</v>
      </c>
      <c r="D13" s="26">
        <v>420</v>
      </c>
      <c r="E13" s="26">
        <v>415</v>
      </c>
      <c r="F13" s="26">
        <v>405</v>
      </c>
      <c r="G13" s="26">
        <v>400</v>
      </c>
      <c r="H13" s="26">
        <v>400</v>
      </c>
      <c r="I13" s="26" t="s">
        <v>121</v>
      </c>
      <c r="J13" s="26" t="s">
        <v>121</v>
      </c>
      <c r="K13" s="26">
        <v>120</v>
      </c>
      <c r="L13" s="26">
        <v>120</v>
      </c>
      <c r="M13" s="26">
        <v>120</v>
      </c>
      <c r="N13" s="26">
        <v>120</v>
      </c>
      <c r="O13" s="26">
        <v>120</v>
      </c>
      <c r="P13" s="26">
        <v>120</v>
      </c>
      <c r="Q13" s="26">
        <v>120</v>
      </c>
      <c r="R13" s="26">
        <v>120</v>
      </c>
      <c r="S13" s="26">
        <v>120</v>
      </c>
      <c r="T13" s="26">
        <v>120</v>
      </c>
      <c r="U13" s="26">
        <v>120</v>
      </c>
      <c r="V13" s="26">
        <v>120</v>
      </c>
      <c r="W13" s="26">
        <v>120</v>
      </c>
      <c r="X13" s="26">
        <v>120</v>
      </c>
      <c r="Y13" s="28">
        <f t="shared" si="10"/>
        <v>120</v>
      </c>
      <c r="Z13" s="28">
        <f t="shared" si="11"/>
        <v>120</v>
      </c>
      <c r="AA13" s="28">
        <f t="shared" si="0"/>
        <v>120</v>
      </c>
      <c r="AB13" s="28">
        <f t="shared" si="1"/>
        <v>120</v>
      </c>
      <c r="AC13" s="28">
        <f t="shared" si="2"/>
        <v>120</v>
      </c>
      <c r="AD13" s="28">
        <f t="shared" si="3"/>
        <v>120</v>
      </c>
      <c r="AE13" s="28">
        <f t="shared" si="4"/>
        <v>120</v>
      </c>
      <c r="AF13" s="28">
        <f t="shared" si="5"/>
        <v>120</v>
      </c>
      <c r="AG13" s="28">
        <f t="shared" si="6"/>
        <v>120</v>
      </c>
      <c r="AH13" s="28">
        <f t="shared" si="7"/>
        <v>120</v>
      </c>
      <c r="AI13" s="28">
        <f t="shared" si="8"/>
        <v>120</v>
      </c>
      <c r="AJ13" s="28">
        <f t="shared" si="9"/>
        <v>120</v>
      </c>
    </row>
    <row r="14" spans="2:36">
      <c r="B14" s="25" t="s">
        <v>516</v>
      </c>
      <c r="C14" s="26">
        <v>355</v>
      </c>
      <c r="D14" s="26">
        <v>355</v>
      </c>
      <c r="E14" s="26">
        <v>355</v>
      </c>
      <c r="F14" s="26">
        <v>355</v>
      </c>
      <c r="G14" s="26">
        <v>355</v>
      </c>
      <c r="H14" s="26">
        <v>355</v>
      </c>
      <c r="I14" s="26">
        <v>355</v>
      </c>
      <c r="J14" s="26">
        <v>355</v>
      </c>
      <c r="K14" s="26">
        <v>80</v>
      </c>
      <c r="L14" s="26">
        <v>65</v>
      </c>
      <c r="M14" s="26">
        <v>45</v>
      </c>
      <c r="N14" s="26">
        <v>35</v>
      </c>
      <c r="O14" s="26">
        <v>25</v>
      </c>
      <c r="P14" s="26" t="s">
        <v>121</v>
      </c>
      <c r="Q14" s="26" t="s">
        <v>121</v>
      </c>
      <c r="R14" s="26">
        <v>80</v>
      </c>
      <c r="S14" s="26">
        <v>65</v>
      </c>
      <c r="T14" s="26">
        <v>45</v>
      </c>
      <c r="U14" s="26">
        <v>35</v>
      </c>
      <c r="V14" s="26">
        <v>25</v>
      </c>
      <c r="W14" s="26" t="s">
        <v>121</v>
      </c>
      <c r="X14" s="26" t="s">
        <v>121</v>
      </c>
      <c r="Y14" s="28">
        <f t="shared" si="10"/>
        <v>40</v>
      </c>
      <c r="Z14" s="28">
        <f t="shared" si="11"/>
        <v>30</v>
      </c>
      <c r="AA14" s="28">
        <f t="shared" si="0"/>
        <v>40</v>
      </c>
      <c r="AB14" s="28">
        <f t="shared" si="1"/>
        <v>30</v>
      </c>
      <c r="AC14" s="28">
        <f t="shared" si="2"/>
        <v>45</v>
      </c>
      <c r="AD14" s="28">
        <f t="shared" si="3"/>
        <v>35</v>
      </c>
      <c r="AE14" s="28">
        <f t="shared" si="4"/>
        <v>35</v>
      </c>
      <c r="AF14" s="28">
        <f t="shared" si="5"/>
        <v>25</v>
      </c>
      <c r="AG14" s="28">
        <f t="shared" si="6"/>
        <v>45</v>
      </c>
      <c r="AH14" s="28">
        <f t="shared" si="7"/>
        <v>35</v>
      </c>
      <c r="AI14" s="28">
        <f t="shared" si="8"/>
        <v>35</v>
      </c>
      <c r="AJ14" s="28">
        <f t="shared" si="9"/>
        <v>25</v>
      </c>
    </row>
    <row r="15" spans="2:36">
      <c r="B15" s="25" t="s">
        <v>517</v>
      </c>
      <c r="C15" s="26">
        <v>355</v>
      </c>
      <c r="D15" s="26">
        <v>355</v>
      </c>
      <c r="E15" s="26">
        <v>355</v>
      </c>
      <c r="F15" s="26">
        <v>355</v>
      </c>
      <c r="G15" s="26">
        <v>355</v>
      </c>
      <c r="H15" s="26">
        <v>355</v>
      </c>
      <c r="I15" s="26">
        <v>355</v>
      </c>
      <c r="J15" s="26">
        <v>355</v>
      </c>
      <c r="K15" s="26">
        <v>150</v>
      </c>
      <c r="L15" s="26">
        <v>150</v>
      </c>
      <c r="M15" s="26">
        <v>120</v>
      </c>
      <c r="N15" s="26">
        <v>100</v>
      </c>
      <c r="O15" s="26">
        <v>45</v>
      </c>
      <c r="P15" s="26" t="s">
        <v>121</v>
      </c>
      <c r="Q15" s="26" t="s">
        <v>121</v>
      </c>
      <c r="R15" s="26">
        <v>150</v>
      </c>
      <c r="S15" s="26">
        <v>150</v>
      </c>
      <c r="T15" s="26">
        <v>120</v>
      </c>
      <c r="U15" s="26">
        <v>100</v>
      </c>
      <c r="V15" s="26">
        <v>45</v>
      </c>
      <c r="W15" s="26" t="s">
        <v>121</v>
      </c>
      <c r="X15" s="26" t="s">
        <v>121</v>
      </c>
      <c r="Y15" s="28">
        <f t="shared" si="10"/>
        <v>110</v>
      </c>
      <c r="Z15" s="28">
        <f t="shared" si="11"/>
        <v>72.5</v>
      </c>
      <c r="AA15" s="28">
        <f t="shared" si="0"/>
        <v>110</v>
      </c>
      <c r="AB15" s="28">
        <f t="shared" si="1"/>
        <v>72.5</v>
      </c>
      <c r="AC15" s="28">
        <f t="shared" si="2"/>
        <v>120</v>
      </c>
      <c r="AD15" s="28">
        <f t="shared" si="3"/>
        <v>100</v>
      </c>
      <c r="AE15" s="28">
        <f t="shared" si="4"/>
        <v>100</v>
      </c>
      <c r="AF15" s="28">
        <f t="shared" si="5"/>
        <v>45</v>
      </c>
      <c r="AG15" s="28">
        <f t="shared" si="6"/>
        <v>120</v>
      </c>
      <c r="AH15" s="28">
        <f t="shared" si="7"/>
        <v>100</v>
      </c>
      <c r="AI15" s="28">
        <f t="shared" si="8"/>
        <v>100</v>
      </c>
      <c r="AJ15" s="28">
        <f t="shared" si="9"/>
        <v>45</v>
      </c>
    </row>
    <row r="16" spans="2:36">
      <c r="B16" s="25" t="s">
        <v>518</v>
      </c>
      <c r="C16" s="26">
        <v>355</v>
      </c>
      <c r="D16" s="26">
        <v>355</v>
      </c>
      <c r="E16" s="26">
        <v>355</v>
      </c>
      <c r="F16" s="26">
        <v>355</v>
      </c>
      <c r="G16" s="26">
        <v>355</v>
      </c>
      <c r="H16" s="26">
        <v>355</v>
      </c>
      <c r="I16" s="26">
        <v>355</v>
      </c>
      <c r="J16" s="26">
        <v>355</v>
      </c>
      <c r="K16" s="26">
        <v>150</v>
      </c>
      <c r="L16" s="26">
        <v>150</v>
      </c>
      <c r="M16" s="26">
        <v>150</v>
      </c>
      <c r="N16" s="26">
        <v>150</v>
      </c>
      <c r="O16" s="26">
        <v>150</v>
      </c>
      <c r="P16" s="26" t="s">
        <v>121</v>
      </c>
      <c r="Q16" s="26" t="s">
        <v>121</v>
      </c>
      <c r="R16" s="26">
        <v>150</v>
      </c>
      <c r="S16" s="26">
        <v>150</v>
      </c>
      <c r="T16" s="26">
        <v>150</v>
      </c>
      <c r="U16" s="26">
        <v>150</v>
      </c>
      <c r="V16" s="26">
        <v>150</v>
      </c>
      <c r="W16" s="26" t="s">
        <v>121</v>
      </c>
      <c r="X16" s="26" t="s">
        <v>121</v>
      </c>
      <c r="Y16" s="28">
        <f t="shared" si="10"/>
        <v>150</v>
      </c>
      <c r="Z16" s="28">
        <f t="shared" si="11"/>
        <v>150</v>
      </c>
      <c r="AA16" s="28">
        <f t="shared" si="0"/>
        <v>150</v>
      </c>
      <c r="AB16" s="28">
        <f t="shared" si="1"/>
        <v>150</v>
      </c>
      <c r="AC16" s="28">
        <f t="shared" si="2"/>
        <v>150</v>
      </c>
      <c r="AD16" s="28">
        <f t="shared" si="3"/>
        <v>150</v>
      </c>
      <c r="AE16" s="28">
        <f t="shared" si="4"/>
        <v>150</v>
      </c>
      <c r="AF16" s="28">
        <f t="shared" si="5"/>
        <v>150</v>
      </c>
      <c r="AG16" s="28">
        <f t="shared" si="6"/>
        <v>150</v>
      </c>
      <c r="AH16" s="28">
        <f t="shared" si="7"/>
        <v>150</v>
      </c>
      <c r="AI16" s="28">
        <f t="shared" si="8"/>
        <v>150</v>
      </c>
      <c r="AJ16" s="28">
        <f t="shared" si="9"/>
        <v>150</v>
      </c>
    </row>
    <row r="17" spans="2:36">
      <c r="B17" s="25" t="s">
        <v>519</v>
      </c>
      <c r="C17" s="26">
        <v>420</v>
      </c>
      <c r="D17" s="26">
        <v>420</v>
      </c>
      <c r="E17" s="26">
        <v>390</v>
      </c>
      <c r="F17" s="26">
        <v>390</v>
      </c>
      <c r="G17" s="26">
        <v>390</v>
      </c>
      <c r="H17" s="26">
        <v>365</v>
      </c>
      <c r="I17" s="26">
        <v>365</v>
      </c>
      <c r="J17" s="26">
        <v>365</v>
      </c>
      <c r="K17" s="26">
        <v>90</v>
      </c>
      <c r="L17" s="26">
        <v>75</v>
      </c>
      <c r="M17" s="26">
        <v>55</v>
      </c>
      <c r="N17" s="26">
        <v>45</v>
      </c>
      <c r="O17" s="26">
        <v>35</v>
      </c>
      <c r="P17" s="26" t="s">
        <v>121</v>
      </c>
      <c r="Q17" s="26" t="s">
        <v>121</v>
      </c>
      <c r="R17" s="26">
        <v>90</v>
      </c>
      <c r="S17" s="26">
        <v>75</v>
      </c>
      <c r="T17" s="26">
        <v>55</v>
      </c>
      <c r="U17" s="26">
        <v>45</v>
      </c>
      <c r="V17" s="26">
        <v>35</v>
      </c>
      <c r="W17" s="26" t="s">
        <v>121</v>
      </c>
      <c r="X17" s="26" t="s">
        <v>121</v>
      </c>
      <c r="Y17" s="28">
        <f t="shared" si="10"/>
        <v>50</v>
      </c>
      <c r="Z17" s="28">
        <f t="shared" si="11"/>
        <v>40</v>
      </c>
      <c r="AA17" s="28">
        <f t="shared" si="0"/>
        <v>50</v>
      </c>
      <c r="AB17" s="28">
        <f t="shared" si="1"/>
        <v>40</v>
      </c>
      <c r="AC17" s="28">
        <f t="shared" si="2"/>
        <v>55</v>
      </c>
      <c r="AD17" s="28">
        <f t="shared" si="3"/>
        <v>45</v>
      </c>
      <c r="AE17" s="28">
        <f t="shared" si="4"/>
        <v>45</v>
      </c>
      <c r="AF17" s="28">
        <f t="shared" si="5"/>
        <v>35</v>
      </c>
      <c r="AG17" s="28">
        <f t="shared" si="6"/>
        <v>55</v>
      </c>
      <c r="AH17" s="28">
        <f t="shared" si="7"/>
        <v>45</v>
      </c>
      <c r="AI17" s="28">
        <f t="shared" si="8"/>
        <v>45</v>
      </c>
      <c r="AJ17" s="28">
        <f t="shared" si="9"/>
        <v>35</v>
      </c>
    </row>
    <row r="18" spans="2:36">
      <c r="B18" s="25" t="s">
        <v>520</v>
      </c>
      <c r="C18" s="26">
        <v>420</v>
      </c>
      <c r="D18" s="26">
        <v>420</v>
      </c>
      <c r="E18" s="26">
        <v>390</v>
      </c>
      <c r="F18" s="26">
        <v>390</v>
      </c>
      <c r="G18" s="26">
        <v>390</v>
      </c>
      <c r="H18" s="26">
        <v>365</v>
      </c>
      <c r="I18" s="26">
        <v>365</v>
      </c>
      <c r="J18" s="26">
        <v>365</v>
      </c>
      <c r="K18" s="26">
        <v>150</v>
      </c>
      <c r="L18" s="26">
        <v>150</v>
      </c>
      <c r="M18" s="26">
        <v>150</v>
      </c>
      <c r="N18" s="26">
        <v>150</v>
      </c>
      <c r="O18" s="26">
        <v>150</v>
      </c>
      <c r="P18" s="26" t="s">
        <v>121</v>
      </c>
      <c r="Q18" s="26" t="s">
        <v>121</v>
      </c>
      <c r="R18" s="26">
        <v>150</v>
      </c>
      <c r="S18" s="26">
        <v>150</v>
      </c>
      <c r="T18" s="26">
        <v>150</v>
      </c>
      <c r="U18" s="26">
        <v>150</v>
      </c>
      <c r="V18" s="26">
        <v>150</v>
      </c>
      <c r="W18" s="26" t="s">
        <v>121</v>
      </c>
      <c r="X18" s="26" t="s">
        <v>121</v>
      </c>
      <c r="Y18" s="28">
        <f t="shared" si="10"/>
        <v>150</v>
      </c>
      <c r="Z18" s="28">
        <f t="shared" si="11"/>
        <v>150</v>
      </c>
      <c r="AA18" s="28">
        <f t="shared" si="0"/>
        <v>150</v>
      </c>
      <c r="AB18" s="28">
        <f t="shared" si="1"/>
        <v>150</v>
      </c>
      <c r="AC18" s="28">
        <f t="shared" si="2"/>
        <v>150</v>
      </c>
      <c r="AD18" s="28">
        <f t="shared" si="3"/>
        <v>150</v>
      </c>
      <c r="AE18" s="28">
        <f t="shared" si="4"/>
        <v>150</v>
      </c>
      <c r="AF18" s="28">
        <f t="shared" si="5"/>
        <v>150</v>
      </c>
      <c r="AG18" s="28">
        <f t="shared" si="6"/>
        <v>150</v>
      </c>
      <c r="AH18" s="28">
        <f t="shared" si="7"/>
        <v>150</v>
      </c>
      <c r="AI18" s="28">
        <f t="shared" si="8"/>
        <v>150</v>
      </c>
      <c r="AJ18" s="28">
        <f t="shared" si="9"/>
        <v>150</v>
      </c>
    </row>
    <row r="19" spans="2:36">
      <c r="B19" s="3" t="s">
        <v>521</v>
      </c>
      <c r="C19" s="22">
        <v>420</v>
      </c>
      <c r="D19" s="22">
        <v>420</v>
      </c>
      <c r="E19" s="22">
        <v>390</v>
      </c>
      <c r="F19" s="22">
        <v>390</v>
      </c>
      <c r="G19" s="22">
        <v>390</v>
      </c>
      <c r="H19" s="22">
        <v>365</v>
      </c>
      <c r="I19" s="22">
        <v>365</v>
      </c>
      <c r="J19" s="22">
        <v>365</v>
      </c>
      <c r="K19" s="26">
        <v>150</v>
      </c>
      <c r="L19" s="26">
        <v>150</v>
      </c>
      <c r="M19" s="26">
        <v>150</v>
      </c>
      <c r="N19" s="26">
        <v>150</v>
      </c>
      <c r="O19" s="26">
        <v>150</v>
      </c>
      <c r="P19" s="26" t="s">
        <v>121</v>
      </c>
      <c r="Q19" s="26" t="s">
        <v>121</v>
      </c>
      <c r="R19" s="26">
        <v>150</v>
      </c>
      <c r="S19" s="26">
        <v>150</v>
      </c>
      <c r="T19" s="26">
        <v>150</v>
      </c>
      <c r="U19" s="26">
        <v>150</v>
      </c>
      <c r="V19" s="26">
        <v>150</v>
      </c>
      <c r="W19" s="26" t="s">
        <v>121</v>
      </c>
      <c r="X19" s="26" t="s">
        <v>121</v>
      </c>
      <c r="Y19" s="28">
        <f t="shared" si="10"/>
        <v>150</v>
      </c>
      <c r="Z19" s="28">
        <f t="shared" si="11"/>
        <v>150</v>
      </c>
      <c r="AA19" s="28">
        <f t="shared" si="0"/>
        <v>150</v>
      </c>
      <c r="AB19" s="28">
        <f t="shared" si="1"/>
        <v>150</v>
      </c>
      <c r="AC19" s="28">
        <f t="shared" si="2"/>
        <v>150</v>
      </c>
      <c r="AD19" s="28">
        <f t="shared" si="3"/>
        <v>150</v>
      </c>
      <c r="AE19" s="28">
        <f t="shared" si="4"/>
        <v>150</v>
      </c>
      <c r="AF19" s="28">
        <f t="shared" si="5"/>
        <v>150</v>
      </c>
      <c r="AG19" s="28">
        <f t="shared" si="6"/>
        <v>150</v>
      </c>
      <c r="AH19" s="28">
        <f t="shared" si="7"/>
        <v>150</v>
      </c>
      <c r="AI19" s="28">
        <f t="shared" si="8"/>
        <v>150</v>
      </c>
      <c r="AJ19" s="28">
        <f t="shared" si="9"/>
        <v>150</v>
      </c>
    </row>
    <row r="20" spans="2:36">
      <c r="B20" s="3" t="s">
        <v>522</v>
      </c>
      <c r="C20" s="22">
        <v>460</v>
      </c>
      <c r="D20" s="22">
        <v>460</v>
      </c>
      <c r="E20" s="22">
        <v>430</v>
      </c>
      <c r="F20" s="22">
        <v>430</v>
      </c>
      <c r="G20" s="22">
        <v>430</v>
      </c>
      <c r="H20" s="22">
        <v>390</v>
      </c>
      <c r="I20" s="22">
        <v>390</v>
      </c>
      <c r="J20" s="22">
        <v>390</v>
      </c>
      <c r="K20" s="26">
        <v>90</v>
      </c>
      <c r="L20" s="26">
        <v>75</v>
      </c>
      <c r="M20" s="26">
        <v>55</v>
      </c>
      <c r="N20" s="26">
        <v>45</v>
      </c>
      <c r="O20" s="26">
        <v>35</v>
      </c>
      <c r="P20" s="26" t="s">
        <v>121</v>
      </c>
      <c r="Q20" s="26" t="s">
        <v>121</v>
      </c>
      <c r="R20" s="26">
        <v>90</v>
      </c>
      <c r="S20" s="26">
        <v>75</v>
      </c>
      <c r="T20" s="26">
        <v>55</v>
      </c>
      <c r="U20" s="26">
        <v>45</v>
      </c>
      <c r="V20" s="26">
        <v>35</v>
      </c>
      <c r="W20" s="26" t="s">
        <v>121</v>
      </c>
      <c r="X20" s="26" t="s">
        <v>121</v>
      </c>
      <c r="Y20" s="28">
        <f t="shared" si="10"/>
        <v>50</v>
      </c>
      <c r="Z20" s="28">
        <f t="shared" si="11"/>
        <v>40</v>
      </c>
      <c r="AA20" s="28">
        <f t="shared" si="0"/>
        <v>50</v>
      </c>
      <c r="AB20" s="28">
        <f t="shared" si="1"/>
        <v>40</v>
      </c>
      <c r="AC20" s="28">
        <f t="shared" si="2"/>
        <v>55</v>
      </c>
      <c r="AD20" s="28">
        <f t="shared" si="3"/>
        <v>45</v>
      </c>
      <c r="AE20" s="28">
        <f t="shared" si="4"/>
        <v>45</v>
      </c>
      <c r="AF20" s="28">
        <f t="shared" si="5"/>
        <v>35</v>
      </c>
      <c r="AG20" s="28">
        <f t="shared" si="6"/>
        <v>55</v>
      </c>
      <c r="AH20" s="28">
        <f t="shared" si="7"/>
        <v>45</v>
      </c>
      <c r="AI20" s="28">
        <f t="shared" si="8"/>
        <v>45</v>
      </c>
      <c r="AJ20" s="28">
        <f t="shared" si="9"/>
        <v>35</v>
      </c>
    </row>
    <row r="21" spans="2:36">
      <c r="B21" s="3" t="s">
        <v>523</v>
      </c>
      <c r="C21" s="22">
        <v>460</v>
      </c>
      <c r="D21" s="22">
        <v>460</v>
      </c>
      <c r="E21" s="22">
        <v>430</v>
      </c>
      <c r="F21" s="22">
        <v>430</v>
      </c>
      <c r="G21" s="22">
        <v>430</v>
      </c>
      <c r="H21" s="22">
        <v>390</v>
      </c>
      <c r="I21" s="22">
        <v>390</v>
      </c>
      <c r="J21" s="22">
        <v>390</v>
      </c>
      <c r="K21" s="26">
        <v>150</v>
      </c>
      <c r="L21" s="26">
        <v>150</v>
      </c>
      <c r="M21" s="26">
        <v>150</v>
      </c>
      <c r="N21" s="26">
        <v>90</v>
      </c>
      <c r="O21" s="26">
        <v>70</v>
      </c>
      <c r="P21" s="26" t="s">
        <v>121</v>
      </c>
      <c r="Q21" s="26" t="s">
        <v>121</v>
      </c>
      <c r="R21" s="26">
        <v>150</v>
      </c>
      <c r="S21" s="26">
        <v>150</v>
      </c>
      <c r="T21" s="26">
        <v>150</v>
      </c>
      <c r="U21" s="26">
        <v>90</v>
      </c>
      <c r="V21" s="26">
        <v>70</v>
      </c>
      <c r="W21" s="26" t="s">
        <v>121</v>
      </c>
      <c r="X21" s="26" t="s">
        <v>121</v>
      </c>
      <c r="Y21" s="28">
        <f t="shared" si="10"/>
        <v>120</v>
      </c>
      <c r="Z21" s="28">
        <f t="shared" si="11"/>
        <v>80</v>
      </c>
      <c r="AA21" s="28">
        <f t="shared" si="0"/>
        <v>120</v>
      </c>
      <c r="AB21" s="28">
        <f t="shared" si="1"/>
        <v>80</v>
      </c>
      <c r="AC21" s="28">
        <f t="shared" si="2"/>
        <v>150</v>
      </c>
      <c r="AD21" s="28">
        <f t="shared" si="3"/>
        <v>90</v>
      </c>
      <c r="AE21" s="28">
        <f t="shared" si="4"/>
        <v>90</v>
      </c>
      <c r="AF21" s="28">
        <f t="shared" si="5"/>
        <v>70</v>
      </c>
      <c r="AG21" s="28">
        <f t="shared" si="6"/>
        <v>150</v>
      </c>
      <c r="AH21" s="28">
        <f t="shared" si="7"/>
        <v>90</v>
      </c>
      <c r="AI21" s="28">
        <f t="shared" si="8"/>
        <v>90</v>
      </c>
      <c r="AJ21" s="28">
        <f t="shared" si="9"/>
        <v>70</v>
      </c>
    </row>
    <row r="22" spans="2:36">
      <c r="B22" s="3" t="s">
        <v>524</v>
      </c>
      <c r="C22" s="22">
        <v>460</v>
      </c>
      <c r="D22" s="22">
        <v>460</v>
      </c>
      <c r="E22" s="22">
        <v>430</v>
      </c>
      <c r="F22" s="22">
        <v>430</v>
      </c>
      <c r="G22" s="22">
        <v>430</v>
      </c>
      <c r="H22" s="22">
        <v>390</v>
      </c>
      <c r="I22" s="22">
        <v>390</v>
      </c>
      <c r="J22" s="22">
        <v>390</v>
      </c>
      <c r="K22" s="26">
        <v>150</v>
      </c>
      <c r="L22" s="26">
        <v>150</v>
      </c>
      <c r="M22" s="26">
        <v>150</v>
      </c>
      <c r="N22" s="26">
        <v>150</v>
      </c>
      <c r="O22" s="26">
        <v>150</v>
      </c>
      <c r="P22" s="26" t="s">
        <v>121</v>
      </c>
      <c r="Q22" s="26" t="s">
        <v>121</v>
      </c>
      <c r="R22" s="26">
        <v>150</v>
      </c>
      <c r="S22" s="26">
        <v>150</v>
      </c>
      <c r="T22" s="26">
        <v>150</v>
      </c>
      <c r="U22" s="26">
        <v>150</v>
      </c>
      <c r="V22" s="26">
        <v>150</v>
      </c>
      <c r="W22" s="26" t="s">
        <v>121</v>
      </c>
      <c r="X22" s="26" t="s">
        <v>121</v>
      </c>
      <c r="Y22" s="28">
        <f t="shared" si="10"/>
        <v>150</v>
      </c>
      <c r="Z22" s="28">
        <f t="shared" si="11"/>
        <v>150</v>
      </c>
      <c r="AA22" s="28">
        <f t="shared" si="0"/>
        <v>150</v>
      </c>
      <c r="AB22" s="28">
        <f t="shared" si="1"/>
        <v>150</v>
      </c>
      <c r="AC22" s="28">
        <f t="shared" si="2"/>
        <v>150</v>
      </c>
      <c r="AD22" s="28">
        <f t="shared" si="3"/>
        <v>150</v>
      </c>
      <c r="AE22" s="28">
        <f t="shared" si="4"/>
        <v>150</v>
      </c>
      <c r="AF22" s="28">
        <f t="shared" si="5"/>
        <v>150</v>
      </c>
      <c r="AG22" s="28">
        <f t="shared" si="6"/>
        <v>150</v>
      </c>
      <c r="AH22" s="28">
        <f t="shared" si="7"/>
        <v>150</v>
      </c>
      <c r="AI22" s="28">
        <f t="shared" si="8"/>
        <v>150</v>
      </c>
      <c r="AJ22" s="28">
        <f t="shared" si="9"/>
        <v>150</v>
      </c>
    </row>
  </sheetData>
  <mergeCells count="9">
    <mergeCell ref="AC2:AJ2"/>
    <mergeCell ref="AG4:AH4"/>
    <mergeCell ref="AI4:AJ4"/>
    <mergeCell ref="K4:Q4"/>
    <mergeCell ref="R4:X4"/>
    <mergeCell ref="Y4:Z4"/>
    <mergeCell ref="AA4:AB4"/>
    <mergeCell ref="AC4:AD4"/>
    <mergeCell ref="AE4:AF4"/>
  </mergeCells>
  <pageMargins left="0.7" right="0.7" top="0.78740157499999996" bottom="0.78740157499999996"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BC163-1C80-4A20-80C1-B5F1401385B4}">
  <sheetPr codeName="Tabelle17">
    <tabColor rgb="FF008F85"/>
  </sheetPr>
  <dimension ref="A4:W216"/>
  <sheetViews>
    <sheetView workbookViewId="0">
      <selection activeCell="E33" sqref="E33"/>
    </sheetView>
  </sheetViews>
  <sheetFormatPr baseColWidth="10" defaultColWidth="10.5546875" defaultRowHeight="14.4"/>
  <cols>
    <col min="1" max="1" width="10.5546875" customWidth="1"/>
    <col min="2" max="11" width="15.5546875" customWidth="1"/>
    <col min="12" max="13" width="30.5546875" customWidth="1"/>
    <col min="14" max="22" width="15.5546875" customWidth="1"/>
  </cols>
  <sheetData>
    <row r="4" spans="1:23">
      <c r="B4" s="52" t="s">
        <v>0</v>
      </c>
      <c r="C4" s="52" t="s">
        <v>1</v>
      </c>
      <c r="D4" s="52" t="s">
        <v>2</v>
      </c>
      <c r="E4" s="52" t="s">
        <v>3</v>
      </c>
      <c r="F4" s="52" t="s">
        <v>4</v>
      </c>
      <c r="G4" s="52" t="s">
        <v>5</v>
      </c>
      <c r="H4" s="52" t="s">
        <v>6</v>
      </c>
      <c r="I4" s="52" t="s">
        <v>7</v>
      </c>
      <c r="J4" s="52" t="s">
        <v>8</v>
      </c>
      <c r="K4" s="52" t="s">
        <v>359</v>
      </c>
      <c r="L4" s="289" t="s">
        <v>360</v>
      </c>
      <c r="M4" s="290"/>
      <c r="N4" s="291"/>
      <c r="O4" s="52" t="s">
        <v>361</v>
      </c>
      <c r="P4" s="53">
        <v>0</v>
      </c>
      <c r="Q4" s="99"/>
      <c r="R4" s="99"/>
      <c r="S4" s="99"/>
    </row>
    <row r="5" spans="1:23">
      <c r="B5" s="52"/>
      <c r="C5" s="52" t="s">
        <v>362</v>
      </c>
      <c r="D5" s="52" t="s">
        <v>362</v>
      </c>
      <c r="E5" s="52" t="s">
        <v>9</v>
      </c>
      <c r="F5" s="52" t="s">
        <v>9</v>
      </c>
      <c r="G5" s="52" t="s">
        <v>10</v>
      </c>
      <c r="H5" s="52" t="s">
        <v>9</v>
      </c>
      <c r="I5" s="52" t="s">
        <v>11</v>
      </c>
      <c r="J5" s="52" t="s">
        <v>12</v>
      </c>
      <c r="K5" s="52" t="s">
        <v>363</v>
      </c>
      <c r="L5" s="52" t="s">
        <v>364</v>
      </c>
      <c r="M5" s="52" t="s">
        <v>365</v>
      </c>
      <c r="N5" s="52" t="s">
        <v>366</v>
      </c>
      <c r="P5" s="99"/>
      <c r="Q5" s="99"/>
      <c r="R5" s="99"/>
      <c r="S5" s="99"/>
    </row>
    <row r="6" spans="1:23">
      <c r="A6" s="39"/>
      <c r="B6" s="100"/>
      <c r="C6" s="100"/>
      <c r="D6" s="100"/>
      <c r="E6" s="100"/>
      <c r="F6" s="100"/>
      <c r="G6" s="100"/>
      <c r="H6" s="100"/>
      <c r="I6" s="100"/>
      <c r="J6" s="100"/>
      <c r="K6" s="100"/>
      <c r="L6" s="100"/>
      <c r="M6" s="100"/>
      <c r="N6" s="100"/>
      <c r="P6" s="99"/>
      <c r="Q6" s="99"/>
      <c r="R6" s="99"/>
      <c r="S6" s="99"/>
    </row>
    <row r="7" spans="1:23">
      <c r="A7" s="39"/>
      <c r="B7" s="100"/>
      <c r="C7" s="100"/>
      <c r="D7" s="100"/>
      <c r="E7" s="100"/>
      <c r="F7" s="100"/>
      <c r="G7" s="100"/>
      <c r="H7" s="100"/>
      <c r="I7" s="100"/>
      <c r="J7" s="100"/>
      <c r="K7" s="100"/>
      <c r="L7" s="100"/>
      <c r="M7" s="100"/>
      <c r="N7" s="100"/>
      <c r="P7" s="99"/>
      <c r="Q7" s="282" t="s">
        <v>367</v>
      </c>
      <c r="R7" s="282"/>
      <c r="S7" s="99"/>
    </row>
    <row r="8" spans="1:23">
      <c r="A8" s="39"/>
      <c r="B8" s="100"/>
      <c r="C8" s="100"/>
      <c r="D8" s="100"/>
      <c r="E8" s="100"/>
      <c r="F8" s="100"/>
      <c r="G8" s="100"/>
      <c r="H8" s="100"/>
      <c r="I8" s="100"/>
      <c r="J8" s="100"/>
      <c r="K8" s="100"/>
      <c r="L8" s="100"/>
      <c r="M8" s="100"/>
      <c r="N8" s="100"/>
      <c r="P8" s="99"/>
      <c r="Q8" s="52" t="s">
        <v>368</v>
      </c>
      <c r="R8" s="44">
        <v>-1</v>
      </c>
      <c r="S8" s="99"/>
    </row>
    <row r="9" spans="1:23">
      <c r="A9" s="39"/>
      <c r="B9" s="100"/>
      <c r="C9" s="100"/>
      <c r="D9" s="100"/>
      <c r="E9" s="100"/>
      <c r="F9" s="100"/>
      <c r="G9" s="100"/>
      <c r="H9" s="100"/>
      <c r="I9" s="100"/>
      <c r="J9" s="100"/>
      <c r="K9" s="100"/>
      <c r="L9" s="100"/>
      <c r="M9" s="100"/>
      <c r="N9" s="100"/>
      <c r="P9" s="99"/>
      <c r="Q9" s="52" t="s">
        <v>369</v>
      </c>
      <c r="R9" s="44">
        <v>0</v>
      </c>
      <c r="S9" s="99"/>
    </row>
    <row r="10" spans="1:23">
      <c r="A10" s="39"/>
      <c r="B10" s="100"/>
      <c r="C10" s="100"/>
      <c r="D10" s="100"/>
      <c r="E10" s="100"/>
      <c r="F10" s="100"/>
      <c r="G10" s="100"/>
      <c r="H10" s="100"/>
      <c r="I10" s="100"/>
      <c r="J10" s="100"/>
      <c r="K10" s="100"/>
      <c r="L10" s="100"/>
      <c r="M10" s="100"/>
      <c r="N10" s="100"/>
    </row>
    <row r="11" spans="1:23">
      <c r="A11" s="39"/>
      <c r="B11" s="100"/>
      <c r="C11" s="100"/>
      <c r="D11" s="100"/>
      <c r="E11" s="100"/>
      <c r="F11" s="100"/>
      <c r="G11" s="100"/>
      <c r="H11" s="100"/>
      <c r="I11" s="100"/>
      <c r="J11" s="100"/>
      <c r="K11" s="100"/>
      <c r="L11" s="100"/>
      <c r="M11" s="100"/>
      <c r="N11" s="100"/>
      <c r="P11" s="99"/>
      <c r="Q11" s="52" t="s">
        <v>370</v>
      </c>
      <c r="R11" s="292" t="s">
        <v>371</v>
      </c>
      <c r="S11" s="293"/>
      <c r="T11" s="293"/>
      <c r="U11" s="293"/>
      <c r="V11" s="294"/>
    </row>
    <row r="12" spans="1:23">
      <c r="A12" s="39"/>
      <c r="B12" s="100"/>
      <c r="C12" s="100"/>
      <c r="D12" s="100"/>
      <c r="E12" s="100"/>
      <c r="F12" s="100"/>
      <c r="G12" s="100"/>
      <c r="H12" s="100"/>
      <c r="I12" s="100"/>
      <c r="J12" s="100"/>
      <c r="K12" s="100"/>
      <c r="L12" s="100"/>
      <c r="M12" s="100"/>
      <c r="N12" s="100"/>
    </row>
    <row r="13" spans="1:23">
      <c r="A13" s="39"/>
      <c r="B13" s="100"/>
      <c r="C13" s="100"/>
      <c r="D13" s="100"/>
      <c r="E13" s="100"/>
      <c r="F13" s="100"/>
      <c r="G13" s="100"/>
      <c r="H13" s="100"/>
      <c r="I13" s="100"/>
      <c r="J13" s="100"/>
      <c r="K13" s="100"/>
      <c r="L13" s="100"/>
      <c r="M13" s="100"/>
      <c r="N13" s="100"/>
    </row>
    <row r="14" spans="1:23">
      <c r="A14" s="39"/>
      <c r="B14" s="100"/>
      <c r="C14" s="100"/>
      <c r="D14" s="100"/>
      <c r="E14" s="100"/>
      <c r="F14" s="100"/>
      <c r="G14" s="100"/>
      <c r="H14" s="100"/>
      <c r="I14" s="100"/>
      <c r="J14" s="100"/>
      <c r="K14" s="100"/>
      <c r="L14" s="100"/>
      <c r="M14" s="100"/>
      <c r="N14" s="100"/>
    </row>
    <row r="15" spans="1:23">
      <c r="A15" s="39"/>
      <c r="B15" s="100"/>
      <c r="C15" s="100"/>
      <c r="D15" s="100"/>
      <c r="E15" s="100"/>
      <c r="F15" s="100"/>
      <c r="G15" s="100"/>
      <c r="H15" s="100"/>
      <c r="I15" s="100"/>
      <c r="J15" s="100"/>
      <c r="K15" s="100"/>
    </row>
    <row r="16" spans="1:23">
      <c r="A16" s="39"/>
      <c r="B16" s="100"/>
      <c r="C16" s="100"/>
      <c r="D16" s="100"/>
      <c r="E16" s="100"/>
      <c r="F16" s="100"/>
      <c r="G16" s="100"/>
      <c r="H16" s="100"/>
      <c r="I16" s="100"/>
      <c r="J16" s="100"/>
      <c r="K16" s="100"/>
      <c r="L16" s="52" t="s">
        <v>432</v>
      </c>
      <c r="M16" s="283">
        <v>460</v>
      </c>
      <c r="N16" s="285"/>
      <c r="Q16" s="295" t="s">
        <v>372</v>
      </c>
      <c r="R16" s="296"/>
      <c r="S16" s="296"/>
      <c r="T16" s="296"/>
      <c r="U16" s="297"/>
      <c r="V16" s="99"/>
      <c r="W16" s="99"/>
    </row>
    <row r="17" spans="1:23">
      <c r="A17" s="39"/>
      <c r="B17" s="100"/>
      <c r="C17" s="100"/>
      <c r="D17" s="100"/>
      <c r="E17" s="100"/>
      <c r="F17" s="100"/>
      <c r="G17" s="100"/>
      <c r="H17" s="100"/>
      <c r="I17" s="100"/>
      <c r="J17" s="100"/>
      <c r="K17" s="100"/>
      <c r="Q17" s="298"/>
      <c r="R17" s="299"/>
      <c r="S17" s="299"/>
      <c r="T17" s="299"/>
      <c r="U17" s="300"/>
      <c r="V17" s="99"/>
      <c r="W17" s="99"/>
    </row>
    <row r="18" spans="1:23">
      <c r="A18" s="39"/>
      <c r="B18" s="100"/>
      <c r="C18" s="100"/>
      <c r="D18" s="100"/>
      <c r="E18" s="100"/>
      <c r="F18" s="100"/>
      <c r="G18" s="100"/>
      <c r="H18" s="100"/>
      <c r="I18" s="100"/>
      <c r="J18" s="100"/>
      <c r="K18" s="100"/>
      <c r="L18" s="282" t="s">
        <v>373</v>
      </c>
      <c r="M18" s="282"/>
      <c r="N18" s="282"/>
      <c r="Q18" s="298"/>
      <c r="R18" s="299"/>
      <c r="S18" s="299"/>
      <c r="T18" s="299"/>
      <c r="U18" s="300"/>
      <c r="V18" s="99"/>
      <c r="W18" s="99"/>
    </row>
    <row r="19" spans="1:23">
      <c r="A19" s="39"/>
      <c r="B19" s="100"/>
      <c r="C19" s="100"/>
      <c r="D19" s="100"/>
      <c r="E19" s="100"/>
      <c r="F19" s="100"/>
      <c r="G19" s="100"/>
      <c r="H19" s="100"/>
      <c r="I19" s="100"/>
      <c r="J19" s="100"/>
      <c r="K19" s="100"/>
      <c r="L19" s="52" t="s">
        <v>374</v>
      </c>
      <c r="M19" s="304"/>
      <c r="N19" s="304"/>
      <c r="O19" s="101"/>
      <c r="Q19" s="298"/>
      <c r="R19" s="299"/>
      <c r="S19" s="299"/>
      <c r="T19" s="299"/>
      <c r="U19" s="300"/>
      <c r="V19" s="99"/>
      <c r="W19" s="99"/>
    </row>
    <row r="20" spans="1:23">
      <c r="A20" s="39"/>
      <c r="B20" s="100"/>
      <c r="C20" s="100"/>
      <c r="D20" s="100"/>
      <c r="E20" s="100"/>
      <c r="F20" s="100"/>
      <c r="G20" s="100"/>
      <c r="H20" s="100"/>
      <c r="I20" s="100"/>
      <c r="J20" s="100"/>
      <c r="K20" s="100"/>
      <c r="L20" s="52" t="s">
        <v>375</v>
      </c>
      <c r="M20" s="282" t="s">
        <v>9</v>
      </c>
      <c r="N20" s="282"/>
      <c r="O20" s="101"/>
      <c r="Q20" s="298"/>
      <c r="R20" s="299"/>
      <c r="S20" s="299"/>
      <c r="T20" s="299"/>
      <c r="U20" s="300"/>
      <c r="V20" s="99"/>
      <c r="W20" s="99"/>
    </row>
    <row r="21" spans="1:23">
      <c r="A21" s="39"/>
      <c r="B21" s="100"/>
      <c r="C21" s="100"/>
      <c r="D21" s="100"/>
      <c r="E21" s="100"/>
      <c r="F21" s="100"/>
      <c r="G21" s="100"/>
      <c r="H21" s="100"/>
      <c r="I21" s="100"/>
      <c r="J21" s="100"/>
      <c r="K21" s="100"/>
      <c r="L21" s="52" t="s">
        <v>376</v>
      </c>
      <c r="M21" s="304"/>
      <c r="N21" s="304"/>
      <c r="O21" s="101"/>
      <c r="Q21" s="298"/>
      <c r="R21" s="299"/>
      <c r="S21" s="299"/>
      <c r="T21" s="299"/>
      <c r="U21" s="300"/>
      <c r="V21" s="99"/>
      <c r="W21" s="99"/>
    </row>
    <row r="22" spans="1:23">
      <c r="A22" s="39"/>
      <c r="B22" s="100"/>
      <c r="C22" s="100"/>
      <c r="D22" s="100"/>
      <c r="E22" s="100"/>
      <c r="F22" s="100"/>
      <c r="G22" s="100"/>
      <c r="H22" s="100"/>
      <c r="I22" s="100"/>
      <c r="J22" s="100"/>
      <c r="K22" s="100"/>
      <c r="L22" s="282" t="s">
        <v>377</v>
      </c>
      <c r="M22" s="282"/>
      <c r="N22" s="282"/>
      <c r="Q22" s="298"/>
      <c r="R22" s="299"/>
      <c r="S22" s="299"/>
      <c r="T22" s="299"/>
      <c r="U22" s="300"/>
      <c r="V22" s="99"/>
      <c r="W22" s="99"/>
    </row>
    <row r="23" spans="1:23">
      <c r="A23" s="39"/>
      <c r="B23" s="100"/>
      <c r="C23" s="100"/>
      <c r="D23" s="100"/>
      <c r="E23" s="100"/>
      <c r="F23" s="100"/>
      <c r="G23" s="100"/>
      <c r="H23" s="100"/>
      <c r="I23" s="100"/>
      <c r="J23" s="100"/>
      <c r="K23" s="100"/>
      <c r="L23" s="52" t="s">
        <v>375</v>
      </c>
      <c r="M23" s="52" t="s">
        <v>9</v>
      </c>
      <c r="N23" s="52" t="s">
        <v>378</v>
      </c>
      <c r="Q23" s="298"/>
      <c r="R23" s="299"/>
      <c r="S23" s="299"/>
      <c r="T23" s="299"/>
      <c r="U23" s="300"/>
      <c r="V23" s="99"/>
      <c r="W23" s="99"/>
    </row>
    <row r="24" spans="1:23">
      <c r="A24" s="39"/>
      <c r="B24" s="100"/>
      <c r="C24" s="100"/>
      <c r="D24" s="100"/>
      <c r="E24" s="100"/>
      <c r="F24" s="100"/>
      <c r="G24" s="100"/>
      <c r="H24" s="100"/>
      <c r="I24" s="100"/>
      <c r="J24" s="100"/>
      <c r="K24" s="100"/>
      <c r="L24" s="53"/>
      <c r="M24" s="53"/>
      <c r="N24" s="53"/>
      <c r="Q24" s="298"/>
      <c r="R24" s="299"/>
      <c r="S24" s="299"/>
      <c r="T24" s="299"/>
      <c r="U24" s="300"/>
      <c r="V24" s="99"/>
      <c r="W24" s="99"/>
    </row>
    <row r="25" spans="1:23">
      <c r="A25" s="39"/>
      <c r="B25" s="100"/>
      <c r="C25" s="100"/>
      <c r="D25" s="100"/>
      <c r="E25" s="100"/>
      <c r="F25" s="100"/>
      <c r="G25" s="100"/>
      <c r="H25" s="100"/>
      <c r="I25" s="100"/>
      <c r="J25" s="100"/>
      <c r="K25" s="100"/>
      <c r="L25" s="53"/>
      <c r="M25" s="53"/>
      <c r="N25" s="53"/>
      <c r="Q25" s="298"/>
      <c r="R25" s="299"/>
      <c r="S25" s="299"/>
      <c r="T25" s="299"/>
      <c r="U25" s="300"/>
      <c r="V25" s="99"/>
      <c r="W25" s="99"/>
    </row>
    <row r="26" spans="1:23">
      <c r="A26" s="39"/>
      <c r="B26" s="100"/>
      <c r="C26" s="100"/>
      <c r="D26" s="100"/>
      <c r="E26" s="100"/>
      <c r="F26" s="100"/>
      <c r="G26" s="100"/>
      <c r="H26" s="100"/>
      <c r="I26" s="100"/>
      <c r="J26" s="100"/>
      <c r="K26" s="100"/>
      <c r="L26" s="53"/>
      <c r="M26" s="53"/>
      <c r="N26" s="53"/>
      <c r="Q26" s="298"/>
      <c r="R26" s="299"/>
      <c r="S26" s="299"/>
      <c r="T26" s="299"/>
      <c r="U26" s="300"/>
      <c r="V26" s="99"/>
      <c r="W26" s="99"/>
    </row>
    <row r="27" spans="1:23">
      <c r="A27" s="39"/>
      <c r="B27" s="100"/>
      <c r="C27" s="100"/>
      <c r="D27" s="100"/>
      <c r="E27" s="100"/>
      <c r="F27" s="100"/>
      <c r="G27" s="100"/>
      <c r="H27" s="100"/>
      <c r="I27" s="100"/>
      <c r="J27" s="100"/>
      <c r="K27" s="100"/>
      <c r="L27" s="53"/>
      <c r="M27" s="53"/>
      <c r="N27" s="53"/>
      <c r="Q27" s="298"/>
      <c r="R27" s="299"/>
      <c r="S27" s="299"/>
      <c r="T27" s="299"/>
      <c r="U27" s="300"/>
      <c r="V27" s="99"/>
      <c r="W27" s="99"/>
    </row>
    <row r="28" spans="1:23">
      <c r="A28" s="39"/>
      <c r="B28" s="100"/>
      <c r="C28" s="100"/>
      <c r="D28" s="100"/>
      <c r="E28" s="100"/>
      <c r="F28" s="100"/>
      <c r="G28" s="100"/>
      <c r="H28" s="100"/>
      <c r="I28" s="100"/>
      <c r="J28" s="100"/>
      <c r="K28" s="100"/>
      <c r="L28" s="53"/>
      <c r="M28" s="53"/>
      <c r="N28" s="53"/>
      <c r="Q28" s="298"/>
      <c r="R28" s="299"/>
      <c r="S28" s="299"/>
      <c r="T28" s="299"/>
      <c r="U28" s="300"/>
      <c r="V28" s="99"/>
      <c r="W28" s="99"/>
    </row>
    <row r="29" spans="1:23">
      <c r="A29" s="39"/>
      <c r="B29" s="100"/>
      <c r="C29" s="100"/>
      <c r="D29" s="100"/>
      <c r="E29" s="100"/>
      <c r="F29" s="100"/>
      <c r="G29" s="100"/>
      <c r="H29" s="100"/>
      <c r="I29" s="100"/>
      <c r="J29" s="100"/>
      <c r="K29" s="100"/>
      <c r="L29" s="53"/>
      <c r="M29" s="53"/>
      <c r="N29" s="53"/>
      <c r="Q29" s="298"/>
      <c r="R29" s="299"/>
      <c r="S29" s="299"/>
      <c r="T29" s="299"/>
      <c r="U29" s="300"/>
      <c r="V29" s="99"/>
      <c r="W29" s="99"/>
    </row>
    <row r="30" spans="1:23">
      <c r="A30" s="39"/>
      <c r="B30" s="100"/>
      <c r="C30" s="100"/>
      <c r="D30" s="100"/>
      <c r="E30" s="100"/>
      <c r="F30" s="100"/>
      <c r="G30" s="100"/>
      <c r="H30" s="100"/>
      <c r="I30" s="100"/>
      <c r="J30" s="100"/>
      <c r="K30" s="100"/>
      <c r="L30" s="53"/>
      <c r="M30" s="53"/>
      <c r="N30" s="53"/>
      <c r="Q30" s="298"/>
      <c r="R30" s="299"/>
      <c r="S30" s="299"/>
      <c r="T30" s="299"/>
      <c r="U30" s="300"/>
      <c r="V30" s="99"/>
      <c r="W30" s="99"/>
    </row>
    <row r="31" spans="1:23">
      <c r="A31" s="39"/>
      <c r="B31" s="100"/>
      <c r="C31" s="100"/>
      <c r="D31" s="100"/>
      <c r="E31" s="100"/>
      <c r="F31" s="100"/>
      <c r="G31" s="100"/>
      <c r="H31" s="100"/>
      <c r="I31" s="100"/>
      <c r="J31" s="100"/>
      <c r="K31" s="100"/>
      <c r="L31" s="53"/>
      <c r="M31" s="53"/>
      <c r="N31" s="53"/>
      <c r="Q31" s="298"/>
      <c r="R31" s="299"/>
      <c r="S31" s="299"/>
      <c r="T31" s="299"/>
      <c r="U31" s="300"/>
      <c r="V31" s="99"/>
      <c r="W31" s="99"/>
    </row>
    <row r="32" spans="1:23">
      <c r="A32" s="39"/>
      <c r="B32" s="100"/>
      <c r="C32" s="100"/>
      <c r="D32" s="100"/>
      <c r="E32" s="100"/>
      <c r="F32" s="100"/>
      <c r="G32" s="100"/>
      <c r="H32" s="100"/>
      <c r="I32" s="100"/>
      <c r="J32" s="100"/>
      <c r="K32" s="100"/>
      <c r="Q32" s="298"/>
      <c r="R32" s="299"/>
      <c r="S32" s="299"/>
      <c r="T32" s="299"/>
      <c r="U32" s="300"/>
      <c r="V32" s="99"/>
      <c r="W32" s="99"/>
    </row>
    <row r="33" spans="1:23">
      <c r="A33" s="39"/>
      <c r="B33" s="100"/>
      <c r="C33" s="100"/>
      <c r="D33" s="100"/>
      <c r="E33" s="100"/>
      <c r="F33" s="100"/>
      <c r="G33" s="100"/>
      <c r="H33" s="100"/>
      <c r="I33" s="100"/>
      <c r="J33" s="100"/>
      <c r="K33" s="100"/>
      <c r="L33" s="282" t="s">
        <v>379</v>
      </c>
      <c r="M33" s="282"/>
      <c r="N33" s="282"/>
      <c r="Q33" s="298"/>
      <c r="R33" s="299"/>
      <c r="S33" s="299"/>
      <c r="T33" s="299"/>
      <c r="U33" s="300"/>
      <c r="V33" s="99"/>
      <c r="W33" s="99"/>
    </row>
    <row r="34" spans="1:23">
      <c r="A34" s="39"/>
      <c r="B34" s="100"/>
      <c r="C34" s="100"/>
      <c r="D34" s="100"/>
      <c r="E34" s="100"/>
      <c r="F34" s="100"/>
      <c r="G34" s="100"/>
      <c r="H34" s="100"/>
      <c r="I34" s="100"/>
      <c r="J34" s="100"/>
      <c r="K34" s="100"/>
      <c r="L34" s="52" t="s">
        <v>380</v>
      </c>
      <c r="M34" s="52" t="s">
        <v>381</v>
      </c>
      <c r="N34" s="52" t="s">
        <v>382</v>
      </c>
      <c r="Q34" s="298"/>
      <c r="R34" s="299"/>
      <c r="S34" s="299"/>
      <c r="T34" s="299"/>
      <c r="U34" s="300"/>
      <c r="V34" s="99"/>
      <c r="W34" s="99"/>
    </row>
    <row r="35" spans="1:23">
      <c r="B35" s="100"/>
      <c r="C35" s="100"/>
      <c r="D35" s="100"/>
      <c r="E35" s="100"/>
      <c r="F35" s="100"/>
      <c r="G35" s="100"/>
      <c r="H35" s="100"/>
      <c r="I35" s="100"/>
      <c r="J35" s="100"/>
      <c r="K35" s="100"/>
      <c r="L35" s="53" t="s">
        <v>383</v>
      </c>
      <c r="M35" s="53" t="s">
        <v>384</v>
      </c>
      <c r="N35" s="53">
        <v>7850</v>
      </c>
      <c r="Q35" s="298"/>
      <c r="R35" s="299"/>
      <c r="S35" s="299"/>
      <c r="T35" s="299"/>
      <c r="U35" s="300"/>
    </row>
    <row r="36" spans="1:23">
      <c r="B36" s="100"/>
      <c r="C36" s="100"/>
      <c r="D36" s="100"/>
      <c r="E36" s="100"/>
      <c r="F36" s="100"/>
      <c r="G36" s="100"/>
      <c r="H36" s="100"/>
      <c r="I36" s="100"/>
      <c r="J36" s="100"/>
      <c r="K36" s="100"/>
      <c r="L36" s="53" t="s">
        <v>385</v>
      </c>
      <c r="M36" s="53" t="s">
        <v>386</v>
      </c>
      <c r="N36" s="53">
        <v>210000000000</v>
      </c>
      <c r="Q36" s="298"/>
      <c r="R36" s="299"/>
      <c r="S36" s="299"/>
      <c r="T36" s="299"/>
      <c r="U36" s="300"/>
    </row>
    <row r="37" spans="1:23">
      <c r="B37" s="100"/>
      <c r="C37" s="100"/>
      <c r="D37" s="100"/>
      <c r="E37" s="100"/>
      <c r="F37" s="100"/>
      <c r="G37" s="100"/>
      <c r="H37" s="100"/>
      <c r="I37" s="100"/>
      <c r="J37" s="100"/>
      <c r="K37" s="100"/>
      <c r="L37" s="53"/>
      <c r="M37" s="53"/>
      <c r="N37" s="53"/>
      <c r="Q37" s="298"/>
      <c r="R37" s="299"/>
      <c r="S37" s="299"/>
      <c r="T37" s="299"/>
      <c r="U37" s="300"/>
    </row>
    <row r="38" spans="1:23">
      <c r="B38" s="100"/>
      <c r="C38" s="100"/>
      <c r="D38" s="100"/>
      <c r="E38" s="100"/>
      <c r="F38" s="100"/>
      <c r="G38" s="100"/>
      <c r="H38" s="100"/>
      <c r="I38" s="100"/>
      <c r="J38" s="100"/>
      <c r="K38" s="100"/>
      <c r="Q38" s="301"/>
      <c r="R38" s="302"/>
      <c r="S38" s="302"/>
      <c r="T38" s="302"/>
      <c r="U38" s="303"/>
    </row>
    <row r="39" spans="1:23">
      <c r="B39" s="100"/>
      <c r="C39" s="100"/>
      <c r="D39" s="100"/>
      <c r="E39" s="100"/>
      <c r="F39" s="100"/>
      <c r="G39" s="100"/>
      <c r="H39" s="100"/>
      <c r="I39" s="100"/>
      <c r="J39" s="100"/>
      <c r="K39" s="100"/>
      <c r="L39" s="282" t="s">
        <v>387</v>
      </c>
      <c r="M39" s="282"/>
      <c r="N39" s="100"/>
    </row>
    <row r="40" spans="1:23">
      <c r="B40" s="100"/>
      <c r="C40" s="100"/>
      <c r="D40" s="100"/>
      <c r="E40" s="100"/>
      <c r="F40" s="100"/>
      <c r="G40" s="100"/>
      <c r="H40" s="100"/>
      <c r="I40" s="100"/>
      <c r="J40" s="100"/>
      <c r="K40" s="100"/>
    </row>
    <row r="41" spans="1:23">
      <c r="B41" s="100"/>
      <c r="C41" s="100"/>
      <c r="D41" s="100"/>
      <c r="E41" s="100"/>
      <c r="F41" s="100"/>
      <c r="G41" s="100"/>
      <c r="H41" s="100"/>
      <c r="I41" s="100"/>
      <c r="J41" s="100"/>
      <c r="K41" s="100"/>
      <c r="L41" s="282" t="s">
        <v>309</v>
      </c>
      <c r="M41" s="282"/>
      <c r="N41" s="282"/>
      <c r="O41" s="35"/>
    </row>
    <row r="42" spans="1:23">
      <c r="B42" s="100"/>
      <c r="C42" s="100"/>
      <c r="D42" s="100"/>
      <c r="E42" s="100"/>
      <c r="F42" s="100"/>
      <c r="G42" s="100"/>
      <c r="H42" s="100"/>
      <c r="I42" s="100"/>
      <c r="J42" s="100"/>
      <c r="K42" s="100"/>
      <c r="L42" s="52" t="s">
        <v>388</v>
      </c>
      <c r="M42" s="52" t="s">
        <v>389</v>
      </c>
      <c r="N42" s="52" t="s">
        <v>390</v>
      </c>
      <c r="O42" s="35"/>
    </row>
    <row r="43" spans="1:23">
      <c r="B43" s="100"/>
      <c r="C43" s="100"/>
      <c r="D43" s="100"/>
      <c r="E43" s="100"/>
      <c r="F43" s="100"/>
      <c r="G43" s="100"/>
      <c r="H43" s="100"/>
      <c r="I43" s="100"/>
      <c r="J43" s="100"/>
      <c r="K43" s="100"/>
      <c r="L43" s="53"/>
      <c r="M43" s="53"/>
      <c r="N43" s="53"/>
      <c r="O43" s="35"/>
    </row>
    <row r="44" spans="1:23">
      <c r="B44" s="100"/>
      <c r="C44" s="100"/>
      <c r="D44" s="100"/>
      <c r="E44" s="100"/>
      <c r="F44" s="100"/>
      <c r="G44" s="100"/>
      <c r="H44" s="100"/>
      <c r="I44" s="100"/>
      <c r="J44" s="100"/>
      <c r="K44" s="100"/>
      <c r="L44" s="53"/>
      <c r="M44" s="53"/>
      <c r="N44" s="53"/>
      <c r="O44" s="35"/>
    </row>
    <row r="45" spans="1:23">
      <c r="B45" s="100"/>
      <c r="C45" s="100"/>
      <c r="D45" s="100"/>
      <c r="E45" s="100"/>
      <c r="F45" s="100"/>
      <c r="G45" s="100"/>
      <c r="H45" s="100"/>
      <c r="I45" s="100"/>
      <c r="J45" s="100"/>
      <c r="K45" s="100"/>
      <c r="L45" s="53"/>
      <c r="M45" s="53"/>
      <c r="N45" s="53"/>
      <c r="O45" s="35"/>
    </row>
    <row r="46" spans="1:23">
      <c r="B46" s="100"/>
      <c r="C46" s="100"/>
      <c r="D46" s="100"/>
      <c r="E46" s="100"/>
      <c r="F46" s="100"/>
      <c r="G46" s="100"/>
      <c r="H46" s="100"/>
      <c r="I46" s="100"/>
      <c r="J46" s="100"/>
      <c r="K46" s="100"/>
      <c r="L46" s="53"/>
      <c r="M46" s="53"/>
      <c r="N46" s="53"/>
      <c r="O46" s="35"/>
      <c r="U46" s="102"/>
    </row>
    <row r="47" spans="1:23">
      <c r="B47" s="100"/>
      <c r="C47" s="100"/>
      <c r="D47" s="100"/>
      <c r="E47" s="100"/>
      <c r="F47" s="100"/>
      <c r="G47" s="100"/>
      <c r="H47" s="100"/>
      <c r="I47" s="100"/>
      <c r="J47" s="100"/>
      <c r="K47" s="100"/>
      <c r="L47" s="53"/>
      <c r="M47" s="53"/>
      <c r="N47" s="53"/>
      <c r="O47" s="35"/>
    </row>
    <row r="48" spans="1:23">
      <c r="B48" s="100"/>
      <c r="C48" s="100"/>
      <c r="D48" s="100"/>
      <c r="E48" s="100"/>
      <c r="F48" s="100"/>
      <c r="G48" s="100"/>
      <c r="H48" s="100"/>
      <c r="I48" s="100"/>
      <c r="J48" s="100"/>
      <c r="K48" s="100"/>
      <c r="L48" s="53"/>
      <c r="M48" s="53"/>
      <c r="N48" s="53"/>
    </row>
    <row r="49" spans="2:21" ht="14.85" customHeight="1">
      <c r="B49" s="100"/>
      <c r="C49" s="100"/>
      <c r="D49" s="100"/>
      <c r="E49" s="100"/>
      <c r="F49" s="100"/>
      <c r="G49" s="100"/>
      <c r="H49" s="100"/>
      <c r="I49" s="100"/>
      <c r="J49" s="100"/>
      <c r="K49" s="100"/>
      <c r="L49" s="53"/>
      <c r="M49" s="53"/>
      <c r="N49" s="53"/>
      <c r="Q49" s="272" t="s">
        <v>391</v>
      </c>
      <c r="R49" s="273"/>
      <c r="S49" s="273"/>
      <c r="T49" s="273"/>
      <c r="U49" s="274"/>
    </row>
    <row r="50" spans="2:21">
      <c r="B50" s="100"/>
      <c r="C50" s="100"/>
      <c r="D50" s="100"/>
      <c r="E50" s="100"/>
      <c r="F50" s="100"/>
      <c r="G50" s="100"/>
      <c r="H50" s="100"/>
      <c r="I50" s="100"/>
      <c r="J50" s="100"/>
      <c r="K50" s="100"/>
      <c r="L50" s="53"/>
      <c r="M50" s="53"/>
      <c r="N50" s="53"/>
      <c r="Q50" s="275"/>
      <c r="R50" s="276"/>
      <c r="S50" s="276"/>
      <c r="T50" s="276"/>
      <c r="U50" s="277"/>
    </row>
    <row r="51" spans="2:21">
      <c r="B51" s="100"/>
      <c r="C51" s="100"/>
      <c r="D51" s="100"/>
      <c r="E51" s="100"/>
      <c r="F51" s="100"/>
      <c r="G51" s="100"/>
      <c r="H51" s="100"/>
      <c r="I51" s="100"/>
      <c r="J51" s="100"/>
      <c r="K51" s="100"/>
      <c r="L51" s="53"/>
      <c r="M51" s="53"/>
      <c r="N51" s="53"/>
      <c r="Q51" s="275"/>
      <c r="R51" s="276"/>
      <c r="S51" s="276"/>
      <c r="T51" s="276"/>
      <c r="U51" s="277"/>
    </row>
    <row r="52" spans="2:21">
      <c r="B52" s="100"/>
      <c r="C52" s="100"/>
      <c r="D52" s="100"/>
      <c r="E52" s="100"/>
      <c r="F52" s="100"/>
      <c r="G52" s="100"/>
      <c r="H52" s="100"/>
      <c r="I52" s="100"/>
      <c r="J52" s="100"/>
      <c r="K52" s="100"/>
      <c r="L52" s="53"/>
      <c r="M52" s="53"/>
      <c r="N52" s="53"/>
      <c r="Q52" s="275"/>
      <c r="R52" s="276"/>
      <c r="S52" s="276"/>
      <c r="T52" s="276"/>
      <c r="U52" s="277"/>
    </row>
    <row r="53" spans="2:21">
      <c r="B53" s="100"/>
      <c r="C53" s="100"/>
      <c r="D53" s="100"/>
      <c r="E53" s="100"/>
      <c r="F53" s="100"/>
      <c r="G53" s="100"/>
      <c r="H53" s="100"/>
      <c r="I53" s="100"/>
      <c r="J53" s="100"/>
      <c r="K53" s="100"/>
      <c r="Q53" s="275"/>
      <c r="R53" s="276"/>
      <c r="S53" s="276"/>
      <c r="T53" s="276"/>
      <c r="U53" s="277"/>
    </row>
    <row r="54" spans="2:21">
      <c r="B54" s="100"/>
      <c r="C54" s="100"/>
      <c r="D54" s="100"/>
      <c r="E54" s="100"/>
      <c r="F54" s="100"/>
      <c r="G54" s="100"/>
      <c r="H54" s="100"/>
      <c r="I54" s="100"/>
      <c r="J54" s="100"/>
      <c r="K54" s="100"/>
      <c r="L54" s="95" t="s">
        <v>392</v>
      </c>
      <c r="M54" s="53" t="s">
        <v>393</v>
      </c>
      <c r="Q54" s="278"/>
      <c r="R54" s="279"/>
      <c r="S54" s="279"/>
      <c r="T54" s="279"/>
      <c r="U54" s="280"/>
    </row>
    <row r="55" spans="2:21">
      <c r="B55" s="100"/>
      <c r="C55" s="100"/>
      <c r="D55" s="100"/>
      <c r="E55" s="100"/>
      <c r="F55" s="100"/>
      <c r="G55" s="100"/>
      <c r="H55" s="100"/>
      <c r="I55" s="100"/>
      <c r="J55" s="100"/>
      <c r="K55" s="100"/>
      <c r="L55" s="95" t="s">
        <v>394</v>
      </c>
      <c r="M55" s="53" t="s">
        <v>393</v>
      </c>
    </row>
    <row r="56" spans="2:21">
      <c r="B56" s="100"/>
      <c r="C56" s="100"/>
      <c r="D56" s="100"/>
      <c r="E56" s="100"/>
      <c r="F56" s="100"/>
      <c r="G56" s="100"/>
      <c r="H56" s="100"/>
      <c r="I56" s="100"/>
      <c r="J56" s="100"/>
      <c r="K56" s="100"/>
    </row>
    <row r="57" spans="2:21">
      <c r="B57" s="100"/>
      <c r="C57" s="100"/>
      <c r="D57" s="100"/>
      <c r="E57" s="100"/>
      <c r="F57" s="100"/>
      <c r="G57" s="100"/>
      <c r="H57" s="100"/>
      <c r="I57" s="100"/>
      <c r="J57" s="100"/>
      <c r="K57" s="100"/>
    </row>
    <row r="58" spans="2:21">
      <c r="B58" s="100"/>
      <c r="C58" s="100"/>
      <c r="D58" s="100"/>
      <c r="E58" s="100"/>
      <c r="F58" s="100"/>
      <c r="G58" s="100"/>
      <c r="H58" s="100"/>
      <c r="I58" s="100"/>
      <c r="J58" s="100"/>
      <c r="K58" s="100"/>
      <c r="L58" s="254" t="s">
        <v>395</v>
      </c>
      <c r="M58" s="281"/>
      <c r="N58" s="281"/>
      <c r="O58" s="255"/>
    </row>
    <row r="59" spans="2:21">
      <c r="B59" s="100"/>
      <c r="C59" s="100"/>
      <c r="D59" s="100"/>
      <c r="E59" s="100"/>
      <c r="F59" s="100"/>
      <c r="G59" s="100"/>
      <c r="H59" s="100"/>
      <c r="I59" s="100"/>
      <c r="J59" s="100"/>
      <c r="K59" s="100"/>
      <c r="L59" s="95" t="s">
        <v>396</v>
      </c>
      <c r="M59" s="95" t="s">
        <v>397</v>
      </c>
      <c r="N59" s="95" t="s">
        <v>398</v>
      </c>
      <c r="O59" s="95" t="s">
        <v>399</v>
      </c>
    </row>
    <row r="60" spans="2:21">
      <c r="B60" s="100"/>
      <c r="C60" s="100"/>
      <c r="D60" s="100"/>
      <c r="E60" s="100"/>
      <c r="F60" s="100"/>
      <c r="G60" s="100"/>
      <c r="H60" s="100"/>
      <c r="I60" s="100"/>
      <c r="J60" s="100"/>
      <c r="K60" s="100"/>
      <c r="L60" s="53" t="s">
        <v>400</v>
      </c>
      <c r="M60" s="53" t="s">
        <v>401</v>
      </c>
      <c r="N60" s="103">
        <v>5</v>
      </c>
      <c r="O60" s="103">
        <f>N61</f>
        <v>4.55</v>
      </c>
    </row>
    <row r="61" spans="2:21">
      <c r="B61" s="100"/>
      <c r="C61" s="100"/>
      <c r="D61" s="100"/>
      <c r="E61" s="100"/>
      <c r="F61" s="100"/>
      <c r="G61" s="100"/>
      <c r="H61" s="100"/>
      <c r="I61" s="100"/>
      <c r="J61" s="100"/>
      <c r="K61" s="100"/>
      <c r="L61" s="53" t="s">
        <v>402</v>
      </c>
      <c r="M61" s="53" t="s">
        <v>401</v>
      </c>
      <c r="N61" s="103">
        <v>4.55</v>
      </c>
      <c r="O61" s="103">
        <v>-2.5649999999999999</v>
      </c>
    </row>
    <row r="62" spans="2:21">
      <c r="B62" s="100"/>
      <c r="C62" s="100"/>
      <c r="D62" s="100"/>
      <c r="E62" s="100"/>
      <c r="F62" s="100"/>
      <c r="G62" s="100"/>
      <c r="H62" s="100"/>
      <c r="I62" s="100"/>
      <c r="J62" s="100"/>
      <c r="K62" s="100"/>
      <c r="L62" s="53" t="s">
        <v>403</v>
      </c>
      <c r="M62" s="53" t="s">
        <v>401</v>
      </c>
      <c r="N62" s="103">
        <f>O61</f>
        <v>-2.5649999999999999</v>
      </c>
      <c r="O62" s="103">
        <f>M21-2</f>
        <v>-2</v>
      </c>
    </row>
    <row r="63" spans="2:21">
      <c r="B63" s="100"/>
      <c r="C63" s="100"/>
      <c r="D63" s="100"/>
      <c r="E63" s="100"/>
      <c r="F63" s="100"/>
      <c r="G63" s="100"/>
      <c r="H63" s="100"/>
      <c r="I63" s="100"/>
      <c r="J63" s="100"/>
      <c r="K63" s="100"/>
      <c r="L63" s="53" t="s">
        <v>404</v>
      </c>
      <c r="M63" s="53" t="s">
        <v>401</v>
      </c>
      <c r="N63" s="103">
        <f>O62</f>
        <v>-2</v>
      </c>
      <c r="O63" s="103">
        <f>N8</f>
        <v>0</v>
      </c>
    </row>
    <row r="64" spans="2:21">
      <c r="B64" s="100"/>
      <c r="C64" s="100"/>
      <c r="D64" s="100"/>
      <c r="E64" s="100"/>
      <c r="F64" s="100"/>
      <c r="G64" s="100"/>
      <c r="H64" s="100"/>
      <c r="I64" s="100"/>
      <c r="J64" s="100"/>
      <c r="K64" s="100"/>
      <c r="L64" s="53" t="s">
        <v>405</v>
      </c>
      <c r="M64" s="53" t="s">
        <v>406</v>
      </c>
      <c r="N64" s="103">
        <v>5</v>
      </c>
      <c r="O64" s="103">
        <v>3</v>
      </c>
    </row>
    <row r="65" spans="2:23">
      <c r="B65" s="100"/>
      <c r="C65" s="100"/>
      <c r="D65" s="100"/>
      <c r="E65" s="100"/>
      <c r="F65" s="100"/>
      <c r="G65" s="100"/>
      <c r="H65" s="100"/>
      <c r="I65" s="100"/>
      <c r="J65" s="100"/>
      <c r="K65" s="100"/>
      <c r="L65" s="53" t="s">
        <v>407</v>
      </c>
      <c r="M65" s="53" t="s">
        <v>406</v>
      </c>
      <c r="N65" s="103">
        <v>3</v>
      </c>
      <c r="O65" s="103">
        <v>0.85</v>
      </c>
    </row>
    <row r="66" spans="2:23">
      <c r="B66" s="100"/>
      <c r="C66" s="100"/>
      <c r="D66" s="100"/>
      <c r="E66" s="100"/>
      <c r="F66" s="100"/>
      <c r="G66" s="100"/>
      <c r="H66" s="100"/>
      <c r="I66" s="100"/>
      <c r="J66" s="100"/>
      <c r="K66" s="100"/>
      <c r="L66" s="53" t="s">
        <v>408</v>
      </c>
      <c r="M66" s="53" t="s">
        <v>406</v>
      </c>
      <c r="N66" s="103">
        <v>0.85</v>
      </c>
      <c r="O66" s="103">
        <v>-0.56999999999999995</v>
      </c>
    </row>
    <row r="67" spans="2:23">
      <c r="B67" s="100"/>
      <c r="C67" s="100"/>
      <c r="D67" s="100"/>
      <c r="E67" s="100"/>
      <c r="F67" s="100"/>
      <c r="G67" s="100"/>
      <c r="H67" s="100"/>
      <c r="I67" s="100"/>
      <c r="J67" s="100"/>
      <c r="K67" s="100"/>
      <c r="L67" s="53" t="s">
        <v>409</v>
      </c>
      <c r="M67" s="53" t="s">
        <v>406</v>
      </c>
      <c r="N67" s="103">
        <v>-0.56999999999999995</v>
      </c>
      <c r="O67" s="103">
        <f>O62</f>
        <v>-2</v>
      </c>
    </row>
    <row r="68" spans="2:23">
      <c r="B68" s="100"/>
      <c r="C68" s="100"/>
      <c r="D68" s="100"/>
      <c r="E68" s="100"/>
      <c r="F68" s="100"/>
      <c r="G68" s="100"/>
      <c r="H68" s="100"/>
      <c r="I68" s="100"/>
      <c r="J68" s="100"/>
      <c r="K68" s="100"/>
      <c r="L68" s="53" t="s">
        <v>410</v>
      </c>
      <c r="M68" s="53" t="s">
        <v>406</v>
      </c>
      <c r="N68" s="103">
        <f>O67</f>
        <v>-2</v>
      </c>
      <c r="O68" s="103">
        <f>N8</f>
        <v>0</v>
      </c>
    </row>
    <row r="70" spans="2:23">
      <c r="B70" s="282" t="s">
        <v>411</v>
      </c>
      <c r="C70" s="282"/>
      <c r="D70" s="282"/>
      <c r="E70" s="282"/>
      <c r="F70" s="282" t="s">
        <v>412</v>
      </c>
      <c r="G70" s="282"/>
      <c r="H70" s="282"/>
      <c r="I70" s="282"/>
      <c r="J70" s="282" t="s">
        <v>413</v>
      </c>
      <c r="K70" s="282"/>
      <c r="L70" s="104" t="s">
        <v>414</v>
      </c>
      <c r="M70" s="283" t="s">
        <v>415</v>
      </c>
      <c r="N70" s="285"/>
    </row>
    <row r="71" spans="2:23">
      <c r="B71" s="283" t="s">
        <v>435</v>
      </c>
      <c r="C71" s="284"/>
      <c r="D71" s="284"/>
      <c r="E71" s="285"/>
      <c r="F71" s="286" t="s">
        <v>416</v>
      </c>
      <c r="G71" s="287"/>
      <c r="H71" s="287"/>
      <c r="I71" s="288"/>
      <c r="J71" s="286" t="s">
        <v>417</v>
      </c>
      <c r="K71" s="288"/>
    </row>
    <row r="72" spans="2:23">
      <c r="B72" s="283" t="s">
        <v>418</v>
      </c>
      <c r="C72" s="284"/>
      <c r="D72" s="284"/>
      <c r="E72" s="285"/>
      <c r="F72" s="283" t="s">
        <v>419</v>
      </c>
      <c r="G72" s="284"/>
      <c r="H72" s="284"/>
      <c r="I72" s="285"/>
      <c r="J72" s="55"/>
    </row>
    <row r="73" spans="2:23">
      <c r="B73" s="283" t="s">
        <v>420</v>
      </c>
      <c r="C73" s="284"/>
      <c r="D73" s="284"/>
      <c r="E73" s="285"/>
      <c r="F73" s="102"/>
      <c r="G73" s="102"/>
      <c r="H73" s="102"/>
      <c r="I73" s="102"/>
      <c r="J73" s="55"/>
    </row>
    <row r="75" spans="2:23">
      <c r="B75" s="282" t="s">
        <v>421</v>
      </c>
      <c r="C75" s="282"/>
      <c r="D75" s="100" t="s">
        <v>433</v>
      </c>
      <c r="F75" s="282" t="s">
        <v>423</v>
      </c>
      <c r="G75" s="282"/>
      <c r="H75" s="282"/>
      <c r="I75" s="282"/>
      <c r="J75" s="53" t="s">
        <v>424</v>
      </c>
    </row>
    <row r="77" spans="2:23">
      <c r="B77" s="282" t="s">
        <v>425</v>
      </c>
      <c r="C77" s="282"/>
      <c r="D77" s="53" t="s">
        <v>426</v>
      </c>
      <c r="F77" s="282" t="s">
        <v>427</v>
      </c>
      <c r="G77" s="282"/>
      <c r="H77" s="282"/>
      <c r="I77" s="254"/>
      <c r="J77" s="105" t="s">
        <v>428</v>
      </c>
      <c r="K77" s="106"/>
      <c r="L77" s="106"/>
      <c r="M77" s="106"/>
      <c r="N77" s="107"/>
    </row>
    <row r="78" spans="2:23">
      <c r="W78" s="6"/>
    </row>
    <row r="79" spans="2:23">
      <c r="B79" s="282" t="s">
        <v>429</v>
      </c>
      <c r="C79" s="282"/>
      <c r="D79" s="53" t="s">
        <v>430</v>
      </c>
    </row>
    <row r="80" spans="2:23">
      <c r="J80" s="55"/>
    </row>
    <row r="81" spans="2:10">
      <c r="B81" s="282" t="s">
        <v>431</v>
      </c>
      <c r="C81" s="282"/>
      <c r="D81" s="252" t="str">
        <f>J71&amp;"-01"&amp;"_"&amp;B71&amp;"_"&amp;B72</f>
        <v>21A559-JBO-TNMPCD-EN-3022-A3-01_TEST TP_Monopile - Cluster D WTG V236</v>
      </c>
      <c r="E81" s="252"/>
      <c r="F81" s="252"/>
      <c r="G81" s="252"/>
      <c r="H81" s="252"/>
      <c r="I81" s="252"/>
      <c r="J81" s="252"/>
    </row>
    <row r="82" spans="2:10">
      <c r="J82" s="55"/>
    </row>
    <row r="83" spans="2:10">
      <c r="J83" s="55"/>
    </row>
    <row r="84" spans="2:10">
      <c r="J84" s="55"/>
    </row>
    <row r="85" spans="2:10">
      <c r="J85" s="55"/>
    </row>
    <row r="86" spans="2:10">
      <c r="J86" s="55"/>
    </row>
    <row r="87" spans="2:10">
      <c r="J87" s="55"/>
    </row>
    <row r="88" spans="2:10">
      <c r="J88" s="55"/>
    </row>
    <row r="89" spans="2:10">
      <c r="J89" s="55"/>
    </row>
    <row r="90" spans="2:10">
      <c r="J90" s="55"/>
    </row>
    <row r="91" spans="2:10">
      <c r="J91" s="55"/>
    </row>
    <row r="92" spans="2:10">
      <c r="J92" s="55"/>
    </row>
    <row r="93" spans="2:10">
      <c r="J93" s="55"/>
    </row>
    <row r="94" spans="2:10">
      <c r="J94" s="55"/>
    </row>
    <row r="95" spans="2:10">
      <c r="J95" s="55"/>
    </row>
    <row r="96" spans="2:10">
      <c r="J96" s="55"/>
    </row>
    <row r="97" spans="10:10">
      <c r="J97" s="55"/>
    </row>
    <row r="98" spans="10:10">
      <c r="J98" s="55"/>
    </row>
    <row r="99" spans="10:10">
      <c r="J99" s="55"/>
    </row>
    <row r="100" spans="10:10">
      <c r="J100" s="55"/>
    </row>
    <row r="101" spans="10:10">
      <c r="J101" s="55"/>
    </row>
    <row r="102" spans="10:10">
      <c r="J102" s="55"/>
    </row>
    <row r="103" spans="10:10">
      <c r="J103" s="55"/>
    </row>
    <row r="104" spans="10:10">
      <c r="J104" s="55"/>
    </row>
    <row r="105" spans="10:10">
      <c r="J105" s="55"/>
    </row>
    <row r="106" spans="10:10">
      <c r="J106" s="55"/>
    </row>
    <row r="107" spans="10:10">
      <c r="J107" s="55"/>
    </row>
    <row r="108" spans="10:10">
      <c r="J108" s="55"/>
    </row>
    <row r="109" spans="10:10">
      <c r="J109" s="55"/>
    </row>
    <row r="110" spans="10:10">
      <c r="J110" s="55"/>
    </row>
    <row r="111" spans="10:10">
      <c r="J111" s="55"/>
    </row>
    <row r="112" spans="10:10">
      <c r="J112" s="55"/>
    </row>
    <row r="113" spans="10:10">
      <c r="J113" s="55"/>
    </row>
    <row r="114" spans="10:10">
      <c r="J114" s="55"/>
    </row>
    <row r="115" spans="10:10">
      <c r="J115" s="55"/>
    </row>
    <row r="116" spans="10:10">
      <c r="J116" s="55"/>
    </row>
    <row r="117" spans="10:10">
      <c r="J117" s="55"/>
    </row>
    <row r="118" spans="10:10">
      <c r="J118" s="55"/>
    </row>
    <row r="119" spans="10:10">
      <c r="J119" s="55"/>
    </row>
    <row r="120" spans="10:10">
      <c r="J120" s="55"/>
    </row>
    <row r="121" spans="10:10">
      <c r="J121" s="55"/>
    </row>
    <row r="122" spans="10:10">
      <c r="J122" s="55"/>
    </row>
    <row r="123" spans="10:10">
      <c r="J123" s="55"/>
    </row>
    <row r="124" spans="10:10">
      <c r="J124" s="55"/>
    </row>
    <row r="125" spans="10:10">
      <c r="J125" s="55"/>
    </row>
    <row r="126" spans="10:10">
      <c r="J126" s="55"/>
    </row>
    <row r="127" spans="10:10">
      <c r="J127" s="55"/>
    </row>
    <row r="128" spans="10:10">
      <c r="J128" s="55"/>
    </row>
    <row r="129" spans="10:10">
      <c r="J129" s="55"/>
    </row>
    <row r="130" spans="10:10">
      <c r="J130" s="55"/>
    </row>
    <row r="131" spans="10:10">
      <c r="J131" s="55"/>
    </row>
    <row r="132" spans="10:10">
      <c r="J132" s="55"/>
    </row>
    <row r="133" spans="10:10">
      <c r="J133" s="55"/>
    </row>
    <row r="134" spans="10:10">
      <c r="J134" s="55"/>
    </row>
    <row r="135" spans="10:10">
      <c r="J135" s="55"/>
    </row>
    <row r="136" spans="10:10">
      <c r="J136" s="55"/>
    </row>
    <row r="137" spans="10:10">
      <c r="J137" s="55"/>
    </row>
    <row r="138" spans="10:10">
      <c r="J138" s="55"/>
    </row>
    <row r="139" spans="10:10">
      <c r="J139" s="55"/>
    </row>
    <row r="140" spans="10:10">
      <c r="J140" s="55"/>
    </row>
    <row r="141" spans="10:10">
      <c r="J141" s="55"/>
    </row>
    <row r="142" spans="10:10">
      <c r="J142" s="55"/>
    </row>
    <row r="143" spans="10:10">
      <c r="J143" s="55"/>
    </row>
    <row r="144" spans="10:10">
      <c r="J144" s="55"/>
    </row>
    <row r="145" spans="10:10">
      <c r="J145" s="55"/>
    </row>
    <row r="146" spans="10:10">
      <c r="J146" s="55"/>
    </row>
    <row r="147" spans="10:10">
      <c r="J147" s="55"/>
    </row>
    <row r="148" spans="10:10">
      <c r="J148" s="55"/>
    </row>
    <row r="149" spans="10:10">
      <c r="J149" s="55"/>
    </row>
    <row r="150" spans="10:10">
      <c r="J150" s="55"/>
    </row>
    <row r="151" spans="10:10">
      <c r="J151" s="55"/>
    </row>
    <row r="152" spans="10:10">
      <c r="J152" s="55"/>
    </row>
    <row r="153" spans="10:10">
      <c r="J153" s="55"/>
    </row>
    <row r="154" spans="10:10">
      <c r="J154" s="55"/>
    </row>
    <row r="155" spans="10:10">
      <c r="J155" s="55"/>
    </row>
    <row r="156" spans="10:10">
      <c r="J156" s="55"/>
    </row>
    <row r="157" spans="10:10">
      <c r="J157" s="55"/>
    </row>
    <row r="158" spans="10:10">
      <c r="J158" s="55"/>
    </row>
    <row r="159" spans="10:10">
      <c r="J159" s="55"/>
    </row>
    <row r="160" spans="10:10">
      <c r="J160" s="55"/>
    </row>
    <row r="161" spans="10:10">
      <c r="J161" s="55"/>
    </row>
    <row r="162" spans="10:10">
      <c r="J162" s="55"/>
    </row>
    <row r="163" spans="10:10">
      <c r="J163" s="55"/>
    </row>
    <row r="164" spans="10:10">
      <c r="J164" s="55"/>
    </row>
    <row r="165" spans="10:10">
      <c r="J165" s="55"/>
    </row>
    <row r="166" spans="10:10">
      <c r="J166" s="55"/>
    </row>
    <row r="167" spans="10:10">
      <c r="J167" s="55"/>
    </row>
    <row r="168" spans="10:10">
      <c r="J168" s="55"/>
    </row>
    <row r="169" spans="10:10">
      <c r="J169" s="55"/>
    </row>
    <row r="170" spans="10:10">
      <c r="J170" s="55"/>
    </row>
    <row r="171" spans="10:10">
      <c r="J171" s="55"/>
    </row>
    <row r="172" spans="10:10">
      <c r="J172" s="55"/>
    </row>
    <row r="173" spans="10:10">
      <c r="J173" s="55"/>
    </row>
    <row r="174" spans="10:10">
      <c r="J174" s="55"/>
    </row>
    <row r="175" spans="10:10">
      <c r="J175" s="55"/>
    </row>
    <row r="176" spans="10:10">
      <c r="J176" s="55"/>
    </row>
    <row r="177" spans="10:10">
      <c r="J177" s="55"/>
    </row>
    <row r="178" spans="10:10">
      <c r="J178" s="55"/>
    </row>
    <row r="179" spans="10:10">
      <c r="J179" s="55"/>
    </row>
    <row r="180" spans="10:10">
      <c r="J180" s="55"/>
    </row>
    <row r="181" spans="10:10">
      <c r="J181" s="55"/>
    </row>
    <row r="182" spans="10:10">
      <c r="J182" s="55"/>
    </row>
    <row r="183" spans="10:10">
      <c r="J183" s="55"/>
    </row>
    <row r="184" spans="10:10">
      <c r="J184" s="55"/>
    </row>
    <row r="185" spans="10:10">
      <c r="J185" s="55"/>
    </row>
    <row r="186" spans="10:10">
      <c r="J186" s="55"/>
    </row>
    <row r="187" spans="10:10">
      <c r="J187" s="55"/>
    </row>
    <row r="188" spans="10:10">
      <c r="J188" s="55"/>
    </row>
    <row r="189" spans="10:10">
      <c r="J189" s="55"/>
    </row>
    <row r="190" spans="10:10">
      <c r="J190" s="55"/>
    </row>
    <row r="191" spans="10:10">
      <c r="J191" s="55"/>
    </row>
    <row r="192" spans="10:10">
      <c r="J192" s="55"/>
    </row>
    <row r="193" spans="10:10">
      <c r="J193" s="55"/>
    </row>
    <row r="194" spans="10:10">
      <c r="J194" s="55"/>
    </row>
    <row r="195" spans="10:10">
      <c r="J195" s="55"/>
    </row>
    <row r="196" spans="10:10">
      <c r="J196" s="55"/>
    </row>
    <row r="197" spans="10:10">
      <c r="J197" s="55"/>
    </row>
    <row r="198" spans="10:10">
      <c r="J198" s="55"/>
    </row>
    <row r="199" spans="10:10">
      <c r="J199" s="55"/>
    </row>
    <row r="200" spans="10:10">
      <c r="J200" s="55"/>
    </row>
    <row r="201" spans="10:10">
      <c r="J201" s="55"/>
    </row>
    <row r="202" spans="10:10">
      <c r="J202" s="55"/>
    </row>
    <row r="203" spans="10:10">
      <c r="J203" s="55"/>
    </row>
    <row r="204" spans="10:10">
      <c r="J204" s="55"/>
    </row>
    <row r="205" spans="10:10">
      <c r="J205" s="55"/>
    </row>
    <row r="206" spans="10:10">
      <c r="J206" s="55"/>
    </row>
    <row r="207" spans="10:10">
      <c r="J207" s="55"/>
    </row>
    <row r="208" spans="10:10">
      <c r="J208" s="55"/>
    </row>
    <row r="209" spans="10:10">
      <c r="J209" s="55"/>
    </row>
    <row r="210" spans="10:10">
      <c r="J210" s="55"/>
    </row>
    <row r="211" spans="10:10">
      <c r="J211" s="55"/>
    </row>
    <row r="212" spans="10:10">
      <c r="J212" s="55"/>
    </row>
    <row r="213" spans="10:10">
      <c r="J213" s="55"/>
    </row>
    <row r="214" spans="10:10">
      <c r="J214" s="55"/>
    </row>
    <row r="215" spans="10:10">
      <c r="J215" s="55"/>
    </row>
    <row r="216" spans="10:10">
      <c r="J216" s="55"/>
    </row>
  </sheetData>
  <sheetProtection sheet="1" objects="1" scenarios="1"/>
  <protectedRanges>
    <protectedRange algorithmName="SHA-512" hashValue="pD8BUfa1U+fS535Yq9KGmrBEb48n6tNJRxweQHGGaxiSxjpbYg9hNfg2UcrBZcZy/pwhjXjsqCVBRN+wXFc9xQ==" saltValue="jHUwg+ZTpSuOTOc8mT4CvA==" spinCount="100000" sqref="L37" name="Bereich1"/>
  </protectedRanges>
  <dataConsolidate/>
  <mergeCells count="32">
    <mergeCell ref="Q7:R7"/>
    <mergeCell ref="R11:V11"/>
    <mergeCell ref="M16:N16"/>
    <mergeCell ref="Q16:U38"/>
    <mergeCell ref="L18:N18"/>
    <mergeCell ref="M19:N19"/>
    <mergeCell ref="M20:N20"/>
    <mergeCell ref="M21:N21"/>
    <mergeCell ref="L22:N22"/>
    <mergeCell ref="F70:I70"/>
    <mergeCell ref="J70:K70"/>
    <mergeCell ref="M70:N70"/>
    <mergeCell ref="L4:N4"/>
    <mergeCell ref="L33:N33"/>
    <mergeCell ref="L39:M39"/>
    <mergeCell ref="L41:N41"/>
    <mergeCell ref="Q49:U54"/>
    <mergeCell ref="L58:O58"/>
    <mergeCell ref="B81:C81"/>
    <mergeCell ref="D81:J81"/>
    <mergeCell ref="B71:E71"/>
    <mergeCell ref="F71:I71"/>
    <mergeCell ref="J71:K71"/>
    <mergeCell ref="B72:E72"/>
    <mergeCell ref="F72:I72"/>
    <mergeCell ref="B73:E73"/>
    <mergeCell ref="B75:C75"/>
    <mergeCell ref="F75:I75"/>
    <mergeCell ref="B77:C77"/>
    <mergeCell ref="F77:I77"/>
    <mergeCell ref="B79:C79"/>
    <mergeCell ref="B70:E70"/>
  </mergeCells>
  <dataValidations count="5">
    <dataValidation type="list" allowBlank="1" showInputMessage="1" showErrorMessage="1" sqref="D77 M54:M55" xr:uid="{1416D5FA-1427-4333-88E9-520A8931E400}">
      <formula1>"Yes,No"</formula1>
    </dataValidation>
    <dataValidation type="list" allowBlank="1" showInputMessage="1" showErrorMessage="1" sqref="D79" xr:uid="{82F4764F-4858-4F1F-A615-4A8BB9FEC404}">
      <formula1>"A4,A3"</formula1>
    </dataValidation>
    <dataValidation type="list" allowBlank="1" showInputMessage="1" showErrorMessage="1" sqref="J75" xr:uid="{87EAFE6B-E5A4-48A3-92EE-96D21ED15716}">
      <formula1>"EN,DE"</formula1>
    </dataValidation>
    <dataValidation type="list" allowBlank="1" showInputMessage="1" showErrorMessage="1" sqref="N24:N31" xr:uid="{C2ACEE48-9C1F-4CF3-AD87-05ACBB4574A8}">
      <formula1>"UP,DOWN"</formula1>
    </dataValidation>
    <dataValidation type="list" allowBlank="1" showInputMessage="1" showErrorMessage="1" sqref="M60:M68" xr:uid="{CE7F7B0E-38D7-41D3-B7AB-D4CC7128A1E3}">
      <formula1>"INSIDE,OUTSIDE"</formula1>
    </dataValidation>
  </dataValidations>
  <pageMargins left="0.7" right="0.7" top="0.78740157499999996" bottom="0.78740157499999996"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50BA2C-F4EE-4CDD-93DC-17944D90CA87}">
  <sheetPr codeName="Tabelle10">
    <tabColor rgb="FF008F85"/>
  </sheetPr>
  <dimension ref="A4:W216"/>
  <sheetViews>
    <sheetView workbookViewId="0"/>
  </sheetViews>
  <sheetFormatPr baseColWidth="10" defaultColWidth="10.5546875" defaultRowHeight="14.4"/>
  <cols>
    <col min="1" max="1" width="10.5546875" customWidth="1"/>
    <col min="2" max="11" width="15.5546875" customWidth="1"/>
    <col min="12" max="13" width="30.5546875" customWidth="1"/>
    <col min="14" max="22" width="15.5546875" customWidth="1"/>
  </cols>
  <sheetData>
    <row r="4" spans="1:23">
      <c r="B4" s="52" t="s">
        <v>0</v>
      </c>
      <c r="C4" s="52" t="s">
        <v>1</v>
      </c>
      <c r="D4" s="52" t="s">
        <v>2</v>
      </c>
      <c r="E4" s="52" t="s">
        <v>3</v>
      </c>
      <c r="F4" s="52" t="s">
        <v>4</v>
      </c>
      <c r="G4" s="52" t="s">
        <v>5</v>
      </c>
      <c r="H4" s="52" t="s">
        <v>6</v>
      </c>
      <c r="I4" s="52" t="s">
        <v>7</v>
      </c>
      <c r="J4" s="52" t="s">
        <v>8</v>
      </c>
      <c r="K4" s="52" t="s">
        <v>359</v>
      </c>
      <c r="L4" s="289" t="s">
        <v>360</v>
      </c>
      <c r="M4" s="290"/>
      <c r="N4" s="291"/>
      <c r="O4" s="52" t="s">
        <v>361</v>
      </c>
      <c r="P4" s="53">
        <v>0</v>
      </c>
      <c r="Q4" s="99"/>
      <c r="R4" s="99"/>
      <c r="S4" s="99"/>
    </row>
    <row r="5" spans="1:23">
      <c r="B5" s="52"/>
      <c r="C5" s="52" t="s">
        <v>362</v>
      </c>
      <c r="D5" s="52" t="s">
        <v>362</v>
      </c>
      <c r="E5" s="52" t="s">
        <v>9</v>
      </c>
      <c r="F5" s="52" t="s">
        <v>9</v>
      </c>
      <c r="G5" s="52" t="s">
        <v>10</v>
      </c>
      <c r="H5" s="52" t="s">
        <v>9</v>
      </c>
      <c r="I5" s="52" t="s">
        <v>11</v>
      </c>
      <c r="J5" s="52" t="s">
        <v>12</v>
      </c>
      <c r="K5" s="52" t="s">
        <v>363</v>
      </c>
      <c r="L5" s="52" t="s">
        <v>364</v>
      </c>
      <c r="M5" s="52" t="s">
        <v>365</v>
      </c>
      <c r="N5" s="52" t="s">
        <v>366</v>
      </c>
      <c r="P5" s="99"/>
      <c r="Q5" s="99"/>
      <c r="R5" s="99"/>
      <c r="S5" s="99"/>
    </row>
    <row r="6" spans="1:23">
      <c r="A6" s="39"/>
      <c r="B6" s="100"/>
      <c r="C6" s="100"/>
      <c r="D6" s="100"/>
      <c r="E6" s="100"/>
      <c r="F6" s="100"/>
      <c r="G6" s="100"/>
      <c r="H6" s="100"/>
      <c r="I6" s="100"/>
      <c r="J6" s="100"/>
      <c r="K6" s="100"/>
      <c r="L6" s="100"/>
      <c r="M6" s="100"/>
      <c r="N6" s="100"/>
      <c r="P6" s="99"/>
      <c r="Q6" s="99"/>
      <c r="R6" s="99"/>
      <c r="S6" s="99"/>
    </row>
    <row r="7" spans="1:23">
      <c r="A7" s="39"/>
      <c r="B7" s="100"/>
      <c r="C7" s="100"/>
      <c r="D7" s="100"/>
      <c r="E7" s="100"/>
      <c r="F7" s="100"/>
      <c r="G7" s="100"/>
      <c r="H7" s="100"/>
      <c r="I7" s="100"/>
      <c r="J7" s="100"/>
      <c r="K7" s="100"/>
      <c r="L7" s="100"/>
      <c r="M7" s="100"/>
      <c r="N7" s="100"/>
      <c r="P7" s="99"/>
      <c r="Q7" s="282" t="s">
        <v>367</v>
      </c>
      <c r="R7" s="282"/>
      <c r="S7" s="99"/>
    </row>
    <row r="8" spans="1:23">
      <c r="A8" s="39"/>
      <c r="B8" s="100"/>
      <c r="C8" s="100"/>
      <c r="D8" s="100"/>
      <c r="E8" s="100"/>
      <c r="F8" s="100"/>
      <c r="G8" s="100"/>
      <c r="H8" s="100"/>
      <c r="I8" s="100"/>
      <c r="J8" s="100"/>
      <c r="K8" s="100"/>
      <c r="L8" s="100"/>
      <c r="M8" s="100"/>
      <c r="N8" s="100"/>
      <c r="P8" s="99"/>
      <c r="Q8" s="52" t="s">
        <v>368</v>
      </c>
      <c r="R8" s="44">
        <v>-1</v>
      </c>
      <c r="S8" s="99"/>
    </row>
    <row r="9" spans="1:23">
      <c r="A9" s="39"/>
      <c r="B9" s="100"/>
      <c r="C9" s="100"/>
      <c r="D9" s="100"/>
      <c r="E9" s="100"/>
      <c r="F9" s="100"/>
      <c r="G9" s="100"/>
      <c r="H9" s="100"/>
      <c r="I9" s="100"/>
      <c r="J9" s="100"/>
      <c r="K9" s="100"/>
      <c r="L9" s="100"/>
      <c r="M9" s="100"/>
      <c r="N9" s="100"/>
      <c r="P9" s="99"/>
      <c r="Q9" s="52" t="s">
        <v>369</v>
      </c>
      <c r="R9" s="44">
        <v>0</v>
      </c>
      <c r="S9" s="99"/>
    </row>
    <row r="10" spans="1:23">
      <c r="A10" s="39"/>
      <c r="B10" s="100"/>
      <c r="C10" s="100"/>
      <c r="D10" s="100"/>
      <c r="E10" s="100"/>
      <c r="F10" s="100"/>
      <c r="G10" s="100"/>
      <c r="H10" s="100"/>
      <c r="I10" s="100"/>
      <c r="J10" s="100"/>
      <c r="K10" s="100"/>
      <c r="L10" s="100"/>
      <c r="M10" s="100"/>
      <c r="N10" s="100"/>
    </row>
    <row r="11" spans="1:23">
      <c r="A11" s="39"/>
      <c r="B11" s="100"/>
      <c r="C11" s="100"/>
      <c r="D11" s="100"/>
      <c r="E11" s="100"/>
      <c r="F11" s="100"/>
      <c r="G11" s="100"/>
      <c r="H11" s="100"/>
      <c r="I11" s="100"/>
      <c r="J11" s="100"/>
      <c r="K11" s="100"/>
      <c r="L11" s="100"/>
      <c r="M11" s="100"/>
      <c r="N11" s="100"/>
      <c r="P11" s="99"/>
      <c r="Q11" s="52" t="s">
        <v>370</v>
      </c>
      <c r="R11" s="292" t="s">
        <v>371</v>
      </c>
      <c r="S11" s="293"/>
      <c r="T11" s="293"/>
      <c r="U11" s="293"/>
      <c r="V11" s="294"/>
    </row>
    <row r="12" spans="1:23">
      <c r="A12" s="39"/>
      <c r="B12" s="100"/>
      <c r="C12" s="100"/>
      <c r="D12" s="100"/>
      <c r="E12" s="100"/>
      <c r="F12" s="100"/>
      <c r="G12" s="100"/>
      <c r="H12" s="100"/>
      <c r="I12" s="100"/>
      <c r="J12" s="100"/>
      <c r="K12" s="100"/>
      <c r="L12" s="100"/>
      <c r="M12" s="100"/>
      <c r="N12" s="100"/>
    </row>
    <row r="13" spans="1:23">
      <c r="A13" s="39"/>
      <c r="B13" s="100"/>
      <c r="C13" s="100"/>
      <c r="D13" s="100"/>
      <c r="E13" s="100"/>
      <c r="F13" s="100"/>
      <c r="G13" s="100"/>
      <c r="H13" s="100"/>
      <c r="I13" s="100"/>
      <c r="J13" s="100"/>
      <c r="K13" s="100"/>
      <c r="L13" s="100"/>
      <c r="M13" s="100"/>
      <c r="N13" s="100"/>
    </row>
    <row r="14" spans="1:23">
      <c r="A14" s="39"/>
      <c r="B14" s="100"/>
      <c r="C14" s="100"/>
      <c r="D14" s="100"/>
      <c r="E14" s="100"/>
      <c r="F14" s="100"/>
      <c r="G14" s="100"/>
      <c r="H14" s="100"/>
      <c r="I14" s="100"/>
      <c r="J14" s="100"/>
      <c r="K14" s="100"/>
      <c r="L14" s="100"/>
      <c r="M14" s="100"/>
      <c r="N14" s="100"/>
    </row>
    <row r="15" spans="1:23">
      <c r="A15" s="39"/>
      <c r="B15" s="100"/>
      <c r="C15" s="100"/>
      <c r="D15" s="100"/>
      <c r="E15" s="100"/>
      <c r="F15" s="100"/>
      <c r="G15" s="100"/>
      <c r="H15" s="100"/>
      <c r="I15" s="100"/>
      <c r="J15" s="100"/>
      <c r="K15" s="100"/>
    </row>
    <row r="16" spans="1:23">
      <c r="A16" s="39"/>
      <c r="B16" s="100"/>
      <c r="C16" s="100"/>
      <c r="D16" s="100"/>
      <c r="E16" s="100"/>
      <c r="F16" s="100"/>
      <c r="G16" s="100"/>
      <c r="H16" s="100"/>
      <c r="I16" s="100"/>
      <c r="J16" s="100"/>
      <c r="K16" s="100"/>
      <c r="L16" s="52" t="s">
        <v>432</v>
      </c>
      <c r="M16" s="283">
        <v>460</v>
      </c>
      <c r="N16" s="285"/>
      <c r="Q16" s="295" t="s">
        <v>372</v>
      </c>
      <c r="R16" s="296"/>
      <c r="S16" s="296"/>
      <c r="T16" s="296"/>
      <c r="U16" s="297"/>
      <c r="V16" s="99"/>
      <c r="W16" s="99"/>
    </row>
    <row r="17" spans="1:23">
      <c r="A17" s="39"/>
      <c r="B17" s="100"/>
      <c r="C17" s="100"/>
      <c r="D17" s="100"/>
      <c r="E17" s="100"/>
      <c r="F17" s="100"/>
      <c r="G17" s="100"/>
      <c r="H17" s="100"/>
      <c r="I17" s="100"/>
      <c r="J17" s="100"/>
      <c r="K17" s="100"/>
      <c r="Q17" s="298"/>
      <c r="R17" s="299"/>
      <c r="S17" s="299"/>
      <c r="T17" s="299"/>
      <c r="U17" s="300"/>
      <c r="V17" s="99"/>
      <c r="W17" s="99"/>
    </row>
    <row r="18" spans="1:23">
      <c r="A18" s="39"/>
      <c r="B18" s="100"/>
      <c r="C18" s="100"/>
      <c r="D18" s="100"/>
      <c r="E18" s="100"/>
      <c r="F18" s="100"/>
      <c r="G18" s="100"/>
      <c r="H18" s="100"/>
      <c r="I18" s="100"/>
      <c r="J18" s="100"/>
      <c r="K18" s="100"/>
      <c r="L18" s="282" t="s">
        <v>373</v>
      </c>
      <c r="M18" s="282"/>
      <c r="N18" s="282"/>
      <c r="Q18" s="298"/>
      <c r="R18" s="299"/>
      <c r="S18" s="299"/>
      <c r="T18" s="299"/>
      <c r="U18" s="300"/>
      <c r="V18" s="99"/>
      <c r="W18" s="99"/>
    </row>
    <row r="19" spans="1:23">
      <c r="A19" s="39"/>
      <c r="B19" s="100"/>
      <c r="C19" s="100"/>
      <c r="D19" s="100"/>
      <c r="E19" s="100"/>
      <c r="F19" s="100"/>
      <c r="G19" s="100"/>
      <c r="H19" s="100"/>
      <c r="I19" s="100"/>
      <c r="J19" s="100"/>
      <c r="K19" s="100"/>
      <c r="L19" s="52" t="s">
        <v>374</v>
      </c>
      <c r="M19" s="304"/>
      <c r="N19" s="304"/>
      <c r="O19" s="101"/>
      <c r="Q19" s="298"/>
      <c r="R19" s="299"/>
      <c r="S19" s="299"/>
      <c r="T19" s="299"/>
      <c r="U19" s="300"/>
      <c r="V19" s="99"/>
      <c r="W19" s="99"/>
    </row>
    <row r="20" spans="1:23">
      <c r="A20" s="39"/>
      <c r="B20" s="100"/>
      <c r="C20" s="100"/>
      <c r="D20" s="100"/>
      <c r="E20" s="100"/>
      <c r="F20" s="100"/>
      <c r="G20" s="100"/>
      <c r="H20" s="100"/>
      <c r="I20" s="100"/>
      <c r="J20" s="100"/>
      <c r="K20" s="100"/>
      <c r="L20" s="52" t="s">
        <v>375</v>
      </c>
      <c r="M20" s="282" t="s">
        <v>9</v>
      </c>
      <c r="N20" s="282"/>
      <c r="O20" s="101"/>
      <c r="Q20" s="298"/>
      <c r="R20" s="299"/>
      <c r="S20" s="299"/>
      <c r="T20" s="299"/>
      <c r="U20" s="300"/>
      <c r="V20" s="99"/>
      <c r="W20" s="99"/>
    </row>
    <row r="21" spans="1:23">
      <c r="A21" s="39"/>
      <c r="B21" s="100"/>
      <c r="C21" s="100"/>
      <c r="D21" s="100"/>
      <c r="E21" s="100"/>
      <c r="F21" s="100"/>
      <c r="G21" s="100"/>
      <c r="H21" s="100"/>
      <c r="I21" s="100"/>
      <c r="J21" s="100"/>
      <c r="K21" s="100"/>
      <c r="L21" s="52" t="s">
        <v>376</v>
      </c>
      <c r="M21" s="304"/>
      <c r="N21" s="304"/>
      <c r="O21" s="101"/>
      <c r="Q21" s="298"/>
      <c r="R21" s="299"/>
      <c r="S21" s="299"/>
      <c r="T21" s="299"/>
      <c r="U21" s="300"/>
      <c r="V21" s="99"/>
      <c r="W21" s="99"/>
    </row>
    <row r="22" spans="1:23">
      <c r="A22" s="39"/>
      <c r="B22" s="100"/>
      <c r="C22" s="100"/>
      <c r="D22" s="100"/>
      <c r="E22" s="100"/>
      <c r="F22" s="100"/>
      <c r="G22" s="100"/>
      <c r="H22" s="100"/>
      <c r="I22" s="100"/>
      <c r="J22" s="100"/>
      <c r="K22" s="100"/>
      <c r="L22" s="282" t="s">
        <v>377</v>
      </c>
      <c r="M22" s="282"/>
      <c r="N22" s="282"/>
      <c r="Q22" s="298"/>
      <c r="R22" s="299"/>
      <c r="S22" s="299"/>
      <c r="T22" s="299"/>
      <c r="U22" s="300"/>
      <c r="V22" s="99"/>
      <c r="W22" s="99"/>
    </row>
    <row r="23" spans="1:23">
      <c r="A23" s="39"/>
      <c r="B23" s="100"/>
      <c r="C23" s="100"/>
      <c r="D23" s="100"/>
      <c r="E23" s="100"/>
      <c r="F23" s="100"/>
      <c r="G23" s="100"/>
      <c r="H23" s="100"/>
      <c r="I23" s="100"/>
      <c r="J23" s="100"/>
      <c r="K23" s="100"/>
      <c r="L23" s="52" t="s">
        <v>375</v>
      </c>
      <c r="M23" s="52" t="s">
        <v>9</v>
      </c>
      <c r="N23" s="52" t="s">
        <v>378</v>
      </c>
      <c r="Q23" s="298"/>
      <c r="R23" s="299"/>
      <c r="S23" s="299"/>
      <c r="T23" s="299"/>
      <c r="U23" s="300"/>
      <c r="V23" s="99"/>
      <c r="W23" s="99"/>
    </row>
    <row r="24" spans="1:23">
      <c r="A24" s="39"/>
      <c r="B24" s="100"/>
      <c r="C24" s="100"/>
      <c r="D24" s="100"/>
      <c r="E24" s="100"/>
      <c r="F24" s="100"/>
      <c r="G24" s="100"/>
      <c r="H24" s="100"/>
      <c r="I24" s="100"/>
      <c r="J24" s="100"/>
      <c r="K24" s="100"/>
      <c r="L24" s="53"/>
      <c r="M24" s="53"/>
      <c r="N24" s="53"/>
      <c r="Q24" s="298"/>
      <c r="R24" s="299"/>
      <c r="S24" s="299"/>
      <c r="T24" s="299"/>
      <c r="U24" s="300"/>
      <c r="V24" s="99"/>
      <c r="W24" s="99"/>
    </row>
    <row r="25" spans="1:23">
      <c r="A25" s="39"/>
      <c r="B25" s="100"/>
      <c r="C25" s="100"/>
      <c r="D25" s="100"/>
      <c r="E25" s="100"/>
      <c r="F25" s="100"/>
      <c r="G25" s="100"/>
      <c r="H25" s="100"/>
      <c r="I25" s="100"/>
      <c r="J25" s="100"/>
      <c r="K25" s="100"/>
      <c r="L25" s="53"/>
      <c r="M25" s="53"/>
      <c r="N25" s="53"/>
      <c r="Q25" s="298"/>
      <c r="R25" s="299"/>
      <c r="S25" s="299"/>
      <c r="T25" s="299"/>
      <c r="U25" s="300"/>
      <c r="V25" s="99"/>
      <c r="W25" s="99"/>
    </row>
    <row r="26" spans="1:23">
      <c r="A26" s="39"/>
      <c r="B26" s="100"/>
      <c r="C26" s="100"/>
      <c r="D26" s="100"/>
      <c r="E26" s="100"/>
      <c r="F26" s="100"/>
      <c r="G26" s="100"/>
      <c r="H26" s="100"/>
      <c r="I26" s="100"/>
      <c r="J26" s="100"/>
      <c r="K26" s="100"/>
      <c r="L26" s="53"/>
      <c r="M26" s="53"/>
      <c r="N26" s="53"/>
      <c r="Q26" s="298"/>
      <c r="R26" s="299"/>
      <c r="S26" s="299"/>
      <c r="T26" s="299"/>
      <c r="U26" s="300"/>
      <c r="V26" s="99"/>
      <c r="W26" s="99"/>
    </row>
    <row r="27" spans="1:23">
      <c r="A27" s="39"/>
      <c r="B27" s="100"/>
      <c r="C27" s="100"/>
      <c r="D27" s="100"/>
      <c r="E27" s="100"/>
      <c r="F27" s="100"/>
      <c r="G27" s="100"/>
      <c r="H27" s="100"/>
      <c r="I27" s="100"/>
      <c r="J27" s="100"/>
      <c r="K27" s="100"/>
      <c r="L27" s="53"/>
      <c r="M27" s="53"/>
      <c r="N27" s="53"/>
      <c r="Q27" s="298"/>
      <c r="R27" s="299"/>
      <c r="S27" s="299"/>
      <c r="T27" s="299"/>
      <c r="U27" s="300"/>
      <c r="V27" s="99"/>
      <c r="W27" s="99"/>
    </row>
    <row r="28" spans="1:23">
      <c r="A28" s="39"/>
      <c r="B28" s="100"/>
      <c r="C28" s="100"/>
      <c r="D28" s="100"/>
      <c r="E28" s="100"/>
      <c r="F28" s="100"/>
      <c r="G28" s="100"/>
      <c r="H28" s="100"/>
      <c r="I28" s="100"/>
      <c r="J28" s="100"/>
      <c r="K28" s="100"/>
      <c r="L28" s="53"/>
      <c r="M28" s="53"/>
      <c r="N28" s="53"/>
      <c r="Q28" s="298"/>
      <c r="R28" s="299"/>
      <c r="S28" s="299"/>
      <c r="T28" s="299"/>
      <c r="U28" s="300"/>
      <c r="V28" s="99"/>
      <c r="W28" s="99"/>
    </row>
    <row r="29" spans="1:23">
      <c r="A29" s="39"/>
      <c r="B29" s="100"/>
      <c r="C29" s="100"/>
      <c r="D29" s="100"/>
      <c r="E29" s="100"/>
      <c r="F29" s="100"/>
      <c r="G29" s="100"/>
      <c r="H29" s="100"/>
      <c r="I29" s="100"/>
      <c r="J29" s="100"/>
      <c r="K29" s="100"/>
      <c r="L29" s="53"/>
      <c r="M29" s="53"/>
      <c r="N29" s="53"/>
      <c r="Q29" s="298"/>
      <c r="R29" s="299"/>
      <c r="S29" s="299"/>
      <c r="T29" s="299"/>
      <c r="U29" s="300"/>
      <c r="V29" s="99"/>
      <c r="W29" s="99"/>
    </row>
    <row r="30" spans="1:23">
      <c r="A30" s="39"/>
      <c r="B30" s="100"/>
      <c r="C30" s="100"/>
      <c r="D30" s="100"/>
      <c r="E30" s="100"/>
      <c r="F30" s="100"/>
      <c r="G30" s="100"/>
      <c r="H30" s="100"/>
      <c r="I30" s="100"/>
      <c r="J30" s="100"/>
      <c r="K30" s="100"/>
      <c r="L30" s="53"/>
      <c r="M30" s="53"/>
      <c r="N30" s="53"/>
      <c r="Q30" s="298"/>
      <c r="R30" s="299"/>
      <c r="S30" s="299"/>
      <c r="T30" s="299"/>
      <c r="U30" s="300"/>
      <c r="V30" s="99"/>
      <c r="W30" s="99"/>
    </row>
    <row r="31" spans="1:23">
      <c r="A31" s="39"/>
      <c r="B31" s="100"/>
      <c r="C31" s="100"/>
      <c r="D31" s="100"/>
      <c r="E31" s="100"/>
      <c r="F31" s="100"/>
      <c r="G31" s="100"/>
      <c r="H31" s="100"/>
      <c r="I31" s="100"/>
      <c r="J31" s="100"/>
      <c r="K31" s="100"/>
      <c r="L31" s="53"/>
      <c r="M31" s="53"/>
      <c r="N31" s="53"/>
      <c r="Q31" s="298"/>
      <c r="R31" s="299"/>
      <c r="S31" s="299"/>
      <c r="T31" s="299"/>
      <c r="U31" s="300"/>
      <c r="V31" s="99"/>
      <c r="W31" s="99"/>
    </row>
    <row r="32" spans="1:23">
      <c r="A32" s="39"/>
      <c r="B32" s="100"/>
      <c r="C32" s="100"/>
      <c r="D32" s="100"/>
      <c r="E32" s="100"/>
      <c r="F32" s="100"/>
      <c r="G32" s="100"/>
      <c r="H32" s="100"/>
      <c r="I32" s="100"/>
      <c r="J32" s="100"/>
      <c r="K32" s="100"/>
      <c r="Q32" s="298"/>
      <c r="R32" s="299"/>
      <c r="S32" s="299"/>
      <c r="T32" s="299"/>
      <c r="U32" s="300"/>
      <c r="V32" s="99"/>
      <c r="W32" s="99"/>
    </row>
    <row r="33" spans="1:23">
      <c r="A33" s="39"/>
      <c r="B33" s="100"/>
      <c r="C33" s="100"/>
      <c r="D33" s="100"/>
      <c r="E33" s="100"/>
      <c r="F33" s="100"/>
      <c r="G33" s="100"/>
      <c r="H33" s="100"/>
      <c r="I33" s="100"/>
      <c r="J33" s="100"/>
      <c r="K33" s="100"/>
      <c r="L33" s="282" t="s">
        <v>379</v>
      </c>
      <c r="M33" s="282"/>
      <c r="N33" s="282"/>
      <c r="Q33" s="298"/>
      <c r="R33" s="299"/>
      <c r="S33" s="299"/>
      <c r="T33" s="299"/>
      <c r="U33" s="300"/>
      <c r="V33" s="99"/>
      <c r="W33" s="99"/>
    </row>
    <row r="34" spans="1:23">
      <c r="A34" s="39"/>
      <c r="B34" s="100"/>
      <c r="C34" s="100"/>
      <c r="D34" s="100"/>
      <c r="E34" s="100"/>
      <c r="F34" s="100"/>
      <c r="G34" s="100"/>
      <c r="H34" s="100"/>
      <c r="I34" s="100"/>
      <c r="J34" s="100"/>
      <c r="K34" s="100"/>
      <c r="L34" s="52" t="s">
        <v>380</v>
      </c>
      <c r="M34" s="52" t="s">
        <v>381</v>
      </c>
      <c r="N34" s="52" t="s">
        <v>382</v>
      </c>
      <c r="Q34" s="298"/>
      <c r="R34" s="299"/>
      <c r="S34" s="299"/>
      <c r="T34" s="299"/>
      <c r="U34" s="300"/>
      <c r="V34" s="99"/>
      <c r="W34" s="99"/>
    </row>
    <row r="35" spans="1:23">
      <c r="B35" s="100"/>
      <c r="C35" s="100"/>
      <c r="D35" s="100"/>
      <c r="E35" s="100"/>
      <c r="F35" s="100"/>
      <c r="G35" s="100"/>
      <c r="H35" s="100"/>
      <c r="I35" s="100"/>
      <c r="J35" s="100"/>
      <c r="K35" s="100"/>
      <c r="L35" s="53" t="s">
        <v>383</v>
      </c>
      <c r="M35" s="53" t="s">
        <v>384</v>
      </c>
      <c r="N35" s="53">
        <v>7850</v>
      </c>
      <c r="Q35" s="298"/>
      <c r="R35" s="299"/>
      <c r="S35" s="299"/>
      <c r="T35" s="299"/>
      <c r="U35" s="300"/>
    </row>
    <row r="36" spans="1:23">
      <c r="B36" s="100"/>
      <c r="C36" s="100"/>
      <c r="D36" s="100"/>
      <c r="E36" s="100"/>
      <c r="F36" s="100"/>
      <c r="G36" s="100"/>
      <c r="H36" s="100"/>
      <c r="I36" s="100"/>
      <c r="J36" s="100"/>
      <c r="K36" s="100"/>
      <c r="L36" s="53" t="s">
        <v>385</v>
      </c>
      <c r="M36" s="53" t="s">
        <v>386</v>
      </c>
      <c r="N36" s="53">
        <v>210000000000</v>
      </c>
      <c r="Q36" s="298"/>
      <c r="R36" s="299"/>
      <c r="S36" s="299"/>
      <c r="T36" s="299"/>
      <c r="U36" s="300"/>
    </row>
    <row r="37" spans="1:23">
      <c r="B37" s="100"/>
      <c r="C37" s="100"/>
      <c r="D37" s="100"/>
      <c r="E37" s="100"/>
      <c r="F37" s="100"/>
      <c r="G37" s="100"/>
      <c r="H37" s="100"/>
      <c r="I37" s="100"/>
      <c r="J37" s="100"/>
      <c r="K37" s="100"/>
      <c r="L37" s="53"/>
      <c r="M37" s="53"/>
      <c r="N37" s="53"/>
      <c r="Q37" s="298"/>
      <c r="R37" s="299"/>
      <c r="S37" s="299"/>
      <c r="T37" s="299"/>
      <c r="U37" s="300"/>
    </row>
    <row r="38" spans="1:23">
      <c r="B38" s="100"/>
      <c r="C38" s="100"/>
      <c r="D38" s="100"/>
      <c r="E38" s="100"/>
      <c r="F38" s="100"/>
      <c r="G38" s="100"/>
      <c r="H38" s="100"/>
      <c r="I38" s="100"/>
      <c r="J38" s="100"/>
      <c r="K38" s="100"/>
      <c r="Q38" s="301"/>
      <c r="R38" s="302"/>
      <c r="S38" s="302"/>
      <c r="T38" s="302"/>
      <c r="U38" s="303"/>
    </row>
    <row r="39" spans="1:23">
      <c r="B39" s="100"/>
      <c r="C39" s="100"/>
      <c r="D39" s="100"/>
      <c r="E39" s="100"/>
      <c r="F39" s="100"/>
      <c r="G39" s="100"/>
      <c r="H39" s="100"/>
      <c r="I39" s="100"/>
      <c r="J39" s="100"/>
      <c r="K39" s="100"/>
      <c r="L39" s="282" t="s">
        <v>387</v>
      </c>
      <c r="M39" s="282"/>
      <c r="N39" s="100"/>
    </row>
    <row r="40" spans="1:23">
      <c r="B40" s="100"/>
      <c r="C40" s="100"/>
      <c r="D40" s="100"/>
      <c r="E40" s="100"/>
      <c r="F40" s="100"/>
      <c r="G40" s="100"/>
      <c r="H40" s="100"/>
      <c r="I40" s="100"/>
      <c r="J40" s="100"/>
      <c r="K40" s="100"/>
    </row>
    <row r="41" spans="1:23">
      <c r="B41" s="100"/>
      <c r="C41" s="100"/>
      <c r="D41" s="100"/>
      <c r="E41" s="100"/>
      <c r="F41" s="100"/>
      <c r="G41" s="100"/>
      <c r="H41" s="100"/>
      <c r="I41" s="100"/>
      <c r="J41" s="100"/>
      <c r="K41" s="100"/>
      <c r="L41" s="282" t="s">
        <v>309</v>
      </c>
      <c r="M41" s="282"/>
      <c r="N41" s="282"/>
      <c r="O41" s="35"/>
    </row>
    <row r="42" spans="1:23">
      <c r="B42" s="100"/>
      <c r="C42" s="100"/>
      <c r="D42" s="100"/>
      <c r="E42" s="100"/>
      <c r="F42" s="100"/>
      <c r="G42" s="100"/>
      <c r="H42" s="100"/>
      <c r="I42" s="100"/>
      <c r="J42" s="100"/>
      <c r="K42" s="100"/>
      <c r="L42" s="52" t="s">
        <v>388</v>
      </c>
      <c r="M42" s="52" t="s">
        <v>389</v>
      </c>
      <c r="N42" s="52" t="s">
        <v>390</v>
      </c>
      <c r="O42" s="35"/>
    </row>
    <row r="43" spans="1:23">
      <c r="B43" s="100"/>
      <c r="C43" s="100"/>
      <c r="D43" s="100"/>
      <c r="E43" s="100"/>
      <c r="F43" s="100"/>
      <c r="G43" s="100"/>
      <c r="H43" s="100"/>
      <c r="I43" s="100"/>
      <c r="J43" s="100"/>
      <c r="K43" s="100"/>
      <c r="L43" s="53"/>
      <c r="M43" s="53"/>
      <c r="N43" s="53"/>
      <c r="O43" s="35"/>
    </row>
    <row r="44" spans="1:23">
      <c r="B44" s="100"/>
      <c r="C44" s="100"/>
      <c r="D44" s="100"/>
      <c r="E44" s="100"/>
      <c r="F44" s="100"/>
      <c r="G44" s="100"/>
      <c r="H44" s="100"/>
      <c r="I44" s="100"/>
      <c r="J44" s="100"/>
      <c r="K44" s="100"/>
      <c r="L44" s="53"/>
      <c r="M44" s="53"/>
      <c r="N44" s="53"/>
      <c r="O44" s="35"/>
    </row>
    <row r="45" spans="1:23">
      <c r="B45" s="100"/>
      <c r="C45" s="100"/>
      <c r="D45" s="100"/>
      <c r="E45" s="100"/>
      <c r="F45" s="100"/>
      <c r="G45" s="100"/>
      <c r="H45" s="100"/>
      <c r="I45" s="100"/>
      <c r="J45" s="100"/>
      <c r="K45" s="100"/>
      <c r="L45" s="53"/>
      <c r="M45" s="53"/>
      <c r="N45" s="53"/>
      <c r="O45" s="35"/>
    </row>
    <row r="46" spans="1:23">
      <c r="B46" s="100"/>
      <c r="C46" s="100"/>
      <c r="D46" s="100"/>
      <c r="E46" s="100"/>
      <c r="F46" s="100"/>
      <c r="G46" s="100"/>
      <c r="H46" s="100"/>
      <c r="I46" s="100"/>
      <c r="J46" s="100"/>
      <c r="K46" s="100"/>
      <c r="L46" s="53"/>
      <c r="M46" s="53"/>
      <c r="N46" s="53"/>
      <c r="O46" s="35"/>
      <c r="U46" s="102"/>
    </row>
    <row r="47" spans="1:23">
      <c r="B47" s="100"/>
      <c r="C47" s="100"/>
      <c r="D47" s="100"/>
      <c r="E47" s="100"/>
      <c r="F47" s="100"/>
      <c r="G47" s="100"/>
      <c r="H47" s="100"/>
      <c r="I47" s="100"/>
      <c r="J47" s="100"/>
      <c r="K47" s="100"/>
      <c r="L47" s="53"/>
      <c r="M47" s="53"/>
      <c r="N47" s="53"/>
      <c r="O47" s="35"/>
    </row>
    <row r="48" spans="1:23">
      <c r="B48" s="100"/>
      <c r="C48" s="100"/>
      <c r="D48" s="100"/>
      <c r="E48" s="100"/>
      <c r="F48" s="100"/>
      <c r="G48" s="100"/>
      <c r="H48" s="100"/>
      <c r="I48" s="100"/>
      <c r="J48" s="100"/>
      <c r="K48" s="100"/>
      <c r="L48" s="53"/>
      <c r="M48" s="53"/>
      <c r="N48" s="53"/>
    </row>
    <row r="49" spans="2:21" ht="14.85" customHeight="1">
      <c r="B49" s="100"/>
      <c r="C49" s="100"/>
      <c r="D49" s="100"/>
      <c r="E49" s="100"/>
      <c r="F49" s="100"/>
      <c r="G49" s="100"/>
      <c r="H49" s="100"/>
      <c r="I49" s="100"/>
      <c r="J49" s="100"/>
      <c r="K49" s="100"/>
      <c r="L49" s="53"/>
      <c r="M49" s="53"/>
      <c r="N49" s="53"/>
      <c r="Q49" s="272" t="s">
        <v>391</v>
      </c>
      <c r="R49" s="273"/>
      <c r="S49" s="273"/>
      <c r="T49" s="273"/>
      <c r="U49" s="274"/>
    </row>
    <row r="50" spans="2:21">
      <c r="B50" s="100"/>
      <c r="C50" s="100"/>
      <c r="D50" s="100"/>
      <c r="E50" s="100"/>
      <c r="F50" s="100"/>
      <c r="G50" s="100"/>
      <c r="H50" s="100"/>
      <c r="I50" s="100"/>
      <c r="J50" s="100"/>
      <c r="K50" s="100"/>
      <c r="L50" s="53"/>
      <c r="M50" s="53"/>
      <c r="N50" s="53"/>
      <c r="Q50" s="275"/>
      <c r="R50" s="276"/>
      <c r="S50" s="276"/>
      <c r="T50" s="276"/>
      <c r="U50" s="277"/>
    </row>
    <row r="51" spans="2:21">
      <c r="B51" s="100"/>
      <c r="C51" s="100"/>
      <c r="D51" s="100"/>
      <c r="E51" s="100"/>
      <c r="F51" s="100"/>
      <c r="G51" s="100"/>
      <c r="H51" s="100"/>
      <c r="I51" s="100"/>
      <c r="J51" s="100"/>
      <c r="K51" s="100"/>
      <c r="L51" s="53"/>
      <c r="M51" s="53"/>
      <c r="N51" s="53"/>
      <c r="Q51" s="275"/>
      <c r="R51" s="276"/>
      <c r="S51" s="276"/>
      <c r="T51" s="276"/>
      <c r="U51" s="277"/>
    </row>
    <row r="52" spans="2:21">
      <c r="B52" s="100"/>
      <c r="C52" s="100"/>
      <c r="D52" s="100"/>
      <c r="E52" s="100"/>
      <c r="F52" s="100"/>
      <c r="G52" s="100"/>
      <c r="H52" s="100"/>
      <c r="I52" s="100"/>
      <c r="J52" s="100"/>
      <c r="K52" s="100"/>
      <c r="L52" s="53"/>
      <c r="M52" s="53"/>
      <c r="N52" s="53"/>
      <c r="Q52" s="275"/>
      <c r="R52" s="276"/>
      <c r="S52" s="276"/>
      <c r="T52" s="276"/>
      <c r="U52" s="277"/>
    </row>
    <row r="53" spans="2:21">
      <c r="B53" s="100"/>
      <c r="C53" s="100"/>
      <c r="D53" s="100"/>
      <c r="E53" s="100"/>
      <c r="F53" s="100"/>
      <c r="G53" s="100"/>
      <c r="H53" s="100"/>
      <c r="I53" s="100"/>
      <c r="J53" s="100"/>
      <c r="K53" s="100"/>
      <c r="Q53" s="275"/>
      <c r="R53" s="276"/>
      <c r="S53" s="276"/>
      <c r="T53" s="276"/>
      <c r="U53" s="277"/>
    </row>
    <row r="54" spans="2:21">
      <c r="B54" s="100"/>
      <c r="C54" s="100"/>
      <c r="D54" s="100"/>
      <c r="E54" s="100"/>
      <c r="F54" s="100"/>
      <c r="G54" s="100"/>
      <c r="H54" s="100"/>
      <c r="I54" s="100"/>
      <c r="J54" s="100"/>
      <c r="K54" s="100"/>
      <c r="L54" s="95" t="s">
        <v>392</v>
      </c>
      <c r="M54" s="53" t="s">
        <v>393</v>
      </c>
      <c r="Q54" s="278"/>
      <c r="R54" s="279"/>
      <c r="S54" s="279"/>
      <c r="T54" s="279"/>
      <c r="U54" s="280"/>
    </row>
    <row r="55" spans="2:21">
      <c r="B55" s="100"/>
      <c r="C55" s="100"/>
      <c r="D55" s="100"/>
      <c r="E55" s="100"/>
      <c r="F55" s="100"/>
      <c r="G55" s="100"/>
      <c r="H55" s="100"/>
      <c r="I55" s="100"/>
      <c r="J55" s="100"/>
      <c r="K55" s="100"/>
      <c r="L55" s="95" t="s">
        <v>394</v>
      </c>
      <c r="M55" s="53" t="s">
        <v>393</v>
      </c>
    </row>
    <row r="56" spans="2:21">
      <c r="B56" s="100"/>
      <c r="C56" s="100"/>
      <c r="D56" s="100"/>
      <c r="E56" s="100"/>
      <c r="F56" s="100"/>
      <c r="G56" s="100"/>
      <c r="H56" s="100"/>
      <c r="I56" s="100"/>
      <c r="J56" s="100"/>
      <c r="K56" s="100"/>
    </row>
    <row r="57" spans="2:21">
      <c r="B57" s="100"/>
      <c r="C57" s="100"/>
      <c r="D57" s="100"/>
      <c r="E57" s="100"/>
      <c r="F57" s="100"/>
      <c r="G57" s="100"/>
      <c r="H57" s="100"/>
      <c r="I57" s="100"/>
      <c r="J57" s="100"/>
      <c r="K57" s="100"/>
    </row>
    <row r="58" spans="2:21">
      <c r="B58" s="100"/>
      <c r="C58" s="100"/>
      <c r="D58" s="100"/>
      <c r="E58" s="100"/>
      <c r="F58" s="100"/>
      <c r="G58" s="100"/>
      <c r="H58" s="100"/>
      <c r="I58" s="100"/>
      <c r="J58" s="100"/>
      <c r="K58" s="100"/>
      <c r="L58" s="254" t="s">
        <v>395</v>
      </c>
      <c r="M58" s="281"/>
      <c r="N58" s="281"/>
      <c r="O58" s="255"/>
    </row>
    <row r="59" spans="2:21">
      <c r="B59" s="100"/>
      <c r="C59" s="100"/>
      <c r="D59" s="100"/>
      <c r="E59" s="100"/>
      <c r="F59" s="100"/>
      <c r="G59" s="100"/>
      <c r="H59" s="100"/>
      <c r="I59" s="100"/>
      <c r="J59" s="100"/>
      <c r="K59" s="100"/>
      <c r="L59" s="95" t="s">
        <v>396</v>
      </c>
      <c r="M59" s="95" t="s">
        <v>397</v>
      </c>
      <c r="N59" s="95" t="s">
        <v>398</v>
      </c>
      <c r="O59" s="95" t="s">
        <v>399</v>
      </c>
    </row>
    <row r="60" spans="2:21">
      <c r="B60" s="100"/>
      <c r="C60" s="100"/>
      <c r="D60" s="100"/>
      <c r="E60" s="100"/>
      <c r="F60" s="100"/>
      <c r="G60" s="100"/>
      <c r="H60" s="100"/>
      <c r="I60" s="100"/>
      <c r="J60" s="100"/>
      <c r="K60" s="100"/>
      <c r="L60" s="53" t="s">
        <v>400</v>
      </c>
      <c r="M60" s="53" t="s">
        <v>401</v>
      </c>
      <c r="N60" s="103">
        <v>5</v>
      </c>
      <c r="O60" s="103">
        <f>N61</f>
        <v>4.55</v>
      </c>
    </row>
    <row r="61" spans="2:21">
      <c r="B61" s="100"/>
      <c r="C61" s="100"/>
      <c r="D61" s="100"/>
      <c r="E61" s="100"/>
      <c r="F61" s="100"/>
      <c r="G61" s="100"/>
      <c r="H61" s="100"/>
      <c r="I61" s="100"/>
      <c r="J61" s="100"/>
      <c r="K61" s="100"/>
      <c r="L61" s="53" t="s">
        <v>402</v>
      </c>
      <c r="M61" s="53" t="s">
        <v>401</v>
      </c>
      <c r="N61" s="103">
        <v>4.55</v>
      </c>
      <c r="O61" s="103">
        <v>-2.5649999999999999</v>
      </c>
    </row>
    <row r="62" spans="2:21">
      <c r="B62" s="100"/>
      <c r="C62" s="100"/>
      <c r="D62" s="100"/>
      <c r="E62" s="100"/>
      <c r="F62" s="100"/>
      <c r="G62" s="100"/>
      <c r="H62" s="100"/>
      <c r="I62" s="100"/>
      <c r="J62" s="100"/>
      <c r="K62" s="100"/>
      <c r="L62" s="53" t="s">
        <v>403</v>
      </c>
      <c r="M62" s="53" t="s">
        <v>401</v>
      </c>
      <c r="N62" s="103">
        <f>O61</f>
        <v>-2.5649999999999999</v>
      </c>
      <c r="O62" s="103">
        <f>M21-2</f>
        <v>-2</v>
      </c>
    </row>
    <row r="63" spans="2:21">
      <c r="B63" s="100"/>
      <c r="C63" s="100"/>
      <c r="D63" s="100"/>
      <c r="E63" s="100"/>
      <c r="F63" s="100"/>
      <c r="G63" s="100"/>
      <c r="H63" s="100"/>
      <c r="I63" s="100"/>
      <c r="J63" s="100"/>
      <c r="K63" s="100"/>
      <c r="L63" s="53" t="s">
        <v>404</v>
      </c>
      <c r="M63" s="53" t="s">
        <v>401</v>
      </c>
      <c r="N63" s="103">
        <f>O62</f>
        <v>-2</v>
      </c>
      <c r="O63" s="103">
        <f>N8</f>
        <v>0</v>
      </c>
    </row>
    <row r="64" spans="2:21">
      <c r="B64" s="100"/>
      <c r="C64" s="100"/>
      <c r="D64" s="100"/>
      <c r="E64" s="100"/>
      <c r="F64" s="100"/>
      <c r="G64" s="100"/>
      <c r="H64" s="100"/>
      <c r="I64" s="100"/>
      <c r="J64" s="100"/>
      <c r="K64" s="100"/>
      <c r="L64" s="53" t="s">
        <v>405</v>
      </c>
      <c r="M64" s="53" t="s">
        <v>406</v>
      </c>
      <c r="N64" s="103">
        <v>5</v>
      </c>
      <c r="O64" s="103">
        <v>3</v>
      </c>
    </row>
    <row r="65" spans="2:23">
      <c r="B65" s="100"/>
      <c r="C65" s="100"/>
      <c r="D65" s="100"/>
      <c r="E65" s="100"/>
      <c r="F65" s="100"/>
      <c r="G65" s="100"/>
      <c r="H65" s="100"/>
      <c r="I65" s="100"/>
      <c r="J65" s="100"/>
      <c r="K65" s="100"/>
      <c r="L65" s="53" t="s">
        <v>407</v>
      </c>
      <c r="M65" s="53" t="s">
        <v>406</v>
      </c>
      <c r="N65" s="103">
        <v>3</v>
      </c>
      <c r="O65" s="103">
        <v>0.85</v>
      </c>
    </row>
    <row r="66" spans="2:23">
      <c r="B66" s="100"/>
      <c r="C66" s="100"/>
      <c r="D66" s="100"/>
      <c r="E66" s="100"/>
      <c r="F66" s="100"/>
      <c r="G66" s="100"/>
      <c r="H66" s="100"/>
      <c r="I66" s="100"/>
      <c r="J66" s="100"/>
      <c r="K66" s="100"/>
      <c r="L66" s="53" t="s">
        <v>408</v>
      </c>
      <c r="M66" s="53" t="s">
        <v>406</v>
      </c>
      <c r="N66" s="103">
        <v>0.85</v>
      </c>
      <c r="O66" s="103">
        <v>-0.56999999999999995</v>
      </c>
    </row>
    <row r="67" spans="2:23">
      <c r="B67" s="100"/>
      <c r="C67" s="100"/>
      <c r="D67" s="100"/>
      <c r="E67" s="100"/>
      <c r="F67" s="100"/>
      <c r="G67" s="100"/>
      <c r="H67" s="100"/>
      <c r="I67" s="100"/>
      <c r="J67" s="100"/>
      <c r="K67" s="100"/>
      <c r="L67" s="53" t="s">
        <v>409</v>
      </c>
      <c r="M67" s="53" t="s">
        <v>406</v>
      </c>
      <c r="N67" s="103">
        <v>-0.56999999999999995</v>
      </c>
      <c r="O67" s="103">
        <f>O62</f>
        <v>-2</v>
      </c>
    </row>
    <row r="68" spans="2:23">
      <c r="B68" s="100"/>
      <c r="C68" s="100"/>
      <c r="D68" s="100"/>
      <c r="E68" s="100"/>
      <c r="F68" s="100"/>
      <c r="G68" s="100"/>
      <c r="H68" s="100"/>
      <c r="I68" s="100"/>
      <c r="J68" s="100"/>
      <c r="K68" s="100"/>
      <c r="L68" s="53" t="s">
        <v>410</v>
      </c>
      <c r="M68" s="53" t="s">
        <v>406</v>
      </c>
      <c r="N68" s="103">
        <f>O67</f>
        <v>-2</v>
      </c>
      <c r="O68" s="103">
        <f>N8</f>
        <v>0</v>
      </c>
    </row>
    <row r="70" spans="2:23">
      <c r="B70" s="282" t="s">
        <v>411</v>
      </c>
      <c r="C70" s="282"/>
      <c r="D70" s="282"/>
      <c r="E70" s="282"/>
      <c r="F70" s="282" t="s">
        <v>412</v>
      </c>
      <c r="G70" s="282"/>
      <c r="H70" s="282"/>
      <c r="I70" s="282"/>
      <c r="J70" s="282" t="s">
        <v>413</v>
      </c>
      <c r="K70" s="282"/>
      <c r="L70" s="104" t="s">
        <v>414</v>
      </c>
      <c r="M70" s="283" t="s">
        <v>415</v>
      </c>
      <c r="N70" s="285"/>
    </row>
    <row r="71" spans="2:23">
      <c r="B71" s="283" t="s">
        <v>434</v>
      </c>
      <c r="C71" s="284"/>
      <c r="D71" s="284"/>
      <c r="E71" s="285"/>
      <c r="F71" s="286" t="s">
        <v>416</v>
      </c>
      <c r="G71" s="287"/>
      <c r="H71" s="287"/>
      <c r="I71" s="288"/>
      <c r="J71" s="286" t="s">
        <v>417</v>
      </c>
      <c r="K71" s="288"/>
    </row>
    <row r="72" spans="2:23">
      <c r="B72" s="283" t="s">
        <v>418</v>
      </c>
      <c r="C72" s="284"/>
      <c r="D72" s="284"/>
      <c r="E72" s="285"/>
      <c r="F72" s="283" t="s">
        <v>419</v>
      </c>
      <c r="G72" s="284"/>
      <c r="H72" s="284"/>
      <c r="I72" s="285"/>
      <c r="J72" s="55"/>
    </row>
    <row r="73" spans="2:23">
      <c r="B73" s="283" t="s">
        <v>420</v>
      </c>
      <c r="C73" s="284"/>
      <c r="D73" s="284"/>
      <c r="E73" s="285"/>
      <c r="F73" s="102"/>
      <c r="G73" s="102"/>
      <c r="H73" s="102"/>
      <c r="I73" s="102"/>
      <c r="J73" s="55"/>
    </row>
    <row r="75" spans="2:23">
      <c r="B75" s="282" t="s">
        <v>421</v>
      </c>
      <c r="C75" s="282"/>
      <c r="D75" s="100" t="s">
        <v>422</v>
      </c>
      <c r="F75" s="282" t="s">
        <v>423</v>
      </c>
      <c r="G75" s="282"/>
      <c r="H75" s="282"/>
      <c r="I75" s="282"/>
      <c r="J75" s="53" t="s">
        <v>424</v>
      </c>
    </row>
    <row r="77" spans="2:23">
      <c r="B77" s="282" t="s">
        <v>425</v>
      </c>
      <c r="C77" s="282"/>
      <c r="D77" s="53" t="s">
        <v>426</v>
      </c>
      <c r="F77" s="282" t="s">
        <v>427</v>
      </c>
      <c r="G77" s="282"/>
      <c r="H77" s="282"/>
      <c r="I77" s="254"/>
      <c r="J77" s="105" t="s">
        <v>428</v>
      </c>
      <c r="K77" s="106"/>
      <c r="L77" s="106"/>
      <c r="M77" s="106"/>
      <c r="N77" s="107"/>
    </row>
    <row r="78" spans="2:23">
      <c r="W78" s="6"/>
    </row>
    <row r="79" spans="2:23">
      <c r="B79" s="282" t="s">
        <v>429</v>
      </c>
      <c r="C79" s="282"/>
      <c r="D79" s="53" t="s">
        <v>430</v>
      </c>
    </row>
    <row r="80" spans="2:23">
      <c r="J80" s="55"/>
    </row>
    <row r="81" spans="2:10">
      <c r="B81" s="282" t="s">
        <v>431</v>
      </c>
      <c r="C81" s="282"/>
      <c r="D81" s="252" t="str">
        <f>J71&amp;"-01"&amp;"_"&amp;B71&amp;"_"&amp;B72</f>
        <v>21A559-JBO-TNMPCD-EN-3022-A3-01_TEST MP_Monopile - Cluster D WTG V236</v>
      </c>
      <c r="E81" s="252"/>
      <c r="F81" s="252"/>
      <c r="G81" s="252"/>
      <c r="H81" s="252"/>
      <c r="I81" s="252"/>
      <c r="J81" s="252"/>
    </row>
    <row r="82" spans="2:10">
      <c r="J82" s="55"/>
    </row>
    <row r="83" spans="2:10">
      <c r="J83" s="55"/>
    </row>
    <row r="84" spans="2:10">
      <c r="J84" s="55"/>
    </row>
    <row r="85" spans="2:10">
      <c r="J85" s="55"/>
    </row>
    <row r="86" spans="2:10">
      <c r="J86" s="55"/>
    </row>
    <row r="87" spans="2:10">
      <c r="J87" s="55"/>
    </row>
    <row r="88" spans="2:10">
      <c r="J88" s="55"/>
    </row>
    <row r="89" spans="2:10">
      <c r="J89" s="55"/>
    </row>
    <row r="90" spans="2:10">
      <c r="J90" s="55"/>
    </row>
    <row r="91" spans="2:10">
      <c r="J91" s="55"/>
    </row>
    <row r="92" spans="2:10">
      <c r="J92" s="55"/>
    </row>
    <row r="93" spans="2:10">
      <c r="J93" s="55"/>
    </row>
    <row r="94" spans="2:10">
      <c r="J94" s="55"/>
    </row>
    <row r="95" spans="2:10">
      <c r="J95" s="55"/>
    </row>
    <row r="96" spans="2:10">
      <c r="J96" s="55"/>
    </row>
    <row r="97" spans="10:10">
      <c r="J97" s="55"/>
    </row>
    <row r="98" spans="10:10">
      <c r="J98" s="55"/>
    </row>
    <row r="99" spans="10:10">
      <c r="J99" s="55"/>
    </row>
    <row r="100" spans="10:10">
      <c r="J100" s="55"/>
    </row>
    <row r="101" spans="10:10">
      <c r="J101" s="55"/>
    </row>
    <row r="102" spans="10:10">
      <c r="J102" s="55"/>
    </row>
    <row r="103" spans="10:10">
      <c r="J103" s="55"/>
    </row>
    <row r="104" spans="10:10">
      <c r="J104" s="55"/>
    </row>
    <row r="105" spans="10:10">
      <c r="J105" s="55"/>
    </row>
    <row r="106" spans="10:10">
      <c r="J106" s="55"/>
    </row>
    <row r="107" spans="10:10">
      <c r="J107" s="55"/>
    </row>
    <row r="108" spans="10:10">
      <c r="J108" s="55"/>
    </row>
    <row r="109" spans="10:10">
      <c r="J109" s="55"/>
    </row>
    <row r="110" spans="10:10">
      <c r="J110" s="55"/>
    </row>
    <row r="111" spans="10:10">
      <c r="J111" s="55"/>
    </row>
    <row r="112" spans="10:10">
      <c r="J112" s="55"/>
    </row>
    <row r="113" spans="10:10">
      <c r="J113" s="55"/>
    </row>
    <row r="114" spans="10:10">
      <c r="J114" s="55"/>
    </row>
    <row r="115" spans="10:10">
      <c r="J115" s="55"/>
    </row>
    <row r="116" spans="10:10">
      <c r="J116" s="55"/>
    </row>
    <row r="117" spans="10:10">
      <c r="J117" s="55"/>
    </row>
    <row r="118" spans="10:10">
      <c r="J118" s="55"/>
    </row>
    <row r="119" spans="10:10">
      <c r="J119" s="55"/>
    </row>
    <row r="120" spans="10:10">
      <c r="J120" s="55"/>
    </row>
    <row r="121" spans="10:10">
      <c r="J121" s="55"/>
    </row>
    <row r="122" spans="10:10">
      <c r="J122" s="55"/>
    </row>
    <row r="123" spans="10:10">
      <c r="J123" s="55"/>
    </row>
    <row r="124" spans="10:10">
      <c r="J124" s="55"/>
    </row>
    <row r="125" spans="10:10">
      <c r="J125" s="55"/>
    </row>
    <row r="126" spans="10:10">
      <c r="J126" s="55"/>
    </row>
    <row r="127" spans="10:10">
      <c r="J127" s="55"/>
    </row>
    <row r="128" spans="10:10">
      <c r="J128" s="55"/>
    </row>
    <row r="129" spans="10:10">
      <c r="J129" s="55"/>
    </row>
    <row r="130" spans="10:10">
      <c r="J130" s="55"/>
    </row>
    <row r="131" spans="10:10">
      <c r="J131" s="55"/>
    </row>
    <row r="132" spans="10:10">
      <c r="J132" s="55"/>
    </row>
    <row r="133" spans="10:10">
      <c r="J133" s="55"/>
    </row>
    <row r="134" spans="10:10">
      <c r="J134" s="55"/>
    </row>
    <row r="135" spans="10:10">
      <c r="J135" s="55"/>
    </row>
    <row r="136" spans="10:10">
      <c r="J136" s="55"/>
    </row>
    <row r="137" spans="10:10">
      <c r="J137" s="55"/>
    </row>
    <row r="138" spans="10:10">
      <c r="J138" s="55"/>
    </row>
    <row r="139" spans="10:10">
      <c r="J139" s="55"/>
    </row>
    <row r="140" spans="10:10">
      <c r="J140" s="55"/>
    </row>
    <row r="141" spans="10:10">
      <c r="J141" s="55"/>
    </row>
    <row r="142" spans="10:10">
      <c r="J142" s="55"/>
    </row>
    <row r="143" spans="10:10">
      <c r="J143" s="55"/>
    </row>
    <row r="144" spans="10:10">
      <c r="J144" s="55"/>
    </row>
    <row r="145" spans="10:10">
      <c r="J145" s="55"/>
    </row>
    <row r="146" spans="10:10">
      <c r="J146" s="55"/>
    </row>
    <row r="147" spans="10:10">
      <c r="J147" s="55"/>
    </row>
    <row r="148" spans="10:10">
      <c r="J148" s="55"/>
    </row>
    <row r="149" spans="10:10">
      <c r="J149" s="55"/>
    </row>
    <row r="150" spans="10:10">
      <c r="J150" s="55"/>
    </row>
    <row r="151" spans="10:10">
      <c r="J151" s="55"/>
    </row>
    <row r="152" spans="10:10">
      <c r="J152" s="55"/>
    </row>
    <row r="153" spans="10:10">
      <c r="J153" s="55"/>
    </row>
    <row r="154" spans="10:10">
      <c r="J154" s="55"/>
    </row>
    <row r="155" spans="10:10">
      <c r="J155" s="55"/>
    </row>
    <row r="156" spans="10:10">
      <c r="J156" s="55"/>
    </row>
    <row r="157" spans="10:10">
      <c r="J157" s="55"/>
    </row>
    <row r="158" spans="10:10">
      <c r="J158" s="55"/>
    </row>
    <row r="159" spans="10:10">
      <c r="J159" s="55"/>
    </row>
    <row r="160" spans="10:10">
      <c r="J160" s="55"/>
    </row>
    <row r="161" spans="10:10">
      <c r="J161" s="55"/>
    </row>
    <row r="162" spans="10:10">
      <c r="J162" s="55"/>
    </row>
    <row r="163" spans="10:10">
      <c r="J163" s="55"/>
    </row>
    <row r="164" spans="10:10">
      <c r="J164" s="55"/>
    </row>
    <row r="165" spans="10:10">
      <c r="J165" s="55"/>
    </row>
    <row r="166" spans="10:10">
      <c r="J166" s="55"/>
    </row>
    <row r="167" spans="10:10">
      <c r="J167" s="55"/>
    </row>
    <row r="168" spans="10:10">
      <c r="J168" s="55"/>
    </row>
    <row r="169" spans="10:10">
      <c r="J169" s="55"/>
    </row>
    <row r="170" spans="10:10">
      <c r="J170" s="55"/>
    </row>
    <row r="171" spans="10:10">
      <c r="J171" s="55"/>
    </row>
    <row r="172" spans="10:10">
      <c r="J172" s="55"/>
    </row>
    <row r="173" spans="10:10">
      <c r="J173" s="55"/>
    </row>
    <row r="174" spans="10:10">
      <c r="J174" s="55"/>
    </row>
    <row r="175" spans="10:10">
      <c r="J175" s="55"/>
    </row>
    <row r="176" spans="10:10">
      <c r="J176" s="55"/>
    </row>
    <row r="177" spans="10:10">
      <c r="J177" s="55"/>
    </row>
    <row r="178" spans="10:10">
      <c r="J178" s="55"/>
    </row>
    <row r="179" spans="10:10">
      <c r="J179" s="55"/>
    </row>
    <row r="180" spans="10:10">
      <c r="J180" s="55"/>
    </row>
    <row r="181" spans="10:10">
      <c r="J181" s="55"/>
    </row>
    <row r="182" spans="10:10">
      <c r="J182" s="55"/>
    </row>
    <row r="183" spans="10:10">
      <c r="J183" s="55"/>
    </row>
    <row r="184" spans="10:10">
      <c r="J184" s="55"/>
    </row>
    <row r="185" spans="10:10">
      <c r="J185" s="55"/>
    </row>
    <row r="186" spans="10:10">
      <c r="J186" s="55"/>
    </row>
    <row r="187" spans="10:10">
      <c r="J187" s="55"/>
    </row>
    <row r="188" spans="10:10">
      <c r="J188" s="55"/>
    </row>
    <row r="189" spans="10:10">
      <c r="J189" s="55"/>
    </row>
    <row r="190" spans="10:10">
      <c r="J190" s="55"/>
    </row>
    <row r="191" spans="10:10">
      <c r="J191" s="55"/>
    </row>
    <row r="192" spans="10:10">
      <c r="J192" s="55"/>
    </row>
    <row r="193" spans="10:10">
      <c r="J193" s="55"/>
    </row>
    <row r="194" spans="10:10">
      <c r="J194" s="55"/>
    </row>
    <row r="195" spans="10:10">
      <c r="J195" s="55"/>
    </row>
    <row r="196" spans="10:10">
      <c r="J196" s="55"/>
    </row>
    <row r="197" spans="10:10">
      <c r="J197" s="55"/>
    </row>
    <row r="198" spans="10:10">
      <c r="J198" s="55"/>
    </row>
    <row r="199" spans="10:10">
      <c r="J199" s="55"/>
    </row>
    <row r="200" spans="10:10">
      <c r="J200" s="55"/>
    </row>
    <row r="201" spans="10:10">
      <c r="J201" s="55"/>
    </row>
    <row r="202" spans="10:10">
      <c r="J202" s="55"/>
    </row>
    <row r="203" spans="10:10">
      <c r="J203" s="55"/>
    </row>
    <row r="204" spans="10:10">
      <c r="J204" s="55"/>
    </row>
    <row r="205" spans="10:10">
      <c r="J205" s="55"/>
    </row>
    <row r="206" spans="10:10">
      <c r="J206" s="55"/>
    </row>
    <row r="207" spans="10:10">
      <c r="J207" s="55"/>
    </row>
    <row r="208" spans="10:10">
      <c r="J208" s="55"/>
    </row>
    <row r="209" spans="10:10">
      <c r="J209" s="55"/>
    </row>
    <row r="210" spans="10:10">
      <c r="J210" s="55"/>
    </row>
    <row r="211" spans="10:10">
      <c r="J211" s="55"/>
    </row>
    <row r="212" spans="10:10">
      <c r="J212" s="55"/>
    </row>
    <row r="213" spans="10:10">
      <c r="J213" s="55"/>
    </row>
    <row r="214" spans="10:10">
      <c r="J214" s="55"/>
    </row>
    <row r="215" spans="10:10">
      <c r="J215" s="55"/>
    </row>
    <row r="216" spans="10:10">
      <c r="J216" s="55"/>
    </row>
  </sheetData>
  <sheetProtection sheet="1" objects="1" scenarios="1"/>
  <protectedRanges>
    <protectedRange algorithmName="SHA-512" hashValue="pD8BUfa1U+fS535Yq9KGmrBEb48n6tNJRxweQHGGaxiSxjpbYg9hNfg2UcrBZcZy/pwhjXjsqCVBRN+wXFc9xQ==" saltValue="jHUwg+ZTpSuOTOc8mT4CvA==" spinCount="100000" sqref="L37" name="Bereich1"/>
  </protectedRanges>
  <dataConsolidate/>
  <mergeCells count="32">
    <mergeCell ref="Q7:R7"/>
    <mergeCell ref="R11:V11"/>
    <mergeCell ref="M16:N16"/>
    <mergeCell ref="Q16:U38"/>
    <mergeCell ref="L18:N18"/>
    <mergeCell ref="M19:N19"/>
    <mergeCell ref="M20:N20"/>
    <mergeCell ref="M21:N21"/>
    <mergeCell ref="L22:N22"/>
    <mergeCell ref="F70:I70"/>
    <mergeCell ref="J70:K70"/>
    <mergeCell ref="M70:N70"/>
    <mergeCell ref="L4:N4"/>
    <mergeCell ref="L33:N33"/>
    <mergeCell ref="L39:M39"/>
    <mergeCell ref="L41:N41"/>
    <mergeCell ref="Q49:U54"/>
    <mergeCell ref="L58:O58"/>
    <mergeCell ref="B81:C81"/>
    <mergeCell ref="D81:J81"/>
    <mergeCell ref="B71:E71"/>
    <mergeCell ref="F71:I71"/>
    <mergeCell ref="J71:K71"/>
    <mergeCell ref="B72:E72"/>
    <mergeCell ref="F72:I72"/>
    <mergeCell ref="B73:E73"/>
    <mergeCell ref="B75:C75"/>
    <mergeCell ref="F75:I75"/>
    <mergeCell ref="B77:C77"/>
    <mergeCell ref="F77:I77"/>
    <mergeCell ref="B79:C79"/>
    <mergeCell ref="B70:E70"/>
  </mergeCells>
  <dataValidations count="5">
    <dataValidation type="list" allowBlank="1" showInputMessage="1" showErrorMessage="1" sqref="M60:M68" xr:uid="{DDEF422A-54AE-4B8C-BDF4-ABCCD64E06E6}">
      <formula1>"INSIDE,OUTSIDE"</formula1>
    </dataValidation>
    <dataValidation type="list" allowBlank="1" showInputMessage="1" showErrorMessage="1" sqref="N24:N31" xr:uid="{B6B4951E-5D0E-46FA-BA7D-B38EF4A6DBAE}">
      <formula1>"UP,DOWN"</formula1>
    </dataValidation>
    <dataValidation type="list" allowBlank="1" showInputMessage="1" showErrorMessage="1" sqref="J75" xr:uid="{AB71AEEB-0625-49C7-B36F-E5573434E04E}">
      <formula1>"EN,DE"</formula1>
    </dataValidation>
    <dataValidation type="list" allowBlank="1" showInputMessage="1" showErrorMessage="1" sqref="D79" xr:uid="{8CF2A39F-5708-4534-A3F5-BA821F7D4072}">
      <formula1>"A4,A3"</formula1>
    </dataValidation>
    <dataValidation type="list" allowBlank="1" showInputMessage="1" showErrorMessage="1" sqref="D77 M54:M55" xr:uid="{33CB7E03-4596-4A3A-A7AF-BCBA14789375}">
      <formula1>"Yes,No"</formula1>
    </dataValidation>
  </dataValidations>
  <pageMargins left="0.7" right="0.7" top="0.78740157499999996" bottom="0.78740157499999996"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CF3DE-7808-4028-A9A8-86D5BD92E64C}">
  <sheetPr codeName="Tabelle5">
    <tabColor theme="4" tint="0.59999389629810485"/>
  </sheetPr>
  <dimension ref="C1:U71"/>
  <sheetViews>
    <sheetView workbookViewId="0"/>
  </sheetViews>
  <sheetFormatPr baseColWidth="10" defaultRowHeight="14.4"/>
  <cols>
    <col min="5" max="6" width="10.5546875"/>
    <col min="9" max="9" width="10.5546875"/>
  </cols>
  <sheetData>
    <row r="1" spans="3:21">
      <c r="C1" s="35" t="s">
        <v>227</v>
      </c>
      <c r="E1" s="62"/>
      <c r="F1" s="62"/>
      <c r="G1" s="42">
        <v>4</v>
      </c>
      <c r="H1" s="42">
        <v>5</v>
      </c>
      <c r="J1" s="62"/>
      <c r="K1" s="62"/>
      <c r="L1" s="42">
        <v>8</v>
      </c>
      <c r="M1" s="42">
        <v>9</v>
      </c>
      <c r="N1" s="42">
        <v>10</v>
      </c>
      <c r="O1" s="42">
        <v>11</v>
      </c>
      <c r="S1" s="42">
        <v>14</v>
      </c>
      <c r="T1" s="42">
        <v>15</v>
      </c>
      <c r="U1" s="42">
        <v>16</v>
      </c>
    </row>
    <row r="2" spans="3:21">
      <c r="E2" s="62"/>
      <c r="F2" s="62"/>
      <c r="J2" s="62"/>
      <c r="K2" s="62"/>
    </row>
    <row r="3" spans="3:21">
      <c r="C3" s="35" t="s">
        <v>175</v>
      </c>
      <c r="E3" s="62"/>
      <c r="F3" s="62"/>
      <c r="J3" s="62"/>
      <c r="K3" s="62"/>
    </row>
    <row r="4" spans="3:21">
      <c r="E4" s="62"/>
      <c r="F4" s="62"/>
      <c r="G4" s="305" t="s">
        <v>285</v>
      </c>
      <c r="H4" s="306"/>
      <c r="J4" s="62"/>
      <c r="K4" s="62"/>
      <c r="L4" s="305" t="s">
        <v>220</v>
      </c>
      <c r="M4" s="307"/>
      <c r="N4" s="307"/>
      <c r="O4" s="306"/>
      <c r="S4" s="305" t="s">
        <v>221</v>
      </c>
      <c r="T4" s="307"/>
      <c r="U4" s="306"/>
    </row>
    <row r="5" spans="3:21">
      <c r="C5" s="70" t="s">
        <v>335</v>
      </c>
      <c r="E5" s="62"/>
      <c r="F5" s="62"/>
      <c r="G5" s="70" t="s">
        <v>267</v>
      </c>
      <c r="H5" s="70" t="str">
        <f>IF(Control!$F$39="EC","m=4, N=1E7","m=5, N=1e7")</f>
        <v>m=4, N=1E7</v>
      </c>
      <c r="J5" s="62"/>
      <c r="K5" s="62"/>
      <c r="L5" s="70" t="s">
        <v>73</v>
      </c>
      <c r="M5" s="70" t="s">
        <v>74</v>
      </c>
      <c r="N5" s="70" t="s">
        <v>75</v>
      </c>
      <c r="O5" s="70" t="s">
        <v>76</v>
      </c>
      <c r="S5" s="70" t="s">
        <v>73</v>
      </c>
      <c r="T5" s="70" t="s">
        <v>75</v>
      </c>
      <c r="U5" s="70" t="s">
        <v>76</v>
      </c>
    </row>
    <row r="6" spans="3:21">
      <c r="C6" s="70" t="s">
        <v>358</v>
      </c>
      <c r="E6" s="62"/>
      <c r="F6" s="62"/>
      <c r="G6" s="70" t="s">
        <v>20</v>
      </c>
      <c r="H6" s="70" t="s">
        <v>20</v>
      </c>
      <c r="J6" s="62"/>
      <c r="K6" s="62"/>
      <c r="L6" s="70" t="s">
        <v>268</v>
      </c>
      <c r="M6" s="70" t="s">
        <v>20</v>
      </c>
      <c r="N6" s="70" t="s">
        <v>20</v>
      </c>
      <c r="O6" s="70" t="s">
        <v>268</v>
      </c>
      <c r="S6" s="70" t="s">
        <v>268</v>
      </c>
      <c r="T6" s="70" t="s">
        <v>20</v>
      </c>
      <c r="U6" s="70" t="s">
        <v>268</v>
      </c>
    </row>
    <row r="7" spans="3:21">
      <c r="C7" s="72">
        <f>Geometry!D11</f>
        <v>20.9</v>
      </c>
      <c r="E7" s="62">
        <f>MATCH($C7,Loads!$C$5:$C$115,0)</f>
        <v>111</v>
      </c>
      <c r="F7" s="62">
        <f>MATCH($C7,Loads!$C$5:$C$115,1)</f>
        <v>111</v>
      </c>
      <c r="G7" s="73">
        <f>IF(ISBLANK(INDEX(Loads!$D$5:$D$115,$F7)),"-",INDEX(Loads!$D$5:$D$115,$F7)+IF(NOT(ISERROR($E7)),0,(INDEX(Loads!$D$5:$D$115,$F7+1)-INDEX(Loads!$D$5:$D$115,$F7))/(INDEX(Loads!$C$5:$C$115,$F7+1)-INDEX(Loads!$C$5:$C$115,$F7))*($C7-INDEX(Loads!$C$5:$C$115,$F7))))</f>
        <v>123615.00000000001</v>
      </c>
      <c r="H7" s="73">
        <f>IF(ISBLANK(INDEX(Loads!$E$5:$E$115,$F7)),"-",INDEX(Loads!$E$5:$E$115,$F7)+IF(NOT(ISERROR($E7)),0,(INDEX(Loads!$E$5:$E$115,$F7+1)-INDEX(Loads!$E$5:$E$115,$F7))/(INDEX(Loads!$C$5:$C$115,$F7+1)-INDEX(Loads!$C$5:$C$115,$F7))*($C7-INDEX(Loads!$C$5:$C$115,$F7))))</f>
        <v>118512.00000000001</v>
      </c>
      <c r="J7" s="62">
        <f>MATCH($C7,Loads!$G$5:$G$115,0)</f>
        <v>111</v>
      </c>
      <c r="K7" s="62">
        <f>MATCH($C7,Loads!$G$5:$G$115,1)</f>
        <v>111</v>
      </c>
      <c r="L7" s="73">
        <f>IF(ISBLANK(INDEX(Loads!$H$5:$H$115,$K7)),"-",INDEX(Loads!$H$5:$H$115,$K7)+IF(NOT(ISERROR($J7)),0,(INDEX(Loads!$H$5:$H$115,$K7+1)-INDEX(Loads!$H$5:$H$115,$K7))/(INDEX(Loads!$G$5:$G$115,$K7+1)-INDEX(Loads!$G$5:$G$115,$K7))*($C7-INDEX(Loads!$G$5:$G$115,$K7))))</f>
        <v>-22572.85</v>
      </c>
      <c r="M7" s="73">
        <f>IF(ISBLANK(INDEX(Loads!$I$5:$I$115,$K7)),"-",INDEX(Loads!$I$5:$I$115,$K7)+IF(NOT(ISERROR($J7)),0,(INDEX(Loads!$I$5:$I$115,$K7+1)-INDEX(Loads!$I$5:$I$115,$K7))/(INDEX(Loads!$G$5:$G$115,$K7+1)-INDEX(Loads!$G$5:$G$115,$K7))*($C7-INDEX(Loads!$G$5:$G$115,$K7))))</f>
        <v>-46307.77</v>
      </c>
      <c r="N7" s="73">
        <f>IF(ISBLANK(INDEX(Loads!$J$5:$J$115,$K7)),"-",INDEX(Loads!$J$5:$J$115,$K7)+IF(NOT(ISERROR($J7)),0,(INDEX(Loads!$J$5:$J$115,$K7+1)-INDEX(Loads!$J$5:$J$115,$K7))/(INDEX(Loads!$G$5:$G$115,$K7+1)-INDEX(Loads!$G$5:$G$115,$K7))*($C7-INDEX(Loads!$G$5:$G$115,$K7))))</f>
        <v>504389</v>
      </c>
      <c r="O7" s="73">
        <f>IF(ISBLANK(INDEX(Loads!$K$5:$K$115,$K7)),"-",INDEX(Loads!$K$5:$K$115,$K7)+IF(NOT(ISERROR($J7)),0,(INDEX(Loads!$K$5:$K$115,$K7+1)-INDEX(Loads!$K$5:$K$115,$K7))/(INDEX(Loads!$G$5:$G$115,$K7+1)-INDEX(Loads!$G$5:$G$115,$K7))*($C7-INDEX(Loads!$G$5:$G$115,$K7))))</f>
        <v>4510.1319999999996</v>
      </c>
      <c r="Q7">
        <f>MATCH($C7,Loads!$M$5:$M$115,0)</f>
        <v>111</v>
      </c>
      <c r="R7">
        <f>MATCH($C7,Loads!$M$5:$M$115,1)</f>
        <v>111</v>
      </c>
      <c r="S7" s="73">
        <f>IF(ISBLANK(INDEX(Loads!$N$5:$N$115,$R7)),"-",INDEX(Loads!$N$5:$N$115,$K7)+IF(NOT(ISERROR($Q7)),0,(INDEX(Loads!$N$5:$N$115,$R7+1)-INDEX(Loads!$N$5:$N$115,$R7))/(INDEX(Loads!$M$5:$M$115,$R7+1)-INDEX(Loads!$M$5:$M$115,$R7))*($C7-INDEX(Loads!$M$5:$M$115,$R7))))</f>
        <v>-16720.63</v>
      </c>
      <c r="T7" s="73">
        <f>IF(ISBLANK(INDEX(Loads!$O$5:$O$115,$R7)),"-",INDEX(Loads!$O$5:$O$115,$K7)+IF(NOT(ISERROR($Q7)),0,(INDEX(Loads!$O$5:$O$115,$R7+1)-INDEX(Loads!$O$5:$O$115,$R7))/(INDEX(Loads!$M$5:$M$115,$R7+1)-INDEX(Loads!$M$5:$M$115,$R7))*($C7-INDEX(Loads!$M$5:$M$115,$R7))))</f>
        <v>379706.8</v>
      </c>
      <c r="U7" s="73">
        <f>IF(ISBLANK(INDEX(Loads!$P$5:$P$115,$R7)),"-",INDEX(Loads!$P$5:$P$115,$K7)+IF(NOT(ISERROR($Q7)),0,(INDEX(Loads!$P$5:$P$115,$R7+1)-INDEX(Loads!$P$5:$P$115,$R7))/(INDEX(Loads!$M$5:$M$115,$R7+1)-INDEX(Loads!$M$5:$M$115,$R7))*($C7-INDEX(Loads!$M$5:$M$115,$R7))))</f>
        <v>3340.8380000000002</v>
      </c>
    </row>
    <row r="8" spans="3:21">
      <c r="C8" s="72">
        <f>Geometry!E11</f>
        <v>17.5</v>
      </c>
      <c r="E8" s="62" t="e">
        <f>MATCH($C8,Loads!$C$5:$C$115,0)</f>
        <v>#N/A</v>
      </c>
      <c r="F8" s="62">
        <f>MATCH($C8,Loads!$C$5:$C$115,1)</f>
        <v>110</v>
      </c>
      <c r="G8" s="73">
        <f>IF(ISBLANK(INDEX(Loads!$D$5:$D$115,$F8)),"-",INDEX(Loads!$D$5:$D$115,$F8)+IF(NOT(ISERROR($E8)),0,(INDEX(Loads!$D$5:$D$115,$F8+1)-INDEX(Loads!$D$5:$D$115,$F8))/(INDEX(Loads!$C$5:$C$115,$F8+1)-INDEX(Loads!$C$5:$C$115,$F8))*($C8-INDEX(Loads!$C$5:$C$115,$F8))))</f>
        <v>126989.05263157896</v>
      </c>
      <c r="H8" s="73">
        <f>IF(ISBLANK(INDEX(Loads!$E$5:$E$115,$F8)),"-",INDEX(Loads!$E$5:$E$115,$F8)+IF(NOT(ISERROR($E8)),0,(INDEX(Loads!$E$5:$E$115,$F8+1)-INDEX(Loads!$E$5:$E$115,$F8))/(INDEX(Loads!$C$5:$C$115,$F8+1)-INDEX(Loads!$C$5:$C$115,$F8))*($C8-INDEX(Loads!$C$5:$C$115,$F8))))</f>
        <v>121829.68421052633</v>
      </c>
      <c r="J8" s="62" t="e">
        <f>MATCH($C8,Loads!$G$5:$G$115,0)</f>
        <v>#N/A</v>
      </c>
      <c r="K8" s="62">
        <f>MATCH($C8,Loads!$G$5:$G$115,1)</f>
        <v>110</v>
      </c>
      <c r="L8" s="73">
        <f>IF(ISBLANK(INDEX(Loads!$H$5:$H$115,$K8)),"-",INDEX(Loads!$H$5:$H$115,$K8)+IF(NOT(ISERROR($J8)),0,(INDEX(Loads!$H$5:$H$115,$K8+1)-INDEX(Loads!$H$5:$H$115,$K8))/(INDEX(Loads!$G$5:$G$115,$K8+1)-INDEX(Loads!$G$5:$G$115,$K8))*($C8-INDEX(Loads!$G$5:$G$115,$K8))))</f>
        <v>-23891.065789473683</v>
      </c>
      <c r="M8" s="73">
        <f>IF(ISBLANK(INDEX(Loads!$I$5:$I$115,$K8)),"-",INDEX(Loads!$I$5:$I$115,$K8)+IF(NOT(ISERROR($J8)),0,(INDEX(Loads!$I$5:$I$115,$K8+1)-INDEX(Loads!$I$5:$I$115,$K8))/(INDEX(Loads!$G$5:$G$115,$K8+1)-INDEX(Loads!$G$5:$G$115,$K8))*($C8-INDEX(Loads!$G$5:$G$115,$K8))))</f>
        <v>-46316.797894736839</v>
      </c>
      <c r="N8" s="73">
        <f>IF(ISBLANK(INDEX(Loads!$J$5:$J$115,$K8)),"-",INDEX(Loads!$J$5:$J$115,$K8)+IF(NOT(ISERROR($J8)),0,(INDEX(Loads!$J$5:$J$115,$K8+1)-INDEX(Loads!$J$5:$J$115,$K8))/(INDEX(Loads!$G$5:$G$115,$K8+1)-INDEX(Loads!$G$5:$G$115,$K8))*($C8-INDEX(Loads!$G$5:$G$115,$K8))))</f>
        <v>520130.19473684207</v>
      </c>
      <c r="O8" s="73">
        <f>IF(ISBLANK(INDEX(Loads!$K$5:$K$115,$K8)),"-",INDEX(Loads!$K$5:$K$115,$K8)+IF(NOT(ISERROR($J8)),0,(INDEX(Loads!$K$5:$K$115,$K8+1)-INDEX(Loads!$K$5:$K$115,$K8))/(INDEX(Loads!$G$5:$G$115,$K8+1)-INDEX(Loads!$G$5:$G$115,$K8))*($C8-INDEX(Loads!$G$5:$G$115,$K8))))</f>
        <v>4620.5729473684205</v>
      </c>
      <c r="Q8" t="e">
        <f>MATCH($C8,Loads!$M$5:$M$115,0)</f>
        <v>#N/A</v>
      </c>
      <c r="R8">
        <f>MATCH($C8,Loads!$M$5:$M$115,1)</f>
        <v>110</v>
      </c>
      <c r="S8" s="73">
        <f>IF(ISBLANK(INDEX(Loads!$N$5:$N$115,$R8)),"-",INDEX(Loads!$N$5:$N$115,$K8)+IF(NOT(ISERROR($Q8)),0,(INDEX(Loads!$N$5:$N$115,$R8+1)-INDEX(Loads!$N$5:$N$115,$R8))/(INDEX(Loads!$M$5:$M$115,$R8+1)-INDEX(Loads!$M$5:$M$115,$R8))*($C8-INDEX(Loads!$M$5:$M$115,$R8))))</f>
        <v>-17697.083157894736</v>
      </c>
      <c r="T8" s="73">
        <f>IF(ISBLANK(INDEX(Loads!$O$5:$O$115,$R8)),"-",INDEX(Loads!$O$5:$O$115,$K8)+IF(NOT(ISERROR($Q8)),0,(INDEX(Loads!$O$5:$O$115,$R8+1)-INDEX(Loads!$O$5:$O$115,$R8))/(INDEX(Loads!$M$5:$M$115,$R8+1)-INDEX(Loads!$M$5:$M$115,$R8))*($C8-INDEX(Loads!$M$5:$M$115,$R8))))</f>
        <v>391561.7052631579</v>
      </c>
      <c r="U8" s="73">
        <f>IF(ISBLANK(INDEX(Loads!$P$5:$P$115,$R8)),"-",INDEX(Loads!$P$5:$P$115,$K8)+IF(NOT(ISERROR($Q8)),0,(INDEX(Loads!$P$5:$P$115,$R8+1)-INDEX(Loads!$P$5:$P$115,$R8))/(INDEX(Loads!$M$5:$M$115,$R8+1)-INDEX(Loads!$M$5:$M$115,$R8))*($C8-INDEX(Loads!$M$5:$M$115,$R8))))</f>
        <v>3422.6464736842108</v>
      </c>
    </row>
    <row r="9" spans="3:21">
      <c r="C9" s="72">
        <f>Geometry!E12</f>
        <v>13.5</v>
      </c>
      <c r="E9" s="62" t="e">
        <f>MATCH($C9,Loads!$C$5:$C$115,0)</f>
        <v>#N/A</v>
      </c>
      <c r="F9" s="62">
        <f>MATCH($C9,Loads!$C$5:$C$115,1)</f>
        <v>109</v>
      </c>
      <c r="G9" s="73">
        <f>IF(ISBLANK(INDEX(Loads!$D$5:$D$115,$F9)),"-",INDEX(Loads!$D$5:$D$115,$F9)+IF(NOT(ISERROR($E9)),0,(INDEX(Loads!$D$5:$D$115,$F9+1)-INDEX(Loads!$D$5:$D$115,$F9))/(INDEX(Loads!$C$5:$C$115,$F9+1)-INDEX(Loads!$C$5:$C$115,$F9))*($C9-INDEX(Loads!$C$5:$C$115,$F9))))</f>
        <v>131033.07692307692</v>
      </c>
      <c r="H9" s="73">
        <f>IF(ISBLANK(INDEX(Loads!$E$5:$E$115,$F9)),"-",INDEX(Loads!$E$5:$E$115,$F9)+IF(NOT(ISERROR($E9)),0,(INDEX(Loads!$E$5:$E$115,$F9+1)-INDEX(Loads!$E$5:$E$115,$F9))/(INDEX(Loads!$C$5:$C$115,$F9+1)-INDEX(Loads!$C$5:$C$115,$F9))*($C9-INDEX(Loads!$C$5:$C$115,$F9))))</f>
        <v>125767.38461538462</v>
      </c>
      <c r="J9" s="62" t="e">
        <f>MATCH($C9,Loads!$G$5:$G$115,0)</f>
        <v>#N/A</v>
      </c>
      <c r="K9" s="62">
        <f>MATCH($C9,Loads!$G$5:$G$115,1)</f>
        <v>109</v>
      </c>
      <c r="L9" s="73">
        <f>IF(ISBLANK(INDEX(Loads!$H$5:$H$115,$K9)),"-",INDEX(Loads!$H$5:$H$115,$K9)+IF(NOT(ISERROR($J9)),0,(INDEX(Loads!$H$5:$H$115,$K9+1)-INDEX(Loads!$H$5:$H$115,$K9))/(INDEX(Loads!$G$5:$G$115,$K9+1)-INDEX(Loads!$G$5:$G$115,$K9))*($C9-INDEX(Loads!$G$5:$G$115,$K9))))</f>
        <v>-24865.362307692307</v>
      </c>
      <c r="M9" s="73">
        <f>IF(ISBLANK(INDEX(Loads!$I$5:$I$115,$K9)),"-",INDEX(Loads!$I$5:$I$115,$K9)+IF(NOT(ISERROR($J9)),0,(INDEX(Loads!$I$5:$I$115,$K9+1)-INDEX(Loads!$I$5:$I$115,$K9))/(INDEX(Loads!$G$5:$G$115,$K9+1)-INDEX(Loads!$G$5:$G$115,$K9))*($C9-INDEX(Loads!$G$5:$G$115,$K9))))</f>
        <v>-46326.979999999996</v>
      </c>
      <c r="N9" s="73">
        <f>IF(ISBLANK(INDEX(Loads!$J$5:$J$115,$K9)),"-",INDEX(Loads!$J$5:$J$115,$K9)+IF(NOT(ISERROR($J9)),0,(INDEX(Loads!$J$5:$J$115,$K9+1)-INDEX(Loads!$J$5:$J$115,$K9))/(INDEX(Loads!$G$5:$G$115,$K9+1)-INDEX(Loads!$G$5:$G$115,$K9))*($C9-INDEX(Loads!$G$5:$G$115,$K9))))</f>
        <v>539246.86923076923</v>
      </c>
      <c r="O9" s="73">
        <f>IF(ISBLANK(INDEX(Loads!$K$5:$K$115,$K9)),"-",INDEX(Loads!$K$5:$K$115,$K9)+IF(NOT(ISERROR($J9)),0,(INDEX(Loads!$K$5:$K$115,$K9+1)-INDEX(Loads!$K$5:$K$115,$K9))/(INDEX(Loads!$G$5:$G$115,$K9+1)-INDEX(Loads!$G$5:$G$115,$K9))*($C9-INDEX(Loads!$G$5:$G$115,$K9))))</f>
        <v>4896.973384615384</v>
      </c>
      <c r="Q9" t="e">
        <f>MATCH($C9,Loads!$M$5:$M$115,0)</f>
        <v>#N/A</v>
      </c>
      <c r="R9">
        <f>MATCH($C9,Loads!$M$5:$M$115,1)</f>
        <v>109</v>
      </c>
      <c r="S9" s="73">
        <f>IF(ISBLANK(INDEX(Loads!$N$5:$N$115,$R9)),"-",INDEX(Loads!$N$5:$N$115,$K9)+IF(NOT(ISERROR($Q9)),0,(INDEX(Loads!$N$5:$N$115,$R9+1)-INDEX(Loads!$N$5:$N$115,$R9))/(INDEX(Loads!$M$5:$M$115,$R9+1)-INDEX(Loads!$M$5:$M$115,$R9))*($C9-INDEX(Loads!$M$5:$M$115,$R9))))</f>
        <v>-18418.790769230771</v>
      </c>
      <c r="T9" s="73">
        <f>IF(ISBLANK(INDEX(Loads!$O$5:$O$115,$R9)),"-",INDEX(Loads!$O$5:$O$115,$K9)+IF(NOT(ISERROR($Q9)),0,(INDEX(Loads!$O$5:$O$115,$R9+1)-INDEX(Loads!$O$5:$O$115,$R9))/(INDEX(Loads!$M$5:$M$115,$R9+1)-INDEX(Loads!$M$5:$M$115,$R9))*($C9-INDEX(Loads!$M$5:$M$115,$R9))))</f>
        <v>405945.10769230768</v>
      </c>
      <c r="U9" s="73">
        <f>IF(ISBLANK(INDEX(Loads!$P$5:$P$115,$R9)),"-",INDEX(Loads!$P$5:$P$115,$K9)+IF(NOT(ISERROR($Q9)),0,(INDEX(Loads!$P$5:$P$115,$R9+1)-INDEX(Loads!$P$5:$P$115,$R9))/(INDEX(Loads!$M$5:$M$115,$R9+1)-INDEX(Loads!$M$5:$M$115,$R9))*($C9-INDEX(Loads!$M$5:$M$115,$R9))))</f>
        <v>3627.3873076923073</v>
      </c>
    </row>
    <row r="10" spans="3:21">
      <c r="C10" s="72">
        <f>Geometry!E13</f>
        <v>9.5</v>
      </c>
      <c r="E10" s="62" t="e">
        <f>MATCH($C10,Loads!$C$5:$C$115,0)</f>
        <v>#N/A</v>
      </c>
      <c r="F10" s="62">
        <f>MATCH($C10,Loads!$C$5:$C$115,1)</f>
        <v>108</v>
      </c>
      <c r="G10" s="73">
        <f>IF(ISBLANK(INDEX(Loads!$D$5:$D$115,$F10)),"-",INDEX(Loads!$D$5:$D$115,$F10)+IF(NOT(ISERROR($E10)),0,(INDEX(Loads!$D$5:$D$115,$F10+1)-INDEX(Loads!$D$5:$D$115,$F10))/(INDEX(Loads!$C$5:$C$115,$F10+1)-INDEX(Loads!$C$5:$C$115,$F10))*($C10-INDEX(Loads!$C$5:$C$115,$F10))))</f>
        <v>135264.69230769231</v>
      </c>
      <c r="H10" s="73">
        <f>IF(ISBLANK(INDEX(Loads!$E$5:$E$115,$F10)),"-",INDEX(Loads!$E$5:$E$115,$F10)+IF(NOT(ISERROR($E10)),0,(INDEX(Loads!$E$5:$E$115,$F10+1)-INDEX(Loads!$E$5:$E$115,$F10))/(INDEX(Loads!$C$5:$C$115,$F10+1)-INDEX(Loads!$C$5:$C$115,$F10))*($C10-INDEX(Loads!$C$5:$C$115,$F10))))</f>
        <v>129811.38461538462</v>
      </c>
      <c r="J10" s="62" t="e">
        <f>MATCH($C10,Loads!$G$5:$G$115,0)</f>
        <v>#N/A</v>
      </c>
      <c r="K10" s="62">
        <f>MATCH($C10,Loads!$G$5:$G$115,1)</f>
        <v>108</v>
      </c>
      <c r="L10" s="73">
        <f>IF(ISBLANK(INDEX(Loads!$H$5:$H$115,$K10)),"-",INDEX(Loads!$H$5:$H$115,$K10)+IF(NOT(ISERROR($J10)),0,(INDEX(Loads!$H$5:$H$115,$K10+1)-INDEX(Loads!$H$5:$H$115,$K10))/(INDEX(Loads!$G$5:$G$115,$K10+1)-INDEX(Loads!$G$5:$G$115,$K10))*($C10-INDEX(Loads!$G$5:$G$115,$K10))))</f>
        <v>-25729.462051282051</v>
      </c>
      <c r="M10" s="73">
        <f>IF(ISBLANK(INDEX(Loads!$I$5:$I$115,$K10)),"-",INDEX(Loads!$I$5:$I$115,$K10)+IF(NOT(ISERROR($J10)),0,(INDEX(Loads!$I$5:$I$115,$K10+1)-INDEX(Loads!$I$5:$I$115,$K10))/(INDEX(Loads!$G$5:$G$115,$K10+1)-INDEX(Loads!$G$5:$G$115,$K10))*($C10-INDEX(Loads!$G$5:$G$115,$K10))))</f>
        <v>-46336.420769230768</v>
      </c>
      <c r="N10" s="73">
        <f>IF(ISBLANK(INDEX(Loads!$J$5:$J$115,$K10)),"-",INDEX(Loads!$J$5:$J$115,$K10)+IF(NOT(ISERROR($J10)),0,(INDEX(Loads!$J$5:$J$115,$K10+1)-INDEX(Loads!$J$5:$J$115,$K10))/(INDEX(Loads!$G$5:$G$115,$K10+1)-INDEX(Loads!$G$5:$G$115,$K10))*($C10-INDEX(Loads!$G$5:$G$115,$K10))))</f>
        <v>558593.41025641025</v>
      </c>
      <c r="O10" s="73">
        <f>IF(ISBLANK(INDEX(Loads!$K$5:$K$115,$K10)),"-",INDEX(Loads!$K$5:$K$115,$K10)+IF(NOT(ISERROR($J10)),0,(INDEX(Loads!$K$5:$K$115,$K10+1)-INDEX(Loads!$K$5:$K$115,$K10))/(INDEX(Loads!$G$5:$G$115,$K10+1)-INDEX(Loads!$G$5:$G$115,$K10))*($C10-INDEX(Loads!$G$5:$G$115,$K10))))</f>
        <v>11747.70661538461</v>
      </c>
      <c r="Q10" t="e">
        <f>MATCH($C10,Loads!$M$5:$M$115,0)</f>
        <v>#N/A</v>
      </c>
      <c r="R10">
        <f>MATCH($C10,Loads!$M$5:$M$115,1)</f>
        <v>108</v>
      </c>
      <c r="S10" s="73">
        <f>IF(ISBLANK(INDEX(Loads!$N$5:$N$115,$R10)),"-",INDEX(Loads!$N$5:$N$115,$K10)+IF(NOT(ISERROR($Q10)),0,(INDEX(Loads!$N$5:$N$115,$R10+1)-INDEX(Loads!$N$5:$N$115,$R10))/(INDEX(Loads!$M$5:$M$115,$R10+1)-INDEX(Loads!$M$5:$M$115,$R10))*($C10-INDEX(Loads!$M$5:$M$115,$R10))))</f>
        <v>-19058.864871794871</v>
      </c>
      <c r="T10" s="73">
        <f>IF(ISBLANK(INDEX(Loads!$O$5:$O$115,$R10)),"-",INDEX(Loads!$O$5:$O$115,$K10)+IF(NOT(ISERROR($Q10)),0,(INDEX(Loads!$O$5:$O$115,$R10+1)-INDEX(Loads!$O$5:$O$115,$R10))/(INDEX(Loads!$M$5:$M$115,$R10+1)-INDEX(Loads!$M$5:$M$115,$R10))*($C10-INDEX(Loads!$M$5:$M$115,$R10))))</f>
        <v>420504.7974358974</v>
      </c>
      <c r="U10" s="73">
        <f>IF(ISBLANK(INDEX(Loads!$P$5:$P$115,$R10)),"-",INDEX(Loads!$P$5:$P$115,$K10)+IF(NOT(ISERROR($Q10)),0,(INDEX(Loads!$P$5:$P$115,$R10+1)-INDEX(Loads!$P$5:$P$115,$R10))/(INDEX(Loads!$M$5:$M$115,$R10+1)-INDEX(Loads!$M$5:$M$115,$R10))*($C10-INDEX(Loads!$M$5:$M$115,$R10))))</f>
        <v>8702.0052307692276</v>
      </c>
    </row>
    <row r="11" spans="3:21">
      <c r="C11" s="72">
        <f>Geometry!E14</f>
        <v>5.5</v>
      </c>
      <c r="E11" s="62" t="e">
        <f>MATCH($C11,Loads!$C$5:$C$115,0)</f>
        <v>#N/A</v>
      </c>
      <c r="F11" s="62">
        <f>MATCH($C11,Loads!$C$5:$C$115,1)</f>
        <v>107</v>
      </c>
      <c r="G11" s="73">
        <f>IF(ISBLANK(INDEX(Loads!$D$5:$D$115,$F11)),"-",INDEX(Loads!$D$5:$D$115,$F11)+IF(NOT(ISERROR($E11)),0,(INDEX(Loads!$D$5:$D$115,$F11+1)-INDEX(Loads!$D$5:$D$115,$F11))/(INDEX(Loads!$C$5:$C$115,$F11+1)-INDEX(Loads!$C$5:$C$115,$F11))*($C11-INDEX(Loads!$C$5:$C$115,$F11))))</f>
        <v>139698</v>
      </c>
      <c r="H11" s="73">
        <f>IF(ISBLANK(INDEX(Loads!$E$5:$E$115,$F11)),"-",INDEX(Loads!$E$5:$E$115,$F11)+IF(NOT(ISERROR($E11)),0,(INDEX(Loads!$E$5:$E$115,$F11+1)-INDEX(Loads!$E$5:$E$115,$F11))/(INDEX(Loads!$C$5:$C$115,$F11+1)-INDEX(Loads!$C$5:$C$115,$F11))*($C11-INDEX(Loads!$C$5:$C$115,$F11))))</f>
        <v>134010</v>
      </c>
      <c r="J11" s="62" t="e">
        <f>MATCH($C11,Loads!$G$5:$G$115,0)</f>
        <v>#N/A</v>
      </c>
      <c r="K11" s="62">
        <f>MATCH($C11,Loads!$G$5:$G$115,1)</f>
        <v>107</v>
      </c>
      <c r="L11" s="73">
        <f>IF(ISBLANK(INDEX(Loads!$H$5:$H$115,$K11)),"-",INDEX(Loads!$H$5:$H$115,$K11)+IF(NOT(ISERROR($J11)),0,(INDEX(Loads!$H$5:$H$115,$K11+1)-INDEX(Loads!$H$5:$H$115,$K11))/(INDEX(Loads!$G$5:$G$115,$K11+1)-INDEX(Loads!$G$5:$G$115,$K11))*($C11-INDEX(Loads!$G$5:$G$115,$K11))))</f>
        <v>-27429.67</v>
      </c>
      <c r="M11" s="73">
        <f>IF(ISBLANK(INDEX(Loads!$I$5:$I$115,$K11)),"-",INDEX(Loads!$I$5:$I$115,$K11)+IF(NOT(ISERROR($J11)),0,(INDEX(Loads!$I$5:$I$115,$K11+1)-INDEX(Loads!$I$5:$I$115,$K11))/(INDEX(Loads!$G$5:$G$115,$K11+1)-INDEX(Loads!$G$5:$G$115,$K11))*($C11-INDEX(Loads!$G$5:$G$115,$K11))))</f>
        <v>-46345.27</v>
      </c>
      <c r="N11" s="73">
        <f>IF(ISBLANK(INDEX(Loads!$J$5:$J$115,$K11)),"-",INDEX(Loads!$J$5:$J$115,$K11)+IF(NOT(ISERROR($J11)),0,(INDEX(Loads!$J$5:$J$115,$K11+1)-INDEX(Loads!$J$5:$J$115,$K11))/(INDEX(Loads!$G$5:$G$115,$K11+1)-INDEX(Loads!$G$5:$G$115,$K11))*($C11-INDEX(Loads!$G$5:$G$115,$K11))))</f>
        <v>577926.10000000009</v>
      </c>
      <c r="O11" s="73">
        <f>IF(ISBLANK(INDEX(Loads!$K$5:$K$115,$K11)),"-",INDEX(Loads!$K$5:$K$115,$K11)+IF(NOT(ISERROR($J11)),0,(INDEX(Loads!$K$5:$K$115,$K11+1)-INDEX(Loads!$K$5:$K$115,$K11))/(INDEX(Loads!$G$5:$G$115,$K11+1)-INDEX(Loads!$G$5:$G$115,$K11))*($C11-INDEX(Loads!$G$5:$G$115,$K11))))</f>
        <v>11589.35</v>
      </c>
      <c r="Q11" t="e">
        <f>MATCH($C11,Loads!$M$5:$M$115,0)</f>
        <v>#N/A</v>
      </c>
      <c r="R11">
        <f>MATCH($C11,Loads!$M$5:$M$115,1)</f>
        <v>107</v>
      </c>
      <c r="S11" s="73">
        <f>IF(ISBLANK(INDEX(Loads!$N$5:$N$115,$R11)),"-",INDEX(Loads!$N$5:$N$115,$K11)+IF(NOT(ISERROR($Q11)),0,(INDEX(Loads!$N$5:$N$115,$R11+1)-INDEX(Loads!$N$5:$N$115,$R11))/(INDEX(Loads!$M$5:$M$115,$R11+1)-INDEX(Loads!$M$5:$M$115,$R11))*($C11-INDEX(Loads!$M$5:$M$115,$R11))))</f>
        <v>-20318.27</v>
      </c>
      <c r="T11" s="73">
        <f>IF(ISBLANK(INDEX(Loads!$O$5:$O$115,$R11)),"-",INDEX(Loads!$O$5:$O$115,$K11)+IF(NOT(ISERROR($Q11)),0,(INDEX(Loads!$O$5:$O$115,$R11+1)-INDEX(Loads!$O$5:$O$115,$R11))/(INDEX(Loads!$M$5:$M$115,$R11+1)-INDEX(Loads!$M$5:$M$115,$R11))*($C11-INDEX(Loads!$M$5:$M$115,$R11))))</f>
        <v>435060.6</v>
      </c>
      <c r="U11" s="73">
        <f>IF(ISBLANK(INDEX(Loads!$P$5:$P$115,$R11)),"-",INDEX(Loads!$P$5:$P$115,$K11)+IF(NOT(ISERROR($Q11)),0,(INDEX(Loads!$P$5:$P$115,$R11+1)-INDEX(Loads!$P$5:$P$115,$R11))/(INDEX(Loads!$M$5:$M$115,$R11+1)-INDEX(Loads!$M$5:$M$115,$R11))*($C11-INDEX(Loads!$M$5:$M$115,$R11))))</f>
        <v>8584.7009999999991</v>
      </c>
    </row>
    <row r="14" spans="3:21">
      <c r="C14" s="35" t="s">
        <v>214</v>
      </c>
      <c r="E14" s="62"/>
      <c r="F14" s="62"/>
      <c r="J14" s="62"/>
      <c r="K14" s="62"/>
    </row>
    <row r="15" spans="3:21">
      <c r="E15" s="62"/>
      <c r="F15" s="62"/>
      <c r="G15" s="305" t="s">
        <v>285</v>
      </c>
      <c r="H15" s="306"/>
      <c r="J15" s="62"/>
      <c r="K15" s="62"/>
      <c r="L15" s="305" t="s">
        <v>220</v>
      </c>
      <c r="M15" s="307"/>
      <c r="N15" s="307"/>
      <c r="O15" s="306"/>
      <c r="S15" s="305" t="s">
        <v>221</v>
      </c>
      <c r="T15" s="307"/>
      <c r="U15" s="306"/>
    </row>
    <row r="16" spans="3:21">
      <c r="C16" s="70" t="s">
        <v>335</v>
      </c>
      <c r="E16" s="62"/>
      <c r="F16" s="62"/>
      <c r="G16" s="70" t="s">
        <v>267</v>
      </c>
      <c r="H16" s="70" t="str">
        <f>IF(Control!$F$39="EC","m=4, N=1E7","m=5, N=1e7")</f>
        <v>m=4, N=1E7</v>
      </c>
      <c r="J16" s="62"/>
      <c r="K16" s="62"/>
      <c r="L16" s="70" t="s">
        <v>73</v>
      </c>
      <c r="M16" s="70" t="s">
        <v>74</v>
      </c>
      <c r="N16" s="70" t="s">
        <v>75</v>
      </c>
      <c r="O16" s="70" t="s">
        <v>76</v>
      </c>
      <c r="S16" s="70" t="s">
        <v>73</v>
      </c>
      <c r="T16" s="70" t="s">
        <v>75</v>
      </c>
      <c r="U16" s="70" t="s">
        <v>76</v>
      </c>
    </row>
    <row r="17" spans="3:21">
      <c r="C17" s="70" t="str">
        <f>"[m"&amp;Control!$F$7&amp;"]"</f>
        <v>[mLAT]</v>
      </c>
      <c r="E17" s="62"/>
      <c r="F17" s="62"/>
      <c r="G17" s="70" t="s">
        <v>20</v>
      </c>
      <c r="H17" s="70" t="s">
        <v>20</v>
      </c>
      <c r="J17" s="62"/>
      <c r="K17" s="62"/>
      <c r="L17" s="70" t="s">
        <v>268</v>
      </c>
      <c r="M17" s="70" t="s">
        <v>20</v>
      </c>
      <c r="N17" s="70" t="s">
        <v>20</v>
      </c>
      <c r="O17" s="70" t="s">
        <v>268</v>
      </c>
      <c r="S17" s="70" t="s">
        <v>268</v>
      </c>
      <c r="T17" s="70" t="s">
        <v>20</v>
      </c>
      <c r="U17" s="70" t="s">
        <v>268</v>
      </c>
    </row>
    <row r="18" spans="3:21">
      <c r="C18" s="72">
        <f>Geometry!D28</f>
        <v>5.5</v>
      </c>
      <c r="E18" s="62" t="e">
        <f>MATCH($C18,Loads!$C$5:$C$115,0)</f>
        <v>#N/A</v>
      </c>
      <c r="F18" s="62">
        <f>MATCH($C18,Loads!$C$5:$C$115,1)</f>
        <v>107</v>
      </c>
      <c r="G18" s="73">
        <f>IF(ISBLANK(INDEX(Loads!$D$5:$D$115,$F18)),"-",INDEX(Loads!$D$5:$D$115,$F18)+IF(NOT(ISERROR($E18)),0,(INDEX(Loads!$D$5:$D$115,$F18+1)-INDEX(Loads!$D$5:$D$115,$F18))/(INDEX(Loads!$C$5:$C$115,$F18+1)-INDEX(Loads!$C$5:$C$115,$F18))*($C18-INDEX(Loads!$C$5:$C$115,$F18))))</f>
        <v>139698</v>
      </c>
      <c r="H18" s="73">
        <f>IF(ISBLANK(INDEX(Loads!$E$5:$E$115,$F18)),"-",INDEX(Loads!$E$5:$E$115,$F18)+IF(NOT(ISERROR($E18)),0,(INDEX(Loads!$E$5:$E$115,$F18+1)-INDEX(Loads!$E$5:$E$115,$F18))/(INDEX(Loads!$C$5:$C$115,$F18+1)-INDEX(Loads!$C$5:$C$115,$F18))*($C18-INDEX(Loads!$C$5:$C$115,$F18))))</f>
        <v>134010</v>
      </c>
      <c r="J18" s="62" t="e">
        <f>MATCH($C18,Loads!$G$5:$G$115,0)</f>
        <v>#N/A</v>
      </c>
      <c r="K18" s="62">
        <f>MATCH($C18,Loads!$G$5:$G$115,1)</f>
        <v>107</v>
      </c>
      <c r="L18" s="73">
        <f>IF(ISBLANK(INDEX(Loads!$H$5:$H$115,$K18)),"-",INDEX(Loads!$H$5:$H$115,$K18)+IF(NOT(ISERROR($J18)),0,(INDEX(Loads!$H$5:$H$115,$K18+1)-INDEX(Loads!$H$5:$H$115,$K18))/(INDEX(Loads!$G$5:$G$115,$K18+1)-INDEX(Loads!$G$5:$G$115,$K18))*($C18-INDEX(Loads!$G$5:$G$115,$K18))))</f>
        <v>-27429.67</v>
      </c>
      <c r="M18" s="73">
        <f>IF(ISBLANK(INDEX(Loads!$I$5:$I$115,$K18)),"-",INDEX(Loads!$I$5:$I$115,$K18)+IF(NOT(ISERROR($J18)),0,(INDEX(Loads!$I$5:$I$115,$K18+1)-INDEX(Loads!$I$5:$I$115,$K18))/(INDEX(Loads!$G$5:$G$115,$K18+1)-INDEX(Loads!$G$5:$G$115,$K18))*($C18-INDEX(Loads!$G$5:$G$115,$K18))))</f>
        <v>-46345.27</v>
      </c>
      <c r="N18" s="73">
        <f>IF(ISBLANK(INDEX(Loads!$J$5:$J$115,$K18)),"-",INDEX(Loads!$J$5:$J$115,$K18)+IF(NOT(ISERROR($J18)),0,(INDEX(Loads!$J$5:$J$115,$K18+1)-INDEX(Loads!$J$5:$J$115,$K18))/(INDEX(Loads!$G$5:$G$115,$K18+1)-INDEX(Loads!$G$5:$G$115,$K18))*($C18-INDEX(Loads!$G$5:$G$115,$K18))))</f>
        <v>577926.10000000009</v>
      </c>
      <c r="O18" s="73">
        <f>IF(ISBLANK(INDEX(Loads!$K$5:$K$115,$K18)),"-",INDEX(Loads!$K$5:$K$115,$K18)+IF(NOT(ISERROR($J18)),0,(INDEX(Loads!$K$5:$K$115,$K18+1)-INDEX(Loads!$K$5:$K$115,$K18))/(INDEX(Loads!$G$5:$G$115,$K18+1)-INDEX(Loads!$G$5:$G$115,$K18))*($C18-INDEX(Loads!$G$5:$G$115,$K18))))</f>
        <v>11589.35</v>
      </c>
      <c r="Q18" t="e">
        <f>MATCH($C18,Loads!$M$5:$M$115,0)</f>
        <v>#N/A</v>
      </c>
      <c r="R18">
        <f>MATCH($C18,Loads!$M$5:$M$115,1)</f>
        <v>107</v>
      </c>
      <c r="S18" s="73">
        <f>IF(ISBLANK(INDEX(Loads!$N$5:$N$115,$R18)),"-",INDEX(Loads!$N$5:$N$115,$K18)+IF(NOT(ISERROR($Q18)),0,(INDEX(Loads!$N$5:$N$115,$R18+1)-INDEX(Loads!$N$5:$N$115,$R18))/(INDEX(Loads!$M$5:$M$115,$R18+1)-INDEX(Loads!$M$5:$M$115,$R18))*($C18-INDEX(Loads!$M$5:$M$115,$R18))))</f>
        <v>-20318.27</v>
      </c>
      <c r="T18" s="73">
        <f>IF(ISBLANK(INDEX(Loads!$O$5:$O$115,$R18)),"-",INDEX(Loads!$O$5:$O$115,$K18)+IF(NOT(ISERROR($Q18)),0,(INDEX(Loads!$O$5:$O$115,$R18+1)-INDEX(Loads!$O$5:$O$115,$R18))/(INDEX(Loads!$M$5:$M$115,$R18+1)-INDEX(Loads!$M$5:$M$115,$R18))*($C18-INDEX(Loads!$M$5:$M$115,$R18))))</f>
        <v>435060.6</v>
      </c>
      <c r="U18" s="73">
        <f>IF(ISBLANK(INDEX(Loads!$P$5:$P$115,$R18)),"-",INDEX(Loads!$P$5:$P$115,$K18)+IF(NOT(ISERROR($Q18)),0,(INDEX(Loads!$P$5:$P$115,$R18+1)-INDEX(Loads!$P$5:$P$115,$R18))/(INDEX(Loads!$M$5:$M$115,$R18+1)-INDEX(Loads!$M$5:$M$115,$R18))*($C18-INDEX(Loads!$M$5:$M$115,$R18))))</f>
        <v>8584.7009999999991</v>
      </c>
    </row>
    <row r="19" spans="3:21">
      <c r="C19" s="72">
        <f>Geometry!E28</f>
        <v>1.6</v>
      </c>
      <c r="E19" s="62">
        <f>MATCH($C19,Loads!$C$5:$C$115,0)</f>
        <v>106</v>
      </c>
      <c r="F19" s="62">
        <f>MATCH($C19,Loads!$C$5:$C$115,1)</f>
        <v>106</v>
      </c>
      <c r="G19" s="73">
        <f>IF(ISBLANK(INDEX(Loads!$D$5:$D$115,$F19)),"-",INDEX(Loads!$D$5:$D$115,$F19)+IF(NOT(ISERROR($E19)),0,(INDEX(Loads!$D$5:$D$115,$F19+1)-INDEX(Loads!$D$5:$D$115,$F19))/(INDEX(Loads!$C$5:$C$115,$F19+1)-INDEX(Loads!$C$5:$C$115,$F19))*($C19-INDEX(Loads!$C$5:$C$115,$F19))))</f>
        <v>144027</v>
      </c>
      <c r="H19" s="73">
        <f>IF(ISBLANK(INDEX(Loads!$E$5:$E$115,$F19)),"-",INDEX(Loads!$E$5:$E$115,$F19)+IF(NOT(ISERROR($E19)),0,(INDEX(Loads!$E$5:$E$115,$F19+1)-INDEX(Loads!$E$5:$E$115,$F19))/(INDEX(Loads!$C$5:$C$115,$F19+1)-INDEX(Loads!$C$5:$C$115,$F19))*($C19-INDEX(Loads!$C$5:$C$115,$F19))))</f>
        <v>138060</v>
      </c>
      <c r="J19" s="62">
        <f>MATCH($C19,Loads!$G$5:$G$115,0)</f>
        <v>106</v>
      </c>
      <c r="K19" s="62">
        <f>MATCH($C19,Loads!$G$5:$G$115,1)</f>
        <v>106</v>
      </c>
      <c r="L19" s="73">
        <f>IF(ISBLANK(INDEX(Loads!$H$5:$H$115,$K19)),"-",INDEX(Loads!$H$5:$H$115,$K19)+IF(NOT(ISERROR($J19)),0,(INDEX(Loads!$H$5:$H$115,$K19+1)-INDEX(Loads!$H$5:$H$115,$K19))/(INDEX(Loads!$G$5:$G$115,$K19+1)-INDEX(Loads!$G$5:$G$115,$K19))*($C19-INDEX(Loads!$G$5:$G$115,$K19))))</f>
        <v>-29625.58</v>
      </c>
      <c r="M19" s="73">
        <f>IF(ISBLANK(INDEX(Loads!$I$5:$I$115,$K19)),"-",INDEX(Loads!$I$5:$I$115,$K19)+IF(NOT(ISERROR($J19)),0,(INDEX(Loads!$I$5:$I$115,$K19+1)-INDEX(Loads!$I$5:$I$115,$K19))/(INDEX(Loads!$G$5:$G$115,$K19+1)-INDEX(Loads!$G$5:$G$115,$K19))*($C19-INDEX(Loads!$G$5:$G$115,$K19))))</f>
        <v>-46354.1</v>
      </c>
      <c r="N19" s="73">
        <f>IF(ISBLANK(INDEX(Loads!$J$5:$J$115,$K19)),"-",INDEX(Loads!$J$5:$J$115,$K19)+IF(NOT(ISERROR($J19)),0,(INDEX(Loads!$J$5:$J$115,$K19+1)-INDEX(Loads!$J$5:$J$115,$K19))/(INDEX(Loads!$G$5:$G$115,$K19+1)-INDEX(Loads!$G$5:$G$115,$K19))*($C19-INDEX(Loads!$G$5:$G$115,$K19))))</f>
        <v>597208.5</v>
      </c>
      <c r="O19" s="73">
        <f>IF(ISBLANK(INDEX(Loads!$K$5:$K$115,$K19)),"-",INDEX(Loads!$K$5:$K$115,$K19)+IF(NOT(ISERROR($J19)),0,(INDEX(Loads!$K$5:$K$115,$K19+1)-INDEX(Loads!$K$5:$K$115,$K19))/(INDEX(Loads!$G$5:$G$115,$K19+1)-INDEX(Loads!$G$5:$G$115,$K19))*($C19-INDEX(Loads!$G$5:$G$115,$K19))))</f>
        <v>10947.41</v>
      </c>
      <c r="Q19">
        <f>MATCH($C19,Loads!$M$5:$M$115,0)</f>
        <v>106</v>
      </c>
      <c r="R19">
        <f>MATCH($C19,Loads!$M$5:$M$115,1)</f>
        <v>106</v>
      </c>
      <c r="S19" s="73">
        <f>IF(ISBLANK(INDEX(Loads!$N$5:$N$115,$R19)),"-",INDEX(Loads!$N$5:$N$115,$K19)+IF(NOT(ISERROR($Q19)),0,(INDEX(Loads!$N$5:$N$115,$R19+1)-INDEX(Loads!$N$5:$N$115,$R19))/(INDEX(Loads!$M$5:$M$115,$R19+1)-INDEX(Loads!$M$5:$M$115,$R19))*($C19-INDEX(Loads!$M$5:$M$115,$R19))))</f>
        <v>-21944.87</v>
      </c>
      <c r="T19" s="73">
        <f>IF(ISBLANK(INDEX(Loads!$O$5:$O$115,$R19)),"-",INDEX(Loads!$O$5:$O$115,$K19)+IF(NOT(ISERROR($Q19)),0,(INDEX(Loads!$O$5:$O$115,$R19+1)-INDEX(Loads!$O$5:$O$115,$R19))/(INDEX(Loads!$M$5:$M$115,$R19+1)-INDEX(Loads!$M$5:$M$115,$R19))*($C19-INDEX(Loads!$M$5:$M$115,$R19))))</f>
        <v>449590.3</v>
      </c>
      <c r="U19" s="73">
        <f>IF(ISBLANK(INDEX(Loads!$P$5:$P$115,$R19)),"-",INDEX(Loads!$P$5:$P$115,$K19)+IF(NOT(ISERROR($Q19)),0,(INDEX(Loads!$P$5:$P$115,$R19+1)-INDEX(Loads!$P$5:$P$115,$R19))/(INDEX(Loads!$M$5:$M$115,$R19+1)-INDEX(Loads!$M$5:$M$115,$R19))*($C19-INDEX(Loads!$M$5:$M$115,$R19))))</f>
        <v>8109.1909999999998</v>
      </c>
    </row>
    <row r="20" spans="3:21">
      <c r="C20" s="72">
        <f>Geometry!E29</f>
        <v>-2.2999999999999998</v>
      </c>
      <c r="E20" s="62">
        <f>MATCH($C20,Loads!$C$5:$C$115,0)</f>
        <v>105</v>
      </c>
      <c r="F20" s="62">
        <f>MATCH($C20,Loads!$C$5:$C$115,1)</f>
        <v>105</v>
      </c>
      <c r="G20" s="73">
        <f>IF(ISBLANK(INDEX(Loads!$D$5:$D$115,$F20)),"-",INDEX(Loads!$D$5:$D$115,$F20)+IF(NOT(ISERROR($E20)),0,(INDEX(Loads!$D$5:$D$115,$F20+1)-INDEX(Loads!$D$5:$D$115,$F20))/(INDEX(Loads!$C$5:$C$115,$F20+1)-INDEX(Loads!$C$5:$C$115,$F20))*($C20-INDEX(Loads!$C$5:$C$115,$F20))))</f>
        <v>148230</v>
      </c>
      <c r="H20" s="73">
        <f>IF(ISBLANK(INDEX(Loads!$E$5:$E$115,$F20)),"-",INDEX(Loads!$E$5:$E$115,$F20)+IF(NOT(ISERROR($E20)),0,(INDEX(Loads!$E$5:$E$115,$F20+1)-INDEX(Loads!$E$5:$E$115,$F20))/(INDEX(Loads!$C$5:$C$115,$F20+1)-INDEX(Loads!$C$5:$C$115,$F20))*($C20-INDEX(Loads!$C$5:$C$115,$F20))))</f>
        <v>142083</v>
      </c>
      <c r="J20" s="62">
        <f>MATCH($C20,Loads!$G$5:$G$115,0)</f>
        <v>105</v>
      </c>
      <c r="K20" s="62">
        <f>MATCH($C20,Loads!$G$5:$G$115,1)</f>
        <v>105</v>
      </c>
      <c r="L20" s="73">
        <f>IF(ISBLANK(INDEX(Loads!$H$5:$H$115,$K20)),"-",INDEX(Loads!$H$5:$H$115,$K20)+IF(NOT(ISERROR($J20)),0,(INDEX(Loads!$H$5:$H$115,$K20+1)-INDEX(Loads!$H$5:$H$115,$K20))/(INDEX(Loads!$G$5:$G$115,$K20+1)-INDEX(Loads!$G$5:$G$115,$K20))*($C20-INDEX(Loads!$G$5:$G$115,$K20))))</f>
        <v>-30823.42</v>
      </c>
      <c r="M20" s="73">
        <f>IF(ISBLANK(INDEX(Loads!$I$5:$I$115,$K20)),"-",INDEX(Loads!$I$5:$I$115,$K20)+IF(NOT(ISERROR($J20)),0,(INDEX(Loads!$I$5:$I$115,$K20+1)-INDEX(Loads!$I$5:$I$115,$K20))/(INDEX(Loads!$G$5:$G$115,$K20+1)-INDEX(Loads!$G$5:$G$115,$K20))*($C20-INDEX(Loads!$G$5:$G$115,$K20))))</f>
        <v>-46363.46</v>
      </c>
      <c r="N20" s="73">
        <f>IF(ISBLANK(INDEX(Loads!$J$5:$J$115,$K20)),"-",INDEX(Loads!$J$5:$J$115,$K20)+IF(NOT(ISERROR($J20)),0,(INDEX(Loads!$J$5:$J$115,$K20+1)-INDEX(Loads!$J$5:$J$115,$K20))/(INDEX(Loads!$G$5:$G$115,$K20+1)-INDEX(Loads!$G$5:$G$115,$K20))*($C20-INDEX(Loads!$G$5:$G$115,$K20))))</f>
        <v>617316</v>
      </c>
      <c r="O20" s="73">
        <f>IF(ISBLANK(INDEX(Loads!$K$5:$K$115,$K20)),"-",INDEX(Loads!$K$5:$K$115,$K20)+IF(NOT(ISERROR($J20)),0,(INDEX(Loads!$K$5:$K$115,$K20+1)-INDEX(Loads!$K$5:$K$115,$K20))/(INDEX(Loads!$G$5:$G$115,$K20+1)-INDEX(Loads!$G$5:$G$115,$K20))*($C20-INDEX(Loads!$G$5:$G$115,$K20))))</f>
        <v>10947.93</v>
      </c>
      <c r="Q20">
        <f>MATCH($C20,Loads!$M$5:$M$115,0)</f>
        <v>105</v>
      </c>
      <c r="R20">
        <f>MATCH($C20,Loads!$M$5:$M$115,1)</f>
        <v>105</v>
      </c>
      <c r="S20" s="73">
        <f>IF(ISBLANK(INDEX(Loads!$N$5:$N$115,$R20)),"-",INDEX(Loads!$N$5:$N$115,$K20)+IF(NOT(ISERROR($Q20)),0,(INDEX(Loads!$N$5:$N$115,$R20+1)-INDEX(Loads!$N$5:$N$115,$R20))/(INDEX(Loads!$M$5:$M$115,$R20+1)-INDEX(Loads!$M$5:$M$115,$R20))*($C20-INDEX(Loads!$M$5:$M$115,$R20))))</f>
        <v>-22832.16</v>
      </c>
      <c r="T20" s="73">
        <f>IF(ISBLANK(INDEX(Loads!$O$5:$O$115,$R20)),"-",INDEX(Loads!$O$5:$O$115,$K20)+IF(NOT(ISERROR($Q20)),0,(INDEX(Loads!$O$5:$O$115,$R20+1)-INDEX(Loads!$O$5:$O$115,$R20))/(INDEX(Loads!$M$5:$M$115,$R20+1)-INDEX(Loads!$M$5:$M$115,$R20))*($C20-INDEX(Loads!$M$5:$M$115,$R20))))</f>
        <v>464769.8</v>
      </c>
      <c r="U20" s="73">
        <f>IF(ISBLANK(INDEX(Loads!$P$5:$P$115,$R20)),"-",INDEX(Loads!$P$5:$P$115,$K20)+IF(NOT(ISERROR($Q20)),0,(INDEX(Loads!$P$5:$P$115,$R20+1)-INDEX(Loads!$P$5:$P$115,$R20))/(INDEX(Loads!$M$5:$M$115,$R20+1)-INDEX(Loads!$M$5:$M$115,$R20))*($C20-INDEX(Loads!$M$5:$M$115,$R20))))</f>
        <v>8109.5820000000003</v>
      </c>
    </row>
    <row r="21" spans="3:21">
      <c r="C21" s="72">
        <f>Geometry!E30</f>
        <v>-6.2</v>
      </c>
      <c r="E21" s="62">
        <f>MATCH($C21,Loads!$C$5:$C$115,0)</f>
        <v>104</v>
      </c>
      <c r="F21" s="62">
        <f>MATCH($C21,Loads!$C$5:$C$115,1)</f>
        <v>104</v>
      </c>
      <c r="G21" s="73">
        <f>IF(ISBLANK(INDEX(Loads!$D$5:$D$115,$F21)),"-",INDEX(Loads!$D$5:$D$115,$F21)+IF(NOT(ISERROR($E21)),0,(INDEX(Loads!$D$5:$D$115,$F21+1)-INDEX(Loads!$D$5:$D$115,$F21))/(INDEX(Loads!$C$5:$C$115,$F21+1)-INDEX(Loads!$C$5:$C$115,$F21))*($C21-INDEX(Loads!$C$5:$C$115,$F21))))</f>
        <v>152019</v>
      </c>
      <c r="H21" s="73">
        <f>IF(ISBLANK(INDEX(Loads!$E$5:$E$115,$F21)),"-",INDEX(Loads!$E$5:$E$115,$F21)+IF(NOT(ISERROR($E21)),0,(INDEX(Loads!$E$5:$E$115,$F21+1)-INDEX(Loads!$E$5:$E$115,$F21))/(INDEX(Loads!$C$5:$C$115,$F21+1)-INDEX(Loads!$C$5:$C$115,$F21))*($C21-INDEX(Loads!$C$5:$C$115,$F21))))</f>
        <v>145746</v>
      </c>
      <c r="J21" s="62">
        <f>MATCH($C21,Loads!$G$5:$G$115,0)</f>
        <v>104</v>
      </c>
      <c r="K21" s="62">
        <f>MATCH($C21,Loads!$G$5:$G$115,1)</f>
        <v>104</v>
      </c>
      <c r="L21" s="73">
        <f>IF(ISBLANK(INDEX(Loads!$H$5:$H$115,$K21)),"-",INDEX(Loads!$H$5:$H$115,$K21)+IF(NOT(ISERROR($J21)),0,(INDEX(Loads!$H$5:$H$115,$K21+1)-INDEX(Loads!$H$5:$H$115,$K21))/(INDEX(Loads!$G$5:$G$115,$K21+1)-INDEX(Loads!$G$5:$G$115,$K21))*($C21-INDEX(Loads!$G$5:$G$115,$K21))))</f>
        <v>-32020.5</v>
      </c>
      <c r="M21" s="73">
        <f>IF(ISBLANK(INDEX(Loads!$I$5:$I$115,$K21)),"-",INDEX(Loads!$I$5:$I$115,$K21)+IF(NOT(ISERROR($J21)),0,(INDEX(Loads!$I$5:$I$115,$K21+1)-INDEX(Loads!$I$5:$I$115,$K21))/(INDEX(Loads!$G$5:$G$115,$K21+1)-INDEX(Loads!$G$5:$G$115,$K21))*($C21-INDEX(Loads!$G$5:$G$115,$K21))))</f>
        <v>-46371.59</v>
      </c>
      <c r="N21" s="73">
        <f>IF(ISBLANK(INDEX(Loads!$J$5:$J$115,$K21)),"-",INDEX(Loads!$J$5:$J$115,$K21)+IF(NOT(ISERROR($J21)),0,(INDEX(Loads!$J$5:$J$115,$K21+1)-INDEX(Loads!$J$5:$J$115,$K21))/(INDEX(Loads!$G$5:$G$115,$K21+1)-INDEX(Loads!$G$5:$G$115,$K21))*($C21-INDEX(Loads!$G$5:$G$115,$K21))))</f>
        <v>641335.4</v>
      </c>
      <c r="O21" s="73">
        <f>IF(ISBLANK(INDEX(Loads!$K$5:$K$115,$K21)),"-",INDEX(Loads!$K$5:$K$115,$K21)+IF(NOT(ISERROR($J21)),0,(INDEX(Loads!$K$5:$K$115,$K21+1)-INDEX(Loads!$K$5:$K$115,$K21))/(INDEX(Loads!$G$5:$G$115,$K21+1)-INDEX(Loads!$G$5:$G$115,$K21))*($C21-INDEX(Loads!$G$5:$G$115,$K21))))</f>
        <v>10686.01</v>
      </c>
      <c r="Q21">
        <f>MATCH($C21,Loads!$M$5:$M$115,0)</f>
        <v>104</v>
      </c>
      <c r="R21">
        <f>MATCH($C21,Loads!$M$5:$M$115,1)</f>
        <v>104</v>
      </c>
      <c r="S21" s="73">
        <f>IF(ISBLANK(INDEX(Loads!$N$5:$N$115,$R21)),"-",INDEX(Loads!$N$5:$N$115,$K21)+IF(NOT(ISERROR($Q21)),0,(INDEX(Loads!$N$5:$N$115,$R21+1)-INDEX(Loads!$N$5:$N$115,$R21))/(INDEX(Loads!$M$5:$M$115,$R21+1)-INDEX(Loads!$M$5:$M$115,$R21))*($C21-INDEX(Loads!$M$5:$M$115,$R21))))</f>
        <v>-23718.880000000001</v>
      </c>
      <c r="T21" s="73">
        <f>IF(ISBLANK(INDEX(Loads!$O$5:$O$115,$R21)),"-",INDEX(Loads!$O$5:$O$115,$K21)+IF(NOT(ISERROR($Q21)),0,(INDEX(Loads!$O$5:$O$115,$R21+1)-INDEX(Loads!$O$5:$O$115,$R21))/(INDEX(Loads!$M$5:$M$115,$R21+1)-INDEX(Loads!$M$5:$M$115,$R21))*($C21-INDEX(Loads!$M$5:$M$115,$R21))))</f>
        <v>482904.1</v>
      </c>
      <c r="U21" s="73">
        <f>IF(ISBLANK(INDEX(Loads!$P$5:$P$115,$R21)),"-",INDEX(Loads!$P$5:$P$115,$K21)+IF(NOT(ISERROR($Q21)),0,(INDEX(Loads!$P$5:$P$115,$R21+1)-INDEX(Loads!$P$5:$P$115,$R21))/(INDEX(Loads!$M$5:$M$115,$R21+1)-INDEX(Loads!$M$5:$M$115,$R21))*($C21-INDEX(Loads!$M$5:$M$115,$R21))))</f>
        <v>7915.5619999999999</v>
      </c>
    </row>
    <row r="22" spans="3:21">
      <c r="C22" s="72">
        <f>Geometry!E31</f>
        <v>-10.1</v>
      </c>
      <c r="E22" s="62">
        <f>MATCH($C22,Loads!$C$5:$C$115,0)</f>
        <v>103</v>
      </c>
      <c r="F22" s="62">
        <f>MATCH($C22,Loads!$C$5:$C$115,1)</f>
        <v>103</v>
      </c>
      <c r="G22" s="73">
        <f>IF(ISBLANK(INDEX(Loads!$D$5:$D$115,$F22)),"-",INDEX(Loads!$D$5:$D$115,$F22)+IF(NOT(ISERROR($E22)),0,(INDEX(Loads!$D$5:$D$115,$F22+1)-INDEX(Loads!$D$5:$D$115,$F22))/(INDEX(Loads!$C$5:$C$115,$F22+1)-INDEX(Loads!$C$5:$C$115,$F22))*($C22-INDEX(Loads!$C$5:$C$115,$F22))))</f>
        <v>156096</v>
      </c>
      <c r="H22" s="73">
        <f>IF(ISBLANK(INDEX(Loads!$E$5:$E$115,$F22)),"-",INDEX(Loads!$E$5:$E$115,$F22)+IF(NOT(ISERROR($E22)),0,(INDEX(Loads!$E$5:$E$115,$F22+1)-INDEX(Loads!$E$5:$E$115,$F22))/(INDEX(Loads!$C$5:$C$115,$F22+1)-INDEX(Loads!$C$5:$C$115,$F22))*($C22-INDEX(Loads!$C$5:$C$115,$F22))))</f>
        <v>149796</v>
      </c>
      <c r="J22" s="62">
        <f>MATCH($C22,Loads!$G$5:$G$115,0)</f>
        <v>103</v>
      </c>
      <c r="K22" s="62">
        <f>MATCH($C22,Loads!$G$5:$G$115,1)</f>
        <v>103</v>
      </c>
      <c r="L22" s="73">
        <f>IF(ISBLANK(INDEX(Loads!$H$5:$H$115,$K22)),"-",INDEX(Loads!$H$5:$H$115,$K22)+IF(NOT(ISERROR($J22)),0,(INDEX(Loads!$H$5:$H$115,$K22+1)-INDEX(Loads!$H$5:$H$115,$K22))/(INDEX(Loads!$G$5:$G$115,$K22+1)-INDEX(Loads!$G$5:$G$115,$K22))*($C22-INDEX(Loads!$G$5:$G$115,$K22))))</f>
        <v>-33077.980000000003</v>
      </c>
      <c r="M22" s="73">
        <f>IF(ISBLANK(INDEX(Loads!$I$5:$I$115,$K22)),"-",INDEX(Loads!$I$5:$I$115,$K22)+IF(NOT(ISERROR($J22)),0,(INDEX(Loads!$I$5:$I$115,$K22+1)-INDEX(Loads!$I$5:$I$115,$K22))/(INDEX(Loads!$G$5:$G$115,$K22+1)-INDEX(Loads!$G$5:$G$115,$K22))*($C22-INDEX(Loads!$G$5:$G$115,$K22))))</f>
        <v>-46378.85</v>
      </c>
      <c r="N22" s="73">
        <f>IF(ISBLANK(INDEX(Loads!$J$5:$J$115,$K22)),"-",INDEX(Loads!$J$5:$J$115,$K22)+IF(NOT(ISERROR($J22)),0,(INDEX(Loads!$J$5:$J$115,$K22+1)-INDEX(Loads!$J$5:$J$115,$K22))/(INDEX(Loads!$G$5:$G$115,$K22+1)-INDEX(Loads!$G$5:$G$115,$K22))*($C22-INDEX(Loads!$G$5:$G$115,$K22))))</f>
        <v>669003.9</v>
      </c>
      <c r="O22" s="73">
        <f>IF(ISBLANK(INDEX(Loads!$K$5:$K$115,$K22)),"-",INDEX(Loads!$K$5:$K$115,$K22)+IF(NOT(ISERROR($J22)),0,(INDEX(Loads!$K$5:$K$115,$K22+1)-INDEX(Loads!$K$5:$K$115,$K22))/(INDEX(Loads!$G$5:$G$115,$K22+1)-INDEX(Loads!$G$5:$G$115,$K22))*($C22-INDEX(Loads!$G$5:$G$115,$K22))))</f>
        <v>10938.87</v>
      </c>
      <c r="Q22">
        <f>MATCH($C22,Loads!$M$5:$M$115,0)</f>
        <v>103</v>
      </c>
      <c r="R22">
        <f>MATCH($C22,Loads!$M$5:$M$115,1)</f>
        <v>103</v>
      </c>
      <c r="S22" s="73">
        <f>IF(ISBLANK(INDEX(Loads!$N$5:$N$115,$R22)),"-",INDEX(Loads!$N$5:$N$115,$K22)+IF(NOT(ISERROR($Q22)),0,(INDEX(Loads!$N$5:$N$115,$R22+1)-INDEX(Loads!$N$5:$N$115,$R22))/(INDEX(Loads!$M$5:$M$115,$R22+1)-INDEX(Loads!$M$5:$M$115,$R22))*($C22-INDEX(Loads!$M$5:$M$115,$R22))))</f>
        <v>-24502.21</v>
      </c>
      <c r="T22" s="73">
        <f>IF(ISBLANK(INDEX(Loads!$O$5:$O$115,$R22)),"-",INDEX(Loads!$O$5:$O$115,$K22)+IF(NOT(ISERROR($Q22)),0,(INDEX(Loads!$O$5:$O$115,$R22+1)-INDEX(Loads!$O$5:$O$115,$R22))/(INDEX(Loads!$M$5:$M$115,$R22+1)-INDEX(Loads!$M$5:$M$115,$R22))*($C22-INDEX(Loads!$M$5:$M$115,$R22))))</f>
        <v>503798.2</v>
      </c>
      <c r="U22" s="73">
        <f>IF(ISBLANK(INDEX(Loads!$P$5:$P$115,$R22)),"-",INDEX(Loads!$P$5:$P$115,$K22)+IF(NOT(ISERROR($Q22)),0,(INDEX(Loads!$P$5:$P$115,$R22+1)-INDEX(Loads!$P$5:$P$115,$R22))/(INDEX(Loads!$M$5:$M$115,$R22+1)-INDEX(Loads!$M$5:$M$115,$R22))*($C22-INDEX(Loads!$M$5:$M$115,$R22))))</f>
        <v>8102.87</v>
      </c>
    </row>
    <row r="23" spans="3:21">
      <c r="C23" s="72">
        <f>Geometry!E32</f>
        <v>-14</v>
      </c>
      <c r="E23" s="62">
        <f>MATCH($C23,Loads!$C$5:$C$115,0)</f>
        <v>102</v>
      </c>
      <c r="F23" s="62">
        <f>MATCH($C23,Loads!$C$5:$C$115,1)</f>
        <v>102</v>
      </c>
      <c r="G23" s="73">
        <f>IF(ISBLANK(INDEX(Loads!$D$5:$D$115,$F23)),"-",INDEX(Loads!$D$5:$D$115,$F23)+IF(NOT(ISERROR($E23)),0,(INDEX(Loads!$D$5:$D$115,$F23+1)-INDEX(Loads!$D$5:$D$115,$F23))/(INDEX(Loads!$C$5:$C$115,$F23+1)-INDEX(Loads!$C$5:$C$115,$F23))*($C23-INDEX(Loads!$C$5:$C$115,$F23))))</f>
        <v>160281.00000000003</v>
      </c>
      <c r="H23" s="73">
        <f>IF(ISBLANK(INDEX(Loads!$E$5:$E$115,$F23)),"-",INDEX(Loads!$E$5:$E$115,$F23)+IF(NOT(ISERROR($E23)),0,(INDEX(Loads!$E$5:$E$115,$F23+1)-INDEX(Loads!$E$5:$E$115,$F23))/(INDEX(Loads!$C$5:$C$115,$F23+1)-INDEX(Loads!$C$5:$C$115,$F23))*($C23-INDEX(Loads!$C$5:$C$115,$F23))))</f>
        <v>153909</v>
      </c>
      <c r="J23" s="62">
        <f>MATCH($C23,Loads!$G$5:$G$115,0)</f>
        <v>102</v>
      </c>
      <c r="K23" s="62">
        <f>MATCH($C23,Loads!$G$5:$G$115,1)</f>
        <v>102</v>
      </c>
      <c r="L23" s="73">
        <f>IF(ISBLANK(INDEX(Loads!$H$5:$H$115,$K23)),"-",INDEX(Loads!$H$5:$H$115,$K23)+IF(NOT(ISERROR($J23)),0,(INDEX(Loads!$H$5:$H$115,$K23+1)-INDEX(Loads!$H$5:$H$115,$K23))/(INDEX(Loads!$G$5:$G$115,$K23+1)-INDEX(Loads!$G$5:$G$115,$K23))*($C23-INDEX(Loads!$G$5:$G$115,$K23))))</f>
        <v>-34256.61</v>
      </c>
      <c r="M23" s="73">
        <f>IF(ISBLANK(INDEX(Loads!$I$5:$I$115,$K23)),"-",INDEX(Loads!$I$5:$I$115,$K23)+IF(NOT(ISERROR($J23)),0,(INDEX(Loads!$I$5:$I$115,$K23+1)-INDEX(Loads!$I$5:$I$115,$K23))/(INDEX(Loads!$G$5:$G$115,$K23+1)-INDEX(Loads!$G$5:$G$115,$K23))*($C23-INDEX(Loads!$G$5:$G$115,$K23))))</f>
        <v>-46385.24</v>
      </c>
      <c r="N23" s="73">
        <f>IF(ISBLANK(INDEX(Loads!$J$5:$J$115,$K23)),"-",INDEX(Loads!$J$5:$J$115,$K23)+IF(NOT(ISERROR($J23)),0,(INDEX(Loads!$J$5:$J$115,$K23+1)-INDEX(Loads!$J$5:$J$115,$K23))/(INDEX(Loads!$G$5:$G$115,$K23+1)-INDEX(Loads!$G$5:$G$115,$K23))*($C23-INDEX(Loads!$G$5:$G$115,$K23))))</f>
        <v>698834.8</v>
      </c>
      <c r="O23" s="73">
        <f>IF(ISBLANK(INDEX(Loads!$K$5:$K$115,$K23)),"-",INDEX(Loads!$K$5:$K$115,$K23)+IF(NOT(ISERROR($J23)),0,(INDEX(Loads!$K$5:$K$115,$K23+1)-INDEX(Loads!$K$5:$K$115,$K23))/(INDEX(Loads!$G$5:$G$115,$K23+1)-INDEX(Loads!$G$5:$G$115,$K23))*($C23-INDEX(Loads!$G$5:$G$115,$K23))))</f>
        <v>11672.46</v>
      </c>
      <c r="Q23">
        <f>MATCH($C23,Loads!$M$5:$M$115,0)</f>
        <v>102</v>
      </c>
      <c r="R23">
        <f>MATCH($C23,Loads!$M$5:$M$115,1)</f>
        <v>102</v>
      </c>
      <c r="S23" s="73">
        <f>IF(ISBLANK(INDEX(Loads!$N$5:$N$115,$R23)),"-",INDEX(Loads!$N$5:$N$115,$K23)+IF(NOT(ISERROR($Q23)),0,(INDEX(Loads!$N$5:$N$115,$R23+1)-INDEX(Loads!$N$5:$N$115,$R23))/(INDEX(Loads!$M$5:$M$115,$R23+1)-INDEX(Loads!$M$5:$M$115,$R23))*($C23-INDEX(Loads!$M$5:$M$115,$R23))))</f>
        <v>-25375.27</v>
      </c>
      <c r="T23" s="73">
        <f>IF(ISBLANK(INDEX(Loads!$O$5:$O$115,$R23)),"-",INDEX(Loads!$O$5:$O$115,$K23)+IF(NOT(ISERROR($Q23)),0,(INDEX(Loads!$O$5:$O$115,$R23+1)-INDEX(Loads!$O$5:$O$115,$R23))/(INDEX(Loads!$M$5:$M$115,$R23+1)-INDEX(Loads!$M$5:$M$115,$R23))*($C23-INDEX(Loads!$M$5:$M$115,$R23))))</f>
        <v>526356.30000000005</v>
      </c>
      <c r="U23" s="73">
        <f>IF(ISBLANK(INDEX(Loads!$P$5:$P$115,$R23)),"-",INDEX(Loads!$P$5:$P$115,$K23)+IF(NOT(ISERROR($Q23)),0,(INDEX(Loads!$P$5:$P$115,$R23+1)-INDEX(Loads!$P$5:$P$115,$R23))/(INDEX(Loads!$M$5:$M$115,$R23+1)-INDEX(Loads!$M$5:$M$115,$R23))*($C23-INDEX(Loads!$M$5:$M$115,$R23))))</f>
        <v>8646.268</v>
      </c>
    </row>
    <row r="24" spans="3:21">
      <c r="C24" s="72">
        <f>Geometry!E33</f>
        <v>-17.899999999999999</v>
      </c>
      <c r="E24" s="62">
        <f>MATCH($C24,Loads!$C$5:$C$115,0)</f>
        <v>101</v>
      </c>
      <c r="F24" s="62">
        <f>MATCH($C24,Loads!$C$5:$C$115,1)</f>
        <v>101</v>
      </c>
      <c r="G24" s="73">
        <f>IF(ISBLANK(INDEX(Loads!$D$5:$D$115,$F24)),"-",INDEX(Loads!$D$5:$D$115,$F24)+IF(NOT(ISERROR($E24)),0,(INDEX(Loads!$D$5:$D$115,$F24+1)-INDEX(Loads!$D$5:$D$115,$F24))/(INDEX(Loads!$C$5:$C$115,$F24+1)-INDEX(Loads!$C$5:$C$115,$F24))*($C24-INDEX(Loads!$C$5:$C$115,$F24))))</f>
        <v>165474.00000000003</v>
      </c>
      <c r="H24" s="73">
        <f>IF(ISBLANK(INDEX(Loads!$E$5:$E$115,$F24)),"-",INDEX(Loads!$E$5:$E$115,$F24)+IF(NOT(ISERROR($E24)),0,(INDEX(Loads!$E$5:$E$115,$F24+1)-INDEX(Loads!$E$5:$E$115,$F24))/(INDEX(Loads!$C$5:$C$115,$F24+1)-INDEX(Loads!$C$5:$C$115,$F24))*($C24-INDEX(Loads!$C$5:$C$115,$F24))))</f>
        <v>158895.00000000003</v>
      </c>
      <c r="J24" s="62">
        <f>MATCH($C24,Loads!$G$5:$G$115,0)</f>
        <v>101</v>
      </c>
      <c r="K24" s="62">
        <f>MATCH($C24,Loads!$G$5:$G$115,1)</f>
        <v>101</v>
      </c>
      <c r="L24" s="73">
        <f>IF(ISBLANK(INDEX(Loads!$H$5:$H$115,$K24)),"-",INDEX(Loads!$H$5:$H$115,$K24)+IF(NOT(ISERROR($J24)),0,(INDEX(Loads!$H$5:$H$115,$K24+1)-INDEX(Loads!$H$5:$H$115,$K24))/(INDEX(Loads!$G$5:$G$115,$K24+1)-INDEX(Loads!$G$5:$G$115,$K24))*($C24-INDEX(Loads!$G$5:$G$115,$K24))))</f>
        <v>-35492.58</v>
      </c>
      <c r="M24" s="73">
        <f>IF(ISBLANK(INDEX(Loads!$I$5:$I$115,$K24)),"-",INDEX(Loads!$I$5:$I$115,$K24)+IF(NOT(ISERROR($J24)),0,(INDEX(Loads!$I$5:$I$115,$K24+1)-INDEX(Loads!$I$5:$I$115,$K24))/(INDEX(Loads!$G$5:$G$115,$K24+1)-INDEX(Loads!$G$5:$G$115,$K24))*($C24-INDEX(Loads!$G$5:$G$115,$K24))))</f>
        <v>-46391.3</v>
      </c>
      <c r="N24" s="73">
        <f>IF(ISBLANK(INDEX(Loads!$J$5:$J$115,$K24)),"-",INDEX(Loads!$J$5:$J$115,$K24)+IF(NOT(ISERROR($J24)),0,(INDEX(Loads!$J$5:$J$115,$K24+1)-INDEX(Loads!$J$5:$J$115,$K24))/(INDEX(Loads!$G$5:$G$115,$K24+1)-INDEX(Loads!$G$5:$G$115,$K24))*($C24-INDEX(Loads!$G$5:$G$115,$K24))))</f>
        <v>731520.5</v>
      </c>
      <c r="O24" s="73">
        <f>IF(ISBLANK(INDEX(Loads!$K$5:$K$115,$K24)),"-",INDEX(Loads!$K$5:$K$115,$K24)+IF(NOT(ISERROR($J24)),0,(INDEX(Loads!$K$5:$K$115,$K24+1)-INDEX(Loads!$K$5:$K$115,$K24))/(INDEX(Loads!$G$5:$G$115,$K24+1)-INDEX(Loads!$G$5:$G$115,$K24))*($C24-INDEX(Loads!$G$5:$G$115,$K24))))</f>
        <v>12559.69</v>
      </c>
      <c r="Q24">
        <f>MATCH($C24,Loads!$M$5:$M$115,0)</f>
        <v>101</v>
      </c>
      <c r="R24">
        <f>MATCH($C24,Loads!$M$5:$M$115,1)</f>
        <v>101</v>
      </c>
      <c r="S24" s="73">
        <f>IF(ISBLANK(INDEX(Loads!$N$5:$N$115,$R24)),"-",INDEX(Loads!$N$5:$N$115,$K24)+IF(NOT(ISERROR($Q24)),0,(INDEX(Loads!$N$5:$N$115,$R24+1)-INDEX(Loads!$N$5:$N$115,$R24))/(INDEX(Loads!$M$5:$M$115,$R24+1)-INDEX(Loads!$M$5:$M$115,$R24))*($C24-INDEX(Loads!$M$5:$M$115,$R24))))</f>
        <v>-26290.799999999999</v>
      </c>
      <c r="T24" s="73">
        <f>IF(ISBLANK(INDEX(Loads!$O$5:$O$115,$R24)),"-",INDEX(Loads!$O$5:$O$115,$K24)+IF(NOT(ISERROR($Q24)),0,(INDEX(Loads!$O$5:$O$115,$R24+1)-INDEX(Loads!$O$5:$O$115,$R24))/(INDEX(Loads!$M$5:$M$115,$R24+1)-INDEX(Loads!$M$5:$M$115,$R24))*($C24-INDEX(Loads!$M$5:$M$115,$R24))))</f>
        <v>551094.19999999995</v>
      </c>
      <c r="U24" s="73">
        <f>IF(ISBLANK(INDEX(Loads!$P$5:$P$115,$R24)),"-",INDEX(Loads!$P$5:$P$115,$K24)+IF(NOT(ISERROR($Q24)),0,(INDEX(Loads!$P$5:$P$115,$R24+1)-INDEX(Loads!$P$5:$P$115,$R24))/(INDEX(Loads!$M$5:$M$115,$R24+1)-INDEX(Loads!$M$5:$M$115,$R24))*($C24-INDEX(Loads!$M$5:$M$115,$R24))))</f>
        <v>9303.4709999999995</v>
      </c>
    </row>
    <row r="25" spans="3:21">
      <c r="C25" s="72">
        <f>Geometry!E34</f>
        <v>-21.8</v>
      </c>
      <c r="E25" s="62">
        <f>MATCH($C25,Loads!$C$5:$C$115,0)</f>
        <v>100</v>
      </c>
      <c r="F25" s="62">
        <f>MATCH($C25,Loads!$C$5:$C$115,1)</f>
        <v>100</v>
      </c>
      <c r="G25" s="73">
        <f>IF(ISBLANK(INDEX(Loads!$D$5:$D$115,$F25)),"-",INDEX(Loads!$D$5:$D$115,$F25)+IF(NOT(ISERROR($E25)),0,(INDEX(Loads!$D$5:$D$115,$F25+1)-INDEX(Loads!$D$5:$D$115,$F25))/(INDEX(Loads!$C$5:$C$115,$F25+1)-INDEX(Loads!$C$5:$C$115,$F25))*($C25-INDEX(Loads!$C$5:$C$115,$F25))))</f>
        <v>171423.00000000003</v>
      </c>
      <c r="H25" s="73">
        <f>IF(ISBLANK(INDEX(Loads!$E$5:$E$115,$F25)),"-",INDEX(Loads!$E$5:$E$115,$F25)+IF(NOT(ISERROR($E25)),0,(INDEX(Loads!$E$5:$E$115,$F25+1)-INDEX(Loads!$E$5:$E$115,$F25))/(INDEX(Loads!$C$5:$C$115,$F25+1)-INDEX(Loads!$C$5:$C$115,$F25))*($C25-INDEX(Loads!$C$5:$C$115,$F25))))</f>
        <v>164592.00000000003</v>
      </c>
      <c r="J25" s="62">
        <f>MATCH($C25,Loads!$G$5:$G$115,0)</f>
        <v>100</v>
      </c>
      <c r="K25" s="62">
        <f>MATCH($C25,Loads!$G$5:$G$115,1)</f>
        <v>100</v>
      </c>
      <c r="L25" s="73">
        <f>IF(ISBLANK(INDEX(Loads!$H$5:$H$115,$K25)),"-",INDEX(Loads!$H$5:$H$115,$K25)+IF(NOT(ISERROR($J25)),0,(INDEX(Loads!$H$5:$H$115,$K25+1)-INDEX(Loads!$H$5:$H$115,$K25))/(INDEX(Loads!$G$5:$G$115,$K25+1)-INDEX(Loads!$G$5:$G$115,$K25))*($C25-INDEX(Loads!$G$5:$G$115,$K25))))</f>
        <v>-36785.86</v>
      </c>
      <c r="M25" s="73">
        <f>IF(ISBLANK(INDEX(Loads!$I$5:$I$115,$K25)),"-",INDEX(Loads!$I$5:$I$115,$K25)+IF(NOT(ISERROR($J25)),0,(INDEX(Loads!$I$5:$I$115,$K25+1)-INDEX(Loads!$I$5:$I$115,$K25))/(INDEX(Loads!$G$5:$G$115,$K25+1)-INDEX(Loads!$G$5:$G$115,$K25))*($C25-INDEX(Loads!$G$5:$G$115,$K25))))</f>
        <v>-46396.94</v>
      </c>
      <c r="N25" s="73">
        <f>IF(ISBLANK(INDEX(Loads!$J$5:$J$115,$K25)),"-",INDEX(Loads!$J$5:$J$115,$K25)+IF(NOT(ISERROR($J25)),0,(INDEX(Loads!$J$5:$J$115,$K25+1)-INDEX(Loads!$J$5:$J$115,$K25))/(INDEX(Loads!$G$5:$G$115,$K25+1)-INDEX(Loads!$G$5:$G$115,$K25))*($C25-INDEX(Loads!$G$5:$G$115,$K25))))</f>
        <v>767033.20000000007</v>
      </c>
      <c r="O25" s="73">
        <f>IF(ISBLANK(INDEX(Loads!$K$5:$K$115,$K25)),"-",INDEX(Loads!$K$5:$K$115,$K25)+IF(NOT(ISERROR($J25)),0,(INDEX(Loads!$K$5:$K$115,$K25+1)-INDEX(Loads!$K$5:$K$115,$K25))/(INDEX(Loads!$G$5:$G$115,$K25+1)-INDEX(Loads!$G$5:$G$115,$K25))*($C25-INDEX(Loads!$G$5:$G$115,$K25))))</f>
        <v>13411.9</v>
      </c>
      <c r="Q25">
        <f>MATCH($C25,Loads!$M$5:$M$115,0)</f>
        <v>100</v>
      </c>
      <c r="R25">
        <f>MATCH($C25,Loads!$M$5:$M$115,1)</f>
        <v>100</v>
      </c>
      <c r="S25" s="73">
        <f>IF(ISBLANK(INDEX(Loads!$N$5:$N$115,$R25)),"-",INDEX(Loads!$N$5:$N$115,$K25)+IF(NOT(ISERROR($Q25)),0,(INDEX(Loads!$N$5:$N$115,$R25+1)-INDEX(Loads!$N$5:$N$115,$R25))/(INDEX(Loads!$M$5:$M$115,$R25+1)-INDEX(Loads!$M$5:$M$115,$R25))*($C25-INDEX(Loads!$M$5:$M$115,$R25))))</f>
        <v>-27248.78</v>
      </c>
      <c r="T25" s="73">
        <f>IF(ISBLANK(INDEX(Loads!$O$5:$O$115,$R25)),"-",INDEX(Loads!$O$5:$O$115,$K25)+IF(NOT(ISERROR($Q25)),0,(INDEX(Loads!$O$5:$O$115,$R25+1)-INDEX(Loads!$O$5:$O$115,$R25))/(INDEX(Loads!$M$5:$M$115,$R25+1)-INDEX(Loads!$M$5:$M$115,$R25))*($C25-INDEX(Loads!$M$5:$M$115,$R25))))</f>
        <v>578003.9</v>
      </c>
      <c r="U25" s="73">
        <f>IF(ISBLANK(INDEX(Loads!$P$5:$P$115,$R25)),"-",INDEX(Loads!$P$5:$P$115,$K25)+IF(NOT(ISERROR($Q25)),0,(INDEX(Loads!$P$5:$P$115,$R25+1)-INDEX(Loads!$P$5:$P$115,$R25))/(INDEX(Loads!$M$5:$M$115,$R25+1)-INDEX(Loads!$M$5:$M$115,$R25))*($C25-INDEX(Loads!$M$5:$M$115,$R25))))</f>
        <v>9934.7369999999992</v>
      </c>
    </row>
    <row r="26" spans="3:21">
      <c r="C26" s="72">
        <f>Geometry!E35</f>
        <v>-25.7</v>
      </c>
      <c r="E26" s="62">
        <f>MATCH($C26,Loads!$C$5:$C$115,0)</f>
        <v>99</v>
      </c>
      <c r="F26" s="62">
        <f>MATCH($C26,Loads!$C$5:$C$115,1)</f>
        <v>99</v>
      </c>
      <c r="G26" s="73">
        <f>IF(ISBLANK(INDEX(Loads!$D$5:$D$115,$F26)),"-",INDEX(Loads!$D$5:$D$115,$F26)+IF(NOT(ISERROR($E26)),0,(INDEX(Loads!$D$5:$D$115,$F26+1)-INDEX(Loads!$D$5:$D$115,$F26))/(INDEX(Loads!$C$5:$C$115,$F26+1)-INDEX(Loads!$C$5:$C$115,$F26))*($C26-INDEX(Loads!$C$5:$C$115,$F26))))</f>
        <v>178281.00000000003</v>
      </c>
      <c r="H26" s="73">
        <f>IF(ISBLANK(INDEX(Loads!$E$5:$E$115,$F26)),"-",INDEX(Loads!$E$5:$E$115,$F26)+IF(NOT(ISERROR($E26)),0,(INDEX(Loads!$E$5:$E$115,$F26+1)-INDEX(Loads!$E$5:$E$115,$F26))/(INDEX(Loads!$C$5:$C$115,$F26+1)-INDEX(Loads!$C$5:$C$115,$F26))*($C26-INDEX(Loads!$C$5:$C$115,$F26))))</f>
        <v>171009.00000000003</v>
      </c>
      <c r="J26" s="62">
        <f>MATCH($C26,Loads!$G$5:$G$115,0)</f>
        <v>99</v>
      </c>
      <c r="K26" s="62">
        <f>MATCH($C26,Loads!$G$5:$G$115,1)</f>
        <v>99</v>
      </c>
      <c r="L26" s="73">
        <f>IF(ISBLANK(INDEX(Loads!$H$5:$H$115,$K26)),"-",INDEX(Loads!$H$5:$H$115,$K26)+IF(NOT(ISERROR($J26)),0,(INDEX(Loads!$H$5:$H$115,$K26+1)-INDEX(Loads!$H$5:$H$115,$K26))/(INDEX(Loads!$G$5:$G$115,$K26+1)-INDEX(Loads!$G$5:$G$115,$K26))*($C26-INDEX(Loads!$G$5:$G$115,$K26))))</f>
        <v>-38136.42</v>
      </c>
      <c r="M26" s="73">
        <f>IF(ISBLANK(INDEX(Loads!$I$5:$I$115,$K26)),"-",INDEX(Loads!$I$5:$I$115,$K26)+IF(NOT(ISERROR($J26)),0,(INDEX(Loads!$I$5:$I$115,$K26+1)-INDEX(Loads!$I$5:$I$115,$K26))/(INDEX(Loads!$G$5:$G$115,$K26+1)-INDEX(Loads!$G$5:$G$115,$K26))*($C26-INDEX(Loads!$G$5:$G$115,$K26))))</f>
        <v>-46402.080000000002</v>
      </c>
      <c r="N26" s="73">
        <f>IF(ISBLANK(INDEX(Loads!$J$5:$J$115,$K26)),"-",INDEX(Loads!$J$5:$J$115,$K26)+IF(NOT(ISERROR($J26)),0,(INDEX(Loads!$J$5:$J$115,$K26+1)-INDEX(Loads!$J$5:$J$115,$K26))/(INDEX(Loads!$G$5:$G$115,$K26+1)-INDEX(Loads!$G$5:$G$115,$K26))*($C26-INDEX(Loads!$G$5:$G$115,$K26))))</f>
        <v>805362.6</v>
      </c>
      <c r="O26" s="73">
        <f>IF(ISBLANK(INDEX(Loads!$K$5:$K$115,$K26)),"-",INDEX(Loads!$K$5:$K$115,$K26)+IF(NOT(ISERROR($J26)),0,(INDEX(Loads!$K$5:$K$115,$K26+1)-INDEX(Loads!$K$5:$K$115,$K26))/(INDEX(Loads!$G$5:$G$115,$K26+1)-INDEX(Loads!$G$5:$G$115,$K26))*($C26-INDEX(Loads!$G$5:$G$115,$K26))))</f>
        <v>14372.83</v>
      </c>
      <c r="Q26">
        <f>MATCH($C26,Loads!$M$5:$M$115,0)</f>
        <v>99</v>
      </c>
      <c r="R26">
        <f>MATCH($C26,Loads!$M$5:$M$115,1)</f>
        <v>99</v>
      </c>
      <c r="S26" s="73">
        <f>IF(ISBLANK(INDEX(Loads!$N$5:$N$115,$R26)),"-",INDEX(Loads!$N$5:$N$115,$K26)+IF(NOT(ISERROR($Q26)),0,(INDEX(Loads!$N$5:$N$115,$R26+1)-INDEX(Loads!$N$5:$N$115,$R26))/(INDEX(Loads!$M$5:$M$115,$R26+1)-INDEX(Loads!$M$5:$M$115,$R26))*($C26-INDEX(Loads!$M$5:$M$115,$R26))))</f>
        <v>-28249.200000000001</v>
      </c>
      <c r="T26" s="73">
        <f>IF(ISBLANK(INDEX(Loads!$O$5:$O$115,$R26)),"-",INDEX(Loads!$O$5:$O$115,$K26)+IF(NOT(ISERROR($Q26)),0,(INDEX(Loads!$O$5:$O$115,$R26+1)-INDEX(Loads!$O$5:$O$115,$R26))/(INDEX(Loads!$M$5:$M$115,$R26+1)-INDEX(Loads!$M$5:$M$115,$R26))*($C26-INDEX(Loads!$M$5:$M$115,$R26))))</f>
        <v>607066.1</v>
      </c>
      <c r="U26" s="73">
        <f>IF(ISBLANK(INDEX(Loads!$P$5:$P$115,$R26)),"-",INDEX(Loads!$P$5:$P$115,$K26)+IF(NOT(ISERROR($Q26)),0,(INDEX(Loads!$P$5:$P$115,$R26+1)-INDEX(Loads!$P$5:$P$115,$R26))/(INDEX(Loads!$M$5:$M$115,$R26+1)-INDEX(Loads!$M$5:$M$115,$R26))*($C26-INDEX(Loads!$M$5:$M$115,$R26))))</f>
        <v>10646.54</v>
      </c>
    </row>
    <row r="27" spans="3:21">
      <c r="C27" s="72">
        <f>Geometry!E36</f>
        <v>-29.6</v>
      </c>
      <c r="E27" s="62">
        <f>MATCH($C27,Loads!$C$5:$C$115,0)</f>
        <v>98</v>
      </c>
      <c r="F27" s="62">
        <f>MATCH($C27,Loads!$C$5:$C$115,1)</f>
        <v>98</v>
      </c>
      <c r="G27" s="73">
        <f>IF(ISBLANK(INDEX(Loads!$D$5:$D$115,$F27)),"-",INDEX(Loads!$D$5:$D$115,$F27)+IF(NOT(ISERROR($E27)),0,(INDEX(Loads!$D$5:$D$115,$F27+1)-INDEX(Loads!$D$5:$D$115,$F27))/(INDEX(Loads!$C$5:$C$115,$F27+1)-INDEX(Loads!$C$5:$C$115,$F27))*($C27-INDEX(Loads!$C$5:$C$115,$F27))))</f>
        <v>186417.00000000003</v>
      </c>
      <c r="H27" s="73">
        <f>IF(ISBLANK(INDEX(Loads!$E$5:$E$115,$F27)),"-",INDEX(Loads!$E$5:$E$115,$F27)+IF(NOT(ISERROR($E27)),0,(INDEX(Loads!$E$5:$E$115,$F27+1)-INDEX(Loads!$E$5:$E$115,$F27))/(INDEX(Loads!$C$5:$C$115,$F27+1)-INDEX(Loads!$C$5:$C$115,$F27))*($C27-INDEX(Loads!$C$5:$C$115,$F27))))</f>
        <v>178596.00000000003</v>
      </c>
      <c r="J27" s="62">
        <f>MATCH($C27,Loads!$G$5:$G$115,0)</f>
        <v>98</v>
      </c>
      <c r="K27" s="62">
        <f>MATCH($C27,Loads!$G$5:$G$115,1)</f>
        <v>98</v>
      </c>
      <c r="L27" s="73">
        <f>IF(ISBLANK(INDEX(Loads!$H$5:$H$115,$K27)),"-",INDEX(Loads!$H$5:$H$115,$K27)+IF(NOT(ISERROR($J27)),0,(INDEX(Loads!$H$5:$H$115,$K27+1)-INDEX(Loads!$H$5:$H$115,$K27))/(INDEX(Loads!$G$5:$G$115,$K27+1)-INDEX(Loads!$G$5:$G$115,$K27))*($C27-INDEX(Loads!$G$5:$G$115,$K27))))</f>
        <v>-39544.53</v>
      </c>
      <c r="M27" s="73">
        <f>IF(ISBLANK(INDEX(Loads!$I$5:$I$115,$K27)),"-",INDEX(Loads!$I$5:$I$115,$K27)+IF(NOT(ISERROR($J27)),0,(INDEX(Loads!$I$5:$I$115,$K27+1)-INDEX(Loads!$I$5:$I$115,$K27))/(INDEX(Loads!$G$5:$G$115,$K27+1)-INDEX(Loads!$G$5:$G$115,$K27))*($C27-INDEX(Loads!$G$5:$G$115,$K27))))</f>
        <v>-46406.65</v>
      </c>
      <c r="N27" s="73">
        <f>IF(ISBLANK(INDEX(Loads!$J$5:$J$115,$K27)),"-",INDEX(Loads!$J$5:$J$115,$K27)+IF(NOT(ISERROR($J27)),0,(INDEX(Loads!$J$5:$J$115,$K27+1)-INDEX(Loads!$J$5:$J$115,$K27))/(INDEX(Loads!$G$5:$G$115,$K27+1)-INDEX(Loads!$G$5:$G$115,$K27))*($C27-INDEX(Loads!$G$5:$G$115,$K27))))</f>
        <v>846105.59999999998</v>
      </c>
      <c r="O27" s="73">
        <f>IF(ISBLANK(INDEX(Loads!$K$5:$K$115,$K27)),"-",INDEX(Loads!$K$5:$K$115,$K27)+IF(NOT(ISERROR($J27)),0,(INDEX(Loads!$K$5:$K$115,$K27+1)-INDEX(Loads!$K$5:$K$115,$K27))/(INDEX(Loads!$G$5:$G$115,$K27+1)-INDEX(Loads!$G$5:$G$115,$K27))*($C27-INDEX(Loads!$G$5:$G$115,$K27))))</f>
        <v>15366.7</v>
      </c>
      <c r="Q27">
        <f>MATCH($C27,Loads!$M$5:$M$115,0)</f>
        <v>98</v>
      </c>
      <c r="R27">
        <f>MATCH($C27,Loads!$M$5:$M$115,1)</f>
        <v>98</v>
      </c>
      <c r="S27" s="73">
        <f>IF(ISBLANK(INDEX(Loads!$N$5:$N$115,$R27)),"-",INDEX(Loads!$N$5:$N$115,$K27)+IF(NOT(ISERROR($Q27)),0,(INDEX(Loads!$N$5:$N$115,$R27+1)-INDEX(Loads!$N$5:$N$115,$R27))/(INDEX(Loads!$M$5:$M$115,$R27+1)-INDEX(Loads!$M$5:$M$115,$R27))*($C27-INDEX(Loads!$M$5:$M$115,$R27))))</f>
        <v>-29292.240000000002</v>
      </c>
      <c r="T27" s="73">
        <f>IF(ISBLANK(INDEX(Loads!$O$5:$O$115,$R27)),"-",INDEX(Loads!$O$5:$O$115,$K27)+IF(NOT(ISERROR($Q27)),0,(INDEX(Loads!$O$5:$O$115,$R27+1)-INDEX(Loads!$O$5:$O$115,$R27))/(INDEX(Loads!$M$5:$M$115,$R27+1)-INDEX(Loads!$M$5:$M$115,$R27))*($C27-INDEX(Loads!$M$5:$M$115,$R27))))</f>
        <v>637996</v>
      </c>
      <c r="U27" s="73">
        <f>IF(ISBLANK(INDEX(Loads!$P$5:$P$115,$R27)),"-",INDEX(Loads!$P$5:$P$115,$K27)+IF(NOT(ISERROR($Q27)),0,(INDEX(Loads!$P$5:$P$115,$R27+1)-INDEX(Loads!$P$5:$P$115,$R27))/(INDEX(Loads!$M$5:$M$115,$R27+1)-INDEX(Loads!$M$5:$M$115,$R27))*($C27-INDEX(Loads!$M$5:$M$115,$R27))))</f>
        <v>11382.74</v>
      </c>
    </row>
    <row r="28" spans="3:21">
      <c r="C28" s="72">
        <f>Geometry!E37</f>
        <v>-33.5</v>
      </c>
      <c r="E28" s="62">
        <f>MATCH($C28,Loads!$C$5:$C$115,0)</f>
        <v>97</v>
      </c>
      <c r="F28" s="62">
        <f>MATCH($C28,Loads!$C$5:$C$115,1)</f>
        <v>97</v>
      </c>
      <c r="G28" s="73">
        <f>IF(ISBLANK(INDEX(Loads!$D$5:$D$115,$F28)),"-",INDEX(Loads!$D$5:$D$115,$F28)+IF(NOT(ISERROR($E28)),0,(INDEX(Loads!$D$5:$D$115,$F28+1)-INDEX(Loads!$D$5:$D$115,$F28))/(INDEX(Loads!$C$5:$C$115,$F28+1)-INDEX(Loads!$C$5:$C$115,$F28))*($C28-INDEX(Loads!$C$5:$C$115,$F28))))</f>
        <v>195858.00000000003</v>
      </c>
      <c r="H28" s="73">
        <f>IF(ISBLANK(INDEX(Loads!$E$5:$E$115,$F28)),"-",INDEX(Loads!$E$5:$E$115,$F28)+IF(NOT(ISERROR($E28)),0,(INDEX(Loads!$E$5:$E$115,$F28+1)-INDEX(Loads!$E$5:$E$115,$F28))/(INDEX(Loads!$C$5:$C$115,$F28+1)-INDEX(Loads!$C$5:$C$115,$F28))*($C28-INDEX(Loads!$C$5:$C$115,$F28))))</f>
        <v>187380.00000000003</v>
      </c>
      <c r="J28" s="62">
        <f>MATCH($C28,Loads!$G$5:$G$115,0)</f>
        <v>97</v>
      </c>
      <c r="K28" s="62">
        <f>MATCH($C28,Loads!$G$5:$G$115,1)</f>
        <v>97</v>
      </c>
      <c r="L28" s="73">
        <f>IF(ISBLANK(INDEX(Loads!$H$5:$H$115,$K28)),"-",INDEX(Loads!$H$5:$H$115,$K28)+IF(NOT(ISERROR($J28)),0,(INDEX(Loads!$H$5:$H$115,$K28+1)-INDEX(Loads!$H$5:$H$115,$K28))/(INDEX(Loads!$G$5:$G$115,$K28+1)-INDEX(Loads!$G$5:$G$115,$K28))*($C28-INDEX(Loads!$G$5:$G$115,$K28))))</f>
        <v>-41010.39</v>
      </c>
      <c r="M28" s="73">
        <f>IF(ISBLANK(INDEX(Loads!$I$5:$I$115,$K28)),"-",INDEX(Loads!$I$5:$I$115,$K28)+IF(NOT(ISERROR($J28)),0,(INDEX(Loads!$I$5:$I$115,$K28+1)-INDEX(Loads!$I$5:$I$115,$K28))/(INDEX(Loads!$G$5:$G$115,$K28+1)-INDEX(Loads!$G$5:$G$115,$K28))*($C28-INDEX(Loads!$G$5:$G$115,$K28))))</f>
        <v>-46410.559999999998</v>
      </c>
      <c r="N28" s="73">
        <f>IF(ISBLANK(INDEX(Loads!$J$5:$J$115,$K28)),"-",INDEX(Loads!$J$5:$J$115,$K28)+IF(NOT(ISERROR($J28)),0,(INDEX(Loads!$J$5:$J$115,$K28+1)-INDEX(Loads!$J$5:$J$115,$K28))/(INDEX(Loads!$G$5:$G$115,$K28+1)-INDEX(Loads!$G$5:$G$115,$K28))*($C28-INDEX(Loads!$G$5:$G$115,$K28))))</f>
        <v>889951.5</v>
      </c>
      <c r="O28" s="73">
        <f>IF(ISBLANK(INDEX(Loads!$K$5:$K$115,$K28)),"-",INDEX(Loads!$K$5:$K$115,$K28)+IF(NOT(ISERROR($J28)),0,(INDEX(Loads!$K$5:$K$115,$K28+1)-INDEX(Loads!$K$5:$K$115,$K28))/(INDEX(Loads!$G$5:$G$115,$K28+1)-INDEX(Loads!$G$5:$G$115,$K28))*($C28-INDEX(Loads!$G$5:$G$115,$K28))))</f>
        <v>16372.09</v>
      </c>
      <c r="Q28">
        <f>MATCH($C28,Loads!$M$5:$M$115,0)</f>
        <v>97</v>
      </c>
      <c r="R28">
        <f>MATCH($C28,Loads!$M$5:$M$115,1)</f>
        <v>97</v>
      </c>
      <c r="S28" s="73">
        <f>IF(ISBLANK(INDEX(Loads!$N$5:$N$115,$R28)),"-",INDEX(Loads!$N$5:$N$115,$K28)+IF(NOT(ISERROR($Q28)),0,(INDEX(Loads!$N$5:$N$115,$R28+1)-INDEX(Loads!$N$5:$N$115,$R28))/(INDEX(Loads!$M$5:$M$115,$R28+1)-INDEX(Loads!$M$5:$M$115,$R28))*($C28-INDEX(Loads!$M$5:$M$115,$R28))))</f>
        <v>-30378.06</v>
      </c>
      <c r="T28" s="73">
        <f>IF(ISBLANK(INDEX(Loads!$O$5:$O$115,$R28)),"-",INDEX(Loads!$O$5:$O$115,$K28)+IF(NOT(ISERROR($Q28)),0,(INDEX(Loads!$O$5:$O$115,$R28+1)-INDEX(Loads!$O$5:$O$115,$R28))/(INDEX(Loads!$M$5:$M$115,$R28+1)-INDEX(Loads!$M$5:$M$115,$R28))*($C28-INDEX(Loads!$M$5:$M$115,$R28))))</f>
        <v>671308.7</v>
      </c>
      <c r="U28" s="73">
        <f>IF(ISBLANK(INDEX(Loads!$P$5:$P$115,$R28)),"-",INDEX(Loads!$P$5:$P$115,$K28)+IF(NOT(ISERROR($Q28)),0,(INDEX(Loads!$P$5:$P$115,$R28+1)-INDEX(Loads!$P$5:$P$115,$R28))/(INDEX(Loads!$M$5:$M$115,$R28+1)-INDEX(Loads!$M$5:$M$115,$R28))*($C28-INDEX(Loads!$M$5:$M$115,$R28))))</f>
        <v>12127.48</v>
      </c>
    </row>
    <row r="29" spans="3:21">
      <c r="C29" s="72">
        <f>Geometry!E38</f>
        <v>-36.799999999999997</v>
      </c>
      <c r="E29" s="62" t="e">
        <f>MATCH($C29,Loads!$C$5:$C$115,0)</f>
        <v>#N/A</v>
      </c>
      <c r="F29" s="62">
        <f>MATCH($C29,Loads!$C$5:$C$115,1)</f>
        <v>96</v>
      </c>
      <c r="G29" s="73">
        <f>IF(ISBLANK(INDEX(Loads!$D$5:$D$115,$F29)),"-",INDEX(Loads!$D$5:$D$115,$F29)+IF(NOT(ISERROR($E29)),0,(INDEX(Loads!$D$5:$D$115,$F29+1)-INDEX(Loads!$D$5:$D$115,$F29))/(INDEX(Loads!$C$5:$C$115,$F29+1)-INDEX(Loads!$C$5:$C$115,$F29))*($C29-INDEX(Loads!$C$5:$C$115,$F29))))</f>
        <v>204844.15384615387</v>
      </c>
      <c r="H29" s="73">
        <f>IF(ISBLANK(INDEX(Loads!$E$5:$E$115,$F29)),"-",INDEX(Loads!$E$5:$E$115,$F29)+IF(NOT(ISERROR($E29)),0,(INDEX(Loads!$E$5:$E$115,$F29+1)-INDEX(Loads!$E$5:$E$115,$F29))/(INDEX(Loads!$C$5:$C$115,$F29+1)-INDEX(Loads!$C$5:$C$115,$F29))*($C29-INDEX(Loads!$C$5:$C$115,$F29))))</f>
        <v>195734.07692307694</v>
      </c>
      <c r="J29" s="62" t="e">
        <f>MATCH($C29,Loads!$G$5:$G$115,0)</f>
        <v>#N/A</v>
      </c>
      <c r="K29" s="62">
        <f>MATCH($C29,Loads!$G$5:$G$115,1)</f>
        <v>96</v>
      </c>
      <c r="L29" s="73">
        <f>IF(ISBLANK(INDEX(Loads!$H$5:$H$115,$K29)),"-",INDEX(Loads!$H$5:$H$115,$K29)+IF(NOT(ISERROR($J29)),0,(INDEX(Loads!$H$5:$H$115,$K29+1)-INDEX(Loads!$H$5:$H$115,$K29))/(INDEX(Loads!$G$5:$G$115,$K29+1)-INDEX(Loads!$G$5:$G$115,$K29))*($C29-INDEX(Loads!$G$5:$G$115,$K29))))</f>
        <v>-42196.418461538458</v>
      </c>
      <c r="M29" s="73">
        <f>IF(ISBLANK(INDEX(Loads!$I$5:$I$115,$K29)),"-",INDEX(Loads!$I$5:$I$115,$K29)+IF(NOT(ISERROR($J29)),0,(INDEX(Loads!$I$5:$I$115,$K29+1)-INDEX(Loads!$I$5:$I$115,$K29))/(INDEX(Loads!$G$5:$G$115,$K29+1)-INDEX(Loads!$G$5:$G$115,$K29))*($C29-INDEX(Loads!$G$5:$G$115,$K29))))</f>
        <v>-46413.081538461542</v>
      </c>
      <c r="N29" s="73">
        <f>IF(ISBLANK(INDEX(Loads!$J$5:$J$115,$K29)),"-",INDEX(Loads!$J$5:$J$115,$K29)+IF(NOT(ISERROR($J29)),0,(INDEX(Loads!$J$5:$J$115,$K29+1)-INDEX(Loads!$J$5:$J$115,$K29))/(INDEX(Loads!$G$5:$G$115,$K29+1)-INDEX(Loads!$G$5:$G$115,$K29))*($C29-INDEX(Loads!$G$5:$G$115,$K29))))</f>
        <v>934803.4923076923</v>
      </c>
      <c r="O29" s="73">
        <f>IF(ISBLANK(INDEX(Loads!$K$5:$K$115,$K29)),"-",INDEX(Loads!$K$5:$K$115,$K29)+IF(NOT(ISERROR($J29)),0,(INDEX(Loads!$K$5:$K$115,$K29+1)-INDEX(Loads!$K$5:$K$115,$K29))/(INDEX(Loads!$G$5:$G$115,$K29+1)-INDEX(Loads!$G$5:$G$115,$K29))*($C29-INDEX(Loads!$G$5:$G$115,$K29))))</f>
        <v>17229.514615384614</v>
      </c>
      <c r="Q29" t="e">
        <f>MATCH($C29,Loads!$M$5:$M$115,0)</f>
        <v>#N/A</v>
      </c>
      <c r="R29">
        <f>MATCH($C29,Loads!$M$5:$M$115,1)</f>
        <v>96</v>
      </c>
      <c r="S29" s="73">
        <f>IF(ISBLANK(INDEX(Loads!$N$5:$N$115,$R29)),"-",INDEX(Loads!$N$5:$N$115,$K29)+IF(NOT(ISERROR($Q29)),0,(INDEX(Loads!$N$5:$N$115,$R29+1)-INDEX(Loads!$N$5:$N$115,$R29))/(INDEX(Loads!$M$5:$M$115,$R29+1)-INDEX(Loads!$M$5:$M$115,$R29))*($C29-INDEX(Loads!$M$5:$M$115,$R29))))</f>
        <v>-31256.604615384615</v>
      </c>
      <c r="T29" s="73">
        <f>IF(ISBLANK(INDEX(Loads!$O$5:$O$115,$R29)),"-",INDEX(Loads!$O$5:$O$115,$K29)+IF(NOT(ISERROR($Q29)),0,(INDEX(Loads!$O$5:$O$115,$R29+1)-INDEX(Loads!$O$5:$O$115,$R29))/(INDEX(Loads!$M$5:$M$115,$R29+1)-INDEX(Loads!$M$5:$M$115,$R29))*($C29-INDEX(Loads!$M$5:$M$115,$R29))))</f>
        <v>705311.56153846148</v>
      </c>
      <c r="U29" s="73">
        <f>IF(ISBLANK(INDEX(Loads!$P$5:$P$115,$R29)),"-",INDEX(Loads!$P$5:$P$115,$K29)+IF(NOT(ISERROR($Q29)),0,(INDEX(Loads!$P$5:$P$115,$R29+1)-INDEX(Loads!$P$5:$P$115,$R29))/(INDEX(Loads!$M$5:$M$115,$R29+1)-INDEX(Loads!$M$5:$M$115,$R29))*($C29-INDEX(Loads!$M$5:$M$115,$R29))))</f>
        <v>12762.603076923077</v>
      </c>
    </row>
    <row r="30" spans="3:21">
      <c r="C30" s="72">
        <f>Geometry!E39</f>
        <v>-40.200000000000003</v>
      </c>
      <c r="E30" s="62" t="e">
        <f>MATCH($C30,Loads!$C$5:$C$115,0)</f>
        <v>#N/A</v>
      </c>
      <c r="F30" s="62">
        <f>MATCH($C30,Loads!$C$5:$C$115,1)</f>
        <v>95</v>
      </c>
      <c r="G30" s="73">
        <f>IF(ISBLANK(INDEX(Loads!$D$5:$D$115,$F30)),"-",INDEX(Loads!$D$5:$D$115,$F30)+IF(NOT(ISERROR($E30)),0,(INDEX(Loads!$D$5:$D$115,$F30+1)-INDEX(Loads!$D$5:$D$115,$F30))/(INDEX(Loads!$C$5:$C$115,$F30+1)-INDEX(Loads!$C$5:$C$115,$F30))*($C30-INDEX(Loads!$C$5:$C$115,$F30))))</f>
        <v>215214.00000000006</v>
      </c>
      <c r="H30" s="73">
        <f>IF(ISBLANK(INDEX(Loads!$E$5:$E$115,$F30)),"-",INDEX(Loads!$E$5:$E$115,$F30)+IF(NOT(ISERROR($E30)),0,(INDEX(Loads!$E$5:$E$115,$F30+1)-INDEX(Loads!$E$5:$E$115,$F30))/(INDEX(Loads!$C$5:$C$115,$F30+1)-INDEX(Loads!$C$5:$C$115,$F30))*($C30-INDEX(Loads!$C$5:$C$115,$F30))))</f>
        <v>205123.1538461539</v>
      </c>
      <c r="J30" s="62" t="e">
        <f>MATCH($C30,Loads!$G$5:$G$115,0)</f>
        <v>#N/A</v>
      </c>
      <c r="K30" s="62">
        <f>MATCH($C30,Loads!$G$5:$G$115,1)</f>
        <v>95</v>
      </c>
      <c r="L30" s="73">
        <f>IF(ISBLANK(INDEX(Loads!$H$5:$H$115,$K30)),"-",INDEX(Loads!$H$5:$H$115,$K30)+IF(NOT(ISERROR($J30)),0,(INDEX(Loads!$H$5:$H$115,$K30+1)-INDEX(Loads!$H$5:$H$115,$K30))/(INDEX(Loads!$G$5:$G$115,$K30+1)-INDEX(Loads!$G$5:$G$115,$K30))*($C30-INDEX(Loads!$G$5:$G$115,$K30))))</f>
        <v>-42697.566666666666</v>
      </c>
      <c r="M30" s="73">
        <f>IF(ISBLANK(INDEX(Loads!$I$5:$I$115,$K30)),"-",INDEX(Loads!$I$5:$I$115,$K30)+IF(NOT(ISERROR($J30)),0,(INDEX(Loads!$I$5:$I$115,$K30+1)-INDEX(Loads!$I$5:$I$115,$K30))/(INDEX(Loads!$G$5:$G$115,$K30+1)-INDEX(Loads!$G$5:$G$115,$K30))*($C30-INDEX(Loads!$G$5:$G$115,$K30))))</f>
        <v>-46414.76051282051</v>
      </c>
      <c r="N30" s="73">
        <f>IF(ISBLANK(INDEX(Loads!$J$5:$J$115,$K30)),"-",INDEX(Loads!$J$5:$J$115,$K30)+IF(NOT(ISERROR($J30)),0,(INDEX(Loads!$J$5:$J$115,$K30+1)-INDEX(Loads!$J$5:$J$115,$K30))/(INDEX(Loads!$G$5:$G$115,$K30+1)-INDEX(Loads!$G$5:$G$115,$K30))*($C30-INDEX(Loads!$G$5:$G$115,$K30))))</f>
        <v>985951.61025641044</v>
      </c>
      <c r="O30" s="73">
        <f>IF(ISBLANK(INDEX(Loads!$K$5:$K$115,$K30)),"-",INDEX(Loads!$K$5:$K$115,$K30)+IF(NOT(ISERROR($J30)),0,(INDEX(Loads!$K$5:$K$115,$K30+1)-INDEX(Loads!$K$5:$K$115,$K30))/(INDEX(Loads!$G$5:$G$115,$K30+1)-INDEX(Loads!$G$5:$G$115,$K30))*($C30-INDEX(Loads!$G$5:$G$115,$K30))))</f>
        <v>18075.91153846154</v>
      </c>
      <c r="Q30" t="e">
        <f>MATCH($C30,Loads!$M$5:$M$115,0)</f>
        <v>#N/A</v>
      </c>
      <c r="R30">
        <f>MATCH($C30,Loads!$M$5:$M$115,1)</f>
        <v>95</v>
      </c>
      <c r="S30" s="73">
        <f>IF(ISBLANK(INDEX(Loads!$N$5:$N$115,$R30)),"-",INDEX(Loads!$N$5:$N$115,$K30)+IF(NOT(ISERROR($Q30)),0,(INDEX(Loads!$N$5:$N$115,$R30+1)-INDEX(Loads!$N$5:$N$115,$R30))/(INDEX(Loads!$M$5:$M$115,$R30+1)-INDEX(Loads!$M$5:$M$115,$R30))*($C30-INDEX(Loads!$M$5:$M$115,$R30))))</f>
        <v>-31627.826153846156</v>
      </c>
      <c r="T30" s="73">
        <f>IF(ISBLANK(INDEX(Loads!$O$5:$O$115,$R30)),"-",INDEX(Loads!$O$5:$O$115,$K30)+IF(NOT(ISERROR($Q30)),0,(INDEX(Loads!$O$5:$O$115,$R30+1)-INDEX(Loads!$O$5:$O$115,$R30))/(INDEX(Loads!$M$5:$M$115,$R30+1)-INDEX(Loads!$M$5:$M$115,$R30))*($C30-INDEX(Loads!$M$5:$M$115,$R30))))</f>
        <v>744066.44358974369</v>
      </c>
      <c r="U30" s="73">
        <f>IF(ISBLANK(INDEX(Loads!$P$5:$P$115,$R30)),"-",INDEX(Loads!$P$5:$P$115,$K30)+IF(NOT(ISERROR($Q30)),0,(INDEX(Loads!$P$5:$P$115,$R30+1)-INDEX(Loads!$P$5:$P$115,$R30))/(INDEX(Loads!$M$5:$M$115,$R30+1)-INDEX(Loads!$M$5:$M$115,$R30))*($C30-INDEX(Loads!$M$5:$M$115,$R30))))</f>
        <v>13389.568205128206</v>
      </c>
    </row>
    <row r="31" spans="3:21">
      <c r="C31" s="72">
        <f>Geometry!E40</f>
        <v>-43.8</v>
      </c>
      <c r="E31" s="62" t="e">
        <f>MATCH($C31,Loads!$C$5:$C$115,0)</f>
        <v>#N/A</v>
      </c>
      <c r="F31" s="62">
        <f>MATCH($C31,Loads!$C$5:$C$115,1)</f>
        <v>93</v>
      </c>
      <c r="G31" s="73">
        <f>IF(ISBLANK(INDEX(Loads!$D$5:$D$115,$F31)),"-",INDEX(Loads!$D$5:$D$115,$F31)+IF(NOT(ISERROR($E31)),0,(INDEX(Loads!$D$5:$D$115,$F31+1)-INDEX(Loads!$D$5:$D$115,$F31))/(INDEX(Loads!$C$5:$C$115,$F31+1)-INDEX(Loads!$C$5:$C$115,$F31))*($C31-INDEX(Loads!$C$5:$C$115,$F31))))</f>
        <v>227240.39378238344</v>
      </c>
      <c r="H31" s="73">
        <f>IF(ISBLANK(INDEX(Loads!$E$5:$E$115,$F31)),"-",INDEX(Loads!$E$5:$E$115,$F31)+IF(NOT(ISERROR($E31)),0,(INDEX(Loads!$E$5:$E$115,$F31+1)-INDEX(Loads!$E$5:$E$115,$F31))/(INDEX(Loads!$C$5:$C$115,$F31+1)-INDEX(Loads!$C$5:$C$115,$F31))*($C31-INDEX(Loads!$C$5:$C$115,$F31))))</f>
        <v>216048.26424870468</v>
      </c>
      <c r="J31" s="62" t="e">
        <f>MATCH($C31,Loads!$G$5:$G$115,0)</f>
        <v>#N/A</v>
      </c>
      <c r="K31" s="62">
        <f>MATCH($C31,Loads!$G$5:$G$115,1)</f>
        <v>93</v>
      </c>
      <c r="L31" s="73">
        <f>IF(ISBLANK(INDEX(Loads!$H$5:$H$115,$K31)),"-",INDEX(Loads!$H$5:$H$115,$K31)+IF(NOT(ISERROR($J31)),0,(INDEX(Loads!$H$5:$H$115,$K31+1)-INDEX(Loads!$H$5:$H$115,$K31))/(INDEX(Loads!$G$5:$G$115,$K31+1)-INDEX(Loads!$G$5:$G$115,$K31))*($C31-INDEX(Loads!$G$5:$G$115,$K31))))</f>
        <v>-43607.330673575125</v>
      </c>
      <c r="M31" s="73">
        <f>IF(ISBLANK(INDEX(Loads!$I$5:$I$115,$K31)),"-",INDEX(Loads!$I$5:$I$115,$K31)+IF(NOT(ISERROR($J31)),0,(INDEX(Loads!$I$5:$I$115,$K31+1)-INDEX(Loads!$I$5:$I$115,$K31))/(INDEX(Loads!$G$5:$G$115,$K31+1)-INDEX(Loads!$G$5:$G$115,$K31))*($C31-INDEX(Loads!$G$5:$G$115,$K31))))</f>
        <v>-46415.744870466318</v>
      </c>
      <c r="N31" s="73">
        <f>IF(ISBLANK(INDEX(Loads!$J$5:$J$115,$K31)),"-",INDEX(Loads!$J$5:$J$115,$K31)+IF(NOT(ISERROR($J31)),0,(INDEX(Loads!$J$5:$J$115,$K31+1)-INDEX(Loads!$J$5:$J$115,$K31))/(INDEX(Loads!$G$5:$G$115,$K31+1)-INDEX(Loads!$G$5:$G$115,$K31))*($C31-INDEX(Loads!$G$5:$G$115,$K31))))</f>
        <v>1043140.2010362694</v>
      </c>
      <c r="O31" s="73">
        <f>IF(ISBLANK(INDEX(Loads!$K$5:$K$115,$K31)),"-",INDEX(Loads!$K$5:$K$115,$K31)+IF(NOT(ISERROR($J31)),0,(INDEX(Loads!$K$5:$K$115,$K31+1)-INDEX(Loads!$K$5:$K$115,$K31))/(INDEX(Loads!$G$5:$G$115,$K31+1)-INDEX(Loads!$G$5:$G$115,$K31))*($C31-INDEX(Loads!$G$5:$G$115,$K31))))</f>
        <v>18886.190880829014</v>
      </c>
      <c r="Q31" t="e">
        <f>MATCH($C31,Loads!$M$5:$M$115,0)</f>
        <v>#N/A</v>
      </c>
      <c r="R31">
        <f>MATCH($C31,Loads!$M$5:$M$115,1)</f>
        <v>93</v>
      </c>
      <c r="S31" s="73">
        <f>IF(ISBLANK(INDEX(Loads!$N$5:$N$115,$R31)),"-",INDEX(Loads!$N$5:$N$115,$K31)+IF(NOT(ISERROR($Q31)),0,(INDEX(Loads!$N$5:$N$115,$R31+1)-INDEX(Loads!$N$5:$N$115,$R31))/(INDEX(Loads!$M$5:$M$115,$R31+1)-INDEX(Loads!$M$5:$M$115,$R31))*($C31-INDEX(Loads!$M$5:$M$115,$R31))))</f>
        <v>-32301.730829015542</v>
      </c>
      <c r="T31" s="73">
        <f>IF(ISBLANK(INDEX(Loads!$O$5:$O$115,$R31)),"-",INDEX(Loads!$O$5:$O$115,$K31)+IF(NOT(ISERROR($Q31)),0,(INDEX(Loads!$O$5:$O$115,$R31+1)-INDEX(Loads!$O$5:$O$115,$R31))/(INDEX(Loads!$M$5:$M$115,$R31+1)-INDEX(Loads!$M$5:$M$115,$R31))*($C31-INDEX(Loads!$M$5:$M$115,$R31))))</f>
        <v>787437.38652849733</v>
      </c>
      <c r="U31" s="73">
        <f>IF(ISBLANK(INDEX(Loads!$P$5:$P$115,$R31)),"-",INDEX(Loads!$P$5:$P$115,$K31)+IF(NOT(ISERROR($Q31)),0,(INDEX(Loads!$P$5:$P$115,$R31+1)-INDEX(Loads!$P$5:$P$115,$R31))/(INDEX(Loads!$M$5:$M$115,$R31+1)-INDEX(Loads!$M$5:$M$115,$R31))*($C31-INDEX(Loads!$M$5:$M$115,$R31))))</f>
        <v>13989.773575129533</v>
      </c>
    </row>
    <row r="32" spans="3:21">
      <c r="C32" s="72">
        <f>Geometry!E41</f>
        <v>-47.8</v>
      </c>
      <c r="E32" s="62" t="e">
        <f>MATCH($C32,Loads!$C$5:$C$115,0)</f>
        <v>#N/A</v>
      </c>
      <c r="F32" s="62">
        <f>MATCH($C32,Loads!$C$5:$C$115,1)</f>
        <v>87</v>
      </c>
      <c r="G32" s="73" t="str">
        <f>IF(ISBLANK(INDEX(Loads!$D$5:$D$115,$F32)),"-",INDEX(Loads!$D$5:$D$115,$F32)+IF(NOT(ISERROR($E32)),0,(INDEX(Loads!$D$5:$D$115,$F32+1)-INDEX(Loads!$D$5:$D$115,$F32))/(INDEX(Loads!$C$5:$C$115,$F32+1)-INDEX(Loads!$C$5:$C$115,$F32))*($C32-INDEX(Loads!$C$5:$C$115,$F32))))</f>
        <v>-</v>
      </c>
      <c r="H32" s="73">
        <f>IF(ISBLANK(INDEX(Loads!$E$5:$E$115,$F32)),"-",INDEX(Loads!$E$5:$E$115,$F32)+IF(NOT(ISERROR($E32)),0,(INDEX(Loads!$E$5:$E$115,$F32+1)-INDEX(Loads!$E$5:$E$115,$F32))/(INDEX(Loads!$C$5:$C$115,$F32+1)-INDEX(Loads!$C$5:$C$115,$F32))*($C32-INDEX(Loads!$C$5:$C$115,$F32))))</f>
        <v>233758.29965753108</v>
      </c>
      <c r="J32" s="62" t="e">
        <f>MATCH($C32,Loads!$G$5:$G$115,0)</f>
        <v>#N/A</v>
      </c>
      <c r="K32" s="62">
        <f>MATCH($C32,Loads!$G$5:$G$115,1)</f>
        <v>87</v>
      </c>
      <c r="L32" s="73">
        <f>IF(ISBLANK(INDEX(Loads!$H$5:$H$115,$K32)),"-",INDEX(Loads!$H$5:$H$115,$K32)+IF(NOT(ISERROR($J32)),0,(INDEX(Loads!$H$5:$H$115,$K32+1)-INDEX(Loads!$H$5:$H$115,$K32))/(INDEX(Loads!$G$5:$G$115,$K32+1)-INDEX(Loads!$G$5:$G$115,$K32))*($C32-INDEX(Loads!$G$5:$G$115,$K32))))</f>
        <v>-44127.25</v>
      </c>
      <c r="M32" s="73">
        <f>IF(ISBLANK(INDEX(Loads!$I$5:$I$115,$K32)),"-",INDEX(Loads!$I$5:$I$115,$K32)+IF(NOT(ISERROR($J32)),0,(INDEX(Loads!$I$5:$I$115,$K32+1)-INDEX(Loads!$I$5:$I$115,$K32))/(INDEX(Loads!$G$5:$G$115,$K32+1)-INDEX(Loads!$G$5:$G$115,$K32))*($C32-INDEX(Loads!$G$5:$G$115,$K32))))</f>
        <v>-46415.88</v>
      </c>
      <c r="N32" s="73">
        <f>IF(ISBLANK(INDEX(Loads!$J$5:$J$115,$K32)),"-",INDEX(Loads!$J$5:$J$115,$K32)+IF(NOT(ISERROR($J32)),0,(INDEX(Loads!$J$5:$J$115,$K32+1)-INDEX(Loads!$J$5:$J$115,$K32))/(INDEX(Loads!$G$5:$G$115,$K32+1)-INDEX(Loads!$G$5:$G$115,$K32))*($C32-INDEX(Loads!$G$5:$G$115,$K32))))</f>
        <v>1115710.3435158173</v>
      </c>
      <c r="O32" s="73">
        <f>IF(ISBLANK(INDEX(Loads!$K$5:$K$115,$K32)),"-",INDEX(Loads!$K$5:$K$115,$K32)+IF(NOT(ISERROR($J32)),0,(INDEX(Loads!$K$5:$K$115,$K32+1)-INDEX(Loads!$K$5:$K$115,$K32))/(INDEX(Loads!$G$5:$G$115,$K32+1)-INDEX(Loads!$G$5:$G$115,$K32))*($C32-INDEX(Loads!$G$5:$G$115,$K32))))</f>
        <v>18197.142465779296</v>
      </c>
      <c r="Q32" t="e">
        <f>MATCH($C32,Loads!$M$5:$M$115,0)</f>
        <v>#N/A</v>
      </c>
      <c r="R32">
        <f>MATCH($C32,Loads!$M$5:$M$115,1)</f>
        <v>87</v>
      </c>
      <c r="S32" s="73">
        <f>IF(ISBLANK(INDEX(Loads!$N$5:$N$115,$R32)),"-",INDEX(Loads!$N$5:$N$115,$K32)+IF(NOT(ISERROR($Q32)),0,(INDEX(Loads!$N$5:$N$115,$R32+1)-INDEX(Loads!$N$5:$N$115,$R32))/(INDEX(Loads!$M$5:$M$115,$R32+1)-INDEX(Loads!$M$5:$M$115,$R32))*($C32-INDEX(Loads!$M$5:$M$115,$R32))))</f>
        <v>-32686.85</v>
      </c>
      <c r="T32" s="73">
        <f>IF(ISBLANK(INDEX(Loads!$O$5:$O$115,$R32)),"-",INDEX(Loads!$O$5:$O$115,$K32)+IF(NOT(ISERROR($Q32)),0,(INDEX(Loads!$O$5:$O$115,$R32+1)-INDEX(Loads!$O$5:$O$115,$R32))/(INDEX(Loads!$M$5:$M$115,$R32+1)-INDEX(Loads!$M$5:$M$115,$R32))*($C32-INDEX(Loads!$M$5:$M$115,$R32))))</f>
        <v>841643.45732784981</v>
      </c>
      <c r="U32" s="73">
        <f>IF(ISBLANK(INDEX(Loads!$P$5:$P$115,$R32)),"-",INDEX(Loads!$P$5:$P$115,$K32)+IF(NOT(ISERROR($Q32)),0,(INDEX(Loads!$P$5:$P$115,$R32+1)-INDEX(Loads!$P$5:$P$115,$R32))/(INDEX(Loads!$M$5:$M$115,$R32+1)-INDEX(Loads!$M$5:$M$115,$R32))*($C32-INDEX(Loads!$M$5:$M$115,$R32))))</f>
        <v>13258.93280956757</v>
      </c>
    </row>
    <row r="33" spans="3:21">
      <c r="C33" s="72">
        <f>Geometry!E42</f>
        <v>-51.8</v>
      </c>
      <c r="E33" s="62" t="e">
        <f>MATCH($C33,Loads!$C$5:$C$115,0)</f>
        <v>#N/A</v>
      </c>
      <c r="F33" s="62">
        <f>MATCH($C33,Loads!$C$5:$C$115,1)</f>
        <v>77</v>
      </c>
      <c r="G33" s="73" t="str">
        <f>IF(ISBLANK(INDEX(Loads!$D$5:$D$115,$F33)),"-",INDEX(Loads!$D$5:$D$115,$F33)+IF(NOT(ISERROR($E33)),0,(INDEX(Loads!$D$5:$D$115,$F33+1)-INDEX(Loads!$D$5:$D$115,$F33))/(INDEX(Loads!$C$5:$C$115,$F33+1)-INDEX(Loads!$C$5:$C$115,$F33))*($C33-INDEX(Loads!$C$5:$C$115,$F33))))</f>
        <v>-</v>
      </c>
      <c r="H33" s="73">
        <f>IF(ISBLANK(INDEX(Loads!$E$5:$E$115,$F33)),"-",INDEX(Loads!$E$5:$E$115,$F33)+IF(NOT(ISERROR($E33)),0,(INDEX(Loads!$E$5:$E$115,$F33+1)-INDEX(Loads!$E$5:$E$115,$F33))/(INDEX(Loads!$C$5:$C$115,$F33+1)-INDEX(Loads!$C$5:$C$115,$F33))*($C33-INDEX(Loads!$C$5:$C$115,$F33))))</f>
        <v>249622.27480808101</v>
      </c>
      <c r="J33" s="62" t="e">
        <f>MATCH($C33,Loads!$G$5:$G$115,0)</f>
        <v>#N/A</v>
      </c>
      <c r="K33" s="62">
        <f>MATCH($C33,Loads!$G$5:$G$115,1)</f>
        <v>77</v>
      </c>
      <c r="L33" s="73">
        <f>IF(ISBLANK(INDEX(Loads!$H$5:$H$115,$K33)),"-",INDEX(Loads!$H$5:$H$115,$K33)+IF(NOT(ISERROR($J33)),0,(INDEX(Loads!$H$5:$H$115,$K33+1)-INDEX(Loads!$H$5:$H$115,$K33))/(INDEX(Loads!$G$5:$G$115,$K33+1)-INDEX(Loads!$G$5:$G$115,$K33))*($C33-INDEX(Loads!$G$5:$G$115,$K33))))</f>
        <v>-44127.25</v>
      </c>
      <c r="M33" s="73">
        <f>IF(ISBLANK(INDEX(Loads!$I$5:$I$115,$K33)),"-",INDEX(Loads!$I$5:$I$115,$K33)+IF(NOT(ISERROR($J33)),0,(INDEX(Loads!$I$5:$I$115,$K33+1)-INDEX(Loads!$I$5:$I$115,$K33))/(INDEX(Loads!$G$5:$G$115,$K33+1)-INDEX(Loads!$G$5:$G$115,$K33))*($C33-INDEX(Loads!$G$5:$G$115,$K33))))</f>
        <v>-46415.88</v>
      </c>
      <c r="N33" s="73">
        <f>IF(ISBLANK(INDEX(Loads!$J$5:$J$115,$K33)),"-",INDEX(Loads!$J$5:$J$115,$K33)+IF(NOT(ISERROR($J33)),0,(INDEX(Loads!$J$5:$J$115,$K33+1)-INDEX(Loads!$J$5:$J$115,$K33))/(INDEX(Loads!$G$5:$G$115,$K33+1)-INDEX(Loads!$G$5:$G$115,$K33))*($C33-INDEX(Loads!$G$5:$G$115,$K33))))</f>
        <v>1183668.9294153289</v>
      </c>
      <c r="O33" s="73">
        <f>IF(ISBLANK(INDEX(Loads!$K$5:$K$115,$K33)),"-",INDEX(Loads!$K$5:$K$115,$K33)+IF(NOT(ISERROR($J33)),0,(INDEX(Loads!$K$5:$K$115,$K33+1)-INDEX(Loads!$K$5:$K$115,$K33))/(INDEX(Loads!$G$5:$G$115,$K33+1)-INDEX(Loads!$G$5:$G$115,$K33))*($C33-INDEX(Loads!$G$5:$G$115,$K33))))</f>
        <v>15415.16120908926</v>
      </c>
      <c r="Q33" t="e">
        <f>MATCH($C33,Loads!$M$5:$M$115,0)</f>
        <v>#N/A</v>
      </c>
      <c r="R33">
        <f>MATCH($C33,Loads!$M$5:$M$115,1)</f>
        <v>77</v>
      </c>
      <c r="S33" s="73">
        <f>IF(ISBLANK(INDEX(Loads!$N$5:$N$115,$R33)),"-",INDEX(Loads!$N$5:$N$115,$K33)+IF(NOT(ISERROR($Q33)),0,(INDEX(Loads!$N$5:$N$115,$R33+1)-INDEX(Loads!$N$5:$N$115,$R33))/(INDEX(Loads!$M$5:$M$115,$R33+1)-INDEX(Loads!$M$5:$M$115,$R33))*($C33-INDEX(Loads!$M$5:$M$115,$R33))))</f>
        <v>-32686.85</v>
      </c>
      <c r="T33" s="73">
        <f>IF(ISBLANK(INDEX(Loads!$O$5:$O$115,$R33)),"-",INDEX(Loads!$O$5:$O$115,$K33)+IF(NOT(ISERROR($Q33)),0,(INDEX(Loads!$O$5:$O$115,$R33+1)-INDEX(Loads!$O$5:$O$115,$R33))/(INDEX(Loads!$M$5:$M$115,$R33+1)-INDEX(Loads!$M$5:$M$115,$R33))*($C33-INDEX(Loads!$M$5:$M$115,$R33))))</f>
        <v>890307.21768614266</v>
      </c>
      <c r="U33" s="73">
        <f>IF(ISBLANK(INDEX(Loads!$P$5:$P$115,$R33)),"-",INDEX(Loads!$P$5:$P$115,$K33)+IF(NOT(ISERROR($Q33)),0,(INDEX(Loads!$P$5:$P$115,$R33+1)-INDEX(Loads!$P$5:$P$115,$R33))/(INDEX(Loads!$M$5:$M$115,$R33+1)-INDEX(Loads!$M$5:$M$115,$R33))*($C33-INDEX(Loads!$M$5:$M$115,$R33))))</f>
        <v>10752.099372226718</v>
      </c>
    </row>
    <row r="34" spans="3:21">
      <c r="C34" s="72">
        <f>Geometry!E43</f>
        <v>-55.8</v>
      </c>
      <c r="E34" s="62" t="e">
        <f>MATCH($C34,Loads!$C$5:$C$115,0)</f>
        <v>#N/A</v>
      </c>
      <c r="F34" s="62">
        <f>MATCH($C34,Loads!$C$5:$C$115,1)</f>
        <v>67</v>
      </c>
      <c r="G34" s="73" t="str">
        <f>IF(ISBLANK(INDEX(Loads!$D$5:$D$115,$F34)),"-",INDEX(Loads!$D$5:$D$115,$F34)+IF(NOT(ISERROR($E34)),0,(INDEX(Loads!$D$5:$D$115,$F34+1)-INDEX(Loads!$D$5:$D$115,$F34))/(INDEX(Loads!$C$5:$C$115,$F34+1)-INDEX(Loads!$C$5:$C$115,$F34))*($C34-INDEX(Loads!$C$5:$C$115,$F34))))</f>
        <v>-</v>
      </c>
      <c r="H34" s="73">
        <f>IF(ISBLANK(INDEX(Loads!$E$5:$E$115,$F34)),"-",INDEX(Loads!$E$5:$E$115,$F34)+IF(NOT(ISERROR($E34)),0,(INDEX(Loads!$E$5:$E$115,$F34+1)-INDEX(Loads!$E$5:$E$115,$F34))/(INDEX(Loads!$C$5:$C$115,$F34+1)-INDEX(Loads!$C$5:$C$115,$F34))*($C34-INDEX(Loads!$C$5:$C$115,$F34))))</f>
        <v>259785.63026882976</v>
      </c>
      <c r="J34" s="62" t="e">
        <f>MATCH($C34,Loads!$G$5:$G$115,0)</f>
        <v>#N/A</v>
      </c>
      <c r="K34" s="62">
        <f>MATCH($C34,Loads!$G$5:$G$115,1)</f>
        <v>67</v>
      </c>
      <c r="L34" s="73">
        <f>IF(ISBLANK(INDEX(Loads!$H$5:$H$115,$K34)),"-",INDEX(Loads!$H$5:$H$115,$K34)+IF(NOT(ISERROR($J34)),0,(INDEX(Loads!$H$5:$H$115,$K34+1)-INDEX(Loads!$H$5:$H$115,$K34))/(INDEX(Loads!$G$5:$G$115,$K34+1)-INDEX(Loads!$G$5:$G$115,$K34))*($C34-INDEX(Loads!$G$5:$G$115,$K34))))</f>
        <v>-44127.25</v>
      </c>
      <c r="M34" s="73">
        <f>IF(ISBLANK(INDEX(Loads!$I$5:$I$115,$K34)),"-",INDEX(Loads!$I$5:$I$115,$K34)+IF(NOT(ISERROR($J34)),0,(INDEX(Loads!$I$5:$I$115,$K34+1)-INDEX(Loads!$I$5:$I$115,$K34))/(INDEX(Loads!$G$5:$G$115,$K34+1)-INDEX(Loads!$G$5:$G$115,$K34))*($C34-INDEX(Loads!$G$5:$G$115,$K34))))</f>
        <v>-46415.88</v>
      </c>
      <c r="N34" s="73">
        <f>IF(ISBLANK(INDEX(Loads!$J$5:$J$115,$K34)),"-",INDEX(Loads!$J$5:$J$115,$K34)+IF(NOT(ISERROR($J34)),0,(INDEX(Loads!$J$5:$J$115,$K34+1)-INDEX(Loads!$J$5:$J$115,$K34))/(INDEX(Loads!$G$5:$G$115,$K34+1)-INDEX(Loads!$G$5:$G$115,$K34))*($C34-INDEX(Loads!$G$5:$G$115,$K34))))</f>
        <v>1239529.5273571687</v>
      </c>
      <c r="O34" s="73">
        <f>IF(ISBLANK(INDEX(Loads!$K$5:$K$115,$K34)),"-",INDEX(Loads!$K$5:$K$115,$K34)+IF(NOT(ISERROR($J34)),0,(INDEX(Loads!$K$5:$K$115,$K34+1)-INDEX(Loads!$K$5:$K$115,$K34))/(INDEX(Loads!$G$5:$G$115,$K34+1)-INDEX(Loads!$G$5:$G$115,$K34))*($C34-INDEX(Loads!$G$5:$G$115,$K34))))</f>
        <v>12147.713028911126</v>
      </c>
      <c r="Q34" t="e">
        <f>MATCH($C34,Loads!$M$5:$M$115,0)</f>
        <v>#N/A</v>
      </c>
      <c r="R34">
        <f>MATCH($C34,Loads!$M$5:$M$115,1)</f>
        <v>67</v>
      </c>
      <c r="S34" s="73">
        <f>IF(ISBLANK(INDEX(Loads!$N$5:$N$115,$R34)),"-",INDEX(Loads!$N$5:$N$115,$K34)+IF(NOT(ISERROR($Q34)),0,(INDEX(Loads!$N$5:$N$115,$R34+1)-INDEX(Loads!$N$5:$N$115,$R34))/(INDEX(Loads!$M$5:$M$115,$R34+1)-INDEX(Loads!$M$5:$M$115,$R34))*($C34-INDEX(Loads!$M$5:$M$115,$R34))))</f>
        <v>-32686.85</v>
      </c>
      <c r="T34" s="73">
        <f>IF(ISBLANK(INDEX(Loads!$O$5:$O$115,$R34)),"-",INDEX(Loads!$O$5:$O$115,$K34)+IF(NOT(ISERROR($Q34)),0,(INDEX(Loads!$O$5:$O$115,$R34+1)-INDEX(Loads!$O$5:$O$115,$R34))/(INDEX(Loads!$M$5:$M$115,$R34+1)-INDEX(Loads!$M$5:$M$115,$R34))*($C34-INDEX(Loads!$M$5:$M$115,$R34))))</f>
        <v>928203.33198422648</v>
      </c>
      <c r="U34" s="73">
        <f>IF(ISBLANK(INDEX(Loads!$P$5:$P$115,$R34)),"-",INDEX(Loads!$P$5:$P$115,$K34)+IF(NOT(ISERROR($Q34)),0,(INDEX(Loads!$P$5:$P$115,$R34+1)-INDEX(Loads!$P$5:$P$115,$R34))/(INDEX(Loads!$M$5:$M$115,$R34+1)-INDEX(Loads!$M$5:$M$115,$R34))*($C34-INDEX(Loads!$M$5:$M$115,$R34))))</f>
        <v>7891.7802888258975</v>
      </c>
    </row>
    <row r="35" spans="3:21">
      <c r="C35" s="72">
        <f>Geometry!E44</f>
        <v>-59.8</v>
      </c>
      <c r="E35" s="62" t="e">
        <f>MATCH($C35,Loads!$C$5:$C$115,0)</f>
        <v>#N/A</v>
      </c>
      <c r="F35" s="62">
        <f>MATCH($C35,Loads!$C$5:$C$115,1)</f>
        <v>57</v>
      </c>
      <c r="G35" s="73" t="str">
        <f>IF(ISBLANK(INDEX(Loads!$D$5:$D$115,$F35)),"-",INDEX(Loads!$D$5:$D$115,$F35)+IF(NOT(ISERROR($E35)),0,(INDEX(Loads!$D$5:$D$115,$F35+1)-INDEX(Loads!$D$5:$D$115,$F35))/(INDEX(Loads!$C$5:$C$115,$F35+1)-INDEX(Loads!$C$5:$C$115,$F35))*($C35-INDEX(Loads!$C$5:$C$115,$F35))))</f>
        <v>-</v>
      </c>
      <c r="H35" s="73">
        <f>IF(ISBLANK(INDEX(Loads!$E$5:$E$115,$F35)),"-",INDEX(Loads!$E$5:$E$115,$F35)+IF(NOT(ISERROR($E35)),0,(INDEX(Loads!$E$5:$E$115,$F35+1)-INDEX(Loads!$E$5:$E$115,$F35))/(INDEX(Loads!$C$5:$C$115,$F35+1)-INDEX(Loads!$C$5:$C$115,$F35))*($C35-INDEX(Loads!$C$5:$C$115,$F35))))</f>
        <v>261642.75065990779</v>
      </c>
      <c r="J35" s="62" t="e">
        <f>MATCH($C35,Loads!$G$5:$G$115,0)</f>
        <v>#N/A</v>
      </c>
      <c r="K35" s="62">
        <f>MATCH($C35,Loads!$G$5:$G$115,1)</f>
        <v>57</v>
      </c>
      <c r="L35" s="73">
        <f>IF(ISBLANK(INDEX(Loads!$H$5:$H$115,$K35)),"-",INDEX(Loads!$H$5:$H$115,$K35)+IF(NOT(ISERROR($J35)),0,(INDEX(Loads!$H$5:$H$115,$K35+1)-INDEX(Loads!$H$5:$H$115,$K35))/(INDEX(Loads!$G$5:$G$115,$K35+1)-INDEX(Loads!$G$5:$G$115,$K35))*($C35-INDEX(Loads!$G$5:$G$115,$K35))))</f>
        <v>-44127.25</v>
      </c>
      <c r="M35" s="73">
        <f>IF(ISBLANK(INDEX(Loads!$I$5:$I$115,$K35)),"-",INDEX(Loads!$I$5:$I$115,$K35)+IF(NOT(ISERROR($J35)),0,(INDEX(Loads!$I$5:$I$115,$K35+1)-INDEX(Loads!$I$5:$I$115,$K35))/(INDEX(Loads!$G$5:$G$115,$K35+1)-INDEX(Loads!$G$5:$G$115,$K35))*($C35-INDEX(Loads!$G$5:$G$115,$K35))))</f>
        <v>-46415.88</v>
      </c>
      <c r="N35" s="73">
        <f>IF(ISBLANK(INDEX(Loads!$J$5:$J$115,$K35)),"-",INDEX(Loads!$J$5:$J$115,$K35)+IF(NOT(ISERROR($J35)),0,(INDEX(Loads!$J$5:$J$115,$K35+1)-INDEX(Loads!$J$5:$J$115,$K35))/(INDEX(Loads!$G$5:$G$115,$K35+1)-INDEX(Loads!$G$5:$G$115,$K35))*($C35-INDEX(Loads!$G$5:$G$115,$K35))))</f>
        <v>1274076.5216994178</v>
      </c>
      <c r="O35" s="73">
        <f>IF(ISBLANK(INDEX(Loads!$K$5:$K$115,$K35)),"-",INDEX(Loads!$K$5:$K$115,$K35)+IF(NOT(ISERROR($J35)),0,(INDEX(Loads!$K$5:$K$115,$K35+1)-INDEX(Loads!$K$5:$K$115,$K35))/(INDEX(Loads!$G$5:$G$115,$K35+1)-INDEX(Loads!$G$5:$G$115,$K35))*($C35-INDEX(Loads!$G$5:$G$115,$K35))))</f>
        <v>-538.83041490815117</v>
      </c>
      <c r="Q35" t="e">
        <f>MATCH($C35,Loads!$M$5:$M$115,0)</f>
        <v>#N/A</v>
      </c>
      <c r="R35">
        <f>MATCH($C35,Loads!$M$5:$M$115,1)</f>
        <v>57</v>
      </c>
      <c r="S35" s="73">
        <f>IF(ISBLANK(INDEX(Loads!$N$5:$N$115,$R35)),"-",INDEX(Loads!$N$5:$N$115,$K35)+IF(NOT(ISERROR($Q35)),0,(INDEX(Loads!$N$5:$N$115,$R35+1)-INDEX(Loads!$N$5:$N$115,$R35))/(INDEX(Loads!$M$5:$M$115,$R35+1)-INDEX(Loads!$M$5:$M$115,$R35))*($C35-INDEX(Loads!$M$5:$M$115,$R35))))</f>
        <v>-32686.85</v>
      </c>
      <c r="T35" s="73">
        <f>IF(ISBLANK(INDEX(Loads!$O$5:$O$115,$R35)),"-",INDEX(Loads!$O$5:$O$115,$K35)+IF(NOT(ISERROR($Q35)),0,(INDEX(Loads!$O$5:$O$115,$R35+1)-INDEX(Loads!$O$5:$O$115,$R35))/(INDEX(Loads!$M$5:$M$115,$R35+1)-INDEX(Loads!$M$5:$M$115,$R35))*($C35-INDEX(Loads!$M$5:$M$115,$R35))))</f>
        <v>948491.56933419686</v>
      </c>
      <c r="U35" s="73">
        <f>IF(ISBLANK(INDEX(Loads!$P$5:$P$115,$R35)),"-",INDEX(Loads!$P$5:$P$115,$K35)+IF(NOT(ISERROR($Q35)),0,(INDEX(Loads!$P$5:$P$115,$R35+1)-INDEX(Loads!$P$5:$P$115,$R35))/(INDEX(Loads!$M$5:$M$115,$R35+1)-INDEX(Loads!$M$5:$M$115,$R35))*($C35-INDEX(Loads!$M$5:$M$115,$R35))))</f>
        <v>-1994.6627641984783</v>
      </c>
    </row>
    <row r="36" spans="3:21">
      <c r="C36" s="72">
        <f>Geometry!E45</f>
        <v>-63.8</v>
      </c>
      <c r="E36" s="62" t="e">
        <f>MATCH($C36,Loads!$C$5:$C$115,0)</f>
        <v>#N/A</v>
      </c>
      <c r="F36" s="62">
        <f>MATCH($C36,Loads!$C$5:$C$115,1)</f>
        <v>46</v>
      </c>
      <c r="G36" s="73" t="str">
        <f>IF(ISBLANK(INDEX(Loads!$D$5:$D$115,$F36)),"-",INDEX(Loads!$D$5:$D$115,$F36)+IF(NOT(ISERROR($E36)),0,(INDEX(Loads!$D$5:$D$115,$F36+1)-INDEX(Loads!$D$5:$D$115,$F36))/(INDEX(Loads!$C$5:$C$115,$F36+1)-INDEX(Loads!$C$5:$C$115,$F36))*($C36-INDEX(Loads!$C$5:$C$115,$F36))))</f>
        <v>-</v>
      </c>
      <c r="H36" s="73">
        <f>IF(ISBLANK(INDEX(Loads!$E$5:$E$115,$F36)),"-",INDEX(Loads!$E$5:$E$115,$F36)+IF(NOT(ISERROR($E36)),0,(INDEX(Loads!$E$5:$E$115,$F36+1)-INDEX(Loads!$E$5:$E$115,$F36))/(INDEX(Loads!$C$5:$C$115,$F36+1)-INDEX(Loads!$C$5:$C$115,$F36))*($C36-INDEX(Loads!$C$5:$C$115,$F36))))</f>
        <v>236041.59196259221</v>
      </c>
      <c r="J36" s="62" t="e">
        <f>MATCH($C36,Loads!$G$5:$G$115,0)</f>
        <v>#N/A</v>
      </c>
      <c r="K36" s="62">
        <f>MATCH($C36,Loads!$G$5:$G$115,1)</f>
        <v>46</v>
      </c>
      <c r="L36" s="73">
        <f>IF(ISBLANK(INDEX(Loads!$H$5:$H$115,$K36)),"-",INDEX(Loads!$H$5:$H$115,$K36)+IF(NOT(ISERROR($J36)),0,(INDEX(Loads!$H$5:$H$115,$K36+1)-INDEX(Loads!$H$5:$H$115,$K36))/(INDEX(Loads!$G$5:$G$115,$K36+1)-INDEX(Loads!$G$5:$G$115,$K36))*($C36-INDEX(Loads!$G$5:$G$115,$K36))))</f>
        <v>-44127.25</v>
      </c>
      <c r="M36" s="73">
        <f>IF(ISBLANK(INDEX(Loads!$I$5:$I$115,$K36)),"-",INDEX(Loads!$I$5:$I$115,$K36)+IF(NOT(ISERROR($J36)),0,(INDEX(Loads!$I$5:$I$115,$K36+1)-INDEX(Loads!$I$5:$I$115,$K36))/(INDEX(Loads!$G$5:$G$115,$K36+1)-INDEX(Loads!$G$5:$G$115,$K36))*($C36-INDEX(Loads!$G$5:$G$115,$K36))))</f>
        <v>-46415.88</v>
      </c>
      <c r="N36" s="73">
        <f>IF(ISBLANK(INDEX(Loads!$J$5:$J$115,$K36)),"-",INDEX(Loads!$J$5:$J$115,$K36)+IF(NOT(ISERROR($J36)),0,(INDEX(Loads!$J$5:$J$115,$K36+1)-INDEX(Loads!$J$5:$J$115,$K36))/(INDEX(Loads!$G$5:$G$115,$K36+1)-INDEX(Loads!$G$5:$G$115,$K36))*($C36-INDEX(Loads!$G$5:$G$115,$K36))))</f>
        <v>1213496.0006558846</v>
      </c>
      <c r="O36" s="73">
        <f>IF(ISBLANK(INDEX(Loads!$K$5:$K$115,$K36)),"-",INDEX(Loads!$K$5:$K$115,$K36)+IF(NOT(ISERROR($J36)),0,(INDEX(Loads!$K$5:$K$115,$K36+1)-INDEX(Loads!$K$5:$K$115,$K36))/(INDEX(Loads!$G$5:$G$115,$K36+1)-INDEX(Loads!$G$5:$G$115,$K36))*($C36-INDEX(Loads!$G$5:$G$115,$K36))))</f>
        <v>-31327.215654105592</v>
      </c>
      <c r="Q36" t="e">
        <f>MATCH($C36,Loads!$M$5:$M$115,0)</f>
        <v>#N/A</v>
      </c>
      <c r="R36">
        <f>MATCH($C36,Loads!$M$5:$M$115,1)</f>
        <v>46</v>
      </c>
      <c r="S36" s="73">
        <f>IF(ISBLANK(INDEX(Loads!$N$5:$N$115,$R36)),"-",INDEX(Loads!$N$5:$N$115,$K36)+IF(NOT(ISERROR($Q36)),0,(INDEX(Loads!$N$5:$N$115,$R36+1)-INDEX(Loads!$N$5:$N$115,$R36))/(INDEX(Loads!$M$5:$M$115,$R36+1)-INDEX(Loads!$M$5:$M$115,$R36))*($C36-INDEX(Loads!$M$5:$M$115,$R36))))</f>
        <v>-32686.85</v>
      </c>
      <c r="T36" s="73">
        <f>IF(ISBLANK(INDEX(Loads!$O$5:$O$115,$R36)),"-",INDEX(Loads!$O$5:$O$115,$K36)+IF(NOT(ISERROR($Q36)),0,(INDEX(Loads!$O$5:$O$115,$R36+1)-INDEX(Loads!$O$5:$O$115,$R36))/(INDEX(Loads!$M$5:$M$115,$R36+1)-INDEX(Loads!$M$5:$M$115,$R36))*($C36-INDEX(Loads!$M$5:$M$115,$R36))))</f>
        <v>897733.05471817835</v>
      </c>
      <c r="U36" s="73">
        <f>IF(ISBLANK(INDEX(Loads!$P$5:$P$115,$R36)),"-",INDEX(Loads!$P$5:$P$115,$K36)+IF(NOT(ISERROR($Q36)),0,(INDEX(Loads!$P$5:$P$115,$R36+1)-INDEX(Loads!$P$5:$P$115,$R36))/(INDEX(Loads!$M$5:$M$115,$R36+1)-INDEX(Loads!$M$5:$M$115,$R36))*($C36-INDEX(Loads!$M$5:$M$115,$R36))))</f>
        <v>-24559.171512446286</v>
      </c>
    </row>
    <row r="37" spans="3:21">
      <c r="C37" s="72">
        <f>Geometry!E46</f>
        <v>-67.8</v>
      </c>
      <c r="E37" s="62" t="e">
        <f>MATCH($C37,Loads!$C$5:$C$115,0)</f>
        <v>#N/A</v>
      </c>
      <c r="F37" s="62">
        <f>MATCH($C37,Loads!$C$5:$C$115,1)</f>
        <v>37</v>
      </c>
      <c r="G37" s="73" t="str">
        <f>IF(ISBLANK(INDEX(Loads!$D$5:$D$115,$F37)),"-",INDEX(Loads!$D$5:$D$115,$F37)+IF(NOT(ISERROR($E37)),0,(INDEX(Loads!$D$5:$D$115,$F37+1)-INDEX(Loads!$D$5:$D$115,$F37))/(INDEX(Loads!$C$5:$C$115,$F37+1)-INDEX(Loads!$C$5:$C$115,$F37))*($C37-INDEX(Loads!$C$5:$C$115,$F37))))</f>
        <v>-</v>
      </c>
      <c r="H37" s="73">
        <f>IF(ISBLANK(INDEX(Loads!$E$5:$E$115,$F37)),"-",INDEX(Loads!$E$5:$E$115,$F37)+IF(NOT(ISERROR($E37)),0,(INDEX(Loads!$E$5:$E$115,$F37+1)-INDEX(Loads!$E$5:$E$115,$F37))/(INDEX(Loads!$C$5:$C$115,$F37+1)-INDEX(Loads!$C$5:$C$115,$F37))*($C37-INDEX(Loads!$C$5:$C$115,$F37))))</f>
        <v>190776.97498506453</v>
      </c>
      <c r="J37" s="62" t="e">
        <f>MATCH($C37,Loads!$G$5:$G$115,0)</f>
        <v>#N/A</v>
      </c>
      <c r="K37" s="62">
        <f>MATCH($C37,Loads!$G$5:$G$115,1)</f>
        <v>37</v>
      </c>
      <c r="L37" s="73">
        <f>IF(ISBLANK(INDEX(Loads!$H$5:$H$115,$K37)),"-",INDEX(Loads!$H$5:$H$115,$K37)+IF(NOT(ISERROR($J37)),0,(INDEX(Loads!$H$5:$H$115,$K37+1)-INDEX(Loads!$H$5:$H$115,$K37))/(INDEX(Loads!$G$5:$G$115,$K37+1)-INDEX(Loads!$G$5:$G$115,$K37))*($C37-INDEX(Loads!$G$5:$G$115,$K37))))</f>
        <v>-44127.25</v>
      </c>
      <c r="M37" s="73">
        <f>IF(ISBLANK(INDEX(Loads!$I$5:$I$115,$K37)),"-",INDEX(Loads!$I$5:$I$115,$K37)+IF(NOT(ISERROR($J37)),0,(INDEX(Loads!$I$5:$I$115,$K37+1)-INDEX(Loads!$I$5:$I$115,$K37))/(INDEX(Loads!$G$5:$G$115,$K37+1)-INDEX(Loads!$G$5:$G$115,$K37))*($C37-INDEX(Loads!$G$5:$G$115,$K37))))</f>
        <v>-46415.88</v>
      </c>
      <c r="N37" s="73">
        <f>IF(ISBLANK(INDEX(Loads!$J$5:$J$115,$K37)),"-",INDEX(Loads!$J$5:$J$115,$K37)+IF(NOT(ISERROR($J37)),0,(INDEX(Loads!$J$5:$J$115,$K37+1)-INDEX(Loads!$J$5:$J$115,$K37))/(INDEX(Loads!$G$5:$G$115,$K37+1)-INDEX(Loads!$G$5:$G$115,$K37))*($C37-INDEX(Loads!$G$5:$G$115,$K37))))</f>
        <v>1041338.0864658654</v>
      </c>
      <c r="O37" s="73">
        <f>IF(ISBLANK(INDEX(Loads!$K$5:$K$115,$K37)),"-",INDEX(Loads!$K$5:$K$115,$K37)+IF(NOT(ISERROR($J37)),0,(INDEX(Loads!$K$5:$K$115,$K37+1)-INDEX(Loads!$K$5:$K$115,$K37))/(INDEX(Loads!$G$5:$G$115,$K37+1)-INDEX(Loads!$G$5:$G$115,$K37))*($C37-INDEX(Loads!$G$5:$G$115,$K37))))</f>
        <v>-56937.846853938376</v>
      </c>
      <c r="Q37" t="e">
        <f>MATCH($C37,Loads!$M$5:$M$115,0)</f>
        <v>#N/A</v>
      </c>
      <c r="R37">
        <f>MATCH($C37,Loads!$M$5:$M$115,1)</f>
        <v>37</v>
      </c>
      <c r="S37" s="73">
        <f>IF(ISBLANK(INDEX(Loads!$N$5:$N$115,$R37)),"-",INDEX(Loads!$N$5:$N$115,$K37)+IF(NOT(ISERROR($Q37)),0,(INDEX(Loads!$N$5:$N$115,$R37+1)-INDEX(Loads!$N$5:$N$115,$R37))/(INDEX(Loads!$M$5:$M$115,$R37+1)-INDEX(Loads!$M$5:$M$115,$R37))*($C37-INDEX(Loads!$M$5:$M$115,$R37))))</f>
        <v>-32686.85</v>
      </c>
      <c r="T37" s="73">
        <f>IF(ISBLANK(INDEX(Loads!$O$5:$O$115,$R37)),"-",INDEX(Loads!$O$5:$O$115,$K37)+IF(NOT(ISERROR($Q37)),0,(INDEX(Loads!$O$5:$O$115,$R37+1)-INDEX(Loads!$O$5:$O$115,$R37))/(INDEX(Loads!$M$5:$M$115,$R37+1)-INDEX(Loads!$M$5:$M$115,$R37))*($C37-INDEX(Loads!$M$5:$M$115,$R37))))</f>
        <v>765517.80742172746</v>
      </c>
      <c r="U37" s="73">
        <f>IF(ISBLANK(INDEX(Loads!$P$5:$P$115,$R37)),"-",INDEX(Loads!$P$5:$P$115,$K37)+IF(NOT(ISERROR($Q37)),0,(INDEX(Loads!$P$5:$P$115,$R37+1)-INDEX(Loads!$P$5:$P$115,$R37))/(INDEX(Loads!$M$5:$M$115,$R37+1)-INDEX(Loads!$M$5:$M$115,$R37))*($C37-INDEX(Loads!$M$5:$M$115,$R37))))</f>
        <v>-43026.663012388184</v>
      </c>
    </row>
    <row r="38" spans="3:21">
      <c r="C38" s="72">
        <f>Geometry!E47</f>
        <v>-71.8</v>
      </c>
      <c r="E38" s="62" t="e">
        <f>MATCH($C38,Loads!$C$5:$C$115,0)</f>
        <v>#N/A</v>
      </c>
      <c r="F38" s="62">
        <f>MATCH($C38,Loads!$C$5:$C$115,1)</f>
        <v>27</v>
      </c>
      <c r="G38" s="73" t="str">
        <f>IF(ISBLANK(INDEX(Loads!$D$5:$D$115,$F38)),"-",INDEX(Loads!$D$5:$D$115,$F38)+IF(NOT(ISERROR($E38)),0,(INDEX(Loads!$D$5:$D$115,$F38+1)-INDEX(Loads!$D$5:$D$115,$F38))/(INDEX(Loads!$C$5:$C$115,$F38+1)-INDEX(Loads!$C$5:$C$115,$F38))*($C38-INDEX(Loads!$C$5:$C$115,$F38))))</f>
        <v>-</v>
      </c>
      <c r="H38" s="73">
        <f>IF(ISBLANK(INDEX(Loads!$E$5:$E$115,$F38)),"-",INDEX(Loads!$E$5:$E$115,$F38)+IF(NOT(ISERROR($E38)),0,(INDEX(Loads!$E$5:$E$115,$F38+1)-INDEX(Loads!$E$5:$E$115,$F38))/(INDEX(Loads!$C$5:$C$115,$F38+1)-INDEX(Loads!$C$5:$C$115,$F38))*($C38-INDEX(Loads!$C$5:$C$115,$F38))))</f>
        <v>136128.43480649422</v>
      </c>
      <c r="J38" s="62" t="e">
        <f>MATCH($C38,Loads!$G$5:$G$115,0)</f>
        <v>#N/A</v>
      </c>
      <c r="K38" s="62">
        <f>MATCH($C38,Loads!$G$5:$G$115,1)</f>
        <v>27</v>
      </c>
      <c r="L38" s="73">
        <f>IF(ISBLANK(INDEX(Loads!$H$5:$H$115,$K38)),"-",INDEX(Loads!$H$5:$H$115,$K38)+IF(NOT(ISERROR($J38)),0,(INDEX(Loads!$H$5:$H$115,$K38+1)-INDEX(Loads!$H$5:$H$115,$K38))/(INDEX(Loads!$G$5:$G$115,$K38+1)-INDEX(Loads!$G$5:$G$115,$K38))*($C38-INDEX(Loads!$G$5:$G$115,$K38))))</f>
        <v>-44127.25</v>
      </c>
      <c r="M38" s="73">
        <f>IF(ISBLANK(INDEX(Loads!$I$5:$I$115,$K38)),"-",INDEX(Loads!$I$5:$I$115,$K38)+IF(NOT(ISERROR($J38)),0,(INDEX(Loads!$I$5:$I$115,$K38+1)-INDEX(Loads!$I$5:$I$115,$K38))/(INDEX(Loads!$G$5:$G$115,$K38+1)-INDEX(Loads!$G$5:$G$115,$K38))*($C38-INDEX(Loads!$G$5:$G$115,$K38))))</f>
        <v>-46415.88</v>
      </c>
      <c r="N38" s="73">
        <f>IF(ISBLANK(INDEX(Loads!$J$5:$J$115,$K38)),"-",INDEX(Loads!$J$5:$J$115,$K38)+IF(NOT(ISERROR($J38)),0,(INDEX(Loads!$J$5:$J$115,$K38+1)-INDEX(Loads!$J$5:$J$115,$K38))/(INDEX(Loads!$G$5:$G$115,$K38+1)-INDEX(Loads!$G$5:$G$115,$K38))*($C38-INDEX(Loads!$G$5:$G$115,$K38))))</f>
        <v>773726.84955037665</v>
      </c>
      <c r="O38" s="73">
        <f>IF(ISBLANK(INDEX(Loads!$K$5:$K$115,$K38)),"-",INDEX(Loads!$K$5:$K$115,$K38)+IF(NOT(ISERROR($J38)),0,(INDEX(Loads!$K$5:$K$115,$K38+1)-INDEX(Loads!$K$5:$K$115,$K38))/(INDEX(Loads!$G$5:$G$115,$K38+1)-INDEX(Loads!$G$5:$G$115,$K38))*($C38-INDEX(Loads!$G$5:$G$115,$K38))))</f>
        <v>-77835.010233601337</v>
      </c>
      <c r="Q38" t="e">
        <f>MATCH($C38,Loads!$M$5:$M$115,0)</f>
        <v>#N/A</v>
      </c>
      <c r="R38">
        <f>MATCH($C38,Loads!$M$5:$M$115,1)</f>
        <v>27</v>
      </c>
      <c r="S38" s="73">
        <f>IF(ISBLANK(INDEX(Loads!$N$5:$N$115,$R38)),"-",INDEX(Loads!$N$5:$N$115,$K38)+IF(NOT(ISERROR($Q38)),0,(INDEX(Loads!$N$5:$N$115,$R38+1)-INDEX(Loads!$N$5:$N$115,$R38))/(INDEX(Loads!$M$5:$M$115,$R38+1)-INDEX(Loads!$M$5:$M$115,$R38))*($C38-INDEX(Loads!$M$5:$M$115,$R38))))</f>
        <v>-32686.85</v>
      </c>
      <c r="T38" s="73">
        <f>IF(ISBLANK(INDEX(Loads!$O$5:$O$115,$R38)),"-",INDEX(Loads!$O$5:$O$115,$K38)+IF(NOT(ISERROR($Q38)),0,(INDEX(Loads!$O$5:$O$115,$R38+1)-INDEX(Loads!$O$5:$O$115,$R38))/(INDEX(Loads!$M$5:$M$115,$R38+1)-INDEX(Loads!$M$5:$M$115,$R38))*($C38-INDEX(Loads!$M$5:$M$115,$R38))))</f>
        <v>565734.43322448852</v>
      </c>
      <c r="U38" s="73">
        <f>IF(ISBLANK(INDEX(Loads!$P$5:$P$115,$R38)),"-",INDEX(Loads!$P$5:$P$115,$K38)+IF(NOT(ISERROR($Q38)),0,(INDEX(Loads!$P$5:$P$115,$R38+1)-INDEX(Loads!$P$5:$P$115,$R38))/(INDEX(Loads!$M$5:$M$115,$R38+1)-INDEX(Loads!$M$5:$M$115,$R38))*($C38-INDEX(Loads!$M$5:$M$115,$R38))))</f>
        <v>-57379.596121593342</v>
      </c>
    </row>
    <row r="39" spans="3:21">
      <c r="C39" s="72">
        <f>Geometry!E48</f>
        <v>-75.8</v>
      </c>
      <c r="E39" s="62" t="e">
        <f>MATCH($C39,Loads!$C$5:$C$115,0)</f>
        <v>#N/A</v>
      </c>
      <c r="F39" s="62">
        <f>MATCH($C39,Loads!$C$5:$C$115,1)</f>
        <v>17</v>
      </c>
      <c r="G39" s="73" t="str">
        <f>IF(ISBLANK(INDEX(Loads!$D$5:$D$115,$F39)),"-",INDEX(Loads!$D$5:$D$115,$F39)+IF(NOT(ISERROR($E39)),0,(INDEX(Loads!$D$5:$D$115,$F39+1)-INDEX(Loads!$D$5:$D$115,$F39))/(INDEX(Loads!$C$5:$C$115,$F39+1)-INDEX(Loads!$C$5:$C$115,$F39))*($C39-INDEX(Loads!$C$5:$C$115,$F39))))</f>
        <v>-</v>
      </c>
      <c r="H39" s="73">
        <f>IF(ISBLANK(INDEX(Loads!$E$5:$E$115,$F39)),"-",INDEX(Loads!$E$5:$E$115,$F39)+IF(NOT(ISERROR($E39)),0,(INDEX(Loads!$E$5:$E$115,$F39+1)-INDEX(Loads!$E$5:$E$115,$F39))/(INDEX(Loads!$C$5:$C$115,$F39+1)-INDEX(Loads!$C$5:$C$115,$F39))*($C39-INDEX(Loads!$C$5:$C$115,$F39))))</f>
        <v>77745.247241033037</v>
      </c>
      <c r="J39" s="62" t="e">
        <f>MATCH($C39,Loads!$G$5:$G$115,0)</f>
        <v>#N/A</v>
      </c>
      <c r="K39" s="62">
        <f>MATCH($C39,Loads!$G$5:$G$115,1)</f>
        <v>17</v>
      </c>
      <c r="L39" s="73">
        <f>IF(ISBLANK(INDEX(Loads!$H$5:$H$115,$K39)),"-",INDEX(Loads!$H$5:$H$115,$K39)+IF(NOT(ISERROR($J39)),0,(INDEX(Loads!$H$5:$H$115,$K39+1)-INDEX(Loads!$H$5:$H$115,$K39))/(INDEX(Loads!$G$5:$G$115,$K39+1)-INDEX(Loads!$G$5:$G$115,$K39))*($C39-INDEX(Loads!$G$5:$G$115,$K39))))</f>
        <v>-44127.25</v>
      </c>
      <c r="M39" s="73">
        <f>IF(ISBLANK(INDEX(Loads!$I$5:$I$115,$K39)),"-",INDEX(Loads!$I$5:$I$115,$K39)+IF(NOT(ISERROR($J39)),0,(INDEX(Loads!$I$5:$I$115,$K39+1)-INDEX(Loads!$I$5:$I$115,$K39))/(INDEX(Loads!$G$5:$G$115,$K39+1)-INDEX(Loads!$G$5:$G$115,$K39))*($C39-INDEX(Loads!$G$5:$G$115,$K39))))</f>
        <v>-46415.88</v>
      </c>
      <c r="N39" s="73">
        <f>IF(ISBLANK(INDEX(Loads!$J$5:$J$115,$K39)),"-",INDEX(Loads!$J$5:$J$115,$K39)+IF(NOT(ISERROR($J39)),0,(INDEX(Loads!$J$5:$J$115,$K39+1)-INDEX(Loads!$J$5:$J$115,$K39))/(INDEX(Loads!$G$5:$G$115,$K39+1)-INDEX(Loads!$G$5:$G$115,$K39))*($C39-INDEX(Loads!$G$5:$G$115,$K39))))</f>
        <v>441700.98015413393</v>
      </c>
      <c r="O39" s="73">
        <f>IF(ISBLANK(INDEX(Loads!$K$5:$K$115,$K39)),"-",INDEX(Loads!$K$5:$K$115,$K39)+IF(NOT(ISERROR($J39)),0,(INDEX(Loads!$K$5:$K$115,$K39+1)-INDEX(Loads!$K$5:$K$115,$K39))/(INDEX(Loads!$G$5:$G$115,$K39+1)-INDEX(Loads!$G$5:$G$115,$K39))*($C39-INDEX(Loads!$G$5:$G$115,$K39))))</f>
        <v>-86941.063303155868</v>
      </c>
      <c r="Q39" t="e">
        <f>MATCH($C39,Loads!$M$5:$M$115,0)</f>
        <v>#N/A</v>
      </c>
      <c r="R39">
        <f>MATCH($C39,Loads!$M$5:$M$115,1)</f>
        <v>17</v>
      </c>
      <c r="S39" s="73">
        <f>IF(ISBLANK(INDEX(Loads!$N$5:$N$115,$R39)),"-",INDEX(Loads!$N$5:$N$115,$K39)+IF(NOT(ISERROR($Q39)),0,(INDEX(Loads!$N$5:$N$115,$R39+1)-INDEX(Loads!$N$5:$N$115,$R39))/(INDEX(Loads!$M$5:$M$115,$R39+1)-INDEX(Loads!$M$5:$M$115,$R39))*($C39-INDEX(Loads!$M$5:$M$115,$R39))))</f>
        <v>-32686.85</v>
      </c>
      <c r="T39" s="73">
        <f>IF(ISBLANK(INDEX(Loads!$O$5:$O$115,$R39)),"-",INDEX(Loads!$O$5:$O$115,$K39)+IF(NOT(ISERROR($Q39)),0,(INDEX(Loads!$O$5:$O$115,$R39+1)-INDEX(Loads!$O$5:$O$115,$R39))/(INDEX(Loads!$M$5:$M$115,$R39+1)-INDEX(Loads!$M$5:$M$115,$R39))*($C39-INDEX(Loads!$M$5:$M$115,$R39))))</f>
        <v>322430.08098098874</v>
      </c>
      <c r="U39" s="73">
        <f>IF(ISBLANK(INDEX(Loads!$P$5:$P$115,$R39)),"-",INDEX(Loads!$P$5:$P$115,$K39)+IF(NOT(ISERROR($Q39)),0,(INDEX(Loads!$P$5:$P$115,$R39+1)-INDEX(Loads!$P$5:$P$115,$R39))/(INDEX(Loads!$M$5:$M$115,$R39+1)-INDEX(Loads!$M$5:$M$115,$R39))*($C39-INDEX(Loads!$M$5:$M$115,$R39))))</f>
        <v>-63391.030543772154</v>
      </c>
    </row>
    <row r="40" spans="3:21">
      <c r="C40" s="72">
        <f>Geometry!E49</f>
        <v>-79.73</v>
      </c>
      <c r="E40" s="62" t="e">
        <f>MATCH($C40,Loads!$C$5:$C$115,0)</f>
        <v>#N/A</v>
      </c>
      <c r="F40" s="62">
        <f>MATCH($C40,Loads!$C$5:$C$115,1)</f>
        <v>8</v>
      </c>
      <c r="G40" s="73" t="str">
        <f>IF(ISBLANK(INDEX(Loads!$D$5:$D$115,$F40)),"-",INDEX(Loads!$D$5:$D$115,$F40)+IF(NOT(ISERROR($E40)),0,(INDEX(Loads!$D$5:$D$115,$F40+1)-INDEX(Loads!$D$5:$D$115,$F40))/(INDEX(Loads!$C$5:$C$115,$F40+1)-INDEX(Loads!$C$5:$C$115,$F40))*($C40-INDEX(Loads!$C$5:$C$115,$F40))))</f>
        <v>-</v>
      </c>
      <c r="H40" s="73">
        <f>IF(ISBLANK(INDEX(Loads!$E$5:$E$115,$F40)),"-",INDEX(Loads!$E$5:$E$115,$F40)+IF(NOT(ISERROR($E40)),0,(INDEX(Loads!$E$5:$E$115,$F40+1)-INDEX(Loads!$E$5:$E$115,$F40))/(INDEX(Loads!$C$5:$C$115,$F40+1)-INDEX(Loads!$C$5:$C$115,$F40))*($C40-INDEX(Loads!$C$5:$C$115,$F40))))</f>
        <v>23477.239942706728</v>
      </c>
      <c r="J40" s="62" t="e">
        <f>MATCH($C40,Loads!$G$5:$G$115,0)</f>
        <v>#N/A</v>
      </c>
      <c r="K40" s="62">
        <f>MATCH($C40,Loads!$G$5:$G$115,1)</f>
        <v>8</v>
      </c>
      <c r="L40" s="73">
        <f>IF(ISBLANK(INDEX(Loads!$H$5:$H$115,$K40)),"-",INDEX(Loads!$H$5:$H$115,$K40)+IF(NOT(ISERROR($J40)),0,(INDEX(Loads!$H$5:$H$115,$K40+1)-INDEX(Loads!$H$5:$H$115,$K40))/(INDEX(Loads!$G$5:$G$115,$K40+1)-INDEX(Loads!$G$5:$G$115,$K40))*($C40-INDEX(Loads!$G$5:$G$115,$K40))))</f>
        <v>-44127.25</v>
      </c>
      <c r="M40" s="73">
        <f>IF(ISBLANK(INDEX(Loads!$I$5:$I$115,$K40)),"-",INDEX(Loads!$I$5:$I$115,$K40)+IF(NOT(ISERROR($J40)),0,(INDEX(Loads!$I$5:$I$115,$K40+1)-INDEX(Loads!$I$5:$I$115,$K40))/(INDEX(Loads!$G$5:$G$115,$K40+1)-INDEX(Loads!$G$5:$G$115,$K40))*($C40-INDEX(Loads!$G$5:$G$115,$K40))))</f>
        <v>-46415.88</v>
      </c>
      <c r="N40" s="73">
        <f>IF(ISBLANK(INDEX(Loads!$J$5:$J$115,$K40)),"-",INDEX(Loads!$J$5:$J$115,$K40)+IF(NOT(ISERROR($J40)),0,(INDEX(Loads!$J$5:$J$115,$K40+1)-INDEX(Loads!$J$5:$J$115,$K40))/(INDEX(Loads!$G$5:$G$115,$K40+1)-INDEX(Loads!$G$5:$G$115,$K40))*($C40-INDEX(Loads!$G$5:$G$115,$K40))))</f>
        <v>123021.35765570727</v>
      </c>
      <c r="O40" s="73">
        <f>IF(ISBLANK(INDEX(Loads!$K$5:$K$115,$K40)),"-",INDEX(Loads!$K$5:$K$115,$K40)+IF(NOT(ISERROR($J40)),0,(INDEX(Loads!$K$5:$K$115,$K40+1)-INDEX(Loads!$K$5:$K$115,$K40))/(INDEX(Loads!$G$5:$G$115,$K40+1)-INDEX(Loads!$G$5:$G$115,$K40))*($C40-INDEX(Loads!$G$5:$G$115,$K40))))</f>
        <v>-64497.252308779505</v>
      </c>
      <c r="Q40" t="e">
        <f>MATCH($C40,Loads!$M$5:$M$115,0)</f>
        <v>#N/A</v>
      </c>
      <c r="R40">
        <f>MATCH($C40,Loads!$M$5:$M$115,1)</f>
        <v>8</v>
      </c>
      <c r="S40" s="73">
        <f>IF(ISBLANK(INDEX(Loads!$N$5:$N$115,$R40)),"-",INDEX(Loads!$N$5:$N$115,$K40)+IF(NOT(ISERROR($Q40)),0,(INDEX(Loads!$N$5:$N$115,$R40+1)-INDEX(Loads!$N$5:$N$115,$R40))/(INDEX(Loads!$M$5:$M$115,$R40+1)-INDEX(Loads!$M$5:$M$115,$R40))*($C40-INDEX(Loads!$M$5:$M$115,$R40))))</f>
        <v>-32686.85</v>
      </c>
      <c r="T40" s="73">
        <f>IF(ISBLANK(INDEX(Loads!$O$5:$O$115,$R40)),"-",INDEX(Loads!$O$5:$O$115,$K40)+IF(NOT(ISERROR($Q40)),0,(INDEX(Loads!$O$5:$O$115,$R40+1)-INDEX(Loads!$O$5:$O$115,$R40))/(INDEX(Loads!$M$5:$M$115,$R40+1)-INDEX(Loads!$M$5:$M$115,$R40))*($C40-INDEX(Loads!$M$5:$M$115,$R40))))</f>
        <v>89905.50262368597</v>
      </c>
      <c r="U40" s="73">
        <f>IF(ISBLANK(INDEX(Loads!$P$5:$P$115,$R40)),"-",INDEX(Loads!$P$5:$P$115,$K40)+IF(NOT(ISERROR($Q40)),0,(INDEX(Loads!$P$5:$P$115,$R40+1)-INDEX(Loads!$P$5:$P$115,$R40))/(INDEX(Loads!$M$5:$M$115,$R40+1)-INDEX(Loads!$M$5:$M$115,$R40))*($C40-INDEX(Loads!$M$5:$M$115,$R40))))</f>
        <v>-47147.881020543216</v>
      </c>
    </row>
    <row r="41" spans="3:21">
      <c r="C41" s="72">
        <f>Geometry!E50</f>
        <v>-82.73</v>
      </c>
      <c r="E41" s="62" t="e">
        <f>MATCH($C41,Loads!$C$5:$C$115,0)</f>
        <v>#N/A</v>
      </c>
      <c r="F41" s="62" t="e">
        <f>MATCH($C41,Loads!$C$5:$C$115,1)</f>
        <v>#N/A</v>
      </c>
      <c r="G41" s="73" t="e">
        <f>IF(ISBLANK(INDEX(Loads!$D$5:$D$115,$F41)),"-",INDEX(Loads!$D$5:$D$115,$F41)+IF(NOT(ISERROR($E41)),0,(INDEX(Loads!$D$5:$D$115,$F41+1)-INDEX(Loads!$D$5:$D$115,$F41))/(INDEX(Loads!$C$5:$C$115,$F41+1)-INDEX(Loads!$C$5:$C$115,$F41))*($C41-INDEX(Loads!$C$5:$C$115,$F41))))</f>
        <v>#N/A</v>
      </c>
      <c r="H41" s="73" t="e">
        <f>IF(ISBLANK(INDEX(Loads!$E$5:$E$115,$F41)),"-",INDEX(Loads!$E$5:$E$115,$F41)+IF(NOT(ISERROR($E41)),0,(INDEX(Loads!$E$5:$E$115,$F41+1)-INDEX(Loads!$E$5:$E$115,$F41))/(INDEX(Loads!$C$5:$C$115,$F41+1)-INDEX(Loads!$C$5:$C$115,$F41))*($C41-INDEX(Loads!$C$5:$C$115,$F41))))</f>
        <v>#N/A</v>
      </c>
      <c r="J41" s="62" t="e">
        <f>MATCH($C41,Loads!$G$5:$G$115,0)</f>
        <v>#N/A</v>
      </c>
      <c r="K41" s="62">
        <f>MATCH($C41,Loads!$G$5:$G$115,1)</f>
        <v>1</v>
      </c>
      <c r="L41" s="73">
        <f>IF(ISBLANK(INDEX(Loads!$H$5:$H$115,$K41)),"-",INDEX(Loads!$H$5:$H$115,$K41)+IF(NOT(ISERROR($J41)),0,(INDEX(Loads!$H$5:$H$115,$K41+1)-INDEX(Loads!$H$5:$H$115,$K41))/(INDEX(Loads!$G$5:$G$115,$K41+1)-INDEX(Loads!$G$5:$G$115,$K41))*($C41-INDEX(Loads!$G$5:$G$115,$K41))))</f>
        <v>-44127.25</v>
      </c>
      <c r="M41" s="73">
        <f>IF(ISBLANK(INDEX(Loads!$I$5:$I$115,$K41)),"-",INDEX(Loads!$I$5:$I$115,$K41)+IF(NOT(ISERROR($J41)),0,(INDEX(Loads!$I$5:$I$115,$K41+1)-INDEX(Loads!$I$5:$I$115,$K41))/(INDEX(Loads!$G$5:$G$115,$K41+1)-INDEX(Loads!$G$5:$G$115,$K41))*($C41-INDEX(Loads!$G$5:$G$115,$K41))))</f>
        <v>-46415.88</v>
      </c>
      <c r="N41" s="73">
        <f>IF(ISBLANK(INDEX(Loads!$J$5:$J$115,$K41)),"-",INDEX(Loads!$J$5:$J$115,$K41)+IF(NOT(ISERROR($J41)),0,(INDEX(Loads!$J$5:$J$115,$K41+1)-INDEX(Loads!$J$5:$J$115,$K41))/(INDEX(Loads!$G$5:$G$115,$K41+1)-INDEX(Loads!$G$5:$G$115,$K41))*($C41-INDEX(Loads!$G$5:$G$115,$K41))))</f>
        <v>0.85810807700776814</v>
      </c>
      <c r="O41" s="73">
        <f>IF(ISBLANK(INDEX(Loads!$K$5:$K$115,$K41)),"-",INDEX(Loads!$K$5:$K$115,$K41)+IF(NOT(ISERROR($J41)),0,(INDEX(Loads!$K$5:$K$115,$K41+1)-INDEX(Loads!$K$5:$K$115,$K41))/(INDEX(Loads!$G$5:$G$115,$K41+1)-INDEX(Loads!$G$5:$G$115,$K41))*($C41-INDEX(Loads!$G$5:$G$115,$K41))))</f>
        <v>-8582.9213663624796</v>
      </c>
      <c r="Q41" t="e">
        <f>MATCH($C41,Loads!$M$5:$M$115,0)</f>
        <v>#N/A</v>
      </c>
      <c r="R41" t="e">
        <f>MATCH($C41,Loads!$M$5:$M$115,1)</f>
        <v>#N/A</v>
      </c>
      <c r="S41" s="73" t="e">
        <f>IF(ISBLANK(INDEX(Loads!$N$5:$N$115,$R41)),"-",INDEX(Loads!$N$5:$N$115,$K41)+IF(NOT(ISERROR($Q41)),0,(INDEX(Loads!$N$5:$N$115,$R41+1)-INDEX(Loads!$N$5:$N$115,$R41))/(INDEX(Loads!$M$5:$M$115,$R41+1)-INDEX(Loads!$M$5:$M$115,$R41))*($C41-INDEX(Loads!$M$5:$M$115,$R41))))</f>
        <v>#N/A</v>
      </c>
      <c r="T41" s="73" t="e">
        <f>IF(ISBLANK(INDEX(Loads!$O$5:$O$115,$R41)),"-",INDEX(Loads!$O$5:$O$115,$K41)+IF(NOT(ISERROR($Q41)),0,(INDEX(Loads!$O$5:$O$115,$R41+1)-INDEX(Loads!$O$5:$O$115,$R41))/(INDEX(Loads!$M$5:$M$115,$R41+1)-INDEX(Loads!$M$5:$M$115,$R41))*($C41-INDEX(Loads!$M$5:$M$115,$R41))))</f>
        <v>#N/A</v>
      </c>
      <c r="U41" s="73" t="e">
        <f>IF(ISBLANK(INDEX(Loads!$P$5:$P$115,$R41)),"-",INDEX(Loads!$P$5:$P$115,$K41)+IF(NOT(ISERROR($Q41)),0,(INDEX(Loads!$P$5:$P$115,$R41+1)-INDEX(Loads!$P$5:$P$115,$R41))/(INDEX(Loads!$M$5:$M$115,$R41+1)-INDEX(Loads!$M$5:$M$115,$R41))*($C41-INDEX(Loads!$M$5:$M$115,$R41))))</f>
        <v>#N/A</v>
      </c>
    </row>
    <row r="44" spans="3:21">
      <c r="C44" s="35" t="s">
        <v>213</v>
      </c>
      <c r="E44" s="62"/>
      <c r="F44" s="62"/>
      <c r="J44" s="62"/>
      <c r="K44" s="62"/>
    </row>
    <row r="45" spans="3:21">
      <c r="E45" s="62"/>
      <c r="F45" s="62"/>
      <c r="G45" s="305" t="s">
        <v>285</v>
      </c>
      <c r="H45" s="306"/>
      <c r="J45" s="62"/>
      <c r="K45" s="62"/>
      <c r="L45" s="305" t="s">
        <v>220</v>
      </c>
      <c r="M45" s="307"/>
      <c r="N45" s="307"/>
      <c r="O45" s="306"/>
      <c r="S45" s="305" t="s">
        <v>221</v>
      </c>
      <c r="T45" s="307"/>
      <c r="U45" s="306"/>
    </row>
    <row r="46" spans="3:21">
      <c r="C46" s="70" t="s">
        <v>335</v>
      </c>
      <c r="E46" s="62"/>
      <c r="F46" s="62"/>
      <c r="G46" s="70" t="s">
        <v>267</v>
      </c>
      <c r="H46" s="70" t="str">
        <f>IF(Control!$F$39="EC","m=4, N=1E7","m=5, N=1e7")</f>
        <v>m=4, N=1E7</v>
      </c>
      <c r="J46" s="62"/>
      <c r="K46" s="62"/>
      <c r="L46" s="70" t="s">
        <v>73</v>
      </c>
      <c r="M46" s="70" t="s">
        <v>74</v>
      </c>
      <c r="N46" s="70" t="s">
        <v>75</v>
      </c>
      <c r="O46" s="70" t="s">
        <v>76</v>
      </c>
      <c r="S46" s="70" t="s">
        <v>73</v>
      </c>
      <c r="T46" s="70" t="s">
        <v>75</v>
      </c>
      <c r="U46" s="70" t="s">
        <v>76</v>
      </c>
    </row>
    <row r="47" spans="3:21">
      <c r="C47" s="70" t="str">
        <f>"[m"&amp;Control!$F$7&amp;"]"</f>
        <v>[mLAT]</v>
      </c>
      <c r="E47" s="62"/>
      <c r="F47" s="62"/>
      <c r="G47" s="70" t="s">
        <v>20</v>
      </c>
      <c r="H47" s="70" t="s">
        <v>20</v>
      </c>
      <c r="J47" s="62"/>
      <c r="K47" s="62"/>
      <c r="L47" s="70" t="s">
        <v>268</v>
      </c>
      <c r="M47" s="70" t="s">
        <v>20</v>
      </c>
      <c r="N47" s="70" t="s">
        <v>20</v>
      </c>
      <c r="O47" s="70" t="s">
        <v>268</v>
      </c>
      <c r="S47" s="70" t="s">
        <v>268</v>
      </c>
      <c r="T47" s="70" t="s">
        <v>20</v>
      </c>
      <c r="U47" s="70" t="s">
        <v>268</v>
      </c>
    </row>
    <row r="48" spans="3:21">
      <c r="C48" s="72">
        <f>Geometry!AF11</f>
        <v>20</v>
      </c>
      <c r="E48" s="62" t="e">
        <f>MATCH($C48,Loads!$C$5:$C$115,0)</f>
        <v>#N/A</v>
      </c>
      <c r="F48" s="62">
        <f>MATCH($C48,Loads!$C$5:$C$115,1)</f>
        <v>110</v>
      </c>
      <c r="G48" s="73">
        <f>IF(ISBLANK(INDEX(Loads!$D$5:$D$115,$F48)),"-",INDEX(Loads!$D$5:$D$115,$F48)+IF(NOT(ISERROR($E48)),0,(INDEX(Loads!$D$5:$D$115,$F48+1)-INDEX(Loads!$D$5:$D$115,$F48))/(INDEX(Loads!$C$5:$C$115,$F48+1)-INDEX(Loads!$C$5:$C$115,$F48))*($C48-INDEX(Loads!$C$5:$C$115,$F48))))</f>
        <v>124508.13157894739</v>
      </c>
      <c r="H48" s="73">
        <f>IF(ISBLANK(INDEX(Loads!$E$5:$E$115,$F48)),"-",INDEX(Loads!$E$5:$E$115,$F48)+IF(NOT(ISERROR($E48)),0,(INDEX(Loads!$E$5:$E$115,$F48+1)-INDEX(Loads!$E$5:$E$115,$F48))/(INDEX(Loads!$C$5:$C$115,$F48+1)-INDEX(Loads!$C$5:$C$115,$F48))*($C48-INDEX(Loads!$C$5:$C$115,$F48))))</f>
        <v>119390.2105263158</v>
      </c>
      <c r="J48" s="62" t="e">
        <f>MATCH($C48,Loads!$G$5:$G$115,0)</f>
        <v>#N/A</v>
      </c>
      <c r="K48" s="62">
        <f>MATCH($C48,Loads!$G$5:$G$115,1)</f>
        <v>110</v>
      </c>
      <c r="L48" s="73">
        <f>IF(ISBLANK(INDEX(Loads!$H$5:$H$115,$K48)),"-",INDEX(Loads!$H$5:$H$115,$K48)+IF(NOT(ISERROR($J48)),0,(INDEX(Loads!$H$5:$H$115,$K48+1)-INDEX(Loads!$H$5:$H$115,$K48))/(INDEX(Loads!$G$5:$G$115,$K48+1)-INDEX(Loads!$G$5:$G$115,$K48))*($C48-INDEX(Loads!$G$5:$G$115,$K48))))</f>
        <v>-22921.78947368421</v>
      </c>
      <c r="M48" s="73">
        <f>IF(ISBLANK(INDEX(Loads!$I$5:$I$115,$K48)),"-",INDEX(Loads!$I$5:$I$115,$K48)+IF(NOT(ISERROR($J48)),0,(INDEX(Loads!$I$5:$I$115,$K48+1)-INDEX(Loads!$I$5:$I$115,$K48))/(INDEX(Loads!$G$5:$G$115,$K48+1)-INDEX(Loads!$G$5:$G$115,$K48))*($C48-INDEX(Loads!$G$5:$G$115,$K48))))</f>
        <v>-46310.159736842106</v>
      </c>
      <c r="N48" s="73">
        <f>IF(ISBLANK(INDEX(Loads!$J$5:$J$115,$K48)),"-",INDEX(Loads!$J$5:$J$115,$K48)+IF(NOT(ISERROR($J48)),0,(INDEX(Loads!$J$5:$J$115,$K48+1)-INDEX(Loads!$J$5:$J$115,$K48))/(INDEX(Loads!$G$5:$G$115,$K48+1)-INDEX(Loads!$G$5:$G$115,$K48))*($C48-INDEX(Loads!$G$5:$G$115,$K48))))</f>
        <v>508555.78684210527</v>
      </c>
      <c r="O48" s="73">
        <f>IF(ISBLANK(INDEX(Loads!$K$5:$K$115,$K48)),"-",INDEX(Loads!$K$5:$K$115,$K48)+IF(NOT(ISERROR($J48)),0,(INDEX(Loads!$K$5:$K$115,$K48+1)-INDEX(Loads!$K$5:$K$115,$K48))/(INDEX(Loads!$G$5:$G$115,$K48+1)-INDEX(Loads!$G$5:$G$115,$K48))*($C48-INDEX(Loads!$G$5:$G$115,$K48))))</f>
        <v>4539.3663684210524</v>
      </c>
      <c r="Q48" t="e">
        <f>MATCH($C48,Loads!$M$5:$M$115,0)</f>
        <v>#N/A</v>
      </c>
      <c r="R48">
        <f>MATCH($C48,Loads!$M$5:$M$115,1)</f>
        <v>110</v>
      </c>
      <c r="S48" s="73">
        <f>IF(ISBLANK(INDEX(Loads!$N$5:$N$115,$R48)),"-",INDEX(Loads!$N$5:$N$115,$K48)+IF(NOT(ISERROR($Q48)),0,(INDEX(Loads!$N$5:$N$115,$R48+1)-INDEX(Loads!$N$5:$N$115,$R48))/(INDEX(Loads!$M$5:$M$115,$R48+1)-INDEX(Loads!$M$5:$M$115,$R48))*($C48-INDEX(Loads!$M$5:$M$115,$R48))))</f>
        <v>-16979.102894736843</v>
      </c>
      <c r="T48" s="73">
        <f>IF(ISBLANK(INDEX(Loads!$O$5:$O$115,$R48)),"-",INDEX(Loads!$O$5:$O$115,$K48)+IF(NOT(ISERROR($Q48)),0,(INDEX(Loads!$O$5:$O$115,$R48+1)-INDEX(Loads!$O$5:$O$115,$R48))/(INDEX(Loads!$M$5:$M$115,$R48+1)-INDEX(Loads!$M$5:$M$115,$R48))*($C48-INDEX(Loads!$M$5:$M$115,$R48))))</f>
        <v>382844.86315789475</v>
      </c>
      <c r="U48" s="73">
        <f>IF(ISBLANK(INDEX(Loads!$P$5:$P$115,$R48)),"-",INDEX(Loads!$P$5:$P$115,$K48)+IF(NOT(ISERROR($Q48)),0,(INDEX(Loads!$P$5:$P$115,$R48+1)-INDEX(Loads!$P$5:$P$115,$R48))/(INDEX(Loads!$M$5:$M$115,$R48+1)-INDEX(Loads!$M$5:$M$115,$R48))*($C48-INDEX(Loads!$M$5:$M$115,$R48))))</f>
        <v>3362.4931842105266</v>
      </c>
    </row>
    <row r="49" spans="3:21">
      <c r="C49" s="72">
        <f>Geometry!AF12</f>
        <v>19.8</v>
      </c>
      <c r="E49" s="62" t="e">
        <f>MATCH($C49,Loads!$C$5:$C$115,0)</f>
        <v>#N/A</v>
      </c>
      <c r="F49" s="62">
        <f>MATCH($C49,Loads!$C$5:$C$115,1)</f>
        <v>110</v>
      </c>
      <c r="G49" s="73">
        <f>IF(ISBLANK(INDEX(Loads!$D$5:$D$115,$F49)),"-",INDEX(Loads!$D$5:$D$115,$F49)+IF(NOT(ISERROR($E49)),0,(INDEX(Loads!$D$5:$D$115,$F49+1)-INDEX(Loads!$D$5:$D$115,$F49))/(INDEX(Loads!$C$5:$C$115,$F49+1)-INDEX(Loads!$C$5:$C$115,$F49))*($C49-INDEX(Loads!$C$5:$C$115,$F49))))</f>
        <v>124706.60526315791</v>
      </c>
      <c r="H49" s="73">
        <f>IF(ISBLANK(INDEX(Loads!$E$5:$E$115,$F49)),"-",INDEX(Loads!$E$5:$E$115,$F49)+IF(NOT(ISERROR($E49)),0,(INDEX(Loads!$E$5:$E$115,$F49+1)-INDEX(Loads!$E$5:$E$115,$F49))/(INDEX(Loads!$C$5:$C$115,$F49+1)-INDEX(Loads!$C$5:$C$115,$F49))*($C49-INDEX(Loads!$C$5:$C$115,$F49))))</f>
        <v>119585.36842105264</v>
      </c>
      <c r="J49" s="62" t="e">
        <f>MATCH($C49,Loads!$G$5:$G$115,0)</f>
        <v>#N/A</v>
      </c>
      <c r="K49" s="62">
        <f>MATCH($C49,Loads!$G$5:$G$115,1)</f>
        <v>110</v>
      </c>
      <c r="L49" s="73">
        <f>IF(ISBLANK(INDEX(Loads!$H$5:$H$115,$K49)),"-",INDEX(Loads!$H$5:$H$115,$K49)+IF(NOT(ISERROR($J49)),0,(INDEX(Loads!$H$5:$H$115,$K49+1)-INDEX(Loads!$H$5:$H$115,$K49))/(INDEX(Loads!$G$5:$G$115,$K49+1)-INDEX(Loads!$G$5:$G$115,$K49))*($C49-INDEX(Loads!$G$5:$G$115,$K49))))</f>
        <v>-22999.331578947367</v>
      </c>
      <c r="M49" s="73">
        <f>IF(ISBLANK(INDEX(Loads!$I$5:$I$115,$K49)),"-",INDEX(Loads!$I$5:$I$115,$K49)+IF(NOT(ISERROR($J49)),0,(INDEX(Loads!$I$5:$I$115,$K49+1)-INDEX(Loads!$I$5:$I$115,$K49))/(INDEX(Loads!$G$5:$G$115,$K49+1)-INDEX(Loads!$G$5:$G$115,$K49))*($C49-INDEX(Loads!$G$5:$G$115,$K49))))</f>
        <v>-46310.69078947368</v>
      </c>
      <c r="N49" s="73">
        <f>IF(ISBLANK(INDEX(Loads!$J$5:$J$115,$K49)),"-",INDEX(Loads!$J$5:$J$115,$K49)+IF(NOT(ISERROR($J49)),0,(INDEX(Loads!$J$5:$J$115,$K49+1)-INDEX(Loads!$J$5:$J$115,$K49))/(INDEX(Loads!$G$5:$G$115,$K49+1)-INDEX(Loads!$G$5:$G$115,$K49))*($C49-INDEX(Loads!$G$5:$G$115,$K49))))</f>
        <v>509481.73947368417</v>
      </c>
      <c r="O49" s="73">
        <f>IF(ISBLANK(INDEX(Loads!$K$5:$K$115,$K49)),"-",INDEX(Loads!$K$5:$K$115,$K49)+IF(NOT(ISERROR($J49)),0,(INDEX(Loads!$K$5:$K$115,$K49+1)-INDEX(Loads!$K$5:$K$115,$K49))/(INDEX(Loads!$G$5:$G$115,$K49+1)-INDEX(Loads!$G$5:$G$115,$K49))*($C49-INDEX(Loads!$G$5:$G$115,$K49))))</f>
        <v>4545.8628947368416</v>
      </c>
      <c r="Q49" t="e">
        <f>MATCH($C49,Loads!$M$5:$M$115,0)</f>
        <v>#N/A</v>
      </c>
      <c r="R49">
        <f>MATCH($C49,Loads!$M$5:$M$115,1)</f>
        <v>110</v>
      </c>
      <c r="S49" s="73">
        <f>IF(ISBLANK(INDEX(Loads!$N$5:$N$115,$R49)),"-",INDEX(Loads!$N$5:$N$115,$K49)+IF(NOT(ISERROR($Q49)),0,(INDEX(Loads!$N$5:$N$115,$R49+1)-INDEX(Loads!$N$5:$N$115,$R49))/(INDEX(Loads!$M$5:$M$115,$R49+1)-INDEX(Loads!$M$5:$M$115,$R49))*($C49-INDEX(Loads!$M$5:$M$115,$R49))))</f>
        <v>-17036.541315789473</v>
      </c>
      <c r="T49" s="73">
        <f>IF(ISBLANK(INDEX(Loads!$O$5:$O$115,$R49)),"-",INDEX(Loads!$O$5:$O$115,$K49)+IF(NOT(ISERROR($Q49)),0,(INDEX(Loads!$O$5:$O$115,$R49+1)-INDEX(Loads!$O$5:$O$115,$R49))/(INDEX(Loads!$M$5:$M$115,$R49+1)-INDEX(Loads!$M$5:$M$115,$R49))*($C49-INDEX(Loads!$M$5:$M$115,$R49))))</f>
        <v>383542.21052631579</v>
      </c>
      <c r="U49" s="73">
        <f>IF(ISBLANK(INDEX(Loads!$P$5:$P$115,$R49)),"-",INDEX(Loads!$P$5:$P$115,$K49)+IF(NOT(ISERROR($Q49)),0,(INDEX(Loads!$P$5:$P$115,$R49+1)-INDEX(Loads!$P$5:$P$115,$R49))/(INDEX(Loads!$M$5:$M$115,$R49+1)-INDEX(Loads!$M$5:$M$115,$R49))*($C49-INDEX(Loads!$M$5:$M$115,$R49))))</f>
        <v>3367.305447368421</v>
      </c>
    </row>
    <row r="50" spans="3:21">
      <c r="C50" s="72">
        <f>Geometry!AF13</f>
        <v>20.8</v>
      </c>
      <c r="E50" s="62" t="e">
        <f>MATCH($C50,Loads!$C$5:$C$115,0)</f>
        <v>#N/A</v>
      </c>
      <c r="F50" s="62">
        <f>MATCH($C50,Loads!$C$5:$C$115,1)</f>
        <v>110</v>
      </c>
      <c r="G50" s="73">
        <f>IF(ISBLANK(INDEX(Loads!$D$5:$D$115,$F50)),"-",INDEX(Loads!$D$5:$D$115,$F50)+IF(NOT(ISERROR($E50)),0,(INDEX(Loads!$D$5:$D$115,$F50+1)-INDEX(Loads!$D$5:$D$115,$F50))/(INDEX(Loads!$C$5:$C$115,$F50+1)-INDEX(Loads!$C$5:$C$115,$F50))*($C50-INDEX(Loads!$C$5:$C$115,$F50))))</f>
        <v>123714.23684210528</v>
      </c>
      <c r="H50" s="73">
        <f>IF(ISBLANK(INDEX(Loads!$E$5:$E$115,$F50)),"-",INDEX(Loads!$E$5:$E$115,$F50)+IF(NOT(ISERROR($E50)),0,(INDEX(Loads!$E$5:$E$115,$F50+1)-INDEX(Loads!$E$5:$E$115,$F50))/(INDEX(Loads!$C$5:$C$115,$F50+1)-INDEX(Loads!$C$5:$C$115,$F50))*($C50-INDEX(Loads!$C$5:$C$115,$F50))))</f>
        <v>118609.57894736843</v>
      </c>
      <c r="J50" s="62" t="e">
        <f>MATCH($C50,Loads!$G$5:$G$115,0)</f>
        <v>#N/A</v>
      </c>
      <c r="K50" s="62">
        <f>MATCH($C50,Loads!$G$5:$G$115,1)</f>
        <v>110</v>
      </c>
      <c r="L50" s="73">
        <f>IF(ISBLANK(INDEX(Loads!$H$5:$H$115,$K50)),"-",INDEX(Loads!$H$5:$H$115,$K50)+IF(NOT(ISERROR($J50)),0,(INDEX(Loads!$H$5:$H$115,$K50+1)-INDEX(Loads!$H$5:$H$115,$K50))/(INDEX(Loads!$G$5:$G$115,$K50+1)-INDEX(Loads!$G$5:$G$115,$K50))*($C50-INDEX(Loads!$G$5:$G$115,$K50))))</f>
        <v>-22611.621052631577</v>
      </c>
      <c r="M50" s="73">
        <f>IF(ISBLANK(INDEX(Loads!$I$5:$I$115,$K50)),"-",INDEX(Loads!$I$5:$I$115,$K50)+IF(NOT(ISERROR($J50)),0,(INDEX(Loads!$I$5:$I$115,$K50+1)-INDEX(Loads!$I$5:$I$115,$K50))/(INDEX(Loads!$G$5:$G$115,$K50+1)-INDEX(Loads!$G$5:$G$115,$K50))*($C50-INDEX(Loads!$G$5:$G$115,$K50))))</f>
        <v>-46308.035526315783</v>
      </c>
      <c r="N50" s="73">
        <f>IF(ISBLANK(INDEX(Loads!$J$5:$J$115,$K50)),"-",INDEX(Loads!$J$5:$J$115,$K50)+IF(NOT(ISERROR($J50)),0,(INDEX(Loads!$J$5:$J$115,$K50+1)-INDEX(Loads!$J$5:$J$115,$K50))/(INDEX(Loads!$G$5:$G$115,$K50+1)-INDEX(Loads!$G$5:$G$115,$K50))*($C50-INDEX(Loads!$G$5:$G$115,$K50))))</f>
        <v>504851.97631578945</v>
      </c>
      <c r="O50" s="73">
        <f>IF(ISBLANK(INDEX(Loads!$K$5:$K$115,$K50)),"-",INDEX(Loads!$K$5:$K$115,$K50)+IF(NOT(ISERROR($J50)),0,(INDEX(Loads!$K$5:$K$115,$K50+1)-INDEX(Loads!$K$5:$K$115,$K50))/(INDEX(Loads!$G$5:$G$115,$K50+1)-INDEX(Loads!$G$5:$G$115,$K50))*($C50-INDEX(Loads!$G$5:$G$115,$K50))))</f>
        <v>4513.3802631578947</v>
      </c>
      <c r="Q50" t="e">
        <f>MATCH($C50,Loads!$M$5:$M$115,0)</f>
        <v>#N/A</v>
      </c>
      <c r="R50">
        <f>MATCH($C50,Loads!$M$5:$M$115,1)</f>
        <v>110</v>
      </c>
      <c r="S50" s="73">
        <f>IF(ISBLANK(INDEX(Loads!$N$5:$N$115,$R50)),"-",INDEX(Loads!$N$5:$N$115,$K50)+IF(NOT(ISERROR($Q50)),0,(INDEX(Loads!$N$5:$N$115,$R50+1)-INDEX(Loads!$N$5:$N$115,$R50))/(INDEX(Loads!$M$5:$M$115,$R50+1)-INDEX(Loads!$M$5:$M$115,$R50))*($C50-INDEX(Loads!$M$5:$M$115,$R50))))</f>
        <v>-16749.349210526318</v>
      </c>
      <c r="T50" s="73">
        <f>IF(ISBLANK(INDEX(Loads!$O$5:$O$115,$R50)),"-",INDEX(Loads!$O$5:$O$115,$K50)+IF(NOT(ISERROR($Q50)),0,(INDEX(Loads!$O$5:$O$115,$R50+1)-INDEX(Loads!$O$5:$O$115,$R50))/(INDEX(Loads!$M$5:$M$115,$R50+1)-INDEX(Loads!$M$5:$M$115,$R50))*($C50-INDEX(Loads!$M$5:$M$115,$R50))))</f>
        <v>380055.4736842105</v>
      </c>
      <c r="U50" s="73">
        <f>IF(ISBLANK(INDEX(Loads!$P$5:$P$115,$R50)),"-",INDEX(Loads!$P$5:$P$115,$K50)+IF(NOT(ISERROR($Q50)),0,(INDEX(Loads!$P$5:$P$115,$R50+1)-INDEX(Loads!$P$5:$P$115,$R50))/(INDEX(Loads!$M$5:$M$115,$R50+1)-INDEX(Loads!$M$5:$M$115,$R50))*($C50-INDEX(Loads!$M$5:$M$115,$R50))))</f>
        <v>3343.2441315789474</v>
      </c>
    </row>
    <row r="51" spans="3:21">
      <c r="C51" s="72">
        <f>Geometry!AF14</f>
        <v>20.8</v>
      </c>
      <c r="E51" s="62" t="e">
        <f>MATCH($C51,Loads!$C$5:$C$115,0)</f>
        <v>#N/A</v>
      </c>
      <c r="F51" s="62">
        <f>MATCH($C51,Loads!$C$5:$C$115,1)</f>
        <v>110</v>
      </c>
      <c r="G51" s="73">
        <f>IF(ISBLANK(INDEX(Loads!$D$5:$D$115,$F51)),"-",INDEX(Loads!$D$5:$D$115,$F51)+IF(NOT(ISERROR($E51)),0,(INDEX(Loads!$D$5:$D$115,$F51+1)-INDEX(Loads!$D$5:$D$115,$F51))/(INDEX(Loads!$C$5:$C$115,$F51+1)-INDEX(Loads!$C$5:$C$115,$F51))*($C51-INDEX(Loads!$C$5:$C$115,$F51))))</f>
        <v>123714.23684210528</v>
      </c>
      <c r="H51" s="73">
        <f>IF(ISBLANK(INDEX(Loads!$E$5:$E$115,$F51)),"-",INDEX(Loads!$E$5:$E$115,$F51)+IF(NOT(ISERROR($E51)),0,(INDEX(Loads!$E$5:$E$115,$F51+1)-INDEX(Loads!$E$5:$E$115,$F51))/(INDEX(Loads!$C$5:$C$115,$F51+1)-INDEX(Loads!$C$5:$C$115,$F51))*($C51-INDEX(Loads!$C$5:$C$115,$F51))))</f>
        <v>118609.57894736843</v>
      </c>
      <c r="J51" s="62" t="e">
        <f>MATCH($C51,Loads!$G$5:$G$115,0)</f>
        <v>#N/A</v>
      </c>
      <c r="K51" s="62">
        <f>MATCH($C51,Loads!$G$5:$G$115,1)</f>
        <v>110</v>
      </c>
      <c r="L51" s="73">
        <f>IF(ISBLANK(INDEX(Loads!$H$5:$H$115,$K51)),"-",INDEX(Loads!$H$5:$H$115,$K51)+IF(NOT(ISERROR($J51)),0,(INDEX(Loads!$H$5:$H$115,$K51+1)-INDEX(Loads!$H$5:$H$115,$K51))/(INDEX(Loads!$G$5:$G$115,$K51+1)-INDEX(Loads!$G$5:$G$115,$K51))*($C51-INDEX(Loads!$G$5:$G$115,$K51))))</f>
        <v>-22611.621052631577</v>
      </c>
      <c r="M51" s="73">
        <f>IF(ISBLANK(INDEX(Loads!$I$5:$I$115,$K51)),"-",INDEX(Loads!$I$5:$I$115,$K51)+IF(NOT(ISERROR($J51)),0,(INDEX(Loads!$I$5:$I$115,$K51+1)-INDEX(Loads!$I$5:$I$115,$K51))/(INDEX(Loads!$G$5:$G$115,$K51+1)-INDEX(Loads!$G$5:$G$115,$K51))*($C51-INDEX(Loads!$G$5:$G$115,$K51))))</f>
        <v>-46308.035526315783</v>
      </c>
      <c r="N51" s="73">
        <f>IF(ISBLANK(INDEX(Loads!$J$5:$J$115,$K51)),"-",INDEX(Loads!$J$5:$J$115,$K51)+IF(NOT(ISERROR($J51)),0,(INDEX(Loads!$J$5:$J$115,$K51+1)-INDEX(Loads!$J$5:$J$115,$K51))/(INDEX(Loads!$G$5:$G$115,$K51+1)-INDEX(Loads!$G$5:$G$115,$K51))*($C51-INDEX(Loads!$G$5:$G$115,$K51))))</f>
        <v>504851.97631578945</v>
      </c>
      <c r="O51" s="73">
        <f>IF(ISBLANK(INDEX(Loads!$K$5:$K$115,$K51)),"-",INDEX(Loads!$K$5:$K$115,$K51)+IF(NOT(ISERROR($J51)),0,(INDEX(Loads!$K$5:$K$115,$K51+1)-INDEX(Loads!$K$5:$K$115,$K51))/(INDEX(Loads!$G$5:$G$115,$K51+1)-INDEX(Loads!$G$5:$G$115,$K51))*($C51-INDEX(Loads!$G$5:$G$115,$K51))))</f>
        <v>4513.3802631578947</v>
      </c>
      <c r="Q51" t="e">
        <f>MATCH($C51,Loads!$M$5:$M$115,0)</f>
        <v>#N/A</v>
      </c>
      <c r="R51">
        <f>MATCH($C51,Loads!$M$5:$M$115,1)</f>
        <v>110</v>
      </c>
      <c r="S51" s="73">
        <f>IF(ISBLANK(INDEX(Loads!$N$5:$N$115,$R51)),"-",INDEX(Loads!$N$5:$N$115,$K51)+IF(NOT(ISERROR($Q51)),0,(INDEX(Loads!$N$5:$N$115,$R51+1)-INDEX(Loads!$N$5:$N$115,$R51))/(INDEX(Loads!$M$5:$M$115,$R51+1)-INDEX(Loads!$M$5:$M$115,$R51))*($C51-INDEX(Loads!$M$5:$M$115,$R51))))</f>
        <v>-16749.349210526318</v>
      </c>
      <c r="T51" s="73">
        <f>IF(ISBLANK(INDEX(Loads!$O$5:$O$115,$R51)),"-",INDEX(Loads!$O$5:$O$115,$K51)+IF(NOT(ISERROR($Q51)),0,(INDEX(Loads!$O$5:$O$115,$R51+1)-INDEX(Loads!$O$5:$O$115,$R51))/(INDEX(Loads!$M$5:$M$115,$R51+1)-INDEX(Loads!$M$5:$M$115,$R51))*($C51-INDEX(Loads!$M$5:$M$115,$R51))))</f>
        <v>380055.4736842105</v>
      </c>
      <c r="U51" s="73">
        <f>IF(ISBLANK(INDEX(Loads!$P$5:$P$115,$R51)),"-",INDEX(Loads!$P$5:$P$115,$K51)+IF(NOT(ISERROR($Q51)),0,(INDEX(Loads!$P$5:$P$115,$R51+1)-INDEX(Loads!$P$5:$P$115,$R51))/(INDEX(Loads!$M$5:$M$115,$R51+1)-INDEX(Loads!$M$5:$M$115,$R51))*($C51-INDEX(Loads!$M$5:$M$115,$R51))))</f>
        <v>3343.2441315789474</v>
      </c>
    </row>
    <row r="52" spans="3:21">
      <c r="C52" s="72">
        <f>Geometry!AF15</f>
        <v>20.100000000000001</v>
      </c>
      <c r="E52" s="62" t="e">
        <f>MATCH($C52,Loads!$C$5:$C$115,0)</f>
        <v>#N/A</v>
      </c>
      <c r="F52" s="62">
        <f>MATCH($C52,Loads!$C$5:$C$115,1)</f>
        <v>110</v>
      </c>
      <c r="G52" s="73">
        <f>IF(ISBLANK(INDEX(Loads!$D$5:$D$115,$F52)),"-",INDEX(Loads!$D$5:$D$115,$F52)+IF(NOT(ISERROR($E52)),0,(INDEX(Loads!$D$5:$D$115,$F52+1)-INDEX(Loads!$D$5:$D$115,$F52))/(INDEX(Loads!$C$5:$C$115,$F52+1)-INDEX(Loads!$C$5:$C$115,$F52))*($C52-INDEX(Loads!$C$5:$C$115,$F52))))</f>
        <v>124408.89473684212</v>
      </c>
      <c r="H52" s="73">
        <f>IF(ISBLANK(INDEX(Loads!$E$5:$E$115,$F52)),"-",INDEX(Loads!$E$5:$E$115,$F52)+IF(NOT(ISERROR($E52)),0,(INDEX(Loads!$E$5:$E$115,$F52+1)-INDEX(Loads!$E$5:$E$115,$F52))/(INDEX(Loads!$C$5:$C$115,$F52+1)-INDEX(Loads!$C$5:$C$115,$F52))*($C52-INDEX(Loads!$C$5:$C$115,$F52))))</f>
        <v>119292.63157894737</v>
      </c>
      <c r="J52" s="62" t="e">
        <f>MATCH($C52,Loads!$G$5:$G$115,0)</f>
        <v>#N/A</v>
      </c>
      <c r="K52" s="62">
        <f>MATCH($C52,Loads!$G$5:$G$115,1)</f>
        <v>110</v>
      </c>
      <c r="L52" s="73">
        <f>IF(ISBLANK(INDEX(Loads!$H$5:$H$115,$K52)),"-",INDEX(Loads!$H$5:$H$115,$K52)+IF(NOT(ISERROR($J52)),0,(INDEX(Loads!$H$5:$H$115,$K52+1)-INDEX(Loads!$H$5:$H$115,$K52))/(INDEX(Loads!$G$5:$G$115,$K52+1)-INDEX(Loads!$G$5:$G$115,$K52))*($C52-INDEX(Loads!$G$5:$G$115,$K52))))</f>
        <v>-22883.018421052628</v>
      </c>
      <c r="M52" s="73">
        <f>IF(ISBLANK(INDEX(Loads!$I$5:$I$115,$K52)),"-",INDEX(Loads!$I$5:$I$115,$K52)+IF(NOT(ISERROR($J52)),0,(INDEX(Loads!$I$5:$I$115,$K52+1)-INDEX(Loads!$I$5:$I$115,$K52))/(INDEX(Loads!$G$5:$G$115,$K52+1)-INDEX(Loads!$G$5:$G$115,$K52))*($C52-INDEX(Loads!$G$5:$G$115,$K52))))</f>
        <v>-46309.894210526312</v>
      </c>
      <c r="N52" s="73">
        <f>IF(ISBLANK(INDEX(Loads!$J$5:$J$115,$K52)),"-",INDEX(Loads!$J$5:$J$115,$K52)+IF(NOT(ISERROR($J52)),0,(INDEX(Loads!$J$5:$J$115,$K52+1)-INDEX(Loads!$J$5:$J$115,$K52))/(INDEX(Loads!$G$5:$G$115,$K52+1)-INDEX(Loads!$G$5:$G$115,$K52))*($C52-INDEX(Loads!$G$5:$G$115,$K52))))</f>
        <v>508092.81052631576</v>
      </c>
      <c r="O52" s="73">
        <f>IF(ISBLANK(INDEX(Loads!$K$5:$K$115,$K52)),"-",INDEX(Loads!$K$5:$K$115,$K52)+IF(NOT(ISERROR($J52)),0,(INDEX(Loads!$K$5:$K$115,$K52+1)-INDEX(Loads!$K$5:$K$115,$K52))/(INDEX(Loads!$G$5:$G$115,$K52+1)-INDEX(Loads!$G$5:$G$115,$K52))*($C52-INDEX(Loads!$G$5:$G$115,$K52))))</f>
        <v>4536.1181052631573</v>
      </c>
      <c r="Q52" t="e">
        <f>MATCH($C52,Loads!$M$5:$M$115,0)</f>
        <v>#N/A</v>
      </c>
      <c r="R52">
        <f>MATCH($C52,Loads!$M$5:$M$115,1)</f>
        <v>110</v>
      </c>
      <c r="S52" s="73">
        <f>IF(ISBLANK(INDEX(Loads!$N$5:$N$115,$R52)),"-",INDEX(Loads!$N$5:$N$115,$K52)+IF(NOT(ISERROR($Q52)),0,(INDEX(Loads!$N$5:$N$115,$R52+1)-INDEX(Loads!$N$5:$N$115,$R52))/(INDEX(Loads!$M$5:$M$115,$R52+1)-INDEX(Loads!$M$5:$M$115,$R52))*($C52-INDEX(Loads!$M$5:$M$115,$R52))))</f>
        <v>-16950.383684210527</v>
      </c>
      <c r="T52" s="73">
        <f>IF(ISBLANK(INDEX(Loads!$O$5:$O$115,$R52)),"-",INDEX(Loads!$O$5:$O$115,$K52)+IF(NOT(ISERROR($Q52)),0,(INDEX(Loads!$O$5:$O$115,$R52+1)-INDEX(Loads!$O$5:$O$115,$R52))/(INDEX(Loads!$M$5:$M$115,$R52+1)-INDEX(Loads!$M$5:$M$115,$R52))*($C52-INDEX(Loads!$M$5:$M$115,$R52))))</f>
        <v>382496.18947368418</v>
      </c>
      <c r="U52" s="73">
        <f>IF(ISBLANK(INDEX(Loads!$P$5:$P$115,$R52)),"-",INDEX(Loads!$P$5:$P$115,$K52)+IF(NOT(ISERROR($Q52)),0,(INDEX(Loads!$P$5:$P$115,$R52+1)-INDEX(Loads!$P$5:$P$115,$R52))/(INDEX(Loads!$M$5:$M$115,$R52+1)-INDEX(Loads!$M$5:$M$115,$R52))*($C52-INDEX(Loads!$M$5:$M$115,$R52))))</f>
        <v>3360.0870526315789</v>
      </c>
    </row>
    <row r="53" spans="3:21">
      <c r="C53" s="72">
        <f>Geometry!AF16</f>
        <v>11.8</v>
      </c>
      <c r="E53" s="62" t="e">
        <f>MATCH($C53,Loads!$C$5:$C$115,0)</f>
        <v>#N/A</v>
      </c>
      <c r="F53" s="62">
        <f>MATCH($C53,Loads!$C$5:$C$115,1)</f>
        <v>108</v>
      </c>
      <c r="G53" s="73">
        <f>IF(ISBLANK(INDEX(Loads!$D$5:$D$115,$F53)),"-",INDEX(Loads!$D$5:$D$115,$F53)+IF(NOT(ISERROR($E53)),0,(INDEX(Loads!$D$5:$D$115,$F53+1)-INDEX(Loads!$D$5:$D$115,$F53))/(INDEX(Loads!$C$5:$C$115,$F53+1)-INDEX(Loads!$C$5:$C$115,$F53))*($C53-INDEX(Loads!$C$5:$C$115,$F53))))</f>
        <v>132823.15384615384</v>
      </c>
      <c r="H53" s="73">
        <f>IF(ISBLANK(INDEX(Loads!$E$5:$E$115,$F53)),"-",INDEX(Loads!$E$5:$E$115,$F53)+IF(NOT(ISERROR($E53)),0,(INDEX(Loads!$E$5:$E$115,$F53+1)-INDEX(Loads!$E$5:$E$115,$F53))/(INDEX(Loads!$C$5:$C$115,$F53+1)-INDEX(Loads!$C$5:$C$115,$F53))*($C53-INDEX(Loads!$C$5:$C$115,$F53))))</f>
        <v>127481.3076923077</v>
      </c>
      <c r="J53" s="62" t="e">
        <f>MATCH($C53,Loads!$G$5:$G$115,0)</f>
        <v>#N/A</v>
      </c>
      <c r="K53" s="62">
        <f>MATCH($C53,Loads!$G$5:$G$115,1)</f>
        <v>108</v>
      </c>
      <c r="L53" s="73">
        <f>IF(ISBLANK(INDEX(Loads!$H$5:$H$115,$K53)),"-",INDEX(Loads!$H$5:$H$115,$K53)+IF(NOT(ISERROR($J53)),0,(INDEX(Loads!$H$5:$H$115,$K53+1)-INDEX(Loads!$H$5:$H$115,$K53))/(INDEX(Loads!$G$5:$G$115,$K53+1)-INDEX(Loads!$G$5:$G$115,$K53))*($C53-INDEX(Loads!$G$5:$G$115,$K53))))</f>
        <v>-25234.75564102564</v>
      </c>
      <c r="M53" s="73">
        <f>IF(ISBLANK(INDEX(Loads!$I$5:$I$115,$K53)),"-",INDEX(Loads!$I$5:$I$115,$K53)+IF(NOT(ISERROR($J53)),0,(INDEX(Loads!$I$5:$I$115,$K53+1)-INDEX(Loads!$I$5:$I$115,$K53))/(INDEX(Loads!$G$5:$G$115,$K53+1)-INDEX(Loads!$G$5:$G$115,$K53))*($C53-INDEX(Loads!$G$5:$G$115,$K53))))</f>
        <v>-46331.024615384616</v>
      </c>
      <c r="N53" s="73">
        <f>IF(ISBLANK(INDEX(Loads!$J$5:$J$115,$K53)),"-",INDEX(Loads!$J$5:$J$115,$K53)+IF(NOT(ISERROR($J53)),0,(INDEX(Loads!$J$5:$J$115,$K53+1)-INDEX(Loads!$J$5:$J$115,$K53))/(INDEX(Loads!$G$5:$G$115,$K53+1)-INDEX(Loads!$G$5:$G$115,$K53))*($C53-INDEX(Loads!$G$5:$G$115,$K53))))</f>
        <v>547461.52820512815</v>
      </c>
      <c r="O53" s="73">
        <f>IF(ISBLANK(INDEX(Loads!$K$5:$K$115,$K53)),"-",INDEX(Loads!$K$5:$K$115,$K53)+IF(NOT(ISERROR($J53)),0,(INDEX(Loads!$K$5:$K$115,$K53+1)-INDEX(Loads!$K$5:$K$115,$K53))/(INDEX(Loads!$G$5:$G$115,$K53+1)-INDEX(Loads!$G$5:$G$115,$K53))*($C53-INDEX(Loads!$G$5:$G$115,$K53))))</f>
        <v>7502.7876923076865</v>
      </c>
      <c r="Q53" t="e">
        <f>MATCH($C53,Loads!$M$5:$M$115,0)</f>
        <v>#N/A</v>
      </c>
      <c r="R53">
        <f>MATCH($C53,Loads!$M$5:$M$115,1)</f>
        <v>108</v>
      </c>
      <c r="S53" s="73">
        <f>IF(ISBLANK(INDEX(Loads!$N$5:$N$115,$R53)),"-",INDEX(Loads!$N$5:$N$115,$K53)+IF(NOT(ISERROR($Q53)),0,(INDEX(Loads!$N$5:$N$115,$R53+1)-INDEX(Loads!$N$5:$N$115,$R53))/(INDEX(Loads!$M$5:$M$115,$R53+1)-INDEX(Loads!$M$5:$M$115,$R53))*($C53-INDEX(Loads!$M$5:$M$115,$R53))))</f>
        <v>-18692.415897435898</v>
      </c>
      <c r="T53" s="73">
        <f>IF(ISBLANK(INDEX(Loads!$O$5:$O$115,$R53)),"-",INDEX(Loads!$O$5:$O$115,$K53)+IF(NOT(ISERROR($Q53)),0,(INDEX(Loads!$O$5:$O$115,$R53+1)-INDEX(Loads!$O$5:$O$115,$R53))/(INDEX(Loads!$M$5:$M$115,$R53+1)-INDEX(Loads!$M$5:$M$115,$R53))*($C53-INDEX(Loads!$M$5:$M$115,$R53))))</f>
        <v>412127.01794871793</v>
      </c>
      <c r="U53" s="73">
        <f>IF(ISBLANK(INDEX(Loads!$P$5:$P$115,$R53)),"-",INDEX(Loads!$P$5:$P$115,$K53)+IF(NOT(ISERROR($Q53)),0,(INDEX(Loads!$P$5:$P$115,$R53+1)-INDEX(Loads!$P$5:$P$115,$R53))/(INDEX(Loads!$M$5:$M$115,$R53+1)-INDEX(Loads!$M$5:$M$115,$R53))*($C53-INDEX(Loads!$M$5:$M$115,$R53))))</f>
        <v>5557.6203846153803</v>
      </c>
    </row>
    <row r="54" spans="3:21">
      <c r="C54" s="72">
        <f>Geometry!AF17</f>
        <v>11.2</v>
      </c>
      <c r="E54" s="62" t="e">
        <f>MATCH($C54,Loads!$C$5:$C$115,0)</f>
        <v>#N/A</v>
      </c>
      <c r="F54" s="62">
        <f>MATCH($C54,Loads!$C$5:$C$115,1)</f>
        <v>108</v>
      </c>
      <c r="G54" s="73">
        <f>IF(ISBLANK(INDEX(Loads!$D$5:$D$115,$F54)),"-",INDEX(Loads!$D$5:$D$115,$F54)+IF(NOT(ISERROR($E54)),0,(INDEX(Loads!$D$5:$D$115,$F54+1)-INDEX(Loads!$D$5:$D$115,$F54))/(INDEX(Loads!$C$5:$C$115,$F54+1)-INDEX(Loads!$C$5:$C$115,$F54))*($C54-INDEX(Loads!$C$5:$C$115,$F54))))</f>
        <v>133460.07692307691</v>
      </c>
      <c r="H54" s="73">
        <f>IF(ISBLANK(INDEX(Loads!$E$5:$E$115,$F54)),"-",INDEX(Loads!$E$5:$E$115,$F54)+IF(NOT(ISERROR($E54)),0,(INDEX(Loads!$E$5:$E$115,$F54+1)-INDEX(Loads!$E$5:$E$115,$F54))/(INDEX(Loads!$C$5:$C$115,$F54+1)-INDEX(Loads!$C$5:$C$115,$F54))*($C54-INDEX(Loads!$C$5:$C$115,$F54))))</f>
        <v>128089.15384615386</v>
      </c>
      <c r="J54" s="62" t="e">
        <f>MATCH($C54,Loads!$G$5:$G$115,0)</f>
        <v>#N/A</v>
      </c>
      <c r="K54" s="62">
        <f>MATCH($C54,Loads!$G$5:$G$115,1)</f>
        <v>108</v>
      </c>
      <c r="L54" s="73">
        <f>IF(ISBLANK(INDEX(Loads!$H$5:$H$115,$K54)),"-",INDEX(Loads!$H$5:$H$115,$K54)+IF(NOT(ISERROR($J54)),0,(INDEX(Loads!$H$5:$H$115,$K54+1)-INDEX(Loads!$H$5:$H$115,$K54))/(INDEX(Loads!$G$5:$G$115,$K54+1)-INDEX(Loads!$G$5:$G$115,$K54))*($C54-INDEX(Loads!$G$5:$G$115,$K54))))</f>
        <v>-25363.809487179486</v>
      </c>
      <c r="M54" s="73">
        <f>IF(ISBLANK(INDEX(Loads!$I$5:$I$115,$K54)),"-",INDEX(Loads!$I$5:$I$115,$K54)+IF(NOT(ISERROR($J54)),0,(INDEX(Loads!$I$5:$I$115,$K54+1)-INDEX(Loads!$I$5:$I$115,$K54))/(INDEX(Loads!$G$5:$G$115,$K54+1)-INDEX(Loads!$G$5:$G$115,$K54))*($C54-INDEX(Loads!$G$5:$G$115,$K54))))</f>
        <v>-46332.432307692303</v>
      </c>
      <c r="N54" s="73">
        <f>IF(ISBLANK(INDEX(Loads!$J$5:$J$115,$K54)),"-",INDEX(Loads!$J$5:$J$115,$K54)+IF(NOT(ISERROR($J54)),0,(INDEX(Loads!$J$5:$J$115,$K54+1)-INDEX(Loads!$J$5:$J$115,$K54))/(INDEX(Loads!$G$5:$G$115,$K54+1)-INDEX(Loads!$G$5:$G$115,$K54))*($C54-INDEX(Loads!$G$5:$G$115,$K54))))</f>
        <v>550365.49743589747</v>
      </c>
      <c r="O54" s="73">
        <f>IF(ISBLANK(INDEX(Loads!$K$5:$K$115,$K54)),"-",INDEX(Loads!$K$5:$K$115,$K54)+IF(NOT(ISERROR($J54)),0,(INDEX(Loads!$K$5:$K$115,$K54+1)-INDEX(Loads!$K$5:$K$115,$K54))/(INDEX(Loads!$G$5:$G$115,$K54+1)-INDEX(Loads!$G$5:$G$115,$K54))*($C54-INDEX(Loads!$G$5:$G$115,$K54))))</f>
        <v>8610.1578461538429</v>
      </c>
      <c r="Q54" t="e">
        <f>MATCH($C54,Loads!$M$5:$M$115,0)</f>
        <v>#N/A</v>
      </c>
      <c r="R54">
        <f>MATCH($C54,Loads!$M$5:$M$115,1)</f>
        <v>108</v>
      </c>
      <c r="S54" s="73">
        <f>IF(ISBLANK(INDEX(Loads!$N$5:$N$115,$R54)),"-",INDEX(Loads!$N$5:$N$115,$K54)+IF(NOT(ISERROR($Q54)),0,(INDEX(Loads!$N$5:$N$115,$R54+1)-INDEX(Loads!$N$5:$N$115,$R54))/(INDEX(Loads!$M$5:$M$115,$R54+1)-INDEX(Loads!$M$5:$M$115,$R54))*($C54-INDEX(Loads!$M$5:$M$115,$R54))))</f>
        <v>-18788.01128205128</v>
      </c>
      <c r="T54" s="73">
        <f>IF(ISBLANK(INDEX(Loads!$O$5:$O$115,$R54)),"-",INDEX(Loads!$O$5:$O$115,$K54)+IF(NOT(ISERROR($Q54)),0,(INDEX(Loads!$O$5:$O$115,$R54+1)-INDEX(Loads!$O$5:$O$115,$R54))/(INDEX(Loads!$M$5:$M$115,$R54+1)-INDEX(Loads!$M$5:$M$115,$R54))*($C54-INDEX(Loads!$M$5:$M$115,$R54))))</f>
        <v>414312.52564102563</v>
      </c>
      <c r="U54" s="73">
        <f>IF(ISBLANK(INDEX(Loads!$P$5:$P$115,$R54)),"-",INDEX(Loads!$P$5:$P$115,$K54)+IF(NOT(ISERROR($Q54)),0,(INDEX(Loads!$P$5:$P$115,$R54+1)-INDEX(Loads!$P$5:$P$115,$R54))/(INDEX(Loads!$M$5:$M$115,$R54+1)-INDEX(Loads!$M$5:$M$115,$R54))*($C54-INDEX(Loads!$M$5:$M$115,$R54))))</f>
        <v>6377.8946923076892</v>
      </c>
    </row>
    <row r="55" spans="3:21">
      <c r="C55" s="72">
        <f>Geometry!AF18</f>
        <v>9.0399999999999991</v>
      </c>
      <c r="E55" s="62" t="e">
        <f>MATCH($C55,Loads!$C$5:$C$115,0)</f>
        <v>#N/A</v>
      </c>
      <c r="F55" s="62">
        <f>MATCH($C55,Loads!$C$5:$C$115,1)</f>
        <v>107</v>
      </c>
      <c r="G55" s="73">
        <f>IF(ISBLANK(INDEX(Loads!$D$5:$D$115,$F55)),"-",INDEX(Loads!$D$5:$D$115,$F55)+IF(NOT(ISERROR($E55)),0,(INDEX(Loads!$D$5:$D$115,$F55+1)-INDEX(Loads!$D$5:$D$115,$F55))/(INDEX(Loads!$C$5:$C$115,$F55+1)-INDEX(Loads!$C$5:$C$115,$F55))*($C55-INDEX(Loads!$C$5:$C$115,$F55))))</f>
        <v>135765.8052631579</v>
      </c>
      <c r="H55" s="73">
        <f>IF(ISBLANK(INDEX(Loads!$E$5:$E$115,$F55)),"-",INDEX(Loads!$E$5:$E$115,$F55)+IF(NOT(ISERROR($E55)),0,(INDEX(Loads!$E$5:$E$115,$F55+1)-INDEX(Loads!$E$5:$E$115,$F55))/(INDEX(Loads!$C$5:$C$115,$F55+1)-INDEX(Loads!$C$5:$C$115,$F55))*($C55-INDEX(Loads!$C$5:$C$115,$F55))))</f>
        <v>130287.4105263158</v>
      </c>
      <c r="J55" s="62" t="e">
        <f>MATCH($C55,Loads!$G$5:$G$115,0)</f>
        <v>#N/A</v>
      </c>
      <c r="K55" s="62">
        <f>MATCH($C55,Loads!$G$5:$G$115,1)</f>
        <v>107</v>
      </c>
      <c r="L55" s="73">
        <f>IF(ISBLANK(INDEX(Loads!$H$5:$H$115,$K55)),"-",INDEX(Loads!$H$5:$H$115,$K55)+IF(NOT(ISERROR($J55)),0,(INDEX(Loads!$H$5:$H$115,$K55+1)-INDEX(Loads!$H$5:$H$115,$K55))/(INDEX(Loads!$G$5:$G$115,$K55+1)-INDEX(Loads!$G$5:$G$115,$K55))*($C55-INDEX(Loads!$G$5:$G$115,$K55))))</f>
        <v>-25885.866684210523</v>
      </c>
      <c r="M55" s="73">
        <f>IF(ISBLANK(INDEX(Loads!$I$5:$I$115,$K55)),"-",INDEX(Loads!$I$5:$I$115,$K55)+IF(NOT(ISERROR($J55)),0,(INDEX(Loads!$I$5:$I$115,$K55+1)-INDEX(Loads!$I$5:$I$115,$K55))/(INDEX(Loads!$G$5:$G$115,$K55+1)-INDEX(Loads!$G$5:$G$115,$K55))*($C55-INDEX(Loads!$G$5:$G$115,$K55))))</f>
        <v>-46337.463368421049</v>
      </c>
      <c r="N55" s="73">
        <f>IF(ISBLANK(INDEX(Loads!$J$5:$J$115,$K55)),"-",INDEX(Loads!$J$5:$J$115,$K55)+IF(NOT(ISERROR($J55)),0,(INDEX(Loads!$J$5:$J$115,$K55+1)-INDEX(Loads!$J$5:$J$115,$K55))/(INDEX(Loads!$G$5:$G$115,$K55+1)-INDEX(Loads!$G$5:$G$115,$K55))*($C55-INDEX(Loads!$G$5:$G$115,$K55))))</f>
        <v>560817.93210526323</v>
      </c>
      <c r="O55" s="73">
        <f>IF(ISBLANK(INDEX(Loads!$K$5:$K$115,$K55)),"-",INDEX(Loads!$K$5:$K$115,$K55)+IF(NOT(ISERROR($J55)),0,(INDEX(Loads!$K$5:$K$115,$K55+1)-INDEX(Loads!$K$5:$K$115,$K55))/(INDEX(Loads!$G$5:$G$115,$K55+1)-INDEX(Loads!$G$5:$G$115,$K55))*($C55-INDEX(Loads!$G$5:$G$115,$K55))))</f>
        <v>12080.739263157895</v>
      </c>
      <c r="Q55" t="e">
        <f>MATCH($C55,Loads!$M$5:$M$115,0)</f>
        <v>#N/A</v>
      </c>
      <c r="R55">
        <f>MATCH($C55,Loads!$M$5:$M$115,1)</f>
        <v>107</v>
      </c>
      <c r="S55" s="73">
        <f>IF(ISBLANK(INDEX(Loads!$N$5:$N$115,$R55)),"-",INDEX(Loads!$N$5:$N$115,$K55)+IF(NOT(ISERROR($Q55)),0,(INDEX(Loads!$N$5:$N$115,$R55+1)-INDEX(Loads!$N$5:$N$115,$R55))/(INDEX(Loads!$M$5:$M$115,$R55+1)-INDEX(Loads!$M$5:$M$115,$R55))*($C55-INDEX(Loads!$M$5:$M$115,$R55))))</f>
        <v>-19174.719578947366</v>
      </c>
      <c r="T55" s="73">
        <f>IF(ISBLANK(INDEX(Loads!$O$5:$O$115,$R55)),"-",INDEX(Loads!$O$5:$O$115,$K55)+IF(NOT(ISERROR($Q55)),0,(INDEX(Loads!$O$5:$O$115,$R55+1)-INDEX(Loads!$O$5:$O$115,$R55))/(INDEX(Loads!$M$5:$M$115,$R55+1)-INDEX(Loads!$M$5:$M$115,$R55))*($C55-INDEX(Loads!$M$5:$M$115,$R55))))</f>
        <v>422179.37842105259</v>
      </c>
      <c r="U55" s="73">
        <f>IF(ISBLANK(INDEX(Loads!$P$5:$P$115,$R55)),"-",INDEX(Loads!$P$5:$P$115,$K55)+IF(NOT(ISERROR($Q55)),0,(INDEX(Loads!$P$5:$P$115,$R55+1)-INDEX(Loads!$P$5:$P$115,$R55))/(INDEX(Loads!$M$5:$M$115,$R55+1)-INDEX(Loads!$M$5:$M$115,$R55))*($C55-INDEX(Loads!$M$5:$M$115,$R55))))</f>
        <v>8948.6959105263159</v>
      </c>
    </row>
    <row r="56" spans="3:21">
      <c r="C56" s="72">
        <f>Geometry!AF19</f>
        <v>6</v>
      </c>
      <c r="E56" s="62" t="e">
        <f>MATCH($C56,Loads!$C$5:$C$115,0)</f>
        <v>#N/A</v>
      </c>
      <c r="F56" s="62">
        <f>MATCH($C56,Loads!$C$5:$C$115,1)</f>
        <v>107</v>
      </c>
      <c r="G56" s="73">
        <f>IF(ISBLANK(INDEX(Loads!$D$5:$D$115,$F56)),"-",INDEX(Loads!$D$5:$D$115,$F56)+IF(NOT(ISERROR($E56)),0,(INDEX(Loads!$D$5:$D$115,$F56+1)-INDEX(Loads!$D$5:$D$115,$F56))/(INDEX(Loads!$C$5:$C$115,$F56+1)-INDEX(Loads!$C$5:$C$115,$F56))*($C56-INDEX(Loads!$C$5:$C$115,$F56))))</f>
        <v>139142.60526315789</v>
      </c>
      <c r="H56" s="73">
        <f>IF(ISBLANK(INDEX(Loads!$E$5:$E$115,$F56)),"-",INDEX(Loads!$E$5:$E$115,$F56)+IF(NOT(ISERROR($E56)),0,(INDEX(Loads!$E$5:$E$115,$F56+1)-INDEX(Loads!$E$5:$E$115,$F56))/(INDEX(Loads!$C$5:$C$115,$F56+1)-INDEX(Loads!$C$5:$C$115,$F56))*($C56-INDEX(Loads!$C$5:$C$115,$F56))))</f>
        <v>133484.21052631579</v>
      </c>
      <c r="J56" s="62" t="e">
        <f>MATCH($C56,Loads!$G$5:$G$115,0)</f>
        <v>#N/A</v>
      </c>
      <c r="K56" s="62">
        <f>MATCH($C56,Loads!$G$5:$G$115,1)</f>
        <v>107</v>
      </c>
      <c r="L56" s="73">
        <f>IF(ISBLANK(INDEX(Loads!$H$5:$H$115,$K56)),"-",INDEX(Loads!$H$5:$H$115,$K56)+IF(NOT(ISERROR($J56)),0,(INDEX(Loads!$H$5:$H$115,$K56+1)-INDEX(Loads!$H$5:$H$115,$K56))/(INDEX(Loads!$G$5:$G$115,$K56+1)-INDEX(Loads!$G$5:$G$115,$K56))*($C56-INDEX(Loads!$G$5:$G$115,$K56))))</f>
        <v>-27211.618684210523</v>
      </c>
      <c r="M56" s="73">
        <f>IF(ISBLANK(INDEX(Loads!$I$5:$I$115,$K56)),"-",INDEX(Loads!$I$5:$I$115,$K56)+IF(NOT(ISERROR($J56)),0,(INDEX(Loads!$I$5:$I$115,$K56+1)-INDEX(Loads!$I$5:$I$115,$K56))/(INDEX(Loads!$G$5:$G$115,$K56+1)-INDEX(Loads!$G$5:$G$115,$K56))*($C56-INDEX(Loads!$G$5:$G$115,$K56))))</f>
        <v>-46344.167368421047</v>
      </c>
      <c r="N56" s="73">
        <f>IF(ISBLANK(INDEX(Loads!$J$5:$J$115,$K56)),"-",INDEX(Loads!$J$5:$J$115,$K56)+IF(NOT(ISERROR($J56)),0,(INDEX(Loads!$J$5:$J$115,$K56+1)-INDEX(Loads!$J$5:$J$115,$K56))/(INDEX(Loads!$G$5:$G$115,$K56+1)-INDEX(Loads!$G$5:$G$115,$K56))*($C56-INDEX(Loads!$G$5:$G$115,$K56))))</f>
        <v>575509.69210526324</v>
      </c>
      <c r="O56" s="73">
        <f>IF(ISBLANK(INDEX(Loads!$K$5:$K$115,$K56)),"-",INDEX(Loads!$K$5:$K$115,$K56)+IF(NOT(ISERROR($J56)),0,(INDEX(Loads!$K$5:$K$115,$K56+1)-INDEX(Loads!$K$5:$K$115,$K56))/(INDEX(Loads!$G$5:$G$115,$K56+1)-INDEX(Loads!$G$5:$G$115,$K56))*($C56-INDEX(Loads!$G$5:$G$115,$K56))))</f>
        <v>11658.755263157895</v>
      </c>
      <c r="Q56" t="e">
        <f>MATCH($C56,Loads!$M$5:$M$115,0)</f>
        <v>#N/A</v>
      </c>
      <c r="R56">
        <f>MATCH($C56,Loads!$M$5:$M$115,1)</f>
        <v>107</v>
      </c>
      <c r="S56" s="73">
        <f>IF(ISBLANK(INDEX(Loads!$N$5:$N$115,$R56)),"-",INDEX(Loads!$N$5:$N$115,$K56)+IF(NOT(ISERROR($Q56)),0,(INDEX(Loads!$N$5:$N$115,$R56+1)-INDEX(Loads!$N$5:$N$115,$R56))/(INDEX(Loads!$M$5:$M$115,$R56+1)-INDEX(Loads!$M$5:$M$115,$R56))*($C56-INDEX(Loads!$M$5:$M$115,$R56))))</f>
        <v>-20156.751578947369</v>
      </c>
      <c r="T56" s="73">
        <f>IF(ISBLANK(INDEX(Loads!$O$5:$O$115,$R56)),"-",INDEX(Loads!$O$5:$O$115,$K56)+IF(NOT(ISERROR($Q56)),0,(INDEX(Loads!$O$5:$O$115,$R56+1)-INDEX(Loads!$O$5:$O$115,$R56))/(INDEX(Loads!$M$5:$M$115,$R56+1)-INDEX(Loads!$M$5:$M$115,$R56))*($C56-INDEX(Loads!$M$5:$M$115,$R56))))</f>
        <v>433241.21842105262</v>
      </c>
      <c r="U56" s="73">
        <f>IF(ISBLANK(INDEX(Loads!$P$5:$P$115,$R56)),"-",INDEX(Loads!$P$5:$P$115,$K56)+IF(NOT(ISERROR($Q56)),0,(INDEX(Loads!$P$5:$P$115,$R56+1)-INDEX(Loads!$P$5:$P$115,$R56))/(INDEX(Loads!$M$5:$M$115,$R56+1)-INDEX(Loads!$M$5:$M$115,$R56))*($C56-INDEX(Loads!$M$5:$M$115,$R56))))</f>
        <v>8636.1127105263149</v>
      </c>
    </row>
    <row r="57" spans="3:21">
      <c r="C57" s="72">
        <f>Geometry!AF20</f>
        <v>10</v>
      </c>
      <c r="E57" s="62" t="e">
        <f>MATCH($C57,Loads!$C$5:$C$115,0)</f>
        <v>#N/A</v>
      </c>
      <c r="F57" s="62">
        <f>MATCH($C57,Loads!$C$5:$C$115,1)</f>
        <v>108</v>
      </c>
      <c r="G57" s="73">
        <f>IF(ISBLANK(INDEX(Loads!$D$5:$D$115,$F57)),"-",INDEX(Loads!$D$5:$D$115,$F57)+IF(NOT(ISERROR($E57)),0,(INDEX(Loads!$D$5:$D$115,$F57+1)-INDEX(Loads!$D$5:$D$115,$F57))/(INDEX(Loads!$C$5:$C$115,$F57+1)-INDEX(Loads!$C$5:$C$115,$F57))*($C57-INDEX(Loads!$C$5:$C$115,$F57))))</f>
        <v>134733.92307692306</v>
      </c>
      <c r="H57" s="73">
        <f>IF(ISBLANK(INDEX(Loads!$E$5:$E$115,$F57)),"-",INDEX(Loads!$E$5:$E$115,$F57)+IF(NOT(ISERROR($E57)),0,(INDEX(Loads!$E$5:$E$115,$F57+1)-INDEX(Loads!$E$5:$E$115,$F57))/(INDEX(Loads!$C$5:$C$115,$F57+1)-INDEX(Loads!$C$5:$C$115,$F57))*($C57-INDEX(Loads!$C$5:$C$115,$F57))))</f>
        <v>129304.84615384617</v>
      </c>
      <c r="J57" s="62" t="e">
        <f>MATCH($C57,Loads!$G$5:$G$115,0)</f>
        <v>#N/A</v>
      </c>
      <c r="K57" s="62">
        <f>MATCH($C57,Loads!$G$5:$G$115,1)</f>
        <v>108</v>
      </c>
      <c r="L57" s="73">
        <f>IF(ISBLANK(INDEX(Loads!$H$5:$H$115,$K57)),"-",INDEX(Loads!$H$5:$H$115,$K57)+IF(NOT(ISERROR($J57)),0,(INDEX(Loads!$H$5:$H$115,$K57+1)-INDEX(Loads!$H$5:$H$115,$K57))/(INDEX(Loads!$G$5:$G$115,$K57+1)-INDEX(Loads!$G$5:$G$115,$K57))*($C57-INDEX(Loads!$G$5:$G$115,$K57))))</f>
        <v>-25621.91717948718</v>
      </c>
      <c r="M57" s="73">
        <f>IF(ISBLANK(INDEX(Loads!$I$5:$I$115,$K57)),"-",INDEX(Loads!$I$5:$I$115,$K57)+IF(NOT(ISERROR($J57)),0,(INDEX(Loads!$I$5:$I$115,$K57+1)-INDEX(Loads!$I$5:$I$115,$K57))/(INDEX(Loads!$G$5:$G$115,$K57+1)-INDEX(Loads!$G$5:$G$115,$K57))*($C57-INDEX(Loads!$G$5:$G$115,$K57))))</f>
        <v>-46335.24769230769</v>
      </c>
      <c r="N57" s="73">
        <f>IF(ISBLANK(INDEX(Loads!$J$5:$J$115,$K57)),"-",INDEX(Loads!$J$5:$J$115,$K57)+IF(NOT(ISERROR($J57)),0,(INDEX(Loads!$J$5:$J$115,$K57+1)-INDEX(Loads!$J$5:$J$115,$K57))/(INDEX(Loads!$G$5:$G$115,$K57+1)-INDEX(Loads!$G$5:$G$115,$K57))*($C57-INDEX(Loads!$G$5:$G$115,$K57))))</f>
        <v>556173.43589743588</v>
      </c>
      <c r="O57" s="73">
        <f>IF(ISBLANK(INDEX(Loads!$K$5:$K$115,$K57)),"-",INDEX(Loads!$K$5:$K$115,$K57)+IF(NOT(ISERROR($J57)),0,(INDEX(Loads!$K$5:$K$115,$K57+1)-INDEX(Loads!$K$5:$K$115,$K57))/(INDEX(Loads!$G$5:$G$115,$K57+1)-INDEX(Loads!$G$5:$G$115,$K57))*($C57-INDEX(Loads!$G$5:$G$115,$K57))))</f>
        <v>10824.898153846148</v>
      </c>
      <c r="Q57" t="e">
        <f>MATCH($C57,Loads!$M$5:$M$115,0)</f>
        <v>#N/A</v>
      </c>
      <c r="R57">
        <f>MATCH($C57,Loads!$M$5:$M$115,1)</f>
        <v>108</v>
      </c>
      <c r="S57" s="73">
        <f>IF(ISBLANK(INDEX(Loads!$N$5:$N$115,$R57)),"-",INDEX(Loads!$N$5:$N$115,$K57)+IF(NOT(ISERROR($Q57)),0,(INDEX(Loads!$N$5:$N$115,$R57+1)-INDEX(Loads!$N$5:$N$115,$R57))/(INDEX(Loads!$M$5:$M$115,$R57+1)-INDEX(Loads!$M$5:$M$115,$R57))*($C57-INDEX(Loads!$M$5:$M$115,$R57))))</f>
        <v>-18979.202051282049</v>
      </c>
      <c r="T57" s="73">
        <f>IF(ISBLANK(INDEX(Loads!$O$5:$O$115,$R57)),"-",INDEX(Loads!$O$5:$O$115,$K57)+IF(NOT(ISERROR($Q57)),0,(INDEX(Loads!$O$5:$O$115,$R57+1)-INDEX(Loads!$O$5:$O$115,$R57))/(INDEX(Loads!$M$5:$M$115,$R57+1)-INDEX(Loads!$M$5:$M$115,$R57))*($C57-INDEX(Loads!$M$5:$M$115,$R57))))</f>
        <v>418683.54102564103</v>
      </c>
      <c r="U57" s="73">
        <f>IF(ISBLANK(INDEX(Loads!$P$5:$P$115,$R57)),"-",INDEX(Loads!$P$5:$P$115,$K57)+IF(NOT(ISERROR($Q57)),0,(INDEX(Loads!$P$5:$P$115,$R57+1)-INDEX(Loads!$P$5:$P$115,$R57))/(INDEX(Loads!$M$5:$M$115,$R57+1)-INDEX(Loads!$M$5:$M$115,$R57))*($C57-INDEX(Loads!$M$5:$M$115,$R57))))</f>
        <v>8018.4433076923042</v>
      </c>
    </row>
    <row r="60" spans="3:21">
      <c r="C60" s="35" t="s">
        <v>210</v>
      </c>
      <c r="E60" s="62"/>
      <c r="F60" s="62"/>
      <c r="J60" s="62"/>
      <c r="K60" s="62"/>
    </row>
    <row r="61" spans="3:21">
      <c r="E61" s="62"/>
      <c r="F61" s="62"/>
      <c r="G61" s="305" t="s">
        <v>285</v>
      </c>
      <c r="H61" s="306"/>
      <c r="J61" s="62"/>
      <c r="K61" s="62"/>
      <c r="L61" s="305" t="s">
        <v>220</v>
      </c>
      <c r="M61" s="307"/>
      <c r="N61" s="307"/>
      <c r="O61" s="306"/>
      <c r="S61" s="305" t="s">
        <v>221</v>
      </c>
      <c r="T61" s="307"/>
      <c r="U61" s="306"/>
    </row>
    <row r="62" spans="3:21">
      <c r="C62" s="70" t="s">
        <v>335</v>
      </c>
      <c r="E62" s="62"/>
      <c r="F62" s="62"/>
      <c r="G62" s="70" t="s">
        <v>267</v>
      </c>
      <c r="H62" s="70" t="str">
        <f>IF(Control!$F$39="EC","m=4, N=1E7","m=5, N=1e7")</f>
        <v>m=4, N=1E7</v>
      </c>
      <c r="J62" s="62"/>
      <c r="K62" s="62"/>
      <c r="L62" s="70" t="s">
        <v>73</v>
      </c>
      <c r="M62" s="70" t="s">
        <v>74</v>
      </c>
      <c r="N62" s="70" t="s">
        <v>75</v>
      </c>
      <c r="O62" s="70" t="s">
        <v>76</v>
      </c>
      <c r="S62" s="70" t="s">
        <v>73</v>
      </c>
      <c r="T62" s="70" t="s">
        <v>75</v>
      </c>
      <c r="U62" s="70" t="s">
        <v>76</v>
      </c>
    </row>
    <row r="63" spans="3:21">
      <c r="C63" s="70" t="str">
        <f>"[m"&amp;Control!$F$7&amp;"]"</f>
        <v>[mLAT]</v>
      </c>
      <c r="E63" s="62"/>
      <c r="F63" s="62"/>
      <c r="G63" s="70" t="s">
        <v>20</v>
      </c>
      <c r="H63" s="70" t="s">
        <v>20</v>
      </c>
      <c r="J63" s="62"/>
      <c r="K63" s="62"/>
      <c r="L63" s="70" t="s">
        <v>268</v>
      </c>
      <c r="M63" s="70" t="s">
        <v>20</v>
      </c>
      <c r="N63" s="70" t="s">
        <v>20</v>
      </c>
      <c r="O63" s="70" t="s">
        <v>268</v>
      </c>
      <c r="S63" s="70" t="s">
        <v>268</v>
      </c>
      <c r="T63" s="70" t="s">
        <v>20</v>
      </c>
      <c r="U63" s="70" t="s">
        <v>268</v>
      </c>
    </row>
    <row r="64" spans="3:21">
      <c r="C64" s="72">
        <f>Geometry!AF28</f>
        <v>4.5999999999999996</v>
      </c>
      <c r="E64" s="62" t="e">
        <f>MATCH($C64,Loads!$C$5:$C$115,0)</f>
        <v>#N/A</v>
      </c>
      <c r="F64" s="62">
        <f>MATCH($C64,Loads!$C$5:$C$115,1)</f>
        <v>106</v>
      </c>
      <c r="G64" s="73">
        <f>IF(ISBLANK(INDEX(Loads!$D$5:$D$115,$F64)),"-",INDEX(Loads!$D$5:$D$115,$F64)+IF(NOT(ISERROR($E64)),0,(INDEX(Loads!$D$5:$D$115,$F64+1)-INDEX(Loads!$D$5:$D$115,$F64))/(INDEX(Loads!$C$5:$C$115,$F64+1)-INDEX(Loads!$C$5:$C$115,$F64))*($C64-INDEX(Loads!$C$5:$C$115,$F64))))</f>
        <v>140697</v>
      </c>
      <c r="H64" s="73">
        <f>IF(ISBLANK(INDEX(Loads!$E$5:$E$115,$F64)),"-",INDEX(Loads!$E$5:$E$115,$F64)+IF(NOT(ISERROR($E64)),0,(INDEX(Loads!$E$5:$E$115,$F64+1)-INDEX(Loads!$E$5:$E$115,$F64))/(INDEX(Loads!$C$5:$C$115,$F64+1)-INDEX(Loads!$C$5:$C$115,$F64))*($C64-INDEX(Loads!$C$5:$C$115,$F64))))</f>
        <v>134944.61538461538</v>
      </c>
      <c r="J64" s="62" t="e">
        <f>MATCH($C64,Loads!$G$5:$G$115,0)</f>
        <v>#N/A</v>
      </c>
      <c r="K64" s="62">
        <f>MATCH($C64,Loads!$G$5:$G$115,1)</f>
        <v>106</v>
      </c>
      <c r="L64" s="73">
        <f>IF(ISBLANK(INDEX(Loads!$H$5:$H$115,$K64)),"-",INDEX(Loads!$H$5:$H$115,$K64)+IF(NOT(ISERROR($J64)),0,(INDEX(Loads!$H$5:$H$115,$K64+1)-INDEX(Loads!$H$5:$H$115,$K64))/(INDEX(Loads!$G$5:$G$115,$K64+1)-INDEX(Loads!$G$5:$G$115,$K64))*($C64-INDEX(Loads!$G$5:$G$115,$K64))))</f>
        <v>-27936.418461538458</v>
      </c>
      <c r="M64" s="73">
        <f>IF(ISBLANK(INDEX(Loads!$I$5:$I$115,$K64)),"-",INDEX(Loads!$I$5:$I$115,$K64)+IF(NOT(ISERROR($J64)),0,(INDEX(Loads!$I$5:$I$115,$K64+1)-INDEX(Loads!$I$5:$I$115,$K64))/(INDEX(Loads!$G$5:$G$115,$K64+1)-INDEX(Loads!$G$5:$G$115,$K64))*($C64-INDEX(Loads!$G$5:$G$115,$K64))))</f>
        <v>-46347.307692307688</v>
      </c>
      <c r="N64" s="73">
        <f>IF(ISBLANK(INDEX(Loads!$J$5:$J$115,$K64)),"-",INDEX(Loads!$J$5:$J$115,$K64)+IF(NOT(ISERROR($J64)),0,(INDEX(Loads!$J$5:$J$115,$K64+1)-INDEX(Loads!$J$5:$J$115,$K64))/(INDEX(Loads!$G$5:$G$115,$K64+1)-INDEX(Loads!$G$5:$G$115,$K64))*($C64-INDEX(Loads!$G$5:$G$115,$K64))))</f>
        <v>582375.88461538462</v>
      </c>
      <c r="O64" s="73">
        <f>IF(ISBLANK(INDEX(Loads!$K$5:$K$115,$K64)),"-",INDEX(Loads!$K$5:$K$115,$K64)+IF(NOT(ISERROR($J64)),0,(INDEX(Loads!$K$5:$K$115,$K64+1)-INDEX(Loads!$K$5:$K$115,$K64))/(INDEX(Loads!$G$5:$G$115,$K64+1)-INDEX(Loads!$G$5:$G$115,$K64))*($C64-INDEX(Loads!$G$5:$G$115,$K64))))</f>
        <v>11441.210000000001</v>
      </c>
      <c r="Q64" t="e">
        <f>MATCH($C64,Loads!$M$5:$M$115,0)</f>
        <v>#N/A</v>
      </c>
      <c r="R64">
        <f>MATCH($C64,Loads!$M$5:$M$115,1)</f>
        <v>106</v>
      </c>
      <c r="S64" s="73">
        <f>IF(ISBLANK(INDEX(Loads!$N$5:$N$115,$R64)),"-",INDEX(Loads!$N$5:$N$115,$K64)+IF(NOT(ISERROR($Q64)),0,(INDEX(Loads!$N$5:$N$115,$R64+1)-INDEX(Loads!$N$5:$N$115,$R64))/(INDEX(Loads!$M$5:$M$115,$R64+1)-INDEX(Loads!$M$5:$M$115,$R64))*($C64-INDEX(Loads!$M$5:$M$115,$R64))))</f>
        <v>-20693.639230769229</v>
      </c>
      <c r="T64" s="73">
        <f>IF(ISBLANK(INDEX(Loads!$O$5:$O$115,$R64)),"-",INDEX(Loads!$O$5:$O$115,$K64)+IF(NOT(ISERROR($Q64)),0,(INDEX(Loads!$O$5:$O$115,$R64+1)-INDEX(Loads!$O$5:$O$115,$R64))/(INDEX(Loads!$M$5:$M$115,$R64+1)-INDEX(Loads!$M$5:$M$115,$R64))*($C64-INDEX(Loads!$M$5:$M$115,$R64))))</f>
        <v>438413.60769230768</v>
      </c>
      <c r="U64" s="73">
        <f>IF(ISBLANK(INDEX(Loads!$P$5:$P$115,$R64)),"-",INDEX(Loads!$P$5:$P$115,$K64)+IF(NOT(ISERROR($Q64)),0,(INDEX(Loads!$P$5:$P$115,$R64+1)-INDEX(Loads!$P$5:$P$115,$R64))/(INDEX(Loads!$M$5:$M$115,$R64+1)-INDEX(Loads!$M$5:$M$115,$R64))*($C64-INDEX(Loads!$M$5:$M$115,$R64))))</f>
        <v>8474.9679230769234</v>
      </c>
    </row>
    <row r="65" spans="3:21">
      <c r="C65" s="72">
        <f>Geometry!AF29</f>
        <v>3.5999999999999996</v>
      </c>
      <c r="E65" s="62" t="e">
        <f>MATCH($C65,Loads!$C$5:$C$115,0)</f>
        <v>#N/A</v>
      </c>
      <c r="F65" s="62">
        <f>MATCH($C65,Loads!$C$5:$C$115,1)</f>
        <v>106</v>
      </c>
      <c r="G65" s="73">
        <f>IF(ISBLANK(INDEX(Loads!$D$5:$D$115,$F65)),"-",INDEX(Loads!$D$5:$D$115,$F65)+IF(NOT(ISERROR($E65)),0,(INDEX(Loads!$D$5:$D$115,$F65+1)-INDEX(Loads!$D$5:$D$115,$F65))/(INDEX(Loads!$C$5:$C$115,$F65+1)-INDEX(Loads!$C$5:$C$115,$F65))*($C65-INDEX(Loads!$C$5:$C$115,$F65))))</f>
        <v>141807</v>
      </c>
      <c r="H65" s="73">
        <f>IF(ISBLANK(INDEX(Loads!$E$5:$E$115,$F65)),"-",INDEX(Loads!$E$5:$E$115,$F65)+IF(NOT(ISERROR($E65)),0,(INDEX(Loads!$E$5:$E$115,$F65+1)-INDEX(Loads!$E$5:$E$115,$F65))/(INDEX(Loads!$C$5:$C$115,$F65+1)-INDEX(Loads!$C$5:$C$115,$F65))*($C65-INDEX(Loads!$C$5:$C$115,$F65))))</f>
        <v>135983.07692307694</v>
      </c>
      <c r="J65" s="62" t="e">
        <f>MATCH($C65,Loads!$G$5:$G$115,0)</f>
        <v>#N/A</v>
      </c>
      <c r="K65" s="62">
        <f>MATCH($C65,Loads!$G$5:$G$115,1)</f>
        <v>106</v>
      </c>
      <c r="L65" s="73">
        <f>IF(ISBLANK(INDEX(Loads!$H$5:$H$115,$K65)),"-",INDEX(Loads!$H$5:$H$115,$K65)+IF(NOT(ISERROR($J65)),0,(INDEX(Loads!$H$5:$H$115,$K65+1)-INDEX(Loads!$H$5:$H$115,$K65))/(INDEX(Loads!$G$5:$G$115,$K65+1)-INDEX(Loads!$G$5:$G$115,$K65))*($C65-INDEX(Loads!$G$5:$G$115,$K65))))</f>
        <v>-28499.472307692307</v>
      </c>
      <c r="M65" s="73">
        <f>IF(ISBLANK(INDEX(Loads!$I$5:$I$115,$K65)),"-",INDEX(Loads!$I$5:$I$115,$K65)+IF(NOT(ISERROR($J65)),0,(INDEX(Loads!$I$5:$I$115,$K65+1)-INDEX(Loads!$I$5:$I$115,$K65))/(INDEX(Loads!$G$5:$G$115,$K65+1)-INDEX(Loads!$G$5:$G$115,$K65))*($C65-INDEX(Loads!$G$5:$G$115,$K65))))</f>
        <v>-46349.571794871794</v>
      </c>
      <c r="N65" s="73">
        <f>IF(ISBLANK(INDEX(Loads!$J$5:$J$115,$K65)),"-",INDEX(Loads!$J$5:$J$115,$K65)+IF(NOT(ISERROR($J65)),0,(INDEX(Loads!$J$5:$J$115,$K65+1)-INDEX(Loads!$J$5:$J$115,$K65))/(INDEX(Loads!$G$5:$G$115,$K65+1)-INDEX(Loads!$G$5:$G$115,$K65))*($C65-INDEX(Loads!$G$5:$G$115,$K65))))</f>
        <v>587320.08974358975</v>
      </c>
      <c r="O65" s="73">
        <f>IF(ISBLANK(INDEX(Loads!$K$5:$K$115,$K65)),"-",INDEX(Loads!$K$5:$K$115,$K65)+IF(NOT(ISERROR($J65)),0,(INDEX(Loads!$K$5:$K$115,$K65+1)-INDEX(Loads!$K$5:$K$115,$K65))/(INDEX(Loads!$G$5:$G$115,$K65+1)-INDEX(Loads!$G$5:$G$115,$K65))*($C65-INDEX(Loads!$G$5:$G$115,$K65))))</f>
        <v>11276.61</v>
      </c>
      <c r="Q65" t="e">
        <f>MATCH($C65,Loads!$M$5:$M$115,0)</f>
        <v>#N/A</v>
      </c>
      <c r="R65">
        <f>MATCH($C65,Loads!$M$5:$M$115,1)</f>
        <v>106</v>
      </c>
      <c r="S65" s="73">
        <f>IF(ISBLANK(INDEX(Loads!$N$5:$N$115,$R65)),"-",INDEX(Loads!$N$5:$N$115,$K65)+IF(NOT(ISERROR($Q65)),0,(INDEX(Loads!$N$5:$N$115,$R65+1)-INDEX(Loads!$N$5:$N$115,$R65))/(INDEX(Loads!$M$5:$M$115,$R65+1)-INDEX(Loads!$M$5:$M$115,$R65))*($C65-INDEX(Loads!$M$5:$M$115,$R65))))</f>
        <v>-21110.716153846151</v>
      </c>
      <c r="T65" s="73">
        <f>IF(ISBLANK(INDEX(Loads!$O$5:$O$115,$R65)),"-",INDEX(Loads!$O$5:$O$115,$K65)+IF(NOT(ISERROR($Q65)),0,(INDEX(Loads!$O$5:$O$115,$R65+1)-INDEX(Loads!$O$5:$O$115,$R65))/(INDEX(Loads!$M$5:$M$115,$R65+1)-INDEX(Loads!$M$5:$M$115,$R65))*($C65-INDEX(Loads!$M$5:$M$115,$R65))))</f>
        <v>442139.1717948718</v>
      </c>
      <c r="U65" s="73">
        <f>IF(ISBLANK(INDEX(Loads!$P$5:$P$115,$R65)),"-",INDEX(Loads!$P$5:$P$115,$K65)+IF(NOT(ISERROR($Q65)),0,(INDEX(Loads!$P$5:$P$115,$R65+1)-INDEX(Loads!$P$5:$P$115,$R65))/(INDEX(Loads!$M$5:$M$115,$R65+1)-INDEX(Loads!$M$5:$M$115,$R65))*($C65-INDEX(Loads!$M$5:$M$115,$R65))))</f>
        <v>8353.0422820512813</v>
      </c>
    </row>
    <row r="66" spans="3:21">
      <c r="C66" s="72">
        <f>Geometry!AF30</f>
        <v>4.5</v>
      </c>
      <c r="E66" s="62" t="e">
        <f>MATCH($C66,Loads!$C$5:$C$115,0)</f>
        <v>#N/A</v>
      </c>
      <c r="F66" s="62">
        <f>MATCH($C66,Loads!$C$5:$C$115,1)</f>
        <v>106</v>
      </c>
      <c r="G66" s="73">
        <f>IF(ISBLANK(INDEX(Loads!$D$5:$D$115,$F66)),"-",INDEX(Loads!$D$5:$D$115,$F66)+IF(NOT(ISERROR($E66)),0,(INDEX(Loads!$D$5:$D$115,$F66+1)-INDEX(Loads!$D$5:$D$115,$F66))/(INDEX(Loads!$C$5:$C$115,$F66+1)-INDEX(Loads!$C$5:$C$115,$F66))*($C66-INDEX(Loads!$C$5:$C$115,$F66))))</f>
        <v>140808</v>
      </c>
      <c r="H66" s="73">
        <f>IF(ISBLANK(INDEX(Loads!$E$5:$E$115,$F66)),"-",INDEX(Loads!$E$5:$E$115,$F66)+IF(NOT(ISERROR($E66)),0,(INDEX(Loads!$E$5:$E$115,$F66+1)-INDEX(Loads!$E$5:$E$115,$F66))/(INDEX(Loads!$C$5:$C$115,$F66+1)-INDEX(Loads!$C$5:$C$115,$F66))*($C66-INDEX(Loads!$C$5:$C$115,$F66))))</f>
        <v>135048.46153846153</v>
      </c>
      <c r="J66" s="62" t="e">
        <f>MATCH($C66,Loads!$G$5:$G$115,0)</f>
        <v>#N/A</v>
      </c>
      <c r="K66" s="62">
        <f>MATCH($C66,Loads!$G$5:$G$115,1)</f>
        <v>106</v>
      </c>
      <c r="L66" s="73">
        <f>IF(ISBLANK(INDEX(Loads!$H$5:$H$115,$K66)),"-",INDEX(Loads!$H$5:$H$115,$K66)+IF(NOT(ISERROR($J66)),0,(INDEX(Loads!$H$5:$H$115,$K66+1)-INDEX(Loads!$H$5:$H$115,$K66))/(INDEX(Loads!$G$5:$G$115,$K66+1)-INDEX(Loads!$G$5:$G$115,$K66))*($C66-INDEX(Loads!$G$5:$G$115,$K66))))</f>
        <v>-27992.723846153844</v>
      </c>
      <c r="M66" s="73">
        <f>IF(ISBLANK(INDEX(Loads!$I$5:$I$115,$K66)),"-",INDEX(Loads!$I$5:$I$115,$K66)+IF(NOT(ISERROR($J66)),0,(INDEX(Loads!$I$5:$I$115,$K66+1)-INDEX(Loads!$I$5:$I$115,$K66))/(INDEX(Loads!$G$5:$G$115,$K66+1)-INDEX(Loads!$G$5:$G$115,$K66))*($C66-INDEX(Loads!$G$5:$G$115,$K66))))</f>
        <v>-46347.534102564103</v>
      </c>
      <c r="N66" s="73">
        <f>IF(ISBLANK(INDEX(Loads!$J$5:$J$115,$K66)),"-",INDEX(Loads!$J$5:$J$115,$K66)+IF(NOT(ISERROR($J66)),0,(INDEX(Loads!$J$5:$J$115,$K66+1)-INDEX(Loads!$J$5:$J$115,$K66))/(INDEX(Loads!$G$5:$G$115,$K66+1)-INDEX(Loads!$G$5:$G$115,$K66))*($C66-INDEX(Loads!$G$5:$G$115,$K66))))</f>
        <v>582870.30512820522</v>
      </c>
      <c r="O66" s="73">
        <f>IF(ISBLANK(INDEX(Loads!$K$5:$K$115,$K66)),"-",INDEX(Loads!$K$5:$K$115,$K66)+IF(NOT(ISERROR($J66)),0,(INDEX(Loads!$K$5:$K$115,$K66+1)-INDEX(Loads!$K$5:$K$115,$K66))/(INDEX(Loads!$G$5:$G$115,$K66+1)-INDEX(Loads!$G$5:$G$115,$K66))*($C66-INDEX(Loads!$G$5:$G$115,$K66))))</f>
        <v>11424.75</v>
      </c>
      <c r="Q66" t="e">
        <f>MATCH($C66,Loads!$M$5:$M$115,0)</f>
        <v>#N/A</v>
      </c>
      <c r="R66">
        <f>MATCH($C66,Loads!$M$5:$M$115,1)</f>
        <v>106</v>
      </c>
      <c r="S66" s="73">
        <f>IF(ISBLANK(INDEX(Loads!$N$5:$N$115,$R66)),"-",INDEX(Loads!$N$5:$N$115,$K66)+IF(NOT(ISERROR($Q66)),0,(INDEX(Loads!$N$5:$N$115,$R66+1)-INDEX(Loads!$N$5:$N$115,$R66))/(INDEX(Loads!$M$5:$M$115,$R66+1)-INDEX(Loads!$M$5:$M$115,$R66))*($C66-INDEX(Loads!$M$5:$M$115,$R66))))</f>
        <v>-20735.346923076922</v>
      </c>
      <c r="T66" s="73">
        <f>IF(ISBLANK(INDEX(Loads!$O$5:$O$115,$R66)),"-",INDEX(Loads!$O$5:$O$115,$K66)+IF(NOT(ISERROR($Q66)),0,(INDEX(Loads!$O$5:$O$115,$R66+1)-INDEX(Loads!$O$5:$O$115,$R66))/(INDEX(Loads!$M$5:$M$115,$R66+1)-INDEX(Loads!$M$5:$M$115,$R66))*($C66-INDEX(Loads!$M$5:$M$115,$R66))))</f>
        <v>438786.1641025641</v>
      </c>
      <c r="U66" s="73">
        <f>IF(ISBLANK(INDEX(Loads!$P$5:$P$115,$R66)),"-",INDEX(Loads!$P$5:$P$115,$K66)+IF(NOT(ISERROR($Q66)),0,(INDEX(Loads!$P$5:$P$115,$R66+1)-INDEX(Loads!$P$5:$P$115,$R66))/(INDEX(Loads!$M$5:$M$115,$R66+1)-INDEX(Loads!$M$5:$M$115,$R66))*($C66-INDEX(Loads!$M$5:$M$115,$R66))))</f>
        <v>8462.7753589743588</v>
      </c>
    </row>
    <row r="67" spans="3:21">
      <c r="C67" s="72">
        <f>Geometry!AF31</f>
        <v>-12.3575</v>
      </c>
      <c r="E67" s="62" t="e">
        <f>MATCH($C67,Loads!$C$5:$C$115,0)</f>
        <v>#N/A</v>
      </c>
      <c r="F67" s="62">
        <f>MATCH($C67,Loads!$C$5:$C$115,1)</f>
        <v>102</v>
      </c>
      <c r="G67" s="73">
        <f>IF(ISBLANK(INDEX(Loads!$D$5:$D$115,$F67)),"-",INDEX(Loads!$D$5:$D$115,$F67)+IF(NOT(ISERROR($E67)),0,(INDEX(Loads!$D$5:$D$115,$F67+1)-INDEX(Loads!$D$5:$D$115,$F67))/(INDEX(Loads!$C$5:$C$115,$F67+1)-INDEX(Loads!$C$5:$C$115,$F67))*($C67-INDEX(Loads!$C$5:$C$115,$F67))))</f>
        <v>158518.47115384619</v>
      </c>
      <c r="H67" s="73">
        <f>IF(ISBLANK(INDEX(Loads!$E$5:$E$115,$F67)),"-",INDEX(Loads!$E$5:$E$115,$F67)+IF(NOT(ISERROR($E67)),0,(INDEX(Loads!$E$5:$E$115,$F67+1)-INDEX(Loads!$E$5:$E$115,$F67))/(INDEX(Loads!$C$5:$C$115,$F67+1)-INDEX(Loads!$C$5:$C$115,$F67))*($C67-INDEX(Loads!$C$5:$C$115,$F67))))</f>
        <v>152176.79423076924</v>
      </c>
      <c r="J67" s="62" t="e">
        <f>MATCH($C67,Loads!$G$5:$G$115,0)</f>
        <v>#N/A</v>
      </c>
      <c r="K67" s="62">
        <f>MATCH($C67,Loads!$G$5:$G$115,1)</f>
        <v>102</v>
      </c>
      <c r="L67" s="73">
        <f>IF(ISBLANK(INDEX(Loads!$H$5:$H$115,$K67)),"-",INDEX(Loads!$H$5:$H$115,$K67)+IF(NOT(ISERROR($J67)),0,(INDEX(Loads!$H$5:$H$115,$K67+1)-INDEX(Loads!$H$5:$H$115,$K67))/(INDEX(Loads!$G$5:$G$115,$K67+1)-INDEX(Loads!$G$5:$G$115,$K67))*($C67-INDEX(Loads!$G$5:$G$115,$K67))))</f>
        <v>-33760.225442307696</v>
      </c>
      <c r="M67" s="73">
        <f>IF(ISBLANK(INDEX(Loads!$I$5:$I$115,$K67)),"-",INDEX(Loads!$I$5:$I$115,$K67)+IF(NOT(ISERROR($J67)),0,(INDEX(Loads!$I$5:$I$115,$K67+1)-INDEX(Loads!$I$5:$I$115,$K67))/(INDEX(Loads!$G$5:$G$115,$K67+1)-INDEX(Loads!$G$5:$G$115,$K67))*($C67-INDEX(Loads!$G$5:$G$115,$K67))))</f>
        <v>-46382.548826923077</v>
      </c>
      <c r="N67" s="73">
        <f>IF(ISBLANK(INDEX(Loads!$J$5:$J$115,$K67)),"-",INDEX(Loads!$J$5:$J$115,$K67)+IF(NOT(ISERROR($J67)),0,(INDEX(Loads!$J$5:$J$115,$K67+1)-INDEX(Loads!$J$5:$J$115,$K67))/(INDEX(Loads!$G$5:$G$115,$K67+1)-INDEX(Loads!$G$5:$G$115,$K67))*($C67-INDEX(Loads!$G$5:$G$115,$K67))))</f>
        <v>686271.40173076931</v>
      </c>
      <c r="O67" s="73">
        <f>IF(ISBLANK(INDEX(Loads!$K$5:$K$115,$K67)),"-",INDEX(Loads!$K$5:$K$115,$K67)+IF(NOT(ISERROR($J67)),0,(INDEX(Loads!$K$5:$K$115,$K67+1)-INDEX(Loads!$K$5:$K$115,$K67))/(INDEX(Loads!$G$5:$G$115,$K67+1)-INDEX(Loads!$G$5:$G$115,$K67))*($C67-INDEX(Loads!$G$5:$G$115,$K67))))</f>
        <v>11363.50575</v>
      </c>
      <c r="Q67" t="e">
        <f>MATCH($C67,Loads!$M$5:$M$115,0)</f>
        <v>#N/A</v>
      </c>
      <c r="R67">
        <f>MATCH($C67,Loads!$M$5:$M$115,1)</f>
        <v>102</v>
      </c>
      <c r="S67" s="73">
        <f>IF(ISBLANK(INDEX(Loads!$N$5:$N$115,$R67)),"-",INDEX(Loads!$N$5:$N$115,$K67)+IF(NOT(ISERROR($Q67)),0,(INDEX(Loads!$N$5:$N$115,$R67+1)-INDEX(Loads!$N$5:$N$115,$R67))/(INDEX(Loads!$M$5:$M$115,$R67+1)-INDEX(Loads!$M$5:$M$115,$R67))*($C67-INDEX(Loads!$M$5:$M$115,$R67))))</f>
        <v>-25007.577423076924</v>
      </c>
      <c r="T67" s="73">
        <f>IF(ISBLANK(INDEX(Loads!$O$5:$O$115,$R67)),"-",INDEX(Loads!$O$5:$O$115,$K67)+IF(NOT(ISERROR($Q67)),0,(INDEX(Loads!$O$5:$O$115,$R67+1)-INDEX(Loads!$O$5:$O$115,$R67))/(INDEX(Loads!$M$5:$M$115,$R67+1)-INDEX(Loads!$M$5:$M$115,$R67))*($C67-INDEX(Loads!$M$5:$M$115,$R67))))</f>
        <v>516855.86942307698</v>
      </c>
      <c r="U67" s="73">
        <f>IF(ISBLANK(INDEX(Loads!$P$5:$P$115,$R67)),"-",INDEX(Loads!$P$5:$P$115,$K67)+IF(NOT(ISERROR($Q67)),0,(INDEX(Loads!$P$5:$P$115,$R67+1)-INDEX(Loads!$P$5:$P$115,$R67))/(INDEX(Loads!$M$5:$M$115,$R67+1)-INDEX(Loads!$M$5:$M$115,$R67))*($C67-INDEX(Loads!$M$5:$M$115,$R67))))</f>
        <v>8417.4138423076929</v>
      </c>
    </row>
    <row r="68" spans="3:21">
      <c r="C68" s="72">
        <f>Geometry!AF32</f>
        <v>-22.715</v>
      </c>
      <c r="E68" s="62" t="e">
        <f>MATCH($C68,Loads!$C$5:$C$115,0)</f>
        <v>#N/A</v>
      </c>
      <c r="F68" s="62">
        <f>MATCH($C68,Loads!$C$5:$C$115,1)</f>
        <v>99</v>
      </c>
      <c r="G68" s="73">
        <f>IF(ISBLANK(INDEX(Loads!$D$5:$D$115,$F68)),"-",INDEX(Loads!$D$5:$D$115,$F68)+IF(NOT(ISERROR($E68)),0,(INDEX(Loads!$D$5:$D$115,$F68+1)-INDEX(Loads!$D$5:$D$115,$F68))/(INDEX(Loads!$C$5:$C$115,$F68+1)-INDEX(Loads!$C$5:$C$115,$F68))*($C68-INDEX(Loads!$C$5:$C$115,$F68))))</f>
        <v>173031.99230769233</v>
      </c>
      <c r="H68" s="73">
        <f>IF(ISBLANK(INDEX(Loads!$E$5:$E$115,$F68)),"-",INDEX(Loads!$E$5:$E$115,$F68)+IF(NOT(ISERROR($E68)),0,(INDEX(Loads!$E$5:$E$115,$F68+1)-INDEX(Loads!$E$5:$E$115,$F68))/(INDEX(Loads!$C$5:$C$115,$F68+1)-INDEX(Loads!$C$5:$C$115,$F68))*($C68-INDEX(Loads!$C$5:$C$115,$F68))))</f>
        <v>166097.52692307695</v>
      </c>
      <c r="J68" s="62" t="e">
        <f>MATCH($C68,Loads!$G$5:$G$115,0)</f>
        <v>#N/A</v>
      </c>
      <c r="K68" s="62">
        <f>MATCH($C68,Loads!$G$5:$G$115,1)</f>
        <v>99</v>
      </c>
      <c r="L68" s="73">
        <f>IF(ISBLANK(INDEX(Loads!$H$5:$H$115,$K68)),"-",INDEX(Loads!$H$5:$H$115,$K68)+IF(NOT(ISERROR($J68)),0,(INDEX(Loads!$H$5:$H$115,$K68+1)-INDEX(Loads!$H$5:$H$115,$K68))/(INDEX(Loads!$G$5:$G$115,$K68+1)-INDEX(Loads!$G$5:$G$115,$K68))*($C68-INDEX(Loads!$G$5:$G$115,$K68))))</f>
        <v>-37102.722153846153</v>
      </c>
      <c r="M68" s="73">
        <f>IF(ISBLANK(INDEX(Loads!$I$5:$I$115,$K68)),"-",INDEX(Loads!$I$5:$I$115,$K68)+IF(NOT(ISERROR($J68)),0,(INDEX(Loads!$I$5:$I$115,$K68+1)-INDEX(Loads!$I$5:$I$115,$K68))/(INDEX(Loads!$G$5:$G$115,$K68+1)-INDEX(Loads!$G$5:$G$115,$K68))*($C68-INDEX(Loads!$G$5:$G$115,$K68))))</f>
        <v>-46398.145923076925</v>
      </c>
      <c r="N68" s="73">
        <f>IF(ISBLANK(INDEX(Loads!$J$5:$J$115,$K68)),"-",INDEX(Loads!$J$5:$J$115,$K68)+IF(NOT(ISERROR($J68)),0,(INDEX(Loads!$J$5:$J$115,$K68+1)-INDEX(Loads!$J$5:$J$115,$K68))/(INDEX(Loads!$G$5:$G$115,$K68+1)-INDEX(Loads!$G$5:$G$115,$K68))*($C68-INDEX(Loads!$G$5:$G$115,$K68))))</f>
        <v>776025.86692307692</v>
      </c>
      <c r="O68" s="73">
        <f>IF(ISBLANK(INDEX(Loads!$K$5:$K$115,$K68)),"-",INDEX(Loads!$K$5:$K$115,$K68)+IF(NOT(ISERROR($J68)),0,(INDEX(Loads!$K$5:$K$115,$K68+1)-INDEX(Loads!$K$5:$K$115,$K68))/(INDEX(Loads!$G$5:$G$115,$K68+1)-INDEX(Loads!$G$5:$G$115,$K68))*($C68-INDEX(Loads!$G$5:$G$115,$K68))))</f>
        <v>13637.348961538461</v>
      </c>
      <c r="Q68" t="e">
        <f>MATCH($C68,Loads!$M$5:$M$115,0)</f>
        <v>#N/A</v>
      </c>
      <c r="R68">
        <f>MATCH($C68,Loads!$M$5:$M$115,1)</f>
        <v>99</v>
      </c>
      <c r="S68" s="73">
        <f>IF(ISBLANK(INDEX(Loads!$N$5:$N$115,$R68)),"-",INDEX(Loads!$N$5:$N$115,$K68)+IF(NOT(ISERROR($Q68)),0,(INDEX(Loads!$N$5:$N$115,$R68+1)-INDEX(Loads!$N$5:$N$115,$R68))/(INDEX(Loads!$M$5:$M$115,$R68+1)-INDEX(Loads!$M$5:$M$115,$R68))*($C68-INDEX(Loads!$M$5:$M$115,$R68))))</f>
        <v>-27483.493923076923</v>
      </c>
      <c r="T68" s="73">
        <f>IF(ISBLANK(INDEX(Loads!$O$5:$O$115,$R68)),"-",INDEX(Loads!$O$5:$O$115,$K68)+IF(NOT(ISERROR($Q68)),0,(INDEX(Loads!$O$5:$O$115,$R68+1)-INDEX(Loads!$O$5:$O$115,$R68))/(INDEX(Loads!$M$5:$M$115,$R68+1)-INDEX(Loads!$M$5:$M$115,$R68))*($C68-INDEX(Loads!$M$5:$M$115,$R68))))</f>
        <v>584822.3392307692</v>
      </c>
      <c r="U68" s="73">
        <f>IF(ISBLANK(INDEX(Loads!$P$5:$P$115,$R68)),"-",INDEX(Loads!$P$5:$P$115,$K68)+IF(NOT(ISERROR($Q68)),0,(INDEX(Loads!$P$5:$P$115,$R68+1)-INDEX(Loads!$P$5:$P$115,$R68))/(INDEX(Loads!$M$5:$M$115,$R68+1)-INDEX(Loads!$M$5:$M$115,$R68))*($C68-INDEX(Loads!$M$5:$M$115,$R68))))</f>
        <v>10101.736934615385</v>
      </c>
    </row>
    <row r="69" spans="3:21">
      <c r="C69" s="72">
        <f>Geometry!AF33</f>
        <v>-23.715</v>
      </c>
      <c r="E69" s="62" t="e">
        <f>MATCH($C69,Loads!$C$5:$C$115,0)</f>
        <v>#N/A</v>
      </c>
      <c r="F69" s="62">
        <f>MATCH($C69,Loads!$C$5:$C$115,1)</f>
        <v>99</v>
      </c>
      <c r="G69" s="73">
        <f>IF(ISBLANK(INDEX(Loads!$D$5:$D$115,$F69)),"-",INDEX(Loads!$D$5:$D$115,$F69)+IF(NOT(ISERROR($E69)),0,(INDEX(Loads!$D$5:$D$115,$F69+1)-INDEX(Loads!$D$5:$D$115,$F69))/(INDEX(Loads!$C$5:$C$115,$F69+1)-INDEX(Loads!$C$5:$C$115,$F69))*($C69-INDEX(Loads!$C$5:$C$115,$F69))))</f>
        <v>174790.45384615386</v>
      </c>
      <c r="H69" s="73">
        <f>IF(ISBLANK(INDEX(Loads!$E$5:$E$115,$F69)),"-",INDEX(Loads!$E$5:$E$115,$F69)+IF(NOT(ISERROR($E69)),0,(INDEX(Loads!$E$5:$E$115,$F69+1)-INDEX(Loads!$E$5:$E$115,$F69))/(INDEX(Loads!$C$5:$C$115,$F69+1)-INDEX(Loads!$C$5:$C$115,$F69))*($C69-INDEX(Loads!$C$5:$C$115,$F69))))</f>
        <v>167742.91153846157</v>
      </c>
      <c r="J69" s="62" t="e">
        <f>MATCH($C69,Loads!$G$5:$G$115,0)</f>
        <v>#N/A</v>
      </c>
      <c r="K69" s="62">
        <f>MATCH($C69,Loads!$G$5:$G$115,1)</f>
        <v>99</v>
      </c>
      <c r="L69" s="73">
        <f>IF(ISBLANK(INDEX(Loads!$H$5:$H$115,$K69)),"-",INDEX(Loads!$H$5:$H$115,$K69)+IF(NOT(ISERROR($J69)),0,(INDEX(Loads!$H$5:$H$115,$K69+1)-INDEX(Loads!$H$5:$H$115,$K69))/(INDEX(Loads!$G$5:$G$115,$K69+1)-INDEX(Loads!$G$5:$G$115,$K69))*($C69-INDEX(Loads!$G$5:$G$115,$K69))))</f>
        <v>-37449.019589743591</v>
      </c>
      <c r="M69" s="73">
        <f>IF(ISBLANK(INDEX(Loads!$I$5:$I$115,$K69)),"-",INDEX(Loads!$I$5:$I$115,$K69)+IF(NOT(ISERROR($J69)),0,(INDEX(Loads!$I$5:$I$115,$K69+1)-INDEX(Loads!$I$5:$I$115,$K69))/(INDEX(Loads!$G$5:$G$115,$K69+1)-INDEX(Loads!$G$5:$G$115,$K69))*($C69-INDEX(Loads!$G$5:$G$115,$K69))))</f>
        <v>-46399.463871794876</v>
      </c>
      <c r="N69" s="73">
        <f>IF(ISBLANK(INDEX(Loads!$J$5:$J$115,$K69)),"-",INDEX(Loads!$J$5:$J$115,$K69)+IF(NOT(ISERROR($J69)),0,(INDEX(Loads!$J$5:$J$115,$K69+1)-INDEX(Loads!$J$5:$J$115,$K69))/(INDEX(Loads!$G$5:$G$115,$K69+1)-INDEX(Loads!$G$5:$G$115,$K69))*($C69-INDEX(Loads!$G$5:$G$115,$K69))))</f>
        <v>785853.91820512828</v>
      </c>
      <c r="O69" s="73">
        <f>IF(ISBLANK(INDEX(Loads!$K$5:$K$115,$K69)),"-",INDEX(Loads!$K$5:$K$115,$K69)+IF(NOT(ISERROR($J69)),0,(INDEX(Loads!$K$5:$K$115,$K69+1)-INDEX(Loads!$K$5:$K$115,$K69))/(INDEX(Loads!$G$5:$G$115,$K69+1)-INDEX(Loads!$G$5:$G$115,$K69))*($C69-INDEX(Loads!$G$5:$G$115,$K69))))</f>
        <v>13883.74126923077</v>
      </c>
      <c r="Q69" t="e">
        <f>MATCH($C69,Loads!$M$5:$M$115,0)</f>
        <v>#N/A</v>
      </c>
      <c r="R69">
        <f>MATCH($C69,Loads!$M$5:$M$115,1)</f>
        <v>99</v>
      </c>
      <c r="S69" s="73">
        <f>IF(ISBLANK(INDEX(Loads!$N$5:$N$115,$R69)),"-",INDEX(Loads!$N$5:$N$115,$K69)+IF(NOT(ISERROR($Q69)),0,(INDEX(Loads!$N$5:$N$115,$R69+1)-INDEX(Loads!$N$5:$N$115,$R69))/(INDEX(Loads!$M$5:$M$115,$R69+1)-INDEX(Loads!$M$5:$M$115,$R69))*($C69-INDEX(Loads!$M$5:$M$115,$R69))))</f>
        <v>-27740.011871794872</v>
      </c>
      <c r="T69" s="73">
        <f>IF(ISBLANK(INDEX(Loads!$O$5:$O$115,$R69)),"-",INDEX(Loads!$O$5:$O$115,$K69)+IF(NOT(ISERROR($Q69)),0,(INDEX(Loads!$O$5:$O$115,$R69+1)-INDEX(Loads!$O$5:$O$115,$R69))/(INDEX(Loads!$M$5:$M$115,$R69+1)-INDEX(Loads!$M$5:$M$115,$R69))*($C69-INDEX(Loads!$M$5:$M$115,$R69))))</f>
        <v>592274.18538461544</v>
      </c>
      <c r="U69" s="73">
        <f>IF(ISBLANK(INDEX(Loads!$P$5:$P$115,$R69)),"-",INDEX(Loads!$P$5:$P$115,$K69)+IF(NOT(ISERROR($Q69)),0,(INDEX(Loads!$P$5:$P$115,$R69+1)-INDEX(Loads!$P$5:$P$115,$R69))/(INDEX(Loads!$M$5:$M$115,$R69+1)-INDEX(Loads!$M$5:$M$115,$R69))*($C69-INDEX(Loads!$M$5:$M$115,$R69))))</f>
        <v>10284.250524358975</v>
      </c>
    </row>
    <row r="70" spans="3:21">
      <c r="C70" s="72">
        <f>Geometry!AF34</f>
        <v>-34.072499999999998</v>
      </c>
      <c r="E70" s="62" t="e">
        <f>MATCH($C70,Loads!$C$5:$C$115,0)</f>
        <v>#N/A</v>
      </c>
      <c r="F70" s="62">
        <f>MATCH($C70,Loads!$C$5:$C$115,1)</f>
        <v>96</v>
      </c>
      <c r="G70" s="73">
        <f>IF(ISBLANK(INDEX(Loads!$D$5:$D$115,$F70)),"-",INDEX(Loads!$D$5:$D$115,$F70)+IF(NOT(ISERROR($E70)),0,(INDEX(Loads!$D$5:$D$115,$F70+1)-INDEX(Loads!$D$5:$D$115,$F70))/(INDEX(Loads!$C$5:$C$115,$F70+1)-INDEX(Loads!$C$5:$C$115,$F70))*($C70-INDEX(Loads!$C$5:$C$115,$F70))))</f>
        <v>197416.96153846156</v>
      </c>
      <c r="H70" s="73">
        <f>IF(ISBLANK(INDEX(Loads!$E$5:$E$115,$F70)),"-",INDEX(Loads!$E$5:$E$115,$F70)+IF(NOT(ISERROR($E70)),0,(INDEX(Loads!$E$5:$E$115,$F70+1)-INDEX(Loads!$E$5:$E$115,$F70))/(INDEX(Loads!$C$5:$C$115,$F70+1)-INDEX(Loads!$C$5:$C$115,$F70))*($C70-INDEX(Loads!$C$5:$C$115,$F70))))</f>
        <v>188829.30576923079</v>
      </c>
      <c r="J70" s="62" t="e">
        <f>MATCH($C70,Loads!$G$5:$G$115,0)</f>
        <v>#N/A</v>
      </c>
      <c r="K70" s="62">
        <f>MATCH($C70,Loads!$G$5:$G$115,1)</f>
        <v>96</v>
      </c>
      <c r="L70" s="73">
        <f>IF(ISBLANK(INDEX(Loads!$H$5:$H$115,$K70)),"-",INDEX(Loads!$H$5:$H$115,$K70)+IF(NOT(ISERROR($J70)),0,(INDEX(Loads!$H$5:$H$115,$K70+1)-INDEX(Loads!$H$5:$H$115,$K70))/(INDEX(Loads!$G$5:$G$115,$K70+1)-INDEX(Loads!$G$5:$G$115,$K70))*($C70-INDEX(Loads!$G$5:$G$115,$K70))))</f>
        <v>-41216.147967948717</v>
      </c>
      <c r="M70" s="73">
        <f>IF(ISBLANK(INDEX(Loads!$I$5:$I$115,$K70)),"-",INDEX(Loads!$I$5:$I$115,$K70)+IF(NOT(ISERROR($J70)),0,(INDEX(Loads!$I$5:$I$115,$K70+1)-INDEX(Loads!$I$5:$I$115,$K70))/(INDEX(Loads!$G$5:$G$115,$K70+1)-INDEX(Loads!$G$5:$G$115,$K70))*($C70-INDEX(Loads!$G$5:$G$115,$K70))))</f>
        <v>-46410.99744871795</v>
      </c>
      <c r="N70" s="73">
        <f>IF(ISBLANK(INDEX(Loads!$J$5:$J$115,$K70)),"-",INDEX(Loads!$J$5:$J$115,$K70)+IF(NOT(ISERROR($J70)),0,(INDEX(Loads!$J$5:$J$115,$K70+1)-INDEX(Loads!$J$5:$J$115,$K70))/(INDEX(Loads!$G$5:$G$115,$K70+1)-INDEX(Loads!$G$5:$G$115,$K70))*($C70-INDEX(Loads!$G$5:$G$115,$K70))))</f>
        <v>897732.64108974359</v>
      </c>
      <c r="O70" s="73">
        <f>IF(ISBLANK(INDEX(Loads!$K$5:$K$115,$K70)),"-",INDEX(Loads!$K$5:$K$115,$K70)+IF(NOT(ISERROR($J70)),0,(INDEX(Loads!$K$5:$K$115,$K70+1)-INDEX(Loads!$K$5:$K$115,$K70))/(INDEX(Loads!$G$5:$G$115,$K70+1)-INDEX(Loads!$G$5:$G$115,$K70))*($C70-INDEX(Loads!$G$5:$G$115,$K70))))</f>
        <v>16520.840179487179</v>
      </c>
      <c r="Q70" t="e">
        <f>MATCH($C70,Loads!$M$5:$M$115,0)</f>
        <v>#N/A</v>
      </c>
      <c r="R70">
        <f>MATCH($C70,Loads!$M$5:$M$115,1)</f>
        <v>96</v>
      </c>
      <c r="S70" s="73">
        <f>IF(ISBLANK(INDEX(Loads!$N$5:$N$115,$R70)),"-",INDEX(Loads!$N$5:$N$115,$K70)+IF(NOT(ISERROR($Q70)),0,(INDEX(Loads!$N$5:$N$115,$R70+1)-INDEX(Loads!$N$5:$N$115,$R70))/(INDEX(Loads!$M$5:$M$115,$R70+1)-INDEX(Loads!$M$5:$M$115,$R70))*($C70-INDEX(Loads!$M$5:$M$115,$R70))))</f>
        <v>-30530.474179487181</v>
      </c>
      <c r="T70" s="73">
        <f>IF(ISBLANK(INDEX(Loads!$O$5:$O$115,$R70)),"-",INDEX(Loads!$O$5:$O$115,$K70)+IF(NOT(ISERROR($Q70)),0,(INDEX(Loads!$O$5:$O$115,$R70+1)-INDEX(Loads!$O$5:$O$115,$R70))/(INDEX(Loads!$M$5:$M$115,$R70+1)-INDEX(Loads!$M$5:$M$115,$R70))*($C70-INDEX(Loads!$M$5:$M$115,$R70))))</f>
        <v>677207.68128205126</v>
      </c>
      <c r="U70" s="73">
        <f>IF(ISBLANK(INDEX(Loads!$P$5:$P$115,$R70)),"-",INDEX(Loads!$P$5:$P$115,$K70)+IF(NOT(ISERROR($Q70)),0,(INDEX(Loads!$P$5:$P$115,$R70+1)-INDEX(Loads!$P$5:$P$115,$R70))/(INDEX(Loads!$M$5:$M$115,$R70+1)-INDEX(Loads!$M$5:$M$115,$R70))*($C70-INDEX(Loads!$M$5:$M$115,$R70))))</f>
        <v>12237.664230769231</v>
      </c>
    </row>
    <row r="71" spans="3:21">
      <c r="C71" s="72">
        <f>Geometry!AF35</f>
        <v>-40.43</v>
      </c>
      <c r="E71" s="62" t="e">
        <f>MATCH($C71,Loads!$C$5:$C$115,0)</f>
        <v>#N/A</v>
      </c>
      <c r="F71" s="62">
        <f>MATCH($C71,Loads!$C$5:$C$115,1)</f>
        <v>95</v>
      </c>
      <c r="G71" s="73">
        <f>IF(ISBLANK(INDEX(Loads!$D$5:$D$115,$F71)),"-",INDEX(Loads!$D$5:$D$115,$F71)+IF(NOT(ISERROR($E71)),0,(INDEX(Loads!$D$5:$D$115,$F71+1)-INDEX(Loads!$D$5:$D$115,$F71))/(INDEX(Loads!$C$5:$C$115,$F71+1)-INDEX(Loads!$C$5:$C$115,$F71))*($C71-INDEX(Loads!$C$5:$C$115,$F71))))</f>
        <v>215931.60000000003</v>
      </c>
      <c r="H71" s="73">
        <f>IF(ISBLANK(INDEX(Loads!$E$5:$E$115,$F71)),"-",INDEX(Loads!$E$5:$E$115,$F71)+IF(NOT(ISERROR($E71)),0,(INDEX(Loads!$E$5:$E$115,$F71+1)-INDEX(Loads!$E$5:$E$115,$F71))/(INDEX(Loads!$C$5:$C$115,$F71+1)-INDEX(Loads!$C$5:$C$115,$F71))*($C71-INDEX(Loads!$C$5:$C$115,$F71))))</f>
        <v>205769.6307692308</v>
      </c>
      <c r="J71" s="62" t="e">
        <f>MATCH($C71,Loads!$G$5:$G$115,0)</f>
        <v>#N/A</v>
      </c>
      <c r="K71" s="62">
        <f>MATCH($C71,Loads!$G$5:$G$115,1)</f>
        <v>95</v>
      </c>
      <c r="L71" s="73">
        <f>IF(ISBLANK(INDEX(Loads!$H$5:$H$115,$K71)),"-",INDEX(Loads!$H$5:$H$115,$K71)+IF(NOT(ISERROR($J71)),0,(INDEX(Loads!$H$5:$H$115,$K71+1)-INDEX(Loads!$H$5:$H$115,$K71))/(INDEX(Loads!$G$5:$G$115,$K71+1)-INDEX(Loads!$G$5:$G$115,$K71))*($C71-INDEX(Loads!$G$5:$G$115,$K71))))</f>
        <v>-42721.019</v>
      </c>
      <c r="M71" s="73">
        <f>IF(ISBLANK(INDEX(Loads!$I$5:$I$115,$K71)),"-",INDEX(Loads!$I$5:$I$115,$K71)+IF(NOT(ISERROR($J71)),0,(INDEX(Loads!$I$5:$I$115,$K71+1)-INDEX(Loads!$I$5:$I$115,$K71))/(INDEX(Loads!$G$5:$G$115,$K71+1)-INDEX(Loads!$G$5:$G$115,$K71))*($C71-INDEX(Loads!$G$5:$G$115,$K71))))</f>
        <v>-46414.860769230771</v>
      </c>
      <c r="N71" s="73">
        <f>IF(ISBLANK(INDEX(Loads!$J$5:$J$115,$K71)),"-",INDEX(Loads!$J$5:$J$115,$K71)+IF(NOT(ISERROR($J71)),0,(INDEX(Loads!$J$5:$J$115,$K71+1)-INDEX(Loads!$J$5:$J$115,$K71))/(INDEX(Loads!$G$5:$G$115,$K71+1)-INDEX(Loads!$G$5:$G$115,$K71))*($C71-INDEX(Loads!$G$5:$G$115,$K71))))</f>
        <v>989483.19538461545</v>
      </c>
      <c r="O71" s="73">
        <f>IF(ISBLANK(INDEX(Loads!$K$5:$K$115,$K71)),"-",INDEX(Loads!$K$5:$K$115,$K71)+IF(NOT(ISERROR($J71)),0,(INDEX(Loads!$K$5:$K$115,$K71+1)-INDEX(Loads!$K$5:$K$115,$K71))/(INDEX(Loads!$G$5:$G$115,$K71+1)-INDEX(Loads!$G$5:$G$115,$K71))*($C71-INDEX(Loads!$G$5:$G$115,$K71))))</f>
        <v>18132.631307692307</v>
      </c>
      <c r="Q71" t="e">
        <f>MATCH($C71,Loads!$M$5:$M$115,0)</f>
        <v>#N/A</v>
      </c>
      <c r="R71">
        <f>MATCH($C71,Loads!$M$5:$M$115,1)</f>
        <v>95</v>
      </c>
      <c r="S71" s="73">
        <f>IF(ISBLANK(INDEX(Loads!$N$5:$N$115,$R71)),"-",INDEX(Loads!$N$5:$N$115,$K71)+IF(NOT(ISERROR($Q71)),0,(INDEX(Loads!$N$5:$N$115,$R71+1)-INDEX(Loads!$N$5:$N$115,$R71))/(INDEX(Loads!$M$5:$M$115,$R71+1)-INDEX(Loads!$M$5:$M$115,$R71))*($C71-INDEX(Loads!$M$5:$M$115,$R71))))</f>
        <v>-31645.198230769231</v>
      </c>
      <c r="T71" s="73">
        <f>IF(ISBLANK(INDEX(Loads!$O$5:$O$115,$R71)),"-",INDEX(Loads!$O$5:$O$115,$K71)+IF(NOT(ISERROR($Q71)),0,(INDEX(Loads!$O$5:$O$115,$R71+1)-INDEX(Loads!$O$5:$O$115,$R71))/(INDEX(Loads!$M$5:$M$115,$R71+1)-INDEX(Loads!$M$5:$M$115,$R71))*($C71-INDEX(Loads!$M$5:$M$115,$R71))))</f>
        <v>746742.04538461543</v>
      </c>
      <c r="U71" s="73">
        <f>IF(ISBLANK(INDEX(Loads!$P$5:$P$115,$R71)),"-",INDEX(Loads!$P$5:$P$115,$K71)+IF(NOT(ISERROR($Q71)),0,(INDEX(Loads!$P$5:$P$115,$R71+1)-INDEX(Loads!$P$5:$P$115,$R71))/(INDEX(Loads!$M$5:$M$115,$R71+1)-INDEX(Loads!$M$5:$M$115,$R71))*($C71-INDEX(Loads!$M$5:$M$115,$R71))))</f>
        <v>13431.583307692308</v>
      </c>
    </row>
  </sheetData>
  <sheetProtection sheet="1" objects="1" scenarios="1"/>
  <mergeCells count="12">
    <mergeCell ref="G4:H4"/>
    <mergeCell ref="G15:H15"/>
    <mergeCell ref="S4:U4"/>
    <mergeCell ref="L15:O15"/>
    <mergeCell ref="S15:U15"/>
    <mergeCell ref="L4:O4"/>
    <mergeCell ref="G45:H45"/>
    <mergeCell ref="G61:H61"/>
    <mergeCell ref="L45:O45"/>
    <mergeCell ref="S45:U45"/>
    <mergeCell ref="L61:O61"/>
    <mergeCell ref="S61:U61"/>
  </mergeCells>
  <pageMargins left="0.7" right="0.7" top="0.78740157499999996" bottom="0.78740157499999996"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4D373-9C3C-40A9-A489-E945093213CE}">
  <sheetPr codeName="Tabelle4">
    <tabColor rgb="FF80C7C3"/>
  </sheetPr>
  <dimension ref="B3:AO91"/>
  <sheetViews>
    <sheetView workbookViewId="0"/>
  </sheetViews>
  <sheetFormatPr baseColWidth="10" defaultColWidth="11.44140625" defaultRowHeight="14.4"/>
  <cols>
    <col min="2" max="2" width="4.5546875" customWidth="1"/>
    <col min="3" max="3" width="10.44140625" customWidth="1"/>
    <col min="4" max="12" width="9.44140625" customWidth="1"/>
    <col min="13" max="23" width="10.44140625" customWidth="1"/>
    <col min="24" max="33" width="7.5546875" customWidth="1"/>
    <col min="34" max="35" width="8.5546875" customWidth="1"/>
  </cols>
  <sheetData>
    <row r="3" spans="3:38">
      <c r="C3" s="35" t="s">
        <v>468</v>
      </c>
      <c r="X3" s="185" t="s">
        <v>311</v>
      </c>
      <c r="Y3" s="185"/>
      <c r="Z3" s="185"/>
      <c r="AB3" s="185" t="s">
        <v>553</v>
      </c>
      <c r="AC3" s="185"/>
      <c r="AD3" s="185"/>
      <c r="AE3" s="185"/>
      <c r="AF3" s="185"/>
      <c r="AG3" s="185"/>
      <c r="AH3" s="185"/>
      <c r="AI3" s="185"/>
    </row>
    <row r="4" spans="3:38">
      <c r="C4" s="308" t="s">
        <v>0</v>
      </c>
      <c r="D4" s="12" t="s">
        <v>1</v>
      </c>
      <c r="E4" s="12" t="s">
        <v>2</v>
      </c>
      <c r="F4" s="12" t="s">
        <v>3</v>
      </c>
      <c r="G4" s="12" t="s">
        <v>4</v>
      </c>
      <c r="H4" s="12" t="s">
        <v>5</v>
      </c>
      <c r="I4" s="12" t="s">
        <v>6</v>
      </c>
      <c r="J4" s="12" t="s">
        <v>7</v>
      </c>
      <c r="K4" s="12" t="s">
        <v>8</v>
      </c>
      <c r="X4" s="8" t="s">
        <v>41</v>
      </c>
      <c r="Z4" s="33">
        <f>Control!F40</f>
        <v>31</v>
      </c>
      <c r="AB4" s="8" t="s">
        <v>40</v>
      </c>
      <c r="AC4" s="16" t="str">
        <f>Control!F39</f>
        <v>EC</v>
      </c>
      <c r="AD4" s="8" t="s">
        <v>91</v>
      </c>
      <c r="AE4" s="7">
        <f>IF($AC$4="DNV",5,4)</f>
        <v>4</v>
      </c>
      <c r="AF4" s="6"/>
      <c r="AG4" s="6"/>
      <c r="AH4" s="6"/>
      <c r="AI4" s="6"/>
    </row>
    <row r="5" spans="3:38">
      <c r="C5" s="309"/>
      <c r="D5" s="12" t="str">
        <f>"[m"&amp;Control!$F$7&amp;"]"</f>
        <v>[mLAT]</v>
      </c>
      <c r="E5" s="12" t="str">
        <f>"[m"&amp;Control!$F$7&amp;"]"</f>
        <v>[mLAT]</v>
      </c>
      <c r="F5" s="12" t="s">
        <v>9</v>
      </c>
      <c r="G5" s="12" t="s">
        <v>9</v>
      </c>
      <c r="H5" s="12" t="s">
        <v>10</v>
      </c>
      <c r="I5" s="12" t="s">
        <v>9</v>
      </c>
      <c r="J5" s="12" t="s">
        <v>11</v>
      </c>
      <c r="K5" s="12" t="s">
        <v>12</v>
      </c>
      <c r="X5" s="8" t="s">
        <v>38</v>
      </c>
      <c r="Z5" s="33">
        <f>Control!F41</f>
        <v>30</v>
      </c>
      <c r="AB5" s="185" t="s">
        <v>546</v>
      </c>
      <c r="AC5" s="185"/>
      <c r="AD5" s="185"/>
      <c r="AE5" s="185"/>
      <c r="AF5" s="185"/>
      <c r="AG5" s="186"/>
      <c r="AH5" s="186"/>
      <c r="AI5" s="186"/>
      <c r="AK5" s="6"/>
    </row>
    <row r="6" spans="3:38">
      <c r="C6" s="12">
        <v>1</v>
      </c>
      <c r="D6" s="44">
        <f>Geometry!D11</f>
        <v>20.9</v>
      </c>
      <c r="E6" s="44">
        <f>Geometry!E11</f>
        <v>17.5</v>
      </c>
      <c r="F6" s="44">
        <f>Geometry!F11</f>
        <v>7.5</v>
      </c>
      <c r="G6" s="44">
        <f>Geometry!G11</f>
        <v>7.5</v>
      </c>
      <c r="H6" s="44">
        <f>Geometry!H11</f>
        <v>85</v>
      </c>
      <c r="I6" s="56">
        <f>D6-E6</f>
        <v>3.3999999999999986</v>
      </c>
      <c r="J6" s="57">
        <f>ATAN((G6-F6)/(2*I6))/PI()*180</f>
        <v>0</v>
      </c>
      <c r="K6" s="58">
        <f>IF(J6=0,PI()/4*(F6^2-(F6-(2*H6/1000))^2)*I6*7850/1000,(I6*PI()/12)*((G6^2+G6*F6+F6^2)-((G6-2*(H6/1000))^2+(G6-(2*H6/1000))*(F6-(2*H6/1000))+(F6-(2*H6/1000))^2))*7850/1000)</f>
        <v>52.847996496995393</v>
      </c>
      <c r="X6" s="17" t="s">
        <v>39</v>
      </c>
      <c r="Z6" s="33">
        <f>Control!F42</f>
        <v>19</v>
      </c>
      <c r="AB6" s="8" t="s">
        <v>297</v>
      </c>
      <c r="AD6" s="6">
        <f>IF($AC$4="EC",112,65.5)</f>
        <v>112</v>
      </c>
      <c r="AF6" s="6" t="s">
        <v>148</v>
      </c>
      <c r="AG6" s="6">
        <f>IF($AC$4="EC",140,93.59)</f>
        <v>140</v>
      </c>
      <c r="AH6" s="6"/>
      <c r="AI6" s="6"/>
      <c r="AJ6" s="6"/>
      <c r="AK6" s="6"/>
      <c r="AL6" s="6"/>
    </row>
    <row r="7" spans="3:38">
      <c r="C7" s="12">
        <v>2</v>
      </c>
      <c r="D7" s="44">
        <f>Geometry!D12</f>
        <v>17.5</v>
      </c>
      <c r="E7" s="44">
        <f>Geometry!E12</f>
        <v>13.5</v>
      </c>
      <c r="F7" s="44">
        <f>Geometry!F12</f>
        <v>7.5</v>
      </c>
      <c r="G7" s="44">
        <f>Geometry!G12</f>
        <v>7.5</v>
      </c>
      <c r="H7" s="44">
        <f>Geometry!H12</f>
        <v>85</v>
      </c>
      <c r="I7" s="56">
        <f t="shared" ref="I7:I9" si="0">D7-E7</f>
        <v>4</v>
      </c>
      <c r="J7" s="57">
        <f t="shared" ref="J7:J9" si="1">ATAN((G7-F7)/(2*I7))/PI()*180</f>
        <v>0</v>
      </c>
      <c r="K7" s="58">
        <f t="shared" ref="K7:K9" si="2">IF(J7=0,PI()/4*(F7^2-(F7-(2*H7/1000))^2)*I7*7850/1000,(I7*PI()/12)*((G7^2+G7*F7+F7^2)-((G7-2*(H7/1000))^2+(G7-(2*H7/1000))*(F7-(2*H7/1000))+(F7-(2*H7/1000))^2))*7850/1000)</f>
        <v>62.174113525876955</v>
      </c>
      <c r="X7" s="8"/>
      <c r="Z7" s="16"/>
      <c r="AB7" s="8" t="s">
        <v>37</v>
      </c>
      <c r="AD7" s="6">
        <f>IF($AC$4="EC",90,52.63)</f>
        <v>90</v>
      </c>
      <c r="AE7" s="6"/>
      <c r="AF7" s="6" t="s">
        <v>150</v>
      </c>
      <c r="AG7" s="6">
        <f>IF($AC$4="EC",100,AD7)</f>
        <v>100</v>
      </c>
      <c r="AH7" s="6"/>
      <c r="AI7" s="6"/>
    </row>
    <row r="8" spans="3:38">
      <c r="C8" s="12">
        <v>3</v>
      </c>
      <c r="D8" s="44">
        <f>Geometry!D13</f>
        <v>13.5</v>
      </c>
      <c r="E8" s="44">
        <f>Geometry!E13</f>
        <v>9.5</v>
      </c>
      <c r="F8" s="44">
        <f>Geometry!F13</f>
        <v>7.5</v>
      </c>
      <c r="G8" s="44">
        <f>Geometry!G13</f>
        <v>7.5</v>
      </c>
      <c r="H8" s="44">
        <f>Geometry!H13</f>
        <v>92</v>
      </c>
      <c r="I8" s="56">
        <f t="shared" si="0"/>
        <v>4</v>
      </c>
      <c r="J8" s="57">
        <f t="shared" si="1"/>
        <v>0</v>
      </c>
      <c r="K8" s="58">
        <f t="shared" si="2"/>
        <v>67.23080660976909</v>
      </c>
      <c r="X8" s="8" t="s">
        <v>69</v>
      </c>
      <c r="Z8" s="33" t="str">
        <f>Control!F43</f>
        <v>N</v>
      </c>
      <c r="AB8" s="8" t="s">
        <v>463</v>
      </c>
      <c r="AD8" s="6">
        <f>IF($AC$4="EC",112,65.5)</f>
        <v>112</v>
      </c>
      <c r="AF8" t="s">
        <v>551</v>
      </c>
      <c r="AG8">
        <f>IF($AC$4="EC",112,AD6)</f>
        <v>112</v>
      </c>
    </row>
    <row r="9" spans="3:38">
      <c r="C9" s="12">
        <v>4</v>
      </c>
      <c r="D9" s="44">
        <f>Geometry!D14</f>
        <v>9.5</v>
      </c>
      <c r="E9" s="44">
        <f>Geometry!E14</f>
        <v>5.5</v>
      </c>
      <c r="F9" s="44">
        <f>Geometry!F14</f>
        <v>7.5</v>
      </c>
      <c r="G9" s="44">
        <f>Geometry!G14</f>
        <v>7.5</v>
      </c>
      <c r="H9" s="44">
        <f>Geometry!H14</f>
        <v>100</v>
      </c>
      <c r="I9" s="56">
        <f t="shared" si="0"/>
        <v>4</v>
      </c>
      <c r="J9" s="57">
        <f t="shared" si="1"/>
        <v>0</v>
      </c>
      <c r="K9" s="58">
        <f t="shared" si="2"/>
        <v>72.998046898812447</v>
      </c>
      <c r="X9" s="8" t="s">
        <v>70</v>
      </c>
      <c r="Z9" s="33">
        <f>Control!F44</f>
        <v>0</v>
      </c>
      <c r="AF9" t="s">
        <v>547</v>
      </c>
      <c r="AG9">
        <f>IF(AC4="EC",225,131.62)</f>
        <v>225</v>
      </c>
      <c r="AH9" t="s">
        <v>563</v>
      </c>
      <c r="AI9">
        <v>1.3</v>
      </c>
    </row>
    <row r="10" spans="3:38">
      <c r="AE10" s="7"/>
      <c r="AF10" s="7"/>
      <c r="AG10" s="6"/>
      <c r="AH10" s="6"/>
      <c r="AI10" s="6"/>
    </row>
    <row r="11" spans="3:38">
      <c r="X11" s="185" t="s">
        <v>548</v>
      </c>
      <c r="Y11" s="185"/>
      <c r="Z11" s="185"/>
      <c r="AB11" s="185" t="s">
        <v>552</v>
      </c>
      <c r="AC11" s="185"/>
      <c r="AD11" s="185"/>
      <c r="AE11" s="185"/>
      <c r="AF11" s="185"/>
      <c r="AG11" s="185"/>
      <c r="AH11" s="185"/>
      <c r="AI11" s="185"/>
    </row>
    <row r="12" spans="3:38">
      <c r="X12" s="8" t="s">
        <v>184</v>
      </c>
      <c r="Z12" s="33">
        <f>Control!F22</f>
        <v>0</v>
      </c>
      <c r="AB12" s="8" t="s">
        <v>65</v>
      </c>
      <c r="AC12" s="6"/>
      <c r="AD12" s="207">
        <f>IF(AND($AC$4="EC",$Z$8="Y"),1.15,IF(AND($AC$4="EC",$Z$8="N"),1.25,1))</f>
        <v>1.25</v>
      </c>
      <c r="AF12" s="8" t="s">
        <v>56</v>
      </c>
      <c r="AG12" s="207">
        <f>IF($AC$4="EC",0.3,0.2)</f>
        <v>0.3</v>
      </c>
    </row>
    <row r="13" spans="3:38">
      <c r="X13" t="str">
        <f>Control!E16</f>
        <v>External upper limit</v>
      </c>
      <c r="Z13" s="33">
        <f>Control!F16</f>
        <v>8.1</v>
      </c>
      <c r="AB13" s="8" t="s">
        <v>66</v>
      </c>
      <c r="AC13" s="6"/>
      <c r="AD13" s="207">
        <f>IF($AC$4="EC",1.25,1)</f>
        <v>1.25</v>
      </c>
      <c r="AF13" s="8" t="s">
        <v>298</v>
      </c>
      <c r="AG13" s="207">
        <f>IF($AC$4="EC",0.2,0.1)</f>
        <v>0.2</v>
      </c>
    </row>
    <row r="14" spans="3:38">
      <c r="X14" t="str">
        <f>Control!E17</f>
        <v xml:space="preserve">External lower limit </v>
      </c>
      <c r="Z14" s="33">
        <f>Control!F17</f>
        <v>-3.4</v>
      </c>
      <c r="AB14" s="8" t="s">
        <v>67</v>
      </c>
      <c r="AC14" s="6"/>
      <c r="AD14" s="208">
        <f>IF(AND($AC$4="DNV",$Z$8="Y"),2,IF(AND($AC$4="DNV",$Z$8="N"),3,1))</f>
        <v>1</v>
      </c>
      <c r="AE14" s="8"/>
      <c r="AF14" s="8" t="s">
        <v>299</v>
      </c>
      <c r="AG14" s="207">
        <f>IF($AC$4="EC",$AG$13,0.15)</f>
        <v>0.2</v>
      </c>
      <c r="AH14" s="8"/>
      <c r="AI14" s="6"/>
      <c r="AJ14" s="41"/>
    </row>
    <row r="15" spans="3:38">
      <c r="X15" t="str">
        <f>Control!E18</f>
        <v>Internal upper limit</v>
      </c>
      <c r="Z15" s="33">
        <f>Control!F18</f>
        <v>3</v>
      </c>
      <c r="AB15" s="8" t="s">
        <v>68</v>
      </c>
      <c r="AC15" s="6"/>
      <c r="AD15" s="208">
        <f>IF($AC$4="DNV",3,1)</f>
        <v>1</v>
      </c>
      <c r="AE15" s="6"/>
      <c r="AF15" s="8" t="s">
        <v>151</v>
      </c>
      <c r="AG15" s="207">
        <f>IF(AC4="EC",0.1,0)</f>
        <v>0.1</v>
      </c>
      <c r="AH15" s="6"/>
      <c r="AI15" s="6"/>
    </row>
    <row r="16" spans="3:38">
      <c r="X16" t="str">
        <f>Control!E19</f>
        <v>Internal lower limit</v>
      </c>
      <c r="Z16" s="33">
        <f>Control!F19</f>
        <v>-0.6</v>
      </c>
      <c r="AI16" s="6"/>
    </row>
    <row r="17" spans="3:41">
      <c r="AB17" s="185" t="s">
        <v>549</v>
      </c>
      <c r="AC17" s="185"/>
      <c r="AD17" s="185"/>
      <c r="AE17" s="186"/>
      <c r="AF17" s="185"/>
      <c r="AG17" s="185"/>
      <c r="AH17" s="185"/>
      <c r="AI17" s="185"/>
    </row>
    <row r="18" spans="3:41">
      <c r="AB18" s="8" t="s">
        <v>57</v>
      </c>
      <c r="AC18" s="6"/>
      <c r="AD18" s="6"/>
      <c r="AE18" s="16">
        <v>440</v>
      </c>
      <c r="AF18" s="6"/>
      <c r="AG18" s="6"/>
      <c r="AH18" s="6"/>
      <c r="AI18" s="6"/>
    </row>
    <row r="19" spans="3:41">
      <c r="AB19" s="8" t="s">
        <v>58</v>
      </c>
      <c r="AC19" s="6"/>
      <c r="AD19" s="6"/>
      <c r="AE19" s="16">
        <v>14</v>
      </c>
      <c r="AF19" s="6"/>
      <c r="AG19" s="6"/>
      <c r="AH19" s="6"/>
      <c r="AI19" s="6"/>
    </row>
    <row r="20" spans="3:41">
      <c r="Z20" s="6"/>
      <c r="AB20" s="8" t="s">
        <v>59</v>
      </c>
      <c r="AC20" s="6"/>
      <c r="AD20" s="6"/>
      <c r="AE20" s="14">
        <f>IF(AC4="DNV",(1-0.28*LOG(AE18/200))/(1-0.22*LOG(6*AE19)*LOG(AE18/200)),1)</f>
        <v>1</v>
      </c>
      <c r="AF20" s="6"/>
      <c r="AG20" s="6"/>
      <c r="AH20" s="6"/>
      <c r="AI20" s="6"/>
    </row>
    <row r="21" spans="3:41">
      <c r="Z21" s="6"/>
      <c r="AB21" s="6"/>
      <c r="AC21" s="6"/>
      <c r="AD21" s="6"/>
      <c r="AE21" s="6"/>
      <c r="AF21" s="6"/>
      <c r="AG21" s="6"/>
      <c r="AH21" s="6"/>
      <c r="AI21" s="6"/>
      <c r="AK21" s="8"/>
      <c r="AL21" s="8"/>
      <c r="AM21" s="8"/>
      <c r="AN21" s="8"/>
      <c r="AO21" s="6"/>
    </row>
    <row r="22" spans="3:41">
      <c r="AB22" s="185" t="s">
        <v>550</v>
      </c>
      <c r="AC22" s="185"/>
      <c r="AD22" s="185"/>
      <c r="AE22" s="185"/>
      <c r="AF22" s="185"/>
      <c r="AG22" s="186"/>
      <c r="AH22" s="186"/>
      <c r="AI22" s="186"/>
      <c r="AK22" s="8"/>
      <c r="AL22" s="8"/>
      <c r="AM22" s="8"/>
      <c r="AN22" s="8"/>
      <c r="AO22" s="6"/>
    </row>
    <row r="23" spans="3:41">
      <c r="AB23" s="8" t="s">
        <v>42</v>
      </c>
    </row>
    <row r="24" spans="3:41">
      <c r="AB24" s="8" t="s">
        <v>43</v>
      </c>
      <c r="AC24" s="8"/>
      <c r="AE24" s="193"/>
      <c r="AF24" s="14">
        <f>Z4-Z6</f>
        <v>12</v>
      </c>
    </row>
    <row r="25" spans="3:41">
      <c r="AB25" s="8" t="s">
        <v>44</v>
      </c>
      <c r="AC25" s="8"/>
      <c r="AE25" s="193"/>
      <c r="AF25" s="14">
        <f>Z5-AF24</f>
        <v>18</v>
      </c>
    </row>
    <row r="26" spans="3:41">
      <c r="AB26" s="8" t="str">
        <f>Control!E12</f>
        <v xml:space="preserve">Corrosion allowance rate outside </v>
      </c>
      <c r="AF26" s="33">
        <f>Control!F12</f>
        <v>0.3</v>
      </c>
    </row>
    <row r="27" spans="3:41">
      <c r="AB27" s="8" t="str">
        <f>Control!E13</f>
        <v xml:space="preserve">Corrosion allowance rate inside </v>
      </c>
      <c r="AF27" s="33">
        <f>Control!F13</f>
        <v>0.15</v>
      </c>
    </row>
    <row r="30" spans="3:41">
      <c r="C30" s="35" t="s">
        <v>207</v>
      </c>
      <c r="L30" s="312" t="s">
        <v>215</v>
      </c>
      <c r="M30" s="312"/>
      <c r="Q30" s="320" t="s">
        <v>559</v>
      </c>
      <c r="R30" s="321"/>
      <c r="S30" s="322"/>
      <c r="T30" s="313" t="s">
        <v>558</v>
      </c>
      <c r="U30" s="316"/>
      <c r="V30" s="314"/>
    </row>
    <row r="31" spans="3:41" ht="15" customHeight="1">
      <c r="C31" s="317" t="s">
        <v>19</v>
      </c>
      <c r="D31" s="317" t="s">
        <v>282</v>
      </c>
      <c r="E31" s="317" t="s">
        <v>281</v>
      </c>
      <c r="F31" s="317" t="s">
        <v>18</v>
      </c>
      <c r="G31" s="317" t="s">
        <v>284</v>
      </c>
      <c r="H31" s="317" t="s">
        <v>283</v>
      </c>
      <c r="I31" s="317" t="s">
        <v>13</v>
      </c>
      <c r="J31" s="317" t="s">
        <v>14</v>
      </c>
      <c r="K31" s="317" t="s">
        <v>15</v>
      </c>
      <c r="L31" s="317" t="s">
        <v>279</v>
      </c>
      <c r="M31" s="317" t="s">
        <v>280</v>
      </c>
      <c r="N31" s="317" t="s">
        <v>300</v>
      </c>
      <c r="P31" s="317" t="s">
        <v>606</v>
      </c>
      <c r="Q31" s="323" t="s">
        <v>555</v>
      </c>
      <c r="R31" s="323" t="s">
        <v>556</v>
      </c>
      <c r="S31" s="323" t="s">
        <v>557</v>
      </c>
      <c r="T31" s="312" t="s">
        <v>555</v>
      </c>
      <c r="U31" s="312" t="s">
        <v>556</v>
      </c>
      <c r="V31" s="312" t="s">
        <v>557</v>
      </c>
    </row>
    <row r="32" spans="3:41" ht="29.1" customHeight="1">
      <c r="C32" s="318">
        <v>0</v>
      </c>
      <c r="D32" s="318">
        <v>0</v>
      </c>
      <c r="E32" s="318"/>
      <c r="F32" s="318"/>
      <c r="G32" s="318"/>
      <c r="H32" s="318"/>
      <c r="I32" s="318"/>
      <c r="J32" s="318"/>
      <c r="K32" s="318"/>
      <c r="L32" s="318"/>
      <c r="M32" s="318"/>
      <c r="N32" s="323"/>
      <c r="P32" s="323"/>
      <c r="Q32" s="323"/>
      <c r="R32" s="323"/>
      <c r="S32" s="323"/>
      <c r="T32" s="312"/>
      <c r="U32" s="312"/>
      <c r="V32" s="312"/>
    </row>
    <row r="33" spans="2:35">
      <c r="C33" s="30" t="s">
        <v>16</v>
      </c>
      <c r="D33" s="30" t="str">
        <f>"[m"&amp;Control!$F$7&amp;"]"</f>
        <v>[mLAT]</v>
      </c>
      <c r="E33" s="30" t="s">
        <v>9</v>
      </c>
      <c r="F33" s="30" t="s">
        <v>11</v>
      </c>
      <c r="G33" s="313" t="s">
        <v>10</v>
      </c>
      <c r="H33" s="316"/>
      <c r="I33" s="316"/>
      <c r="J33" s="316"/>
      <c r="K33" s="314"/>
      <c r="L33" s="313" t="s">
        <v>16</v>
      </c>
      <c r="M33" s="314"/>
      <c r="N33" s="318"/>
      <c r="P33" s="324"/>
      <c r="Q33" s="30" t="s">
        <v>16</v>
      </c>
      <c r="R33" s="30" t="s">
        <v>16</v>
      </c>
      <c r="S33" s="30" t="s">
        <v>16</v>
      </c>
      <c r="T33" s="30" t="s">
        <v>16</v>
      </c>
      <c r="U33" s="30" t="s">
        <v>16</v>
      </c>
      <c r="V33" s="30" t="s">
        <v>16</v>
      </c>
    </row>
    <row r="34" spans="2:35">
      <c r="C34" s="12" t="str">
        <f>"CW"&amp;TEXT(C6,"0")</f>
        <v>CW1</v>
      </c>
      <c r="D34" s="2">
        <f>E6</f>
        <v>17.5</v>
      </c>
      <c r="E34" s="3">
        <f>G6</f>
        <v>7.5</v>
      </c>
      <c r="F34" s="3">
        <f>ABS(J6-J7)</f>
        <v>0</v>
      </c>
      <c r="G34" s="3">
        <f>H6</f>
        <v>85</v>
      </c>
      <c r="H34" s="4">
        <f>H7</f>
        <v>85</v>
      </c>
      <c r="I34" s="3">
        <f>(MAX(G34:H34)-MIN(G34:H34))/2</f>
        <v>0</v>
      </c>
      <c r="J34" s="3">
        <f>MIN(0.1*MIN(G34:H34),4)</f>
        <v>4</v>
      </c>
      <c r="K34" s="120">
        <f>0.05*(MIN(G34:H34))</f>
        <v>4.25</v>
      </c>
      <c r="L34" s="120">
        <f>S34</f>
        <v>0.99117647058823533</v>
      </c>
      <c r="M34" s="120">
        <f>V34</f>
        <v>0.99117647058823533</v>
      </c>
      <c r="N34" s="222" t="str">
        <f>Geometry!N12</f>
        <v>n</v>
      </c>
      <c r="P34" s="120">
        <f>IF(F34&gt;0.1,IF(AND((E34-E33)=0,(E35-E34)&gt;0),"cc",IF(AND((E34-E33)&gt;0,(E35-E34)=0),"cv",0)),0)</f>
        <v>0</v>
      </c>
      <c r="Q34" s="223" cm="1">
        <f t="array" ref="Q34">IF($AC$4="EC",(1-(6*(I34+K34-J34))/(MIN(G34:H34)*(1+(MAX(G34:H34^1.5/MIN(G34:H34)^1.5))))),(1-(6*(I34+IF(OR(N34="b",N34="o"),0,K34)-J34)/(MIN(G34:H34)*(1+(MAX(G34:H34^1.5/MIN(G34:H34)^1.5)))))))</f>
        <v>0.99117647058823533</v>
      </c>
      <c r="R34" s="223">
        <f>IF(P34=0,0,IF(P34="cc",MAX(1+((0.6*G34*(E34*1000*(G34+H34))^0.5*TAN(F34*PI()/180))/G34^2),1+((0.6*G34*(E34*1000*(G34+H34))^0.5*TAN(F34*PI()/180))/H34^2)),1))</f>
        <v>0</v>
      </c>
      <c r="S34" s="223">
        <f>IF(P34=0,Q34,R34)</f>
        <v>0.99117647058823533</v>
      </c>
      <c r="T34" s="223" cm="1">
        <f t="array" ref="T34">IF($AC$4="EC",(1+(6*(I34+J34-K34))/(MIN(G34:H34)*(1+(MAX(G34:H34^1.5/MIN(G34:H34)^1.5))))),(1+(6*(I34+J34-IF(OR(N34="i",N34="b"),0,K34)))/(MIN(G34:H34)*(1+(MAX(G34:H34^1.5/MIN(G34:H34)^1.5))))))</f>
        <v>0.99117647058823533</v>
      </c>
      <c r="U34" s="223">
        <f>IF(P34=0,0,IF(P34="cv",MAX(1+((0.6*G34*(E34*1000*(G34+H34))^0.5*TAN(F34*PI()/180))/G34^2),1+((0.6*G34*(E34*1000*(G34+H34))^0.5*TAN(F34*PI()/180))/H34^2)),1))</f>
        <v>0</v>
      </c>
      <c r="V34" s="223">
        <f>IF(P34=0,T34,U34)</f>
        <v>0.99117647058823533</v>
      </c>
    </row>
    <row r="35" spans="2:35">
      <c r="C35" s="12" t="str">
        <f t="shared" ref="C35:C36" si="3">"CW"&amp;TEXT(C7,"0")</f>
        <v>CW2</v>
      </c>
      <c r="D35" s="2">
        <f t="shared" ref="D35:D36" si="4">E7</f>
        <v>13.5</v>
      </c>
      <c r="E35" s="3">
        <f t="shared" ref="E35:E36" si="5">G7</f>
        <v>7.5</v>
      </c>
      <c r="F35" s="3">
        <f t="shared" ref="F35:F36" si="6">ABS(J7-J8)</f>
        <v>0</v>
      </c>
      <c r="G35" s="3">
        <f t="shared" ref="G35:G36" si="7">H7</f>
        <v>85</v>
      </c>
      <c r="H35" s="4">
        <f t="shared" ref="H35:H36" si="8">H8</f>
        <v>92</v>
      </c>
      <c r="I35" s="3">
        <f t="shared" ref="I35:I36" si="9">(MAX(G35:H35)-MIN(G35:H35))/2</f>
        <v>3.5</v>
      </c>
      <c r="J35" s="3">
        <f t="shared" ref="J35:J36" si="10">MIN(0.1*MIN(G35:H35),4)</f>
        <v>4</v>
      </c>
      <c r="K35" s="120">
        <f t="shared" ref="K35:K36" si="11">0.05*(MIN(G35:H35))</f>
        <v>4.25</v>
      </c>
      <c r="L35" s="120">
        <f t="shared" ref="L35:L36" si="12">S35</f>
        <v>0.87549339020973904</v>
      </c>
      <c r="M35" s="120">
        <f t="shared" ref="M35:M36" si="13">V35</f>
        <v>1.1079057284848928</v>
      </c>
      <c r="N35" s="222" t="str">
        <f>Geometry!N13</f>
        <v>n</v>
      </c>
      <c r="P35" s="120">
        <f t="shared" ref="P35:P36" si="14">IF(F35&gt;0.1,IF(AND((E35-E34)=0,(E36-E35)&gt;0),"cc",IF(AND((E35-E34)&gt;0,(E36-E35)=0),"cv",0)),0)</f>
        <v>0</v>
      </c>
      <c r="Q35" s="223" cm="1">
        <f t="array" ref="Q35">IF($AC$4="EC",(1-(6*(I35+K35-J35))/(MIN(G35:H35)*(1+(MAX(G35:H35^1.5/MIN(G35:H35)^1.5))))),(1-(6*(I35+IF(OR(N35="b",N35="o"),0,K35)-J35)/(MIN(G35:H35)*(1+(MAX(G35:H35^1.5/MIN(G35:H35)^1.5)))))))</f>
        <v>0.87549339020973904</v>
      </c>
      <c r="R35" s="223">
        <f t="shared" ref="R35:R36" si="15">IF(P35=0,0,IF(P35="cc",MAX(1+((0.6*G35*(E35*1000*(G35+H35))^0.5*TAN(F35*PI()/180))/G35^2),1+((0.6*G35*(E35*1000*(G35+H35))^0.5*TAN(F35*PI()/180))/H35^2)),1))</f>
        <v>0</v>
      </c>
      <c r="S35" s="223">
        <f t="shared" ref="S35:S36" si="16">IF(P35=0,Q35,R35)</f>
        <v>0.87549339020973904</v>
      </c>
      <c r="T35" s="223" cm="1">
        <f t="array" ref="T35">IF($AC$4="EC",(1+(6*(I35+J35-K35))/(MIN(G35:H35)*(1+(MAX(G35:H35^1.5/MIN(G35:H35)^1.5))))),(1+(6*(I35+J35-IF(OR(N35="i",N35="b"),0,K35)))/(MIN(G35:H35)*(1+(MAX(G35:H35^1.5/MIN(G35:H35)^1.5))))))</f>
        <v>1.1079057284848928</v>
      </c>
      <c r="U35" s="223">
        <f t="shared" ref="U35:U36" si="17">IF(P35=0,0,IF(P35="cv",MAX(1+((0.6*G35*(E35*1000*(G35+H35))^0.5*TAN(F35*PI()/180))/G35^2),1+((0.6*G35*(E35*1000*(G35+H35))^0.5*TAN(F35*PI()/180))/H35^2)),1))</f>
        <v>0</v>
      </c>
      <c r="V35" s="223">
        <f t="shared" ref="V35:V36" si="18">IF(P35=0,T35,U35)</f>
        <v>1.1079057284848928</v>
      </c>
    </row>
    <row r="36" spans="2:35">
      <c r="C36" s="12" t="str">
        <f t="shared" si="3"/>
        <v>CW3</v>
      </c>
      <c r="D36" s="2">
        <f t="shared" si="4"/>
        <v>9.5</v>
      </c>
      <c r="E36" s="3">
        <f t="shared" si="5"/>
        <v>7.5</v>
      </c>
      <c r="F36" s="3">
        <f t="shared" si="6"/>
        <v>0</v>
      </c>
      <c r="G36" s="3">
        <f t="shared" si="7"/>
        <v>92</v>
      </c>
      <c r="H36" s="4">
        <f t="shared" si="8"/>
        <v>100</v>
      </c>
      <c r="I36" s="3">
        <f t="shared" si="9"/>
        <v>4</v>
      </c>
      <c r="J36" s="3">
        <f t="shared" si="10"/>
        <v>4</v>
      </c>
      <c r="K36" s="120">
        <f t="shared" si="11"/>
        <v>4.6000000000000005</v>
      </c>
      <c r="L36" s="120">
        <f t="shared" si="12"/>
        <v>0.85936822184580086</v>
      </c>
      <c r="M36" s="120">
        <f t="shared" si="13"/>
        <v>1.1039452273313646</v>
      </c>
      <c r="N36" s="222" t="str">
        <f>Geometry!N14</f>
        <v>n</v>
      </c>
      <c r="P36" s="120">
        <f t="shared" si="14"/>
        <v>0</v>
      </c>
      <c r="Q36" s="223" cm="1">
        <f t="array" ref="Q36">IF($AC$4="EC",(1-(6*(I36+K36-J36))/(MIN(G36:H36)*(1+(MAX(G36:H36^1.5/MIN(G36:H36)^1.5))))),(1-(6*(I36+IF(OR(N36="b",N36="o"),0,K36)-J36)/(MIN(G36:H36)*(1+(MAX(G36:H36^1.5/MIN(G36:H36)^1.5)))))))</f>
        <v>0.85936822184580086</v>
      </c>
      <c r="R36" s="223">
        <f t="shared" si="15"/>
        <v>0</v>
      </c>
      <c r="S36" s="223">
        <f t="shared" si="16"/>
        <v>0.85936822184580086</v>
      </c>
      <c r="T36" s="223" cm="1">
        <f t="array" ref="T36">IF($AC$4="EC",(1+(6*(I36+J36-K36))/(MIN(G36:H36)*(1+(MAX(G36:H36^1.5/MIN(G36:H36)^1.5))))),(1+(6*(I36+J36-IF(OR(N36="i",N36="b"),0,K36)))/(MIN(G36:H36)*(1+(MAX(G36:H36^1.5/MIN(G36:H36)^1.5))))))</f>
        <v>1.1039452273313646</v>
      </c>
      <c r="U36" s="223">
        <f t="shared" si="17"/>
        <v>0</v>
      </c>
      <c r="V36" s="223">
        <f t="shared" si="18"/>
        <v>1.1039452273313646</v>
      </c>
    </row>
    <row r="38" spans="2:35">
      <c r="C38" s="35" t="s">
        <v>50</v>
      </c>
      <c r="M38" s="271" t="s">
        <v>60</v>
      </c>
      <c r="N38" s="267"/>
      <c r="O38" s="267"/>
      <c r="P38" s="267"/>
      <c r="Q38" s="267"/>
      <c r="R38" s="319"/>
      <c r="V38" s="109"/>
      <c r="W38" s="109"/>
    </row>
    <row r="39" spans="2:35" ht="21" customHeight="1">
      <c r="B39" s="11"/>
      <c r="C39" s="312" t="s">
        <v>19</v>
      </c>
      <c r="D39" s="317" t="s">
        <v>282</v>
      </c>
      <c r="E39" s="30" t="s">
        <v>285</v>
      </c>
      <c r="F39" s="30" t="s">
        <v>285</v>
      </c>
      <c r="G39" s="312" t="s">
        <v>24</v>
      </c>
      <c r="H39" s="312"/>
      <c r="I39" s="312" t="s">
        <v>271</v>
      </c>
      <c r="J39" s="312"/>
      <c r="K39" s="312" t="s">
        <v>27</v>
      </c>
      <c r="L39" s="312"/>
      <c r="M39" s="312" t="s">
        <v>61</v>
      </c>
      <c r="N39" s="312"/>
      <c r="O39" s="312" t="s">
        <v>62</v>
      </c>
      <c r="P39" s="312"/>
      <c r="Q39" s="312" t="s">
        <v>63</v>
      </c>
      <c r="R39" s="312"/>
      <c r="V39" s="312" t="s">
        <v>31</v>
      </c>
      <c r="W39" s="312"/>
      <c r="X39" s="313" t="s">
        <v>48</v>
      </c>
      <c r="Y39" s="314"/>
      <c r="Z39" s="30" t="s">
        <v>21</v>
      </c>
      <c r="AA39" s="5" t="s">
        <v>22</v>
      </c>
      <c r="AB39" s="310" t="str">
        <f>IF(OR(Control!$F$39="EC",Control!$F$51="N"),"t","t_eff")</f>
        <v>t</v>
      </c>
      <c r="AC39" s="311"/>
      <c r="AD39" s="313" t="s">
        <v>35</v>
      </c>
      <c r="AE39" s="316"/>
      <c r="AF39" s="316"/>
      <c r="AG39" s="314"/>
      <c r="AH39" s="310" t="s">
        <v>448</v>
      </c>
      <c r="AI39" s="311"/>
    </row>
    <row r="40" spans="2:35" ht="20.399999999999999">
      <c r="B40" s="11"/>
      <c r="C40" s="312">
        <v>0</v>
      </c>
      <c r="D40" s="318">
        <v>0</v>
      </c>
      <c r="E40" s="30" t="str">
        <f>IF(Control!$F$39="EC","m=4, N=2E6","m=5, N=1e7")</f>
        <v>m=4, N=2E6</v>
      </c>
      <c r="F40" s="30" t="str">
        <f>IF(Control!$F$39="EC","m=3, N=2E6","m=3, N=1e7")</f>
        <v>m=3, N=2E6</v>
      </c>
      <c r="G40" s="30" t="s">
        <v>25</v>
      </c>
      <c r="H40" s="30" t="s">
        <v>26</v>
      </c>
      <c r="I40" s="5" t="s">
        <v>25</v>
      </c>
      <c r="J40" s="5" t="s">
        <v>26</v>
      </c>
      <c r="K40" s="30" t="s">
        <v>25</v>
      </c>
      <c r="L40" s="30" t="s">
        <v>26</v>
      </c>
      <c r="M40" s="30" t="s">
        <v>25</v>
      </c>
      <c r="N40" s="30" t="s">
        <v>64</v>
      </c>
      <c r="O40" s="30" t="s">
        <v>25</v>
      </c>
      <c r="P40" s="30" t="s">
        <v>64</v>
      </c>
      <c r="Q40" s="30" t="s">
        <v>25</v>
      </c>
      <c r="R40" s="30" t="s">
        <v>64</v>
      </c>
      <c r="V40" s="30" t="s">
        <v>33</v>
      </c>
      <c r="W40" s="30" t="s">
        <v>34</v>
      </c>
      <c r="X40" s="30" t="s">
        <v>33</v>
      </c>
      <c r="Y40" s="30" t="s">
        <v>34</v>
      </c>
      <c r="Z40" s="313" t="s">
        <v>30</v>
      </c>
      <c r="AA40" s="314"/>
      <c r="AB40" s="30" t="s">
        <v>45</v>
      </c>
      <c r="AC40" s="30" t="s">
        <v>34</v>
      </c>
      <c r="AD40" s="30" t="s">
        <v>45</v>
      </c>
      <c r="AE40" s="30" t="s">
        <v>34</v>
      </c>
      <c r="AF40" s="30" t="s">
        <v>46</v>
      </c>
      <c r="AG40" s="30" t="s">
        <v>47</v>
      </c>
      <c r="AH40" s="30" t="s">
        <v>45</v>
      </c>
      <c r="AI40" s="30" t="s">
        <v>34</v>
      </c>
    </row>
    <row r="41" spans="2:35">
      <c r="B41" s="11"/>
      <c r="C41" s="30" t="s">
        <v>16</v>
      </c>
      <c r="D41" s="30" t="str">
        <f>"[m"&amp;Control!$F$7&amp;"]"</f>
        <v>[mLAT]</v>
      </c>
      <c r="E41" s="313" t="s">
        <v>20</v>
      </c>
      <c r="F41" s="314"/>
      <c r="G41" s="313" t="s">
        <v>77</v>
      </c>
      <c r="H41" s="316"/>
      <c r="I41" s="316"/>
      <c r="J41" s="314"/>
      <c r="K41" s="313" t="s">
        <v>77</v>
      </c>
      <c r="L41" s="314"/>
      <c r="M41" s="320" t="s">
        <v>16</v>
      </c>
      <c r="N41" s="321"/>
      <c r="O41" s="321"/>
      <c r="P41" s="321"/>
      <c r="Q41" s="321"/>
      <c r="R41" s="322"/>
      <c r="V41" s="315" t="s">
        <v>32</v>
      </c>
      <c r="W41" s="315"/>
      <c r="X41" s="30" t="s">
        <v>10</v>
      </c>
      <c r="Y41" s="30" t="s">
        <v>10</v>
      </c>
      <c r="Z41" s="313" t="s">
        <v>23</v>
      </c>
      <c r="AA41" s="314"/>
      <c r="AB41" s="87" t="s">
        <v>10</v>
      </c>
      <c r="AC41" s="87" t="s">
        <v>10</v>
      </c>
      <c r="AD41" s="1" t="s">
        <v>16</v>
      </c>
      <c r="AE41" s="1" t="s">
        <v>16</v>
      </c>
      <c r="AF41" s="1" t="s">
        <v>16</v>
      </c>
      <c r="AG41" s="1" t="s">
        <v>16</v>
      </c>
      <c r="AH41" s="1" t="s">
        <v>16</v>
      </c>
      <c r="AI41" s="1" t="s">
        <v>16</v>
      </c>
    </row>
    <row r="42" spans="2:35" ht="14.85" customHeight="1">
      <c r="C42" s="12" t="str">
        <f>C34</f>
        <v>CW1</v>
      </c>
      <c r="D42" s="2">
        <f>E6</f>
        <v>17.5</v>
      </c>
      <c r="E42" s="120">
        <f>IF(Geometry_loads!H8="-","-",Geometry_loads!H8*Control!$F$54)</f>
        <v>182177.86980077674</v>
      </c>
      <c r="F42" s="120">
        <f>IF(Geometry_loads!G8="-","-",Geometry_loads!G8*Control!$F$55)</f>
        <v>217148.22549126111</v>
      </c>
      <c r="G42" s="120">
        <f>IF(AND(X42=0,Y42=0),E42/Z42*E34/2/1000,(E42*($AF$25/$Z$5)^(1/$AE$4)/Z42*E34/2/1000))</f>
        <v>50.194663209811345</v>
      </c>
      <c r="H42" s="120">
        <f>IF(AND(X42=0,Y42=0),E42/Z42*(E34-2*G34/1000)/2/1000,(E42*($AF$25/$Z$5)^(1/$AE$4)/Z42*(E34-2*G34/1000)/2/1000))</f>
        <v>49.056917510388956</v>
      </c>
      <c r="I42" s="120" t="str">
        <f>IF(AND(X42=0,Y42=0),"-",IF(V42=0,(E42*($AF$24/$Z$5)^(1/$AE$4)/AA42*(E34-2*X42/1000)/2/1000),(F42*($AF$24/$Z$5)^(1/3)/AA42*(E34-2*X42/1000)/2/1000)))</f>
        <v>-</v>
      </c>
      <c r="J42" s="120" t="str">
        <f>IF(AND(X42=0,Y42=0),"-",IF(W42=0,(E42*($AF$24/$Z$5)^(1/$AE$4))/AA42*(E34-2*(G34-Y42)/1000)/2/1000,(F42*($AF$24/$Z$5)^(1/3))/AA42*(E34-2*(G34-Y42)/1000)/2/1000))</f>
        <v>-</v>
      </c>
      <c r="K42" s="120">
        <f>IF(OR(N34="b",N34="o"),$AD$6,$AD$7)</f>
        <v>90</v>
      </c>
      <c r="L42" s="120">
        <f>IF(OR(N34="b",N34="i"),$AD$6,$AD$7)</f>
        <v>90</v>
      </c>
      <c r="M42" s="120">
        <f>IF(AND(V42=0,W42&lt;&gt;0),IF(D42&gt;$Z$9,$AD$14,$AD$15)*((((IF(D42&gt;$Z$9,$AD$12,$AD$13)/AD42*L34*G42*IF(OR(N34="b",N34="o"),$AE$20,1))/(AH42*K42))^$AE$4)+(((IF(D42&gt;$Z$9,$AD$12,$AD$13)/AD42*L34*I42*IF(OR(N34="b",N34="o"),$AE$20,1))/((AH42*K42)))^$AE$4)),IF(D42&gt;$Z$9,$AD$14,$AD$15)*((((IF(D42&gt;$Z$9,$AD$12,$AD$13)/AD42*L34*G42*IF(OR(N34="b",N34="o"),$AE$20,1))/(AH42*K42))^$AE$4)+(((IF(D42&gt;$Z$9,$AD$12,$AD$13)/AF42*L34*IF(V42=0,0,I42)*IF(OR(N34="b",N34="o"),$AE$20,1))/(0.7*IF(K42=65.5,58.48,K42)))^3)))</f>
        <v>0.60685825174206875</v>
      </c>
      <c r="N42" s="120">
        <f>IF(AND(W42=0,V42&lt;&gt;0),IF(D42&gt;$Z$9,$AD$14,$AD$15)*((((IF(D42&gt;$Z$9,$AD$12,$AD$13)/AE42*M34*H42*IF(OR(N34="b",N34="i"),$AE$20,1))/(AI42*L42))^$AE$4)+(((IF(D42&gt;$Z$9,$AD$12,$AD$13)/AE42*M34*J42*IF(OR(N34="b",N34="i"),$AE$20,1))/((AI42*L42)))^$AE$4)),IF(D42&gt;$Z$9,$AD$14,$AD$15)*((((IF(D42&gt;$Z$9,$AD$12,$AD$13)/AE42*M34*H42*IF(OR(N34="b",N34="i"),$AE$20,1))/(AI42*L42))^$AE$4)+(((IF(D42&gt;$Z$9,$AD$12,$AD$13)/AG42*M34*IF(W42=0,0,J42)*IF(OR(N34="b",N34="i"),$AE$20,1))/(0.7*IF(L42=65.5,58.48,L42)))^3)))</f>
        <v>0.55367906982666093</v>
      </c>
      <c r="O42" s="120">
        <f>Control!$F$46</f>
        <v>0</v>
      </c>
      <c r="P42" s="120">
        <f>Control!$F$46</f>
        <v>0</v>
      </c>
      <c r="Q42" s="120">
        <f>M42+O42</f>
        <v>0.60685825174206875</v>
      </c>
      <c r="R42" s="120">
        <f>N42+P42</f>
        <v>0.55367906982666093</v>
      </c>
      <c r="V42" s="37">
        <f>IF(OR(D42&gt;=$Z$13,D42&lt;=$Z$12,Geometry!P12="n"),0,"X")</f>
        <v>0</v>
      </c>
      <c r="W42" s="37">
        <f>IF(OR(D42&gt;=$Z$15,D42&lt;=$Z$12,Geometry!Q12="n"),0,"X")</f>
        <v>0</v>
      </c>
      <c r="X42" s="37">
        <f>0.5*IF(OR(D42&gt;=$Z$13,D42&lt;=$Z$12),0,$AF$24*$AF$26)*IF(V42=0,0,1)</f>
        <v>0</v>
      </c>
      <c r="Y42" s="37">
        <f>0.5*IF(OR(D42&gt;=$Z$15,D42&lt;=$Z$12),0,$AF$24*$AF$27)*IF(W42=0,0,1)</f>
        <v>0</v>
      </c>
      <c r="Z42" s="120">
        <f>(PI()/64*(E34^4-(E34-2*G34/1000)^4))</f>
        <v>13.610351540706759</v>
      </c>
      <c r="AA42" s="120">
        <f>(PI()/64*((E34-2*X42/1000)^4-((E34-2*X42/1000)-2*(G34-X42-Y42)/1000)^4))</f>
        <v>13.610351540706759</v>
      </c>
      <c r="AB42" s="120">
        <f>IF(OR(Control!$F$39="EC",Control!$F$51="N"),G34,MIN(G34,14+0.66*(INDEX('Eff. thickness (DNVGL-RP-C203)'!$G$31:$G$1048576,MATCH(G34,'Eff. thickness (DNVGL-RP-C203)'!$C$31:$C$1048576,0)))))</f>
        <v>85</v>
      </c>
      <c r="AC42" s="120">
        <f>IF(OR(Control!$F$39="EC",Control!$F$51="N"),G34,MIN(G34,14+0.66*(INDEX('Eff. thickness (DNVGL-RP-C203)'!$F$31:$F$1048576,MATCH(G34,'Eff. thickness (DNVGL-RP-C203)'!$C$31:$C$1048576,0))+IF(I34&lt;0.001,0,'Eff. thickness (DNVGL-RP-C203)'!$L$30))))</f>
        <v>85</v>
      </c>
      <c r="AD42" s="120">
        <f>(25/AB42)^(IF(OR(N34="b",N34="o"),0.1,0.2))</f>
        <v>0.78289625676350527</v>
      </c>
      <c r="AE42" s="120">
        <f>(25/AC42)^(IF(OR(N34="b",N34="i"),0.1,0.2))</f>
        <v>0.78289625676350527</v>
      </c>
      <c r="AF42" s="120">
        <f>IF(V42=0,1,(25/AB42)^(IF(OR(N34="b",N34="o"),0.15,0.2)))</f>
        <v>1</v>
      </c>
      <c r="AG42" s="120">
        <f>IF(W42=0,1,(25/AC42)^(IF(OR(N34="b",N34="i"),0.15,0.2)))</f>
        <v>1</v>
      </c>
      <c r="AH42" s="120">
        <f>IF(Control!$F$39&lt;&gt;"DNV",1,IF(D42&gt;Control!$F$16,IF(ISBLANK(Control!$F$56),1,Control!$F$56),IF(D42&gt;Control!$F$22,IF(ISBLANK(Control!$F$57),1,Control!$F$57),1)))</f>
        <v>1</v>
      </c>
      <c r="AI42" s="120">
        <f>IF(Control!$F$39&lt;&gt;"DNV",1,IF(D42&gt;Control!$F$18,IF(ISBLANK(Control!$F$56),1,Control!$F$56),IF(D42&gt;Control!$F$22,IF(ISBLANK(Control!$F$57),1,Control!$F$57),1)))</f>
        <v>1</v>
      </c>
    </row>
    <row r="43" spans="2:35" ht="14.85" customHeight="1">
      <c r="C43" s="12" t="str">
        <f t="shared" ref="C43:C44" si="19">C35</f>
        <v>CW2</v>
      </c>
      <c r="D43" s="2">
        <f t="shared" ref="D43:D44" si="20">E7</f>
        <v>13.5</v>
      </c>
      <c r="E43" s="120">
        <f>IF(Geometry_loads!H9="-","-",Geometry_loads!H9*Control!$F$54)</f>
        <v>188066.10530199588</v>
      </c>
      <c r="F43" s="120">
        <f>IF(Geometry_loads!G9="-","-",Geometry_loads!G9*Control!$F$55)</f>
        <v>224063.40975749888</v>
      </c>
      <c r="G43" s="120">
        <f t="shared" ref="G43:G44" si="21">IF(AND(X43=0,Y43=0),E43/Z43*E35/2/1000,(E43*($AF$25/$Z$5)^(1/$AE$4)/Z43*E35/2/1000))</f>
        <v>51.817022710484842</v>
      </c>
      <c r="H43" s="120">
        <f t="shared" ref="H43:H44" si="22">IF(AND(X43=0,Y43=0),E43/Z43*(E35-2*G35/1000)/2/1000,(E43*($AF$25/$Z$5)^(1/$AE$4)/Z43*(E35-2*G35/1000)/2/1000))</f>
        <v>50.642503529047197</v>
      </c>
      <c r="I43" s="120" t="str">
        <f t="shared" ref="I43:I44" si="23">IF(AND(X43=0,Y43=0),"-",IF(V43=0,(E43*($AF$24/$Z$5)^(1/$AE$4)/AA43*(E35-2*X43/1000)/2/1000),(F43*($AF$24/$Z$5)^(1/3)/AA43*(E35-2*X43/1000)/2/1000)))</f>
        <v>-</v>
      </c>
      <c r="J43" s="120" t="str">
        <f t="shared" ref="J43:J44" si="24">IF(AND(X43=0,Y43=0),"-",IF(W43=0,(E43*($AF$24/$Z$5)^(1/$AE$4))/AA43*(E35-2*(G35-Y43)/1000)/2/1000,(F43*($AF$24/$Z$5)^(1/3))/AA43*(E35-2*(G35-Y43)/1000)/2/1000))</f>
        <v>-</v>
      </c>
      <c r="K43" s="120">
        <f t="shared" ref="K43:K44" si="25">IF(OR(N35="b",N35="o"),$AD$6,$AD$7)</f>
        <v>90</v>
      </c>
      <c r="L43" s="120">
        <f t="shared" ref="L43:L44" si="26">IF(OR(N35="b",N35="i"),$AD$6,$AD$7)</f>
        <v>90</v>
      </c>
      <c r="M43" s="120">
        <f t="shared" ref="M43:M44" si="27">IF(AND(V43=0,W43&lt;&gt;0),IF(D43&gt;$Z$9,$AD$14,$AD$15)*((((IF(D43&gt;$Z$9,$AD$12,$AD$13)/AD43*L35*G43*IF(OR(N35="b",N35="o"),$AE$20,1))/(AH43*K43))^$AE$4)+(((IF(D43&gt;$Z$9,$AD$12,$AD$13)/AD43*L35*I43*IF(OR(N35="b",N35="o"),$AE$20,1))/((AH43*K43)))^$AE$4)),IF(D43&gt;$Z$9,$AD$14,$AD$15)*((((IF(D43&gt;$Z$9,$AD$12,$AD$13)/AD43*L35*G43*IF(OR(N35="b",N35="o"),$AE$20,1))/(AH43*K43))^$AE$4)+(((IF(D43&gt;$Z$9,$AD$12,$AD$13)/AF43*L35*IF(V43=0,0,I43)*IF(OR(N35="b",N35="o"),$AE$20,1))/(0.7*IF(K43=65.5,58.48,K43)))^3)))</f>
        <v>0.41952172662784037</v>
      </c>
      <c r="N43" s="120">
        <f t="shared" ref="N43:N44" si="28">IF(AND(W43=0,V43&lt;&gt;0),IF(D43&gt;$Z$9,$AD$14,$AD$15)*((((IF(D43&gt;$Z$9,$AD$12,$AD$13)/AE43*M35*H43*IF(OR(N35="b",N35="i"),$AE$20,1))/(AI43*L43))^$AE$4)+(((IF(D43&gt;$Z$9,$AD$12,$AD$13)/AE43*M35*J43*IF(OR(N35="b",N35="i"),$AE$20,1))/((AI43*L43)))^$AE$4)),IF(D43&gt;$Z$9,$AD$14,$AD$15)*((((IF(D43&gt;$Z$9,$AD$12,$AD$13)/AE43*M35*H43*IF(OR(N35="b",N35="i"),$AE$20,1))/(AI43*L43))^$AE$4)+(((IF(D43&gt;$Z$9,$AD$12,$AD$13)/AG43*M35*IF(W43=0,0,J43)*IF(OR(N35="b",N35="i"),$AE$20,1))/(0.7*IF(L43=65.5,58.48,L43)))^3)))</f>
        <v>0.98157852363788123</v>
      </c>
      <c r="O43" s="120">
        <f>Control!$F$46</f>
        <v>0</v>
      </c>
      <c r="P43" s="120">
        <f>Control!$F$46</f>
        <v>0</v>
      </c>
      <c r="Q43" s="120">
        <f t="shared" ref="Q43:Q44" si="29">M43+O43</f>
        <v>0.41952172662784037</v>
      </c>
      <c r="R43" s="120">
        <f t="shared" ref="R43:R44" si="30">N43+P43</f>
        <v>0.98157852363788123</v>
      </c>
      <c r="V43" s="37">
        <f>IF(OR(D43&gt;=$Z$13,D43&lt;=$Z$12,Geometry!P13="n"),0,"X")</f>
        <v>0</v>
      </c>
      <c r="W43" s="37">
        <f>IF(OR(D43&gt;=$Z$15,D43&lt;=$Z$12,Geometry!Q13="n"),0,"X")</f>
        <v>0</v>
      </c>
      <c r="X43" s="37">
        <f t="shared" ref="X43:X44" si="31">0.5*IF(OR(D43&gt;=$Z$13,D43&lt;=$Z$12),0,$AF$24*$AF$26)*IF(V43=0,0,1)</f>
        <v>0</v>
      </c>
      <c r="Y43" s="37">
        <f t="shared" ref="Y43:Y44" si="32">0.5*IF(OR(D43&gt;=$Z$15,D43&lt;=$Z$12),0,$AF$24*$AF$27)*IF(W43=0,0,1)</f>
        <v>0</v>
      </c>
      <c r="Z43" s="120">
        <f t="shared" ref="Z43:Z44" si="33">(PI()/64*(E35^4-(E35-2*G35/1000)^4))</f>
        <v>13.610351540706759</v>
      </c>
      <c r="AA43" s="120">
        <f t="shared" ref="AA43:AA44" si="34">(PI()/64*((E35-2*X43/1000)^4-((E35-2*X43/1000)-2*(G35-X43-Y43)/1000)^4))</f>
        <v>13.610351540706759</v>
      </c>
      <c r="AB43" s="120">
        <f>IF(OR(Control!$F$39="EC",Control!$F$51="N"),G35,MIN(G35,14+0.66*(INDEX('Eff. thickness (DNVGL-RP-C203)'!$G$31:$G$1048576,MATCH(G35,'Eff. thickness (DNVGL-RP-C203)'!$C$31:$C$1048576,0)))))</f>
        <v>85</v>
      </c>
      <c r="AC43" s="120">
        <f>IF(OR(Control!$F$39="EC",Control!$F$51="N"),G35,MIN(G35,14+0.66*(INDEX('Eff. thickness (DNVGL-RP-C203)'!$F$31:$F$1048576,MATCH(G35,'Eff. thickness (DNVGL-RP-C203)'!$C$31:$C$1048576,0))+IF(I35&lt;0.001,0,'Eff. thickness (DNVGL-RP-C203)'!$L$30))))</f>
        <v>85</v>
      </c>
      <c r="AD43" s="120">
        <f t="shared" ref="AD43:AD44" si="35">(25/AB43)^(IF(OR(N35="b",N35="o"),0.1,0.2))</f>
        <v>0.78289625676350527</v>
      </c>
      <c r="AE43" s="120">
        <f t="shared" ref="AE43:AE44" si="36">(25/AC43)^(IF(OR(N35="b",N35="i"),0.1,0.2))</f>
        <v>0.78289625676350527</v>
      </c>
      <c r="AF43" s="120">
        <f t="shared" ref="AF43:AF44" si="37">IF(V43=0,1,(25/AB43)^(IF(OR(N35="b",N35="o"),0.15,0.2)))</f>
        <v>1</v>
      </c>
      <c r="AG43" s="120">
        <f t="shared" ref="AG43:AG44" si="38">IF(W43=0,1,(25/AC43)^(IF(OR(N35="b",N35="i"),0.15,0.2)))</f>
        <v>1</v>
      </c>
      <c r="AH43" s="120">
        <f>IF(Control!$F$39&lt;&gt;"DNV",1,IF(D43&gt;Control!$F$16,IF(ISBLANK(Control!$F$56),1,Control!$F$56),IF(D43&gt;Control!$F$22,IF(ISBLANK(Control!$F$57),1,Control!$F$57),1)))</f>
        <v>1</v>
      </c>
      <c r="AI43" s="120">
        <f>IF(Control!$F$39&lt;&gt;"DNV",1,IF(D43&gt;Control!$F$18,IF(ISBLANK(Control!$F$56),1,Control!$F$56),IF(D43&gt;Control!$F$22,IF(ISBLANK(Control!$F$57),1,Control!$F$57),1)))</f>
        <v>1</v>
      </c>
    </row>
    <row r="44" spans="2:35" ht="14.85" customHeight="1">
      <c r="C44" s="12" t="str">
        <f t="shared" si="19"/>
        <v>CW3</v>
      </c>
      <c r="D44" s="2">
        <f t="shared" si="20"/>
        <v>9.5</v>
      </c>
      <c r="E44" s="120">
        <f>IF(Geometry_loads!H10="-","-",Geometry_loads!H10*Control!$F$54)</f>
        <v>194113.2957732545</v>
      </c>
      <c r="F44" s="120">
        <f>IF(Geometry_loads!G10="-","-",Geometry_loads!G10*Control!$F$55)</f>
        <v>231299.37028077827</v>
      </c>
      <c r="G44" s="120">
        <f t="shared" si="21"/>
        <v>49.552884515430222</v>
      </c>
      <c r="H44" s="120">
        <f t="shared" si="22"/>
        <v>48.337187081985</v>
      </c>
      <c r="I44" s="120" t="str">
        <f t="shared" si="23"/>
        <v>-</v>
      </c>
      <c r="J44" s="120" t="str">
        <f t="shared" si="24"/>
        <v>-</v>
      </c>
      <c r="K44" s="120">
        <f t="shared" si="25"/>
        <v>90</v>
      </c>
      <c r="L44" s="120">
        <f t="shared" si="26"/>
        <v>90</v>
      </c>
      <c r="M44" s="120">
        <f t="shared" si="27"/>
        <v>0.3470093608430509</v>
      </c>
      <c r="N44" s="120">
        <f t="shared" si="28"/>
        <v>0.85558639219385479</v>
      </c>
      <c r="O44" s="120">
        <f>Control!$F$46</f>
        <v>0</v>
      </c>
      <c r="P44" s="120">
        <f>Control!$F$46</f>
        <v>0</v>
      </c>
      <c r="Q44" s="120">
        <f t="shared" si="29"/>
        <v>0.3470093608430509</v>
      </c>
      <c r="R44" s="120">
        <f t="shared" si="30"/>
        <v>0.85558639219385479</v>
      </c>
      <c r="V44" s="37">
        <f>IF(OR(D44&gt;=$Z$13,D44&lt;=$Z$12,Geometry!P14="n"),0,"X")</f>
        <v>0</v>
      </c>
      <c r="W44" s="37">
        <f>IF(OR(D44&gt;=$Z$15,D44&lt;=$Z$12,Geometry!Q14="n"),0,"X")</f>
        <v>0</v>
      </c>
      <c r="X44" s="37">
        <f t="shared" si="31"/>
        <v>0</v>
      </c>
      <c r="Y44" s="37">
        <f t="shared" si="32"/>
        <v>0</v>
      </c>
      <c r="Z44" s="120">
        <f t="shared" si="33"/>
        <v>14.689858446545863</v>
      </c>
      <c r="AA44" s="120">
        <f t="shared" si="34"/>
        <v>14.689858446545863</v>
      </c>
      <c r="AB44" s="120">
        <f>IF(OR(Control!$F$39="EC",Control!$F$51="N"),G36,MIN(G36,14+0.66*(INDEX('Eff. thickness (DNVGL-RP-C203)'!$G$31:$G$1048576,MATCH(G36,'Eff. thickness (DNVGL-RP-C203)'!$C$31:$C$1048576,0)))))</f>
        <v>92</v>
      </c>
      <c r="AC44" s="120">
        <f>IF(OR(Control!$F$39="EC",Control!$F$51="N"),G36,MIN(G36,14+0.66*(INDEX('Eff. thickness (DNVGL-RP-C203)'!$F$31:$F$1048576,MATCH(G36,'Eff. thickness (DNVGL-RP-C203)'!$C$31:$C$1048576,0))+IF(I36&lt;0.001,0,'Eff. thickness (DNVGL-RP-C203)'!$L$30))))</f>
        <v>92</v>
      </c>
      <c r="AD44" s="120">
        <f t="shared" si="35"/>
        <v>0.77060254017451113</v>
      </c>
      <c r="AE44" s="120">
        <f t="shared" si="36"/>
        <v>0.77060254017451113</v>
      </c>
      <c r="AF44" s="120">
        <f t="shared" si="37"/>
        <v>1</v>
      </c>
      <c r="AG44" s="120">
        <f t="shared" si="38"/>
        <v>1</v>
      </c>
      <c r="AH44" s="120">
        <f>IF(Control!$F$39&lt;&gt;"DNV",1,IF(D44&gt;Control!$F$16,IF(ISBLANK(Control!$F$56),1,Control!$F$56),IF(D44&gt;Control!$F$22,IF(ISBLANK(Control!$F$57),1,Control!$F$57),1)))</f>
        <v>1</v>
      </c>
      <c r="AI44" s="120">
        <f>IF(Control!$F$39&lt;&gt;"DNV",1,IF(D44&gt;Control!$F$18,IF(ISBLANK(Control!$F$56),1,Control!$F$56),IF(D44&gt;Control!$F$22,IF(ISBLANK(Control!$F$57),1,Control!$F$57),1)))</f>
        <v>1</v>
      </c>
    </row>
    <row r="45" spans="2:35" ht="14.85" customHeight="1"/>
    <row r="46" spans="2:35">
      <c r="C46" s="35" t="s">
        <v>51</v>
      </c>
      <c r="M46" s="271" t="s">
        <v>60</v>
      </c>
      <c r="N46" s="267"/>
      <c r="O46" s="267"/>
      <c r="P46" s="267"/>
      <c r="Q46" s="267"/>
      <c r="R46" s="319"/>
    </row>
    <row r="47" spans="2:35" ht="20.399999999999999">
      <c r="B47" s="11"/>
      <c r="C47" s="312" t="s">
        <v>19</v>
      </c>
      <c r="D47" s="317" t="s">
        <v>282</v>
      </c>
      <c r="E47" s="30" t="s">
        <v>285</v>
      </c>
      <c r="F47" s="30" t="s">
        <v>285</v>
      </c>
      <c r="G47" s="312" t="s">
        <v>24</v>
      </c>
      <c r="H47" s="312"/>
      <c r="I47" s="312" t="s">
        <v>271</v>
      </c>
      <c r="J47" s="312"/>
      <c r="K47" s="312" t="s">
        <v>27</v>
      </c>
      <c r="L47" s="312"/>
      <c r="M47" s="312" t="s">
        <v>61</v>
      </c>
      <c r="N47" s="312"/>
      <c r="O47" s="312" t="s">
        <v>62</v>
      </c>
      <c r="P47" s="312"/>
      <c r="Q47" s="312" t="s">
        <v>63</v>
      </c>
      <c r="R47" s="312"/>
      <c r="V47" s="312" t="s">
        <v>31</v>
      </c>
      <c r="W47" s="312"/>
      <c r="X47" s="313" t="s">
        <v>48</v>
      </c>
      <c r="Y47" s="314"/>
      <c r="Z47" s="30" t="s">
        <v>21</v>
      </c>
      <c r="AA47" s="5" t="s">
        <v>22</v>
      </c>
      <c r="AB47" s="310" t="str">
        <f>IF(OR(Control!$F$39="EC",Control!$F$51="N"),"t","t_eff")</f>
        <v>t</v>
      </c>
      <c r="AC47" s="311"/>
      <c r="AD47" s="312" t="s">
        <v>35</v>
      </c>
      <c r="AE47" s="312"/>
      <c r="AF47" s="312"/>
      <c r="AG47" s="312"/>
      <c r="AH47" s="310" t="s">
        <v>448</v>
      </c>
      <c r="AI47" s="311"/>
    </row>
    <row r="48" spans="2:35" ht="20.399999999999999">
      <c r="B48" s="11"/>
      <c r="C48" s="312">
        <v>0</v>
      </c>
      <c r="D48" s="318">
        <v>0</v>
      </c>
      <c r="E48" s="30" t="str">
        <f>IF(Control!$F$39="EC","m=4, N=2E6","m=5, N=1e7")</f>
        <v>m=4, N=2E6</v>
      </c>
      <c r="F48" s="30" t="str">
        <f>IF(Control!$F$39="EC","m=3, N=2E6","m=3, N=1e7")</f>
        <v>m=3, N=2E6</v>
      </c>
      <c r="G48" s="30" t="s">
        <v>25</v>
      </c>
      <c r="H48" s="30" t="s">
        <v>26</v>
      </c>
      <c r="I48" s="5" t="s">
        <v>25</v>
      </c>
      <c r="J48" s="5" t="s">
        <v>26</v>
      </c>
      <c r="K48" s="30" t="s">
        <v>25</v>
      </c>
      <c r="L48" s="30" t="s">
        <v>26</v>
      </c>
      <c r="M48" s="30" t="s">
        <v>25</v>
      </c>
      <c r="N48" s="30" t="s">
        <v>64</v>
      </c>
      <c r="O48" s="30" t="s">
        <v>25</v>
      </c>
      <c r="P48" s="30" t="s">
        <v>64</v>
      </c>
      <c r="Q48" s="30" t="s">
        <v>25</v>
      </c>
      <c r="R48" s="30" t="s">
        <v>64</v>
      </c>
      <c r="V48" s="30" t="s">
        <v>33</v>
      </c>
      <c r="W48" s="30" t="s">
        <v>34</v>
      </c>
      <c r="X48" s="30" t="s">
        <v>33</v>
      </c>
      <c r="Y48" s="30" t="s">
        <v>34</v>
      </c>
      <c r="Z48" s="313" t="s">
        <v>30</v>
      </c>
      <c r="AA48" s="314"/>
      <c r="AB48" s="30" t="s">
        <v>45</v>
      </c>
      <c r="AC48" s="30" t="s">
        <v>34</v>
      </c>
      <c r="AD48" s="30" t="s">
        <v>45</v>
      </c>
      <c r="AE48" s="30" t="s">
        <v>34</v>
      </c>
      <c r="AF48" s="30" t="s">
        <v>46</v>
      </c>
      <c r="AG48" s="30" t="s">
        <v>47</v>
      </c>
      <c r="AH48" s="30" t="s">
        <v>45</v>
      </c>
      <c r="AI48" s="30" t="s">
        <v>34</v>
      </c>
    </row>
    <row r="49" spans="2:35">
      <c r="B49" s="11"/>
      <c r="C49" s="30" t="s">
        <v>16</v>
      </c>
      <c r="D49" s="30" t="str">
        <f>"[m"&amp;Control!$F$7&amp;"]"</f>
        <v>[mLAT]</v>
      </c>
      <c r="E49" s="313" t="s">
        <v>20</v>
      </c>
      <c r="F49" s="314"/>
      <c r="G49" s="313" t="s">
        <v>77</v>
      </c>
      <c r="H49" s="316"/>
      <c r="I49" s="316"/>
      <c r="J49" s="314"/>
      <c r="K49" s="313" t="s">
        <v>77</v>
      </c>
      <c r="L49" s="314"/>
      <c r="M49" s="320" t="s">
        <v>16</v>
      </c>
      <c r="N49" s="321"/>
      <c r="O49" s="321"/>
      <c r="P49" s="321"/>
      <c r="Q49" s="321"/>
      <c r="R49" s="322"/>
      <c r="V49" s="315" t="s">
        <v>32</v>
      </c>
      <c r="W49" s="315"/>
      <c r="X49" s="30" t="s">
        <v>10</v>
      </c>
      <c r="Y49" s="30" t="s">
        <v>10</v>
      </c>
      <c r="Z49" s="313" t="s">
        <v>23</v>
      </c>
      <c r="AA49" s="314"/>
      <c r="AB49" s="87" t="s">
        <v>10</v>
      </c>
      <c r="AC49" s="87" t="s">
        <v>10</v>
      </c>
      <c r="AD49" s="1" t="s">
        <v>16</v>
      </c>
      <c r="AE49" s="1" t="s">
        <v>16</v>
      </c>
      <c r="AF49" s="1" t="s">
        <v>16</v>
      </c>
      <c r="AG49" s="1" t="s">
        <v>16</v>
      </c>
      <c r="AH49" s="1" t="s">
        <v>16</v>
      </c>
      <c r="AI49" s="1" t="s">
        <v>16</v>
      </c>
    </row>
    <row r="50" spans="2:35" ht="14.85" customHeight="1">
      <c r="C50" s="12" t="str">
        <f>C34</f>
        <v>CW1</v>
      </c>
      <c r="D50" s="2">
        <f>D42</f>
        <v>17.5</v>
      </c>
      <c r="E50" s="120">
        <f>IF(Geometry_loads!H8="-","-",Geometry_loads!H8*Control!$F$54)</f>
        <v>182177.86980077674</v>
      </c>
      <c r="F50" s="120">
        <f>IF(Geometry_loads!G8="-","-",Geometry_loads!G8*Control!$F$55)</f>
        <v>217148.22549126111</v>
      </c>
      <c r="G50" s="120">
        <f>IF(AND(X50=0,Y50=0),E50/Z50*E34/2/1000,(E50*($AF$25/$Z$5)^(1/$AE$4)/Z50*E34/2/1000))</f>
        <v>50.194663209811345</v>
      </c>
      <c r="H50" s="120">
        <f>IF(AND(X50=0,Y50=0),E50/Z50*(E34-2*H34/1000)/2/1000,(E50*($AF$25/$Z$5)^(1/$AE$4)/Z50*(E34-2*H34/1000)/2/1000))</f>
        <v>49.056917510388956</v>
      </c>
      <c r="I50" s="120" t="str">
        <f>IF(AND(X50=0,Y50=0),"-",IF(V50=0,(E50*($AF$24/$Z$5)^(1/$AE$4)/AA50*(E34-2*X50/1000)/2/1000),(F50*($AF$24/$Z$5)^(1/3)/AA50*(E34-2*X50/1000)/2/1000)))</f>
        <v>-</v>
      </c>
      <c r="J50" s="120" t="str">
        <f>IF(AND(X50=0,Y50=0),"-",IF(W50=0,(E50*($AF$24/$Z$5)^(1/$AE$4))/AA50*(E34-2*(H34-Y50)/1000)/2/1000,(F50*($AF$24/$Z$5)^(1/3))/AA50*(E34-2*(H34-Y50)/1000)/2/1000))</f>
        <v>-</v>
      </c>
      <c r="K50" s="120">
        <f>IF(OR(N42="b",N42="o"),$AD$6,$AD$7)</f>
        <v>90</v>
      </c>
      <c r="L50" s="120">
        <f>IF(OR(N42="b",N42="i"),$AD$6,$AD$7)</f>
        <v>90</v>
      </c>
      <c r="M50" s="120">
        <f>IF(AND(V50=0,W50&lt;&gt;0),IF(D50&gt;$Z$9,$AD$14,$AD$15)*((((IF(D50&gt;$Z$9,$AD$12,$AD$13)/AD50*L34*G50*IF(OR(N34="b",N34="o"),$AE$20,1))/(AH50*K50))^$AE$4)+(((IF(D50&gt;$Z$9,$AD$12,$AD$13)/AD50*L34*I50*IF(OR(N34="b",N34="o"),$AE$20,1))/((AH50*K50)))^$AE$4)),IF(D50&gt;$Z$9,$AD$14,$AD$15)*((((IF(D50&gt;$Z$9,$AD$12,$AD$13)/AD50*L34*G50*IF(OR(N34="b",N34="o"),$AE$20,1))/(AH50*K50))^$AE$4)+(((IF(D50&gt;$Z$9,$AD$12,$AD$13)/AF50*L34*IF(V50=0,0,I50)*IF(OR(N34="b",N34="o"),$AE$20,1))/(0.7*IF(K50=65.5,58.48,K50)))^3)))</f>
        <v>0.60685825174206875</v>
      </c>
      <c r="N50" s="120">
        <f>IF(AND(W50=0,V50&lt;&gt;0),IF(D50&gt;$Z$9,$AD$14,$AD$15)*((((IF(D50&gt;$Z$9,$AD$12,$AD$13)/AE50*M34*H50*IF(OR(N34="b",N34="i"),$AE$20,1))/(AI50*L50))^$AE$4)+(((IF(D50&gt;$Z$9,$AD$12,$AD$13)/AE50*M34*J50*IF(OR(N34="b",N34="i"),$AE$20,1))/((AI50*L50)))^$AE$4)),IF(D50&gt;$Z$9,$AD$14,$AD$15)*((((IF(D50&gt;$Z$9,$AD$12,$AD$13)/AE50*M34*H50*IF(OR(N34="b",N34="i"),$AE$20,1))/(AI50*L50))^$AE$4)+(((IF(D50&gt;$Z$9,$AD$12,$AD$13)/AG50*M34*IF(W50=0,0,J50)*IF(OR(N34="b",N34="i"),$AE$20,1))/(0.7*IF(L50=65.5,58.48,L50)))^3)))</f>
        <v>0.55367906982666093</v>
      </c>
      <c r="O50" s="120">
        <f>Control!$F$46</f>
        <v>0</v>
      </c>
      <c r="P50" s="120">
        <f>Control!$F$46</f>
        <v>0</v>
      </c>
      <c r="Q50" s="120">
        <f>M50+O50</f>
        <v>0.60685825174206875</v>
      </c>
      <c r="R50" s="120">
        <f>N50+P50</f>
        <v>0.55367906982666093</v>
      </c>
      <c r="V50" s="36">
        <f>V42</f>
        <v>0</v>
      </c>
      <c r="W50" s="36">
        <f>W42</f>
        <v>0</v>
      </c>
      <c r="X50" s="36">
        <f>X42</f>
        <v>0</v>
      </c>
      <c r="Y50" s="36">
        <f>Y42</f>
        <v>0</v>
      </c>
      <c r="Z50" s="120">
        <f>(PI()/64*(E34^4-(E34-2*H34/1000)^4))</f>
        <v>13.610351540706759</v>
      </c>
      <c r="AA50" s="120">
        <f>(PI()/64*((E34-2*X42/1000)^4-((E34-2*X42/1000)-2*(H34-X42-Y42)/1000)^4))</f>
        <v>13.610351540706759</v>
      </c>
      <c r="AB50" s="120">
        <f>IF(OR(Control!$F$39="EC",Control!$F$51="N"),H34,MIN(H34,14+0.66*(INDEX('Eff. thickness (DNVGL-RP-C203)'!$G$31:$G$1048576,MATCH(H34,'Eff. thickness (DNVGL-RP-C203)'!$C$31:$C$1048576,0)))))</f>
        <v>85</v>
      </c>
      <c r="AC50" s="120">
        <f>IF(OR(Control!$F$39="EC",Control!$F$51="N"),H34,MIN(H34,14+0.66*(INDEX('Eff. thickness (DNVGL-RP-C203)'!$F$31:$F$1048576,MATCH(H34,'Eff. thickness (DNVGL-RP-C203)'!$C$31:$C$1048576,0))+IF(I34&lt;0.001,0,'Eff. thickness (DNVGL-RP-C203)'!$L$30))))</f>
        <v>85</v>
      </c>
      <c r="AD50" s="120">
        <f>(25/AB50)^(IF(OR(N34="b",N34="o"),0.1,0.2))</f>
        <v>0.78289625676350527</v>
      </c>
      <c r="AE50" s="120">
        <f>(25/AC50)^(IF(OR(N34="b",N34="i"),0.1,0.2))</f>
        <v>0.78289625676350527</v>
      </c>
      <c r="AF50" s="120">
        <f>IF(V42=0,1,(25/AB50)^(IF(OR(N34="b",N34="o"),0.15,0.2)))</f>
        <v>1</v>
      </c>
      <c r="AG50" s="120">
        <f>IF(W42=0,1,(25/AC50)^(IF(OR(N34="b",N34="i"),0.15,0.2)))</f>
        <v>1</v>
      </c>
      <c r="AH50" s="120">
        <f>IF(Control!$F$39&lt;&gt;"DNV",1,IF(D50&gt;Control!$F$16,IF(ISBLANK(Control!$F$56),1,Control!$F$56),IF(D50&gt;Control!$F$22,IF(ISBLANK(Control!$F$57),1,Control!$F$57),1)))</f>
        <v>1</v>
      </c>
      <c r="AI50" s="120">
        <f>IF(Control!$F$39&lt;&gt;"DNV",1,IF(D50&gt;Control!$F$18,IF(ISBLANK(Control!$F$56),1,Control!$F$56),IF(D50&gt;Control!$F$22,IF(ISBLANK(Control!$F$57),1,Control!$F$57),1)))</f>
        <v>1</v>
      </c>
    </row>
    <row r="51" spans="2:35" ht="14.85" customHeight="1">
      <c r="C51" s="12" t="str">
        <f t="shared" ref="C51:C52" si="39">C35</f>
        <v>CW2</v>
      </c>
      <c r="D51" s="2">
        <f t="shared" ref="D51:D52" si="40">D43</f>
        <v>13.5</v>
      </c>
      <c r="E51" s="120">
        <f>IF(Geometry_loads!H9="-","-",Geometry_loads!H9*Control!$F$54)</f>
        <v>188066.10530199588</v>
      </c>
      <c r="F51" s="120">
        <f>IF(Geometry_loads!G9="-","-",Geometry_loads!G9*Control!$F$55)</f>
        <v>224063.40975749888</v>
      </c>
      <c r="G51" s="120">
        <f t="shared" ref="G51:G52" si="41">IF(AND(X51=0,Y51=0),E51/Z51*E35/2/1000,(E51*($AF$25/$Z$5)^(1/$AE$4)/Z51*E35/2/1000))</f>
        <v>48.009168873122448</v>
      </c>
      <c r="H51" s="120">
        <f t="shared" ref="H51:H52" si="42">IF(AND(X51=0,Y51=0),E51/Z51*(E35-2*H35/1000)/2/1000,(E51*($AF$25/$Z$5)^(1/$AE$4)/Z51*(E35-2*H35/1000)/2/1000))</f>
        <v>46.831343930101845</v>
      </c>
      <c r="I51" s="120" t="str">
        <f t="shared" ref="I51:I52" si="43">IF(AND(X51=0,Y51=0),"-",IF(V51=0,(E51*($AF$24/$Z$5)^(1/$AE$4)/AA51*(E35-2*X51/1000)/2/1000),(F51*($AF$24/$Z$5)^(1/3)/AA51*(E35-2*X51/1000)/2/1000)))</f>
        <v>-</v>
      </c>
      <c r="J51" s="120" t="str">
        <f t="shared" ref="J51:J52" si="44">IF(AND(X51=0,Y51=0),"-",IF(W51=0,(E51*($AF$24/$Z$5)^(1/$AE$4))/AA51*(E35-2*(H35-Y51)/1000)/2/1000,(F51*($AF$24/$Z$5)^(1/3))/AA51*(E35-2*(H35-Y51)/1000)/2/1000))</f>
        <v>-</v>
      </c>
      <c r="K51" s="120">
        <f t="shared" ref="K51:K52" si="45">IF(OR(N43="b",N43="o"),$AD$6,$AD$7)</f>
        <v>90</v>
      </c>
      <c r="L51" s="120">
        <f t="shared" ref="L51:L52" si="46">IF(OR(N43="b",N43="i"),$AD$6,$AD$7)</f>
        <v>90</v>
      </c>
      <c r="M51" s="120">
        <f t="shared" ref="M51:M52" si="47">IF(AND(V51=0,W51&lt;&gt;0),IF(D51&gt;$Z$9,$AD$14,$AD$15)*((((IF(D51&gt;$Z$9,$AD$12,$AD$13)/AD51*L35*G51*IF(OR(N35="b",N35="o"),$AE$20,1))/(AH51*K51))^$AE$4)+(((IF(D51&gt;$Z$9,$AD$12,$AD$13)/AD51*L35*I51*IF(OR(N35="b",N35="o"),$AE$20,1))/((AH51*K51)))^$AE$4)),IF(D51&gt;$Z$9,$AD$14,$AD$15)*((((IF(D51&gt;$Z$9,$AD$12,$AD$13)/AD51*L35*G51*IF(OR(N35="b",N35="o"),$AE$20,1))/(AH51*K51))^$AE$4)+(((IF(D51&gt;$Z$9,$AD$12,$AD$13)/AF51*L35*IF(V51=0,0,I51)*IF(OR(N35="b",N35="o"),$AE$20,1))/(0.7*IF(K51=65.5,58.48,K51)))^3)))</f>
        <v>0.32934911896839147</v>
      </c>
      <c r="N51" s="120">
        <f t="shared" ref="N51:N52" si="48">IF(AND(W51=0,V51&lt;&gt;0),IF(D51&gt;$Z$9,$AD$14,$AD$15)*((((IF(D51&gt;$Z$9,$AD$12,$AD$13)/AE51*M35*H51*IF(OR(N35="b",N35="i"),$AE$20,1))/(AI51*L51))^$AE$4)+(((IF(D51&gt;$Z$9,$AD$12,$AD$13)/AE51*M35*J51*IF(OR(N35="b",N35="i"),$AE$20,1))/((AI51*L51)))^$AE$4)),IF(D51&gt;$Z$9,$AD$14,$AD$15)*((((IF(D51&gt;$Z$9,$AD$12,$AD$13)/AE51*M35*H51*IF(OR(N35="b",N35="i"),$AE$20,1))/(AI51*L51))^$AE$4)+(((IF(D51&gt;$Z$9,$AD$12,$AD$13)/AG51*M35*IF(W51=0,0,J51)*IF(OR(N35="b",N35="i"),$AE$20,1))/(0.7*IF(L51=65.5,58.48,L51)))^3)))</f>
        <v>0.76472622692593262</v>
      </c>
      <c r="O51" s="120">
        <f>Control!$F$46</f>
        <v>0</v>
      </c>
      <c r="P51" s="120">
        <f>Control!$F$46</f>
        <v>0</v>
      </c>
      <c r="Q51" s="120">
        <f t="shared" ref="Q51:Q52" si="49">M51+O51</f>
        <v>0.32934911896839147</v>
      </c>
      <c r="R51" s="120">
        <f t="shared" ref="R51:R52" si="50">N51+P51</f>
        <v>0.76472622692593262</v>
      </c>
      <c r="V51" s="36">
        <f t="shared" ref="V51:Y51" si="51">V43</f>
        <v>0</v>
      </c>
      <c r="W51" s="36">
        <f t="shared" si="51"/>
        <v>0</v>
      </c>
      <c r="X51" s="36">
        <f t="shared" si="51"/>
        <v>0</v>
      </c>
      <c r="Y51" s="36">
        <f t="shared" si="51"/>
        <v>0</v>
      </c>
      <c r="Z51" s="120">
        <f t="shared" ref="Z51:Z52" si="52">(PI()/64*(E35^4-(E35-2*H35/1000)^4))</f>
        <v>14.689858446545863</v>
      </c>
      <c r="AA51" s="120">
        <f t="shared" ref="AA51:AA52" si="53">(PI()/64*((E35-2*X43/1000)^4-((E35-2*X43/1000)-2*(H35-X43-Y43)/1000)^4))</f>
        <v>14.689858446545863</v>
      </c>
      <c r="AB51" s="120">
        <f>IF(OR(Control!$F$39="EC",Control!$F$51="N"),H35,MIN(H35,14+0.66*(INDEX('Eff. thickness (DNVGL-RP-C203)'!$G$31:$G$1048576,MATCH(H35,'Eff. thickness (DNVGL-RP-C203)'!$C$31:$C$1048576,0)))))</f>
        <v>92</v>
      </c>
      <c r="AC51" s="120">
        <f>IF(OR(Control!$F$39="EC",Control!$F$51="N"),H35,MIN(H35,14+0.66*(INDEX('Eff. thickness (DNVGL-RP-C203)'!$F$31:$F$1048576,MATCH(H35,'Eff. thickness (DNVGL-RP-C203)'!$C$31:$C$1048576,0))+IF(I35&lt;0.001,0,'Eff. thickness (DNVGL-RP-C203)'!$L$30))))</f>
        <v>92</v>
      </c>
      <c r="AD51" s="120">
        <f t="shared" ref="AD51:AD52" si="54">(25/AB51)^(IF(OR(N35="b",N35="o"),0.1,0.2))</f>
        <v>0.77060254017451113</v>
      </c>
      <c r="AE51" s="120">
        <f t="shared" ref="AE51:AE52" si="55">(25/AC51)^(IF(OR(N35="b",N35="i"),0.1,0.2))</f>
        <v>0.77060254017451113</v>
      </c>
      <c r="AF51" s="120">
        <f t="shared" ref="AF51:AF52" si="56">IF(V43=0,1,(25/AB51)^(IF(OR(N35="b",N35="o"),0.15,0.2)))</f>
        <v>1</v>
      </c>
      <c r="AG51" s="120">
        <f t="shared" ref="AG51:AG52" si="57">IF(W43=0,1,(25/AC51)^(IF(OR(N35="b",N35="i"),0.15,0.2)))</f>
        <v>1</v>
      </c>
      <c r="AH51" s="120">
        <f>IF(Control!$F$39&lt;&gt;"DNV",1,IF(D51&gt;Control!$F$16,IF(ISBLANK(Control!$F$56),1,Control!$F$56),IF(D51&gt;Control!$F$22,IF(ISBLANK(Control!$F$57),1,Control!$F$57),1)))</f>
        <v>1</v>
      </c>
      <c r="AI51" s="120">
        <f>IF(Control!$F$39&lt;&gt;"DNV",1,IF(D51&gt;Control!$F$18,IF(ISBLANK(Control!$F$56),1,Control!$F$56),IF(D51&gt;Control!$F$22,IF(ISBLANK(Control!$F$57),1,Control!$F$57),1)))</f>
        <v>1</v>
      </c>
    </row>
    <row r="52" spans="2:35" ht="14.85" customHeight="1">
      <c r="C52" s="12" t="str">
        <f t="shared" si="39"/>
        <v>CW3</v>
      </c>
      <c r="D52" s="2">
        <f t="shared" si="40"/>
        <v>9.5</v>
      </c>
      <c r="E52" s="120">
        <f>IF(Geometry_loads!H10="-","-",Geometry_loads!H10*Control!$F$54)</f>
        <v>194113.2957732545</v>
      </c>
      <c r="F52" s="120">
        <f>IF(Geometry_loads!G10="-","-",Geometry_loads!G10*Control!$F$55)</f>
        <v>231299.37028077827</v>
      </c>
      <c r="G52" s="120">
        <f t="shared" si="41"/>
        <v>45.735370826659718</v>
      </c>
      <c r="H52" s="120">
        <f t="shared" si="42"/>
        <v>44.515760937948791</v>
      </c>
      <c r="I52" s="120" t="str">
        <f t="shared" si="43"/>
        <v>-</v>
      </c>
      <c r="J52" s="120" t="str">
        <f t="shared" si="44"/>
        <v>-</v>
      </c>
      <c r="K52" s="120">
        <f t="shared" si="45"/>
        <v>90</v>
      </c>
      <c r="L52" s="120">
        <f t="shared" si="46"/>
        <v>90</v>
      </c>
      <c r="M52" s="120">
        <f t="shared" si="47"/>
        <v>0.26918074242281009</v>
      </c>
      <c r="N52" s="120">
        <f t="shared" si="48"/>
        <v>0.65790519868536856</v>
      </c>
      <c r="O52" s="120">
        <f>Control!$F$46</f>
        <v>0</v>
      </c>
      <c r="P52" s="120">
        <f>Control!$F$46</f>
        <v>0</v>
      </c>
      <c r="Q52" s="120">
        <f t="shared" si="49"/>
        <v>0.26918074242281009</v>
      </c>
      <c r="R52" s="120">
        <f t="shared" si="50"/>
        <v>0.65790519868536856</v>
      </c>
      <c r="V52" s="36">
        <f t="shared" ref="V52:Y52" si="58">V44</f>
        <v>0</v>
      </c>
      <c r="W52" s="36">
        <f t="shared" si="58"/>
        <v>0</v>
      </c>
      <c r="X52" s="36">
        <f t="shared" si="58"/>
        <v>0</v>
      </c>
      <c r="Y52" s="36">
        <f t="shared" si="58"/>
        <v>0</v>
      </c>
      <c r="Z52" s="120">
        <f t="shared" si="52"/>
        <v>15.916015241432959</v>
      </c>
      <c r="AA52" s="120">
        <f t="shared" si="53"/>
        <v>15.916015241432959</v>
      </c>
      <c r="AB52" s="120">
        <f>IF(OR(Control!$F$39="EC",Control!$F$51="N"),H36,MIN(H36,14+0.66*(INDEX('Eff. thickness (DNVGL-RP-C203)'!$G$31:$G$1048576,MATCH(H36,'Eff. thickness (DNVGL-RP-C203)'!$C$31:$C$1048576,0)))))</f>
        <v>100</v>
      </c>
      <c r="AC52" s="120">
        <f>IF(OR(Control!$F$39="EC",Control!$F$51="N"),H36,MIN(H36,14+0.66*(INDEX('Eff. thickness (DNVGL-RP-C203)'!$F$31:$F$1048576,MATCH(H36,'Eff. thickness (DNVGL-RP-C203)'!$C$31:$C$1048576,0))+IF(I36&lt;0.001,0,'Eff. thickness (DNVGL-RP-C203)'!$L$30))))</f>
        <v>100</v>
      </c>
      <c r="AD52" s="120">
        <f t="shared" si="54"/>
        <v>0.75785828325519911</v>
      </c>
      <c r="AE52" s="120">
        <f t="shared" si="55"/>
        <v>0.75785828325519911</v>
      </c>
      <c r="AF52" s="120">
        <f t="shared" si="56"/>
        <v>1</v>
      </c>
      <c r="AG52" s="120">
        <f t="shared" si="57"/>
        <v>1</v>
      </c>
      <c r="AH52" s="120">
        <f>IF(Control!$F$39&lt;&gt;"DNV",1,IF(D52&gt;Control!$F$16,IF(ISBLANK(Control!$F$56),1,Control!$F$56),IF(D52&gt;Control!$F$22,IF(ISBLANK(Control!$F$57),1,Control!$F$57),1)))</f>
        <v>1</v>
      </c>
      <c r="AI52" s="120">
        <f>IF(Control!$F$39&lt;&gt;"DNV",1,IF(D52&gt;Control!$F$18,IF(ISBLANK(Control!$F$56),1,Control!$F$56),IF(D52&gt;Control!$F$22,IF(ISBLANK(Control!$F$57),1,Control!$F$57),1)))</f>
        <v>1</v>
      </c>
    </row>
    <row r="53" spans="2:35" ht="14.85" customHeight="1"/>
    <row r="54" spans="2:35">
      <c r="C54" s="35" t="s">
        <v>466</v>
      </c>
      <c r="M54" s="271" t="s">
        <v>60</v>
      </c>
      <c r="N54" s="267"/>
      <c r="O54" s="267"/>
      <c r="P54" s="267"/>
      <c r="Q54" s="267"/>
      <c r="R54" s="319"/>
    </row>
    <row r="55" spans="2:35" ht="20.399999999999999">
      <c r="C55" s="312" t="s">
        <v>19</v>
      </c>
      <c r="D55" s="317" t="s">
        <v>282</v>
      </c>
      <c r="E55" s="30" t="s">
        <v>285</v>
      </c>
      <c r="F55" s="30" t="s">
        <v>285</v>
      </c>
      <c r="G55" s="312" t="s">
        <v>24</v>
      </c>
      <c r="H55" s="312"/>
      <c r="I55" s="312" t="s">
        <v>271</v>
      </c>
      <c r="J55" s="312"/>
      <c r="K55" s="312" t="s">
        <v>27</v>
      </c>
      <c r="L55" s="312"/>
      <c r="M55" s="312" t="s">
        <v>61</v>
      </c>
      <c r="N55" s="312"/>
      <c r="O55" s="312" t="s">
        <v>62</v>
      </c>
      <c r="P55" s="312"/>
      <c r="Q55" s="312" t="s">
        <v>63</v>
      </c>
      <c r="R55" s="312"/>
      <c r="V55" s="312" t="s">
        <v>31</v>
      </c>
      <c r="W55" s="312"/>
      <c r="X55" s="313" t="s">
        <v>48</v>
      </c>
      <c r="Y55" s="314"/>
      <c r="Z55" s="30" t="s">
        <v>21</v>
      </c>
      <c r="AA55" s="5" t="s">
        <v>22</v>
      </c>
      <c r="AB55" s="310" t="str">
        <f>IF(OR(Control!$F$39="EC",Control!$F$51="N"),"t","t_eff")</f>
        <v>t</v>
      </c>
      <c r="AC55" s="311"/>
      <c r="AD55" s="312" t="s">
        <v>35</v>
      </c>
      <c r="AE55" s="312"/>
      <c r="AF55" s="312"/>
      <c r="AG55" s="312"/>
      <c r="AH55" s="310" t="s">
        <v>448</v>
      </c>
      <c r="AI55" s="311"/>
    </row>
    <row r="56" spans="2:35" ht="20.399999999999999">
      <c r="C56" s="312">
        <v>0</v>
      </c>
      <c r="D56" s="318">
        <v>0</v>
      </c>
      <c r="E56" s="30" t="str">
        <f>IF(Control!$F$39="EC","m=4, N=2E6","m=5, N=1e7")</f>
        <v>m=4, N=2E6</v>
      </c>
      <c r="F56" s="30" t="str">
        <f>IF(Control!$F$39="EC","m=3, N=2E6","m=3, N=1e7")</f>
        <v>m=3, N=2E6</v>
      </c>
      <c r="G56" s="30" t="s">
        <v>25</v>
      </c>
      <c r="H56" s="30" t="s">
        <v>26</v>
      </c>
      <c r="I56" s="5" t="s">
        <v>25</v>
      </c>
      <c r="J56" s="5" t="s">
        <v>26</v>
      </c>
      <c r="K56" s="30" t="s">
        <v>25</v>
      </c>
      <c r="L56" s="30" t="s">
        <v>26</v>
      </c>
      <c r="M56" s="30" t="s">
        <v>25</v>
      </c>
      <c r="N56" s="30" t="s">
        <v>64</v>
      </c>
      <c r="O56" s="30" t="s">
        <v>25</v>
      </c>
      <c r="P56" s="30" t="s">
        <v>64</v>
      </c>
      <c r="Q56" s="30" t="s">
        <v>25</v>
      </c>
      <c r="R56" s="30" t="s">
        <v>64</v>
      </c>
      <c r="V56" s="30" t="s">
        <v>33</v>
      </c>
      <c r="W56" s="30" t="s">
        <v>34</v>
      </c>
      <c r="X56" s="30" t="s">
        <v>33</v>
      </c>
      <c r="Y56" s="30" t="s">
        <v>34</v>
      </c>
      <c r="Z56" s="313" t="s">
        <v>30</v>
      </c>
      <c r="AA56" s="314"/>
      <c r="AB56" s="30" t="s">
        <v>45</v>
      </c>
      <c r="AC56" s="30" t="s">
        <v>34</v>
      </c>
      <c r="AD56" s="30" t="s">
        <v>45</v>
      </c>
      <c r="AE56" s="30" t="s">
        <v>34</v>
      </c>
      <c r="AF56" s="30" t="s">
        <v>46</v>
      </c>
      <c r="AG56" s="30" t="s">
        <v>47</v>
      </c>
      <c r="AH56" s="30" t="s">
        <v>45</v>
      </c>
      <c r="AI56" s="30" t="s">
        <v>34</v>
      </c>
    </row>
    <row r="57" spans="2:35">
      <c r="C57" s="30" t="s">
        <v>16</v>
      </c>
      <c r="D57" s="30" t="str">
        <f>"[m"&amp;Control!$F$7&amp;"]"</f>
        <v>[mLAT]</v>
      </c>
      <c r="E57" s="313" t="s">
        <v>20</v>
      </c>
      <c r="F57" s="314"/>
      <c r="G57" s="313" t="s">
        <v>77</v>
      </c>
      <c r="H57" s="316"/>
      <c r="I57" s="316"/>
      <c r="J57" s="314"/>
      <c r="K57" s="313" t="s">
        <v>77</v>
      </c>
      <c r="L57" s="314"/>
      <c r="M57" s="320" t="s">
        <v>16</v>
      </c>
      <c r="N57" s="321"/>
      <c r="O57" s="321"/>
      <c r="P57" s="321"/>
      <c r="Q57" s="321"/>
      <c r="R57" s="322"/>
      <c r="V57" s="315" t="s">
        <v>32</v>
      </c>
      <c r="W57" s="315"/>
      <c r="X57" s="30" t="s">
        <v>10</v>
      </c>
      <c r="Y57" s="30" t="s">
        <v>10</v>
      </c>
      <c r="Z57" s="313" t="s">
        <v>23</v>
      </c>
      <c r="AA57" s="314"/>
      <c r="AB57" s="87" t="s">
        <v>10</v>
      </c>
      <c r="AC57" s="87" t="s">
        <v>10</v>
      </c>
      <c r="AD57" s="1" t="s">
        <v>16</v>
      </c>
      <c r="AE57" s="1" t="s">
        <v>16</v>
      </c>
      <c r="AF57" s="1" t="s">
        <v>16</v>
      </c>
      <c r="AG57" s="1" t="s">
        <v>16</v>
      </c>
      <c r="AH57" s="1" t="s">
        <v>16</v>
      </c>
      <c r="AI57" s="1" t="s">
        <v>16</v>
      </c>
    </row>
    <row r="58" spans="2:35">
      <c r="C58" s="12" t="s">
        <v>456</v>
      </c>
      <c r="D58" s="2">
        <f>D34</f>
        <v>17.5</v>
      </c>
      <c r="E58" s="120">
        <f>IF(Geometry_loads!H8="-","-",Geometry_loads!H8*Control!$F$54)</f>
        <v>182177.86980077674</v>
      </c>
      <c r="F58" s="120">
        <f>IF(Geometry_loads!G8="-","-",Geometry_loads!G8*Control!$F$55)</f>
        <v>217148.22549126111</v>
      </c>
      <c r="G58" s="120">
        <f>IF(AND(X58=0,Y58=0),E58/Z58*E34/2/1000,(E58*($AF$25/$Z$5)^(1/$AE$4)/Z58*E34/2/1000))</f>
        <v>50.194663209811345</v>
      </c>
      <c r="H58" s="120">
        <f>IF(AND(X58=0,Y58=0),E58/Z58*(E34-2*G34/1000)/2/1000,(E58*($AF$25/$Z$5)^(1/$AE$4)/Z58*(E34-2*G34/1000)/2/1000))</f>
        <v>49.056917510388956</v>
      </c>
      <c r="I58" s="120" t="str">
        <f>IF(AND(X58=0,Y58=0),"-",IF(V58=0,(E58*($AF$24/$Z$5)^(1/$AE$4)/AA58*(E34-2*X58/1000)/2/1000),(F58*($AF$24/$Z$5)^(1/3)/AA58*(E34-2*X58/1000)/2/1000)))</f>
        <v>-</v>
      </c>
      <c r="J58" s="120" t="str">
        <f>IF(AND(X58=0,Y58=0),"-",IF(W58=0,(E58*($AF$24/$Z$5)^(1/$AE$4))/AA58*(E34-2*(G34-Y58)/1000)/2/1000,(F58*($AF$24/$Z$5)^(1/3))/AA58*(E34-2*(G34-Y58)/1000)/2/1000))</f>
        <v>-</v>
      </c>
      <c r="K58" s="120">
        <f t="shared" ref="K58:L60" si="59">$AD$8</f>
        <v>112</v>
      </c>
      <c r="L58" s="120">
        <f t="shared" si="59"/>
        <v>112</v>
      </c>
      <c r="M58" s="120">
        <f>IF(AND(V58=0,W58&lt;&gt;0),IF(D58&gt;$Z$9,$AD$14,$AD$15)*((((IF(D58&gt;$Z$9,$AD$12,$AD$13)/AD58*G58)/(AH58*K58))^$AE$4)+(((IF(D58&gt;$Z$9,$AD$12,$AD$13)/AD58*I58)/((AH58*K58)))^$AE$4)),IF(D58&gt;$Z$9,$AD$14,$AD$15)*((((IF(D58&gt;$Z$9,$AD$12,$AD$13)/AD58*G58)/(AH58*K58))^$AE$4)+(((IF(D58&gt;$Z$9,$AD$12,$AD$13)/AF58*IF(V58=0,0,I58))/(0.7*K58))^3)))</f>
        <v>0.16069031665489081</v>
      </c>
      <c r="N58" s="120">
        <f>IF(AND(W58=0,V58&lt;&gt;0),IF(D58&gt;$Z$9,$AD$14,$AD$15)*((((IF(D58&gt;$Z$9,$AD$12,$AD$13)/AE58*H58)/(AI58*L58))^$AE$4)+(((IF(D58&gt;$Z$9,$AD$12,$AD$13)/AE58*J58)/((AI58*L58)))^$AE$4)),IF(D58&gt;$Z$9,$AD$14,$AD$15)*((((IF(D58&gt;$Z$9,$AD$12,$AD$13)/AE58*H58)/(AI58*L58))^$AE$4)+(((IF(D58&gt;$Z$9,$AD$12,$AD$13)/AG58*IF(W58=0,0,J58))/(0.7*L58))^3)))</f>
        <v>0.14660897301837547</v>
      </c>
      <c r="O58" s="120">
        <f>Control!$F$46</f>
        <v>0</v>
      </c>
      <c r="P58" s="120">
        <f>Control!$F$46</f>
        <v>0</v>
      </c>
      <c r="Q58" s="120">
        <f>M58+O58</f>
        <v>0.16069031665489081</v>
      </c>
      <c r="R58" s="120">
        <f>N58+P58</f>
        <v>0.14660897301837547</v>
      </c>
      <c r="V58" s="36">
        <f>V42</f>
        <v>0</v>
      </c>
      <c r="W58" s="36">
        <f>W42</f>
        <v>0</v>
      </c>
      <c r="X58" s="36">
        <f>X42</f>
        <v>0</v>
      </c>
      <c r="Y58" s="36">
        <f>Y42</f>
        <v>0</v>
      </c>
      <c r="Z58" s="120">
        <f>(PI()/64*(E34^4-(E34-2*G34/1000)^4))</f>
        <v>13.610351540706759</v>
      </c>
      <c r="AA58" s="120">
        <f>(PI()/64*((E34-2*X58/1000)^4-((E34-2*X58/1000)-2*(G34-X58-Y58)/1000)^4))</f>
        <v>13.610351540706759</v>
      </c>
      <c r="AB58" s="120">
        <f>IF(OR(Control!$F$39="EC",Control!$F$51="N"),G34,MIN(G34,14+0.66*(INDEX('Eff. thickness (DNVGL-RP-C203)'!$G$31:$G$1048576,MATCH(G34,'Eff. thickness (DNVGL-RP-C203)'!$C$31:$C$1048576,0)))))</f>
        <v>85</v>
      </c>
      <c r="AC58" s="120">
        <f>IF(OR(Control!$F$39="EC",Control!$F$51="N"),G34,MIN(G34,14+0.66*(INDEX('Eff. thickness (DNVGL-RP-C203)'!$F$31:$F$1048576,MATCH(G34,'Eff. thickness (DNVGL-RP-C203)'!$C$31:$C$1048576,0)))))</f>
        <v>85</v>
      </c>
      <c r="AD58" s="120">
        <f>(25/AB58)^0.1</f>
        <v>0.88481424986462853</v>
      </c>
      <c r="AE58" s="120">
        <f>(25/AC58)^0.1</f>
        <v>0.88481424986462853</v>
      </c>
      <c r="AF58" s="120">
        <f>IF(V58=0,1,(25/AB58)^0.15)</f>
        <v>1</v>
      </c>
      <c r="AG58" s="120">
        <f>IF(W58=0,1,(25/AC58)^0.15)</f>
        <v>1</v>
      </c>
      <c r="AH58" s="120">
        <f>IF(Control!$F$39&lt;&gt;"DNV",1,IF(D58&gt;Control!$F$16,IF(ISBLANK(Control!$F$56),1,Control!$F$56),IF(D58&gt;Control!$F$22,IF(ISBLANK(Control!$F$57),1,Control!$F$57),1)))</f>
        <v>1</v>
      </c>
      <c r="AI58" s="120">
        <f>IF(Control!$F$39&lt;&gt;"DNV",1,IF(D58&gt;Control!$F$18,IF(ISBLANK(Control!$F$56),1,Control!$F$56),IF(D58&gt;Control!$F$22,IF(ISBLANK(Control!$F$57),1,Control!$F$57),1)))</f>
        <v>1</v>
      </c>
    </row>
    <row r="59" spans="2:35">
      <c r="C59" s="12" t="s">
        <v>457</v>
      </c>
      <c r="D59" s="2">
        <f t="shared" ref="D59:D60" si="60">D35</f>
        <v>13.5</v>
      </c>
      <c r="E59" s="120">
        <f>IF(Geometry_loads!H9="-","-",Geometry_loads!H9*Control!$F$54)</f>
        <v>188066.10530199588</v>
      </c>
      <c r="F59" s="120">
        <f>IF(Geometry_loads!G9="-","-",Geometry_loads!G9*Control!$F$55)</f>
        <v>224063.40975749888</v>
      </c>
      <c r="G59" s="120">
        <f t="shared" ref="G59:G60" si="61">IF(AND(X59=0,Y59=0),E59/Z59*E35/2/1000,(E59*($AF$25/$Z$5)^(1/$AE$4)/Z59*E35/2/1000))</f>
        <v>51.817022710484842</v>
      </c>
      <c r="H59" s="120">
        <f t="shared" ref="H59:H60" si="62">IF(AND(X59=0,Y59=0),E59/Z59*(E35-2*G35/1000)/2/1000,(E59*($AF$25/$Z$5)^(1/$AE$4)/Z59*(E35-2*G35/1000)/2/1000))</f>
        <v>50.642503529047197</v>
      </c>
      <c r="I59" s="120" t="str">
        <f t="shared" ref="I59:I60" si="63">IF(AND(X59=0,Y59=0),"-",IF(V59=0,(E59*($AF$24/$Z$5)^(1/$AE$4)/AA59*(E35-2*X59/1000)/2/1000),(F59*($AF$24/$Z$5)^(1/3)/AA59*(E35-2*X59/1000)/2/1000)))</f>
        <v>-</v>
      </c>
      <c r="J59" s="120" t="str">
        <f t="shared" ref="J59:J60" si="64">IF(AND(X59=0,Y59=0),"-",IF(W59=0,(E59*($AF$24/$Z$5)^(1/$AE$4))/AA59*(E35-2*(G35-Y59)/1000)/2/1000,(F59*($AF$24/$Z$5)^(1/3))/AA59*(E35-2*(G35-Y59)/1000)/2/1000))</f>
        <v>-</v>
      </c>
      <c r="K59" s="120">
        <f t="shared" si="59"/>
        <v>112</v>
      </c>
      <c r="L59" s="120">
        <f t="shared" si="59"/>
        <v>112</v>
      </c>
      <c r="M59" s="120">
        <f t="shared" ref="M59:M60" si="65">IF(AND(V59=0,W59&lt;&gt;0),IF(D59&gt;$Z$9,$AD$14,$AD$15)*((((IF(D59&gt;$Z$9,$AD$12,$AD$13)/AD59*G59)/(AH59*K59))^$AE$4)+(((IF(D59&gt;$Z$9,$AD$12,$AD$13)/AD59*I59)/((AH59*K59)))^$AE$4)),IF(D59&gt;$Z$9,$AD$14,$AD$15)*((((IF(D59&gt;$Z$9,$AD$12,$AD$13)/AD59*G59)/(AH59*K59))^$AE$4)+(((IF(D59&gt;$Z$9,$AD$12,$AD$13)/AF59*IF(V59=0,0,I59))/(0.7*K59))^3)))</f>
        <v>0.18249431974395258</v>
      </c>
      <c r="N59" s="120">
        <f t="shared" ref="N59:N60" si="66">IF(AND(W59=0,V59&lt;&gt;0),IF(D59&gt;$Z$9,$AD$14,$AD$15)*((((IF(D59&gt;$Z$9,$AD$12,$AD$13)/AE59*H59)/(AI59*L59))^$AE$4)+(((IF(D59&gt;$Z$9,$AD$12,$AD$13)/AE59*J59)/((AI59*L59)))^$AE$4)),IF(D59&gt;$Z$9,$AD$14,$AD$15)*((((IF(D59&gt;$Z$9,$AD$12,$AD$13)/AE59*H59)/(AI59*L59))^$AE$4)+(((IF(D59&gt;$Z$9,$AD$12,$AD$13)/AG59*IF(W59=0,0,J59))/(0.7*L59))^3)))</f>
        <v>0.16650228437105774</v>
      </c>
      <c r="O59" s="120">
        <f>Control!$F$46</f>
        <v>0</v>
      </c>
      <c r="P59" s="120">
        <f>Control!$F$46</f>
        <v>0</v>
      </c>
      <c r="Q59" s="120">
        <f t="shared" ref="Q59:Q60" si="67">M59+O59</f>
        <v>0.18249431974395258</v>
      </c>
      <c r="R59" s="120">
        <f t="shared" ref="R59:R60" si="68">N59+P59</f>
        <v>0.16650228437105774</v>
      </c>
      <c r="V59" s="36">
        <f t="shared" ref="V59:Y59" si="69">V43</f>
        <v>0</v>
      </c>
      <c r="W59" s="36">
        <f t="shared" si="69"/>
        <v>0</v>
      </c>
      <c r="X59" s="36">
        <f t="shared" si="69"/>
        <v>0</v>
      </c>
      <c r="Y59" s="36">
        <f t="shared" si="69"/>
        <v>0</v>
      </c>
      <c r="Z59" s="120">
        <f t="shared" ref="Z59:Z60" si="70">(PI()/64*(E35^4-(E35-2*G35/1000)^4))</f>
        <v>13.610351540706759</v>
      </c>
      <c r="AA59" s="120">
        <f t="shared" ref="AA59:AA60" si="71">(PI()/64*((E35-2*X59/1000)^4-((E35-2*X59/1000)-2*(G35-X59-Y59)/1000)^4))</f>
        <v>13.610351540706759</v>
      </c>
      <c r="AB59" s="120">
        <f>IF(OR(Control!$F$39="EC",Control!$F$51="N"),G35,MIN(G35,14+0.66*(INDEX('Eff. thickness (DNVGL-RP-C203)'!$G$31:$G$1048576,MATCH(G35,'Eff. thickness (DNVGL-RP-C203)'!$C$31:$C$1048576,0)))))</f>
        <v>85</v>
      </c>
      <c r="AC59" s="120">
        <f>IF(OR(Control!$F$39="EC",Control!$F$51="N"),G35,MIN(G35,14+0.66*(INDEX('Eff. thickness (DNVGL-RP-C203)'!$F$31:$F$1048576,MATCH(G35,'Eff. thickness (DNVGL-RP-C203)'!$C$31:$C$1048576,0)))))</f>
        <v>85</v>
      </c>
      <c r="AD59" s="120">
        <f t="shared" ref="AD59:AD60" si="72">(25/AB59)^0.1</f>
        <v>0.88481424986462853</v>
      </c>
      <c r="AE59" s="120">
        <f t="shared" ref="AE59:AE60" si="73">(25/AC59)^0.1</f>
        <v>0.88481424986462853</v>
      </c>
      <c r="AF59" s="120">
        <f t="shared" ref="AF59:AF60" si="74">IF(V59=0,1,(25/AB59)^0.15)</f>
        <v>1</v>
      </c>
      <c r="AG59" s="120">
        <f t="shared" ref="AG59:AG60" si="75">IF(W59=0,1,(25/AC59)^0.15)</f>
        <v>1</v>
      </c>
      <c r="AH59" s="120">
        <f>IF(Control!$F$39&lt;&gt;"DNV",1,IF(D59&gt;Control!$F$16,IF(ISBLANK(Control!$F$56),1,Control!$F$56),IF(D59&gt;Control!$F$22,IF(ISBLANK(Control!$F$57),1,Control!$F$57),1)))</f>
        <v>1</v>
      </c>
      <c r="AI59" s="120">
        <f>IF(Control!$F$39&lt;&gt;"DNV",1,IF(D59&gt;Control!$F$18,IF(ISBLANK(Control!$F$56),1,Control!$F$56),IF(D59&gt;Control!$F$22,IF(ISBLANK(Control!$F$57),1,Control!$F$57),1)))</f>
        <v>1</v>
      </c>
    </row>
    <row r="60" spans="2:35">
      <c r="C60" s="12" t="s">
        <v>458</v>
      </c>
      <c r="D60" s="2">
        <f t="shared" si="60"/>
        <v>9.5</v>
      </c>
      <c r="E60" s="120">
        <f>IF(Geometry_loads!H10="-","-",Geometry_loads!H10*Control!$F$54)</f>
        <v>194113.2957732545</v>
      </c>
      <c r="F60" s="120">
        <f>IF(Geometry_loads!G10="-","-",Geometry_loads!G10*Control!$F$55)</f>
        <v>231299.37028077827</v>
      </c>
      <c r="G60" s="120">
        <f t="shared" si="61"/>
        <v>49.552884515430222</v>
      </c>
      <c r="H60" s="120">
        <f t="shared" si="62"/>
        <v>48.337187081985</v>
      </c>
      <c r="I60" s="120" t="str">
        <f t="shared" si="63"/>
        <v>-</v>
      </c>
      <c r="J60" s="120" t="str">
        <f t="shared" si="64"/>
        <v>-</v>
      </c>
      <c r="K60" s="120">
        <f t="shared" si="59"/>
        <v>112</v>
      </c>
      <c r="L60" s="120">
        <f t="shared" si="59"/>
        <v>112</v>
      </c>
      <c r="M60" s="120">
        <f t="shared" si="65"/>
        <v>0.15753710112196989</v>
      </c>
      <c r="N60" s="120">
        <f t="shared" si="66"/>
        <v>0.14263712720154112</v>
      </c>
      <c r="O60" s="120">
        <f>Control!$F$46</f>
        <v>0</v>
      </c>
      <c r="P60" s="120">
        <f>Control!$F$46</f>
        <v>0</v>
      </c>
      <c r="Q60" s="120">
        <f t="shared" si="67"/>
        <v>0.15753710112196989</v>
      </c>
      <c r="R60" s="120">
        <f t="shared" si="68"/>
        <v>0.14263712720154112</v>
      </c>
      <c r="V60" s="36">
        <f t="shared" ref="V60:Y60" si="76">V44</f>
        <v>0</v>
      </c>
      <c r="W60" s="36">
        <f t="shared" si="76"/>
        <v>0</v>
      </c>
      <c r="X60" s="36">
        <f t="shared" si="76"/>
        <v>0</v>
      </c>
      <c r="Y60" s="36">
        <f t="shared" si="76"/>
        <v>0</v>
      </c>
      <c r="Z60" s="120">
        <f t="shared" si="70"/>
        <v>14.689858446545863</v>
      </c>
      <c r="AA60" s="120">
        <f t="shared" si="71"/>
        <v>14.689858446545863</v>
      </c>
      <c r="AB60" s="120">
        <f>IF(OR(Control!$F$39="EC",Control!$F$51="N"),G36,MIN(G36,14+0.66*(INDEX('Eff. thickness (DNVGL-RP-C203)'!$G$31:$G$1048576,MATCH(G36,'Eff. thickness (DNVGL-RP-C203)'!$C$31:$C$1048576,0)))))</f>
        <v>92</v>
      </c>
      <c r="AC60" s="120">
        <f>IF(OR(Control!$F$39="EC",Control!$F$51="N"),G36,MIN(G36,14+0.66*(INDEX('Eff. thickness (DNVGL-RP-C203)'!$F$31:$F$1048576,MATCH(G36,'Eff. thickness (DNVGL-RP-C203)'!$C$31:$C$1048576,0)))))</f>
        <v>92</v>
      </c>
      <c r="AD60" s="120">
        <f t="shared" si="72"/>
        <v>0.8778397007281632</v>
      </c>
      <c r="AE60" s="120">
        <f t="shared" si="73"/>
        <v>0.8778397007281632</v>
      </c>
      <c r="AF60" s="120">
        <f t="shared" si="74"/>
        <v>1</v>
      </c>
      <c r="AG60" s="120">
        <f t="shared" si="75"/>
        <v>1</v>
      </c>
      <c r="AH60" s="120">
        <f>IF(Control!$F$39&lt;&gt;"DNV",1,IF(D60&gt;Control!$F$16,IF(ISBLANK(Control!$F$56),1,Control!$F$56),IF(D60&gt;Control!$F$22,IF(ISBLANK(Control!$F$57),1,Control!$F$57),1)))</f>
        <v>1</v>
      </c>
      <c r="AI60" s="120">
        <f>IF(Control!$F$39&lt;&gt;"DNV",1,IF(D60&gt;Control!$F$18,IF(ISBLANK(Control!$F$56),1,Control!$F$56),IF(D60&gt;Control!$F$22,IF(ISBLANK(Control!$F$57),1,Control!$F$57),1)))</f>
        <v>1</v>
      </c>
    </row>
    <row r="63" spans="2:35">
      <c r="C63" s="35" t="s">
        <v>208</v>
      </c>
    </row>
    <row r="64" spans="2:35">
      <c r="C64" s="317" t="s">
        <v>54</v>
      </c>
      <c r="D64" s="317" t="s">
        <v>282</v>
      </c>
      <c r="E64" s="317" t="s">
        <v>17</v>
      </c>
      <c r="F64" s="317" t="s">
        <v>55</v>
      </c>
      <c r="G64" s="317" t="s">
        <v>193</v>
      </c>
      <c r="H64" s="317" t="s">
        <v>194</v>
      </c>
      <c r="I64" s="317" t="s">
        <v>301</v>
      </c>
    </row>
    <row r="65" spans="3:33">
      <c r="C65" s="318">
        <v>0</v>
      </c>
      <c r="D65" s="318">
        <v>0</v>
      </c>
      <c r="E65" s="318"/>
      <c r="F65" s="318"/>
      <c r="G65" s="318"/>
      <c r="H65" s="318"/>
      <c r="I65" s="318"/>
    </row>
    <row r="66" spans="3:33">
      <c r="C66" s="30" t="s">
        <v>16</v>
      </c>
      <c r="D66" s="30" t="str">
        <f>"[m"&amp;Control!$F$7&amp;"]"</f>
        <v>[mLAT]</v>
      </c>
      <c r="E66" s="30" t="s">
        <v>9</v>
      </c>
      <c r="F66" s="30" t="s">
        <v>10</v>
      </c>
      <c r="G66" s="30" t="s">
        <v>16</v>
      </c>
      <c r="H66" s="30" t="s">
        <v>16</v>
      </c>
      <c r="I66" s="31" t="s">
        <v>16</v>
      </c>
    </row>
    <row r="67" spans="3:33">
      <c r="C67" s="13" t="str">
        <f>Geometry!AD11</f>
        <v>TP1-01</v>
      </c>
      <c r="D67" s="2">
        <f>Geometry!AF11</f>
        <v>20</v>
      </c>
      <c r="E67" s="3">
        <f>Geometry!AL11</f>
        <v>7.5</v>
      </c>
      <c r="F67" s="3">
        <f>Geometry!AM11</f>
        <v>85</v>
      </c>
      <c r="G67" s="3">
        <f>Geometry!AG11</f>
        <v>1.2</v>
      </c>
      <c r="H67" s="3" t="str">
        <f>Geometry!AH11</f>
        <v>O</v>
      </c>
      <c r="I67" s="9" t="str">
        <f>Geometry!AI11</f>
        <v>g</v>
      </c>
    </row>
    <row r="68" spans="3:33">
      <c r="C68" s="13" t="str">
        <f>Geometry!AD12</f>
        <v xml:space="preserve">TP1-02 </v>
      </c>
      <c r="D68" s="2">
        <f>Geometry!AF12</f>
        <v>19.8</v>
      </c>
      <c r="E68" s="3">
        <f>Geometry!AL12</f>
        <v>7.5</v>
      </c>
      <c r="F68" s="3">
        <f>Geometry!AM12</f>
        <v>85</v>
      </c>
      <c r="G68" s="3">
        <f>Geometry!AG12</f>
        <v>2.0099999999999998</v>
      </c>
      <c r="H68" s="3" t="str">
        <f>Geometry!AH12</f>
        <v>O</v>
      </c>
      <c r="I68" s="9" t="str">
        <f>Geometry!AI12</f>
        <v>o</v>
      </c>
    </row>
    <row r="69" spans="3:33">
      <c r="C69" s="13" t="str">
        <f>Geometry!AD13</f>
        <v xml:space="preserve">TP1-03 </v>
      </c>
      <c r="D69" s="2">
        <f>Geometry!AF13</f>
        <v>20.8</v>
      </c>
      <c r="E69" s="3">
        <f>Geometry!AL13</f>
        <v>7.5</v>
      </c>
      <c r="F69" s="3">
        <f>Geometry!AM13</f>
        <v>85</v>
      </c>
      <c r="G69" s="3">
        <f>Geometry!AG13</f>
        <v>1.04</v>
      </c>
      <c r="H69" s="3" t="str">
        <f>Geometry!AH13</f>
        <v>O</v>
      </c>
      <c r="I69" s="9" t="str">
        <f>Geometry!AI13</f>
        <v>n</v>
      </c>
    </row>
    <row r="70" spans="3:33">
      <c r="C70" s="13" t="str">
        <f>Geometry!AD14</f>
        <v xml:space="preserve">TP1-04 </v>
      </c>
      <c r="D70" s="2">
        <f>Geometry!AF14</f>
        <v>20.8</v>
      </c>
      <c r="E70" s="3">
        <f>Geometry!AL14</f>
        <v>7.5</v>
      </c>
      <c r="F70" s="3">
        <f>Geometry!AM14</f>
        <v>85</v>
      </c>
      <c r="G70" s="3">
        <f>Geometry!AG14</f>
        <v>1.28</v>
      </c>
      <c r="H70" s="3" t="str">
        <f>Geometry!AH14</f>
        <v>O</v>
      </c>
      <c r="I70" s="9" t="str">
        <f>Geometry!AI14</f>
        <v>g</v>
      </c>
    </row>
    <row r="71" spans="3:33">
      <c r="C71" s="13" t="str">
        <f>Geometry!AD15</f>
        <v xml:space="preserve">TP1-05 </v>
      </c>
      <c r="D71" s="2">
        <f>Geometry!AF15</f>
        <v>20.100000000000001</v>
      </c>
      <c r="E71" s="3">
        <f>Geometry!AL15</f>
        <v>7.5</v>
      </c>
      <c r="F71" s="3">
        <f>Geometry!AM15</f>
        <v>85</v>
      </c>
      <c r="G71" s="3">
        <f>Geometry!AG15</f>
        <v>2.0099999999999998</v>
      </c>
      <c r="H71" s="3" t="str">
        <f>Geometry!AH15</f>
        <v>O</v>
      </c>
      <c r="I71" s="9" t="str">
        <f>Geometry!AI15</f>
        <v>o</v>
      </c>
    </row>
    <row r="72" spans="3:33">
      <c r="C72" s="13" t="str">
        <f>Geometry!AD16</f>
        <v>TP4-01</v>
      </c>
      <c r="D72" s="2">
        <f>Geometry!AF16</f>
        <v>11.8</v>
      </c>
      <c r="E72" s="3">
        <f>Geometry!AL16</f>
        <v>7.5</v>
      </c>
      <c r="F72" s="3">
        <f>Geometry!AM16</f>
        <v>92</v>
      </c>
      <c r="G72" s="3">
        <f>Geometry!AG16</f>
        <v>2.0099999999999998</v>
      </c>
      <c r="H72" s="3" t="str">
        <f>Geometry!AH16</f>
        <v>O</v>
      </c>
      <c r="I72" s="9" t="str">
        <f>Geometry!AI16</f>
        <v>o</v>
      </c>
    </row>
    <row r="73" spans="3:33">
      <c r="C73" s="13" t="str">
        <f>Geometry!AD17</f>
        <v>TP4-02</v>
      </c>
      <c r="D73" s="2">
        <f>Geometry!AF17</f>
        <v>11.2</v>
      </c>
      <c r="E73" s="3">
        <f>Geometry!AL17</f>
        <v>7.5</v>
      </c>
      <c r="F73" s="3">
        <f>Geometry!AM17</f>
        <v>92</v>
      </c>
      <c r="G73" s="3">
        <f>Geometry!AG17</f>
        <v>1.03</v>
      </c>
      <c r="H73" s="3" t="str">
        <f>Geometry!AH17</f>
        <v>O</v>
      </c>
      <c r="I73" s="9" t="str">
        <f>Geometry!AI17</f>
        <v>n</v>
      </c>
    </row>
    <row r="74" spans="3:33">
      <c r="C74" s="13" t="str">
        <f>Geometry!AD18</f>
        <v>TP4-03</v>
      </c>
      <c r="D74" s="2">
        <f>Geometry!AF18</f>
        <v>9.0399999999999991</v>
      </c>
      <c r="E74" s="3">
        <f>Geometry!AL18</f>
        <v>7.5</v>
      </c>
      <c r="F74" s="3">
        <f>Geometry!AM18</f>
        <v>100</v>
      </c>
      <c r="G74" s="3">
        <f>Geometry!AG18</f>
        <v>1.04</v>
      </c>
      <c r="H74" s="3" t="str">
        <f>Geometry!AH18</f>
        <v>O</v>
      </c>
      <c r="I74" s="9" t="str">
        <f>Geometry!AI18</f>
        <v>n</v>
      </c>
    </row>
    <row r="75" spans="3:33">
      <c r="C75" s="13" t="str">
        <f>Geometry!AD19</f>
        <v>TP5-01</v>
      </c>
      <c r="D75" s="2">
        <f>Geometry!AF19</f>
        <v>6</v>
      </c>
      <c r="E75" s="3">
        <f>Geometry!AL19</f>
        <v>7.5</v>
      </c>
      <c r="F75" s="3">
        <f>Geometry!AM19</f>
        <v>100</v>
      </c>
      <c r="G75" s="3">
        <f>Geometry!AG19</f>
        <v>1.25</v>
      </c>
      <c r="H75" s="3" t="str">
        <f>Geometry!AH19</f>
        <v>I</v>
      </c>
      <c r="I75" s="9" t="str">
        <f>Geometry!AI19</f>
        <v>g</v>
      </c>
    </row>
    <row r="76" spans="3:33">
      <c r="C76" s="13" t="str">
        <f>Geometry!AD20</f>
        <v>TP4-04</v>
      </c>
      <c r="D76" s="2">
        <f>Geometry!AF20</f>
        <v>10</v>
      </c>
      <c r="E76" s="3">
        <f>Geometry!AL20</f>
        <v>7.5</v>
      </c>
      <c r="F76" s="3">
        <f>Geometry!AM20</f>
        <v>92</v>
      </c>
      <c r="G76" s="3">
        <f>Geometry!AG20</f>
        <v>1.25</v>
      </c>
      <c r="H76" s="3" t="str">
        <f>Geometry!AH20</f>
        <v>I</v>
      </c>
      <c r="I76" s="9" t="str">
        <f>Geometry!AI20</f>
        <v>g</v>
      </c>
    </row>
    <row r="78" spans="3:33">
      <c r="C78" s="35" t="s">
        <v>209</v>
      </c>
      <c r="M78" s="325" t="s">
        <v>60</v>
      </c>
      <c r="N78" s="326"/>
      <c r="O78" s="326"/>
      <c r="P78" s="326"/>
      <c r="Q78" s="326"/>
      <c r="R78" s="327"/>
    </row>
    <row r="79" spans="3:33" ht="21.75" customHeight="1">
      <c r="C79" s="312" t="s">
        <v>54</v>
      </c>
      <c r="D79" s="317" t="s">
        <v>282</v>
      </c>
      <c r="E79" s="30" t="s">
        <v>285</v>
      </c>
      <c r="F79" s="30" t="s">
        <v>285</v>
      </c>
      <c r="G79" s="312" t="s">
        <v>24</v>
      </c>
      <c r="H79" s="312"/>
      <c r="I79" s="312" t="s">
        <v>271</v>
      </c>
      <c r="J79" s="312"/>
      <c r="K79" s="312" t="s">
        <v>27</v>
      </c>
      <c r="L79" s="312"/>
      <c r="M79" s="312" t="s">
        <v>61</v>
      </c>
      <c r="N79" s="312"/>
      <c r="O79" s="312" t="s">
        <v>62</v>
      </c>
      <c r="P79" s="312"/>
      <c r="Q79" s="312" t="s">
        <v>63</v>
      </c>
      <c r="R79" s="312"/>
      <c r="V79" s="312" t="s">
        <v>31</v>
      </c>
      <c r="W79" s="312"/>
      <c r="X79" s="313" t="s">
        <v>48</v>
      </c>
      <c r="Y79" s="314"/>
      <c r="Z79" s="30" t="s">
        <v>21</v>
      </c>
      <c r="AA79" s="5" t="s">
        <v>22</v>
      </c>
      <c r="AB79" s="313" t="s">
        <v>35</v>
      </c>
      <c r="AC79" s="316"/>
      <c r="AD79" s="316"/>
      <c r="AE79" s="314"/>
      <c r="AF79" s="310" t="s">
        <v>448</v>
      </c>
      <c r="AG79" s="311"/>
    </row>
    <row r="80" spans="3:33" ht="20.399999999999999">
      <c r="C80" s="312">
        <v>0</v>
      </c>
      <c r="D80" s="318">
        <v>0</v>
      </c>
      <c r="E80" s="30" t="str">
        <f>IF(Control!$F$39="EC","m=4, N=2E6","m=5, N=1E7")</f>
        <v>m=4, N=2E6</v>
      </c>
      <c r="F80" s="30" t="str">
        <f>IF(Control!$F$39="EC","m=3, N=2E6","m=3, N=1E7")</f>
        <v>m=3, N=2E6</v>
      </c>
      <c r="G80" s="30" t="s">
        <v>25</v>
      </c>
      <c r="H80" s="30" t="s">
        <v>26</v>
      </c>
      <c r="I80" s="5" t="s">
        <v>25</v>
      </c>
      <c r="J80" s="5" t="s">
        <v>26</v>
      </c>
      <c r="K80" s="30" t="s">
        <v>25</v>
      </c>
      <c r="L80" s="30" t="s">
        <v>26</v>
      </c>
      <c r="M80" s="30" t="s">
        <v>25</v>
      </c>
      <c r="N80" s="30" t="s">
        <v>64</v>
      </c>
      <c r="O80" s="30" t="s">
        <v>25</v>
      </c>
      <c r="P80" s="30" t="s">
        <v>64</v>
      </c>
      <c r="Q80" s="30" t="s">
        <v>25</v>
      </c>
      <c r="R80" s="30" t="s">
        <v>64</v>
      </c>
      <c r="V80" s="30" t="s">
        <v>33</v>
      </c>
      <c r="W80" s="30" t="s">
        <v>34</v>
      </c>
      <c r="X80" s="30" t="s">
        <v>33</v>
      </c>
      <c r="Y80" s="30" t="s">
        <v>34</v>
      </c>
      <c r="Z80" s="313" t="s">
        <v>30</v>
      </c>
      <c r="AA80" s="314"/>
      <c r="AB80" s="30" t="s">
        <v>45</v>
      </c>
      <c r="AC80" s="30" t="s">
        <v>34</v>
      </c>
      <c r="AD80" s="30" t="s">
        <v>46</v>
      </c>
      <c r="AE80" s="30" t="s">
        <v>47</v>
      </c>
      <c r="AF80" s="30" t="s">
        <v>45</v>
      </c>
      <c r="AG80" s="30" t="s">
        <v>34</v>
      </c>
    </row>
    <row r="81" spans="3:33">
      <c r="C81" s="30" t="s">
        <v>16</v>
      </c>
      <c r="D81" s="30" t="str">
        <f>"[m"&amp;Control!$F$7&amp;"]"</f>
        <v>[mLAT]</v>
      </c>
      <c r="E81" s="313" t="s">
        <v>20</v>
      </c>
      <c r="F81" s="314"/>
      <c r="G81" s="313" t="s">
        <v>77</v>
      </c>
      <c r="H81" s="316"/>
      <c r="I81" s="316"/>
      <c r="J81" s="314"/>
      <c r="K81" s="313" t="s">
        <v>77</v>
      </c>
      <c r="L81" s="314"/>
      <c r="M81" s="320" t="s">
        <v>16</v>
      </c>
      <c r="N81" s="321"/>
      <c r="O81" s="321"/>
      <c r="P81" s="321"/>
      <c r="Q81" s="321"/>
      <c r="R81" s="322"/>
      <c r="V81" s="315" t="s">
        <v>32</v>
      </c>
      <c r="W81" s="315"/>
      <c r="X81" s="30" t="s">
        <v>10</v>
      </c>
      <c r="Y81" s="30" t="s">
        <v>10</v>
      </c>
      <c r="Z81" s="313" t="s">
        <v>23</v>
      </c>
      <c r="AA81" s="314"/>
      <c r="AB81" s="1" t="s">
        <v>16</v>
      </c>
      <c r="AC81" s="1" t="s">
        <v>16</v>
      </c>
      <c r="AD81" s="1" t="s">
        <v>16</v>
      </c>
      <c r="AE81" s="1" t="s">
        <v>16</v>
      </c>
      <c r="AF81" s="1" t="s">
        <v>16</v>
      </c>
      <c r="AG81" s="1" t="s">
        <v>16</v>
      </c>
    </row>
    <row r="82" spans="3:33">
      <c r="C82" s="12" t="str">
        <f>C67</f>
        <v>TP1-01</v>
      </c>
      <c r="D82" s="13">
        <f>D67</f>
        <v>20</v>
      </c>
      <c r="E82" s="120">
        <f>IF(Geometry_loads!H48="-","-",Geometry_loads!H48*Control!$F$54)</f>
        <v>178530.00580027126</v>
      </c>
      <c r="F82" s="120">
        <f>IF(Geometry_loads!G48="-","-",Geometry_loads!G48*Control!$F$55)</f>
        <v>212905.91016565729</v>
      </c>
      <c r="G82" s="120">
        <f>IF(AND(X82=0,Y82=0),E82/Z82*E67/2/1000,(E82*($AF$25/$Z$5)^(1/$AE$4)/Z82*E67/2/1000))</f>
        <v>49.189583365915915</v>
      </c>
      <c r="H82" s="120">
        <f>IF(AND(X82=0,Y82=0),E82/Z82*(E67-2*F67/1000)/2/1000,(E82*($AF$25/$Z$5)^(1/$AE$4)/Z82*(E67-2*F67/1000)/2/1000))</f>
        <v>48.07461947628849</v>
      </c>
      <c r="I82" s="120" t="str">
        <f>IF(AND(X82=0,Y82=0),"-",IF(V82=0,(E82*($AF$24/$Z$5)^(1/$AE$4)/AA82*(E67-2*X82/1000)/2/1000),(F82*($AF$24/$Z$5)^(1/3)/AA82*(E67-2*X82/1000)/2/1000)))</f>
        <v>-</v>
      </c>
      <c r="J82" s="120" t="str">
        <f>IF(AND(X82=0,Y82=0),"-",IF(W82=0,(E82*($AF$24/$Z$5)^(1/$AE$4))/AA82*(E67-2*(F67-Y82)/1000)/2/1000,(F82*($AF$24/$Z$5)^(1/3))/AA82*(E67-2*(F67-Y82)/1000)/2/1000))</f>
        <v>-</v>
      </c>
      <c r="K82" s="120">
        <f>IF(H67="O",IF(I67="n",$AG$7,IF(I67="g",$AD$6,IF(I67="o",$AG$6,"Falsch"))),"")</f>
        <v>112</v>
      </c>
      <c r="L82" s="120" t="str">
        <f>IF(H67="I",IF(I67="n",$AG$7,IF(I67="g",$AD$6,IF(I67="o",$AG$6,"Falsch"))),"")</f>
        <v/>
      </c>
      <c r="M82" s="120">
        <f>IF(K82="","",IF(AND(V82=0,W82&lt;&gt;0),IF(D82&gt;$Z$9,$AD$14,$AD$15)*((((IF(D82&gt;$Z$9,$AD$12,$AD$13)/AB82*G67*G82*IF(I67="g",$AE$20,1))/(AF82*K82))^$AE$4)+(((IF(D82&gt;$Z$9,$AD$12,$AD$13)/AB82*G67*I82*IF(I67="g",$AE$20,1))/(AF82*K82))^$AE$4)),IF(K82="","",IF(D82&gt;$Z$9,$AD$14,$AD$15)*((((IF(D82&gt;$Z$9,$AD$12,$AD$13)/AB82*G67*G82*IF(I67="g",$AE$20,1))/(AF82*K82))^$AE$4)+(((IF(D82&gt;$Z$9,$AD$12,$AD$13)/AD82*G67*IF(V82=0,0,I82)*IF(I67="g",$AE$20,1))/(0.7*IF(K82=65.5,58.48,K82)))^3)))))</f>
        <v>0.50138190445837405</v>
      </c>
      <c r="N82" s="120" t="str">
        <f>IF(L82="","",IF(AND(W82=0,V82&lt;&gt;0),IF(D82&gt;$Z$9,$AD$14,$AD$15)*((((IF(D82&gt;$Z$9,$AD$12,$AD$13)/AC82*G67*H82*IF(I67="g",$AE$20,1))/(AG82*L82))^$AE$4)+(((IF(D82&gt;$Z$9,$AD$12,$AD$13)/AC82*G67*J82*IF(I67="g",$AE$20,1))/(AG82*L82))^$AE$4)),IF(L82="","",IF(D82&gt;$Z$9,$AD$14,$AD$15)*((((IF(D82&gt;$Z$9,$AD$12,$AD$13)/AC82*G67*H82*IF(I67="g",$AE$20,1))/(AG82*L82))^$AE$4)+(((IF(D82&gt;$Z$9,$AD$12,$AD$13)/AE82*G67*IF(W82=0,0,J82)*IF(I67="g",$AE$20,1))/(0.7*IF(L82=65.5,58.48,L82)))^3)))))</f>
        <v/>
      </c>
      <c r="O82" s="120">
        <f>IF(K82="","",Control!$F$46)</f>
        <v>0</v>
      </c>
      <c r="P82" s="120" t="str">
        <f>IF(L82="","",Control!$F$46)</f>
        <v/>
      </c>
      <c r="Q82" s="120">
        <f t="shared" ref="Q82:R82" si="77">IF(K82="","",M82+O82)</f>
        <v>0.50138190445837405</v>
      </c>
      <c r="R82" s="120" t="str">
        <f t="shared" si="77"/>
        <v/>
      </c>
      <c r="V82" s="121">
        <f>IF(OR(D82&gt;=$Z$13,D42&lt;=$Z$12,Geometry!AP11="n"),0,"X")</f>
        <v>0</v>
      </c>
      <c r="W82" s="121">
        <f>IF(OR(D82&gt;=$Z$15,D42&lt;=$Z$12,Geometry!AQ11="n"),0,"X")</f>
        <v>0</v>
      </c>
      <c r="X82" s="37">
        <f>0.5*IF(OR(D82&gt;=$Z$13,D82&lt;=$Z$12),0,$AF$24*$AF$26)*IF(V82=0,0,1)</f>
        <v>0</v>
      </c>
      <c r="Y82" s="37">
        <f>0.5*IF(OR(D82&gt;=$Z$15,D82&lt;=$Z$12),0,$AF$24*$AF$27)*IF(W82=0,0,1)</f>
        <v>0</v>
      </c>
      <c r="Z82" s="120">
        <f>(PI()/64*(E67^4-(E67-2*F67/1000)^4))</f>
        <v>13.610351540706759</v>
      </c>
      <c r="AA82" s="120">
        <f>(PI()/64*((E67-2*X82/1000)^4-((E67-2*X82/1000)-2*(F67-X82-Y82)/1000)^4))</f>
        <v>13.610351540706759</v>
      </c>
      <c r="AB82" s="120">
        <f>(25/F67)^(IF(I67="n",$AG$12,IF(I67="g",$AG$13,IF(I67="o",$AG$15,"Falsch"))))</f>
        <v>0.78289625676350527</v>
      </c>
      <c r="AC82" s="120">
        <f>(25/F67)^(IF(I67="n",$AG$12,IF(I67="g",$AG$13,IF(I67="o",$AG$15,"Falsch"))))</f>
        <v>0.78289625676350527</v>
      </c>
      <c r="AD82" s="120">
        <f>IF(V82=0,1,(25/F67)^(IF(I67="n",$AG$12,IF(I67="g",$AG$14,IF(I67="o",$AG$15,"Falsch")))))</f>
        <v>1</v>
      </c>
      <c r="AE82" s="120">
        <f>IF(W82=0,1,(25/F67)^(IF(I67="n",$AG$12,IF(I67="g",$AG$14,IF(I67="o",$AG$15,"Falsch")))))</f>
        <v>1</v>
      </c>
      <c r="AF82" s="120">
        <f>IF(Control!$F$39&lt;&gt;"DNV",1,IF(D82&gt;Control!$F$16,IF(ISBLANK(Control!$F$56),1,Control!$F$56),IF(D82&gt;Control!$F$22,IF(ISBLANK(Control!$F$57),1,Control!$F$57),1)))</f>
        <v>1</v>
      </c>
      <c r="AG82" s="120">
        <f>IF(Control!$F$39&lt;&gt;"DNV",1,IF(D82&gt;Control!$F$18,IF(ISBLANK(Control!$F$56),1,Control!$F$56),IF(D82&gt;Control!$F$22,IF(ISBLANK(Control!$F$57),1,Control!$F$57),1)))</f>
        <v>1</v>
      </c>
    </row>
    <row r="83" spans="3:33">
      <c r="C83" s="12" t="str">
        <f t="shared" ref="C83:D83" si="78">C68</f>
        <v xml:space="preserve">TP1-02 </v>
      </c>
      <c r="D83" s="13">
        <f t="shared" si="78"/>
        <v>19.8</v>
      </c>
      <c r="E83" s="120">
        <f>IF(Geometry_loads!H49="-","-",Geometry_loads!H49*Control!$F$54)</f>
        <v>178821.8349203117</v>
      </c>
      <c r="F83" s="120">
        <f>IF(Geometry_loads!G49="-","-",Geometry_loads!G49*Control!$F$55)</f>
        <v>213245.29539170559</v>
      </c>
      <c r="G83" s="120">
        <f t="shared" ref="G83:G91" si="79">IF(AND(X83=0,Y83=0),E83/Z83*E68/2/1000,(E83*($AF$25/$Z$5)^(1/$AE$4)/Z83*E68/2/1000))</f>
        <v>49.269989753427552</v>
      </c>
      <c r="H83" s="120">
        <f t="shared" ref="H83:H91" si="80">IF(AND(X83=0,Y83=0),E83/Z83*(E68-2*F68/1000)/2/1000,(E83*($AF$25/$Z$5)^(1/$AE$4)/Z83*(E68-2*F68/1000)/2/1000))</f>
        <v>48.153203319016527</v>
      </c>
      <c r="I83" s="120" t="str">
        <f t="shared" ref="I83:I91" si="81">IF(AND(X83=0,Y83=0),"-",IF(V83=0,(E83*($AF$24/$Z$5)^(1/$AE$4)/AA83*(E68-2*X83/1000)/2/1000),(F83*($AF$24/$Z$5)^(1/3)/AA83*(E68-2*X83/1000)/2/1000)))</f>
        <v>-</v>
      </c>
      <c r="J83" s="120" t="str">
        <f t="shared" ref="J83:J91" si="82">IF(AND(X83=0,Y83=0),"-",IF(W83=0,(E83*($AF$24/$Z$5)^(1/$AE$4))/AA83*(E68-2*(F68-Y83)/1000)/2/1000,(F83*($AF$24/$Z$5)^(1/3))/AA83*(E68-2*(F68-Y83)/1000)/2/1000))</f>
        <v>-</v>
      </c>
      <c r="K83" s="120">
        <f t="shared" ref="K83:K91" si="83">IF(H68="O",IF(I68="n",$AG$7,IF(I68="g",$AD$6,IF(I68="o",$AG$6,"Falsch"))),"")</f>
        <v>140</v>
      </c>
      <c r="L83" s="120" t="str">
        <f t="shared" ref="L83:L91" si="84">IF(H68="I",IF(I68="n",$AG$7,IF(I68="g",$AD$6,IF(I68="o",$AG$6,"Falsch"))),"")</f>
        <v/>
      </c>
      <c r="M83" s="120">
        <f t="shared" ref="M83:M91" si="85">IF(K83="","",IF(AND(V83=0,W83&lt;&gt;0),IF(D83&gt;$Z$9,$AD$14,$AD$15)*((((IF(D83&gt;$Z$9,$AD$12,$AD$13)/AB83*G68*G83*IF(I68="g",$AE$20,1))/(AF83*K83))^$AE$4)+(((IF(D83&gt;$Z$9,$AD$12,$AD$13)/AB83*G68*I83*IF(I68="g",$AE$20,1))/(AF83*K83))^$AE$4)),IF(K83="","",IF(D83&gt;$Z$9,$AD$14,$AD$15)*((((IF(D83&gt;$Z$9,$AD$12,$AD$13)/AB83*G68*G83*IF(I68="g",$AE$20,1))/(AF83*K83))^$AE$4)+(((IF(D83&gt;$Z$9,$AD$12,$AD$13)/AD83*G68*IF(V83=0,0,I83)*IF(I68="g",$AE$20,1))/(0.7*IF(K83=65.5,58.48,K83)))^3)))))</f>
        <v>0.99731785350427615</v>
      </c>
      <c r="N83" s="120" t="str">
        <f t="shared" ref="N83:N91" si="86">IF(L83="","",IF(AND(W83=0,V83&lt;&gt;0),IF(D83&gt;$Z$9,$AD$14,$AD$15)*((((IF(D83&gt;$Z$9,$AD$12,$AD$13)/AC83*G68*H83*IF(I68="g",$AE$20,1))/(AG83*L83))^$AE$4)+(((IF(D83&gt;$Z$9,$AD$12,$AD$13)/AC83*G68*J83*IF(I68="g",$AE$20,1))/(AG83*L83))^$AE$4)),IF(L83="","",IF(D83&gt;$Z$9,$AD$14,$AD$15)*((((IF(D83&gt;$Z$9,$AD$12,$AD$13)/AC83*G68*H83*IF(I68="g",$AE$20,1))/(AG83*L83))^$AE$4)+(((IF(D83&gt;$Z$9,$AD$12,$AD$13)/AE83*G68*IF(W83=0,0,J83)*IF(I68="g",$AE$20,1))/(0.7*IF(L83=65.5,58.48,L83)))^3)))))</f>
        <v/>
      </c>
      <c r="O83" s="120">
        <f>IF(K83="","",Control!$F$46)</f>
        <v>0</v>
      </c>
      <c r="P83" s="120" t="str">
        <f>IF(L83="","",Control!$F$46)</f>
        <v/>
      </c>
      <c r="Q83" s="120">
        <f t="shared" ref="Q83:Q91" si="87">IF(K83="","",M83+O83)</f>
        <v>0.99731785350427615</v>
      </c>
      <c r="R83" s="120" t="str">
        <f t="shared" ref="R83:R91" si="88">IF(L83="","",N83+P83)</f>
        <v/>
      </c>
      <c r="V83" s="121">
        <f>IF(OR(D83&gt;=$Z$13,D43&lt;=$Z$12,Geometry!AP12="n"),0,"X")</f>
        <v>0</v>
      </c>
      <c r="W83" s="121">
        <f>IF(OR(D83&gt;=$Z$15,D43&lt;=$Z$12,Geometry!AQ12="n"),0,"X")</f>
        <v>0</v>
      </c>
      <c r="X83" s="37">
        <f t="shared" ref="X83:X91" si="89">0.5*IF(OR(D83&gt;=$Z$13,D83&lt;=$Z$12),0,$AF$24*$AF$26)*IF(V83=0,0,1)</f>
        <v>0</v>
      </c>
      <c r="Y83" s="37">
        <f t="shared" ref="Y83:Y91" si="90">0.5*IF(OR(D83&gt;=$Z$15,D83&lt;=$Z$12),0,$AF$24*$AF$27)*IF(W83=0,0,1)</f>
        <v>0</v>
      </c>
      <c r="Z83" s="120">
        <f t="shared" ref="Z83:Z91" si="91">(PI()/64*(E68^4-(E68-2*F68/1000)^4))</f>
        <v>13.610351540706759</v>
      </c>
      <c r="AA83" s="120">
        <f t="shared" ref="AA83:AA91" si="92">(PI()/64*((E68-2*X83/1000)^4-((E68-2*X83/1000)-2*(F68-X83-Y83)/1000)^4))</f>
        <v>13.610351540706759</v>
      </c>
      <c r="AB83" s="120">
        <f t="shared" ref="AB83:AB91" si="93">(25/F68)^(IF(I68="n",$AG$12,IF(I68="g",$AG$13,IF(I68="o",$AG$15,"Falsch"))))</f>
        <v>0.88481424986462853</v>
      </c>
      <c r="AC83" s="120">
        <f t="shared" ref="AC83:AC91" si="94">(25/F68)^(IF(I68="n",$AG$12,IF(I68="g",$AG$13,IF(I68="o",$AG$15,"Falsch"))))</f>
        <v>0.88481424986462853</v>
      </c>
      <c r="AD83" s="120">
        <f t="shared" ref="AD83:AD91" si="95">IF(V83=0,1,(25/F68)^(IF(I68="n",$AG$12,IF(I68="g",$AG$14,IF(I68="o",$AG$15,"Falsch")))))</f>
        <v>1</v>
      </c>
      <c r="AE83" s="120">
        <f t="shared" ref="AE83:AE91" si="96">IF(W83=0,1,(25/F68)^(IF(I68="n",$AG$12,IF(I68="g",$AG$14,IF(I68="o",$AG$15,"Falsch")))))</f>
        <v>1</v>
      </c>
      <c r="AF83" s="120">
        <f>IF(Control!$F$39&lt;&gt;"DNV",1,IF(D83&gt;Control!$F$16,IF(ISBLANK(Control!$F$56),1,Control!$F$56),IF(D83&gt;Control!$F$22,IF(ISBLANK(Control!$F$57),1,Control!$F$57),1)))</f>
        <v>1</v>
      </c>
      <c r="AG83" s="120">
        <f>IF(Control!$F$39&lt;&gt;"DNV",1,IF(D83&gt;Control!$F$18,IF(ISBLANK(Control!$F$56),1,Control!$F$56),IF(D83&gt;Control!$F$22,IF(ISBLANK(Control!$F$57),1,Control!$F$57),1)))</f>
        <v>1</v>
      </c>
    </row>
    <row r="84" spans="3:33">
      <c r="C84" s="12" t="str">
        <f t="shared" ref="C84:D84" si="97">C69</f>
        <v xml:space="preserve">TP1-03 </v>
      </c>
      <c r="D84" s="13">
        <f t="shared" si="97"/>
        <v>20.8</v>
      </c>
      <c r="E84" s="120">
        <f>IF(Geometry_loads!H50="-","-",Geometry_loads!H50*Control!$F$54)</f>
        <v>177362.68932010952</v>
      </c>
      <c r="F84" s="120">
        <f>IF(Geometry_loads!G50="-","-",Geometry_loads!G50*Control!$F$55)</f>
        <v>211548.36926146407</v>
      </c>
      <c r="G84" s="120">
        <f t="shared" si="79"/>
        <v>48.867957815869381</v>
      </c>
      <c r="H84" s="120">
        <f t="shared" si="80"/>
        <v>47.760284105376343</v>
      </c>
      <c r="I84" s="120" t="str">
        <f t="shared" si="81"/>
        <v>-</v>
      </c>
      <c r="J84" s="120" t="str">
        <f t="shared" si="82"/>
        <v>-</v>
      </c>
      <c r="K84" s="120">
        <f t="shared" si="83"/>
        <v>100</v>
      </c>
      <c r="L84" s="120" t="str">
        <f t="shared" si="84"/>
        <v/>
      </c>
      <c r="M84" s="120">
        <f t="shared" si="85"/>
        <v>0.7073671231722185</v>
      </c>
      <c r="N84" s="120" t="str">
        <f t="shared" si="86"/>
        <v/>
      </c>
      <c r="O84" s="120">
        <f>IF(K84="","",Control!$F$46)</f>
        <v>0</v>
      </c>
      <c r="P84" s="120" t="str">
        <f>IF(L84="","",Control!$F$46)</f>
        <v/>
      </c>
      <c r="Q84" s="120">
        <f t="shared" si="87"/>
        <v>0.7073671231722185</v>
      </c>
      <c r="R84" s="120" t="str">
        <f t="shared" si="88"/>
        <v/>
      </c>
      <c r="V84" s="121">
        <f>IF(OR(D84&gt;=$Z$13,D44&lt;=$Z$12,Geometry!AP13="n"),0,"X")</f>
        <v>0</v>
      </c>
      <c r="W84" s="121">
        <f>IF(OR(D84&gt;=$Z$15,D44&lt;=$Z$12,Geometry!AQ13="n"),0,"X")</f>
        <v>0</v>
      </c>
      <c r="X84" s="37">
        <f t="shared" si="89"/>
        <v>0</v>
      </c>
      <c r="Y84" s="37">
        <f t="shared" si="90"/>
        <v>0</v>
      </c>
      <c r="Z84" s="120">
        <f t="shared" si="91"/>
        <v>13.610351540706759</v>
      </c>
      <c r="AA84" s="120">
        <f t="shared" si="92"/>
        <v>13.610351540706759</v>
      </c>
      <c r="AB84" s="120">
        <f t="shared" si="93"/>
        <v>0.6927177641500265</v>
      </c>
      <c r="AC84" s="120">
        <f t="shared" si="94"/>
        <v>0.6927177641500265</v>
      </c>
      <c r="AD84" s="120">
        <f t="shared" si="95"/>
        <v>1</v>
      </c>
      <c r="AE84" s="120">
        <f t="shared" si="96"/>
        <v>1</v>
      </c>
      <c r="AF84" s="120">
        <f>IF(Control!$F$39&lt;&gt;"DNV",1,IF(D84&gt;Control!$F$16,IF(ISBLANK(Control!$F$56),1,Control!$F$56),IF(D84&gt;Control!$F$22,IF(ISBLANK(Control!$F$57),1,Control!$F$57),1)))</f>
        <v>1</v>
      </c>
      <c r="AG84" s="120">
        <f>IF(Control!$F$39&lt;&gt;"DNV",1,IF(D84&gt;Control!$F$18,IF(ISBLANK(Control!$F$56),1,Control!$F$56),IF(D84&gt;Control!$F$22,IF(ISBLANK(Control!$F$57),1,Control!$F$57),1)))</f>
        <v>1</v>
      </c>
    </row>
    <row r="85" spans="3:33">
      <c r="C85" s="12" t="str">
        <f t="shared" ref="C85:D85" si="98">C70</f>
        <v xml:space="preserve">TP1-04 </v>
      </c>
      <c r="D85" s="13">
        <f t="shared" si="98"/>
        <v>20.8</v>
      </c>
      <c r="E85" s="120">
        <f>IF(Geometry_loads!H51="-","-",Geometry_loads!H51*Control!$F$54)</f>
        <v>177362.68932010952</v>
      </c>
      <c r="F85" s="120">
        <f>IF(Geometry_loads!G51="-","-",Geometry_loads!G51*Control!$F$55)</f>
        <v>211548.36926146407</v>
      </c>
      <c r="G85" s="120">
        <f t="shared" si="79"/>
        <v>48.867957815869381</v>
      </c>
      <c r="H85" s="120">
        <f t="shared" si="80"/>
        <v>47.760284105376343</v>
      </c>
      <c r="I85" s="120" t="str">
        <f t="shared" si="81"/>
        <v>-</v>
      </c>
      <c r="J85" s="120" t="str">
        <f t="shared" si="82"/>
        <v>-</v>
      </c>
      <c r="K85" s="120">
        <f t="shared" si="83"/>
        <v>112</v>
      </c>
      <c r="L85" s="120" t="str">
        <f t="shared" si="84"/>
        <v/>
      </c>
      <c r="M85" s="120">
        <f t="shared" si="85"/>
        <v>0.63224839395672161</v>
      </c>
      <c r="N85" s="120" t="str">
        <f t="shared" si="86"/>
        <v/>
      </c>
      <c r="O85" s="120">
        <f>IF(K85="","",Control!$F$46)</f>
        <v>0</v>
      </c>
      <c r="P85" s="120" t="str">
        <f>IF(L85="","",Control!$F$46)</f>
        <v/>
      </c>
      <c r="Q85" s="120">
        <f t="shared" si="87"/>
        <v>0.63224839395672161</v>
      </c>
      <c r="R85" s="120" t="str">
        <f t="shared" si="88"/>
        <v/>
      </c>
      <c r="V85" s="121">
        <f>IF(OR(D85&gt;=$Z$13,D45&lt;=$Z$12,Geometry!AP14="n"),0,"X")</f>
        <v>0</v>
      </c>
      <c r="W85" s="121">
        <f>IF(OR(D85&gt;=$Z$15,D45&lt;=$Z$12,Geometry!AQ14="n"),0,"X")</f>
        <v>0</v>
      </c>
      <c r="X85" s="37">
        <f t="shared" si="89"/>
        <v>0</v>
      </c>
      <c r="Y85" s="37">
        <f t="shared" si="90"/>
        <v>0</v>
      </c>
      <c r="Z85" s="120">
        <f t="shared" si="91"/>
        <v>13.610351540706759</v>
      </c>
      <c r="AA85" s="120">
        <f t="shared" si="92"/>
        <v>13.610351540706759</v>
      </c>
      <c r="AB85" s="120">
        <f t="shared" si="93"/>
        <v>0.78289625676350527</v>
      </c>
      <c r="AC85" s="120">
        <f t="shared" si="94"/>
        <v>0.78289625676350527</v>
      </c>
      <c r="AD85" s="120">
        <f t="shared" si="95"/>
        <v>1</v>
      </c>
      <c r="AE85" s="120">
        <f t="shared" si="96"/>
        <v>1</v>
      </c>
      <c r="AF85" s="120">
        <f>IF(Control!$F$39&lt;&gt;"DNV",1,IF(D85&gt;Control!$F$16,IF(ISBLANK(Control!$F$56),1,Control!$F$56),IF(D85&gt;Control!$F$22,IF(ISBLANK(Control!$F$57),1,Control!$F$57),1)))</f>
        <v>1</v>
      </c>
      <c r="AG85" s="120">
        <f>IF(Control!$F$39&lt;&gt;"DNV",1,IF(D85&gt;Control!$F$18,IF(ISBLANK(Control!$F$56),1,Control!$F$56),IF(D85&gt;Control!$F$22,IF(ISBLANK(Control!$F$57),1,Control!$F$57),1)))</f>
        <v>1</v>
      </c>
    </row>
    <row r="86" spans="3:33">
      <c r="C86" s="12" t="str">
        <f t="shared" ref="C86:D86" si="99">C71</f>
        <v xml:space="preserve">TP1-05 </v>
      </c>
      <c r="D86" s="13">
        <f t="shared" si="99"/>
        <v>20.100000000000001</v>
      </c>
      <c r="E86" s="120">
        <f>IF(Geometry_loads!H52="-","-",Geometry_loads!H52*Control!$F$54)</f>
        <v>178384.09124025103</v>
      </c>
      <c r="F86" s="120">
        <f>IF(Geometry_loads!G52="-","-",Geometry_loads!G52*Control!$F$55)</f>
        <v>212736.21755263314</v>
      </c>
      <c r="G86" s="120">
        <f t="shared" si="79"/>
        <v>49.149380172160093</v>
      </c>
      <c r="H86" s="120">
        <f t="shared" si="80"/>
        <v>48.035327554924464</v>
      </c>
      <c r="I86" s="120" t="str">
        <f t="shared" si="81"/>
        <v>-</v>
      </c>
      <c r="J86" s="120" t="str">
        <f t="shared" si="82"/>
        <v>-</v>
      </c>
      <c r="K86" s="120">
        <f t="shared" si="83"/>
        <v>140</v>
      </c>
      <c r="L86" s="120" t="str">
        <f t="shared" si="84"/>
        <v/>
      </c>
      <c r="M86" s="120">
        <f t="shared" si="85"/>
        <v>0.9875881879270989</v>
      </c>
      <c r="N86" s="120" t="str">
        <f t="shared" si="86"/>
        <v/>
      </c>
      <c r="O86" s="120">
        <f>IF(K86="","",Control!$F$46)</f>
        <v>0</v>
      </c>
      <c r="P86" s="120" t="str">
        <f>IF(L86="","",Control!$F$46)</f>
        <v/>
      </c>
      <c r="Q86" s="120">
        <f t="shared" si="87"/>
        <v>0.9875881879270989</v>
      </c>
      <c r="R86" s="120" t="str">
        <f t="shared" si="88"/>
        <v/>
      </c>
      <c r="V86" s="121">
        <f>IF(OR(D86&gt;=$Z$13,D46&lt;=$Z$12,Geometry!AP15="n"),0,"X")</f>
        <v>0</v>
      </c>
      <c r="W86" s="121">
        <f>IF(OR(D86&gt;=$Z$15,D46&lt;=$Z$12,Geometry!AQ15="n"),0,"X")</f>
        <v>0</v>
      </c>
      <c r="X86" s="37">
        <f t="shared" si="89"/>
        <v>0</v>
      </c>
      <c r="Y86" s="37">
        <f t="shared" si="90"/>
        <v>0</v>
      </c>
      <c r="Z86" s="120">
        <f t="shared" si="91"/>
        <v>13.610351540706759</v>
      </c>
      <c r="AA86" s="120">
        <f t="shared" si="92"/>
        <v>13.610351540706759</v>
      </c>
      <c r="AB86" s="120">
        <f t="shared" si="93"/>
        <v>0.88481424986462853</v>
      </c>
      <c r="AC86" s="120">
        <f t="shared" si="94"/>
        <v>0.88481424986462853</v>
      </c>
      <c r="AD86" s="120">
        <f t="shared" si="95"/>
        <v>1</v>
      </c>
      <c r="AE86" s="120">
        <f t="shared" si="96"/>
        <v>1</v>
      </c>
      <c r="AF86" s="120">
        <f>IF(Control!$F$39&lt;&gt;"DNV",1,IF(D86&gt;Control!$F$16,IF(ISBLANK(Control!$F$56),1,Control!$F$56),IF(D86&gt;Control!$F$22,IF(ISBLANK(Control!$F$57),1,Control!$F$57),1)))</f>
        <v>1</v>
      </c>
      <c r="AG86" s="120">
        <f>IF(Control!$F$39&lt;&gt;"DNV",1,IF(D86&gt;Control!$F$18,IF(ISBLANK(Control!$F$56),1,Control!$F$56),IF(D86&gt;Control!$F$22,IF(ISBLANK(Control!$F$57),1,Control!$F$57),1)))</f>
        <v>1</v>
      </c>
    </row>
    <row r="87" spans="3:33">
      <c r="C87" s="12" t="str">
        <f t="shared" ref="C87:D87" si="100">C72</f>
        <v>TP4-01</v>
      </c>
      <c r="D87" s="13">
        <f t="shared" si="100"/>
        <v>11.8</v>
      </c>
      <c r="E87" s="120">
        <f>IF(Geometry_loads!H53="-","-",Geometry_loads!H53*Control!$F$54)</f>
        <v>190629.01808617971</v>
      </c>
      <c r="F87" s="120">
        <f>IF(Geometry_loads!G53="-","-",Geometry_loads!G53*Control!$F$55)</f>
        <v>227124.39823866147</v>
      </c>
      <c r="G87" s="120">
        <f t="shared" si="79"/>
        <v>48.663424526821366</v>
      </c>
      <c r="H87" s="120">
        <f t="shared" si="80"/>
        <v>47.469548511763342</v>
      </c>
      <c r="I87" s="120" t="str">
        <f t="shared" si="81"/>
        <v>-</v>
      </c>
      <c r="J87" s="120" t="str">
        <f t="shared" si="82"/>
        <v>-</v>
      </c>
      <c r="K87" s="120">
        <f t="shared" si="83"/>
        <v>140</v>
      </c>
      <c r="L87" s="120" t="str">
        <f t="shared" si="84"/>
        <v/>
      </c>
      <c r="M87" s="120">
        <f t="shared" si="85"/>
        <v>0.97962968616660828</v>
      </c>
      <c r="N87" s="120" t="str">
        <f t="shared" si="86"/>
        <v/>
      </c>
      <c r="O87" s="120">
        <f>IF(K87="","",Control!$F$46)</f>
        <v>0</v>
      </c>
      <c r="P87" s="120" t="str">
        <f>IF(L87="","",Control!$F$46)</f>
        <v/>
      </c>
      <c r="Q87" s="120">
        <f t="shared" si="87"/>
        <v>0.97962968616660828</v>
      </c>
      <c r="R87" s="120" t="str">
        <f t="shared" si="88"/>
        <v/>
      </c>
      <c r="V87" s="121">
        <f>IF(OR(D87&gt;=$Z$13,D47&lt;=$Z$12,Geometry!AP16="n"),0,"X")</f>
        <v>0</v>
      </c>
      <c r="W87" s="121">
        <f>IF(OR(D87&gt;=$Z$15,D47&lt;=$Z$12,Geometry!AQ16="n"),0,"X")</f>
        <v>0</v>
      </c>
      <c r="X87" s="37">
        <f t="shared" si="89"/>
        <v>0</v>
      </c>
      <c r="Y87" s="37">
        <f t="shared" si="90"/>
        <v>0</v>
      </c>
      <c r="Z87" s="120">
        <f t="shared" si="91"/>
        <v>14.689858446545863</v>
      </c>
      <c r="AA87" s="120">
        <f t="shared" si="92"/>
        <v>14.689858446545863</v>
      </c>
      <c r="AB87" s="120">
        <f t="shared" si="93"/>
        <v>0.8778397007281632</v>
      </c>
      <c r="AC87" s="120">
        <f t="shared" si="94"/>
        <v>0.8778397007281632</v>
      </c>
      <c r="AD87" s="120">
        <f t="shared" si="95"/>
        <v>1</v>
      </c>
      <c r="AE87" s="120">
        <f t="shared" si="96"/>
        <v>1</v>
      </c>
      <c r="AF87" s="120">
        <f>IF(Control!$F$39&lt;&gt;"DNV",1,IF(D87&gt;Control!$F$16,IF(ISBLANK(Control!$F$56),1,Control!$F$56),IF(D87&gt;Control!$F$22,IF(ISBLANK(Control!$F$57),1,Control!$F$57),1)))</f>
        <v>1</v>
      </c>
      <c r="AG87" s="120">
        <f>IF(Control!$F$39&lt;&gt;"DNV",1,IF(D87&gt;Control!$F$18,IF(ISBLANK(Control!$F$56),1,Control!$F$56),IF(D87&gt;Control!$F$22,IF(ISBLANK(Control!$F$57),1,Control!$F$57),1)))</f>
        <v>1</v>
      </c>
    </row>
    <row r="88" spans="3:33">
      <c r="C88" s="12" t="str">
        <f t="shared" ref="C88:D88" si="101">C73</f>
        <v>TP4-02</v>
      </c>
      <c r="D88" s="13">
        <f t="shared" si="101"/>
        <v>11.2</v>
      </c>
      <c r="E88" s="120">
        <f>IF(Geometry_loads!H54="-","-",Geometry_loads!H54*Control!$F$54)</f>
        <v>191537.96009150357</v>
      </c>
      <c r="F88" s="120">
        <f>IF(Geometry_loads!G54="-","-",Geometry_loads!G54*Control!$F$55)</f>
        <v>228213.52138008323</v>
      </c>
      <c r="G88" s="120">
        <f t="shared" si="79"/>
        <v>48.895457567328023</v>
      </c>
      <c r="H88" s="120">
        <f t="shared" si="80"/>
        <v>47.69588900834291</v>
      </c>
      <c r="I88" s="120" t="str">
        <f t="shared" si="81"/>
        <v>-</v>
      </c>
      <c r="J88" s="120" t="str">
        <f t="shared" si="82"/>
        <v>-</v>
      </c>
      <c r="K88" s="120">
        <f t="shared" si="83"/>
        <v>100</v>
      </c>
      <c r="L88" s="120" t="str">
        <f t="shared" si="84"/>
        <v/>
      </c>
      <c r="M88" s="120">
        <f t="shared" si="85"/>
        <v>0.75003303437924285</v>
      </c>
      <c r="N88" s="120" t="str">
        <f t="shared" si="86"/>
        <v/>
      </c>
      <c r="O88" s="120">
        <f>IF(K88="","",Control!$F$46)</f>
        <v>0</v>
      </c>
      <c r="P88" s="120" t="str">
        <f>IF(L88="","",Control!$F$46)</f>
        <v/>
      </c>
      <c r="Q88" s="120">
        <f t="shared" si="87"/>
        <v>0.75003303437924285</v>
      </c>
      <c r="R88" s="120" t="str">
        <f t="shared" si="88"/>
        <v/>
      </c>
      <c r="V88" s="121">
        <f>IF(OR(D88&gt;=$Z$13,D48&lt;=$Z$12,Geometry!AP17="n"),0,"X")</f>
        <v>0</v>
      </c>
      <c r="W88" s="121">
        <f>IF(OR(D88&gt;=$Z$15,D48&lt;=$Z$12,Geometry!AQ17="n"),0,"X")</f>
        <v>0</v>
      </c>
      <c r="X88" s="37">
        <f t="shared" si="89"/>
        <v>0</v>
      </c>
      <c r="Y88" s="37">
        <f t="shared" si="90"/>
        <v>0</v>
      </c>
      <c r="Z88" s="120">
        <f t="shared" si="91"/>
        <v>14.689858446545863</v>
      </c>
      <c r="AA88" s="120">
        <f t="shared" si="92"/>
        <v>14.689858446545863</v>
      </c>
      <c r="AB88" s="120">
        <f t="shared" si="93"/>
        <v>0.67646550324715526</v>
      </c>
      <c r="AC88" s="120">
        <f t="shared" si="94"/>
        <v>0.67646550324715526</v>
      </c>
      <c r="AD88" s="120">
        <f t="shared" si="95"/>
        <v>1</v>
      </c>
      <c r="AE88" s="120">
        <f t="shared" si="96"/>
        <v>1</v>
      </c>
      <c r="AF88" s="120">
        <f>IF(Control!$F$39&lt;&gt;"DNV",1,IF(D88&gt;Control!$F$16,IF(ISBLANK(Control!$F$56),1,Control!$F$56),IF(D88&gt;Control!$F$22,IF(ISBLANK(Control!$F$57),1,Control!$F$57),1)))</f>
        <v>1</v>
      </c>
      <c r="AG88" s="120">
        <f>IF(Control!$F$39&lt;&gt;"DNV",1,IF(D88&gt;Control!$F$18,IF(ISBLANK(Control!$F$56),1,Control!$F$56),IF(D88&gt;Control!$F$22,IF(ISBLANK(Control!$F$57),1,Control!$F$57),1)))</f>
        <v>1</v>
      </c>
    </row>
    <row r="89" spans="3:33">
      <c r="C89" s="12" t="str">
        <f t="shared" ref="C89:D89" si="102">C74</f>
        <v>TP4-03</v>
      </c>
      <c r="D89" s="13">
        <f t="shared" si="102"/>
        <v>9.0399999999999991</v>
      </c>
      <c r="E89" s="120">
        <f>IF(Geometry_loads!H55="-","-",Geometry_loads!H55*Control!$F$54)</f>
        <v>194825.12053899514</v>
      </c>
      <c r="F89" s="120">
        <f>IF(Geometry_loads!G55="-","-",Geometry_loads!G55*Control!$F$55)</f>
        <v>232156.26138119251</v>
      </c>
      <c r="G89" s="120">
        <f t="shared" si="79"/>
        <v>45.903085096282837</v>
      </c>
      <c r="H89" s="120">
        <f t="shared" si="80"/>
        <v>44.679002827048627</v>
      </c>
      <c r="I89" s="120" t="str">
        <f t="shared" si="81"/>
        <v>-</v>
      </c>
      <c r="J89" s="120" t="str">
        <f t="shared" si="82"/>
        <v>-</v>
      </c>
      <c r="K89" s="120">
        <f t="shared" si="83"/>
        <v>100</v>
      </c>
      <c r="L89" s="120" t="str">
        <f t="shared" si="84"/>
        <v/>
      </c>
      <c r="M89" s="120">
        <f t="shared" si="85"/>
        <v>0.669287784767158</v>
      </c>
      <c r="N89" s="120" t="str">
        <f t="shared" si="86"/>
        <v/>
      </c>
      <c r="O89" s="120">
        <f>IF(K89="","",Control!$F$46)</f>
        <v>0</v>
      </c>
      <c r="P89" s="120" t="str">
        <f>IF(L89="","",Control!$F$46)</f>
        <v/>
      </c>
      <c r="Q89" s="120">
        <f t="shared" si="87"/>
        <v>0.669287784767158</v>
      </c>
      <c r="R89" s="120" t="str">
        <f t="shared" si="88"/>
        <v/>
      </c>
      <c r="V89" s="121">
        <f>IF(OR(D89&gt;=$Z$13,D49&lt;=$Z$12,Geometry!AP18="n"),0,"X")</f>
        <v>0</v>
      </c>
      <c r="W89" s="121">
        <f>IF(OR(D89&gt;=$Z$15,D49&lt;=$Z$12,Geometry!AQ18="n"),0,"X")</f>
        <v>0</v>
      </c>
      <c r="X89" s="37">
        <f t="shared" si="89"/>
        <v>0</v>
      </c>
      <c r="Y89" s="37">
        <f t="shared" si="90"/>
        <v>0</v>
      </c>
      <c r="Z89" s="120">
        <f t="shared" si="91"/>
        <v>15.916015241432959</v>
      </c>
      <c r="AA89" s="120">
        <f t="shared" si="92"/>
        <v>15.916015241432959</v>
      </c>
      <c r="AB89" s="120">
        <f t="shared" si="93"/>
        <v>0.6597539553864471</v>
      </c>
      <c r="AC89" s="120">
        <f t="shared" si="94"/>
        <v>0.6597539553864471</v>
      </c>
      <c r="AD89" s="120">
        <f t="shared" si="95"/>
        <v>1</v>
      </c>
      <c r="AE89" s="120">
        <f t="shared" si="96"/>
        <v>1</v>
      </c>
      <c r="AF89" s="120">
        <f>IF(Control!$F$39&lt;&gt;"DNV",1,IF(D89&gt;Control!$F$16,IF(ISBLANK(Control!$F$56),1,Control!$F$56),IF(D89&gt;Control!$F$22,IF(ISBLANK(Control!$F$57),1,Control!$F$57),1)))</f>
        <v>1</v>
      </c>
      <c r="AG89" s="120">
        <f>IF(Control!$F$39&lt;&gt;"DNV",1,IF(D89&gt;Control!$F$18,IF(ISBLANK(Control!$F$56),1,Control!$F$56),IF(D89&gt;Control!$F$22,IF(ISBLANK(Control!$F$57),1,Control!$F$57),1)))</f>
        <v>1</v>
      </c>
    </row>
    <row r="90" spans="3:33">
      <c r="C90" s="12" t="str">
        <f t="shared" ref="C90:D90" si="103">C75</f>
        <v>TP5-01</v>
      </c>
      <c r="D90" s="13">
        <f t="shared" si="103"/>
        <v>6</v>
      </c>
      <c r="E90" s="120">
        <f>IF(Geometry_loads!H56="-","-",Geometry_loads!H56*Control!$F$54)</f>
        <v>199605.45152280314</v>
      </c>
      <c r="F90" s="120">
        <f>IF(Geometry_loads!G56="-","-",Geometry_loads!G56*Control!$F$55)</f>
        <v>237930.50815793037</v>
      </c>
      <c r="G90" s="120">
        <f t="shared" si="79"/>
        <v>41.391115634546999</v>
      </c>
      <c r="H90" s="120">
        <f t="shared" si="80"/>
        <v>40.287352550959078</v>
      </c>
      <c r="I90" s="120">
        <f t="shared" si="81"/>
        <v>42.072675684607141</v>
      </c>
      <c r="J90" s="120">
        <f t="shared" si="82"/>
        <v>37.098314133295233</v>
      </c>
      <c r="K90" s="120" t="str">
        <f t="shared" si="83"/>
        <v/>
      </c>
      <c r="L90" s="120">
        <f t="shared" si="84"/>
        <v>112</v>
      </c>
      <c r="M90" s="120" t="str">
        <f t="shared" si="85"/>
        <v/>
      </c>
      <c r="N90" s="120">
        <f t="shared" si="86"/>
        <v>0.52001059356730728</v>
      </c>
      <c r="O90" s="120" t="str">
        <f>IF(K90="","",Control!$F$46)</f>
        <v/>
      </c>
      <c r="P90" s="120">
        <f>IF(L90="","",Control!$F$46)</f>
        <v>0</v>
      </c>
      <c r="Q90" s="120" t="str">
        <f t="shared" si="87"/>
        <v/>
      </c>
      <c r="R90" s="120">
        <f t="shared" si="88"/>
        <v>0.52001059356730728</v>
      </c>
      <c r="V90" s="121" t="str">
        <f>IF(OR(D90&gt;=$Z$13,D50&lt;=$Z$12,Geometry!AP19="n"),0,"X")</f>
        <v>X</v>
      </c>
      <c r="W90" s="121">
        <f>IF(OR(D90&gt;=$Z$15,D50&lt;=$Z$12,Geometry!AQ19="n"),0,"X")</f>
        <v>0</v>
      </c>
      <c r="X90" s="37">
        <f t="shared" si="89"/>
        <v>1.7999999999999998</v>
      </c>
      <c r="Y90" s="37">
        <f t="shared" si="90"/>
        <v>0</v>
      </c>
      <c r="Z90" s="120">
        <f t="shared" si="91"/>
        <v>15.916015241432959</v>
      </c>
      <c r="AA90" s="120">
        <f t="shared" si="92"/>
        <v>15.618024015792459</v>
      </c>
      <c r="AB90" s="120">
        <f t="shared" si="93"/>
        <v>0.75785828325519911</v>
      </c>
      <c r="AC90" s="120">
        <f t="shared" si="94"/>
        <v>0.75785828325519911</v>
      </c>
      <c r="AD90" s="120">
        <f t="shared" si="95"/>
        <v>0.75785828325519911</v>
      </c>
      <c r="AE90" s="120">
        <f t="shared" si="96"/>
        <v>1</v>
      </c>
      <c r="AF90" s="120">
        <f>IF(Control!$F$39&lt;&gt;"DNV",1,IF(D90&gt;Control!$F$16,IF(ISBLANK(Control!$F$56),1,Control!$F$56),IF(D90&gt;Control!$F$22,IF(ISBLANK(Control!$F$57),1,Control!$F$57),1)))</f>
        <v>1</v>
      </c>
      <c r="AG90" s="120">
        <f>IF(Control!$F$39&lt;&gt;"DNV",1,IF(D90&gt;Control!$F$18,IF(ISBLANK(Control!$F$56),1,Control!$F$56),IF(D90&gt;Control!$F$22,IF(ISBLANK(Control!$F$57),1,Control!$F$57),1)))</f>
        <v>1</v>
      </c>
    </row>
    <row r="91" spans="3:33">
      <c r="C91" s="12" t="str">
        <f t="shared" ref="C91:D91" si="104">C76</f>
        <v>TP4-04</v>
      </c>
      <c r="D91" s="13">
        <f t="shared" si="104"/>
        <v>10</v>
      </c>
      <c r="E91" s="120">
        <f>IF(Geometry_loads!H57="-","-",Geometry_loads!H57*Control!$F$54)</f>
        <v>193355.84410215128</v>
      </c>
      <c r="F91" s="120">
        <f>IF(Geometry_loads!G57="-","-",Geometry_loads!G57*Control!$F$55)</f>
        <v>230391.76766292675</v>
      </c>
      <c r="G91" s="120">
        <f t="shared" si="79"/>
        <v>49.359523648341344</v>
      </c>
      <c r="H91" s="120">
        <f t="shared" si="80"/>
        <v>48.148570001502037</v>
      </c>
      <c r="I91" s="120" t="str">
        <f t="shared" si="81"/>
        <v>-</v>
      </c>
      <c r="J91" s="120" t="str">
        <f t="shared" si="82"/>
        <v>-</v>
      </c>
      <c r="K91" s="120" t="str">
        <f t="shared" si="83"/>
        <v/>
      </c>
      <c r="L91" s="120">
        <f t="shared" si="84"/>
        <v>112</v>
      </c>
      <c r="M91" s="120" t="str">
        <f t="shared" si="85"/>
        <v/>
      </c>
      <c r="N91" s="120">
        <f t="shared" si="86"/>
        <v>0.57732430478360286</v>
      </c>
      <c r="O91" s="120" t="str">
        <f>IF(K91="","",Control!$F$46)</f>
        <v/>
      </c>
      <c r="P91" s="120">
        <f>IF(L91="","",Control!$F$46)</f>
        <v>0</v>
      </c>
      <c r="Q91" s="120" t="str">
        <f t="shared" si="87"/>
        <v/>
      </c>
      <c r="R91" s="120">
        <f t="shared" si="88"/>
        <v>0.57732430478360286</v>
      </c>
      <c r="V91" s="121">
        <f>IF(OR(D91&gt;=$Z$13,D51&lt;=$Z$12,Geometry!AP20="n"),0,"X")</f>
        <v>0</v>
      </c>
      <c r="W91" s="121">
        <f>IF(OR(D91&gt;=$Z$15,D51&lt;=$Z$12,Geometry!AQ20="n"),0,"X")</f>
        <v>0</v>
      </c>
      <c r="X91" s="37">
        <f t="shared" si="89"/>
        <v>0</v>
      </c>
      <c r="Y91" s="37">
        <f t="shared" si="90"/>
        <v>0</v>
      </c>
      <c r="Z91" s="120">
        <f t="shared" si="91"/>
        <v>14.689858446545863</v>
      </c>
      <c r="AA91" s="120">
        <f t="shared" si="92"/>
        <v>14.689858446545863</v>
      </c>
      <c r="AB91" s="120">
        <f t="shared" si="93"/>
        <v>0.77060254017451113</v>
      </c>
      <c r="AC91" s="120">
        <f t="shared" si="94"/>
        <v>0.77060254017451113</v>
      </c>
      <c r="AD91" s="120">
        <f t="shared" si="95"/>
        <v>1</v>
      </c>
      <c r="AE91" s="120">
        <f t="shared" si="96"/>
        <v>1</v>
      </c>
      <c r="AF91" s="120">
        <f>IF(Control!$F$39&lt;&gt;"DNV",1,IF(D91&gt;Control!$F$16,IF(ISBLANK(Control!$F$56),1,Control!$F$56),IF(D91&gt;Control!$F$22,IF(ISBLANK(Control!$F$57),1,Control!$F$57),1)))</f>
        <v>1</v>
      </c>
      <c r="AG91" s="120">
        <f>IF(Control!$F$39&lt;&gt;"DNV",1,IF(D91&gt;Control!$F$18,IF(ISBLANK(Control!$F$56),1,Control!$F$56),IF(D91&gt;Control!$F$22,IF(ISBLANK(Control!$F$57),1,Control!$F$57),1)))</f>
        <v>1</v>
      </c>
    </row>
  </sheetData>
  <sheetProtection sheet="1" objects="1" scenarios="1"/>
  <mergeCells count="115">
    <mergeCell ref="Q30:S30"/>
    <mergeCell ref="T30:V30"/>
    <mergeCell ref="R31:R32"/>
    <mergeCell ref="S31:S32"/>
    <mergeCell ref="T31:T32"/>
    <mergeCell ref="U31:U32"/>
    <mergeCell ref="V31:V32"/>
    <mergeCell ref="AD55:AG55"/>
    <mergeCell ref="AH55:AI55"/>
    <mergeCell ref="M57:R57"/>
    <mergeCell ref="V57:W57"/>
    <mergeCell ref="Z57:AA57"/>
    <mergeCell ref="V55:W55"/>
    <mergeCell ref="X55:Y55"/>
    <mergeCell ref="AB39:AC39"/>
    <mergeCell ref="AB55:AC55"/>
    <mergeCell ref="M54:R54"/>
    <mergeCell ref="X47:Y47"/>
    <mergeCell ref="M49:R49"/>
    <mergeCell ref="Z40:AA40"/>
    <mergeCell ref="Z41:AA41"/>
    <mergeCell ref="O55:P55"/>
    <mergeCell ref="Q55:R55"/>
    <mergeCell ref="Z56:AA56"/>
    <mergeCell ref="E81:F81"/>
    <mergeCell ref="G81:J81"/>
    <mergeCell ref="K81:L81"/>
    <mergeCell ref="V81:W81"/>
    <mergeCell ref="V79:W79"/>
    <mergeCell ref="Q79:R79"/>
    <mergeCell ref="M81:R81"/>
    <mergeCell ref="M78:R78"/>
    <mergeCell ref="M79:N79"/>
    <mergeCell ref="O79:P79"/>
    <mergeCell ref="Z81:AA81"/>
    <mergeCell ref="Z80:AA80"/>
    <mergeCell ref="L30:M30"/>
    <mergeCell ref="M46:R46"/>
    <mergeCell ref="M47:N47"/>
    <mergeCell ref="O47:P47"/>
    <mergeCell ref="I39:J39"/>
    <mergeCell ref="K39:L39"/>
    <mergeCell ref="M39:N39"/>
    <mergeCell ref="K41:L41"/>
    <mergeCell ref="I47:J47"/>
    <mergeCell ref="G33:K33"/>
    <mergeCell ref="J31:J32"/>
    <mergeCell ref="K31:K32"/>
    <mergeCell ref="L31:L32"/>
    <mergeCell ref="M31:M32"/>
    <mergeCell ref="H31:H32"/>
    <mergeCell ref="Q47:R47"/>
    <mergeCell ref="M41:R41"/>
    <mergeCell ref="G31:G32"/>
    <mergeCell ref="L33:M33"/>
    <mergeCell ref="N31:N33"/>
    <mergeCell ref="P31:P33"/>
    <mergeCell ref="Q31:Q32"/>
    <mergeCell ref="C79:C80"/>
    <mergeCell ref="D79:D80"/>
    <mergeCell ref="K79:L79"/>
    <mergeCell ref="I64:I65"/>
    <mergeCell ref="F64:F65"/>
    <mergeCell ref="G64:G65"/>
    <mergeCell ref="H64:H65"/>
    <mergeCell ref="G79:H79"/>
    <mergeCell ref="I79:J79"/>
    <mergeCell ref="D39:D40"/>
    <mergeCell ref="O39:P39"/>
    <mergeCell ref="C47:C48"/>
    <mergeCell ref="D47:D48"/>
    <mergeCell ref="G39:H39"/>
    <mergeCell ref="E41:F41"/>
    <mergeCell ref="G41:J41"/>
    <mergeCell ref="C64:C65"/>
    <mergeCell ref="D64:D65"/>
    <mergeCell ref="E64:E65"/>
    <mergeCell ref="K47:L47"/>
    <mergeCell ref="E49:F49"/>
    <mergeCell ref="G49:J49"/>
    <mergeCell ref="K49:L49"/>
    <mergeCell ref="G47:H47"/>
    <mergeCell ref="E57:F57"/>
    <mergeCell ref="G57:J57"/>
    <mergeCell ref="K57:L57"/>
    <mergeCell ref="C55:C56"/>
    <mergeCell ref="D55:D56"/>
    <mergeCell ref="G55:H55"/>
    <mergeCell ref="I55:J55"/>
    <mergeCell ref="K55:L55"/>
    <mergeCell ref="M55:N55"/>
    <mergeCell ref="C4:C5"/>
    <mergeCell ref="AH39:AI39"/>
    <mergeCell ref="AH47:AI47"/>
    <mergeCell ref="AF79:AG79"/>
    <mergeCell ref="AD47:AG47"/>
    <mergeCell ref="Z48:AA48"/>
    <mergeCell ref="Z49:AA49"/>
    <mergeCell ref="X79:Y79"/>
    <mergeCell ref="V49:W49"/>
    <mergeCell ref="AB47:AC47"/>
    <mergeCell ref="AB79:AE79"/>
    <mergeCell ref="V39:W39"/>
    <mergeCell ref="V41:W41"/>
    <mergeCell ref="V47:W47"/>
    <mergeCell ref="AD39:AG39"/>
    <mergeCell ref="X39:Y39"/>
    <mergeCell ref="C31:C32"/>
    <mergeCell ref="D31:D32"/>
    <mergeCell ref="Q39:R39"/>
    <mergeCell ref="E31:E32"/>
    <mergeCell ref="F31:F32"/>
    <mergeCell ref="M38:R38"/>
    <mergeCell ref="I31:I32"/>
    <mergeCell ref="C39:C40"/>
  </mergeCells>
  <phoneticPr fontId="15" type="noConversion"/>
  <pageMargins left="0.7" right="0.7" top="0.78740157499999996" bottom="0.78740157499999996"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64577-6B2C-47CD-B91A-F502A196AFF6}">
  <sheetPr codeName="Tabelle6">
    <tabColor rgb="FF80C7C3"/>
  </sheetPr>
  <dimension ref="B3:AN164"/>
  <sheetViews>
    <sheetView topLeftCell="A123" workbookViewId="0"/>
  </sheetViews>
  <sheetFormatPr baseColWidth="10" defaultColWidth="11.44140625" defaultRowHeight="14.4"/>
  <cols>
    <col min="2" max="2" width="4.5546875" customWidth="1"/>
    <col min="3" max="3" width="10.44140625" customWidth="1"/>
    <col min="4" max="12" width="9.44140625" customWidth="1"/>
    <col min="13" max="21" width="10.44140625" customWidth="1"/>
    <col min="22" max="22" width="11.21875" customWidth="1"/>
    <col min="23" max="25" width="10.44140625" customWidth="1"/>
    <col min="26" max="37" width="7.5546875" customWidth="1"/>
  </cols>
  <sheetData>
    <row r="3" spans="3:40">
      <c r="C3" s="35" t="s">
        <v>468</v>
      </c>
      <c r="X3" s="185" t="s">
        <v>311</v>
      </c>
      <c r="Y3" s="185"/>
      <c r="Z3" s="185"/>
      <c r="AB3" s="185" t="s">
        <v>553</v>
      </c>
      <c r="AC3" s="185"/>
      <c r="AD3" s="185"/>
      <c r="AE3" s="185"/>
      <c r="AF3" s="185"/>
      <c r="AG3" s="185"/>
      <c r="AH3" s="185"/>
    </row>
    <row r="4" spans="3:40">
      <c r="C4" s="308" t="s">
        <v>0</v>
      </c>
      <c r="D4" s="12" t="s">
        <v>1</v>
      </c>
      <c r="E4" s="12" t="s">
        <v>2</v>
      </c>
      <c r="F4" s="12" t="s">
        <v>3</v>
      </c>
      <c r="G4" s="12" t="s">
        <v>4</v>
      </c>
      <c r="H4" s="12" t="s">
        <v>5</v>
      </c>
      <c r="I4" s="12" t="s">
        <v>6</v>
      </c>
      <c r="J4" s="12" t="s">
        <v>7</v>
      </c>
      <c r="K4" s="12" t="s">
        <v>8</v>
      </c>
      <c r="X4" s="8" t="s">
        <v>41</v>
      </c>
      <c r="Z4" s="33">
        <f>Control!$F$40</f>
        <v>31</v>
      </c>
      <c r="AA4" s="6"/>
      <c r="AB4" s="8" t="s">
        <v>40</v>
      </c>
      <c r="AC4" s="16" t="str">
        <f>Control!$F$39</f>
        <v>EC</v>
      </c>
      <c r="AD4" s="8" t="s">
        <v>91</v>
      </c>
      <c r="AE4" s="7">
        <f>IF($AC$4="DNV",5,4)</f>
        <v>4</v>
      </c>
      <c r="AH4" s="6"/>
      <c r="AI4" s="6"/>
    </row>
    <row r="5" spans="3:40">
      <c r="C5" s="309"/>
      <c r="D5" s="12" t="str">
        <f>"[m"&amp;Control!$F$7&amp;"]"</f>
        <v>[mLAT]</v>
      </c>
      <c r="E5" s="12" t="str">
        <f>"[m"&amp;Control!$F$7&amp;"]"</f>
        <v>[mLAT]</v>
      </c>
      <c r="F5" s="12" t="s">
        <v>9</v>
      </c>
      <c r="G5" s="12" t="s">
        <v>9</v>
      </c>
      <c r="H5" s="12" t="s">
        <v>10</v>
      </c>
      <c r="I5" s="12" t="s">
        <v>9</v>
      </c>
      <c r="J5" s="12" t="s">
        <v>11</v>
      </c>
      <c r="K5" s="12" t="s">
        <v>12</v>
      </c>
      <c r="X5" s="8" t="s">
        <v>38</v>
      </c>
      <c r="Z5" s="33">
        <f>Control!$F$41</f>
        <v>30</v>
      </c>
      <c r="AB5" s="185" t="s">
        <v>546</v>
      </c>
      <c r="AC5" s="185"/>
      <c r="AD5" s="185"/>
      <c r="AE5" s="185"/>
      <c r="AF5" s="185"/>
      <c r="AG5" s="186"/>
      <c r="AH5" s="186"/>
      <c r="AI5" s="6"/>
    </row>
    <row r="6" spans="3:40">
      <c r="C6" s="12">
        <v>1</v>
      </c>
      <c r="D6" s="44">
        <f>Geometry!D28</f>
        <v>5.5</v>
      </c>
      <c r="E6" s="44">
        <f>Geometry!E28</f>
        <v>1.6</v>
      </c>
      <c r="F6" s="44">
        <f>Geometry!F28</f>
        <v>7.5</v>
      </c>
      <c r="G6" s="44">
        <f>Geometry!G28</f>
        <v>7.5</v>
      </c>
      <c r="H6" s="44">
        <f>Geometry!H28</f>
        <v>108</v>
      </c>
      <c r="I6" s="56">
        <f>D6-E6</f>
        <v>3.9</v>
      </c>
      <c r="J6" s="57">
        <f>ATAN((G6-F6)/(2*I6))/PI()*180</f>
        <v>0</v>
      </c>
      <c r="K6" s="58">
        <f>IF(J6=0,PI()/4*(F6^2-(F6-(2*H6/1000))^2)*I6*7850/1000,(I6*PI()/12)*((G6^2+G6*F6+F6^2)-((G6-2*(H6/1000))^2+(G6-(2*H6/1000))*(F6-(2*H6/1000))+(F6-(2*H6/1000))^2))*7850/1000)</f>
        <v>76.783843986196089</v>
      </c>
      <c r="X6" s="17" t="s">
        <v>39</v>
      </c>
      <c r="Z6" s="33">
        <f>Control!$F$42</f>
        <v>19</v>
      </c>
      <c r="AB6" s="8" t="s">
        <v>297</v>
      </c>
      <c r="AC6" s="6">
        <f>IF($AC$4="EC",112,65.5)</f>
        <v>112</v>
      </c>
      <c r="AD6" s="6"/>
      <c r="AE6" s="6" t="s">
        <v>148</v>
      </c>
      <c r="AF6" s="6">
        <f>IF($AC$4="EC",140,93.59)</f>
        <v>140</v>
      </c>
      <c r="AG6" s="6"/>
    </row>
    <row r="7" spans="3:40">
      <c r="C7" s="12">
        <v>2</v>
      </c>
      <c r="D7" s="44">
        <f>Geometry!D29</f>
        <v>1.6</v>
      </c>
      <c r="E7" s="44">
        <f>Geometry!E29</f>
        <v>-2.2999999999999998</v>
      </c>
      <c r="F7" s="44">
        <f>Geometry!F29</f>
        <v>7.5</v>
      </c>
      <c r="G7" s="44">
        <f>Geometry!G29</f>
        <v>7.5</v>
      </c>
      <c r="H7" s="44">
        <f>Geometry!H29</f>
        <v>100</v>
      </c>
      <c r="I7" s="56">
        <f t="shared" ref="I7:I28" si="0">D7-E7</f>
        <v>3.9</v>
      </c>
      <c r="J7" s="57">
        <f t="shared" ref="J7:J28" si="1">ATAN((G7-F7)/(2*I7))/PI()*180</f>
        <v>0</v>
      </c>
      <c r="K7" s="58">
        <f t="shared" ref="K7:K28" si="2">IF(J7=0,PI()/4*(F7^2-(F7-(2*H7/1000))^2)*I7*7850/1000,(I7*PI()/12)*((G7^2+G7*F7+F7^2)-((G7-2*(H7/1000))^2+(G7-(2*H7/1000))*(F7-(2*H7/1000))+(F7-(2*H7/1000))^2))*7850/1000)</f>
        <v>71.17309572634214</v>
      </c>
      <c r="Y7" s="8"/>
      <c r="Z7" s="16"/>
      <c r="AB7" s="8" t="s">
        <v>37</v>
      </c>
      <c r="AC7" s="6">
        <f>IF($AC$4="EC",90,52.63)</f>
        <v>90</v>
      </c>
      <c r="AD7" s="6"/>
      <c r="AE7" s="6" t="s">
        <v>150</v>
      </c>
      <c r="AF7" s="6">
        <f>IF(AC4="EC",100,AC7)</f>
        <v>100</v>
      </c>
      <c r="AG7" s="6"/>
    </row>
    <row r="8" spans="3:40">
      <c r="C8" s="12">
        <v>3</v>
      </c>
      <c r="D8" s="44">
        <f>Geometry!D30</f>
        <v>-2.2999999999999998</v>
      </c>
      <c r="E8" s="44">
        <f>Geometry!E30</f>
        <v>-6.2</v>
      </c>
      <c r="F8" s="44">
        <f>Geometry!F30</f>
        <v>7.5</v>
      </c>
      <c r="G8" s="44">
        <f>Geometry!G30</f>
        <v>7.5</v>
      </c>
      <c r="H8" s="44">
        <f>Geometry!H30</f>
        <v>100</v>
      </c>
      <c r="I8" s="56">
        <f t="shared" si="0"/>
        <v>3.9000000000000004</v>
      </c>
      <c r="J8" s="57">
        <f t="shared" si="1"/>
        <v>0</v>
      </c>
      <c r="K8" s="58">
        <f t="shared" si="2"/>
        <v>71.17309572634214</v>
      </c>
      <c r="X8" s="8" t="s">
        <v>69</v>
      </c>
      <c r="Y8" s="6"/>
      <c r="Z8" s="16" t="str">
        <f>Control!$F$43</f>
        <v>N</v>
      </c>
      <c r="AB8" s="8" t="s">
        <v>463</v>
      </c>
      <c r="AC8" s="6">
        <f>IF($AC$4="EC",112,65.5)</f>
        <v>112</v>
      </c>
      <c r="AE8" t="s">
        <v>551</v>
      </c>
      <c r="AF8">
        <f>IF(AC4="EC",112,AC6)</f>
        <v>112</v>
      </c>
    </row>
    <row r="9" spans="3:40">
      <c r="C9" s="12">
        <v>4</v>
      </c>
      <c r="D9" s="44">
        <f>Geometry!D31</f>
        <v>-6.2</v>
      </c>
      <c r="E9" s="44">
        <f>Geometry!E31</f>
        <v>-10.1</v>
      </c>
      <c r="F9" s="44">
        <f>Geometry!F31</f>
        <v>7.5</v>
      </c>
      <c r="G9" s="44">
        <f>Geometry!G31</f>
        <v>7.8282999999999996</v>
      </c>
      <c r="H9" s="44">
        <f>Geometry!H31</f>
        <v>100</v>
      </c>
      <c r="I9" s="56">
        <f t="shared" si="0"/>
        <v>3.8999999999999995</v>
      </c>
      <c r="J9" s="57">
        <f t="shared" si="1"/>
        <v>2.4101421139187913</v>
      </c>
      <c r="K9" s="58">
        <f t="shared" si="2"/>
        <v>72.751888113298889</v>
      </c>
      <c r="U9" s="8"/>
      <c r="V9" s="8"/>
      <c r="W9" s="8"/>
      <c r="X9" s="8" t="s">
        <v>70</v>
      </c>
      <c r="Y9" s="6"/>
      <c r="Z9" s="33">
        <f>Control!$F$44</f>
        <v>0</v>
      </c>
      <c r="AE9" t="s">
        <v>547</v>
      </c>
      <c r="AF9">
        <f>IF(AC4="EC",225,131.62)</f>
        <v>225</v>
      </c>
      <c r="AG9" t="s">
        <v>554</v>
      </c>
      <c r="AH9">
        <v>1.3</v>
      </c>
    </row>
    <row r="10" spans="3:40">
      <c r="C10" s="12">
        <v>5</v>
      </c>
      <c r="D10" s="44">
        <f>Geometry!D32</f>
        <v>-10.1</v>
      </c>
      <c r="E10" s="44">
        <f>Geometry!E32</f>
        <v>-14</v>
      </c>
      <c r="F10" s="44">
        <f>Geometry!F32</f>
        <v>7.8282999999999996</v>
      </c>
      <c r="G10" s="44">
        <f>Geometry!G32</f>
        <v>8.1565999999999992</v>
      </c>
      <c r="H10" s="44">
        <f>Geometry!H32</f>
        <v>106</v>
      </c>
      <c r="I10" s="56">
        <f t="shared" si="0"/>
        <v>3.9000000000000004</v>
      </c>
      <c r="J10" s="57">
        <f t="shared" si="1"/>
        <v>2.4101421139187904</v>
      </c>
      <c r="K10" s="58">
        <f t="shared" si="2"/>
        <v>80.402870870063566</v>
      </c>
      <c r="U10" s="8"/>
      <c r="V10" s="8"/>
      <c r="W10" s="8"/>
      <c r="AB10" s="185" t="s">
        <v>552</v>
      </c>
      <c r="AC10" s="185"/>
      <c r="AD10" s="185"/>
      <c r="AE10" s="185"/>
      <c r="AF10" s="185"/>
      <c r="AG10" s="185"/>
      <c r="AH10" s="185"/>
    </row>
    <row r="11" spans="3:40">
      <c r="C11" s="12">
        <v>6</v>
      </c>
      <c r="D11" s="44">
        <f>Geometry!D33</f>
        <v>-14</v>
      </c>
      <c r="E11" s="44">
        <f>Geometry!E33</f>
        <v>-17.899999999999999</v>
      </c>
      <c r="F11" s="44">
        <f>Geometry!F33</f>
        <v>8.1565999999999992</v>
      </c>
      <c r="G11" s="44">
        <f>Geometry!G33</f>
        <v>8.4847999999999999</v>
      </c>
      <c r="H11" s="44">
        <f>Geometry!H33</f>
        <v>98</v>
      </c>
      <c r="I11" s="56">
        <f t="shared" si="0"/>
        <v>3.8999999999999986</v>
      </c>
      <c r="J11" s="57">
        <f t="shared" si="1"/>
        <v>2.4094088512562686</v>
      </c>
      <c r="K11" s="58">
        <f t="shared" si="2"/>
        <v>77.504096478974418</v>
      </c>
      <c r="X11" s="185" t="s">
        <v>548</v>
      </c>
      <c r="Y11" s="185"/>
      <c r="Z11" s="185"/>
      <c r="AB11" s="8" t="s">
        <v>65</v>
      </c>
      <c r="AC11" s="6"/>
      <c r="AD11" s="14">
        <f>IF(AND($AC$4="EC",$Z$8="Y"),1.15,IF(AND($AC$4="EC",$Z$8="N"),1.25,1))</f>
        <v>1.25</v>
      </c>
      <c r="AF11" s="8" t="s">
        <v>56</v>
      </c>
      <c r="AG11" s="14">
        <f>IF($AC$4="EC",0.3,0.2)</f>
        <v>0.3</v>
      </c>
    </row>
    <row r="12" spans="3:40">
      <c r="C12" s="12">
        <v>7</v>
      </c>
      <c r="D12" s="44">
        <f>Geometry!D34</f>
        <v>-17.899999999999999</v>
      </c>
      <c r="E12" s="44">
        <f>Geometry!E34</f>
        <v>-21.8</v>
      </c>
      <c r="F12" s="44">
        <f>Geometry!F34</f>
        <v>8.4847999999999999</v>
      </c>
      <c r="G12" s="44">
        <f>Geometry!G34</f>
        <v>8.8131000000000004</v>
      </c>
      <c r="H12" s="44">
        <f>Geometry!H34</f>
        <v>93</v>
      </c>
      <c r="I12" s="56">
        <f t="shared" si="0"/>
        <v>3.9000000000000021</v>
      </c>
      <c r="J12" s="57">
        <f t="shared" si="1"/>
        <v>2.4101421139187957</v>
      </c>
      <c r="K12" s="58">
        <f t="shared" si="2"/>
        <v>76.530636080163617</v>
      </c>
      <c r="X12" t="s">
        <v>184</v>
      </c>
      <c r="Z12" s="33">
        <f>Control!$F$22</f>
        <v>0</v>
      </c>
      <c r="AB12" s="8" t="s">
        <v>66</v>
      </c>
      <c r="AC12" s="6"/>
      <c r="AD12" s="14">
        <f>IF($AC$4="EC",1.25,1)</f>
        <v>1.25</v>
      </c>
      <c r="AF12" s="8" t="s">
        <v>298</v>
      </c>
      <c r="AG12" s="14">
        <f>IF($AC$4="EC",0.2,0.1)</f>
        <v>0.2</v>
      </c>
    </row>
    <row r="13" spans="3:40">
      <c r="C13" s="12">
        <v>8</v>
      </c>
      <c r="D13" s="44">
        <f>Geometry!D35</f>
        <v>-21.8</v>
      </c>
      <c r="E13" s="44">
        <f>Geometry!E35</f>
        <v>-25.7</v>
      </c>
      <c r="F13" s="44">
        <f>Geometry!F35</f>
        <v>8.8131000000000004</v>
      </c>
      <c r="G13" s="44">
        <f>Geometry!G35</f>
        <v>9.1414000000000009</v>
      </c>
      <c r="H13" s="44">
        <f>Geometry!H35</f>
        <v>93</v>
      </c>
      <c r="I13" s="56">
        <f t="shared" si="0"/>
        <v>3.8999999999999986</v>
      </c>
      <c r="J13" s="57">
        <f t="shared" si="1"/>
        <v>2.4101421139187984</v>
      </c>
      <c r="K13" s="58">
        <f t="shared" si="2"/>
        <v>79.467189919903291</v>
      </c>
      <c r="X13" t="str">
        <f>Control!$E$16</f>
        <v>External upper limit</v>
      </c>
      <c r="Z13" s="33">
        <f>Control!$F$16</f>
        <v>8.1</v>
      </c>
      <c r="AB13" s="8" t="s">
        <v>67</v>
      </c>
      <c r="AC13" s="6"/>
      <c r="AD13" s="15">
        <f>IF(AND($AC$4="DNV",$Z$8="Y"),2,IF(AND($AC$4="DNV",$Z$8="N"),3,1))</f>
        <v>1</v>
      </c>
      <c r="AF13" s="8" t="s">
        <v>303</v>
      </c>
      <c r="AG13" s="14">
        <f>IF($AC$4="EC",$AG$12,0.15)</f>
        <v>0.2</v>
      </c>
      <c r="AH13" s="6"/>
      <c r="AL13" s="6"/>
      <c r="AM13" s="6"/>
      <c r="AN13" s="6"/>
    </row>
    <row r="14" spans="3:40">
      <c r="C14" s="12">
        <v>9</v>
      </c>
      <c r="D14" s="44">
        <f>Geometry!D36</f>
        <v>-25.7</v>
      </c>
      <c r="E14" s="44">
        <f>Geometry!E36</f>
        <v>-29.6</v>
      </c>
      <c r="F14" s="44">
        <f>Geometry!F36</f>
        <v>9.1414000000000009</v>
      </c>
      <c r="G14" s="44">
        <f>Geometry!G36</f>
        <v>9.4696999999999996</v>
      </c>
      <c r="H14" s="44">
        <f>Geometry!H36</f>
        <v>93</v>
      </c>
      <c r="I14" s="56">
        <f t="shared" si="0"/>
        <v>3.9000000000000021</v>
      </c>
      <c r="J14" s="57">
        <f t="shared" si="1"/>
        <v>2.4101421139187829</v>
      </c>
      <c r="K14" s="58">
        <f t="shared" si="2"/>
        <v>82.403743759642452</v>
      </c>
      <c r="X14" t="str">
        <f>Control!$E$17</f>
        <v xml:space="preserve">External lower limit </v>
      </c>
      <c r="Z14" s="33">
        <f>Control!$F$17</f>
        <v>-3.4</v>
      </c>
      <c r="AB14" s="8" t="s">
        <v>68</v>
      </c>
      <c r="AC14" s="6"/>
      <c r="AD14" s="15">
        <f>IF($AC$4="DNV",3,1)</f>
        <v>1</v>
      </c>
      <c r="AF14" s="8" t="s">
        <v>151</v>
      </c>
      <c r="AG14" s="14">
        <f>IF(AC4="EC",0.1,0)</f>
        <v>0.1</v>
      </c>
      <c r="AH14" s="6"/>
      <c r="AL14" s="6"/>
      <c r="AM14" s="6"/>
      <c r="AN14" s="6"/>
    </row>
    <row r="15" spans="3:40">
      <c r="C15" s="12">
        <v>10</v>
      </c>
      <c r="D15" s="44">
        <f>Geometry!D37</f>
        <v>-29.6</v>
      </c>
      <c r="E15" s="44">
        <f>Geometry!E37</f>
        <v>-33.5</v>
      </c>
      <c r="F15" s="44">
        <f>Geometry!F37</f>
        <v>9.4696999999999996</v>
      </c>
      <c r="G15" s="44">
        <f>Geometry!G37</f>
        <v>9.8000000000000007</v>
      </c>
      <c r="H15" s="44">
        <f>Geometry!H37</f>
        <v>93</v>
      </c>
      <c r="I15" s="56">
        <f t="shared" si="0"/>
        <v>3.8999999999999986</v>
      </c>
      <c r="J15" s="57">
        <f t="shared" si="1"/>
        <v>2.4248072009611419</v>
      </c>
      <c r="K15" s="58">
        <f t="shared" si="2"/>
        <v>85.349242326277192</v>
      </c>
      <c r="X15" t="str">
        <f>Control!$E$18</f>
        <v>Internal upper limit</v>
      </c>
      <c r="Z15" s="33">
        <f>Control!$F$18</f>
        <v>3</v>
      </c>
      <c r="AG15" s="6"/>
      <c r="AH15" s="6"/>
      <c r="AL15" s="6"/>
      <c r="AM15" s="6"/>
      <c r="AN15" s="6"/>
    </row>
    <row r="16" spans="3:40">
      <c r="C16" s="12">
        <v>11</v>
      </c>
      <c r="D16" s="44">
        <f>Geometry!D38</f>
        <v>-33.5</v>
      </c>
      <c r="E16" s="44">
        <f>Geometry!E38</f>
        <v>-36.799999999999997</v>
      </c>
      <c r="F16" s="44">
        <f>Geometry!F38</f>
        <v>9.8000000000000007</v>
      </c>
      <c r="G16" s="44">
        <f>Geometry!G38</f>
        <v>9.8000000000000007</v>
      </c>
      <c r="H16" s="44">
        <f>Geometry!H38</f>
        <v>93</v>
      </c>
      <c r="I16" s="56">
        <f t="shared" si="0"/>
        <v>3.2999999999999972</v>
      </c>
      <c r="J16" s="57">
        <f t="shared" si="1"/>
        <v>0</v>
      </c>
      <c r="K16" s="58">
        <f t="shared" si="2"/>
        <v>73.468546438727955</v>
      </c>
      <c r="X16" t="str">
        <f>Control!$E$19</f>
        <v>Internal lower limit</v>
      </c>
      <c r="Z16" s="33">
        <f>Control!$F$19</f>
        <v>-0.6</v>
      </c>
      <c r="AB16" s="185" t="s">
        <v>549</v>
      </c>
      <c r="AC16" s="185"/>
      <c r="AD16" s="185"/>
      <c r="AE16" s="186"/>
      <c r="AF16" s="185"/>
      <c r="AG16" s="185"/>
      <c r="AH16" s="185"/>
      <c r="AI16" s="6"/>
    </row>
    <row r="17" spans="3:35">
      <c r="C17" s="12">
        <v>12</v>
      </c>
      <c r="D17" s="44">
        <f>Geometry!D39</f>
        <v>-36.799999999999997</v>
      </c>
      <c r="E17" s="44">
        <f>Geometry!E39</f>
        <v>-40.200000000000003</v>
      </c>
      <c r="F17" s="44">
        <f>Geometry!F39</f>
        <v>9.8000000000000007</v>
      </c>
      <c r="G17" s="44">
        <f>Geometry!G39</f>
        <v>9.8000000000000007</v>
      </c>
      <c r="H17" s="44">
        <f>Geometry!H39</f>
        <v>93</v>
      </c>
      <c r="I17" s="56">
        <f t="shared" si="0"/>
        <v>3.4000000000000057</v>
      </c>
      <c r="J17" s="57">
        <f t="shared" si="1"/>
        <v>0</v>
      </c>
      <c r="K17" s="58">
        <f t="shared" si="2"/>
        <v>75.694866027780506</v>
      </c>
      <c r="AB17" s="8" t="s">
        <v>57</v>
      </c>
      <c r="AC17" s="6"/>
      <c r="AD17" s="6"/>
      <c r="AE17" s="16">
        <v>440</v>
      </c>
      <c r="AH17" s="6"/>
      <c r="AI17" s="6"/>
    </row>
    <row r="18" spans="3:35">
      <c r="C18" s="12">
        <v>13</v>
      </c>
      <c r="D18" s="44">
        <f>Geometry!D40</f>
        <v>-40.200000000000003</v>
      </c>
      <c r="E18" s="44">
        <f>Geometry!E40</f>
        <v>-43.8</v>
      </c>
      <c r="F18" s="44">
        <f>Geometry!F40</f>
        <v>9.8000000000000007</v>
      </c>
      <c r="G18" s="44">
        <f>Geometry!G40</f>
        <v>9.8000000000000007</v>
      </c>
      <c r="H18" s="44">
        <f>Geometry!H40</f>
        <v>102</v>
      </c>
      <c r="I18" s="56">
        <f t="shared" si="0"/>
        <v>3.5999999999999943</v>
      </c>
      <c r="J18" s="57">
        <f t="shared" si="1"/>
        <v>0</v>
      </c>
      <c r="K18" s="58">
        <f t="shared" si="2"/>
        <v>87.822214054197303</v>
      </c>
      <c r="AB18" s="8" t="s">
        <v>58</v>
      </c>
      <c r="AC18" s="6"/>
      <c r="AD18" s="6"/>
      <c r="AE18" s="16">
        <v>14</v>
      </c>
    </row>
    <row r="19" spans="3:35">
      <c r="C19" s="12">
        <v>14</v>
      </c>
      <c r="D19" s="44">
        <f>Geometry!D41</f>
        <v>-43.8</v>
      </c>
      <c r="E19" s="44">
        <f>Geometry!E41</f>
        <v>-47.8</v>
      </c>
      <c r="F19" s="44">
        <f>Geometry!F41</f>
        <v>9.8000000000000007</v>
      </c>
      <c r="G19" s="44">
        <f>Geometry!G41</f>
        <v>9.8000000000000007</v>
      </c>
      <c r="H19" s="44">
        <f>Geometry!H41</f>
        <v>92</v>
      </c>
      <c r="I19" s="56">
        <f t="shared" si="0"/>
        <v>4</v>
      </c>
      <c r="J19" s="57">
        <f t="shared" si="1"/>
        <v>0</v>
      </c>
      <c r="K19" s="58">
        <f t="shared" si="2"/>
        <v>88.104302182456252</v>
      </c>
      <c r="AA19" s="8"/>
      <c r="AB19" s="8" t="s">
        <v>59</v>
      </c>
      <c r="AC19" s="6"/>
      <c r="AD19" s="6"/>
      <c r="AE19" s="14">
        <f>IF(AC4="DNV",(1-0.28*LOG(AE17/200))/(1-0.22*LOG(6*AE18)*LOG(AE17/200)),1)</f>
        <v>1</v>
      </c>
    </row>
    <row r="20" spans="3:35">
      <c r="C20" s="12">
        <v>15</v>
      </c>
      <c r="D20" s="44">
        <f>Geometry!D42</f>
        <v>-47.8</v>
      </c>
      <c r="E20" s="44">
        <f>Geometry!E42</f>
        <v>-51.8</v>
      </c>
      <c r="F20" s="44">
        <f>Geometry!F42</f>
        <v>9.8000000000000007</v>
      </c>
      <c r="G20" s="44">
        <f>Geometry!G42</f>
        <v>9.8000000000000007</v>
      </c>
      <c r="H20" s="44">
        <f>Geometry!H42</f>
        <v>90</v>
      </c>
      <c r="I20" s="56">
        <f t="shared" si="0"/>
        <v>4</v>
      </c>
      <c r="J20" s="57">
        <f t="shared" si="1"/>
        <v>0</v>
      </c>
      <c r="K20" s="58">
        <f t="shared" si="2"/>
        <v>86.206747547124479</v>
      </c>
      <c r="AG20" s="8"/>
      <c r="AH20" s="6"/>
      <c r="AI20" s="6"/>
    </row>
    <row r="21" spans="3:35">
      <c r="C21" s="12">
        <v>16</v>
      </c>
      <c r="D21" s="44">
        <f>Geometry!D43</f>
        <v>-51.8</v>
      </c>
      <c r="E21" s="44">
        <f>Geometry!E43</f>
        <v>-55.8</v>
      </c>
      <c r="F21" s="44">
        <f>Geometry!F43</f>
        <v>9.8000000000000007</v>
      </c>
      <c r="G21" s="44">
        <f>Geometry!G43</f>
        <v>9.8000000000000007</v>
      </c>
      <c r="H21" s="44">
        <f>Geometry!H43</f>
        <v>81</v>
      </c>
      <c r="I21" s="56">
        <f t="shared" si="0"/>
        <v>4</v>
      </c>
      <c r="J21" s="57">
        <f t="shared" si="1"/>
        <v>0</v>
      </c>
      <c r="K21" s="58">
        <f t="shared" si="2"/>
        <v>77.657985733209031</v>
      </c>
      <c r="AB21" s="185" t="s">
        <v>550</v>
      </c>
      <c r="AC21" s="185"/>
      <c r="AD21" s="185"/>
      <c r="AE21" s="185"/>
      <c r="AF21" s="185"/>
      <c r="AG21" s="186"/>
      <c r="AH21" s="186"/>
      <c r="AI21" s="6"/>
    </row>
    <row r="22" spans="3:35">
      <c r="C22" s="12">
        <v>17</v>
      </c>
      <c r="D22" s="44">
        <f>Geometry!D44</f>
        <v>-55.8</v>
      </c>
      <c r="E22" s="44">
        <f>Geometry!E44</f>
        <v>-59.8</v>
      </c>
      <c r="F22" s="44">
        <f>Geometry!F44</f>
        <v>9.8000000000000007</v>
      </c>
      <c r="G22" s="44">
        <f>Geometry!G44</f>
        <v>9.8000000000000007</v>
      </c>
      <c r="H22" s="44">
        <f>Geometry!H44</f>
        <v>81</v>
      </c>
      <c r="I22" s="56">
        <f t="shared" si="0"/>
        <v>4</v>
      </c>
      <c r="J22" s="57">
        <f t="shared" si="1"/>
        <v>0</v>
      </c>
      <c r="K22" s="58">
        <f t="shared" si="2"/>
        <v>77.657985733209031</v>
      </c>
      <c r="X22" s="8"/>
      <c r="Y22" s="6"/>
      <c r="Z22" s="6"/>
      <c r="AA22" s="6"/>
      <c r="AB22" s="8" t="s">
        <v>42</v>
      </c>
      <c r="AE22" s="8"/>
      <c r="AF22" s="6"/>
      <c r="AH22" s="6"/>
      <c r="AI22" s="6"/>
    </row>
    <row r="23" spans="3:35">
      <c r="C23" s="12">
        <v>18</v>
      </c>
      <c r="D23" s="44">
        <f>Geometry!D45</f>
        <v>-59.8</v>
      </c>
      <c r="E23" s="44">
        <f>Geometry!E45</f>
        <v>-63.8</v>
      </c>
      <c r="F23" s="44">
        <f>Geometry!F45</f>
        <v>9.8000000000000007</v>
      </c>
      <c r="G23" s="44">
        <f>Geometry!G45</f>
        <v>9.8000000000000007</v>
      </c>
      <c r="H23" s="44">
        <f>Geometry!H45</f>
        <v>81</v>
      </c>
      <c r="I23" s="56">
        <f t="shared" si="0"/>
        <v>4</v>
      </c>
      <c r="J23" s="57">
        <f t="shared" si="1"/>
        <v>0</v>
      </c>
      <c r="K23" s="58">
        <f t="shared" si="2"/>
        <v>77.657985733209031</v>
      </c>
      <c r="Z23" s="6"/>
      <c r="AB23" s="8" t="s">
        <v>43</v>
      </c>
      <c r="AE23" s="8"/>
      <c r="AF23" s="14">
        <f>Z4-Z6</f>
        <v>12</v>
      </c>
      <c r="AH23" s="6"/>
      <c r="AI23" s="6"/>
    </row>
    <row r="24" spans="3:35">
      <c r="C24" s="12">
        <v>19</v>
      </c>
      <c r="D24" s="44">
        <f>Geometry!D46</f>
        <v>-63.8</v>
      </c>
      <c r="E24" s="44">
        <f>Geometry!E46</f>
        <v>-67.8</v>
      </c>
      <c r="F24" s="44">
        <f>Geometry!F46</f>
        <v>9.8000000000000007</v>
      </c>
      <c r="G24" s="44">
        <f>Geometry!G46</f>
        <v>9.8000000000000007</v>
      </c>
      <c r="H24" s="44">
        <f>Geometry!H46</f>
        <v>81</v>
      </c>
      <c r="I24" s="56">
        <f t="shared" si="0"/>
        <v>4</v>
      </c>
      <c r="J24" s="57">
        <f t="shared" si="1"/>
        <v>0</v>
      </c>
      <c r="K24" s="58">
        <f t="shared" si="2"/>
        <v>77.657985733209031</v>
      </c>
      <c r="Z24" s="6"/>
      <c r="AB24" s="8" t="s">
        <v>44</v>
      </c>
      <c r="AC24" s="6"/>
      <c r="AE24" s="8"/>
      <c r="AF24" s="14">
        <f>Z5-AF23</f>
        <v>18</v>
      </c>
      <c r="AH24" s="6"/>
      <c r="AI24" s="6"/>
    </row>
    <row r="25" spans="3:35">
      <c r="C25" s="12">
        <v>20</v>
      </c>
      <c r="D25" s="44">
        <f>Geometry!D47</f>
        <v>-67.8</v>
      </c>
      <c r="E25" s="44">
        <f>Geometry!E47</f>
        <v>-71.8</v>
      </c>
      <c r="F25" s="44">
        <f>Geometry!F47</f>
        <v>9.8000000000000007</v>
      </c>
      <c r="G25" s="44">
        <f>Geometry!G47</f>
        <v>9.8000000000000007</v>
      </c>
      <c r="H25" s="44">
        <f>Geometry!H47</f>
        <v>81</v>
      </c>
      <c r="I25" s="56">
        <f t="shared" si="0"/>
        <v>4</v>
      </c>
      <c r="J25" s="57">
        <f t="shared" si="1"/>
        <v>0</v>
      </c>
      <c r="K25" s="58">
        <f t="shared" si="2"/>
        <v>77.657985733209031</v>
      </c>
      <c r="Z25" s="6"/>
      <c r="AB25" s="8" t="str">
        <f>Control!$E$12</f>
        <v xml:space="preserve">Corrosion allowance rate outside </v>
      </c>
      <c r="AF25" s="33">
        <f>Control!$F$12</f>
        <v>0.3</v>
      </c>
      <c r="AH25" s="6"/>
      <c r="AI25" s="6"/>
    </row>
    <row r="26" spans="3:35">
      <c r="C26" s="12">
        <v>21</v>
      </c>
      <c r="D26" s="44">
        <f>Geometry!D48</f>
        <v>-71.8</v>
      </c>
      <c r="E26" s="44">
        <f>Geometry!E48</f>
        <v>-75.8</v>
      </c>
      <c r="F26" s="44">
        <f>Geometry!F48</f>
        <v>9.8000000000000007</v>
      </c>
      <c r="G26" s="44">
        <f>Geometry!G48</f>
        <v>9.8000000000000007</v>
      </c>
      <c r="H26" s="44">
        <f>Geometry!H48</f>
        <v>90</v>
      </c>
      <c r="I26" s="56">
        <f t="shared" si="0"/>
        <v>4</v>
      </c>
      <c r="J26" s="57">
        <f t="shared" si="1"/>
        <v>0</v>
      </c>
      <c r="K26" s="58">
        <f t="shared" si="2"/>
        <v>86.206747547124479</v>
      </c>
      <c r="Z26" s="6"/>
      <c r="AB26" s="8" t="str">
        <f>Control!$E$13</f>
        <v xml:space="preserve">Corrosion allowance rate inside </v>
      </c>
      <c r="AF26" s="33">
        <f>Control!$F$13</f>
        <v>0.15</v>
      </c>
      <c r="AH26" s="6"/>
      <c r="AI26" s="6"/>
    </row>
    <row r="27" spans="3:35">
      <c r="C27" s="12">
        <v>22</v>
      </c>
      <c r="D27" s="44">
        <f>Geometry!D49</f>
        <v>-75.8</v>
      </c>
      <c r="E27" s="44">
        <f>Geometry!E49</f>
        <v>-79.73</v>
      </c>
      <c r="F27" s="44">
        <f>Geometry!F49</f>
        <v>9.8000000000000007</v>
      </c>
      <c r="G27" s="44">
        <f>Geometry!G49</f>
        <v>9.8000000000000007</v>
      </c>
      <c r="H27" s="44">
        <f>Geometry!H49</f>
        <v>95</v>
      </c>
      <c r="I27" s="56">
        <f t="shared" si="0"/>
        <v>3.9300000000000068</v>
      </c>
      <c r="J27" s="57">
        <f t="shared" si="1"/>
        <v>0</v>
      </c>
      <c r="K27" s="58">
        <f t="shared" si="2"/>
        <v>89.357544242521442</v>
      </c>
      <c r="Z27" s="6"/>
      <c r="AA27" s="6"/>
      <c r="AG27" s="6"/>
      <c r="AH27" s="6"/>
      <c r="AI27" s="6"/>
    </row>
    <row r="28" spans="3:35">
      <c r="C28" s="12">
        <v>23</v>
      </c>
      <c r="D28" s="44">
        <f>Geometry!D50</f>
        <v>-79.73</v>
      </c>
      <c r="E28" s="44">
        <f>Geometry!E50</f>
        <v>-82.73</v>
      </c>
      <c r="F28" s="44">
        <f>Geometry!F50</f>
        <v>9.8000000000000007</v>
      </c>
      <c r="G28" s="44">
        <f>Geometry!G50</f>
        <v>9.8000000000000007</v>
      </c>
      <c r="H28" s="44">
        <f>Geometry!H50</f>
        <v>100</v>
      </c>
      <c r="I28" s="56">
        <f t="shared" si="0"/>
        <v>3</v>
      </c>
      <c r="J28" s="57">
        <f t="shared" si="1"/>
        <v>0</v>
      </c>
      <c r="K28" s="58">
        <f t="shared" si="2"/>
        <v>71.764971782278351</v>
      </c>
    </row>
    <row r="31" spans="3:35">
      <c r="C31" s="35" t="s">
        <v>207</v>
      </c>
      <c r="L31" s="313" t="s">
        <v>215</v>
      </c>
      <c r="M31" s="316"/>
      <c r="Q31" s="191" t="s">
        <v>559</v>
      </c>
      <c r="R31" s="188"/>
      <c r="S31" s="188"/>
      <c r="T31" s="187" t="s">
        <v>558</v>
      </c>
      <c r="U31" s="188"/>
      <c r="V31" s="189"/>
    </row>
    <row r="32" spans="3:35" ht="15" customHeight="1">
      <c r="C32" s="317" t="s">
        <v>19</v>
      </c>
      <c r="D32" s="317" t="s">
        <v>282</v>
      </c>
      <c r="E32" s="317" t="s">
        <v>281</v>
      </c>
      <c r="F32" s="317" t="s">
        <v>18</v>
      </c>
      <c r="G32" s="317" t="s">
        <v>284</v>
      </c>
      <c r="H32" s="317" t="s">
        <v>283</v>
      </c>
      <c r="I32" s="317" t="s">
        <v>13</v>
      </c>
      <c r="J32" s="317" t="s">
        <v>14</v>
      </c>
      <c r="K32" s="317" t="s">
        <v>15</v>
      </c>
      <c r="L32" s="317" t="s">
        <v>279</v>
      </c>
      <c r="M32" s="317" t="s">
        <v>280</v>
      </c>
      <c r="N32" s="317" t="s">
        <v>300</v>
      </c>
      <c r="P32" s="317" t="s">
        <v>606</v>
      </c>
      <c r="Q32" s="323" t="s">
        <v>555</v>
      </c>
      <c r="R32" s="323" t="s">
        <v>556</v>
      </c>
      <c r="S32" s="323" t="s">
        <v>557</v>
      </c>
      <c r="T32" s="312" t="s">
        <v>555</v>
      </c>
      <c r="U32" s="312" t="s">
        <v>556</v>
      </c>
      <c r="V32" s="312" t="s">
        <v>557</v>
      </c>
    </row>
    <row r="33" spans="3:22" ht="29.25" customHeight="1">
      <c r="C33" s="318">
        <v>0</v>
      </c>
      <c r="D33" s="318">
        <v>0</v>
      </c>
      <c r="E33" s="318"/>
      <c r="F33" s="318"/>
      <c r="G33" s="318"/>
      <c r="H33" s="318"/>
      <c r="I33" s="318"/>
      <c r="J33" s="318"/>
      <c r="K33" s="318"/>
      <c r="L33" s="318"/>
      <c r="M33" s="318"/>
      <c r="N33" s="323"/>
      <c r="P33" s="323"/>
      <c r="Q33" s="323"/>
      <c r="R33" s="323"/>
      <c r="S33" s="323"/>
      <c r="T33" s="312"/>
      <c r="U33" s="312"/>
      <c r="V33" s="312"/>
    </row>
    <row r="34" spans="3:22">
      <c r="C34" s="30" t="s">
        <v>16</v>
      </c>
      <c r="D34" s="30" t="str">
        <f>"[m"&amp;Control!$F$7&amp;"]"</f>
        <v>[mLAT]</v>
      </c>
      <c r="E34" s="30" t="s">
        <v>9</v>
      </c>
      <c r="F34" s="30" t="s">
        <v>11</v>
      </c>
      <c r="G34" s="313" t="s">
        <v>10</v>
      </c>
      <c r="H34" s="316"/>
      <c r="I34" s="316"/>
      <c r="J34" s="316"/>
      <c r="K34" s="314"/>
      <c r="L34" s="313" t="s">
        <v>16</v>
      </c>
      <c r="M34" s="314"/>
      <c r="N34" s="318"/>
      <c r="P34" s="324"/>
      <c r="Q34" s="190" t="s">
        <v>16</v>
      </c>
      <c r="R34" s="190" t="s">
        <v>16</v>
      </c>
      <c r="S34" s="190" t="s">
        <v>16</v>
      </c>
      <c r="T34" s="190" t="s">
        <v>16</v>
      </c>
      <c r="U34" s="190" t="s">
        <v>16</v>
      </c>
      <c r="V34" s="190" t="s">
        <v>16</v>
      </c>
    </row>
    <row r="35" spans="3:22">
      <c r="C35" s="12" t="str">
        <f>"CW"&amp;TEXT(C6,"0")</f>
        <v>CW1</v>
      </c>
      <c r="D35" s="2">
        <f>E6</f>
        <v>1.6</v>
      </c>
      <c r="E35" s="3">
        <f>G6</f>
        <v>7.5</v>
      </c>
      <c r="F35" s="3">
        <f>ABS(J6-J7)</f>
        <v>0</v>
      </c>
      <c r="G35" s="3">
        <f>H6</f>
        <v>108</v>
      </c>
      <c r="H35" s="4">
        <f>H7</f>
        <v>100</v>
      </c>
      <c r="I35" s="3">
        <f>(MAX(G35:H35)-MIN(G35:H35))/2</f>
        <v>4</v>
      </c>
      <c r="J35" s="120">
        <f>MIN(0.1*MIN(G35:H35),4)</f>
        <v>4</v>
      </c>
      <c r="K35" s="120">
        <f>0.05*(MIN(G35:H35))</f>
        <v>5</v>
      </c>
      <c r="L35" s="120">
        <f>S35</f>
        <v>0.85864851454153157</v>
      </c>
      <c r="M35" s="120">
        <f>V35</f>
        <v>1.0848108912750811</v>
      </c>
      <c r="N35" s="222" t="str">
        <f>Geometry!N29</f>
        <v>b</v>
      </c>
      <c r="P35" s="120">
        <f>IF(F35&gt;0.1,IF(AND((E35-E34)=0,(E36-E35)&gt;0),"cc",IF(AND((E35-E34)&gt;0,(E36-E35)=0),"cv",0)),0)</f>
        <v>0</v>
      </c>
      <c r="Q35" s="223" cm="1">
        <f t="array" ref="Q35">IF($AC$4="EC",(1-(6*(I35+K35-J35))/(MIN(G35:H35)*(1+(MAX(G35:H35^1.5/MIN(G35:H35)^1.5))))),(1-(6*(I35+IF(OR(N35="b",N35="o"),0,K35)-J35)/(MIN(G35:H35)*(1+(MAX(G35:H35^1.5/MIN(G35:H35)^1.5)))))))</f>
        <v>0.85864851454153157</v>
      </c>
      <c r="R35" s="223">
        <f>IF(P35=0,0,IF(P35="cc",MAX(1+((0.6*G35*(E35*1000*(G35+H35))^0.5*TAN(F35*PI()/180))/G35^2),1+((0.6*G35*(E35*1000*(G35+H35))^0.5*TAN(F35*PI()/180))/H35^2)),1))</f>
        <v>0</v>
      </c>
      <c r="S35" s="223">
        <f>IF(P35=0,Q35,R35)</f>
        <v>0.85864851454153157</v>
      </c>
      <c r="T35" s="223" cm="1">
        <f t="array" ref="T35">IF($AC$4="EC",(1+(6*(I35+J35-K35))/(MIN(G35:H35)*(1+(MAX(G35:H35^1.5/MIN(G35:H35)^1.5))))),(1+(6*(I35+J35-IF(OR(N35="i",N35="b"),0,K35)))/(MIN(G35:H35)*(1+(MAX(G35:H35^1.5/MIN(G35:H35)^1.5))))))</f>
        <v>1.0848108912750811</v>
      </c>
      <c r="U35" s="223">
        <f>IF(P35=0,0,IF(P35="cv",MAX(1+((0.6*G35*(E35*1000*(G35+H35))^0.5*TAN(F35*PI()/180))/G35^2),1+((0.6*G35*(E35*1000*(G35+H35))^0.5*TAN(F35*PI()/180))/H35^2)),1))</f>
        <v>0</v>
      </c>
      <c r="V35" s="223">
        <f>IF(P35=0,T35,U35)</f>
        <v>1.0848108912750811</v>
      </c>
    </row>
    <row r="36" spans="3:22">
      <c r="C36" s="12" t="str">
        <f t="shared" ref="C36:C56" si="3">"CW"&amp;TEXT(C7,"0")</f>
        <v>CW2</v>
      </c>
      <c r="D36" s="2">
        <f t="shared" ref="D36:D56" si="4">E7</f>
        <v>-2.2999999999999998</v>
      </c>
      <c r="E36" s="3">
        <f t="shared" ref="E36:E56" si="5">G7</f>
        <v>7.5</v>
      </c>
      <c r="F36" s="3">
        <f t="shared" ref="F36:F56" si="6">ABS(J7-J8)</f>
        <v>0</v>
      </c>
      <c r="G36" s="3">
        <f t="shared" ref="G36:G56" si="7">H7</f>
        <v>100</v>
      </c>
      <c r="H36" s="4">
        <f t="shared" ref="H36:H56" si="8">H8</f>
        <v>100</v>
      </c>
      <c r="I36" s="3">
        <f t="shared" ref="I36:I56" si="9">(MAX(G36:H36)-MIN(G36:H36))/2</f>
        <v>0</v>
      </c>
      <c r="J36" s="120">
        <f t="shared" ref="J36:J56" si="10">MIN(0.1*MIN(G36:H36),4)</f>
        <v>4</v>
      </c>
      <c r="K36" s="120">
        <f t="shared" ref="K36:K56" si="11">0.05*(MIN(G36:H36))</f>
        <v>5</v>
      </c>
      <c r="L36" s="120">
        <f t="shared" ref="L36:L56" si="12">S36</f>
        <v>0.97</v>
      </c>
      <c r="M36" s="120">
        <f t="shared" ref="M36:M56" si="13">V36</f>
        <v>0.97</v>
      </c>
      <c r="N36" s="222" t="str">
        <f>Geometry!N30</f>
        <v>n</v>
      </c>
      <c r="P36" s="120">
        <f t="shared" ref="P36:P56" si="14">IF(F36&gt;0.1,IF(AND((E36-E35)=0,(E37-E36)&gt;0),"cc",IF(AND((E36-E35)&gt;0,(E37-E36)=0),"cv",0)),0)</f>
        <v>0</v>
      </c>
      <c r="Q36" s="223" cm="1">
        <f t="array" ref="Q36">IF($AC$4="EC",(1-(6*(I36+K36-J36))/(MIN(G36:H36)*(1+(MAX(G36:H36^1.5/MIN(G36:H36)^1.5))))),(1-(6*(I36+IF(OR(N36="b",N36="o"),0,K36)-J36)/(MIN(G36:H36)*(1+(MAX(G36:H36^1.5/MIN(G36:H36)^1.5)))))))</f>
        <v>0.97</v>
      </c>
      <c r="R36" s="223">
        <f t="shared" ref="R36:R56" si="15">IF(P36=0,0,IF(P36="cc",MAX(1+((0.6*G36*(E36*1000*(G36+H36))^0.5*TAN(F36*PI()/180))/G36^2),1+((0.6*G36*(E36*1000*(G36+H36))^0.5*TAN(F36*PI()/180))/H36^2)),1))</f>
        <v>0</v>
      </c>
      <c r="S36" s="223">
        <f t="shared" ref="S36:S56" si="16">IF(P36=0,Q36,R36)</f>
        <v>0.97</v>
      </c>
      <c r="T36" s="223" cm="1">
        <f t="array" ref="T36">IF($AC$4="EC",(1+(6*(I36+J36-K36))/(MIN(G36:H36)*(1+(MAX(G36:H36^1.5/MIN(G36:H36)^1.5))))),(1+(6*(I36+J36-IF(OR(N36="i",N36="b"),0,K36)))/(MIN(G36:H36)*(1+(MAX(G36:H36^1.5/MIN(G36:H36)^1.5))))))</f>
        <v>0.97</v>
      </c>
      <c r="U36" s="223">
        <f t="shared" ref="U36:U56" si="17">IF(P36=0,0,IF(P36="cv",MAX(1+((0.6*G36*(E36*1000*(G36+H36))^0.5*TAN(F36*PI()/180))/G36^2),1+((0.6*G36*(E36*1000*(G36+H36))^0.5*TAN(F36*PI()/180))/H36^2)),1))</f>
        <v>0</v>
      </c>
      <c r="V36" s="223">
        <f t="shared" ref="V36:V56" si="18">IF(P36=0,T36,U36)</f>
        <v>0.97</v>
      </c>
    </row>
    <row r="37" spans="3:22">
      <c r="C37" s="12" t="str">
        <f t="shared" si="3"/>
        <v>CW3</v>
      </c>
      <c r="D37" s="2">
        <f t="shared" si="4"/>
        <v>-6.2</v>
      </c>
      <c r="E37" s="3">
        <f t="shared" si="5"/>
        <v>7.5</v>
      </c>
      <c r="F37" s="3">
        <f t="shared" si="6"/>
        <v>2.4101421139187913</v>
      </c>
      <c r="G37" s="3">
        <f t="shared" si="7"/>
        <v>100</v>
      </c>
      <c r="H37" s="4">
        <f t="shared" si="8"/>
        <v>100</v>
      </c>
      <c r="I37" s="3">
        <f t="shared" si="9"/>
        <v>0</v>
      </c>
      <c r="J37" s="120">
        <f t="shared" si="10"/>
        <v>4</v>
      </c>
      <c r="K37" s="120">
        <f t="shared" si="11"/>
        <v>5</v>
      </c>
      <c r="L37" s="120">
        <f t="shared" si="12"/>
        <v>1.3092951855983526</v>
      </c>
      <c r="M37" s="120">
        <f t="shared" si="13"/>
        <v>1</v>
      </c>
      <c r="N37" s="222" t="str">
        <f>Geometry!N31</f>
        <v>o</v>
      </c>
      <c r="P37" s="120" t="str">
        <f t="shared" si="14"/>
        <v>cc</v>
      </c>
      <c r="Q37" s="223" cm="1">
        <f t="array" ref="Q37">IF($AC$4="EC",(1-(6*(I37+K37-J37))/(MIN(G37:H37)*(1+(MAX(G37:H37^1.5/MIN(G37:H37)^1.5))))),(1-(6*(I37+IF(OR(N37="b",N37="o"),0,K37)-J37)/(MIN(G37:H37)*(1+(MAX(G37:H37^1.5/MIN(G37:H37)^1.5)))))))</f>
        <v>0.97</v>
      </c>
      <c r="R37" s="223">
        <f t="shared" si="15"/>
        <v>1.3092951855983526</v>
      </c>
      <c r="S37" s="223">
        <f t="shared" si="16"/>
        <v>1.3092951855983526</v>
      </c>
      <c r="T37" s="223" cm="1">
        <f t="array" ref="T37">IF($AC$4="EC",(1+(6*(I37+J37-K37))/(MIN(G37:H37)*(1+(MAX(G37:H37^1.5/MIN(G37:H37)^1.5))))),(1+(6*(I37+J37-IF(OR(N37="i",N37="b"),0,K37)))/(MIN(G37:H37)*(1+(MAX(G37:H37^1.5/MIN(G37:H37)^1.5))))))</f>
        <v>0.97</v>
      </c>
      <c r="U37" s="223">
        <f t="shared" si="17"/>
        <v>1</v>
      </c>
      <c r="V37" s="223">
        <f t="shared" si="18"/>
        <v>1</v>
      </c>
    </row>
    <row r="38" spans="3:22">
      <c r="C38" s="12" t="str">
        <f t="shared" si="3"/>
        <v>CW4</v>
      </c>
      <c r="D38" s="2">
        <f t="shared" si="4"/>
        <v>-10.1</v>
      </c>
      <c r="E38" s="3">
        <f t="shared" si="5"/>
        <v>7.8282999999999996</v>
      </c>
      <c r="F38" s="3">
        <f t="shared" si="6"/>
        <v>8.8817841970012523E-16</v>
      </c>
      <c r="G38" s="3">
        <f t="shared" si="7"/>
        <v>100</v>
      </c>
      <c r="H38" s="4">
        <f t="shared" si="8"/>
        <v>106</v>
      </c>
      <c r="I38" s="3">
        <f t="shared" si="9"/>
        <v>3</v>
      </c>
      <c r="J38" s="120">
        <f t="shared" si="10"/>
        <v>4</v>
      </c>
      <c r="K38" s="120">
        <f t="shared" si="11"/>
        <v>5</v>
      </c>
      <c r="L38" s="120">
        <f t="shared" si="12"/>
        <v>0.88524086575622296</v>
      </c>
      <c r="M38" s="120">
        <f t="shared" si="13"/>
        <v>1.0573795671218884</v>
      </c>
      <c r="N38" s="222" t="str">
        <f>Geometry!N32</f>
        <v>n</v>
      </c>
      <c r="P38" s="120">
        <f t="shared" si="14"/>
        <v>0</v>
      </c>
      <c r="Q38" s="223" cm="1">
        <f t="array" ref="Q38">IF($AC$4="EC",(1-(6*(I38+K38-J38))/(MIN(G38:H38)*(1+(MAX(G38:H38^1.5/MIN(G38:H38)^1.5))))),(1-(6*(I38+IF(OR(N38="b",N38="o"),0,K38)-J38)/(MIN(G38:H38)*(1+(MAX(G38:H38^1.5/MIN(G38:H38)^1.5)))))))</f>
        <v>0.88524086575622296</v>
      </c>
      <c r="R38" s="223">
        <f t="shared" si="15"/>
        <v>0</v>
      </c>
      <c r="S38" s="223">
        <f t="shared" si="16"/>
        <v>0.88524086575622296</v>
      </c>
      <c r="T38" s="223" cm="1">
        <f t="array" ref="T38">IF($AC$4="EC",(1+(6*(I38+J38-K38))/(MIN(G38:H38)*(1+(MAX(G38:H38^1.5/MIN(G38:H38)^1.5))))),(1+(6*(I38+J38-IF(OR(N38="i",N38="b"),0,K38)))/(MIN(G38:H38)*(1+(MAX(G38:H38^1.5/MIN(G38:H38)^1.5))))))</f>
        <v>1.0573795671218884</v>
      </c>
      <c r="U38" s="223">
        <f t="shared" si="17"/>
        <v>0</v>
      </c>
      <c r="V38" s="223">
        <f t="shared" si="18"/>
        <v>1.0573795671218884</v>
      </c>
    </row>
    <row r="39" spans="3:22">
      <c r="C39" s="12" t="str">
        <f t="shared" si="3"/>
        <v>CW5</v>
      </c>
      <c r="D39" s="2">
        <f t="shared" si="4"/>
        <v>-14</v>
      </c>
      <c r="E39" s="3">
        <f t="shared" si="5"/>
        <v>8.1565999999999992</v>
      </c>
      <c r="F39" s="3">
        <f t="shared" si="6"/>
        <v>7.3326266252182748E-4</v>
      </c>
      <c r="G39" s="3">
        <f t="shared" si="7"/>
        <v>106</v>
      </c>
      <c r="H39" s="4">
        <f t="shared" si="8"/>
        <v>98</v>
      </c>
      <c r="I39" s="3">
        <f t="shared" si="9"/>
        <v>4</v>
      </c>
      <c r="J39" s="120">
        <f t="shared" si="10"/>
        <v>4</v>
      </c>
      <c r="K39" s="120">
        <f t="shared" si="11"/>
        <v>4.9000000000000004</v>
      </c>
      <c r="L39" s="120">
        <f t="shared" si="12"/>
        <v>0.8588178780847584</v>
      </c>
      <c r="M39" s="120">
        <f t="shared" si="13"/>
        <v>1.0893193016198468</v>
      </c>
      <c r="N39" s="222" t="str">
        <f>Geometry!N33</f>
        <v>n</v>
      </c>
      <c r="P39" s="120">
        <f t="shared" si="14"/>
        <v>0</v>
      </c>
      <c r="Q39" s="223" cm="1">
        <f t="array" ref="Q39">IF($AC$4="EC",(1-(6*(I39+K39-J39))/(MIN(G39:H39)*(1+(MAX(G39:H39^1.5/MIN(G39:H39)^1.5))))),(1-(6*(I39+IF(OR(N39="b",N39="o"),0,K39)-J39)/(MIN(G39:H39)*(1+(MAX(G39:H39^1.5/MIN(G39:H39)^1.5)))))))</f>
        <v>0.8588178780847584</v>
      </c>
      <c r="R39" s="223">
        <f t="shared" si="15"/>
        <v>0</v>
      </c>
      <c r="S39" s="223">
        <f t="shared" si="16"/>
        <v>0.8588178780847584</v>
      </c>
      <c r="T39" s="223" cm="1">
        <f t="array" ref="T39">IF($AC$4="EC",(1+(6*(I39+J39-K39))/(MIN(G39:H39)*(1+(MAX(G39:H39^1.5/MIN(G39:H39)^1.5))))),(1+(6*(I39+J39-IF(OR(N39="i",N39="b"),0,K39)))/(MIN(G39:H39)*(1+(MAX(G39:H39^1.5/MIN(G39:H39)^1.5))))))</f>
        <v>1.0893193016198468</v>
      </c>
      <c r="U39" s="223">
        <f t="shared" si="17"/>
        <v>0</v>
      </c>
      <c r="V39" s="223">
        <f t="shared" si="18"/>
        <v>1.0893193016198468</v>
      </c>
    </row>
    <row r="40" spans="3:22">
      <c r="C40" s="12" t="str">
        <f t="shared" si="3"/>
        <v>CW6</v>
      </c>
      <c r="D40" s="2">
        <f t="shared" si="4"/>
        <v>-17.899999999999999</v>
      </c>
      <c r="E40" s="3">
        <f t="shared" si="5"/>
        <v>8.4847999999999999</v>
      </c>
      <c r="F40" s="3">
        <f t="shared" si="6"/>
        <v>7.3326266252715655E-4</v>
      </c>
      <c r="G40" s="3">
        <f t="shared" si="7"/>
        <v>98</v>
      </c>
      <c r="H40" s="4">
        <f t="shared" si="8"/>
        <v>93</v>
      </c>
      <c r="I40" s="3">
        <f t="shared" si="9"/>
        <v>2.5</v>
      </c>
      <c r="J40" s="120">
        <f t="shared" si="10"/>
        <v>4</v>
      </c>
      <c r="K40" s="120">
        <f t="shared" si="11"/>
        <v>4.6500000000000004</v>
      </c>
      <c r="L40" s="120">
        <f t="shared" si="12"/>
        <v>0.90237599317352712</v>
      </c>
      <c r="M40" s="120">
        <f t="shared" si="13"/>
        <v>1.0573347341679284</v>
      </c>
      <c r="N40" s="222" t="str">
        <f>Geometry!N34</f>
        <v>n</v>
      </c>
      <c r="P40" s="120">
        <f t="shared" si="14"/>
        <v>0</v>
      </c>
      <c r="Q40" s="223" cm="1">
        <f t="array" ref="Q40">IF($AC$4="EC",(1-(6*(I40+K40-J40))/(MIN(G40:H40)*(1+(MAX(G40:H40^1.5/MIN(G40:H40)^1.5))))),(1-(6*(I40+IF(OR(N40="b",N40="o"),0,K40)-J40)/(MIN(G40:H40)*(1+(MAX(G40:H40^1.5/MIN(G40:H40)^1.5)))))))</f>
        <v>0.90237599317352712</v>
      </c>
      <c r="R40" s="223">
        <f t="shared" si="15"/>
        <v>0</v>
      </c>
      <c r="S40" s="223">
        <f t="shared" si="16"/>
        <v>0.90237599317352712</v>
      </c>
      <c r="T40" s="223" cm="1">
        <f t="array" ref="T40">IF($AC$4="EC",(1+(6*(I40+J40-K40))/(MIN(G40:H40)*(1+(MAX(G40:H40^1.5/MIN(G40:H40)^1.5))))),(1+(6*(I40+J40-IF(OR(N40="i",N40="b"),0,K40)))/(MIN(G40:H40)*(1+(MAX(G40:H40^1.5/MIN(G40:H40)^1.5))))))</f>
        <v>1.0573347341679284</v>
      </c>
      <c r="U40" s="223">
        <f t="shared" si="17"/>
        <v>0</v>
      </c>
      <c r="V40" s="223">
        <f t="shared" si="18"/>
        <v>1.0573347341679284</v>
      </c>
    </row>
    <row r="41" spans="3:22">
      <c r="C41" s="12" t="str">
        <f t="shared" si="3"/>
        <v>CW7</v>
      </c>
      <c r="D41" s="2">
        <f t="shared" si="4"/>
        <v>-21.8</v>
      </c>
      <c r="E41" s="3">
        <f t="shared" si="5"/>
        <v>8.8131000000000004</v>
      </c>
      <c r="F41" s="3">
        <f t="shared" si="6"/>
        <v>2.6645352591003757E-15</v>
      </c>
      <c r="G41" s="3">
        <f t="shared" si="7"/>
        <v>93</v>
      </c>
      <c r="H41" s="4">
        <f t="shared" si="8"/>
        <v>93</v>
      </c>
      <c r="I41" s="3">
        <f t="shared" si="9"/>
        <v>0</v>
      </c>
      <c r="J41" s="120">
        <f t="shared" si="10"/>
        <v>4</v>
      </c>
      <c r="K41" s="120">
        <f t="shared" si="11"/>
        <v>4.6500000000000004</v>
      </c>
      <c r="L41" s="120">
        <f t="shared" si="12"/>
        <v>0.9790322580645161</v>
      </c>
      <c r="M41" s="120">
        <f t="shared" si="13"/>
        <v>0.9790322580645161</v>
      </c>
      <c r="N41" s="222" t="str">
        <f>Geometry!N35</f>
        <v>n</v>
      </c>
      <c r="P41" s="120">
        <f t="shared" si="14"/>
        <v>0</v>
      </c>
      <c r="Q41" s="223" cm="1">
        <f t="array" ref="Q41">IF($AC$4="EC",(1-(6*(I41+K41-J41))/(MIN(G41:H41)*(1+(MAX(G41:H41^1.5/MIN(G41:H41)^1.5))))),(1-(6*(I41+IF(OR(N41="b",N41="o"),0,K41)-J41)/(MIN(G41:H41)*(1+(MAX(G41:H41^1.5/MIN(G41:H41)^1.5)))))))</f>
        <v>0.9790322580645161</v>
      </c>
      <c r="R41" s="223">
        <f t="shared" si="15"/>
        <v>0</v>
      </c>
      <c r="S41" s="223">
        <f t="shared" si="16"/>
        <v>0.9790322580645161</v>
      </c>
      <c r="T41" s="223" cm="1">
        <f t="array" ref="T41">IF($AC$4="EC",(1+(6*(I41+J41-K41))/(MIN(G41:H41)*(1+(MAX(G41:H41^1.5/MIN(G41:H41)^1.5))))),(1+(6*(I41+J41-IF(OR(N41="i",N41="b"),0,K41)))/(MIN(G41:H41)*(1+(MAX(G41:H41^1.5/MIN(G41:H41)^1.5))))))</f>
        <v>0.9790322580645161</v>
      </c>
      <c r="U41" s="223">
        <f t="shared" si="17"/>
        <v>0</v>
      </c>
      <c r="V41" s="223">
        <f t="shared" si="18"/>
        <v>0.9790322580645161</v>
      </c>
    </row>
    <row r="42" spans="3:22">
      <c r="C42" s="12" t="str">
        <f t="shared" si="3"/>
        <v>CW8</v>
      </c>
      <c r="D42" s="2">
        <f t="shared" si="4"/>
        <v>-25.7</v>
      </c>
      <c r="E42" s="3">
        <f t="shared" si="5"/>
        <v>9.1414000000000009</v>
      </c>
      <c r="F42" s="3">
        <f t="shared" si="6"/>
        <v>1.5543122344752192E-14</v>
      </c>
      <c r="G42" s="3">
        <f t="shared" si="7"/>
        <v>93</v>
      </c>
      <c r="H42" s="4">
        <f t="shared" si="8"/>
        <v>93</v>
      </c>
      <c r="I42" s="3">
        <f t="shared" si="9"/>
        <v>0</v>
      </c>
      <c r="J42" s="120">
        <f t="shared" si="10"/>
        <v>4</v>
      </c>
      <c r="K42" s="120">
        <f t="shared" si="11"/>
        <v>4.6500000000000004</v>
      </c>
      <c r="L42" s="120">
        <f t="shared" si="12"/>
        <v>0.9790322580645161</v>
      </c>
      <c r="M42" s="120">
        <f t="shared" si="13"/>
        <v>0.9790322580645161</v>
      </c>
      <c r="N42" s="222" t="str">
        <f>Geometry!N36</f>
        <v>n</v>
      </c>
      <c r="P42" s="120">
        <f t="shared" si="14"/>
        <v>0</v>
      </c>
      <c r="Q42" s="223" cm="1">
        <f t="array" ref="Q42">IF($AC$4="EC",(1-(6*(I42+K42-J42))/(MIN(G42:H42)*(1+(MAX(G42:H42^1.5/MIN(G42:H42)^1.5))))),(1-(6*(I42+IF(OR(N42="b",N42="o"),0,K42)-J42)/(MIN(G42:H42)*(1+(MAX(G42:H42^1.5/MIN(G42:H42)^1.5)))))))</f>
        <v>0.9790322580645161</v>
      </c>
      <c r="R42" s="223">
        <f t="shared" si="15"/>
        <v>0</v>
      </c>
      <c r="S42" s="223">
        <f t="shared" si="16"/>
        <v>0.9790322580645161</v>
      </c>
      <c r="T42" s="223" cm="1">
        <f t="array" ref="T42">IF($AC$4="EC",(1+(6*(I42+J42-K42))/(MIN(G42:H42)*(1+(MAX(G42:H42^1.5/MIN(G42:H42)^1.5))))),(1+(6*(I42+J42-IF(OR(N42="i",N42="b"),0,K42)))/(MIN(G42:H42)*(1+(MAX(G42:H42^1.5/MIN(G42:H42)^1.5))))))</f>
        <v>0.9790322580645161</v>
      </c>
      <c r="U42" s="223">
        <f t="shared" si="17"/>
        <v>0</v>
      </c>
      <c r="V42" s="223">
        <f t="shared" si="18"/>
        <v>0.9790322580645161</v>
      </c>
    </row>
    <row r="43" spans="3:22">
      <c r="C43" s="12" t="str">
        <f t="shared" si="3"/>
        <v>CW9</v>
      </c>
      <c r="D43" s="2">
        <f t="shared" si="4"/>
        <v>-29.6</v>
      </c>
      <c r="E43" s="3">
        <f t="shared" si="5"/>
        <v>9.4696999999999996</v>
      </c>
      <c r="F43" s="3">
        <f t="shared" si="6"/>
        <v>1.4665087042359026E-2</v>
      </c>
      <c r="G43" s="3">
        <f t="shared" si="7"/>
        <v>93</v>
      </c>
      <c r="H43" s="4">
        <f t="shared" si="8"/>
        <v>93</v>
      </c>
      <c r="I43" s="3">
        <f t="shared" si="9"/>
        <v>0</v>
      </c>
      <c r="J43" s="120">
        <f t="shared" si="10"/>
        <v>4</v>
      </c>
      <c r="K43" s="120">
        <f t="shared" si="11"/>
        <v>4.6500000000000004</v>
      </c>
      <c r="L43" s="120">
        <f t="shared" si="12"/>
        <v>0.9790322580645161</v>
      </c>
      <c r="M43" s="120">
        <f t="shared" si="13"/>
        <v>0.9790322580645161</v>
      </c>
      <c r="N43" s="222" t="str">
        <f>Geometry!N37</f>
        <v>n</v>
      </c>
      <c r="P43" s="120">
        <f t="shared" si="14"/>
        <v>0</v>
      </c>
      <c r="Q43" s="223" cm="1">
        <f t="array" ref="Q43">IF($AC$4="EC",(1-(6*(I43+K43-J43))/(MIN(G43:H43)*(1+(MAX(G43:H43^1.5/MIN(G43:H43)^1.5))))),(1-(6*(I43+IF(OR(N43="b",N43="o"),0,K43)-J43)/(MIN(G43:H43)*(1+(MAX(G43:H43^1.5/MIN(G43:H43)^1.5)))))))</f>
        <v>0.9790322580645161</v>
      </c>
      <c r="R43" s="223">
        <f t="shared" si="15"/>
        <v>0</v>
      </c>
      <c r="S43" s="223">
        <f t="shared" si="16"/>
        <v>0.9790322580645161</v>
      </c>
      <c r="T43" s="223" cm="1">
        <f t="array" ref="T43">IF($AC$4="EC",(1+(6*(I43+J43-K43))/(MIN(G43:H43)*(1+(MAX(G43:H43^1.5/MIN(G43:H43)^1.5))))),(1+(6*(I43+J43-IF(OR(N43="i",N43="b"),0,K43)))/(MIN(G43:H43)*(1+(MAX(G43:H43^1.5/MIN(G43:H43)^1.5))))))</f>
        <v>0.9790322580645161</v>
      </c>
      <c r="U43" s="223">
        <f t="shared" si="17"/>
        <v>0</v>
      </c>
      <c r="V43" s="223">
        <f t="shared" si="18"/>
        <v>0.9790322580645161</v>
      </c>
    </row>
    <row r="44" spans="3:22">
      <c r="C44" s="12" t="str">
        <f t="shared" si="3"/>
        <v>CW10</v>
      </c>
      <c r="D44" s="2">
        <f t="shared" si="4"/>
        <v>-33.5</v>
      </c>
      <c r="E44" s="3">
        <f t="shared" si="5"/>
        <v>9.8000000000000007</v>
      </c>
      <c r="F44" s="3">
        <f t="shared" si="6"/>
        <v>2.4248072009611419</v>
      </c>
      <c r="G44" s="3">
        <f t="shared" si="7"/>
        <v>93</v>
      </c>
      <c r="H44" s="4">
        <f t="shared" si="8"/>
        <v>93</v>
      </c>
      <c r="I44" s="3">
        <f t="shared" si="9"/>
        <v>0</v>
      </c>
      <c r="J44" s="120">
        <f t="shared" si="10"/>
        <v>4</v>
      </c>
      <c r="K44" s="120">
        <f t="shared" si="11"/>
        <v>4.6500000000000004</v>
      </c>
      <c r="L44" s="120">
        <f t="shared" si="12"/>
        <v>1</v>
      </c>
      <c r="M44" s="120">
        <f t="shared" si="13"/>
        <v>1.3688516943671116</v>
      </c>
      <c r="N44" s="222" t="str">
        <f>Geometry!N38</f>
        <v>i</v>
      </c>
      <c r="P44" s="120" t="str">
        <f t="shared" si="14"/>
        <v>cv</v>
      </c>
      <c r="Q44" s="223" cm="1">
        <f t="array" ref="Q44">IF($AC$4="EC",(1-(6*(I44+K44-J44))/(MIN(G44:H44)*(1+(MAX(G44:H44^1.5/MIN(G44:H44)^1.5))))),(1-(6*(I44+IF(OR(N44="b",N44="o"),0,K44)-J44)/(MIN(G44:H44)*(1+(MAX(G44:H44^1.5/MIN(G44:H44)^1.5)))))))</f>
        <v>0.9790322580645161</v>
      </c>
      <c r="R44" s="223">
        <f t="shared" si="15"/>
        <v>1</v>
      </c>
      <c r="S44" s="223">
        <f t="shared" si="16"/>
        <v>1</v>
      </c>
      <c r="T44" s="223" cm="1">
        <f t="array" ref="T44">IF($AC$4="EC",(1+(6*(I44+J44-K44))/(MIN(G44:H44)*(1+(MAX(G44:H44^1.5/MIN(G44:H44)^1.5))))),(1+(6*(I44+J44-IF(OR(N44="i",N44="b"),0,K44)))/(MIN(G44:H44)*(1+(MAX(G44:H44^1.5/MIN(G44:H44)^1.5))))))</f>
        <v>0.9790322580645161</v>
      </c>
      <c r="U44" s="223">
        <f t="shared" si="17"/>
        <v>1.3688516943671116</v>
      </c>
      <c r="V44" s="223">
        <f t="shared" si="18"/>
        <v>1.3688516943671116</v>
      </c>
    </row>
    <row r="45" spans="3:22">
      <c r="C45" s="12" t="str">
        <f t="shared" si="3"/>
        <v>CW11</v>
      </c>
      <c r="D45" s="2">
        <f t="shared" si="4"/>
        <v>-36.799999999999997</v>
      </c>
      <c r="E45" s="3">
        <f t="shared" si="5"/>
        <v>9.8000000000000007</v>
      </c>
      <c r="F45" s="3">
        <f t="shared" si="6"/>
        <v>0</v>
      </c>
      <c r="G45" s="3">
        <f t="shared" si="7"/>
        <v>93</v>
      </c>
      <c r="H45" s="4">
        <f t="shared" si="8"/>
        <v>93</v>
      </c>
      <c r="I45" s="3">
        <f t="shared" si="9"/>
        <v>0</v>
      </c>
      <c r="J45" s="120">
        <f t="shared" si="10"/>
        <v>4</v>
      </c>
      <c r="K45" s="120">
        <f t="shared" si="11"/>
        <v>4.6500000000000004</v>
      </c>
      <c r="L45" s="120">
        <f t="shared" si="12"/>
        <v>0.9790322580645161</v>
      </c>
      <c r="M45" s="120">
        <f t="shared" si="13"/>
        <v>0.9790322580645161</v>
      </c>
      <c r="N45" s="222" t="str">
        <f>Geometry!N39</f>
        <v>n</v>
      </c>
      <c r="P45" s="120">
        <f t="shared" si="14"/>
        <v>0</v>
      </c>
      <c r="Q45" s="223" cm="1">
        <f t="array" ref="Q45">IF($AC$4="EC",(1-(6*(I45+K45-J45))/(MIN(G45:H45)*(1+(MAX(G45:H45^1.5/MIN(G45:H45)^1.5))))),(1-(6*(I45+IF(OR(N45="b",N45="o"),0,K45)-J45)/(MIN(G45:H45)*(1+(MAX(G45:H45^1.5/MIN(G45:H45)^1.5)))))))</f>
        <v>0.9790322580645161</v>
      </c>
      <c r="R45" s="223">
        <f t="shared" si="15"/>
        <v>0</v>
      </c>
      <c r="S45" s="223">
        <f t="shared" si="16"/>
        <v>0.9790322580645161</v>
      </c>
      <c r="T45" s="223" cm="1">
        <f t="array" ref="T45">IF($AC$4="EC",(1+(6*(I45+J45-K45))/(MIN(G45:H45)*(1+(MAX(G45:H45^1.5/MIN(G45:H45)^1.5))))),(1+(6*(I45+J45-IF(OR(N45="i",N45="b"),0,K45)))/(MIN(G45:H45)*(1+(MAX(G45:H45^1.5/MIN(G45:H45)^1.5))))))</f>
        <v>0.9790322580645161</v>
      </c>
      <c r="U45" s="223">
        <f t="shared" si="17"/>
        <v>0</v>
      </c>
      <c r="V45" s="223">
        <f t="shared" si="18"/>
        <v>0.9790322580645161</v>
      </c>
    </row>
    <row r="46" spans="3:22">
      <c r="C46" s="12" t="str">
        <f t="shared" si="3"/>
        <v>CW12</v>
      </c>
      <c r="D46" s="2">
        <f t="shared" si="4"/>
        <v>-40.200000000000003</v>
      </c>
      <c r="E46" s="3">
        <f t="shared" si="5"/>
        <v>9.8000000000000007</v>
      </c>
      <c r="F46" s="3">
        <f t="shared" si="6"/>
        <v>0</v>
      </c>
      <c r="G46" s="3">
        <f t="shared" si="7"/>
        <v>93</v>
      </c>
      <c r="H46" s="4">
        <f t="shared" si="8"/>
        <v>102</v>
      </c>
      <c r="I46" s="3">
        <f t="shared" si="9"/>
        <v>4.5</v>
      </c>
      <c r="J46" s="120">
        <f t="shared" si="10"/>
        <v>4</v>
      </c>
      <c r="K46" s="120">
        <f t="shared" si="11"/>
        <v>4.6500000000000004</v>
      </c>
      <c r="L46" s="120">
        <f t="shared" si="12"/>
        <v>0.84536200675330098</v>
      </c>
      <c r="M46" s="120">
        <f t="shared" si="13"/>
        <v>1.1156031599999594</v>
      </c>
      <c r="N46" s="222" t="str">
        <f>Geometry!N40</f>
        <v>n</v>
      </c>
      <c r="P46" s="120">
        <f t="shared" si="14"/>
        <v>0</v>
      </c>
      <c r="Q46" s="223" cm="1">
        <f t="array" ref="Q46">IF($AC$4="EC",(1-(6*(I46+K46-J46))/(MIN(G46:H46)*(1+(MAX(G46:H46^1.5/MIN(G46:H46)^1.5))))),(1-(6*(I46+IF(OR(N46="b",N46="o"),0,K46)-J46)/(MIN(G46:H46)*(1+(MAX(G46:H46^1.5/MIN(G46:H46)^1.5)))))))</f>
        <v>0.84536200675330098</v>
      </c>
      <c r="R46" s="223">
        <f t="shared" si="15"/>
        <v>0</v>
      </c>
      <c r="S46" s="223">
        <f t="shared" si="16"/>
        <v>0.84536200675330098</v>
      </c>
      <c r="T46" s="223" cm="1">
        <f t="array" ref="T46">IF($AC$4="EC",(1+(6*(I46+J46-K46))/(MIN(G46:H46)*(1+(MAX(G46:H46^1.5/MIN(G46:H46)^1.5))))),(1+(6*(I46+J46-IF(OR(N46="i",N46="b"),0,K46)))/(MIN(G46:H46)*(1+(MAX(G46:H46^1.5/MIN(G46:H46)^1.5))))))</f>
        <v>1.1156031599999594</v>
      </c>
      <c r="U46" s="223">
        <f t="shared" si="17"/>
        <v>0</v>
      </c>
      <c r="V46" s="223">
        <f t="shared" si="18"/>
        <v>1.1156031599999594</v>
      </c>
    </row>
    <row r="47" spans="3:22">
      <c r="C47" s="12" t="str">
        <f t="shared" si="3"/>
        <v>CW13</v>
      </c>
      <c r="D47" s="2">
        <f t="shared" si="4"/>
        <v>-43.8</v>
      </c>
      <c r="E47" s="3">
        <f t="shared" si="5"/>
        <v>9.8000000000000007</v>
      </c>
      <c r="F47" s="3">
        <f t="shared" si="6"/>
        <v>0</v>
      </c>
      <c r="G47" s="3">
        <f t="shared" si="7"/>
        <v>102</v>
      </c>
      <c r="H47" s="4">
        <f t="shared" si="8"/>
        <v>92</v>
      </c>
      <c r="I47" s="3">
        <f t="shared" si="9"/>
        <v>5</v>
      </c>
      <c r="J47" s="120">
        <f t="shared" si="10"/>
        <v>4</v>
      </c>
      <c r="K47" s="120">
        <f t="shared" si="11"/>
        <v>4.6000000000000005</v>
      </c>
      <c r="L47" s="120">
        <f t="shared" si="12"/>
        <v>0.83149491449797441</v>
      </c>
      <c r="M47" s="120">
        <f t="shared" si="13"/>
        <v>1.1323968528944488</v>
      </c>
      <c r="N47" s="222" t="str">
        <f>Geometry!N41</f>
        <v>n</v>
      </c>
      <c r="P47" s="120">
        <f t="shared" si="14"/>
        <v>0</v>
      </c>
      <c r="Q47" s="223" cm="1">
        <f t="array" ref="Q47">IF($AC$4="EC",(1-(6*(I47+K47-J47))/(MIN(G47:H47)*(1+(MAX(G47:H47^1.5/MIN(G47:H47)^1.5))))),(1-(6*(I47+IF(OR(N47="b",N47="o"),0,K47)-J47)/(MIN(G47:H47)*(1+(MAX(G47:H47^1.5/MIN(G47:H47)^1.5)))))))</f>
        <v>0.83149491449797441</v>
      </c>
      <c r="R47" s="223">
        <f t="shared" si="15"/>
        <v>0</v>
      </c>
      <c r="S47" s="223">
        <f t="shared" si="16"/>
        <v>0.83149491449797441</v>
      </c>
      <c r="T47" s="223" cm="1">
        <f t="array" ref="T47">IF($AC$4="EC",(1+(6*(I47+J47-K47))/(MIN(G47:H47)*(1+(MAX(G47:H47^1.5/MIN(G47:H47)^1.5))))),(1+(6*(I47+J47-IF(OR(N47="i",N47="b"),0,K47)))/(MIN(G47:H47)*(1+(MAX(G47:H47^1.5/MIN(G47:H47)^1.5))))))</f>
        <v>1.1323968528944488</v>
      </c>
      <c r="U47" s="223">
        <f t="shared" si="17"/>
        <v>0</v>
      </c>
      <c r="V47" s="223">
        <f t="shared" si="18"/>
        <v>1.1323968528944488</v>
      </c>
    </row>
    <row r="48" spans="3:22">
      <c r="C48" s="12" t="str">
        <f t="shared" si="3"/>
        <v>CW14</v>
      </c>
      <c r="D48" s="2">
        <f t="shared" si="4"/>
        <v>-47.8</v>
      </c>
      <c r="E48" s="3">
        <f t="shared" si="5"/>
        <v>9.8000000000000007</v>
      </c>
      <c r="F48" s="3">
        <f t="shared" si="6"/>
        <v>0</v>
      </c>
      <c r="G48" s="3">
        <f t="shared" si="7"/>
        <v>92</v>
      </c>
      <c r="H48" s="4">
        <f t="shared" si="8"/>
        <v>90</v>
      </c>
      <c r="I48" s="3">
        <f t="shared" si="9"/>
        <v>1</v>
      </c>
      <c r="J48" s="120">
        <f t="shared" si="10"/>
        <v>4</v>
      </c>
      <c r="K48" s="120">
        <f t="shared" si="11"/>
        <v>4.5</v>
      </c>
      <c r="L48" s="120">
        <f t="shared" si="12"/>
        <v>0.95082413435646018</v>
      </c>
      <c r="M48" s="120">
        <f t="shared" si="13"/>
        <v>1.0163919552145133</v>
      </c>
      <c r="N48" s="222" t="str">
        <f>Geometry!N42</f>
        <v>n</v>
      </c>
      <c r="P48" s="120">
        <f t="shared" si="14"/>
        <v>0</v>
      </c>
      <c r="Q48" s="223" cm="1">
        <f t="array" ref="Q48">IF($AC$4="EC",(1-(6*(I48+K48-J48))/(MIN(G48:H48)*(1+(MAX(G48:H48^1.5/MIN(G48:H48)^1.5))))),(1-(6*(I48+IF(OR(N48="b",N48="o"),0,K48)-J48)/(MIN(G48:H48)*(1+(MAX(G48:H48^1.5/MIN(G48:H48)^1.5)))))))</f>
        <v>0.95082413435646018</v>
      </c>
      <c r="R48" s="223">
        <f t="shared" si="15"/>
        <v>0</v>
      </c>
      <c r="S48" s="223">
        <f t="shared" si="16"/>
        <v>0.95082413435646018</v>
      </c>
      <c r="T48" s="223" cm="1">
        <f t="array" ref="T48">IF($AC$4="EC",(1+(6*(I48+J48-K48))/(MIN(G48:H48)*(1+(MAX(G48:H48^1.5/MIN(G48:H48)^1.5))))),(1+(6*(I48+J48-IF(OR(N48="i",N48="b"),0,K48)))/(MIN(G48:H48)*(1+(MAX(G48:H48^1.5/MIN(G48:H48)^1.5))))))</f>
        <v>1.0163919552145133</v>
      </c>
      <c r="U48" s="223">
        <f t="shared" si="17"/>
        <v>0</v>
      </c>
      <c r="V48" s="223">
        <f t="shared" si="18"/>
        <v>1.0163919552145133</v>
      </c>
    </row>
    <row r="49" spans="2:37">
      <c r="C49" s="12" t="str">
        <f t="shared" si="3"/>
        <v>CW15</v>
      </c>
      <c r="D49" s="2">
        <f t="shared" si="4"/>
        <v>-51.8</v>
      </c>
      <c r="E49" s="3">
        <f t="shared" si="5"/>
        <v>9.8000000000000007</v>
      </c>
      <c r="F49" s="3">
        <f t="shared" si="6"/>
        <v>0</v>
      </c>
      <c r="G49" s="3">
        <f t="shared" si="7"/>
        <v>90</v>
      </c>
      <c r="H49" s="4">
        <f t="shared" si="8"/>
        <v>81</v>
      </c>
      <c r="I49" s="3">
        <f t="shared" si="9"/>
        <v>4.5</v>
      </c>
      <c r="J49" s="120">
        <f t="shared" si="10"/>
        <v>4</v>
      </c>
      <c r="K49" s="120">
        <f t="shared" si="11"/>
        <v>4.05</v>
      </c>
      <c r="L49" s="120">
        <f t="shared" si="12"/>
        <v>0.84477023219438185</v>
      </c>
      <c r="M49" s="120">
        <f t="shared" si="13"/>
        <v>1.1518181245571431</v>
      </c>
      <c r="N49" s="222" t="str">
        <f>Geometry!N43</f>
        <v>i</v>
      </c>
      <c r="P49" s="120">
        <f t="shared" si="14"/>
        <v>0</v>
      </c>
      <c r="Q49" s="223" cm="1">
        <f t="array" ref="Q49">IF($AC$4="EC",(1-(6*(I49+K49-J49))/(MIN(G49:H49)*(1+(MAX(G49:H49^1.5/MIN(G49:H49)^1.5))))),(1-(6*(I49+IF(OR(N49="b",N49="o"),0,K49)-J49)/(MIN(G49:H49)*(1+(MAX(G49:H49^1.5/MIN(G49:H49)^1.5)))))))</f>
        <v>0.84477023219438185</v>
      </c>
      <c r="R49" s="223">
        <f t="shared" si="15"/>
        <v>0</v>
      </c>
      <c r="S49" s="223">
        <f t="shared" si="16"/>
        <v>0.84477023219438185</v>
      </c>
      <c r="T49" s="223" cm="1">
        <f t="array" ref="T49">IF($AC$4="EC",(1+(6*(I49+J49-K49))/(MIN(G49:H49)*(1+(MAX(G49:H49^1.5/MIN(G49:H49)^1.5))))),(1+(6*(I49+J49-IF(OR(N49="i",N49="b"),0,K49)))/(MIN(G49:H49)*(1+(MAX(G49:H49^1.5/MIN(G49:H49)^1.5))))))</f>
        <v>1.1518181245571431</v>
      </c>
      <c r="U49" s="223">
        <f t="shared" si="17"/>
        <v>0</v>
      </c>
      <c r="V49" s="223">
        <f t="shared" si="18"/>
        <v>1.1518181245571431</v>
      </c>
    </row>
    <row r="50" spans="2:37">
      <c r="C50" s="12" t="str">
        <f t="shared" si="3"/>
        <v>CW16</v>
      </c>
      <c r="D50" s="2">
        <f t="shared" si="4"/>
        <v>-55.8</v>
      </c>
      <c r="E50" s="3">
        <f t="shared" si="5"/>
        <v>9.8000000000000007</v>
      </c>
      <c r="F50" s="3">
        <f t="shared" si="6"/>
        <v>0</v>
      </c>
      <c r="G50" s="3">
        <f t="shared" si="7"/>
        <v>81</v>
      </c>
      <c r="H50" s="4">
        <f t="shared" si="8"/>
        <v>81</v>
      </c>
      <c r="I50" s="3">
        <f t="shared" si="9"/>
        <v>0</v>
      </c>
      <c r="J50" s="120">
        <f t="shared" si="10"/>
        <v>4</v>
      </c>
      <c r="K50" s="120">
        <f t="shared" si="11"/>
        <v>4.05</v>
      </c>
      <c r="L50" s="120">
        <f t="shared" si="12"/>
        <v>0.99814814814814812</v>
      </c>
      <c r="M50" s="120">
        <f t="shared" si="13"/>
        <v>0.99814814814814812</v>
      </c>
      <c r="N50" s="222" t="str">
        <f>Geometry!N44</f>
        <v>b</v>
      </c>
      <c r="P50" s="120">
        <f t="shared" si="14"/>
        <v>0</v>
      </c>
      <c r="Q50" s="223" cm="1">
        <f t="array" ref="Q50">IF($AC$4="EC",(1-(6*(I50+K50-J50))/(MIN(G50:H50)*(1+(MAX(G50:H50^1.5/MIN(G50:H50)^1.5))))),(1-(6*(I50+IF(OR(N50="b",N50="o"),0,K50)-J50)/(MIN(G50:H50)*(1+(MAX(G50:H50^1.5/MIN(G50:H50)^1.5)))))))</f>
        <v>0.99814814814814812</v>
      </c>
      <c r="R50" s="223">
        <f t="shared" si="15"/>
        <v>0</v>
      </c>
      <c r="S50" s="223">
        <f t="shared" si="16"/>
        <v>0.99814814814814812</v>
      </c>
      <c r="T50" s="223" cm="1">
        <f t="array" ref="T50">IF($AC$4="EC",(1+(6*(I50+J50-K50))/(MIN(G50:H50)*(1+(MAX(G50:H50^1.5/MIN(G50:H50)^1.5))))),(1+(6*(I50+J50-IF(OR(N50="i",N50="b"),0,K50)))/(MIN(G50:H50)*(1+(MAX(G50:H50^1.5/MIN(G50:H50)^1.5))))))</f>
        <v>0.99814814814814812</v>
      </c>
      <c r="U50" s="223">
        <f t="shared" si="17"/>
        <v>0</v>
      </c>
      <c r="V50" s="223">
        <f t="shared" si="18"/>
        <v>0.99814814814814812</v>
      </c>
    </row>
    <row r="51" spans="2:37">
      <c r="C51" s="12" t="str">
        <f t="shared" si="3"/>
        <v>CW17</v>
      </c>
      <c r="D51" s="2">
        <f t="shared" si="4"/>
        <v>-59.8</v>
      </c>
      <c r="E51" s="3">
        <f t="shared" si="5"/>
        <v>9.8000000000000007</v>
      </c>
      <c r="F51" s="3">
        <f t="shared" si="6"/>
        <v>0</v>
      </c>
      <c r="G51" s="3">
        <f t="shared" si="7"/>
        <v>81</v>
      </c>
      <c r="H51" s="4">
        <f t="shared" si="8"/>
        <v>81</v>
      </c>
      <c r="I51" s="3">
        <f t="shared" si="9"/>
        <v>0</v>
      </c>
      <c r="J51" s="120">
        <f t="shared" si="10"/>
        <v>4</v>
      </c>
      <c r="K51" s="120">
        <f t="shared" si="11"/>
        <v>4.05</v>
      </c>
      <c r="L51" s="120">
        <f t="shared" si="12"/>
        <v>0.99814814814814812</v>
      </c>
      <c r="M51" s="120">
        <f t="shared" si="13"/>
        <v>0.99814814814814812</v>
      </c>
      <c r="N51" s="222" t="str">
        <f>Geometry!N45</f>
        <v>b</v>
      </c>
      <c r="P51" s="120">
        <f t="shared" si="14"/>
        <v>0</v>
      </c>
      <c r="Q51" s="223" cm="1">
        <f t="array" ref="Q51">IF($AC$4="EC",(1-(6*(I51+K51-J51))/(MIN(G51:H51)*(1+(MAX(G51:H51^1.5/MIN(G51:H51)^1.5))))),(1-(6*(I51+IF(OR(N51="b",N51="o"),0,K51)-J51)/(MIN(G51:H51)*(1+(MAX(G51:H51^1.5/MIN(G51:H51)^1.5)))))))</f>
        <v>0.99814814814814812</v>
      </c>
      <c r="R51" s="223">
        <f t="shared" si="15"/>
        <v>0</v>
      </c>
      <c r="S51" s="223">
        <f t="shared" si="16"/>
        <v>0.99814814814814812</v>
      </c>
      <c r="T51" s="223" cm="1">
        <f t="array" ref="T51">IF($AC$4="EC",(1+(6*(I51+J51-K51))/(MIN(G51:H51)*(1+(MAX(G51:H51^1.5/MIN(G51:H51)^1.5))))),(1+(6*(I51+J51-IF(OR(N51="i",N51="b"),0,K51)))/(MIN(G51:H51)*(1+(MAX(G51:H51^1.5/MIN(G51:H51)^1.5))))))</f>
        <v>0.99814814814814812</v>
      </c>
      <c r="U51" s="223">
        <f t="shared" si="17"/>
        <v>0</v>
      </c>
      <c r="V51" s="223">
        <f t="shared" si="18"/>
        <v>0.99814814814814812</v>
      </c>
    </row>
    <row r="52" spans="2:37">
      <c r="C52" s="12" t="str">
        <f t="shared" si="3"/>
        <v>CW18</v>
      </c>
      <c r="D52" s="2">
        <f t="shared" si="4"/>
        <v>-63.8</v>
      </c>
      <c r="E52" s="3">
        <f t="shared" si="5"/>
        <v>9.8000000000000007</v>
      </c>
      <c r="F52" s="3">
        <f t="shared" si="6"/>
        <v>0</v>
      </c>
      <c r="G52" s="3">
        <f t="shared" si="7"/>
        <v>81</v>
      </c>
      <c r="H52" s="4">
        <f t="shared" si="8"/>
        <v>81</v>
      </c>
      <c r="I52" s="3">
        <f t="shared" si="9"/>
        <v>0</v>
      </c>
      <c r="J52" s="120">
        <f t="shared" si="10"/>
        <v>4</v>
      </c>
      <c r="K52" s="120">
        <f t="shared" si="11"/>
        <v>4.05</v>
      </c>
      <c r="L52" s="120">
        <f t="shared" si="12"/>
        <v>0.99814814814814812</v>
      </c>
      <c r="M52" s="120">
        <f t="shared" si="13"/>
        <v>0.99814814814814812</v>
      </c>
      <c r="N52" s="222" t="str">
        <f>Geometry!N46</f>
        <v>b</v>
      </c>
      <c r="P52" s="120">
        <f t="shared" si="14"/>
        <v>0</v>
      </c>
      <c r="Q52" s="223" cm="1">
        <f t="array" ref="Q52">IF($AC$4="EC",(1-(6*(I52+K52-J52))/(MIN(G52:H52)*(1+(MAX(G52:H52^1.5/MIN(G52:H52)^1.5))))),(1-(6*(I52+IF(OR(N52="b",N52="o"),0,K52)-J52)/(MIN(G52:H52)*(1+(MAX(G52:H52^1.5/MIN(G52:H52)^1.5)))))))</f>
        <v>0.99814814814814812</v>
      </c>
      <c r="R52" s="223">
        <f t="shared" si="15"/>
        <v>0</v>
      </c>
      <c r="S52" s="223">
        <f t="shared" si="16"/>
        <v>0.99814814814814812</v>
      </c>
      <c r="T52" s="223" cm="1">
        <f t="array" ref="T52">IF($AC$4="EC",(1+(6*(I52+J52-K52))/(MIN(G52:H52)*(1+(MAX(G52:H52^1.5/MIN(G52:H52)^1.5))))),(1+(6*(I52+J52-IF(OR(N52="i",N52="b"),0,K52)))/(MIN(G52:H52)*(1+(MAX(G52:H52^1.5/MIN(G52:H52)^1.5))))))</f>
        <v>0.99814814814814812</v>
      </c>
      <c r="U52" s="223">
        <f t="shared" si="17"/>
        <v>0</v>
      </c>
      <c r="V52" s="223">
        <f t="shared" si="18"/>
        <v>0.99814814814814812</v>
      </c>
    </row>
    <row r="53" spans="2:37">
      <c r="C53" s="12" t="str">
        <f t="shared" si="3"/>
        <v>CW19</v>
      </c>
      <c r="D53" s="2">
        <f t="shared" si="4"/>
        <v>-67.8</v>
      </c>
      <c r="E53" s="3">
        <f t="shared" si="5"/>
        <v>9.8000000000000007</v>
      </c>
      <c r="F53" s="3">
        <f t="shared" si="6"/>
        <v>0</v>
      </c>
      <c r="G53" s="3">
        <f t="shared" si="7"/>
        <v>81</v>
      </c>
      <c r="H53" s="4">
        <f t="shared" si="8"/>
        <v>81</v>
      </c>
      <c r="I53" s="3">
        <f t="shared" si="9"/>
        <v>0</v>
      </c>
      <c r="J53" s="120">
        <f t="shared" si="10"/>
        <v>4</v>
      </c>
      <c r="K53" s="120">
        <f t="shared" si="11"/>
        <v>4.05</v>
      </c>
      <c r="L53" s="120">
        <f t="shared" si="12"/>
        <v>0.99814814814814812</v>
      </c>
      <c r="M53" s="120">
        <f t="shared" si="13"/>
        <v>0.99814814814814812</v>
      </c>
      <c r="N53" s="222" t="str">
        <f>Geometry!N47</f>
        <v>n</v>
      </c>
      <c r="P53" s="120">
        <f t="shared" si="14"/>
        <v>0</v>
      </c>
      <c r="Q53" s="223" cm="1">
        <f t="array" ref="Q53">IF($AC$4="EC",(1-(6*(I53+K53-J53))/(MIN(G53:H53)*(1+(MAX(G53:H53^1.5/MIN(G53:H53)^1.5))))),(1-(6*(I53+IF(OR(N53="b",N53="o"),0,K53)-J53)/(MIN(G53:H53)*(1+(MAX(G53:H53^1.5/MIN(G53:H53)^1.5)))))))</f>
        <v>0.99814814814814812</v>
      </c>
      <c r="R53" s="223">
        <f t="shared" si="15"/>
        <v>0</v>
      </c>
      <c r="S53" s="223">
        <f t="shared" si="16"/>
        <v>0.99814814814814812</v>
      </c>
      <c r="T53" s="223" cm="1">
        <f t="array" ref="T53">IF($AC$4="EC",(1+(6*(I53+J53-K53))/(MIN(G53:H53)*(1+(MAX(G53:H53^1.5/MIN(G53:H53)^1.5))))),(1+(6*(I53+J53-IF(OR(N53="i",N53="b"),0,K53)))/(MIN(G53:H53)*(1+(MAX(G53:H53^1.5/MIN(G53:H53)^1.5))))))</f>
        <v>0.99814814814814812</v>
      </c>
      <c r="U53" s="223">
        <f t="shared" si="17"/>
        <v>0</v>
      </c>
      <c r="V53" s="223">
        <f t="shared" si="18"/>
        <v>0.99814814814814812</v>
      </c>
    </row>
    <row r="54" spans="2:37">
      <c r="C54" s="12" t="str">
        <f t="shared" si="3"/>
        <v>CW20</v>
      </c>
      <c r="D54" s="2">
        <f t="shared" si="4"/>
        <v>-71.8</v>
      </c>
      <c r="E54" s="3">
        <f t="shared" si="5"/>
        <v>9.8000000000000007</v>
      </c>
      <c r="F54" s="3">
        <f t="shared" si="6"/>
        <v>0</v>
      </c>
      <c r="G54" s="3">
        <f t="shared" si="7"/>
        <v>81</v>
      </c>
      <c r="H54" s="4">
        <f t="shared" si="8"/>
        <v>90</v>
      </c>
      <c r="I54" s="3">
        <f t="shared" si="9"/>
        <v>4.5</v>
      </c>
      <c r="J54" s="120">
        <f t="shared" si="10"/>
        <v>4</v>
      </c>
      <c r="K54" s="120">
        <f t="shared" si="11"/>
        <v>4.05</v>
      </c>
      <c r="L54" s="120">
        <f t="shared" si="12"/>
        <v>0.84477023219438185</v>
      </c>
      <c r="M54" s="120">
        <f t="shared" si="13"/>
        <v>1.1518181245571431</v>
      </c>
      <c r="N54" s="222" t="str">
        <f>Geometry!N48</f>
        <v>n</v>
      </c>
      <c r="P54" s="120">
        <f t="shared" si="14"/>
        <v>0</v>
      </c>
      <c r="Q54" s="223" cm="1">
        <f t="array" ref="Q54">IF($AC$4="EC",(1-(6*(I54+K54-J54))/(MIN(G54:H54)*(1+(MAX(G54:H54^1.5/MIN(G54:H54)^1.5))))),(1-(6*(I54+IF(OR(N54="b",N54="o"),0,K54)-J54)/(MIN(G54:H54)*(1+(MAX(G54:H54^1.5/MIN(G54:H54)^1.5)))))))</f>
        <v>0.84477023219438185</v>
      </c>
      <c r="R54" s="223">
        <f t="shared" si="15"/>
        <v>0</v>
      </c>
      <c r="S54" s="223">
        <f t="shared" si="16"/>
        <v>0.84477023219438185</v>
      </c>
      <c r="T54" s="223" cm="1">
        <f t="array" ref="T54">IF($AC$4="EC",(1+(6*(I54+J54-K54))/(MIN(G54:H54)*(1+(MAX(G54:H54^1.5/MIN(G54:H54)^1.5))))),(1+(6*(I54+J54-IF(OR(N54="i",N54="b"),0,K54)))/(MIN(G54:H54)*(1+(MAX(G54:H54^1.5/MIN(G54:H54)^1.5))))))</f>
        <v>1.1518181245571431</v>
      </c>
      <c r="U54" s="223">
        <f t="shared" si="17"/>
        <v>0</v>
      </c>
      <c r="V54" s="223">
        <f t="shared" si="18"/>
        <v>1.1518181245571431</v>
      </c>
    </row>
    <row r="55" spans="2:37">
      <c r="C55" s="12" t="str">
        <f t="shared" si="3"/>
        <v>CW21</v>
      </c>
      <c r="D55" s="2">
        <f t="shared" si="4"/>
        <v>-75.8</v>
      </c>
      <c r="E55" s="3">
        <f t="shared" si="5"/>
        <v>9.8000000000000007</v>
      </c>
      <c r="F55" s="3">
        <f t="shared" si="6"/>
        <v>0</v>
      </c>
      <c r="G55" s="3">
        <f t="shared" si="7"/>
        <v>90</v>
      </c>
      <c r="H55" s="4">
        <f t="shared" si="8"/>
        <v>95</v>
      </c>
      <c r="I55" s="3">
        <f t="shared" si="9"/>
        <v>2.5</v>
      </c>
      <c r="J55" s="120">
        <f t="shared" si="10"/>
        <v>4</v>
      </c>
      <c r="K55" s="120">
        <f t="shared" si="11"/>
        <v>4.5</v>
      </c>
      <c r="L55" s="120">
        <f t="shared" si="12"/>
        <v>0.90405282043891533</v>
      </c>
      <c r="M55" s="120">
        <f t="shared" si="13"/>
        <v>1.0639647863740564</v>
      </c>
      <c r="N55" s="222" t="str">
        <f>Geometry!N49</f>
        <v>n</v>
      </c>
      <c r="P55" s="120">
        <f t="shared" si="14"/>
        <v>0</v>
      </c>
      <c r="Q55" s="223" cm="1">
        <f t="array" ref="Q55">IF($AC$4="EC",(1-(6*(I55+K55-J55))/(MIN(G55:H55)*(1+(MAX(G55:H55^1.5/MIN(G55:H55)^1.5))))),(1-(6*(I55+IF(OR(N55="b",N55="o"),0,K55)-J55)/(MIN(G55:H55)*(1+(MAX(G55:H55^1.5/MIN(G55:H55)^1.5)))))))</f>
        <v>0.90405282043891533</v>
      </c>
      <c r="R55" s="223">
        <f t="shared" si="15"/>
        <v>0</v>
      </c>
      <c r="S55" s="223">
        <f t="shared" si="16"/>
        <v>0.90405282043891533</v>
      </c>
      <c r="T55" s="223" cm="1">
        <f t="array" ref="T55">IF($AC$4="EC",(1+(6*(I55+J55-K55))/(MIN(G55:H55)*(1+(MAX(G55:H55^1.5/MIN(G55:H55)^1.5))))),(1+(6*(I55+J55-IF(OR(N55="i",N55="b"),0,K55)))/(MIN(G55:H55)*(1+(MAX(G55:H55^1.5/MIN(G55:H55)^1.5))))))</f>
        <v>1.0639647863740564</v>
      </c>
      <c r="U55" s="223">
        <f t="shared" si="17"/>
        <v>0</v>
      </c>
      <c r="V55" s="223">
        <f t="shared" si="18"/>
        <v>1.0639647863740564</v>
      </c>
    </row>
    <row r="56" spans="2:37">
      <c r="C56" s="12" t="str">
        <f t="shared" si="3"/>
        <v>CW22</v>
      </c>
      <c r="D56" s="2">
        <f t="shared" si="4"/>
        <v>-79.73</v>
      </c>
      <c r="E56" s="3">
        <f t="shared" si="5"/>
        <v>9.8000000000000007</v>
      </c>
      <c r="F56" s="3">
        <f t="shared" si="6"/>
        <v>0</v>
      </c>
      <c r="G56" s="3">
        <f t="shared" si="7"/>
        <v>95</v>
      </c>
      <c r="H56" s="4">
        <f t="shared" si="8"/>
        <v>100</v>
      </c>
      <c r="I56" s="3">
        <f t="shared" si="9"/>
        <v>2.5</v>
      </c>
      <c r="J56" s="120">
        <f t="shared" si="10"/>
        <v>4</v>
      </c>
      <c r="K56" s="120">
        <f t="shared" si="11"/>
        <v>4.75</v>
      </c>
      <c r="L56" s="120">
        <f t="shared" si="12"/>
        <v>0.90131470833462024</v>
      </c>
      <c r="M56" s="120">
        <f t="shared" si="13"/>
        <v>1.0531382339736661</v>
      </c>
      <c r="N56" s="222" t="str">
        <f>Geometry!N50</f>
        <v>n</v>
      </c>
      <c r="P56" s="120">
        <f t="shared" si="14"/>
        <v>0</v>
      </c>
      <c r="Q56" s="223" cm="1">
        <f t="array" ref="Q56">IF($AC$4="EC",(1-(6*(I56+K56-J56))/(MIN(G56:H56)*(1+(MAX(G56:H56^1.5/MIN(G56:H56)^1.5))))),(1-(6*(I56+IF(OR(N56="b",N56="o"),0,K56)-J56)/(MIN(G56:H56)*(1+(MAX(G56:H56^1.5/MIN(G56:H56)^1.5)))))))</f>
        <v>0.90131470833462024</v>
      </c>
      <c r="R56" s="223">
        <f t="shared" si="15"/>
        <v>0</v>
      </c>
      <c r="S56" s="223">
        <f t="shared" si="16"/>
        <v>0.90131470833462024</v>
      </c>
      <c r="T56" s="223" cm="1">
        <f t="array" ref="T56">IF($AC$4="EC",(1+(6*(I56+J56-K56))/(MIN(G56:H56)*(1+(MAX(G56:H56^1.5/MIN(G56:H56)^1.5))))),(1+(6*(I56+J56-IF(OR(N56="i",N56="b"),0,K56)))/(MIN(G56:H56)*(1+(MAX(G56:H56^1.5/MIN(G56:H56)^1.5))))))</f>
        <v>1.0531382339736661</v>
      </c>
      <c r="U56" s="223">
        <f t="shared" si="17"/>
        <v>0</v>
      </c>
      <c r="V56" s="223">
        <f t="shared" si="18"/>
        <v>1.0531382339736661</v>
      </c>
    </row>
    <row r="58" spans="2:37">
      <c r="C58" s="35" t="s">
        <v>50</v>
      </c>
      <c r="M58" s="271" t="s">
        <v>60</v>
      </c>
      <c r="N58" s="267"/>
      <c r="O58" s="267"/>
      <c r="P58" s="267"/>
      <c r="Q58" s="267"/>
      <c r="R58" s="267"/>
      <c r="S58" s="267"/>
      <c r="T58" s="319"/>
      <c r="X58" s="109"/>
      <c r="Y58" s="109"/>
    </row>
    <row r="59" spans="2:37" ht="21" customHeight="1">
      <c r="B59" s="11"/>
      <c r="C59" s="312" t="s">
        <v>19</v>
      </c>
      <c r="D59" s="317" t="s">
        <v>282</v>
      </c>
      <c r="E59" s="30" t="s">
        <v>285</v>
      </c>
      <c r="F59" s="30" t="s">
        <v>285</v>
      </c>
      <c r="G59" s="313" t="s">
        <v>24</v>
      </c>
      <c r="H59" s="316"/>
      <c r="I59" s="313" t="s">
        <v>271</v>
      </c>
      <c r="J59" s="316"/>
      <c r="K59" s="312" t="s">
        <v>27</v>
      </c>
      <c r="L59" s="312"/>
      <c r="M59" s="312" t="s">
        <v>61</v>
      </c>
      <c r="N59" s="312"/>
      <c r="O59" s="313" t="s">
        <v>218</v>
      </c>
      <c r="P59" s="314"/>
      <c r="Q59" s="312" t="s">
        <v>62</v>
      </c>
      <c r="R59" s="312"/>
      <c r="S59" s="312" t="s">
        <v>63</v>
      </c>
      <c r="T59" s="312"/>
      <c r="X59" s="312" t="s">
        <v>31</v>
      </c>
      <c r="Y59" s="312"/>
      <c r="Z59" s="313" t="s">
        <v>48</v>
      </c>
      <c r="AA59" s="314"/>
      <c r="AB59" s="30" t="s">
        <v>21</v>
      </c>
      <c r="AC59" s="5" t="s">
        <v>22</v>
      </c>
      <c r="AD59" s="310" t="str">
        <f>IF(OR(Control!$F$39="EC",Control!$F$51="N"),"t","t_eff")</f>
        <v>t</v>
      </c>
      <c r="AE59" s="311"/>
      <c r="AF59" s="312" t="s">
        <v>35</v>
      </c>
      <c r="AG59" s="312"/>
      <c r="AH59" s="312"/>
      <c r="AI59" s="312"/>
      <c r="AJ59" s="310" t="s">
        <v>448</v>
      </c>
      <c r="AK59" s="311"/>
    </row>
    <row r="60" spans="2:37" ht="20.399999999999999">
      <c r="B60" s="11"/>
      <c r="C60" s="312">
        <v>0</v>
      </c>
      <c r="D60" s="318">
        <v>0</v>
      </c>
      <c r="E60" s="30" t="str">
        <f>IF(Control!$F$39="EC","m=4, N=2E6","m=5, N=1E7")</f>
        <v>m=4, N=2E6</v>
      </c>
      <c r="F60" s="30" t="str">
        <f>IF(Control!$F$39="EC","m=3, N=2E6","m=3, N=1E7")</f>
        <v>m=3, N=2E6</v>
      </c>
      <c r="G60" s="30" t="s">
        <v>25</v>
      </c>
      <c r="H60" s="30" t="s">
        <v>26</v>
      </c>
      <c r="I60" s="5" t="s">
        <v>25</v>
      </c>
      <c r="J60" s="5" t="s">
        <v>26</v>
      </c>
      <c r="K60" s="30" t="s">
        <v>25</v>
      </c>
      <c r="L60" s="30" t="s">
        <v>26</v>
      </c>
      <c r="M60" s="30" t="s">
        <v>25</v>
      </c>
      <c r="N60" s="30" t="s">
        <v>64</v>
      </c>
      <c r="O60" s="30" t="s">
        <v>25</v>
      </c>
      <c r="P60" s="30" t="s">
        <v>64</v>
      </c>
      <c r="Q60" s="30" t="s">
        <v>25</v>
      </c>
      <c r="R60" s="30" t="s">
        <v>64</v>
      </c>
      <c r="S60" s="30" t="s">
        <v>25</v>
      </c>
      <c r="T60" s="30" t="s">
        <v>64</v>
      </c>
      <c r="X60" s="30" t="s">
        <v>33</v>
      </c>
      <c r="Y60" s="30" t="s">
        <v>34</v>
      </c>
      <c r="Z60" s="30" t="s">
        <v>33</v>
      </c>
      <c r="AA60" s="30" t="s">
        <v>34</v>
      </c>
      <c r="AB60" s="313" t="s">
        <v>30</v>
      </c>
      <c r="AC60" s="314"/>
      <c r="AD60" s="30" t="s">
        <v>45</v>
      </c>
      <c r="AE60" s="30" t="s">
        <v>34</v>
      </c>
      <c r="AF60" s="30" t="s">
        <v>45</v>
      </c>
      <c r="AG60" s="30" t="s">
        <v>34</v>
      </c>
      <c r="AH60" s="30" t="s">
        <v>46</v>
      </c>
      <c r="AI60" s="30" t="s">
        <v>47</v>
      </c>
      <c r="AJ60" s="30" t="s">
        <v>45</v>
      </c>
      <c r="AK60" s="30" t="s">
        <v>34</v>
      </c>
    </row>
    <row r="61" spans="2:37">
      <c r="B61" s="11"/>
      <c r="C61" s="30" t="s">
        <v>16</v>
      </c>
      <c r="D61" s="30" t="str">
        <f>"[m"&amp;Control!$F$7&amp;"]"</f>
        <v>[mLAT]</v>
      </c>
      <c r="E61" s="313" t="s">
        <v>20</v>
      </c>
      <c r="F61" s="314"/>
      <c r="G61" s="313" t="s">
        <v>77</v>
      </c>
      <c r="H61" s="316"/>
      <c r="I61" s="316"/>
      <c r="J61" s="314"/>
      <c r="K61" s="313" t="s">
        <v>77</v>
      </c>
      <c r="L61" s="314"/>
      <c r="M61" s="320" t="s">
        <v>16</v>
      </c>
      <c r="N61" s="321"/>
      <c r="O61" s="321"/>
      <c r="P61" s="321"/>
      <c r="Q61" s="321"/>
      <c r="R61" s="321"/>
      <c r="S61" s="321"/>
      <c r="T61" s="322"/>
      <c r="X61" s="320" t="s">
        <v>32</v>
      </c>
      <c r="Y61" s="322"/>
      <c r="Z61" s="30" t="s">
        <v>10</v>
      </c>
      <c r="AA61" s="30" t="s">
        <v>10</v>
      </c>
      <c r="AB61" s="313" t="s">
        <v>23</v>
      </c>
      <c r="AC61" s="314"/>
      <c r="AD61" s="87" t="s">
        <v>10</v>
      </c>
      <c r="AE61" s="87" t="s">
        <v>10</v>
      </c>
      <c r="AF61" s="1" t="s">
        <v>16</v>
      </c>
      <c r="AG61" s="1" t="s">
        <v>16</v>
      </c>
      <c r="AH61" s="1" t="s">
        <v>16</v>
      </c>
      <c r="AI61" s="1" t="s">
        <v>16</v>
      </c>
      <c r="AJ61" s="1" t="s">
        <v>16</v>
      </c>
      <c r="AK61" s="1" t="s">
        <v>16</v>
      </c>
    </row>
    <row r="62" spans="2:37" ht="14.85" customHeight="1">
      <c r="C62" s="12" t="str">
        <f>C35</f>
        <v>CW1</v>
      </c>
      <c r="D62" s="2">
        <f>E6</f>
        <v>1.6</v>
      </c>
      <c r="E62" s="3">
        <f>IF(Geometry_loads!H19="-","-",Geometry_loads!H19*Control!$F$54)</f>
        <v>206447.85273540171</v>
      </c>
      <c r="F62" s="3">
        <f>IF(Geometry_loads!G19="-","-",Geometry_loads!G19*Control!$F$55)</f>
        <v>246282.70567200461</v>
      </c>
      <c r="G62" s="3">
        <f>IF(X62=0,E62/AB62*E35/2/1000,(E62*($AF$24/$Z$5)^(1/$AE$4)/AB62*E35/2/1000))</f>
        <v>39.766488073163863</v>
      </c>
      <c r="H62" s="3">
        <f>IF(Y62=0,E62/AB62*(E35-2*G35/1000)/2/1000,(E62*($AF$24/$Z$5)^(1/$AE$4)/AB62*(E35-2*G35/1000)/2/1000))</f>
        <v>38.621213216656741</v>
      </c>
      <c r="I62" s="3">
        <f>IF(X62=0,"-",(F62*($AF$23/$Z$5)^(1/3)/AC62*(E35-2*Z62/1000)/2/1000))</f>
        <v>40.729245986873401</v>
      </c>
      <c r="J62" s="3">
        <f>IF(Y62=0,"-",(F62*($AF$23/$Z$5)^(1/3))/AC62*(E35-2*(G35-AA62)/1000)/2/1000)</f>
        <v>39.585019530863107</v>
      </c>
      <c r="K62" s="3">
        <f>IF(OR(N35="b",N35="o"),$AC$6,$AC$7)</f>
        <v>112</v>
      </c>
      <c r="L62" s="3">
        <f>IF(OR(N35="b",N35="i"),$AC$6,$AC$7)</f>
        <v>112</v>
      </c>
      <c r="M62" s="3">
        <f>IF(D62&gt;$Z$9,$AD$13,$AD$14)*((((IF(D62&gt;$Z$9,$AD$11,$AD$12)/AF62*L35*G62*IF(OR(N35="b",N35="o"),$AE$19,1))/(AJ62*K62))^$AE$4)+(((IF(D62&gt;$Z$9,$AD$11,$AD$12)/AH62*L35*IF(X62=0,0,I62)*IF(OR(N35="b",N35="o"),$AE$19,1))/(0.7*IF(K62=65.5,58.48,K62)))^3))</f>
        <v>0.37276954268478335</v>
      </c>
      <c r="N62" s="3">
        <f>IF(D62&gt;$Z$9,$AD$13,$AD$14)*((((IF(D62&gt;$Z$9,$AD$11,$AD$12)/AG62*M35*H62*IF(OR(N35="b",N35="i"),$AE$19,1))/(AK62*L62))^$AE$4)+(((IF(D62&gt;$Z$9,$AD$11,$AD$12)/AI62*M35*IF(Y62=0,0,J62)*IF(OR(N35="b",N35="i"),$AE$19,1))/(0.7*IF(L62=65.5,58.48,L62)))^3))</f>
        <v>0.70585624382985335</v>
      </c>
      <c r="O62" s="3">
        <f>IF(Control!$F$47="N",Control!$F$48,'FLS MP (driving)'!M35)</f>
        <v>0.1</v>
      </c>
      <c r="P62" s="3">
        <f>IF(Control!$F$47="N",Control!$F$48,'FLS MP (driving)'!N35)</f>
        <v>0.1</v>
      </c>
      <c r="Q62" s="3">
        <f>Control!$F$46</f>
        <v>0</v>
      </c>
      <c r="R62" s="3">
        <f>Control!$F$46</f>
        <v>0</v>
      </c>
      <c r="S62" s="3">
        <f>M62+O62+Q62</f>
        <v>0.47276954268478333</v>
      </c>
      <c r="T62" s="3">
        <f>N62+P62+R62</f>
        <v>0.80585624382985332</v>
      </c>
      <c r="X62" s="37" t="str">
        <f>IF(OR(D62&gt;=$Z$13,D62&lt;=$Z$12,Geometry!P29="n"),0,"X")</f>
        <v>X</v>
      </c>
      <c r="Y62" s="37" t="str">
        <f>IF(OR(D62&gt;=$Z$15,D62&lt;=$Z$12,Geometry!Q29="n"),0,"X")</f>
        <v>X</v>
      </c>
      <c r="Z62" s="37">
        <f>0.5*IF(OR(D62&gt;=$Z$13,D62&lt;=$Z$12),0,$AF$23*$AF$25)</f>
        <v>1.7999999999999998</v>
      </c>
      <c r="AA62" s="37">
        <f>0.5*IF(OR(D62&gt;=$Z$15,D62&lt;=$Z$12),0,$AF$23*$AF$26)</f>
        <v>0.89999999999999991</v>
      </c>
      <c r="AB62" s="3">
        <f>(PI()/64*(E35^4-(E35-2*G35/1000)^4))</f>
        <v>17.134136087205629</v>
      </c>
      <c r="AC62" s="3">
        <f>(PI()/64*((E35-2*Z62/1000)^4-((E35-2*Z62/1000)-2*(G35-Z62-AA62)/1000)^4))</f>
        <v>16.699506330179677</v>
      </c>
      <c r="AD62" s="3">
        <f>IF(OR(Control!$F$39="EC",Control!$F$51="N"),G35,MIN(G35,14+0.66*(INDEX('Eff. thickness (DNVGL-RP-C203)'!$E$31:$E$1048576,MATCH(G35,'Eff. thickness (DNVGL-RP-C203)'!$C$31:$C$1048576,0)))))</f>
        <v>108</v>
      </c>
      <c r="AE62" s="3">
        <f>IF(OR(Control!$F$39="EC",Control!$F$51="N"),G35,MIN(G35,14+0.66*(INDEX('Eff. thickness (DNVGL-RP-C203)'!$D$31:$D$1048576,MATCH(G35,'Eff. thickness (DNVGL-RP-C203)'!$C$31:$C$1048576,0))+IF(I35&lt;0.001,0,'Eff. thickness (DNVGL-RP-C203)'!$L$29))))</f>
        <v>108</v>
      </c>
      <c r="AF62" s="3">
        <f>(25/AD62)^(IF(OR(N35="b",N35="o"),0.1,0.2))</f>
        <v>0.86387643087620181</v>
      </c>
      <c r="AG62" s="3">
        <f>(25/AE62)^(IF(OR(N35="b",N35="i"),0.1,0.2))</f>
        <v>0.86387643087620181</v>
      </c>
      <c r="AH62" s="3">
        <f>IF(X62=0,1,(25/AD62)^(IF(OR(N35="b",N35="o"),0.15,0.2)))</f>
        <v>0.80292954361282265</v>
      </c>
      <c r="AI62" s="3">
        <f>IF(Y62=0,1,(25/AE62)^(IF(OR(N35="b",N35="i"),0.15,0.2)))</f>
        <v>0.80292954361282265</v>
      </c>
      <c r="AJ62" s="3">
        <f>IF(Control!$F$39&lt;&gt;"DNV",1,IF(D62&gt;Control!$F$16,IF(ISBLANK(Control!$F$56),1,Control!$F$56),IF(D62&gt;Control!$F$22,IF(ISBLANK(Control!$F$57),1,Control!$F$57),1)))</f>
        <v>1</v>
      </c>
      <c r="AK62" s="3">
        <f>IF(Control!$F$39&lt;&gt;"DNV",1,IF(D62&gt;Control!$F$18,IF(ISBLANK(Control!$F$56),1,Control!$F$56),IF(D62&gt;Control!$F$22,IF(ISBLANK(Control!$F$57),1,Control!$F$57),1)))</f>
        <v>1</v>
      </c>
    </row>
    <row r="63" spans="2:37" ht="14.85" customHeight="1">
      <c r="C63" s="12" t="str">
        <f t="shared" ref="C63:C83" si="19">C36</f>
        <v>CW2</v>
      </c>
      <c r="D63" s="2">
        <f t="shared" ref="D63:D83" si="20">E7</f>
        <v>-2.2999999999999998</v>
      </c>
      <c r="E63" s="3">
        <f>IF(Geometry_loads!H20="-","-",Geometry_loads!H20*Control!$F$54)</f>
        <v>212463.64088225467</v>
      </c>
      <c r="F63" s="3">
        <f>IF(Geometry_loads!G20="-","-",Geometry_loads!G20*Control!$F$55)</f>
        <v>253469.73457588677</v>
      </c>
      <c r="G63" s="3">
        <f t="shared" ref="G63:G83" si="21">IF(X63=0,E63/AB63*E36/2/1000,(E63*($AF$24/$Z$5)^(1/$AE$4)/AB63*E36/2/1000))</f>
        <v>50.058927515623736</v>
      </c>
      <c r="H63" s="3">
        <f t="shared" ref="H63:H83" si="22">IF(Y63=0,E63/AB63*(E36-2*G36/1000)/2/1000,(E63*($AF$24/$Z$5)^(1/$AE$4)/AB63*(E36-2*G36/1000)/2/1000))</f>
        <v>48.724022781873764</v>
      </c>
      <c r="I63" s="3" t="str">
        <f t="shared" ref="I63:I83" si="23">IF(X63=0,"-",(F63*($AF$23/$Z$5)^(1/3)/AC63*(E36-2*Z63/1000)/2/1000))</f>
        <v>-</v>
      </c>
      <c r="J63" s="3" t="str">
        <f t="shared" ref="J63:J83" si="24">IF(Y63=0,"-",(F63*($AF$23/$Z$5)^(1/3))/AC63*(E36-2*(G36-AA63)/1000)/2/1000)</f>
        <v>-</v>
      </c>
      <c r="K63" s="3">
        <f t="shared" ref="K63:K83" si="25">IF(OR(N36="b",N36="o"),$AC$6,$AC$7)</f>
        <v>90</v>
      </c>
      <c r="L63" s="3">
        <f t="shared" ref="L63:L83" si="26">IF(OR(N36="b",N36="i"),$AC$6,$AC$7)</f>
        <v>90</v>
      </c>
      <c r="M63" s="3">
        <f t="shared" ref="M63:M83" si="27">IF(D63&gt;$Z$9,$AD$13,$AD$14)*((((IF(D63&gt;$Z$9,$AD$11,$AD$12)/AF63*L36*G63*IF(OR(N36="b",N36="o"),$AE$19,1))/(AJ63*K63))^$AE$4)+(((IF(D63&gt;$Z$9,$AD$11,$AD$12)/AH63*L36*IF(X63=0,0,I63)*IF(OR(N36="b",N36="o"),$AE$19,1))/(0.7*IF(K63=65.5,58.48,K63)))^3))</f>
        <v>0.62709177971825736</v>
      </c>
      <c r="N63" s="3">
        <f t="shared" ref="N63:N83" si="28">IF(D63&gt;$Z$9,$AD$13,$AD$14)*((((IF(D63&gt;$Z$9,$AD$11,$AD$12)/AG63*M36*H63*IF(OR(N36="b",N36="i"),$AE$19,1))/(AK63*L63))^$AE$4)+(((IF(D63&gt;$Z$9,$AD$11,$AD$12)/AI63*M36*IF(Y63=0,0,J63)*IF(OR(N36="b",N36="i"),$AE$19,1))/(0.7*IF(L63=65.5,58.48,L63)))^3))</f>
        <v>0.56283033250948644</v>
      </c>
      <c r="O63" s="3">
        <f>IF(Control!$F$47="N",Control!$F$48,'FLS MP (driving)'!M36)</f>
        <v>0.1</v>
      </c>
      <c r="P63" s="3">
        <f>IF(Control!$F$47="N",Control!$F$48,'FLS MP (driving)'!N36)</f>
        <v>0.1</v>
      </c>
      <c r="Q63" s="3">
        <f>Control!$F$46</f>
        <v>0</v>
      </c>
      <c r="R63" s="3">
        <f>Control!$F$46</f>
        <v>0</v>
      </c>
      <c r="S63" s="3">
        <f t="shared" ref="S63:S83" si="29">M63+O63+Q63</f>
        <v>0.72709177971825734</v>
      </c>
      <c r="T63" s="3">
        <f t="shared" ref="T63:T83" si="30">N63+P63+R63</f>
        <v>0.66283033250948642</v>
      </c>
      <c r="X63" s="37">
        <f>IF(OR(D63&gt;=$Z$13,D63&lt;=$Z$12,Geometry!P30="n"),0,"X")</f>
        <v>0</v>
      </c>
      <c r="Y63" s="37">
        <f>IF(OR(D63&gt;=$Z$15,D63&lt;=$Z$12,Geometry!Q30="n"),0,"X")</f>
        <v>0</v>
      </c>
      <c r="Z63" s="37">
        <f t="shared" ref="Z63:Z83" si="31">0.5*IF(OR(D63&gt;=$Z$13,D63&lt;=$Z$12),0,$AF$23*$AF$25)</f>
        <v>0</v>
      </c>
      <c r="AA63" s="37">
        <f t="shared" ref="AA63:AA83" si="32">0.5*IF(OR(D63&gt;=$Z$15,D63&lt;=$Z$12),0,$AF$23*$AF$26)</f>
        <v>0</v>
      </c>
      <c r="AB63" s="3">
        <f t="shared" ref="AB63:AB83" si="33">(PI()/64*(E36^4-(E36-2*G36/1000)^4))</f>
        <v>15.916015241432959</v>
      </c>
      <c r="AC63" s="3">
        <f t="shared" ref="AC63:AC83" si="34">(PI()/64*((E36-2*Z63/1000)^4-((E36-2*Z63/1000)-2*(G36-Z63-AA63)/1000)^4))</f>
        <v>15.916015241432959</v>
      </c>
      <c r="AD63" s="3">
        <f>IF(OR(Control!$F$39="EC",Control!$F$51="N"),G36,MIN(G36,14+0.66*(INDEX('Eff. thickness (DNVGL-RP-C203)'!$E$31:$E$1048576,MATCH(G36,'Eff. thickness (DNVGL-RP-C203)'!$C$31:$C$1048576,0)))))</f>
        <v>100</v>
      </c>
      <c r="AE63" s="3">
        <f>IF(OR(Control!$F$39="EC",Control!$F$51="N"),G36,MIN(G36,14+0.66*(INDEX('Eff. thickness (DNVGL-RP-C203)'!$D$31:$D$1048576,MATCH(G36,'Eff. thickness (DNVGL-RP-C203)'!$C$31:$C$1048576,0))+IF(I36&lt;0.001,0,'Eff. thickness (DNVGL-RP-C203)'!$L$29))))</f>
        <v>100</v>
      </c>
      <c r="AF63" s="3">
        <f t="shared" ref="AF63:AF83" si="35">(25/AD63)^(IF(OR(N36="b",N36="o"),0.1,0.2))</f>
        <v>0.75785828325519911</v>
      </c>
      <c r="AG63" s="3">
        <f t="shared" ref="AG63:AG83" si="36">(25/AE63)^(IF(OR(N36="b",N36="i"),0.1,0.2))</f>
        <v>0.75785828325519911</v>
      </c>
      <c r="AH63" s="3">
        <f t="shared" ref="AH63:AH83" si="37">IF(X63=0,1,(25/AD63)^(IF(OR(N36="b",N36="o"),0.15,0.2)))</f>
        <v>1</v>
      </c>
      <c r="AI63" s="3">
        <f t="shared" ref="AI63:AI83" si="38">IF(Y63=0,1,(25/AE63)^(IF(OR(N36="b",N36="i"),0.15,0.2)))</f>
        <v>1</v>
      </c>
      <c r="AJ63" s="3">
        <f>IF(Control!$F$39&lt;&gt;"DNV",1,IF(D63&gt;Control!$F$16,IF(ISBLANK(Control!$F$56),1,Control!$F$56),IF(D63&gt;Control!$F$22,IF(ISBLANK(Control!$F$57),1,Control!$F$57),1)))</f>
        <v>1</v>
      </c>
      <c r="AK63" s="3">
        <f>IF(Control!$F$39&lt;&gt;"DNV",1,IF(D63&gt;Control!$F$18,IF(ISBLANK(Control!$F$56),1,Control!$F$56),IF(D63&gt;Control!$F$22,IF(ISBLANK(Control!$F$57),1,Control!$F$57),1)))</f>
        <v>1</v>
      </c>
    </row>
    <row r="64" spans="2:37" ht="14.85" customHeight="1">
      <c r="C64" s="12" t="str">
        <f t="shared" si="19"/>
        <v>CW3</v>
      </c>
      <c r="D64" s="2">
        <f t="shared" si="20"/>
        <v>-6.2</v>
      </c>
      <c r="E64" s="3">
        <f>IF(Geometry_loads!H21="-","-",Geometry_loads!H21*Control!$F$54)</f>
        <v>217941.103467868</v>
      </c>
      <c r="F64" s="3">
        <f>IF(Geometry_loads!G21="-","-",Geometry_loads!G21*Control!$F$55)</f>
        <v>259948.83343784476</v>
      </c>
      <c r="G64" s="3">
        <f t="shared" si="21"/>
        <v>51.349481990752558</v>
      </c>
      <c r="H64" s="3">
        <f t="shared" si="22"/>
        <v>49.980162470999161</v>
      </c>
      <c r="I64" s="3" t="str">
        <f t="shared" si="23"/>
        <v>-</v>
      </c>
      <c r="J64" s="3" t="str">
        <f t="shared" si="24"/>
        <v>-</v>
      </c>
      <c r="K64" s="3">
        <f t="shared" si="25"/>
        <v>112</v>
      </c>
      <c r="L64" s="3">
        <f t="shared" si="26"/>
        <v>90</v>
      </c>
      <c r="M64" s="3">
        <f t="shared" si="27"/>
        <v>0.55193318771435107</v>
      </c>
      <c r="N64" s="3">
        <f t="shared" si="28"/>
        <v>0.70389626630392399</v>
      </c>
      <c r="O64" s="3">
        <f>IF(Control!$F$47="N",Control!$F$48,'FLS MP (driving)'!M37)</f>
        <v>0.1</v>
      </c>
      <c r="P64" s="3">
        <f>IF(Control!$F$47="N",Control!$F$48,'FLS MP (driving)'!N37)</f>
        <v>0.1</v>
      </c>
      <c r="Q64" s="3">
        <f>Control!$F$46</f>
        <v>0</v>
      </c>
      <c r="R64" s="3">
        <f>Control!$F$46</f>
        <v>0</v>
      </c>
      <c r="S64" s="3">
        <f t="shared" si="29"/>
        <v>0.65193318771435105</v>
      </c>
      <c r="T64" s="3">
        <f t="shared" si="30"/>
        <v>0.80389626630392397</v>
      </c>
      <c r="X64" s="37">
        <f>IF(OR(D64&gt;=$Z$13,D64&lt;=$Z$12,Geometry!P31="n"),0,"X")</f>
        <v>0</v>
      </c>
      <c r="Y64" s="37">
        <f>IF(OR(D64&gt;=$Z$15,D64&lt;=$Z$12,Geometry!Q31="n"),0,"X")</f>
        <v>0</v>
      </c>
      <c r="Z64" s="37">
        <f t="shared" si="31"/>
        <v>0</v>
      </c>
      <c r="AA64" s="37">
        <f t="shared" si="32"/>
        <v>0</v>
      </c>
      <c r="AB64" s="3">
        <f t="shared" si="33"/>
        <v>15.916015241432959</v>
      </c>
      <c r="AC64" s="3">
        <f t="shared" si="34"/>
        <v>15.916015241432959</v>
      </c>
      <c r="AD64" s="3">
        <f>IF(OR(Control!$F$39="EC",Control!$F$51="N"),G37,MIN(G37,14+0.66*(INDEX('Eff. thickness (DNVGL-RP-C203)'!$E$31:$E$1048576,MATCH(G37,'Eff. thickness (DNVGL-RP-C203)'!$C$31:$C$1048576,0)))))</f>
        <v>100</v>
      </c>
      <c r="AE64" s="3">
        <f>IF(OR(Control!$F$39="EC",Control!$F$51="N"),G37,MIN(G37,14+0.66*(INDEX('Eff. thickness (DNVGL-RP-C203)'!$D$31:$D$1048576,MATCH(G37,'Eff. thickness (DNVGL-RP-C203)'!$C$31:$C$1048576,0))+IF(I37&lt;0.001,0,'Eff. thickness (DNVGL-RP-C203)'!$L$29))))</f>
        <v>100</v>
      </c>
      <c r="AF64" s="3">
        <f t="shared" si="35"/>
        <v>0.87055056329612412</v>
      </c>
      <c r="AG64" s="3">
        <f t="shared" si="36"/>
        <v>0.75785828325519911</v>
      </c>
      <c r="AH64" s="3">
        <f t="shared" si="37"/>
        <v>1</v>
      </c>
      <c r="AI64" s="3">
        <f t="shared" si="38"/>
        <v>1</v>
      </c>
      <c r="AJ64" s="3">
        <f>IF(Control!$F$39&lt;&gt;"DNV",1,IF(D64&gt;Control!$F$16,IF(ISBLANK(Control!$F$56),1,Control!$F$56),IF(D64&gt;Control!$F$22,IF(ISBLANK(Control!$F$57),1,Control!$F$57),1)))</f>
        <v>1</v>
      </c>
      <c r="AK64" s="3">
        <f>IF(Control!$F$39&lt;&gt;"DNV",1,IF(D64&gt;Control!$F$18,IF(ISBLANK(Control!$F$56),1,Control!$F$56),IF(D64&gt;Control!$F$22,IF(ISBLANK(Control!$F$57),1,Control!$F$57),1)))</f>
        <v>1</v>
      </c>
    </row>
    <row r="65" spans="3:37" ht="14.85" customHeight="1">
      <c r="C65" s="12" t="str">
        <f t="shared" si="19"/>
        <v>CW4</v>
      </c>
      <c r="D65" s="2">
        <f t="shared" si="20"/>
        <v>-10.1</v>
      </c>
      <c r="E65" s="3">
        <f>IF(Geometry_loads!H22="-","-",Geometry_loads!H22*Control!$F$54)</f>
        <v>223997.26603181395</v>
      </c>
      <c r="F65" s="3">
        <f>IF(Geometry_loads!G22="-","-",Geometry_loads!G22*Control!$F$55)</f>
        <v>266920.40537244565</v>
      </c>
      <c r="G65" s="3">
        <f t="shared" si="21"/>
        <v>48.361044501991458</v>
      </c>
      <c r="H65" s="3">
        <f t="shared" si="22"/>
        <v>47.125500526875747</v>
      </c>
      <c r="I65" s="3" t="str">
        <f t="shared" si="23"/>
        <v>-</v>
      </c>
      <c r="J65" s="3" t="str">
        <f t="shared" si="24"/>
        <v>-</v>
      </c>
      <c r="K65" s="3">
        <f t="shared" si="25"/>
        <v>90</v>
      </c>
      <c r="L65" s="3">
        <f t="shared" si="26"/>
        <v>90</v>
      </c>
      <c r="M65" s="3">
        <f t="shared" si="27"/>
        <v>0.37891911389904509</v>
      </c>
      <c r="N65" s="3">
        <f t="shared" si="28"/>
        <v>0.69544944738607373</v>
      </c>
      <c r="O65" s="3">
        <f>IF(Control!$F$47="N",Control!$F$48,'FLS MP (driving)'!M38)</f>
        <v>0.1</v>
      </c>
      <c r="P65" s="3">
        <f>IF(Control!$F$47="N",Control!$F$48,'FLS MP (driving)'!N38)</f>
        <v>0.1</v>
      </c>
      <c r="Q65" s="3">
        <f>Control!$F$46</f>
        <v>0</v>
      </c>
      <c r="R65" s="3">
        <f>Control!$F$46</f>
        <v>0</v>
      </c>
      <c r="S65" s="3">
        <f t="shared" si="29"/>
        <v>0.47891911389904507</v>
      </c>
      <c r="T65" s="3">
        <f t="shared" si="30"/>
        <v>0.7954494473860737</v>
      </c>
      <c r="X65" s="37">
        <f>IF(OR(D65&gt;=$Z$13,D65&lt;=$Z$12,Geometry!P32="n"),0,"X")</f>
        <v>0</v>
      </c>
      <c r="Y65" s="37">
        <f>IF(OR(D65&gt;=$Z$15,D65&lt;=$Z$12,Geometry!Q32="n"),0,"X")</f>
        <v>0</v>
      </c>
      <c r="Z65" s="37">
        <f t="shared" si="31"/>
        <v>0</v>
      </c>
      <c r="AA65" s="37">
        <f t="shared" si="32"/>
        <v>0</v>
      </c>
      <c r="AB65" s="3">
        <f t="shared" si="33"/>
        <v>18.12944504956506</v>
      </c>
      <c r="AC65" s="3">
        <f t="shared" si="34"/>
        <v>18.12944504956506</v>
      </c>
      <c r="AD65" s="3">
        <f>IF(OR(Control!$F$39="EC",Control!$F$51="N"),G38,MIN(G38,14+0.66*(INDEX('Eff. thickness (DNVGL-RP-C203)'!$E$31:$E$1048576,MATCH(G38,'Eff. thickness (DNVGL-RP-C203)'!$C$31:$C$1048576,0)))))</f>
        <v>100</v>
      </c>
      <c r="AE65" s="3">
        <f>IF(OR(Control!$F$39="EC",Control!$F$51="N"),G38,MIN(G38,14+0.66*(INDEX('Eff. thickness (DNVGL-RP-C203)'!$D$31:$D$1048576,MATCH(G38,'Eff. thickness (DNVGL-RP-C203)'!$C$31:$C$1048576,0))+IF(I38&lt;0.001,0,'Eff. thickness (DNVGL-RP-C203)'!$L$29))))</f>
        <v>100</v>
      </c>
      <c r="AF65" s="3">
        <f t="shared" si="35"/>
        <v>0.75785828325519911</v>
      </c>
      <c r="AG65" s="3">
        <f t="shared" si="36"/>
        <v>0.75785828325519911</v>
      </c>
      <c r="AH65" s="3">
        <f t="shared" si="37"/>
        <v>1</v>
      </c>
      <c r="AI65" s="3">
        <f t="shared" si="38"/>
        <v>1</v>
      </c>
      <c r="AJ65" s="3">
        <f>IF(Control!$F$39&lt;&gt;"DNV",1,IF(D65&gt;Control!$F$16,IF(ISBLANK(Control!$F$56),1,Control!$F$56),IF(D65&gt;Control!$F$22,IF(ISBLANK(Control!$F$57),1,Control!$F$57),1)))</f>
        <v>1</v>
      </c>
      <c r="AK65" s="3">
        <f>IF(Control!$F$39&lt;&gt;"DNV",1,IF(D65&gt;Control!$F$18,IF(ISBLANK(Control!$F$56),1,Control!$F$56),IF(D65&gt;Control!$F$22,IF(ISBLANK(Control!$F$57),1,Control!$F$57),1)))</f>
        <v>1</v>
      </c>
    </row>
    <row r="66" spans="3:37" ht="14.85" customHeight="1">
      <c r="C66" s="12" t="str">
        <f t="shared" si="19"/>
        <v>CW5</v>
      </c>
      <c r="D66" s="2">
        <f t="shared" si="20"/>
        <v>-14</v>
      </c>
      <c r="E66" s="3">
        <f>IF(Geometry_loads!H23="-","-",Geometry_loads!H23*Control!$F$54)</f>
        <v>230147.63556897684</v>
      </c>
      <c r="F66" s="3">
        <f>IF(Geometry_loads!G23="-","-",Geometry_loads!G23*Control!$F$55)</f>
        <v>274076.65470928769</v>
      </c>
      <c r="G66" s="3">
        <f t="shared" si="21"/>
        <v>43.207576268092801</v>
      </c>
      <c r="H66" s="3">
        <f t="shared" si="22"/>
        <v>42.084558568458675</v>
      </c>
      <c r="I66" s="3" t="str">
        <f t="shared" si="23"/>
        <v>-</v>
      </c>
      <c r="J66" s="3" t="str">
        <f t="shared" si="24"/>
        <v>-</v>
      </c>
      <c r="K66" s="3">
        <f t="shared" si="25"/>
        <v>90</v>
      </c>
      <c r="L66" s="3">
        <f t="shared" si="26"/>
        <v>90</v>
      </c>
      <c r="M66" s="3">
        <f t="shared" si="27"/>
        <v>0.22408182188003922</v>
      </c>
      <c r="N66" s="3">
        <f t="shared" si="28"/>
        <v>0.52200492437477652</v>
      </c>
      <c r="O66" s="3">
        <f>IF(Control!$F$47="N",Control!$F$48,'FLS MP (driving)'!M39)</f>
        <v>0.1</v>
      </c>
      <c r="P66" s="3">
        <f>IF(Control!$F$47="N",Control!$F$48,'FLS MP (driving)'!N39)</f>
        <v>0.1</v>
      </c>
      <c r="Q66" s="3">
        <f>Control!$F$46</f>
        <v>0</v>
      </c>
      <c r="R66" s="3">
        <f>Control!$F$46</f>
        <v>0</v>
      </c>
      <c r="S66" s="3">
        <f t="shared" si="29"/>
        <v>0.3240818218800392</v>
      </c>
      <c r="T66" s="3">
        <f t="shared" si="30"/>
        <v>0.6220049243747765</v>
      </c>
      <c r="X66" s="37">
        <f>IF(OR(D66&gt;=$Z$13,D66&lt;=$Z$12,Geometry!P33="n"),0,"X")</f>
        <v>0</v>
      </c>
      <c r="Y66" s="37">
        <f>IF(OR(D66&gt;=$Z$15,D66&lt;=$Z$12,Geometry!Q33="n"),0,"X")</f>
        <v>0</v>
      </c>
      <c r="Z66" s="37">
        <f t="shared" si="31"/>
        <v>0</v>
      </c>
      <c r="AA66" s="37">
        <f t="shared" si="32"/>
        <v>0</v>
      </c>
      <c r="AB66" s="3">
        <f t="shared" si="33"/>
        <v>21.723299088037201</v>
      </c>
      <c r="AC66" s="3">
        <f t="shared" si="34"/>
        <v>21.723299088037201</v>
      </c>
      <c r="AD66" s="3">
        <f>IF(OR(Control!$F$39="EC",Control!$F$51="N"),G39,MIN(G39,14+0.66*(INDEX('Eff. thickness (DNVGL-RP-C203)'!$E$31:$E$1048576,MATCH(G39,'Eff. thickness (DNVGL-RP-C203)'!$C$31:$C$1048576,0)))))</f>
        <v>106</v>
      </c>
      <c r="AE66" s="3">
        <f>IF(OR(Control!$F$39="EC",Control!$F$51="N"),G39,MIN(G39,14+0.66*(INDEX('Eff. thickness (DNVGL-RP-C203)'!$D$31:$D$1048576,MATCH(G39,'Eff. thickness (DNVGL-RP-C203)'!$C$31:$C$1048576,0))+IF(I39&lt;0.001,0,'Eff. thickness (DNVGL-RP-C203)'!$L$29))))</f>
        <v>106</v>
      </c>
      <c r="AF66" s="3">
        <f t="shared" si="35"/>
        <v>0.7490776315933545</v>
      </c>
      <c r="AG66" s="3">
        <f t="shared" si="36"/>
        <v>0.7490776315933545</v>
      </c>
      <c r="AH66" s="3">
        <f t="shared" si="37"/>
        <v>1</v>
      </c>
      <c r="AI66" s="3">
        <f t="shared" si="38"/>
        <v>1</v>
      </c>
      <c r="AJ66" s="3">
        <f>IF(Control!$F$39&lt;&gt;"DNV",1,IF(D66&gt;Control!$F$16,IF(ISBLANK(Control!$F$56),1,Control!$F$56),IF(D66&gt;Control!$F$22,IF(ISBLANK(Control!$F$57),1,Control!$F$57),1)))</f>
        <v>1</v>
      </c>
      <c r="AK66" s="3">
        <f>IF(Control!$F$39&lt;&gt;"DNV",1,IF(D66&gt;Control!$F$18,IF(ISBLANK(Control!$F$56),1,Control!$F$56),IF(D66&gt;Control!$F$22,IF(ISBLANK(Control!$F$57),1,Control!$F$57),1)))</f>
        <v>1</v>
      </c>
    </row>
    <row r="67" spans="3:37" ht="14.85" customHeight="1">
      <c r="C67" s="12" t="str">
        <f t="shared" si="19"/>
        <v>CW6</v>
      </c>
      <c r="D67" s="2">
        <f t="shared" si="20"/>
        <v>-17.899999999999999</v>
      </c>
      <c r="E67" s="3">
        <f>IF(Geometry_loads!H24="-","-",Geometry_loads!H24*Control!$F$54)</f>
        <v>237603.44459214588</v>
      </c>
      <c r="F67" s="3">
        <f>IF(Geometry_loads!G24="-","-",Geometry_loads!G24*Control!$F$55)</f>
        <v>282956.55980037979</v>
      </c>
      <c r="G67" s="3">
        <f t="shared" si="21"/>
        <v>44.394608565600564</v>
      </c>
      <c r="H67" s="3">
        <f t="shared" si="22"/>
        <v>43.369087247613379</v>
      </c>
      <c r="I67" s="3" t="str">
        <f t="shared" si="23"/>
        <v>-</v>
      </c>
      <c r="J67" s="3" t="str">
        <f t="shared" si="24"/>
        <v>-</v>
      </c>
      <c r="K67" s="3">
        <f t="shared" si="25"/>
        <v>90</v>
      </c>
      <c r="L67" s="3">
        <f t="shared" si="26"/>
        <v>90</v>
      </c>
      <c r="M67" s="3">
        <f t="shared" si="27"/>
        <v>0.28587088327521115</v>
      </c>
      <c r="N67" s="3">
        <f t="shared" si="28"/>
        <v>0.49076094403669002</v>
      </c>
      <c r="O67" s="3">
        <f>IF(Control!$F$47="N",Control!$F$48,'FLS MP (driving)'!M40)</f>
        <v>0.1</v>
      </c>
      <c r="P67" s="3">
        <f>IF(Control!$F$47="N",Control!$F$48,'FLS MP (driving)'!N40)</f>
        <v>0.1</v>
      </c>
      <c r="Q67" s="3">
        <f>Control!$F$46</f>
        <v>0</v>
      </c>
      <c r="R67" s="3">
        <f>Control!$F$46</f>
        <v>0</v>
      </c>
      <c r="S67" s="3">
        <f t="shared" si="29"/>
        <v>0.38587088327521113</v>
      </c>
      <c r="T67" s="3">
        <f t="shared" si="30"/>
        <v>0.59076094403668999</v>
      </c>
      <c r="X67" s="37">
        <f>IF(OR(D67&gt;=$Z$13,D67&lt;=$Z$12,Geometry!P34="n"),0,"X")</f>
        <v>0</v>
      </c>
      <c r="Y67" s="37">
        <f>IF(OR(D67&gt;=$Z$15,D67&lt;=$Z$12,Geometry!Q34="n"),0,"X")</f>
        <v>0</v>
      </c>
      <c r="Z67" s="37">
        <f t="shared" si="31"/>
        <v>0</v>
      </c>
      <c r="AA67" s="37">
        <f t="shared" si="32"/>
        <v>0</v>
      </c>
      <c r="AB67" s="3">
        <f t="shared" si="33"/>
        <v>22.705659220943812</v>
      </c>
      <c r="AC67" s="3">
        <f t="shared" si="34"/>
        <v>22.705659220943812</v>
      </c>
      <c r="AD67" s="3">
        <f>IF(OR(Control!$F$39="EC",Control!$F$51="N"),G40,MIN(G40,14+0.66*(INDEX('Eff. thickness (DNVGL-RP-C203)'!$E$31:$E$1048576,MATCH(G40,'Eff. thickness (DNVGL-RP-C203)'!$C$31:$C$1048576,0)))))</f>
        <v>98</v>
      </c>
      <c r="AE67" s="3">
        <f>IF(OR(Control!$F$39="EC",Control!$F$51="N"),G40,MIN(G40,14+0.66*(INDEX('Eff. thickness (DNVGL-RP-C203)'!$D$31:$D$1048576,MATCH(G40,'Eff. thickness (DNVGL-RP-C203)'!$C$31:$C$1048576,0))+IF(I40&lt;0.001,0,'Eff. thickness (DNVGL-RP-C203)'!$L$29))))</f>
        <v>98</v>
      </c>
      <c r="AF67" s="3">
        <f t="shared" si="35"/>
        <v>0.76092663580050734</v>
      </c>
      <c r="AG67" s="3">
        <f t="shared" si="36"/>
        <v>0.76092663580050734</v>
      </c>
      <c r="AH67" s="3">
        <f t="shared" si="37"/>
        <v>1</v>
      </c>
      <c r="AI67" s="3">
        <f t="shared" si="38"/>
        <v>1</v>
      </c>
      <c r="AJ67" s="3">
        <f>IF(Control!$F$39&lt;&gt;"DNV",1,IF(D67&gt;Control!$F$16,IF(ISBLANK(Control!$F$56),1,Control!$F$56),IF(D67&gt;Control!$F$22,IF(ISBLANK(Control!$F$57),1,Control!$F$57),1)))</f>
        <v>1</v>
      </c>
      <c r="AK67" s="3">
        <f>IF(Control!$F$39&lt;&gt;"DNV",1,IF(D67&gt;Control!$F$18,IF(ISBLANK(Control!$F$56),1,Control!$F$56),IF(D67&gt;Control!$F$22,IF(ISBLANK(Control!$F$57),1,Control!$F$57),1)))</f>
        <v>1</v>
      </c>
    </row>
    <row r="68" spans="3:37" ht="14.85" customHeight="1">
      <c r="C68" s="12" t="str">
        <f t="shared" si="19"/>
        <v>CW7</v>
      </c>
      <c r="D68" s="2">
        <f t="shared" si="20"/>
        <v>-21.8</v>
      </c>
      <c r="E68" s="3">
        <f>IF(Geometry_loads!H25="-","-",Geometry_loads!H25*Control!$F$54)</f>
        <v>246122.44659876317</v>
      </c>
      <c r="F68" s="3">
        <f>IF(Geometry_loads!G25="-","-",Geometry_loads!G25*Control!$F$55)</f>
        <v>293129.20670715946</v>
      </c>
      <c r="G68" s="3">
        <f t="shared" si="21"/>
        <v>44.78094979542049</v>
      </c>
      <c r="H68" s="3">
        <f t="shared" si="22"/>
        <v>43.835850266089366</v>
      </c>
      <c r="I68" s="3" t="str">
        <f t="shared" si="23"/>
        <v>-</v>
      </c>
      <c r="J68" s="3" t="str">
        <f t="shared" si="24"/>
        <v>-</v>
      </c>
      <c r="K68" s="3">
        <f t="shared" si="25"/>
        <v>90</v>
      </c>
      <c r="L68" s="3">
        <f t="shared" si="26"/>
        <v>90</v>
      </c>
      <c r="M68" s="3">
        <f t="shared" si="27"/>
        <v>0.39324714206983313</v>
      </c>
      <c r="N68" s="3">
        <f t="shared" si="28"/>
        <v>0.36108555218168936</v>
      </c>
      <c r="O68" s="3">
        <f>IF(Control!$F$47="N",Control!$F$48,'FLS MP (driving)'!M41)</f>
        <v>0.1</v>
      </c>
      <c r="P68" s="3">
        <f>IF(Control!$F$47="N",Control!$F$48,'FLS MP (driving)'!N41)</f>
        <v>0.1</v>
      </c>
      <c r="Q68" s="3">
        <f>Control!$F$46</f>
        <v>0</v>
      </c>
      <c r="R68" s="3">
        <f>Control!$F$46</f>
        <v>0</v>
      </c>
      <c r="S68" s="3">
        <f t="shared" si="29"/>
        <v>0.49324714206983311</v>
      </c>
      <c r="T68" s="3">
        <f t="shared" si="30"/>
        <v>0.46108555218168934</v>
      </c>
      <c r="X68" s="37">
        <f>IF(OR(D68&gt;=$Z$13,D68&lt;=$Z$12,Geometry!P35="n"),0,"X")</f>
        <v>0</v>
      </c>
      <c r="Y68" s="37">
        <f>IF(OR(D68&gt;=$Z$15,D68&lt;=$Z$12,Geometry!Q35="n"),0,"X")</f>
        <v>0</v>
      </c>
      <c r="Z68" s="37">
        <f t="shared" si="31"/>
        <v>0</v>
      </c>
      <c r="AA68" s="37">
        <f t="shared" si="32"/>
        <v>0</v>
      </c>
      <c r="AB68" s="3">
        <f t="shared" si="33"/>
        <v>24.21902331269202</v>
      </c>
      <c r="AC68" s="3">
        <f t="shared" si="34"/>
        <v>24.21902331269202</v>
      </c>
      <c r="AD68" s="3">
        <f>IF(OR(Control!$F$39="EC",Control!$F$51="N"),G41,MIN(G41,14+0.66*(INDEX('Eff. thickness (DNVGL-RP-C203)'!$E$31:$E$1048576,MATCH(G41,'Eff. thickness (DNVGL-RP-C203)'!$C$31:$C$1048576,0)))))</f>
        <v>93</v>
      </c>
      <c r="AE68" s="3">
        <f>IF(OR(Control!$F$39="EC",Control!$F$51="N"),G41,MIN(G41,14+0.66*(INDEX('Eff. thickness (DNVGL-RP-C203)'!$D$31:$D$1048576,MATCH(G41,'Eff. thickness (DNVGL-RP-C203)'!$C$31:$C$1048576,0))+IF(I41&lt;0.001,0,'Eff. thickness (DNVGL-RP-C203)'!$L$29))))</f>
        <v>93</v>
      </c>
      <c r="AF68" s="3">
        <f t="shared" si="35"/>
        <v>0.76893815629207973</v>
      </c>
      <c r="AG68" s="3">
        <f t="shared" si="36"/>
        <v>0.76893815629207973</v>
      </c>
      <c r="AH68" s="3">
        <f t="shared" si="37"/>
        <v>1</v>
      </c>
      <c r="AI68" s="3">
        <f t="shared" si="38"/>
        <v>1</v>
      </c>
      <c r="AJ68" s="3">
        <f>IF(Control!$F$39&lt;&gt;"DNV",1,IF(D68&gt;Control!$F$16,IF(ISBLANK(Control!$F$56),1,Control!$F$56),IF(D68&gt;Control!$F$22,IF(ISBLANK(Control!$F$57),1,Control!$F$57),1)))</f>
        <v>1</v>
      </c>
      <c r="AK68" s="3">
        <f>IF(Control!$F$39&lt;&gt;"DNV",1,IF(D68&gt;Control!$F$18,IF(ISBLANK(Control!$F$56),1,Control!$F$56),IF(D68&gt;Control!$F$22,IF(ISBLANK(Control!$F$57),1,Control!$F$57),1)))</f>
        <v>1</v>
      </c>
    </row>
    <row r="69" spans="3:37" ht="14.85" customHeight="1">
      <c r="C69" s="12" t="str">
        <f t="shared" si="19"/>
        <v>CW8</v>
      </c>
      <c r="D69" s="2">
        <f t="shared" si="20"/>
        <v>-25.7</v>
      </c>
      <c r="E69" s="3">
        <f>IF(Geometry_loads!H26="-","-",Geometry_loads!H26*Control!$F$54)</f>
        <v>255718.09972785975</v>
      </c>
      <c r="F69" s="3">
        <f>IF(Geometry_loads!G26="-","-",Geometry_loads!G26*Control!$F$55)</f>
        <v>304856.22174946824</v>
      </c>
      <c r="G69" s="3">
        <f t="shared" si="21"/>
        <v>43.195658825942807</v>
      </c>
      <c r="H69" s="3">
        <f t="shared" si="22"/>
        <v>42.31675706673466</v>
      </c>
      <c r="I69" s="3" t="str">
        <f t="shared" si="23"/>
        <v>-</v>
      </c>
      <c r="J69" s="3" t="str">
        <f t="shared" si="24"/>
        <v>-</v>
      </c>
      <c r="K69" s="3">
        <f t="shared" si="25"/>
        <v>90</v>
      </c>
      <c r="L69" s="3">
        <f t="shared" si="26"/>
        <v>90</v>
      </c>
      <c r="M69" s="3">
        <f t="shared" si="27"/>
        <v>0.3404495635229346</v>
      </c>
      <c r="N69" s="3">
        <f t="shared" si="28"/>
        <v>0.3135753282319092</v>
      </c>
      <c r="O69" s="3">
        <f>IF(Control!$F$47="N",Control!$F$48,'FLS MP (driving)'!M42)</f>
        <v>0.1</v>
      </c>
      <c r="P69" s="3">
        <f>IF(Control!$F$47="N",Control!$F$48,'FLS MP (driving)'!N42)</f>
        <v>0.1</v>
      </c>
      <c r="Q69" s="3">
        <f>Control!$F$46</f>
        <v>0</v>
      </c>
      <c r="R69" s="3">
        <f>Control!$F$46</f>
        <v>0</v>
      </c>
      <c r="S69" s="3">
        <f t="shared" si="29"/>
        <v>0.44044956352293463</v>
      </c>
      <c r="T69" s="3">
        <f t="shared" si="30"/>
        <v>0.41357532823190923</v>
      </c>
      <c r="X69" s="37">
        <f>IF(OR(D69&gt;=$Z$13,D69&lt;=$Z$12,Geometry!P36="n"),0,"X")</f>
        <v>0</v>
      </c>
      <c r="Y69" s="37">
        <f>IF(OR(D69&gt;=$Z$15,D69&lt;=$Z$12,Geometry!Q36="n"),0,"X")</f>
        <v>0</v>
      </c>
      <c r="Z69" s="37">
        <f t="shared" si="31"/>
        <v>0</v>
      </c>
      <c r="AA69" s="37">
        <f t="shared" si="32"/>
        <v>0</v>
      </c>
      <c r="AB69" s="3">
        <f t="shared" si="33"/>
        <v>27.058522782019811</v>
      </c>
      <c r="AC69" s="3">
        <f t="shared" si="34"/>
        <v>27.058522782019811</v>
      </c>
      <c r="AD69" s="3">
        <f>IF(OR(Control!$F$39="EC",Control!$F$51="N"),G42,MIN(G42,14+0.66*(INDEX('Eff. thickness (DNVGL-RP-C203)'!$E$31:$E$1048576,MATCH(G42,'Eff. thickness (DNVGL-RP-C203)'!$C$31:$C$1048576,0)))))</f>
        <v>93</v>
      </c>
      <c r="AE69" s="3">
        <f>IF(OR(Control!$F$39="EC",Control!$F$51="N"),G42,MIN(G42,14+0.66*(INDEX('Eff. thickness (DNVGL-RP-C203)'!$D$31:$D$1048576,MATCH(G42,'Eff. thickness (DNVGL-RP-C203)'!$C$31:$C$1048576,0))+IF(I42&lt;0.001,0,'Eff. thickness (DNVGL-RP-C203)'!$L$29))))</f>
        <v>93</v>
      </c>
      <c r="AF69" s="3">
        <f t="shared" si="35"/>
        <v>0.76893815629207973</v>
      </c>
      <c r="AG69" s="3">
        <f t="shared" si="36"/>
        <v>0.76893815629207973</v>
      </c>
      <c r="AH69" s="3">
        <f t="shared" si="37"/>
        <v>1</v>
      </c>
      <c r="AI69" s="3">
        <f t="shared" si="38"/>
        <v>1</v>
      </c>
      <c r="AJ69" s="3">
        <f>IF(Control!$F$39&lt;&gt;"DNV",1,IF(D69&gt;Control!$F$16,IF(ISBLANK(Control!$F$56),1,Control!$F$56),IF(D69&gt;Control!$F$22,IF(ISBLANK(Control!$F$57),1,Control!$F$57),1)))</f>
        <v>1</v>
      </c>
      <c r="AK69" s="3">
        <f>IF(Control!$F$39&lt;&gt;"DNV",1,IF(D69&gt;Control!$F$18,IF(ISBLANK(Control!$F$56),1,Control!$F$56),IF(D69&gt;Control!$F$22,IF(ISBLANK(Control!$F$57),1,Control!$F$57),1)))</f>
        <v>1</v>
      </c>
    </row>
    <row r="70" spans="3:37" ht="14.85" customHeight="1">
      <c r="C70" s="12" t="str">
        <f t="shared" si="19"/>
        <v>CW9</v>
      </c>
      <c r="D70" s="2">
        <f t="shared" si="20"/>
        <v>-29.6</v>
      </c>
      <c r="E70" s="3">
        <f>IF(Geometry_loads!H27="-","-",Geometry_loads!H27*Control!$F$54)</f>
        <v>267063.31093098514</v>
      </c>
      <c r="F70" s="3">
        <f>IF(Geometry_loads!G27="-","-",Geometry_loads!G27*Control!$F$55)</f>
        <v>318768.58605162986</v>
      </c>
      <c r="G70" s="3">
        <f t="shared" si="21"/>
        <v>41.993767170025883</v>
      </c>
      <c r="H70" s="3">
        <f t="shared" si="22"/>
        <v>41.16894265672294</v>
      </c>
      <c r="I70" s="3" t="str">
        <f t="shared" si="23"/>
        <v>-</v>
      </c>
      <c r="J70" s="3" t="str">
        <f t="shared" si="24"/>
        <v>-</v>
      </c>
      <c r="K70" s="3">
        <f t="shared" si="25"/>
        <v>90</v>
      </c>
      <c r="L70" s="3">
        <f t="shared" si="26"/>
        <v>90</v>
      </c>
      <c r="M70" s="3">
        <f t="shared" si="27"/>
        <v>0.30411071094732772</v>
      </c>
      <c r="N70" s="3">
        <f t="shared" si="28"/>
        <v>0.28091260365764054</v>
      </c>
      <c r="O70" s="3">
        <f>IF(Control!$F$47="N",Control!$F$48,'FLS MP (driving)'!M43)</f>
        <v>0.1</v>
      </c>
      <c r="P70" s="3">
        <f>IF(Control!$F$47="N",Control!$F$48,'FLS MP (driving)'!N43)</f>
        <v>0.1</v>
      </c>
      <c r="Q70" s="3">
        <f>Control!$F$46</f>
        <v>0</v>
      </c>
      <c r="R70" s="3">
        <f>Control!$F$46</f>
        <v>0</v>
      </c>
      <c r="S70" s="3">
        <f t="shared" si="29"/>
        <v>0.40411071094732776</v>
      </c>
      <c r="T70" s="3">
        <f t="shared" si="30"/>
        <v>0.38091260365764057</v>
      </c>
      <c r="X70" s="37">
        <f>IF(OR(D70&gt;=$Z$13,D70&lt;=$Z$12,Geometry!P37="n"),0,"X")</f>
        <v>0</v>
      </c>
      <c r="Y70" s="37">
        <f>IF(OR(D70&gt;=$Z$15,D70&lt;=$Z$12,Geometry!Q37="n"),0,"X")</f>
        <v>0</v>
      </c>
      <c r="Z70" s="37">
        <f t="shared" si="31"/>
        <v>0</v>
      </c>
      <c r="AA70" s="37">
        <f t="shared" si="32"/>
        <v>0</v>
      </c>
      <c r="AB70" s="3">
        <f t="shared" si="33"/>
        <v>30.111723786099081</v>
      </c>
      <c r="AC70" s="3">
        <f t="shared" si="34"/>
        <v>30.111723786099081</v>
      </c>
      <c r="AD70" s="3">
        <f>IF(OR(Control!$F$39="EC",Control!$F$51="N"),G43,MIN(G43,14+0.66*(INDEX('Eff. thickness (DNVGL-RP-C203)'!$E$31:$E$1048576,MATCH(G43,'Eff. thickness (DNVGL-RP-C203)'!$C$31:$C$1048576,0)))))</f>
        <v>93</v>
      </c>
      <c r="AE70" s="3">
        <f>IF(OR(Control!$F$39="EC",Control!$F$51="N"),G43,MIN(G43,14+0.66*(INDEX('Eff. thickness (DNVGL-RP-C203)'!$D$31:$D$1048576,MATCH(G43,'Eff. thickness (DNVGL-RP-C203)'!$C$31:$C$1048576,0))+IF(I43&lt;0.001,0,'Eff. thickness (DNVGL-RP-C203)'!$L$29))))</f>
        <v>93</v>
      </c>
      <c r="AF70" s="3">
        <f t="shared" si="35"/>
        <v>0.76893815629207973</v>
      </c>
      <c r="AG70" s="3">
        <f t="shared" si="36"/>
        <v>0.76893815629207973</v>
      </c>
      <c r="AH70" s="3">
        <f t="shared" si="37"/>
        <v>1</v>
      </c>
      <c r="AI70" s="3">
        <f t="shared" si="38"/>
        <v>1</v>
      </c>
      <c r="AJ70" s="3">
        <f>IF(Control!$F$39&lt;&gt;"DNV",1,IF(D70&gt;Control!$F$16,IF(ISBLANK(Control!$F$56),1,Control!$F$56),IF(D70&gt;Control!$F$22,IF(ISBLANK(Control!$F$57),1,Control!$F$57),1)))</f>
        <v>1</v>
      </c>
      <c r="AK70" s="3">
        <f>IF(Control!$F$39&lt;&gt;"DNV",1,IF(D70&gt;Control!$F$18,IF(ISBLANK(Control!$F$56),1,Control!$F$56),IF(D70&gt;Control!$F$22,IF(ISBLANK(Control!$F$57),1,Control!$F$57),1)))</f>
        <v>1</v>
      </c>
    </row>
    <row r="71" spans="3:37" ht="14.85" customHeight="1">
      <c r="C71" s="12" t="str">
        <f t="shared" si="19"/>
        <v>CW10</v>
      </c>
      <c r="D71" s="2">
        <f t="shared" si="20"/>
        <v>-33.5</v>
      </c>
      <c r="E71" s="3">
        <f>IF(Geometry_loads!H28="-","-",Geometry_loads!H28*Control!$F$54)</f>
        <v>280198.45462523232</v>
      </c>
      <c r="F71" s="3">
        <f>IF(Geometry_loads!G28="-","-",Geometry_loads!G28*Control!$F$55)</f>
        <v>334912.46896420454</v>
      </c>
      <c r="G71" s="3">
        <f t="shared" si="21"/>
        <v>41.098316324840326</v>
      </c>
      <c r="H71" s="3">
        <f t="shared" si="22"/>
        <v>40.318287055817855</v>
      </c>
      <c r="I71" s="3" t="str">
        <f t="shared" si="23"/>
        <v>-</v>
      </c>
      <c r="J71" s="3" t="str">
        <f t="shared" si="24"/>
        <v>-</v>
      </c>
      <c r="K71" s="3">
        <f t="shared" si="25"/>
        <v>90</v>
      </c>
      <c r="L71" s="3">
        <f t="shared" si="26"/>
        <v>112</v>
      </c>
      <c r="M71" s="3">
        <f t="shared" si="27"/>
        <v>0.30366902017658426</v>
      </c>
      <c r="N71" s="3">
        <f t="shared" si="28"/>
        <v>0.24345517983289172</v>
      </c>
      <c r="O71" s="3">
        <f>IF(Control!$F$47="N",Control!$F$48,'FLS MP (driving)'!M44)</f>
        <v>0.1</v>
      </c>
      <c r="P71" s="3">
        <f>IF(Control!$F$47="N",Control!$F$48,'FLS MP (driving)'!N44)</f>
        <v>0.1</v>
      </c>
      <c r="Q71" s="3">
        <f>Control!$F$46</f>
        <v>0</v>
      </c>
      <c r="R71" s="3">
        <f>Control!$F$46</f>
        <v>0</v>
      </c>
      <c r="S71" s="3">
        <f t="shared" si="29"/>
        <v>0.40366902017658424</v>
      </c>
      <c r="T71" s="3">
        <f t="shared" si="30"/>
        <v>0.34345517983289175</v>
      </c>
      <c r="X71" s="37">
        <f>IF(OR(D71&gt;=$Z$13,D71&lt;=$Z$12,Geometry!P38="n"),0,"X")</f>
        <v>0</v>
      </c>
      <c r="Y71" s="37">
        <f>IF(OR(D71&gt;=$Z$15,D71&lt;=$Z$12,Geometry!Q38="n"),0,"X")</f>
        <v>0</v>
      </c>
      <c r="Z71" s="37">
        <f t="shared" si="31"/>
        <v>0</v>
      </c>
      <c r="AA71" s="37">
        <f t="shared" si="32"/>
        <v>0</v>
      </c>
      <c r="AB71" s="3">
        <f t="shared" si="33"/>
        <v>33.407023704126708</v>
      </c>
      <c r="AC71" s="3">
        <f t="shared" si="34"/>
        <v>33.407023704126708</v>
      </c>
      <c r="AD71" s="3">
        <f>IF(OR(Control!$F$39="EC",Control!$F$51="N"),G44,MIN(G44,14+0.66*(INDEX('Eff. thickness (DNVGL-RP-C203)'!$E$31:$E$1048576,MATCH(G44,'Eff. thickness (DNVGL-RP-C203)'!$C$31:$C$1048576,0)))))</f>
        <v>93</v>
      </c>
      <c r="AE71" s="3">
        <f>IF(OR(Control!$F$39="EC",Control!$F$51="N"),G44,MIN(G44,14+0.66*(INDEX('Eff. thickness (DNVGL-RP-C203)'!$D$31:$D$1048576,MATCH(G44,'Eff. thickness (DNVGL-RP-C203)'!$C$31:$C$1048576,0))+IF(I44&lt;0.001,0,'Eff. thickness (DNVGL-RP-C203)'!$L$29))))</f>
        <v>93</v>
      </c>
      <c r="AF71" s="3">
        <f t="shared" si="35"/>
        <v>0.76893815629207973</v>
      </c>
      <c r="AG71" s="3">
        <f t="shared" si="36"/>
        <v>0.87689118839915348</v>
      </c>
      <c r="AH71" s="3">
        <f t="shared" si="37"/>
        <v>1</v>
      </c>
      <c r="AI71" s="3">
        <f t="shared" si="38"/>
        <v>1</v>
      </c>
      <c r="AJ71" s="3">
        <f>IF(Control!$F$39&lt;&gt;"DNV",1,IF(D71&gt;Control!$F$16,IF(ISBLANK(Control!$F$56),1,Control!$F$56),IF(D71&gt;Control!$F$22,IF(ISBLANK(Control!$F$57),1,Control!$F$57),1)))</f>
        <v>1</v>
      </c>
      <c r="AK71" s="3">
        <f>IF(Control!$F$39&lt;&gt;"DNV",1,IF(D71&gt;Control!$F$18,IF(ISBLANK(Control!$F$56),1,Control!$F$56),IF(D71&gt;Control!$F$22,IF(ISBLANK(Control!$F$57),1,Control!$F$57),1)))</f>
        <v>1</v>
      </c>
    </row>
    <row r="72" spans="3:37" ht="14.85" customHeight="1">
      <c r="C72" s="12" t="str">
        <f t="shared" si="19"/>
        <v>CW11</v>
      </c>
      <c r="D72" s="2">
        <f t="shared" si="20"/>
        <v>-36.799999999999997</v>
      </c>
      <c r="E72" s="3">
        <f>IF(Geometry_loads!H29="-","-",Geometry_loads!H29*Control!$F$54)</f>
        <v>292690.71337038372</v>
      </c>
      <c r="F72" s="3">
        <f>IF(Geometry_loads!G29="-","-",Geometry_loads!G29*Control!$F$55)</f>
        <v>350278.57589426392</v>
      </c>
      <c r="G72" s="3">
        <f t="shared" si="21"/>
        <v>42.930627649350221</v>
      </c>
      <c r="H72" s="3">
        <f t="shared" si="22"/>
        <v>42.115821859270717</v>
      </c>
      <c r="I72" s="3" t="str">
        <f t="shared" si="23"/>
        <v>-</v>
      </c>
      <c r="J72" s="3" t="str">
        <f t="shared" si="24"/>
        <v>-</v>
      </c>
      <c r="K72" s="3">
        <f t="shared" si="25"/>
        <v>90</v>
      </c>
      <c r="L72" s="3">
        <f t="shared" si="26"/>
        <v>90</v>
      </c>
      <c r="M72" s="3">
        <f t="shared" si="27"/>
        <v>0.33217070196778425</v>
      </c>
      <c r="N72" s="3">
        <f t="shared" si="28"/>
        <v>0.30766174055665291</v>
      </c>
      <c r="O72" s="3">
        <f>IF(Control!$F$47="N",Control!$F$48,'FLS MP (driving)'!M45)</f>
        <v>0.1</v>
      </c>
      <c r="P72" s="3">
        <f>IF(Control!$F$47="N",Control!$F$48,'FLS MP (driving)'!N45)</f>
        <v>0.1</v>
      </c>
      <c r="Q72" s="3">
        <f>Control!$F$46</f>
        <v>0</v>
      </c>
      <c r="R72" s="3">
        <f>Control!$F$46</f>
        <v>0</v>
      </c>
      <c r="S72" s="3">
        <f t="shared" si="29"/>
        <v>0.43217070196778429</v>
      </c>
      <c r="T72" s="3">
        <f t="shared" si="30"/>
        <v>0.40766174055665294</v>
      </c>
      <c r="X72" s="37">
        <f>IF(OR(D72&gt;=$Z$13,D72&lt;=$Z$12,Geometry!P39="n"),0,"X")</f>
        <v>0</v>
      </c>
      <c r="Y72" s="37">
        <f>IF(OR(D72&gt;=$Z$15,D72&lt;=$Z$12,Geometry!Q39="n"),0,"X")</f>
        <v>0</v>
      </c>
      <c r="Z72" s="37">
        <f t="shared" si="31"/>
        <v>0</v>
      </c>
      <c r="AA72" s="37">
        <f t="shared" si="32"/>
        <v>0</v>
      </c>
      <c r="AB72" s="3">
        <f t="shared" si="33"/>
        <v>33.407023704126708</v>
      </c>
      <c r="AC72" s="3">
        <f t="shared" si="34"/>
        <v>33.407023704126708</v>
      </c>
      <c r="AD72" s="3">
        <f>IF(OR(Control!$F$39="EC",Control!$F$51="N"),G45,MIN(G45,14+0.66*(INDEX('Eff. thickness (DNVGL-RP-C203)'!$E$31:$E$1048576,MATCH(G45,'Eff. thickness (DNVGL-RP-C203)'!$C$31:$C$1048576,0)))))</f>
        <v>93</v>
      </c>
      <c r="AE72" s="3">
        <f>IF(OR(Control!$F$39="EC",Control!$F$51="N"),G45,MIN(G45,14+0.66*(INDEX('Eff. thickness (DNVGL-RP-C203)'!$D$31:$D$1048576,MATCH(G45,'Eff. thickness (DNVGL-RP-C203)'!$C$31:$C$1048576,0))+IF(I45&lt;0.001,0,'Eff. thickness (DNVGL-RP-C203)'!$L$29))))</f>
        <v>93</v>
      </c>
      <c r="AF72" s="3">
        <f t="shared" si="35"/>
        <v>0.76893815629207973</v>
      </c>
      <c r="AG72" s="3">
        <f t="shared" si="36"/>
        <v>0.76893815629207973</v>
      </c>
      <c r="AH72" s="3">
        <f t="shared" si="37"/>
        <v>1</v>
      </c>
      <c r="AI72" s="3">
        <f t="shared" si="38"/>
        <v>1</v>
      </c>
      <c r="AJ72" s="3">
        <f>IF(Control!$F$39&lt;&gt;"DNV",1,IF(D72&gt;Control!$F$16,IF(ISBLANK(Control!$F$56),1,Control!$F$56),IF(D72&gt;Control!$F$22,IF(ISBLANK(Control!$F$57),1,Control!$F$57),1)))</f>
        <v>1</v>
      </c>
      <c r="AK72" s="3">
        <f>IF(Control!$F$39&lt;&gt;"DNV",1,IF(D72&gt;Control!$F$18,IF(ISBLANK(Control!$F$56),1,Control!$F$56),IF(D72&gt;Control!$F$22,IF(ISBLANK(Control!$F$57),1,Control!$F$57),1)))</f>
        <v>1</v>
      </c>
    </row>
    <row r="73" spans="3:37" ht="14.85" customHeight="1">
      <c r="C73" s="12" t="str">
        <f t="shared" si="19"/>
        <v>CW12</v>
      </c>
      <c r="D73" s="2">
        <f t="shared" si="20"/>
        <v>-40.200000000000003</v>
      </c>
      <c r="E73" s="3">
        <f>IF(Geometry_loads!H30="-","-",Geometry_loads!H30*Control!$F$54)</f>
        <v>306730.65810409916</v>
      </c>
      <c r="F73" s="3">
        <f>IF(Geometry_loads!G30="-","-",Geometry_loads!G30*Control!$F$55)</f>
        <v>368010.76338807872</v>
      </c>
      <c r="G73" s="3">
        <f t="shared" si="21"/>
        <v>44.989946965087626</v>
      </c>
      <c r="H73" s="3">
        <f t="shared" si="22"/>
        <v>44.136056134933924</v>
      </c>
      <c r="I73" s="3" t="str">
        <f t="shared" si="23"/>
        <v>-</v>
      </c>
      <c r="J73" s="3" t="str">
        <f t="shared" si="24"/>
        <v>-</v>
      </c>
      <c r="K73" s="3">
        <f t="shared" si="25"/>
        <v>90</v>
      </c>
      <c r="L73" s="3">
        <f t="shared" si="26"/>
        <v>90</v>
      </c>
      <c r="M73" s="3">
        <f t="shared" si="27"/>
        <v>0.22270870493404715</v>
      </c>
      <c r="N73" s="3">
        <f t="shared" si="28"/>
        <v>0.62562976484020949</v>
      </c>
      <c r="O73" s="3">
        <f>IF(Control!$F$47="N",Control!$F$48,'FLS MP (driving)'!M46)</f>
        <v>0.1</v>
      </c>
      <c r="P73" s="3">
        <f>IF(Control!$F$47="N",Control!$F$48,'FLS MP (driving)'!N46)</f>
        <v>0.1</v>
      </c>
      <c r="Q73" s="3">
        <f>Control!$F$46</f>
        <v>0</v>
      </c>
      <c r="R73" s="3">
        <f>Control!$F$46</f>
        <v>0</v>
      </c>
      <c r="S73" s="3">
        <f t="shared" si="29"/>
        <v>0.32270870493404713</v>
      </c>
      <c r="T73" s="3">
        <f t="shared" si="30"/>
        <v>0.72562976484020947</v>
      </c>
      <c r="X73" s="37">
        <f>IF(OR(D73&gt;=$Z$13,D73&lt;=$Z$12,Geometry!P40="n"),0,"X")</f>
        <v>0</v>
      </c>
      <c r="Y73" s="37">
        <f>IF(OR(D73&gt;=$Z$15,D73&lt;=$Z$12,Geometry!Q40="n"),0,"X")</f>
        <v>0</v>
      </c>
      <c r="Z73" s="37">
        <f t="shared" si="31"/>
        <v>0</v>
      </c>
      <c r="AA73" s="37">
        <f t="shared" si="32"/>
        <v>0</v>
      </c>
      <c r="AB73" s="3">
        <f t="shared" si="33"/>
        <v>33.407023704126708</v>
      </c>
      <c r="AC73" s="3">
        <f t="shared" si="34"/>
        <v>33.407023704126708</v>
      </c>
      <c r="AD73" s="3">
        <f>IF(OR(Control!$F$39="EC",Control!$F$51="N"),G46,MIN(G46,14+0.66*(INDEX('Eff. thickness (DNVGL-RP-C203)'!$E$31:$E$1048576,MATCH(G46,'Eff. thickness (DNVGL-RP-C203)'!$C$31:$C$1048576,0)))))</f>
        <v>93</v>
      </c>
      <c r="AE73" s="3">
        <f>IF(OR(Control!$F$39="EC",Control!$F$51="N"),G46,MIN(G46,14+0.66*(INDEX('Eff. thickness (DNVGL-RP-C203)'!$D$31:$D$1048576,MATCH(G46,'Eff. thickness (DNVGL-RP-C203)'!$C$31:$C$1048576,0))+IF(I46&lt;0.001,0,'Eff. thickness (DNVGL-RP-C203)'!$L$29))))</f>
        <v>93</v>
      </c>
      <c r="AF73" s="3">
        <f t="shared" si="35"/>
        <v>0.76893815629207973</v>
      </c>
      <c r="AG73" s="3">
        <f t="shared" si="36"/>
        <v>0.76893815629207973</v>
      </c>
      <c r="AH73" s="3">
        <f t="shared" si="37"/>
        <v>1</v>
      </c>
      <c r="AI73" s="3">
        <f t="shared" si="38"/>
        <v>1</v>
      </c>
      <c r="AJ73" s="3">
        <f>IF(Control!$F$39&lt;&gt;"DNV",1,IF(D73&gt;Control!$F$16,IF(ISBLANK(Control!$F$56),1,Control!$F$56),IF(D73&gt;Control!$F$22,IF(ISBLANK(Control!$F$57),1,Control!$F$57),1)))</f>
        <v>1</v>
      </c>
      <c r="AK73" s="3">
        <f>IF(Control!$F$39&lt;&gt;"DNV",1,IF(D73&gt;Control!$F$18,IF(ISBLANK(Control!$F$56),1,Control!$F$56),IF(D73&gt;Control!$F$22,IF(ISBLANK(Control!$F$57),1,Control!$F$57),1)))</f>
        <v>1</v>
      </c>
    </row>
    <row r="74" spans="3:37" ht="14.85" customHeight="1">
      <c r="C74" s="12" t="str">
        <f t="shared" si="19"/>
        <v>CW13</v>
      </c>
      <c r="D74" s="2">
        <f t="shared" si="20"/>
        <v>-43.8</v>
      </c>
      <c r="E74" s="3">
        <f>IF(Geometry_loads!H31="-","-",Geometry_loads!H31*Control!$F$54)</f>
        <v>323067.50862926076</v>
      </c>
      <c r="F74" s="3">
        <f>IF(Geometry_loads!G31="-","-",Geometry_loads!G31*Control!$F$55)</f>
        <v>388575.60748121649</v>
      </c>
      <c r="G74" s="3">
        <f t="shared" si="21"/>
        <v>43.32461644315898</v>
      </c>
      <c r="H74" s="3">
        <f t="shared" si="22"/>
        <v>42.422757080464649</v>
      </c>
      <c r="I74" s="3" t="str">
        <f t="shared" si="23"/>
        <v>-</v>
      </c>
      <c r="J74" s="3" t="str">
        <f t="shared" si="24"/>
        <v>-</v>
      </c>
      <c r="K74" s="3">
        <f t="shared" si="25"/>
        <v>90</v>
      </c>
      <c r="L74" s="3">
        <f t="shared" si="26"/>
        <v>90</v>
      </c>
      <c r="M74" s="3">
        <f t="shared" si="27"/>
        <v>0.19300805777084171</v>
      </c>
      <c r="N74" s="3">
        <f t="shared" si="28"/>
        <v>0.61036317048954225</v>
      </c>
      <c r="O74" s="3">
        <f>IF(Control!$F$47="N",Control!$F$48,'FLS MP (driving)'!M47)</f>
        <v>0.1</v>
      </c>
      <c r="P74" s="3">
        <f>IF(Control!$F$47="N",Control!$F$48,'FLS MP (driving)'!N47)</f>
        <v>0.1</v>
      </c>
      <c r="Q74" s="3">
        <f>Control!$F$46</f>
        <v>0</v>
      </c>
      <c r="R74" s="3">
        <f>Control!$F$46</f>
        <v>0</v>
      </c>
      <c r="S74" s="3">
        <f t="shared" si="29"/>
        <v>0.29300805777084171</v>
      </c>
      <c r="T74" s="3">
        <f t="shared" si="30"/>
        <v>0.71036317048954223</v>
      </c>
      <c r="X74" s="37">
        <f>IF(OR(D74&gt;=$Z$13,D74&lt;=$Z$12,Geometry!P41="n"),0,"X")</f>
        <v>0</v>
      </c>
      <c r="Y74" s="37">
        <f>IF(OR(D74&gt;=$Z$15,D74&lt;=$Z$12,Geometry!Q41="n"),0,"X")</f>
        <v>0</v>
      </c>
      <c r="Z74" s="37">
        <f t="shared" si="31"/>
        <v>0</v>
      </c>
      <c r="AA74" s="37">
        <f t="shared" si="32"/>
        <v>0</v>
      </c>
      <c r="AB74" s="3">
        <f t="shared" si="33"/>
        <v>36.53882993656233</v>
      </c>
      <c r="AC74" s="3">
        <f t="shared" si="34"/>
        <v>36.53882993656233</v>
      </c>
      <c r="AD74" s="3">
        <f>IF(OR(Control!$F$39="EC",Control!$F$51="N"),G47,MIN(G47,14+0.66*(INDEX('Eff. thickness (DNVGL-RP-C203)'!$E$31:$E$1048576,MATCH(G47,'Eff. thickness (DNVGL-RP-C203)'!$C$31:$C$1048576,0)))))</f>
        <v>102</v>
      </c>
      <c r="AE74" s="3">
        <f>IF(OR(Control!$F$39="EC",Control!$F$51="N"),G47,MIN(G47,14+0.66*(INDEX('Eff. thickness (DNVGL-RP-C203)'!$D$31:$D$1048576,MATCH(G47,'Eff. thickness (DNVGL-RP-C203)'!$C$31:$C$1048576,0))+IF(I47&lt;0.001,0,'Eff. thickness (DNVGL-RP-C203)'!$L$29))))</f>
        <v>102</v>
      </c>
      <c r="AF74" s="3">
        <f t="shared" si="35"/>
        <v>0.75486270218308793</v>
      </c>
      <c r="AG74" s="3">
        <f t="shared" si="36"/>
        <v>0.75486270218308793</v>
      </c>
      <c r="AH74" s="3">
        <f t="shared" si="37"/>
        <v>1</v>
      </c>
      <c r="AI74" s="3">
        <f t="shared" si="38"/>
        <v>1</v>
      </c>
      <c r="AJ74" s="3">
        <f>IF(Control!$F$39&lt;&gt;"DNV",1,IF(D74&gt;Control!$F$16,IF(ISBLANK(Control!$F$56),1,Control!$F$56),IF(D74&gt;Control!$F$22,IF(ISBLANK(Control!$F$57),1,Control!$F$57),1)))</f>
        <v>1</v>
      </c>
      <c r="AK74" s="3">
        <f>IF(Control!$F$39&lt;&gt;"DNV",1,IF(D74&gt;Control!$F$18,IF(ISBLANK(Control!$F$56),1,Control!$F$56),IF(D74&gt;Control!$F$22,IF(ISBLANK(Control!$F$57),1,Control!$F$57),1)))</f>
        <v>1</v>
      </c>
    </row>
    <row r="75" spans="3:37" ht="14.85" customHeight="1">
      <c r="C75" s="12" t="str">
        <f t="shared" si="19"/>
        <v>CW14</v>
      </c>
      <c r="D75" s="2">
        <f t="shared" si="20"/>
        <v>-47.8</v>
      </c>
      <c r="E75" s="3">
        <f>IF(Geometry_loads!H32="-","-",Geometry_loads!H32*Control!$F$54)</f>
        <v>349550.18849323393</v>
      </c>
      <c r="F75" s="3" t="str">
        <f>IF(Geometry_loads!G32="-","-",Geometry_loads!G32*Control!$F$55)</f>
        <v>-</v>
      </c>
      <c r="G75" s="3">
        <f t="shared" si="21"/>
        <v>51.811910087009188</v>
      </c>
      <c r="H75" s="3">
        <f t="shared" si="22"/>
        <v>50.83911504047758</v>
      </c>
      <c r="I75" s="3" t="str">
        <f t="shared" si="23"/>
        <v>-</v>
      </c>
      <c r="J75" s="3" t="str">
        <f t="shared" si="24"/>
        <v>-</v>
      </c>
      <c r="K75" s="3">
        <f t="shared" si="25"/>
        <v>90</v>
      </c>
      <c r="L75" s="3">
        <f t="shared" si="26"/>
        <v>90</v>
      </c>
      <c r="M75" s="3">
        <f t="shared" si="27"/>
        <v>0.62153768919264585</v>
      </c>
      <c r="N75" s="3">
        <f t="shared" si="28"/>
        <v>0.75228962702706581</v>
      </c>
      <c r="O75" s="3">
        <f>IF(Control!$F$47="N",Control!$F$48,'FLS MP (driving)'!M48)</f>
        <v>0.1</v>
      </c>
      <c r="P75" s="3">
        <f>IF(Control!$F$47="N",Control!$F$48,'FLS MP (driving)'!N48)</f>
        <v>0.1</v>
      </c>
      <c r="Q75" s="3">
        <f>Control!$F$46</f>
        <v>0</v>
      </c>
      <c r="R75" s="3">
        <f>Control!$F$46</f>
        <v>0</v>
      </c>
      <c r="S75" s="3">
        <f t="shared" si="29"/>
        <v>0.72153768919264583</v>
      </c>
      <c r="T75" s="3">
        <f t="shared" si="30"/>
        <v>0.85228962702706579</v>
      </c>
      <c r="X75" s="37">
        <f>IF(OR(D75&gt;=$Z$13,D75&lt;=$Z$12,Geometry!P42="n"),0,"X")</f>
        <v>0</v>
      </c>
      <c r="Y75" s="37">
        <f>IF(OR(D75&gt;=$Z$15,D75&lt;=$Z$12,Geometry!Q42="n"),0,"X")</f>
        <v>0</v>
      </c>
      <c r="Z75" s="37">
        <f t="shared" si="31"/>
        <v>0</v>
      </c>
      <c r="AA75" s="37">
        <f t="shared" si="32"/>
        <v>0</v>
      </c>
      <c r="AB75" s="3">
        <f t="shared" si="33"/>
        <v>33.057957537957982</v>
      </c>
      <c r="AC75" s="3">
        <f t="shared" si="34"/>
        <v>33.057957537957982</v>
      </c>
      <c r="AD75" s="3">
        <f>IF(OR(Control!$F$39="EC",Control!$F$51="N"),G48,MIN(G48,14+0.66*(INDEX('Eff. thickness (DNVGL-RP-C203)'!$E$31:$E$1048576,MATCH(G48,'Eff. thickness (DNVGL-RP-C203)'!$C$31:$C$1048576,0)))))</f>
        <v>92</v>
      </c>
      <c r="AE75" s="3">
        <f>IF(OR(Control!$F$39="EC",Control!$F$51="N"),G48,MIN(G48,14+0.66*(INDEX('Eff. thickness (DNVGL-RP-C203)'!$D$31:$D$1048576,MATCH(G48,'Eff. thickness (DNVGL-RP-C203)'!$C$31:$C$1048576,0))+IF(I48&lt;0.001,0,'Eff. thickness (DNVGL-RP-C203)'!$L$29))))</f>
        <v>92</v>
      </c>
      <c r="AF75" s="3">
        <f t="shared" si="35"/>
        <v>0.77060254017451113</v>
      </c>
      <c r="AG75" s="3">
        <f t="shared" si="36"/>
        <v>0.77060254017451113</v>
      </c>
      <c r="AH75" s="3">
        <f t="shared" si="37"/>
        <v>1</v>
      </c>
      <c r="AI75" s="3">
        <f t="shared" si="38"/>
        <v>1</v>
      </c>
      <c r="AJ75" s="3">
        <f>IF(Control!$F$39&lt;&gt;"DNV",1,IF(D75&gt;Control!$F$16,IF(ISBLANK(Control!$F$56),1,Control!$F$56),IF(D75&gt;Control!$F$22,IF(ISBLANK(Control!$F$57),1,Control!$F$57),1)))</f>
        <v>1</v>
      </c>
      <c r="AK75" s="3">
        <f>IF(Control!$F$39&lt;&gt;"DNV",1,IF(D75&gt;Control!$F$18,IF(ISBLANK(Control!$F$56),1,Control!$F$56),IF(D75&gt;Control!$F$22,IF(ISBLANK(Control!$F$57),1,Control!$F$57),1)))</f>
        <v>1</v>
      </c>
    </row>
    <row r="76" spans="3:37" ht="14.85" customHeight="1">
      <c r="C76" s="12" t="str">
        <f t="shared" si="19"/>
        <v>CW15</v>
      </c>
      <c r="D76" s="2">
        <f t="shared" si="20"/>
        <v>-51.8</v>
      </c>
      <c r="E76" s="3">
        <f>IF(Geometry_loads!H33="-","-",Geometry_loads!H33*Control!$F$54)</f>
        <v>373272.3643999325</v>
      </c>
      <c r="F76" s="3" t="str">
        <f>IF(Geometry_loads!G33="-","-",Geometry_loads!G33*Control!$F$55)</f>
        <v>-</v>
      </c>
      <c r="G76" s="3">
        <f t="shared" si="21"/>
        <v>56.52291145650932</v>
      </c>
      <c r="H76" s="3">
        <f t="shared" si="22"/>
        <v>55.484735531797924</v>
      </c>
      <c r="I76" s="3" t="str">
        <f t="shared" si="23"/>
        <v>-</v>
      </c>
      <c r="J76" s="3" t="str">
        <f t="shared" si="24"/>
        <v>-</v>
      </c>
      <c r="K76" s="3">
        <f t="shared" si="25"/>
        <v>90</v>
      </c>
      <c r="L76" s="3">
        <f t="shared" si="26"/>
        <v>112</v>
      </c>
      <c r="M76" s="3">
        <f t="shared" si="27"/>
        <v>0.53896990823364221</v>
      </c>
      <c r="N76" s="3">
        <f t="shared" si="28"/>
        <v>0.43203474548276177</v>
      </c>
      <c r="O76" s="3">
        <f>IF(Control!$F$47="N",Control!$F$48,'FLS MP (driving)'!M49)</f>
        <v>0.1</v>
      </c>
      <c r="P76" s="3">
        <f>IF(Control!$F$47="N",Control!$F$48,'FLS MP (driving)'!N49)</f>
        <v>0.1</v>
      </c>
      <c r="Q76" s="3">
        <f>Control!$F$46</f>
        <v>0</v>
      </c>
      <c r="R76" s="3">
        <f>Control!$F$46</f>
        <v>0</v>
      </c>
      <c r="S76" s="3">
        <f t="shared" si="29"/>
        <v>0.63896990823364219</v>
      </c>
      <c r="T76" s="3">
        <f t="shared" si="30"/>
        <v>0.53203474548276175</v>
      </c>
      <c r="X76" s="37">
        <f>IF(OR(D76&gt;=$Z$13,D76&lt;=$Z$12,Geometry!P43="n"),0,"X")</f>
        <v>0</v>
      </c>
      <c r="Y76" s="37">
        <f>IF(OR(D76&gt;=$Z$15,D76&lt;=$Z$12,Geometry!Q43="n"),0,"X")</f>
        <v>0</v>
      </c>
      <c r="Z76" s="37">
        <f t="shared" si="31"/>
        <v>0</v>
      </c>
      <c r="AA76" s="37">
        <f t="shared" si="32"/>
        <v>0</v>
      </c>
      <c r="AB76" s="3">
        <f t="shared" si="33"/>
        <v>32.359171501046823</v>
      </c>
      <c r="AC76" s="3">
        <f t="shared" si="34"/>
        <v>32.359171501046823</v>
      </c>
      <c r="AD76" s="3">
        <f>IF(OR(Control!$F$39="EC",Control!$F$51="N"),G49,MIN(G49,14+0.66*(INDEX('Eff. thickness (DNVGL-RP-C203)'!$E$31:$E$1048576,MATCH(G49,'Eff. thickness (DNVGL-RP-C203)'!$C$31:$C$1048576,0)))))</f>
        <v>90</v>
      </c>
      <c r="AE76" s="3">
        <f>IF(OR(Control!$F$39="EC",Control!$F$51="N"),G49,MIN(G49,14+0.66*(INDEX('Eff. thickness (DNVGL-RP-C203)'!$D$31:$D$1048576,MATCH(G49,'Eff. thickness (DNVGL-RP-C203)'!$C$31:$C$1048576,0))+IF(I49&lt;0.001,0,'Eff. thickness (DNVGL-RP-C203)'!$L$29))))</f>
        <v>90</v>
      </c>
      <c r="AF76" s="3">
        <f t="shared" si="35"/>
        <v>0.77399739650057642</v>
      </c>
      <c r="AG76" s="3">
        <f t="shared" si="36"/>
        <v>0.87977121827244176</v>
      </c>
      <c r="AH76" s="3">
        <f t="shared" si="37"/>
        <v>1</v>
      </c>
      <c r="AI76" s="3">
        <f t="shared" si="38"/>
        <v>1</v>
      </c>
      <c r="AJ76" s="3">
        <f>IF(Control!$F$39&lt;&gt;"DNV",1,IF(D76&gt;Control!$F$16,IF(ISBLANK(Control!$F$56),1,Control!$F$56),IF(D76&gt;Control!$F$22,IF(ISBLANK(Control!$F$57),1,Control!$F$57),1)))</f>
        <v>1</v>
      </c>
      <c r="AK76" s="3">
        <f>IF(Control!$F$39&lt;&gt;"DNV",1,IF(D76&gt;Control!$F$18,IF(ISBLANK(Control!$F$56),1,Control!$F$56),IF(D76&gt;Control!$F$22,IF(ISBLANK(Control!$F$57),1,Control!$F$57),1)))</f>
        <v>1</v>
      </c>
    </row>
    <row r="77" spans="3:37" ht="14.85" customHeight="1">
      <c r="C77" s="12" t="str">
        <f t="shared" si="19"/>
        <v>CW16</v>
      </c>
      <c r="D77" s="2">
        <f t="shared" si="20"/>
        <v>-55.8</v>
      </c>
      <c r="E77" s="3">
        <f>IF(Geometry_loads!H34="-","-",Geometry_loads!H34*Control!$F$54)</f>
        <v>388470.12560128118</v>
      </c>
      <c r="F77" s="3" t="str">
        <f>IF(Geometry_loads!G34="-","-",Geometry_loads!G34*Control!$F$55)</f>
        <v>-</v>
      </c>
      <c r="G77" s="3">
        <f t="shared" si="21"/>
        <v>65.179930129137162</v>
      </c>
      <c r="H77" s="3">
        <f t="shared" si="22"/>
        <v>64.102465978022849</v>
      </c>
      <c r="I77" s="3" t="str">
        <f t="shared" si="23"/>
        <v>-</v>
      </c>
      <c r="J77" s="3" t="str">
        <f t="shared" si="24"/>
        <v>-</v>
      </c>
      <c r="K77" s="3">
        <f t="shared" si="25"/>
        <v>112</v>
      </c>
      <c r="L77" s="3">
        <f t="shared" si="26"/>
        <v>112</v>
      </c>
      <c r="M77" s="3">
        <f t="shared" si="27"/>
        <v>0.4448581477053441</v>
      </c>
      <c r="N77" s="3">
        <f t="shared" si="28"/>
        <v>0.41616440741292043</v>
      </c>
      <c r="O77" s="3">
        <f>IF(Control!$F$47="N",Control!$F$48,'FLS MP (driving)'!M50)</f>
        <v>0.1</v>
      </c>
      <c r="P77" s="3">
        <f>IF(Control!$F$47="N",Control!$F$48,'FLS MP (driving)'!N50)</f>
        <v>0.1</v>
      </c>
      <c r="Q77" s="3">
        <f>Control!$F$46</f>
        <v>0</v>
      </c>
      <c r="R77" s="3">
        <f>Control!$F$46</f>
        <v>0</v>
      </c>
      <c r="S77" s="3">
        <f t="shared" si="29"/>
        <v>0.54485814770534413</v>
      </c>
      <c r="T77" s="3">
        <f t="shared" si="30"/>
        <v>0.51616440741292047</v>
      </c>
      <c r="X77" s="37">
        <f>IF(OR(D77&gt;=$Z$13,D77&lt;=$Z$12,Geometry!P44="n"),0,"X")</f>
        <v>0</v>
      </c>
      <c r="Y77" s="37">
        <f>IF(OR(D77&gt;=$Z$15,D77&lt;=$Z$12,Geometry!Q44="n"),0,"X")</f>
        <v>0</v>
      </c>
      <c r="Z77" s="37">
        <f t="shared" si="31"/>
        <v>0</v>
      </c>
      <c r="AA77" s="37">
        <f t="shared" si="32"/>
        <v>0</v>
      </c>
      <c r="AB77" s="3">
        <f t="shared" si="33"/>
        <v>29.203830253806316</v>
      </c>
      <c r="AC77" s="3">
        <f t="shared" si="34"/>
        <v>29.203830253806316</v>
      </c>
      <c r="AD77" s="3">
        <f>IF(OR(Control!$F$39="EC",Control!$F$51="N"),G50,MIN(G50,14+0.66*(INDEX('Eff. thickness (DNVGL-RP-C203)'!$E$31:$E$1048576,MATCH(G50,'Eff. thickness (DNVGL-RP-C203)'!$C$31:$C$1048576,0)))))</f>
        <v>81</v>
      </c>
      <c r="AE77" s="3">
        <f>IF(OR(Control!$F$39="EC",Control!$F$51="N"),G50,MIN(G50,14+0.66*(INDEX('Eff. thickness (DNVGL-RP-C203)'!$D$31:$D$1048576,MATCH(G50,'Eff. thickness (DNVGL-RP-C203)'!$C$31:$C$1048576,0))+IF(I50&lt;0.001,0,'Eff. thickness (DNVGL-RP-C203)'!$L$29))))</f>
        <v>81</v>
      </c>
      <c r="AF77" s="3">
        <f t="shared" si="35"/>
        <v>0.88908953613219999</v>
      </c>
      <c r="AG77" s="3">
        <f t="shared" si="36"/>
        <v>0.88908953613219999</v>
      </c>
      <c r="AH77" s="3">
        <f t="shared" si="37"/>
        <v>1</v>
      </c>
      <c r="AI77" s="3">
        <f t="shared" si="38"/>
        <v>1</v>
      </c>
      <c r="AJ77" s="3">
        <f>IF(Control!$F$39&lt;&gt;"DNV",1,IF(D77&gt;Control!$F$16,IF(ISBLANK(Control!$F$56),1,Control!$F$56),IF(D77&gt;Control!$F$22,IF(ISBLANK(Control!$F$57),1,Control!$F$57),1)))</f>
        <v>1</v>
      </c>
      <c r="AK77" s="3">
        <f>IF(Control!$F$39&lt;&gt;"DNV",1,IF(D77&gt;Control!$F$18,IF(ISBLANK(Control!$F$56),1,Control!$F$56),IF(D77&gt;Control!$F$22,IF(ISBLANK(Control!$F$57),1,Control!$F$57),1)))</f>
        <v>1</v>
      </c>
    </row>
    <row r="78" spans="3:37" ht="14.85" customHeight="1">
      <c r="C78" s="12" t="str">
        <f t="shared" si="19"/>
        <v>CW17</v>
      </c>
      <c r="D78" s="2">
        <f t="shared" si="20"/>
        <v>-59.8</v>
      </c>
      <c r="E78" s="3">
        <f>IF(Geometry_loads!H35="-","-",Geometry_loads!H35*Control!$F$54)</f>
        <v>391247.16831466078</v>
      </c>
      <c r="F78" s="3" t="str">
        <f>IF(Geometry_loads!G35="-","-",Geometry_loads!G35*Control!$F$55)</f>
        <v>-</v>
      </c>
      <c r="G78" s="3">
        <f t="shared" si="21"/>
        <v>65.645879601425534</v>
      </c>
      <c r="H78" s="3">
        <f t="shared" si="22"/>
        <v>64.560713020259101</v>
      </c>
      <c r="I78" s="3" t="str">
        <f t="shared" si="23"/>
        <v>-</v>
      </c>
      <c r="J78" s="3" t="str">
        <f t="shared" si="24"/>
        <v>-</v>
      </c>
      <c r="K78" s="3">
        <f t="shared" si="25"/>
        <v>112</v>
      </c>
      <c r="L78" s="3">
        <f t="shared" si="26"/>
        <v>112</v>
      </c>
      <c r="M78" s="3">
        <f t="shared" si="27"/>
        <v>0.45771576866611147</v>
      </c>
      <c r="N78" s="3">
        <f t="shared" si="28"/>
        <v>0.42819270055642794</v>
      </c>
      <c r="O78" s="3">
        <f>IF(Control!$F$47="N",Control!$F$48,'FLS MP (driving)'!M51)</f>
        <v>0.1</v>
      </c>
      <c r="P78" s="3">
        <f>IF(Control!$F$47="N",Control!$F$48,'FLS MP (driving)'!N51)</f>
        <v>0.1</v>
      </c>
      <c r="Q78" s="3">
        <f>Control!$F$46</f>
        <v>0</v>
      </c>
      <c r="R78" s="3">
        <f>Control!$F$46</f>
        <v>0</v>
      </c>
      <c r="S78" s="3">
        <f t="shared" si="29"/>
        <v>0.5577157686661115</v>
      </c>
      <c r="T78" s="3">
        <f t="shared" si="30"/>
        <v>0.52819270055642797</v>
      </c>
      <c r="X78" s="37">
        <f>IF(OR(D78&gt;=$Z$13,D78&lt;=$Z$12,Geometry!P45="n"),0,"X")</f>
        <v>0</v>
      </c>
      <c r="Y78" s="37">
        <f>IF(OR(D78&gt;=$Z$15,D78&lt;=$Z$12,Geometry!Q45="n"),0,"X")</f>
        <v>0</v>
      </c>
      <c r="Z78" s="37">
        <f t="shared" si="31"/>
        <v>0</v>
      </c>
      <c r="AA78" s="37">
        <f t="shared" si="32"/>
        <v>0</v>
      </c>
      <c r="AB78" s="3">
        <f t="shared" si="33"/>
        <v>29.203830253806316</v>
      </c>
      <c r="AC78" s="3">
        <f t="shared" si="34"/>
        <v>29.203830253806316</v>
      </c>
      <c r="AD78" s="3">
        <f>IF(OR(Control!$F$39="EC",Control!$F$51="N"),G51,MIN(G51,14+0.66*(INDEX('Eff. thickness (DNVGL-RP-C203)'!$E$31:$E$1048576,MATCH(G51,'Eff. thickness (DNVGL-RP-C203)'!$C$31:$C$1048576,0)))))</f>
        <v>81</v>
      </c>
      <c r="AE78" s="3">
        <f>IF(OR(Control!$F$39="EC",Control!$F$51="N"),G51,MIN(G51,14+0.66*(INDEX('Eff. thickness (DNVGL-RP-C203)'!$D$31:$D$1048576,MATCH(G51,'Eff. thickness (DNVGL-RP-C203)'!$C$31:$C$1048576,0))+IF(I51&lt;0.001,0,'Eff. thickness (DNVGL-RP-C203)'!$L$29))))</f>
        <v>81</v>
      </c>
      <c r="AF78" s="3">
        <f t="shared" si="35"/>
        <v>0.88908953613219999</v>
      </c>
      <c r="AG78" s="3">
        <f t="shared" si="36"/>
        <v>0.88908953613219999</v>
      </c>
      <c r="AH78" s="3">
        <f t="shared" si="37"/>
        <v>1</v>
      </c>
      <c r="AI78" s="3">
        <f t="shared" si="38"/>
        <v>1</v>
      </c>
      <c r="AJ78" s="3">
        <f>IF(Control!$F$39&lt;&gt;"DNV",1,IF(D78&gt;Control!$F$16,IF(ISBLANK(Control!$F$56),1,Control!$F$56),IF(D78&gt;Control!$F$22,IF(ISBLANK(Control!$F$57),1,Control!$F$57),1)))</f>
        <v>1</v>
      </c>
      <c r="AK78" s="3">
        <f>IF(Control!$F$39&lt;&gt;"DNV",1,IF(D78&gt;Control!$F$18,IF(ISBLANK(Control!$F$56),1,Control!$F$56),IF(D78&gt;Control!$F$22,IF(ISBLANK(Control!$F$57),1,Control!$F$57),1)))</f>
        <v>1</v>
      </c>
    </row>
    <row r="79" spans="3:37" ht="14.85" customHeight="1">
      <c r="C79" s="12" t="str">
        <f t="shared" si="19"/>
        <v>CW18</v>
      </c>
      <c r="D79" s="2">
        <f t="shared" si="20"/>
        <v>-63.8</v>
      </c>
      <c r="E79" s="3">
        <f>IF(Geometry_loads!H36="-","-",Geometry_loads!H36*Control!$F$54)</f>
        <v>352964.50685877888</v>
      </c>
      <c r="F79" s="3" t="str">
        <f>IF(Geometry_loads!G36="-","-",Geometry_loads!G36*Control!$F$55)</f>
        <v>-</v>
      </c>
      <c r="G79" s="3">
        <f t="shared" si="21"/>
        <v>59.222576921484354</v>
      </c>
      <c r="H79" s="3">
        <f t="shared" si="22"/>
        <v>58.243591466251651</v>
      </c>
      <c r="I79" s="3" t="str">
        <f t="shared" si="23"/>
        <v>-</v>
      </c>
      <c r="J79" s="3" t="str">
        <f t="shared" si="24"/>
        <v>-</v>
      </c>
      <c r="K79" s="3">
        <f t="shared" si="25"/>
        <v>112</v>
      </c>
      <c r="L79" s="3">
        <f t="shared" si="26"/>
        <v>112</v>
      </c>
      <c r="M79" s="3">
        <f t="shared" si="27"/>
        <v>0.30319022105870369</v>
      </c>
      <c r="N79" s="3">
        <f t="shared" si="28"/>
        <v>0.28363418615828578</v>
      </c>
      <c r="O79" s="3">
        <f>IF(Control!$F$47="N",Control!$F$48,'FLS MP (driving)'!M52)</f>
        <v>0.1</v>
      </c>
      <c r="P79" s="3">
        <f>IF(Control!$F$47="N",Control!$F$48,'FLS MP (driving)'!N52)</f>
        <v>0.1</v>
      </c>
      <c r="Q79" s="3">
        <f>Control!$F$46</f>
        <v>0</v>
      </c>
      <c r="R79" s="3">
        <f>Control!$F$46</f>
        <v>0</v>
      </c>
      <c r="S79" s="3">
        <f t="shared" si="29"/>
        <v>0.40319022105870372</v>
      </c>
      <c r="T79" s="3">
        <f t="shared" si="30"/>
        <v>0.38363418615828582</v>
      </c>
      <c r="X79" s="37">
        <f>IF(OR(D79&gt;=$Z$13,D79&lt;=$Z$12,Geometry!P46="n"),0,"X")</f>
        <v>0</v>
      </c>
      <c r="Y79" s="37">
        <f>IF(OR(D79&gt;=$Z$15,D79&lt;=$Z$12,Geometry!Q46="n"),0,"X")</f>
        <v>0</v>
      </c>
      <c r="Z79" s="37">
        <f t="shared" si="31"/>
        <v>0</v>
      </c>
      <c r="AA79" s="37">
        <f t="shared" si="32"/>
        <v>0</v>
      </c>
      <c r="AB79" s="3">
        <f t="shared" si="33"/>
        <v>29.203830253806316</v>
      </c>
      <c r="AC79" s="3">
        <f t="shared" si="34"/>
        <v>29.203830253806316</v>
      </c>
      <c r="AD79" s="3">
        <f>IF(OR(Control!$F$39="EC",Control!$F$51="N"),G52,MIN(G52,14+0.66*(INDEX('Eff. thickness (DNVGL-RP-C203)'!$E$31:$E$1048576,MATCH(G52,'Eff. thickness (DNVGL-RP-C203)'!$C$31:$C$1048576,0)))))</f>
        <v>81</v>
      </c>
      <c r="AE79" s="3">
        <f>IF(OR(Control!$F$39="EC",Control!$F$51="N"),G52,MIN(G52,14+0.66*(INDEX('Eff. thickness (DNVGL-RP-C203)'!$D$31:$D$1048576,MATCH(G52,'Eff. thickness (DNVGL-RP-C203)'!$C$31:$C$1048576,0))+IF(I52&lt;0.001,0,'Eff. thickness (DNVGL-RP-C203)'!$L$29))))</f>
        <v>81</v>
      </c>
      <c r="AF79" s="3">
        <f t="shared" si="35"/>
        <v>0.88908953613219999</v>
      </c>
      <c r="AG79" s="3">
        <f t="shared" si="36"/>
        <v>0.88908953613219999</v>
      </c>
      <c r="AH79" s="3">
        <f t="shared" si="37"/>
        <v>1</v>
      </c>
      <c r="AI79" s="3">
        <f t="shared" si="38"/>
        <v>1</v>
      </c>
      <c r="AJ79" s="3">
        <f>IF(Control!$F$39&lt;&gt;"DNV",1,IF(D79&gt;Control!$F$16,IF(ISBLANK(Control!$F$56),1,Control!$F$56),IF(D79&gt;Control!$F$22,IF(ISBLANK(Control!$F$57),1,Control!$F$57),1)))</f>
        <v>1</v>
      </c>
      <c r="AK79" s="3">
        <f>IF(Control!$F$39&lt;&gt;"DNV",1,IF(D79&gt;Control!$F$18,IF(ISBLANK(Control!$F$56),1,Control!$F$56),IF(D79&gt;Control!$F$22,IF(ISBLANK(Control!$F$57),1,Control!$F$57),1)))</f>
        <v>1</v>
      </c>
    </row>
    <row r="80" spans="3:37" ht="14.85" customHeight="1">
      <c r="C80" s="12" t="str">
        <f t="shared" si="19"/>
        <v>CW19</v>
      </c>
      <c r="D80" s="2">
        <f t="shared" si="20"/>
        <v>-67.8</v>
      </c>
      <c r="E80" s="3">
        <f>IF(Geometry_loads!H37="-","-",Geometry_loads!H37*Control!$F$54)</f>
        <v>285278.1170289875</v>
      </c>
      <c r="F80" s="3" t="str">
        <f>IF(Geometry_loads!G37="-","-",Geometry_loads!G37*Control!$F$55)</f>
        <v>-</v>
      </c>
      <c r="G80" s="3">
        <f t="shared" si="21"/>
        <v>47.865734093555993</v>
      </c>
      <c r="H80" s="3">
        <f t="shared" si="22"/>
        <v>47.074484203438018</v>
      </c>
      <c r="I80" s="3" t="str">
        <f t="shared" si="23"/>
        <v>-</v>
      </c>
      <c r="J80" s="3" t="str">
        <f t="shared" si="24"/>
        <v>-</v>
      </c>
      <c r="K80" s="3">
        <f t="shared" si="25"/>
        <v>90</v>
      </c>
      <c r="L80" s="3">
        <f t="shared" si="26"/>
        <v>90</v>
      </c>
      <c r="M80" s="3">
        <f t="shared" si="27"/>
        <v>0.49657510071002608</v>
      </c>
      <c r="N80" s="3">
        <f t="shared" si="28"/>
        <v>0.46454557163664756</v>
      </c>
      <c r="O80" s="3">
        <f>IF(Control!$F$47="N",Control!$F$48,'FLS MP (driving)'!M53)</f>
        <v>0.1</v>
      </c>
      <c r="P80" s="3">
        <f>IF(Control!$F$47="N",Control!$F$48,'FLS MP (driving)'!N53)</f>
        <v>0.1</v>
      </c>
      <c r="Q80" s="3">
        <f>Control!$F$46</f>
        <v>0</v>
      </c>
      <c r="R80" s="3">
        <f>Control!$F$46</f>
        <v>0</v>
      </c>
      <c r="S80" s="3">
        <f t="shared" si="29"/>
        <v>0.59657510071002606</v>
      </c>
      <c r="T80" s="3">
        <f t="shared" si="30"/>
        <v>0.56454557163664754</v>
      </c>
      <c r="X80" s="37">
        <f>IF(OR(D80&gt;=$Z$13,D80&lt;=$Z$12,Geometry!P47="n"),0,"X")</f>
        <v>0</v>
      </c>
      <c r="Y80" s="37">
        <f>IF(OR(D80&gt;=$Z$15,D80&lt;=$Z$12,Geometry!Q47="n"),0,"X")</f>
        <v>0</v>
      </c>
      <c r="Z80" s="37">
        <f t="shared" si="31"/>
        <v>0</v>
      </c>
      <c r="AA80" s="37">
        <f t="shared" si="32"/>
        <v>0</v>
      </c>
      <c r="AB80" s="3">
        <f t="shared" si="33"/>
        <v>29.203830253806316</v>
      </c>
      <c r="AC80" s="3">
        <f t="shared" si="34"/>
        <v>29.203830253806316</v>
      </c>
      <c r="AD80" s="3">
        <f>IF(OR(Control!$F$39="EC",Control!$F$51="N"),G53,MIN(G53,14+0.66*(INDEX('Eff. thickness (DNVGL-RP-C203)'!$E$31:$E$1048576,MATCH(G53,'Eff. thickness (DNVGL-RP-C203)'!$C$31:$C$1048576,0)))))</f>
        <v>81</v>
      </c>
      <c r="AE80" s="3">
        <f>IF(OR(Control!$F$39="EC",Control!$F$51="N"),G53,MIN(G53,14+0.66*(INDEX('Eff. thickness (DNVGL-RP-C203)'!$D$31:$D$1048576,MATCH(G53,'Eff. thickness (DNVGL-RP-C203)'!$C$31:$C$1048576,0))+IF(I53&lt;0.001,0,'Eff. thickness (DNVGL-RP-C203)'!$L$29))))</f>
        <v>81</v>
      </c>
      <c r="AF80" s="3">
        <f t="shared" si="35"/>
        <v>0.79048020325977053</v>
      </c>
      <c r="AG80" s="3">
        <f t="shared" si="36"/>
        <v>0.79048020325977053</v>
      </c>
      <c r="AH80" s="3">
        <f t="shared" si="37"/>
        <v>1</v>
      </c>
      <c r="AI80" s="3">
        <f t="shared" si="38"/>
        <v>1</v>
      </c>
      <c r="AJ80" s="3">
        <f>IF(Control!$F$39&lt;&gt;"DNV",1,IF(D80&gt;Control!$F$16,IF(ISBLANK(Control!$F$56),1,Control!$F$56),IF(D80&gt;Control!$F$22,IF(ISBLANK(Control!$F$57),1,Control!$F$57),1)))</f>
        <v>1</v>
      </c>
      <c r="AK80" s="3">
        <f>IF(Control!$F$39&lt;&gt;"DNV",1,IF(D80&gt;Control!$F$18,IF(ISBLANK(Control!$F$56),1,Control!$F$56),IF(D80&gt;Control!$F$22,IF(ISBLANK(Control!$F$57),1,Control!$F$57),1)))</f>
        <v>1</v>
      </c>
    </row>
    <row r="81" spans="2:37" ht="14.85" customHeight="1">
      <c r="C81" s="12" t="str">
        <f t="shared" si="19"/>
        <v>CW20</v>
      </c>
      <c r="D81" s="2">
        <f t="shared" si="20"/>
        <v>-71.8</v>
      </c>
      <c r="E81" s="3">
        <f>IF(Geometry_loads!H38="-","-",Geometry_loads!H38*Control!$F$54)</f>
        <v>203559.48907744349</v>
      </c>
      <c r="F81" s="3" t="str">
        <f>IF(Geometry_loads!G38="-","-",Geometry_loads!G38*Control!$F$55)</f>
        <v>-</v>
      </c>
      <c r="G81" s="3">
        <f t="shared" si="21"/>
        <v>34.154475211328503</v>
      </c>
      <c r="H81" s="3">
        <f t="shared" si="22"/>
        <v>33.589880825182043</v>
      </c>
      <c r="I81" s="3" t="str">
        <f t="shared" si="23"/>
        <v>-</v>
      </c>
      <c r="J81" s="3" t="str">
        <f t="shared" si="24"/>
        <v>-</v>
      </c>
      <c r="K81" s="3">
        <f t="shared" si="25"/>
        <v>90</v>
      </c>
      <c r="L81" s="3">
        <f t="shared" si="26"/>
        <v>90</v>
      </c>
      <c r="M81" s="3">
        <f t="shared" si="27"/>
        <v>6.6046665598988294E-2</v>
      </c>
      <c r="N81" s="3">
        <f t="shared" si="28"/>
        <v>0.21353816528608172</v>
      </c>
      <c r="O81" s="3">
        <f>IF(Control!$F$47="N",Control!$F$48,'FLS MP (driving)'!M54)</f>
        <v>0.1</v>
      </c>
      <c r="P81" s="3">
        <f>IF(Control!$F$47="N",Control!$F$48,'FLS MP (driving)'!N54)</f>
        <v>0.1</v>
      </c>
      <c r="Q81" s="3">
        <f>Control!$F$46</f>
        <v>0</v>
      </c>
      <c r="R81" s="3">
        <f>Control!$F$46</f>
        <v>0</v>
      </c>
      <c r="S81" s="3">
        <f t="shared" si="29"/>
        <v>0.16604666559898829</v>
      </c>
      <c r="T81" s="3">
        <f t="shared" si="30"/>
        <v>0.31353816528608169</v>
      </c>
      <c r="X81" s="37">
        <f>IF(OR(D81&gt;=$Z$13,D81&lt;=$Z$12,Geometry!P48="n"),0,"X")</f>
        <v>0</v>
      </c>
      <c r="Y81" s="37">
        <f>IF(OR(D81&gt;=$Z$15,D81&lt;=$Z$12,Geometry!Q48="n"),0,"X")</f>
        <v>0</v>
      </c>
      <c r="Z81" s="37">
        <f t="shared" si="31"/>
        <v>0</v>
      </c>
      <c r="AA81" s="37">
        <f t="shared" si="32"/>
        <v>0</v>
      </c>
      <c r="AB81" s="3">
        <f t="shared" si="33"/>
        <v>29.203830253806316</v>
      </c>
      <c r="AC81" s="3">
        <f t="shared" si="34"/>
        <v>29.203830253806316</v>
      </c>
      <c r="AD81" s="3">
        <f>IF(OR(Control!$F$39="EC",Control!$F$51="N"),G54,MIN(G54,14+0.66*(INDEX('Eff. thickness (DNVGL-RP-C203)'!$E$31:$E$1048576,MATCH(G54,'Eff. thickness (DNVGL-RP-C203)'!$C$31:$C$1048576,0)))))</f>
        <v>81</v>
      </c>
      <c r="AE81" s="3">
        <f>IF(OR(Control!$F$39="EC",Control!$F$51="N"),G54,MIN(G54,14+0.66*(INDEX('Eff. thickness (DNVGL-RP-C203)'!$D$31:$D$1048576,MATCH(G54,'Eff. thickness (DNVGL-RP-C203)'!$C$31:$C$1048576,0))+IF(I54&lt;0.001,0,'Eff. thickness (DNVGL-RP-C203)'!$L$29))))</f>
        <v>81</v>
      </c>
      <c r="AF81" s="3">
        <f t="shared" si="35"/>
        <v>0.79048020325977053</v>
      </c>
      <c r="AG81" s="3">
        <f t="shared" si="36"/>
        <v>0.79048020325977053</v>
      </c>
      <c r="AH81" s="3">
        <f t="shared" si="37"/>
        <v>1</v>
      </c>
      <c r="AI81" s="3">
        <f t="shared" si="38"/>
        <v>1</v>
      </c>
      <c r="AJ81" s="3">
        <f>IF(Control!$F$39&lt;&gt;"DNV",1,IF(D81&gt;Control!$F$16,IF(ISBLANK(Control!$F$56),1,Control!$F$56),IF(D81&gt;Control!$F$22,IF(ISBLANK(Control!$F$57),1,Control!$F$57),1)))</f>
        <v>1</v>
      </c>
      <c r="AK81" s="3">
        <f>IF(Control!$F$39&lt;&gt;"DNV",1,IF(D81&gt;Control!$F$18,IF(ISBLANK(Control!$F$56),1,Control!$F$56),IF(D81&gt;Control!$F$22,IF(ISBLANK(Control!$F$57),1,Control!$F$57),1)))</f>
        <v>1</v>
      </c>
    </row>
    <row r="82" spans="2:37" ht="14.85" customHeight="1">
      <c r="C82" s="12" t="str">
        <f t="shared" si="19"/>
        <v>CW21</v>
      </c>
      <c r="D82" s="2">
        <f t="shared" si="20"/>
        <v>-75.8</v>
      </c>
      <c r="E82" s="3">
        <f>IF(Geometry_loads!H39="-","-",Geometry_loads!H39*Control!$F$54)</f>
        <v>116256.26070762122</v>
      </c>
      <c r="F82" s="3" t="str">
        <f>IF(Geometry_loads!G39="-","-",Geometry_loads!G39*Control!$F$55)</f>
        <v>-</v>
      </c>
      <c r="G82" s="3">
        <f t="shared" si="21"/>
        <v>17.604149026155241</v>
      </c>
      <c r="H82" s="3">
        <f t="shared" si="22"/>
        <v>17.280807513429945</v>
      </c>
      <c r="I82" s="3" t="str">
        <f t="shared" si="23"/>
        <v>-</v>
      </c>
      <c r="J82" s="3" t="str">
        <f t="shared" si="24"/>
        <v>-</v>
      </c>
      <c r="K82" s="3">
        <f t="shared" si="25"/>
        <v>90</v>
      </c>
      <c r="L82" s="3">
        <f t="shared" si="26"/>
        <v>90</v>
      </c>
      <c r="M82" s="3">
        <f t="shared" si="27"/>
        <v>6.6519255849074683E-3</v>
      </c>
      <c r="N82" s="3">
        <f t="shared" si="28"/>
        <v>1.184887625477273E-2</v>
      </c>
      <c r="O82" s="3">
        <f>IF(Control!$F$47="N",Control!$F$48,'FLS MP (driving)'!M55)</f>
        <v>0.1</v>
      </c>
      <c r="P82" s="3">
        <f>IF(Control!$F$47="N",Control!$F$48,'FLS MP (driving)'!N55)</f>
        <v>0.1</v>
      </c>
      <c r="Q82" s="3">
        <f>Control!$F$46</f>
        <v>0</v>
      </c>
      <c r="R82" s="3">
        <f>Control!$F$46</f>
        <v>0</v>
      </c>
      <c r="S82" s="3">
        <f t="shared" si="29"/>
        <v>0.10665192558490748</v>
      </c>
      <c r="T82" s="3">
        <f t="shared" si="30"/>
        <v>0.11184887625477273</v>
      </c>
      <c r="X82" s="37">
        <f>IF(OR(D82&gt;=$Z$13,D82&lt;=$Z$12,Geometry!P49="n"),0,"X")</f>
        <v>0</v>
      </c>
      <c r="Y82" s="37">
        <f>IF(OR(D82&gt;=$Z$15,D82&lt;=$Z$12,Geometry!Q49="n"),0,"X")</f>
        <v>0</v>
      </c>
      <c r="Z82" s="37">
        <f t="shared" si="31"/>
        <v>0</v>
      </c>
      <c r="AA82" s="37">
        <f t="shared" si="32"/>
        <v>0</v>
      </c>
      <c r="AB82" s="3">
        <f t="shared" si="33"/>
        <v>32.359171501046823</v>
      </c>
      <c r="AC82" s="3">
        <f t="shared" si="34"/>
        <v>32.359171501046823</v>
      </c>
      <c r="AD82" s="3">
        <f>IF(OR(Control!$F$39="EC",Control!$F$51="N"),G55,MIN(G55,14+0.66*(INDEX('Eff. thickness (DNVGL-RP-C203)'!$E$31:$E$1048576,MATCH(G55,'Eff. thickness (DNVGL-RP-C203)'!$C$31:$C$1048576,0)))))</f>
        <v>90</v>
      </c>
      <c r="AE82" s="3">
        <f>IF(OR(Control!$F$39="EC",Control!$F$51="N"),G55,MIN(G55,14+0.66*(INDEX('Eff. thickness (DNVGL-RP-C203)'!$D$31:$D$1048576,MATCH(G55,'Eff. thickness (DNVGL-RP-C203)'!$C$31:$C$1048576,0))+IF(I55&lt;0.001,0,'Eff. thickness (DNVGL-RP-C203)'!$L$29))))</f>
        <v>90</v>
      </c>
      <c r="AF82" s="3">
        <f t="shared" si="35"/>
        <v>0.77399739650057642</v>
      </c>
      <c r="AG82" s="3">
        <f t="shared" si="36"/>
        <v>0.77399739650057642</v>
      </c>
      <c r="AH82" s="3">
        <f t="shared" si="37"/>
        <v>1</v>
      </c>
      <c r="AI82" s="3">
        <f t="shared" si="38"/>
        <v>1</v>
      </c>
      <c r="AJ82" s="3">
        <f>IF(Control!$F$39&lt;&gt;"DNV",1,IF(D82&gt;Control!$F$16,IF(ISBLANK(Control!$F$56),1,Control!$F$56),IF(D82&gt;Control!$F$22,IF(ISBLANK(Control!$F$57),1,Control!$F$57),1)))</f>
        <v>1</v>
      </c>
      <c r="AK82" s="3">
        <f>IF(Control!$F$39&lt;&gt;"DNV",1,IF(D82&gt;Control!$F$18,IF(ISBLANK(Control!$F$56),1,Control!$F$56),IF(D82&gt;Control!$F$22,IF(ISBLANK(Control!$F$57),1,Control!$F$57),1)))</f>
        <v>1</v>
      </c>
    </row>
    <row r="83" spans="2:37" ht="14.85" customHeight="1">
      <c r="C83" s="12" t="str">
        <f t="shared" si="19"/>
        <v>CW22</v>
      </c>
      <c r="D83" s="2">
        <f t="shared" si="20"/>
        <v>-79.73</v>
      </c>
      <c r="E83" s="3">
        <f>IF(Geometry_loads!H40="-","-",Geometry_loads!H40*Control!$F$54)</f>
        <v>35106.662134764665</v>
      </c>
      <c r="F83" s="3" t="str">
        <f>IF(Geometry_loads!G40="-","-",Geometry_loads!G40*Control!$F$55)</f>
        <v>-</v>
      </c>
      <c r="G83" s="3">
        <f t="shared" si="21"/>
        <v>5.0439862895780516</v>
      </c>
      <c r="H83" s="3">
        <f t="shared" si="22"/>
        <v>4.9461947186576607</v>
      </c>
      <c r="I83" s="3" t="str">
        <f t="shared" si="23"/>
        <v>-</v>
      </c>
      <c r="J83" s="3" t="str">
        <f t="shared" si="24"/>
        <v>-</v>
      </c>
      <c r="K83" s="3">
        <f t="shared" si="25"/>
        <v>90</v>
      </c>
      <c r="L83" s="3">
        <f t="shared" si="26"/>
        <v>90</v>
      </c>
      <c r="M83" s="3">
        <f t="shared" si="27"/>
        <v>4.6248570570654568E-5</v>
      </c>
      <c r="N83" s="3">
        <f t="shared" si="28"/>
        <v>7.9711916192688349E-5</v>
      </c>
      <c r="O83" s="3">
        <f>IF(Control!$F$47="N",Control!$F$48,'FLS MP (driving)'!M56)</f>
        <v>0.1</v>
      </c>
      <c r="P83" s="3">
        <f>IF(Control!$F$47="N",Control!$F$48,'FLS MP (driving)'!N56)</f>
        <v>0.1</v>
      </c>
      <c r="Q83" s="3">
        <f>Control!$F$46</f>
        <v>0</v>
      </c>
      <c r="R83" s="3">
        <f>Control!$F$46</f>
        <v>0</v>
      </c>
      <c r="S83" s="3">
        <f t="shared" si="29"/>
        <v>0.10004624857057066</v>
      </c>
      <c r="T83" s="3">
        <f t="shared" si="30"/>
        <v>0.10007971191619269</v>
      </c>
      <c r="X83" s="37">
        <f>IF(OR(D83&gt;=$Z$13,D83&lt;=$Z$12,Geometry!P50="n"),0,"X")</f>
        <v>0</v>
      </c>
      <c r="Y83" s="37">
        <f>IF(OR(D83&gt;=$Z$15,D83&lt;=$Z$12,Geometry!Q50="n"),0,"X")</f>
        <v>0</v>
      </c>
      <c r="Z83" s="37">
        <f t="shared" si="31"/>
        <v>0</v>
      </c>
      <c r="AA83" s="37">
        <f t="shared" si="32"/>
        <v>0</v>
      </c>
      <c r="AB83" s="3">
        <f t="shared" si="33"/>
        <v>34.104502784986202</v>
      </c>
      <c r="AC83" s="3">
        <f t="shared" si="34"/>
        <v>34.104502784986202</v>
      </c>
      <c r="AD83" s="3">
        <f>IF(OR(Control!$F$39="EC",Control!$F$51="N"),G56,MIN(G56,14+0.66*(INDEX('Eff. thickness (DNVGL-RP-C203)'!$E$31:$E$1048576,MATCH(G56,'Eff. thickness (DNVGL-RP-C203)'!$C$31:$C$1048576,0)))))</f>
        <v>95</v>
      </c>
      <c r="AE83" s="3">
        <f>IF(OR(Control!$F$39="EC",Control!$F$51="N"),G56,MIN(G56,14+0.66*(INDEX('Eff. thickness (DNVGL-RP-C203)'!$D$31:$D$1048576,MATCH(G56,'Eff. thickness (DNVGL-RP-C203)'!$C$31:$C$1048576,0))+IF(I56&lt;0.001,0,'Eff. thickness (DNVGL-RP-C203)'!$L$29))))</f>
        <v>95</v>
      </c>
      <c r="AF83" s="3">
        <f t="shared" si="35"/>
        <v>0.76567290811174582</v>
      </c>
      <c r="AG83" s="3">
        <f t="shared" si="36"/>
        <v>0.76567290811174582</v>
      </c>
      <c r="AH83" s="3">
        <f t="shared" si="37"/>
        <v>1</v>
      </c>
      <c r="AI83" s="3">
        <f t="shared" si="38"/>
        <v>1</v>
      </c>
      <c r="AJ83" s="3">
        <f>IF(Control!$F$39&lt;&gt;"DNV",1,IF(D83&gt;Control!$F$16,IF(ISBLANK(Control!$F$56),1,Control!$F$56),IF(D83&gt;Control!$F$22,IF(ISBLANK(Control!$F$57),1,Control!$F$57),1)))</f>
        <v>1</v>
      </c>
      <c r="AK83" s="3">
        <f>IF(Control!$F$39&lt;&gt;"DNV",1,IF(D83&gt;Control!$F$18,IF(ISBLANK(Control!$F$56),1,Control!$F$56),IF(D83&gt;Control!$F$22,IF(ISBLANK(Control!$F$57),1,Control!$F$57),1)))</f>
        <v>1</v>
      </c>
    </row>
    <row r="84" spans="2:37" ht="14.85" customHeight="1"/>
    <row r="85" spans="2:37">
      <c r="C85" s="35" t="s">
        <v>51</v>
      </c>
      <c r="M85" s="271" t="s">
        <v>60</v>
      </c>
      <c r="N85" s="267"/>
      <c r="O85" s="267"/>
      <c r="P85" s="267"/>
      <c r="Q85" s="267"/>
      <c r="R85" s="267"/>
      <c r="S85" s="267"/>
      <c r="T85" s="319"/>
    </row>
    <row r="86" spans="2:37" ht="20.399999999999999">
      <c r="B86" s="11"/>
      <c r="C86" s="312" t="s">
        <v>19</v>
      </c>
      <c r="D86" s="317" t="s">
        <v>282</v>
      </c>
      <c r="E86" s="30" t="s">
        <v>285</v>
      </c>
      <c r="F86" s="30" t="s">
        <v>285</v>
      </c>
      <c r="G86" s="313" t="s">
        <v>24</v>
      </c>
      <c r="H86" s="316"/>
      <c r="I86" s="313" t="s">
        <v>271</v>
      </c>
      <c r="J86" s="316"/>
      <c r="K86" s="312" t="s">
        <v>27</v>
      </c>
      <c r="L86" s="312"/>
      <c r="M86" s="312" t="s">
        <v>61</v>
      </c>
      <c r="N86" s="312"/>
      <c r="O86" s="313" t="s">
        <v>218</v>
      </c>
      <c r="P86" s="314"/>
      <c r="Q86" s="312" t="s">
        <v>62</v>
      </c>
      <c r="R86" s="312"/>
      <c r="S86" s="312" t="s">
        <v>63</v>
      </c>
      <c r="T86" s="312"/>
      <c r="X86" s="312" t="s">
        <v>31</v>
      </c>
      <c r="Y86" s="312"/>
      <c r="Z86" s="313" t="s">
        <v>48</v>
      </c>
      <c r="AA86" s="314"/>
      <c r="AB86" s="30" t="s">
        <v>21</v>
      </c>
      <c r="AC86" s="5" t="s">
        <v>22</v>
      </c>
      <c r="AD86" s="310" t="str">
        <f>IF(OR(Control!$F$39="EC",Control!$F$51="N"),"t","t_eff")</f>
        <v>t</v>
      </c>
      <c r="AE86" s="311"/>
      <c r="AF86" s="312" t="s">
        <v>35</v>
      </c>
      <c r="AG86" s="312"/>
      <c r="AH86" s="312"/>
      <c r="AI86" s="312"/>
      <c r="AJ86" s="310" t="s">
        <v>448</v>
      </c>
      <c r="AK86" s="311"/>
    </row>
    <row r="87" spans="2:37" ht="20.399999999999999">
      <c r="B87" s="11"/>
      <c r="C87" s="312">
        <v>0</v>
      </c>
      <c r="D87" s="318">
        <v>0</v>
      </c>
      <c r="E87" s="30" t="str">
        <f>IF(Control!$F$39="EC","m=4, N=2E6","m=5, N=1E7")</f>
        <v>m=4, N=2E6</v>
      </c>
      <c r="F87" s="30" t="str">
        <f>IF(Control!$F$39="EC","m=3, N=2E6","m=3, N=1E7")</f>
        <v>m=3, N=2E6</v>
      </c>
      <c r="G87" s="30" t="s">
        <v>25</v>
      </c>
      <c r="H87" s="30" t="s">
        <v>26</v>
      </c>
      <c r="I87" s="5" t="s">
        <v>25</v>
      </c>
      <c r="J87" s="5" t="s">
        <v>26</v>
      </c>
      <c r="K87" s="30" t="s">
        <v>25</v>
      </c>
      <c r="L87" s="30" t="s">
        <v>26</v>
      </c>
      <c r="M87" s="30" t="s">
        <v>25</v>
      </c>
      <c r="N87" s="30" t="s">
        <v>64</v>
      </c>
      <c r="O87" s="30" t="s">
        <v>25</v>
      </c>
      <c r="P87" s="30" t="s">
        <v>64</v>
      </c>
      <c r="Q87" s="30" t="s">
        <v>25</v>
      </c>
      <c r="R87" s="30" t="s">
        <v>64</v>
      </c>
      <c r="S87" s="30" t="s">
        <v>25</v>
      </c>
      <c r="T87" s="30" t="s">
        <v>64</v>
      </c>
      <c r="X87" s="30" t="s">
        <v>33</v>
      </c>
      <c r="Y87" s="30" t="s">
        <v>34</v>
      </c>
      <c r="Z87" s="30" t="s">
        <v>33</v>
      </c>
      <c r="AA87" s="30" t="s">
        <v>34</v>
      </c>
      <c r="AB87" s="313" t="s">
        <v>30</v>
      </c>
      <c r="AC87" s="314"/>
      <c r="AD87" s="30" t="s">
        <v>45</v>
      </c>
      <c r="AE87" s="30" t="s">
        <v>34</v>
      </c>
      <c r="AF87" s="30" t="s">
        <v>45</v>
      </c>
      <c r="AG87" s="30" t="s">
        <v>34</v>
      </c>
      <c r="AH87" s="30" t="s">
        <v>46</v>
      </c>
      <c r="AI87" s="30" t="s">
        <v>47</v>
      </c>
      <c r="AJ87" s="30" t="s">
        <v>45</v>
      </c>
      <c r="AK87" s="30" t="s">
        <v>34</v>
      </c>
    </row>
    <row r="88" spans="2:37">
      <c r="B88" s="11"/>
      <c r="C88" s="30" t="s">
        <v>16</v>
      </c>
      <c r="D88" s="30" t="str">
        <f>"[m"&amp;Control!$F$7&amp;"]"</f>
        <v>[mLAT]</v>
      </c>
      <c r="E88" s="313" t="s">
        <v>20</v>
      </c>
      <c r="F88" s="314"/>
      <c r="G88" s="313" t="s">
        <v>77</v>
      </c>
      <c r="H88" s="316"/>
      <c r="I88" s="316"/>
      <c r="J88" s="314"/>
      <c r="K88" s="313" t="s">
        <v>77</v>
      </c>
      <c r="L88" s="314"/>
      <c r="M88" s="320" t="s">
        <v>16</v>
      </c>
      <c r="N88" s="321"/>
      <c r="O88" s="321"/>
      <c r="P88" s="321"/>
      <c r="Q88" s="321"/>
      <c r="R88" s="321"/>
      <c r="S88" s="321"/>
      <c r="T88" s="322"/>
      <c r="X88" s="320" t="s">
        <v>32</v>
      </c>
      <c r="Y88" s="322"/>
      <c r="Z88" s="30" t="s">
        <v>10</v>
      </c>
      <c r="AA88" s="30" t="s">
        <v>10</v>
      </c>
      <c r="AB88" s="313" t="s">
        <v>23</v>
      </c>
      <c r="AC88" s="314"/>
      <c r="AD88" s="87" t="s">
        <v>10</v>
      </c>
      <c r="AE88" s="87" t="s">
        <v>10</v>
      </c>
      <c r="AF88" s="1" t="s">
        <v>16</v>
      </c>
      <c r="AG88" s="1" t="s">
        <v>16</v>
      </c>
      <c r="AH88" s="1" t="s">
        <v>16</v>
      </c>
      <c r="AI88" s="1" t="s">
        <v>16</v>
      </c>
      <c r="AJ88" s="1" t="s">
        <v>16</v>
      </c>
      <c r="AK88" s="1" t="s">
        <v>16</v>
      </c>
    </row>
    <row r="89" spans="2:37" ht="14.85" customHeight="1">
      <c r="C89" s="12" t="str">
        <f>C35</f>
        <v>CW1</v>
      </c>
      <c r="D89" s="2">
        <f>E6</f>
        <v>1.6</v>
      </c>
      <c r="E89" s="3">
        <f>IF(Geometry_loads!H19="-","-",Geometry_loads!H19*Control!$F$54)</f>
        <v>206447.85273540171</v>
      </c>
      <c r="F89" s="3">
        <f>IF(Geometry_loads!G19="-","-",Geometry_loads!G19*Control!$F$55)</f>
        <v>246282.70567200461</v>
      </c>
      <c r="G89" s="3">
        <f>IF(X89=0,E89/AB89*E35/2/1000,(E89*($AF$24/$Z$5)^(1/$AE$4)/AB89*E35/2/1000))</f>
        <v>42.809987802856881</v>
      </c>
      <c r="H89" s="3">
        <f>IF(Y89=0,E89/AB89*(E35-2*H35/1000)/2/1000,(E89*($AF$24/$Z$5)^(1/$AE$4)/AB89*(E35-2*H35/1000)/2/1000))</f>
        <v>41.668388128114024</v>
      </c>
      <c r="I89" s="3">
        <f>IF(X89=0,"-",(F89*($AF$23/$Z$5)^(1/3)/AC89*(E35-2*Z89/1000)/2/1000))</f>
        <v>43.936503303786793</v>
      </c>
      <c r="J89" s="3">
        <f>IF(Y89=0,"-",(F89*($AF$23/$Z$5)^(1/3))/AC89*(E35-2*(H35-AA89)/1000)/2/1000)</f>
        <v>42.795950032494318</v>
      </c>
      <c r="K89" s="3">
        <f>IF(OR(N35="b",N35="o"),$AC$6,$AC$7)</f>
        <v>112</v>
      </c>
      <c r="L89" s="3">
        <f>IF(OR(N35="b",N35="i"),$AC$6,$AC$7)</f>
        <v>112</v>
      </c>
      <c r="M89" s="3">
        <f>IF(D89&gt;$Z$9,$AD$13,$AD$14)*((((IF(D89&gt;$Z$9,$AD$11,$AD$12)/AF89*L35*G89*IF(OR(N35="b",N35="o"),$AE$19,1))/(AJ89*K89))^$AE$4)+(((IF(D89&gt;$Z$9,$AD$11,$AD$12)/AH89*L35*IF(X89=0,0,I89)*IF(OR(N35="b",N35="o"),$AE$19,1))/(0.7*IF(K89=65.5,58.48,K89)))^3))</f>
        <v>0.45541993800165914</v>
      </c>
      <c r="N89" s="3">
        <f>IF(D89&gt;$Z$9,$AD$13,$AD$14)*((((IF(D89&gt;$Z$9,$AD$11,$AD$12)/AG89*M35*H89*IF(OR(N35="b",N35="i"),$AE$19,1))/(AK89*L89))^$AE$4)+(((IF(D89&gt;$Z$9,$AD$11,$AD$12)/AI89*M35*IF(Y89=0,0,J89)*IF(OR(N35="b",N35="i"),$AE$19,1))/(0.7*IF(L89=65.5,58.48,L89)))^3))</f>
        <v>0.86957698403427575</v>
      </c>
      <c r="O89" s="3">
        <f>IF(Control!$F$47="N",Control!$F$48,'FLS MP (driving)'!O35)</f>
        <v>0.1</v>
      </c>
      <c r="P89" s="3">
        <f>IF(Control!$F$47="N",Control!$F$48,'FLS MP (driving)'!P35)</f>
        <v>0.1</v>
      </c>
      <c r="Q89" s="3">
        <f>Control!$F$46</f>
        <v>0</v>
      </c>
      <c r="R89" s="3">
        <f>Control!$F$46</f>
        <v>0</v>
      </c>
      <c r="S89" s="3">
        <f>M89+O89+Q89</f>
        <v>0.55541993800165912</v>
      </c>
      <c r="T89" s="3">
        <f>N89+P89+R89</f>
        <v>0.96957698403427572</v>
      </c>
      <c r="X89" s="36" t="str">
        <f>X62</f>
        <v>X</v>
      </c>
      <c r="Y89" s="36" t="str">
        <f>Y62</f>
        <v>X</v>
      </c>
      <c r="Z89" s="36">
        <f>Z62</f>
        <v>1.7999999999999998</v>
      </c>
      <c r="AA89" s="36">
        <f>AA62</f>
        <v>0.89999999999999991</v>
      </c>
      <c r="AB89" s="3">
        <f>(PI()/64*(E35^4-(E35-2*H35/1000)^4))</f>
        <v>15.916015241432959</v>
      </c>
      <c r="AC89" s="3">
        <f>(PI()/64*((E35-2*Z62/1000)^4-((E35-2*Z62/1000)-2*(H35-Z62-AA62)/1000)^4))</f>
        <v>15.480483198184235</v>
      </c>
      <c r="AD89" s="3">
        <f>IF(OR(Control!$F$39="EC",Control!$F$51="N"),H35,MIN(H35,14+0.66*(INDEX('Eff. thickness (DNVGL-RP-C203)'!$E$31:$E$1048576,MATCH(H35,'Eff. thickness (DNVGL-RP-C203)'!$C$31:$C$1048576,0)))))</f>
        <v>100</v>
      </c>
      <c r="AE89" s="3">
        <f>IF(OR(Control!$F$39="EC",Control!$F$51="N"),H35,MIN(H35,14+0.66*(INDEX('Eff. thickness (DNVGL-RP-C203)'!$D$31:$D$1048576,MATCH(H35,'Eff. thickness (DNVGL-RP-C203)'!$C$31:$C$1048576,0))+IF(I35&lt;0.001,0,'Eff. thickness (DNVGL-RP-C203)'!$L$29))))</f>
        <v>100</v>
      </c>
      <c r="AF89" s="3">
        <f>(25/AD89)^(IF(OR(N35="b",N35="o"),0.1,0.2))</f>
        <v>0.87055056329612412</v>
      </c>
      <c r="AG89" s="3">
        <f>(25/AE89)^(IF(OR(N35="b",N35="i"),0.1,0.2))</f>
        <v>0.87055056329612412</v>
      </c>
      <c r="AH89" s="3">
        <f>IF(X62=0,1,(25/AD89)^(IF(OR(N35="b",N35="o"),0.15,0.2)))</f>
        <v>0.81225239635623547</v>
      </c>
      <c r="AI89" s="3">
        <f>IF(Y62=0,1,(25/AE89)^(IF(OR(N35="b",N35="i"),0.15,0.2)))</f>
        <v>0.81225239635623547</v>
      </c>
      <c r="AJ89" s="3">
        <f>IF(Control!$F$39&lt;&gt;"DNV",1,IF(D89&gt;Control!$F$16,IF(ISBLANK(Control!$F$56),1,Control!$F$56),IF(D89&gt;Control!$F$22,IF(ISBLANK(Control!$F$57),1,Control!$F$57),1)))</f>
        <v>1</v>
      </c>
      <c r="AK89" s="3">
        <f>IF(Control!$F$39&lt;&gt;"DNV",1,IF(D89&gt;Control!$F$18,IF(ISBLANK(Control!$F$56),1,Control!$F$56),IF(D89&gt;Control!$F$22,IF(ISBLANK(Control!$F$57),1,Control!$F$57),1)))</f>
        <v>1</v>
      </c>
    </row>
    <row r="90" spans="2:37" ht="14.85" customHeight="1">
      <c r="C90" s="12" t="str">
        <f t="shared" ref="C90:C110" si="39">C36</f>
        <v>CW2</v>
      </c>
      <c r="D90" s="2">
        <f t="shared" ref="D90:D110" si="40">E7</f>
        <v>-2.2999999999999998</v>
      </c>
      <c r="E90" s="3">
        <f>IF(Geometry_loads!H20="-","-",Geometry_loads!H20*Control!$F$54)</f>
        <v>212463.64088225467</v>
      </c>
      <c r="F90" s="3">
        <f>IF(Geometry_loads!G20="-","-",Geometry_loads!G20*Control!$F$55)</f>
        <v>253469.73457588677</v>
      </c>
      <c r="G90" s="3">
        <f t="shared" ref="G90:G110" si="41">IF(X90=0,E90/AB90*E36/2/1000,(E90*($AF$24/$Z$5)^(1/$AE$4)/AB90*E36/2/1000))</f>
        <v>50.058927515623736</v>
      </c>
      <c r="H90" s="3">
        <f t="shared" ref="H90:H110" si="42">IF(Y90=0,E90/AB90*(E36-2*H36/1000)/2/1000,(E90*($AF$24/$Z$5)^(1/$AE$4)/AB90*(E36-2*H36/1000)/2/1000))</f>
        <v>48.724022781873764</v>
      </c>
      <c r="I90" s="3" t="str">
        <f t="shared" ref="I90:I110" si="43">IF(X90=0,"-",(F90*($AF$23/$Z$5)^(1/3)/AC90*(E36-2*Z90/1000)/2/1000))</f>
        <v>-</v>
      </c>
      <c r="J90" s="3" t="str">
        <f t="shared" ref="J90:J110" si="44">IF(Y90=0,"-",(F90*($AF$23/$Z$5)^(1/3))/AC90*(E36-2*(H36-AA90)/1000)/2/1000)</f>
        <v>-</v>
      </c>
      <c r="K90" s="3">
        <f t="shared" ref="K90:K110" si="45">IF(OR(N36="b",N36="o"),$AC$6,$AC$7)</f>
        <v>90</v>
      </c>
      <c r="L90" s="3">
        <f t="shared" ref="L90:L110" si="46">IF(OR(N36="b",N36="i"),$AC$6,$AC$7)</f>
        <v>90</v>
      </c>
      <c r="M90" s="3">
        <f t="shared" ref="M90:M110" si="47">IF(D90&gt;$Z$9,$AD$13,$AD$14)*((((IF(D90&gt;$Z$9,$AD$11,$AD$12)/AF90*L36*G90*IF(OR(N36="b",N36="o"),$AE$19,1))/(AJ90*K90))^$AE$4)+(((IF(D90&gt;$Z$9,$AD$11,$AD$12)/AH90*L36*IF(X90=0,0,I90)*IF(OR(N36="b",N36="o"),$AE$19,1))/(0.7*IF(K90=65.5,58.48,K90)))^3))</f>
        <v>0.62709177971825736</v>
      </c>
      <c r="N90" s="3">
        <f t="shared" ref="N90:N110" si="48">IF(D90&gt;$Z$9,$AD$13,$AD$14)*((((IF(D90&gt;$Z$9,$AD$11,$AD$12)/AG90*M36*H90*IF(OR(N36="b",N36="i"),$AE$19,1))/(AK90*L90))^$AE$4)+(((IF(D90&gt;$Z$9,$AD$11,$AD$12)/AI90*M36*IF(Y90=0,0,J90)*IF(OR(N36="b",N36="i"),$AE$19,1))/(0.7*IF(L90=65.5,58.48,L90)))^3))</f>
        <v>0.56283033250948644</v>
      </c>
      <c r="O90" s="3">
        <f>IF(Control!$F$47="N",Control!$F$48,'FLS MP (driving)'!O36)</f>
        <v>0.1</v>
      </c>
      <c r="P90" s="3">
        <f>IF(Control!$F$47="N",Control!$F$48,'FLS MP (driving)'!P36)</f>
        <v>0.1</v>
      </c>
      <c r="Q90" s="3">
        <f>Control!$F$46</f>
        <v>0</v>
      </c>
      <c r="R90" s="3">
        <f>Control!$F$46</f>
        <v>0</v>
      </c>
      <c r="S90" s="3">
        <f t="shared" ref="S90:S110" si="49">M90+O90+Q90</f>
        <v>0.72709177971825734</v>
      </c>
      <c r="T90" s="3">
        <f t="shared" ref="T90:T110" si="50">N90+P90+R90</f>
        <v>0.66283033250948642</v>
      </c>
      <c r="X90" s="36">
        <f t="shared" ref="X90:AA90" si="51">X63</f>
        <v>0</v>
      </c>
      <c r="Y90" s="36">
        <f t="shared" si="51"/>
        <v>0</v>
      </c>
      <c r="Z90" s="36">
        <f t="shared" si="51"/>
        <v>0</v>
      </c>
      <c r="AA90" s="36">
        <f t="shared" si="51"/>
        <v>0</v>
      </c>
      <c r="AB90" s="3">
        <f t="shared" ref="AB90:AB110" si="52">(PI()/64*(E36^4-(E36-2*H36/1000)^4))</f>
        <v>15.916015241432959</v>
      </c>
      <c r="AC90" s="3">
        <f t="shared" ref="AC90:AC110" si="53">(PI()/64*((E36-2*Z63/1000)^4-((E36-2*Z63/1000)-2*(H36-Z63-AA63)/1000)^4))</f>
        <v>15.916015241432959</v>
      </c>
      <c r="AD90" s="3">
        <f>IF(OR(Control!$F$39="EC",Control!$F$51="N"),H36,MIN(H36,14+0.66*(INDEX('Eff. thickness (DNVGL-RP-C203)'!$E$31:$E$1048576,MATCH(H36,'Eff. thickness (DNVGL-RP-C203)'!$C$31:$C$1048576,0)))))</f>
        <v>100</v>
      </c>
      <c r="AE90" s="3">
        <f>IF(OR(Control!$F$39="EC",Control!$F$51="N"),H36,MIN(H36,14+0.66*(INDEX('Eff. thickness (DNVGL-RP-C203)'!$D$31:$D$1048576,MATCH(H36,'Eff. thickness (DNVGL-RP-C203)'!$C$31:$C$1048576,0))+IF(I36&lt;0.001,0,'Eff. thickness (DNVGL-RP-C203)'!$L$29))))</f>
        <v>100</v>
      </c>
      <c r="AF90" s="3">
        <f t="shared" ref="AF90:AF110" si="54">(25/AD90)^(IF(OR(N36="b",N36="o"),0.1,0.2))</f>
        <v>0.75785828325519911</v>
      </c>
      <c r="AG90" s="3">
        <f t="shared" ref="AG90:AG110" si="55">(25/AE90)^(IF(OR(N36="b",N36="i"),0.1,0.2))</f>
        <v>0.75785828325519911</v>
      </c>
      <c r="AH90" s="3">
        <f t="shared" ref="AH90:AH110" si="56">IF(X63=0,1,(25/AD90)^(IF(OR(N36="b",N36="o"),0.15,0.2)))</f>
        <v>1</v>
      </c>
      <c r="AI90" s="3">
        <f t="shared" ref="AI90:AI110" si="57">IF(Y63=0,1,(25/AE90)^(IF(OR(N36="b",N36="i"),0.15,0.2)))</f>
        <v>1</v>
      </c>
      <c r="AJ90" s="3">
        <f>IF(Control!$F$39&lt;&gt;"DNV",1,IF(D90&gt;Control!$F$16,IF(ISBLANK(Control!$F$56),1,Control!$F$56),IF(D90&gt;Control!$F$22,IF(ISBLANK(Control!$F$57),1,Control!$F$57),1)))</f>
        <v>1</v>
      </c>
      <c r="AK90" s="3">
        <f>IF(Control!$F$39&lt;&gt;"DNV",1,IF(D90&gt;Control!$F$18,IF(ISBLANK(Control!$F$56),1,Control!$F$56),IF(D90&gt;Control!$F$22,IF(ISBLANK(Control!$F$57),1,Control!$F$57),1)))</f>
        <v>1</v>
      </c>
    </row>
    <row r="91" spans="2:37" ht="14.85" customHeight="1">
      <c r="C91" s="12" t="str">
        <f t="shared" si="39"/>
        <v>CW3</v>
      </c>
      <c r="D91" s="2">
        <f t="shared" si="40"/>
        <v>-6.2</v>
      </c>
      <c r="E91" s="3">
        <f>IF(Geometry_loads!H21="-","-",Geometry_loads!H21*Control!$F$54)</f>
        <v>217941.103467868</v>
      </c>
      <c r="F91" s="3">
        <f>IF(Geometry_loads!G21="-","-",Geometry_loads!G21*Control!$F$55)</f>
        <v>259948.83343784476</v>
      </c>
      <c r="G91" s="3">
        <f t="shared" si="41"/>
        <v>51.349481990752558</v>
      </c>
      <c r="H91" s="3">
        <f t="shared" si="42"/>
        <v>49.980162470999161</v>
      </c>
      <c r="I91" s="3" t="str">
        <f t="shared" si="43"/>
        <v>-</v>
      </c>
      <c r="J91" s="3" t="str">
        <f t="shared" si="44"/>
        <v>-</v>
      </c>
      <c r="K91" s="3">
        <f t="shared" si="45"/>
        <v>112</v>
      </c>
      <c r="L91" s="3">
        <f t="shared" si="46"/>
        <v>90</v>
      </c>
      <c r="M91" s="3">
        <f t="shared" si="47"/>
        <v>0.55193318771435107</v>
      </c>
      <c r="N91" s="3">
        <f t="shared" si="48"/>
        <v>0.70389626630392399</v>
      </c>
      <c r="O91" s="3">
        <f>IF(Control!$F$47="N",Control!$F$48,'FLS MP (driving)'!O37)</f>
        <v>0.1</v>
      </c>
      <c r="P91" s="3">
        <f>IF(Control!$F$47="N",Control!$F$48,'FLS MP (driving)'!P37)</f>
        <v>0.1</v>
      </c>
      <c r="Q91" s="3">
        <f>Control!$F$46</f>
        <v>0</v>
      </c>
      <c r="R91" s="3">
        <f>Control!$F$46</f>
        <v>0</v>
      </c>
      <c r="S91" s="3">
        <f t="shared" si="49"/>
        <v>0.65193318771435105</v>
      </c>
      <c r="T91" s="3">
        <f t="shared" si="50"/>
        <v>0.80389626630392397</v>
      </c>
      <c r="X91" s="36">
        <f t="shared" ref="X91:AA91" si="58">X64</f>
        <v>0</v>
      </c>
      <c r="Y91" s="36">
        <f t="shared" si="58"/>
        <v>0</v>
      </c>
      <c r="Z91" s="36">
        <f t="shared" si="58"/>
        <v>0</v>
      </c>
      <c r="AA91" s="36">
        <f t="shared" si="58"/>
        <v>0</v>
      </c>
      <c r="AB91" s="3">
        <f t="shared" si="52"/>
        <v>15.916015241432959</v>
      </c>
      <c r="AC91" s="3">
        <f t="shared" si="53"/>
        <v>15.916015241432959</v>
      </c>
      <c r="AD91" s="3">
        <f>IF(OR(Control!$F$39="EC",Control!$F$51="N"),H37,MIN(H37,14+0.66*(INDEX('Eff. thickness (DNVGL-RP-C203)'!$E$31:$E$1048576,MATCH(H37,'Eff. thickness (DNVGL-RP-C203)'!$C$31:$C$1048576,0)))))</f>
        <v>100</v>
      </c>
      <c r="AE91" s="3">
        <f>IF(OR(Control!$F$39="EC",Control!$F$51="N"),H37,MIN(H37,14+0.66*(INDEX('Eff. thickness (DNVGL-RP-C203)'!$D$31:$D$1048576,MATCH(H37,'Eff. thickness (DNVGL-RP-C203)'!$C$31:$C$1048576,0))+IF(I37&lt;0.001,0,'Eff. thickness (DNVGL-RP-C203)'!$L$29))))</f>
        <v>100</v>
      </c>
      <c r="AF91" s="3">
        <f t="shared" si="54"/>
        <v>0.87055056329612412</v>
      </c>
      <c r="AG91" s="3">
        <f t="shared" si="55"/>
        <v>0.75785828325519911</v>
      </c>
      <c r="AH91" s="3">
        <f t="shared" si="56"/>
        <v>1</v>
      </c>
      <c r="AI91" s="3">
        <f t="shared" si="57"/>
        <v>1</v>
      </c>
      <c r="AJ91" s="3">
        <f>IF(Control!$F$39&lt;&gt;"DNV",1,IF(D91&gt;Control!$F$16,IF(ISBLANK(Control!$F$56),1,Control!$F$56),IF(D91&gt;Control!$F$22,IF(ISBLANK(Control!$F$57),1,Control!$F$57),1)))</f>
        <v>1</v>
      </c>
      <c r="AK91" s="3">
        <f>IF(Control!$F$39&lt;&gt;"DNV",1,IF(D91&gt;Control!$F$18,IF(ISBLANK(Control!$F$56),1,Control!$F$56),IF(D91&gt;Control!$F$22,IF(ISBLANK(Control!$F$57),1,Control!$F$57),1)))</f>
        <v>1</v>
      </c>
    </row>
    <row r="92" spans="2:37" ht="14.85" customHeight="1">
      <c r="C92" s="12" t="str">
        <f t="shared" si="39"/>
        <v>CW4</v>
      </c>
      <c r="D92" s="2">
        <f t="shared" si="40"/>
        <v>-10.1</v>
      </c>
      <c r="E92" s="3">
        <f>IF(Geometry_loads!H22="-","-",Geometry_loads!H22*Control!$F$54)</f>
        <v>223997.26603181395</v>
      </c>
      <c r="F92" s="3">
        <f>IF(Geometry_loads!G22="-","-",Geometry_loads!G22*Control!$F$55)</f>
        <v>266920.40537244565</v>
      </c>
      <c r="G92" s="3">
        <f t="shared" si="41"/>
        <v>45.729094642055792</v>
      </c>
      <c r="H92" s="3">
        <f t="shared" si="42"/>
        <v>44.49069447035621</v>
      </c>
      <c r="I92" s="3" t="str">
        <f t="shared" si="43"/>
        <v>-</v>
      </c>
      <c r="J92" s="3" t="str">
        <f t="shared" si="44"/>
        <v>-</v>
      </c>
      <c r="K92" s="3">
        <f t="shared" si="45"/>
        <v>90</v>
      </c>
      <c r="L92" s="3">
        <f t="shared" si="46"/>
        <v>90</v>
      </c>
      <c r="M92" s="3">
        <f t="shared" si="47"/>
        <v>0.31737954209850283</v>
      </c>
      <c r="N92" s="3">
        <f t="shared" si="48"/>
        <v>0.5788460768673408</v>
      </c>
      <c r="O92" s="3">
        <f>IF(Control!$F$47="N",Control!$F$48,'FLS MP (driving)'!O38)</f>
        <v>0.1</v>
      </c>
      <c r="P92" s="3">
        <f>IF(Control!$F$47="N",Control!$F$48,'FLS MP (driving)'!P38)</f>
        <v>0.1</v>
      </c>
      <c r="Q92" s="3">
        <f>Control!$F$46</f>
        <v>0</v>
      </c>
      <c r="R92" s="3">
        <f>Control!$F$46</f>
        <v>0</v>
      </c>
      <c r="S92" s="3">
        <f t="shared" si="49"/>
        <v>0.41737954209850281</v>
      </c>
      <c r="T92" s="3">
        <f t="shared" si="50"/>
        <v>0.67884607686734078</v>
      </c>
      <c r="X92" s="36">
        <f t="shared" ref="X92:AA92" si="59">X65</f>
        <v>0</v>
      </c>
      <c r="Y92" s="36">
        <f t="shared" si="59"/>
        <v>0</v>
      </c>
      <c r="Z92" s="36">
        <f t="shared" si="59"/>
        <v>0</v>
      </c>
      <c r="AA92" s="36">
        <f t="shared" si="59"/>
        <v>0</v>
      </c>
      <c r="AB92" s="3">
        <f t="shared" si="52"/>
        <v>19.172889944601998</v>
      </c>
      <c r="AC92" s="3">
        <f t="shared" si="53"/>
        <v>19.172889944601998</v>
      </c>
      <c r="AD92" s="3">
        <f>IF(OR(Control!$F$39="EC",Control!$F$51="N"),H38,MIN(H38,14+0.66*(INDEX('Eff. thickness (DNVGL-RP-C203)'!$E$31:$E$1048576,MATCH(H38,'Eff. thickness (DNVGL-RP-C203)'!$C$31:$C$1048576,0)))))</f>
        <v>106</v>
      </c>
      <c r="AE92" s="3">
        <f>IF(OR(Control!$F$39="EC",Control!$F$51="N"),H38,MIN(H38,14+0.66*(INDEX('Eff. thickness (DNVGL-RP-C203)'!$D$31:$D$1048576,MATCH(H38,'Eff. thickness (DNVGL-RP-C203)'!$C$31:$C$1048576,0))+IF(I38&lt;0.001,0,'Eff. thickness (DNVGL-RP-C203)'!$L$29))))</f>
        <v>106</v>
      </c>
      <c r="AF92" s="3">
        <f t="shared" si="54"/>
        <v>0.7490776315933545</v>
      </c>
      <c r="AG92" s="3">
        <f t="shared" si="55"/>
        <v>0.7490776315933545</v>
      </c>
      <c r="AH92" s="3">
        <f t="shared" si="56"/>
        <v>1</v>
      </c>
      <c r="AI92" s="3">
        <f t="shared" si="57"/>
        <v>1</v>
      </c>
      <c r="AJ92" s="3">
        <f>IF(Control!$F$39&lt;&gt;"DNV",1,IF(D92&gt;Control!$F$16,IF(ISBLANK(Control!$F$56),1,Control!$F$56),IF(D92&gt;Control!$F$22,IF(ISBLANK(Control!$F$57),1,Control!$F$57),1)))</f>
        <v>1</v>
      </c>
      <c r="AK92" s="3">
        <f>IF(Control!$F$39&lt;&gt;"DNV",1,IF(D92&gt;Control!$F$18,IF(ISBLANK(Control!$F$56),1,Control!$F$56),IF(D92&gt;Control!$F$22,IF(ISBLANK(Control!$F$57),1,Control!$F$57),1)))</f>
        <v>1</v>
      </c>
    </row>
    <row r="93" spans="2:37" ht="14.85" customHeight="1">
      <c r="C93" s="12" t="str">
        <f t="shared" si="39"/>
        <v>CW5</v>
      </c>
      <c r="D93" s="2">
        <f t="shared" si="40"/>
        <v>-14</v>
      </c>
      <c r="E93" s="3">
        <f>IF(Geometry_loads!H23="-","-",Geometry_loads!H23*Control!$F$54)</f>
        <v>230147.63556897684</v>
      </c>
      <c r="F93" s="3">
        <f>IF(Geometry_loads!G23="-","-",Geometry_loads!G23*Control!$F$55)</f>
        <v>274076.65470928769</v>
      </c>
      <c r="G93" s="3">
        <f t="shared" si="41"/>
        <v>46.596865656678446</v>
      </c>
      <c r="H93" s="3">
        <f t="shared" si="42"/>
        <v>45.477160673142549</v>
      </c>
      <c r="I93" s="3" t="str">
        <f t="shared" si="43"/>
        <v>-</v>
      </c>
      <c r="J93" s="3" t="str">
        <f t="shared" si="44"/>
        <v>-</v>
      </c>
      <c r="K93" s="3">
        <f t="shared" si="45"/>
        <v>90</v>
      </c>
      <c r="L93" s="3">
        <f t="shared" si="46"/>
        <v>90</v>
      </c>
      <c r="M93" s="3">
        <f t="shared" si="47"/>
        <v>0.28466232589428192</v>
      </c>
      <c r="N93" s="3">
        <f t="shared" si="48"/>
        <v>0.66848710153662338</v>
      </c>
      <c r="O93" s="3">
        <f>IF(Control!$F$47="N",Control!$F$48,'FLS MP (driving)'!O39)</f>
        <v>0.1</v>
      </c>
      <c r="P93" s="3">
        <f>IF(Control!$F$47="N",Control!$F$48,'FLS MP (driving)'!P39)</f>
        <v>0.1</v>
      </c>
      <c r="Q93" s="3">
        <f>Control!$F$46</f>
        <v>0</v>
      </c>
      <c r="R93" s="3">
        <f>Control!$F$46</f>
        <v>0</v>
      </c>
      <c r="S93" s="3">
        <f t="shared" si="49"/>
        <v>0.38466232589428195</v>
      </c>
      <c r="T93" s="3">
        <f t="shared" si="50"/>
        <v>0.76848710153662336</v>
      </c>
      <c r="X93" s="36">
        <f t="shared" ref="X93:AA93" si="60">X66</f>
        <v>0</v>
      </c>
      <c r="Y93" s="36">
        <f t="shared" si="60"/>
        <v>0</v>
      </c>
      <c r="Z93" s="36">
        <f t="shared" si="60"/>
        <v>0</v>
      </c>
      <c r="AA93" s="36">
        <f t="shared" si="60"/>
        <v>0</v>
      </c>
      <c r="AB93" s="3">
        <f t="shared" si="52"/>
        <v>20.143223989711259</v>
      </c>
      <c r="AC93" s="3">
        <f t="shared" si="53"/>
        <v>20.143223989711259</v>
      </c>
      <c r="AD93" s="3">
        <f>IF(OR(Control!$F$39="EC",Control!$F$51="N"),H39,MIN(H39,14+0.66*(INDEX('Eff. thickness (DNVGL-RP-C203)'!$E$31:$E$1048576,MATCH(H39,'Eff. thickness (DNVGL-RP-C203)'!$C$31:$C$1048576,0)))))</f>
        <v>98</v>
      </c>
      <c r="AE93" s="3">
        <f>IF(OR(Control!$F$39="EC",Control!$F$51="N"),H39,MIN(H39,14+0.66*(INDEX('Eff. thickness (DNVGL-RP-C203)'!$D$31:$D$1048576,MATCH(H39,'Eff. thickness (DNVGL-RP-C203)'!$C$31:$C$1048576,0))+IF(I39&lt;0.001,0,'Eff. thickness (DNVGL-RP-C203)'!$L$29))))</f>
        <v>98</v>
      </c>
      <c r="AF93" s="3">
        <f t="shared" si="54"/>
        <v>0.76092663580050734</v>
      </c>
      <c r="AG93" s="3">
        <f t="shared" si="55"/>
        <v>0.76092663580050734</v>
      </c>
      <c r="AH93" s="3">
        <f t="shared" si="56"/>
        <v>1</v>
      </c>
      <c r="AI93" s="3">
        <f t="shared" si="57"/>
        <v>1</v>
      </c>
      <c r="AJ93" s="3">
        <f>IF(Control!$F$39&lt;&gt;"DNV",1,IF(D93&gt;Control!$F$16,IF(ISBLANK(Control!$F$56),1,Control!$F$56),IF(D93&gt;Control!$F$22,IF(ISBLANK(Control!$F$57),1,Control!$F$57),1)))</f>
        <v>1</v>
      </c>
      <c r="AK93" s="3">
        <f>IF(Control!$F$39&lt;&gt;"DNV",1,IF(D93&gt;Control!$F$18,IF(ISBLANK(Control!$F$56),1,Control!$F$56),IF(D93&gt;Control!$F$22,IF(ISBLANK(Control!$F$57),1,Control!$F$57),1)))</f>
        <v>1</v>
      </c>
    </row>
    <row r="94" spans="2:37" ht="14.85" customHeight="1">
      <c r="C94" s="12" t="str">
        <f t="shared" si="39"/>
        <v>CW6</v>
      </c>
      <c r="D94" s="2">
        <f t="shared" si="40"/>
        <v>-17.899999999999999</v>
      </c>
      <c r="E94" s="3">
        <f>IF(Geometry_loads!H24="-","-",Geometry_loads!H24*Control!$F$54)</f>
        <v>237603.44459214588</v>
      </c>
      <c r="F94" s="3">
        <f>IF(Geometry_loads!G24="-","-",Geometry_loads!G24*Control!$F$55)</f>
        <v>282956.55980037979</v>
      </c>
      <c r="G94" s="3">
        <f t="shared" si="41"/>
        <v>46.698486207961217</v>
      </c>
      <c r="H94" s="3">
        <f t="shared" si="42"/>
        <v>45.674782828425954</v>
      </c>
      <c r="I94" s="3" t="str">
        <f t="shared" si="43"/>
        <v>-</v>
      </c>
      <c r="J94" s="3" t="str">
        <f t="shared" si="44"/>
        <v>-</v>
      </c>
      <c r="K94" s="3">
        <f t="shared" si="45"/>
        <v>90</v>
      </c>
      <c r="L94" s="3">
        <f t="shared" si="46"/>
        <v>90</v>
      </c>
      <c r="M94" s="3">
        <f t="shared" si="47"/>
        <v>0.33563381372407419</v>
      </c>
      <c r="N94" s="3">
        <f t="shared" si="48"/>
        <v>0.57897568832462276</v>
      </c>
      <c r="O94" s="3">
        <f>IF(Control!$F$47="N",Control!$F$48,'FLS MP (driving)'!O40)</f>
        <v>0.1</v>
      </c>
      <c r="P94" s="3">
        <f>IF(Control!$F$47="N",Control!$F$48,'FLS MP (driving)'!P40)</f>
        <v>0.1</v>
      </c>
      <c r="Q94" s="3">
        <f>Control!$F$46</f>
        <v>0</v>
      </c>
      <c r="R94" s="3">
        <f>Control!$F$46</f>
        <v>0</v>
      </c>
      <c r="S94" s="3">
        <f t="shared" si="49"/>
        <v>0.43563381372407417</v>
      </c>
      <c r="T94" s="3">
        <f t="shared" si="50"/>
        <v>0.67897568832462274</v>
      </c>
      <c r="X94" s="36">
        <f t="shared" ref="X94:AA94" si="61">X67</f>
        <v>0</v>
      </c>
      <c r="Y94" s="36">
        <f t="shared" si="61"/>
        <v>0</v>
      </c>
      <c r="Z94" s="36">
        <f t="shared" si="61"/>
        <v>0</v>
      </c>
      <c r="AA94" s="36">
        <f t="shared" si="61"/>
        <v>0</v>
      </c>
      <c r="AB94" s="3">
        <f t="shared" si="52"/>
        <v>21.585471718478811</v>
      </c>
      <c r="AC94" s="3">
        <f t="shared" si="53"/>
        <v>21.585471718478811</v>
      </c>
      <c r="AD94" s="3">
        <f>IF(OR(Control!$F$39="EC",Control!$F$51="N"),H40,MIN(H40,14+0.66*(INDEX('Eff. thickness (DNVGL-RP-C203)'!$E$31:$E$1048576,MATCH(H40,'Eff. thickness (DNVGL-RP-C203)'!$C$31:$C$1048576,0)))))</f>
        <v>93</v>
      </c>
      <c r="AE94" s="3">
        <f>IF(OR(Control!$F$39="EC",Control!$F$51="N"),H40,MIN(H40,14+0.66*(INDEX('Eff. thickness (DNVGL-RP-C203)'!$D$31:$D$1048576,MATCH(H40,'Eff. thickness (DNVGL-RP-C203)'!$C$31:$C$1048576,0))+IF(I40&lt;0.001,0,'Eff. thickness (DNVGL-RP-C203)'!$L$29))))</f>
        <v>93</v>
      </c>
      <c r="AF94" s="3">
        <f t="shared" si="54"/>
        <v>0.76893815629207973</v>
      </c>
      <c r="AG94" s="3">
        <f t="shared" si="55"/>
        <v>0.76893815629207973</v>
      </c>
      <c r="AH94" s="3">
        <f t="shared" si="56"/>
        <v>1</v>
      </c>
      <c r="AI94" s="3">
        <f t="shared" si="57"/>
        <v>1</v>
      </c>
      <c r="AJ94" s="3">
        <f>IF(Control!$F$39&lt;&gt;"DNV",1,IF(D94&gt;Control!$F$16,IF(ISBLANK(Control!$F$56),1,Control!$F$56),IF(D94&gt;Control!$F$22,IF(ISBLANK(Control!$F$57),1,Control!$F$57),1)))</f>
        <v>1</v>
      </c>
      <c r="AK94" s="3">
        <f>IF(Control!$F$39&lt;&gt;"DNV",1,IF(D94&gt;Control!$F$18,IF(ISBLANK(Control!$F$56),1,Control!$F$56),IF(D94&gt;Control!$F$22,IF(ISBLANK(Control!$F$57),1,Control!$F$57),1)))</f>
        <v>1</v>
      </c>
    </row>
    <row r="95" spans="2:37" ht="14.85" customHeight="1">
      <c r="C95" s="12" t="str">
        <f t="shared" si="39"/>
        <v>CW7</v>
      </c>
      <c r="D95" s="2">
        <f t="shared" si="40"/>
        <v>-21.8</v>
      </c>
      <c r="E95" s="3">
        <f>IF(Geometry_loads!H25="-","-",Geometry_loads!H25*Control!$F$54)</f>
        <v>246122.44659876317</v>
      </c>
      <c r="F95" s="3">
        <f>IF(Geometry_loads!G25="-","-",Geometry_loads!G25*Control!$F$55)</f>
        <v>293129.20670715946</v>
      </c>
      <c r="G95" s="3">
        <f t="shared" si="41"/>
        <v>44.78094979542049</v>
      </c>
      <c r="H95" s="3">
        <f t="shared" si="42"/>
        <v>43.835850266089366</v>
      </c>
      <c r="I95" s="3" t="str">
        <f t="shared" si="43"/>
        <v>-</v>
      </c>
      <c r="J95" s="3" t="str">
        <f t="shared" si="44"/>
        <v>-</v>
      </c>
      <c r="K95" s="3">
        <f t="shared" si="45"/>
        <v>90</v>
      </c>
      <c r="L95" s="3">
        <f t="shared" si="46"/>
        <v>90</v>
      </c>
      <c r="M95" s="3">
        <f t="shared" si="47"/>
        <v>0.39324714206983313</v>
      </c>
      <c r="N95" s="3">
        <f t="shared" si="48"/>
        <v>0.36108555218168936</v>
      </c>
      <c r="O95" s="3">
        <f>IF(Control!$F$47="N",Control!$F$48,'FLS MP (driving)'!O41)</f>
        <v>0.1</v>
      </c>
      <c r="P95" s="3">
        <f>IF(Control!$F$47="N",Control!$F$48,'FLS MP (driving)'!P41)</f>
        <v>0.1</v>
      </c>
      <c r="Q95" s="3">
        <f>Control!$F$46</f>
        <v>0</v>
      </c>
      <c r="R95" s="3">
        <f>Control!$F$46</f>
        <v>0</v>
      </c>
      <c r="S95" s="3">
        <f t="shared" si="49"/>
        <v>0.49324714206983311</v>
      </c>
      <c r="T95" s="3">
        <f t="shared" si="50"/>
        <v>0.46108555218168934</v>
      </c>
      <c r="X95" s="36">
        <f t="shared" ref="X95:AA95" si="62">X68</f>
        <v>0</v>
      </c>
      <c r="Y95" s="36">
        <f t="shared" si="62"/>
        <v>0</v>
      </c>
      <c r="Z95" s="36">
        <f t="shared" si="62"/>
        <v>0</v>
      </c>
      <c r="AA95" s="36">
        <f t="shared" si="62"/>
        <v>0</v>
      </c>
      <c r="AB95" s="3">
        <f t="shared" si="52"/>
        <v>24.21902331269202</v>
      </c>
      <c r="AC95" s="3">
        <f t="shared" si="53"/>
        <v>24.21902331269202</v>
      </c>
      <c r="AD95" s="3">
        <f>IF(OR(Control!$F$39="EC",Control!$F$51="N"),H41,MIN(H41,14+0.66*(INDEX('Eff. thickness (DNVGL-RP-C203)'!$E$31:$E$1048576,MATCH(H41,'Eff. thickness (DNVGL-RP-C203)'!$C$31:$C$1048576,0)))))</f>
        <v>93</v>
      </c>
      <c r="AE95" s="3">
        <f>IF(OR(Control!$F$39="EC",Control!$F$51="N"),H41,MIN(H41,14+0.66*(INDEX('Eff. thickness (DNVGL-RP-C203)'!$D$31:$D$1048576,MATCH(H41,'Eff. thickness (DNVGL-RP-C203)'!$C$31:$C$1048576,0))+IF(I41&lt;0.001,0,'Eff. thickness (DNVGL-RP-C203)'!$L$29))))</f>
        <v>93</v>
      </c>
      <c r="AF95" s="3">
        <f t="shared" si="54"/>
        <v>0.76893815629207973</v>
      </c>
      <c r="AG95" s="3">
        <f t="shared" si="55"/>
        <v>0.76893815629207973</v>
      </c>
      <c r="AH95" s="3">
        <f t="shared" si="56"/>
        <v>1</v>
      </c>
      <c r="AI95" s="3">
        <f t="shared" si="57"/>
        <v>1</v>
      </c>
      <c r="AJ95" s="3">
        <f>IF(Control!$F$39&lt;&gt;"DNV",1,IF(D95&gt;Control!$F$16,IF(ISBLANK(Control!$F$56),1,Control!$F$56),IF(D95&gt;Control!$F$22,IF(ISBLANK(Control!$F$57),1,Control!$F$57),1)))</f>
        <v>1</v>
      </c>
      <c r="AK95" s="3">
        <f>IF(Control!$F$39&lt;&gt;"DNV",1,IF(D95&gt;Control!$F$18,IF(ISBLANK(Control!$F$56),1,Control!$F$56),IF(D95&gt;Control!$F$22,IF(ISBLANK(Control!$F$57),1,Control!$F$57),1)))</f>
        <v>1</v>
      </c>
    </row>
    <row r="96" spans="2:37" ht="14.85" customHeight="1">
      <c r="C96" s="12" t="str">
        <f t="shared" si="39"/>
        <v>CW8</v>
      </c>
      <c r="D96" s="2">
        <f t="shared" si="40"/>
        <v>-25.7</v>
      </c>
      <c r="E96" s="3">
        <f>IF(Geometry_loads!H26="-","-",Geometry_loads!H26*Control!$F$54)</f>
        <v>255718.09972785975</v>
      </c>
      <c r="F96" s="3">
        <f>IF(Geometry_loads!G26="-","-",Geometry_loads!G26*Control!$F$55)</f>
        <v>304856.22174946824</v>
      </c>
      <c r="G96" s="3">
        <f t="shared" si="41"/>
        <v>43.195658825942807</v>
      </c>
      <c r="H96" s="3">
        <f t="shared" si="42"/>
        <v>42.31675706673466</v>
      </c>
      <c r="I96" s="3" t="str">
        <f t="shared" si="43"/>
        <v>-</v>
      </c>
      <c r="J96" s="3" t="str">
        <f t="shared" si="44"/>
        <v>-</v>
      </c>
      <c r="K96" s="3">
        <f t="shared" si="45"/>
        <v>90</v>
      </c>
      <c r="L96" s="3">
        <f t="shared" si="46"/>
        <v>90</v>
      </c>
      <c r="M96" s="3">
        <f t="shared" si="47"/>
        <v>0.3404495635229346</v>
      </c>
      <c r="N96" s="3">
        <f t="shared" si="48"/>
        <v>0.3135753282319092</v>
      </c>
      <c r="O96" s="3">
        <f>IF(Control!$F$47="N",Control!$F$48,'FLS MP (driving)'!O42)</f>
        <v>0.1</v>
      </c>
      <c r="P96" s="3">
        <f>IF(Control!$F$47="N",Control!$F$48,'FLS MP (driving)'!P42)</f>
        <v>0.1</v>
      </c>
      <c r="Q96" s="3">
        <f>Control!$F$46</f>
        <v>0</v>
      </c>
      <c r="R96" s="3">
        <f>Control!$F$46</f>
        <v>0</v>
      </c>
      <c r="S96" s="3">
        <f t="shared" si="49"/>
        <v>0.44044956352293463</v>
      </c>
      <c r="T96" s="3">
        <f t="shared" si="50"/>
        <v>0.41357532823190923</v>
      </c>
      <c r="X96" s="36">
        <f t="shared" ref="X96:AA96" si="63">X69</f>
        <v>0</v>
      </c>
      <c r="Y96" s="36">
        <f t="shared" si="63"/>
        <v>0</v>
      </c>
      <c r="Z96" s="36">
        <f t="shared" si="63"/>
        <v>0</v>
      </c>
      <c r="AA96" s="36">
        <f t="shared" si="63"/>
        <v>0</v>
      </c>
      <c r="AB96" s="3">
        <f t="shared" si="52"/>
        <v>27.058522782019811</v>
      </c>
      <c r="AC96" s="3">
        <f t="shared" si="53"/>
        <v>27.058522782019811</v>
      </c>
      <c r="AD96" s="3">
        <f>IF(OR(Control!$F$39="EC",Control!$F$51="N"),H42,MIN(H42,14+0.66*(INDEX('Eff. thickness (DNVGL-RP-C203)'!$E$31:$E$1048576,MATCH(H42,'Eff. thickness (DNVGL-RP-C203)'!$C$31:$C$1048576,0)))))</f>
        <v>93</v>
      </c>
      <c r="AE96" s="3">
        <f>IF(OR(Control!$F$39="EC",Control!$F$51="N"),H42,MIN(H42,14+0.66*(INDEX('Eff. thickness (DNVGL-RP-C203)'!$D$31:$D$1048576,MATCH(H42,'Eff. thickness (DNVGL-RP-C203)'!$C$31:$C$1048576,0))+IF(I42&lt;0.001,0,'Eff. thickness (DNVGL-RP-C203)'!$L$29))))</f>
        <v>93</v>
      </c>
      <c r="AF96" s="3">
        <f t="shared" si="54"/>
        <v>0.76893815629207973</v>
      </c>
      <c r="AG96" s="3">
        <f t="shared" si="55"/>
        <v>0.76893815629207973</v>
      </c>
      <c r="AH96" s="3">
        <f t="shared" si="56"/>
        <v>1</v>
      </c>
      <c r="AI96" s="3">
        <f t="shared" si="57"/>
        <v>1</v>
      </c>
      <c r="AJ96" s="3">
        <f>IF(Control!$F$39&lt;&gt;"DNV",1,IF(D96&gt;Control!$F$16,IF(ISBLANK(Control!$F$56),1,Control!$F$56),IF(D96&gt;Control!$F$22,IF(ISBLANK(Control!$F$57),1,Control!$F$57),1)))</f>
        <v>1</v>
      </c>
      <c r="AK96" s="3">
        <f>IF(Control!$F$39&lt;&gt;"DNV",1,IF(D96&gt;Control!$F$18,IF(ISBLANK(Control!$F$56),1,Control!$F$56),IF(D96&gt;Control!$F$22,IF(ISBLANK(Control!$F$57),1,Control!$F$57),1)))</f>
        <v>1</v>
      </c>
    </row>
    <row r="97" spans="3:37" ht="14.85" customHeight="1">
      <c r="C97" s="12" t="str">
        <f t="shared" si="39"/>
        <v>CW9</v>
      </c>
      <c r="D97" s="2">
        <f t="shared" si="40"/>
        <v>-29.6</v>
      </c>
      <c r="E97" s="3">
        <f>IF(Geometry_loads!H27="-","-",Geometry_loads!H27*Control!$F$54)</f>
        <v>267063.31093098514</v>
      </c>
      <c r="F97" s="3">
        <f>IF(Geometry_loads!G27="-","-",Geometry_loads!G27*Control!$F$55)</f>
        <v>318768.58605162986</v>
      </c>
      <c r="G97" s="3">
        <f t="shared" si="41"/>
        <v>41.993767170025883</v>
      </c>
      <c r="H97" s="3">
        <f t="shared" si="42"/>
        <v>41.16894265672294</v>
      </c>
      <c r="I97" s="3" t="str">
        <f t="shared" si="43"/>
        <v>-</v>
      </c>
      <c r="J97" s="3" t="str">
        <f t="shared" si="44"/>
        <v>-</v>
      </c>
      <c r="K97" s="3">
        <f t="shared" si="45"/>
        <v>90</v>
      </c>
      <c r="L97" s="3">
        <f t="shared" si="46"/>
        <v>90</v>
      </c>
      <c r="M97" s="3">
        <f t="shared" si="47"/>
        <v>0.30411071094732772</v>
      </c>
      <c r="N97" s="3">
        <f t="shared" si="48"/>
        <v>0.28091260365764054</v>
      </c>
      <c r="O97" s="3">
        <f>IF(Control!$F$47="N",Control!$F$48,'FLS MP (driving)'!O43)</f>
        <v>0.1</v>
      </c>
      <c r="P97" s="3">
        <f>IF(Control!$F$47="N",Control!$F$48,'FLS MP (driving)'!P43)</f>
        <v>0.1</v>
      </c>
      <c r="Q97" s="3">
        <f>Control!$F$46</f>
        <v>0</v>
      </c>
      <c r="R97" s="3">
        <f>Control!$F$46</f>
        <v>0</v>
      </c>
      <c r="S97" s="3">
        <f t="shared" si="49"/>
        <v>0.40411071094732776</v>
      </c>
      <c r="T97" s="3">
        <f t="shared" si="50"/>
        <v>0.38091260365764057</v>
      </c>
      <c r="X97" s="36">
        <f t="shared" ref="X97:AA97" si="64">X70</f>
        <v>0</v>
      </c>
      <c r="Y97" s="36">
        <f t="shared" si="64"/>
        <v>0</v>
      </c>
      <c r="Z97" s="36">
        <f t="shared" si="64"/>
        <v>0</v>
      </c>
      <c r="AA97" s="36">
        <f t="shared" si="64"/>
        <v>0</v>
      </c>
      <c r="AB97" s="3">
        <f t="shared" si="52"/>
        <v>30.111723786099081</v>
      </c>
      <c r="AC97" s="3">
        <f t="shared" si="53"/>
        <v>30.111723786099081</v>
      </c>
      <c r="AD97" s="3">
        <f>IF(OR(Control!$F$39="EC",Control!$F$51="N"),H43,MIN(H43,14+0.66*(INDEX('Eff. thickness (DNVGL-RP-C203)'!$E$31:$E$1048576,MATCH(H43,'Eff. thickness (DNVGL-RP-C203)'!$C$31:$C$1048576,0)))))</f>
        <v>93</v>
      </c>
      <c r="AE97" s="3">
        <f>IF(OR(Control!$F$39="EC",Control!$F$51="N"),H43,MIN(H43,14+0.66*(INDEX('Eff. thickness (DNVGL-RP-C203)'!$D$31:$D$1048576,MATCH(H43,'Eff. thickness (DNVGL-RP-C203)'!$C$31:$C$1048576,0))+IF(I43&lt;0.001,0,'Eff. thickness (DNVGL-RP-C203)'!$L$29))))</f>
        <v>93</v>
      </c>
      <c r="AF97" s="3">
        <f t="shared" si="54"/>
        <v>0.76893815629207973</v>
      </c>
      <c r="AG97" s="3">
        <f t="shared" si="55"/>
        <v>0.76893815629207973</v>
      </c>
      <c r="AH97" s="3">
        <f t="shared" si="56"/>
        <v>1</v>
      </c>
      <c r="AI97" s="3">
        <f t="shared" si="57"/>
        <v>1</v>
      </c>
      <c r="AJ97" s="3">
        <f>IF(Control!$F$39&lt;&gt;"DNV",1,IF(D97&gt;Control!$F$16,IF(ISBLANK(Control!$F$56),1,Control!$F$56),IF(D97&gt;Control!$F$22,IF(ISBLANK(Control!$F$57),1,Control!$F$57),1)))</f>
        <v>1</v>
      </c>
      <c r="AK97" s="3">
        <f>IF(Control!$F$39&lt;&gt;"DNV",1,IF(D97&gt;Control!$F$18,IF(ISBLANK(Control!$F$56),1,Control!$F$56),IF(D97&gt;Control!$F$22,IF(ISBLANK(Control!$F$57),1,Control!$F$57),1)))</f>
        <v>1</v>
      </c>
    </row>
    <row r="98" spans="3:37" ht="14.85" customHeight="1">
      <c r="C98" s="12" t="str">
        <f t="shared" si="39"/>
        <v>CW10</v>
      </c>
      <c r="D98" s="2">
        <f t="shared" si="40"/>
        <v>-33.5</v>
      </c>
      <c r="E98" s="3">
        <f>IF(Geometry_loads!H28="-","-",Geometry_loads!H28*Control!$F$54)</f>
        <v>280198.45462523232</v>
      </c>
      <c r="F98" s="3">
        <f>IF(Geometry_loads!G28="-","-",Geometry_loads!G28*Control!$F$55)</f>
        <v>334912.46896420454</v>
      </c>
      <c r="G98" s="3">
        <f t="shared" si="41"/>
        <v>41.098316324840326</v>
      </c>
      <c r="H98" s="3">
        <f t="shared" si="42"/>
        <v>40.318287055817855</v>
      </c>
      <c r="I98" s="3" t="str">
        <f t="shared" si="43"/>
        <v>-</v>
      </c>
      <c r="J98" s="3" t="str">
        <f t="shared" si="44"/>
        <v>-</v>
      </c>
      <c r="K98" s="3">
        <f t="shared" si="45"/>
        <v>90</v>
      </c>
      <c r="L98" s="3">
        <f t="shared" si="46"/>
        <v>112</v>
      </c>
      <c r="M98" s="3">
        <f t="shared" si="47"/>
        <v>0.30366902017658426</v>
      </c>
      <c r="N98" s="3">
        <f t="shared" si="48"/>
        <v>0.24345517983289172</v>
      </c>
      <c r="O98" s="3">
        <f>IF(Control!$F$47="N",Control!$F$48,'FLS MP (driving)'!O44)</f>
        <v>0.1</v>
      </c>
      <c r="P98" s="3">
        <f>IF(Control!$F$47="N",Control!$F$48,'FLS MP (driving)'!P44)</f>
        <v>0.1</v>
      </c>
      <c r="Q98" s="3">
        <f>Control!$F$46</f>
        <v>0</v>
      </c>
      <c r="R98" s="3">
        <f>Control!$F$46</f>
        <v>0</v>
      </c>
      <c r="S98" s="3">
        <f t="shared" si="49"/>
        <v>0.40366902017658424</v>
      </c>
      <c r="T98" s="3">
        <f t="shared" si="50"/>
        <v>0.34345517983289175</v>
      </c>
      <c r="X98" s="36">
        <f t="shared" ref="X98:AA98" si="65">X71</f>
        <v>0</v>
      </c>
      <c r="Y98" s="36">
        <f t="shared" si="65"/>
        <v>0</v>
      </c>
      <c r="Z98" s="36">
        <f t="shared" si="65"/>
        <v>0</v>
      </c>
      <c r="AA98" s="36">
        <f t="shared" si="65"/>
        <v>0</v>
      </c>
      <c r="AB98" s="3">
        <f t="shared" si="52"/>
        <v>33.407023704126708</v>
      </c>
      <c r="AC98" s="3">
        <f t="shared" si="53"/>
        <v>33.407023704126708</v>
      </c>
      <c r="AD98" s="3">
        <f>IF(OR(Control!$F$39="EC",Control!$F$51="N"),H44,MIN(H44,14+0.66*(INDEX('Eff. thickness (DNVGL-RP-C203)'!$E$31:$E$1048576,MATCH(H44,'Eff. thickness (DNVGL-RP-C203)'!$C$31:$C$1048576,0)))))</f>
        <v>93</v>
      </c>
      <c r="AE98" s="3">
        <f>IF(OR(Control!$F$39="EC",Control!$F$51="N"),H44,MIN(H44,14+0.66*(INDEX('Eff. thickness (DNVGL-RP-C203)'!$D$31:$D$1048576,MATCH(H44,'Eff. thickness (DNVGL-RP-C203)'!$C$31:$C$1048576,0))+IF(I44&lt;0.001,0,'Eff. thickness (DNVGL-RP-C203)'!$L$29))))</f>
        <v>93</v>
      </c>
      <c r="AF98" s="3">
        <f t="shared" si="54"/>
        <v>0.76893815629207973</v>
      </c>
      <c r="AG98" s="3">
        <f t="shared" si="55"/>
        <v>0.87689118839915348</v>
      </c>
      <c r="AH98" s="3">
        <f t="shared" si="56"/>
        <v>1</v>
      </c>
      <c r="AI98" s="3">
        <f t="shared" si="57"/>
        <v>1</v>
      </c>
      <c r="AJ98" s="3">
        <f>IF(Control!$F$39&lt;&gt;"DNV",1,IF(D98&gt;Control!$F$16,IF(ISBLANK(Control!$F$56),1,Control!$F$56),IF(D98&gt;Control!$F$22,IF(ISBLANK(Control!$F$57),1,Control!$F$57),1)))</f>
        <v>1</v>
      </c>
      <c r="AK98" s="3">
        <f>IF(Control!$F$39&lt;&gt;"DNV",1,IF(D98&gt;Control!$F$18,IF(ISBLANK(Control!$F$56),1,Control!$F$56),IF(D98&gt;Control!$F$22,IF(ISBLANK(Control!$F$57),1,Control!$F$57),1)))</f>
        <v>1</v>
      </c>
    </row>
    <row r="99" spans="3:37" ht="14.85" customHeight="1">
      <c r="C99" s="12" t="str">
        <f t="shared" si="39"/>
        <v>CW11</v>
      </c>
      <c r="D99" s="2">
        <f t="shared" si="40"/>
        <v>-36.799999999999997</v>
      </c>
      <c r="E99" s="3">
        <f>IF(Geometry_loads!H29="-","-",Geometry_loads!H29*Control!$F$54)</f>
        <v>292690.71337038372</v>
      </c>
      <c r="F99" s="3">
        <f>IF(Geometry_loads!G29="-","-",Geometry_loads!G29*Control!$F$55)</f>
        <v>350278.57589426392</v>
      </c>
      <c r="G99" s="3">
        <f t="shared" si="41"/>
        <v>42.930627649350221</v>
      </c>
      <c r="H99" s="3">
        <f t="shared" si="42"/>
        <v>42.115821859270717</v>
      </c>
      <c r="I99" s="3" t="str">
        <f t="shared" si="43"/>
        <v>-</v>
      </c>
      <c r="J99" s="3" t="str">
        <f t="shared" si="44"/>
        <v>-</v>
      </c>
      <c r="K99" s="3">
        <f t="shared" si="45"/>
        <v>90</v>
      </c>
      <c r="L99" s="3">
        <f t="shared" si="46"/>
        <v>90</v>
      </c>
      <c r="M99" s="3">
        <f t="shared" si="47"/>
        <v>0.33217070196778425</v>
      </c>
      <c r="N99" s="3">
        <f t="shared" si="48"/>
        <v>0.30766174055665291</v>
      </c>
      <c r="O99" s="3">
        <f>IF(Control!$F$47="N",Control!$F$48,'FLS MP (driving)'!O45)</f>
        <v>0.1</v>
      </c>
      <c r="P99" s="3">
        <f>IF(Control!$F$47="N",Control!$F$48,'FLS MP (driving)'!P45)</f>
        <v>0.1</v>
      </c>
      <c r="Q99" s="3">
        <f>Control!$F$46</f>
        <v>0</v>
      </c>
      <c r="R99" s="3">
        <f>Control!$F$46</f>
        <v>0</v>
      </c>
      <c r="S99" s="3">
        <f t="shared" si="49"/>
        <v>0.43217070196778429</v>
      </c>
      <c r="T99" s="3">
        <f t="shared" si="50"/>
        <v>0.40766174055665294</v>
      </c>
      <c r="X99" s="36">
        <f t="shared" ref="X99:AA99" si="66">X72</f>
        <v>0</v>
      </c>
      <c r="Y99" s="36">
        <f t="shared" si="66"/>
        <v>0</v>
      </c>
      <c r="Z99" s="36">
        <f t="shared" si="66"/>
        <v>0</v>
      </c>
      <c r="AA99" s="36">
        <f t="shared" si="66"/>
        <v>0</v>
      </c>
      <c r="AB99" s="3">
        <f t="shared" si="52"/>
        <v>33.407023704126708</v>
      </c>
      <c r="AC99" s="3">
        <f t="shared" si="53"/>
        <v>33.407023704126708</v>
      </c>
      <c r="AD99" s="3">
        <f>IF(OR(Control!$F$39="EC",Control!$F$51="N"),H45,MIN(H45,14+0.66*(INDEX('Eff. thickness (DNVGL-RP-C203)'!$E$31:$E$1048576,MATCH(H45,'Eff. thickness (DNVGL-RP-C203)'!$C$31:$C$1048576,0)))))</f>
        <v>93</v>
      </c>
      <c r="AE99" s="3">
        <f>IF(OR(Control!$F$39="EC",Control!$F$51="N"),H45,MIN(H45,14+0.66*(INDEX('Eff. thickness (DNVGL-RP-C203)'!$D$31:$D$1048576,MATCH(H45,'Eff. thickness (DNVGL-RP-C203)'!$C$31:$C$1048576,0))+IF(I45&lt;0.001,0,'Eff. thickness (DNVGL-RP-C203)'!$L$29))))</f>
        <v>93</v>
      </c>
      <c r="AF99" s="3">
        <f t="shared" si="54"/>
        <v>0.76893815629207973</v>
      </c>
      <c r="AG99" s="3">
        <f t="shared" si="55"/>
        <v>0.76893815629207973</v>
      </c>
      <c r="AH99" s="3">
        <f t="shared" si="56"/>
        <v>1</v>
      </c>
      <c r="AI99" s="3">
        <f t="shared" si="57"/>
        <v>1</v>
      </c>
      <c r="AJ99" s="3">
        <f>IF(Control!$F$39&lt;&gt;"DNV",1,IF(D99&gt;Control!$F$16,IF(ISBLANK(Control!$F$56),1,Control!$F$56),IF(D99&gt;Control!$F$22,IF(ISBLANK(Control!$F$57),1,Control!$F$57),1)))</f>
        <v>1</v>
      </c>
      <c r="AK99" s="3">
        <f>IF(Control!$F$39&lt;&gt;"DNV",1,IF(D99&gt;Control!$F$18,IF(ISBLANK(Control!$F$56),1,Control!$F$56),IF(D99&gt;Control!$F$22,IF(ISBLANK(Control!$F$57),1,Control!$F$57),1)))</f>
        <v>1</v>
      </c>
    </row>
    <row r="100" spans="3:37" ht="14.85" customHeight="1">
      <c r="C100" s="12" t="str">
        <f t="shared" si="39"/>
        <v>CW12</v>
      </c>
      <c r="D100" s="2">
        <f t="shared" si="40"/>
        <v>-40.200000000000003</v>
      </c>
      <c r="E100" s="3">
        <f>IF(Geometry_loads!H30="-","-",Geometry_loads!H30*Control!$F$54)</f>
        <v>306730.65810409916</v>
      </c>
      <c r="F100" s="3">
        <f>IF(Geometry_loads!G30="-","-",Geometry_loads!G30*Control!$F$55)</f>
        <v>368010.76338807872</v>
      </c>
      <c r="G100" s="3">
        <f t="shared" si="41"/>
        <v>41.133780893354199</v>
      </c>
      <c r="H100" s="3">
        <f t="shared" si="42"/>
        <v>40.277526678839472</v>
      </c>
      <c r="I100" s="3" t="str">
        <f t="shared" si="43"/>
        <v>-</v>
      </c>
      <c r="J100" s="3" t="str">
        <f t="shared" si="44"/>
        <v>-</v>
      </c>
      <c r="K100" s="3">
        <f t="shared" si="45"/>
        <v>90</v>
      </c>
      <c r="L100" s="3">
        <f t="shared" si="46"/>
        <v>90</v>
      </c>
      <c r="M100" s="3">
        <f t="shared" si="47"/>
        <v>0.16755738262805459</v>
      </c>
      <c r="N100" s="3">
        <f t="shared" si="48"/>
        <v>0.46718432592036463</v>
      </c>
      <c r="O100" s="3">
        <f>IF(Control!$F$47="N",Control!$F$48,'FLS MP (driving)'!O46)</f>
        <v>0.1</v>
      </c>
      <c r="P100" s="3">
        <f>IF(Control!$F$47="N",Control!$F$48,'FLS MP (driving)'!P46)</f>
        <v>0.1</v>
      </c>
      <c r="Q100" s="3">
        <f>Control!$F$46</f>
        <v>0</v>
      </c>
      <c r="R100" s="3">
        <f>Control!$F$46</f>
        <v>0</v>
      </c>
      <c r="S100" s="3">
        <f t="shared" si="49"/>
        <v>0.26755738262805462</v>
      </c>
      <c r="T100" s="3">
        <f t="shared" si="50"/>
        <v>0.56718432592036461</v>
      </c>
      <c r="X100" s="36">
        <f t="shared" ref="X100:AA100" si="67">X73</f>
        <v>0</v>
      </c>
      <c r="Y100" s="36">
        <f t="shared" si="67"/>
        <v>0</v>
      </c>
      <c r="Z100" s="36">
        <f t="shared" si="67"/>
        <v>0</v>
      </c>
      <c r="AA100" s="36">
        <f t="shared" si="67"/>
        <v>0</v>
      </c>
      <c r="AB100" s="3">
        <f t="shared" si="52"/>
        <v>36.53882993656233</v>
      </c>
      <c r="AC100" s="3">
        <f t="shared" si="53"/>
        <v>36.53882993656233</v>
      </c>
      <c r="AD100" s="3">
        <f>IF(OR(Control!$F$39="EC",Control!$F$51="N"),H46,MIN(H46,14+0.66*(INDEX('Eff. thickness (DNVGL-RP-C203)'!$E$31:$E$1048576,MATCH(H46,'Eff. thickness (DNVGL-RP-C203)'!$C$31:$C$1048576,0)))))</f>
        <v>102</v>
      </c>
      <c r="AE100" s="3">
        <f>IF(OR(Control!$F$39="EC",Control!$F$51="N"),H46,MIN(H46,14+0.66*(INDEX('Eff. thickness (DNVGL-RP-C203)'!$D$31:$D$1048576,MATCH(H46,'Eff. thickness (DNVGL-RP-C203)'!$C$31:$C$1048576,0))+IF(I46&lt;0.001,0,'Eff. thickness (DNVGL-RP-C203)'!$L$29))))</f>
        <v>102</v>
      </c>
      <c r="AF100" s="3">
        <f t="shared" si="54"/>
        <v>0.75486270218308793</v>
      </c>
      <c r="AG100" s="3">
        <f t="shared" si="55"/>
        <v>0.75486270218308793</v>
      </c>
      <c r="AH100" s="3">
        <f t="shared" si="56"/>
        <v>1</v>
      </c>
      <c r="AI100" s="3">
        <f t="shared" si="57"/>
        <v>1</v>
      </c>
      <c r="AJ100" s="3">
        <f>IF(Control!$F$39&lt;&gt;"DNV",1,IF(D100&gt;Control!$F$16,IF(ISBLANK(Control!$F$56),1,Control!$F$56),IF(D100&gt;Control!$F$22,IF(ISBLANK(Control!$F$57),1,Control!$F$57),1)))</f>
        <v>1</v>
      </c>
      <c r="AK100" s="3">
        <f>IF(Control!$F$39&lt;&gt;"DNV",1,IF(D100&gt;Control!$F$18,IF(ISBLANK(Control!$F$56),1,Control!$F$56),IF(D100&gt;Control!$F$22,IF(ISBLANK(Control!$F$57),1,Control!$F$57),1)))</f>
        <v>1</v>
      </c>
    </row>
    <row r="101" spans="3:37" ht="14.85" customHeight="1">
      <c r="C101" s="12" t="str">
        <f t="shared" si="39"/>
        <v>CW13</v>
      </c>
      <c r="D101" s="2">
        <f t="shared" si="40"/>
        <v>-43.8</v>
      </c>
      <c r="E101" s="3">
        <f>IF(Geometry_loads!H31="-","-",Geometry_loads!H31*Control!$F$54)</f>
        <v>323067.50862926076</v>
      </c>
      <c r="F101" s="3">
        <f>IF(Geometry_loads!G31="-","-",Geometry_loads!G31*Control!$F$55)</f>
        <v>388575.60748121649</v>
      </c>
      <c r="G101" s="3">
        <f t="shared" si="41"/>
        <v>47.886527486330692</v>
      </c>
      <c r="H101" s="3">
        <f t="shared" si="42"/>
        <v>46.98743350087306</v>
      </c>
      <c r="I101" s="3" t="str">
        <f t="shared" si="43"/>
        <v>-</v>
      </c>
      <c r="J101" s="3" t="str">
        <f t="shared" si="44"/>
        <v>-</v>
      </c>
      <c r="K101" s="3">
        <f t="shared" si="45"/>
        <v>90</v>
      </c>
      <c r="L101" s="3">
        <f t="shared" si="46"/>
        <v>90</v>
      </c>
      <c r="M101" s="3">
        <f t="shared" si="47"/>
        <v>0.26524062292896217</v>
      </c>
      <c r="N101" s="3">
        <f t="shared" si="48"/>
        <v>0.84580408911153437</v>
      </c>
      <c r="O101" s="3">
        <f>IF(Control!$F$47="N",Control!$F$48,'FLS MP (driving)'!O47)</f>
        <v>0.1</v>
      </c>
      <c r="P101" s="3">
        <f>IF(Control!$F$47="N",Control!$F$48,'FLS MP (driving)'!P47)</f>
        <v>0.1</v>
      </c>
      <c r="Q101" s="3">
        <f>Control!$F$46</f>
        <v>0</v>
      </c>
      <c r="R101" s="3">
        <f>Control!$F$46</f>
        <v>0</v>
      </c>
      <c r="S101" s="3">
        <f t="shared" si="49"/>
        <v>0.3652406229289622</v>
      </c>
      <c r="T101" s="3">
        <f t="shared" si="50"/>
        <v>0.94580408911153435</v>
      </c>
      <c r="X101" s="36">
        <f t="shared" ref="X101:AA101" si="68">X74</f>
        <v>0</v>
      </c>
      <c r="Y101" s="36">
        <f t="shared" si="68"/>
        <v>0</v>
      </c>
      <c r="Z101" s="36">
        <f t="shared" si="68"/>
        <v>0</v>
      </c>
      <c r="AA101" s="36">
        <f t="shared" si="68"/>
        <v>0</v>
      </c>
      <c r="AB101" s="3">
        <f t="shared" si="52"/>
        <v>33.057957537957982</v>
      </c>
      <c r="AC101" s="3">
        <f t="shared" si="53"/>
        <v>33.057957537957982</v>
      </c>
      <c r="AD101" s="3">
        <f>IF(OR(Control!$F$39="EC",Control!$F$51="N"),H47,MIN(H47,14+0.66*(INDEX('Eff. thickness (DNVGL-RP-C203)'!$E$31:$E$1048576,MATCH(H47,'Eff. thickness (DNVGL-RP-C203)'!$C$31:$C$1048576,0)))))</f>
        <v>92</v>
      </c>
      <c r="AE101" s="3">
        <f>IF(OR(Control!$F$39="EC",Control!$F$51="N"),H47,MIN(H47,14+0.66*(INDEX('Eff. thickness (DNVGL-RP-C203)'!$D$31:$D$1048576,MATCH(H47,'Eff. thickness (DNVGL-RP-C203)'!$C$31:$C$1048576,0))+IF(I47&lt;0.001,0,'Eff. thickness (DNVGL-RP-C203)'!$L$29))))</f>
        <v>92</v>
      </c>
      <c r="AF101" s="3">
        <f t="shared" si="54"/>
        <v>0.77060254017451113</v>
      </c>
      <c r="AG101" s="3">
        <f t="shared" si="55"/>
        <v>0.77060254017451113</v>
      </c>
      <c r="AH101" s="3">
        <f t="shared" si="56"/>
        <v>1</v>
      </c>
      <c r="AI101" s="3">
        <f t="shared" si="57"/>
        <v>1</v>
      </c>
      <c r="AJ101" s="3">
        <f>IF(Control!$F$39&lt;&gt;"DNV",1,IF(D101&gt;Control!$F$16,IF(ISBLANK(Control!$F$56),1,Control!$F$56),IF(D101&gt;Control!$F$22,IF(ISBLANK(Control!$F$57),1,Control!$F$57),1)))</f>
        <v>1</v>
      </c>
      <c r="AK101" s="3">
        <f>IF(Control!$F$39&lt;&gt;"DNV",1,IF(D101&gt;Control!$F$18,IF(ISBLANK(Control!$F$56),1,Control!$F$56),IF(D101&gt;Control!$F$22,IF(ISBLANK(Control!$F$57),1,Control!$F$57),1)))</f>
        <v>1</v>
      </c>
    </row>
    <row r="102" spans="3:37" ht="14.85" customHeight="1">
      <c r="C102" s="12" t="str">
        <f t="shared" si="39"/>
        <v>CW14</v>
      </c>
      <c r="D102" s="2">
        <f t="shared" si="40"/>
        <v>-47.8</v>
      </c>
      <c r="E102" s="3">
        <f>IF(Geometry_loads!H32="-","-",Geometry_loads!H32*Control!$F$54)</f>
        <v>349550.18849323393</v>
      </c>
      <c r="F102" s="3" t="str">
        <f>IF(Geometry_loads!G32="-","-",Geometry_loads!G32*Control!$F$55)</f>
        <v>-</v>
      </c>
      <c r="G102" s="3">
        <f t="shared" si="41"/>
        <v>52.930771838872232</v>
      </c>
      <c r="H102" s="3">
        <f t="shared" si="42"/>
        <v>51.958573988770503</v>
      </c>
      <c r="I102" s="3" t="str">
        <f t="shared" si="43"/>
        <v>-</v>
      </c>
      <c r="J102" s="3" t="str">
        <f t="shared" si="44"/>
        <v>-</v>
      </c>
      <c r="K102" s="3">
        <f t="shared" si="45"/>
        <v>90</v>
      </c>
      <c r="L102" s="3">
        <f t="shared" si="46"/>
        <v>90</v>
      </c>
      <c r="M102" s="3">
        <f t="shared" si="47"/>
        <v>0.66518999654514832</v>
      </c>
      <c r="N102" s="3">
        <f t="shared" si="48"/>
        <v>0.80646548223269288</v>
      </c>
      <c r="O102" s="3">
        <f>IF(Control!$F$47="N",Control!$F$48,'FLS MP (driving)'!O48)</f>
        <v>0.1</v>
      </c>
      <c r="P102" s="3">
        <f>IF(Control!$F$47="N",Control!$F$48,'FLS MP (driving)'!P48)</f>
        <v>0.1</v>
      </c>
      <c r="Q102" s="3">
        <f>Control!$F$46</f>
        <v>0</v>
      </c>
      <c r="R102" s="3">
        <f>Control!$F$46</f>
        <v>0</v>
      </c>
      <c r="S102" s="3">
        <f t="shared" si="49"/>
        <v>0.7651899965451483</v>
      </c>
      <c r="T102" s="3">
        <f t="shared" si="50"/>
        <v>0.90646548223269285</v>
      </c>
      <c r="X102" s="36">
        <f t="shared" ref="X102:AA102" si="69">X75</f>
        <v>0</v>
      </c>
      <c r="Y102" s="36">
        <f t="shared" si="69"/>
        <v>0</v>
      </c>
      <c r="Z102" s="36">
        <f t="shared" si="69"/>
        <v>0</v>
      </c>
      <c r="AA102" s="36">
        <f t="shared" si="69"/>
        <v>0</v>
      </c>
      <c r="AB102" s="3">
        <f t="shared" si="52"/>
        <v>32.359171501046823</v>
      </c>
      <c r="AC102" s="3">
        <f t="shared" si="53"/>
        <v>32.359171501046823</v>
      </c>
      <c r="AD102" s="3">
        <f>IF(OR(Control!$F$39="EC",Control!$F$51="N"),H48,MIN(H48,14+0.66*(INDEX('Eff. thickness (DNVGL-RP-C203)'!$E$31:$E$1048576,MATCH(H48,'Eff. thickness (DNVGL-RP-C203)'!$C$31:$C$1048576,0)))))</f>
        <v>90</v>
      </c>
      <c r="AE102" s="3">
        <f>IF(OR(Control!$F$39="EC",Control!$F$51="N"),H48,MIN(H48,14+0.66*(INDEX('Eff. thickness (DNVGL-RP-C203)'!$D$31:$D$1048576,MATCH(H48,'Eff. thickness (DNVGL-RP-C203)'!$C$31:$C$1048576,0))+IF(I48&lt;0.001,0,'Eff. thickness (DNVGL-RP-C203)'!$L$29))))</f>
        <v>90</v>
      </c>
      <c r="AF102" s="3">
        <f t="shared" si="54"/>
        <v>0.77399739650057642</v>
      </c>
      <c r="AG102" s="3">
        <f t="shared" si="55"/>
        <v>0.77399739650057642</v>
      </c>
      <c r="AH102" s="3">
        <f t="shared" si="56"/>
        <v>1</v>
      </c>
      <c r="AI102" s="3">
        <f t="shared" si="57"/>
        <v>1</v>
      </c>
      <c r="AJ102" s="3">
        <f>IF(Control!$F$39&lt;&gt;"DNV",1,IF(D102&gt;Control!$F$16,IF(ISBLANK(Control!$F$56),1,Control!$F$56),IF(D102&gt;Control!$F$22,IF(ISBLANK(Control!$F$57),1,Control!$F$57),1)))</f>
        <v>1</v>
      </c>
      <c r="AK102" s="3">
        <f>IF(Control!$F$39&lt;&gt;"DNV",1,IF(D102&gt;Control!$F$18,IF(ISBLANK(Control!$F$56),1,Control!$F$56),IF(D102&gt;Control!$F$22,IF(ISBLANK(Control!$F$57),1,Control!$F$57),1)))</f>
        <v>1</v>
      </c>
    </row>
    <row r="103" spans="3:37" ht="14.85" customHeight="1">
      <c r="C103" s="12" t="str">
        <f t="shared" si="39"/>
        <v>CW15</v>
      </c>
      <c r="D103" s="2">
        <f t="shared" si="40"/>
        <v>-51.8</v>
      </c>
      <c r="E103" s="3">
        <f>IF(Geometry_loads!H33="-","-",Geometry_loads!H33*Control!$F$54)</f>
        <v>373272.3643999325</v>
      </c>
      <c r="F103" s="3" t="str">
        <f>IF(Geometry_loads!G33="-","-",Geometry_loads!G33*Control!$F$55)</f>
        <v>-</v>
      </c>
      <c r="G103" s="3">
        <f t="shared" si="41"/>
        <v>62.62995537447626</v>
      </c>
      <c r="H103" s="3">
        <f t="shared" si="42"/>
        <v>61.594643867265525</v>
      </c>
      <c r="I103" s="3" t="str">
        <f t="shared" si="43"/>
        <v>-</v>
      </c>
      <c r="J103" s="3" t="str">
        <f t="shared" si="44"/>
        <v>-</v>
      </c>
      <c r="K103" s="3">
        <f t="shared" si="45"/>
        <v>90</v>
      </c>
      <c r="L103" s="3">
        <f t="shared" si="46"/>
        <v>112</v>
      </c>
      <c r="M103" s="3">
        <f t="shared" si="47"/>
        <v>0.74677339832530532</v>
      </c>
      <c r="N103" s="3">
        <f t="shared" si="48"/>
        <v>0.62906191411654644</v>
      </c>
      <c r="O103" s="3">
        <f>IF(Control!$F$47="N",Control!$F$48,'FLS MP (driving)'!O49)</f>
        <v>0.1</v>
      </c>
      <c r="P103" s="3">
        <f>IF(Control!$F$47="N",Control!$F$48,'FLS MP (driving)'!P49)</f>
        <v>0.1</v>
      </c>
      <c r="Q103" s="3">
        <f>Control!$F$46</f>
        <v>0</v>
      </c>
      <c r="R103" s="3">
        <f>Control!$F$46</f>
        <v>0</v>
      </c>
      <c r="S103" s="3">
        <f t="shared" si="49"/>
        <v>0.84677339832530529</v>
      </c>
      <c r="T103" s="3">
        <f t="shared" si="50"/>
        <v>0.72906191411654642</v>
      </c>
      <c r="X103" s="36">
        <f t="shared" ref="X103:AA103" si="70">X76</f>
        <v>0</v>
      </c>
      <c r="Y103" s="36">
        <f t="shared" si="70"/>
        <v>0</v>
      </c>
      <c r="Z103" s="36">
        <f t="shared" si="70"/>
        <v>0</v>
      </c>
      <c r="AA103" s="36">
        <f t="shared" si="70"/>
        <v>0</v>
      </c>
      <c r="AB103" s="3">
        <f t="shared" si="52"/>
        <v>29.203830253806316</v>
      </c>
      <c r="AC103" s="3">
        <f t="shared" si="53"/>
        <v>29.203830253806316</v>
      </c>
      <c r="AD103" s="3">
        <f>IF(OR(Control!$F$39="EC",Control!$F$51="N"),H49,MIN(H49,14+0.66*(INDEX('Eff. thickness (DNVGL-RP-C203)'!$E$31:$E$1048576,MATCH(H49,'Eff. thickness (DNVGL-RP-C203)'!$C$31:$C$1048576,0)))))</f>
        <v>81</v>
      </c>
      <c r="AE103" s="3">
        <f>IF(OR(Control!$F$39="EC",Control!$F$51="N"),H49,MIN(H49,14+0.66*(INDEX('Eff. thickness (DNVGL-RP-C203)'!$D$31:$D$1048576,MATCH(H49,'Eff. thickness (DNVGL-RP-C203)'!$C$31:$C$1048576,0))+IF(I49&lt;0.001,0,'Eff. thickness (DNVGL-RP-C203)'!$L$29))))</f>
        <v>81</v>
      </c>
      <c r="AF103" s="3">
        <f t="shared" si="54"/>
        <v>0.79048020325977053</v>
      </c>
      <c r="AG103" s="3">
        <f t="shared" si="55"/>
        <v>0.88908953613219999</v>
      </c>
      <c r="AH103" s="3">
        <f t="shared" si="56"/>
        <v>1</v>
      </c>
      <c r="AI103" s="3">
        <f t="shared" si="57"/>
        <v>1</v>
      </c>
      <c r="AJ103" s="3">
        <f>IF(Control!$F$39&lt;&gt;"DNV",1,IF(D103&gt;Control!$F$16,IF(ISBLANK(Control!$F$56),1,Control!$F$56),IF(D103&gt;Control!$F$22,IF(ISBLANK(Control!$F$57),1,Control!$F$57),1)))</f>
        <v>1</v>
      </c>
      <c r="AK103" s="3">
        <f>IF(Control!$F$39&lt;&gt;"DNV",1,IF(D103&gt;Control!$F$18,IF(ISBLANK(Control!$F$56),1,Control!$F$56),IF(D103&gt;Control!$F$22,IF(ISBLANK(Control!$F$57),1,Control!$F$57),1)))</f>
        <v>1</v>
      </c>
    </row>
    <row r="104" spans="3:37" ht="14.85" customHeight="1">
      <c r="C104" s="12" t="str">
        <f t="shared" si="39"/>
        <v>CW16</v>
      </c>
      <c r="D104" s="2">
        <f t="shared" si="40"/>
        <v>-55.8</v>
      </c>
      <c r="E104" s="3">
        <f>IF(Geometry_loads!H34="-","-",Geometry_loads!H34*Control!$F$54)</f>
        <v>388470.12560128118</v>
      </c>
      <c r="F104" s="3" t="str">
        <f>IF(Geometry_loads!G34="-","-",Geometry_loads!G34*Control!$F$55)</f>
        <v>-</v>
      </c>
      <c r="G104" s="3">
        <f t="shared" si="41"/>
        <v>65.179930129137162</v>
      </c>
      <c r="H104" s="3">
        <f t="shared" si="42"/>
        <v>64.102465978022849</v>
      </c>
      <c r="I104" s="3" t="str">
        <f t="shared" si="43"/>
        <v>-</v>
      </c>
      <c r="J104" s="3" t="str">
        <f t="shared" si="44"/>
        <v>-</v>
      </c>
      <c r="K104" s="3">
        <f t="shared" si="45"/>
        <v>112</v>
      </c>
      <c r="L104" s="3">
        <f t="shared" si="46"/>
        <v>112</v>
      </c>
      <c r="M104" s="3">
        <f t="shared" si="47"/>
        <v>0.4448581477053441</v>
      </c>
      <c r="N104" s="3">
        <f t="shared" si="48"/>
        <v>0.41616440741292043</v>
      </c>
      <c r="O104" s="3">
        <f>IF(Control!$F$47="N",Control!$F$48,'FLS MP (driving)'!O50)</f>
        <v>0.1</v>
      </c>
      <c r="P104" s="3">
        <f>IF(Control!$F$47="N",Control!$F$48,'FLS MP (driving)'!P50)</f>
        <v>0.1</v>
      </c>
      <c r="Q104" s="3">
        <f>Control!$F$46</f>
        <v>0</v>
      </c>
      <c r="R104" s="3">
        <f>Control!$F$46</f>
        <v>0</v>
      </c>
      <c r="S104" s="3">
        <f t="shared" si="49"/>
        <v>0.54485814770534413</v>
      </c>
      <c r="T104" s="3">
        <f t="shared" si="50"/>
        <v>0.51616440741292047</v>
      </c>
      <c r="X104" s="36">
        <f t="shared" ref="X104:AA104" si="71">X77</f>
        <v>0</v>
      </c>
      <c r="Y104" s="36">
        <f t="shared" si="71"/>
        <v>0</v>
      </c>
      <c r="Z104" s="36">
        <f t="shared" si="71"/>
        <v>0</v>
      </c>
      <c r="AA104" s="36">
        <f t="shared" si="71"/>
        <v>0</v>
      </c>
      <c r="AB104" s="3">
        <f t="shared" si="52"/>
        <v>29.203830253806316</v>
      </c>
      <c r="AC104" s="3">
        <f t="shared" si="53"/>
        <v>29.203830253806316</v>
      </c>
      <c r="AD104" s="3">
        <f>IF(OR(Control!$F$39="EC",Control!$F$51="N"),H50,MIN(H50,14+0.66*(INDEX('Eff. thickness (DNVGL-RP-C203)'!$E$31:$E$1048576,MATCH(H50,'Eff. thickness (DNVGL-RP-C203)'!$C$31:$C$1048576,0)))))</f>
        <v>81</v>
      </c>
      <c r="AE104" s="3">
        <f>IF(OR(Control!$F$39="EC",Control!$F$51="N"),H50,MIN(H50,14+0.66*(INDEX('Eff. thickness (DNVGL-RP-C203)'!$D$31:$D$1048576,MATCH(H50,'Eff. thickness (DNVGL-RP-C203)'!$C$31:$C$1048576,0))+IF(I50&lt;0.001,0,'Eff. thickness (DNVGL-RP-C203)'!$L$29))))</f>
        <v>81</v>
      </c>
      <c r="AF104" s="3">
        <f t="shared" si="54"/>
        <v>0.88908953613219999</v>
      </c>
      <c r="AG104" s="3">
        <f t="shared" si="55"/>
        <v>0.88908953613219999</v>
      </c>
      <c r="AH104" s="3">
        <f t="shared" si="56"/>
        <v>1</v>
      </c>
      <c r="AI104" s="3">
        <f t="shared" si="57"/>
        <v>1</v>
      </c>
      <c r="AJ104" s="3">
        <f>IF(Control!$F$39&lt;&gt;"DNV",1,IF(D104&gt;Control!$F$16,IF(ISBLANK(Control!$F$56),1,Control!$F$56),IF(D104&gt;Control!$F$22,IF(ISBLANK(Control!$F$57),1,Control!$F$57),1)))</f>
        <v>1</v>
      </c>
      <c r="AK104" s="3">
        <f>IF(Control!$F$39&lt;&gt;"DNV",1,IF(D104&gt;Control!$F$18,IF(ISBLANK(Control!$F$56),1,Control!$F$56),IF(D104&gt;Control!$F$22,IF(ISBLANK(Control!$F$57),1,Control!$F$57),1)))</f>
        <v>1</v>
      </c>
    </row>
    <row r="105" spans="3:37" ht="14.85" customHeight="1">
      <c r="C105" s="12" t="str">
        <f t="shared" si="39"/>
        <v>CW17</v>
      </c>
      <c r="D105" s="2">
        <f t="shared" si="40"/>
        <v>-59.8</v>
      </c>
      <c r="E105" s="3">
        <f>IF(Geometry_loads!H35="-","-",Geometry_loads!H35*Control!$F$54)</f>
        <v>391247.16831466078</v>
      </c>
      <c r="F105" s="3" t="str">
        <f>IF(Geometry_loads!G35="-","-",Geometry_loads!G35*Control!$F$55)</f>
        <v>-</v>
      </c>
      <c r="G105" s="3">
        <f t="shared" si="41"/>
        <v>65.645879601425534</v>
      </c>
      <c r="H105" s="3">
        <f t="shared" si="42"/>
        <v>64.560713020259101</v>
      </c>
      <c r="I105" s="3" t="str">
        <f t="shared" si="43"/>
        <v>-</v>
      </c>
      <c r="J105" s="3" t="str">
        <f t="shared" si="44"/>
        <v>-</v>
      </c>
      <c r="K105" s="3">
        <f t="shared" si="45"/>
        <v>112</v>
      </c>
      <c r="L105" s="3">
        <f t="shared" si="46"/>
        <v>112</v>
      </c>
      <c r="M105" s="3">
        <f t="shared" si="47"/>
        <v>0.45771576866611147</v>
      </c>
      <c r="N105" s="3">
        <f t="shared" si="48"/>
        <v>0.42819270055642794</v>
      </c>
      <c r="O105" s="3">
        <f>IF(Control!$F$47="N",Control!$F$48,'FLS MP (driving)'!O51)</f>
        <v>0.1</v>
      </c>
      <c r="P105" s="3">
        <f>IF(Control!$F$47="N",Control!$F$48,'FLS MP (driving)'!P51)</f>
        <v>0.1</v>
      </c>
      <c r="Q105" s="3">
        <f>Control!$F$46</f>
        <v>0</v>
      </c>
      <c r="R105" s="3">
        <f>Control!$F$46</f>
        <v>0</v>
      </c>
      <c r="S105" s="3">
        <f t="shared" si="49"/>
        <v>0.5577157686661115</v>
      </c>
      <c r="T105" s="3">
        <f t="shared" si="50"/>
        <v>0.52819270055642797</v>
      </c>
      <c r="X105" s="36">
        <f t="shared" ref="X105:AA105" si="72">X78</f>
        <v>0</v>
      </c>
      <c r="Y105" s="36">
        <f t="shared" si="72"/>
        <v>0</v>
      </c>
      <c r="Z105" s="36">
        <f t="shared" si="72"/>
        <v>0</v>
      </c>
      <c r="AA105" s="36">
        <f t="shared" si="72"/>
        <v>0</v>
      </c>
      <c r="AB105" s="3">
        <f t="shared" si="52"/>
        <v>29.203830253806316</v>
      </c>
      <c r="AC105" s="3">
        <f t="shared" si="53"/>
        <v>29.203830253806316</v>
      </c>
      <c r="AD105" s="3">
        <f>IF(OR(Control!$F$39="EC",Control!$F$51="N"),H51,MIN(H51,14+0.66*(INDEX('Eff. thickness (DNVGL-RP-C203)'!$E$31:$E$1048576,MATCH(H51,'Eff. thickness (DNVGL-RP-C203)'!$C$31:$C$1048576,0)))))</f>
        <v>81</v>
      </c>
      <c r="AE105" s="3">
        <f>IF(OR(Control!$F$39="EC",Control!$F$51="N"),H51,MIN(H51,14+0.66*(INDEX('Eff. thickness (DNVGL-RP-C203)'!$D$31:$D$1048576,MATCH(H51,'Eff. thickness (DNVGL-RP-C203)'!$C$31:$C$1048576,0))+IF(I51&lt;0.001,0,'Eff. thickness (DNVGL-RP-C203)'!$L$29))))</f>
        <v>81</v>
      </c>
      <c r="AF105" s="3">
        <f t="shared" si="54"/>
        <v>0.88908953613219999</v>
      </c>
      <c r="AG105" s="3">
        <f t="shared" si="55"/>
        <v>0.88908953613219999</v>
      </c>
      <c r="AH105" s="3">
        <f t="shared" si="56"/>
        <v>1</v>
      </c>
      <c r="AI105" s="3">
        <f t="shared" si="57"/>
        <v>1</v>
      </c>
      <c r="AJ105" s="3">
        <f>IF(Control!$F$39&lt;&gt;"DNV",1,IF(D105&gt;Control!$F$16,IF(ISBLANK(Control!$F$56),1,Control!$F$56),IF(D105&gt;Control!$F$22,IF(ISBLANK(Control!$F$57),1,Control!$F$57),1)))</f>
        <v>1</v>
      </c>
      <c r="AK105" s="3">
        <f>IF(Control!$F$39&lt;&gt;"DNV",1,IF(D105&gt;Control!$F$18,IF(ISBLANK(Control!$F$56),1,Control!$F$56),IF(D105&gt;Control!$F$22,IF(ISBLANK(Control!$F$57),1,Control!$F$57),1)))</f>
        <v>1</v>
      </c>
    </row>
    <row r="106" spans="3:37" ht="14.85" customHeight="1">
      <c r="C106" s="12" t="str">
        <f t="shared" si="39"/>
        <v>CW18</v>
      </c>
      <c r="D106" s="2">
        <f t="shared" si="40"/>
        <v>-63.8</v>
      </c>
      <c r="E106" s="3">
        <f>IF(Geometry_loads!H36="-","-",Geometry_loads!H36*Control!$F$54)</f>
        <v>352964.50685877888</v>
      </c>
      <c r="F106" s="3" t="str">
        <f>IF(Geometry_loads!G36="-","-",Geometry_loads!G36*Control!$F$55)</f>
        <v>-</v>
      </c>
      <c r="G106" s="3">
        <f t="shared" si="41"/>
        <v>59.222576921484354</v>
      </c>
      <c r="H106" s="3">
        <f t="shared" si="42"/>
        <v>58.243591466251651</v>
      </c>
      <c r="I106" s="3" t="str">
        <f t="shared" si="43"/>
        <v>-</v>
      </c>
      <c r="J106" s="3" t="str">
        <f t="shared" si="44"/>
        <v>-</v>
      </c>
      <c r="K106" s="3">
        <f t="shared" si="45"/>
        <v>112</v>
      </c>
      <c r="L106" s="3">
        <f t="shared" si="46"/>
        <v>112</v>
      </c>
      <c r="M106" s="3">
        <f t="shared" si="47"/>
        <v>0.30319022105870369</v>
      </c>
      <c r="N106" s="3">
        <f t="shared" si="48"/>
        <v>0.28363418615828578</v>
      </c>
      <c r="O106" s="3">
        <f>IF(Control!$F$47="N",Control!$F$48,'FLS MP (driving)'!O52)</f>
        <v>0.1</v>
      </c>
      <c r="P106" s="3">
        <f>IF(Control!$F$47="N",Control!$F$48,'FLS MP (driving)'!P52)</f>
        <v>0.1</v>
      </c>
      <c r="Q106" s="3">
        <f>Control!$F$46</f>
        <v>0</v>
      </c>
      <c r="R106" s="3">
        <f>Control!$F$46</f>
        <v>0</v>
      </c>
      <c r="S106" s="3">
        <f t="shared" si="49"/>
        <v>0.40319022105870372</v>
      </c>
      <c r="T106" s="3">
        <f t="shared" si="50"/>
        <v>0.38363418615828582</v>
      </c>
      <c r="X106" s="36">
        <f t="shared" ref="X106:AA106" si="73">X79</f>
        <v>0</v>
      </c>
      <c r="Y106" s="36">
        <f t="shared" si="73"/>
        <v>0</v>
      </c>
      <c r="Z106" s="36">
        <f t="shared" si="73"/>
        <v>0</v>
      </c>
      <c r="AA106" s="36">
        <f t="shared" si="73"/>
        <v>0</v>
      </c>
      <c r="AB106" s="3">
        <f t="shared" si="52"/>
        <v>29.203830253806316</v>
      </c>
      <c r="AC106" s="3">
        <f t="shared" si="53"/>
        <v>29.203830253806316</v>
      </c>
      <c r="AD106" s="3">
        <f>IF(OR(Control!$F$39="EC",Control!$F$51="N"),H52,MIN(H52,14+0.66*(INDEX('Eff. thickness (DNVGL-RP-C203)'!$E$31:$E$1048576,MATCH(H52,'Eff. thickness (DNVGL-RP-C203)'!$C$31:$C$1048576,0)))))</f>
        <v>81</v>
      </c>
      <c r="AE106" s="3">
        <f>IF(OR(Control!$F$39="EC",Control!$F$51="N"),H52,MIN(H52,14+0.66*(INDEX('Eff. thickness (DNVGL-RP-C203)'!$D$31:$D$1048576,MATCH(H52,'Eff. thickness (DNVGL-RP-C203)'!$C$31:$C$1048576,0))+IF(I52&lt;0.001,0,'Eff. thickness (DNVGL-RP-C203)'!$L$29))))</f>
        <v>81</v>
      </c>
      <c r="AF106" s="3">
        <f t="shared" si="54"/>
        <v>0.88908953613219999</v>
      </c>
      <c r="AG106" s="3">
        <f t="shared" si="55"/>
        <v>0.88908953613219999</v>
      </c>
      <c r="AH106" s="3">
        <f t="shared" si="56"/>
        <v>1</v>
      </c>
      <c r="AI106" s="3">
        <f t="shared" si="57"/>
        <v>1</v>
      </c>
      <c r="AJ106" s="3">
        <f>IF(Control!$F$39&lt;&gt;"DNV",1,IF(D106&gt;Control!$F$16,IF(ISBLANK(Control!$F$56),1,Control!$F$56),IF(D106&gt;Control!$F$22,IF(ISBLANK(Control!$F$57),1,Control!$F$57),1)))</f>
        <v>1</v>
      </c>
      <c r="AK106" s="3">
        <f>IF(Control!$F$39&lt;&gt;"DNV",1,IF(D106&gt;Control!$F$18,IF(ISBLANK(Control!$F$56),1,Control!$F$56),IF(D106&gt;Control!$F$22,IF(ISBLANK(Control!$F$57),1,Control!$F$57),1)))</f>
        <v>1</v>
      </c>
    </row>
    <row r="107" spans="3:37" ht="14.85" customHeight="1">
      <c r="C107" s="12" t="str">
        <f t="shared" si="39"/>
        <v>CW19</v>
      </c>
      <c r="D107" s="2">
        <f t="shared" si="40"/>
        <v>-67.8</v>
      </c>
      <c r="E107" s="3">
        <f>IF(Geometry_loads!H37="-","-",Geometry_loads!H37*Control!$F$54)</f>
        <v>285278.1170289875</v>
      </c>
      <c r="F107" s="3" t="str">
        <f>IF(Geometry_loads!G37="-","-",Geometry_loads!G37*Control!$F$55)</f>
        <v>-</v>
      </c>
      <c r="G107" s="3">
        <f t="shared" si="41"/>
        <v>47.865734093555993</v>
      </c>
      <c r="H107" s="3">
        <f t="shared" si="42"/>
        <v>47.074484203438018</v>
      </c>
      <c r="I107" s="3" t="str">
        <f t="shared" si="43"/>
        <v>-</v>
      </c>
      <c r="J107" s="3" t="str">
        <f t="shared" si="44"/>
        <v>-</v>
      </c>
      <c r="K107" s="3">
        <f t="shared" si="45"/>
        <v>90</v>
      </c>
      <c r="L107" s="3">
        <f t="shared" si="46"/>
        <v>90</v>
      </c>
      <c r="M107" s="3">
        <f t="shared" si="47"/>
        <v>0.49657510071002608</v>
      </c>
      <c r="N107" s="3">
        <f t="shared" si="48"/>
        <v>0.46454557163664756</v>
      </c>
      <c r="O107" s="3">
        <f>IF(Control!$F$47="N",Control!$F$48,'FLS MP (driving)'!O53)</f>
        <v>0.1</v>
      </c>
      <c r="P107" s="3">
        <f>IF(Control!$F$47="N",Control!$F$48,'FLS MP (driving)'!P53)</f>
        <v>0.1</v>
      </c>
      <c r="Q107" s="3">
        <f>Control!$F$46</f>
        <v>0</v>
      </c>
      <c r="R107" s="3">
        <f>Control!$F$46</f>
        <v>0</v>
      </c>
      <c r="S107" s="3">
        <f t="shared" si="49"/>
        <v>0.59657510071002606</v>
      </c>
      <c r="T107" s="3">
        <f t="shared" si="50"/>
        <v>0.56454557163664754</v>
      </c>
      <c r="X107" s="36">
        <f t="shared" ref="X107:AA107" si="74">X80</f>
        <v>0</v>
      </c>
      <c r="Y107" s="36">
        <f t="shared" si="74"/>
        <v>0</v>
      </c>
      <c r="Z107" s="36">
        <f t="shared" si="74"/>
        <v>0</v>
      </c>
      <c r="AA107" s="36">
        <f t="shared" si="74"/>
        <v>0</v>
      </c>
      <c r="AB107" s="3">
        <f t="shared" si="52"/>
        <v>29.203830253806316</v>
      </c>
      <c r="AC107" s="3">
        <f t="shared" si="53"/>
        <v>29.203830253806316</v>
      </c>
      <c r="AD107" s="3">
        <f>IF(OR(Control!$F$39="EC",Control!$F$51="N"),H53,MIN(H53,14+0.66*(INDEX('Eff. thickness (DNVGL-RP-C203)'!$E$31:$E$1048576,MATCH(H53,'Eff. thickness (DNVGL-RP-C203)'!$C$31:$C$1048576,0)))))</f>
        <v>81</v>
      </c>
      <c r="AE107" s="3">
        <f>IF(OR(Control!$F$39="EC",Control!$F$51="N"),H53,MIN(H53,14+0.66*(INDEX('Eff. thickness (DNVGL-RP-C203)'!$D$31:$D$1048576,MATCH(H53,'Eff. thickness (DNVGL-RP-C203)'!$C$31:$C$1048576,0))+IF(I53&lt;0.001,0,'Eff. thickness (DNVGL-RP-C203)'!$L$29))))</f>
        <v>81</v>
      </c>
      <c r="AF107" s="3">
        <f t="shared" si="54"/>
        <v>0.79048020325977053</v>
      </c>
      <c r="AG107" s="3">
        <f t="shared" si="55"/>
        <v>0.79048020325977053</v>
      </c>
      <c r="AH107" s="3">
        <f t="shared" si="56"/>
        <v>1</v>
      </c>
      <c r="AI107" s="3">
        <f t="shared" si="57"/>
        <v>1</v>
      </c>
      <c r="AJ107" s="3">
        <f>IF(Control!$F$39&lt;&gt;"DNV",1,IF(D107&gt;Control!$F$16,IF(ISBLANK(Control!$F$56),1,Control!$F$56),IF(D107&gt;Control!$F$22,IF(ISBLANK(Control!$F$57),1,Control!$F$57),1)))</f>
        <v>1</v>
      </c>
      <c r="AK107" s="3">
        <f>IF(Control!$F$39&lt;&gt;"DNV",1,IF(D107&gt;Control!$F$18,IF(ISBLANK(Control!$F$56),1,Control!$F$56),IF(D107&gt;Control!$F$22,IF(ISBLANK(Control!$F$57),1,Control!$F$57),1)))</f>
        <v>1</v>
      </c>
    </row>
    <row r="108" spans="3:37" ht="14.85" customHeight="1">
      <c r="C108" s="12" t="str">
        <f t="shared" si="39"/>
        <v>CW20</v>
      </c>
      <c r="D108" s="2">
        <f t="shared" si="40"/>
        <v>-71.8</v>
      </c>
      <c r="E108" s="3">
        <f>IF(Geometry_loads!H38="-","-",Geometry_loads!H38*Control!$F$54)</f>
        <v>203559.48907744349</v>
      </c>
      <c r="F108" s="3" t="str">
        <f>IF(Geometry_loads!G38="-","-",Geometry_loads!G38*Control!$F$55)</f>
        <v>-</v>
      </c>
      <c r="G108" s="3">
        <f t="shared" si="41"/>
        <v>30.824073986171303</v>
      </c>
      <c r="H108" s="3">
        <f t="shared" si="42"/>
        <v>30.25791752520081</v>
      </c>
      <c r="I108" s="3" t="str">
        <f t="shared" si="43"/>
        <v>-</v>
      </c>
      <c r="J108" s="3" t="str">
        <f t="shared" si="44"/>
        <v>-</v>
      </c>
      <c r="K108" s="3">
        <f t="shared" si="45"/>
        <v>90</v>
      </c>
      <c r="L108" s="3">
        <f t="shared" si="46"/>
        <v>90</v>
      </c>
      <c r="M108" s="3">
        <f t="shared" si="47"/>
        <v>4.7667961093491036E-2</v>
      </c>
      <c r="N108" s="3">
        <f t="shared" si="48"/>
        <v>0.15296912642711025</v>
      </c>
      <c r="O108" s="3">
        <f>IF(Control!$F$47="N",Control!$F$48,'FLS MP (driving)'!O54)</f>
        <v>0.1</v>
      </c>
      <c r="P108" s="3">
        <f>IF(Control!$F$47="N",Control!$F$48,'FLS MP (driving)'!P54)</f>
        <v>0.1</v>
      </c>
      <c r="Q108" s="3">
        <f>Control!$F$46</f>
        <v>0</v>
      </c>
      <c r="R108" s="3">
        <f>Control!$F$46</f>
        <v>0</v>
      </c>
      <c r="S108" s="3">
        <f t="shared" si="49"/>
        <v>0.14766796109349103</v>
      </c>
      <c r="T108" s="3">
        <f t="shared" si="50"/>
        <v>0.25296912642711022</v>
      </c>
      <c r="X108" s="36">
        <f t="shared" ref="X108:AA108" si="75">X81</f>
        <v>0</v>
      </c>
      <c r="Y108" s="36">
        <f t="shared" si="75"/>
        <v>0</v>
      </c>
      <c r="Z108" s="36">
        <f t="shared" si="75"/>
        <v>0</v>
      </c>
      <c r="AA108" s="36">
        <f t="shared" si="75"/>
        <v>0</v>
      </c>
      <c r="AB108" s="3">
        <f t="shared" si="52"/>
        <v>32.359171501046823</v>
      </c>
      <c r="AC108" s="3">
        <f t="shared" si="53"/>
        <v>32.359171501046823</v>
      </c>
      <c r="AD108" s="3">
        <f>IF(OR(Control!$F$39="EC",Control!$F$51="N"),H54,MIN(H54,14+0.66*(INDEX('Eff. thickness (DNVGL-RP-C203)'!$E$31:$E$1048576,MATCH(H54,'Eff. thickness (DNVGL-RP-C203)'!$C$31:$C$1048576,0)))))</f>
        <v>90</v>
      </c>
      <c r="AE108" s="3">
        <f>IF(OR(Control!$F$39="EC",Control!$F$51="N"),H54,MIN(H54,14+0.66*(INDEX('Eff. thickness (DNVGL-RP-C203)'!$D$31:$D$1048576,MATCH(H54,'Eff. thickness (DNVGL-RP-C203)'!$C$31:$C$1048576,0))+IF(I54&lt;0.001,0,'Eff. thickness (DNVGL-RP-C203)'!$L$29))))</f>
        <v>90</v>
      </c>
      <c r="AF108" s="3">
        <f t="shared" si="54"/>
        <v>0.77399739650057642</v>
      </c>
      <c r="AG108" s="3">
        <f t="shared" si="55"/>
        <v>0.77399739650057642</v>
      </c>
      <c r="AH108" s="3">
        <f t="shared" si="56"/>
        <v>1</v>
      </c>
      <c r="AI108" s="3">
        <f t="shared" si="57"/>
        <v>1</v>
      </c>
      <c r="AJ108" s="3">
        <f>IF(Control!$F$39&lt;&gt;"DNV",1,IF(D108&gt;Control!$F$16,IF(ISBLANK(Control!$F$56),1,Control!$F$56),IF(D108&gt;Control!$F$22,IF(ISBLANK(Control!$F$57),1,Control!$F$57),1)))</f>
        <v>1</v>
      </c>
      <c r="AK108" s="3">
        <f>IF(Control!$F$39&lt;&gt;"DNV",1,IF(D108&gt;Control!$F$18,IF(ISBLANK(Control!$F$56),1,Control!$F$56),IF(D108&gt;Control!$F$22,IF(ISBLANK(Control!$F$57),1,Control!$F$57),1)))</f>
        <v>1</v>
      </c>
    </row>
    <row r="109" spans="3:37" ht="14.85" customHeight="1">
      <c r="C109" s="12" t="str">
        <f t="shared" si="39"/>
        <v>CW21</v>
      </c>
      <c r="D109" s="2">
        <f t="shared" si="40"/>
        <v>-75.8</v>
      </c>
      <c r="E109" s="3">
        <f>IF(Geometry_loads!H39="-","-",Geometry_loads!H39*Control!$F$54)</f>
        <v>116256.26070762122</v>
      </c>
      <c r="F109" s="3" t="str">
        <f>IF(Geometry_loads!G39="-","-",Geometry_loads!G39*Control!$F$55)</f>
        <v>-</v>
      </c>
      <c r="G109" s="3">
        <f t="shared" si="41"/>
        <v>16.703239483031638</v>
      </c>
      <c r="H109" s="3">
        <f t="shared" si="42"/>
        <v>16.379401166523881</v>
      </c>
      <c r="I109" s="3" t="str">
        <f t="shared" si="43"/>
        <v>-</v>
      </c>
      <c r="J109" s="3" t="str">
        <f t="shared" si="44"/>
        <v>-</v>
      </c>
      <c r="K109" s="3">
        <f t="shared" si="45"/>
        <v>90</v>
      </c>
      <c r="L109" s="3">
        <f t="shared" si="46"/>
        <v>90</v>
      </c>
      <c r="M109" s="3">
        <f t="shared" si="47"/>
        <v>5.6295663842103241E-3</v>
      </c>
      <c r="N109" s="3">
        <f t="shared" si="48"/>
        <v>9.9861477879570823E-3</v>
      </c>
      <c r="O109" s="3">
        <f>IF(Control!$F$47="N",Control!$F$48,'FLS MP (driving)'!O55)</f>
        <v>0.1</v>
      </c>
      <c r="P109" s="3">
        <f>IF(Control!$F$47="N",Control!$F$48,'FLS MP (driving)'!P55)</f>
        <v>0.1</v>
      </c>
      <c r="Q109" s="3">
        <f>Control!$F$46</f>
        <v>0</v>
      </c>
      <c r="R109" s="3">
        <f>Control!$F$46</f>
        <v>0</v>
      </c>
      <c r="S109" s="3">
        <f t="shared" si="49"/>
        <v>0.10562956638421032</v>
      </c>
      <c r="T109" s="3">
        <f t="shared" si="50"/>
        <v>0.10998614778795709</v>
      </c>
      <c r="X109" s="36">
        <f t="shared" ref="X109:AA109" si="76">X82</f>
        <v>0</v>
      </c>
      <c r="Y109" s="36">
        <f t="shared" si="76"/>
        <v>0</v>
      </c>
      <c r="Z109" s="36">
        <f t="shared" si="76"/>
        <v>0</v>
      </c>
      <c r="AA109" s="36">
        <f t="shared" si="76"/>
        <v>0</v>
      </c>
      <c r="AB109" s="3">
        <f t="shared" si="52"/>
        <v>34.104502784986202</v>
      </c>
      <c r="AC109" s="3">
        <f t="shared" si="53"/>
        <v>34.104502784986202</v>
      </c>
      <c r="AD109" s="3">
        <f>IF(OR(Control!$F$39="EC",Control!$F$51="N"),H55,MIN(H55,14+0.66*(INDEX('Eff. thickness (DNVGL-RP-C203)'!$E$31:$E$1048576,MATCH(H55,'Eff. thickness (DNVGL-RP-C203)'!$C$31:$C$1048576,0)))))</f>
        <v>95</v>
      </c>
      <c r="AE109" s="3">
        <f>IF(OR(Control!$F$39="EC",Control!$F$51="N"),H55,MIN(H55,14+0.66*(INDEX('Eff. thickness (DNVGL-RP-C203)'!$D$31:$D$1048576,MATCH(H55,'Eff. thickness (DNVGL-RP-C203)'!$C$31:$C$1048576,0))+IF(I55&lt;0.001,0,'Eff. thickness (DNVGL-RP-C203)'!$L$29))))</f>
        <v>95</v>
      </c>
      <c r="AF109" s="3">
        <f t="shared" si="54"/>
        <v>0.76567290811174582</v>
      </c>
      <c r="AG109" s="3">
        <f t="shared" si="55"/>
        <v>0.76567290811174582</v>
      </c>
      <c r="AH109" s="3">
        <f t="shared" si="56"/>
        <v>1</v>
      </c>
      <c r="AI109" s="3">
        <f t="shared" si="57"/>
        <v>1</v>
      </c>
      <c r="AJ109" s="3">
        <f>IF(Control!$F$39&lt;&gt;"DNV",1,IF(D109&gt;Control!$F$16,IF(ISBLANK(Control!$F$56),1,Control!$F$56),IF(D109&gt;Control!$F$22,IF(ISBLANK(Control!$F$57),1,Control!$F$57),1)))</f>
        <v>1</v>
      </c>
      <c r="AK109" s="3">
        <f>IF(Control!$F$39&lt;&gt;"DNV",1,IF(D109&gt;Control!$F$18,IF(ISBLANK(Control!$F$56),1,Control!$F$56),IF(D109&gt;Control!$F$22,IF(ISBLANK(Control!$F$57),1,Control!$F$57),1)))</f>
        <v>1</v>
      </c>
    </row>
    <row r="110" spans="3:37" ht="14.85" customHeight="1">
      <c r="C110" s="12" t="str">
        <f t="shared" si="39"/>
        <v>CW22</v>
      </c>
      <c r="D110" s="2">
        <f t="shared" si="40"/>
        <v>-79.73</v>
      </c>
      <c r="E110" s="3">
        <f>IF(Geometry_loads!H40="-","-",Geometry_loads!H40*Control!$F$54)</f>
        <v>35106.662134764665</v>
      </c>
      <c r="F110" s="3" t="str">
        <f>IF(Geometry_loads!G40="-","-",Geometry_loads!G40*Control!$F$55)</f>
        <v>-</v>
      </c>
      <c r="G110" s="3">
        <f t="shared" si="41"/>
        <v>4.7991505749932895</v>
      </c>
      <c r="H110" s="3">
        <f t="shared" si="42"/>
        <v>4.7012087265240394</v>
      </c>
      <c r="I110" s="3" t="str">
        <f t="shared" si="43"/>
        <v>-</v>
      </c>
      <c r="J110" s="3" t="str">
        <f t="shared" si="44"/>
        <v>-</v>
      </c>
      <c r="K110" s="3">
        <f t="shared" si="45"/>
        <v>90</v>
      </c>
      <c r="L110" s="3">
        <f t="shared" si="46"/>
        <v>90</v>
      </c>
      <c r="M110" s="3">
        <f t="shared" si="47"/>
        <v>3.9489473689382187E-5</v>
      </c>
      <c r="N110" s="3">
        <f t="shared" si="48"/>
        <v>6.7779390938851417E-5</v>
      </c>
      <c r="O110" s="3">
        <f>IF(Control!$F$47="N",Control!$F$48,'FLS MP (driving)'!O56)</f>
        <v>0.1</v>
      </c>
      <c r="P110" s="3">
        <f>IF(Control!$F$47="N",Control!$F$48,'FLS MP (driving)'!P56)</f>
        <v>0.1</v>
      </c>
      <c r="Q110" s="3">
        <f>Control!$F$46</f>
        <v>0</v>
      </c>
      <c r="R110" s="3">
        <f>Control!$F$46</f>
        <v>0</v>
      </c>
      <c r="S110" s="3">
        <f t="shared" si="49"/>
        <v>0.10003948947368939</v>
      </c>
      <c r="T110" s="3">
        <f t="shared" si="50"/>
        <v>0.10006777939093886</v>
      </c>
      <c r="X110" s="36">
        <f t="shared" ref="X110:AA110" si="77">X83</f>
        <v>0</v>
      </c>
      <c r="Y110" s="36">
        <f t="shared" si="77"/>
        <v>0</v>
      </c>
      <c r="Z110" s="36">
        <f t="shared" si="77"/>
        <v>0</v>
      </c>
      <c r="AA110" s="36">
        <f t="shared" si="77"/>
        <v>0</v>
      </c>
      <c r="AB110" s="3">
        <f t="shared" si="52"/>
        <v>35.844394080214371</v>
      </c>
      <c r="AC110" s="3">
        <f t="shared" si="53"/>
        <v>35.844394080214371</v>
      </c>
      <c r="AD110" s="3">
        <f>IF(OR(Control!$F$39="EC",Control!$F$51="N"),H56,MIN(H56,14+0.66*(INDEX('Eff. thickness (DNVGL-RP-C203)'!$E$31:$E$1048576,MATCH(H56,'Eff. thickness (DNVGL-RP-C203)'!$C$31:$C$1048576,0)))))</f>
        <v>100</v>
      </c>
      <c r="AE110" s="3">
        <f>IF(OR(Control!$F$39="EC",Control!$F$51="N"),H56,MIN(H56,14+0.66*(INDEX('Eff. thickness (DNVGL-RP-C203)'!$D$31:$D$1048576,MATCH(H56,'Eff. thickness (DNVGL-RP-C203)'!$C$31:$C$1048576,0))+IF(I56&lt;0.001,0,'Eff. thickness (DNVGL-RP-C203)'!$L$29))))</f>
        <v>100</v>
      </c>
      <c r="AF110" s="3">
        <f t="shared" si="54"/>
        <v>0.75785828325519911</v>
      </c>
      <c r="AG110" s="3">
        <f t="shared" si="55"/>
        <v>0.75785828325519911</v>
      </c>
      <c r="AH110" s="3">
        <f t="shared" si="56"/>
        <v>1</v>
      </c>
      <c r="AI110" s="3">
        <f t="shared" si="57"/>
        <v>1</v>
      </c>
      <c r="AJ110" s="3">
        <f>IF(Control!$F$39&lt;&gt;"DNV",1,IF(D110&gt;Control!$F$16,IF(ISBLANK(Control!$F$56),1,Control!$F$56),IF(D110&gt;Control!$F$22,IF(ISBLANK(Control!$F$57),1,Control!$F$57),1)))</f>
        <v>1</v>
      </c>
      <c r="AK110" s="3">
        <f>IF(Control!$F$39&lt;&gt;"DNV",1,IF(D110&gt;Control!$F$18,IF(ISBLANK(Control!$F$56),1,Control!$F$56),IF(D110&gt;Control!$F$22,IF(ISBLANK(Control!$F$57),1,Control!$F$57),1)))</f>
        <v>1</v>
      </c>
    </row>
    <row r="111" spans="3:37" ht="14.85" customHeight="1"/>
    <row r="112" spans="3:37">
      <c r="C112" s="35" t="s">
        <v>466</v>
      </c>
      <c r="M112" s="271" t="s">
        <v>60</v>
      </c>
      <c r="N112" s="267"/>
      <c r="O112" s="267"/>
      <c r="P112" s="267"/>
      <c r="Q112" s="267"/>
      <c r="R112" s="267"/>
      <c r="S112" s="267"/>
      <c r="T112" s="319"/>
    </row>
    <row r="113" spans="3:37" ht="20.399999999999999">
      <c r="C113" s="312" t="s">
        <v>19</v>
      </c>
      <c r="D113" s="317" t="s">
        <v>282</v>
      </c>
      <c r="E113" s="30" t="s">
        <v>285</v>
      </c>
      <c r="F113" s="30" t="s">
        <v>285</v>
      </c>
      <c r="G113" s="312" t="s">
        <v>24</v>
      </c>
      <c r="H113" s="312"/>
      <c r="I113" s="312" t="s">
        <v>271</v>
      </c>
      <c r="J113" s="312"/>
      <c r="K113" s="312" t="s">
        <v>27</v>
      </c>
      <c r="L113" s="312"/>
      <c r="M113" s="312" t="s">
        <v>61</v>
      </c>
      <c r="N113" s="312"/>
      <c r="O113" s="312" t="s">
        <v>218</v>
      </c>
      <c r="P113" s="312"/>
      <c r="Q113" s="312" t="s">
        <v>62</v>
      </c>
      <c r="R113" s="312"/>
      <c r="S113" s="312" t="s">
        <v>63</v>
      </c>
      <c r="T113" s="312"/>
      <c r="X113" s="312" t="s">
        <v>31</v>
      </c>
      <c r="Y113" s="312"/>
      <c r="Z113" s="313" t="s">
        <v>48</v>
      </c>
      <c r="AA113" s="314"/>
      <c r="AB113" s="30" t="s">
        <v>21</v>
      </c>
      <c r="AC113" s="5" t="s">
        <v>22</v>
      </c>
      <c r="AD113" s="310" t="str">
        <f>IF(OR(Control!$F$39="EC",Control!$F$51="N"),"t","t_eff")</f>
        <v>t</v>
      </c>
      <c r="AE113" s="311"/>
      <c r="AF113" s="312" t="s">
        <v>35</v>
      </c>
      <c r="AG113" s="312"/>
      <c r="AH113" s="312"/>
      <c r="AI113" s="312"/>
      <c r="AJ113" s="310" t="s">
        <v>448</v>
      </c>
      <c r="AK113" s="311"/>
    </row>
    <row r="114" spans="3:37" ht="20.399999999999999">
      <c r="C114" s="312">
        <v>0</v>
      </c>
      <c r="D114" s="318">
        <v>0</v>
      </c>
      <c r="E114" s="30" t="str">
        <f>IF(Control!$F$39="EC","m=4, N=2E6","m=5, N=1e7")</f>
        <v>m=4, N=2E6</v>
      </c>
      <c r="F114" s="30" t="str">
        <f>IF(Control!$F$39="EC","m=3, N=2E6","m=3, N=1e7")</f>
        <v>m=3, N=2E6</v>
      </c>
      <c r="G114" s="30" t="s">
        <v>25</v>
      </c>
      <c r="H114" s="30" t="s">
        <v>26</v>
      </c>
      <c r="I114" s="5" t="s">
        <v>25</v>
      </c>
      <c r="J114" s="5" t="s">
        <v>26</v>
      </c>
      <c r="K114" s="30" t="s">
        <v>25</v>
      </c>
      <c r="L114" s="30" t="s">
        <v>26</v>
      </c>
      <c r="M114" s="30" t="s">
        <v>25</v>
      </c>
      <c r="N114" s="30" t="s">
        <v>64</v>
      </c>
      <c r="O114" s="30" t="s">
        <v>25</v>
      </c>
      <c r="P114" s="30" t="s">
        <v>64</v>
      </c>
      <c r="Q114" s="30" t="s">
        <v>25</v>
      </c>
      <c r="R114" s="30" t="s">
        <v>64</v>
      </c>
      <c r="S114" s="30" t="s">
        <v>25</v>
      </c>
      <c r="T114" s="30" t="s">
        <v>64</v>
      </c>
      <c r="X114" s="30" t="s">
        <v>33</v>
      </c>
      <c r="Y114" s="30" t="s">
        <v>34</v>
      </c>
      <c r="Z114" s="30" t="s">
        <v>33</v>
      </c>
      <c r="AA114" s="30" t="s">
        <v>34</v>
      </c>
      <c r="AB114" s="313" t="s">
        <v>30</v>
      </c>
      <c r="AC114" s="314"/>
      <c r="AD114" s="30" t="s">
        <v>45</v>
      </c>
      <c r="AE114" s="30" t="s">
        <v>34</v>
      </c>
      <c r="AF114" s="30" t="s">
        <v>45</v>
      </c>
      <c r="AG114" s="30" t="s">
        <v>34</v>
      </c>
      <c r="AH114" s="30" t="s">
        <v>46</v>
      </c>
      <c r="AI114" s="30" t="s">
        <v>47</v>
      </c>
      <c r="AJ114" s="30" t="s">
        <v>45</v>
      </c>
      <c r="AK114" s="30" t="s">
        <v>34</v>
      </c>
    </row>
    <row r="115" spans="3:37">
      <c r="C115" s="30" t="s">
        <v>16</v>
      </c>
      <c r="D115" s="30" t="str">
        <f>"[m"&amp;Control!$F$7&amp;"]"</f>
        <v>[mLAT]</v>
      </c>
      <c r="E115" s="313" t="s">
        <v>20</v>
      </c>
      <c r="F115" s="314"/>
      <c r="G115" s="313" t="s">
        <v>77</v>
      </c>
      <c r="H115" s="316"/>
      <c r="I115" s="316"/>
      <c r="J115" s="314"/>
      <c r="K115" s="313" t="s">
        <v>77</v>
      </c>
      <c r="L115" s="314"/>
      <c r="M115" s="320" t="s">
        <v>16</v>
      </c>
      <c r="N115" s="321"/>
      <c r="O115" s="321"/>
      <c r="P115" s="321"/>
      <c r="Q115" s="321"/>
      <c r="R115" s="321"/>
      <c r="S115" s="321"/>
      <c r="T115" s="322"/>
      <c r="X115" s="315" t="s">
        <v>32</v>
      </c>
      <c r="Y115" s="315"/>
      <c r="Z115" s="30" t="s">
        <v>10</v>
      </c>
      <c r="AA115" s="30" t="s">
        <v>10</v>
      </c>
      <c r="AB115" s="313" t="s">
        <v>23</v>
      </c>
      <c r="AC115" s="314"/>
      <c r="AD115" s="87" t="s">
        <v>10</v>
      </c>
      <c r="AE115" s="87" t="s">
        <v>10</v>
      </c>
      <c r="AF115" s="1" t="s">
        <v>16</v>
      </c>
      <c r="AG115" s="1" t="s">
        <v>16</v>
      </c>
      <c r="AH115" s="1" t="s">
        <v>16</v>
      </c>
      <c r="AI115" s="1" t="s">
        <v>16</v>
      </c>
      <c r="AJ115" s="1" t="s">
        <v>16</v>
      </c>
      <c r="AK115" s="1" t="s">
        <v>16</v>
      </c>
    </row>
    <row r="116" spans="3:37">
      <c r="C116" s="12" t="s">
        <v>456</v>
      </c>
      <c r="D116" s="2">
        <f>E6</f>
        <v>1.6</v>
      </c>
      <c r="E116" s="120">
        <f>IF(Geometry_loads!H19="-","-",Geometry_loads!H19*Control!$F$54)</f>
        <v>206447.85273540171</v>
      </c>
      <c r="F116" s="120">
        <f>IF(Geometry_loads!G19="-","-",Geometry_loads!G19*Control!$F$55)</f>
        <v>246282.70567200461</v>
      </c>
      <c r="G116" s="120">
        <f>IF(AND(Z116=0,AA116=0),E116/AB116*E35/2/1000,(E116*($AF$24/$Z$5)^(1/$AE$4)/AB116*E35/2/1000))</f>
        <v>39.766488073163863</v>
      </c>
      <c r="H116" s="120">
        <f>IF(AND(Z116=0,AA116=0),E116/AB116*(E35-2*G35/1000)/2/1000,(E116*($AF$24/$Z$5)^(1/$AE$4)/AB116*(E35-2*G35/1000)/2/1000))</f>
        <v>38.621213216656741</v>
      </c>
      <c r="I116" s="120">
        <f>IF(AND(Z116=0,AA116=0),"-",IF(X116=0,(E116*($AF$23/$Z$5)^(1/$AE$4)/AC116*(E35-2*Z116/1000)/2/1000),(F116*($AF$23/$Z$5)^(1/3)/AC116*(E35-2*Z116/1000)/2/1000)))</f>
        <v>40.729245986873401</v>
      </c>
      <c r="J116" s="120">
        <f>IF(AND(Z116=0,AA116=0),"-",IF(Y116=0,(E116*($AF$23/$Z$5)^(1/$AE$4))/AC116*(E35-2*(G35-AA116)/1000)/2/1000,(F116*($AF$23/$Z$5)^(1/3))/AC116*(E35-2*(G35-AA116)/1000)/2/1000))</f>
        <v>39.585019530863107</v>
      </c>
      <c r="K116" s="120">
        <f t="shared" ref="K116:L131" si="78">$AC$8</f>
        <v>112</v>
      </c>
      <c r="L116" s="120">
        <f t="shared" si="78"/>
        <v>112</v>
      </c>
      <c r="M116" s="120">
        <f>IF(AND(X116=0,Y116&lt;&gt;0),IF(D116&gt;$Z$9,$AD$13,$AD$14)*((((IF(D116&gt;$Z$9,$AD$11,$AD$12)/AF116*G116)/(AJ116*K116))^$AE$4)+(((IF(D116&gt;$Z$9,$AD$11,$AD$12)/AF116*I116)/((AJ116*K116)))^$AE$4)),IF(D116&gt;$Z$9,$AD$13,$AD$14)*((((IF(D116&gt;$Z$9,$AD$11,$AD$12)/AF116*G116)/(AJ116*K116))^$AE$4)+(((IF(D116&gt;$Z$9,$AD$11,$AD$12)/AH116*IF(X116=0,0,I116))/(0.7*K116))^3)))</f>
        <v>0.59868333533357343</v>
      </c>
      <c r="N116" s="120">
        <f>IF(AND(Y116=0,X116&lt;&gt;0),IF(D116&gt;$Z$9,$AD$13,$AD$14)*((((IF(D116&gt;$Z$9,$AD$11,$AD$12)/AG116*H116)/(AK116*L116))^$AE$4)+(((IF(D116&gt;$Z$9,$AD$11,$AD$12)/AG116*J116)/((AK116*L116)))^$AE$4)),IF(D116&gt;$Z$9,$AD$13,$AD$14)*((((IF(D116&gt;$Z$9,$AD$11,$AD$12)/AG116*H116)/(AK116*L116))^$AE$4)+(((IF(D116&gt;$Z$9,$AD$11,$AD$12)/AI116*IF(Y116=0,0,J116))/(0.7*L116))^3)))</f>
        <v>0.54765288242753996</v>
      </c>
      <c r="O116" s="120">
        <f>Control!$F$48</f>
        <v>0.1</v>
      </c>
      <c r="P116" s="120">
        <f>Control!$F$48</f>
        <v>0.1</v>
      </c>
      <c r="Q116" s="120">
        <f>Control!$F$46</f>
        <v>0</v>
      </c>
      <c r="R116" s="120">
        <f>Control!$F$46</f>
        <v>0</v>
      </c>
      <c r="S116" s="120">
        <f>M116+O116+Q116</f>
        <v>0.69868333533357341</v>
      </c>
      <c r="T116" s="120">
        <f>N116+P116+R116</f>
        <v>0.64765288242753993</v>
      </c>
      <c r="X116" s="36" t="str">
        <f>X62</f>
        <v>X</v>
      </c>
      <c r="Y116" s="36" t="str">
        <f>Y62</f>
        <v>X</v>
      </c>
      <c r="Z116" s="36">
        <f>Z62</f>
        <v>1.7999999999999998</v>
      </c>
      <c r="AA116" s="36">
        <f>AA62</f>
        <v>0.89999999999999991</v>
      </c>
      <c r="AB116" s="120">
        <f>(PI()/64*(E35^4-(E35-2*G35/1000)^4))</f>
        <v>17.134136087205629</v>
      </c>
      <c r="AC116" s="120">
        <f>(PI()/64*((E35-2*Z116/1000)^4-((E35-2*Z116/1000)-2*(G35-Z116-AA116)/1000)^4))</f>
        <v>16.699506330179677</v>
      </c>
      <c r="AD116" s="120">
        <f>IF(OR(Control!$F$39="EC",Control!$F$51="N"),G35,MIN(G35,14+0.66*(INDEX('Eff. thickness (DNVGL-RP-C203)'!$G$31:$G$1048576,MATCH(G35,'Eff. thickness (DNVGL-RP-C203)'!$C$31:$C$1048576,0)))))</f>
        <v>108</v>
      </c>
      <c r="AE116" s="120">
        <f>IF(OR(Control!$F$39="EC",Control!$F$51="N"),G35,MIN(G35,14+0.66*(INDEX('Eff. thickness (DNVGL-RP-C203)'!$F$31:$F$1048576,MATCH(G35,'Eff. thickness (DNVGL-RP-C203)'!$C$31:$C$1048576,0)))))</f>
        <v>108</v>
      </c>
      <c r="AF116" s="120">
        <f>(25/AD116)^0.1</f>
        <v>0.86387643087620181</v>
      </c>
      <c r="AG116" s="120">
        <f>(25/AE116)^0.1</f>
        <v>0.86387643087620181</v>
      </c>
      <c r="AH116" s="120">
        <f>IF(X116=0,1,(25/AD116)^0.15)</f>
        <v>0.80292954361282265</v>
      </c>
      <c r="AI116" s="120">
        <f>IF(Y116=0,1,(25/AE116)^0.15)</f>
        <v>0.80292954361282265</v>
      </c>
      <c r="AJ116" s="120">
        <f>IF(Control!$F$39&lt;&gt;"DNV",1,IF(D116&gt;Control!$F$16,IF(ISBLANK(Control!$F$56),1,Control!$F$56),IF(D116&gt;Control!$F$22,IF(ISBLANK(Control!$F$57),1,Control!$F$57),1)))</f>
        <v>1</v>
      </c>
      <c r="AK116" s="120">
        <f>IF(Control!$F$39&lt;&gt;"DNV",1,IF(D116&gt;Control!$F$18,IF(ISBLANK(Control!$F$56),1,Control!$F$56),IF(D116&gt;Control!$F$22,IF(ISBLANK(Control!$F$57),1,Control!$F$57),1)))</f>
        <v>1</v>
      </c>
    </row>
    <row r="117" spans="3:37">
      <c r="C117" s="12" t="s">
        <v>457</v>
      </c>
      <c r="D117" s="2">
        <f t="shared" ref="D117:D137" si="79">E7</f>
        <v>-2.2999999999999998</v>
      </c>
      <c r="E117" s="120">
        <f>IF(Geometry_loads!H20="-","-",Geometry_loads!H20*Control!$F$54)</f>
        <v>212463.64088225467</v>
      </c>
      <c r="F117" s="120">
        <f>IF(Geometry_loads!G20="-","-",Geometry_loads!G20*Control!$F$55)</f>
        <v>253469.73457588677</v>
      </c>
      <c r="G117" s="120">
        <f t="shared" ref="G117:G137" si="80">IF(AND(Z117=0,AA117=0),E117/AB117*E36/2/1000,(E117*($AF$24/$Z$5)^(1/$AE$4)/AB117*E36/2/1000))</f>
        <v>50.058927515623736</v>
      </c>
      <c r="H117" s="120">
        <f t="shared" ref="H117:H137" si="81">IF(AND(Z117=0,AA117=0),E117/AB117*(E36-2*G36/1000)/2/1000,(E117*($AF$24/$Z$5)^(1/$AE$4)/AB117*(E36-2*G36/1000)/2/1000))</f>
        <v>48.724022781873764</v>
      </c>
      <c r="I117" s="120" t="str">
        <f t="shared" ref="I117:I137" si="82">IF(AND(Z117=0,AA117=0),"-",IF(X117=0,(E117*($AF$23/$Z$5)^(1/$AE$4)/AC117*(E36-2*Z117/1000)/2/1000),(F117*($AF$23/$Z$5)^(1/3)/AC117*(E36-2*Z117/1000)/2/1000)))</f>
        <v>-</v>
      </c>
      <c r="J117" s="120" t="str">
        <f t="shared" ref="J117:J137" si="83">IF(AND(Z117=0,AA117=0),"-",IF(Y117=0,(E117*($AF$23/$Z$5)^(1/$AE$4))/AC117*(E36-2*(G36-AA117)/1000)/2/1000,(F117*($AF$23/$Z$5)^(1/3))/AC117*(E36-2*(G36-AA117)/1000)/2/1000))</f>
        <v>-</v>
      </c>
      <c r="K117" s="120">
        <f t="shared" si="78"/>
        <v>112</v>
      </c>
      <c r="L117" s="120">
        <f t="shared" si="78"/>
        <v>112</v>
      </c>
      <c r="M117" s="120">
        <f t="shared" ref="M117:M137" si="84">IF(AND(X117=0,Y117&lt;&gt;0),IF(D117&gt;$Z$9,$AD$13,$AD$14)*((((IF(D117&gt;$Z$9,$AD$11,$AD$12)/AF117*G117)/(AJ117*K117))^$AE$4)+(((IF(D117&gt;$Z$9,$AD$11,$AD$12)/AF117*I117)/((AJ117*K117)))^$AE$4)),IF(D117&gt;$Z$9,$AD$13,$AD$14)*((((IF(D117&gt;$Z$9,$AD$11,$AD$12)/AF117*G117)/(AJ117*K117))^$AE$4)+(((IF(D117&gt;$Z$9,$AD$11,$AD$12)/AH117*IF(X117=0,0,I117))/(0.7*K117))^3)))</f>
        <v>0.16963603828755827</v>
      </c>
      <c r="N117" s="120">
        <f t="shared" ref="N117:N137" si="85">IF(AND(Y117=0,X117&lt;&gt;0),IF(D117&gt;$Z$9,$AD$13,$AD$14)*((((IF(D117&gt;$Z$9,$AD$11,$AD$12)/AG117*H117)/(AK117*L117))^$AE$4)+(((IF(D117&gt;$Z$9,$AD$11,$AD$12)/AG117*J117)/((AK117*L117)))^$AE$4)),IF(D117&gt;$Z$9,$AD$13,$AD$14)*((((IF(D117&gt;$Z$9,$AD$11,$AD$12)/AG117*H117)/(AK117*L117))^$AE$4)+(((IF(D117&gt;$Z$9,$AD$11,$AD$12)/AI117*IF(Y117=0,0,J117))/(0.7*L117))^3)))</f>
        <v>0.15225252654065169</v>
      </c>
      <c r="O117" s="120">
        <f>Control!$F$48</f>
        <v>0.1</v>
      </c>
      <c r="P117" s="120">
        <f>Control!$F$48</f>
        <v>0.1</v>
      </c>
      <c r="Q117" s="120">
        <f>Control!$F$46</f>
        <v>0</v>
      </c>
      <c r="R117" s="120">
        <f>Control!$F$46</f>
        <v>0</v>
      </c>
      <c r="S117" s="120">
        <f t="shared" ref="S117:S137" si="86">M117+O117+Q117</f>
        <v>0.26963603828755828</v>
      </c>
      <c r="T117" s="120">
        <f t="shared" ref="T117:T137" si="87">N117+P117+R117</f>
        <v>0.25225252654065167</v>
      </c>
      <c r="X117" s="36">
        <f t="shared" ref="X117:AA117" si="88">X63</f>
        <v>0</v>
      </c>
      <c r="Y117" s="36">
        <f t="shared" si="88"/>
        <v>0</v>
      </c>
      <c r="Z117" s="36">
        <f t="shared" si="88"/>
        <v>0</v>
      </c>
      <c r="AA117" s="36">
        <f t="shared" si="88"/>
        <v>0</v>
      </c>
      <c r="AB117" s="120">
        <f t="shared" ref="AB117:AB137" si="89">(PI()/64*(E36^4-(E36-2*G36/1000)^4))</f>
        <v>15.916015241432959</v>
      </c>
      <c r="AC117" s="120">
        <f t="shared" ref="AC117:AC137" si="90">(PI()/64*((E36-2*Z117/1000)^4-((E36-2*Z117/1000)-2*(G36-Z117-AA117)/1000)^4))</f>
        <v>15.916015241432959</v>
      </c>
      <c r="AD117" s="120">
        <f>IF(OR(Control!$F$39="EC",Control!$F$51="N"),G36,MIN(G36,14+0.66*(INDEX('Eff. thickness (DNVGL-RP-C203)'!$G$31:$G$1048576,MATCH(G36,'Eff. thickness (DNVGL-RP-C203)'!$C$31:$C$1048576,0)))))</f>
        <v>100</v>
      </c>
      <c r="AE117" s="120">
        <f>IF(OR(Control!$F$39="EC",Control!$F$51="N"),G36,MIN(G36,14+0.66*(INDEX('Eff. thickness (DNVGL-RP-C203)'!$F$31:$F$1048576,MATCH(G36,'Eff. thickness (DNVGL-RP-C203)'!$C$31:$C$1048576,0)))))</f>
        <v>100</v>
      </c>
      <c r="AF117" s="120">
        <f t="shared" ref="AF117:AF137" si="91">(25/AD117)^0.1</f>
        <v>0.87055056329612412</v>
      </c>
      <c r="AG117" s="120">
        <f t="shared" ref="AG117:AG137" si="92">(25/AE117)^0.1</f>
        <v>0.87055056329612412</v>
      </c>
      <c r="AH117" s="120">
        <f t="shared" ref="AH117:AH137" si="93">IF(X117=0,1,(25/AD117)^0.15)</f>
        <v>1</v>
      </c>
      <c r="AI117" s="120">
        <f t="shared" ref="AI117:AI137" si="94">IF(Y117=0,1,(25/AE117)^0.15)</f>
        <v>1</v>
      </c>
      <c r="AJ117" s="120">
        <f>IF(Control!$F$39&lt;&gt;"DNV",1,IF(D117&gt;Control!$F$16,IF(ISBLANK(Control!$F$56),1,Control!$F$56),IF(D117&gt;Control!$F$22,IF(ISBLANK(Control!$F$57),1,Control!$F$57),1)))</f>
        <v>1</v>
      </c>
      <c r="AK117" s="120">
        <f>IF(Control!$F$39&lt;&gt;"DNV",1,IF(D117&gt;Control!$F$18,IF(ISBLANK(Control!$F$56),1,Control!$F$56),IF(D117&gt;Control!$F$22,IF(ISBLANK(Control!$F$57),1,Control!$F$57),1)))</f>
        <v>1</v>
      </c>
    </row>
    <row r="118" spans="3:37">
      <c r="C118" s="12" t="s">
        <v>458</v>
      </c>
      <c r="D118" s="2">
        <f t="shared" si="79"/>
        <v>-6.2</v>
      </c>
      <c r="E118" s="120">
        <f>IF(Geometry_loads!H21="-","-",Geometry_loads!H21*Control!$F$54)</f>
        <v>217941.103467868</v>
      </c>
      <c r="F118" s="120">
        <f>IF(Geometry_loads!G21="-","-",Geometry_loads!G21*Control!$F$55)</f>
        <v>259948.83343784476</v>
      </c>
      <c r="G118" s="120">
        <f t="shared" si="80"/>
        <v>51.349481990752558</v>
      </c>
      <c r="H118" s="120">
        <f t="shared" si="81"/>
        <v>49.980162470999161</v>
      </c>
      <c r="I118" s="120" t="str">
        <f t="shared" si="82"/>
        <v>-</v>
      </c>
      <c r="J118" s="120" t="str">
        <f t="shared" si="83"/>
        <v>-</v>
      </c>
      <c r="K118" s="120">
        <f t="shared" si="78"/>
        <v>112</v>
      </c>
      <c r="L118" s="120">
        <f t="shared" si="78"/>
        <v>112</v>
      </c>
      <c r="M118" s="120">
        <f t="shared" si="84"/>
        <v>0.18781757341300589</v>
      </c>
      <c r="N118" s="120">
        <f t="shared" si="85"/>
        <v>0.16857090256016541</v>
      </c>
      <c r="O118" s="120">
        <f>Control!$F$48</f>
        <v>0.1</v>
      </c>
      <c r="P118" s="120">
        <f>Control!$F$48</f>
        <v>0.1</v>
      </c>
      <c r="Q118" s="120">
        <f>Control!$F$46</f>
        <v>0</v>
      </c>
      <c r="R118" s="120">
        <f>Control!$F$46</f>
        <v>0</v>
      </c>
      <c r="S118" s="120">
        <f t="shared" si="86"/>
        <v>0.2878175734130059</v>
      </c>
      <c r="T118" s="120">
        <f t="shared" si="87"/>
        <v>0.26857090256016541</v>
      </c>
      <c r="X118" s="36">
        <f t="shared" ref="X118:AA118" si="95">X64</f>
        <v>0</v>
      </c>
      <c r="Y118" s="36">
        <f t="shared" si="95"/>
        <v>0</v>
      </c>
      <c r="Z118" s="36">
        <f t="shared" si="95"/>
        <v>0</v>
      </c>
      <c r="AA118" s="36">
        <f t="shared" si="95"/>
        <v>0</v>
      </c>
      <c r="AB118" s="120">
        <f t="shared" si="89"/>
        <v>15.916015241432959</v>
      </c>
      <c r="AC118" s="120">
        <f t="shared" si="90"/>
        <v>15.916015241432959</v>
      </c>
      <c r="AD118" s="120">
        <f>IF(OR(Control!$F$39="EC",Control!$F$51="N"),G37,MIN(G37,14+0.66*(INDEX('Eff. thickness (DNVGL-RP-C203)'!$G$31:$G$1048576,MATCH(G37,'Eff. thickness (DNVGL-RP-C203)'!$C$31:$C$1048576,0)))))</f>
        <v>100</v>
      </c>
      <c r="AE118" s="120">
        <f>IF(OR(Control!$F$39="EC",Control!$F$51="N"),G37,MIN(G37,14+0.66*(INDEX('Eff. thickness (DNVGL-RP-C203)'!$F$31:$F$1048576,MATCH(G37,'Eff. thickness (DNVGL-RP-C203)'!$C$31:$C$1048576,0)))))</f>
        <v>100</v>
      </c>
      <c r="AF118" s="120">
        <f t="shared" si="91"/>
        <v>0.87055056329612412</v>
      </c>
      <c r="AG118" s="120">
        <f t="shared" si="92"/>
        <v>0.87055056329612412</v>
      </c>
      <c r="AH118" s="120">
        <f t="shared" si="93"/>
        <v>1</v>
      </c>
      <c r="AI118" s="120">
        <f t="shared" si="94"/>
        <v>1</v>
      </c>
      <c r="AJ118" s="120">
        <f>IF(Control!$F$39&lt;&gt;"DNV",1,IF(D118&gt;Control!$F$16,IF(ISBLANK(Control!$F$56),1,Control!$F$56),IF(D118&gt;Control!$F$22,IF(ISBLANK(Control!$F$57),1,Control!$F$57),1)))</f>
        <v>1</v>
      </c>
      <c r="AK118" s="120">
        <f>IF(Control!$F$39&lt;&gt;"DNV",1,IF(D118&gt;Control!$F$18,IF(ISBLANK(Control!$F$56),1,Control!$F$56),IF(D118&gt;Control!$F$22,IF(ISBLANK(Control!$F$57),1,Control!$F$57),1)))</f>
        <v>1</v>
      </c>
    </row>
    <row r="119" spans="3:37">
      <c r="C119" s="12" t="s">
        <v>459</v>
      </c>
      <c r="D119" s="2">
        <f t="shared" si="79"/>
        <v>-10.1</v>
      </c>
      <c r="E119" s="120">
        <f>IF(Geometry_loads!H22="-","-",Geometry_loads!H22*Control!$F$54)</f>
        <v>223997.26603181395</v>
      </c>
      <c r="F119" s="120">
        <f>IF(Geometry_loads!G22="-","-",Geometry_loads!G22*Control!$F$55)</f>
        <v>266920.40537244565</v>
      </c>
      <c r="G119" s="120">
        <f t="shared" si="80"/>
        <v>48.361044501991458</v>
      </c>
      <c r="H119" s="120">
        <f t="shared" si="81"/>
        <v>47.125500526875747</v>
      </c>
      <c r="I119" s="120" t="str">
        <f t="shared" si="82"/>
        <v>-</v>
      </c>
      <c r="J119" s="120" t="str">
        <f t="shared" si="83"/>
        <v>-</v>
      </c>
      <c r="K119" s="120">
        <f t="shared" si="78"/>
        <v>112</v>
      </c>
      <c r="L119" s="120">
        <f t="shared" si="78"/>
        <v>112</v>
      </c>
      <c r="M119" s="120">
        <f t="shared" si="84"/>
        <v>0.14776604403178822</v>
      </c>
      <c r="N119" s="120">
        <f t="shared" si="85"/>
        <v>0.13323424389891922</v>
      </c>
      <c r="O119" s="120">
        <f>Control!$F$48</f>
        <v>0.1</v>
      </c>
      <c r="P119" s="120">
        <f>Control!$F$48</f>
        <v>0.1</v>
      </c>
      <c r="Q119" s="120">
        <f>Control!$F$46</f>
        <v>0</v>
      </c>
      <c r="R119" s="120">
        <f>Control!$F$46</f>
        <v>0</v>
      </c>
      <c r="S119" s="120">
        <f t="shared" si="86"/>
        <v>0.24776604403178823</v>
      </c>
      <c r="T119" s="120">
        <f t="shared" si="87"/>
        <v>0.23323424389891922</v>
      </c>
      <c r="X119" s="36">
        <f t="shared" ref="X119:AA119" si="96">X65</f>
        <v>0</v>
      </c>
      <c r="Y119" s="36">
        <f t="shared" si="96"/>
        <v>0</v>
      </c>
      <c r="Z119" s="36">
        <f t="shared" si="96"/>
        <v>0</v>
      </c>
      <c r="AA119" s="36">
        <f t="shared" si="96"/>
        <v>0</v>
      </c>
      <c r="AB119" s="120">
        <f t="shared" si="89"/>
        <v>18.12944504956506</v>
      </c>
      <c r="AC119" s="120">
        <f t="shared" si="90"/>
        <v>18.12944504956506</v>
      </c>
      <c r="AD119" s="120">
        <f>IF(OR(Control!$F$39="EC",Control!$F$51="N"),G38,MIN(G38,14+0.66*(INDEX('Eff. thickness (DNVGL-RP-C203)'!$G$31:$G$1048576,MATCH(G38,'Eff. thickness (DNVGL-RP-C203)'!$C$31:$C$1048576,0)))))</f>
        <v>100</v>
      </c>
      <c r="AE119" s="120">
        <f>IF(OR(Control!$F$39="EC",Control!$F$51="N"),G38,MIN(G38,14+0.66*(INDEX('Eff. thickness (DNVGL-RP-C203)'!$F$31:$F$1048576,MATCH(G38,'Eff. thickness (DNVGL-RP-C203)'!$C$31:$C$1048576,0)))))</f>
        <v>100</v>
      </c>
      <c r="AF119" s="120">
        <f t="shared" si="91"/>
        <v>0.87055056329612412</v>
      </c>
      <c r="AG119" s="120">
        <f t="shared" si="92"/>
        <v>0.87055056329612412</v>
      </c>
      <c r="AH119" s="120">
        <f t="shared" si="93"/>
        <v>1</v>
      </c>
      <c r="AI119" s="120">
        <f t="shared" si="94"/>
        <v>1</v>
      </c>
      <c r="AJ119" s="120">
        <f>IF(Control!$F$39&lt;&gt;"DNV",1,IF(D119&gt;Control!$F$16,IF(ISBLANK(Control!$F$56),1,Control!$F$56),IF(D119&gt;Control!$F$22,IF(ISBLANK(Control!$F$57),1,Control!$F$57),1)))</f>
        <v>1</v>
      </c>
      <c r="AK119" s="120">
        <f>IF(Control!$F$39&lt;&gt;"DNV",1,IF(D119&gt;Control!$F$18,IF(ISBLANK(Control!$F$56),1,Control!$F$56),IF(D119&gt;Control!$F$22,IF(ISBLANK(Control!$F$57),1,Control!$F$57),1)))</f>
        <v>1</v>
      </c>
    </row>
    <row r="120" spans="3:37">
      <c r="C120" s="12" t="s">
        <v>460</v>
      </c>
      <c r="D120" s="2">
        <f t="shared" si="79"/>
        <v>-14</v>
      </c>
      <c r="E120" s="120">
        <f>IF(Geometry_loads!H23="-","-",Geometry_loads!H23*Control!$F$54)</f>
        <v>230147.63556897684</v>
      </c>
      <c r="F120" s="120">
        <f>IF(Geometry_loads!G23="-","-",Geometry_loads!G23*Control!$F$55)</f>
        <v>274076.65470928769</v>
      </c>
      <c r="G120" s="120">
        <f t="shared" si="80"/>
        <v>43.207576268092801</v>
      </c>
      <c r="H120" s="120">
        <f t="shared" si="81"/>
        <v>42.084558568458675</v>
      </c>
      <c r="I120" s="120" t="str">
        <f t="shared" si="82"/>
        <v>-</v>
      </c>
      <c r="J120" s="120" t="str">
        <f t="shared" si="83"/>
        <v>-</v>
      </c>
      <c r="K120" s="120">
        <f t="shared" si="78"/>
        <v>112</v>
      </c>
      <c r="L120" s="120">
        <f t="shared" si="78"/>
        <v>112</v>
      </c>
      <c r="M120" s="120">
        <f t="shared" si="84"/>
        <v>9.6372677455163536E-2</v>
      </c>
      <c r="N120" s="120">
        <f t="shared" si="85"/>
        <v>8.6737202037835318E-2</v>
      </c>
      <c r="O120" s="120">
        <f>Control!$F$48</f>
        <v>0.1</v>
      </c>
      <c r="P120" s="120">
        <f>Control!$F$48</f>
        <v>0.1</v>
      </c>
      <c r="Q120" s="120">
        <f>Control!$F$46</f>
        <v>0</v>
      </c>
      <c r="R120" s="120">
        <f>Control!$F$46</f>
        <v>0</v>
      </c>
      <c r="S120" s="120">
        <f t="shared" si="86"/>
        <v>0.19637267745516354</v>
      </c>
      <c r="T120" s="120">
        <f t="shared" si="87"/>
        <v>0.18673720203783534</v>
      </c>
      <c r="X120" s="36">
        <f t="shared" ref="X120:AA120" si="97">X66</f>
        <v>0</v>
      </c>
      <c r="Y120" s="36">
        <f t="shared" si="97"/>
        <v>0</v>
      </c>
      <c r="Z120" s="36">
        <f t="shared" si="97"/>
        <v>0</v>
      </c>
      <c r="AA120" s="36">
        <f t="shared" si="97"/>
        <v>0</v>
      </c>
      <c r="AB120" s="120">
        <f t="shared" si="89"/>
        <v>21.723299088037201</v>
      </c>
      <c r="AC120" s="120">
        <f t="shared" si="90"/>
        <v>21.723299088037201</v>
      </c>
      <c r="AD120" s="120">
        <f>IF(OR(Control!$F$39="EC",Control!$F$51="N"),G39,MIN(G39,14+0.66*(INDEX('Eff. thickness (DNVGL-RP-C203)'!$G$31:$G$1048576,MATCH(G39,'Eff. thickness (DNVGL-RP-C203)'!$C$31:$C$1048576,0)))))</f>
        <v>106</v>
      </c>
      <c r="AE120" s="120">
        <f>IF(OR(Control!$F$39="EC",Control!$F$51="N"),G39,MIN(G39,14+0.66*(INDEX('Eff. thickness (DNVGL-RP-C203)'!$F$31:$F$1048576,MATCH(G39,'Eff. thickness (DNVGL-RP-C203)'!$C$31:$C$1048576,0)))))</f>
        <v>106</v>
      </c>
      <c r="AF120" s="120">
        <f t="shared" si="91"/>
        <v>0.86549271030630548</v>
      </c>
      <c r="AG120" s="120">
        <f t="shared" si="92"/>
        <v>0.86549271030630548</v>
      </c>
      <c r="AH120" s="120">
        <f t="shared" si="93"/>
        <v>1</v>
      </c>
      <c r="AI120" s="120">
        <f t="shared" si="94"/>
        <v>1</v>
      </c>
      <c r="AJ120" s="120">
        <f>IF(Control!$F$39&lt;&gt;"DNV",1,IF(D120&gt;Control!$F$16,IF(ISBLANK(Control!$F$56),1,Control!$F$56),IF(D120&gt;Control!$F$22,IF(ISBLANK(Control!$F$57),1,Control!$F$57),1)))</f>
        <v>1</v>
      </c>
      <c r="AK120" s="120">
        <f>IF(Control!$F$39&lt;&gt;"DNV",1,IF(D120&gt;Control!$F$18,IF(ISBLANK(Control!$F$56),1,Control!$F$56),IF(D120&gt;Control!$F$22,IF(ISBLANK(Control!$F$57),1,Control!$F$57),1)))</f>
        <v>1</v>
      </c>
    </row>
    <row r="121" spans="3:37">
      <c r="C121" s="12" t="s">
        <v>461</v>
      </c>
      <c r="D121" s="2">
        <f t="shared" si="79"/>
        <v>-17.899999999999999</v>
      </c>
      <c r="E121" s="120">
        <f>IF(Geometry_loads!H24="-","-",Geometry_loads!H24*Control!$F$54)</f>
        <v>237603.44459214588</v>
      </c>
      <c r="F121" s="120">
        <f>IF(Geometry_loads!G24="-","-",Geometry_loads!G24*Control!$F$55)</f>
        <v>282956.55980037979</v>
      </c>
      <c r="G121" s="120">
        <f t="shared" si="80"/>
        <v>44.394608565600564</v>
      </c>
      <c r="H121" s="120">
        <f t="shared" si="81"/>
        <v>43.369087247613379</v>
      </c>
      <c r="I121" s="120" t="str">
        <f t="shared" si="82"/>
        <v>-</v>
      </c>
      <c r="J121" s="120" t="str">
        <f t="shared" si="83"/>
        <v>-</v>
      </c>
      <c r="K121" s="120">
        <f t="shared" si="78"/>
        <v>112</v>
      </c>
      <c r="L121" s="120">
        <f t="shared" si="78"/>
        <v>112</v>
      </c>
      <c r="M121" s="120">
        <f t="shared" si="84"/>
        <v>0.10408863481675303</v>
      </c>
      <c r="N121" s="120">
        <f t="shared" si="85"/>
        <v>9.4798947629807423E-2</v>
      </c>
      <c r="O121" s="120">
        <f>Control!$F$48</f>
        <v>0.1</v>
      </c>
      <c r="P121" s="120">
        <f>Control!$F$48</f>
        <v>0.1</v>
      </c>
      <c r="Q121" s="120">
        <f>Control!$F$46</f>
        <v>0</v>
      </c>
      <c r="R121" s="120">
        <f>Control!$F$46</f>
        <v>0</v>
      </c>
      <c r="S121" s="120">
        <f t="shared" si="86"/>
        <v>0.20408863481675305</v>
      </c>
      <c r="T121" s="120">
        <f t="shared" si="87"/>
        <v>0.19479894762980743</v>
      </c>
      <c r="X121" s="36">
        <f t="shared" ref="X121:AA121" si="98">X67</f>
        <v>0</v>
      </c>
      <c r="Y121" s="36">
        <f t="shared" si="98"/>
        <v>0</v>
      </c>
      <c r="Z121" s="36">
        <f t="shared" si="98"/>
        <v>0</v>
      </c>
      <c r="AA121" s="36">
        <f t="shared" si="98"/>
        <v>0</v>
      </c>
      <c r="AB121" s="120">
        <f t="shared" si="89"/>
        <v>22.705659220943812</v>
      </c>
      <c r="AC121" s="120">
        <f t="shared" si="90"/>
        <v>22.705659220943812</v>
      </c>
      <c r="AD121" s="120">
        <f>IF(OR(Control!$F$39="EC",Control!$F$51="N"),G40,MIN(G40,14+0.66*(INDEX('Eff. thickness (DNVGL-RP-C203)'!$G$31:$G$1048576,MATCH(G40,'Eff. thickness (DNVGL-RP-C203)'!$C$31:$C$1048576,0)))))</f>
        <v>98</v>
      </c>
      <c r="AE121" s="120">
        <f>IF(OR(Control!$F$39="EC",Control!$F$51="N"),G40,MIN(G40,14+0.66*(INDEX('Eff. thickness (DNVGL-RP-C203)'!$F$31:$F$1048576,MATCH(G40,'Eff. thickness (DNVGL-RP-C203)'!$C$31:$C$1048576,0)))))</f>
        <v>98</v>
      </c>
      <c r="AF121" s="120">
        <f t="shared" si="91"/>
        <v>0.87231108889002862</v>
      </c>
      <c r="AG121" s="120">
        <f t="shared" si="92"/>
        <v>0.87231108889002862</v>
      </c>
      <c r="AH121" s="120">
        <f t="shared" si="93"/>
        <v>1</v>
      </c>
      <c r="AI121" s="120">
        <f t="shared" si="94"/>
        <v>1</v>
      </c>
      <c r="AJ121" s="120">
        <f>IF(Control!$F$39&lt;&gt;"DNV",1,IF(D121&gt;Control!$F$16,IF(ISBLANK(Control!$F$56),1,Control!$F$56),IF(D121&gt;Control!$F$22,IF(ISBLANK(Control!$F$57),1,Control!$F$57),1)))</f>
        <v>1</v>
      </c>
      <c r="AK121" s="120">
        <f>IF(Control!$F$39&lt;&gt;"DNV",1,IF(D121&gt;Control!$F$18,IF(ISBLANK(Control!$F$56),1,Control!$F$56),IF(D121&gt;Control!$F$22,IF(ISBLANK(Control!$F$57),1,Control!$F$57),1)))</f>
        <v>1</v>
      </c>
    </row>
    <row r="122" spans="3:37">
      <c r="C122" s="12" t="s">
        <v>462</v>
      </c>
      <c r="D122" s="2">
        <f t="shared" si="79"/>
        <v>-21.8</v>
      </c>
      <c r="E122" s="120">
        <f>IF(Geometry_loads!H25="-","-",Geometry_loads!H25*Control!$F$54)</f>
        <v>246122.44659876317</v>
      </c>
      <c r="F122" s="120">
        <f>IF(Geometry_loads!G25="-","-",Geometry_loads!G25*Control!$F$55)</f>
        <v>293129.20670715946</v>
      </c>
      <c r="G122" s="120">
        <f t="shared" si="80"/>
        <v>44.78094979542049</v>
      </c>
      <c r="H122" s="120">
        <f t="shared" si="81"/>
        <v>43.835850266089366</v>
      </c>
      <c r="I122" s="120" t="str">
        <f t="shared" si="82"/>
        <v>-</v>
      </c>
      <c r="J122" s="120" t="str">
        <f t="shared" si="83"/>
        <v>-</v>
      </c>
      <c r="K122" s="120">
        <f t="shared" si="78"/>
        <v>112</v>
      </c>
      <c r="L122" s="120">
        <f t="shared" si="78"/>
        <v>112</v>
      </c>
      <c r="M122" s="120">
        <f t="shared" si="84"/>
        <v>0.1055257238538332</v>
      </c>
      <c r="N122" s="120">
        <f t="shared" si="85"/>
        <v>9.6895336776197855E-2</v>
      </c>
      <c r="O122" s="120">
        <f>Control!$F$48</f>
        <v>0.1</v>
      </c>
      <c r="P122" s="120">
        <f>Control!$F$48</f>
        <v>0.1</v>
      </c>
      <c r="Q122" s="120">
        <f>Control!$F$46</f>
        <v>0</v>
      </c>
      <c r="R122" s="120">
        <f>Control!$F$46</f>
        <v>0</v>
      </c>
      <c r="S122" s="120">
        <f t="shared" si="86"/>
        <v>0.20552572385383322</v>
      </c>
      <c r="T122" s="120">
        <f t="shared" si="87"/>
        <v>0.19689533677619786</v>
      </c>
      <c r="X122" s="36">
        <f t="shared" ref="X122:AA122" si="99">X68</f>
        <v>0</v>
      </c>
      <c r="Y122" s="36">
        <f t="shared" si="99"/>
        <v>0</v>
      </c>
      <c r="Z122" s="36">
        <f t="shared" si="99"/>
        <v>0</v>
      </c>
      <c r="AA122" s="36">
        <f t="shared" si="99"/>
        <v>0</v>
      </c>
      <c r="AB122" s="120">
        <f t="shared" si="89"/>
        <v>24.21902331269202</v>
      </c>
      <c r="AC122" s="120">
        <f t="shared" si="90"/>
        <v>24.21902331269202</v>
      </c>
      <c r="AD122" s="120">
        <f>IF(OR(Control!$F$39="EC",Control!$F$51="N"),G41,MIN(G41,14+0.66*(INDEX('Eff. thickness (DNVGL-RP-C203)'!$G$31:$G$1048576,MATCH(G41,'Eff. thickness (DNVGL-RP-C203)'!$C$31:$C$1048576,0)))))</f>
        <v>93</v>
      </c>
      <c r="AE122" s="120">
        <f>IF(OR(Control!$F$39="EC",Control!$F$51="N"),G41,MIN(G41,14+0.66*(INDEX('Eff. thickness (DNVGL-RP-C203)'!$F$31:$F$1048576,MATCH(G41,'Eff. thickness (DNVGL-RP-C203)'!$C$31:$C$1048576,0)))))</f>
        <v>93</v>
      </c>
      <c r="AF122" s="120">
        <f t="shared" si="91"/>
        <v>0.87689118839915348</v>
      </c>
      <c r="AG122" s="120">
        <f t="shared" si="92"/>
        <v>0.87689118839915348</v>
      </c>
      <c r="AH122" s="120">
        <f t="shared" si="93"/>
        <v>1</v>
      </c>
      <c r="AI122" s="120">
        <f t="shared" si="94"/>
        <v>1</v>
      </c>
      <c r="AJ122" s="120">
        <f>IF(Control!$F$39&lt;&gt;"DNV",1,IF(D122&gt;Control!$F$16,IF(ISBLANK(Control!$F$56),1,Control!$F$56),IF(D122&gt;Control!$F$22,IF(ISBLANK(Control!$F$57),1,Control!$F$57),1)))</f>
        <v>1</v>
      </c>
      <c r="AK122" s="120">
        <f>IF(Control!$F$39&lt;&gt;"DNV",1,IF(D122&gt;Control!$F$18,IF(ISBLANK(Control!$F$56),1,Control!$F$56),IF(D122&gt;Control!$F$22,IF(ISBLANK(Control!$F$57),1,Control!$F$57),1)))</f>
        <v>1</v>
      </c>
    </row>
    <row r="123" spans="3:37">
      <c r="C123" s="12" t="s">
        <v>531</v>
      </c>
      <c r="D123" s="2">
        <f t="shared" si="79"/>
        <v>-25.7</v>
      </c>
      <c r="E123" s="120">
        <f>IF(Geometry_loads!H26="-","-",Geometry_loads!H26*Control!$F$54)</f>
        <v>255718.09972785975</v>
      </c>
      <c r="F123" s="120">
        <f>IF(Geometry_loads!G26="-","-",Geometry_loads!G26*Control!$F$55)</f>
        <v>304856.22174946824</v>
      </c>
      <c r="G123" s="120">
        <f t="shared" si="80"/>
        <v>43.195658825942807</v>
      </c>
      <c r="H123" s="120">
        <f t="shared" si="81"/>
        <v>42.31675706673466</v>
      </c>
      <c r="I123" s="120" t="str">
        <f t="shared" si="82"/>
        <v>-</v>
      </c>
      <c r="J123" s="120" t="str">
        <f t="shared" si="83"/>
        <v>-</v>
      </c>
      <c r="K123" s="120">
        <f t="shared" si="78"/>
        <v>112</v>
      </c>
      <c r="L123" s="120">
        <f t="shared" si="78"/>
        <v>112</v>
      </c>
      <c r="M123" s="120">
        <f t="shared" si="84"/>
        <v>9.1357781870667551E-2</v>
      </c>
      <c r="N123" s="120">
        <f t="shared" si="85"/>
        <v>8.4146227535709217E-2</v>
      </c>
      <c r="O123" s="120">
        <f>Control!$F$48</f>
        <v>0.1</v>
      </c>
      <c r="P123" s="120">
        <f>Control!$F$48</f>
        <v>0.1</v>
      </c>
      <c r="Q123" s="120">
        <f>Control!$F$46</f>
        <v>0</v>
      </c>
      <c r="R123" s="120">
        <f>Control!$F$46</f>
        <v>0</v>
      </c>
      <c r="S123" s="120">
        <f t="shared" si="86"/>
        <v>0.19135778187066754</v>
      </c>
      <c r="T123" s="120">
        <f t="shared" si="87"/>
        <v>0.18414622753570922</v>
      </c>
      <c r="X123" s="36">
        <f t="shared" ref="X123:AA123" si="100">X69</f>
        <v>0</v>
      </c>
      <c r="Y123" s="36">
        <f t="shared" si="100"/>
        <v>0</v>
      </c>
      <c r="Z123" s="36">
        <f t="shared" si="100"/>
        <v>0</v>
      </c>
      <c r="AA123" s="36">
        <f t="shared" si="100"/>
        <v>0</v>
      </c>
      <c r="AB123" s="120">
        <f t="shared" si="89"/>
        <v>27.058522782019811</v>
      </c>
      <c r="AC123" s="120">
        <f t="shared" si="90"/>
        <v>27.058522782019811</v>
      </c>
      <c r="AD123" s="120">
        <f>IF(OR(Control!$F$39="EC",Control!$F$51="N"),G42,MIN(G42,14+0.66*(INDEX('Eff. thickness (DNVGL-RP-C203)'!$G$31:$G$1048576,MATCH(G42,'Eff. thickness (DNVGL-RP-C203)'!$C$31:$C$1048576,0)))))</f>
        <v>93</v>
      </c>
      <c r="AE123" s="120">
        <f>IF(OR(Control!$F$39="EC",Control!$F$51="N"),G42,MIN(G42,14+0.66*(INDEX('Eff. thickness (DNVGL-RP-C203)'!$F$31:$F$1048576,MATCH(G42,'Eff. thickness (DNVGL-RP-C203)'!$C$31:$C$1048576,0)))))</f>
        <v>93</v>
      </c>
      <c r="AF123" s="120">
        <f t="shared" si="91"/>
        <v>0.87689118839915348</v>
      </c>
      <c r="AG123" s="120">
        <f t="shared" si="92"/>
        <v>0.87689118839915348</v>
      </c>
      <c r="AH123" s="120">
        <f t="shared" si="93"/>
        <v>1</v>
      </c>
      <c r="AI123" s="120">
        <f t="shared" si="94"/>
        <v>1</v>
      </c>
      <c r="AJ123" s="120">
        <f>IF(Control!$F$39&lt;&gt;"DNV",1,IF(D123&gt;Control!$F$16,IF(ISBLANK(Control!$F$56),1,Control!$F$56),IF(D123&gt;Control!$F$22,IF(ISBLANK(Control!$F$57),1,Control!$F$57),1)))</f>
        <v>1</v>
      </c>
      <c r="AK123" s="120">
        <f>IF(Control!$F$39&lt;&gt;"DNV",1,IF(D123&gt;Control!$F$18,IF(ISBLANK(Control!$F$56),1,Control!$F$56),IF(D123&gt;Control!$F$22,IF(ISBLANK(Control!$F$57),1,Control!$F$57),1)))</f>
        <v>1</v>
      </c>
    </row>
    <row r="124" spans="3:37">
      <c r="C124" s="12" t="s">
        <v>532</v>
      </c>
      <c r="D124" s="2">
        <f t="shared" si="79"/>
        <v>-29.6</v>
      </c>
      <c r="E124" s="120">
        <f>IF(Geometry_loads!H27="-","-",Geometry_loads!H27*Control!$F$54)</f>
        <v>267063.31093098514</v>
      </c>
      <c r="F124" s="120">
        <f>IF(Geometry_loads!G27="-","-",Geometry_loads!G27*Control!$F$55)</f>
        <v>318768.58605162986</v>
      </c>
      <c r="G124" s="120">
        <f t="shared" si="80"/>
        <v>41.993767170025883</v>
      </c>
      <c r="H124" s="120">
        <f t="shared" si="81"/>
        <v>41.16894265672294</v>
      </c>
      <c r="I124" s="120" t="str">
        <f t="shared" si="82"/>
        <v>-</v>
      </c>
      <c r="J124" s="120" t="str">
        <f t="shared" si="83"/>
        <v>-</v>
      </c>
      <c r="K124" s="120">
        <f t="shared" si="78"/>
        <v>112</v>
      </c>
      <c r="L124" s="120">
        <f t="shared" si="78"/>
        <v>112</v>
      </c>
      <c r="M124" s="120">
        <f t="shared" si="84"/>
        <v>8.1606449154363561E-2</v>
      </c>
      <c r="N124" s="120">
        <f t="shared" si="85"/>
        <v>7.5381363700726817E-2</v>
      </c>
      <c r="O124" s="120">
        <f>Control!$F$48</f>
        <v>0.1</v>
      </c>
      <c r="P124" s="120">
        <f>Control!$F$48</f>
        <v>0.1</v>
      </c>
      <c r="Q124" s="120">
        <f>Control!$F$46</f>
        <v>0</v>
      </c>
      <c r="R124" s="120">
        <f>Control!$F$46</f>
        <v>0</v>
      </c>
      <c r="S124" s="120">
        <f t="shared" si="86"/>
        <v>0.18160644915436358</v>
      </c>
      <c r="T124" s="120">
        <f t="shared" si="87"/>
        <v>0.17538136370072682</v>
      </c>
      <c r="X124" s="36">
        <f t="shared" ref="X124:AA124" si="101">X70</f>
        <v>0</v>
      </c>
      <c r="Y124" s="36">
        <f t="shared" si="101"/>
        <v>0</v>
      </c>
      <c r="Z124" s="36">
        <f t="shared" si="101"/>
        <v>0</v>
      </c>
      <c r="AA124" s="36">
        <f t="shared" si="101"/>
        <v>0</v>
      </c>
      <c r="AB124" s="120">
        <f t="shared" si="89"/>
        <v>30.111723786099081</v>
      </c>
      <c r="AC124" s="120">
        <f t="shared" si="90"/>
        <v>30.111723786099081</v>
      </c>
      <c r="AD124" s="120">
        <f>IF(OR(Control!$F$39="EC",Control!$F$51="N"),G43,MIN(G43,14+0.66*(INDEX('Eff. thickness (DNVGL-RP-C203)'!$G$31:$G$1048576,MATCH(G43,'Eff. thickness (DNVGL-RP-C203)'!$C$31:$C$1048576,0)))))</f>
        <v>93</v>
      </c>
      <c r="AE124" s="120">
        <f>IF(OR(Control!$F$39="EC",Control!$F$51="N"),G43,MIN(G43,14+0.66*(INDEX('Eff. thickness (DNVGL-RP-C203)'!$F$31:$F$1048576,MATCH(G43,'Eff. thickness (DNVGL-RP-C203)'!$C$31:$C$1048576,0)))))</f>
        <v>93</v>
      </c>
      <c r="AF124" s="120">
        <f t="shared" si="91"/>
        <v>0.87689118839915348</v>
      </c>
      <c r="AG124" s="120">
        <f t="shared" si="92"/>
        <v>0.87689118839915348</v>
      </c>
      <c r="AH124" s="120">
        <f t="shared" si="93"/>
        <v>1</v>
      </c>
      <c r="AI124" s="120">
        <f t="shared" si="94"/>
        <v>1</v>
      </c>
      <c r="AJ124" s="120">
        <f>IF(Control!$F$39&lt;&gt;"DNV",1,IF(D124&gt;Control!$F$16,IF(ISBLANK(Control!$F$56),1,Control!$F$56),IF(D124&gt;Control!$F$22,IF(ISBLANK(Control!$F$57),1,Control!$F$57),1)))</f>
        <v>1</v>
      </c>
      <c r="AK124" s="120">
        <f>IF(Control!$F$39&lt;&gt;"DNV",1,IF(D124&gt;Control!$F$18,IF(ISBLANK(Control!$F$56),1,Control!$F$56),IF(D124&gt;Control!$F$22,IF(ISBLANK(Control!$F$57),1,Control!$F$57),1)))</f>
        <v>1</v>
      </c>
    </row>
    <row r="125" spans="3:37">
      <c r="C125" s="12" t="s">
        <v>533</v>
      </c>
      <c r="D125" s="2">
        <f t="shared" si="79"/>
        <v>-33.5</v>
      </c>
      <c r="E125" s="120">
        <f>IF(Geometry_loads!H28="-","-",Geometry_loads!H28*Control!$F$54)</f>
        <v>280198.45462523232</v>
      </c>
      <c r="F125" s="120">
        <f>IF(Geometry_loads!G28="-","-",Geometry_loads!G28*Control!$F$55)</f>
        <v>334912.46896420454</v>
      </c>
      <c r="G125" s="120">
        <f t="shared" si="80"/>
        <v>41.098316324840326</v>
      </c>
      <c r="H125" s="120">
        <f t="shared" si="81"/>
        <v>40.318287055817855</v>
      </c>
      <c r="I125" s="120" t="str">
        <f t="shared" si="82"/>
        <v>-</v>
      </c>
      <c r="J125" s="120" t="str">
        <f t="shared" si="83"/>
        <v>-</v>
      </c>
      <c r="K125" s="120">
        <f t="shared" si="78"/>
        <v>112</v>
      </c>
      <c r="L125" s="120">
        <f t="shared" si="78"/>
        <v>112</v>
      </c>
      <c r="M125" s="120">
        <f t="shared" si="84"/>
        <v>7.4865418953638657E-2</v>
      </c>
      <c r="N125" s="120">
        <f t="shared" si="85"/>
        <v>6.9341531225753428E-2</v>
      </c>
      <c r="O125" s="120">
        <f>Control!$F$48</f>
        <v>0.1</v>
      </c>
      <c r="P125" s="120">
        <f>Control!$F$48</f>
        <v>0.1</v>
      </c>
      <c r="Q125" s="120">
        <f>Control!$F$46</f>
        <v>0</v>
      </c>
      <c r="R125" s="120">
        <f>Control!$F$46</f>
        <v>0</v>
      </c>
      <c r="S125" s="120">
        <f t="shared" si="86"/>
        <v>0.17486541895363866</v>
      </c>
      <c r="T125" s="120">
        <f t="shared" si="87"/>
        <v>0.16934153122575343</v>
      </c>
      <c r="X125" s="36">
        <f t="shared" ref="X125:AA125" si="102">X71</f>
        <v>0</v>
      </c>
      <c r="Y125" s="36">
        <f t="shared" si="102"/>
        <v>0</v>
      </c>
      <c r="Z125" s="36">
        <f t="shared" si="102"/>
        <v>0</v>
      </c>
      <c r="AA125" s="36">
        <f t="shared" si="102"/>
        <v>0</v>
      </c>
      <c r="AB125" s="120">
        <f t="shared" si="89"/>
        <v>33.407023704126708</v>
      </c>
      <c r="AC125" s="120">
        <f t="shared" si="90"/>
        <v>33.407023704126708</v>
      </c>
      <c r="AD125" s="120">
        <f>IF(OR(Control!$F$39="EC",Control!$F$51="N"),G44,MIN(G44,14+0.66*(INDEX('Eff. thickness (DNVGL-RP-C203)'!$G$31:$G$1048576,MATCH(G44,'Eff. thickness (DNVGL-RP-C203)'!$C$31:$C$1048576,0)))))</f>
        <v>93</v>
      </c>
      <c r="AE125" s="120">
        <f>IF(OR(Control!$F$39="EC",Control!$F$51="N"),G44,MIN(G44,14+0.66*(INDEX('Eff. thickness (DNVGL-RP-C203)'!$F$31:$F$1048576,MATCH(G44,'Eff. thickness (DNVGL-RP-C203)'!$C$31:$C$1048576,0)))))</f>
        <v>93</v>
      </c>
      <c r="AF125" s="120">
        <f t="shared" si="91"/>
        <v>0.87689118839915348</v>
      </c>
      <c r="AG125" s="120">
        <f t="shared" si="92"/>
        <v>0.87689118839915348</v>
      </c>
      <c r="AH125" s="120">
        <f t="shared" si="93"/>
        <v>1</v>
      </c>
      <c r="AI125" s="120">
        <f t="shared" si="94"/>
        <v>1</v>
      </c>
      <c r="AJ125" s="120">
        <f>IF(Control!$F$39&lt;&gt;"DNV",1,IF(D125&gt;Control!$F$16,IF(ISBLANK(Control!$F$56),1,Control!$F$56),IF(D125&gt;Control!$F$22,IF(ISBLANK(Control!$F$57),1,Control!$F$57),1)))</f>
        <v>1</v>
      </c>
      <c r="AK125" s="120">
        <f>IF(Control!$F$39&lt;&gt;"DNV",1,IF(D125&gt;Control!$F$18,IF(ISBLANK(Control!$F$56),1,Control!$F$56),IF(D125&gt;Control!$F$22,IF(ISBLANK(Control!$F$57),1,Control!$F$57),1)))</f>
        <v>1</v>
      </c>
    </row>
    <row r="126" spans="3:37">
      <c r="C126" s="12" t="s">
        <v>534</v>
      </c>
      <c r="D126" s="2">
        <f t="shared" si="79"/>
        <v>-36.799999999999997</v>
      </c>
      <c r="E126" s="120">
        <f>IF(Geometry_loads!H29="-","-",Geometry_loads!H29*Control!$F$54)</f>
        <v>292690.71337038372</v>
      </c>
      <c r="F126" s="120">
        <f>IF(Geometry_loads!G29="-","-",Geometry_loads!G29*Control!$F$55)</f>
        <v>350278.57589426392</v>
      </c>
      <c r="G126" s="120">
        <f t="shared" si="80"/>
        <v>42.930627649350221</v>
      </c>
      <c r="H126" s="120">
        <f t="shared" si="81"/>
        <v>42.115821859270717</v>
      </c>
      <c r="I126" s="120" t="str">
        <f t="shared" si="82"/>
        <v>-</v>
      </c>
      <c r="J126" s="120" t="str">
        <f t="shared" si="83"/>
        <v>-</v>
      </c>
      <c r="K126" s="120">
        <f t="shared" si="78"/>
        <v>112</v>
      </c>
      <c r="L126" s="120">
        <f t="shared" si="78"/>
        <v>112</v>
      </c>
      <c r="M126" s="120">
        <f t="shared" si="84"/>
        <v>8.9136194566321006E-2</v>
      </c>
      <c r="N126" s="120">
        <f t="shared" si="85"/>
        <v>8.25593485650956E-2</v>
      </c>
      <c r="O126" s="120">
        <f>Control!$F$48</f>
        <v>0.1</v>
      </c>
      <c r="P126" s="120">
        <f>Control!$F$48</f>
        <v>0.1</v>
      </c>
      <c r="Q126" s="120">
        <f>Control!$F$46</f>
        <v>0</v>
      </c>
      <c r="R126" s="120">
        <f>Control!$F$46</f>
        <v>0</v>
      </c>
      <c r="S126" s="120">
        <f t="shared" si="86"/>
        <v>0.18913619456632103</v>
      </c>
      <c r="T126" s="120">
        <f t="shared" si="87"/>
        <v>0.18255934856509559</v>
      </c>
      <c r="X126" s="36">
        <f t="shared" ref="X126:AA126" si="103">X72</f>
        <v>0</v>
      </c>
      <c r="Y126" s="36">
        <f t="shared" si="103"/>
        <v>0</v>
      </c>
      <c r="Z126" s="36">
        <f t="shared" si="103"/>
        <v>0</v>
      </c>
      <c r="AA126" s="36">
        <f t="shared" si="103"/>
        <v>0</v>
      </c>
      <c r="AB126" s="120">
        <f t="shared" si="89"/>
        <v>33.407023704126708</v>
      </c>
      <c r="AC126" s="120">
        <f t="shared" si="90"/>
        <v>33.407023704126708</v>
      </c>
      <c r="AD126" s="120">
        <f>IF(OR(Control!$F$39="EC",Control!$F$51="N"),G45,MIN(G45,14+0.66*(INDEX('Eff. thickness (DNVGL-RP-C203)'!$G$31:$G$1048576,MATCH(G45,'Eff. thickness (DNVGL-RP-C203)'!$C$31:$C$1048576,0)))))</f>
        <v>93</v>
      </c>
      <c r="AE126" s="120">
        <f>IF(OR(Control!$F$39="EC",Control!$F$51="N"),G45,MIN(G45,14+0.66*(INDEX('Eff. thickness (DNVGL-RP-C203)'!$F$31:$F$1048576,MATCH(G45,'Eff. thickness (DNVGL-RP-C203)'!$C$31:$C$1048576,0)))))</f>
        <v>93</v>
      </c>
      <c r="AF126" s="120">
        <f t="shared" si="91"/>
        <v>0.87689118839915348</v>
      </c>
      <c r="AG126" s="120">
        <f t="shared" si="92"/>
        <v>0.87689118839915348</v>
      </c>
      <c r="AH126" s="120">
        <f t="shared" si="93"/>
        <v>1</v>
      </c>
      <c r="AI126" s="120">
        <f t="shared" si="94"/>
        <v>1</v>
      </c>
      <c r="AJ126" s="120">
        <f>IF(Control!$F$39&lt;&gt;"DNV",1,IF(D126&gt;Control!$F$16,IF(ISBLANK(Control!$F$56),1,Control!$F$56),IF(D126&gt;Control!$F$22,IF(ISBLANK(Control!$F$57),1,Control!$F$57),1)))</f>
        <v>1</v>
      </c>
      <c r="AK126" s="120">
        <f>IF(Control!$F$39&lt;&gt;"DNV",1,IF(D126&gt;Control!$F$18,IF(ISBLANK(Control!$F$56),1,Control!$F$56),IF(D126&gt;Control!$F$22,IF(ISBLANK(Control!$F$57),1,Control!$F$57),1)))</f>
        <v>1</v>
      </c>
    </row>
    <row r="127" spans="3:37">
      <c r="C127" s="12" t="s">
        <v>535</v>
      </c>
      <c r="D127" s="2">
        <f t="shared" si="79"/>
        <v>-40.200000000000003</v>
      </c>
      <c r="E127" s="120">
        <f>IF(Geometry_loads!H30="-","-",Geometry_loads!H30*Control!$F$54)</f>
        <v>306730.65810409916</v>
      </c>
      <c r="F127" s="120">
        <f>IF(Geometry_loads!G30="-","-",Geometry_loads!G30*Control!$F$55)</f>
        <v>368010.76338807872</v>
      </c>
      <c r="G127" s="120">
        <f t="shared" si="80"/>
        <v>44.989946965087626</v>
      </c>
      <c r="H127" s="120">
        <f t="shared" si="81"/>
        <v>44.136056134933924</v>
      </c>
      <c r="I127" s="120" t="str">
        <f t="shared" si="82"/>
        <v>-</v>
      </c>
      <c r="J127" s="120" t="str">
        <f t="shared" si="83"/>
        <v>-</v>
      </c>
      <c r="K127" s="120">
        <f t="shared" si="78"/>
        <v>112</v>
      </c>
      <c r="L127" s="120">
        <f t="shared" si="78"/>
        <v>112</v>
      </c>
      <c r="M127" s="120">
        <f t="shared" si="84"/>
        <v>0.10750955448192986</v>
      </c>
      <c r="N127" s="120">
        <f t="shared" si="85"/>
        <v>9.9577044159628522E-2</v>
      </c>
      <c r="O127" s="120">
        <f>Control!$F$48</f>
        <v>0.1</v>
      </c>
      <c r="P127" s="120">
        <f>Control!$F$48</f>
        <v>0.1</v>
      </c>
      <c r="Q127" s="120">
        <f>Control!$F$46</f>
        <v>0</v>
      </c>
      <c r="R127" s="120">
        <f>Control!$F$46</f>
        <v>0</v>
      </c>
      <c r="S127" s="120">
        <f t="shared" si="86"/>
        <v>0.20750955448192987</v>
      </c>
      <c r="T127" s="120">
        <f t="shared" si="87"/>
        <v>0.19957704415962851</v>
      </c>
      <c r="X127" s="36">
        <f t="shared" ref="X127:AA127" si="104">X73</f>
        <v>0</v>
      </c>
      <c r="Y127" s="36">
        <f t="shared" si="104"/>
        <v>0</v>
      </c>
      <c r="Z127" s="36">
        <f t="shared" si="104"/>
        <v>0</v>
      </c>
      <c r="AA127" s="36">
        <f t="shared" si="104"/>
        <v>0</v>
      </c>
      <c r="AB127" s="120">
        <f t="shared" si="89"/>
        <v>33.407023704126708</v>
      </c>
      <c r="AC127" s="120">
        <f t="shared" si="90"/>
        <v>33.407023704126708</v>
      </c>
      <c r="AD127" s="120">
        <f>IF(OR(Control!$F$39="EC",Control!$F$51="N"),G46,MIN(G46,14+0.66*(INDEX('Eff. thickness (DNVGL-RP-C203)'!$G$31:$G$1048576,MATCH(G46,'Eff. thickness (DNVGL-RP-C203)'!$C$31:$C$1048576,0)))))</f>
        <v>93</v>
      </c>
      <c r="AE127" s="120">
        <f>IF(OR(Control!$F$39="EC",Control!$F$51="N"),G46,MIN(G46,14+0.66*(INDEX('Eff. thickness (DNVGL-RP-C203)'!$F$31:$F$1048576,MATCH(G46,'Eff. thickness (DNVGL-RP-C203)'!$C$31:$C$1048576,0)))))</f>
        <v>93</v>
      </c>
      <c r="AF127" s="120">
        <f t="shared" si="91"/>
        <v>0.87689118839915348</v>
      </c>
      <c r="AG127" s="120">
        <f t="shared" si="92"/>
        <v>0.87689118839915348</v>
      </c>
      <c r="AH127" s="120">
        <f t="shared" si="93"/>
        <v>1</v>
      </c>
      <c r="AI127" s="120">
        <f t="shared" si="94"/>
        <v>1</v>
      </c>
      <c r="AJ127" s="120">
        <f>IF(Control!$F$39&lt;&gt;"DNV",1,IF(D127&gt;Control!$F$16,IF(ISBLANK(Control!$F$56),1,Control!$F$56),IF(D127&gt;Control!$F$22,IF(ISBLANK(Control!$F$57),1,Control!$F$57),1)))</f>
        <v>1</v>
      </c>
      <c r="AK127" s="120">
        <f>IF(Control!$F$39&lt;&gt;"DNV",1,IF(D127&gt;Control!$F$18,IF(ISBLANK(Control!$F$56),1,Control!$F$56),IF(D127&gt;Control!$F$22,IF(ISBLANK(Control!$F$57),1,Control!$F$57),1)))</f>
        <v>1</v>
      </c>
    </row>
    <row r="128" spans="3:37">
      <c r="C128" s="12" t="s">
        <v>536</v>
      </c>
      <c r="D128" s="2">
        <f t="shared" si="79"/>
        <v>-43.8</v>
      </c>
      <c r="E128" s="120">
        <f>IF(Geometry_loads!H31="-","-",Geometry_loads!H31*Control!$F$54)</f>
        <v>323067.50862926076</v>
      </c>
      <c r="F128" s="120">
        <f>IF(Geometry_loads!G31="-","-",Geometry_loads!G31*Control!$F$55)</f>
        <v>388575.60748121649</v>
      </c>
      <c r="G128" s="120">
        <f t="shared" si="80"/>
        <v>43.32461644315898</v>
      </c>
      <c r="H128" s="120">
        <f t="shared" si="81"/>
        <v>42.422757080464649</v>
      </c>
      <c r="I128" s="120" t="str">
        <f t="shared" si="82"/>
        <v>-</v>
      </c>
      <c r="J128" s="120" t="str">
        <f t="shared" si="83"/>
        <v>-</v>
      </c>
      <c r="K128" s="120">
        <f t="shared" si="78"/>
        <v>112</v>
      </c>
      <c r="L128" s="120">
        <f t="shared" si="78"/>
        <v>112</v>
      </c>
      <c r="M128" s="120">
        <f t="shared" si="84"/>
        <v>9.5933642127201818E-2</v>
      </c>
      <c r="N128" s="120">
        <f t="shared" si="85"/>
        <v>8.8191674207944132E-2</v>
      </c>
      <c r="O128" s="120">
        <f>Control!$F$48</f>
        <v>0.1</v>
      </c>
      <c r="P128" s="120">
        <f>Control!$F$48</f>
        <v>0.1</v>
      </c>
      <c r="Q128" s="120">
        <f>Control!$F$46</f>
        <v>0</v>
      </c>
      <c r="R128" s="120">
        <f>Control!$F$46</f>
        <v>0</v>
      </c>
      <c r="S128" s="120">
        <f t="shared" si="86"/>
        <v>0.19593364212720182</v>
      </c>
      <c r="T128" s="120">
        <f t="shared" si="87"/>
        <v>0.18819167420794414</v>
      </c>
      <c r="X128" s="36">
        <f t="shared" ref="X128:AA128" si="105">X74</f>
        <v>0</v>
      </c>
      <c r="Y128" s="36">
        <f t="shared" si="105"/>
        <v>0</v>
      </c>
      <c r="Z128" s="36">
        <f t="shared" si="105"/>
        <v>0</v>
      </c>
      <c r="AA128" s="36">
        <f t="shared" si="105"/>
        <v>0</v>
      </c>
      <c r="AB128" s="120">
        <f t="shared" si="89"/>
        <v>36.53882993656233</v>
      </c>
      <c r="AC128" s="120">
        <f t="shared" si="90"/>
        <v>36.53882993656233</v>
      </c>
      <c r="AD128" s="120">
        <f>IF(OR(Control!$F$39="EC",Control!$F$51="N"),G47,MIN(G47,14+0.66*(INDEX('Eff. thickness (DNVGL-RP-C203)'!$G$31:$G$1048576,MATCH(G47,'Eff. thickness (DNVGL-RP-C203)'!$C$31:$C$1048576,0)))))</f>
        <v>102</v>
      </c>
      <c r="AE128" s="120">
        <f>IF(OR(Control!$F$39="EC",Control!$F$51="N"),G47,MIN(G47,14+0.66*(INDEX('Eff. thickness (DNVGL-RP-C203)'!$F$31:$F$1048576,MATCH(G47,'Eff. thickness (DNVGL-RP-C203)'!$C$31:$C$1048576,0)))))</f>
        <v>102</v>
      </c>
      <c r="AF128" s="120">
        <f t="shared" si="91"/>
        <v>0.86882835024133964</v>
      </c>
      <c r="AG128" s="120">
        <f t="shared" si="92"/>
        <v>0.86882835024133964</v>
      </c>
      <c r="AH128" s="120">
        <f t="shared" si="93"/>
        <v>1</v>
      </c>
      <c r="AI128" s="120">
        <f t="shared" si="94"/>
        <v>1</v>
      </c>
      <c r="AJ128" s="120">
        <f>IF(Control!$F$39&lt;&gt;"DNV",1,IF(D128&gt;Control!$F$16,IF(ISBLANK(Control!$F$56),1,Control!$F$56),IF(D128&gt;Control!$F$22,IF(ISBLANK(Control!$F$57),1,Control!$F$57),1)))</f>
        <v>1</v>
      </c>
      <c r="AK128" s="120">
        <f>IF(Control!$F$39&lt;&gt;"DNV",1,IF(D128&gt;Control!$F$18,IF(ISBLANK(Control!$F$56),1,Control!$F$56),IF(D128&gt;Control!$F$22,IF(ISBLANK(Control!$F$57),1,Control!$F$57),1)))</f>
        <v>1</v>
      </c>
    </row>
    <row r="129" spans="3:37">
      <c r="C129" s="12" t="s">
        <v>537</v>
      </c>
      <c r="D129" s="2">
        <f t="shared" si="79"/>
        <v>-47.8</v>
      </c>
      <c r="E129" s="120">
        <f>IF(Geometry_loads!H32="-","-",Geometry_loads!H32*Control!$F$54)</f>
        <v>349550.18849323393</v>
      </c>
      <c r="F129" s="120" t="str">
        <f>IF(Geometry_loads!G32="-","-",Geometry_loads!G32*Control!$F$55)</f>
        <v>-</v>
      </c>
      <c r="G129" s="120">
        <f t="shared" si="80"/>
        <v>51.811910087009188</v>
      </c>
      <c r="H129" s="120">
        <f t="shared" si="81"/>
        <v>50.83911504047758</v>
      </c>
      <c r="I129" s="120" t="str">
        <f t="shared" si="82"/>
        <v>-</v>
      </c>
      <c r="J129" s="120" t="str">
        <f t="shared" si="83"/>
        <v>-</v>
      </c>
      <c r="K129" s="120">
        <f t="shared" si="78"/>
        <v>112</v>
      </c>
      <c r="L129" s="120">
        <f t="shared" si="78"/>
        <v>112</v>
      </c>
      <c r="M129" s="120">
        <f t="shared" si="84"/>
        <v>0.18828923961281543</v>
      </c>
      <c r="N129" s="120">
        <f t="shared" si="85"/>
        <v>0.17454162599551903</v>
      </c>
      <c r="O129" s="120">
        <f>Control!$F$48</f>
        <v>0.1</v>
      </c>
      <c r="P129" s="120">
        <f>Control!$F$48</f>
        <v>0.1</v>
      </c>
      <c r="Q129" s="120">
        <f>Control!$F$46</f>
        <v>0</v>
      </c>
      <c r="R129" s="120">
        <f>Control!$F$46</f>
        <v>0</v>
      </c>
      <c r="S129" s="120">
        <f t="shared" si="86"/>
        <v>0.28828923961281544</v>
      </c>
      <c r="T129" s="120">
        <f t="shared" si="87"/>
        <v>0.27454162599551901</v>
      </c>
      <c r="X129" s="36">
        <f t="shared" ref="X129:AA129" si="106">X75</f>
        <v>0</v>
      </c>
      <c r="Y129" s="36">
        <f t="shared" si="106"/>
        <v>0</v>
      </c>
      <c r="Z129" s="36">
        <f t="shared" si="106"/>
        <v>0</v>
      </c>
      <c r="AA129" s="36">
        <f t="shared" si="106"/>
        <v>0</v>
      </c>
      <c r="AB129" s="120">
        <f t="shared" si="89"/>
        <v>33.057957537957982</v>
      </c>
      <c r="AC129" s="120">
        <f t="shared" si="90"/>
        <v>33.057957537957982</v>
      </c>
      <c r="AD129" s="120">
        <f>IF(OR(Control!$F$39="EC",Control!$F$51="N"),G48,MIN(G48,14+0.66*(INDEX('Eff. thickness (DNVGL-RP-C203)'!$G$31:$G$1048576,MATCH(G48,'Eff. thickness (DNVGL-RP-C203)'!$C$31:$C$1048576,0)))))</f>
        <v>92</v>
      </c>
      <c r="AE129" s="120">
        <f>IF(OR(Control!$F$39="EC",Control!$F$51="N"),G48,MIN(G48,14+0.66*(INDEX('Eff. thickness (DNVGL-RP-C203)'!$F$31:$F$1048576,MATCH(G48,'Eff. thickness (DNVGL-RP-C203)'!$C$31:$C$1048576,0)))))</f>
        <v>92</v>
      </c>
      <c r="AF129" s="120">
        <f t="shared" si="91"/>
        <v>0.8778397007281632</v>
      </c>
      <c r="AG129" s="120">
        <f t="shared" si="92"/>
        <v>0.8778397007281632</v>
      </c>
      <c r="AH129" s="120">
        <f t="shared" si="93"/>
        <v>1</v>
      </c>
      <c r="AI129" s="120">
        <f t="shared" si="94"/>
        <v>1</v>
      </c>
      <c r="AJ129" s="120">
        <f>IF(Control!$F$39&lt;&gt;"DNV",1,IF(D129&gt;Control!$F$16,IF(ISBLANK(Control!$F$56),1,Control!$F$56),IF(D129&gt;Control!$F$22,IF(ISBLANK(Control!$F$57),1,Control!$F$57),1)))</f>
        <v>1</v>
      </c>
      <c r="AK129" s="120">
        <f>IF(Control!$F$39&lt;&gt;"DNV",1,IF(D129&gt;Control!$F$18,IF(ISBLANK(Control!$F$56),1,Control!$F$56),IF(D129&gt;Control!$F$22,IF(ISBLANK(Control!$F$57),1,Control!$F$57),1)))</f>
        <v>1</v>
      </c>
    </row>
    <row r="130" spans="3:37">
      <c r="C130" s="12" t="s">
        <v>538</v>
      </c>
      <c r="D130" s="2">
        <f t="shared" si="79"/>
        <v>-51.8</v>
      </c>
      <c r="E130" s="120">
        <f>IF(Geometry_loads!H33="-","-",Geometry_loads!H33*Control!$F$54)</f>
        <v>373272.3643999325</v>
      </c>
      <c r="F130" s="120" t="str">
        <f>IF(Geometry_loads!G33="-","-",Geometry_loads!G33*Control!$F$55)</f>
        <v>-</v>
      </c>
      <c r="G130" s="120">
        <f t="shared" si="80"/>
        <v>56.52291145650932</v>
      </c>
      <c r="H130" s="120">
        <f t="shared" si="81"/>
        <v>55.484735531797924</v>
      </c>
      <c r="I130" s="120" t="str">
        <f t="shared" si="82"/>
        <v>-</v>
      </c>
      <c r="J130" s="120" t="str">
        <f t="shared" si="83"/>
        <v>-</v>
      </c>
      <c r="K130" s="120">
        <f t="shared" si="78"/>
        <v>112</v>
      </c>
      <c r="L130" s="120">
        <f t="shared" si="78"/>
        <v>112</v>
      </c>
      <c r="M130" s="120">
        <f t="shared" si="84"/>
        <v>0.26435471297902491</v>
      </c>
      <c r="N130" s="120">
        <f t="shared" si="85"/>
        <v>0.24546130730244392</v>
      </c>
      <c r="O130" s="120">
        <f>Control!$F$48</f>
        <v>0.1</v>
      </c>
      <c r="P130" s="120">
        <f>Control!$F$48</f>
        <v>0.1</v>
      </c>
      <c r="Q130" s="120">
        <f>Control!$F$46</f>
        <v>0</v>
      </c>
      <c r="R130" s="120">
        <f>Control!$F$46</f>
        <v>0</v>
      </c>
      <c r="S130" s="120">
        <f t="shared" si="86"/>
        <v>0.36435471297902489</v>
      </c>
      <c r="T130" s="120">
        <f t="shared" si="87"/>
        <v>0.34546130730244395</v>
      </c>
      <c r="X130" s="36">
        <f t="shared" ref="X130:AA130" si="107">X76</f>
        <v>0</v>
      </c>
      <c r="Y130" s="36">
        <f t="shared" si="107"/>
        <v>0</v>
      </c>
      <c r="Z130" s="36">
        <f t="shared" si="107"/>
        <v>0</v>
      </c>
      <c r="AA130" s="36">
        <f t="shared" si="107"/>
        <v>0</v>
      </c>
      <c r="AB130" s="120">
        <f t="shared" si="89"/>
        <v>32.359171501046823</v>
      </c>
      <c r="AC130" s="120">
        <f t="shared" si="90"/>
        <v>32.359171501046823</v>
      </c>
      <c r="AD130" s="120">
        <f>IF(OR(Control!$F$39="EC",Control!$F$51="N"),G49,MIN(G49,14+0.66*(INDEX('Eff. thickness (DNVGL-RP-C203)'!$G$31:$G$1048576,MATCH(G49,'Eff. thickness (DNVGL-RP-C203)'!$C$31:$C$1048576,0)))))</f>
        <v>90</v>
      </c>
      <c r="AE130" s="120">
        <f>IF(OR(Control!$F$39="EC",Control!$F$51="N"),G49,MIN(G49,14+0.66*(INDEX('Eff. thickness (DNVGL-RP-C203)'!$F$31:$F$1048576,MATCH(G49,'Eff. thickness (DNVGL-RP-C203)'!$C$31:$C$1048576,0)))))</f>
        <v>90</v>
      </c>
      <c r="AF130" s="120">
        <f t="shared" si="91"/>
        <v>0.87977121827244176</v>
      </c>
      <c r="AG130" s="120">
        <f t="shared" si="92"/>
        <v>0.87977121827244176</v>
      </c>
      <c r="AH130" s="120">
        <f t="shared" si="93"/>
        <v>1</v>
      </c>
      <c r="AI130" s="120">
        <f t="shared" si="94"/>
        <v>1</v>
      </c>
      <c r="AJ130" s="120">
        <f>IF(Control!$F$39&lt;&gt;"DNV",1,IF(D130&gt;Control!$F$16,IF(ISBLANK(Control!$F$56),1,Control!$F$56),IF(D130&gt;Control!$F$22,IF(ISBLANK(Control!$F$57),1,Control!$F$57),1)))</f>
        <v>1</v>
      </c>
      <c r="AK130" s="120">
        <f>IF(Control!$F$39&lt;&gt;"DNV",1,IF(D130&gt;Control!$F$18,IF(ISBLANK(Control!$F$56),1,Control!$F$56),IF(D130&gt;Control!$F$22,IF(ISBLANK(Control!$F$57),1,Control!$F$57),1)))</f>
        <v>1</v>
      </c>
    </row>
    <row r="131" spans="3:37">
      <c r="C131" s="12" t="s">
        <v>539</v>
      </c>
      <c r="D131" s="2">
        <f t="shared" si="79"/>
        <v>-55.8</v>
      </c>
      <c r="E131" s="120">
        <f>IF(Geometry_loads!H34="-","-",Geometry_loads!H34*Control!$F$54)</f>
        <v>388470.12560128118</v>
      </c>
      <c r="F131" s="120" t="str">
        <f>IF(Geometry_loads!G34="-","-",Geometry_loads!G34*Control!$F$55)</f>
        <v>-</v>
      </c>
      <c r="G131" s="120">
        <f t="shared" si="80"/>
        <v>65.179930129137162</v>
      </c>
      <c r="H131" s="120">
        <f t="shared" si="81"/>
        <v>64.102465978022849</v>
      </c>
      <c r="I131" s="120" t="str">
        <f t="shared" si="82"/>
        <v>-</v>
      </c>
      <c r="J131" s="120" t="str">
        <f t="shared" si="83"/>
        <v>-</v>
      </c>
      <c r="K131" s="120">
        <f t="shared" si="78"/>
        <v>112</v>
      </c>
      <c r="L131" s="120">
        <f t="shared" si="78"/>
        <v>112</v>
      </c>
      <c r="M131" s="120">
        <f t="shared" si="84"/>
        <v>0.4481687056967783</v>
      </c>
      <c r="N131" s="120">
        <f t="shared" si="85"/>
        <v>0.41926143151333944</v>
      </c>
      <c r="O131" s="120">
        <f>Control!$F$48</f>
        <v>0.1</v>
      </c>
      <c r="P131" s="120">
        <f>Control!$F$48</f>
        <v>0.1</v>
      </c>
      <c r="Q131" s="120">
        <f>Control!$F$46</f>
        <v>0</v>
      </c>
      <c r="R131" s="120">
        <f>Control!$F$46</f>
        <v>0</v>
      </c>
      <c r="S131" s="120">
        <f t="shared" si="86"/>
        <v>0.54816870569677834</v>
      </c>
      <c r="T131" s="120">
        <f t="shared" si="87"/>
        <v>0.51926143151333948</v>
      </c>
      <c r="X131" s="36">
        <f t="shared" ref="X131:AA131" si="108">X77</f>
        <v>0</v>
      </c>
      <c r="Y131" s="36">
        <f t="shared" si="108"/>
        <v>0</v>
      </c>
      <c r="Z131" s="36">
        <f t="shared" si="108"/>
        <v>0</v>
      </c>
      <c r="AA131" s="36">
        <f t="shared" si="108"/>
        <v>0</v>
      </c>
      <c r="AB131" s="120">
        <f t="shared" si="89"/>
        <v>29.203830253806316</v>
      </c>
      <c r="AC131" s="120">
        <f t="shared" si="90"/>
        <v>29.203830253806316</v>
      </c>
      <c r="AD131" s="120">
        <f>IF(OR(Control!$F$39="EC",Control!$F$51="N"),G50,MIN(G50,14+0.66*(INDEX('Eff. thickness (DNVGL-RP-C203)'!$G$31:$G$1048576,MATCH(G50,'Eff. thickness (DNVGL-RP-C203)'!$C$31:$C$1048576,0)))))</f>
        <v>81</v>
      </c>
      <c r="AE131" s="120">
        <f>IF(OR(Control!$F$39="EC",Control!$F$51="N"),G50,MIN(G50,14+0.66*(INDEX('Eff. thickness (DNVGL-RP-C203)'!$F$31:$F$1048576,MATCH(G50,'Eff. thickness (DNVGL-RP-C203)'!$C$31:$C$1048576,0)))))</f>
        <v>81</v>
      </c>
      <c r="AF131" s="120">
        <f t="shared" si="91"/>
        <v>0.88908953613219999</v>
      </c>
      <c r="AG131" s="120">
        <f t="shared" si="92"/>
        <v>0.88908953613219999</v>
      </c>
      <c r="AH131" s="120">
        <f t="shared" si="93"/>
        <v>1</v>
      </c>
      <c r="AI131" s="120">
        <f t="shared" si="94"/>
        <v>1</v>
      </c>
      <c r="AJ131" s="120">
        <f>IF(Control!$F$39&lt;&gt;"DNV",1,IF(D131&gt;Control!$F$16,IF(ISBLANK(Control!$F$56),1,Control!$F$56),IF(D131&gt;Control!$F$22,IF(ISBLANK(Control!$F$57),1,Control!$F$57),1)))</f>
        <v>1</v>
      </c>
      <c r="AK131" s="120">
        <f>IF(Control!$F$39&lt;&gt;"DNV",1,IF(D131&gt;Control!$F$18,IF(ISBLANK(Control!$F$56),1,Control!$F$56),IF(D131&gt;Control!$F$22,IF(ISBLANK(Control!$F$57),1,Control!$F$57),1)))</f>
        <v>1</v>
      </c>
    </row>
    <row r="132" spans="3:37">
      <c r="C132" s="12" t="s">
        <v>540</v>
      </c>
      <c r="D132" s="2">
        <f t="shared" si="79"/>
        <v>-59.8</v>
      </c>
      <c r="E132" s="120">
        <f>IF(Geometry_loads!H35="-","-",Geometry_loads!H35*Control!$F$54)</f>
        <v>391247.16831466078</v>
      </c>
      <c r="F132" s="120" t="str">
        <f>IF(Geometry_loads!G35="-","-",Geometry_loads!G35*Control!$F$55)</f>
        <v>-</v>
      </c>
      <c r="G132" s="120">
        <f t="shared" si="80"/>
        <v>65.645879601425534</v>
      </c>
      <c r="H132" s="120">
        <f t="shared" si="81"/>
        <v>64.560713020259101</v>
      </c>
      <c r="I132" s="120" t="str">
        <f t="shared" si="82"/>
        <v>-</v>
      </c>
      <c r="J132" s="120" t="str">
        <f t="shared" si="83"/>
        <v>-</v>
      </c>
      <c r="K132" s="120">
        <f t="shared" ref="K132:L137" si="109">$AC$8</f>
        <v>112</v>
      </c>
      <c r="L132" s="120">
        <f t="shared" si="109"/>
        <v>112</v>
      </c>
      <c r="M132" s="120">
        <f t="shared" si="84"/>
        <v>0.46112201086619037</v>
      </c>
      <c r="N132" s="120">
        <f t="shared" si="85"/>
        <v>0.43137923715019999</v>
      </c>
      <c r="O132" s="120">
        <f>Control!$F$48</f>
        <v>0.1</v>
      </c>
      <c r="P132" s="120">
        <f>Control!$F$48</f>
        <v>0.1</v>
      </c>
      <c r="Q132" s="120">
        <f>Control!$F$46</f>
        <v>0</v>
      </c>
      <c r="R132" s="120">
        <f>Control!$F$46</f>
        <v>0</v>
      </c>
      <c r="S132" s="120">
        <f t="shared" si="86"/>
        <v>0.5611220108661904</v>
      </c>
      <c r="T132" s="120">
        <f t="shared" si="87"/>
        <v>0.53137923715019997</v>
      </c>
      <c r="X132" s="36">
        <f t="shared" ref="X132:AA132" si="110">X78</f>
        <v>0</v>
      </c>
      <c r="Y132" s="36">
        <f t="shared" si="110"/>
        <v>0</v>
      </c>
      <c r="Z132" s="36">
        <f t="shared" si="110"/>
        <v>0</v>
      </c>
      <c r="AA132" s="36">
        <f t="shared" si="110"/>
        <v>0</v>
      </c>
      <c r="AB132" s="120">
        <f t="shared" si="89"/>
        <v>29.203830253806316</v>
      </c>
      <c r="AC132" s="120">
        <f t="shared" si="90"/>
        <v>29.203830253806316</v>
      </c>
      <c r="AD132" s="120">
        <f>IF(OR(Control!$F$39="EC",Control!$F$51="N"),G51,MIN(G51,14+0.66*(INDEX('Eff. thickness (DNVGL-RP-C203)'!$G$31:$G$1048576,MATCH(G51,'Eff. thickness (DNVGL-RP-C203)'!$C$31:$C$1048576,0)))))</f>
        <v>81</v>
      </c>
      <c r="AE132" s="120">
        <f>IF(OR(Control!$F$39="EC",Control!$F$51="N"),G51,MIN(G51,14+0.66*(INDEX('Eff. thickness (DNVGL-RP-C203)'!$F$31:$F$1048576,MATCH(G51,'Eff. thickness (DNVGL-RP-C203)'!$C$31:$C$1048576,0)))))</f>
        <v>81</v>
      </c>
      <c r="AF132" s="120">
        <f t="shared" si="91"/>
        <v>0.88908953613219999</v>
      </c>
      <c r="AG132" s="120">
        <f t="shared" si="92"/>
        <v>0.88908953613219999</v>
      </c>
      <c r="AH132" s="120">
        <f t="shared" si="93"/>
        <v>1</v>
      </c>
      <c r="AI132" s="120">
        <f t="shared" si="94"/>
        <v>1</v>
      </c>
      <c r="AJ132" s="120">
        <f>IF(Control!$F$39&lt;&gt;"DNV",1,IF(D132&gt;Control!$F$16,IF(ISBLANK(Control!$F$56),1,Control!$F$56),IF(D132&gt;Control!$F$22,IF(ISBLANK(Control!$F$57),1,Control!$F$57),1)))</f>
        <v>1</v>
      </c>
      <c r="AK132" s="120">
        <f>IF(Control!$F$39&lt;&gt;"DNV",1,IF(D132&gt;Control!$F$18,IF(ISBLANK(Control!$F$56),1,Control!$F$56),IF(D132&gt;Control!$F$22,IF(ISBLANK(Control!$F$57),1,Control!$F$57),1)))</f>
        <v>1</v>
      </c>
    </row>
    <row r="133" spans="3:37">
      <c r="C133" s="12" t="s">
        <v>541</v>
      </c>
      <c r="D133" s="2">
        <f t="shared" si="79"/>
        <v>-63.8</v>
      </c>
      <c r="E133" s="120">
        <f>IF(Geometry_loads!H36="-","-",Geometry_loads!H36*Control!$F$54)</f>
        <v>352964.50685877888</v>
      </c>
      <c r="F133" s="120" t="str">
        <f>IF(Geometry_loads!G36="-","-",Geometry_loads!G36*Control!$F$55)</f>
        <v>-</v>
      </c>
      <c r="G133" s="120">
        <f t="shared" si="80"/>
        <v>59.222576921484354</v>
      </c>
      <c r="H133" s="120">
        <f t="shared" si="81"/>
        <v>58.243591466251651</v>
      </c>
      <c r="I133" s="120" t="str">
        <f t="shared" si="82"/>
        <v>-</v>
      </c>
      <c r="J133" s="120" t="str">
        <f t="shared" si="83"/>
        <v>-</v>
      </c>
      <c r="K133" s="120">
        <f t="shared" si="109"/>
        <v>112</v>
      </c>
      <c r="L133" s="120">
        <f t="shared" si="109"/>
        <v>112</v>
      </c>
      <c r="M133" s="120">
        <f t="shared" si="84"/>
        <v>0.30544651065220191</v>
      </c>
      <c r="N133" s="120">
        <f t="shared" si="85"/>
        <v>0.28574494309614029</v>
      </c>
      <c r="O133" s="120">
        <f>Control!$F$48</f>
        <v>0.1</v>
      </c>
      <c r="P133" s="120">
        <f>Control!$F$48</f>
        <v>0.1</v>
      </c>
      <c r="Q133" s="120">
        <f>Control!$F$46</f>
        <v>0</v>
      </c>
      <c r="R133" s="120">
        <f>Control!$F$46</f>
        <v>0</v>
      </c>
      <c r="S133" s="120">
        <f t="shared" si="86"/>
        <v>0.40544651065220194</v>
      </c>
      <c r="T133" s="120">
        <f t="shared" si="87"/>
        <v>0.38574494309614027</v>
      </c>
      <c r="X133" s="36">
        <f t="shared" ref="X133:AA133" si="111">X79</f>
        <v>0</v>
      </c>
      <c r="Y133" s="36">
        <f t="shared" si="111"/>
        <v>0</v>
      </c>
      <c r="Z133" s="36">
        <f t="shared" si="111"/>
        <v>0</v>
      </c>
      <c r="AA133" s="36">
        <f t="shared" si="111"/>
        <v>0</v>
      </c>
      <c r="AB133" s="120">
        <f t="shared" si="89"/>
        <v>29.203830253806316</v>
      </c>
      <c r="AC133" s="120">
        <f t="shared" si="90"/>
        <v>29.203830253806316</v>
      </c>
      <c r="AD133" s="120">
        <f>IF(OR(Control!$F$39="EC",Control!$F$51="N"),G52,MIN(G52,14+0.66*(INDEX('Eff. thickness (DNVGL-RP-C203)'!$G$31:$G$1048576,MATCH(G52,'Eff. thickness (DNVGL-RP-C203)'!$C$31:$C$1048576,0)))))</f>
        <v>81</v>
      </c>
      <c r="AE133" s="120">
        <f>IF(OR(Control!$F$39="EC",Control!$F$51="N"),G52,MIN(G52,14+0.66*(INDEX('Eff. thickness (DNVGL-RP-C203)'!$F$31:$F$1048576,MATCH(G52,'Eff. thickness (DNVGL-RP-C203)'!$C$31:$C$1048576,0)))))</f>
        <v>81</v>
      </c>
      <c r="AF133" s="120">
        <f t="shared" si="91"/>
        <v>0.88908953613219999</v>
      </c>
      <c r="AG133" s="120">
        <f t="shared" si="92"/>
        <v>0.88908953613219999</v>
      </c>
      <c r="AH133" s="120">
        <f t="shared" si="93"/>
        <v>1</v>
      </c>
      <c r="AI133" s="120">
        <f t="shared" si="94"/>
        <v>1</v>
      </c>
      <c r="AJ133" s="120">
        <f>IF(Control!$F$39&lt;&gt;"DNV",1,IF(D133&gt;Control!$F$16,IF(ISBLANK(Control!$F$56),1,Control!$F$56),IF(D133&gt;Control!$F$22,IF(ISBLANK(Control!$F$57),1,Control!$F$57),1)))</f>
        <v>1</v>
      </c>
      <c r="AK133" s="120">
        <f>IF(Control!$F$39&lt;&gt;"DNV",1,IF(D133&gt;Control!$F$18,IF(ISBLANK(Control!$F$56),1,Control!$F$56),IF(D133&gt;Control!$F$22,IF(ISBLANK(Control!$F$57),1,Control!$F$57),1)))</f>
        <v>1</v>
      </c>
    </row>
    <row r="134" spans="3:37">
      <c r="C134" s="12" t="s">
        <v>542</v>
      </c>
      <c r="D134" s="2">
        <f t="shared" si="79"/>
        <v>-67.8</v>
      </c>
      <c r="E134" s="120">
        <f>IF(Geometry_loads!H37="-","-",Geometry_loads!H37*Control!$F$54)</f>
        <v>285278.1170289875</v>
      </c>
      <c r="F134" s="120" t="str">
        <f>IF(Geometry_loads!G37="-","-",Geometry_loads!G37*Control!$F$55)</f>
        <v>-</v>
      </c>
      <c r="G134" s="120">
        <f t="shared" si="80"/>
        <v>47.865734093555993</v>
      </c>
      <c r="H134" s="120">
        <f t="shared" si="81"/>
        <v>47.074484203438018</v>
      </c>
      <c r="I134" s="120" t="str">
        <f t="shared" si="82"/>
        <v>-</v>
      </c>
      <c r="J134" s="120" t="str">
        <f t="shared" si="83"/>
        <v>-</v>
      </c>
      <c r="K134" s="120">
        <f t="shared" si="109"/>
        <v>112</v>
      </c>
      <c r="L134" s="120">
        <f t="shared" si="109"/>
        <v>112</v>
      </c>
      <c r="M134" s="120">
        <f t="shared" si="84"/>
        <v>0.13034214413674783</v>
      </c>
      <c r="N134" s="120">
        <f t="shared" si="85"/>
        <v>0.12193496163978991</v>
      </c>
      <c r="O134" s="120">
        <f>Control!$F$48</f>
        <v>0.1</v>
      </c>
      <c r="P134" s="120">
        <f>Control!$F$48</f>
        <v>0.1</v>
      </c>
      <c r="Q134" s="120">
        <f>Control!$F$46</f>
        <v>0</v>
      </c>
      <c r="R134" s="120">
        <f>Control!$F$46</f>
        <v>0</v>
      </c>
      <c r="S134" s="120">
        <f t="shared" si="86"/>
        <v>0.23034214413674783</v>
      </c>
      <c r="T134" s="120">
        <f t="shared" si="87"/>
        <v>0.22193496163978993</v>
      </c>
      <c r="X134" s="36">
        <f t="shared" ref="X134:AA134" si="112">X80</f>
        <v>0</v>
      </c>
      <c r="Y134" s="36">
        <f t="shared" si="112"/>
        <v>0</v>
      </c>
      <c r="Z134" s="36">
        <f t="shared" si="112"/>
        <v>0</v>
      </c>
      <c r="AA134" s="36">
        <f t="shared" si="112"/>
        <v>0</v>
      </c>
      <c r="AB134" s="120">
        <f t="shared" si="89"/>
        <v>29.203830253806316</v>
      </c>
      <c r="AC134" s="120">
        <f t="shared" si="90"/>
        <v>29.203830253806316</v>
      </c>
      <c r="AD134" s="120">
        <f>IF(OR(Control!$F$39="EC",Control!$F$51="N"),G53,MIN(G53,14+0.66*(INDEX('Eff. thickness (DNVGL-RP-C203)'!$G$31:$G$1048576,MATCH(G53,'Eff. thickness (DNVGL-RP-C203)'!$C$31:$C$1048576,0)))))</f>
        <v>81</v>
      </c>
      <c r="AE134" s="120">
        <f>IF(OR(Control!$F$39="EC",Control!$F$51="N"),G53,MIN(G53,14+0.66*(INDEX('Eff. thickness (DNVGL-RP-C203)'!$F$31:$F$1048576,MATCH(G53,'Eff. thickness (DNVGL-RP-C203)'!$C$31:$C$1048576,0)))))</f>
        <v>81</v>
      </c>
      <c r="AF134" s="120">
        <f t="shared" si="91"/>
        <v>0.88908953613219999</v>
      </c>
      <c r="AG134" s="120">
        <f t="shared" si="92"/>
        <v>0.88908953613219999</v>
      </c>
      <c r="AH134" s="120">
        <f t="shared" si="93"/>
        <v>1</v>
      </c>
      <c r="AI134" s="120">
        <f t="shared" si="94"/>
        <v>1</v>
      </c>
      <c r="AJ134" s="120">
        <f>IF(Control!$F$39&lt;&gt;"DNV",1,IF(D134&gt;Control!$F$16,IF(ISBLANK(Control!$F$56),1,Control!$F$56),IF(D134&gt;Control!$F$22,IF(ISBLANK(Control!$F$57),1,Control!$F$57),1)))</f>
        <v>1</v>
      </c>
      <c r="AK134" s="120">
        <f>IF(Control!$F$39&lt;&gt;"DNV",1,IF(D134&gt;Control!$F$18,IF(ISBLANK(Control!$F$56),1,Control!$F$56),IF(D134&gt;Control!$F$22,IF(ISBLANK(Control!$F$57),1,Control!$F$57),1)))</f>
        <v>1</v>
      </c>
    </row>
    <row r="135" spans="3:37">
      <c r="C135" s="12" t="s">
        <v>543</v>
      </c>
      <c r="D135" s="2">
        <f t="shared" si="79"/>
        <v>-71.8</v>
      </c>
      <c r="E135" s="120">
        <f>IF(Geometry_loads!H38="-","-",Geometry_loads!H38*Control!$F$54)</f>
        <v>203559.48907744349</v>
      </c>
      <c r="F135" s="120" t="str">
        <f>IF(Geometry_loads!G38="-","-",Geometry_loads!G38*Control!$F$55)</f>
        <v>-</v>
      </c>
      <c r="G135" s="120">
        <f t="shared" si="80"/>
        <v>34.154475211328503</v>
      </c>
      <c r="H135" s="120">
        <f t="shared" si="81"/>
        <v>33.589880825182043</v>
      </c>
      <c r="I135" s="120" t="str">
        <f t="shared" si="82"/>
        <v>-</v>
      </c>
      <c r="J135" s="120" t="str">
        <f t="shared" si="83"/>
        <v>-</v>
      </c>
      <c r="K135" s="120">
        <f t="shared" si="109"/>
        <v>112</v>
      </c>
      <c r="L135" s="120">
        <f t="shared" si="109"/>
        <v>112</v>
      </c>
      <c r="M135" s="120">
        <f t="shared" si="84"/>
        <v>3.3789085075732202E-2</v>
      </c>
      <c r="N135" s="120">
        <f t="shared" si="85"/>
        <v>3.1609659483815514E-2</v>
      </c>
      <c r="O135" s="120">
        <f>Control!$F$48</f>
        <v>0.1</v>
      </c>
      <c r="P135" s="120">
        <f>Control!$F$48</f>
        <v>0.1</v>
      </c>
      <c r="Q135" s="120">
        <f>Control!$F$46</f>
        <v>0</v>
      </c>
      <c r="R135" s="120">
        <f>Control!$F$46</f>
        <v>0</v>
      </c>
      <c r="S135" s="120">
        <f t="shared" si="86"/>
        <v>0.1337890850757322</v>
      </c>
      <c r="T135" s="120">
        <f t="shared" si="87"/>
        <v>0.13160965948381553</v>
      </c>
      <c r="X135" s="36">
        <f t="shared" ref="X135:AA135" si="113">X81</f>
        <v>0</v>
      </c>
      <c r="Y135" s="36">
        <f t="shared" si="113"/>
        <v>0</v>
      </c>
      <c r="Z135" s="36">
        <f t="shared" si="113"/>
        <v>0</v>
      </c>
      <c r="AA135" s="36">
        <f t="shared" si="113"/>
        <v>0</v>
      </c>
      <c r="AB135" s="120">
        <f t="shared" si="89"/>
        <v>29.203830253806316</v>
      </c>
      <c r="AC135" s="120">
        <f t="shared" si="90"/>
        <v>29.203830253806316</v>
      </c>
      <c r="AD135" s="120">
        <f>IF(OR(Control!$F$39="EC",Control!$F$51="N"),G54,MIN(G54,14+0.66*(INDEX('Eff. thickness (DNVGL-RP-C203)'!$G$31:$G$1048576,MATCH(G54,'Eff. thickness (DNVGL-RP-C203)'!$C$31:$C$1048576,0)))))</f>
        <v>81</v>
      </c>
      <c r="AE135" s="120">
        <f>IF(OR(Control!$F$39="EC",Control!$F$51="N"),G54,MIN(G54,14+0.66*(INDEX('Eff. thickness (DNVGL-RP-C203)'!$F$31:$F$1048576,MATCH(G54,'Eff. thickness (DNVGL-RP-C203)'!$C$31:$C$1048576,0)))))</f>
        <v>81</v>
      </c>
      <c r="AF135" s="120">
        <f t="shared" si="91"/>
        <v>0.88908953613219999</v>
      </c>
      <c r="AG135" s="120">
        <f t="shared" si="92"/>
        <v>0.88908953613219999</v>
      </c>
      <c r="AH135" s="120">
        <f t="shared" si="93"/>
        <v>1</v>
      </c>
      <c r="AI135" s="120">
        <f t="shared" si="94"/>
        <v>1</v>
      </c>
      <c r="AJ135" s="120">
        <f>IF(Control!$F$39&lt;&gt;"DNV",1,IF(D135&gt;Control!$F$16,IF(ISBLANK(Control!$F$56),1,Control!$F$56),IF(D135&gt;Control!$F$22,IF(ISBLANK(Control!$F$57),1,Control!$F$57),1)))</f>
        <v>1</v>
      </c>
      <c r="AK135" s="120">
        <f>IF(Control!$F$39&lt;&gt;"DNV",1,IF(D135&gt;Control!$F$18,IF(ISBLANK(Control!$F$56),1,Control!$F$56),IF(D135&gt;Control!$F$22,IF(ISBLANK(Control!$F$57),1,Control!$F$57),1)))</f>
        <v>1</v>
      </c>
    </row>
    <row r="136" spans="3:37">
      <c r="C136" s="12" t="s">
        <v>544</v>
      </c>
      <c r="D136" s="2">
        <f t="shared" si="79"/>
        <v>-75.8</v>
      </c>
      <c r="E136" s="120">
        <f>IF(Geometry_loads!H39="-","-",Geometry_loads!H39*Control!$F$54)</f>
        <v>116256.26070762122</v>
      </c>
      <c r="F136" s="120" t="str">
        <f>IF(Geometry_loads!G39="-","-",Geometry_loads!G39*Control!$F$55)</f>
        <v>-</v>
      </c>
      <c r="G136" s="120">
        <f t="shared" si="80"/>
        <v>17.604149026155241</v>
      </c>
      <c r="H136" s="120">
        <f t="shared" si="81"/>
        <v>17.280807513429945</v>
      </c>
      <c r="I136" s="120" t="str">
        <f t="shared" si="82"/>
        <v>-</v>
      </c>
      <c r="J136" s="120" t="str">
        <f t="shared" si="83"/>
        <v>-</v>
      </c>
      <c r="K136" s="120">
        <f t="shared" si="109"/>
        <v>112</v>
      </c>
      <c r="L136" s="120">
        <f t="shared" si="109"/>
        <v>112</v>
      </c>
      <c r="M136" s="120">
        <f t="shared" si="84"/>
        <v>2.4874199155543531E-3</v>
      </c>
      <c r="N136" s="120">
        <f t="shared" si="85"/>
        <v>2.3096442556352383E-3</v>
      </c>
      <c r="O136" s="120">
        <f>Control!$F$48</f>
        <v>0.1</v>
      </c>
      <c r="P136" s="120">
        <f>Control!$F$48</f>
        <v>0.1</v>
      </c>
      <c r="Q136" s="120">
        <f>Control!$F$46</f>
        <v>0</v>
      </c>
      <c r="R136" s="120">
        <f>Control!$F$46</f>
        <v>0</v>
      </c>
      <c r="S136" s="120">
        <f t="shared" si="86"/>
        <v>0.10248741991555436</v>
      </c>
      <c r="T136" s="120">
        <f t="shared" si="87"/>
        <v>0.10230964425563524</v>
      </c>
      <c r="X136" s="36">
        <f t="shared" ref="X136:AA136" si="114">X82</f>
        <v>0</v>
      </c>
      <c r="Y136" s="36">
        <f t="shared" si="114"/>
        <v>0</v>
      </c>
      <c r="Z136" s="36">
        <f t="shared" si="114"/>
        <v>0</v>
      </c>
      <c r="AA136" s="36">
        <f t="shared" si="114"/>
        <v>0</v>
      </c>
      <c r="AB136" s="120">
        <f t="shared" si="89"/>
        <v>32.359171501046823</v>
      </c>
      <c r="AC136" s="120">
        <f t="shared" si="90"/>
        <v>32.359171501046823</v>
      </c>
      <c r="AD136" s="120">
        <f>IF(OR(Control!$F$39="EC",Control!$F$51="N"),G55,MIN(G55,14+0.66*(INDEX('Eff. thickness (DNVGL-RP-C203)'!$G$31:$G$1048576,MATCH(G55,'Eff. thickness (DNVGL-RP-C203)'!$C$31:$C$1048576,0)))))</f>
        <v>90</v>
      </c>
      <c r="AE136" s="120">
        <f>IF(OR(Control!$F$39="EC",Control!$F$51="N"),G55,MIN(G55,14+0.66*(INDEX('Eff. thickness (DNVGL-RP-C203)'!$F$31:$F$1048576,MATCH(G55,'Eff. thickness (DNVGL-RP-C203)'!$C$31:$C$1048576,0)))))</f>
        <v>90</v>
      </c>
      <c r="AF136" s="120">
        <f t="shared" si="91"/>
        <v>0.87977121827244176</v>
      </c>
      <c r="AG136" s="120">
        <f t="shared" si="92"/>
        <v>0.87977121827244176</v>
      </c>
      <c r="AH136" s="120">
        <f t="shared" si="93"/>
        <v>1</v>
      </c>
      <c r="AI136" s="120">
        <f t="shared" si="94"/>
        <v>1</v>
      </c>
      <c r="AJ136" s="120">
        <f>IF(Control!$F$39&lt;&gt;"DNV",1,IF(D136&gt;Control!$F$16,IF(ISBLANK(Control!$F$56),1,Control!$F$56),IF(D136&gt;Control!$F$22,IF(ISBLANK(Control!$F$57),1,Control!$F$57),1)))</f>
        <v>1</v>
      </c>
      <c r="AK136" s="120">
        <f>IF(Control!$F$39&lt;&gt;"DNV",1,IF(D136&gt;Control!$F$18,IF(ISBLANK(Control!$F$56),1,Control!$F$56),IF(D136&gt;Control!$F$22,IF(ISBLANK(Control!$F$57),1,Control!$F$57),1)))</f>
        <v>1</v>
      </c>
    </row>
    <row r="137" spans="3:37">
      <c r="C137" s="12" t="s">
        <v>545</v>
      </c>
      <c r="D137" s="2">
        <f t="shared" si="79"/>
        <v>-79.73</v>
      </c>
      <c r="E137" s="120">
        <f>IF(Geometry_loads!H40="-","-",Geometry_loads!H40*Control!$F$54)</f>
        <v>35106.662134764665</v>
      </c>
      <c r="F137" s="120" t="str">
        <f>IF(Geometry_loads!G40="-","-",Geometry_loads!G40*Control!$F$55)</f>
        <v>-</v>
      </c>
      <c r="G137" s="120">
        <f t="shared" si="80"/>
        <v>5.0439862895780516</v>
      </c>
      <c r="H137" s="120">
        <f t="shared" si="81"/>
        <v>4.9461947186576607</v>
      </c>
      <c r="I137" s="120" t="str">
        <f t="shared" si="82"/>
        <v>-</v>
      </c>
      <c r="J137" s="120" t="str">
        <f t="shared" si="83"/>
        <v>-</v>
      </c>
      <c r="K137" s="120">
        <f t="shared" si="109"/>
        <v>112</v>
      </c>
      <c r="L137" s="120">
        <f t="shared" si="109"/>
        <v>112</v>
      </c>
      <c r="M137" s="120">
        <f t="shared" si="84"/>
        <v>1.7130774158772058E-5</v>
      </c>
      <c r="N137" s="120">
        <f t="shared" si="85"/>
        <v>1.5840403407293001E-5</v>
      </c>
      <c r="O137" s="120">
        <f>Control!$F$48</f>
        <v>0.1</v>
      </c>
      <c r="P137" s="120">
        <f>Control!$F$48</f>
        <v>0.1</v>
      </c>
      <c r="Q137" s="120">
        <f>Control!$F$46</f>
        <v>0</v>
      </c>
      <c r="R137" s="120">
        <f>Control!$F$46</f>
        <v>0</v>
      </c>
      <c r="S137" s="120">
        <f t="shared" si="86"/>
        <v>0.10001713077415877</v>
      </c>
      <c r="T137" s="120">
        <f t="shared" si="87"/>
        <v>0.1000158404034073</v>
      </c>
      <c r="X137" s="36">
        <f t="shared" ref="X137:AA137" si="115">X83</f>
        <v>0</v>
      </c>
      <c r="Y137" s="36">
        <f t="shared" si="115"/>
        <v>0</v>
      </c>
      <c r="Z137" s="36">
        <f t="shared" si="115"/>
        <v>0</v>
      </c>
      <c r="AA137" s="36">
        <f t="shared" si="115"/>
        <v>0</v>
      </c>
      <c r="AB137" s="120">
        <f t="shared" si="89"/>
        <v>34.104502784986202</v>
      </c>
      <c r="AC137" s="120">
        <f t="shared" si="90"/>
        <v>34.104502784986202</v>
      </c>
      <c r="AD137" s="120">
        <f>IF(OR(Control!$F$39="EC",Control!$F$51="N"),G56,MIN(G56,14+0.66*(INDEX('Eff. thickness (DNVGL-RP-C203)'!$G$31:$G$1048576,MATCH(G56,'Eff. thickness (DNVGL-RP-C203)'!$C$31:$C$1048576,0)))))</f>
        <v>95</v>
      </c>
      <c r="AE137" s="120">
        <f>IF(OR(Control!$F$39="EC",Control!$F$51="N"),G56,MIN(G56,14+0.66*(INDEX('Eff. thickness (DNVGL-RP-C203)'!$F$31:$F$1048576,MATCH(G56,'Eff. thickness (DNVGL-RP-C203)'!$C$31:$C$1048576,0)))))</f>
        <v>95</v>
      </c>
      <c r="AF137" s="120">
        <f t="shared" si="91"/>
        <v>0.87502737563561173</v>
      </c>
      <c r="AG137" s="120">
        <f t="shared" si="92"/>
        <v>0.87502737563561173</v>
      </c>
      <c r="AH137" s="120">
        <f t="shared" si="93"/>
        <v>1</v>
      </c>
      <c r="AI137" s="120">
        <f t="shared" si="94"/>
        <v>1</v>
      </c>
      <c r="AJ137" s="120">
        <f>IF(Control!$F$39&lt;&gt;"DNV",1,IF(D137&gt;Control!$F$16,IF(ISBLANK(Control!$F$56),1,Control!$F$56),IF(D137&gt;Control!$F$22,IF(ISBLANK(Control!$F$57),1,Control!$F$57),1)))</f>
        <v>1</v>
      </c>
      <c r="AK137" s="120">
        <f>IF(Control!$F$39&lt;&gt;"DNV",1,IF(D137&gt;Control!$F$18,IF(ISBLANK(Control!$F$56),1,Control!$F$56),IF(D137&gt;Control!$F$22,IF(ISBLANK(Control!$F$57),1,Control!$F$57),1)))</f>
        <v>1</v>
      </c>
    </row>
    <row r="140" spans="3:37">
      <c r="C140" s="35" t="s">
        <v>208</v>
      </c>
    </row>
    <row r="141" spans="3:37">
      <c r="C141" s="317" t="s">
        <v>54</v>
      </c>
      <c r="D141" s="317" t="s">
        <v>282</v>
      </c>
      <c r="E141" s="317" t="s">
        <v>17</v>
      </c>
      <c r="F141" s="317" t="s">
        <v>55</v>
      </c>
      <c r="G141" s="317" t="s">
        <v>193</v>
      </c>
      <c r="H141" s="317" t="s">
        <v>194</v>
      </c>
      <c r="I141" s="317" t="s">
        <v>560</v>
      </c>
    </row>
    <row r="142" spans="3:37">
      <c r="C142" s="318">
        <v>0</v>
      </c>
      <c r="D142" s="318">
        <v>0</v>
      </c>
      <c r="E142" s="318"/>
      <c r="F142" s="318"/>
      <c r="G142" s="318"/>
      <c r="H142" s="318"/>
      <c r="I142" s="318"/>
    </row>
    <row r="143" spans="3:37">
      <c r="C143" s="30" t="s">
        <v>16</v>
      </c>
      <c r="D143" s="30" t="str">
        <f>"[m"&amp;Control!$F$7&amp;"]"</f>
        <v>[mLAT]</v>
      </c>
      <c r="E143" s="30" t="s">
        <v>9</v>
      </c>
      <c r="F143" s="30" t="s">
        <v>10</v>
      </c>
      <c r="G143" s="30" t="s">
        <v>16</v>
      </c>
      <c r="H143" s="30" t="s">
        <v>16</v>
      </c>
      <c r="I143" s="31" t="s">
        <v>16</v>
      </c>
    </row>
    <row r="144" spans="3:37">
      <c r="C144" s="13" t="str">
        <f>Geometry!AD28</f>
        <v>MP3-01-01</v>
      </c>
      <c r="D144" s="2">
        <f>Geometry!AF28</f>
        <v>4.5999999999999996</v>
      </c>
      <c r="E144" s="3">
        <f>Geometry!AL28</f>
        <v>7.5</v>
      </c>
      <c r="F144" s="3">
        <f>Geometry!AM28</f>
        <v>108</v>
      </c>
      <c r="G144" s="3">
        <f>Geometry!AG28</f>
        <v>1.1000000000000001</v>
      </c>
      <c r="H144" s="3" t="str">
        <f>Geometry!AH28</f>
        <v>I</v>
      </c>
      <c r="I144" s="9" t="str">
        <f>Geometry!AI28</f>
        <v>n</v>
      </c>
    </row>
    <row r="145" spans="3:35">
      <c r="C145" s="13" t="str">
        <f>Geometry!AD29</f>
        <v>MP3-01-02</v>
      </c>
      <c r="D145" s="2">
        <f>Geometry!AF29</f>
        <v>3.5999999999999996</v>
      </c>
      <c r="E145" s="3">
        <f>Geometry!AL29</f>
        <v>7.5</v>
      </c>
      <c r="F145" s="3">
        <f>Geometry!AM29</f>
        <v>108</v>
      </c>
      <c r="G145" s="3">
        <f>Geometry!AG29</f>
        <v>1.4</v>
      </c>
      <c r="H145" s="3" t="str">
        <f>Geometry!AH29</f>
        <v>I</v>
      </c>
      <c r="I145" s="9" t="str">
        <f>Geometry!AI29</f>
        <v>g</v>
      </c>
    </row>
    <row r="146" spans="3:35">
      <c r="C146" s="13" t="str">
        <f>Geometry!AD30</f>
        <v>MP3-01-03</v>
      </c>
      <c r="D146" s="2">
        <f>Geometry!AF30</f>
        <v>4.5</v>
      </c>
      <c r="E146" s="3">
        <f>Geometry!AL30</f>
        <v>7.5</v>
      </c>
      <c r="F146" s="3">
        <f>Geometry!AM30</f>
        <v>108</v>
      </c>
      <c r="G146" s="3">
        <f>Geometry!AG30</f>
        <v>1.1499999999999999</v>
      </c>
      <c r="H146" s="3" t="str">
        <f>Geometry!AH30</f>
        <v>I</v>
      </c>
      <c r="I146" s="9" t="str">
        <f>Geometry!AI30</f>
        <v>g</v>
      </c>
    </row>
    <row r="147" spans="3:35">
      <c r="C147" s="13" t="str">
        <f>Geometry!AD31</f>
        <v>MP9-01</v>
      </c>
      <c r="D147" s="2">
        <f>Geometry!AF31</f>
        <v>-12.3575</v>
      </c>
      <c r="E147" s="3">
        <f>Geometry!AL31</f>
        <v>8.018335192307692</v>
      </c>
      <c r="F147" s="3">
        <f>Geometry!AM31</f>
        <v>106</v>
      </c>
      <c r="G147" s="3">
        <f>Geometry!AG31</f>
        <v>2</v>
      </c>
      <c r="H147" s="3" t="str">
        <f>Geometry!AH31</f>
        <v>O</v>
      </c>
      <c r="I147" s="9" t="str">
        <f>Geometry!AI31</f>
        <v>o</v>
      </c>
    </row>
    <row r="148" spans="3:35">
      <c r="C148" s="13" t="str">
        <f>Geometry!AD32</f>
        <v>MP11-01</v>
      </c>
      <c r="D148" s="2">
        <f>Geometry!AF32</f>
        <v>-22.715</v>
      </c>
      <c r="E148" s="3">
        <f>Geometry!AL32</f>
        <v>8.8901242307692314</v>
      </c>
      <c r="F148" s="3">
        <f>Geometry!AM32</f>
        <v>93</v>
      </c>
      <c r="G148" s="3">
        <f>Geometry!AG32</f>
        <v>1.56</v>
      </c>
      <c r="H148" s="3" t="str">
        <f>Geometry!AH32</f>
        <v>O</v>
      </c>
      <c r="I148" s="9" t="str">
        <f>Geometry!AI32</f>
        <v>o</v>
      </c>
    </row>
    <row r="149" spans="3:35">
      <c r="C149" s="13" t="str">
        <f>Geometry!AD33</f>
        <v>MP11-02</v>
      </c>
      <c r="D149" s="2">
        <f>Geometry!AF33</f>
        <v>-23.715</v>
      </c>
      <c r="E149" s="3">
        <f>Geometry!AL33</f>
        <v>8.9743037179487182</v>
      </c>
      <c r="F149" s="3">
        <f>Geometry!AM33</f>
        <v>93</v>
      </c>
      <c r="G149" s="3">
        <f>Geometry!AG33</f>
        <v>1.25</v>
      </c>
      <c r="H149" s="3" t="str">
        <f>Geometry!AH33</f>
        <v>O</v>
      </c>
      <c r="I149" s="9" t="str">
        <f>Geometry!AI33</f>
        <v>g</v>
      </c>
    </row>
    <row r="150" spans="3:35">
      <c r="C150" s="13" t="str">
        <f>Geometry!AD34</f>
        <v>MP13-01</v>
      </c>
      <c r="D150" s="2">
        <f>Geometry!AF34</f>
        <v>-34.072499999999998</v>
      </c>
      <c r="E150" s="3">
        <f>Geometry!AL34</f>
        <v>9.8000000000000007</v>
      </c>
      <c r="F150" s="3">
        <f>Geometry!AM34</f>
        <v>93</v>
      </c>
      <c r="G150" s="3">
        <f>Geometry!AG34</f>
        <v>2</v>
      </c>
      <c r="H150" s="3" t="str">
        <f>Geometry!AH34</f>
        <v>O</v>
      </c>
      <c r="I150" s="9" t="str">
        <f>Geometry!AI34</f>
        <v>o</v>
      </c>
    </row>
    <row r="151" spans="3:35">
      <c r="C151" s="13" t="str">
        <f>Geometry!AD35</f>
        <v>MP14-01</v>
      </c>
      <c r="D151" s="2">
        <f>Geometry!AF35</f>
        <v>-40.43</v>
      </c>
      <c r="E151" s="3">
        <f>Geometry!AL35</f>
        <v>9.8000000000000007</v>
      </c>
      <c r="F151" s="3">
        <f>Geometry!AM35</f>
        <v>102</v>
      </c>
      <c r="G151" s="3">
        <f>Geometry!AG35</f>
        <v>2.1230000000000002</v>
      </c>
      <c r="H151" s="3" t="str">
        <f>Geometry!AH35</f>
        <v>O</v>
      </c>
      <c r="I151" s="9" t="str">
        <f>Geometry!AI35</f>
        <v>o</v>
      </c>
    </row>
    <row r="153" spans="3:35">
      <c r="C153" s="35" t="s">
        <v>209</v>
      </c>
      <c r="M153" s="325" t="s">
        <v>60</v>
      </c>
      <c r="N153" s="326"/>
      <c r="O153" s="326"/>
      <c r="P153" s="326"/>
      <c r="Q153" s="326"/>
      <c r="R153" s="326"/>
      <c r="S153" s="326"/>
      <c r="T153" s="327"/>
    </row>
    <row r="154" spans="3:35" ht="21.75" customHeight="1">
      <c r="C154" s="312" t="s">
        <v>54</v>
      </c>
      <c r="D154" s="317" t="s">
        <v>282</v>
      </c>
      <c r="E154" s="30" t="s">
        <v>285</v>
      </c>
      <c r="F154" s="30" t="s">
        <v>285</v>
      </c>
      <c r="G154" s="313" t="s">
        <v>24</v>
      </c>
      <c r="H154" s="316"/>
      <c r="I154" s="313" t="s">
        <v>271</v>
      </c>
      <c r="J154" s="316"/>
      <c r="K154" s="312" t="s">
        <v>27</v>
      </c>
      <c r="L154" s="312"/>
      <c r="M154" s="312" t="s">
        <v>61</v>
      </c>
      <c r="N154" s="312"/>
      <c r="O154" s="313" t="s">
        <v>218</v>
      </c>
      <c r="P154" s="314"/>
      <c r="Q154" s="312" t="s">
        <v>62</v>
      </c>
      <c r="R154" s="312"/>
      <c r="S154" s="312" t="s">
        <v>63</v>
      </c>
      <c r="T154" s="312"/>
      <c r="X154" s="312" t="s">
        <v>31</v>
      </c>
      <c r="Y154" s="312"/>
      <c r="Z154" s="313" t="s">
        <v>48</v>
      </c>
      <c r="AA154" s="314"/>
      <c r="AB154" s="30" t="s">
        <v>21</v>
      </c>
      <c r="AC154" s="5" t="s">
        <v>22</v>
      </c>
      <c r="AD154" s="313" t="s">
        <v>35</v>
      </c>
      <c r="AE154" s="316"/>
      <c r="AF154" s="316"/>
      <c r="AG154" s="314"/>
      <c r="AH154" s="310" t="s">
        <v>448</v>
      </c>
      <c r="AI154" s="311"/>
    </row>
    <row r="155" spans="3:35" ht="20.399999999999999">
      <c r="C155" s="312">
        <v>0</v>
      </c>
      <c r="D155" s="318">
        <v>0</v>
      </c>
      <c r="E155" s="30" t="str">
        <f>IF(Control!$F$39="EC","m=4, N=2E6","m=5, N=1E7")</f>
        <v>m=4, N=2E6</v>
      </c>
      <c r="F155" s="30" t="str">
        <f>IF(Control!$F$39="EC","m=3, N=2E6","m=3, N=1E7")</f>
        <v>m=3, N=2E6</v>
      </c>
      <c r="G155" s="30" t="s">
        <v>25</v>
      </c>
      <c r="H155" s="30" t="s">
        <v>26</v>
      </c>
      <c r="I155" s="5" t="s">
        <v>25</v>
      </c>
      <c r="J155" s="5" t="s">
        <v>26</v>
      </c>
      <c r="K155" s="30" t="s">
        <v>25</v>
      </c>
      <c r="L155" s="30" t="s">
        <v>26</v>
      </c>
      <c r="M155" s="30" t="s">
        <v>25</v>
      </c>
      <c r="N155" s="30" t="s">
        <v>64</v>
      </c>
      <c r="O155" s="30" t="s">
        <v>25</v>
      </c>
      <c r="P155" s="30" t="s">
        <v>64</v>
      </c>
      <c r="Q155" s="30" t="s">
        <v>25</v>
      </c>
      <c r="R155" s="30" t="s">
        <v>64</v>
      </c>
      <c r="S155" s="30" t="s">
        <v>25</v>
      </c>
      <c r="T155" s="30" t="s">
        <v>64</v>
      </c>
      <c r="X155" s="30" t="s">
        <v>33</v>
      </c>
      <c r="Y155" s="30" t="s">
        <v>34</v>
      </c>
      <c r="Z155" s="30" t="s">
        <v>33</v>
      </c>
      <c r="AA155" s="30" t="s">
        <v>34</v>
      </c>
      <c r="AB155" s="313" t="s">
        <v>30</v>
      </c>
      <c r="AC155" s="314"/>
      <c r="AD155" s="30" t="s">
        <v>45</v>
      </c>
      <c r="AE155" s="30" t="s">
        <v>34</v>
      </c>
      <c r="AF155" s="30" t="s">
        <v>46</v>
      </c>
      <c r="AG155" s="30" t="s">
        <v>47</v>
      </c>
      <c r="AH155" s="30" t="s">
        <v>45</v>
      </c>
      <c r="AI155" s="30" t="s">
        <v>34</v>
      </c>
    </row>
    <row r="156" spans="3:35">
      <c r="C156" s="30" t="s">
        <v>16</v>
      </c>
      <c r="D156" s="30" t="str">
        <f>"[m"&amp;Control!$F$7&amp;"]"</f>
        <v>[mLAT]</v>
      </c>
      <c r="E156" s="313" t="s">
        <v>20</v>
      </c>
      <c r="F156" s="314"/>
      <c r="G156" s="313" t="s">
        <v>77</v>
      </c>
      <c r="H156" s="316"/>
      <c r="I156" s="316"/>
      <c r="J156" s="314"/>
      <c r="K156" s="313" t="s">
        <v>77</v>
      </c>
      <c r="L156" s="314"/>
      <c r="M156" s="320" t="s">
        <v>16</v>
      </c>
      <c r="N156" s="321"/>
      <c r="O156" s="321"/>
      <c r="P156" s="321"/>
      <c r="Q156" s="321"/>
      <c r="R156" s="321"/>
      <c r="S156" s="321"/>
      <c r="T156" s="322"/>
      <c r="X156" s="315" t="s">
        <v>32</v>
      </c>
      <c r="Y156" s="315"/>
      <c r="Z156" s="30" t="s">
        <v>10</v>
      </c>
      <c r="AA156" s="30" t="s">
        <v>10</v>
      </c>
      <c r="AB156" s="313" t="s">
        <v>23</v>
      </c>
      <c r="AC156" s="314"/>
      <c r="AD156" s="1" t="s">
        <v>16</v>
      </c>
      <c r="AE156" s="1" t="s">
        <v>16</v>
      </c>
      <c r="AF156" s="1" t="s">
        <v>16</v>
      </c>
      <c r="AG156" s="1" t="s">
        <v>16</v>
      </c>
      <c r="AH156" s="1" t="s">
        <v>16</v>
      </c>
      <c r="AI156" s="1" t="s">
        <v>16</v>
      </c>
    </row>
    <row r="157" spans="3:35">
      <c r="C157" s="12" t="str">
        <f>C144</f>
        <v>MP3-01-01</v>
      </c>
      <c r="D157" s="13">
        <f>D144</f>
        <v>4.5999999999999996</v>
      </c>
      <c r="E157" s="3">
        <f>IF(Geometry_loads!H64="-","-",Geometry_loads!H64*Control!$F$54)</f>
        <v>201789.26614775095</v>
      </c>
      <c r="F157" s="3">
        <f>IF(Geometry_loads!G64="-","-",Geometry_loads!G64*Control!$F$55)</f>
        <v>240588.48576957121</v>
      </c>
      <c r="G157" s="3">
        <f>IF(X157=0,E157/AB157*E144/2/1000,(E157*($AF$24/$Z$5)^(1/$AE$4)/AB157*E144/2/1000))</f>
        <v>38.869139781471766</v>
      </c>
      <c r="H157" s="3">
        <f>IF(Y157=0,E157/AB157*(E144-2*F144/1000)/2/1000,(E157*($AF$24/$Z$5)^(1/$AE$4)/AB157*(E144-2*F144/1000)/2/1000))</f>
        <v>42.891949939564476</v>
      </c>
      <c r="I157" s="3">
        <f>IF(X157=0,"-",(F157*($AF$23/$Z$5)^(1/3)/AC157*(E144-2*Z157/1000)/2/1000))</f>
        <v>39.46465146865458</v>
      </c>
      <c r="J157" s="120" t="str">
        <f>IF(Y157=0,"-",(F157*($AF$23/$Z$5)^(1/3))/AC157*((E144-2*Z157/1000)-2*F144/1000-Z157/1000-AA157/1000)/2/1000)</f>
        <v>-</v>
      </c>
      <c r="K157" s="120" t="str">
        <f>IF(H144="O",IF(I144="n",$AF$7,IF(I144="g",$AF$8,IF(I144="o",$AF$6,IF(I144="nn",$AF$9,IF(I144="gn",$AF$9,"Falsch"))))),"")</f>
        <v/>
      </c>
      <c r="L157" s="120">
        <f>IF(H144="I",IF(I144="n",$AF$7,IF(I144="g",$AF$8,IF(I144="o",$AF$6,IF(I144="nn",$AF$9,IF(I144="gn",$AF$9,"Falsch"))))),"")</f>
        <v>100</v>
      </c>
      <c r="M157" s="120" t="str">
        <f>IF(K157="","",IF($D157&gt;$Z$9,$AD$13,$AD$14)*((((IF($D157&gt;$Z$9,$AD$11,$AD$12)/AD157*$G144*$G157*IF($I144="g",$AE$19,1))/(AH157*K157*IF($I144="gn",$AH$9,1)))^$AE$4)+(((IF($D157&gt;$Z$9,$AD$11,$AD$12)/AF157*$G144*IF(X157=0,0,I157)*IF($I144="g",$AE$19,1))/(0.7*IF(K157=65.5,58.48,K157)*IF($I144="gn",$AH$9*(58.48/65.5),1))))^3))</f>
        <v/>
      </c>
      <c r="N157" s="120">
        <f>IF(L157="","",IF($D157&gt;$Z$9,$AD$13,$AD$14)*((((IF($D157&gt;$Z$9,$AD$11,$AD$12)/AE157*$G144*$H157*IF($I144="g",$AE$19,1))/(AI157*L157*IF($I144="gn",$AH$9,1)))^$AE$4)+(((IF($D157&gt;$Z$9,$AD$11,$AD$12)/AG157*$G144*IF(Y157=0,0,J157)*IF($I144="g",$AE$19,1))/(0.7*IF(L157=65.5,58.48,L157)*IF($I144="gn",$AH$9*(58.48/65.5),1))))^3))</f>
        <v>0.70031664805741334</v>
      </c>
      <c r="O157" s="120" t="str">
        <f>IF(K157="","",IF(Control!$F$47="N",Control!$F$49,'FLS MP (driving)'!$J63))</f>
        <v/>
      </c>
      <c r="P157" s="3">
        <f>IF(L157="","",IF(Control!$F$47="N",Control!$F$49,'FLS MP (driving)'!$J63))</f>
        <v>0.3</v>
      </c>
      <c r="Q157" s="3" t="str">
        <f>IF(K157="","",Control!$F$46)</f>
        <v/>
      </c>
      <c r="R157" s="3">
        <f>IF(L157="","",Control!$F$46)</f>
        <v>0</v>
      </c>
      <c r="S157" s="3" t="str">
        <f>IF(K157="","",M157+O157+Q157)</f>
        <v/>
      </c>
      <c r="T157" s="3">
        <f>IF(L157="","",N157+P157+R157)</f>
        <v>1.0003166480574133</v>
      </c>
      <c r="X157" s="37" t="str">
        <f>IF(OR(D157&gt;=$Z$13,D157&lt;=$Z$12,Geometry!AP28="n"),0,"X")</f>
        <v>X</v>
      </c>
      <c r="Y157" s="37">
        <f>IF(OR(D157&gt;=$Z$15,D157&lt;=$Z$12,Geometry!AQ28="n"),0,"X")</f>
        <v>0</v>
      </c>
      <c r="Z157" s="37">
        <f>0.5*IF(OR(D157&gt;=$Z$13,D157&lt;=$Z$12),0,$AF$23*$AF$25)</f>
        <v>1.7999999999999998</v>
      </c>
      <c r="AA157" s="37">
        <f>0.5*IF(OR(D157&gt;=$Z$15,D157&lt;=$Z$12),0,$AF$23*$AF$26)</f>
        <v>0</v>
      </c>
      <c r="AB157" s="3">
        <f>(PI()/64*(E144^4-(E144-2*F144/1000)^4))</f>
        <v>17.134136087205629</v>
      </c>
      <c r="AC157" s="120">
        <f>(PI()/64*((E144-2*Z157/1000)^4-((E144-2*Z157/1000)-2*(F144-Z157-AA157)/1000)^4))</f>
        <v>16.836144861565153</v>
      </c>
      <c r="AD157" s="120">
        <f>(25/F144)^(IF(I144="n",$AG$11,IF(I144="g",$AG$12,IF(I144="o",$AG$14,IF(I144="nn",0,IF(I144="gn",0,"Falsch"))))))</f>
        <v>0.64469585200629576</v>
      </c>
      <c r="AE157" s="120">
        <f>(25/F144)^(IF(I144="n",$AG$11,IF(I144="g",$AG$12,IF(I144="o",$AG$14,IF(I144="nn",0,IF(I144="gn",0,"Falsch"))))))</f>
        <v>0.64469585200629576</v>
      </c>
      <c r="AF157" s="120">
        <f>IF(X157=0,1,(25/F144)^(IF(I144="n",$AG$11,IF(I144="g",$AG$12,IF(I144="o",$AG$14,IF(I144="nn",0,IF(I144="gn",0,"Falsch")))))))</f>
        <v>0.64469585200629576</v>
      </c>
      <c r="AG157" s="120">
        <f>IF(Y157=0,1,(25/F144)^(IF(I144="n",$AG$11,IF(I144="g",$AG$12,IF(I144="o",$AG$14,IF(I144="nn",0,IF(I144="gn",0,"Falsch")))))))</f>
        <v>1</v>
      </c>
      <c r="AH157" s="120">
        <f>IF(Control!$F$39&lt;&gt;"DNV",1,IF(D157&gt;Control!$F$16,IF(ISBLANK(Control!$F$56),1,Control!$F$56),IF(D157&gt;Control!$F$22,IF(ISBLANK(Control!$F$57),1,Control!$F$57),1)))</f>
        <v>1</v>
      </c>
      <c r="AI157" s="3">
        <f>IF(Control!$F$39&lt;&gt;"DNV",1,IF(D157&gt;Control!$F$18,IF(ISBLANK(Control!$F$56),1,Control!$F$56),IF(D157&gt;Control!$F$22,IF(ISBLANK(Control!$F$57),1,Control!$F$57),1)))</f>
        <v>1</v>
      </c>
    </row>
    <row r="158" spans="3:35">
      <c r="C158" s="12" t="str">
        <f t="shared" ref="C158:D158" si="116">C145</f>
        <v>MP3-01-02</v>
      </c>
      <c r="D158" s="13">
        <f t="shared" si="116"/>
        <v>3.5999999999999996</v>
      </c>
      <c r="E158" s="3">
        <f>IF(Geometry_loads!H65="-","-",Geometry_loads!H65*Control!$F$54)</f>
        <v>203342.12834363457</v>
      </c>
      <c r="F158" s="3">
        <f>IF(Geometry_loads!G65="-","-",Geometry_loads!G65*Control!$F$55)</f>
        <v>242486.55907038235</v>
      </c>
      <c r="G158" s="3">
        <f t="shared" ref="G158:G164" si="117">IF(X158=0,E158/AB158*E145/2/1000,(E158*($AF$24/$Z$5)^(1/$AE$4)/AB158*E145/2/1000))</f>
        <v>39.168255878702467</v>
      </c>
      <c r="H158" s="3">
        <f t="shared" ref="H158:H164" si="118">IF(Y158=0,E158/AB158*(E145-2*F145/1000)/2/1000,(E158*($AF$24/$Z$5)^(1/$AE$4)/AB158*(E145-2*F145/1000)/2/1000))</f>
        <v>43.222023430788298</v>
      </c>
      <c r="I158" s="3">
        <f t="shared" ref="I158:I164" si="119">IF(X158=0,"-",(F158*($AF$23/$Z$5)^(1/3)/AC158*(E145-2*Z158/1000)/2/1000))</f>
        <v>39.775999707282317</v>
      </c>
      <c r="J158" s="120" t="str">
        <f t="shared" ref="J158:J164" si="120">IF(Y158=0,"-",(F158*($AF$23/$Z$5)^(1/3))/AC158*((E145-2*Z158/1000)-2*F145/1000-Z158/1000-AA158/1000)/2/1000)</f>
        <v>-</v>
      </c>
      <c r="K158" s="120" t="str">
        <f t="shared" ref="K158:K164" si="121">IF(H145="O",IF(I145="n",$AF$7,IF(I145="g",$AF$8,IF(I145="o",$AF$6,IF(I145="nn",$AF$9,IF(I145="gn",$AF$9,"Falsch"))))),"")</f>
        <v/>
      </c>
      <c r="L158" s="120">
        <f t="shared" ref="L158:L164" si="122">IF(H145="I",IF(I145="n",$AF$7,IF(I145="g",$AF$8,IF(I145="o",$AF$6,IF(I145="nn",$AF$9,IF(I145="gn",$AF$9,"Falsch"))))),"")</f>
        <v>112</v>
      </c>
      <c r="M158" s="120" t="str">
        <f t="shared" ref="M158:M164" si="123">IF(K158="","",IF($D158&gt;$Z$9,$AD$13,$AD$14)*((((IF($D158&gt;$Z$9,$AD$11,$AD$12)/AD158*$G145*$G158*IF($I145="g",$AE$19,1))/(AH158*K158*IF($I145="gn",$AH$9,1)))^$AE$4)+(((IF($D158&gt;$Z$9,$AD$11,$AD$12)/AF158*$G145*IF(X158=0,0,I158)*IF($I145="g",$AE$19,1))/(0.7*IF(K158=65.5,58.48,K158)*IF($I145="gn",$AH$9*(58.48/65.5),1))))^3))</f>
        <v/>
      </c>
      <c r="N158" s="120">
        <f t="shared" ref="N158:N164" si="124">IF(L158="","",IF($D158&gt;$Z$9,$AD$13,$AD$14)*((((IF($D158&gt;$Z$9,$AD$11,$AD$12)/AE158*$G145*$H158*IF($I145="g",$AE$19,1))/(AI158*L158*IF($I145="gn",$AH$9,1)))^$AE$4)+(((IF($D158&gt;$Z$9,$AD$11,$AD$12)/AG158*$G145*IF(Y158=0,0,J158)*IF($I145="g",$AE$19,1))/(0.7*IF(L158=65.5,58.48,L158)*IF($I145="gn",$AH$9*(58.48/65.5),1))))^3))</f>
        <v>0.67063695191765627</v>
      </c>
      <c r="O158" s="120" t="str">
        <f>IF(K158="","",IF(Control!$F$47="N",Control!$F$49,'FLS MP (driving)'!$J64))</f>
        <v/>
      </c>
      <c r="P158" s="3">
        <f>IF(L158="","",IF(Control!$F$47="N",Control!$F$49,'FLS MP (driving)'!$J64))</f>
        <v>0.3</v>
      </c>
      <c r="Q158" s="3" t="str">
        <f>IF(K158="","",Control!$F$46)</f>
        <v/>
      </c>
      <c r="R158" s="3">
        <f>IF(L158="","",Control!$F$46)</f>
        <v>0</v>
      </c>
      <c r="S158" s="3" t="str">
        <f t="shared" ref="S158:S164" si="125">IF(K158="","",M158+O158+Q158)</f>
        <v/>
      </c>
      <c r="T158" s="3">
        <f t="shared" ref="T158:T164" si="126">IF(L158="","",N158+P158+R158)</f>
        <v>0.97063695191765631</v>
      </c>
      <c r="X158" s="37" t="str">
        <f>IF(OR(D158&gt;=$Z$13,D158&lt;=$Z$12,Geometry!AP29="n"),0,"X")</f>
        <v>X</v>
      </c>
      <c r="Y158" s="37">
        <f>IF(OR(D158&gt;=$Z$15,D158&lt;=$Z$12,Geometry!AQ29="n"),0,"X")</f>
        <v>0</v>
      </c>
      <c r="Z158" s="37">
        <f t="shared" ref="Z158:Z164" si="127">0.5*IF(OR(D158&gt;=$Z$13,D158&lt;=$Z$12),0,$AF$23*$AF$25)</f>
        <v>1.7999999999999998</v>
      </c>
      <c r="AA158" s="37">
        <f t="shared" ref="AA158:AA164" si="128">0.5*IF(OR(D158&gt;=$Z$15,D158&lt;=$Z$12),0,$AF$23*$AF$26)</f>
        <v>0</v>
      </c>
      <c r="AB158" s="3">
        <f t="shared" ref="AB158:AB164" si="129">(PI()/64*(E145^4-(E145-2*F145/1000)^4))</f>
        <v>17.134136087205629</v>
      </c>
      <c r="AC158" s="120">
        <f t="shared" ref="AC158:AC164" si="130">(PI()/64*((E145-2*Z158/1000)^4-((E145-2*Z158/1000)-2*(F145-Z158-AA158)/1000)^4))</f>
        <v>16.836144861565153</v>
      </c>
      <c r="AD158" s="120">
        <f t="shared" ref="AD158:AD164" si="131">(25/F145)^(IF(I145="n",$AG$11,IF(I145="g",$AG$12,IF(I145="o",$AG$14,IF(I145="nn",0,IF(I145="gn",0,"Falsch"))))))</f>
        <v>0.74628248782340512</v>
      </c>
      <c r="AE158" s="120">
        <f t="shared" ref="AE158:AE164" si="132">(25/F145)^(IF(I145="n",$AG$11,IF(I145="g",$AG$12,IF(I145="o",$AG$14,IF(I145="nn",0,IF(I145="gn",0,"Falsch"))))))</f>
        <v>0.74628248782340512</v>
      </c>
      <c r="AF158" s="120">
        <f t="shared" ref="AF158:AF164" si="133">IF(X158=0,1,(25/F145)^(IF(I145="n",$AG$11,IF(I145="g",$AG$12,IF(I145="o",$AG$14,IF(I145="nn",0,IF(I145="gn",0,"Falsch")))))))</f>
        <v>0.74628248782340512</v>
      </c>
      <c r="AG158" s="120">
        <f t="shared" ref="AG158:AG164" si="134">IF(Y158=0,1,(25/F145)^(IF(I145="n",$AG$11,IF(I145="g",$AG$12,IF(I145="o",$AG$14,IF(I145="nn",0,IF(I145="gn",0,"Falsch")))))))</f>
        <v>1</v>
      </c>
      <c r="AH158" s="120">
        <f>IF(Control!$F$39&lt;&gt;"DNV",1,IF(D158&gt;Control!$F$16,IF(ISBLANK(Control!$F$56),1,Control!$F$56),IF(D158&gt;Control!$F$22,IF(ISBLANK(Control!$F$57),1,Control!$F$57),1)))</f>
        <v>1</v>
      </c>
      <c r="AI158" s="3">
        <f>IF(Control!$F$39&lt;&gt;"DNV",1,IF(D158&gt;Control!$F$18,IF(ISBLANK(Control!$F$56),1,Control!$F$56),IF(D158&gt;Control!$F$22,IF(ISBLANK(Control!$F$57),1,Control!$F$57),1)))</f>
        <v>1</v>
      </c>
    </row>
    <row r="159" spans="3:35">
      <c r="C159" s="12" t="str">
        <f t="shared" ref="C159:D159" si="135">C146</f>
        <v>MP3-01-03</v>
      </c>
      <c r="D159" s="13">
        <f t="shared" si="135"/>
        <v>4.5</v>
      </c>
      <c r="E159" s="3">
        <f>IF(Geometry_loads!H66="-","-",Geometry_loads!H66*Control!$F$54)</f>
        <v>201944.55236733932</v>
      </c>
      <c r="F159" s="3">
        <f>IF(Geometry_loads!G66="-","-",Geometry_loads!G66*Control!$F$55)</f>
        <v>240778.29309965234</v>
      </c>
      <c r="G159" s="3">
        <f t="shared" si="117"/>
        <v>38.899051391194831</v>
      </c>
      <c r="H159" s="3">
        <f t="shared" si="118"/>
        <v>42.924957288686855</v>
      </c>
      <c r="I159" s="3">
        <f t="shared" si="119"/>
        <v>39.495786292517352</v>
      </c>
      <c r="J159" s="120" t="str">
        <f t="shared" si="120"/>
        <v>-</v>
      </c>
      <c r="K159" s="120" t="str">
        <f t="shared" si="121"/>
        <v/>
      </c>
      <c r="L159" s="120">
        <f t="shared" si="122"/>
        <v>112</v>
      </c>
      <c r="M159" s="120" t="str">
        <f t="shared" si="123"/>
        <v/>
      </c>
      <c r="N159" s="120">
        <f t="shared" si="124"/>
        <v>0.29702007746460896</v>
      </c>
      <c r="O159" s="120" t="str">
        <f>IF(K159="","",IF(Control!$F$47="N",Control!$F$49,'FLS MP (driving)'!$J65))</f>
        <v/>
      </c>
      <c r="P159" s="3">
        <f>IF(L159="","",IF(Control!$F$47="N",Control!$F$49,'FLS MP (driving)'!$J65))</f>
        <v>0.3</v>
      </c>
      <c r="Q159" s="3" t="str">
        <f>IF(K159="","",Control!$F$46)</f>
        <v/>
      </c>
      <c r="R159" s="3">
        <f>IF(L159="","",Control!$F$46)</f>
        <v>0</v>
      </c>
      <c r="S159" s="3" t="str">
        <f t="shared" si="125"/>
        <v/>
      </c>
      <c r="T159" s="3">
        <f t="shared" si="126"/>
        <v>0.59702007746460894</v>
      </c>
      <c r="X159" s="37" t="str">
        <f>IF(OR(D159&gt;=$Z$13,D159&lt;=$Z$12,Geometry!AP30="n"),0,"X")</f>
        <v>X</v>
      </c>
      <c r="Y159" s="37">
        <f>IF(OR(D159&gt;=$Z$15,D159&lt;=$Z$12,Geometry!AQ30="n"),0,"X")</f>
        <v>0</v>
      </c>
      <c r="Z159" s="37">
        <f t="shared" si="127"/>
        <v>1.7999999999999998</v>
      </c>
      <c r="AA159" s="37">
        <f t="shared" si="128"/>
        <v>0</v>
      </c>
      <c r="AB159" s="3">
        <f t="shared" si="129"/>
        <v>17.134136087205629</v>
      </c>
      <c r="AC159" s="120">
        <f t="shared" si="130"/>
        <v>16.836144861565153</v>
      </c>
      <c r="AD159" s="120">
        <f t="shared" si="131"/>
        <v>0.74628248782340512</v>
      </c>
      <c r="AE159" s="120">
        <f t="shared" si="132"/>
        <v>0.74628248782340512</v>
      </c>
      <c r="AF159" s="120">
        <f t="shared" si="133"/>
        <v>0.74628248782340512</v>
      </c>
      <c r="AG159" s="120">
        <f t="shared" si="134"/>
        <v>1</v>
      </c>
      <c r="AH159" s="120">
        <f>IF(Control!$F$39&lt;&gt;"DNV",1,IF(D159&gt;Control!$F$16,IF(ISBLANK(Control!$F$56),1,Control!$F$56),IF(D159&gt;Control!$F$22,IF(ISBLANK(Control!$F$57),1,Control!$F$57),1)))</f>
        <v>1</v>
      </c>
      <c r="AI159" s="3">
        <f>IF(Control!$F$39&lt;&gt;"DNV",1,IF(D159&gt;Control!$F$18,IF(ISBLANK(Control!$F$56),1,Control!$F$56),IF(D159&gt;Control!$F$22,IF(ISBLANK(Control!$F$57),1,Control!$F$57),1)))</f>
        <v>1</v>
      </c>
    </row>
    <row r="160" spans="3:35">
      <c r="C160" s="12" t="str">
        <f t="shared" ref="C160:D160" si="136">C147</f>
        <v>MP9-01</v>
      </c>
      <c r="D160" s="13">
        <f t="shared" si="136"/>
        <v>-12.3575</v>
      </c>
      <c r="E160" s="3">
        <f>IF(Geometry_loads!H67="-","-",Geometry_loads!H67*Control!$F$54)</f>
        <v>227557.38378313323</v>
      </c>
      <c r="F160" s="3">
        <f>IF(Geometry_loads!G67="-","-",Geometry_loads!G67*Control!$F$55)</f>
        <v>271062.77277704078</v>
      </c>
      <c r="G160" s="3">
        <f t="shared" si="117"/>
        <v>44.237178930455002</v>
      </c>
      <c r="H160" s="3">
        <f t="shared" si="118"/>
        <v>43.067574304515517</v>
      </c>
      <c r="I160" s="3" t="str">
        <f t="shared" si="119"/>
        <v>-</v>
      </c>
      <c r="J160" s="120" t="str">
        <f t="shared" si="120"/>
        <v>-</v>
      </c>
      <c r="K160" s="120">
        <f t="shared" si="121"/>
        <v>140</v>
      </c>
      <c r="L160" s="120" t="str">
        <f t="shared" si="122"/>
        <v/>
      </c>
      <c r="M160" s="120">
        <f t="shared" si="123"/>
        <v>0.69397516522171254</v>
      </c>
      <c r="N160" s="120" t="str">
        <f t="shared" si="124"/>
        <v/>
      </c>
      <c r="O160" s="120">
        <f>IF(K160="","",IF(Control!$F$47="N",Control!$F$49,'FLS MP (driving)'!$J66))</f>
        <v>0.3</v>
      </c>
      <c r="P160" s="3" t="str">
        <f>IF(L160="","",IF(Control!$F$47="N",Control!$F$49,'FLS MP (driving)'!$J66))</f>
        <v/>
      </c>
      <c r="Q160" s="3">
        <f>IF(K160="","",Control!$F$46)</f>
        <v>0</v>
      </c>
      <c r="R160" s="3" t="str">
        <f>IF(L160="","",Control!$F$46)</f>
        <v/>
      </c>
      <c r="S160" s="3">
        <f t="shared" si="125"/>
        <v>0.99397516522171259</v>
      </c>
      <c r="T160" s="3" t="str">
        <f t="shared" si="126"/>
        <v/>
      </c>
      <c r="X160" s="37">
        <f>IF(OR(D160&gt;=$Z$13,D160&lt;=$Z$12,Geometry!AP31="n"),0,"X")</f>
        <v>0</v>
      </c>
      <c r="Y160" s="37">
        <f>IF(OR(D160&gt;=$Z$15,D160&lt;=$Z$12,Geometry!AQ31="n"),0,"X")</f>
        <v>0</v>
      </c>
      <c r="Z160" s="37">
        <f t="shared" si="127"/>
        <v>0</v>
      </c>
      <c r="AA160" s="37">
        <f t="shared" si="128"/>
        <v>0</v>
      </c>
      <c r="AB160" s="3">
        <f t="shared" si="129"/>
        <v>20.62327913728695</v>
      </c>
      <c r="AC160" s="120">
        <f t="shared" si="130"/>
        <v>20.62327913728695</v>
      </c>
      <c r="AD160" s="120">
        <f t="shared" si="131"/>
        <v>0.86549271030630548</v>
      </c>
      <c r="AE160" s="120">
        <f t="shared" si="132"/>
        <v>0.86549271030630548</v>
      </c>
      <c r="AF160" s="120">
        <f t="shared" si="133"/>
        <v>1</v>
      </c>
      <c r="AG160" s="120">
        <f t="shared" si="134"/>
        <v>1</v>
      </c>
      <c r="AH160" s="120">
        <f>IF(Control!$F$39&lt;&gt;"DNV",1,IF(D160&gt;Control!$F$16,IF(ISBLANK(Control!$F$56),1,Control!$F$56),IF(D160&gt;Control!$F$22,IF(ISBLANK(Control!$F$57),1,Control!$F$57),1)))</f>
        <v>1</v>
      </c>
      <c r="AI160" s="3">
        <f>IF(Control!$F$39&lt;&gt;"DNV",1,IF(D160&gt;Control!$F$18,IF(ISBLANK(Control!$F$56),1,Control!$F$56),IF(D160&gt;Control!$F$22,IF(ISBLANK(Control!$F$57),1,Control!$F$57),1)))</f>
        <v>1</v>
      </c>
    </row>
    <row r="161" spans="3:35">
      <c r="C161" s="12" t="str">
        <f t="shared" ref="C161:D161" si="137">C148</f>
        <v>MP11-01</v>
      </c>
      <c r="D161" s="13">
        <f t="shared" si="137"/>
        <v>-22.715</v>
      </c>
      <c r="E161" s="3">
        <f>IF(Geometry_loads!H68="-","-",Geometry_loads!H68*Control!$F$54)</f>
        <v>248373.73444828196</v>
      </c>
      <c r="F161" s="3">
        <f>IF(Geometry_loads!G68="-","-",Geometry_loads!G68*Control!$F$55)</f>
        <v>295880.54485170112</v>
      </c>
      <c r="G161" s="3">
        <f t="shared" si="117"/>
        <v>44.398669761653942</v>
      </c>
      <c r="H161" s="3">
        <f t="shared" si="118"/>
        <v>43.469756693478168</v>
      </c>
      <c r="I161" s="3" t="str">
        <f t="shared" si="119"/>
        <v>-</v>
      </c>
      <c r="J161" s="120" t="str">
        <f t="shared" si="120"/>
        <v>-</v>
      </c>
      <c r="K161" s="120">
        <f t="shared" si="121"/>
        <v>140</v>
      </c>
      <c r="L161" s="120" t="str">
        <f t="shared" si="122"/>
        <v/>
      </c>
      <c r="M161" s="120">
        <f t="shared" si="123"/>
        <v>0.24735649132903287</v>
      </c>
      <c r="N161" s="120" t="str">
        <f t="shared" si="124"/>
        <v/>
      </c>
      <c r="O161" s="120">
        <f>IF(K161="","",IF(Control!$F$47="N",Control!$F$49,'FLS MP (driving)'!$J67))</f>
        <v>0.3</v>
      </c>
      <c r="P161" s="3" t="str">
        <f>IF(L161="","",IF(Control!$F$47="N",Control!$F$49,'FLS MP (driving)'!$J67))</f>
        <v/>
      </c>
      <c r="Q161" s="3">
        <f>IF(K161="","",Control!$F$46)</f>
        <v>0</v>
      </c>
      <c r="R161" s="3" t="str">
        <f>IF(L161="","",Control!$F$46)</f>
        <v/>
      </c>
      <c r="S161" s="3">
        <f t="shared" si="125"/>
        <v>0.54735649132903286</v>
      </c>
      <c r="T161" s="3" t="str">
        <f t="shared" si="126"/>
        <v/>
      </c>
      <c r="X161" s="37">
        <f>IF(OR(D161&gt;=$Z$13,D161&lt;=$Z$12,Geometry!AP32="n"),0,"X")</f>
        <v>0</v>
      </c>
      <c r="Y161" s="37">
        <f>IF(OR(D161&gt;=$Z$15,D161&lt;=$Z$12,Geometry!AQ32="n"),0,"X")</f>
        <v>0</v>
      </c>
      <c r="Z161" s="37">
        <f t="shared" si="127"/>
        <v>0</v>
      </c>
      <c r="AA161" s="37">
        <f t="shared" si="128"/>
        <v>0</v>
      </c>
      <c r="AB161" s="3">
        <f t="shared" si="129"/>
        <v>24.866435940073746</v>
      </c>
      <c r="AC161" s="120">
        <f t="shared" si="130"/>
        <v>24.866435940073746</v>
      </c>
      <c r="AD161" s="120">
        <f t="shared" si="131"/>
        <v>0.87689118839915348</v>
      </c>
      <c r="AE161" s="120">
        <f t="shared" si="132"/>
        <v>0.87689118839915348</v>
      </c>
      <c r="AF161" s="120">
        <f t="shared" si="133"/>
        <v>1</v>
      </c>
      <c r="AG161" s="120">
        <f t="shared" si="134"/>
        <v>1</v>
      </c>
      <c r="AH161" s="120">
        <f>IF(Control!$F$39&lt;&gt;"DNV",1,IF(D161&gt;Control!$F$16,IF(ISBLANK(Control!$F$56),1,Control!$F$56),IF(D161&gt;Control!$F$22,IF(ISBLANK(Control!$F$57),1,Control!$F$57),1)))</f>
        <v>1</v>
      </c>
      <c r="AI161" s="3">
        <f>IF(Control!$F$39&lt;&gt;"DNV",1,IF(D161&gt;Control!$F$18,IF(ISBLANK(Control!$F$56),1,Control!$F$56),IF(D161&gt;Control!$F$22,IF(ISBLANK(Control!$F$57),1,Control!$F$57),1)))</f>
        <v>1</v>
      </c>
    </row>
    <row r="162" spans="3:35">
      <c r="C162" s="12" t="str">
        <f t="shared" ref="C162:D162" si="138">C149</f>
        <v>MP11-02</v>
      </c>
      <c r="D162" s="13">
        <f t="shared" si="138"/>
        <v>-23.715</v>
      </c>
      <c r="E162" s="3">
        <f>IF(Geometry_loads!H69="-","-",Geometry_loads!H69*Control!$F$54)</f>
        <v>250834.15832753753</v>
      </c>
      <c r="F162" s="3">
        <f>IF(Geometry_loads!G69="-","-",Geometry_loads!G69*Control!$F$55)</f>
        <v>298887.47178562643</v>
      </c>
      <c r="G162" s="3">
        <f t="shared" si="117"/>
        <v>43.988264409003726</v>
      </c>
      <c r="H162" s="3">
        <f t="shared" si="118"/>
        <v>43.076570595509203</v>
      </c>
      <c r="I162" s="3" t="str">
        <f t="shared" si="119"/>
        <v>-</v>
      </c>
      <c r="J162" s="120" t="str">
        <f t="shared" si="120"/>
        <v>-</v>
      </c>
      <c r="K162" s="120">
        <f t="shared" si="121"/>
        <v>112</v>
      </c>
      <c r="L162" s="120" t="str">
        <f t="shared" si="122"/>
        <v/>
      </c>
      <c r="M162" s="120">
        <f t="shared" si="123"/>
        <v>0.40568567506425157</v>
      </c>
      <c r="N162" s="120" t="str">
        <f t="shared" si="124"/>
        <v/>
      </c>
      <c r="O162" s="120">
        <f>IF(K162="","",IF(Control!$F$47="N",Control!$F$49,'FLS MP (driving)'!$J68))</f>
        <v>0.3</v>
      </c>
      <c r="P162" s="3" t="str">
        <f>IF(L162="","",IF(Control!$F$47="N",Control!$F$49,'FLS MP (driving)'!$J68))</f>
        <v/>
      </c>
      <c r="Q162" s="3">
        <f>IF(K162="","",Control!$F$46)</f>
        <v>0</v>
      </c>
      <c r="R162" s="3" t="str">
        <f>IF(L162="","",Control!$F$46)</f>
        <v/>
      </c>
      <c r="S162" s="3">
        <f t="shared" si="125"/>
        <v>0.70568567506425151</v>
      </c>
      <c r="T162" s="3" t="str">
        <f t="shared" si="126"/>
        <v/>
      </c>
      <c r="X162" s="37">
        <f>IF(OR(D162&gt;=$Z$13,D162&lt;=$Z$12,Geometry!AP33="n"),0,"X")</f>
        <v>0</v>
      </c>
      <c r="Y162" s="37">
        <f>IF(OR(D162&gt;=$Z$15,D162&lt;=$Z$12,Geometry!AQ33="n"),0,"X")</f>
        <v>0</v>
      </c>
      <c r="Z162" s="37">
        <f t="shared" si="127"/>
        <v>0</v>
      </c>
      <c r="AA162" s="37">
        <f t="shared" si="128"/>
        <v>0</v>
      </c>
      <c r="AB162" s="3">
        <f t="shared" si="129"/>
        <v>25.587073619647057</v>
      </c>
      <c r="AC162" s="120">
        <f t="shared" si="130"/>
        <v>25.587073619647057</v>
      </c>
      <c r="AD162" s="120">
        <f t="shared" si="131"/>
        <v>0.76893815629207973</v>
      </c>
      <c r="AE162" s="120">
        <f t="shared" si="132"/>
        <v>0.76893815629207973</v>
      </c>
      <c r="AF162" s="120">
        <f t="shared" si="133"/>
        <v>1</v>
      </c>
      <c r="AG162" s="120">
        <f t="shared" si="134"/>
        <v>1</v>
      </c>
      <c r="AH162" s="120">
        <f>IF(Control!$F$39&lt;&gt;"DNV",1,IF(D162&gt;Control!$F$16,IF(ISBLANK(Control!$F$56),1,Control!$F$56),IF(D162&gt;Control!$F$22,IF(ISBLANK(Control!$F$57),1,Control!$F$57),1)))</f>
        <v>1</v>
      </c>
      <c r="AI162" s="3">
        <f>IF(Control!$F$39&lt;&gt;"DNV",1,IF(D162&gt;Control!$F$18,IF(ISBLANK(Control!$F$56),1,Control!$F$56),IF(D162&gt;Control!$F$22,IF(ISBLANK(Control!$F$57),1,Control!$F$57),1)))</f>
        <v>1</v>
      </c>
    </row>
    <row r="163" spans="3:35">
      <c r="C163" s="12" t="str">
        <f t="shared" ref="C163:D163" si="139">C150</f>
        <v>MP13-01</v>
      </c>
      <c r="D163" s="13">
        <f t="shared" si="139"/>
        <v>-34.072499999999998</v>
      </c>
      <c r="E163" s="3">
        <f>IF(Geometry_loads!H70="-","-",Geometry_loads!H70*Control!$F$54)</f>
        <v>282365.67224086844</v>
      </c>
      <c r="F163" s="3">
        <f>IF(Geometry_loads!G70="-","-",Geometry_loads!G70*Control!$F$55)</f>
        <v>337578.25569676788</v>
      </c>
      <c r="G163" s="3">
        <f t="shared" si="117"/>
        <v>41.416194577350005</v>
      </c>
      <c r="H163" s="3">
        <f t="shared" si="118"/>
        <v>40.63013210884111</v>
      </c>
      <c r="I163" s="3" t="str">
        <f t="shared" si="119"/>
        <v>-</v>
      </c>
      <c r="J163" s="120" t="str">
        <f t="shared" si="120"/>
        <v>-</v>
      </c>
      <c r="K163" s="120">
        <f t="shared" si="121"/>
        <v>140</v>
      </c>
      <c r="L163" s="120" t="str">
        <f t="shared" si="122"/>
        <v/>
      </c>
      <c r="M163" s="120">
        <f t="shared" si="123"/>
        <v>0.50599454783055497</v>
      </c>
      <c r="N163" s="120" t="str">
        <f t="shared" si="124"/>
        <v/>
      </c>
      <c r="O163" s="120">
        <f>IF(K163="","",IF(Control!$F$47="N",Control!$F$49,'FLS MP (driving)'!$J69))</f>
        <v>0.3</v>
      </c>
      <c r="P163" s="3" t="str">
        <f>IF(L163="","",IF(Control!$F$47="N",Control!$F$49,'FLS MP (driving)'!$J69))</f>
        <v/>
      </c>
      <c r="Q163" s="3">
        <f>IF(K163="","",Control!$F$46)</f>
        <v>0</v>
      </c>
      <c r="R163" s="3" t="str">
        <f>IF(L163="","",Control!$F$46)</f>
        <v/>
      </c>
      <c r="S163" s="3">
        <f t="shared" si="125"/>
        <v>0.80599454783055502</v>
      </c>
      <c r="T163" s="3" t="str">
        <f t="shared" si="126"/>
        <v/>
      </c>
      <c r="X163" s="37">
        <f>IF(OR(D163&gt;=$Z$13,D163&lt;=$Z$12,Geometry!AP34="n"),0,"X")</f>
        <v>0</v>
      </c>
      <c r="Y163" s="37">
        <f>IF(OR(D163&gt;=$Z$15,D163&lt;=$Z$12,Geometry!AQ34="n"),0,"X")</f>
        <v>0</v>
      </c>
      <c r="Z163" s="37">
        <f t="shared" si="127"/>
        <v>0</v>
      </c>
      <c r="AA163" s="37">
        <f t="shared" si="128"/>
        <v>0</v>
      </c>
      <c r="AB163" s="3">
        <f t="shared" si="129"/>
        <v>33.407023704126708</v>
      </c>
      <c r="AC163" s="120">
        <f t="shared" si="130"/>
        <v>33.407023704126708</v>
      </c>
      <c r="AD163" s="120">
        <f t="shared" si="131"/>
        <v>0.87689118839915348</v>
      </c>
      <c r="AE163" s="120">
        <f t="shared" si="132"/>
        <v>0.87689118839915348</v>
      </c>
      <c r="AF163" s="120">
        <f t="shared" si="133"/>
        <v>1</v>
      </c>
      <c r="AG163" s="120">
        <f t="shared" si="134"/>
        <v>1</v>
      </c>
      <c r="AH163" s="120">
        <f>IF(Control!$F$39&lt;&gt;"DNV",1,IF(D163&gt;Control!$F$16,IF(ISBLANK(Control!$F$56),1,Control!$F$56),IF(D163&gt;Control!$F$22,IF(ISBLANK(Control!$F$57),1,Control!$F$57),1)))</f>
        <v>1</v>
      </c>
      <c r="AI163" s="3">
        <f>IF(Control!$F$39&lt;&gt;"DNV",1,IF(D163&gt;Control!$F$18,IF(ISBLANK(Control!$F$56),1,Control!$F$56),IF(D163&gt;Control!$F$22,IF(ISBLANK(Control!$F$57),1,Control!$F$57),1)))</f>
        <v>1</v>
      </c>
    </row>
    <row r="164" spans="3:35">
      <c r="C164" s="12" t="str">
        <f t="shared" ref="C164:D164" si="140">C151</f>
        <v>MP14-01</v>
      </c>
      <c r="D164" s="13">
        <f t="shared" si="140"/>
        <v>-40.43</v>
      </c>
      <c r="E164" s="3">
        <f>IF(Geometry_loads!H71="-","-",Geometry_loads!H71*Control!$F$54)</f>
        <v>307697.36658310983</v>
      </c>
      <c r="F164" s="3">
        <f>IF(Geometry_loads!G71="-","-",Geometry_loads!G71*Control!$F$55)</f>
        <v>369237.8421274139</v>
      </c>
      <c r="G164" s="3">
        <f t="shared" si="117"/>
        <v>41.263420281243093</v>
      </c>
      <c r="H164" s="3">
        <f t="shared" si="118"/>
        <v>40.404467450898849</v>
      </c>
      <c r="I164" s="3" t="str">
        <f t="shared" si="119"/>
        <v>-</v>
      </c>
      <c r="J164" s="120" t="str">
        <f t="shared" si="120"/>
        <v>-</v>
      </c>
      <c r="K164" s="120">
        <f t="shared" si="121"/>
        <v>140</v>
      </c>
      <c r="L164" s="120" t="str">
        <f t="shared" si="122"/>
        <v/>
      </c>
      <c r="M164" s="120">
        <f t="shared" si="123"/>
        <v>0.65682979443478184</v>
      </c>
      <c r="N164" s="120" t="str">
        <f t="shared" si="124"/>
        <v/>
      </c>
      <c r="O164" s="120">
        <f>IF(K164="","",IF(Control!$F$47="N",Control!$F$49,'FLS MP (driving)'!$J70))</f>
        <v>0.3</v>
      </c>
      <c r="P164" s="3" t="str">
        <f>IF(L164="","",IF(Control!$F$47="N",Control!$F$49,'FLS MP (driving)'!$J70))</f>
        <v/>
      </c>
      <c r="Q164" s="3">
        <f>IF(K164="","",Control!$F$46)</f>
        <v>0</v>
      </c>
      <c r="R164" s="3" t="str">
        <f>IF(L164="","",Control!$F$46)</f>
        <v/>
      </c>
      <c r="S164" s="3">
        <f t="shared" si="125"/>
        <v>0.95682979443478189</v>
      </c>
      <c r="T164" s="3" t="str">
        <f t="shared" si="126"/>
        <v/>
      </c>
      <c r="X164" s="37">
        <f>IF(OR(D164&gt;=$Z$13,D164&lt;=$Z$12,Geometry!AP35="n"),0,"X")</f>
        <v>0</v>
      </c>
      <c r="Y164" s="37">
        <f>IF(OR(D164&gt;=$Z$15,D164&lt;=$Z$12,Geometry!AQ35="n"),0,"X")</f>
        <v>0</v>
      </c>
      <c r="Z164" s="37">
        <f t="shared" si="127"/>
        <v>0</v>
      </c>
      <c r="AA164" s="37">
        <f t="shared" si="128"/>
        <v>0</v>
      </c>
      <c r="AB164" s="3">
        <f t="shared" si="129"/>
        <v>36.53882993656233</v>
      </c>
      <c r="AC164" s="120">
        <f t="shared" si="130"/>
        <v>36.53882993656233</v>
      </c>
      <c r="AD164" s="120">
        <f t="shared" si="131"/>
        <v>0.86882835024133964</v>
      </c>
      <c r="AE164" s="120">
        <f t="shared" si="132"/>
        <v>0.86882835024133964</v>
      </c>
      <c r="AF164" s="120">
        <f t="shared" si="133"/>
        <v>1</v>
      </c>
      <c r="AG164" s="120">
        <f t="shared" si="134"/>
        <v>1</v>
      </c>
      <c r="AH164" s="120">
        <f>IF(Control!$F$39&lt;&gt;"DNV",1,IF(D164&gt;Control!$F$16,IF(ISBLANK(Control!$F$56),1,Control!$F$56),IF(D164&gt;Control!$F$22,IF(ISBLANK(Control!$F$57),1,Control!$F$57),1)))</f>
        <v>1</v>
      </c>
      <c r="AI164" s="3">
        <f>IF(Control!$F$39&lt;&gt;"DNV",1,IF(D164&gt;Control!$F$18,IF(ISBLANK(Control!$F$56),1,Control!$F$56),IF(D164&gt;Control!$F$22,IF(ISBLANK(Control!$F$57),1,Control!$F$57),1)))</f>
        <v>1</v>
      </c>
    </row>
  </sheetData>
  <sheetProtection sheet="1" objects="1" scenarios="1"/>
  <mergeCells count="117">
    <mergeCell ref="V32:V33"/>
    <mergeCell ref="Z154:AA154"/>
    <mergeCell ref="E156:F156"/>
    <mergeCell ref="G156:J156"/>
    <mergeCell ref="K156:L156"/>
    <mergeCell ref="M156:T156"/>
    <mergeCell ref="X156:Y156"/>
    <mergeCell ref="Z113:AA113"/>
    <mergeCell ref="E88:F88"/>
    <mergeCell ref="G88:J88"/>
    <mergeCell ref="E61:F61"/>
    <mergeCell ref="G61:J61"/>
    <mergeCell ref="G86:H86"/>
    <mergeCell ref="I86:J86"/>
    <mergeCell ref="Z86:AA86"/>
    <mergeCell ref="M32:M33"/>
    <mergeCell ref="G59:H59"/>
    <mergeCell ref="I59:J59"/>
    <mergeCell ref="M58:T58"/>
    <mergeCell ref="Z59:AA59"/>
    <mergeCell ref="P32:P34"/>
    <mergeCell ref="Q32:Q33"/>
    <mergeCell ref="R32:R33"/>
    <mergeCell ref="L31:M31"/>
    <mergeCell ref="X154:Y154"/>
    <mergeCell ref="X86:Y86"/>
    <mergeCell ref="X59:Y59"/>
    <mergeCell ref="N32:N34"/>
    <mergeCell ref="M113:N113"/>
    <mergeCell ref="Q113:R113"/>
    <mergeCell ref="S113:T113"/>
    <mergeCell ref="X113:Y113"/>
    <mergeCell ref="M112:T112"/>
    <mergeCell ref="O113:P113"/>
    <mergeCell ref="X88:Y88"/>
    <mergeCell ref="Q154:R154"/>
    <mergeCell ref="O154:P154"/>
    <mergeCell ref="S59:T59"/>
    <mergeCell ref="K88:L88"/>
    <mergeCell ref="M88:T88"/>
    <mergeCell ref="K61:L61"/>
    <mergeCell ref="M61:T61"/>
    <mergeCell ref="M85:T85"/>
    <mergeCell ref="S86:T86"/>
    <mergeCell ref="S32:S33"/>
    <mergeCell ref="T32:T33"/>
    <mergeCell ref="U32:U33"/>
    <mergeCell ref="C154:C155"/>
    <mergeCell ref="D154:D155"/>
    <mergeCell ref="K154:L154"/>
    <mergeCell ref="M154:N154"/>
    <mergeCell ref="G154:H154"/>
    <mergeCell ref="I154:J154"/>
    <mergeCell ref="I141:I142"/>
    <mergeCell ref="M153:T153"/>
    <mergeCell ref="S154:T154"/>
    <mergeCell ref="H141:H142"/>
    <mergeCell ref="C141:C142"/>
    <mergeCell ref="D141:D142"/>
    <mergeCell ref="E141:E142"/>
    <mergeCell ref="F141:F142"/>
    <mergeCell ref="G141:G142"/>
    <mergeCell ref="C86:C87"/>
    <mergeCell ref="D86:D87"/>
    <mergeCell ref="K86:L86"/>
    <mergeCell ref="M86:N86"/>
    <mergeCell ref="Q86:R86"/>
    <mergeCell ref="O86:P86"/>
    <mergeCell ref="AJ59:AK59"/>
    <mergeCell ref="AJ86:AK86"/>
    <mergeCell ref="C59:C60"/>
    <mergeCell ref="D59:D60"/>
    <mergeCell ref="K59:L59"/>
    <mergeCell ref="M59:N59"/>
    <mergeCell ref="Q59:R59"/>
    <mergeCell ref="O59:P59"/>
    <mergeCell ref="AH154:AI154"/>
    <mergeCell ref="AD154:AG154"/>
    <mergeCell ref="AD86:AE86"/>
    <mergeCell ref="AD59:AE59"/>
    <mergeCell ref="AF113:AI113"/>
    <mergeCell ref="AJ113:AK113"/>
    <mergeCell ref="AB156:AC156"/>
    <mergeCell ref="AB155:AC155"/>
    <mergeCell ref="AF86:AI86"/>
    <mergeCell ref="AB61:AC61"/>
    <mergeCell ref="AB87:AC87"/>
    <mergeCell ref="AB88:AC88"/>
    <mergeCell ref="AD113:AE113"/>
    <mergeCell ref="AB114:AC114"/>
    <mergeCell ref="AB115:AC115"/>
    <mergeCell ref="AF59:AI59"/>
    <mergeCell ref="AB60:AC60"/>
    <mergeCell ref="C4:C5"/>
    <mergeCell ref="E115:F115"/>
    <mergeCell ref="G115:J115"/>
    <mergeCell ref="K115:L115"/>
    <mergeCell ref="X115:Y115"/>
    <mergeCell ref="M115:T115"/>
    <mergeCell ref="C113:C114"/>
    <mergeCell ref="D113:D114"/>
    <mergeCell ref="G113:H113"/>
    <mergeCell ref="I113:J113"/>
    <mergeCell ref="K113:L113"/>
    <mergeCell ref="X61:Y61"/>
    <mergeCell ref="G34:K34"/>
    <mergeCell ref="L34:M34"/>
    <mergeCell ref="C32:C33"/>
    <mergeCell ref="D32:D33"/>
    <mergeCell ref="E32:E33"/>
    <mergeCell ref="F32:F33"/>
    <mergeCell ref="G32:G33"/>
    <mergeCell ref="H32:H33"/>
    <mergeCell ref="I32:I33"/>
    <mergeCell ref="J32:J33"/>
    <mergeCell ref="K32:K33"/>
    <mergeCell ref="L32:L33"/>
  </mergeCells>
  <phoneticPr fontId="15" type="noConversion"/>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6BC5B-F596-4577-B3E5-8F8F1EF04108}">
  <sheetPr codeName="Tabelle13">
    <tabColor rgb="FF80C7C3"/>
  </sheetPr>
  <dimension ref="C1:AX36"/>
  <sheetViews>
    <sheetView workbookViewId="0"/>
  </sheetViews>
  <sheetFormatPr baseColWidth="10" defaultColWidth="10.5546875" defaultRowHeight="14.4"/>
  <cols>
    <col min="1" max="1" width="9.5546875" customWidth="1"/>
    <col min="2" max="2" width="3.5546875" bestFit="1" customWidth="1"/>
    <col min="3" max="4" width="9.5546875" customWidth="1"/>
    <col min="5" max="13" width="7" customWidth="1"/>
    <col min="14" max="15" width="7.44140625" customWidth="1"/>
    <col min="16" max="16" width="8.44140625" bestFit="1" customWidth="1"/>
    <col min="17" max="17" width="10.77734375" bestFit="1" customWidth="1"/>
    <col min="18" max="18" width="9.5546875" bestFit="1" customWidth="1"/>
    <col min="19" max="19" width="8.44140625" customWidth="1"/>
    <col min="20" max="20" width="8" bestFit="1" customWidth="1"/>
    <col min="21" max="21" width="7.44140625" customWidth="1"/>
    <col min="22" max="22" width="8.5546875" customWidth="1"/>
    <col min="23" max="23" width="10" bestFit="1" customWidth="1"/>
    <col min="24" max="26" width="4.5546875" bestFit="1" customWidth="1"/>
    <col min="27" max="27" width="6" bestFit="1" customWidth="1"/>
    <col min="29" max="29" width="10.77734375" bestFit="1" customWidth="1"/>
    <col min="38" max="38" width="9.44140625" bestFit="1" customWidth="1"/>
    <col min="40" max="40" width="9" bestFit="1" customWidth="1"/>
    <col min="41" max="41" width="8.5546875" bestFit="1" customWidth="1"/>
    <col min="42" max="42" width="8.5546875" customWidth="1"/>
    <col min="43" max="43" width="9" bestFit="1" customWidth="1"/>
    <col min="44" max="44" width="6.77734375" customWidth="1"/>
    <col min="45" max="45" width="10.44140625" customWidth="1"/>
    <col min="46" max="46" width="11.5546875" bestFit="1" customWidth="1"/>
    <col min="47" max="48" width="11.44140625" customWidth="1"/>
    <col min="49" max="49" width="17" customWidth="1"/>
    <col min="50" max="53" width="5" customWidth="1"/>
    <col min="54" max="54" width="5.5546875" customWidth="1"/>
    <col min="55" max="56" width="6.44140625" customWidth="1"/>
    <col min="57" max="57" width="5.5546875" customWidth="1"/>
    <col min="58" max="60" width="3.5546875" customWidth="1"/>
    <col min="61" max="64" width="3.44140625" customWidth="1"/>
    <col min="65" max="69" width="3.5546875" customWidth="1"/>
    <col min="70" max="71" width="3.44140625" customWidth="1"/>
    <col min="72" max="75" width="6.44140625" customWidth="1"/>
    <col min="76" max="83" width="6" customWidth="1"/>
    <col min="84" max="84" width="13.44140625" bestFit="1" customWidth="1"/>
  </cols>
  <sheetData>
    <row r="1" spans="3:34">
      <c r="P1" s="199" t="s">
        <v>589</v>
      </c>
      <c r="Q1" s="199"/>
      <c r="R1" s="199"/>
      <c r="S1" s="199"/>
      <c r="T1" s="32"/>
      <c r="U1" s="209" t="s">
        <v>590</v>
      </c>
      <c r="V1" s="209"/>
      <c r="W1" s="209"/>
      <c r="X1" s="209"/>
      <c r="Y1" s="209"/>
      <c r="Z1" s="32"/>
      <c r="AA1" s="209" t="s">
        <v>592</v>
      </c>
      <c r="AB1" s="209"/>
      <c r="AC1" s="209"/>
      <c r="AD1" s="209"/>
      <c r="AE1" s="11"/>
      <c r="AF1" s="11"/>
    </row>
    <row r="2" spans="3:34">
      <c r="P2" s="32" t="s">
        <v>137</v>
      </c>
      <c r="Q2" s="32"/>
      <c r="R2" s="210">
        <f>Control!$F$8</f>
        <v>-45.43</v>
      </c>
      <c r="S2" s="32" t="str">
        <f>"m"&amp;Control!$F$7</f>
        <v>mLAT</v>
      </c>
      <c r="T2" s="32"/>
      <c r="U2" s="32" t="s">
        <v>92</v>
      </c>
      <c r="V2" s="32"/>
      <c r="W2" s="210">
        <v>210000000</v>
      </c>
      <c r="X2" s="32" t="s">
        <v>93</v>
      </c>
      <c r="Y2" s="32"/>
      <c r="Z2" s="32"/>
      <c r="AA2" s="32" t="s">
        <v>593</v>
      </c>
      <c r="AB2" s="32"/>
      <c r="AC2" s="205" t="str">
        <f>Control!$F$30</f>
        <v>C</v>
      </c>
      <c r="AD2" s="32"/>
      <c r="AE2" s="11"/>
      <c r="AF2" s="11"/>
      <c r="AG2" s="40"/>
    </row>
    <row r="3" spans="3:34">
      <c r="C3" s="35" t="s">
        <v>468</v>
      </c>
      <c r="T3" s="32"/>
      <c r="U3" s="32" t="s">
        <v>143</v>
      </c>
      <c r="V3" s="32"/>
      <c r="W3" s="210">
        <f>Control!$F$11</f>
        <v>1.0249999999999999</v>
      </c>
      <c r="X3" s="32" t="s">
        <v>144</v>
      </c>
      <c r="Y3" s="32"/>
      <c r="Z3" s="32"/>
      <c r="AA3" s="32" t="s">
        <v>595</v>
      </c>
      <c r="AB3" s="32"/>
      <c r="AC3" s="32"/>
      <c r="AD3" s="32"/>
      <c r="AE3" s="11"/>
      <c r="AF3" s="11"/>
      <c r="AG3" s="40"/>
    </row>
    <row r="4" spans="3:34">
      <c r="C4" s="308" t="s">
        <v>0</v>
      </c>
      <c r="D4" s="12" t="s">
        <v>1</v>
      </c>
      <c r="E4" s="12" t="s">
        <v>2</v>
      </c>
      <c r="F4" s="12" t="s">
        <v>104</v>
      </c>
      <c r="G4" s="12" t="s">
        <v>103</v>
      </c>
      <c r="H4" s="12" t="s">
        <v>5</v>
      </c>
      <c r="I4" s="12" t="s">
        <v>6</v>
      </c>
      <c r="J4" s="12" t="s">
        <v>7</v>
      </c>
      <c r="K4" s="12" t="s">
        <v>8</v>
      </c>
      <c r="L4" s="20"/>
      <c r="P4" s="32" t="s">
        <v>199</v>
      </c>
      <c r="Q4" s="32"/>
      <c r="R4" s="205">
        <f>SUM(I6:I9)</f>
        <v>15.399999999999999</v>
      </c>
      <c r="S4" s="32" t="s">
        <v>91</v>
      </c>
      <c r="T4" s="32"/>
      <c r="U4" s="209" t="s">
        <v>591</v>
      </c>
      <c r="V4" s="209"/>
      <c r="W4" s="209"/>
      <c r="X4" s="209"/>
      <c r="Y4" s="209"/>
      <c r="Z4" s="32"/>
      <c r="AA4" s="32"/>
      <c r="AB4" s="32" t="s">
        <v>594</v>
      </c>
      <c r="AC4" s="210">
        <f>IF(AC2="A",40,IF(AC2="B",25,16))</f>
        <v>16</v>
      </c>
      <c r="AD4" s="32"/>
      <c r="AE4" s="11"/>
      <c r="AF4" s="11"/>
      <c r="AG4" s="40"/>
    </row>
    <row r="5" spans="3:34">
      <c r="C5" s="309"/>
      <c r="D5" s="12" t="str">
        <f>"[m"&amp;Control!$F$7&amp;"]"</f>
        <v>[mLAT]</v>
      </c>
      <c r="E5" s="12" t="str">
        <f>"[m"&amp;Control!$F$7&amp;"]"</f>
        <v>[mLAT]</v>
      </c>
      <c r="F5" s="12" t="s">
        <v>9</v>
      </c>
      <c r="G5" s="12" t="s">
        <v>9</v>
      </c>
      <c r="H5" s="12" t="s">
        <v>10</v>
      </c>
      <c r="I5" s="12" t="s">
        <v>9</v>
      </c>
      <c r="J5" s="12" t="s">
        <v>11</v>
      </c>
      <c r="K5" s="12" t="s">
        <v>12</v>
      </c>
      <c r="L5" s="20"/>
      <c r="P5" s="199" t="s">
        <v>548</v>
      </c>
      <c r="Q5" s="199"/>
      <c r="R5" s="199"/>
      <c r="S5" s="199"/>
      <c r="T5" s="32"/>
      <c r="U5" s="32" t="s">
        <v>139</v>
      </c>
      <c r="V5" s="32"/>
      <c r="W5" s="205">
        <f>Control!$F$71</f>
        <v>105</v>
      </c>
      <c r="X5" s="32" t="str">
        <f>"m"&amp;Control!$F$7</f>
        <v>mLAT</v>
      </c>
      <c r="Y5" s="32"/>
      <c r="Z5" s="32"/>
      <c r="AA5" s="32"/>
      <c r="AB5" s="32" t="s">
        <v>596</v>
      </c>
      <c r="AC5" s="210">
        <f>IF(AC2="A",0.75,IF(AC2="B",0.65,0.5))</f>
        <v>0.5</v>
      </c>
      <c r="AD5" s="32"/>
      <c r="AE5" s="11"/>
      <c r="AF5" s="11"/>
      <c r="AG5" s="40"/>
    </row>
    <row r="6" spans="3:34">
      <c r="C6" s="12">
        <v>1</v>
      </c>
      <c r="D6" s="44">
        <f>Geometry!D11</f>
        <v>20.9</v>
      </c>
      <c r="E6" s="44">
        <f>Geometry!E11</f>
        <v>17.5</v>
      </c>
      <c r="F6" s="44">
        <f>Geometry!F11</f>
        <v>7.5</v>
      </c>
      <c r="G6" s="44">
        <f>Geometry!G11</f>
        <v>7.5</v>
      </c>
      <c r="H6" s="44">
        <f>Geometry!H11</f>
        <v>85</v>
      </c>
      <c r="I6" s="56">
        <f>D6-E6</f>
        <v>3.3999999999999986</v>
      </c>
      <c r="J6" s="57">
        <f>ATAN((G6-F6)/(2*I6))/PI()*180</f>
        <v>0</v>
      </c>
      <c r="K6" s="58">
        <f>IF(J6=0,PI()/4*(F6^2-(F6-(2*H6/1000))^2)*I6*7850/1000,(I6*PI()/12)*((G6^2+G6*F6+F6^2)-((G6-2*(H6/1000))^2+(G6-(2*H6/1000))*(F6-(2*H6/1000))+(F6-(2*H6/1000))^2))*7850/1000)</f>
        <v>52.847996496995393</v>
      </c>
      <c r="L6" s="21"/>
      <c r="P6" s="32" t="str">
        <f>Control!$E$16</f>
        <v>External upper limit</v>
      </c>
      <c r="Q6" s="32"/>
      <c r="R6" s="205">
        <f>Control!$F$16</f>
        <v>8.1</v>
      </c>
      <c r="S6" s="32" t="str">
        <f>"m"&amp;Control!$F$7</f>
        <v>mLAT</v>
      </c>
      <c r="T6" s="32"/>
      <c r="U6" s="32" t="s">
        <v>140</v>
      </c>
      <c r="V6" s="32"/>
      <c r="W6" s="205">
        <f>Control!$F$72</f>
        <v>125</v>
      </c>
      <c r="X6" s="32" t="str">
        <f>"m"&amp;Control!$F$7</f>
        <v>mLAT</v>
      </c>
      <c r="Y6" s="32"/>
      <c r="Z6" s="32"/>
      <c r="AA6" s="32"/>
      <c r="AB6" s="32" t="s">
        <v>597</v>
      </c>
      <c r="AC6" s="210">
        <f>IF(AC2="A",0.75,IF(AC2="B",0.65,0.5))</f>
        <v>0.5</v>
      </c>
      <c r="AD6" s="32"/>
      <c r="AE6" s="11"/>
      <c r="AF6" s="11"/>
      <c r="AG6" s="29"/>
      <c r="AH6" s="29"/>
    </row>
    <row r="7" spans="3:34">
      <c r="C7" s="12">
        <v>2</v>
      </c>
      <c r="D7" s="44">
        <f>Geometry!D12</f>
        <v>17.5</v>
      </c>
      <c r="E7" s="44">
        <f>Geometry!E12</f>
        <v>13.5</v>
      </c>
      <c r="F7" s="44">
        <f>Geometry!F12</f>
        <v>7.5</v>
      </c>
      <c r="G7" s="44">
        <f>Geometry!G12</f>
        <v>7.5</v>
      </c>
      <c r="H7" s="44">
        <f>Geometry!H12</f>
        <v>85</v>
      </c>
      <c r="I7" s="56">
        <f t="shared" ref="I7:I9" si="0">D7-E7</f>
        <v>4</v>
      </c>
      <c r="J7" s="57">
        <f t="shared" ref="J7:J9" si="1">ATAN((G7-F7)/(2*I7))/PI()*180</f>
        <v>0</v>
      </c>
      <c r="K7" s="58">
        <f t="shared" ref="K7:K9" si="2">IF(J7=0,PI()/4*(F7^2-(F7-(2*H7/1000))^2)*I7*7850/1000,(I7*PI()/12)*((G7^2+G7*F7+F7^2)-((G7-2*(H7/1000))^2+(G7-(2*H7/1000))*(F7-(2*H7/1000))+(F7-(2*H7/1000))^2))*7850/1000)</f>
        <v>62.174113525876955</v>
      </c>
      <c r="P7" s="32" t="str">
        <f>Control!$E$17</f>
        <v xml:space="preserve">External lower limit </v>
      </c>
      <c r="Q7" s="32"/>
      <c r="R7" s="205">
        <f>Control!$F$17</f>
        <v>-3.4</v>
      </c>
      <c r="S7" s="32" t="str">
        <f>"m"&amp;Control!$F$7</f>
        <v>mLAT</v>
      </c>
      <c r="T7" s="32"/>
      <c r="U7" s="32" t="s">
        <v>141</v>
      </c>
      <c r="V7" s="32"/>
      <c r="W7" s="210">
        <f>(1.35*(W6-W5)*W3*9.81)/1000</f>
        <v>0.27149174999999998</v>
      </c>
      <c r="X7" s="32" t="s">
        <v>142</v>
      </c>
      <c r="Y7" s="32"/>
      <c r="Z7" s="32"/>
      <c r="AB7" s="32" t="s">
        <v>650</v>
      </c>
      <c r="AC7">
        <v>3</v>
      </c>
      <c r="AE7" s="212"/>
      <c r="AF7" s="11"/>
    </row>
    <row r="8" spans="3:34">
      <c r="C8" s="12">
        <v>3</v>
      </c>
      <c r="D8" s="44">
        <f>Geometry!D13</f>
        <v>13.5</v>
      </c>
      <c r="E8" s="44">
        <f>Geometry!E13</f>
        <v>9.5</v>
      </c>
      <c r="F8" s="44">
        <f>Geometry!F13</f>
        <v>7.5</v>
      </c>
      <c r="G8" s="44">
        <f>Geometry!G13</f>
        <v>7.5</v>
      </c>
      <c r="H8" s="44">
        <f>Geometry!H13</f>
        <v>92</v>
      </c>
      <c r="I8" s="56">
        <f t="shared" si="0"/>
        <v>4</v>
      </c>
      <c r="J8" s="57">
        <f t="shared" si="1"/>
        <v>0</v>
      </c>
      <c r="K8" s="58">
        <f t="shared" si="2"/>
        <v>67.23080660976909</v>
      </c>
      <c r="P8" s="32" t="str">
        <f>Control!$E$18</f>
        <v>Internal upper limit</v>
      </c>
      <c r="Q8" s="32"/>
      <c r="R8" s="205">
        <f>Control!$F$18</f>
        <v>3</v>
      </c>
      <c r="S8" s="32" t="str">
        <f>"m"&amp;Control!$F$7</f>
        <v>mLAT</v>
      </c>
      <c r="T8" s="32"/>
      <c r="U8" s="209" t="s">
        <v>552</v>
      </c>
      <c r="V8" s="209"/>
      <c r="W8" s="209"/>
      <c r="X8" s="209"/>
      <c r="Y8" s="209"/>
      <c r="Z8" s="32"/>
      <c r="AA8" s="206" t="s">
        <v>550</v>
      </c>
      <c r="AB8" s="209"/>
      <c r="AC8" s="209"/>
      <c r="AD8" s="209"/>
      <c r="AE8" s="11"/>
      <c r="AF8" s="11"/>
      <c r="AG8" s="40"/>
    </row>
    <row r="9" spans="3:34">
      <c r="C9" s="12">
        <v>4</v>
      </c>
      <c r="D9" s="44">
        <f>Geometry!D14</f>
        <v>9.5</v>
      </c>
      <c r="E9" s="44">
        <f>Geometry!E14</f>
        <v>5.5</v>
      </c>
      <c r="F9" s="44">
        <f>Geometry!F14</f>
        <v>7.5</v>
      </c>
      <c r="G9" s="44">
        <f>Geometry!G14</f>
        <v>7.5</v>
      </c>
      <c r="H9" s="44">
        <f>Geometry!H14</f>
        <v>100</v>
      </c>
      <c r="I9" s="56">
        <f t="shared" si="0"/>
        <v>4</v>
      </c>
      <c r="J9" s="57">
        <f t="shared" si="1"/>
        <v>0</v>
      </c>
      <c r="K9" s="58">
        <f t="shared" si="2"/>
        <v>72.998046898812447</v>
      </c>
      <c r="P9" s="32" t="str">
        <f>Control!$E$19</f>
        <v>Internal lower limit</v>
      </c>
      <c r="Q9" s="32"/>
      <c r="R9" s="205">
        <f>Control!$F$19</f>
        <v>-0.6</v>
      </c>
      <c r="S9" s="32" t="str">
        <f>"m"&amp;Control!$F$7</f>
        <v>mLAT</v>
      </c>
      <c r="T9" s="32"/>
      <c r="U9" s="32" t="s">
        <v>95</v>
      </c>
      <c r="V9" s="32"/>
      <c r="W9" s="205">
        <f>Control!$F$29</f>
        <v>1.1000000000000001</v>
      </c>
      <c r="X9" s="32"/>
      <c r="Y9" s="32"/>
      <c r="Z9" s="32"/>
      <c r="AA9" s="49" t="str">
        <f>Control!$E$12</f>
        <v xml:space="preserve">Corrosion allowance rate outside </v>
      </c>
      <c r="AB9" s="32"/>
      <c r="AC9" s="205">
        <f>Control!$F$12</f>
        <v>0.3</v>
      </c>
      <c r="AD9" s="32" t="s">
        <v>598</v>
      </c>
      <c r="AE9" s="11"/>
      <c r="AF9" s="11"/>
      <c r="AG9" s="40"/>
    </row>
    <row r="10" spans="3:34">
      <c r="P10" s="202" t="s">
        <v>127</v>
      </c>
      <c r="Q10" s="202"/>
      <c r="R10" s="203" t="s">
        <v>133</v>
      </c>
      <c r="S10" s="203"/>
      <c r="T10" s="32"/>
      <c r="U10" s="32" t="s">
        <v>96</v>
      </c>
      <c r="V10" s="32"/>
      <c r="W10" s="205">
        <f>Control!$F$28</f>
        <v>1</v>
      </c>
      <c r="X10" s="32"/>
      <c r="Y10" s="32"/>
      <c r="Z10" s="32"/>
      <c r="AA10" s="49" t="str">
        <f>Control!$E$13</f>
        <v xml:space="preserve">Corrosion allowance rate inside </v>
      </c>
      <c r="AB10" s="32"/>
      <c r="AC10" s="205">
        <f>Control!$F$13</f>
        <v>0.15</v>
      </c>
      <c r="AD10" s="32" t="s">
        <v>598</v>
      </c>
      <c r="AE10" s="11"/>
      <c r="AF10" s="11"/>
      <c r="AG10" s="40"/>
    </row>
    <row r="11" spans="3:34">
      <c r="P11" s="201" t="s">
        <v>130</v>
      </c>
      <c r="Q11" s="214">
        <f>Control!$F$23</f>
        <v>-15</v>
      </c>
      <c r="R11" s="214">
        <f>Q11+Q13</f>
        <v>-25</v>
      </c>
      <c r="S11" s="32" t="s">
        <v>167</v>
      </c>
      <c r="T11" s="32"/>
      <c r="U11" s="32"/>
      <c r="V11" s="32"/>
      <c r="W11" s="32"/>
      <c r="X11" s="32"/>
      <c r="Y11" s="32"/>
      <c r="Z11" s="32"/>
      <c r="AA11" s="32" t="s">
        <v>43</v>
      </c>
      <c r="AB11" s="32"/>
      <c r="AC11" s="205">
        <f>'FLS TP'!AF24</f>
        <v>12</v>
      </c>
      <c r="AD11" s="32" t="s">
        <v>276</v>
      </c>
      <c r="AE11" s="213"/>
      <c r="AF11" s="213"/>
      <c r="AG11" s="211"/>
    </row>
    <row r="12" spans="3:34">
      <c r="P12" s="201" t="s">
        <v>131</v>
      </c>
      <c r="Q12" s="214">
        <f>Control!$F$24</f>
        <v>-5</v>
      </c>
      <c r="R12" s="214">
        <f>Q12+Q13</f>
        <v>-15</v>
      </c>
      <c r="S12" s="32" t="s">
        <v>167</v>
      </c>
      <c r="T12" s="32"/>
      <c r="U12" s="32"/>
      <c r="V12" s="32"/>
      <c r="W12" s="32"/>
      <c r="X12" s="32"/>
      <c r="Y12" s="32"/>
      <c r="Z12" s="32"/>
      <c r="AA12" s="32"/>
      <c r="AB12" s="32"/>
      <c r="AC12" s="32"/>
      <c r="AD12" s="32"/>
      <c r="AE12" s="11"/>
      <c r="AF12" s="11"/>
    </row>
    <row r="13" spans="3:34">
      <c r="P13" s="201" t="s">
        <v>128</v>
      </c>
      <c r="Q13" s="214">
        <f>Control!$F$25</f>
        <v>-10</v>
      </c>
      <c r="R13" s="214"/>
      <c r="S13" s="32" t="s">
        <v>167</v>
      </c>
      <c r="T13" s="32"/>
      <c r="U13" s="32"/>
      <c r="V13" s="32"/>
      <c r="W13" s="32"/>
      <c r="X13" s="32"/>
      <c r="Y13" s="32"/>
      <c r="Z13" s="32"/>
      <c r="AA13" s="32"/>
      <c r="AB13" s="205"/>
      <c r="AC13" s="32"/>
      <c r="AD13" s="32"/>
      <c r="AE13" s="11"/>
      <c r="AF13" s="11"/>
    </row>
    <row r="14" spans="3:34">
      <c r="P14" s="201" t="s">
        <v>608</v>
      </c>
      <c r="Q14" s="201"/>
      <c r="R14" s="214">
        <f>Control!$F$22</f>
        <v>0</v>
      </c>
      <c r="S14" s="32" t="str">
        <f>"m"&amp;Control!$F$7</f>
        <v>mLAT</v>
      </c>
      <c r="T14" s="32"/>
      <c r="U14" s="32"/>
      <c r="V14" s="32"/>
      <c r="W14" s="32"/>
      <c r="X14" s="32"/>
      <c r="Y14" s="32"/>
      <c r="Z14" s="32"/>
      <c r="AA14" s="32"/>
      <c r="AB14" s="32"/>
      <c r="AC14" s="32"/>
      <c r="AD14" s="32"/>
      <c r="AE14" s="11"/>
      <c r="AF14" s="11"/>
    </row>
    <row r="20" spans="3:50">
      <c r="C20" s="35" t="s">
        <v>224</v>
      </c>
      <c r="I20" s="19"/>
      <c r="J20" s="19"/>
    </row>
    <row r="21" spans="3:50" ht="15" customHeight="1">
      <c r="C21" s="317" t="s">
        <v>225</v>
      </c>
      <c r="D21" s="317" t="s">
        <v>53</v>
      </c>
      <c r="E21" s="317" t="s">
        <v>105</v>
      </c>
      <c r="F21" s="317" t="s">
        <v>101</v>
      </c>
      <c r="G21" s="329" t="s">
        <v>98</v>
      </c>
      <c r="H21" s="329" t="s">
        <v>269</v>
      </c>
      <c r="I21" s="330" t="s">
        <v>102</v>
      </c>
      <c r="J21" s="317" t="s">
        <v>100</v>
      </c>
      <c r="K21" s="329" t="s">
        <v>94</v>
      </c>
      <c r="L21" s="329" t="s">
        <v>216</v>
      </c>
      <c r="M21" s="332" t="s">
        <v>217</v>
      </c>
      <c r="N21" s="317" t="s">
        <v>106</v>
      </c>
      <c r="O21" s="317" t="s">
        <v>107</v>
      </c>
      <c r="P21" s="317" t="s">
        <v>136</v>
      </c>
      <c r="Q21" s="317" t="s">
        <v>290</v>
      </c>
      <c r="R21" s="317" t="s">
        <v>108</v>
      </c>
      <c r="T21" s="317" t="s">
        <v>73</v>
      </c>
      <c r="U21" s="317" t="s">
        <v>78</v>
      </c>
      <c r="V21" s="317" t="s">
        <v>79</v>
      </c>
      <c r="W21" s="317" t="s">
        <v>80</v>
      </c>
      <c r="X21" s="317" t="s">
        <v>84</v>
      </c>
      <c r="Y21" s="317" t="s">
        <v>85</v>
      </c>
      <c r="Z21" s="317" t="s">
        <v>86</v>
      </c>
      <c r="AA21" s="317" t="s">
        <v>87</v>
      </c>
      <c r="AB21" s="317" t="s">
        <v>605</v>
      </c>
      <c r="AC21" s="317" t="s">
        <v>579</v>
      </c>
      <c r="AD21" s="317" t="s">
        <v>580</v>
      </c>
      <c r="AE21" s="328" t="s">
        <v>582</v>
      </c>
      <c r="AF21" s="317" t="s">
        <v>581</v>
      </c>
      <c r="AG21" s="328" t="s">
        <v>583</v>
      </c>
      <c r="AH21" s="328" t="s">
        <v>584</v>
      </c>
      <c r="AI21" s="317" t="s">
        <v>587</v>
      </c>
      <c r="AJ21" s="328" t="s">
        <v>588</v>
      </c>
      <c r="AK21" s="328" t="s">
        <v>585</v>
      </c>
      <c r="AL21" s="328" t="s">
        <v>586</v>
      </c>
      <c r="AM21" s="317" t="s">
        <v>97</v>
      </c>
      <c r="AN21" s="317" t="s">
        <v>205</v>
      </c>
      <c r="AO21" s="317" t="s">
        <v>206</v>
      </c>
      <c r="AP21" s="317" t="s">
        <v>599</v>
      </c>
      <c r="AQ21" s="317" t="s">
        <v>600</v>
      </c>
      <c r="AR21" s="317" t="s">
        <v>601</v>
      </c>
      <c r="AS21" s="317" t="s">
        <v>602</v>
      </c>
      <c r="AT21" s="317" t="s">
        <v>603</v>
      </c>
      <c r="AU21" s="317" t="s">
        <v>147</v>
      </c>
      <c r="AV21" s="317" t="s">
        <v>145</v>
      </c>
      <c r="AW21" s="317" t="s">
        <v>146</v>
      </c>
      <c r="AX21" s="317" t="s">
        <v>604</v>
      </c>
    </row>
    <row r="22" spans="3:50" ht="18.75" customHeight="1">
      <c r="C22" s="318">
        <v>0</v>
      </c>
      <c r="D22" s="318">
        <v>0</v>
      </c>
      <c r="E22" s="318"/>
      <c r="F22" s="318"/>
      <c r="G22" s="318"/>
      <c r="H22" s="318"/>
      <c r="I22" s="331"/>
      <c r="J22" s="318"/>
      <c r="K22" s="318"/>
      <c r="L22" s="318"/>
      <c r="M22" s="312"/>
      <c r="N22" s="318"/>
      <c r="O22" s="318"/>
      <c r="P22" s="318"/>
      <c r="Q22" s="318"/>
      <c r="R22" s="318"/>
      <c r="T22" s="318"/>
      <c r="U22" s="318"/>
      <c r="V22" s="318"/>
      <c r="W22" s="318"/>
      <c r="X22" s="318"/>
      <c r="Y22" s="318"/>
      <c r="Z22" s="318"/>
      <c r="AA22" s="318"/>
      <c r="AB22" s="318"/>
      <c r="AC22" s="318"/>
      <c r="AD22" s="318"/>
      <c r="AE22" s="318"/>
      <c r="AF22" s="318"/>
      <c r="AG22" s="318"/>
      <c r="AH22" s="318"/>
      <c r="AI22" s="318"/>
      <c r="AJ22" s="333"/>
      <c r="AK22" s="318"/>
      <c r="AL22" s="318"/>
      <c r="AM22" s="318"/>
      <c r="AN22" s="318"/>
      <c r="AO22" s="318"/>
      <c r="AP22" s="318"/>
      <c r="AQ22" s="318"/>
      <c r="AR22" s="318"/>
      <c r="AS22" s="318"/>
      <c r="AT22" s="318"/>
      <c r="AU22" s="318"/>
      <c r="AV22" s="318"/>
      <c r="AW22" s="318"/>
      <c r="AX22" s="318"/>
    </row>
    <row r="23" spans="3:50">
      <c r="C23" s="30" t="s">
        <v>16</v>
      </c>
      <c r="D23" s="30" t="str">
        <f>"[m"&amp;Control!$F$7&amp;"]"</f>
        <v>[mLAT]</v>
      </c>
      <c r="E23" s="30" t="s">
        <v>9</v>
      </c>
      <c r="F23" s="34" t="s">
        <v>10</v>
      </c>
      <c r="G23" s="34" t="s">
        <v>77</v>
      </c>
      <c r="H23" s="34" t="s">
        <v>77</v>
      </c>
      <c r="I23" s="34" t="s">
        <v>77</v>
      </c>
      <c r="J23" s="34" t="s">
        <v>77</v>
      </c>
      <c r="K23" s="34" t="s">
        <v>77</v>
      </c>
      <c r="L23" s="34" t="s">
        <v>77</v>
      </c>
      <c r="M23" s="30" t="s">
        <v>77</v>
      </c>
      <c r="N23" s="30" t="s">
        <v>16</v>
      </c>
      <c r="O23" s="30" t="s">
        <v>16</v>
      </c>
      <c r="P23" s="30" t="s">
        <v>16</v>
      </c>
      <c r="Q23" s="30" t="s">
        <v>10</v>
      </c>
      <c r="R23" s="30" t="s">
        <v>16</v>
      </c>
      <c r="T23" s="34" t="s">
        <v>81</v>
      </c>
      <c r="U23" s="34" t="s">
        <v>82</v>
      </c>
      <c r="V23" s="34" t="s">
        <v>83</v>
      </c>
      <c r="W23" s="34" t="s">
        <v>81</v>
      </c>
      <c r="X23" s="34" t="s">
        <v>88</v>
      </c>
      <c r="Y23" s="34" t="s">
        <v>88</v>
      </c>
      <c r="Z23" s="34" t="s">
        <v>89</v>
      </c>
      <c r="AA23" s="34" t="s">
        <v>90</v>
      </c>
      <c r="AB23" s="34" t="s">
        <v>573</v>
      </c>
      <c r="AC23" s="34" t="s">
        <v>10</v>
      </c>
      <c r="AD23" s="34" t="s">
        <v>16</v>
      </c>
      <c r="AE23" s="34" t="s">
        <v>16</v>
      </c>
      <c r="AF23" s="34" t="s">
        <v>16</v>
      </c>
      <c r="AG23" s="34" t="s">
        <v>16</v>
      </c>
      <c r="AH23" s="34" t="s">
        <v>16</v>
      </c>
      <c r="AI23" s="34" t="s">
        <v>16</v>
      </c>
      <c r="AJ23" s="34" t="s">
        <v>16</v>
      </c>
      <c r="AK23" s="34" t="s">
        <v>16</v>
      </c>
      <c r="AL23" s="34" t="s">
        <v>16</v>
      </c>
      <c r="AM23" s="34" t="s">
        <v>16</v>
      </c>
      <c r="AN23" s="34" t="s">
        <v>11</v>
      </c>
      <c r="AO23" s="34" t="s">
        <v>11</v>
      </c>
      <c r="AP23" s="30" t="s">
        <v>77</v>
      </c>
      <c r="AQ23" s="30" t="s">
        <v>77</v>
      </c>
      <c r="AR23" s="30" t="s">
        <v>77</v>
      </c>
      <c r="AS23" s="34" t="s">
        <v>16</v>
      </c>
      <c r="AT23" s="30" t="s">
        <v>77</v>
      </c>
      <c r="AU23" s="34" t="s">
        <v>16</v>
      </c>
      <c r="AV23" s="34" t="s">
        <v>16</v>
      </c>
      <c r="AW23" s="34" t="s">
        <v>16</v>
      </c>
      <c r="AX23" s="34" t="s">
        <v>16</v>
      </c>
    </row>
    <row r="24" spans="3:50" ht="14.85" customHeight="1">
      <c r="C24" s="12" t="str">
        <f>"Can"&amp;TEXT(C6,"0")</f>
        <v>Can1</v>
      </c>
      <c r="D24" s="2">
        <f>D6</f>
        <v>20.9</v>
      </c>
      <c r="E24" s="3">
        <f>F6</f>
        <v>7.5</v>
      </c>
      <c r="F24" s="120">
        <f>H6</f>
        <v>85</v>
      </c>
      <c r="G24" s="120">
        <f>ABS(T24/(2*PI()*AB24*AC24))+ABS(V24/(PI()*(AB24^2)*AC24))</f>
        <v>148.8151514368364</v>
      </c>
      <c r="H24" s="120">
        <f>ABS(W24/(PI()*AB24*AC24))+ABS(U24/(2*PI()*(AB24^2)*AC24))</f>
        <v>10.863549557857896</v>
      </c>
      <c r="I24" s="120">
        <f>IF(OR(D24&lt;$R$2,D24&gt;$W$6),0,IF(D24&lt;=$W$5,$W$7*AB24/(AC24/1000),$W$7*AB24/(AC24/1000)*($W$6-D24)/($W$6-$W$5)))</f>
        <v>11.84183133088235</v>
      </c>
      <c r="J24" s="120">
        <f>VLOOKUP(R24,'Steel grades'!$B$5:$J$22,IF(F24&gt;200,10,IF(F24&gt;150,9,IF(F24&gt;120,8,IF(F24&gt;100,7,IF(F24&gt;80,6,IF(F24&gt;63,5,IF(F24&gt;40,4,IF(F24&gt;16,3,2)))))))),FALSE)</f>
        <v>315</v>
      </c>
      <c r="K24" s="3">
        <f>AH24*J24/$W$9*AM24</f>
        <v>235.34168471321036</v>
      </c>
      <c r="L24" s="3">
        <f>AK24*J24/$W$9</f>
        <v>91.740592813793825</v>
      </c>
      <c r="M24" s="3">
        <f>AL24*J24/$W$9/SQRT(3)</f>
        <v>149.63644570734661</v>
      </c>
      <c r="N24" s="3">
        <f>MAX(G24/K24,H24/M24,I24/L24,(G24/K24)^(1.25+0.75*AH24)-(AH24*AK24)^2*(G24/K24)*(I24/L24)+(I24/L24)^(1.25+0.75*AK24)+(H24/M24)^(1.75+0.25*AL24),AS24,AX24)</f>
        <v>0.63233656042780517</v>
      </c>
      <c r="O24" s="3">
        <f>MAX(SQRT(G24^2+I24^2-IF(G24&gt;0,-G24,G24)*I24+3*H24^2)/(J24/$W$10),AU24)</f>
        <v>0.4959139905049445</v>
      </c>
      <c r="P24" s="3">
        <f>(ABS(Geometry_loads!S7)/Z24+ABS(Geometry_loads!T7)/AA24)/(1000*J24)</f>
        <v>0.35893146601530074</v>
      </c>
      <c r="Q24" s="22">
        <f>IF(D24&gt;=$R$14,IF(P24&gt;0.75,"Redesign",IF(P24&lt;0.5,VLOOKUP(R24,'Steel grades'!$B$5:$AB$22,27,FALSE),(VLOOKUP(R24,'Steel grades'!$B$5:$AB$22,27,FALSE)-VLOOKUP(R24,'Steel grades'!$B$5:$AB$22,25,FALSE))/(0.5-0.75)*(P24-0.75)+VLOOKUP(R24,'Steel grades'!$B$5:$AB$22,25,FALSE))),IF(D24&lt;$R$2,IF(P24&gt;0.75,"Redesign",IF(P24&lt;0.5,VLOOKUP(R24,'Steel grades'!$B$5:$AB$22,18,FALSE),(VLOOKUP(R24,'Steel grades'!$B$5:$AB$22,18,FALSE)-VLOOKUP(R24,'Steel grades'!$B$5:$AB$22,11,FALSE))/(0.5-0.75)*(P24-0.75)+VLOOKUP(R24,'Steel grades'!$B$5:$AB$22,11,FALSE))),IF(P24&gt;0.75,"Redesign",IF(P24&lt;0.5,VLOOKUP(R24,'Steel grades'!$B$5:$AB$22,26,FALSE),(VLOOKUP(R24,'Steel grades'!$B$5:$AB$22,26,FALSE)-VLOOKUP(R24,'Steel grades'!$B$5:$AB$22,24,FALSE))/(0.5-0.75)*(P24-0.75)+VLOOKUP(R24,'Steel grades'!$B$5:$AB$22,24,FALSE)))))</f>
        <v>122.5</v>
      </c>
      <c r="R24" s="3" t="str">
        <f>Geometry!M11</f>
        <v>S355 NL/ML</v>
      </c>
      <c r="T24" s="3">
        <f>Geometry_loads!L7</f>
        <v>-22572.85</v>
      </c>
      <c r="U24" s="3">
        <f>Geometry_loads!M7</f>
        <v>-46307.77</v>
      </c>
      <c r="V24" s="3">
        <f>Geometry_loads!N7</f>
        <v>504389</v>
      </c>
      <c r="W24" s="3">
        <f>Geometry_loads!O7</f>
        <v>4510.1319999999996</v>
      </c>
      <c r="X24" s="3">
        <f t="shared" ref="X24" si="3">IF(OR(D24&gt;=$R$6,D24&lt;=$R$7),0,$AC$9*$AC$11)</f>
        <v>0</v>
      </c>
      <c r="Y24" s="3">
        <f t="shared" ref="Y24" si="4">IF(OR(D24&gt;=$R$8,D24&lt;=$R$9),0,$AC$10*$AC$11)</f>
        <v>0</v>
      </c>
      <c r="Z24" s="18">
        <f>PI()/4*((E24-2*X24/1000)^2-((E24-2*X24/1000)-2*(F24-X24-Y24)/1000)^2)</f>
        <v>1.9800673097413044</v>
      </c>
      <c r="AA24" s="224">
        <f>PI()/32*((E24-2*X24/1000)^4-((E24-2*X24/1000)-2*(F24-X24-Y24)/1000)^4)/(E24-2*X24/1000)</f>
        <v>3.6294270775218025</v>
      </c>
      <c r="AB24" s="224">
        <f>(0.5*E24-(X24/1000))-(0.5*(AC24/1000))</f>
        <v>3.7075</v>
      </c>
      <c r="AC24" s="120">
        <f>F24-X24-Y24</f>
        <v>85</v>
      </c>
      <c r="AD24" s="224">
        <f>$R$4/SQRT(AB24*AC24/1000)</f>
        <v>27.432834164661493</v>
      </c>
      <c r="AE24" s="224">
        <f>(J24/((0.605*$W$2*IF(AD24&gt;0.5*(AB24)/(AC24/1000),MAX(0.6,1+0.2/$AC$7*(1-2*AD24*(AC24/1000)/(AB24))),IF(AD24&lt;=1.7,1.36-(1.83/AD24)+(2.07/AD24^2),1)))*((AC24/1000)/(AB24)/1000)))^0.5</f>
        <v>0.33171467478334488</v>
      </c>
      <c r="AF24" s="224">
        <f>0.62/(1+1.91*((((AB24)/(AC24/1000))^0.5*(AC24/1000)/$AC$4)/(AC24/1000))^1.44)</f>
        <v>0.40413447109215073</v>
      </c>
      <c r="AG24" s="224">
        <f>IF(AND((AB24)/(AC24/1000)&lt;=150,AD24&lt;=6*(AB24)/(AC24/1000),$W$2/(J24*1000)&lt;=1000,500&lt;=$W$2/(J24*1000)),0.2+0.1*(ABS(V24/(PI()*(AB24^2)*AC24))/G24),0.2)</f>
        <v>0.29233946164721419</v>
      </c>
      <c r="AH24" s="224">
        <f>IF(AE24&lt;=AG24,1,IF(AE24&gt;=(AF24/(1-0.6))^0.5,AF24/(AE24^2),1-0.6*((AE24-(AG24))/((AF24/(1-0.6))^0.5-AG24))))</f>
        <v>0.96685659452672801</v>
      </c>
      <c r="AI24" s="224">
        <f>IF(AD24/1.25&gt;1.63*((AB24)/(AC24/1000)),$W$2/1000*(AC24/(AB24*1000))^2*(0.275+2.03*(1.25/AD24*AB24*1000/AC24)^4),IF(AD24/1.25&lt;20,0.92*$W$2/1000*((1.25+(8/AD24^2)-(4/AD24^3))/AD24)*((AC24/1000)/(AB24)),0.92*$W$2/1000*(1.25/AD24)*((AC24/1000)/(AB24))))</f>
        <v>201.82930419034639</v>
      </c>
      <c r="AJ24" s="224">
        <f>SQRT(J24/AI24)</f>
        <v>1.2492897173737534</v>
      </c>
      <c r="AK24" s="224">
        <f>IF(AJ24&lt;0.4,1,IF(AJ24&lt;SQRT($AC$5/(1-0.6)),1-0.6*((AJ24-0.4)/(SQRT($AC$5/(1-0.6))-0.4)^1),$AC$5/AJ24^2))</f>
        <v>0.32036397490531177</v>
      </c>
      <c r="AL24" s="224">
        <f>IF(((J24/SQRT(3)/(0.75*$W$2*(IF(AD24&lt;10,SQRT(1+42/(AD24^3)),IF(AD24&gt;8.7*(AB24)/(AC24/1000),(1/3)*SQRT(AD24*(AC24/1000)/(AB24)),1)))*(1/AD24)^0.5*((AC24/1000)/(AB24))/1000))^0.5)&lt;=0.4,1,IF(((J24/SQRT(3)/(0.75*$W$2*(IF(AD24&lt;10,SQRT(1+42/(AD24^3)),IF(AD24&gt;8.7*(AB24)/(AC24/1000),(1/3)*SQRT(AD24*(AC24/1000)/(AB24)),1)))*(1/AD24)^0.5*((AC24/1000)/(AB24))/1000))^0.5)&gt;=($AC$6/(1-0.6))^0.5,$AC$6/(((J24/SQRT(3)/(0.75*$W$2*(IF(AD24&lt;10,SQRT(1+42/(AD24^3)),IF(AD24&gt;8.7*(AB24)/(AC24/1000),(1/3)*SQRT(AD24*(AC24/1000)/(AB24)),1)))*(1/AD24)^0.5*((AC24/1000)/(AB24))/1000))^0.5)^2),1-0.6*((((J24/SQRT(3)/(0.75*$W$2*(IF(AD24&lt;10,SQRT(1+42/(AD24^3)),IF(AD24&gt;8.7*(AB24)/(AC24/1000),(1/3)*SQRT(AD24*(AC24/1000)/(AB24)),1)))*(1/AD24)^0.5*((AC24/1000)/(AB24))/1000))^0.5)-(0.4))/(($AC$6/(1-0.6))^0.5-0.4))))</f>
        <v>0.90506577553035172</v>
      </c>
      <c r="AM24" s="224">
        <f>IF(_xlfn.MINIFS(Geometry!$AJ$11:$AJ$20,Geometry!$AI$11:$AI$20,"o",Geometry!$AK$11:$AK$20,C6)&lt;=0,1,_xlfn.MINIFS(Geometry!$AJ$11:$AJ$20,Geometry!$AI$11:$AI$20,"o",Geometry!$AK$11:$AK$20,C6))</f>
        <v>0.85</v>
      </c>
      <c r="AN24" s="224">
        <f>IF(NOT(ISNUMBER(D23)),0,ABS(J5-J6))</f>
        <v>0</v>
      </c>
      <c r="AO24" s="224">
        <f>MAX(AN24,J6)</f>
        <v>0</v>
      </c>
      <c r="AP24" s="224">
        <f>((ABS(T24/(PI()*((E24-2*X24/1000)-((AC24))/1000*COS(AO24*PI()/180))*(AC24)/1000))/1000)+ABS((4*V24)/(PI()*((E24-X24/1000)-((F24-X24-Y24)/1000)*COS(AO24*PI()/180))^2*((AC24)/1000))/1000))/COS(AO24*PI()/180)</f>
        <v>148.8151514368364</v>
      </c>
      <c r="AQ24" s="224">
        <f>((0.6*(F24-X24-Y24)*((E24*1000-2*X24)*(2*(AC24)))^0.5)/((AC24)^2))*(G24*TAN(AN24*PI()/180))</f>
        <v>0</v>
      </c>
      <c r="AR24" s="224">
        <f>IF(AN24=0,0,0.45*((E24*1000-2*X24)/(AC24))^0.5*G24*TAN(AN24*PI()/180)+I24)</f>
        <v>0</v>
      </c>
      <c r="AS24" s="224">
        <f>IF(AO24=0,0,1.18*AP24/IF(J24/(2*0.3*$W$2/1000*(AC24)/1000/(E24-2*X24/1000))&lt;=0.17,J24,(1.047-0.274*(J24/(2*0.3*$W$2/1000*(AC24)/1000/(E24-2*X24/1000))))*J24))</f>
        <v>0</v>
      </c>
      <c r="AT24" s="224">
        <f>IF(AN24=0,0,MAX(G24+AQ24,AP24+AQ24))</f>
        <v>0</v>
      </c>
      <c r="AU24" s="224">
        <f>(AT24^2+AR24^2+AR24*AT24)^0.5/(J24/$W$10)</f>
        <v>0</v>
      </c>
      <c r="AV24" s="224">
        <f>1.1*AT24/J24</f>
        <v>0</v>
      </c>
      <c r="AW24" s="224">
        <f>1.25*AR24/IF(0.4*$W$2/1000*(AC24)/1000/(E24-2*X24/1000)/J24&gt;2.44,J24,IF(0.4*$W$2/1000*(AC24)/1000/(E24-2*X24/1000)/J24&lt;=0.55,0.4*$W$2/1000*(AC24)/1000/(E24-2*X24/1000),MIN(0.7*(0.4*$W$2/1000*(AC24)/1000/(E24-2*X24/1000)/J24)^0.4*J24,J24)))</f>
        <v>0</v>
      </c>
      <c r="AX24" s="224">
        <f>MAX(AV24^2+AW24^(2*(5-4*(IF(0.4*$W$2/1000*(AC24)/1000/(E24-2*(X24/1000))/J24&gt;2.44,J24,IF(0.4*$W$2/1000*(AC24)/1000/(E24-2*(X24/1000))/J24&lt;=0.55,0.4*$W$2/1000*(AC24)/1000/(E24-2*(X24/1000)),MIN(0.7*(0.4*$W$2/1000*(AC24)/1000/(E24-2*(X24/1000))/J24)^0.4*J24,J24)))/J24)))+2*0.3*AV24*AW24,AW24,AT24/(IF(J24/(2*0.3*$W$2/1000*(AC24)/1000/(E24-2*(X24/1000)))&lt;=0.17,J24,(1.047-0.274*(J24/(2*0.3*$W$2/1000*(AC24)/1000/(E24-2*(X24/1000)))))*J24)/1.18))</f>
        <v>0</v>
      </c>
    </row>
    <row r="25" spans="3:50" ht="14.85" customHeight="1">
      <c r="C25" s="12" t="str">
        <f t="shared" ref="C25:C27" si="5">"Can"&amp;TEXT(C7,"0")</f>
        <v>Can2</v>
      </c>
      <c r="D25" s="2">
        <f t="shared" ref="D25:D27" si="6">D7</f>
        <v>17.5</v>
      </c>
      <c r="E25" s="3">
        <f t="shared" ref="E25:E27" si="7">F7</f>
        <v>7.5</v>
      </c>
      <c r="F25" s="120">
        <f t="shared" ref="F25:F27" si="8">H7</f>
        <v>85</v>
      </c>
      <c r="G25" s="120">
        <f t="shared" ref="G25:G27" si="9">ABS(T25/(2*PI()*AB25*AC25))+ABS(V25/(PI()*(AB25^2)*AC25))</f>
        <v>153.76940580447649</v>
      </c>
      <c r="H25" s="120">
        <f t="shared" ref="H25:H27" si="10">ABS(W25/(PI()*AB25*AC25))+ABS(U25/(2*PI()*(AB25^2)*AC25))</f>
        <v>10.976332052324413</v>
      </c>
      <c r="I25" s="120">
        <f t="shared" ref="I25:I27" si="11">IF(OR(D25&lt;$R$2,D25&gt;$W$6),0,IF(D25&lt;=$W$5,$W$7*AB25/(AC25/1000),$W$7*AB25/(AC25/1000)*($W$6-D25)/($W$6-$W$5)))</f>
        <v>11.84183133088235</v>
      </c>
      <c r="J25" s="120">
        <f>VLOOKUP(R25,'Steel grades'!$B$5:$J$22,IF(F25&gt;200,10,IF(F25&gt;150,9,IF(F25&gt;120,8,IF(F25&gt;100,7,IF(F25&gt;80,6,IF(F25&gt;63,5,IF(F25&gt;40,4,IF(F25&gt;16,3,2)))))))),FALSE)</f>
        <v>315</v>
      </c>
      <c r="K25" s="3">
        <f t="shared" ref="K25:K27" si="12">AH25*J25/$W$9*AM25</f>
        <v>276.83019315080423</v>
      </c>
      <c r="L25" s="3">
        <f t="shared" ref="L25:L27" si="13">AK25*J25/$W$9</f>
        <v>91.740592813793825</v>
      </c>
      <c r="M25" s="3">
        <f t="shared" ref="M25:M27" si="14">AL25*J25/$W$9/SQRT(3)</f>
        <v>149.63644570734661</v>
      </c>
      <c r="N25" s="3">
        <f t="shared" ref="N25:N27" si="15">MAX(G25/K25,H25/M25,I25/L25,(G25/K25)^(1.25+0.75*AH25)-(AH25*AK25)^2*(G25/K25)*(I25/L25)+(I25/L25)^(1.25+0.75*AK25)+(H25/M25)^(1.75+0.25*AL25),AS25,AX25)</f>
        <v>0.55546472028327509</v>
      </c>
      <c r="O25" s="3">
        <f t="shared" ref="O25:O27" si="16">MAX(SQRT(G25^2+I25^2-IF(G25&gt;0,-G25,G25)*I25+3*H25^2)/(J25/$W$10),AU25)</f>
        <v>0.51157043438634364</v>
      </c>
      <c r="P25" s="3">
        <f>(ABS(Geometry_loads!S8)/Z25+ABS(Geometry_loads!T8)/AA25)/(1000*J25)</f>
        <v>0.3708662947226376</v>
      </c>
      <c r="Q25" s="22">
        <f>IF(D25&gt;=$R$14,IF(P25&gt;0.75,"Redesign",IF(P25&lt;0.5,VLOOKUP(R25,'Steel grades'!$B$5:$AB$22,27,FALSE),(VLOOKUP(R25,'Steel grades'!$B$5:$AB$22,27,FALSE)-VLOOKUP(R25,'Steel grades'!$B$5:$AB$22,25,FALSE))/(0.5-0.75)*(P25-0.75)+VLOOKUP(R25,'Steel grades'!$B$5:$AB$22,25,FALSE))),IF(D25&lt;$R$2,IF(P25&gt;0.75,"Redesign",IF(P25&lt;0.5,VLOOKUP(R25,'Steel grades'!$B$5:$AB$22,18,FALSE),(VLOOKUP(R25,'Steel grades'!$B$5:$AB$22,18,FALSE)-VLOOKUP(R25,'Steel grades'!$B$5:$AB$22,11,FALSE))/(0.5-0.75)*(P25-0.75)+VLOOKUP(R25,'Steel grades'!$B$5:$AB$22,11,FALSE))),IF(P25&gt;0.75,"Redesign",IF(P25&lt;0.5,VLOOKUP(R25,'Steel grades'!$B$5:$AB$22,26,FALSE),(VLOOKUP(R25,'Steel grades'!$B$5:$AB$22,26,FALSE)-VLOOKUP(R25,'Steel grades'!$B$5:$AB$22,24,FALSE))/(0.5-0.75)*(P25-0.75)+VLOOKUP(R25,'Steel grades'!$B$5:$AB$22,24,FALSE)))))</f>
        <v>122.5</v>
      </c>
      <c r="R25" s="3" t="str">
        <f>Geometry!M12</f>
        <v>S355 NL/ML</v>
      </c>
      <c r="T25" s="3">
        <f>Geometry_loads!L8</f>
        <v>-23891.065789473683</v>
      </c>
      <c r="U25" s="3">
        <f>Geometry_loads!M8</f>
        <v>-46316.797894736839</v>
      </c>
      <c r="V25" s="3">
        <f>Geometry_loads!N8</f>
        <v>520130.19473684207</v>
      </c>
      <c r="W25" s="3">
        <f>Geometry_loads!O8</f>
        <v>4620.5729473684205</v>
      </c>
      <c r="X25" s="3">
        <f t="shared" ref="X25:X27" si="17">IF(OR(D25&gt;=$R$6,D25&lt;=$R$7),0,$AC$9*$AC$11)</f>
        <v>0</v>
      </c>
      <c r="Y25" s="3">
        <f t="shared" ref="Y25:Y27" si="18">IF(OR(D25&gt;=$R$8,D25&lt;=$R$9),0,$AC$10*$AC$11)</f>
        <v>0</v>
      </c>
      <c r="Z25" s="18">
        <f t="shared" ref="Z25:Z27" si="19">PI()/4*((E25-2*X25/1000)^2-((E25-2*X25/1000)-2*(F25-X25-Y25)/1000)^2)</f>
        <v>1.9800673097413044</v>
      </c>
      <c r="AA25" s="224">
        <f t="shared" ref="AA25:AA27" si="20">PI()/32*((E25-2*X25/1000)^4-((E25-2*X25/1000)-2*(F25-X25-Y25)/1000)^4)/(E25-2*X25/1000)</f>
        <v>3.6294270775218025</v>
      </c>
      <c r="AB25" s="224">
        <f t="shared" ref="AB25:AB27" si="21">(0.5*E25-(X25/1000))-(0.5*(AC25/1000))</f>
        <v>3.7075</v>
      </c>
      <c r="AC25" s="120">
        <f t="shared" ref="AC25:AC27" si="22">F25-X25-Y25</f>
        <v>85</v>
      </c>
      <c r="AD25" s="224">
        <f t="shared" ref="AD25:AD27" si="23">$R$4/SQRT(AB25*AC25/1000)</f>
        <v>27.432834164661493</v>
      </c>
      <c r="AE25" s="224">
        <f t="shared" ref="AE25:AE27" si="24">(J25/((0.605*$W$2*IF(AD25&gt;0.5*(AB25)/(AC25/1000),MAX(0.6,1+0.2/$AC$7*(1-2*AD25*(AC25/1000)/(AB25))),IF(AD25&lt;=1.7,1.36-(1.83/AD25)+(2.07/AD25^2),1)))*((AC25/1000)/(AB25)/1000)))^0.5</f>
        <v>0.33171467478334488</v>
      </c>
      <c r="AF25" s="224">
        <f t="shared" ref="AF25:AF27" si="25">0.62/(1+1.91*((((AB25)/(AC25/1000))^0.5*(AC25/1000)/$AC$4)/(AC25/1000))^1.44)</f>
        <v>0.40413447109215073</v>
      </c>
      <c r="AG25" s="224">
        <f t="shared" ref="AG25:AG27" si="26">IF(AND((AB25)/(AC25/1000)&lt;=150,AD25&lt;=6*(AB25)/(AC25/1000),$W$2/(J25*1000)&lt;=1000,500&lt;=$W$2/(J25*1000)),0.2+0.1*(ABS(V25/(PI()*(AB25^2)*AC25))/G25),0.2)</f>
        <v>0.29215332555531459</v>
      </c>
      <c r="AH25" s="224">
        <f t="shared" ref="AH25:AH27" si="27">IF(AE25&lt;=AG25,1,IF(AE25&gt;=(AF25/(1-0.6))^0.5,AF25/(AE25^2),1-0.6*((AE25-(AG25))/((AF25/(1-0.6))^0.5-AG25))))</f>
        <v>0.96670861100280847</v>
      </c>
      <c r="AI25" s="224">
        <f t="shared" ref="AI25:AI27" si="28">IF(AD25/1.25&gt;1.63*((AB25)/(AC25/1000)),$W$2/1000*(AC25/(AB25*1000))^2*(0.275+2.03*(1.25/AD25*AB25*1000/AC25)^4),IF(AD25/1.25&lt;20,0.92*$W$2/1000*((1.25+(8/AD25^2)-(4/AD25^3))/AD25)*((AC25/1000)/(AB25)),0.92*$W$2/1000*(1.25/AD25)*((AC25/1000)/(AB25))))</f>
        <v>201.82930419034639</v>
      </c>
      <c r="AJ25" s="224">
        <f t="shared" ref="AJ25:AJ27" si="29">SQRT(J25/AI25)</f>
        <v>1.2492897173737534</v>
      </c>
      <c r="AK25" s="224">
        <f t="shared" ref="AK25:AK27" si="30">IF(AJ25&lt;0.4,1,IF(AJ25&lt;SQRT($AC$5/(1-0.6)),1-0.6*((AJ25-0.4)/(SQRT($AC$5/(1-0.6))-0.4)^1),$AC$5/AJ25^2))</f>
        <v>0.32036397490531177</v>
      </c>
      <c r="AL25" s="224">
        <f t="shared" ref="AL25:AL27" si="31">IF(((J25/SQRT(3)/(0.75*$W$2*(IF(AD25&lt;10,SQRT(1+42/(AD25^3)),IF(AD25&gt;8.7*(AB25)/(AC25/1000),(1/3)*SQRT(AD25*(AC25/1000)/(AB25)),1)))*(1/AD25)^0.5*((AC25/1000)/(AB25))/1000))^0.5)&lt;=0.4,1,IF(((J25/SQRT(3)/(0.75*$W$2*(IF(AD25&lt;10,SQRT(1+42/(AD25^3)),IF(AD25&gt;8.7*(AB25)/(AC25/1000),(1/3)*SQRT(AD25*(AC25/1000)/(AB25)),1)))*(1/AD25)^0.5*((AC25/1000)/(AB25))/1000))^0.5)&gt;=($AC$6/(1-0.6))^0.5,$AC$6/(((J25/SQRT(3)/(0.75*$W$2*(IF(AD25&lt;10,SQRT(1+42/(AD25^3)),IF(AD25&gt;8.7*(AB25)/(AC25/1000),(1/3)*SQRT(AD25*(AC25/1000)/(AB25)),1)))*(1/AD25)^0.5*((AC25/1000)/(AB25))/1000))^0.5)^2),1-0.6*((((J25/SQRT(3)/(0.75*$W$2*(IF(AD25&lt;10,SQRT(1+42/(AD25^3)),IF(AD25&gt;8.7*(AB25)/(AC25/1000),(1/3)*SQRT(AD25*(AC25/1000)/(AB25)),1)))*(1/AD25)^0.5*((AC25/1000)/(AB25))/1000))^0.5)-(0.4))/(($AC$6/(1-0.6))^0.5-0.4))))</f>
        <v>0.90506577553035172</v>
      </c>
      <c r="AM25" s="224">
        <f>IF(_xlfn.MINIFS(Geometry!$AJ$11:$AJ$20,Geometry!$AI$11:$AI$20,"o",Geometry!$AK$11:$AK$20,C7)&lt;=0,1,_xlfn.MINIFS(Geometry!$AJ$11:$AJ$20,Geometry!$AI$11:$AI$20,"o",Geometry!$AK$11:$AK$20,C7))</f>
        <v>1</v>
      </c>
      <c r="AN25" s="224">
        <f t="shared" ref="AN25:AN27" si="32">IF(NOT(ISNUMBER(D24)),0,ABS(J6-J7))</f>
        <v>0</v>
      </c>
      <c r="AO25" s="224">
        <f t="shared" ref="AO25:AO27" si="33">MAX(AN25,J7)</f>
        <v>0</v>
      </c>
      <c r="AP25" s="224">
        <f t="shared" ref="AP25:AP27" si="34">((ABS(T25/(PI()*((E25-2*X25/1000)-((AC25))/1000*COS(AO25*PI()/180))*(AC25)/1000))/1000)+ABS((4*V25)/(PI()*((E25-X25/1000)-((F25-X25-Y25)/1000)*COS(AO25*PI()/180))^2*((AC25)/1000))/1000))/COS(AO25*PI()/180)</f>
        <v>153.76940580447646</v>
      </c>
      <c r="AQ25" s="224">
        <f t="shared" ref="AQ25:AQ27" si="35">((0.6*(F25-X25-Y25)*((E25*1000-2*X25)*(2*(AC25)))^0.5)/((AC25)^2))*(G25*TAN(AN25*PI()/180))</f>
        <v>0</v>
      </c>
      <c r="AR25" s="224">
        <f t="shared" ref="AR25:AR27" si="36">IF(AN25=0,0,0.45*((E25*1000-2*X25)/(AC25))^0.5*G25*TAN(AN25*PI()/180)+I25)</f>
        <v>0</v>
      </c>
      <c r="AS25" s="224">
        <f t="shared" ref="AS25:AS27" si="37">IF(AO25=0,0,1.18*AP25/IF(J25/(2*0.3*$W$2/1000*(AC25)/1000/(E25-2*X25/1000))&lt;=0.17,J25,(1.047-0.274*(J25/(2*0.3*$W$2/1000*(AC25)/1000/(E25-2*X25/1000))))*J25))</f>
        <v>0</v>
      </c>
      <c r="AT25" s="224">
        <f t="shared" ref="AT25:AT27" si="38">IF(AN25=0,0,MAX(G25+AQ25,AP25+AQ25))</f>
        <v>0</v>
      </c>
      <c r="AU25" s="224">
        <f t="shared" ref="AU25:AU27" si="39">(AT25^2+AR25^2+AR25*AT25)^0.5/(J25/$W$10)</f>
        <v>0</v>
      </c>
      <c r="AV25" s="224">
        <f t="shared" ref="AV25:AV27" si="40">1.1*AT25/J25</f>
        <v>0</v>
      </c>
      <c r="AW25" s="224">
        <f t="shared" ref="AW25:AW27" si="41">1.25*AR25/IF(0.4*$W$2/1000*(AC25)/1000/(E25-2*X25/1000)/J25&gt;2.44,J25,IF(0.4*$W$2/1000*(AC25)/1000/(E25-2*X25/1000)/J25&lt;=0.55,0.4*$W$2/1000*(AC25)/1000/(E25-2*X25/1000),MIN(0.7*(0.4*$W$2/1000*(AC25)/1000/(E25-2*X25/1000)/J25)^0.4*J25,J25)))</f>
        <v>0</v>
      </c>
      <c r="AX25" s="224">
        <f t="shared" ref="AX25:AX27" si="42">MAX(AV25^2+AW25^(2*(5-4*(IF(0.4*$W$2/1000*(AC25)/1000/(E25-2*(X25/1000))/J25&gt;2.44,J25,IF(0.4*$W$2/1000*(AC25)/1000/(E25-2*(X25/1000))/J25&lt;=0.55,0.4*$W$2/1000*(AC25)/1000/(E25-2*(X25/1000)),MIN(0.7*(0.4*$W$2/1000*(AC25)/1000/(E25-2*(X25/1000))/J25)^0.4*J25,J25)))/J25)))+2*0.3*AV25*AW25,AW25,AT25/(IF(J25/(2*0.3*$W$2/1000*(AC25)/1000/(E25-2*(X25/1000)))&lt;=0.17,J25,(1.047-0.274*(J25/(2*0.3*$W$2/1000*(AC25)/1000/(E25-2*(X25/1000)))))*J25)/1.18))</f>
        <v>0</v>
      </c>
    </row>
    <row r="26" spans="3:50" ht="14.85" customHeight="1">
      <c r="C26" s="12" t="str">
        <f t="shared" si="5"/>
        <v>Can3</v>
      </c>
      <c r="D26" s="2">
        <f t="shared" si="6"/>
        <v>13.5</v>
      </c>
      <c r="E26" s="3">
        <f t="shared" si="7"/>
        <v>7.5</v>
      </c>
      <c r="F26" s="120">
        <f t="shared" si="8"/>
        <v>92</v>
      </c>
      <c r="G26" s="120">
        <f t="shared" si="9"/>
        <v>147.60362655855565</v>
      </c>
      <c r="H26" s="120">
        <f t="shared" si="10"/>
        <v>10.41574067021001</v>
      </c>
      <c r="I26" s="120">
        <f t="shared" si="11"/>
        <v>10.930493934782609</v>
      </c>
      <c r="J26" s="120">
        <f>VLOOKUP(R26,'Steel grades'!$B$5:$J$22,IF(F26&gt;200,10,IF(F26&gt;150,9,IF(F26&gt;120,8,IF(F26&gt;100,7,IF(F26&gt;80,6,IF(F26&gt;63,5,IF(F26&gt;40,4,IF(F26&gt;16,3,2)))))))),FALSE)</f>
        <v>315</v>
      </c>
      <c r="K26" s="3">
        <f t="shared" si="12"/>
        <v>237.92799935069311</v>
      </c>
      <c r="L26" s="3">
        <f t="shared" si="13"/>
        <v>103.35226182622161</v>
      </c>
      <c r="M26" s="3">
        <f t="shared" si="14"/>
        <v>153.084585373967</v>
      </c>
      <c r="N26" s="3">
        <f t="shared" si="15"/>
        <v>0.62037098181536765</v>
      </c>
      <c r="O26" s="3">
        <f t="shared" si="16"/>
        <v>0.49021824806090708</v>
      </c>
      <c r="P26" s="3">
        <f>(ABS(Geometry_loads!S9)/Z26+ABS(Geometry_loads!T9)/AA26)/(1000*J26)</f>
        <v>0.35629007875666413</v>
      </c>
      <c r="Q26" s="22">
        <f>IF(D26&gt;=$R$14,IF(P26&gt;0.75,"Redesign",IF(P26&lt;0.5,VLOOKUP(R26,'Steel grades'!$B$5:$AB$22,27,FALSE),(VLOOKUP(R26,'Steel grades'!$B$5:$AB$22,27,FALSE)-VLOOKUP(R26,'Steel grades'!$B$5:$AB$22,25,FALSE))/(0.5-0.75)*(P26-0.75)+VLOOKUP(R26,'Steel grades'!$B$5:$AB$22,25,FALSE))),IF(D26&lt;$R$2,IF(P26&gt;0.75,"Redesign",IF(P26&lt;0.5,VLOOKUP(R26,'Steel grades'!$B$5:$AB$22,18,FALSE),(VLOOKUP(R26,'Steel grades'!$B$5:$AB$22,18,FALSE)-VLOOKUP(R26,'Steel grades'!$B$5:$AB$22,11,FALSE))/(0.5-0.75)*(P26-0.75)+VLOOKUP(R26,'Steel grades'!$B$5:$AB$22,11,FALSE))),IF(P26&gt;0.75,"Redesign",IF(P26&lt;0.5,VLOOKUP(R26,'Steel grades'!$B$5:$AB$22,26,FALSE),(VLOOKUP(R26,'Steel grades'!$B$5:$AB$22,26,FALSE)-VLOOKUP(R26,'Steel grades'!$B$5:$AB$22,24,FALSE))/(0.5-0.75)*(P26-0.75)+VLOOKUP(R26,'Steel grades'!$B$5:$AB$22,24,FALSE)))))</f>
        <v>122.5</v>
      </c>
      <c r="R26" s="3" t="str">
        <f>Geometry!M13</f>
        <v>S355 NL/ML</v>
      </c>
      <c r="T26" s="3">
        <f>Geometry_loads!L9</f>
        <v>-24865.362307692307</v>
      </c>
      <c r="U26" s="3">
        <f>Geometry_loads!M9</f>
        <v>-46326.979999999996</v>
      </c>
      <c r="V26" s="3">
        <f>Geometry_loads!N9</f>
        <v>539246.86923076923</v>
      </c>
      <c r="W26" s="3">
        <f>Geometry_loads!O9</f>
        <v>4896.973384615384</v>
      </c>
      <c r="X26" s="3">
        <f t="shared" si="17"/>
        <v>0</v>
      </c>
      <c r="Y26" s="3">
        <f t="shared" si="18"/>
        <v>0</v>
      </c>
      <c r="Z26" s="18">
        <f t="shared" si="19"/>
        <v>2.1411084907569773</v>
      </c>
      <c r="AA26" s="224">
        <f t="shared" si="20"/>
        <v>3.9172955857455634</v>
      </c>
      <c r="AB26" s="224">
        <f t="shared" si="21"/>
        <v>3.7040000000000002</v>
      </c>
      <c r="AC26" s="120">
        <f t="shared" si="22"/>
        <v>92</v>
      </c>
      <c r="AD26" s="224">
        <f t="shared" si="23"/>
        <v>26.381003902219291</v>
      </c>
      <c r="AE26" s="224">
        <f t="shared" si="24"/>
        <v>0.31926527950032607</v>
      </c>
      <c r="AF26" s="224">
        <f t="shared" si="25"/>
        <v>0.4121748987910524</v>
      </c>
      <c r="AG26" s="224">
        <f t="shared" si="26"/>
        <v>0.29213209531860418</v>
      </c>
      <c r="AH26" s="224">
        <f t="shared" si="27"/>
        <v>0.97748197679089621</v>
      </c>
      <c r="AI26" s="224">
        <f t="shared" si="28"/>
        <v>227.37497601768752</v>
      </c>
      <c r="AJ26" s="224">
        <f t="shared" si="29"/>
        <v>1.1770202745326726</v>
      </c>
      <c r="AK26" s="224">
        <f t="shared" si="30"/>
        <v>0.36091266034553576</v>
      </c>
      <c r="AL26" s="224">
        <f t="shared" si="31"/>
        <v>0.92592161173225052</v>
      </c>
      <c r="AM26" s="224">
        <f>IF(_xlfn.MINIFS(Geometry!$AJ$11:$AJ$20,Geometry!$AI$11:$AI$20,"o",Geometry!$AK$11:$AK$20,C8)&lt;=0,1,_xlfn.MINIFS(Geometry!$AJ$11:$AJ$20,Geometry!$AI$11:$AI$20,"o",Geometry!$AK$11:$AK$20,C8))</f>
        <v>0.85</v>
      </c>
      <c r="AN26" s="224">
        <f t="shared" si="32"/>
        <v>0</v>
      </c>
      <c r="AO26" s="224">
        <f t="shared" si="33"/>
        <v>0</v>
      </c>
      <c r="AP26" s="224">
        <f t="shared" si="34"/>
        <v>147.60362655855565</v>
      </c>
      <c r="AQ26" s="224">
        <f t="shared" si="35"/>
        <v>0</v>
      </c>
      <c r="AR26" s="224">
        <f t="shared" si="36"/>
        <v>0</v>
      </c>
      <c r="AS26" s="224">
        <f t="shared" si="37"/>
        <v>0</v>
      </c>
      <c r="AT26" s="224">
        <f t="shared" si="38"/>
        <v>0</v>
      </c>
      <c r="AU26" s="224">
        <f t="shared" si="39"/>
        <v>0</v>
      </c>
      <c r="AV26" s="224">
        <f t="shared" si="40"/>
        <v>0</v>
      </c>
      <c r="AW26" s="224">
        <f t="shared" si="41"/>
        <v>0</v>
      </c>
      <c r="AX26" s="224">
        <f t="shared" si="42"/>
        <v>0</v>
      </c>
    </row>
    <row r="27" spans="3:50" ht="14.85" customHeight="1">
      <c r="C27" s="12" t="str">
        <f t="shared" si="5"/>
        <v>Can4</v>
      </c>
      <c r="D27" s="2">
        <f t="shared" si="6"/>
        <v>9.5</v>
      </c>
      <c r="E27" s="3">
        <f t="shared" si="7"/>
        <v>7.5</v>
      </c>
      <c r="F27" s="120">
        <f t="shared" si="8"/>
        <v>100</v>
      </c>
      <c r="G27" s="120">
        <f t="shared" si="9"/>
        <v>140.94755134798675</v>
      </c>
      <c r="H27" s="120">
        <f t="shared" si="10"/>
        <v>15.493419785657055</v>
      </c>
      <c r="I27" s="120">
        <f t="shared" si="11"/>
        <v>10.045194749999999</v>
      </c>
      <c r="J27" s="120">
        <f>VLOOKUP(R27,'Steel grades'!$B$5:$J$22,IF(F27&gt;200,10,IF(F27&gt;150,9,IF(F27&gt;120,8,IF(F27&gt;100,7,IF(F27&gt;80,6,IF(F27&gt;63,5,IF(F27&gt;40,4,IF(F27&gt;16,3,2)))))))),FALSE)</f>
        <v>315</v>
      </c>
      <c r="K27" s="3">
        <f t="shared" si="12"/>
        <v>282.96043769218215</v>
      </c>
      <c r="L27" s="3">
        <f t="shared" si="13"/>
        <v>117.57592261310351</v>
      </c>
      <c r="M27" s="3">
        <f t="shared" si="14"/>
        <v>156.53858352644625</v>
      </c>
      <c r="N27" s="3">
        <f t="shared" si="15"/>
        <v>0.49811751952870603</v>
      </c>
      <c r="O27" s="3">
        <f t="shared" si="16"/>
        <v>0.47197180972980712</v>
      </c>
      <c r="P27" s="3">
        <f>(ABS(Geometry_loads!S10)/Z27+ABS(Geometry_loads!T10)/AA27)/(1000*J27)</f>
        <v>0.34055240588557029</v>
      </c>
      <c r="Q27" s="22">
        <f>IF(D27&gt;=$R$14,IF(P27&gt;0.75,"Redesign",IF(P27&lt;0.5,VLOOKUP(R27,'Steel grades'!$B$5:$AB$22,27,FALSE),(VLOOKUP(R27,'Steel grades'!$B$5:$AB$22,27,FALSE)-VLOOKUP(R27,'Steel grades'!$B$5:$AB$22,25,FALSE))/(0.5-0.75)*(P27-0.75)+VLOOKUP(R27,'Steel grades'!$B$5:$AB$22,25,FALSE))),IF(D27&lt;$R$2,IF(P27&gt;0.75,"Redesign",IF(P27&lt;0.5,VLOOKUP(R27,'Steel grades'!$B$5:$AB$22,18,FALSE),(VLOOKUP(R27,'Steel grades'!$B$5:$AB$22,18,FALSE)-VLOOKUP(R27,'Steel grades'!$B$5:$AB$22,11,FALSE))/(0.5-0.75)*(P27-0.75)+VLOOKUP(R27,'Steel grades'!$B$5:$AB$22,11,FALSE))),IF(P27&gt;0.75,"Redesign",IF(P27&lt;0.5,VLOOKUP(R27,'Steel grades'!$B$5:$AB$22,26,FALSE),(VLOOKUP(R27,'Steel grades'!$B$5:$AB$22,26,FALSE)-VLOOKUP(R27,'Steel grades'!$B$5:$AB$22,24,FALSE))/(0.5-0.75)*(P27-0.75)+VLOOKUP(R27,'Steel grades'!$B$5:$AB$22,24,FALSE)))))</f>
        <v>122.5</v>
      </c>
      <c r="R27" s="3" t="str">
        <f>Geometry!M14</f>
        <v>S355 NL/ML</v>
      </c>
      <c r="T27" s="3">
        <f>Geometry_loads!L10</f>
        <v>-25729.462051282051</v>
      </c>
      <c r="U27" s="3">
        <f>Geometry_loads!M10</f>
        <v>-46336.420769230768</v>
      </c>
      <c r="V27" s="3">
        <f>Geometry_loads!N10</f>
        <v>558593.41025641025</v>
      </c>
      <c r="W27" s="3">
        <f>Geometry_loads!O10</f>
        <v>11747.70661538461</v>
      </c>
      <c r="X27" s="3">
        <f t="shared" si="17"/>
        <v>0</v>
      </c>
      <c r="Y27" s="3">
        <f t="shared" si="18"/>
        <v>0</v>
      </c>
      <c r="Z27" s="18">
        <f t="shared" si="19"/>
        <v>2.3247785636564475</v>
      </c>
      <c r="AA27" s="224">
        <f t="shared" si="20"/>
        <v>4.2442707310487888</v>
      </c>
      <c r="AB27" s="224">
        <f t="shared" si="21"/>
        <v>3.7</v>
      </c>
      <c r="AC27" s="120">
        <f t="shared" si="22"/>
        <v>100</v>
      </c>
      <c r="AD27" s="224">
        <f t="shared" si="23"/>
        <v>25.317444045025024</v>
      </c>
      <c r="AE27" s="224">
        <f t="shared" si="24"/>
        <v>0.30666920236346579</v>
      </c>
      <c r="AF27" s="224">
        <f t="shared" si="25"/>
        <v>0.42049098550361969</v>
      </c>
      <c r="AG27" s="224">
        <f t="shared" si="26"/>
        <v>0.29214779592221973</v>
      </c>
      <c r="AH27" s="224">
        <f t="shared" si="27"/>
        <v>0.98811581416317584</v>
      </c>
      <c r="AI27" s="224">
        <f t="shared" si="28"/>
        <v>257.80750281976486</v>
      </c>
      <c r="AJ27" s="224">
        <f t="shared" si="29"/>
        <v>1.1053695602745908</v>
      </c>
      <c r="AK27" s="224">
        <f t="shared" si="30"/>
        <v>0.41058258690290117</v>
      </c>
      <c r="AL27" s="224">
        <f t="shared" si="31"/>
        <v>0.94681288258392471</v>
      </c>
      <c r="AM27" s="224">
        <f>IF(_xlfn.MINIFS(Geometry!$AJ$11:$AJ$20,Geometry!$AI$11:$AI$20,"o",Geometry!$AK$11:$AK$20,C9)&lt;=0,1,_xlfn.MINIFS(Geometry!$AJ$11:$AJ$20,Geometry!$AI$11:$AI$20,"o",Geometry!$AK$11:$AK$20,C9))</f>
        <v>1</v>
      </c>
      <c r="AN27" s="224">
        <f t="shared" si="32"/>
        <v>0</v>
      </c>
      <c r="AO27" s="224">
        <f t="shared" si="33"/>
        <v>0</v>
      </c>
      <c r="AP27" s="224">
        <f t="shared" si="34"/>
        <v>140.94755134798675</v>
      </c>
      <c r="AQ27" s="224">
        <f t="shared" si="35"/>
        <v>0</v>
      </c>
      <c r="AR27" s="224">
        <f t="shared" si="36"/>
        <v>0</v>
      </c>
      <c r="AS27" s="224">
        <f t="shared" si="37"/>
        <v>0</v>
      </c>
      <c r="AT27" s="224">
        <f t="shared" si="38"/>
        <v>0</v>
      </c>
      <c r="AU27" s="224">
        <f t="shared" si="39"/>
        <v>0</v>
      </c>
      <c r="AV27" s="224">
        <f t="shared" si="40"/>
        <v>0</v>
      </c>
      <c r="AW27" s="224">
        <f t="shared" si="41"/>
        <v>0</v>
      </c>
      <c r="AX27" s="224">
        <f t="shared" si="42"/>
        <v>0</v>
      </c>
    </row>
    <row r="28" spans="3:50" ht="14.85" customHeight="1"/>
    <row r="29" spans="3:50">
      <c r="C29" s="35" t="s">
        <v>226</v>
      </c>
    </row>
    <row r="30" spans="3:50" ht="15" customHeight="1">
      <c r="C30" s="317" t="s">
        <v>225</v>
      </c>
      <c r="D30" s="317" t="s">
        <v>53</v>
      </c>
      <c r="E30" s="317" t="s">
        <v>105</v>
      </c>
      <c r="F30" s="317" t="s">
        <v>101</v>
      </c>
      <c r="G30" s="329" t="s">
        <v>98</v>
      </c>
      <c r="H30" s="329" t="s">
        <v>269</v>
      </c>
      <c r="I30" s="330" t="s">
        <v>102</v>
      </c>
      <c r="J30" s="317" t="s">
        <v>100</v>
      </c>
      <c r="K30" s="329" t="s">
        <v>94</v>
      </c>
      <c r="L30" s="329" t="s">
        <v>216</v>
      </c>
      <c r="M30" s="332" t="s">
        <v>217</v>
      </c>
      <c r="N30" s="317" t="s">
        <v>106</v>
      </c>
      <c r="O30" s="317" t="s">
        <v>107</v>
      </c>
      <c r="P30" s="317" t="s">
        <v>136</v>
      </c>
      <c r="Q30" s="317" t="s">
        <v>290</v>
      </c>
      <c r="R30" s="317" t="s">
        <v>108</v>
      </c>
      <c r="T30" s="317" t="s">
        <v>73</v>
      </c>
      <c r="U30" s="317" t="s">
        <v>78</v>
      </c>
      <c r="V30" s="317" t="s">
        <v>79</v>
      </c>
      <c r="W30" s="317" t="s">
        <v>80</v>
      </c>
      <c r="X30" s="317" t="s">
        <v>84</v>
      </c>
      <c r="Y30" s="317" t="s">
        <v>85</v>
      </c>
      <c r="Z30" s="317" t="s">
        <v>86</v>
      </c>
      <c r="AA30" s="317" t="s">
        <v>87</v>
      </c>
      <c r="AB30" s="317" t="s">
        <v>605</v>
      </c>
      <c r="AC30" s="317" t="s">
        <v>579</v>
      </c>
      <c r="AD30" s="317" t="s">
        <v>580</v>
      </c>
      <c r="AE30" s="328" t="s">
        <v>582</v>
      </c>
      <c r="AF30" s="317" t="s">
        <v>581</v>
      </c>
      <c r="AG30" s="328" t="s">
        <v>583</v>
      </c>
      <c r="AH30" s="328" t="s">
        <v>584</v>
      </c>
      <c r="AI30" s="317" t="s">
        <v>587</v>
      </c>
      <c r="AJ30" s="328" t="s">
        <v>588</v>
      </c>
      <c r="AK30" s="328" t="s">
        <v>585</v>
      </c>
      <c r="AL30" s="328" t="s">
        <v>586</v>
      </c>
      <c r="AM30" s="317" t="s">
        <v>97</v>
      </c>
      <c r="AN30" s="317" t="s">
        <v>205</v>
      </c>
      <c r="AO30" s="317" t="s">
        <v>206</v>
      </c>
      <c r="AP30" s="317" t="s">
        <v>599</v>
      </c>
      <c r="AQ30" s="317" t="s">
        <v>600</v>
      </c>
      <c r="AR30" s="317" t="s">
        <v>601</v>
      </c>
      <c r="AS30" s="317" t="s">
        <v>602</v>
      </c>
      <c r="AT30" s="317" t="s">
        <v>603</v>
      </c>
      <c r="AU30" s="317" t="s">
        <v>147</v>
      </c>
      <c r="AV30" s="317" t="s">
        <v>145</v>
      </c>
      <c r="AW30" s="317" t="s">
        <v>146</v>
      </c>
      <c r="AX30" s="317" t="s">
        <v>604</v>
      </c>
    </row>
    <row r="31" spans="3:50" ht="18.75" customHeight="1">
      <c r="C31" s="318">
        <v>0</v>
      </c>
      <c r="D31" s="318">
        <v>0</v>
      </c>
      <c r="E31" s="318"/>
      <c r="F31" s="318"/>
      <c r="G31" s="318"/>
      <c r="H31" s="318"/>
      <c r="I31" s="331"/>
      <c r="J31" s="318"/>
      <c r="K31" s="318"/>
      <c r="L31" s="318"/>
      <c r="M31" s="312"/>
      <c r="N31" s="318"/>
      <c r="O31" s="318"/>
      <c r="P31" s="318"/>
      <c r="Q31" s="318"/>
      <c r="R31" s="318"/>
      <c r="T31" s="318"/>
      <c r="U31" s="318"/>
      <c r="V31" s="318"/>
      <c r="W31" s="318"/>
      <c r="X31" s="318"/>
      <c r="Y31" s="318"/>
      <c r="Z31" s="318"/>
      <c r="AA31" s="318"/>
      <c r="AB31" s="318"/>
      <c r="AC31" s="318"/>
      <c r="AD31" s="318"/>
      <c r="AE31" s="318"/>
      <c r="AF31" s="318"/>
      <c r="AG31" s="318"/>
      <c r="AH31" s="318"/>
      <c r="AI31" s="318"/>
      <c r="AJ31" s="333"/>
      <c r="AK31" s="318"/>
      <c r="AL31" s="318"/>
      <c r="AM31" s="318"/>
      <c r="AN31" s="318"/>
      <c r="AO31" s="318"/>
      <c r="AP31" s="318"/>
      <c r="AQ31" s="318"/>
      <c r="AR31" s="318"/>
      <c r="AS31" s="318"/>
      <c r="AT31" s="318"/>
      <c r="AU31" s="318"/>
      <c r="AV31" s="318"/>
      <c r="AW31" s="318"/>
      <c r="AX31" s="318"/>
    </row>
    <row r="32" spans="3:50">
      <c r="C32" s="30" t="s">
        <v>16</v>
      </c>
      <c r="D32" s="30" t="str">
        <f>"[m"&amp;Control!$F$7&amp;"]"</f>
        <v>[mLAT]</v>
      </c>
      <c r="E32" s="30" t="s">
        <v>9</v>
      </c>
      <c r="F32" s="34" t="s">
        <v>10</v>
      </c>
      <c r="G32" s="34" t="s">
        <v>77</v>
      </c>
      <c r="H32" s="34" t="s">
        <v>77</v>
      </c>
      <c r="I32" s="34" t="s">
        <v>77</v>
      </c>
      <c r="J32" s="34" t="s">
        <v>77</v>
      </c>
      <c r="K32" s="34" t="s">
        <v>77</v>
      </c>
      <c r="L32" s="34" t="s">
        <v>77</v>
      </c>
      <c r="M32" s="30" t="s">
        <v>77</v>
      </c>
      <c r="N32" s="30" t="s">
        <v>16</v>
      </c>
      <c r="O32" s="30" t="s">
        <v>16</v>
      </c>
      <c r="P32" s="30" t="s">
        <v>16</v>
      </c>
      <c r="Q32" s="30" t="s">
        <v>10</v>
      </c>
      <c r="R32" s="30" t="s">
        <v>16</v>
      </c>
      <c r="T32" s="34" t="s">
        <v>81</v>
      </c>
      <c r="U32" s="34" t="s">
        <v>82</v>
      </c>
      <c r="V32" s="34" t="s">
        <v>83</v>
      </c>
      <c r="W32" s="34" t="s">
        <v>81</v>
      </c>
      <c r="X32" s="34" t="s">
        <v>88</v>
      </c>
      <c r="Y32" s="34" t="s">
        <v>88</v>
      </c>
      <c r="Z32" s="34" t="s">
        <v>89</v>
      </c>
      <c r="AA32" s="34" t="s">
        <v>90</v>
      </c>
      <c r="AB32" s="34" t="s">
        <v>573</v>
      </c>
      <c r="AC32" s="34" t="s">
        <v>10</v>
      </c>
      <c r="AD32" s="34" t="s">
        <v>16</v>
      </c>
      <c r="AE32" s="34" t="s">
        <v>16</v>
      </c>
      <c r="AF32" s="34" t="s">
        <v>16</v>
      </c>
      <c r="AG32" s="34" t="s">
        <v>16</v>
      </c>
      <c r="AH32" s="34" t="s">
        <v>16</v>
      </c>
      <c r="AI32" s="34" t="s">
        <v>16</v>
      </c>
      <c r="AJ32" s="34" t="s">
        <v>16</v>
      </c>
      <c r="AK32" s="34" t="s">
        <v>16</v>
      </c>
      <c r="AL32" s="34" t="s">
        <v>16</v>
      </c>
      <c r="AM32" s="34" t="s">
        <v>16</v>
      </c>
      <c r="AN32" s="34" t="s">
        <v>11</v>
      </c>
      <c r="AO32" s="34" t="s">
        <v>11</v>
      </c>
      <c r="AP32" s="30" t="s">
        <v>77</v>
      </c>
      <c r="AQ32" s="30" t="s">
        <v>77</v>
      </c>
      <c r="AR32" s="30" t="s">
        <v>77</v>
      </c>
      <c r="AS32" s="34" t="s">
        <v>16</v>
      </c>
      <c r="AT32" s="30" t="s">
        <v>77</v>
      </c>
      <c r="AU32" s="34" t="s">
        <v>16</v>
      </c>
      <c r="AV32" s="34" t="s">
        <v>16</v>
      </c>
      <c r="AW32" s="34" t="s">
        <v>16</v>
      </c>
      <c r="AX32" s="34" t="s">
        <v>16</v>
      </c>
    </row>
    <row r="33" spans="3:50" ht="15" customHeight="1">
      <c r="C33" s="12" t="str">
        <f>"Can"&amp;TEXT(C6,"0")</f>
        <v>Can1</v>
      </c>
      <c r="D33" s="2">
        <f>E6</f>
        <v>17.5</v>
      </c>
      <c r="E33" s="3">
        <f>G6</f>
        <v>7.5</v>
      </c>
      <c r="F33" s="120">
        <f>H6</f>
        <v>85</v>
      </c>
      <c r="G33" s="120">
        <f>ABS(T33/(2*PI()*AB33*AC33))+ABS(V33/(PI()*(AB33^2)*AC33))</f>
        <v>153.76940580447649</v>
      </c>
      <c r="H33" s="120">
        <f>ABS(W33/(PI()*AB33*AC33))+ABS(U33/(2*PI()*(AB33^2)*AC33))</f>
        <v>10.976332052324413</v>
      </c>
      <c r="I33" s="120">
        <f>IF(OR(D33&lt;$R$2,D33&gt;$W$6),0,IF(D33&lt;=$W$5,$W$7*AB33/(AC33/1000),$W$7*AB33/(AC33/1000)*($W$6-D33)/($W$6-$W$5)))</f>
        <v>11.84183133088235</v>
      </c>
      <c r="J33" s="120">
        <f>VLOOKUP(R33,'Steel grades'!$B$5:$J$22,IF(F33&gt;200,10,IF(F33&gt;150,9,IF(F33&gt;120,8,IF(F33&gt;100,7,IF(F33&gt;80,6,IF(F33&gt;63,5,IF(F33&gt;40,4,IF(F33&gt;16,3,2)))))))),FALSE)</f>
        <v>315</v>
      </c>
      <c r="K33" s="3">
        <f>AH33*J33/$W$9*AM33</f>
        <v>235.3056641781836</v>
      </c>
      <c r="L33" s="3">
        <f>AK33*J33/$W$9</f>
        <v>91.740592813793825</v>
      </c>
      <c r="M33" s="3">
        <f>AL33*J33/$W$9/SQRT(3)</f>
        <v>149.63644570734661</v>
      </c>
      <c r="N33" s="3">
        <f>MAX(G33/K33,H33/M33,I33/L33,(G33/K33)^(1.25+0.75*AH33)-(AH33*AK33)^2*(G33/K33)*(I33/L33)+(I33/L33)^(1.25+0.75*AK33)+(H33/M33)^(1.75+0.25*AL33),AS33,AX33)</f>
        <v>0.6534879062156177</v>
      </c>
      <c r="O33" s="3">
        <f>MAX(SQRT(G33^2+I33^2-IF(G33&gt;0,-G33,G33)*I33+3*H33^2)/(J33/$W$10),AU33)</f>
        <v>0.51157043438634364</v>
      </c>
      <c r="P33" s="3">
        <f>(ABS(Geometry_loads!S8)/Z33+ABS(Geometry_loads!T8)/AA33)/(1000*J33)</f>
        <v>0.3708662947226376</v>
      </c>
      <c r="Q33" s="22">
        <f>IF(D33&gt;=$R$14,IF(P33&gt;0.75,"Redesign",IF(P33&lt;0.5,VLOOKUP(R33,'Steel grades'!$B$5:$AB$22,27,FALSE),(VLOOKUP(R33,'Steel grades'!$B$5:$AB$22,27,FALSE)-VLOOKUP(R33,'Steel grades'!$B$5:$AB$22,25,FALSE))/(0.5-0.75)*(P33-0.75)+VLOOKUP(R33,'Steel grades'!$B$5:$AB$22,25,FALSE))),IF(D33&lt;$R$2,IF(P33&gt;0.75,"Redesign",IF(P33&lt;0.5,VLOOKUP(R33,'Steel grades'!$B$5:$AB$22,18,FALSE),(VLOOKUP(R33,'Steel grades'!$B$5:$AB$22,18,FALSE)-VLOOKUP(R33,'Steel grades'!$B$5:$AB$22,11,FALSE))/(0.5-0.75)*(P33-0.75)+VLOOKUP(R33,'Steel grades'!$B$5:$AB$22,11,FALSE))),IF(P33&gt;0.75,"Redesign",IF(P33&lt;0.5,VLOOKUP(R33,'Steel grades'!$B$5:$AB$22,26,FALSE),(VLOOKUP(R33,'Steel grades'!$B$5:$AB$22,26,FALSE)-VLOOKUP(R33,'Steel grades'!$B$5:$AB$22,24,FALSE))/(0.5-0.75)*(P33-0.75)+VLOOKUP(R33,'Steel grades'!$B$5:$AB$22,24,FALSE)))))</f>
        <v>122.5</v>
      </c>
      <c r="R33" s="3" t="str">
        <f>Geometry!M11</f>
        <v>S355 NL/ML</v>
      </c>
      <c r="T33" s="3">
        <f>Geometry_loads!L8</f>
        <v>-23891.065789473683</v>
      </c>
      <c r="U33" s="3">
        <f>Geometry_loads!M8</f>
        <v>-46316.797894736839</v>
      </c>
      <c r="V33" s="3">
        <f>Geometry_loads!N8</f>
        <v>520130.19473684207</v>
      </c>
      <c r="W33" s="3">
        <f>Geometry_loads!O8</f>
        <v>4620.5729473684205</v>
      </c>
      <c r="X33" s="3">
        <f>X24</f>
        <v>0</v>
      </c>
      <c r="Y33" s="3">
        <f>Y24</f>
        <v>0</v>
      </c>
      <c r="Z33" s="18">
        <f>PI()/4*((E33-2*X33/1000)^2-((E33-2*X33/1000)-2*(F33-X33-Y33)/1000)^2)</f>
        <v>1.9800673097413044</v>
      </c>
      <c r="AA33" s="224">
        <f>PI()/32*((E33-2*X33/1000)^4-((E33-2*X33/1000)-2*(F33-X33-Y33)/1000)^4)/(E33-2*X33/1000)</f>
        <v>3.6294270775218025</v>
      </c>
      <c r="AB33" s="224">
        <f>(0.5*E33-(X33/1000))-(0.5*(AC33/1000))</f>
        <v>3.7075</v>
      </c>
      <c r="AC33" s="120">
        <f>F33-X33-Y33</f>
        <v>85</v>
      </c>
      <c r="AD33" s="224">
        <f>$R$4/SQRT(AB33*AC33/1000)</f>
        <v>27.432834164661493</v>
      </c>
      <c r="AE33" s="224">
        <f>(J33/((0.605*$W$2*IF(AD33&gt;0.5*(AB33)/(AC33/1000),MAX(0.6,1+0.2/$AC$7*(1-2*AD33*(AC33/1000)/(AB33))),IF(AD33&lt;=1.7,1.36-(1.83/AD33)+(2.07/AD33^2),1)))*((AC33/1000)/(AB33)/1000)))^0.5</f>
        <v>0.33171467478334488</v>
      </c>
      <c r="AF33" s="224">
        <f>0.62/(1+1.91*((((AB33)/(AC33/1000))^0.5*(AC33/1000)/$AC$4)/(AC33/1000))^1.44)</f>
        <v>0.40413447109215073</v>
      </c>
      <c r="AG33" s="224">
        <f>IF(AND((AB33)/(AC33/1000)&lt;=150,AD33&lt;=6*(AB33)/(AC33/1000),$W$2/(J33*1000)&lt;=1000,500&lt;=$W$2/(J33*1000)),0.2+0.1*(ABS(V33/(PI()*(AB33^2)*AC33))/G33),0.2)</f>
        <v>0.29215332555531459</v>
      </c>
      <c r="AH33" s="224">
        <f>IF(AE33&lt;=AG33,1,IF(AE33&gt;=(AF33/(1-0.6))^0.5,AF33/(AE33^2),1-0.6*((AE33-(AG33))/((AF33/(1-0.6))^0.5-AG33))))</f>
        <v>0.96670861100280847</v>
      </c>
      <c r="AI33" s="224">
        <f>IF(AD33/1.25&gt;1.63*((AB33)/(AC33/1000)),$W$2/1000*(AC33/(AB33*1000))^2*(0.275+2.03*(1.25/AD33*AB33*1000/AC33)^4),IF(AD33/1.25&lt;20,0.92*$W$2/1000*((1.25+(8/AD33^2)-(4/AD33^3))/AD33)*((AC33/1000)/(AB33)),0.92*$W$2/1000*(1.25/AD33)*((AC33/1000)/(AB33))))</f>
        <v>201.82930419034639</v>
      </c>
      <c r="AJ33" s="224">
        <f>SQRT(J33/AI33)</f>
        <v>1.2492897173737534</v>
      </c>
      <c r="AK33" s="224">
        <f>IF(AJ33&lt;0.4,1,IF(AJ33&lt;SQRT($AC$5/(1-0.6)),1-0.6*((AJ33-0.4)/(SQRT($AC$5/(1-0.6))-0.4)^1),$AC$5/AJ33^2))</f>
        <v>0.32036397490531177</v>
      </c>
      <c r="AL33" s="224">
        <f>IF(((J33/SQRT(3)/(0.75*$W$2*(IF(AD33&lt;10,SQRT(1+42/(AD33^3)),IF(AD33&gt;8.7*(AB33)/(AC33/1000),(1/3)*SQRT(AD33*(AC33/1000)/(AB33)),1)))*(1/AD33)^0.5*((AC33/1000)/(AB33))/1000))^0.5)&lt;=0.4,1,IF(((J33/SQRT(3)/(0.75*$W$2*(IF(AD33&lt;10,SQRT(1+42/(AD33^3)),IF(AD33&gt;8.7*(AB33)/(AC33/1000),(1/3)*SQRT(AD33*(AC33/1000)/(AB33)),1)))*(1/AD33)^0.5*((AC33/1000)/(AB33))/1000))^0.5)&gt;=($AC$6/(1-0.6))^0.5,$AC$6/(((J33/SQRT(3)/(0.75*$W$2*(IF(AD33&lt;10,SQRT(1+42/(AD33^3)),IF(AD33&gt;8.7*(AB33)/(AC33/1000),(1/3)*SQRT(AD33*(AC33/1000)/(AB33)),1)))*(1/AD33)^0.5*((AC33/1000)/(AB33))/1000))^0.5)^2),1-0.6*((((J33/SQRT(3)/(0.75*$W$2*(IF(AD33&lt;10,SQRT(1+42/(AD33^3)),IF(AD33&gt;8.7*(AB33)/(AC33/1000),(1/3)*SQRT(AD33*(AC33/1000)/(AB33)),1)))*(1/AD33)^0.5*((AC33/1000)/(AB33))/1000))^0.5)-(0.4))/(($AC$6/(1-0.6))^0.5-0.4))))</f>
        <v>0.90506577553035172</v>
      </c>
      <c r="AM33" s="224">
        <f>AM24</f>
        <v>0.85</v>
      </c>
      <c r="AN33" s="224">
        <f>IF(NOT(ISNUMBER(D34)),0,ABS(J6-J7))</f>
        <v>0</v>
      </c>
      <c r="AO33" s="224">
        <f>MAX(AN33,J6)</f>
        <v>0</v>
      </c>
      <c r="AP33" s="224">
        <f>((ABS(T33/(PI()*((E33-2*X33/1000)-((AC33))/1000*COS(AO33*PI()/180))*(AC33)/1000))/1000)+ABS((4*V33)/(PI()*((E33-X33/1000)-((F33-X33-Y33)/1000)*COS(AO33*PI()/180))^2*((AC33)/1000))/1000))/COS(AO33*PI()/180)</f>
        <v>153.76940580447646</v>
      </c>
      <c r="AQ33" s="224">
        <f>((0.6*(F33-X33-Y33)*((E33*1000-2*X33)*(2*(AC33)))^0.5)/((AC33)^2))*(G33*TAN(AN33*PI()/180))</f>
        <v>0</v>
      </c>
      <c r="AR33" s="224">
        <f>IF(AN33=0,0,0.45*((E33*1000-2*X33)/(AC33))^0.5*G33*TAN(AN33*PI()/180)+I33)</f>
        <v>0</v>
      </c>
      <c r="AS33" s="224">
        <f>IF(AO33=0,0,1.18*AP33/IF(J33/(2*0.3*$W$2/1000*(AC33)/1000/(E33-2*X33/1000))&lt;=0.17,J33,(1.047-0.274*(J33/(2*0.3*$W$2/1000*(AC33)/1000/(E33-2*X33/1000))))*J33))</f>
        <v>0</v>
      </c>
      <c r="AT33" s="224">
        <f>IF(AN33=0,0,MAX(G33+AQ33,AP33+AQ33))</f>
        <v>0</v>
      </c>
      <c r="AU33" s="224">
        <f>(AT33^2+AR33^2+AR33*AT33)^0.5/(J33/$W$10)</f>
        <v>0</v>
      </c>
      <c r="AV33" s="224">
        <f>1.1*AT33/J33</f>
        <v>0</v>
      </c>
      <c r="AW33" s="224">
        <f>1.25*AR33/IF(0.4*$W$2/1000*(AC33)/1000/(E33-2*X33/1000)/J33&gt;2.44,J33,IF(0.4*$W$2/1000*(AC33)/1000/(E33-2*X33/1000)/J33&lt;=0.55,0.4*$W$2/1000*(AC33)/1000/(E33-2*X33/1000),MIN(0.7*(0.4*$W$2/1000*(AC33)/1000/(E33-2*X33/1000)/J33)^0.4*J33,J33)))</f>
        <v>0</v>
      </c>
      <c r="AX33" s="224">
        <f>MAX(AV33^2+AW33^(2*(5-4*(IF(0.4*$W$2/1000*(AC33)/1000/(E33-2*(X33/1000))/J33&gt;2.44,J33,IF(0.4*$W$2/1000*(AC33)/1000/(E33-2*(X33/1000))/J33&lt;=0.55,0.4*$W$2/1000*(AC33)/1000/(E33-2*(X33/1000)),MIN(0.7*(0.4*$W$2/1000*(AC33)/1000/(E33-2*(X33/1000))/J33)^0.4*J33,J33)))/J33)))+2*0.3*AV33*AW33,AW33,AT33/(IF(J33/(2*0.3*$W$2/1000*(AC33)/1000/(E33-2*(X33/1000)))&lt;=0.17,J33,(1.047-0.274*(J33/(2*0.3*$W$2/1000*(AC33)/1000/(E33-2*(X33/1000)))))*J33)/1.18))</f>
        <v>0</v>
      </c>
    </row>
    <row r="34" spans="3:50">
      <c r="C34" s="12" t="str">
        <f t="shared" ref="C34:C36" si="43">"Can"&amp;TEXT(C7,"0")</f>
        <v>Can2</v>
      </c>
      <c r="D34" s="2">
        <f t="shared" ref="D34:D36" si="44">E7</f>
        <v>13.5</v>
      </c>
      <c r="E34" s="3">
        <f t="shared" ref="E34:F34" si="45">G7</f>
        <v>7.5</v>
      </c>
      <c r="F34" s="120">
        <f t="shared" si="45"/>
        <v>85</v>
      </c>
      <c r="G34" s="120">
        <f t="shared" ref="G34:G36" si="46">ABS(T34/(2*PI()*AB34*AC34))+ABS(V34/(PI()*(AB34^2)*AC34))</f>
        <v>159.46958096750285</v>
      </c>
      <c r="H34" s="120">
        <f t="shared" ref="H34:H36" si="47">ABS(W34/(PI()*AB34*AC34))+ABS(U34/(2*PI()*(AB34^2)*AC34))</f>
        <v>11.256901922434192</v>
      </c>
      <c r="I34" s="120">
        <f t="shared" ref="I34:I36" si="48">IF(OR(D34&lt;$R$2,D34&gt;$W$6),0,IF(D34&lt;=$W$5,$W$7*AB34/(AC34/1000),$W$7*AB34/(AC34/1000)*($W$6-D34)/($W$6-$W$5)))</f>
        <v>11.84183133088235</v>
      </c>
      <c r="J34" s="120">
        <f>VLOOKUP(R34,'Steel grades'!$B$5:$J$22,IF(F34&gt;200,10,IF(F34&gt;150,9,IF(F34&gt;120,8,IF(F34&gt;100,7,IF(F34&gt;80,6,IF(F34&gt;63,5,IF(F34&gt;40,4,IF(F34&gt;16,3,2)))))))),FALSE)</f>
        <v>315</v>
      </c>
      <c r="K34" s="3">
        <f t="shared" ref="K34:K36" si="49">AH34*J34/$W$9*AM34</f>
        <v>276.82380232011604</v>
      </c>
      <c r="L34" s="3">
        <f t="shared" ref="L34:L36" si="50">AK34*J34/$W$9</f>
        <v>91.740592813793825</v>
      </c>
      <c r="M34" s="3">
        <f t="shared" ref="M34:M36" si="51">AL34*J34/$W$9/SQRT(3)</f>
        <v>149.63644570734661</v>
      </c>
      <c r="N34" s="3">
        <f t="shared" ref="N34:N36" si="52">MAX(G34/K34,H34/M34,I34/L34,(G34/K34)^(1.25+0.75*AH34)-(AH34*AK34)^2*(G34/K34)*(I34/L34)+(I34/L34)^(1.25+0.75*AK34)+(H34/M34)^(1.75+0.25*AL34),AS34,AX34)</f>
        <v>0.57606889158719798</v>
      </c>
      <c r="O34" s="3">
        <f t="shared" ref="O34:O36" si="53">MAX(SQRT(G34^2+I34^2-IF(G34&gt;0,-G34,G34)*I34+3*H34^2)/(J34/$W$10),AU34)</f>
        <v>0.52968652695882201</v>
      </c>
      <c r="P34" s="3">
        <f>(ABS(Geometry_loads!S9)/Z34+ABS(Geometry_loads!T9)/AA34)/(1000*J34)</f>
        <v>0.38460433185671505</v>
      </c>
      <c r="Q34" s="22">
        <f>IF(D34&gt;=$R$14,IF(P34&gt;0.75,"Redesign",IF(P34&lt;0.5,VLOOKUP(R34,'Steel grades'!$B$5:$AB$22,27,FALSE),(VLOOKUP(R34,'Steel grades'!$B$5:$AB$22,27,FALSE)-VLOOKUP(R34,'Steel grades'!$B$5:$AB$22,25,FALSE))/(0.5-0.75)*(P34-0.75)+VLOOKUP(R34,'Steel grades'!$B$5:$AB$22,25,FALSE))),IF(D34&lt;$R$2,IF(P34&gt;0.75,"Redesign",IF(P34&lt;0.5,VLOOKUP(R34,'Steel grades'!$B$5:$AB$22,18,FALSE),(VLOOKUP(R34,'Steel grades'!$B$5:$AB$22,18,FALSE)-VLOOKUP(R34,'Steel grades'!$B$5:$AB$22,11,FALSE))/(0.5-0.75)*(P34-0.75)+VLOOKUP(R34,'Steel grades'!$B$5:$AB$22,11,FALSE))),IF(P34&gt;0.75,"Redesign",IF(P34&lt;0.5,VLOOKUP(R34,'Steel grades'!$B$5:$AB$22,26,FALSE),(VLOOKUP(R34,'Steel grades'!$B$5:$AB$22,26,FALSE)-VLOOKUP(R34,'Steel grades'!$B$5:$AB$22,24,FALSE))/(0.5-0.75)*(P34-0.75)+VLOOKUP(R34,'Steel grades'!$B$5:$AB$22,24,FALSE)))))</f>
        <v>122.5</v>
      </c>
      <c r="R34" s="3" t="str">
        <f>Geometry!M12</f>
        <v>S355 NL/ML</v>
      </c>
      <c r="T34" s="3">
        <f>Geometry_loads!L9</f>
        <v>-24865.362307692307</v>
      </c>
      <c r="U34" s="3">
        <f>Geometry_loads!M9</f>
        <v>-46326.979999999996</v>
      </c>
      <c r="V34" s="3">
        <f>Geometry_loads!N9</f>
        <v>539246.86923076923</v>
      </c>
      <c r="W34" s="3">
        <f>Geometry_loads!O9</f>
        <v>4896.973384615384</v>
      </c>
      <c r="X34" s="3">
        <f t="shared" ref="X34:Y34" si="54">X25</f>
        <v>0</v>
      </c>
      <c r="Y34" s="3">
        <f t="shared" si="54"/>
        <v>0</v>
      </c>
      <c r="Z34" s="18">
        <f t="shared" ref="Z34:Z36" si="55">PI()/4*((E34-2*X34/1000)^2-((E34-2*X34/1000)-2*(F34-X34-Y34)/1000)^2)</f>
        <v>1.9800673097413044</v>
      </c>
      <c r="AA34" s="224">
        <f t="shared" ref="AA34:AA36" si="56">PI()/32*((E34-2*X34/1000)^4-((E34-2*X34/1000)-2*(F34-X34-Y34)/1000)^4)/(E34-2*X34/1000)</f>
        <v>3.6294270775218025</v>
      </c>
      <c r="AB34" s="224">
        <f t="shared" ref="AB34:AB36" si="57">(0.5*E34-(X34/1000))-(0.5*(AC34/1000))</f>
        <v>3.7075</v>
      </c>
      <c r="AC34" s="120">
        <f t="shared" ref="AC34:AC36" si="58">F34-X34-Y34</f>
        <v>85</v>
      </c>
      <c r="AD34" s="224">
        <f t="shared" ref="AD34:AD36" si="59">$R$4/SQRT(AB34*AC34/1000)</f>
        <v>27.432834164661493</v>
      </c>
      <c r="AE34" s="224">
        <f t="shared" ref="AE34:AE36" si="60">(J34/((0.605*$W$2*IF(AD34&gt;0.5*(AB34)/(AC34/1000),MAX(0.6,1+0.2/$AC$7*(1-2*AD34*(AC34/1000)/(AB34))),IF(AD34&lt;=1.7,1.36-(1.83/AD34)+(2.07/AD34^2),1)))*((AC34/1000)/(AB34)/1000)))^0.5</f>
        <v>0.33171467478334488</v>
      </c>
      <c r="AF34" s="224">
        <f t="shared" ref="AF34:AF36" si="61">0.62/(1+1.91*((((AB34)/(AC34/1000))^0.5*(AC34/1000)/$AC$4)/(AC34/1000))^1.44)</f>
        <v>0.40413447109215073</v>
      </c>
      <c r="AG34" s="224">
        <f t="shared" ref="AG34:AG36" si="62">IF(AND((AB34)/(AC34/1000)&lt;=150,AD34&lt;=6*(AB34)/(AC34/1000),$W$2/(J34*1000)&lt;=1000,500&lt;=$W$2/(J34*1000)),0.2+0.1*(ABS(V34/(PI()*(AB34^2)*AC34))/G34),0.2)</f>
        <v>0.29212524619793623</v>
      </c>
      <c r="AH34" s="224">
        <f t="shared" ref="AH34:AH36" si="63">IF(AE34&lt;=AG34,1,IF(AE34&gt;=(AF34/(1-0.6))^0.5,AF34/(AE34^2),1-0.6*((AE34-(AG34))/((AF34/(1-0.6))^0.5-AG34))))</f>
        <v>0.96668629381627824</v>
      </c>
      <c r="AI34" s="224">
        <f t="shared" ref="AI34:AI36" si="64">IF(AD34/1.25&gt;1.63*((AB34)/(AC34/1000)),$W$2/1000*(AC34/(AB34*1000))^2*(0.275+2.03*(1.25/AD34*AB34*1000/AC34)^4),IF(AD34/1.25&lt;20,0.92*$W$2/1000*((1.25+(8/AD34^2)-(4/AD34^3))/AD34)*((AC34/1000)/(AB34)),0.92*$W$2/1000*(1.25/AD34)*((AC34/1000)/(AB34))))</f>
        <v>201.82930419034639</v>
      </c>
      <c r="AJ34" s="224">
        <f t="shared" ref="AJ34:AJ36" si="65">SQRT(J34/AI34)</f>
        <v>1.2492897173737534</v>
      </c>
      <c r="AK34" s="224">
        <f t="shared" ref="AK34:AK36" si="66">IF(AJ34&lt;0.4,1,IF(AJ34&lt;SQRT($AC$5/(1-0.6)),1-0.6*((AJ34-0.4)/(SQRT($AC$5/(1-0.6))-0.4)^1),$AC$5/AJ34^2))</f>
        <v>0.32036397490531177</v>
      </c>
      <c r="AL34" s="224">
        <f t="shared" ref="AL34:AL36" si="67">IF(((J34/SQRT(3)/(0.75*$W$2*(IF(AD34&lt;10,SQRT(1+42/(AD34^3)),IF(AD34&gt;8.7*(AB34)/(AC34/1000),(1/3)*SQRT(AD34*(AC34/1000)/(AB34)),1)))*(1/AD34)^0.5*((AC34/1000)/(AB34))/1000))^0.5)&lt;=0.4,1,IF(((J34/SQRT(3)/(0.75*$W$2*(IF(AD34&lt;10,SQRT(1+42/(AD34^3)),IF(AD34&gt;8.7*(AB34)/(AC34/1000),(1/3)*SQRT(AD34*(AC34/1000)/(AB34)),1)))*(1/AD34)^0.5*((AC34/1000)/(AB34))/1000))^0.5)&gt;=($AC$6/(1-0.6))^0.5,$AC$6/(((J34/SQRT(3)/(0.75*$W$2*(IF(AD34&lt;10,SQRT(1+42/(AD34^3)),IF(AD34&gt;8.7*(AB34)/(AC34/1000),(1/3)*SQRT(AD34*(AC34/1000)/(AB34)),1)))*(1/AD34)^0.5*((AC34/1000)/(AB34))/1000))^0.5)^2),1-0.6*((((J34/SQRT(3)/(0.75*$W$2*(IF(AD34&lt;10,SQRT(1+42/(AD34^3)),IF(AD34&gt;8.7*(AB34)/(AC34/1000),(1/3)*SQRT(AD34*(AC34/1000)/(AB34)),1)))*(1/AD34)^0.5*((AC34/1000)/(AB34))/1000))^0.5)-(0.4))/(($AC$6/(1-0.6))^0.5-0.4))))</f>
        <v>0.90506577553035172</v>
      </c>
      <c r="AM34" s="224">
        <f t="shared" ref="AM34:AM36" si="68">AM25</f>
        <v>1</v>
      </c>
      <c r="AN34" s="224">
        <f t="shared" ref="AN34:AN36" si="69">IF(NOT(ISNUMBER(D35)),0,ABS(J7-J8))</f>
        <v>0</v>
      </c>
      <c r="AO34" s="224">
        <f t="shared" ref="AO34:AO36" si="70">MAX(AN34,J7)</f>
        <v>0</v>
      </c>
      <c r="AP34" s="224">
        <f t="shared" ref="AP34:AP36" si="71">((ABS(T34/(PI()*((E34-2*X34/1000)-((AC34))/1000*COS(AO34*PI()/180))*(AC34)/1000))/1000)+ABS((4*V34)/(PI()*((E34-X34/1000)-((F34-X34-Y34)/1000)*COS(AO34*PI()/180))^2*((AC34)/1000))/1000))/COS(AO34*PI()/180)</f>
        <v>159.46958096750285</v>
      </c>
      <c r="AQ34" s="224">
        <f t="shared" ref="AQ34:AQ36" si="72">((0.6*(F34-X34-Y34)*((E34*1000-2*X34)*(2*(AC34)))^0.5)/((AC34)^2))*(G34*TAN(AN34*PI()/180))</f>
        <v>0</v>
      </c>
      <c r="AR34" s="224">
        <f t="shared" ref="AR34:AR36" si="73">IF(AN34=0,0,0.45*((E34*1000-2*X34)/(AC34))^0.5*G34*TAN(AN34*PI()/180)+I34)</f>
        <v>0</v>
      </c>
      <c r="AS34" s="224">
        <f t="shared" ref="AS34:AS36" si="74">IF(AO34=0,0,1.18*AP34/IF(J34/(2*0.3*$W$2/1000*(AC34)/1000/(E34-2*X34/1000))&lt;=0.17,J34,(1.047-0.274*(J34/(2*0.3*$W$2/1000*(AC34)/1000/(E34-2*X34/1000))))*J34))</f>
        <v>0</v>
      </c>
      <c r="AT34" s="224">
        <f t="shared" ref="AT34:AT36" si="75">IF(AN34=0,0,MAX(G34+AQ34,AP34+AQ34))</f>
        <v>0</v>
      </c>
      <c r="AU34" s="224">
        <f t="shared" ref="AU34:AU36" si="76">(AT34^2+AR34^2+AR34*AT34)^0.5/(J34/$W$10)</f>
        <v>0</v>
      </c>
      <c r="AV34" s="224">
        <f t="shared" ref="AV34:AV36" si="77">1.1*AT34/J34</f>
        <v>0</v>
      </c>
      <c r="AW34" s="224">
        <f t="shared" ref="AW34:AW36" si="78">1.25*AR34/IF(0.4*$W$2/1000*(AC34)/1000/(E34-2*X34/1000)/J34&gt;2.44,J34,IF(0.4*$W$2/1000*(AC34)/1000/(E34-2*X34/1000)/J34&lt;=0.55,0.4*$W$2/1000*(AC34)/1000/(E34-2*X34/1000),MIN(0.7*(0.4*$W$2/1000*(AC34)/1000/(E34-2*X34/1000)/J34)^0.4*J34,J34)))</f>
        <v>0</v>
      </c>
      <c r="AX34" s="224">
        <f t="shared" ref="AX34:AX36" si="79">MAX(AV34^2+AW34^(2*(5-4*(IF(0.4*$W$2/1000*(AC34)/1000/(E34-2*(X34/1000))/J34&gt;2.44,J34,IF(0.4*$W$2/1000*(AC34)/1000/(E34-2*(X34/1000))/J34&lt;=0.55,0.4*$W$2/1000*(AC34)/1000/(E34-2*(X34/1000)),MIN(0.7*(0.4*$W$2/1000*(AC34)/1000/(E34-2*(X34/1000))/J34)^0.4*J34,J34)))/J34)))+2*0.3*AV34*AW34,AW34,AT34/(IF(J34/(2*0.3*$W$2/1000*(AC34)/1000/(E34-2*(X34/1000)))&lt;=0.17,J34,(1.047-0.274*(J34/(2*0.3*$W$2/1000*(AC34)/1000/(E34-2*(X34/1000)))))*J34)/1.18))</f>
        <v>0</v>
      </c>
    </row>
    <row r="35" spans="3:50">
      <c r="C35" s="12" t="str">
        <f t="shared" si="43"/>
        <v>Can3</v>
      </c>
      <c r="D35" s="2">
        <f t="shared" si="44"/>
        <v>9.5</v>
      </c>
      <c r="E35" s="3">
        <f t="shared" ref="E35:F35" si="80">G8</f>
        <v>7.5</v>
      </c>
      <c r="F35" s="120">
        <f t="shared" si="80"/>
        <v>92</v>
      </c>
      <c r="G35" s="120">
        <f t="shared" si="46"/>
        <v>152.88612216424124</v>
      </c>
      <c r="H35" s="120">
        <f t="shared" si="47"/>
        <v>16.816170785958839</v>
      </c>
      <c r="I35" s="120">
        <f t="shared" si="48"/>
        <v>10.930493934782609</v>
      </c>
      <c r="J35" s="120">
        <f>VLOOKUP(R35,'Steel grades'!$B$5:$J$22,IF(F35&gt;200,10,IF(F35&gt;150,9,IF(F35&gt;120,8,IF(F35&gt;100,7,IF(F35&gt;80,6,IF(F35&gt;63,5,IF(F35&gt;40,4,IF(F35&gt;16,3,2)))))))),FALSE)</f>
        <v>315</v>
      </c>
      <c r="K35" s="3">
        <f t="shared" si="49"/>
        <v>237.92953123934015</v>
      </c>
      <c r="L35" s="3">
        <f t="shared" si="50"/>
        <v>103.35226182622161</v>
      </c>
      <c r="M35" s="3">
        <f t="shared" si="51"/>
        <v>153.084585373967</v>
      </c>
      <c r="N35" s="3">
        <f t="shared" si="52"/>
        <v>0.64256892100732421</v>
      </c>
      <c r="O35" s="3">
        <f t="shared" si="53"/>
        <v>0.51201845597339912</v>
      </c>
      <c r="P35" s="3">
        <f>(ABS(Geometry_loads!S10)/Z35+ABS(Geometry_loads!T10)/AA35)/(1000*J35)</f>
        <v>0.3690383834288179</v>
      </c>
      <c r="Q35" s="22">
        <f>IF(D35&gt;=$R$14,IF(P35&gt;0.75,"Redesign",IF(P35&lt;0.5,VLOOKUP(R35,'Steel grades'!$B$5:$AB$22,27,FALSE),(VLOOKUP(R35,'Steel grades'!$B$5:$AB$22,27,FALSE)-VLOOKUP(R35,'Steel grades'!$B$5:$AB$22,25,FALSE))/(0.5-0.75)*(P35-0.75)+VLOOKUP(R35,'Steel grades'!$B$5:$AB$22,25,FALSE))),IF(D35&lt;$R$2,IF(P35&gt;0.75,"Redesign",IF(P35&lt;0.5,VLOOKUP(R35,'Steel grades'!$B$5:$AB$22,18,FALSE),(VLOOKUP(R35,'Steel grades'!$B$5:$AB$22,18,FALSE)-VLOOKUP(R35,'Steel grades'!$B$5:$AB$22,11,FALSE))/(0.5-0.75)*(P35-0.75)+VLOOKUP(R35,'Steel grades'!$B$5:$AB$22,11,FALSE))),IF(P35&gt;0.75,"Redesign",IF(P35&lt;0.5,VLOOKUP(R35,'Steel grades'!$B$5:$AB$22,26,FALSE),(VLOOKUP(R35,'Steel grades'!$B$5:$AB$22,26,FALSE)-VLOOKUP(R35,'Steel grades'!$B$5:$AB$22,24,FALSE))/(0.5-0.75)*(P35-0.75)+VLOOKUP(R35,'Steel grades'!$B$5:$AB$22,24,FALSE)))))</f>
        <v>122.5</v>
      </c>
      <c r="R35" s="3" t="str">
        <f>Geometry!M13</f>
        <v>S355 NL/ML</v>
      </c>
      <c r="T35" s="3">
        <f>Geometry_loads!L10</f>
        <v>-25729.462051282051</v>
      </c>
      <c r="U35" s="3">
        <f>Geometry_loads!M10</f>
        <v>-46336.420769230768</v>
      </c>
      <c r="V35" s="3">
        <f>Geometry_loads!N10</f>
        <v>558593.41025641025</v>
      </c>
      <c r="W35" s="3">
        <f>Geometry_loads!O10</f>
        <v>11747.70661538461</v>
      </c>
      <c r="X35" s="3">
        <f t="shared" ref="X35:Y35" si="81">X26</f>
        <v>0</v>
      </c>
      <c r="Y35" s="3">
        <f t="shared" si="81"/>
        <v>0</v>
      </c>
      <c r="Z35" s="18">
        <f t="shared" si="55"/>
        <v>2.1411084907569773</v>
      </c>
      <c r="AA35" s="224">
        <f t="shared" si="56"/>
        <v>3.9172955857455634</v>
      </c>
      <c r="AB35" s="224">
        <f t="shared" si="57"/>
        <v>3.7040000000000002</v>
      </c>
      <c r="AC35" s="120">
        <f t="shared" si="58"/>
        <v>92</v>
      </c>
      <c r="AD35" s="224">
        <f t="shared" si="59"/>
        <v>26.381003902219291</v>
      </c>
      <c r="AE35" s="224">
        <f t="shared" si="60"/>
        <v>0.31926527950032607</v>
      </c>
      <c r="AF35" s="224">
        <f t="shared" si="61"/>
        <v>0.4121748987910524</v>
      </c>
      <c r="AG35" s="224">
        <f t="shared" si="62"/>
        <v>0.29213997428025468</v>
      </c>
      <c r="AH35" s="224">
        <f t="shared" si="63"/>
        <v>0.97748827026432938</v>
      </c>
      <c r="AI35" s="224">
        <f t="shared" si="64"/>
        <v>227.37497601768752</v>
      </c>
      <c r="AJ35" s="224">
        <f t="shared" si="65"/>
        <v>1.1770202745326726</v>
      </c>
      <c r="AK35" s="224">
        <f t="shared" si="66"/>
        <v>0.36091266034553576</v>
      </c>
      <c r="AL35" s="224">
        <f t="shared" si="67"/>
        <v>0.92592161173225052</v>
      </c>
      <c r="AM35" s="224">
        <f t="shared" si="68"/>
        <v>0.85</v>
      </c>
      <c r="AN35" s="224">
        <f t="shared" si="69"/>
        <v>0</v>
      </c>
      <c r="AO35" s="224">
        <f t="shared" si="70"/>
        <v>0</v>
      </c>
      <c r="AP35" s="224">
        <f t="shared" si="71"/>
        <v>152.88612216424124</v>
      </c>
      <c r="AQ35" s="224">
        <f t="shared" si="72"/>
        <v>0</v>
      </c>
      <c r="AR35" s="224">
        <f t="shared" si="73"/>
        <v>0</v>
      </c>
      <c r="AS35" s="224">
        <f t="shared" si="74"/>
        <v>0</v>
      </c>
      <c r="AT35" s="224">
        <f t="shared" si="75"/>
        <v>0</v>
      </c>
      <c r="AU35" s="224">
        <f t="shared" si="76"/>
        <v>0</v>
      </c>
      <c r="AV35" s="224">
        <f t="shared" si="77"/>
        <v>0</v>
      </c>
      <c r="AW35" s="224">
        <f t="shared" si="78"/>
        <v>0</v>
      </c>
      <c r="AX35" s="224">
        <f t="shared" si="79"/>
        <v>0</v>
      </c>
    </row>
    <row r="36" spans="3:50">
      <c r="C36" s="12" t="str">
        <f t="shared" si="43"/>
        <v>Can4</v>
      </c>
      <c r="D36" s="2">
        <f t="shared" si="44"/>
        <v>5.5</v>
      </c>
      <c r="E36" s="3">
        <f t="shared" ref="E36:F36" si="82">G9</f>
        <v>7.5</v>
      </c>
      <c r="F36" s="120">
        <f t="shared" si="82"/>
        <v>100</v>
      </c>
      <c r="G36" s="120">
        <f t="shared" si="46"/>
        <v>146.17398912695111</v>
      </c>
      <c r="H36" s="120">
        <f t="shared" si="47"/>
        <v>15.358214845413986</v>
      </c>
      <c r="I36" s="120">
        <f t="shared" si="48"/>
        <v>10.045194749999999</v>
      </c>
      <c r="J36" s="120">
        <f>VLOOKUP(R36,'Steel grades'!$B$5:$J$22,IF(F36&gt;200,10,IF(F36&gt;150,9,IF(F36&gt;120,8,IF(F36&gt;100,7,IF(F36&gt;80,6,IF(F36&gt;63,5,IF(F36&gt;40,4,IF(F36&gt;16,3,2)))))))),FALSE)</f>
        <v>315</v>
      </c>
      <c r="K36" s="3">
        <f t="shared" si="49"/>
        <v>282.91001462464078</v>
      </c>
      <c r="L36" s="3">
        <f t="shared" si="50"/>
        <v>117.57592261310351</v>
      </c>
      <c r="M36" s="3">
        <f t="shared" si="51"/>
        <v>156.53858352644625</v>
      </c>
      <c r="N36" s="3">
        <f t="shared" si="52"/>
        <v>0.51668015118125732</v>
      </c>
      <c r="O36" s="3">
        <f t="shared" si="53"/>
        <v>0.48814323173752383</v>
      </c>
      <c r="P36" s="3">
        <f>(ABS(Geometry_loads!S11)/Z36+ABS(Geometry_loads!T11)/AA36)/(1000*J36)</f>
        <v>0.35315954603940003</v>
      </c>
      <c r="Q36" s="22">
        <f>IF(D36&gt;=$R$14,IF(P36&gt;0.75,"Redesign",IF(P36&lt;0.5,VLOOKUP(R36,'Steel grades'!$B$5:$AB$22,27,FALSE),(VLOOKUP(R36,'Steel grades'!$B$5:$AB$22,27,FALSE)-VLOOKUP(R36,'Steel grades'!$B$5:$AB$22,25,FALSE))/(0.5-0.75)*(P36-0.75)+VLOOKUP(R36,'Steel grades'!$B$5:$AB$22,25,FALSE))),IF(D36&lt;$R$2,IF(P36&gt;0.75,"Redesign",IF(P36&lt;0.5,VLOOKUP(R36,'Steel grades'!$B$5:$AB$22,18,FALSE),(VLOOKUP(R36,'Steel grades'!$B$5:$AB$22,18,FALSE)-VLOOKUP(R36,'Steel grades'!$B$5:$AB$22,11,FALSE))/(0.5-0.75)*(P36-0.75)+VLOOKUP(R36,'Steel grades'!$B$5:$AB$22,11,FALSE))),IF(P36&gt;0.75,"Redesign",IF(P36&lt;0.5,VLOOKUP(R36,'Steel grades'!$B$5:$AB$22,26,FALSE),(VLOOKUP(R36,'Steel grades'!$B$5:$AB$22,26,FALSE)-VLOOKUP(R36,'Steel grades'!$B$5:$AB$22,24,FALSE))/(0.5-0.75)*(P36-0.75)+VLOOKUP(R36,'Steel grades'!$B$5:$AB$22,24,FALSE)))))</f>
        <v>122.5</v>
      </c>
      <c r="R36" s="3" t="str">
        <f>Geometry!M14</f>
        <v>S355 NL/ML</v>
      </c>
      <c r="T36" s="3">
        <f>Geometry_loads!L11</f>
        <v>-27429.67</v>
      </c>
      <c r="U36" s="3">
        <f>Geometry_loads!M11</f>
        <v>-46345.27</v>
      </c>
      <c r="V36" s="3">
        <f>Geometry_loads!N11</f>
        <v>577926.10000000009</v>
      </c>
      <c r="W36" s="3">
        <f>Geometry_loads!O11</f>
        <v>11589.35</v>
      </c>
      <c r="X36" s="3">
        <f t="shared" ref="X36:Y36" si="83">X27</f>
        <v>0</v>
      </c>
      <c r="Y36" s="3">
        <f t="shared" si="83"/>
        <v>0</v>
      </c>
      <c r="Z36" s="18">
        <f t="shared" si="55"/>
        <v>2.3247785636564475</v>
      </c>
      <c r="AA36" s="224">
        <f t="shared" si="56"/>
        <v>4.2442707310487888</v>
      </c>
      <c r="AB36" s="224">
        <f t="shared" si="57"/>
        <v>3.7</v>
      </c>
      <c r="AC36" s="120">
        <f t="shared" si="58"/>
        <v>100</v>
      </c>
      <c r="AD36" s="224">
        <f t="shared" si="59"/>
        <v>25.317444045025024</v>
      </c>
      <c r="AE36" s="224">
        <f t="shared" si="60"/>
        <v>0.30666920236346579</v>
      </c>
      <c r="AF36" s="224">
        <f t="shared" si="61"/>
        <v>0.42049098550361969</v>
      </c>
      <c r="AG36" s="224">
        <f t="shared" si="62"/>
        <v>0.29192822790497164</v>
      </c>
      <c r="AH36" s="224">
        <f t="shared" si="63"/>
        <v>0.98793973360985676</v>
      </c>
      <c r="AI36" s="224">
        <f t="shared" si="64"/>
        <v>257.80750281976486</v>
      </c>
      <c r="AJ36" s="224">
        <f t="shared" si="65"/>
        <v>1.1053695602745908</v>
      </c>
      <c r="AK36" s="224">
        <f t="shared" si="66"/>
        <v>0.41058258690290117</v>
      </c>
      <c r="AL36" s="224">
        <f t="shared" si="67"/>
        <v>0.94681288258392471</v>
      </c>
      <c r="AM36" s="224">
        <f t="shared" si="68"/>
        <v>1</v>
      </c>
      <c r="AN36" s="224">
        <f t="shared" si="69"/>
        <v>0</v>
      </c>
      <c r="AO36" s="224">
        <f t="shared" si="70"/>
        <v>0</v>
      </c>
      <c r="AP36" s="224">
        <f t="shared" si="71"/>
        <v>146.17398912695111</v>
      </c>
      <c r="AQ36" s="224">
        <f t="shared" si="72"/>
        <v>0</v>
      </c>
      <c r="AR36" s="224">
        <f t="shared" si="73"/>
        <v>0</v>
      </c>
      <c r="AS36" s="224">
        <f t="shared" si="74"/>
        <v>0</v>
      </c>
      <c r="AT36" s="224">
        <f t="shared" si="75"/>
        <v>0</v>
      </c>
      <c r="AU36" s="224">
        <f t="shared" si="76"/>
        <v>0</v>
      </c>
      <c r="AV36" s="224">
        <f t="shared" si="77"/>
        <v>0</v>
      </c>
      <c r="AW36" s="224">
        <f t="shared" si="78"/>
        <v>0</v>
      </c>
      <c r="AX36" s="224">
        <f t="shared" si="79"/>
        <v>0</v>
      </c>
    </row>
  </sheetData>
  <sheetProtection sheet="1" objects="1" scenarios="1"/>
  <mergeCells count="95">
    <mergeCell ref="AS30:AS31"/>
    <mergeCell ref="AT30:AT31"/>
    <mergeCell ref="AB21:AB22"/>
    <mergeCell ref="AB30:AB31"/>
    <mergeCell ref="AN30:AN31"/>
    <mergeCell ref="AO30:AO31"/>
    <mergeCell ref="AP30:AP31"/>
    <mergeCell ref="AQ30:AQ31"/>
    <mergeCell ref="AR30:AR31"/>
    <mergeCell ref="AI30:AI31"/>
    <mergeCell ref="AJ30:AJ31"/>
    <mergeCell ref="AK30:AK31"/>
    <mergeCell ref="AL30:AL31"/>
    <mergeCell ref="AN21:AN22"/>
    <mergeCell ref="AT21:AT22"/>
    <mergeCell ref="AR21:AR22"/>
    <mergeCell ref="AS21:AS22"/>
    <mergeCell ref="AE21:AE22"/>
    <mergeCell ref="AF21:AF22"/>
    <mergeCell ref="AH21:AH22"/>
    <mergeCell ref="AI21:AI22"/>
    <mergeCell ref="AJ21:AJ22"/>
    <mergeCell ref="AP21:AP22"/>
    <mergeCell ref="AQ21:AQ22"/>
    <mergeCell ref="AU30:AU31"/>
    <mergeCell ref="AV30:AV31"/>
    <mergeCell ref="AW21:AW22"/>
    <mergeCell ref="AW30:AW31"/>
    <mergeCell ref="AX30:AX31"/>
    <mergeCell ref="AX21:AX22"/>
    <mergeCell ref="AU21:AU22"/>
    <mergeCell ref="AV21:AV22"/>
    <mergeCell ref="C21:C22"/>
    <mergeCell ref="D21:D22"/>
    <mergeCell ref="E21:E22"/>
    <mergeCell ref="F21:F22"/>
    <mergeCell ref="G21:G22"/>
    <mergeCell ref="H21:H22"/>
    <mergeCell ref="I21:I22"/>
    <mergeCell ref="J21:J22"/>
    <mergeCell ref="K21:K22"/>
    <mergeCell ref="L21:L22"/>
    <mergeCell ref="M21:M22"/>
    <mergeCell ref="N21:N22"/>
    <mergeCell ref="P21:P22"/>
    <mergeCell ref="Q21:Q22"/>
    <mergeCell ref="O21:O22"/>
    <mergeCell ref="C30:C31"/>
    <mergeCell ref="D30:D31"/>
    <mergeCell ref="E30:E31"/>
    <mergeCell ref="F30:F31"/>
    <mergeCell ref="G30:G31"/>
    <mergeCell ref="H30:H31"/>
    <mergeCell ref="I30:I31"/>
    <mergeCell ref="AO21:AO22"/>
    <mergeCell ref="V30:V31"/>
    <mergeCell ref="J30:J31"/>
    <mergeCell ref="K30:K31"/>
    <mergeCell ref="L30:L31"/>
    <mergeCell ref="M30:M31"/>
    <mergeCell ref="W21:W22"/>
    <mergeCell ref="X21:X22"/>
    <mergeCell ref="P30:P31"/>
    <mergeCell ref="Q30:Q31"/>
    <mergeCell ref="R30:R31"/>
    <mergeCell ref="Y21:Y22"/>
    <mergeCell ref="Z21:Z22"/>
    <mergeCell ref="AA21:AA22"/>
    <mergeCell ref="R21:R22"/>
    <mergeCell ref="T21:T22"/>
    <mergeCell ref="U21:U22"/>
    <mergeCell ref="V21:V22"/>
    <mergeCell ref="AM30:AM31"/>
    <mergeCell ref="AC21:AC22"/>
    <mergeCell ref="AD21:AD22"/>
    <mergeCell ref="AG21:AG22"/>
    <mergeCell ref="AK21:AK22"/>
    <mergeCell ref="AL21:AL22"/>
    <mergeCell ref="AM21:AM22"/>
    <mergeCell ref="C4:C5"/>
    <mergeCell ref="T30:T31"/>
    <mergeCell ref="U30:U31"/>
    <mergeCell ref="AH30:AH31"/>
    <mergeCell ref="AF30:AF31"/>
    <mergeCell ref="AE30:AE31"/>
    <mergeCell ref="W30:W31"/>
    <mergeCell ref="X30:X31"/>
    <mergeCell ref="Y30:Y31"/>
    <mergeCell ref="Z30:Z31"/>
    <mergeCell ref="AA30:AA31"/>
    <mergeCell ref="AC30:AC31"/>
    <mergeCell ref="AD30:AD31"/>
    <mergeCell ref="AG30:AG31"/>
    <mergeCell ref="N30:N31"/>
    <mergeCell ref="O30:O31"/>
  </mergeCells>
  <phoneticPr fontId="15" type="noConversion"/>
  <conditionalFormatting sqref="Q24:Q27 Q33:Q36">
    <cfRule type="cellIs" dxfId="23" priority="32" operator="greaterThan">
      <formula>F24</formula>
    </cfRule>
  </conditionalFormatting>
  <conditionalFormatting sqref="Q24:Q27 Q33:Q36">
    <cfRule type="cellIs" dxfId="22" priority="31" operator="lessThan">
      <formula>F24</formula>
    </cfRule>
  </conditionalFormatting>
  <conditionalFormatting sqref="N24:N27">
    <cfRule type="cellIs" dxfId="21" priority="13" operator="greaterThan">
      <formula>1</formula>
    </cfRule>
    <cfRule type="cellIs" dxfId="20" priority="14" operator="lessThan">
      <formula>0.9</formula>
    </cfRule>
    <cfRule type="cellIs" dxfId="19" priority="15" operator="greaterThan">
      <formula>0.9</formula>
    </cfRule>
  </conditionalFormatting>
  <conditionalFormatting sqref="N33:N36">
    <cfRule type="cellIs" dxfId="18" priority="10" operator="greaterThan">
      <formula>1</formula>
    </cfRule>
    <cfRule type="cellIs" dxfId="17" priority="11" operator="lessThan">
      <formula>0.9</formula>
    </cfRule>
    <cfRule type="cellIs" dxfId="16" priority="12" operator="greaterThan">
      <formula>0.9</formula>
    </cfRule>
  </conditionalFormatting>
  <conditionalFormatting sqref="O24:O27">
    <cfRule type="cellIs" dxfId="15" priority="4" operator="greaterThan">
      <formula>1</formula>
    </cfRule>
    <cfRule type="cellIs" dxfId="14" priority="5" operator="lessThan">
      <formula>0.9</formula>
    </cfRule>
    <cfRule type="cellIs" dxfId="13" priority="6" operator="greaterThan">
      <formula>0.9</formula>
    </cfRule>
  </conditionalFormatting>
  <conditionalFormatting sqref="O33:O36">
    <cfRule type="cellIs" dxfId="12" priority="1" operator="greaterThan">
      <formula>1</formula>
    </cfRule>
    <cfRule type="cellIs" dxfId="11" priority="2" operator="lessThan">
      <formula>0.9</formula>
    </cfRule>
    <cfRule type="cellIs" dxfId="10" priority="3" operator="greaterThan">
      <formula>0.9</formula>
    </cfRule>
  </conditionalFormatting>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DE92DF9-B8B9-4637-B769-C962F2C5A53D}">
          <x14:formula1>
            <xm:f>'Steel grades'!$B$5:$B$22</xm:f>
          </x14:formula1>
          <xm:sqref>R24:R28 R33:R36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7DE8A-1F2D-456C-A16D-EE5B7B3F26F9}">
  <sheetPr codeName="Tabelle14">
    <tabColor rgb="FF80C7C3"/>
  </sheetPr>
  <dimension ref="C1:AX85"/>
  <sheetViews>
    <sheetView topLeftCell="A4" workbookViewId="0"/>
  </sheetViews>
  <sheetFormatPr baseColWidth="10" defaultColWidth="10.5546875" defaultRowHeight="14.4"/>
  <cols>
    <col min="1" max="1" width="9.5546875" customWidth="1"/>
    <col min="2" max="2" width="3.5546875" bestFit="1" customWidth="1"/>
    <col min="3" max="4" width="9.5546875" customWidth="1"/>
    <col min="5" max="13" width="7" customWidth="1"/>
    <col min="14" max="15" width="7.44140625" customWidth="1"/>
    <col min="16" max="16" width="8.44140625" bestFit="1" customWidth="1"/>
    <col min="17" max="17" width="10.77734375" bestFit="1" customWidth="1"/>
    <col min="18" max="18" width="9.5546875" bestFit="1" customWidth="1"/>
    <col min="19" max="19" width="8.44140625" customWidth="1"/>
    <col min="20" max="20" width="8.21875" bestFit="1" customWidth="1"/>
    <col min="21" max="21" width="7.44140625" customWidth="1"/>
    <col min="22" max="22" width="8.5546875" customWidth="1"/>
    <col min="23" max="23" width="10" bestFit="1" customWidth="1"/>
    <col min="24" max="24" width="4.5546875" bestFit="1" customWidth="1"/>
    <col min="25" max="25" width="4.77734375" bestFit="1" customWidth="1"/>
    <col min="26" max="26" width="4.5546875" bestFit="1" customWidth="1"/>
    <col min="27" max="27" width="6" bestFit="1" customWidth="1"/>
    <col min="28" max="28" width="8.5546875" customWidth="1"/>
    <col min="29" max="29" width="10.77734375" bestFit="1" customWidth="1"/>
    <col min="38" max="38" width="9.44140625" bestFit="1" customWidth="1"/>
    <col min="40" max="40" width="9" bestFit="1" customWidth="1"/>
    <col min="41" max="41" width="8.5546875" bestFit="1" customWidth="1"/>
    <col min="42" max="42" width="10.5546875" customWidth="1"/>
    <col min="43" max="43" width="9" bestFit="1" customWidth="1"/>
    <col min="44" max="44" width="7.77734375" customWidth="1"/>
    <col min="45" max="45" width="12.44140625" customWidth="1"/>
    <col min="46" max="46" width="8" customWidth="1"/>
    <col min="47" max="48" width="11.44140625" customWidth="1"/>
    <col min="49" max="49" width="17" customWidth="1"/>
    <col min="50" max="50" width="13.44140625" customWidth="1"/>
    <col min="51" max="53" width="5" customWidth="1"/>
    <col min="54" max="54" width="5.5546875" customWidth="1"/>
    <col min="55" max="56" width="6.44140625" customWidth="1"/>
    <col min="57" max="57" width="5.5546875" customWidth="1"/>
    <col min="58" max="60" width="3.5546875" customWidth="1"/>
    <col min="61" max="64" width="3.44140625" customWidth="1"/>
    <col min="65" max="69" width="3.5546875" customWidth="1"/>
    <col min="70" max="71" width="3.44140625" customWidth="1"/>
    <col min="72" max="75" width="6.44140625" customWidth="1"/>
    <col min="76" max="83" width="6" customWidth="1"/>
    <col min="84" max="84" width="13.44140625" bestFit="1" customWidth="1"/>
  </cols>
  <sheetData>
    <row r="1" spans="3:32">
      <c r="P1" s="199" t="s">
        <v>589</v>
      </c>
      <c r="Q1" s="215"/>
      <c r="R1" s="215"/>
      <c r="S1" s="215"/>
      <c r="T1" s="216"/>
      <c r="U1" s="217" t="s">
        <v>590</v>
      </c>
      <c r="V1" s="217"/>
      <c r="W1" s="217"/>
      <c r="X1" s="217"/>
      <c r="Y1" s="217"/>
      <c r="Z1" s="218"/>
      <c r="AA1" s="209" t="s">
        <v>592</v>
      </c>
      <c r="AB1" s="217"/>
      <c r="AC1" s="217"/>
      <c r="AD1" s="217"/>
    </row>
    <row r="2" spans="3:32">
      <c r="P2" s="32" t="s">
        <v>137</v>
      </c>
      <c r="Q2" s="218"/>
      <c r="R2" s="210">
        <f>Control!$F$8</f>
        <v>-45.43</v>
      </c>
      <c r="S2" s="32" t="str">
        <f>"m"&amp;Control!$F$7</f>
        <v>mLAT</v>
      </c>
      <c r="T2" s="218"/>
      <c r="U2" s="32" t="s">
        <v>92</v>
      </c>
      <c r="V2" s="218"/>
      <c r="W2" s="210">
        <v>210000000</v>
      </c>
      <c r="X2" s="32" t="s">
        <v>93</v>
      </c>
      <c r="Y2" s="218"/>
      <c r="Z2" s="198"/>
      <c r="AA2" s="32" t="s">
        <v>593</v>
      </c>
      <c r="AB2" s="218"/>
      <c r="AC2" s="205" t="str">
        <f>Control!$F$31</f>
        <v>C</v>
      </c>
      <c r="AD2" s="218"/>
    </row>
    <row r="3" spans="3:32">
      <c r="C3" s="35" t="s">
        <v>468</v>
      </c>
      <c r="P3" s="32" t="s">
        <v>569</v>
      </c>
      <c r="Q3" s="218"/>
      <c r="R3" s="219">
        <f>MAX(R2-MIN(E6:E28),0)</f>
        <v>37.300000000000004</v>
      </c>
      <c r="S3" s="32" t="str">
        <f>"m"&amp;Control!$F$7</f>
        <v>mLAT</v>
      </c>
      <c r="T3" s="218"/>
      <c r="U3" s="32" t="s">
        <v>143</v>
      </c>
      <c r="V3" s="32"/>
      <c r="W3" s="210">
        <f>Control!$F$11</f>
        <v>1.0249999999999999</v>
      </c>
      <c r="X3" s="32" t="s">
        <v>144</v>
      </c>
      <c r="Y3" s="218"/>
      <c r="Z3" s="218"/>
      <c r="AA3" s="32" t="s">
        <v>595</v>
      </c>
      <c r="AB3" s="218"/>
      <c r="AC3" s="218"/>
      <c r="AD3" s="218"/>
    </row>
    <row r="4" spans="3:32">
      <c r="C4" s="308" t="s">
        <v>0</v>
      </c>
      <c r="D4" s="12" t="s">
        <v>1</v>
      </c>
      <c r="E4" s="12" t="s">
        <v>2</v>
      </c>
      <c r="F4" s="12" t="s">
        <v>104</v>
      </c>
      <c r="G4" s="12" t="s">
        <v>103</v>
      </c>
      <c r="H4" s="12" t="s">
        <v>5</v>
      </c>
      <c r="I4" s="12" t="s">
        <v>6</v>
      </c>
      <c r="J4" s="12" t="s">
        <v>7</v>
      </c>
      <c r="K4" s="12" t="s">
        <v>8</v>
      </c>
      <c r="L4" s="20"/>
      <c r="P4" s="32" t="s">
        <v>199</v>
      </c>
      <c r="Q4" s="32"/>
      <c r="R4" s="210">
        <f>MIN(SUM(I6:I28),D6-R2+R3*Control!F32)</f>
        <v>75.796666666666667</v>
      </c>
      <c r="S4" s="32" t="s">
        <v>91</v>
      </c>
      <c r="T4" s="218"/>
      <c r="U4" s="217" t="s">
        <v>591</v>
      </c>
      <c r="V4" s="217"/>
      <c r="W4" s="217"/>
      <c r="X4" s="217"/>
      <c r="Y4" s="217"/>
      <c r="Z4" s="218"/>
      <c r="AA4" s="218"/>
      <c r="AB4" s="218" t="s">
        <v>594</v>
      </c>
      <c r="AC4" s="210">
        <f>IF(AC2="A",40,IF(AC2="B",25,16))</f>
        <v>16</v>
      </c>
      <c r="AD4" s="218"/>
    </row>
    <row r="5" spans="3:32">
      <c r="C5" s="309"/>
      <c r="D5" s="12" t="str">
        <f>"[m"&amp;Control!$F$7&amp;"]"</f>
        <v>[mLAT]</v>
      </c>
      <c r="E5" s="12" t="str">
        <f>"[m"&amp;Control!$F$7&amp;"]"</f>
        <v>[mLAT]</v>
      </c>
      <c r="F5" s="12" t="s">
        <v>9</v>
      </c>
      <c r="G5" s="12" t="s">
        <v>9</v>
      </c>
      <c r="H5" s="12" t="s">
        <v>10</v>
      </c>
      <c r="I5" s="12" t="s">
        <v>9</v>
      </c>
      <c r="J5" s="12" t="s">
        <v>11</v>
      </c>
      <c r="K5" s="12" t="s">
        <v>12</v>
      </c>
      <c r="L5" s="20"/>
      <c r="P5" s="199" t="s">
        <v>548</v>
      </c>
      <c r="Q5" s="215"/>
      <c r="R5" s="215"/>
      <c r="S5" s="199"/>
      <c r="T5" s="218"/>
      <c r="U5" s="32" t="s">
        <v>139</v>
      </c>
      <c r="V5" s="32"/>
      <c r="W5" s="205">
        <f>Control!$F$35</f>
        <v>3.8</v>
      </c>
      <c r="X5" s="32" t="str">
        <f>"m"&amp;Control!$F$7</f>
        <v>mLAT</v>
      </c>
      <c r="Y5" s="218"/>
      <c r="Z5" s="218"/>
      <c r="AA5" s="32"/>
      <c r="AB5" s="204" t="s">
        <v>596</v>
      </c>
      <c r="AC5" s="210">
        <f>IF(AC2="A",0.75,IF(AC2="B",0.65,0.5))</f>
        <v>0.5</v>
      </c>
      <c r="AD5" s="32"/>
      <c r="AE5" s="32"/>
    </row>
    <row r="6" spans="3:32">
      <c r="C6" s="12">
        <v>1</v>
      </c>
      <c r="D6" s="44">
        <f>Geometry!D28</f>
        <v>5.5</v>
      </c>
      <c r="E6" s="44">
        <f>Geometry!E28</f>
        <v>1.6</v>
      </c>
      <c r="F6" s="44">
        <f>Geometry!F28</f>
        <v>7.5</v>
      </c>
      <c r="G6" s="44">
        <f>Geometry!G28</f>
        <v>7.5</v>
      </c>
      <c r="H6" s="44">
        <f>Geometry!H28</f>
        <v>108</v>
      </c>
      <c r="I6" s="56">
        <f>D6-E6</f>
        <v>3.9</v>
      </c>
      <c r="J6" s="57">
        <f>ATAN((G6-F6)/(2*I6))/PI()*180</f>
        <v>0</v>
      </c>
      <c r="K6" s="58">
        <f>IF(J6=0,PI()/4*(F6^2-(F6-(2*H6/1000))^2)*I6*7850/1000,(I6*PI()/12)*((G6^2+G6*F6+F6^2)-((G6-2*(H6/1000))^2+(G6-(2*H6/1000))*(F6-(2*H6/1000))+(F6-(2*H6/1000))^2))*7850/1000)</f>
        <v>76.783843986196089</v>
      </c>
      <c r="L6" s="21"/>
      <c r="P6" s="32" t="str">
        <f>Control!$E$16</f>
        <v>External upper limit</v>
      </c>
      <c r="Q6" s="218"/>
      <c r="R6" s="205">
        <f>Control!$F$16</f>
        <v>8.1</v>
      </c>
      <c r="S6" s="32" t="str">
        <f>"m"&amp;Control!$F$7</f>
        <v>mLAT</v>
      </c>
      <c r="T6" s="32"/>
      <c r="U6" s="32" t="s">
        <v>140</v>
      </c>
      <c r="V6" s="32"/>
      <c r="W6" s="205">
        <f>Control!$F$36</f>
        <v>17.3</v>
      </c>
      <c r="X6" s="32" t="str">
        <f>"m"&amp;Control!$F$7</f>
        <v>mLAT</v>
      </c>
      <c r="Y6" s="32"/>
      <c r="Z6" s="32"/>
      <c r="AA6" s="218"/>
      <c r="AB6" s="204" t="s">
        <v>597</v>
      </c>
      <c r="AC6" s="210">
        <f>IF(AC2="A",0.75,IF(AC2="B",0.65,0.5))</f>
        <v>0.5</v>
      </c>
      <c r="AD6" s="218"/>
    </row>
    <row r="7" spans="3:32">
      <c r="C7" s="12">
        <v>2</v>
      </c>
      <c r="D7" s="44">
        <f>Geometry!D29</f>
        <v>1.6</v>
      </c>
      <c r="E7" s="44">
        <f>Geometry!E29</f>
        <v>-2.2999999999999998</v>
      </c>
      <c r="F7" s="44">
        <f>Geometry!F29</f>
        <v>7.5</v>
      </c>
      <c r="G7" s="44">
        <f>Geometry!G29</f>
        <v>7.5</v>
      </c>
      <c r="H7" s="44">
        <f>Geometry!H29</f>
        <v>100</v>
      </c>
      <c r="I7" s="56">
        <f t="shared" ref="I7:I28" si="0">D7-E7</f>
        <v>3.9</v>
      </c>
      <c r="J7" s="57">
        <f t="shared" ref="J7:J28" si="1">ATAN((G7-F7)/(2*I7))/PI()*180</f>
        <v>0</v>
      </c>
      <c r="K7" s="58">
        <f t="shared" ref="K7:K28" si="2">IF(J7=0,PI()/4*(F7^2-(F7-(2*H7/1000))^2)*I7*7850/1000,(I7*PI()/12)*((G7^2+G7*F7+F7^2)-((G7-2*(H7/1000))^2+(G7-(2*H7/1000))*(F7-(2*H7/1000))+(F7-(2*H7/1000))^2))*7850/1000)</f>
        <v>71.17309572634214</v>
      </c>
      <c r="P7" s="32" t="str">
        <f>Control!$E$17</f>
        <v xml:space="preserve">External lower limit </v>
      </c>
      <c r="Q7" s="218"/>
      <c r="R7" s="205">
        <f>Control!$F$17</f>
        <v>-3.4</v>
      </c>
      <c r="S7" s="32" t="str">
        <f>"m"&amp;Control!$F$7</f>
        <v>mLAT</v>
      </c>
      <c r="T7" s="32"/>
      <c r="U7" s="32" t="s">
        <v>141</v>
      </c>
      <c r="V7" s="32"/>
      <c r="W7" s="210">
        <f>(1.35*(W6-W5)*W3*9.81)/1000</f>
        <v>0.18325693125</v>
      </c>
      <c r="X7" s="32" t="s">
        <v>142</v>
      </c>
      <c r="Y7" s="32"/>
      <c r="Z7" s="32"/>
      <c r="AB7" s="32" t="s">
        <v>650</v>
      </c>
      <c r="AC7">
        <v>3</v>
      </c>
    </row>
    <row r="8" spans="3:32">
      <c r="C8" s="12">
        <v>3</v>
      </c>
      <c r="D8" s="44">
        <f>Geometry!D30</f>
        <v>-2.2999999999999998</v>
      </c>
      <c r="E8" s="44">
        <f>Geometry!E30</f>
        <v>-6.2</v>
      </c>
      <c r="F8" s="44">
        <f>Geometry!F30</f>
        <v>7.5</v>
      </c>
      <c r="G8" s="44">
        <f>Geometry!G30</f>
        <v>7.5</v>
      </c>
      <c r="H8" s="44">
        <f>Geometry!H30</f>
        <v>100</v>
      </c>
      <c r="I8" s="56">
        <f t="shared" si="0"/>
        <v>3.9000000000000004</v>
      </c>
      <c r="J8" s="57">
        <f t="shared" si="1"/>
        <v>0</v>
      </c>
      <c r="K8" s="58">
        <f t="shared" si="2"/>
        <v>71.17309572634214</v>
      </c>
      <c r="P8" s="32" t="str">
        <f>Control!$E$18</f>
        <v>Internal upper limit</v>
      </c>
      <c r="Q8" s="218"/>
      <c r="R8" s="205">
        <f>Control!$F$18</f>
        <v>3</v>
      </c>
      <c r="S8" s="32" t="str">
        <f>"m"&amp;Control!$F$7</f>
        <v>mLAT</v>
      </c>
      <c r="T8" s="32"/>
      <c r="U8" s="209" t="s">
        <v>552</v>
      </c>
      <c r="V8" s="217"/>
      <c r="W8" s="217"/>
      <c r="X8" s="217"/>
      <c r="Y8" s="209"/>
      <c r="Z8" s="32"/>
      <c r="AA8" s="206" t="s">
        <v>550</v>
      </c>
      <c r="AB8" s="217"/>
      <c r="AC8" s="217"/>
      <c r="AD8" s="217"/>
    </row>
    <row r="9" spans="3:32">
      <c r="C9" s="12">
        <v>4</v>
      </c>
      <c r="D9" s="44">
        <f>Geometry!D31</f>
        <v>-6.2</v>
      </c>
      <c r="E9" s="44">
        <f>Geometry!E31</f>
        <v>-10.1</v>
      </c>
      <c r="F9" s="44">
        <f>Geometry!F31</f>
        <v>7.5</v>
      </c>
      <c r="G9" s="44">
        <f>Geometry!G31</f>
        <v>7.8282999999999996</v>
      </c>
      <c r="H9" s="44">
        <f>Geometry!H31</f>
        <v>100</v>
      </c>
      <c r="I9" s="56">
        <f t="shared" si="0"/>
        <v>3.8999999999999995</v>
      </c>
      <c r="J9" s="57">
        <f t="shared" si="1"/>
        <v>2.4101421139187913</v>
      </c>
      <c r="K9" s="58">
        <f t="shared" si="2"/>
        <v>72.751888113298889</v>
      </c>
      <c r="P9" s="32" t="str">
        <f>Control!$E$19</f>
        <v>Internal lower limit</v>
      </c>
      <c r="Q9" s="218"/>
      <c r="R9" s="205">
        <f>Control!$F$19</f>
        <v>-0.6</v>
      </c>
      <c r="S9" s="32" t="str">
        <f>"m"&amp;Control!$F$7</f>
        <v>mLAT</v>
      </c>
      <c r="T9" s="32"/>
      <c r="U9" s="32" t="s">
        <v>95</v>
      </c>
      <c r="V9" s="218"/>
      <c r="W9" s="205">
        <f>Control!$F$29</f>
        <v>1.1000000000000001</v>
      </c>
      <c r="X9" s="218"/>
      <c r="Y9" s="32"/>
      <c r="Z9" s="32"/>
      <c r="AA9" s="49" t="str">
        <f>Control!$E$12</f>
        <v xml:space="preserve">Corrosion allowance rate outside </v>
      </c>
      <c r="AB9" s="218"/>
      <c r="AC9" s="205">
        <f>Control!$F$12</f>
        <v>0.3</v>
      </c>
      <c r="AD9" s="218" t="s">
        <v>598</v>
      </c>
    </row>
    <row r="10" spans="3:32">
      <c r="C10" s="12">
        <v>5</v>
      </c>
      <c r="D10" s="44">
        <f>Geometry!D32</f>
        <v>-10.1</v>
      </c>
      <c r="E10" s="44">
        <f>Geometry!E32</f>
        <v>-14</v>
      </c>
      <c r="F10" s="44">
        <f>Geometry!F32</f>
        <v>7.8282999999999996</v>
      </c>
      <c r="G10" s="44">
        <f>Geometry!G32</f>
        <v>8.1565999999999992</v>
      </c>
      <c r="H10" s="44">
        <f>Geometry!H32</f>
        <v>106</v>
      </c>
      <c r="I10" s="56">
        <f t="shared" si="0"/>
        <v>3.9000000000000004</v>
      </c>
      <c r="J10" s="57">
        <f t="shared" si="1"/>
        <v>2.4101421139187904</v>
      </c>
      <c r="K10" s="58">
        <f t="shared" si="2"/>
        <v>80.402870870063566</v>
      </c>
      <c r="P10" s="202" t="s">
        <v>127</v>
      </c>
      <c r="Q10" s="202"/>
      <c r="R10" s="203" t="s">
        <v>133</v>
      </c>
      <c r="S10" s="203"/>
      <c r="T10" s="32"/>
      <c r="U10" s="32" t="s">
        <v>96</v>
      </c>
      <c r="V10" s="218"/>
      <c r="W10" s="205">
        <f>Control!$F$28</f>
        <v>1</v>
      </c>
      <c r="X10" s="32"/>
      <c r="Y10" s="32"/>
      <c r="Z10" s="32"/>
      <c r="AA10" s="49" t="str">
        <f>Control!$E$13</f>
        <v xml:space="preserve">Corrosion allowance rate inside </v>
      </c>
      <c r="AB10" s="218"/>
      <c r="AC10" s="205">
        <f>Control!$F$13</f>
        <v>0.15</v>
      </c>
      <c r="AD10" s="218" t="s">
        <v>598</v>
      </c>
    </row>
    <row r="11" spans="3:32">
      <c r="C11" s="12">
        <v>6</v>
      </c>
      <c r="D11" s="44">
        <f>Geometry!D33</f>
        <v>-14</v>
      </c>
      <c r="E11" s="44">
        <f>Geometry!E33</f>
        <v>-17.899999999999999</v>
      </c>
      <c r="F11" s="44">
        <f>Geometry!F33</f>
        <v>8.1565999999999992</v>
      </c>
      <c r="G11" s="44">
        <f>Geometry!G33</f>
        <v>8.4847999999999999</v>
      </c>
      <c r="H11" s="44">
        <f>Geometry!H33</f>
        <v>98</v>
      </c>
      <c r="I11" s="56">
        <f t="shared" si="0"/>
        <v>3.8999999999999986</v>
      </c>
      <c r="J11" s="57">
        <f t="shared" si="1"/>
        <v>2.4094088512562686</v>
      </c>
      <c r="K11" s="58">
        <f t="shared" si="2"/>
        <v>77.504096478974418</v>
      </c>
      <c r="P11" s="201" t="s">
        <v>130</v>
      </c>
      <c r="Q11" s="214">
        <f>Control!$F$23</f>
        <v>-15</v>
      </c>
      <c r="R11" s="214">
        <f>Q11+Q13</f>
        <v>-25</v>
      </c>
      <c r="S11" s="32" t="s">
        <v>167</v>
      </c>
      <c r="T11" s="32"/>
      <c r="U11" s="218"/>
      <c r="V11" s="218"/>
      <c r="W11" s="218"/>
      <c r="X11" s="218"/>
      <c r="Y11" s="218"/>
      <c r="Z11" s="218"/>
      <c r="AA11" s="32" t="s">
        <v>43</v>
      </c>
      <c r="AB11" s="218"/>
      <c r="AC11" s="205">
        <f>'FLS TP'!AF24</f>
        <v>12</v>
      </c>
      <c r="AD11" s="218" t="s">
        <v>276</v>
      </c>
      <c r="AE11" s="32"/>
      <c r="AF11" s="32"/>
    </row>
    <row r="12" spans="3:32">
      <c r="C12" s="12">
        <v>7</v>
      </c>
      <c r="D12" s="44">
        <f>Geometry!D34</f>
        <v>-17.899999999999999</v>
      </c>
      <c r="E12" s="44">
        <f>Geometry!E34</f>
        <v>-21.8</v>
      </c>
      <c r="F12" s="44">
        <f>Geometry!F34</f>
        <v>8.4847999999999999</v>
      </c>
      <c r="G12" s="44">
        <f>Geometry!G34</f>
        <v>8.8131000000000004</v>
      </c>
      <c r="H12" s="44">
        <f>Geometry!H34</f>
        <v>93</v>
      </c>
      <c r="I12" s="56">
        <f t="shared" si="0"/>
        <v>3.9000000000000021</v>
      </c>
      <c r="J12" s="57">
        <f t="shared" si="1"/>
        <v>2.4101421139187957</v>
      </c>
      <c r="K12" s="58">
        <f t="shared" si="2"/>
        <v>76.530636080163617</v>
      </c>
      <c r="P12" s="201" t="s">
        <v>131</v>
      </c>
      <c r="Q12" s="214">
        <f>Control!$F$24</f>
        <v>-5</v>
      </c>
      <c r="R12" s="214">
        <f>Q12+Q13</f>
        <v>-15</v>
      </c>
      <c r="S12" s="32" t="s">
        <v>167</v>
      </c>
      <c r="T12" s="32"/>
      <c r="U12" s="218"/>
      <c r="V12" s="218"/>
      <c r="W12" s="218"/>
      <c r="X12" s="218"/>
      <c r="Y12" s="218"/>
      <c r="Z12" s="218"/>
      <c r="AA12" s="218"/>
      <c r="AB12" s="218"/>
      <c r="AC12" s="32"/>
      <c r="AD12" s="218"/>
    </row>
    <row r="13" spans="3:32">
      <c r="C13" s="12">
        <v>8</v>
      </c>
      <c r="D13" s="44">
        <f>Geometry!D35</f>
        <v>-21.8</v>
      </c>
      <c r="E13" s="44">
        <f>Geometry!E35</f>
        <v>-25.7</v>
      </c>
      <c r="F13" s="44">
        <f>Geometry!F35</f>
        <v>8.8131000000000004</v>
      </c>
      <c r="G13" s="44">
        <f>Geometry!G35</f>
        <v>9.1414000000000009</v>
      </c>
      <c r="H13" s="44">
        <f>Geometry!H35</f>
        <v>93</v>
      </c>
      <c r="I13" s="56">
        <f t="shared" si="0"/>
        <v>3.8999999999999986</v>
      </c>
      <c r="J13" s="57">
        <f t="shared" si="1"/>
        <v>2.4101421139187984</v>
      </c>
      <c r="K13" s="58">
        <f t="shared" si="2"/>
        <v>79.467189919903291</v>
      </c>
      <c r="P13" s="201" t="s">
        <v>128</v>
      </c>
      <c r="Q13" s="214">
        <f>Control!$F$25</f>
        <v>-10</v>
      </c>
      <c r="R13" s="214"/>
      <c r="S13" s="32" t="s">
        <v>167</v>
      </c>
      <c r="T13" s="32"/>
      <c r="U13" s="218"/>
      <c r="V13" s="218"/>
      <c r="W13" s="218"/>
      <c r="X13" s="218"/>
      <c r="Y13" s="218"/>
      <c r="Z13" s="218"/>
      <c r="AA13" s="218"/>
      <c r="AB13" s="218"/>
      <c r="AC13" s="218"/>
      <c r="AD13" s="218"/>
    </row>
    <row r="14" spans="3:32">
      <c r="C14" s="12">
        <v>9</v>
      </c>
      <c r="D14" s="44">
        <f>Geometry!D36</f>
        <v>-25.7</v>
      </c>
      <c r="E14" s="44">
        <f>Geometry!E36</f>
        <v>-29.6</v>
      </c>
      <c r="F14" s="44">
        <f>Geometry!F36</f>
        <v>9.1414000000000009</v>
      </c>
      <c r="G14" s="44">
        <f>Geometry!G36</f>
        <v>9.4696999999999996</v>
      </c>
      <c r="H14" s="44">
        <f>Geometry!H36</f>
        <v>93</v>
      </c>
      <c r="I14" s="56">
        <f t="shared" si="0"/>
        <v>3.9000000000000021</v>
      </c>
      <c r="J14" s="57">
        <f t="shared" si="1"/>
        <v>2.4101421139187829</v>
      </c>
      <c r="K14" s="58">
        <f t="shared" si="2"/>
        <v>82.403743759642452</v>
      </c>
      <c r="P14" s="200" t="s">
        <v>608</v>
      </c>
      <c r="Q14" s="200"/>
      <c r="R14" s="214">
        <f>Control!$F$22</f>
        <v>0</v>
      </c>
      <c r="S14" s="32" t="str">
        <f>"m"&amp;Control!$F$7</f>
        <v>mLAT</v>
      </c>
      <c r="T14" s="32"/>
      <c r="U14" s="218"/>
      <c r="V14" s="218"/>
      <c r="W14" s="218"/>
      <c r="X14" s="218"/>
      <c r="Y14" s="218"/>
      <c r="Z14" s="218"/>
      <c r="AA14" s="218"/>
      <c r="AB14" s="218"/>
      <c r="AC14" s="218"/>
      <c r="AD14" s="218"/>
    </row>
    <row r="15" spans="3:32">
      <c r="C15" s="12">
        <v>10</v>
      </c>
      <c r="D15" s="44">
        <f>Geometry!D37</f>
        <v>-29.6</v>
      </c>
      <c r="E15" s="44">
        <f>Geometry!E37</f>
        <v>-33.5</v>
      </c>
      <c r="F15" s="44">
        <f>Geometry!F37</f>
        <v>9.4696999999999996</v>
      </c>
      <c r="G15" s="44">
        <f>Geometry!G37</f>
        <v>9.8000000000000007</v>
      </c>
      <c r="H15" s="44">
        <f>Geometry!H37</f>
        <v>93</v>
      </c>
      <c r="I15" s="56">
        <f t="shared" si="0"/>
        <v>3.8999999999999986</v>
      </c>
      <c r="J15" s="57">
        <f t="shared" si="1"/>
        <v>2.4248072009611419</v>
      </c>
      <c r="K15" s="58">
        <f t="shared" si="2"/>
        <v>85.349242326277192</v>
      </c>
      <c r="T15" s="32"/>
      <c r="U15" s="218"/>
      <c r="V15" s="218"/>
      <c r="W15" s="218"/>
      <c r="X15" s="218"/>
      <c r="Y15" s="218"/>
      <c r="Z15" s="32"/>
      <c r="AA15" s="32"/>
      <c r="AB15" s="32"/>
      <c r="AC15" s="218"/>
      <c r="AD15" s="218"/>
    </row>
    <row r="16" spans="3:32">
      <c r="C16" s="12">
        <v>11</v>
      </c>
      <c r="D16" s="44">
        <f>Geometry!D38</f>
        <v>-33.5</v>
      </c>
      <c r="E16" s="44">
        <f>Geometry!E38</f>
        <v>-36.799999999999997</v>
      </c>
      <c r="F16" s="44">
        <f>Geometry!F38</f>
        <v>9.8000000000000007</v>
      </c>
      <c r="G16" s="44">
        <f>Geometry!G38</f>
        <v>9.8000000000000007</v>
      </c>
      <c r="H16" s="44">
        <f>Geometry!H38</f>
        <v>93</v>
      </c>
      <c r="I16" s="56">
        <f t="shared" si="0"/>
        <v>3.2999999999999972</v>
      </c>
      <c r="J16" s="57">
        <f t="shared" si="1"/>
        <v>0</v>
      </c>
      <c r="K16" s="58">
        <f t="shared" si="2"/>
        <v>73.468546438727955</v>
      </c>
    </row>
    <row r="17" spans="3:50">
      <c r="C17" s="12">
        <v>12</v>
      </c>
      <c r="D17" s="44">
        <f>Geometry!D39</f>
        <v>-36.799999999999997</v>
      </c>
      <c r="E17" s="44">
        <f>Geometry!E39</f>
        <v>-40.200000000000003</v>
      </c>
      <c r="F17" s="44">
        <f>Geometry!F39</f>
        <v>9.8000000000000007</v>
      </c>
      <c r="G17" s="44">
        <f>Geometry!G39</f>
        <v>9.8000000000000007</v>
      </c>
      <c r="H17" s="44">
        <f>Geometry!H39</f>
        <v>93</v>
      </c>
      <c r="I17" s="56">
        <f t="shared" si="0"/>
        <v>3.4000000000000057</v>
      </c>
      <c r="J17" s="57">
        <f t="shared" si="1"/>
        <v>0</v>
      </c>
      <c r="K17" s="58">
        <f t="shared" si="2"/>
        <v>75.694866027780506</v>
      </c>
      <c r="W17" s="32"/>
      <c r="X17" s="32"/>
    </row>
    <row r="18" spans="3:50">
      <c r="C18" s="12">
        <v>13</v>
      </c>
      <c r="D18" s="44">
        <f>Geometry!D40</f>
        <v>-40.200000000000003</v>
      </c>
      <c r="E18" s="44">
        <f>Geometry!E40</f>
        <v>-43.8</v>
      </c>
      <c r="F18" s="44">
        <f>Geometry!F40</f>
        <v>9.8000000000000007</v>
      </c>
      <c r="G18" s="44">
        <f>Geometry!G40</f>
        <v>9.8000000000000007</v>
      </c>
      <c r="H18" s="44">
        <f>Geometry!H40</f>
        <v>102</v>
      </c>
      <c r="I18" s="56">
        <f t="shared" si="0"/>
        <v>3.5999999999999943</v>
      </c>
      <c r="J18" s="57">
        <f t="shared" si="1"/>
        <v>0</v>
      </c>
      <c r="K18" s="58">
        <f t="shared" si="2"/>
        <v>87.822214054197303</v>
      </c>
      <c r="W18" s="32"/>
      <c r="X18" s="32"/>
    </row>
    <row r="19" spans="3:50">
      <c r="C19" s="12">
        <v>14</v>
      </c>
      <c r="D19" s="44">
        <f>Geometry!D41</f>
        <v>-43.8</v>
      </c>
      <c r="E19" s="44">
        <f>Geometry!E41</f>
        <v>-47.8</v>
      </c>
      <c r="F19" s="44">
        <f>Geometry!F41</f>
        <v>9.8000000000000007</v>
      </c>
      <c r="G19" s="44">
        <f>Geometry!G41</f>
        <v>9.8000000000000007</v>
      </c>
      <c r="H19" s="44">
        <f>Geometry!H41</f>
        <v>92</v>
      </c>
      <c r="I19" s="56">
        <f t="shared" si="0"/>
        <v>4</v>
      </c>
      <c r="J19" s="57">
        <f t="shared" si="1"/>
        <v>0</v>
      </c>
      <c r="K19" s="58">
        <f t="shared" si="2"/>
        <v>88.104302182456252</v>
      </c>
      <c r="W19" s="32"/>
      <c r="X19" s="32"/>
      <c r="Y19" s="32"/>
      <c r="Z19" s="32"/>
      <c r="AA19" s="32"/>
      <c r="AB19" s="32"/>
    </row>
    <row r="20" spans="3:50">
      <c r="C20" s="12">
        <v>15</v>
      </c>
      <c r="D20" s="44">
        <f>Geometry!D42</f>
        <v>-47.8</v>
      </c>
      <c r="E20" s="44">
        <f>Geometry!E42</f>
        <v>-51.8</v>
      </c>
      <c r="F20" s="44">
        <f>Geometry!F42</f>
        <v>9.8000000000000007</v>
      </c>
      <c r="G20" s="44">
        <f>Geometry!G42</f>
        <v>9.8000000000000007</v>
      </c>
      <c r="H20" s="44">
        <f>Geometry!H42</f>
        <v>90</v>
      </c>
      <c r="I20" s="56">
        <f t="shared" si="0"/>
        <v>4</v>
      </c>
      <c r="J20" s="57">
        <f t="shared" si="1"/>
        <v>0</v>
      </c>
      <c r="K20" s="58">
        <f t="shared" si="2"/>
        <v>86.206747547124479</v>
      </c>
      <c r="W20" s="32"/>
      <c r="X20" s="32"/>
      <c r="Y20" s="32"/>
      <c r="Z20" s="32"/>
      <c r="AA20" s="32"/>
      <c r="AB20" s="32"/>
    </row>
    <row r="21" spans="3:50">
      <c r="C21" s="12">
        <v>16</v>
      </c>
      <c r="D21" s="44">
        <f>Geometry!D43</f>
        <v>-51.8</v>
      </c>
      <c r="E21" s="44">
        <f>Geometry!E43</f>
        <v>-55.8</v>
      </c>
      <c r="F21" s="44">
        <f>Geometry!F43</f>
        <v>9.8000000000000007</v>
      </c>
      <c r="G21" s="44">
        <f>Geometry!G43</f>
        <v>9.8000000000000007</v>
      </c>
      <c r="H21" s="44">
        <f>Geometry!H43</f>
        <v>81</v>
      </c>
      <c r="I21" s="56">
        <f t="shared" si="0"/>
        <v>4</v>
      </c>
      <c r="J21" s="57">
        <f t="shared" si="1"/>
        <v>0</v>
      </c>
      <c r="K21" s="58">
        <f t="shared" si="2"/>
        <v>77.657985733209031</v>
      </c>
      <c r="W21" s="32"/>
      <c r="X21" s="32"/>
      <c r="Y21" s="32"/>
      <c r="Z21" s="32"/>
      <c r="AA21" s="32"/>
      <c r="AB21" s="32"/>
    </row>
    <row r="22" spans="3:50">
      <c r="C22" s="12">
        <v>17</v>
      </c>
      <c r="D22" s="44">
        <f>Geometry!D44</f>
        <v>-55.8</v>
      </c>
      <c r="E22" s="44">
        <f>Geometry!E44</f>
        <v>-59.8</v>
      </c>
      <c r="F22" s="44">
        <f>Geometry!F44</f>
        <v>9.8000000000000007</v>
      </c>
      <c r="G22" s="44">
        <f>Geometry!G44</f>
        <v>9.8000000000000007</v>
      </c>
      <c r="H22" s="44">
        <f>Geometry!H44</f>
        <v>81</v>
      </c>
      <c r="I22" s="56">
        <f t="shared" si="0"/>
        <v>4</v>
      </c>
      <c r="J22" s="57">
        <f t="shared" si="1"/>
        <v>0</v>
      </c>
      <c r="K22" s="58">
        <f t="shared" si="2"/>
        <v>77.657985733209031</v>
      </c>
      <c r="W22" s="32"/>
      <c r="X22" s="32"/>
      <c r="Y22" s="32"/>
      <c r="Z22" s="32"/>
      <c r="AA22" s="32"/>
      <c r="AB22" s="32"/>
    </row>
    <row r="23" spans="3:50">
      <c r="C23" s="12">
        <v>18</v>
      </c>
      <c r="D23" s="44">
        <f>Geometry!D45</f>
        <v>-59.8</v>
      </c>
      <c r="E23" s="44">
        <f>Geometry!E45</f>
        <v>-63.8</v>
      </c>
      <c r="F23" s="44">
        <f>Geometry!F45</f>
        <v>9.8000000000000007</v>
      </c>
      <c r="G23" s="44">
        <f>Geometry!G45</f>
        <v>9.8000000000000007</v>
      </c>
      <c r="H23" s="44">
        <f>Geometry!H45</f>
        <v>81</v>
      </c>
      <c r="I23" s="56">
        <f t="shared" si="0"/>
        <v>4</v>
      </c>
      <c r="J23" s="57">
        <f t="shared" si="1"/>
        <v>0</v>
      </c>
      <c r="K23" s="58">
        <f t="shared" si="2"/>
        <v>77.657985733209031</v>
      </c>
      <c r="W23" s="32"/>
      <c r="X23" s="32"/>
      <c r="Y23" s="32"/>
      <c r="Z23" s="32"/>
      <c r="AA23" s="32"/>
      <c r="AB23" s="32"/>
    </row>
    <row r="24" spans="3:50">
      <c r="C24" s="12">
        <v>19</v>
      </c>
      <c r="D24" s="44">
        <f>Geometry!D46</f>
        <v>-63.8</v>
      </c>
      <c r="E24" s="44">
        <f>Geometry!E46</f>
        <v>-67.8</v>
      </c>
      <c r="F24" s="44">
        <f>Geometry!F46</f>
        <v>9.8000000000000007</v>
      </c>
      <c r="G24" s="44">
        <f>Geometry!G46</f>
        <v>9.8000000000000007</v>
      </c>
      <c r="H24" s="44">
        <f>Geometry!H46</f>
        <v>81</v>
      </c>
      <c r="I24" s="56">
        <f t="shared" si="0"/>
        <v>4</v>
      </c>
      <c r="J24" s="57">
        <f t="shared" si="1"/>
        <v>0</v>
      </c>
      <c r="K24" s="58">
        <f t="shared" si="2"/>
        <v>77.657985733209031</v>
      </c>
      <c r="W24" s="32"/>
      <c r="X24" s="32"/>
      <c r="Y24" s="32"/>
      <c r="Z24" s="32"/>
      <c r="AA24" s="32"/>
      <c r="AB24" s="32"/>
    </row>
    <row r="25" spans="3:50">
      <c r="C25" s="12">
        <v>20</v>
      </c>
      <c r="D25" s="44">
        <f>Geometry!D47</f>
        <v>-67.8</v>
      </c>
      <c r="E25" s="44">
        <f>Geometry!E47</f>
        <v>-71.8</v>
      </c>
      <c r="F25" s="44">
        <f>Geometry!F47</f>
        <v>9.8000000000000007</v>
      </c>
      <c r="G25" s="44">
        <f>Geometry!G47</f>
        <v>9.8000000000000007</v>
      </c>
      <c r="H25" s="44">
        <f>Geometry!H47</f>
        <v>81</v>
      </c>
      <c r="I25" s="56">
        <f t="shared" si="0"/>
        <v>4</v>
      </c>
      <c r="J25" s="57">
        <f t="shared" si="1"/>
        <v>0</v>
      </c>
      <c r="K25" s="58">
        <f t="shared" si="2"/>
        <v>77.657985733209031</v>
      </c>
      <c r="W25" s="32"/>
      <c r="X25" s="32"/>
      <c r="Y25" s="32"/>
      <c r="Z25" s="32"/>
      <c r="AA25" s="32"/>
      <c r="AB25" s="32"/>
    </row>
    <row r="26" spans="3:50">
      <c r="C26" s="12">
        <v>21</v>
      </c>
      <c r="D26" s="44">
        <f>Geometry!D48</f>
        <v>-71.8</v>
      </c>
      <c r="E26" s="44">
        <f>Geometry!E48</f>
        <v>-75.8</v>
      </c>
      <c r="F26" s="44">
        <f>Geometry!F48</f>
        <v>9.8000000000000007</v>
      </c>
      <c r="G26" s="44">
        <f>Geometry!G48</f>
        <v>9.8000000000000007</v>
      </c>
      <c r="H26" s="44">
        <f>Geometry!H48</f>
        <v>90</v>
      </c>
      <c r="I26" s="56">
        <f t="shared" si="0"/>
        <v>4</v>
      </c>
      <c r="J26" s="57">
        <f t="shared" si="1"/>
        <v>0</v>
      </c>
      <c r="K26" s="58">
        <f t="shared" si="2"/>
        <v>86.206747547124479</v>
      </c>
      <c r="W26" s="32"/>
      <c r="X26" s="32"/>
      <c r="Y26" s="32"/>
      <c r="Z26" s="32"/>
      <c r="AA26" s="32"/>
      <c r="AB26" s="32"/>
    </row>
    <row r="27" spans="3:50">
      <c r="C27" s="12">
        <v>22</v>
      </c>
      <c r="D27" s="44">
        <f>Geometry!D49</f>
        <v>-75.8</v>
      </c>
      <c r="E27" s="44">
        <f>Geometry!E49</f>
        <v>-79.73</v>
      </c>
      <c r="F27" s="44">
        <f>Geometry!F49</f>
        <v>9.8000000000000007</v>
      </c>
      <c r="G27" s="44">
        <f>Geometry!G49</f>
        <v>9.8000000000000007</v>
      </c>
      <c r="H27" s="44">
        <f>Geometry!H49</f>
        <v>95</v>
      </c>
      <c r="I27" s="56">
        <f t="shared" si="0"/>
        <v>3.9300000000000068</v>
      </c>
      <c r="J27" s="57">
        <f t="shared" si="1"/>
        <v>0</v>
      </c>
      <c r="K27" s="58">
        <f t="shared" si="2"/>
        <v>89.357544242521442</v>
      </c>
      <c r="W27" s="32"/>
      <c r="X27" s="32"/>
      <c r="Y27" s="32"/>
      <c r="Z27" s="32"/>
      <c r="AA27" s="32"/>
      <c r="AB27" s="32"/>
    </row>
    <row r="28" spans="3:50">
      <c r="C28" s="12">
        <v>23</v>
      </c>
      <c r="D28" s="44">
        <f>Geometry!D50</f>
        <v>-79.73</v>
      </c>
      <c r="E28" s="44">
        <f>Geometry!E50</f>
        <v>-82.73</v>
      </c>
      <c r="F28" s="44">
        <f>Geometry!F50</f>
        <v>9.8000000000000007</v>
      </c>
      <c r="G28" s="44">
        <f>Geometry!G50</f>
        <v>9.8000000000000007</v>
      </c>
      <c r="H28" s="44">
        <f>Geometry!H50</f>
        <v>100</v>
      </c>
      <c r="I28" s="56">
        <f t="shared" si="0"/>
        <v>3</v>
      </c>
      <c r="J28" s="57">
        <f t="shared" si="1"/>
        <v>0</v>
      </c>
      <c r="K28" s="58">
        <f t="shared" si="2"/>
        <v>71.764971782278351</v>
      </c>
      <c r="W28" s="32"/>
      <c r="X28" s="32"/>
      <c r="Y28" s="32"/>
      <c r="Z28" s="32"/>
      <c r="AA28" s="32"/>
      <c r="AB28" s="32"/>
    </row>
    <row r="29" spans="3:50">
      <c r="W29" s="32"/>
      <c r="X29" s="32"/>
      <c r="Y29" s="32"/>
      <c r="Z29" s="32"/>
      <c r="AA29" s="32"/>
      <c r="AB29" s="32"/>
    </row>
    <row r="30" spans="3:50">
      <c r="W30" s="32"/>
      <c r="X30" s="32"/>
      <c r="Y30" s="32"/>
      <c r="Z30" s="32"/>
      <c r="AA30" s="32"/>
      <c r="AB30" s="32"/>
    </row>
    <row r="31" spans="3:50">
      <c r="C31" s="35" t="s">
        <v>224</v>
      </c>
      <c r="I31" s="19"/>
      <c r="J31" s="19"/>
      <c r="N31" s="19"/>
    </row>
    <row r="32" spans="3:50" ht="15" customHeight="1">
      <c r="C32" s="317" t="s">
        <v>225</v>
      </c>
      <c r="D32" s="317" t="s">
        <v>53</v>
      </c>
      <c r="E32" s="317" t="s">
        <v>105</v>
      </c>
      <c r="F32" s="317" t="s">
        <v>101</v>
      </c>
      <c r="G32" s="329" t="s">
        <v>574</v>
      </c>
      <c r="H32" s="332" t="s">
        <v>575</v>
      </c>
      <c r="I32" s="329" t="s">
        <v>576</v>
      </c>
      <c r="J32" s="317" t="s">
        <v>100</v>
      </c>
      <c r="K32" s="329" t="s">
        <v>94</v>
      </c>
      <c r="L32" s="329" t="s">
        <v>577</v>
      </c>
      <c r="M32" s="332" t="s">
        <v>578</v>
      </c>
      <c r="N32" s="317" t="s">
        <v>106</v>
      </c>
      <c r="O32" s="317" t="s">
        <v>107</v>
      </c>
      <c r="P32" s="317" t="s">
        <v>136</v>
      </c>
      <c r="Q32" s="317" t="s">
        <v>290</v>
      </c>
      <c r="R32" s="317" t="s">
        <v>108</v>
      </c>
      <c r="T32" s="317" t="s">
        <v>73</v>
      </c>
      <c r="U32" s="317" t="s">
        <v>78</v>
      </c>
      <c r="V32" s="317" t="s">
        <v>79</v>
      </c>
      <c r="W32" s="317" t="s">
        <v>80</v>
      </c>
      <c r="X32" s="317" t="s">
        <v>84</v>
      </c>
      <c r="Y32" s="317" t="s">
        <v>85</v>
      </c>
      <c r="Z32" s="317" t="s">
        <v>86</v>
      </c>
      <c r="AA32" s="317" t="s">
        <v>87</v>
      </c>
      <c r="AB32" s="317" t="s">
        <v>605</v>
      </c>
      <c r="AC32" s="317" t="s">
        <v>579</v>
      </c>
      <c r="AD32" s="317" t="s">
        <v>580</v>
      </c>
      <c r="AE32" s="328" t="s">
        <v>582</v>
      </c>
      <c r="AF32" s="317" t="s">
        <v>581</v>
      </c>
      <c r="AG32" s="328" t="s">
        <v>583</v>
      </c>
      <c r="AH32" s="328" t="s">
        <v>584</v>
      </c>
      <c r="AI32" s="317" t="s">
        <v>587</v>
      </c>
      <c r="AJ32" s="328" t="s">
        <v>588</v>
      </c>
      <c r="AK32" s="328" t="s">
        <v>585</v>
      </c>
      <c r="AL32" s="328" t="s">
        <v>586</v>
      </c>
      <c r="AM32" s="317" t="s">
        <v>97</v>
      </c>
      <c r="AN32" s="317" t="s">
        <v>205</v>
      </c>
      <c r="AO32" s="317" t="s">
        <v>206</v>
      </c>
      <c r="AP32" s="317" t="s">
        <v>599</v>
      </c>
      <c r="AQ32" s="317" t="s">
        <v>600</v>
      </c>
      <c r="AR32" s="317" t="s">
        <v>601</v>
      </c>
      <c r="AS32" s="317" t="s">
        <v>602</v>
      </c>
      <c r="AT32" s="317" t="s">
        <v>603</v>
      </c>
      <c r="AU32" s="317" t="s">
        <v>147</v>
      </c>
      <c r="AV32" s="317" t="s">
        <v>145</v>
      </c>
      <c r="AW32" s="317" t="s">
        <v>146</v>
      </c>
      <c r="AX32" s="317" t="s">
        <v>604</v>
      </c>
    </row>
    <row r="33" spans="3:50" ht="18.75" customHeight="1">
      <c r="C33" s="318">
        <v>0</v>
      </c>
      <c r="D33" s="318">
        <v>0</v>
      </c>
      <c r="E33" s="318"/>
      <c r="F33" s="318"/>
      <c r="G33" s="318"/>
      <c r="H33" s="312"/>
      <c r="I33" s="318"/>
      <c r="J33" s="318"/>
      <c r="K33" s="318"/>
      <c r="L33" s="318"/>
      <c r="M33" s="312"/>
      <c r="N33" s="318"/>
      <c r="O33" s="318"/>
      <c r="P33" s="318"/>
      <c r="Q33" s="318"/>
      <c r="R33" s="318"/>
      <c r="T33" s="318"/>
      <c r="U33" s="318"/>
      <c r="V33" s="318"/>
      <c r="W33" s="318"/>
      <c r="X33" s="318"/>
      <c r="Y33" s="318"/>
      <c r="Z33" s="318"/>
      <c r="AA33" s="318"/>
      <c r="AB33" s="318"/>
      <c r="AC33" s="318"/>
      <c r="AD33" s="318"/>
      <c r="AE33" s="318"/>
      <c r="AF33" s="318"/>
      <c r="AG33" s="318"/>
      <c r="AH33" s="318"/>
      <c r="AI33" s="318"/>
      <c r="AJ33" s="333"/>
      <c r="AK33" s="318"/>
      <c r="AL33" s="318"/>
      <c r="AM33" s="318"/>
      <c r="AN33" s="318"/>
      <c r="AO33" s="318"/>
      <c r="AP33" s="318"/>
      <c r="AQ33" s="318"/>
      <c r="AR33" s="318"/>
      <c r="AS33" s="318"/>
      <c r="AT33" s="318"/>
      <c r="AU33" s="318"/>
      <c r="AV33" s="318"/>
      <c r="AW33" s="318"/>
      <c r="AX33" s="318"/>
    </row>
    <row r="34" spans="3:50">
      <c r="C34" s="30" t="s">
        <v>16</v>
      </c>
      <c r="D34" s="30" t="str">
        <f>"[m"&amp;Control!$F$7&amp;"]"</f>
        <v>[mLAT]</v>
      </c>
      <c r="E34" s="30" t="s">
        <v>9</v>
      </c>
      <c r="F34" s="34" t="s">
        <v>10</v>
      </c>
      <c r="G34" s="34" t="s">
        <v>77</v>
      </c>
      <c r="H34" s="34" t="s">
        <v>77</v>
      </c>
      <c r="I34" s="34" t="s">
        <v>77</v>
      </c>
      <c r="J34" s="34" t="s">
        <v>77</v>
      </c>
      <c r="K34" s="34" t="s">
        <v>77</v>
      </c>
      <c r="L34" s="34" t="s">
        <v>77</v>
      </c>
      <c r="M34" s="30" t="s">
        <v>77</v>
      </c>
      <c r="N34" s="30" t="s">
        <v>16</v>
      </c>
      <c r="O34" s="30" t="s">
        <v>16</v>
      </c>
      <c r="P34" s="30" t="s">
        <v>16</v>
      </c>
      <c r="Q34" s="30" t="s">
        <v>10</v>
      </c>
      <c r="R34" s="30" t="s">
        <v>16</v>
      </c>
      <c r="T34" s="34" t="s">
        <v>81</v>
      </c>
      <c r="U34" s="34" t="s">
        <v>82</v>
      </c>
      <c r="V34" s="34" t="s">
        <v>83</v>
      </c>
      <c r="W34" s="34" t="s">
        <v>81</v>
      </c>
      <c r="X34" s="34" t="s">
        <v>88</v>
      </c>
      <c r="Y34" s="34" t="s">
        <v>88</v>
      </c>
      <c r="Z34" s="34" t="s">
        <v>89</v>
      </c>
      <c r="AA34" s="34" t="s">
        <v>90</v>
      </c>
      <c r="AB34" s="34" t="s">
        <v>573</v>
      </c>
      <c r="AC34" s="34" t="s">
        <v>10</v>
      </c>
      <c r="AD34" s="34" t="s">
        <v>16</v>
      </c>
      <c r="AE34" s="34" t="s">
        <v>16</v>
      </c>
      <c r="AF34" s="34" t="s">
        <v>16</v>
      </c>
      <c r="AG34" s="34" t="s">
        <v>16</v>
      </c>
      <c r="AH34" s="34" t="s">
        <v>16</v>
      </c>
      <c r="AI34" s="34" t="s">
        <v>16</v>
      </c>
      <c r="AJ34" s="34" t="s">
        <v>16</v>
      </c>
      <c r="AK34" s="34" t="s">
        <v>16</v>
      </c>
      <c r="AL34" s="34" t="s">
        <v>16</v>
      </c>
      <c r="AM34" s="34" t="s">
        <v>16</v>
      </c>
      <c r="AN34" s="34" t="s">
        <v>11</v>
      </c>
      <c r="AO34" s="34" t="s">
        <v>11</v>
      </c>
      <c r="AP34" s="30" t="s">
        <v>77</v>
      </c>
      <c r="AQ34" s="30" t="s">
        <v>77</v>
      </c>
      <c r="AR34" s="30" t="s">
        <v>77</v>
      </c>
      <c r="AS34" s="34" t="s">
        <v>16</v>
      </c>
      <c r="AT34" s="30" t="s">
        <v>77</v>
      </c>
      <c r="AU34" s="34" t="s">
        <v>16</v>
      </c>
      <c r="AV34" s="34" t="s">
        <v>16</v>
      </c>
      <c r="AW34" s="34" t="s">
        <v>16</v>
      </c>
      <c r="AX34" s="34" t="s">
        <v>16</v>
      </c>
    </row>
    <row r="35" spans="3:50" ht="14.85" customHeight="1">
      <c r="C35" s="12" t="str">
        <f>"Can"&amp;TEXT(C6,"0")</f>
        <v>Can1</v>
      </c>
      <c r="D35" s="2">
        <f>D6</f>
        <v>5.5</v>
      </c>
      <c r="E35" s="43">
        <f>F6</f>
        <v>7.5</v>
      </c>
      <c r="F35" s="120">
        <f>H6</f>
        <v>108</v>
      </c>
      <c r="G35" s="120">
        <f>ABS(T35/(2*PI()*AB35*AC35))+ABS(V35/(PI()*(AB35^2)*AC35))</f>
        <v>140.43562315242426</v>
      </c>
      <c r="H35" s="120">
        <f>ABS(W35/(PI()*AB35*AC35))+ABS(U35/(2*PI()*(AB35^2)*AC35))</f>
        <v>14.742145758936124</v>
      </c>
      <c r="I35" s="120">
        <f>IF(OR(D35&lt;$R$2,D35&gt;$W$6),0,IF(D35&lt;=$W$5,$W$7*AB35/(AC35/1000),$W$7*AB35/(AC35/1000)*($W$6-D35)/($W$6-$W$5)))</f>
        <v>5.6679831942672418</v>
      </c>
      <c r="J35" s="120">
        <f>VLOOKUP(R35,'Steel grades'!$B$5:$J$22,IF(F35&gt;200,10,IF(F35&gt;150,9,IF(F35&gt;120,8,IF(F35&gt;100,7,IF(F35&gt;80,6,IF(F35&gt;63,5,IF(F35&gt;40,4,IF(F35&gt;16,3,2)))))))),FALSE)</f>
        <v>295</v>
      </c>
      <c r="K35" s="120">
        <f>AH35*J35/$W$9*AM35</f>
        <v>251.61679897925774</v>
      </c>
      <c r="L35" s="3">
        <f>AK35*J35/$W$9</f>
        <v>23.634142239930714</v>
      </c>
      <c r="M35" s="3">
        <f>AL35*J35/$W$9/SQRT(3)</f>
        <v>122.46565026029629</v>
      </c>
      <c r="N35" s="3">
        <f>MAX(G35/K35,H35/M35,I35/L35,(G35/K35)^(1.25+0.75*AH35)-(AH35*AK35)^2*(G35/K35)*(I35/L35)+(I35/L35)^(1.25+0.75*AK35)+(H35/M35)^(1.75+0.25*AL35),AS35,AX35)</f>
        <v>0.55813293755478222</v>
      </c>
      <c r="O35" s="3">
        <f>MAX(SQRT(G35^2+I35^2-IF(G35&gt;0,-G35,G35)*I35+3*H35^2)/(J35/$W$10),AU35)</f>
        <v>0.49359319147546071</v>
      </c>
      <c r="P35" s="3">
        <f>(ABS(Geometry_loads!S18)/Z35+ABS(Geometry_loads!T18)/AA35)/(1000*J35)</f>
        <v>0.36249731549048692</v>
      </c>
      <c r="Q35" s="22">
        <f>IF(D35&gt;=$R$14,IF(P35&gt;0.75,"Redesign",IF(P35&lt;0.5,VLOOKUP(R35,'Steel grades'!$B$5:$AB$22,27,FALSE),(VLOOKUP(R35,'Steel grades'!$B$5:$AB$22,27,FALSE)-VLOOKUP(R35,'Steel grades'!$B$5:$AB$22,25,FALSE))/(0.5-0.75)*(P35-0.75)+VLOOKUP(R35,'Steel grades'!$B$5:$AB$22,25,FALSE))),IF(D35&lt;$R$2,IF(P35&gt;0.75,"Redesign",IF(P35&lt;0.5,VLOOKUP(R35,'Steel grades'!$B$5:$AB$22,18,FALSE),(VLOOKUP(R35,'Steel grades'!$B$5:$AB$22,18,FALSE)-VLOOKUP(R35,'Steel grades'!$B$5:$AB$22,11,FALSE))/(0.5-0.75)*(P35-0.75)+VLOOKUP(R35,'Steel grades'!$B$5:$AB$22,11,FALSE))),IF(P35&gt;0.75,"Redesign",IF(P35&lt;0.5,VLOOKUP(R35,'Steel grades'!$B$5:$AB$22,26,FALSE),(VLOOKUP(R35,'Steel grades'!$B$5:$AB$22,26,FALSE)-VLOOKUP(R35,'Steel grades'!$B$5:$AB$22,24,FALSE))/(0.5-0.75)*(P35-0.75)+VLOOKUP(R35,'Steel grades'!$B$5:$AB$22,24,FALSE)))))</f>
        <v>122.5</v>
      </c>
      <c r="R35" s="3" t="str">
        <f>Geometry!M28</f>
        <v>S355 NL/ML</v>
      </c>
      <c r="T35" s="3">
        <f>Geometry_loads!L18</f>
        <v>-27429.67</v>
      </c>
      <c r="U35" s="3">
        <f>Geometry_loads!M18</f>
        <v>-46345.27</v>
      </c>
      <c r="V35" s="3">
        <f>Geometry_loads!N18</f>
        <v>577926.10000000009</v>
      </c>
      <c r="W35" s="3">
        <f>Geometry_loads!O18</f>
        <v>11589.35</v>
      </c>
      <c r="X35" s="3">
        <f t="shared" ref="X35" si="3">IF(OR(D35&gt;=$R$6,D35&lt;=$R$7),0,$AC$9*$AC$11)</f>
        <v>3.5999999999999996</v>
      </c>
      <c r="Y35" s="3">
        <f t="shared" ref="Y35" si="4">IF(OR(D35&gt;=$R$8,D35&lt;=$R$9),0,$AC$10*$AC$11)</f>
        <v>0</v>
      </c>
      <c r="Z35" s="18">
        <f>PI()/4*((E35-2*X35/1000)^2-((E35-2*X35/1000)-2*(F35-X35-Y35)/1000)^2)</f>
        <v>2.4232642260901303</v>
      </c>
      <c r="AA35" s="224">
        <f>PI()/32*((E35-2*X35/1000)^4-((E35-2*X35/1000)-2*(F35-X35-Y35)/1000)^4)/(E35-2*X35/1000)</f>
        <v>4.4145266496493258</v>
      </c>
      <c r="AB35" s="224">
        <f>(0.5*E35-(X35/1000))-(0.5*(AC35/1000))</f>
        <v>3.6941999999999999</v>
      </c>
      <c r="AC35" s="120">
        <f>F35-X35-Y35</f>
        <v>104.4</v>
      </c>
      <c r="AD35" s="224">
        <f>$R$4/SQRT(AB35*AC35/1000)</f>
        <v>122.05052605541465</v>
      </c>
      <c r="AE35" s="224">
        <f>(J35/((0.605*$W$2*IF(AD35&gt;0.5*(AB35)/(AC35/1000),MAX(0.6,1+0.2/$AC$7*(1-2*AD35*(AC35/1000)/(AB35))),IF(AD35&lt;=1.7,1.36-(1.83/AD35)+(2.07/AD35^2),1)))*((AC35/1000)/(AB35)/1000)))^0.5</f>
        <v>0.36797719386199512</v>
      </c>
      <c r="AF35" s="224">
        <f>0.62/(1+1.91*((((AB35)/(AC35/1000))^0.5*(AC35/1000)/$AC$4)/(AC35/1000))^1.44)</f>
        <v>0.42481366719080393</v>
      </c>
      <c r="AG35" s="224">
        <f>IF(AND((AB35)/(AC35/1000)&lt;=150,AD35&lt;=6*(AB35)/(AC35/1000),$W$2/(J35*1000)&lt;=1000,500&lt;=$W$2/(J35*1000)),0.2+0.1*(ABS(V35/(PI()*(AB35^2)*AC35))/G35),0.2)</f>
        <v>0.29193986109986464</v>
      </c>
      <c r="AH35" s="224">
        <f>IF(AE35&lt;=AG35,1,IF(AE35&gt;=(AF35/(1-0.6))^0.5,AF35/(AE35^2),1-0.6*((AE35-(AG35))/((AF35/(1-0.6))^0.5-AG35))))</f>
        <v>0.93823213178706277</v>
      </c>
      <c r="AI35" s="224">
        <f>IF(AD35/1.25&gt;1.63*((AB35)/(AC35/1000)),$W$2/1000*(AC35/(AB35*1000))^2*(0.275+2.03*(1.25/AD35*AB35*1000/AC35)^4),IF(AD35/1.25&lt;20,0.92*$W$2/1000*((1.25+(8/AD35^2)-(4/AD35^3))/AD35)*((AC35/1000)/(AB35)),0.92*$W$2/1000*(1.25/AD35)*((AC35/1000)/(AB35))))</f>
        <v>51.995112927847572</v>
      </c>
      <c r="AJ35" s="224">
        <f>SQRT(J35/AI35)</f>
        <v>2.3819341177275888</v>
      </c>
      <c r="AK35" s="224">
        <f>IF(AJ35&lt;0.4,1,IF(AJ35&lt;SQRT($AC$5/(1-0.6)),1-0.6*((AJ35-0.4)/(SQRT($AC$5/(1-0.6))-0.4)^1),$AC$5/AJ35^2))</f>
        <v>8.8127310047199287E-2</v>
      </c>
      <c r="AL35" s="224">
        <f>IF(((J35/SQRT(3)/(0.75*$W$2*(IF(AD35&lt;10,SQRT(1+42/(AD35^3)),IF(AD35&gt;8.7*(AB35)/(AC35/1000),(1/3)*SQRT(AD35*(AC35/1000)/(AB35)),1)))*(1/AD35)^0.5*((AC35/1000)/(AB35))/1000))^0.5)&lt;=0.4,1,IF(((J35/SQRT(3)/(0.75*$W$2*(IF(AD35&lt;10,SQRT(1+42/(AD35^3)),IF(AD35&gt;8.7*(AB35)/(AC35/1000),(1/3)*SQRT(AD35*(AC35/1000)/(AB35)),1)))*(1/AD35)^0.5*((AC35/1000)/(AB35))/1000))^0.5)&gt;=($AC$6/(1-0.6))^0.5,$AC$6/(((J35/SQRT(3)/(0.75*$W$2*(IF(AD35&lt;10,SQRT(1+42/(AD35^3)),IF(AD35&gt;8.7*(AB35)/(AC35/1000),(1/3)*SQRT(AD35*(AC35/1000)/(AB35)),1)))*(1/AD35)^0.5*((AC35/1000)/(AB35))/1000))^0.5)^2),1-0.6*((((J35/SQRT(3)/(0.75*$W$2*(IF(AD35&lt;10,SQRT(1+42/(AD35^3)),IF(AD35&gt;8.7*(AB35)/(AC35/1000),(1/3)*SQRT(AD35*(AC35/1000)/(AB35)),1)))*(1/AD35)^0.5*((AC35/1000)/(AB35))/1000))^0.5)-(0.4))/(($AC$6/(1-0.6))^0.5-0.4))))</f>
        <v>0.79094373313923139</v>
      </c>
      <c r="AM35" s="224">
        <f>IF(_xlfn.MINIFS(Geometry!$AJ$28:$AJ$35,Geometry!$AI$28:$AI$35,"o",Geometry!$AK$28:$AK$35,C6)&lt;=0,1,_xlfn.MINIFS(Geometry!$AJ$28:$AJ$35,Geometry!$AI$28:$AI$35,"o",Geometry!$AK$28:$AK$35,C6))</f>
        <v>1</v>
      </c>
      <c r="AN35" s="224">
        <f>IF(NOT(ISNUMBER(D34)),0,ABS(J5-J6))</f>
        <v>0</v>
      </c>
      <c r="AO35" s="224">
        <f>MAX(AN35,J6)</f>
        <v>0</v>
      </c>
      <c r="AP35" s="224">
        <f>((ABS(T35/(PI()*((E35-2*X35/1000)-((AC35))/1000*COS(AO35*PI()/180))*(AC35)/1000))/1000)+ABS((4*V35)/(PI()*((E35-X35/1000)-((F35-X35-Y35)/1000)*COS(AO35*PI()/180))^2*((AC35)/1000))/1000))/COS(AO35*PI()/180)</f>
        <v>140.30989113015198</v>
      </c>
      <c r="AQ35" s="224">
        <f>((0.6*(F35-X35-Y35)*((E35*1000-2*X35)*(2*(AC35)))^0.5)/((AC35)^2))*(G35*TAN(AN35*PI()/180))</f>
        <v>0</v>
      </c>
      <c r="AR35" s="224">
        <f>IF(AN35=0,0,0.45*((E35*1000-2*X35)/(AC35))^0.5*G35*TAN(AN35*PI()/180)+I35)</f>
        <v>0</v>
      </c>
      <c r="AS35" s="224">
        <f>IF(AO35=0,0,1.18*AP35/IF(J35/(2*0.3*$W$2/1000*(AC35)/1000/(E35-2*X35/1000))&lt;=0.17,J35,(1.047-0.274*(J35/(2*0.3*$W$2/1000*(AC35)/1000/(E35-2*X35/1000))))*J35))</f>
        <v>0</v>
      </c>
      <c r="AT35" s="224">
        <f>IF(AN35=0,0,MAX(G35+AQ35,AP35+AQ35))</f>
        <v>0</v>
      </c>
      <c r="AU35" s="224">
        <f>(AT35^2+AR35^2+AR35*AT35)^0.5/(J35/$W$10)</f>
        <v>0</v>
      </c>
      <c r="AV35" s="224">
        <f>1.1*AT35/J35</f>
        <v>0</v>
      </c>
      <c r="AW35" s="224">
        <f>1.25*AR35/IF(0.4*$W$2/1000*(AC35)/1000/(E35-2*X35/1000)/J35&gt;2.44,J35,IF(0.4*$W$2/1000*(AC35)/1000/(E35-2*X35/1000)/J35&lt;=0.55,0.4*$W$2/1000*(AC35)/1000/(E35-2*X35/1000),MIN(0.7*(0.4*$W$2/1000*(AC35)/1000/(E35-2*X35/1000)/J35)^0.4*J35,J35)))</f>
        <v>0</v>
      </c>
      <c r="AX35" s="224">
        <f>MAX(AV35^2+AW35^(2*(5-4*(IF(0.4*$W$2/1000*(AC35)/1000/(E35-2*(X35/1000))/J35&gt;2.44,J35,IF(0.4*$W$2/1000*(AC35)/1000/(E35-2*(X35/1000))/J35&lt;=0.55,0.4*$W$2/1000*(AC35)/1000/(E35-2*(X35/1000)),MIN(0.7*(0.4*$W$2/1000*(AC35)/1000/(E35-2*(X35/1000))/J35)^0.4*J35,J35)))/J35)))+2*0.3*AV35*AW35,AW35,AT35/(IF(J35/(2*0.3*$W$2/1000*(AC35)/1000/(E35-2*(X35/1000)))&lt;=0.17,J35,(1.047-0.274*(J35/(2*0.3*$W$2/1000*(AC35)/1000/(E35-2*(X35/1000)))))*J35)/1.18))</f>
        <v>0</v>
      </c>
    </row>
    <row r="36" spans="3:50" ht="14.85" customHeight="1">
      <c r="C36" s="12" t="str">
        <f t="shared" ref="C36:C57" si="5">"Can"&amp;TEXT(C7,"0")</f>
        <v>Can2</v>
      </c>
      <c r="D36" s="2">
        <f t="shared" ref="D36:D57" si="6">D7</f>
        <v>1.6</v>
      </c>
      <c r="E36" s="43">
        <f t="shared" ref="E36:E57" si="7">F7</f>
        <v>7.5</v>
      </c>
      <c r="F36" s="120">
        <f t="shared" ref="F36:F57" si="8">H7</f>
        <v>100</v>
      </c>
      <c r="G36" s="120">
        <f t="shared" ref="G36:G57" si="9">ABS(T36/(2*PI()*AB36*AC36))+ABS(V36/(PI()*(AB36^2)*AC36))</f>
        <v>160.33048346921555</v>
      </c>
      <c r="H36" s="120">
        <f t="shared" ref="H36:H57" si="10">ABS(W36/(PI()*AB36*AC36))+ABS(U36/(2*PI()*(AB36^2)*AC36))</f>
        <v>15.657395750320326</v>
      </c>
      <c r="I36" s="120">
        <f t="shared" ref="I36:I57" si="11">IF(OR(D36&lt;$R$2,D36&gt;$W$6),0,IF(D36&lt;=$W$5,$W$7*AB36/(AC36/1000),$W$7*AB36/(AC36/1000)*($W$6-D36)/($W$6-$W$5)))</f>
        <v>7.1658109343221463</v>
      </c>
      <c r="J36" s="120">
        <f>VLOOKUP(R36,'Steel grades'!$B$5:$J$22,IF(F36&gt;200,10,IF(F36&gt;150,9,IF(F36&gt;120,8,IF(F36&gt;100,7,IF(F36&gt;80,6,IF(F36&gt;63,5,IF(F36&gt;40,4,IF(F36&gt;16,3,2)))))))),FALSE)</f>
        <v>315</v>
      </c>
      <c r="K36" s="120">
        <f t="shared" ref="K36:K57" si="12">AH36*J36/$W$9*AM36</f>
        <v>262.55165028731642</v>
      </c>
      <c r="L36" s="3">
        <f t="shared" ref="L36:L57" si="13">AK36*J36/$W$9</f>
        <v>19.851581868366207</v>
      </c>
      <c r="M36" s="3">
        <f t="shared" ref="M36:M57" si="14">AL36*J36/$W$9/SQRT(3)</f>
        <v>121.82606527870573</v>
      </c>
      <c r="N36" s="3">
        <f t="shared" ref="N36:N57" si="15">MAX(G36/K36,H36/M36,I36/L36,(G36/K36)^(1.25+0.75*AH36)-(AH36*AK36)^2*(G36/K36)*(I36/L36)+(I36/L36)^(1.25+0.75*AK36)+(H36/M36)^(1.75+0.25*AL36),AS36,AX36)</f>
        <v>0.66792829659145692</v>
      </c>
      <c r="O36" s="3">
        <f t="shared" ref="O36:O57" si="16">MAX(SQRT(G36^2+I36^2-IF(G36&gt;0,-G36,G36)*I36+3*H36^2)/(J36/$W$10),AU36)</f>
        <v>0.52780174508095168</v>
      </c>
      <c r="P36" s="3">
        <f>(ABS(Geometry_loads!S19)/Z36+ABS(Geometry_loads!T19)/AA36)/(1000*J36)</f>
        <v>0.38708747187544396</v>
      </c>
      <c r="Q36" s="22">
        <f>IF(D36&gt;=$R$14,IF(P36&gt;0.75,"Redesign",IF(P36&lt;0.5,VLOOKUP(R36,'Steel grades'!$B$5:$AB$22,27,FALSE),(VLOOKUP(R36,'Steel grades'!$B$5:$AB$22,27,FALSE)-VLOOKUP(R36,'Steel grades'!$B$5:$AB$22,25,FALSE))/(0.5-0.75)*(P36-0.75)+VLOOKUP(R36,'Steel grades'!$B$5:$AB$22,25,FALSE))),IF(D36&lt;$R$2,IF(P36&gt;0.75,"Redesign",IF(P36&lt;0.5,VLOOKUP(R36,'Steel grades'!$B$5:$AB$22,18,FALSE),(VLOOKUP(R36,'Steel grades'!$B$5:$AB$22,18,FALSE)-VLOOKUP(R36,'Steel grades'!$B$5:$AB$22,11,FALSE))/(0.5-0.75)*(P36-0.75)+VLOOKUP(R36,'Steel grades'!$B$5:$AB$22,11,FALSE))),IF(P36&gt;0.75,"Redesign",IF(P36&lt;0.5,VLOOKUP(R36,'Steel grades'!$B$5:$AB$22,26,FALSE),(VLOOKUP(R36,'Steel grades'!$B$5:$AB$22,26,FALSE)-VLOOKUP(R36,'Steel grades'!$B$5:$AB$22,24,FALSE))/(0.5-0.75)*(P36-0.75)+VLOOKUP(R36,'Steel grades'!$B$5:$AB$22,24,FALSE)))))</f>
        <v>122.5</v>
      </c>
      <c r="R36" s="3" t="str">
        <f>Geometry!M29</f>
        <v>S355 NL/ML</v>
      </c>
      <c r="T36" s="3">
        <f>Geometry_loads!L19</f>
        <v>-29625.58</v>
      </c>
      <c r="U36" s="3">
        <f>Geometry_loads!M19</f>
        <v>-46354.1</v>
      </c>
      <c r="V36" s="3">
        <f>Geometry_loads!N19</f>
        <v>597208.5</v>
      </c>
      <c r="W36" s="3">
        <f>Geometry_loads!O19</f>
        <v>10947.41</v>
      </c>
      <c r="X36" s="3">
        <f t="shared" ref="X36:X57" si="17">IF(OR(D36&gt;=$R$6,D36&lt;=$R$7),0,$AC$9*$AC$11)</f>
        <v>3.5999999999999996</v>
      </c>
      <c r="Y36" s="3">
        <f t="shared" ref="Y36:Y57" si="18">IF(OR(D36&gt;=$R$8,D36&lt;=$R$9),0,$AC$10*$AC$11)</f>
        <v>1.7999999999999998</v>
      </c>
      <c r="Z36" s="18">
        <f t="shared" ref="Z36:Z57" si="19">PI()/4*((E36-2*X36/1000)^2-((E36-2*X36/1000)-2*(F36-X36-Y36)/1000)^2)</f>
        <v>2.1987055708219416</v>
      </c>
      <c r="AA36" s="224">
        <f t="shared" ref="AA36:AA57" si="20">PI()/32*((E36-2*X36/1000)^4-((E36-2*X36/1000)-2*(F36-X36-Y36)/1000)^4)/(E36-2*X36/1000)</f>
        <v>4.0159295334706364</v>
      </c>
      <c r="AB36" s="224">
        <f t="shared" ref="AB36:AB57" si="21">(0.5*E36-(X36/1000))-(0.5*(AC36/1000))</f>
        <v>3.6991000000000001</v>
      </c>
      <c r="AC36" s="120">
        <f t="shared" ref="AC36:AC57" si="22">F36-X36-Y36</f>
        <v>94.600000000000009</v>
      </c>
      <c r="AD36" s="224">
        <f t="shared" ref="AD36:AD57" si="23">$R$4/SQRT(AB36*AC36/1000)</f>
        <v>128.13167477754743</v>
      </c>
      <c r="AE36" s="224">
        <f t="shared" ref="AE36:AE57" si="24">(J36/((0.605*$W$2*IF(AD36&gt;0.5*(AB36)/(AC36/1000),MAX(0.6,1+0.2/$AC$7*(1-2*AD36*(AC36/1000)/(AB36))),IF(AD36&lt;=1.7,1.36-(1.83/AD36)+(2.07/AD36^2),1)))*((AC36/1000)/(AB36)/1000)))^0.5</f>
        <v>0.39235883827672757</v>
      </c>
      <c r="AF36" s="224">
        <f t="shared" ref="AF36:AF57" si="25">0.62/(1+1.91*((((AB36)/(AC36/1000))^0.5*(AC36/1000)/$AC$4)/(AC36/1000))^1.44)</f>
        <v>0.41506875192459314</v>
      </c>
      <c r="AG36" s="224">
        <f t="shared" ref="AG36:AG57" si="26">IF(AND((AB36)/(AC36/1000)&lt;=150,AD36&lt;=6*(AB36)/(AC36/1000),$W$2/(J36*1000)&lt;=1000,500&lt;=$W$2/(J36*1000)),0.2+0.1*(ABS(V36/(PI()*(AB36^2)*AC36))/G36),0.2)</f>
        <v>0.29159604568935543</v>
      </c>
      <c r="AH36" s="224">
        <f t="shared" ref="AH36:AH57" si="27">IF(AE36&lt;=AG36,1,IF(AE36&gt;=(AF36/(1-0.6))^0.5,AF36/(AE36^2),1-0.6*((AE36-(AG36))/((AF36/(1-0.6))^0.5-AG36))))</f>
        <v>0.91684703274935897</v>
      </c>
      <c r="AI36" s="224">
        <f t="shared" ref="AI36:AI57" si="28">IF(AD36/1.25&gt;1.63*((AB36)/(AC36/1000)),$W$2/1000*(AC36/(AB36*1000))^2*(0.275+2.03*(1.25/AD36*AB36*1000/AC36)^4),IF(AD36/1.25&lt;20,0.92*$W$2/1000*((1.25+(8/AD36^2)-(4/AD36^3))/AD36)*((AC36/1000)/(AB36)),0.92*$W$2/1000*(1.25/AD36)*((AC36/1000)/(AB36))))</f>
        <v>43.673480110405663</v>
      </c>
      <c r="AJ36" s="224">
        <f t="shared" ref="AJ36:AJ57" si="29">SQRT(J36/AI36)</f>
        <v>2.6856312203276365</v>
      </c>
      <c r="AK36" s="224">
        <f t="shared" ref="AK36:AK57" si="30">IF(AJ36&lt;0.4,1,IF(AJ36&lt;SQRT($AC$5/(1-0.6)),1-0.6*((AJ36-0.4)/(SQRT($AC$5/(1-0.6))-0.4)^1),$AC$5/AJ36^2))</f>
        <v>6.9322984302231203E-2</v>
      </c>
      <c r="AL36" s="224">
        <f t="shared" ref="AL36:AL57" si="31">IF(((J36/SQRT(3)/(0.75*$W$2*(IF(AD36&lt;10,SQRT(1+42/(AD36^3)),IF(AD36&gt;8.7*(AB36)/(AC36/1000),(1/3)*SQRT(AD36*(AC36/1000)/(AB36)),1)))*(1/AD36)^0.5*((AC36/1000)/(AB36))/1000))^0.5)&lt;=0.4,1,IF(((J36/SQRT(3)/(0.75*$W$2*(IF(AD36&lt;10,SQRT(1+42/(AD36^3)),IF(AD36&gt;8.7*(AB36)/(AC36/1000),(1/3)*SQRT(AD36*(AC36/1000)/(AB36)),1)))*(1/AD36)^0.5*((AC36/1000)/(AB36))/1000))^0.5)&gt;=($AC$6/(1-0.6))^0.5,$AC$6/(((J36/SQRT(3)/(0.75*$W$2*(IF(AD36&lt;10,SQRT(1+42/(AD36^3)),IF(AD36&gt;8.7*(AB36)/(AC36/1000),(1/3)*SQRT(AD36*(AC36/1000)/(AB36)),1)))*(1/AD36)^0.5*((AC36/1000)/(AB36))/1000))^0.5)^2),1-0.6*((((J36/SQRT(3)/(0.75*$W$2*(IF(AD36&lt;10,SQRT(1+42/(AD36^3)),IF(AD36&gt;8.7*(AB36)/(AC36/1000),(1/3)*SQRT(AD36*(AC36/1000)/(AB36)),1)))*(1/AD36)^0.5*((AC36/1000)/(AB36))/1000))^0.5)-(0.4))/(($AC$6/(1-0.6))^0.5-0.4))))</f>
        <v>0.7368565975359147</v>
      </c>
      <c r="AM36" s="224">
        <f>IF(_xlfn.MINIFS(Geometry!$AJ$28:$AJ$35,Geometry!$AI$28:$AI$35,"o",Geometry!$AK$28:$AK$35,C7)&lt;=0,1,_xlfn.MINIFS(Geometry!$AJ$28:$AJ$35,Geometry!$AI$28:$AI$35,"o",Geometry!$AK$28:$AK$35,C7))</f>
        <v>1</v>
      </c>
      <c r="AN36" s="224">
        <f t="shared" ref="AN36:AN57" si="32">IF(NOT(ISNUMBER(D35)),0,ABS(J6-J7))</f>
        <v>0</v>
      </c>
      <c r="AO36" s="224">
        <f t="shared" ref="AO36:AO57" si="33">MAX(AN36,J7)</f>
        <v>0</v>
      </c>
      <c r="AP36" s="224">
        <f t="shared" ref="AP36:AP57" si="34">((ABS(T36/(PI()*((E36-2*X36/1000)-((AC36))/1000*COS(AO36*PI()/180))*(AC36)/1000))/1000)+ABS((4*V36)/(PI()*((E36-X36/1000)-((F36-X36-Y36)/1000)*COS(AO36*PI()/180))^2*((AC36)/1000))/1000))/COS(AO36*PI()/180)</f>
        <v>160.18766566513455</v>
      </c>
      <c r="AQ36" s="224">
        <f t="shared" ref="AQ36:AQ57" si="35">((0.6*(F36-X36-Y36)*((E36*1000-2*X36)*(2*(AC36)))^0.5)/((AC36)^2))*(G36*TAN(AN36*PI()/180))</f>
        <v>0</v>
      </c>
      <c r="AR36" s="224">
        <f t="shared" ref="AR36:AR57" si="36">IF(AN36=0,0,0.45*((E36*1000-2*X36)/(AC36))^0.5*G36*TAN(AN36*PI()/180)+I36)</f>
        <v>0</v>
      </c>
      <c r="AS36" s="224">
        <f t="shared" ref="AS36:AS57" si="37">IF(AO36=0,0,1.18*AP36/IF(J36/(2*0.3*$W$2/1000*(AC36)/1000/(E36-2*X36/1000))&lt;=0.17,J36,(1.047-0.274*(J36/(2*0.3*$W$2/1000*(AC36)/1000/(E36-2*X36/1000))))*J36))</f>
        <v>0</v>
      </c>
      <c r="AT36" s="224">
        <f t="shared" ref="AT36:AT57" si="38">IF(AN36=0,0,MAX(G36+AQ36,AP36+AQ36))</f>
        <v>0</v>
      </c>
      <c r="AU36" s="224">
        <f t="shared" ref="AU36:AU57" si="39">(AT36^2+AR36^2+AR36*AT36)^0.5/(J36/$W$10)</f>
        <v>0</v>
      </c>
      <c r="AV36" s="224">
        <f t="shared" ref="AV36:AV57" si="40">1.1*AT36/J36</f>
        <v>0</v>
      </c>
      <c r="AW36" s="224">
        <f t="shared" ref="AW36:AW57" si="41">1.25*AR36/IF(0.4*$W$2/1000*(AC36)/1000/(E36-2*X36/1000)/J36&gt;2.44,J36,IF(0.4*$W$2/1000*(AC36)/1000/(E36-2*X36/1000)/J36&lt;=0.55,0.4*$W$2/1000*(AC36)/1000/(E36-2*X36/1000),MIN(0.7*(0.4*$W$2/1000*(AC36)/1000/(E36-2*X36/1000)/J36)^0.4*J36,J36)))</f>
        <v>0</v>
      </c>
      <c r="AX36" s="224">
        <f t="shared" ref="AX36:AX57" si="42">MAX(AV36^2+AW36^(2*(5-4*(IF(0.4*$W$2/1000*(AC36)/1000/(E36-2*(X36/1000))/J36&gt;2.44,J36,IF(0.4*$W$2/1000*(AC36)/1000/(E36-2*(X36/1000))/J36&lt;=0.55,0.4*$W$2/1000*(AC36)/1000/(E36-2*(X36/1000)),MIN(0.7*(0.4*$W$2/1000*(AC36)/1000/(E36-2*(X36/1000))/J36)^0.4*J36,J36)))/J36)))+2*0.3*AV36*AW36,AW36,AT36/(IF(J36/(2*0.3*$W$2/1000*(AC36)/1000/(E36-2*(X36/1000)))&lt;=0.17,J36,(1.047-0.274*(J36/(2*0.3*$W$2/1000*(AC36)/1000/(E36-2*(X36/1000)))))*J36)/1.18))</f>
        <v>0</v>
      </c>
    </row>
    <row r="37" spans="3:50" ht="14.85" customHeight="1">
      <c r="C37" s="12" t="str">
        <f t="shared" si="5"/>
        <v>Can3</v>
      </c>
      <c r="D37" s="2">
        <f t="shared" si="6"/>
        <v>-2.2999999999999998</v>
      </c>
      <c r="E37" s="43">
        <f t="shared" si="7"/>
        <v>7.5</v>
      </c>
      <c r="F37" s="120">
        <f t="shared" si="8"/>
        <v>100</v>
      </c>
      <c r="G37" s="120">
        <f t="shared" si="9"/>
        <v>162.79944747509802</v>
      </c>
      <c r="H37" s="120">
        <f t="shared" si="10"/>
        <v>15.371732615732178</v>
      </c>
      <c r="I37" s="120">
        <f t="shared" si="11"/>
        <v>7.0302985803812232</v>
      </c>
      <c r="J37" s="120">
        <f>VLOOKUP(R37,'Steel grades'!$B$5:$J$22,IF(F37&gt;200,10,IF(F37&gt;150,9,IF(F37&gt;120,8,IF(F37&gt;100,7,IF(F37&gt;80,6,IF(F37&gt;63,5,IF(F37&gt;40,4,IF(F37&gt;16,3,2)))))))),FALSE)</f>
        <v>315</v>
      </c>
      <c r="K37" s="120">
        <f t="shared" si="12"/>
        <v>263.18116924014271</v>
      </c>
      <c r="L37" s="3">
        <f t="shared" si="13"/>
        <v>20.51719213336926</v>
      </c>
      <c r="M37" s="3">
        <f t="shared" si="14"/>
        <v>122.99167304447424</v>
      </c>
      <c r="N37" s="3">
        <f t="shared" si="15"/>
        <v>0.65839458891559344</v>
      </c>
      <c r="O37" s="3">
        <f t="shared" si="16"/>
        <v>0.53505470894421492</v>
      </c>
      <c r="P37" s="3">
        <f>(ABS(Geometry_loads!S20)/Z37+ABS(Geometry_loads!T20)/AA37)/(1000*J37)</f>
        <v>0.39316113799356867</v>
      </c>
      <c r="Q37" s="22">
        <f>IF(D37&gt;=$R$14,IF(P37&gt;0.75,"Redesign",IF(P37&lt;0.5,VLOOKUP(R37,'Steel grades'!$B$5:$AB$22,27,FALSE),(VLOOKUP(R37,'Steel grades'!$B$5:$AB$22,27,FALSE)-VLOOKUP(R37,'Steel grades'!$B$5:$AB$22,25,FALSE))/(0.5-0.75)*(P37-0.75)+VLOOKUP(R37,'Steel grades'!$B$5:$AB$22,25,FALSE))),IF(D37&lt;$R$2,IF(P37&gt;0.75,"Redesign",IF(P37&lt;0.5,VLOOKUP(R37,'Steel grades'!$B$5:$AB$22,18,FALSE),(VLOOKUP(R37,'Steel grades'!$B$5:$AB$22,18,FALSE)-VLOOKUP(R37,'Steel grades'!$B$5:$AB$22,11,FALSE))/(0.5-0.75)*(P37-0.75)+VLOOKUP(R37,'Steel grades'!$B$5:$AB$22,11,FALSE))),IF(P37&gt;0.75,"Redesign",IF(P37&lt;0.5,VLOOKUP(R37,'Steel grades'!$B$5:$AB$22,26,FALSE),(VLOOKUP(R37,'Steel grades'!$B$5:$AB$22,26,FALSE)-VLOOKUP(R37,'Steel grades'!$B$5:$AB$22,24,FALSE))/(0.5-0.75)*(P37-0.75)+VLOOKUP(R37,'Steel grades'!$B$5:$AB$22,24,FALSE)))))</f>
        <v>145</v>
      </c>
      <c r="R37" s="3" t="str">
        <f>Geometry!M30</f>
        <v>S355 NL/ML</v>
      </c>
      <c r="T37" s="3">
        <f>Geometry_loads!L20</f>
        <v>-30823.42</v>
      </c>
      <c r="U37" s="3">
        <f>Geometry_loads!M20</f>
        <v>-46363.46</v>
      </c>
      <c r="V37" s="3">
        <f>Geometry_loads!N20</f>
        <v>617316</v>
      </c>
      <c r="W37" s="3">
        <f>Geometry_loads!O20</f>
        <v>10947.93</v>
      </c>
      <c r="X37" s="3">
        <f t="shared" si="17"/>
        <v>3.5999999999999996</v>
      </c>
      <c r="Y37" s="3">
        <f t="shared" si="18"/>
        <v>0</v>
      </c>
      <c r="Z37" s="18">
        <f t="shared" si="19"/>
        <v>2.2399962770503143</v>
      </c>
      <c r="AA37" s="224">
        <f t="shared" si="20"/>
        <v>4.089382285520383</v>
      </c>
      <c r="AB37" s="224">
        <f t="shared" si="21"/>
        <v>3.6981999999999999</v>
      </c>
      <c r="AC37" s="120">
        <f t="shared" si="22"/>
        <v>96.4</v>
      </c>
      <c r="AD37" s="224">
        <f t="shared" si="23"/>
        <v>126.94523177700896</v>
      </c>
      <c r="AE37" s="224">
        <f t="shared" si="24"/>
        <v>0.38996420736994952</v>
      </c>
      <c r="AF37" s="224">
        <f t="shared" si="25"/>
        <v>0.41695025278519998</v>
      </c>
      <c r="AG37" s="224">
        <f t="shared" si="26"/>
        <v>0.29154758910985212</v>
      </c>
      <c r="AH37" s="224">
        <f t="shared" si="27"/>
        <v>0.91904535290208578</v>
      </c>
      <c r="AI37" s="224">
        <f t="shared" si="28"/>
        <v>45.137822693412382</v>
      </c>
      <c r="AJ37" s="224">
        <f t="shared" si="29"/>
        <v>2.6417089877432316</v>
      </c>
      <c r="AK37" s="224">
        <f t="shared" si="30"/>
        <v>7.1647337608591072E-2</v>
      </c>
      <c r="AL37" s="224">
        <f t="shared" si="31"/>
        <v>0.74390669613657723</v>
      </c>
      <c r="AM37" s="224">
        <f>IF(_xlfn.MINIFS(Geometry!$AJ$28:$AJ$35,Geometry!$AI$28:$AI$35,"o",Geometry!$AK$28:$AK$35,C8)&lt;=0,1,_xlfn.MINIFS(Geometry!$AJ$28:$AJ$35,Geometry!$AI$28:$AI$35,"o",Geometry!$AK$28:$AK$35,C8))</f>
        <v>1</v>
      </c>
      <c r="AN37" s="224">
        <f t="shared" si="32"/>
        <v>0</v>
      </c>
      <c r="AO37" s="224">
        <f t="shared" si="33"/>
        <v>0</v>
      </c>
      <c r="AP37" s="224">
        <f t="shared" si="34"/>
        <v>162.65447185901928</v>
      </c>
      <c r="AQ37" s="224">
        <f t="shared" si="35"/>
        <v>0</v>
      </c>
      <c r="AR37" s="224">
        <f t="shared" si="36"/>
        <v>0</v>
      </c>
      <c r="AS37" s="224">
        <f t="shared" si="37"/>
        <v>0</v>
      </c>
      <c r="AT37" s="224">
        <f t="shared" si="38"/>
        <v>0</v>
      </c>
      <c r="AU37" s="224">
        <f t="shared" si="39"/>
        <v>0</v>
      </c>
      <c r="AV37" s="224">
        <f t="shared" si="40"/>
        <v>0</v>
      </c>
      <c r="AW37" s="224">
        <f t="shared" si="41"/>
        <v>0</v>
      </c>
      <c r="AX37" s="224">
        <f t="shared" si="42"/>
        <v>0</v>
      </c>
    </row>
    <row r="38" spans="3:50" ht="14.85" customHeight="1">
      <c r="C38" s="12" t="str">
        <f t="shared" si="5"/>
        <v>Can4</v>
      </c>
      <c r="D38" s="2">
        <f t="shared" si="6"/>
        <v>-6.2</v>
      </c>
      <c r="E38" s="43">
        <f t="shared" si="7"/>
        <v>7.5</v>
      </c>
      <c r="F38" s="120">
        <f t="shared" si="8"/>
        <v>100</v>
      </c>
      <c r="G38" s="120">
        <f t="shared" si="9"/>
        <v>162.89219528425843</v>
      </c>
      <c r="H38" s="120">
        <f t="shared" si="10"/>
        <v>14.584134029881991</v>
      </c>
      <c r="I38" s="120">
        <f t="shared" si="11"/>
        <v>6.7805064562500004</v>
      </c>
      <c r="J38" s="120">
        <f>VLOOKUP(R38,'Steel grades'!$B$5:$J$22,IF(F38&gt;200,10,IF(F38&gt;150,9,IF(F38&gt;120,8,IF(F38&gt;100,7,IF(F38&gt;80,6,IF(F38&gt;63,5,IF(F38&gt;40,4,IF(F38&gt;16,3,2)))))))),FALSE)</f>
        <v>315</v>
      </c>
      <c r="K38" s="120">
        <f t="shared" si="12"/>
        <v>264.38710393066509</v>
      </c>
      <c r="L38" s="3">
        <f t="shared" si="13"/>
        <v>21.860785104012599</v>
      </c>
      <c r="M38" s="3">
        <f t="shared" si="14"/>
        <v>125.18538426360853</v>
      </c>
      <c r="N38" s="3">
        <f t="shared" si="15"/>
        <v>0.80297032141868574</v>
      </c>
      <c r="O38" s="3">
        <f t="shared" si="16"/>
        <v>0.73646152833481004</v>
      </c>
      <c r="P38" s="3">
        <f>(ABS(Geometry_loads!S21)/Z38+ABS(Geometry_loads!T21)/AA38)/(1000*J38)</f>
        <v>0.3935889346767556</v>
      </c>
      <c r="Q38" s="22">
        <f>IF(D38&gt;=$R$14,IF(P38&gt;0.75,"Redesign",IF(P38&lt;0.5,VLOOKUP(R38,'Steel grades'!$B$5:$AB$22,27,FALSE),(VLOOKUP(R38,'Steel grades'!$B$5:$AB$22,27,FALSE)-VLOOKUP(R38,'Steel grades'!$B$5:$AB$22,25,FALSE))/(0.5-0.75)*(P38-0.75)+VLOOKUP(R38,'Steel grades'!$B$5:$AB$22,25,FALSE))),IF(D38&lt;$R$2,IF(P38&gt;0.75,"Redesign",IF(P38&lt;0.5,VLOOKUP(R38,'Steel grades'!$B$5:$AB$22,18,FALSE),(VLOOKUP(R38,'Steel grades'!$B$5:$AB$22,18,FALSE)-VLOOKUP(R38,'Steel grades'!$B$5:$AB$22,11,FALSE))/(0.5-0.75)*(P38-0.75)+VLOOKUP(R38,'Steel grades'!$B$5:$AB$22,11,FALSE))),IF(P38&gt;0.75,"Redesign",IF(P38&lt;0.5,VLOOKUP(R38,'Steel grades'!$B$5:$AB$22,26,FALSE),(VLOOKUP(R38,'Steel grades'!$B$5:$AB$22,26,FALSE)-VLOOKUP(R38,'Steel grades'!$B$5:$AB$22,24,FALSE))/(0.5-0.75)*(P38-0.75)+VLOOKUP(R38,'Steel grades'!$B$5:$AB$22,24,FALSE)))))</f>
        <v>145</v>
      </c>
      <c r="R38" s="3" t="str">
        <f>Geometry!M31</f>
        <v>S355 NL/ML</v>
      </c>
      <c r="T38" s="3">
        <f>Geometry_loads!L21</f>
        <v>-32020.5</v>
      </c>
      <c r="U38" s="3">
        <f>Geometry_loads!M21</f>
        <v>-46371.59</v>
      </c>
      <c r="V38" s="3">
        <f>Geometry_loads!N21</f>
        <v>641335.4</v>
      </c>
      <c r="W38" s="3">
        <f>Geometry_loads!O21</f>
        <v>10686.01</v>
      </c>
      <c r="X38" s="3">
        <f t="shared" si="17"/>
        <v>0</v>
      </c>
      <c r="Y38" s="3">
        <f t="shared" si="18"/>
        <v>0</v>
      </c>
      <c r="Z38" s="18">
        <f t="shared" si="19"/>
        <v>2.3247785636564475</v>
      </c>
      <c r="AA38" s="224">
        <f t="shared" si="20"/>
        <v>4.2442707310487888</v>
      </c>
      <c r="AB38" s="224">
        <f t="shared" si="21"/>
        <v>3.7</v>
      </c>
      <c r="AC38" s="120">
        <f t="shared" si="22"/>
        <v>100</v>
      </c>
      <c r="AD38" s="224">
        <f t="shared" si="23"/>
        <v>124.60895241121733</v>
      </c>
      <c r="AE38" s="224">
        <f t="shared" si="24"/>
        <v>0.38539513786592078</v>
      </c>
      <c r="AF38" s="224">
        <f t="shared" si="25"/>
        <v>0.42049098550361969</v>
      </c>
      <c r="AG38" s="224">
        <f t="shared" si="26"/>
        <v>0.29154436475296858</v>
      </c>
      <c r="AH38" s="224">
        <f t="shared" si="27"/>
        <v>0.92325655340867174</v>
      </c>
      <c r="AI38" s="224">
        <f t="shared" si="28"/>
        <v>48.093727228827724</v>
      </c>
      <c r="AJ38" s="224">
        <f t="shared" si="29"/>
        <v>2.5592402590341683</v>
      </c>
      <c r="AK38" s="224">
        <f t="shared" si="30"/>
        <v>7.6339249569567821E-2</v>
      </c>
      <c r="AL38" s="224">
        <f t="shared" si="31"/>
        <v>0.75717520793829762</v>
      </c>
      <c r="AM38" s="224">
        <f>IF(_xlfn.MINIFS(Geometry!$AJ$28:$AJ$35,Geometry!$AI$28:$AI$35,"o",Geometry!$AK$28:$AK$35,C9)&lt;=0,1,_xlfn.MINIFS(Geometry!$AJ$28:$AJ$35,Geometry!$AI$28:$AI$35,"o",Geometry!$AK$28:$AK$35,C9))</f>
        <v>1</v>
      </c>
      <c r="AN38" s="224">
        <f t="shared" si="32"/>
        <v>2.4101421139187913</v>
      </c>
      <c r="AO38" s="224">
        <f t="shared" si="33"/>
        <v>2.4101421139187913</v>
      </c>
      <c r="AP38" s="224">
        <f t="shared" si="34"/>
        <v>163.03268396659229</v>
      </c>
      <c r="AQ38" s="224">
        <f t="shared" si="35"/>
        <v>50.381771772967795</v>
      </c>
      <c r="AR38" s="224">
        <f t="shared" si="36"/>
        <v>33.499475807893894</v>
      </c>
      <c r="AS38" s="224">
        <f t="shared" si="37"/>
        <v>0.61340927535931244</v>
      </c>
      <c r="AT38" s="224">
        <f t="shared" si="38"/>
        <v>213.41445573956008</v>
      </c>
      <c r="AU38" s="224">
        <f t="shared" si="39"/>
        <v>0.73646152833481004</v>
      </c>
      <c r="AV38" s="224">
        <f t="shared" si="40"/>
        <v>0.74525682956671779</v>
      </c>
      <c r="AW38" s="224">
        <f t="shared" si="41"/>
        <v>0.13293442780910275</v>
      </c>
      <c r="AX38" s="224">
        <f t="shared" si="42"/>
        <v>0.80297032141868574</v>
      </c>
    </row>
    <row r="39" spans="3:50" ht="14.85" customHeight="1">
      <c r="C39" s="12" t="str">
        <f t="shared" si="5"/>
        <v>Can5</v>
      </c>
      <c r="D39" s="2">
        <f t="shared" si="6"/>
        <v>-10.1</v>
      </c>
      <c r="E39" s="43">
        <f t="shared" si="7"/>
        <v>7.8282999999999996</v>
      </c>
      <c r="F39" s="120">
        <f t="shared" si="8"/>
        <v>106</v>
      </c>
      <c r="G39" s="120">
        <f t="shared" si="9"/>
        <v>147.61617929118972</v>
      </c>
      <c r="H39" s="120">
        <f t="shared" si="10"/>
        <v>13.178366117375422</v>
      </c>
      <c r="I39" s="120">
        <f t="shared" si="11"/>
        <v>6.6753066046786556</v>
      </c>
      <c r="J39" s="120">
        <f>VLOOKUP(R39,'Steel grades'!$B$5:$J$22,IF(F39&gt;200,10,IF(F39&gt;150,9,IF(F39&gt;120,8,IF(F39&gt;100,7,IF(F39&gt;80,6,IF(F39&gt;63,5,IF(F39&gt;40,4,IF(F39&gt;16,3,2)))))))),FALSE)</f>
        <v>295</v>
      </c>
      <c r="K39" s="120">
        <f t="shared" si="12"/>
        <v>214.65767558226477</v>
      </c>
      <c r="L39" s="3">
        <f t="shared" si="13"/>
        <v>22.969364576165219</v>
      </c>
      <c r="M39" s="3">
        <f t="shared" si="14"/>
        <v>121.86884139429327</v>
      </c>
      <c r="N39" s="3">
        <f t="shared" si="15"/>
        <v>0.68998060568645248</v>
      </c>
      <c r="O39" s="3">
        <f t="shared" si="16"/>
        <v>0.51789563106498038</v>
      </c>
      <c r="P39" s="3">
        <f>(ABS(Geometry_loads!S22)/Z39+ABS(Geometry_loads!T22)/AA39)/(1000*J39)</f>
        <v>0.38094422175954784</v>
      </c>
      <c r="Q39" s="22">
        <f>IF(D39&gt;=$R$14,IF(P39&gt;0.75,"Redesign",IF(P39&lt;0.5,VLOOKUP(R39,'Steel grades'!$B$5:$AB$22,27,FALSE),(VLOOKUP(R39,'Steel grades'!$B$5:$AB$22,27,FALSE)-VLOOKUP(R39,'Steel grades'!$B$5:$AB$22,25,FALSE))/(0.5-0.75)*(P39-0.75)+VLOOKUP(R39,'Steel grades'!$B$5:$AB$22,25,FALSE))),IF(D39&lt;$R$2,IF(P39&gt;0.75,"Redesign",IF(P39&lt;0.5,VLOOKUP(R39,'Steel grades'!$B$5:$AB$22,18,FALSE),(VLOOKUP(R39,'Steel grades'!$B$5:$AB$22,18,FALSE)-VLOOKUP(R39,'Steel grades'!$B$5:$AB$22,11,FALSE))/(0.5-0.75)*(P39-0.75)+VLOOKUP(R39,'Steel grades'!$B$5:$AB$22,11,FALSE))),IF(P39&gt;0.75,"Redesign",IF(P39&lt;0.5,VLOOKUP(R39,'Steel grades'!$B$5:$AB$22,26,FALSE),(VLOOKUP(R39,'Steel grades'!$B$5:$AB$22,26,FALSE)-VLOOKUP(R39,'Steel grades'!$B$5:$AB$22,24,FALSE))/(0.5-0.75)*(P39-0.75)+VLOOKUP(R39,'Steel grades'!$B$5:$AB$22,24,FALSE)))))</f>
        <v>145</v>
      </c>
      <c r="R39" s="3" t="str">
        <f>Geometry!M32</f>
        <v>S355 NL/ML</v>
      </c>
      <c r="T39" s="3">
        <f>Geometry_loads!L22</f>
        <v>-33077.980000000003</v>
      </c>
      <c r="U39" s="3">
        <f>Geometry_loads!M22</f>
        <v>-46378.85</v>
      </c>
      <c r="V39" s="3">
        <f>Geometry_loads!N22</f>
        <v>669003.9</v>
      </c>
      <c r="W39" s="3">
        <f>Geometry_loads!O22</f>
        <v>10938.87</v>
      </c>
      <c r="X39" s="3">
        <f t="shared" si="17"/>
        <v>0</v>
      </c>
      <c r="Y39" s="3">
        <f t="shared" si="18"/>
        <v>0</v>
      </c>
      <c r="Z39" s="18">
        <f t="shared" si="19"/>
        <v>2.571594020574544</v>
      </c>
      <c r="AA39" s="224">
        <f t="shared" si="20"/>
        <v>4.898353395910223</v>
      </c>
      <c r="AB39" s="224">
        <f t="shared" si="21"/>
        <v>3.8611499999999999</v>
      </c>
      <c r="AC39" s="120">
        <f t="shared" si="22"/>
        <v>106</v>
      </c>
      <c r="AD39" s="224">
        <f t="shared" si="23"/>
        <v>118.47830639973617</v>
      </c>
      <c r="AE39" s="224">
        <f t="shared" si="24"/>
        <v>0.36553662359183886</v>
      </c>
      <c r="AF39" s="224">
        <f t="shared" si="25"/>
        <v>0.42201128441629848</v>
      </c>
      <c r="AG39" s="224">
        <f t="shared" si="26"/>
        <v>0.29128629982233517</v>
      </c>
      <c r="AH39" s="224">
        <f t="shared" si="27"/>
        <v>0.93945827620152489</v>
      </c>
      <c r="AI39" s="224">
        <f t="shared" si="28"/>
        <v>50.532602067563481</v>
      </c>
      <c r="AJ39" s="224">
        <f t="shared" si="29"/>
        <v>2.4161571450334289</v>
      </c>
      <c r="AK39" s="224">
        <f t="shared" si="30"/>
        <v>8.5648478080616083E-2</v>
      </c>
      <c r="AL39" s="224">
        <f t="shared" si="31"/>
        <v>0.78708924633869826</v>
      </c>
      <c r="AM39" s="224">
        <f>IF(_xlfn.MINIFS(Geometry!$AJ$28:$AJ$35,Geometry!$AI$28:$AI$35,"o",Geometry!$AK$28:$AK$35,C10)&lt;=0,1,_xlfn.MINIFS(Geometry!$AJ$28:$AJ$35,Geometry!$AI$28:$AI$35,"o",Geometry!$AK$28:$AK$35,C10))</f>
        <v>0.85199999999999998</v>
      </c>
      <c r="AN39" s="224">
        <f t="shared" si="32"/>
        <v>8.8817841970012523E-16</v>
      </c>
      <c r="AO39" s="224">
        <f t="shared" si="33"/>
        <v>2.4101421139187904</v>
      </c>
      <c r="AP39" s="224">
        <f t="shared" si="34"/>
        <v>147.74344427395488</v>
      </c>
      <c r="AQ39" s="224">
        <f t="shared" si="35"/>
        <v>1.6686244029146196E-14</v>
      </c>
      <c r="AR39" s="224">
        <f t="shared" si="36"/>
        <v>6.6753066046786644</v>
      </c>
      <c r="AS39" s="224">
        <f t="shared" si="37"/>
        <v>0.59119640481481139</v>
      </c>
      <c r="AT39" s="224">
        <f t="shared" si="38"/>
        <v>147.74344427395491</v>
      </c>
      <c r="AU39" s="224">
        <f t="shared" si="39"/>
        <v>0.51251409922865498</v>
      </c>
      <c r="AV39" s="224">
        <f t="shared" si="40"/>
        <v>0.55090775830966243</v>
      </c>
      <c r="AW39" s="224">
        <f t="shared" si="41"/>
        <v>2.8285197477451968E-2</v>
      </c>
      <c r="AX39" s="224">
        <f t="shared" si="42"/>
        <v>0.59119640481481139</v>
      </c>
    </row>
    <row r="40" spans="3:50" ht="14.85" customHeight="1">
      <c r="C40" s="12" t="str">
        <f t="shared" si="5"/>
        <v>Can6</v>
      </c>
      <c r="D40" s="2">
        <f t="shared" si="6"/>
        <v>-14</v>
      </c>
      <c r="E40" s="43">
        <f t="shared" si="7"/>
        <v>8.1565999999999992</v>
      </c>
      <c r="F40" s="120">
        <f t="shared" si="8"/>
        <v>98</v>
      </c>
      <c r="G40" s="120">
        <f t="shared" si="9"/>
        <v>153.61766670146611</v>
      </c>
      <c r="H40" s="120">
        <f t="shared" si="10"/>
        <v>14.049254227567626</v>
      </c>
      <c r="I40" s="120">
        <f t="shared" si="11"/>
        <v>7.5346648274043355</v>
      </c>
      <c r="J40" s="120">
        <f>VLOOKUP(R40,'Steel grades'!$B$5:$J$22,IF(F40&gt;200,10,IF(F40&gt;150,9,IF(F40&gt;120,8,IF(F40&gt;100,7,IF(F40&gt;80,6,IF(F40&gt;63,5,IF(F40&gt;40,4,IF(F40&gt;16,3,2)))))))),FALSE)</f>
        <v>315</v>
      </c>
      <c r="K40" s="120">
        <f t="shared" si="12"/>
        <v>263.1556472119517</v>
      </c>
      <c r="L40" s="3">
        <f t="shared" si="13"/>
        <v>19.306142626980765</v>
      </c>
      <c r="M40" s="3">
        <f t="shared" si="14"/>
        <v>120.83394085226637</v>
      </c>
      <c r="N40" s="3">
        <f t="shared" si="15"/>
        <v>0.66098662939714692</v>
      </c>
      <c r="O40" s="3">
        <f t="shared" si="16"/>
        <v>0.50599590560456753</v>
      </c>
      <c r="P40" s="3">
        <f>(ABS(Geometry_loads!S23)/Z40+ABS(Geometry_loads!T23)/AA40)/(1000*J40)</f>
        <v>0.37078227718757173</v>
      </c>
      <c r="Q40" s="22">
        <f>IF(D40&gt;=$R$14,IF(P40&gt;0.75,"Redesign",IF(P40&lt;0.5,VLOOKUP(R40,'Steel grades'!$B$5:$AB$22,27,FALSE),(VLOOKUP(R40,'Steel grades'!$B$5:$AB$22,27,FALSE)-VLOOKUP(R40,'Steel grades'!$B$5:$AB$22,25,FALSE))/(0.5-0.75)*(P40-0.75)+VLOOKUP(R40,'Steel grades'!$B$5:$AB$22,25,FALSE))),IF(D40&lt;$R$2,IF(P40&gt;0.75,"Redesign",IF(P40&lt;0.5,VLOOKUP(R40,'Steel grades'!$B$5:$AB$22,18,FALSE),(VLOOKUP(R40,'Steel grades'!$B$5:$AB$22,18,FALSE)-VLOOKUP(R40,'Steel grades'!$B$5:$AB$22,11,FALSE))/(0.5-0.75)*(P40-0.75)+VLOOKUP(R40,'Steel grades'!$B$5:$AB$22,11,FALSE))),IF(P40&gt;0.75,"Redesign",IF(P40&lt;0.5,VLOOKUP(R40,'Steel grades'!$B$5:$AB$22,26,FALSE),(VLOOKUP(R40,'Steel grades'!$B$5:$AB$22,26,FALSE)-VLOOKUP(R40,'Steel grades'!$B$5:$AB$22,24,FALSE))/(0.5-0.75)*(P40-0.75)+VLOOKUP(R40,'Steel grades'!$B$5:$AB$22,24,FALSE)))))</f>
        <v>145</v>
      </c>
      <c r="R40" s="3" t="str">
        <f>Geometry!M33</f>
        <v>S355 NL/ML</v>
      </c>
      <c r="T40" s="3">
        <f>Geometry_loads!L23</f>
        <v>-34256.61</v>
      </c>
      <c r="U40" s="3">
        <f>Geometry_loads!M23</f>
        <v>-46385.24</v>
      </c>
      <c r="V40" s="3">
        <f>Geometry_loads!N23</f>
        <v>698834.8</v>
      </c>
      <c r="W40" s="3">
        <f>Geometry_loads!O23</f>
        <v>11672.46</v>
      </c>
      <c r="X40" s="3">
        <f t="shared" si="17"/>
        <v>0</v>
      </c>
      <c r="Y40" s="3">
        <f t="shared" si="18"/>
        <v>0</v>
      </c>
      <c r="Z40" s="18">
        <f t="shared" si="19"/>
        <v>2.481050178705436</v>
      </c>
      <c r="AA40" s="224">
        <f t="shared" si="20"/>
        <v>4.9391226711402449</v>
      </c>
      <c r="AB40" s="224">
        <f t="shared" si="21"/>
        <v>4.0292999999999992</v>
      </c>
      <c r="AC40" s="120">
        <f t="shared" si="22"/>
        <v>98</v>
      </c>
      <c r="AD40" s="224">
        <f t="shared" si="23"/>
        <v>120.62081740109015</v>
      </c>
      <c r="AE40" s="224">
        <f t="shared" si="24"/>
        <v>0.38846846202020197</v>
      </c>
      <c r="AF40" s="224">
        <f t="shared" si="25"/>
        <v>0.41008067021747058</v>
      </c>
      <c r="AG40" s="224">
        <f t="shared" si="26"/>
        <v>0.29101190464519761</v>
      </c>
      <c r="AH40" s="224">
        <f t="shared" si="27"/>
        <v>0.91895622835919644</v>
      </c>
      <c r="AI40" s="224">
        <f t="shared" si="28"/>
        <v>42.473513779357695</v>
      </c>
      <c r="AJ40" s="224">
        <f t="shared" si="29"/>
        <v>2.7233043598791955</v>
      </c>
      <c r="AK40" s="224">
        <f t="shared" si="30"/>
        <v>6.74182758402503E-2</v>
      </c>
      <c r="AL40" s="224">
        <f t="shared" si="31"/>
        <v>0.73085580101075465</v>
      </c>
      <c r="AM40" s="224">
        <f>IF(_xlfn.MINIFS(Geometry!$AJ$28:$AJ$35,Geometry!$AI$28:$AI$35,"o",Geometry!$AK$28:$AK$35,C11)&lt;=0,1,_xlfn.MINIFS(Geometry!$AJ$28:$AJ$35,Geometry!$AI$28:$AI$35,"o",Geometry!$AK$28:$AK$35,C11))</f>
        <v>1</v>
      </c>
      <c r="AN40" s="224">
        <f t="shared" si="32"/>
        <v>7.3326266252182748E-4</v>
      </c>
      <c r="AO40" s="224">
        <f t="shared" si="33"/>
        <v>2.4094088512562686</v>
      </c>
      <c r="AP40" s="224">
        <f t="shared" si="34"/>
        <v>153.75043672273947</v>
      </c>
      <c r="AQ40" s="224">
        <f t="shared" si="35"/>
        <v>1.5218992262995274E-2</v>
      </c>
      <c r="AR40" s="224">
        <f t="shared" si="36"/>
        <v>7.5427359168783275</v>
      </c>
      <c r="AS40" s="224">
        <f t="shared" si="37"/>
        <v>0.58177935580977846</v>
      </c>
      <c r="AT40" s="224">
        <f t="shared" si="38"/>
        <v>153.76565571500245</v>
      </c>
      <c r="AU40" s="224">
        <f t="shared" si="39"/>
        <v>0.50054727898629392</v>
      </c>
      <c r="AV40" s="224">
        <f t="shared" si="40"/>
        <v>0.53695943265556423</v>
      </c>
      <c r="AW40" s="224">
        <f t="shared" si="41"/>
        <v>2.9931491733644153E-2</v>
      </c>
      <c r="AX40" s="224">
        <f t="shared" si="42"/>
        <v>0.58183694325930746</v>
      </c>
    </row>
    <row r="41" spans="3:50" ht="14.85" customHeight="1">
      <c r="C41" s="12" t="str">
        <f t="shared" si="5"/>
        <v>Can7</v>
      </c>
      <c r="D41" s="2">
        <f t="shared" si="6"/>
        <v>-17.899999999999999</v>
      </c>
      <c r="E41" s="43">
        <f t="shared" si="7"/>
        <v>8.4847999999999999</v>
      </c>
      <c r="F41" s="120">
        <f t="shared" si="8"/>
        <v>93</v>
      </c>
      <c r="G41" s="120">
        <f t="shared" si="9"/>
        <v>156.69038527804852</v>
      </c>
      <c r="H41" s="120">
        <f t="shared" si="10"/>
        <v>14.754661351375368</v>
      </c>
      <c r="I41" s="120">
        <f t="shared" si="11"/>
        <v>8.2680404067943556</v>
      </c>
      <c r="J41" s="120">
        <f>VLOOKUP(R41,'Steel grades'!$B$5:$J$22,IF(F41&gt;200,10,IF(F41&gt;150,9,IF(F41&gt;120,8,IF(F41&gt;100,7,IF(F41&gt;80,6,IF(F41&gt;63,5,IF(F41&gt;40,4,IF(F41&gt;16,3,2)))))))),FALSE)</f>
        <v>315</v>
      </c>
      <c r="K41" s="120">
        <f t="shared" si="12"/>
        <v>260.54594815118696</v>
      </c>
      <c r="L41" s="3">
        <f t="shared" si="13"/>
        <v>17.338255537701727</v>
      </c>
      <c r="M41" s="3">
        <f t="shared" si="14"/>
        <v>115.93672598391632</v>
      </c>
      <c r="N41" s="3">
        <f t="shared" si="15"/>
        <v>0.7755181131239941</v>
      </c>
      <c r="O41" s="3">
        <f t="shared" si="16"/>
        <v>0.51745895279173504</v>
      </c>
      <c r="P41" s="3">
        <f>(ABS(Geometry_loads!S24)/Z41+ABS(Geometry_loads!T24)/AA41)/(1000*J41)</f>
        <v>0.37788832723983873</v>
      </c>
      <c r="Q41" s="22">
        <f>IF(D41&gt;=$R$14,IF(P41&gt;0.75,"Redesign",IF(P41&lt;0.5,VLOOKUP(R41,'Steel grades'!$B$5:$AB$22,27,FALSE),(VLOOKUP(R41,'Steel grades'!$B$5:$AB$22,27,FALSE)-VLOOKUP(R41,'Steel grades'!$B$5:$AB$22,25,FALSE))/(0.5-0.75)*(P41-0.75)+VLOOKUP(R41,'Steel grades'!$B$5:$AB$22,25,FALSE))),IF(D41&lt;$R$2,IF(P41&gt;0.75,"Redesign",IF(P41&lt;0.5,VLOOKUP(R41,'Steel grades'!$B$5:$AB$22,18,FALSE),(VLOOKUP(R41,'Steel grades'!$B$5:$AB$22,18,FALSE)-VLOOKUP(R41,'Steel grades'!$B$5:$AB$22,11,FALSE))/(0.5-0.75)*(P41-0.75)+VLOOKUP(R41,'Steel grades'!$B$5:$AB$22,11,FALSE))),IF(P41&gt;0.75,"Redesign",IF(P41&lt;0.5,VLOOKUP(R41,'Steel grades'!$B$5:$AB$22,26,FALSE),(VLOOKUP(R41,'Steel grades'!$B$5:$AB$22,26,FALSE)-VLOOKUP(R41,'Steel grades'!$B$5:$AB$22,24,FALSE))/(0.5-0.75)*(P41-0.75)+VLOOKUP(R41,'Steel grades'!$B$5:$AB$22,24,FALSE)))))</f>
        <v>145</v>
      </c>
      <c r="R41" s="3" t="str">
        <f>Geometry!M34</f>
        <v>S355 NL/ML</v>
      </c>
      <c r="T41" s="3">
        <f>Geometry_loads!L24</f>
        <v>-35492.58</v>
      </c>
      <c r="U41" s="3">
        <f>Geometry_loads!M24</f>
        <v>-46391.3</v>
      </c>
      <c r="V41" s="3">
        <f>Geometry_loads!N24</f>
        <v>731520.5</v>
      </c>
      <c r="W41" s="3">
        <f>Geometry_loads!O24</f>
        <v>12559.69</v>
      </c>
      <c r="X41" s="3">
        <f t="shared" si="17"/>
        <v>0</v>
      </c>
      <c r="Y41" s="3">
        <f t="shared" si="18"/>
        <v>0</v>
      </c>
      <c r="Z41" s="18">
        <f t="shared" si="19"/>
        <v>2.4518164024267195</v>
      </c>
      <c r="AA41" s="224">
        <f t="shared" si="20"/>
        <v>5.0880331224021331</v>
      </c>
      <c r="AB41" s="224">
        <f t="shared" si="21"/>
        <v>4.1959</v>
      </c>
      <c r="AC41" s="120">
        <f t="shared" si="22"/>
        <v>93</v>
      </c>
      <c r="AD41" s="224">
        <f t="shared" si="23"/>
        <v>121.33778649871066</v>
      </c>
      <c r="AE41" s="224">
        <f t="shared" si="24"/>
        <v>0.3974637132128267</v>
      </c>
      <c r="AF41" s="224">
        <f t="shared" si="25"/>
        <v>0.40069749590617648</v>
      </c>
      <c r="AG41" s="224">
        <f t="shared" si="26"/>
        <v>0.29076137635896571</v>
      </c>
      <c r="AH41" s="224">
        <f t="shared" si="27"/>
        <v>0.90984299354382758</v>
      </c>
      <c r="AI41" s="224">
        <f t="shared" si="28"/>
        <v>38.144162182943809</v>
      </c>
      <c r="AJ41" s="224">
        <f t="shared" si="29"/>
        <v>2.8736987346846732</v>
      </c>
      <c r="AK41" s="224">
        <f t="shared" si="30"/>
        <v>6.0546289179275875E-2</v>
      </c>
      <c r="AL41" s="224">
        <f t="shared" si="31"/>
        <v>0.70123533287005491</v>
      </c>
      <c r="AM41" s="224">
        <f>IF(_xlfn.MINIFS(Geometry!$AJ$28:$AJ$35,Geometry!$AI$28:$AI$35,"o",Geometry!$AK$28:$AK$35,C12)&lt;=0,1,_xlfn.MINIFS(Geometry!$AJ$28:$AJ$35,Geometry!$AI$28:$AI$35,"o",Geometry!$AK$28:$AK$35,C12))</f>
        <v>1</v>
      </c>
      <c r="AN41" s="224">
        <f t="shared" si="32"/>
        <v>7.3326266252715655E-4</v>
      </c>
      <c r="AO41" s="224">
        <f t="shared" si="33"/>
        <v>2.4101421139187957</v>
      </c>
      <c r="AP41" s="224">
        <f t="shared" si="34"/>
        <v>156.82618320115984</v>
      </c>
      <c r="AQ41" s="224">
        <f t="shared" si="35"/>
        <v>1.6252675573226918E-2</v>
      </c>
      <c r="AR41" s="224">
        <f t="shared" si="36"/>
        <v>8.2766596896270457</v>
      </c>
      <c r="AS41" s="224">
        <f t="shared" si="37"/>
        <v>0.5967224147649306</v>
      </c>
      <c r="AT41" s="224">
        <f t="shared" si="38"/>
        <v>156.84243587673305</v>
      </c>
      <c r="AU41" s="224">
        <f t="shared" si="39"/>
        <v>0.51155638943499671</v>
      </c>
      <c r="AV41" s="224">
        <f t="shared" si="40"/>
        <v>0.54770374433144875</v>
      </c>
      <c r="AW41" s="224">
        <f t="shared" si="41"/>
        <v>3.284388765725018E-2</v>
      </c>
      <c r="AX41" s="224">
        <f t="shared" si="42"/>
        <v>0.59678425606984842</v>
      </c>
    </row>
    <row r="42" spans="3:50" ht="14.85" customHeight="1">
      <c r="C42" s="12" t="str">
        <f t="shared" si="5"/>
        <v>Can8</v>
      </c>
      <c r="D42" s="2">
        <f t="shared" si="6"/>
        <v>-21.8</v>
      </c>
      <c r="E42" s="43">
        <f t="shared" si="7"/>
        <v>8.8131000000000004</v>
      </c>
      <c r="F42" s="120">
        <f t="shared" si="8"/>
        <v>93</v>
      </c>
      <c r="G42" s="120">
        <f t="shared" si="9"/>
        <v>152.54015313228922</v>
      </c>
      <c r="H42" s="120">
        <f t="shared" si="10"/>
        <v>14.705287282964795</v>
      </c>
      <c r="I42" s="120">
        <f t="shared" si="11"/>
        <v>8.5914987429737906</v>
      </c>
      <c r="J42" s="120">
        <f>VLOOKUP(R42,'Steel grades'!$B$5:$J$22,IF(F42&gt;200,10,IF(F42&gt;150,9,IF(F42&gt;120,8,IF(F42&gt;100,7,IF(F42&gt;80,6,IF(F42&gt;63,5,IF(F42&gt;40,4,IF(F42&gt;16,3,2)))))))),FALSE)</f>
        <v>315</v>
      </c>
      <c r="K42" s="120">
        <f t="shared" si="12"/>
        <v>259.81209374330717</v>
      </c>
      <c r="L42" s="3">
        <f t="shared" si="13"/>
        <v>17.122590961828838</v>
      </c>
      <c r="M42" s="3">
        <f t="shared" si="14"/>
        <v>114.41973089945729</v>
      </c>
      <c r="N42" s="3">
        <f t="shared" si="15"/>
        <v>0.78563071278761298</v>
      </c>
      <c r="O42" s="3">
        <f t="shared" si="16"/>
        <v>0.50496748458453589</v>
      </c>
      <c r="P42" s="3">
        <f>(ABS(Geometry_loads!S25)/Z42+ABS(Geometry_loads!T25)/AA42)/(1000*J42)</f>
        <v>0.36781170604868879</v>
      </c>
      <c r="Q42" s="22">
        <f>IF(D42&gt;=$R$14,IF(P42&gt;0.75,"Redesign",IF(P42&lt;0.5,VLOOKUP(R42,'Steel grades'!$B$5:$AB$22,27,FALSE),(VLOOKUP(R42,'Steel grades'!$B$5:$AB$22,27,FALSE)-VLOOKUP(R42,'Steel grades'!$B$5:$AB$22,25,FALSE))/(0.5-0.75)*(P42-0.75)+VLOOKUP(R42,'Steel grades'!$B$5:$AB$22,25,FALSE))),IF(D42&lt;$R$2,IF(P42&gt;0.75,"Redesign",IF(P42&lt;0.5,VLOOKUP(R42,'Steel grades'!$B$5:$AB$22,18,FALSE),(VLOOKUP(R42,'Steel grades'!$B$5:$AB$22,18,FALSE)-VLOOKUP(R42,'Steel grades'!$B$5:$AB$22,11,FALSE))/(0.5-0.75)*(P42-0.75)+VLOOKUP(R42,'Steel grades'!$B$5:$AB$22,11,FALSE))),IF(P42&gt;0.75,"Redesign",IF(P42&lt;0.5,VLOOKUP(R42,'Steel grades'!$B$5:$AB$22,26,FALSE),(VLOOKUP(R42,'Steel grades'!$B$5:$AB$22,26,FALSE)-VLOOKUP(R42,'Steel grades'!$B$5:$AB$22,24,FALSE))/(0.5-0.75)*(P42-0.75)+VLOOKUP(R42,'Steel grades'!$B$5:$AB$22,24,FALSE)))))</f>
        <v>145</v>
      </c>
      <c r="R42" s="3" t="str">
        <f>Geometry!M35</f>
        <v>S355 NL/ML</v>
      </c>
      <c r="T42" s="3">
        <f>Geometry_loads!L25</f>
        <v>-36785.86</v>
      </c>
      <c r="U42" s="3">
        <f>Geometry_loads!M25</f>
        <v>-46396.94</v>
      </c>
      <c r="V42" s="3">
        <f>Geometry_loads!N25</f>
        <v>767033.20000000007</v>
      </c>
      <c r="W42" s="3">
        <f>Geometry_loads!O25</f>
        <v>13411.9</v>
      </c>
      <c r="X42" s="3">
        <f t="shared" si="17"/>
        <v>0</v>
      </c>
      <c r="Y42" s="3">
        <f t="shared" si="18"/>
        <v>0</v>
      </c>
      <c r="Z42" s="18">
        <f t="shared" si="19"/>
        <v>2.5477351951668572</v>
      </c>
      <c r="AA42" s="224">
        <f t="shared" si="20"/>
        <v>5.4961417237276367</v>
      </c>
      <c r="AB42" s="224">
        <f t="shared" si="21"/>
        <v>4.3600500000000002</v>
      </c>
      <c r="AC42" s="120">
        <f t="shared" si="22"/>
        <v>93</v>
      </c>
      <c r="AD42" s="224">
        <f t="shared" si="23"/>
        <v>119.03177170923256</v>
      </c>
      <c r="AE42" s="224">
        <f t="shared" si="24"/>
        <v>0.39954418209258286</v>
      </c>
      <c r="AF42" s="224">
        <f t="shared" si="25"/>
        <v>0.39676572520439118</v>
      </c>
      <c r="AG42" s="224">
        <f t="shared" si="26"/>
        <v>0.29053452420948134</v>
      </c>
      <c r="AH42" s="224">
        <f t="shared" si="27"/>
        <v>0.90728032735758057</v>
      </c>
      <c r="AI42" s="224">
        <f t="shared" si="28"/>
        <v>37.669700116023442</v>
      </c>
      <c r="AJ42" s="224">
        <f t="shared" si="29"/>
        <v>2.8917396874358658</v>
      </c>
      <c r="AK42" s="224">
        <f t="shared" si="30"/>
        <v>5.9793174787338796E-2</v>
      </c>
      <c r="AL42" s="224">
        <f t="shared" si="31"/>
        <v>0.69205989218044595</v>
      </c>
      <c r="AM42" s="224">
        <f>IF(_xlfn.MINIFS(Geometry!$AJ$28:$AJ$35,Geometry!$AI$28:$AI$35,"o",Geometry!$AK$28:$AK$35,C13)&lt;=0,1,_xlfn.MINIFS(Geometry!$AJ$28:$AJ$35,Geometry!$AI$28:$AI$35,"o",Geometry!$AK$28:$AK$35,C13))</f>
        <v>1</v>
      </c>
      <c r="AN42" s="224">
        <f t="shared" si="32"/>
        <v>2.6645352591003757E-15</v>
      </c>
      <c r="AO42" s="224">
        <f t="shared" si="33"/>
        <v>2.4101421139187984</v>
      </c>
      <c r="AP42" s="224">
        <f t="shared" si="34"/>
        <v>152.67246495633594</v>
      </c>
      <c r="AQ42" s="224">
        <f t="shared" si="35"/>
        <v>5.859656259365466E-14</v>
      </c>
      <c r="AR42" s="224">
        <f t="shared" si="36"/>
        <v>8.5914987429738208</v>
      </c>
      <c r="AS42" s="224">
        <f t="shared" si="37"/>
        <v>0.58234790233228029</v>
      </c>
      <c r="AT42" s="224">
        <f t="shared" si="38"/>
        <v>152.672464956336</v>
      </c>
      <c r="AU42" s="224">
        <f t="shared" si="39"/>
        <v>0.4988712954112195</v>
      </c>
      <c r="AV42" s="224">
        <f t="shared" si="40"/>
        <v>0.53314194111736379</v>
      </c>
      <c r="AW42" s="224">
        <f t="shared" si="41"/>
        <v>3.4093248980054842E-2</v>
      </c>
      <c r="AX42" s="224">
        <f t="shared" si="42"/>
        <v>0.58234790233228051</v>
      </c>
    </row>
    <row r="43" spans="3:50" ht="14.85" customHeight="1">
      <c r="C43" s="12" t="str">
        <f t="shared" si="5"/>
        <v>Can9</v>
      </c>
      <c r="D43" s="2">
        <f t="shared" si="6"/>
        <v>-25.7</v>
      </c>
      <c r="E43" s="43">
        <f t="shared" si="7"/>
        <v>9.1414000000000009</v>
      </c>
      <c r="F43" s="120">
        <f t="shared" si="8"/>
        <v>93</v>
      </c>
      <c r="G43" s="120">
        <f t="shared" si="9"/>
        <v>149.09694517279803</v>
      </c>
      <c r="H43" s="120">
        <f t="shared" si="10"/>
        <v>14.753094309032019</v>
      </c>
      <c r="I43" s="120">
        <f t="shared" si="11"/>
        <v>8.9149570791532255</v>
      </c>
      <c r="J43" s="120">
        <f>VLOOKUP(R43,'Steel grades'!$B$5:$J$22,IF(F43&gt;200,10,IF(F43&gt;150,9,IF(F43&gt;120,8,IF(F43&gt;100,7,IF(F43&gt;80,6,IF(F43&gt;63,5,IF(F43&gt;40,4,IF(F43&gt;16,3,2)))))))),FALSE)</f>
        <v>315</v>
      </c>
      <c r="K43" s="120">
        <f t="shared" si="12"/>
        <v>258.98765594308998</v>
      </c>
      <c r="L43" s="3">
        <f t="shared" si="13"/>
        <v>17.096857366224629</v>
      </c>
      <c r="M43" s="3">
        <f t="shared" si="14"/>
        <v>112.93802545396602</v>
      </c>
      <c r="N43" s="3">
        <f t="shared" si="15"/>
        <v>0.79434871363311288</v>
      </c>
      <c r="O43" s="3">
        <f t="shared" si="16"/>
        <v>0.4947854032083725</v>
      </c>
      <c r="P43" s="3">
        <f>(ABS(Geometry_loads!S26)/Z43+ABS(Geometry_loads!T26)/AA43)/(1000*J43)</f>
        <v>0.3594625218989862</v>
      </c>
      <c r="Q43" s="22">
        <f>IF(D43&gt;=$R$14,IF(P43&gt;0.75,"Redesign",IF(P43&lt;0.5,VLOOKUP(R43,'Steel grades'!$B$5:$AB$22,27,FALSE),(VLOOKUP(R43,'Steel grades'!$B$5:$AB$22,27,FALSE)-VLOOKUP(R43,'Steel grades'!$B$5:$AB$22,25,FALSE))/(0.5-0.75)*(P43-0.75)+VLOOKUP(R43,'Steel grades'!$B$5:$AB$22,25,FALSE))),IF(D43&lt;$R$2,IF(P43&gt;0.75,"Redesign",IF(P43&lt;0.5,VLOOKUP(R43,'Steel grades'!$B$5:$AB$22,18,FALSE),(VLOOKUP(R43,'Steel grades'!$B$5:$AB$22,18,FALSE)-VLOOKUP(R43,'Steel grades'!$B$5:$AB$22,11,FALSE))/(0.5-0.75)*(P43-0.75)+VLOOKUP(R43,'Steel grades'!$B$5:$AB$22,11,FALSE))),IF(P43&gt;0.75,"Redesign",IF(P43&lt;0.5,VLOOKUP(R43,'Steel grades'!$B$5:$AB$22,26,FALSE),(VLOOKUP(R43,'Steel grades'!$B$5:$AB$22,26,FALSE)-VLOOKUP(R43,'Steel grades'!$B$5:$AB$22,24,FALSE))/(0.5-0.75)*(P43-0.75)+VLOOKUP(R43,'Steel grades'!$B$5:$AB$22,24,FALSE)))))</f>
        <v>145</v>
      </c>
      <c r="R43" s="3" t="str">
        <f>Geometry!M36</f>
        <v>S355 NL/ML</v>
      </c>
      <c r="T43" s="3">
        <f>Geometry_loads!L26</f>
        <v>-38136.42</v>
      </c>
      <c r="U43" s="3">
        <f>Geometry_loads!M26</f>
        <v>-46402.080000000002</v>
      </c>
      <c r="V43" s="3">
        <f>Geometry_loads!N26</f>
        <v>805362.6</v>
      </c>
      <c r="W43" s="3">
        <f>Geometry_loads!O26</f>
        <v>14372.83</v>
      </c>
      <c r="X43" s="3">
        <f t="shared" si="17"/>
        <v>0</v>
      </c>
      <c r="Y43" s="3">
        <f t="shared" si="18"/>
        <v>0</v>
      </c>
      <c r="Z43" s="18">
        <f t="shared" si="19"/>
        <v>2.6436539879069945</v>
      </c>
      <c r="AA43" s="224">
        <f t="shared" si="20"/>
        <v>5.9199953578269868</v>
      </c>
      <c r="AB43" s="224">
        <f t="shared" si="21"/>
        <v>4.5242000000000004</v>
      </c>
      <c r="AC43" s="120">
        <f t="shared" si="22"/>
        <v>93</v>
      </c>
      <c r="AD43" s="224">
        <f t="shared" si="23"/>
        <v>116.85242644656753</v>
      </c>
      <c r="AE43" s="224">
        <f t="shared" si="24"/>
        <v>0.40198774451151631</v>
      </c>
      <c r="AF43" s="224">
        <f t="shared" si="25"/>
        <v>0.39295041457080082</v>
      </c>
      <c r="AG43" s="224">
        <f t="shared" si="26"/>
        <v>0.29032465267585117</v>
      </c>
      <c r="AH43" s="224">
        <f t="shared" si="27"/>
        <v>0.90440133821396507</v>
      </c>
      <c r="AI43" s="224">
        <f t="shared" si="28"/>
        <v>37.613086205694188</v>
      </c>
      <c r="AJ43" s="224">
        <f t="shared" si="29"/>
        <v>2.8939151421847775</v>
      </c>
      <c r="AK43" s="224">
        <f t="shared" si="30"/>
        <v>5.9703311437609818E-2</v>
      </c>
      <c r="AL43" s="224">
        <f t="shared" si="31"/>
        <v>0.6830978984509648</v>
      </c>
      <c r="AM43" s="224">
        <f>IF(_xlfn.MINIFS(Geometry!$AJ$28:$AJ$35,Geometry!$AI$28:$AI$35,"o",Geometry!$AK$28:$AK$35,C14)&lt;=0,1,_xlfn.MINIFS(Geometry!$AJ$28:$AJ$35,Geometry!$AI$28:$AI$35,"o",Geometry!$AK$28:$AK$35,C14))</f>
        <v>1</v>
      </c>
      <c r="AN43" s="224">
        <f t="shared" si="32"/>
        <v>1.5543122344752192E-14</v>
      </c>
      <c r="AO43" s="224">
        <f t="shared" si="33"/>
        <v>2.4101421139187829</v>
      </c>
      <c r="AP43" s="224">
        <f t="shared" si="34"/>
        <v>149.22637056401882</v>
      </c>
      <c r="AQ43" s="224">
        <f t="shared" si="35"/>
        <v>3.4026361269344517E-13</v>
      </c>
      <c r="AR43" s="224">
        <f t="shared" si="36"/>
        <v>8.9149570791534067</v>
      </c>
      <c r="AS43" s="224">
        <f t="shared" si="37"/>
        <v>0.5706082235749077</v>
      </c>
      <c r="AT43" s="224">
        <f t="shared" si="38"/>
        <v>149.22637056401916</v>
      </c>
      <c r="AU43" s="224">
        <f t="shared" si="39"/>
        <v>0.48850049321664646</v>
      </c>
      <c r="AV43" s="224">
        <f t="shared" si="40"/>
        <v>0.52110796069974952</v>
      </c>
      <c r="AW43" s="224">
        <f t="shared" si="41"/>
        <v>3.5376813806164316E-2</v>
      </c>
      <c r="AX43" s="224">
        <f t="shared" si="42"/>
        <v>0.57060822357490903</v>
      </c>
    </row>
    <row r="44" spans="3:50" ht="14.85" customHeight="1">
      <c r="C44" s="12" t="str">
        <f t="shared" si="5"/>
        <v>Can10</v>
      </c>
      <c r="D44" s="2">
        <f t="shared" si="6"/>
        <v>-29.6</v>
      </c>
      <c r="E44" s="43">
        <f t="shared" si="7"/>
        <v>9.4696999999999996</v>
      </c>
      <c r="F44" s="120">
        <f t="shared" si="8"/>
        <v>93</v>
      </c>
      <c r="G44" s="120">
        <f t="shared" si="9"/>
        <v>146.18488636158085</v>
      </c>
      <c r="H44" s="120">
        <f t="shared" si="10"/>
        <v>14.831396606931923</v>
      </c>
      <c r="I44" s="120">
        <f t="shared" si="11"/>
        <v>9.2384154153326605</v>
      </c>
      <c r="J44" s="120">
        <f>VLOOKUP(R44,'Steel grades'!$B$5:$J$22,IF(F44&gt;200,10,IF(F44&gt;150,9,IF(F44&gt;120,8,IF(F44&gt;100,7,IF(F44&gt;80,6,IF(F44&gt;63,5,IF(F44&gt;40,4,IF(F44&gt;16,3,2)))))))),FALSE)</f>
        <v>315</v>
      </c>
      <c r="K44" s="120">
        <f t="shared" si="12"/>
        <v>258.08803543692596</v>
      </c>
      <c r="L44" s="3">
        <f t="shared" si="13"/>
        <v>17.253807723825201</v>
      </c>
      <c r="M44" s="3">
        <f t="shared" si="14"/>
        <v>111.48955149962092</v>
      </c>
      <c r="N44" s="3">
        <f t="shared" si="15"/>
        <v>0.79985873758479265</v>
      </c>
      <c r="O44" s="3">
        <f t="shared" si="16"/>
        <v>0.48630317038868043</v>
      </c>
      <c r="P44" s="3">
        <f>(ABS(Geometry_loads!S27)/Z44+ABS(Geometry_loads!T27)/AA44)/(1000*J44)</f>
        <v>0.35242065330460115</v>
      </c>
      <c r="Q44" s="22">
        <f>IF(D44&gt;=$R$14,IF(P44&gt;0.75,"Redesign",IF(P44&lt;0.5,VLOOKUP(R44,'Steel grades'!$B$5:$AB$22,27,FALSE),(VLOOKUP(R44,'Steel grades'!$B$5:$AB$22,27,FALSE)-VLOOKUP(R44,'Steel grades'!$B$5:$AB$22,25,FALSE))/(0.5-0.75)*(P44-0.75)+VLOOKUP(R44,'Steel grades'!$B$5:$AB$22,25,FALSE))),IF(D44&lt;$R$2,IF(P44&gt;0.75,"Redesign",IF(P44&lt;0.5,VLOOKUP(R44,'Steel grades'!$B$5:$AB$22,18,FALSE),(VLOOKUP(R44,'Steel grades'!$B$5:$AB$22,18,FALSE)-VLOOKUP(R44,'Steel grades'!$B$5:$AB$22,11,FALSE))/(0.5-0.75)*(P44-0.75)+VLOOKUP(R44,'Steel grades'!$B$5:$AB$22,11,FALSE))),IF(P44&gt;0.75,"Redesign",IF(P44&lt;0.5,VLOOKUP(R44,'Steel grades'!$B$5:$AB$22,26,FALSE),(VLOOKUP(R44,'Steel grades'!$B$5:$AB$22,26,FALSE)-VLOOKUP(R44,'Steel grades'!$B$5:$AB$22,24,FALSE))/(0.5-0.75)*(P44-0.75)+VLOOKUP(R44,'Steel grades'!$B$5:$AB$22,24,FALSE)))))</f>
        <v>145</v>
      </c>
      <c r="R44" s="3" t="str">
        <f>Geometry!M37</f>
        <v>S355 NL/ML</v>
      </c>
      <c r="T44" s="3">
        <f>Geometry_loads!L27</f>
        <v>-39544.53</v>
      </c>
      <c r="U44" s="3">
        <f>Geometry_loads!M27</f>
        <v>-46406.65</v>
      </c>
      <c r="V44" s="3">
        <f>Geometry_loads!N27</f>
        <v>846105.59999999998</v>
      </c>
      <c r="W44" s="3">
        <f>Geometry_loads!O27</f>
        <v>15366.7</v>
      </c>
      <c r="X44" s="3">
        <f t="shared" si="17"/>
        <v>0</v>
      </c>
      <c r="Y44" s="3">
        <f t="shared" si="18"/>
        <v>0</v>
      </c>
      <c r="Z44" s="18">
        <f t="shared" si="19"/>
        <v>2.7395727806471317</v>
      </c>
      <c r="AA44" s="224">
        <f t="shared" si="20"/>
        <v>6.3595940285540369</v>
      </c>
      <c r="AB44" s="224">
        <f t="shared" si="21"/>
        <v>4.6883499999999998</v>
      </c>
      <c r="AC44" s="120">
        <f t="shared" si="22"/>
        <v>93</v>
      </c>
      <c r="AD44" s="224">
        <f t="shared" si="23"/>
        <v>114.78856318820363</v>
      </c>
      <c r="AE44" s="224">
        <f t="shared" si="24"/>
        <v>0.40472025823694013</v>
      </c>
      <c r="AF44" s="224">
        <f t="shared" si="25"/>
        <v>0.38924526344507621</v>
      </c>
      <c r="AG44" s="224">
        <f t="shared" si="26"/>
        <v>0.29012581860728154</v>
      </c>
      <c r="AH44" s="224">
        <f t="shared" si="27"/>
        <v>0.90125980628767788</v>
      </c>
      <c r="AI44" s="224">
        <f t="shared" si="28"/>
        <v>37.958376992415459</v>
      </c>
      <c r="AJ44" s="224">
        <f t="shared" si="29"/>
        <v>2.8807227308140662</v>
      </c>
      <c r="AK44" s="224">
        <f t="shared" si="30"/>
        <v>6.0251392051453093E-2</v>
      </c>
      <c r="AL44" s="224">
        <f t="shared" si="31"/>
        <v>0.6743369031157187</v>
      </c>
      <c r="AM44" s="224">
        <f>IF(_xlfn.MINIFS(Geometry!$AJ$28:$AJ$35,Geometry!$AI$28:$AI$35,"o",Geometry!$AK$28:$AK$35,C15)&lt;=0,1,_xlfn.MINIFS(Geometry!$AJ$28:$AJ$35,Geometry!$AI$28:$AI$35,"o",Geometry!$AK$28:$AK$35,C15))</f>
        <v>1</v>
      </c>
      <c r="AN44" s="224">
        <f t="shared" si="32"/>
        <v>1.4665087042359026E-2</v>
      </c>
      <c r="AO44" s="224">
        <f t="shared" si="33"/>
        <v>2.4248072009611419</v>
      </c>
      <c r="AP44" s="224">
        <f t="shared" si="34"/>
        <v>146.31342634790326</v>
      </c>
      <c r="AQ44" s="224">
        <f t="shared" si="35"/>
        <v>0.32037408651625482</v>
      </c>
      <c r="AR44" s="224">
        <f t="shared" si="36"/>
        <v>9.4083194321517283</v>
      </c>
      <c r="AS44" s="224">
        <f t="shared" si="37"/>
        <v>0.56085413845088794</v>
      </c>
      <c r="AT44" s="224">
        <f t="shared" si="38"/>
        <v>146.63380043441953</v>
      </c>
      <c r="AU44" s="224">
        <f t="shared" si="39"/>
        <v>0.48113376576948652</v>
      </c>
      <c r="AV44" s="224">
        <f t="shared" si="40"/>
        <v>0.51205454119956029</v>
      </c>
      <c r="AW44" s="224">
        <f t="shared" si="41"/>
        <v>3.733460092123702E-2</v>
      </c>
      <c r="AX44" s="224">
        <f t="shared" si="42"/>
        <v>0.56208220846988821</v>
      </c>
    </row>
    <row r="45" spans="3:50" ht="14.85" customHeight="1">
      <c r="C45" s="12" t="str">
        <f t="shared" si="5"/>
        <v>Can11</v>
      </c>
      <c r="D45" s="2">
        <f t="shared" si="6"/>
        <v>-33.5</v>
      </c>
      <c r="E45" s="43">
        <f t="shared" si="7"/>
        <v>9.8000000000000007</v>
      </c>
      <c r="F45" s="120">
        <f t="shared" si="8"/>
        <v>93</v>
      </c>
      <c r="G45" s="120">
        <f t="shared" si="9"/>
        <v>143.76767931715551</v>
      </c>
      <c r="H45" s="120">
        <f t="shared" si="10"/>
        <v>14.917254811783481</v>
      </c>
      <c r="I45" s="120">
        <f t="shared" si="11"/>
        <v>9.5638442561491956</v>
      </c>
      <c r="J45" s="120">
        <f>VLOOKUP(R45,'Steel grades'!$B$5:$J$22,IF(F45&gt;200,10,IF(F45&gt;150,9,IF(F45&gt;120,8,IF(F45&gt;100,7,IF(F45&gt;80,6,IF(F45&gt;63,5,IF(F45&gt;40,4,IF(F45&gt;16,3,2)))))))),FALSE)</f>
        <v>315</v>
      </c>
      <c r="K45" s="120">
        <f t="shared" si="12"/>
        <v>217.5245266563031</v>
      </c>
      <c r="L45" s="3">
        <f t="shared" si="13"/>
        <v>17.591352821532229</v>
      </c>
      <c r="M45" s="3">
        <f t="shared" si="14"/>
        <v>110.06389759028093</v>
      </c>
      <c r="N45" s="3">
        <f t="shared" si="15"/>
        <v>0.9254279503934506</v>
      </c>
      <c r="O45" s="3">
        <f t="shared" si="16"/>
        <v>0.69276495608250788</v>
      </c>
      <c r="P45" s="3">
        <f>(ABS(Geometry_loads!S28)/Z45+ABS(Geometry_loads!T28)/AA45)/(1000*J45)</f>
        <v>0.34659048230719175</v>
      </c>
      <c r="Q45" s="22">
        <f>IF(D45&gt;=$R$14,IF(P45&gt;0.75,"Redesign",IF(P45&lt;0.5,VLOOKUP(R45,'Steel grades'!$B$5:$AB$22,27,FALSE),(VLOOKUP(R45,'Steel grades'!$B$5:$AB$22,27,FALSE)-VLOOKUP(R45,'Steel grades'!$B$5:$AB$22,25,FALSE))/(0.5-0.75)*(P45-0.75)+VLOOKUP(R45,'Steel grades'!$B$5:$AB$22,25,FALSE))),IF(D45&lt;$R$2,IF(P45&gt;0.75,"Redesign",IF(P45&lt;0.5,VLOOKUP(R45,'Steel grades'!$B$5:$AB$22,18,FALSE),(VLOOKUP(R45,'Steel grades'!$B$5:$AB$22,18,FALSE)-VLOOKUP(R45,'Steel grades'!$B$5:$AB$22,11,FALSE))/(0.5-0.75)*(P45-0.75)+VLOOKUP(R45,'Steel grades'!$B$5:$AB$22,11,FALSE))),IF(P45&gt;0.75,"Redesign",IF(P45&lt;0.5,VLOOKUP(R45,'Steel grades'!$B$5:$AB$22,26,FALSE),(VLOOKUP(R45,'Steel grades'!$B$5:$AB$22,26,FALSE)-VLOOKUP(R45,'Steel grades'!$B$5:$AB$22,24,FALSE))/(0.5-0.75)*(P45-0.75)+VLOOKUP(R45,'Steel grades'!$B$5:$AB$22,24,FALSE)))))</f>
        <v>145</v>
      </c>
      <c r="R45" s="3" t="str">
        <f>Geometry!M38</f>
        <v>S355 NL/ML</v>
      </c>
      <c r="T45" s="3">
        <f>Geometry_loads!L28</f>
        <v>-41010.39</v>
      </c>
      <c r="U45" s="3">
        <f>Geometry_loads!M28</f>
        <v>-46410.559999999998</v>
      </c>
      <c r="V45" s="3">
        <f>Geometry_loads!N28</f>
        <v>889951.5</v>
      </c>
      <c r="W45" s="3">
        <f>Geometry_loads!O28</f>
        <v>16372.09</v>
      </c>
      <c r="X45" s="3">
        <f t="shared" si="17"/>
        <v>0</v>
      </c>
      <c r="Y45" s="3">
        <f t="shared" si="18"/>
        <v>0</v>
      </c>
      <c r="Z45" s="18">
        <f t="shared" si="19"/>
        <v>2.8360759096208459</v>
      </c>
      <c r="AA45" s="224">
        <f t="shared" si="20"/>
        <v>6.8177599396176953</v>
      </c>
      <c r="AB45" s="224">
        <f t="shared" si="21"/>
        <v>4.8535000000000004</v>
      </c>
      <c r="AC45" s="120">
        <f t="shared" si="22"/>
        <v>93</v>
      </c>
      <c r="AD45" s="224">
        <f t="shared" si="23"/>
        <v>112.8187063935674</v>
      </c>
      <c r="AE45" s="224">
        <f t="shared" si="24"/>
        <v>0.40770302351604315</v>
      </c>
      <c r="AF45" s="224">
        <f t="shared" si="25"/>
        <v>0.38562285511731564</v>
      </c>
      <c r="AG45" s="224">
        <f t="shared" si="26"/>
        <v>0.28994192693789217</v>
      </c>
      <c r="AH45" s="224">
        <f t="shared" si="27"/>
        <v>0.89788352028944218</v>
      </c>
      <c r="AI45" s="224">
        <f t="shared" si="28"/>
        <v>38.7009762073709</v>
      </c>
      <c r="AJ45" s="224">
        <f t="shared" si="29"/>
        <v>2.852951028174108</v>
      </c>
      <c r="AK45" s="224">
        <f t="shared" si="30"/>
        <v>6.1430120964080806E-2</v>
      </c>
      <c r="AL45" s="224">
        <f t="shared" si="31"/>
        <v>0.6657139332570372</v>
      </c>
      <c r="AM45" s="224">
        <f>IF(_xlfn.MINIFS(Geometry!$AJ$28:$AJ$35,Geometry!$AI$28:$AI$35,"o",Geometry!$AK$28:$AK$35,C16)&lt;=0,1,_xlfn.MINIFS(Geometry!$AJ$28:$AJ$35,Geometry!$AI$28:$AI$35,"o",Geometry!$AK$28:$AK$35,C16))</f>
        <v>0.84599999999999997</v>
      </c>
      <c r="AN45" s="224">
        <f t="shared" si="32"/>
        <v>2.4248072009611419</v>
      </c>
      <c r="AO45" s="224">
        <f t="shared" si="33"/>
        <v>2.4248072009611419</v>
      </c>
      <c r="AP45" s="224">
        <f t="shared" si="34"/>
        <v>143.89417880022214</v>
      </c>
      <c r="AQ45" s="224">
        <f t="shared" si="35"/>
        <v>53.02895211136034</v>
      </c>
      <c r="AR45" s="224">
        <f t="shared" si="36"/>
        <v>37.68669298401889</v>
      </c>
      <c r="AS45" s="224">
        <f t="shared" si="37"/>
        <v>0.5529571692790094</v>
      </c>
      <c r="AT45" s="224">
        <f t="shared" si="38"/>
        <v>196.92313091158246</v>
      </c>
      <c r="AU45" s="224">
        <f t="shared" si="39"/>
        <v>0.69276495608250788</v>
      </c>
      <c r="AV45" s="224">
        <f t="shared" si="40"/>
        <v>0.68766807619917691</v>
      </c>
      <c r="AW45" s="224">
        <f t="shared" si="41"/>
        <v>0.14955036898420196</v>
      </c>
      <c r="AX45" s="224">
        <f t="shared" si="42"/>
        <v>0.75673705456568707</v>
      </c>
    </row>
    <row r="46" spans="3:50" ht="14.85" customHeight="1">
      <c r="C46" s="12" t="str">
        <f t="shared" si="5"/>
        <v>Can12</v>
      </c>
      <c r="D46" s="2">
        <f t="shared" si="6"/>
        <v>-36.799999999999997</v>
      </c>
      <c r="E46" s="43">
        <f t="shared" si="7"/>
        <v>9.8000000000000007</v>
      </c>
      <c r="F46" s="120">
        <f t="shared" si="8"/>
        <v>93</v>
      </c>
      <c r="G46" s="120">
        <f t="shared" si="9"/>
        <v>150.70273968084592</v>
      </c>
      <c r="H46" s="120">
        <f t="shared" si="10"/>
        <v>15.522093615593034</v>
      </c>
      <c r="I46" s="120">
        <f t="shared" si="11"/>
        <v>9.5638442561491956</v>
      </c>
      <c r="J46" s="120">
        <f>VLOOKUP(R46,'Steel grades'!$B$5:$J$22,IF(F46&gt;200,10,IF(F46&gt;150,9,IF(F46&gt;120,8,IF(F46&gt;100,7,IF(F46&gt;80,6,IF(F46&gt;63,5,IF(F46&gt;40,4,IF(F46&gt;16,3,2)))))))),FALSE)</f>
        <v>315</v>
      </c>
      <c r="K46" s="120">
        <f t="shared" si="12"/>
        <v>257.15939458702343</v>
      </c>
      <c r="L46" s="3">
        <f t="shared" si="13"/>
        <v>17.591352821532229</v>
      </c>
      <c r="M46" s="3">
        <f t="shared" si="14"/>
        <v>110.06389759028093</v>
      </c>
      <c r="N46" s="3">
        <f t="shared" si="15"/>
        <v>0.83412736274857957</v>
      </c>
      <c r="O46" s="3">
        <f t="shared" si="16"/>
        <v>0.50161629980658051</v>
      </c>
      <c r="P46" s="3">
        <f>(ABS(Geometry_loads!S29)/Z46+ABS(Geometry_loads!T29)/AA46)/(1000*J46)</f>
        <v>0.36340689397301523</v>
      </c>
      <c r="Q46" s="22">
        <f>IF(D46&gt;=$R$14,IF(P46&gt;0.75,"Redesign",IF(P46&lt;0.5,VLOOKUP(R46,'Steel grades'!$B$5:$AB$22,27,FALSE),(VLOOKUP(R46,'Steel grades'!$B$5:$AB$22,27,FALSE)-VLOOKUP(R46,'Steel grades'!$B$5:$AB$22,25,FALSE))/(0.5-0.75)*(P46-0.75)+VLOOKUP(R46,'Steel grades'!$B$5:$AB$22,25,FALSE))),IF(D46&lt;$R$2,IF(P46&gt;0.75,"Redesign",IF(P46&lt;0.5,VLOOKUP(R46,'Steel grades'!$B$5:$AB$22,18,FALSE),(VLOOKUP(R46,'Steel grades'!$B$5:$AB$22,18,FALSE)-VLOOKUP(R46,'Steel grades'!$B$5:$AB$22,11,FALSE))/(0.5-0.75)*(P46-0.75)+VLOOKUP(R46,'Steel grades'!$B$5:$AB$22,11,FALSE))),IF(P46&gt;0.75,"Redesign",IF(P46&lt;0.5,VLOOKUP(R46,'Steel grades'!$B$5:$AB$22,26,FALSE),(VLOOKUP(R46,'Steel grades'!$B$5:$AB$22,26,FALSE)-VLOOKUP(R46,'Steel grades'!$B$5:$AB$22,24,FALSE))/(0.5-0.75)*(P46-0.75)+VLOOKUP(R46,'Steel grades'!$B$5:$AB$22,24,FALSE)))))</f>
        <v>145</v>
      </c>
      <c r="R46" s="3" t="str">
        <f>Geometry!M39</f>
        <v>S355 NL/ML</v>
      </c>
      <c r="T46" s="3">
        <f>Geometry_loads!L29</f>
        <v>-42196.418461538458</v>
      </c>
      <c r="U46" s="3">
        <f>Geometry_loads!M29</f>
        <v>-46413.081538461542</v>
      </c>
      <c r="V46" s="3">
        <f>Geometry_loads!N29</f>
        <v>934803.4923076923</v>
      </c>
      <c r="W46" s="3">
        <f>Geometry_loads!O29</f>
        <v>17229.514615384614</v>
      </c>
      <c r="X46" s="3">
        <f t="shared" si="17"/>
        <v>0</v>
      </c>
      <c r="Y46" s="3">
        <f t="shared" si="18"/>
        <v>0</v>
      </c>
      <c r="Z46" s="18">
        <f t="shared" si="19"/>
        <v>2.8360759096208459</v>
      </c>
      <c r="AA46" s="224">
        <f t="shared" si="20"/>
        <v>6.8177599396176953</v>
      </c>
      <c r="AB46" s="224">
        <f t="shared" si="21"/>
        <v>4.8535000000000004</v>
      </c>
      <c r="AC46" s="120">
        <f t="shared" si="22"/>
        <v>93</v>
      </c>
      <c r="AD46" s="224">
        <f t="shared" si="23"/>
        <v>112.8187063935674</v>
      </c>
      <c r="AE46" s="224">
        <f t="shared" si="24"/>
        <v>0.40770302351604315</v>
      </c>
      <c r="AF46" s="224">
        <f t="shared" si="25"/>
        <v>0.38562285511731564</v>
      </c>
      <c r="AG46" s="224">
        <f t="shared" si="26"/>
        <v>0.29012728518438541</v>
      </c>
      <c r="AH46" s="224">
        <f t="shared" si="27"/>
        <v>0.89801693347849454</v>
      </c>
      <c r="AI46" s="224">
        <f t="shared" si="28"/>
        <v>38.7009762073709</v>
      </c>
      <c r="AJ46" s="224">
        <f t="shared" si="29"/>
        <v>2.852951028174108</v>
      </c>
      <c r="AK46" s="224">
        <f t="shared" si="30"/>
        <v>6.1430120964080806E-2</v>
      </c>
      <c r="AL46" s="224">
        <f t="shared" si="31"/>
        <v>0.6657139332570372</v>
      </c>
      <c r="AM46" s="224">
        <f>IF(_xlfn.MINIFS(Geometry!$AJ$28:$AJ$35,Geometry!$AI$28:$AI$35,"o",Geometry!$AK$28:$AK$35,C17)&lt;=0,1,_xlfn.MINIFS(Geometry!$AJ$28:$AJ$35,Geometry!$AI$28:$AI$35,"o",Geometry!$AK$28:$AK$35,C17))</f>
        <v>1</v>
      </c>
      <c r="AN46" s="224">
        <f t="shared" si="32"/>
        <v>0</v>
      </c>
      <c r="AO46" s="224">
        <f t="shared" si="33"/>
        <v>0</v>
      </c>
      <c r="AP46" s="224">
        <f t="shared" si="34"/>
        <v>150.70273968084589</v>
      </c>
      <c r="AQ46" s="224">
        <f t="shared" si="35"/>
        <v>0</v>
      </c>
      <c r="AR46" s="224">
        <f t="shared" si="36"/>
        <v>0</v>
      </c>
      <c r="AS46" s="224">
        <f t="shared" si="37"/>
        <v>0</v>
      </c>
      <c r="AT46" s="224">
        <f t="shared" si="38"/>
        <v>0</v>
      </c>
      <c r="AU46" s="224">
        <f t="shared" si="39"/>
        <v>0</v>
      </c>
      <c r="AV46" s="224">
        <f t="shared" si="40"/>
        <v>0</v>
      </c>
      <c r="AW46" s="224">
        <f t="shared" si="41"/>
        <v>0</v>
      </c>
      <c r="AX46" s="224">
        <f t="shared" si="42"/>
        <v>0</v>
      </c>
    </row>
    <row r="47" spans="3:50" ht="14.85" customHeight="1">
      <c r="C47" s="12" t="str">
        <f t="shared" si="5"/>
        <v>Can13</v>
      </c>
      <c r="D47" s="2">
        <f t="shared" si="6"/>
        <v>-40.200000000000003</v>
      </c>
      <c r="E47" s="43">
        <f t="shared" si="7"/>
        <v>9.8000000000000007</v>
      </c>
      <c r="F47" s="120">
        <f t="shared" si="8"/>
        <v>102</v>
      </c>
      <c r="G47" s="120">
        <f t="shared" si="9"/>
        <v>144.59777319942322</v>
      </c>
      <c r="H47" s="120">
        <f t="shared" si="10"/>
        <v>14.713316287402062</v>
      </c>
      <c r="I47" s="120">
        <f t="shared" si="11"/>
        <v>8.7118907806985302</v>
      </c>
      <c r="J47" s="120">
        <f>VLOOKUP(R47,'Steel grades'!$B$5:$J$22,IF(F47&gt;200,10,IF(F47&gt;150,9,IF(F47&gt;120,8,IF(F47&gt;100,7,IF(F47&gt;80,6,IF(F47&gt;63,5,IF(F47&gt;40,4,IF(F47&gt;16,3,2)))))))),FALSE)</f>
        <v>340</v>
      </c>
      <c r="K47" s="120">
        <f t="shared" si="12"/>
        <v>235.29927148683822</v>
      </c>
      <c r="L47" s="3">
        <f t="shared" si="13"/>
        <v>19.53909928427284</v>
      </c>
      <c r="M47" s="3">
        <f t="shared" si="14"/>
        <v>121.14914991790815</v>
      </c>
      <c r="N47" s="3">
        <f t="shared" si="15"/>
        <v>0.75894916939483892</v>
      </c>
      <c r="O47" s="3">
        <f t="shared" si="16"/>
        <v>0.44501835126979056</v>
      </c>
      <c r="P47" s="3">
        <f>(ABS(Geometry_loads!S30)/Z47+ABS(Geometry_loads!T30)/AA47)/(1000*J47)</f>
        <v>0.32341066651577405</v>
      </c>
      <c r="Q47" s="22">
        <f>IF(D47&gt;=$R$14,IF(P47&gt;0.75,"Redesign",IF(P47&lt;0.5,VLOOKUP(R47,'Steel grades'!$B$5:$AB$22,27,FALSE),(VLOOKUP(R47,'Steel grades'!$B$5:$AB$22,27,FALSE)-VLOOKUP(R47,'Steel grades'!$B$5:$AB$22,25,FALSE))/(0.5-0.75)*(P47-0.75)+VLOOKUP(R47,'Steel grades'!$B$5:$AB$22,25,FALSE))),IF(D47&lt;$R$2,IF(P47&gt;0.75,"Redesign",IF(P47&lt;0.5,VLOOKUP(R47,'Steel grades'!$B$5:$AB$22,18,FALSE),(VLOOKUP(R47,'Steel grades'!$B$5:$AB$22,18,FALSE)-VLOOKUP(R47,'Steel grades'!$B$5:$AB$22,11,FALSE))/(0.5-0.75)*(P47-0.75)+VLOOKUP(R47,'Steel grades'!$B$5:$AB$22,11,FALSE))),IF(P47&gt;0.75,"Redesign",IF(P47&lt;0.5,VLOOKUP(R47,'Steel grades'!$B$5:$AB$22,26,FALSE),(VLOOKUP(R47,'Steel grades'!$B$5:$AB$22,26,FALSE)-VLOOKUP(R47,'Steel grades'!$B$5:$AB$22,24,FALSE))/(0.5-0.75)*(P47-0.75)+VLOOKUP(R47,'Steel grades'!$B$5:$AB$22,24,FALSE)))))</f>
        <v>130</v>
      </c>
      <c r="R47" s="3" t="str">
        <f>Geometry!M40</f>
        <v>S420 NL</v>
      </c>
      <c r="T47" s="3">
        <f>Geometry_loads!L30</f>
        <v>-42697.566666666666</v>
      </c>
      <c r="U47" s="3">
        <f>Geometry_loads!M30</f>
        <v>-46414.76051282051</v>
      </c>
      <c r="V47" s="3">
        <f>Geometry_loads!N30</f>
        <v>985951.61025641044</v>
      </c>
      <c r="W47" s="3">
        <f>Geometry_loads!O30</f>
        <v>18075.91153846154</v>
      </c>
      <c r="X47" s="3">
        <f t="shared" si="17"/>
        <v>0</v>
      </c>
      <c r="Y47" s="3">
        <f t="shared" si="18"/>
        <v>0</v>
      </c>
      <c r="Z47" s="18">
        <f t="shared" si="19"/>
        <v>3.1076508865604193</v>
      </c>
      <c r="AA47" s="224">
        <f t="shared" si="20"/>
        <v>7.4569040686861889</v>
      </c>
      <c r="AB47" s="224">
        <f t="shared" si="21"/>
        <v>4.8490000000000002</v>
      </c>
      <c r="AC47" s="120">
        <f t="shared" si="22"/>
        <v>102</v>
      </c>
      <c r="AD47" s="224">
        <f t="shared" si="23"/>
        <v>107.77646353642358</v>
      </c>
      <c r="AE47" s="224">
        <f t="shared" si="24"/>
        <v>0.40796398341760781</v>
      </c>
      <c r="AF47" s="224">
        <f t="shared" si="25"/>
        <v>0.3953323986453664</v>
      </c>
      <c r="AG47" s="224">
        <f t="shared" si="26"/>
        <v>0.29049812536484004</v>
      </c>
      <c r="AH47" s="224">
        <f t="shared" si="27"/>
        <v>0.89983729187707584</v>
      </c>
      <c r="AI47" s="224">
        <f t="shared" si="28"/>
        <v>42.986018425400246</v>
      </c>
      <c r="AJ47" s="224">
        <f t="shared" si="29"/>
        <v>2.8123919635816317</v>
      </c>
      <c r="AK47" s="224">
        <f t="shared" si="30"/>
        <v>6.3214732978529781E-2</v>
      </c>
      <c r="AL47" s="224">
        <f t="shared" si="31"/>
        <v>0.67888273896104523</v>
      </c>
      <c r="AM47" s="224">
        <f>IF(_xlfn.MINIFS(Geometry!$AJ$28:$AJ$35,Geometry!$AI$28:$AI$35,"o",Geometry!$AK$28:$AK$35,C18)&lt;=0,1,_xlfn.MINIFS(Geometry!$AJ$28:$AJ$35,Geometry!$AI$28:$AI$35,"o",Geometry!$AK$28:$AK$35,C18))</f>
        <v>0.84599999999999997</v>
      </c>
      <c r="AN47" s="224">
        <f t="shared" si="32"/>
        <v>0</v>
      </c>
      <c r="AO47" s="224">
        <f t="shared" si="33"/>
        <v>0</v>
      </c>
      <c r="AP47" s="224">
        <f t="shared" si="34"/>
        <v>144.59777319942324</v>
      </c>
      <c r="AQ47" s="224">
        <f t="shared" si="35"/>
        <v>0</v>
      </c>
      <c r="AR47" s="224">
        <f t="shared" si="36"/>
        <v>0</v>
      </c>
      <c r="AS47" s="224">
        <f t="shared" si="37"/>
        <v>0</v>
      </c>
      <c r="AT47" s="224">
        <f t="shared" si="38"/>
        <v>0</v>
      </c>
      <c r="AU47" s="224">
        <f t="shared" si="39"/>
        <v>0</v>
      </c>
      <c r="AV47" s="224">
        <f t="shared" si="40"/>
        <v>0</v>
      </c>
      <c r="AW47" s="224">
        <f t="shared" si="41"/>
        <v>0</v>
      </c>
      <c r="AX47" s="224">
        <f t="shared" si="42"/>
        <v>0</v>
      </c>
    </row>
    <row r="48" spans="3:50" ht="14.85" customHeight="1">
      <c r="C48" s="12" t="str">
        <f t="shared" si="5"/>
        <v>Can14</v>
      </c>
      <c r="D48" s="2">
        <f t="shared" si="6"/>
        <v>-43.8</v>
      </c>
      <c r="E48" s="43">
        <f t="shared" si="7"/>
        <v>9.8000000000000007</v>
      </c>
      <c r="F48" s="120">
        <f t="shared" si="8"/>
        <v>92</v>
      </c>
      <c r="G48" s="120">
        <f t="shared" si="9"/>
        <v>168.72265777886525</v>
      </c>
      <c r="H48" s="120">
        <f t="shared" si="10"/>
        <v>16.869905035946712</v>
      </c>
      <c r="I48" s="120">
        <f t="shared" si="11"/>
        <v>9.6687950466032611</v>
      </c>
      <c r="J48" s="120">
        <f>VLOOKUP(R48,'Steel grades'!$B$5:$J$22,IF(F48&gt;200,10,IF(F48&gt;150,9,IF(F48&gt;120,8,IF(F48&gt;100,7,IF(F48&gt;80,6,IF(F48&gt;63,5,IF(F48&gt;40,4,IF(F48&gt;16,3,2)))))))),FALSE)</f>
        <v>315</v>
      </c>
      <c r="K48" s="120">
        <f t="shared" si="12"/>
        <v>256.78317363624598</v>
      </c>
      <c r="L48" s="3">
        <f t="shared" si="13"/>
        <v>17.386534091165831</v>
      </c>
      <c r="M48" s="3">
        <f t="shared" si="14"/>
        <v>109.31023957050785</v>
      </c>
      <c r="N48" s="3">
        <f t="shared" si="15"/>
        <v>0.94039741105790275</v>
      </c>
      <c r="O48" s="3">
        <f t="shared" si="16"/>
        <v>0.55936063572424566</v>
      </c>
      <c r="P48" s="3">
        <f>(ABS(Geometry_loads!S31)/Z48+ABS(Geometry_loads!T31)/AA48)/(1000*J48)</f>
        <v>0.40707851211212071</v>
      </c>
      <c r="Q48" s="22">
        <f>IF(D48&gt;=$R$14,IF(P48&gt;0.75,"Redesign",IF(P48&lt;0.5,VLOOKUP(R48,'Steel grades'!$B$5:$AB$22,27,FALSE),(VLOOKUP(R48,'Steel grades'!$B$5:$AB$22,27,FALSE)-VLOOKUP(R48,'Steel grades'!$B$5:$AB$22,25,FALSE))/(0.5-0.75)*(P48-0.75)+VLOOKUP(R48,'Steel grades'!$B$5:$AB$22,25,FALSE))),IF(D48&lt;$R$2,IF(P48&gt;0.75,"Redesign",IF(P48&lt;0.5,VLOOKUP(R48,'Steel grades'!$B$5:$AB$22,18,FALSE),(VLOOKUP(R48,'Steel grades'!$B$5:$AB$22,18,FALSE)-VLOOKUP(R48,'Steel grades'!$B$5:$AB$22,11,FALSE))/(0.5-0.75)*(P48-0.75)+VLOOKUP(R48,'Steel grades'!$B$5:$AB$22,11,FALSE))),IF(P48&gt;0.75,"Redesign",IF(P48&lt;0.5,VLOOKUP(R48,'Steel grades'!$B$5:$AB$22,26,FALSE),(VLOOKUP(R48,'Steel grades'!$B$5:$AB$22,26,FALSE)-VLOOKUP(R48,'Steel grades'!$B$5:$AB$22,24,FALSE))/(0.5-0.75)*(P48-0.75)+VLOOKUP(R48,'Steel grades'!$B$5:$AB$22,24,FALSE)))))</f>
        <v>145</v>
      </c>
      <c r="R48" s="3" t="str">
        <f>Geometry!M41</f>
        <v>S355 NL/ML</v>
      </c>
      <c r="T48" s="3">
        <f>Geometry_loads!L31</f>
        <v>-43607.330673575125</v>
      </c>
      <c r="U48" s="3">
        <f>Geometry_loads!M31</f>
        <v>-46415.744870466318</v>
      </c>
      <c r="V48" s="3">
        <f>Geometry_loads!N31</f>
        <v>1043140.2010362694</v>
      </c>
      <c r="W48" s="3">
        <f>Geometry_loads!O31</f>
        <v>18886.190880829014</v>
      </c>
      <c r="X48" s="3">
        <f t="shared" si="17"/>
        <v>0</v>
      </c>
      <c r="Y48" s="3">
        <f t="shared" si="18"/>
        <v>0</v>
      </c>
      <c r="Z48" s="18">
        <f t="shared" si="19"/>
        <v>2.8058694962565682</v>
      </c>
      <c r="AA48" s="224">
        <f t="shared" si="20"/>
        <v>6.7465219465220363</v>
      </c>
      <c r="AB48" s="224">
        <f t="shared" si="21"/>
        <v>4.8540000000000001</v>
      </c>
      <c r="AC48" s="120">
        <f t="shared" si="22"/>
        <v>92</v>
      </c>
      <c r="AD48" s="224">
        <f t="shared" si="23"/>
        <v>113.42435212640626</v>
      </c>
      <c r="AE48" s="224">
        <f t="shared" si="24"/>
        <v>0.40951377075163781</v>
      </c>
      <c r="AF48" s="224">
        <f t="shared" si="25"/>
        <v>0.38447624918747192</v>
      </c>
      <c r="AG48" s="224">
        <f t="shared" si="26"/>
        <v>0.29078874877124017</v>
      </c>
      <c r="AH48" s="224">
        <f t="shared" si="27"/>
        <v>0.89670314603133516</v>
      </c>
      <c r="AI48" s="224">
        <f t="shared" si="28"/>
        <v>38.25037500056483</v>
      </c>
      <c r="AJ48" s="224">
        <f t="shared" si="29"/>
        <v>2.8697061487440436</v>
      </c>
      <c r="AK48" s="224">
        <f t="shared" si="30"/>
        <v>6.0714880953277511E-2</v>
      </c>
      <c r="AL48" s="224">
        <f t="shared" si="31"/>
        <v>0.66115548443177818</v>
      </c>
      <c r="AM48" s="224">
        <f>IF(_xlfn.MINIFS(Geometry!$AJ$28:$AJ$35,Geometry!$AI$28:$AI$35,"o",Geometry!$AK$28:$AK$35,C19)&lt;=0,1,_xlfn.MINIFS(Geometry!$AJ$28:$AJ$35,Geometry!$AI$28:$AI$35,"o",Geometry!$AK$28:$AK$35,C19))</f>
        <v>1</v>
      </c>
      <c r="AN48" s="224">
        <f t="shared" si="32"/>
        <v>0</v>
      </c>
      <c r="AO48" s="224">
        <f t="shared" si="33"/>
        <v>0</v>
      </c>
      <c r="AP48" s="224">
        <f t="shared" si="34"/>
        <v>168.72265777886525</v>
      </c>
      <c r="AQ48" s="224">
        <f t="shared" si="35"/>
        <v>0</v>
      </c>
      <c r="AR48" s="224">
        <f t="shared" si="36"/>
        <v>0</v>
      </c>
      <c r="AS48" s="224">
        <f t="shared" si="37"/>
        <v>0</v>
      </c>
      <c r="AT48" s="224">
        <f t="shared" si="38"/>
        <v>0</v>
      </c>
      <c r="AU48" s="224">
        <f t="shared" si="39"/>
        <v>0</v>
      </c>
      <c r="AV48" s="224">
        <f t="shared" si="40"/>
        <v>0</v>
      </c>
      <c r="AW48" s="224">
        <f t="shared" si="41"/>
        <v>0</v>
      </c>
      <c r="AX48" s="224">
        <f t="shared" si="42"/>
        <v>0</v>
      </c>
    </row>
    <row r="49" spans="3:50" ht="14.85" customHeight="1">
      <c r="C49" s="12" t="str">
        <f t="shared" si="5"/>
        <v>Can15</v>
      </c>
      <c r="D49" s="2">
        <f t="shared" si="6"/>
        <v>-47.8</v>
      </c>
      <c r="E49" s="43">
        <f t="shared" si="7"/>
        <v>9.8000000000000007</v>
      </c>
      <c r="F49" s="120">
        <f t="shared" si="8"/>
        <v>90</v>
      </c>
      <c r="G49" s="120">
        <f t="shared" si="9"/>
        <v>183.48263369340907</v>
      </c>
      <c r="H49" s="120">
        <f t="shared" si="10"/>
        <v>16.738573724583603</v>
      </c>
      <c r="I49" s="120">
        <f t="shared" si="11"/>
        <v>0</v>
      </c>
      <c r="J49" s="120">
        <f>VLOOKUP(R49,'Steel grades'!$B$5:$J$22,IF(F49&gt;200,10,IF(F49&gt;150,9,IF(F49&gt;120,8,IF(F49&gt;100,7,IF(F49&gt;80,6,IF(F49&gt;63,5,IF(F49&gt;40,4,IF(F49&gt;16,3,2)))))))),FALSE)</f>
        <v>315</v>
      </c>
      <c r="K49" s="120">
        <f t="shared" si="12"/>
        <v>255.81766437996612</v>
      </c>
      <c r="L49" s="3">
        <f t="shared" si="13"/>
        <v>16.983838136702136</v>
      </c>
      <c r="M49" s="3">
        <f t="shared" si="14"/>
        <v>107.76229521557495</v>
      </c>
      <c r="N49" s="3">
        <f t="shared" si="15"/>
        <v>0.71723989091262363</v>
      </c>
      <c r="O49" s="3">
        <f t="shared" si="16"/>
        <v>0.58971119944086048</v>
      </c>
      <c r="P49" s="3">
        <f>(ABS(Geometry_loads!S32)/Z49+ABS(Geometry_loads!T32)/AA49)/(1000*J49)</f>
        <v>0.44238750256453069</v>
      </c>
      <c r="Q49" s="22">
        <f>IF(D49&gt;=$R$14,IF(P49&gt;0.75,"Redesign",IF(P49&lt;0.5,VLOOKUP(R49,'Steel grades'!$B$5:$AB$22,27,FALSE),(VLOOKUP(R49,'Steel grades'!$B$5:$AB$22,27,FALSE)-VLOOKUP(R49,'Steel grades'!$B$5:$AB$22,25,FALSE))/(0.5-0.75)*(P49-0.75)+VLOOKUP(R49,'Steel grades'!$B$5:$AB$22,25,FALSE))),IF(D49&lt;$R$2,IF(P49&gt;0.75,"Redesign",IF(P49&lt;0.5,VLOOKUP(R49,'Steel grades'!$B$5:$AB$22,18,FALSE),(VLOOKUP(R49,'Steel grades'!$B$5:$AB$22,18,FALSE)-VLOOKUP(R49,'Steel grades'!$B$5:$AB$22,11,FALSE))/(0.5-0.75)*(P49-0.75)+VLOOKUP(R49,'Steel grades'!$B$5:$AB$22,11,FALSE))),IF(P49&gt;0.75,"Redesign",IF(P49&lt;0.5,VLOOKUP(R49,'Steel grades'!$B$5:$AB$22,26,FALSE),(VLOOKUP(R49,'Steel grades'!$B$5:$AB$22,26,FALSE)-VLOOKUP(R49,'Steel grades'!$B$5:$AB$22,24,FALSE))/(0.5-0.75)*(P49-0.75)+VLOOKUP(R49,'Steel grades'!$B$5:$AB$22,24,FALSE)))))</f>
        <v>180</v>
      </c>
      <c r="R49" s="3" t="str">
        <f>Geometry!M42</f>
        <v>S355 NL/ML</v>
      </c>
      <c r="T49" s="3">
        <f>Geometry_loads!L32</f>
        <v>-44127.25</v>
      </c>
      <c r="U49" s="3">
        <f>Geometry_loads!M32</f>
        <v>-46415.88</v>
      </c>
      <c r="V49" s="3">
        <f>Geometry_loads!N32</f>
        <v>1115710.3435158173</v>
      </c>
      <c r="W49" s="3">
        <f>Geometry_loads!O32</f>
        <v>18197.142465779296</v>
      </c>
      <c r="X49" s="3">
        <f t="shared" si="17"/>
        <v>0</v>
      </c>
      <c r="Y49" s="3">
        <f t="shared" si="18"/>
        <v>0</v>
      </c>
      <c r="Z49" s="18">
        <f t="shared" si="19"/>
        <v>2.7454378199721172</v>
      </c>
      <c r="AA49" s="224">
        <f t="shared" si="20"/>
        <v>6.6039125512340453</v>
      </c>
      <c r="AB49" s="224">
        <f t="shared" si="21"/>
        <v>4.8550000000000004</v>
      </c>
      <c r="AC49" s="120">
        <f t="shared" si="22"/>
        <v>90</v>
      </c>
      <c r="AD49" s="224">
        <f t="shared" si="23"/>
        <v>114.66588705713963</v>
      </c>
      <c r="AE49" s="224">
        <f t="shared" si="24"/>
        <v>0.41322944371621201</v>
      </c>
      <c r="AF49" s="224">
        <f t="shared" si="25"/>
        <v>0.38213887965963755</v>
      </c>
      <c r="AG49" s="224">
        <f t="shared" si="26"/>
        <v>0.29124007705918398</v>
      </c>
      <c r="AH49" s="224">
        <f t="shared" si="27"/>
        <v>0.89333152640623092</v>
      </c>
      <c r="AI49" s="224">
        <f t="shared" si="28"/>
        <v>37.364443900744703</v>
      </c>
      <c r="AJ49" s="224">
        <f t="shared" si="29"/>
        <v>2.9035279794020035</v>
      </c>
      <c r="AK49" s="224">
        <f t="shared" si="30"/>
        <v>5.9308641112293184E-2</v>
      </c>
      <c r="AL49" s="224">
        <f t="shared" si="31"/>
        <v>0.65179284920309077</v>
      </c>
      <c r="AM49" s="224">
        <f>IF(_xlfn.MINIFS(Geometry!$AJ$28:$AJ$35,Geometry!$AI$28:$AI$35,"o",Geometry!$AK$28:$AK$35,C20)&lt;=0,1,_xlfn.MINIFS(Geometry!$AJ$28:$AJ$35,Geometry!$AI$28:$AI$35,"o",Geometry!$AK$28:$AK$35,C20))</f>
        <v>1</v>
      </c>
      <c r="AN49" s="224">
        <f t="shared" si="32"/>
        <v>0</v>
      </c>
      <c r="AO49" s="224">
        <f t="shared" si="33"/>
        <v>0</v>
      </c>
      <c r="AP49" s="224">
        <f t="shared" si="34"/>
        <v>183.48263369340907</v>
      </c>
      <c r="AQ49" s="224">
        <f t="shared" si="35"/>
        <v>0</v>
      </c>
      <c r="AR49" s="224">
        <f t="shared" si="36"/>
        <v>0</v>
      </c>
      <c r="AS49" s="224">
        <f t="shared" si="37"/>
        <v>0</v>
      </c>
      <c r="AT49" s="224">
        <f t="shared" si="38"/>
        <v>0</v>
      </c>
      <c r="AU49" s="224">
        <f t="shared" si="39"/>
        <v>0</v>
      </c>
      <c r="AV49" s="224">
        <f t="shared" si="40"/>
        <v>0</v>
      </c>
      <c r="AW49" s="224">
        <f t="shared" si="41"/>
        <v>0</v>
      </c>
      <c r="AX49" s="224">
        <f t="shared" si="42"/>
        <v>0</v>
      </c>
    </row>
    <row r="50" spans="3:50" ht="14.85" customHeight="1">
      <c r="C50" s="12" t="str">
        <f t="shared" si="5"/>
        <v>Can16</v>
      </c>
      <c r="D50" s="2">
        <f t="shared" si="6"/>
        <v>-51.8</v>
      </c>
      <c r="E50" s="43">
        <f t="shared" si="7"/>
        <v>9.8000000000000007</v>
      </c>
      <c r="F50" s="120">
        <f t="shared" si="8"/>
        <v>81</v>
      </c>
      <c r="G50" s="120">
        <f t="shared" si="9"/>
        <v>214.81776878404554</v>
      </c>
      <c r="H50" s="120">
        <f t="shared" si="10"/>
        <v>16.327896935238869</v>
      </c>
      <c r="I50" s="120">
        <f t="shared" si="11"/>
        <v>0</v>
      </c>
      <c r="J50" s="120">
        <f>VLOOKUP(R50,'Steel grades'!$B$5:$J$22,IF(F50&gt;200,10,IF(F50&gt;150,9,IF(F50&gt;120,8,IF(F50&gt;100,7,IF(F50&gt;80,6,IF(F50&gt;63,5,IF(F50&gt;40,4,IF(F50&gt;16,3,2)))))))),FALSE)</f>
        <v>315</v>
      </c>
      <c r="K50" s="120">
        <f t="shared" si="12"/>
        <v>250.52309604952859</v>
      </c>
      <c r="L50" s="3">
        <f t="shared" si="13"/>
        <v>15.14523730096537</v>
      </c>
      <c r="M50" s="3">
        <f t="shared" si="14"/>
        <v>100.04034110966505</v>
      </c>
      <c r="N50" s="3">
        <f t="shared" si="15"/>
        <v>0.85747690401197951</v>
      </c>
      <c r="O50" s="3">
        <f t="shared" si="16"/>
        <v>0.68784555943471348</v>
      </c>
      <c r="P50" s="3">
        <f>(ABS(Geometry_loads!S33)/Z50+ABS(Geometry_loads!T33)/AA50)/(1000*J50)</f>
        <v>0.51618342241541593</v>
      </c>
      <c r="Q50" s="22">
        <f>IF(D50&gt;=$R$14,IF(P50&gt;0.75,"Redesign",IF(P50&lt;0.5,VLOOKUP(R50,'Steel grades'!$B$5:$AB$22,27,FALSE),(VLOOKUP(R50,'Steel grades'!$B$5:$AB$22,27,FALSE)-VLOOKUP(R50,'Steel grades'!$B$5:$AB$22,25,FALSE))/(0.5-0.75)*(P50-0.75)+VLOOKUP(R50,'Steel grades'!$B$5:$AB$22,25,FALSE))),IF(D50&lt;$R$2,IF(P50&gt;0.75,"Redesign",IF(P50&lt;0.5,VLOOKUP(R50,'Steel grades'!$B$5:$AB$22,18,FALSE),(VLOOKUP(R50,'Steel grades'!$B$5:$AB$22,18,FALSE)-VLOOKUP(R50,'Steel grades'!$B$5:$AB$22,11,FALSE))/(0.5-0.75)*(P50-0.75)+VLOOKUP(R50,'Steel grades'!$B$5:$AB$22,11,FALSE))),IF(P50&gt;0.75,"Redesign",IF(P50&lt;0.5,VLOOKUP(R50,'Steel grades'!$B$5:$AB$22,26,FALSE),(VLOOKUP(R50,'Steel grades'!$B$5:$AB$22,26,FALSE)-VLOOKUP(R50,'Steel grades'!$B$5:$AB$22,24,FALSE))/(0.5-0.75)*(P50-0.75)+VLOOKUP(R50,'Steel grades'!$B$5:$AB$22,24,FALSE)))))</f>
        <v>176.7633155169168</v>
      </c>
      <c r="R50" s="3" t="str">
        <f>Geometry!M43</f>
        <v>S355 NL/ML</v>
      </c>
      <c r="T50" s="3">
        <f>Geometry_loads!L33</f>
        <v>-44127.25</v>
      </c>
      <c r="U50" s="3">
        <f>Geometry_loads!M33</f>
        <v>-46415.88</v>
      </c>
      <c r="V50" s="3">
        <f>Geometry_loads!N33</f>
        <v>1183668.9294153289</v>
      </c>
      <c r="W50" s="3">
        <f>Geometry_loads!O33</f>
        <v>15415.16120908926</v>
      </c>
      <c r="X50" s="3">
        <f t="shared" si="17"/>
        <v>0</v>
      </c>
      <c r="Y50" s="3">
        <f t="shared" si="18"/>
        <v>0</v>
      </c>
      <c r="Z50" s="18">
        <f t="shared" si="19"/>
        <v>2.473184259019396</v>
      </c>
      <c r="AA50" s="224">
        <f t="shared" si="20"/>
        <v>5.9599653579196561</v>
      </c>
      <c r="AB50" s="224">
        <f t="shared" si="21"/>
        <v>4.8595000000000006</v>
      </c>
      <c r="AC50" s="120">
        <f t="shared" si="22"/>
        <v>81</v>
      </c>
      <c r="AD50" s="224">
        <f t="shared" si="23"/>
        <v>120.81248133606438</v>
      </c>
      <c r="AE50" s="224">
        <f t="shared" si="24"/>
        <v>0.431692376617551</v>
      </c>
      <c r="AF50" s="224">
        <f t="shared" si="25"/>
        <v>0.37082436194503576</v>
      </c>
      <c r="AG50" s="224">
        <f t="shared" si="26"/>
        <v>0.29169422450397925</v>
      </c>
      <c r="AH50" s="224">
        <f t="shared" si="27"/>
        <v>0.87484255763327456</v>
      </c>
      <c r="AI50" s="224">
        <f t="shared" si="28"/>
        <v>33.319522062123824</v>
      </c>
      <c r="AJ50" s="224">
        <f t="shared" si="29"/>
        <v>3.0747222831337848</v>
      </c>
      <c r="AK50" s="224">
        <f t="shared" si="30"/>
        <v>5.2888130257339391E-2</v>
      </c>
      <c r="AL50" s="224">
        <f t="shared" si="31"/>
        <v>0.60508713958510296</v>
      </c>
      <c r="AM50" s="224">
        <f>IF(_xlfn.MINIFS(Geometry!$AJ$28:$AJ$35,Geometry!$AI$28:$AI$35,"o",Geometry!$AK$28:$AK$35,C21)&lt;=0,1,_xlfn.MINIFS(Geometry!$AJ$28:$AJ$35,Geometry!$AI$28:$AI$35,"o",Geometry!$AK$28:$AK$35,C21))</f>
        <v>1</v>
      </c>
      <c r="AN50" s="224">
        <f t="shared" si="32"/>
        <v>0</v>
      </c>
      <c r="AO50" s="224">
        <f t="shared" si="33"/>
        <v>0</v>
      </c>
      <c r="AP50" s="224">
        <f t="shared" si="34"/>
        <v>214.81776878404554</v>
      </c>
      <c r="AQ50" s="224">
        <f t="shared" si="35"/>
        <v>0</v>
      </c>
      <c r="AR50" s="224">
        <f t="shared" si="36"/>
        <v>0</v>
      </c>
      <c r="AS50" s="224">
        <f t="shared" si="37"/>
        <v>0</v>
      </c>
      <c r="AT50" s="224">
        <f t="shared" si="38"/>
        <v>0</v>
      </c>
      <c r="AU50" s="224">
        <f t="shared" si="39"/>
        <v>0</v>
      </c>
      <c r="AV50" s="224">
        <f t="shared" si="40"/>
        <v>0</v>
      </c>
      <c r="AW50" s="224">
        <f t="shared" si="41"/>
        <v>0</v>
      </c>
      <c r="AX50" s="224">
        <f t="shared" si="42"/>
        <v>0</v>
      </c>
    </row>
    <row r="51" spans="3:50" ht="14.85" customHeight="1">
      <c r="C51" s="12" t="str">
        <f t="shared" si="5"/>
        <v>Can17</v>
      </c>
      <c r="D51" s="2">
        <f t="shared" si="6"/>
        <v>-55.8</v>
      </c>
      <c r="E51" s="43">
        <f t="shared" si="7"/>
        <v>9.8000000000000007</v>
      </c>
      <c r="F51" s="120">
        <f t="shared" si="8"/>
        <v>81</v>
      </c>
      <c r="G51" s="120">
        <f t="shared" si="9"/>
        <v>224.1135847174572</v>
      </c>
      <c r="H51" s="120">
        <f t="shared" si="10"/>
        <v>13.685596291231304</v>
      </c>
      <c r="I51" s="120">
        <f t="shared" si="11"/>
        <v>0</v>
      </c>
      <c r="J51" s="120">
        <f>VLOOKUP(R51,'Steel grades'!$B$5:$J$22,IF(F51&gt;200,10,IF(F51&gt;150,9,IF(F51&gt;120,8,IF(F51&gt;100,7,IF(F51&gt;80,6,IF(F51&gt;63,5,IF(F51&gt;40,4,IF(F51&gt;16,3,2)))))))),FALSE)</f>
        <v>315</v>
      </c>
      <c r="K51" s="120">
        <f t="shared" si="12"/>
        <v>250.59293104960895</v>
      </c>
      <c r="L51" s="3">
        <f t="shared" si="13"/>
        <v>15.14523730096537</v>
      </c>
      <c r="M51" s="3">
        <f t="shared" si="14"/>
        <v>100.04034110966505</v>
      </c>
      <c r="N51" s="3">
        <f t="shared" si="15"/>
        <v>0.89433322711361829</v>
      </c>
      <c r="O51" s="3">
        <f t="shared" si="16"/>
        <v>0.71544023445345561</v>
      </c>
      <c r="P51" s="3">
        <f>(ABS(Geometry_loads!S34)/Z51+ABS(Geometry_loads!T34)/AA51)/(1000*J51)</f>
        <v>0.53636896335919992</v>
      </c>
      <c r="Q51" s="22">
        <f>IF(D51&gt;=$R$14,IF(P51&gt;0.75,"Redesign",IF(P51&lt;0.5,VLOOKUP(R51,'Steel grades'!$B$5:$AB$22,27,FALSE),(VLOOKUP(R51,'Steel grades'!$B$5:$AB$22,27,FALSE)-VLOOKUP(R51,'Steel grades'!$B$5:$AB$22,25,FALSE))/(0.5-0.75)*(P51-0.75)+VLOOKUP(R51,'Steel grades'!$B$5:$AB$22,25,FALSE))),IF(D51&lt;$R$2,IF(P51&gt;0.75,"Redesign",IF(P51&lt;0.5,VLOOKUP(R51,'Steel grades'!$B$5:$AB$22,18,FALSE),(VLOOKUP(R51,'Steel grades'!$B$5:$AB$22,18,FALSE)-VLOOKUP(R51,'Steel grades'!$B$5:$AB$22,11,FALSE))/(0.5-0.75)*(P51-0.75)+VLOOKUP(R51,'Steel grades'!$B$5:$AB$22,11,FALSE))),IF(P51&gt;0.75,"Redesign",IF(P51&lt;0.5,VLOOKUP(R51,'Steel grades'!$B$5:$AB$22,26,FALSE),(VLOOKUP(R51,'Steel grades'!$B$5:$AB$22,26,FALSE)-VLOOKUP(R51,'Steel grades'!$B$5:$AB$22,24,FALSE))/(0.5-0.75)*(P51-0.75)+VLOOKUP(R51,'Steel grades'!$B$5:$AB$22,24,FALSE)))))</f>
        <v>172.72620732816</v>
      </c>
      <c r="R51" s="3" t="str">
        <f>Geometry!M44</f>
        <v>S355 NL/ML</v>
      </c>
      <c r="T51" s="3">
        <f>Geometry_loads!L34</f>
        <v>-44127.25</v>
      </c>
      <c r="U51" s="3">
        <f>Geometry_loads!M34</f>
        <v>-46415.88</v>
      </c>
      <c r="V51" s="3">
        <f>Geometry_loads!N34</f>
        <v>1239529.5273571687</v>
      </c>
      <c r="W51" s="3">
        <f>Geometry_loads!O34</f>
        <v>12147.713028911126</v>
      </c>
      <c r="X51" s="3">
        <f t="shared" si="17"/>
        <v>0</v>
      </c>
      <c r="Y51" s="3">
        <f t="shared" si="18"/>
        <v>0</v>
      </c>
      <c r="Z51" s="18">
        <f t="shared" si="19"/>
        <v>2.473184259019396</v>
      </c>
      <c r="AA51" s="224">
        <f t="shared" si="20"/>
        <v>5.9599653579196561</v>
      </c>
      <c r="AB51" s="224">
        <f t="shared" si="21"/>
        <v>4.8595000000000006</v>
      </c>
      <c r="AC51" s="120">
        <f t="shared" si="22"/>
        <v>81</v>
      </c>
      <c r="AD51" s="224">
        <f t="shared" si="23"/>
        <v>120.81248133606438</v>
      </c>
      <c r="AE51" s="224">
        <f t="shared" si="24"/>
        <v>0.431692376617551</v>
      </c>
      <c r="AF51" s="224">
        <f t="shared" si="25"/>
        <v>0.37082436194503576</v>
      </c>
      <c r="AG51" s="224">
        <f t="shared" si="26"/>
        <v>0.29203873267064212</v>
      </c>
      <c r="AH51" s="224">
        <f t="shared" si="27"/>
        <v>0.87508642588752339</v>
      </c>
      <c r="AI51" s="224">
        <f t="shared" si="28"/>
        <v>33.319522062123824</v>
      </c>
      <c r="AJ51" s="224">
        <f t="shared" si="29"/>
        <v>3.0747222831337848</v>
      </c>
      <c r="AK51" s="224">
        <f t="shared" si="30"/>
        <v>5.2888130257339391E-2</v>
      </c>
      <c r="AL51" s="224">
        <f t="shared" si="31"/>
        <v>0.60508713958510296</v>
      </c>
      <c r="AM51" s="224">
        <f>IF(_xlfn.MINIFS(Geometry!$AJ$28:$AJ$35,Geometry!$AI$28:$AI$35,"o",Geometry!$AK$28:$AK$35,C22)&lt;=0,1,_xlfn.MINIFS(Geometry!$AJ$28:$AJ$35,Geometry!$AI$28:$AI$35,"o",Geometry!$AK$28:$AK$35,C22))</f>
        <v>1</v>
      </c>
      <c r="AN51" s="224">
        <f t="shared" si="32"/>
        <v>0</v>
      </c>
      <c r="AO51" s="224">
        <f t="shared" si="33"/>
        <v>0</v>
      </c>
      <c r="AP51" s="224">
        <f t="shared" si="34"/>
        <v>224.1135847174572</v>
      </c>
      <c r="AQ51" s="224">
        <f t="shared" si="35"/>
        <v>0</v>
      </c>
      <c r="AR51" s="224">
        <f t="shared" si="36"/>
        <v>0</v>
      </c>
      <c r="AS51" s="224">
        <f t="shared" si="37"/>
        <v>0</v>
      </c>
      <c r="AT51" s="224">
        <f t="shared" si="38"/>
        <v>0</v>
      </c>
      <c r="AU51" s="224">
        <f t="shared" si="39"/>
        <v>0</v>
      </c>
      <c r="AV51" s="224">
        <f t="shared" si="40"/>
        <v>0</v>
      </c>
      <c r="AW51" s="224">
        <f t="shared" si="41"/>
        <v>0</v>
      </c>
      <c r="AX51" s="224">
        <f t="shared" si="42"/>
        <v>0</v>
      </c>
    </row>
    <row r="52" spans="3:50" ht="14.85" customHeight="1">
      <c r="C52" s="12" t="str">
        <f t="shared" si="5"/>
        <v>Can18</v>
      </c>
      <c r="D52" s="2">
        <f t="shared" si="6"/>
        <v>-59.8</v>
      </c>
      <c r="E52" s="43">
        <f t="shared" si="7"/>
        <v>9.8000000000000007</v>
      </c>
      <c r="F52" s="120">
        <f t="shared" si="8"/>
        <v>81</v>
      </c>
      <c r="G52" s="120">
        <f t="shared" si="9"/>
        <v>229.86258333706604</v>
      </c>
      <c r="H52" s="120">
        <f t="shared" si="10"/>
        <v>4.2977938485569114</v>
      </c>
      <c r="I52" s="120">
        <f t="shared" si="11"/>
        <v>0</v>
      </c>
      <c r="J52" s="120">
        <f>VLOOKUP(R52,'Steel grades'!$B$5:$J$22,IF(F52&gt;200,10,IF(F52&gt;150,9,IF(F52&gt;120,8,IF(F52&gt;100,7,IF(F52&gt;80,6,IF(F52&gt;63,5,IF(F52&gt;40,4,IF(F52&gt;16,3,2)))))))),FALSE)</f>
        <v>315</v>
      </c>
      <c r="K52" s="120">
        <f t="shared" si="12"/>
        <v>250.63332642639986</v>
      </c>
      <c r="L52" s="3">
        <f t="shared" si="13"/>
        <v>15.14523730096537</v>
      </c>
      <c r="M52" s="3">
        <f t="shared" si="14"/>
        <v>100.04034110966505</v>
      </c>
      <c r="N52" s="3">
        <f t="shared" si="15"/>
        <v>0.91712697036148827</v>
      </c>
      <c r="O52" s="3">
        <f t="shared" si="16"/>
        <v>0.73010503815206862</v>
      </c>
      <c r="P52" s="3">
        <f>(ABS(Geometry_loads!S35)/Z52+ABS(Geometry_loads!T35)/AA52)/(1000*J52)</f>
        <v>0.5471755870273618</v>
      </c>
      <c r="Q52" s="22">
        <f>IF(D52&gt;=$R$14,IF(P52&gt;0.75,"Redesign",IF(P52&lt;0.5,VLOOKUP(R52,'Steel grades'!$B$5:$AB$22,27,FALSE),(VLOOKUP(R52,'Steel grades'!$B$5:$AB$22,27,FALSE)-VLOOKUP(R52,'Steel grades'!$B$5:$AB$22,25,FALSE))/(0.5-0.75)*(P52-0.75)+VLOOKUP(R52,'Steel grades'!$B$5:$AB$22,25,FALSE))),IF(D52&lt;$R$2,IF(P52&gt;0.75,"Redesign",IF(P52&lt;0.5,VLOOKUP(R52,'Steel grades'!$B$5:$AB$22,18,FALSE),(VLOOKUP(R52,'Steel grades'!$B$5:$AB$22,18,FALSE)-VLOOKUP(R52,'Steel grades'!$B$5:$AB$22,11,FALSE))/(0.5-0.75)*(P52-0.75)+VLOOKUP(R52,'Steel grades'!$B$5:$AB$22,11,FALSE))),IF(P52&gt;0.75,"Redesign",IF(P52&lt;0.5,VLOOKUP(R52,'Steel grades'!$B$5:$AB$22,26,FALSE),(VLOOKUP(R52,'Steel grades'!$B$5:$AB$22,26,FALSE)-VLOOKUP(R52,'Steel grades'!$B$5:$AB$22,24,FALSE))/(0.5-0.75)*(P52-0.75)+VLOOKUP(R52,'Steel grades'!$B$5:$AB$22,24,FALSE)))))</f>
        <v>170.56488259452763</v>
      </c>
      <c r="R52" s="3" t="str">
        <f>Geometry!M45</f>
        <v>S355 NL/ML</v>
      </c>
      <c r="T52" s="3">
        <f>Geometry_loads!L35</f>
        <v>-44127.25</v>
      </c>
      <c r="U52" s="3">
        <f>Geometry_loads!M35</f>
        <v>-46415.88</v>
      </c>
      <c r="V52" s="3">
        <f>Geometry_loads!N35</f>
        <v>1274076.5216994178</v>
      </c>
      <c r="W52" s="3">
        <f>Geometry_loads!O35</f>
        <v>-538.83041490815117</v>
      </c>
      <c r="X52" s="3">
        <f t="shared" si="17"/>
        <v>0</v>
      </c>
      <c r="Y52" s="3">
        <f t="shared" si="18"/>
        <v>0</v>
      </c>
      <c r="Z52" s="18">
        <f t="shared" si="19"/>
        <v>2.473184259019396</v>
      </c>
      <c r="AA52" s="224">
        <f t="shared" si="20"/>
        <v>5.9599653579196561</v>
      </c>
      <c r="AB52" s="224">
        <f t="shared" si="21"/>
        <v>4.8595000000000006</v>
      </c>
      <c r="AC52" s="120">
        <f t="shared" si="22"/>
        <v>81</v>
      </c>
      <c r="AD52" s="224">
        <f t="shared" si="23"/>
        <v>120.81248133606438</v>
      </c>
      <c r="AE52" s="224">
        <f t="shared" si="24"/>
        <v>0.431692376617551</v>
      </c>
      <c r="AF52" s="224">
        <f t="shared" si="25"/>
        <v>0.37082436194503576</v>
      </c>
      <c r="AG52" s="224">
        <f t="shared" si="26"/>
        <v>0.29223784865647306</v>
      </c>
      <c r="AH52" s="224">
        <f t="shared" si="27"/>
        <v>0.87522748910806303</v>
      </c>
      <c r="AI52" s="224">
        <f t="shared" si="28"/>
        <v>33.319522062123824</v>
      </c>
      <c r="AJ52" s="224">
        <f t="shared" si="29"/>
        <v>3.0747222831337848</v>
      </c>
      <c r="AK52" s="224">
        <f t="shared" si="30"/>
        <v>5.2888130257339391E-2</v>
      </c>
      <c r="AL52" s="224">
        <f t="shared" si="31"/>
        <v>0.60508713958510296</v>
      </c>
      <c r="AM52" s="224">
        <f>IF(_xlfn.MINIFS(Geometry!$AJ$28:$AJ$35,Geometry!$AI$28:$AI$35,"o",Geometry!$AK$28:$AK$35,C23)&lt;=0,1,_xlfn.MINIFS(Geometry!$AJ$28:$AJ$35,Geometry!$AI$28:$AI$35,"o",Geometry!$AK$28:$AK$35,C23))</f>
        <v>1</v>
      </c>
      <c r="AN52" s="224">
        <f t="shared" si="32"/>
        <v>0</v>
      </c>
      <c r="AO52" s="224">
        <f t="shared" si="33"/>
        <v>0</v>
      </c>
      <c r="AP52" s="224">
        <f t="shared" si="34"/>
        <v>229.86258333706601</v>
      </c>
      <c r="AQ52" s="224">
        <f t="shared" si="35"/>
        <v>0</v>
      </c>
      <c r="AR52" s="224">
        <f t="shared" si="36"/>
        <v>0</v>
      </c>
      <c r="AS52" s="224">
        <f t="shared" si="37"/>
        <v>0</v>
      </c>
      <c r="AT52" s="224">
        <f t="shared" si="38"/>
        <v>0</v>
      </c>
      <c r="AU52" s="224">
        <f t="shared" si="39"/>
        <v>0</v>
      </c>
      <c r="AV52" s="224">
        <f t="shared" si="40"/>
        <v>0</v>
      </c>
      <c r="AW52" s="224">
        <f t="shared" si="41"/>
        <v>0</v>
      </c>
      <c r="AX52" s="224">
        <f t="shared" si="42"/>
        <v>0</v>
      </c>
    </row>
    <row r="53" spans="3:50" ht="14.85" customHeight="1">
      <c r="C53" s="12" t="str">
        <f t="shared" si="5"/>
        <v>Can19</v>
      </c>
      <c r="D53" s="2">
        <f t="shared" si="6"/>
        <v>-63.8</v>
      </c>
      <c r="E53" s="43">
        <f t="shared" si="7"/>
        <v>9.8000000000000007</v>
      </c>
      <c r="F53" s="120">
        <f t="shared" si="8"/>
        <v>81</v>
      </c>
      <c r="G53" s="120">
        <f t="shared" si="9"/>
        <v>219.7813204519608</v>
      </c>
      <c r="H53" s="120">
        <f t="shared" si="10"/>
        <v>29.195562890160886</v>
      </c>
      <c r="I53" s="120">
        <f t="shared" si="11"/>
        <v>0</v>
      </c>
      <c r="J53" s="120">
        <f>VLOOKUP(R53,'Steel grades'!$B$5:$J$22,IF(F53&gt;200,10,IF(F53&gt;150,9,IF(F53&gt;120,8,IF(F53&gt;100,7,IF(F53&gt;80,6,IF(F53&gt;63,5,IF(F53&gt;40,4,IF(F53&gt;16,3,2)))))))),FALSE)</f>
        <v>315</v>
      </c>
      <c r="K53" s="120">
        <f t="shared" si="12"/>
        <v>250.56111096108532</v>
      </c>
      <c r="L53" s="3">
        <f t="shared" si="13"/>
        <v>15.14523730096537</v>
      </c>
      <c r="M53" s="3">
        <f t="shared" si="14"/>
        <v>100.04034110966505</v>
      </c>
      <c r="N53" s="3">
        <f t="shared" si="15"/>
        <v>0.8771565531815313</v>
      </c>
      <c r="O53" s="3">
        <f t="shared" si="16"/>
        <v>0.71594848084992657</v>
      </c>
      <c r="P53" s="3">
        <f>(ABS(Geometry_loads!S36)/Z53+ABS(Geometry_loads!T36)/AA53)/(1000*J53)</f>
        <v>0.52013882893211005</v>
      </c>
      <c r="Q53" s="22">
        <f>IF(D53&gt;=$R$14,IF(P53&gt;0.75,"Redesign",IF(P53&lt;0.5,VLOOKUP(R53,'Steel grades'!$B$5:$AB$22,27,FALSE),(VLOOKUP(R53,'Steel grades'!$B$5:$AB$22,27,FALSE)-VLOOKUP(R53,'Steel grades'!$B$5:$AB$22,25,FALSE))/(0.5-0.75)*(P53-0.75)+VLOOKUP(R53,'Steel grades'!$B$5:$AB$22,25,FALSE))),IF(D53&lt;$R$2,IF(P53&gt;0.75,"Redesign",IF(P53&lt;0.5,VLOOKUP(R53,'Steel grades'!$B$5:$AB$22,18,FALSE),(VLOOKUP(R53,'Steel grades'!$B$5:$AB$22,18,FALSE)-VLOOKUP(R53,'Steel grades'!$B$5:$AB$22,11,FALSE))/(0.5-0.75)*(P53-0.75)+VLOOKUP(R53,'Steel grades'!$B$5:$AB$22,11,FALSE))),IF(P53&gt;0.75,"Redesign",IF(P53&lt;0.5,VLOOKUP(R53,'Steel grades'!$B$5:$AB$22,26,FALSE),(VLOOKUP(R53,'Steel grades'!$B$5:$AB$22,26,FALSE)-VLOOKUP(R53,'Steel grades'!$B$5:$AB$22,24,FALSE))/(0.5-0.75)*(P53-0.75)+VLOOKUP(R53,'Steel grades'!$B$5:$AB$22,24,FALSE)))))</f>
        <v>175.97223421357799</v>
      </c>
      <c r="R53" s="3" t="str">
        <f>Geometry!M46</f>
        <v>S355 NL/ML</v>
      </c>
      <c r="T53" s="3">
        <f>Geometry_loads!L36</f>
        <v>-44127.25</v>
      </c>
      <c r="U53" s="3">
        <f>Geometry_loads!M36</f>
        <v>-46415.88</v>
      </c>
      <c r="V53" s="3">
        <f>Geometry_loads!N36</f>
        <v>1213496.0006558846</v>
      </c>
      <c r="W53" s="3">
        <f>Geometry_loads!O36</f>
        <v>-31327.215654105592</v>
      </c>
      <c r="X53" s="3">
        <f t="shared" si="17"/>
        <v>0</v>
      </c>
      <c r="Y53" s="3">
        <f t="shared" si="18"/>
        <v>0</v>
      </c>
      <c r="Z53" s="18">
        <f t="shared" si="19"/>
        <v>2.473184259019396</v>
      </c>
      <c r="AA53" s="224">
        <f t="shared" si="20"/>
        <v>5.9599653579196561</v>
      </c>
      <c r="AB53" s="224">
        <f t="shared" si="21"/>
        <v>4.8595000000000006</v>
      </c>
      <c r="AC53" s="120">
        <f t="shared" si="22"/>
        <v>81</v>
      </c>
      <c r="AD53" s="224">
        <f t="shared" si="23"/>
        <v>120.81248133606438</v>
      </c>
      <c r="AE53" s="224">
        <f t="shared" si="24"/>
        <v>0.431692376617551</v>
      </c>
      <c r="AF53" s="224">
        <f t="shared" si="25"/>
        <v>0.37082436194503576</v>
      </c>
      <c r="AG53" s="224">
        <f t="shared" si="26"/>
        <v>0.29188180252804347</v>
      </c>
      <c r="AH53" s="224">
        <f t="shared" si="27"/>
        <v>0.87497530811807578</v>
      </c>
      <c r="AI53" s="224">
        <f t="shared" si="28"/>
        <v>33.319522062123824</v>
      </c>
      <c r="AJ53" s="224">
        <f t="shared" si="29"/>
        <v>3.0747222831337848</v>
      </c>
      <c r="AK53" s="224">
        <f t="shared" si="30"/>
        <v>5.2888130257339391E-2</v>
      </c>
      <c r="AL53" s="224">
        <f t="shared" si="31"/>
        <v>0.60508713958510296</v>
      </c>
      <c r="AM53" s="224">
        <f>IF(_xlfn.MINIFS(Geometry!$AJ$28:$AJ$35,Geometry!$AI$28:$AI$35,"o",Geometry!$AK$28:$AK$35,C24)&lt;=0,1,_xlfn.MINIFS(Geometry!$AJ$28:$AJ$35,Geometry!$AI$28:$AI$35,"o",Geometry!$AK$28:$AK$35,C24))</f>
        <v>1</v>
      </c>
      <c r="AN53" s="224">
        <f t="shared" si="32"/>
        <v>0</v>
      </c>
      <c r="AO53" s="224">
        <f t="shared" si="33"/>
        <v>0</v>
      </c>
      <c r="AP53" s="224">
        <f t="shared" si="34"/>
        <v>219.7813204519608</v>
      </c>
      <c r="AQ53" s="224">
        <f t="shared" si="35"/>
        <v>0</v>
      </c>
      <c r="AR53" s="224">
        <f t="shared" si="36"/>
        <v>0</v>
      </c>
      <c r="AS53" s="224">
        <f t="shared" si="37"/>
        <v>0</v>
      </c>
      <c r="AT53" s="224">
        <f t="shared" si="38"/>
        <v>0</v>
      </c>
      <c r="AU53" s="224">
        <f t="shared" si="39"/>
        <v>0</v>
      </c>
      <c r="AV53" s="224">
        <f t="shared" si="40"/>
        <v>0</v>
      </c>
      <c r="AW53" s="224">
        <f t="shared" si="41"/>
        <v>0</v>
      </c>
      <c r="AX53" s="224">
        <f t="shared" si="42"/>
        <v>0</v>
      </c>
    </row>
    <row r="54" spans="3:50" ht="14.85" customHeight="1">
      <c r="C54" s="12" t="str">
        <f t="shared" si="5"/>
        <v>Can20</v>
      </c>
      <c r="D54" s="2">
        <f t="shared" si="6"/>
        <v>-67.8</v>
      </c>
      <c r="E54" s="43">
        <f t="shared" si="7"/>
        <v>9.8000000000000007</v>
      </c>
      <c r="F54" s="120">
        <f t="shared" si="8"/>
        <v>81</v>
      </c>
      <c r="G54" s="120">
        <f t="shared" si="9"/>
        <v>191.13235605210375</v>
      </c>
      <c r="H54" s="120">
        <f t="shared" si="10"/>
        <v>49.906216458680262</v>
      </c>
      <c r="I54" s="120">
        <f t="shared" si="11"/>
        <v>0</v>
      </c>
      <c r="J54" s="120">
        <f>VLOOKUP(R54,'Steel grades'!$B$5:$J$22,IF(F54&gt;200,10,IF(F54&gt;150,9,IF(F54&gt;120,8,IF(F54&gt;100,7,IF(F54&gt;80,6,IF(F54&gt;63,5,IF(F54&gt;40,4,IF(F54&gt;16,3,2)))))))),FALSE)</f>
        <v>315</v>
      </c>
      <c r="K54" s="120">
        <f t="shared" si="12"/>
        <v>250.31488103619643</v>
      </c>
      <c r="L54" s="3">
        <f t="shared" si="13"/>
        <v>15.14523730096537</v>
      </c>
      <c r="M54" s="3">
        <f t="shared" si="14"/>
        <v>100.04034110966505</v>
      </c>
      <c r="N54" s="3">
        <f t="shared" si="15"/>
        <v>0.86462418860666568</v>
      </c>
      <c r="O54" s="3">
        <f t="shared" si="16"/>
        <v>0.66593662865594039</v>
      </c>
      <c r="P54" s="3">
        <f>(ABS(Geometry_loads!S37)/Z54+ABS(Geometry_loads!T37)/AA54)/(1000*J54)</f>
        <v>0.44971376459167484</v>
      </c>
      <c r="Q54" s="22">
        <f>IF(D54&gt;=$R$14,IF(P54&gt;0.75,"Redesign",IF(P54&lt;0.5,VLOOKUP(R54,'Steel grades'!$B$5:$AB$22,27,FALSE),(VLOOKUP(R54,'Steel grades'!$B$5:$AB$22,27,FALSE)-VLOOKUP(R54,'Steel grades'!$B$5:$AB$22,25,FALSE))/(0.5-0.75)*(P54-0.75)+VLOOKUP(R54,'Steel grades'!$B$5:$AB$22,25,FALSE))),IF(D54&lt;$R$2,IF(P54&gt;0.75,"Redesign",IF(P54&lt;0.5,VLOOKUP(R54,'Steel grades'!$B$5:$AB$22,18,FALSE),(VLOOKUP(R54,'Steel grades'!$B$5:$AB$22,18,FALSE)-VLOOKUP(R54,'Steel grades'!$B$5:$AB$22,11,FALSE))/(0.5-0.75)*(P54-0.75)+VLOOKUP(R54,'Steel grades'!$B$5:$AB$22,11,FALSE))),IF(P54&gt;0.75,"Redesign",IF(P54&lt;0.5,VLOOKUP(R54,'Steel grades'!$B$5:$AB$22,26,FALSE),(VLOOKUP(R54,'Steel grades'!$B$5:$AB$22,26,FALSE)-VLOOKUP(R54,'Steel grades'!$B$5:$AB$22,24,FALSE))/(0.5-0.75)*(P54-0.75)+VLOOKUP(R54,'Steel grades'!$B$5:$AB$22,24,FALSE)))))</f>
        <v>180</v>
      </c>
      <c r="R54" s="3" t="str">
        <f>Geometry!M47</f>
        <v>S355 NL/ML</v>
      </c>
      <c r="T54" s="3">
        <f>Geometry_loads!L37</f>
        <v>-44127.25</v>
      </c>
      <c r="U54" s="3">
        <f>Geometry_loads!M37</f>
        <v>-46415.88</v>
      </c>
      <c r="V54" s="3">
        <f>Geometry_loads!N37</f>
        <v>1041338.0864658654</v>
      </c>
      <c r="W54" s="3">
        <f>Geometry_loads!O37</f>
        <v>-56937.846853938376</v>
      </c>
      <c r="X54" s="3">
        <f t="shared" si="17"/>
        <v>0</v>
      </c>
      <c r="Y54" s="3">
        <f t="shared" si="18"/>
        <v>0</v>
      </c>
      <c r="Z54" s="18">
        <f t="shared" si="19"/>
        <v>2.473184259019396</v>
      </c>
      <c r="AA54" s="224">
        <f t="shared" si="20"/>
        <v>5.9599653579196561</v>
      </c>
      <c r="AB54" s="224">
        <f t="shared" si="21"/>
        <v>4.8595000000000006</v>
      </c>
      <c r="AC54" s="120">
        <f t="shared" si="22"/>
        <v>81</v>
      </c>
      <c r="AD54" s="224">
        <f t="shared" si="23"/>
        <v>120.81248133606438</v>
      </c>
      <c r="AE54" s="224">
        <f t="shared" si="24"/>
        <v>0.431692376617551</v>
      </c>
      <c r="AF54" s="224">
        <f t="shared" si="25"/>
        <v>0.37082436194503576</v>
      </c>
      <c r="AG54" s="224">
        <f t="shared" si="26"/>
        <v>0.29066496015154031</v>
      </c>
      <c r="AH54" s="224">
        <f t="shared" si="27"/>
        <v>0.87411545758671783</v>
      </c>
      <c r="AI54" s="224">
        <f t="shared" si="28"/>
        <v>33.319522062123824</v>
      </c>
      <c r="AJ54" s="224">
        <f t="shared" si="29"/>
        <v>3.0747222831337848</v>
      </c>
      <c r="AK54" s="224">
        <f t="shared" si="30"/>
        <v>5.2888130257339391E-2</v>
      </c>
      <c r="AL54" s="224">
        <f t="shared" si="31"/>
        <v>0.60508713958510296</v>
      </c>
      <c r="AM54" s="224">
        <f>IF(_xlfn.MINIFS(Geometry!$AJ$28:$AJ$35,Geometry!$AI$28:$AI$35,"o",Geometry!$AK$28:$AK$35,C25)&lt;=0,1,_xlfn.MINIFS(Geometry!$AJ$28:$AJ$35,Geometry!$AI$28:$AI$35,"o",Geometry!$AK$28:$AK$35,C25))</f>
        <v>1</v>
      </c>
      <c r="AN54" s="224">
        <f t="shared" si="32"/>
        <v>0</v>
      </c>
      <c r="AO54" s="224">
        <f t="shared" si="33"/>
        <v>0</v>
      </c>
      <c r="AP54" s="224">
        <f t="shared" si="34"/>
        <v>191.13235605210375</v>
      </c>
      <c r="AQ54" s="224">
        <f t="shared" si="35"/>
        <v>0</v>
      </c>
      <c r="AR54" s="224">
        <f t="shared" si="36"/>
        <v>0</v>
      </c>
      <c r="AS54" s="224">
        <f t="shared" si="37"/>
        <v>0</v>
      </c>
      <c r="AT54" s="224">
        <f t="shared" si="38"/>
        <v>0</v>
      </c>
      <c r="AU54" s="224">
        <f t="shared" si="39"/>
        <v>0</v>
      </c>
      <c r="AV54" s="224">
        <f t="shared" si="40"/>
        <v>0</v>
      </c>
      <c r="AW54" s="224">
        <f t="shared" si="41"/>
        <v>0</v>
      </c>
      <c r="AX54" s="224">
        <f t="shared" si="42"/>
        <v>0</v>
      </c>
    </row>
    <row r="55" spans="3:50" ht="14.85" customHeight="1">
      <c r="C55" s="12" t="str">
        <f t="shared" si="5"/>
        <v>Can21</v>
      </c>
      <c r="D55" s="2">
        <f t="shared" si="6"/>
        <v>-71.8</v>
      </c>
      <c r="E55" s="43">
        <f t="shared" si="7"/>
        <v>9.8000000000000007</v>
      </c>
      <c r="F55" s="120">
        <f t="shared" si="8"/>
        <v>90</v>
      </c>
      <c r="G55" s="120">
        <f t="shared" si="9"/>
        <v>132.16881983325453</v>
      </c>
      <c r="H55" s="120">
        <f t="shared" si="10"/>
        <v>60.183642728861884</v>
      </c>
      <c r="I55" s="120">
        <f t="shared" si="11"/>
        <v>0</v>
      </c>
      <c r="J55" s="120">
        <f>VLOOKUP(R55,'Steel grades'!$B$5:$J$22,IF(F55&gt;200,10,IF(F55&gt;150,9,IF(F55&gt;120,8,IF(F55&gt;100,7,IF(F55&gt;80,6,IF(F55&gt;63,5,IF(F55&gt;40,4,IF(F55&gt;16,3,2)))))))),FALSE)</f>
        <v>315</v>
      </c>
      <c r="K55" s="120">
        <f t="shared" si="12"/>
        <v>255.12091285204409</v>
      </c>
      <c r="L55" s="3">
        <f t="shared" si="13"/>
        <v>16.983838136702136</v>
      </c>
      <c r="M55" s="3">
        <f t="shared" si="14"/>
        <v>107.76229521557495</v>
      </c>
      <c r="N55" s="3">
        <f t="shared" si="15"/>
        <v>0.61135875939352569</v>
      </c>
      <c r="O55" s="3">
        <f t="shared" si="16"/>
        <v>0.53437926061880692</v>
      </c>
      <c r="P55" s="3">
        <f>(ABS(Geometry_loads!S38)/Z55+ABS(Geometry_loads!T38)/AA55)/(1000*J55)</f>
        <v>0.30975375597493987</v>
      </c>
      <c r="Q55" s="22">
        <f>IF(D55&gt;=$R$14,IF(P55&gt;0.75,"Redesign",IF(P55&lt;0.5,VLOOKUP(R55,'Steel grades'!$B$5:$AB$22,27,FALSE),(VLOOKUP(R55,'Steel grades'!$B$5:$AB$22,27,FALSE)-VLOOKUP(R55,'Steel grades'!$B$5:$AB$22,25,FALSE))/(0.5-0.75)*(P55-0.75)+VLOOKUP(R55,'Steel grades'!$B$5:$AB$22,25,FALSE))),IF(D55&lt;$R$2,IF(P55&gt;0.75,"Redesign",IF(P55&lt;0.5,VLOOKUP(R55,'Steel grades'!$B$5:$AB$22,18,FALSE),(VLOOKUP(R55,'Steel grades'!$B$5:$AB$22,18,FALSE)-VLOOKUP(R55,'Steel grades'!$B$5:$AB$22,11,FALSE))/(0.5-0.75)*(P55-0.75)+VLOOKUP(R55,'Steel grades'!$B$5:$AB$22,11,FALSE))),IF(P55&gt;0.75,"Redesign",IF(P55&lt;0.5,VLOOKUP(R55,'Steel grades'!$B$5:$AB$22,26,FALSE),(VLOOKUP(R55,'Steel grades'!$B$5:$AB$22,26,FALSE)-VLOOKUP(R55,'Steel grades'!$B$5:$AB$22,24,FALSE))/(0.5-0.75)*(P55-0.75)+VLOOKUP(R55,'Steel grades'!$B$5:$AB$22,24,FALSE)))))</f>
        <v>180</v>
      </c>
      <c r="R55" s="3" t="str">
        <f>Geometry!M48</f>
        <v>S355 NL/ML</v>
      </c>
      <c r="T55" s="3">
        <f>Geometry_loads!L38</f>
        <v>-44127.25</v>
      </c>
      <c r="U55" s="3">
        <f>Geometry_loads!M38</f>
        <v>-46415.88</v>
      </c>
      <c r="V55" s="3">
        <f>Geometry_loads!N38</f>
        <v>773726.84955037665</v>
      </c>
      <c r="W55" s="3">
        <f>Geometry_loads!O38</f>
        <v>-77835.010233601337</v>
      </c>
      <c r="X55" s="3">
        <f t="shared" si="17"/>
        <v>0</v>
      </c>
      <c r="Y55" s="3">
        <f t="shared" si="18"/>
        <v>0</v>
      </c>
      <c r="Z55" s="18">
        <f t="shared" si="19"/>
        <v>2.7454378199721172</v>
      </c>
      <c r="AA55" s="224">
        <f t="shared" si="20"/>
        <v>6.6039125512340453</v>
      </c>
      <c r="AB55" s="224">
        <f t="shared" si="21"/>
        <v>4.8550000000000004</v>
      </c>
      <c r="AC55" s="120">
        <f t="shared" si="22"/>
        <v>90</v>
      </c>
      <c r="AD55" s="224">
        <f t="shared" si="23"/>
        <v>114.66588705713963</v>
      </c>
      <c r="AE55" s="224">
        <f t="shared" si="24"/>
        <v>0.41322944371621201</v>
      </c>
      <c r="AF55" s="224">
        <f t="shared" si="25"/>
        <v>0.38213887965963755</v>
      </c>
      <c r="AG55" s="224">
        <f t="shared" si="26"/>
        <v>0.28783908538973096</v>
      </c>
      <c r="AH55" s="224">
        <f t="shared" si="27"/>
        <v>0.89089842583253498</v>
      </c>
      <c r="AI55" s="224">
        <f t="shared" si="28"/>
        <v>37.364443900744703</v>
      </c>
      <c r="AJ55" s="224">
        <f t="shared" si="29"/>
        <v>2.9035279794020035</v>
      </c>
      <c r="AK55" s="224">
        <f t="shared" si="30"/>
        <v>5.9308641112293184E-2</v>
      </c>
      <c r="AL55" s="224">
        <f t="shared" si="31"/>
        <v>0.65179284920309077</v>
      </c>
      <c r="AM55" s="224">
        <f>IF(_xlfn.MINIFS(Geometry!$AJ$28:$AJ$35,Geometry!$AI$28:$AI$35,"o",Geometry!$AK$28:$AK$35,C26)&lt;=0,1,_xlfn.MINIFS(Geometry!$AJ$28:$AJ$35,Geometry!$AI$28:$AI$35,"o",Geometry!$AK$28:$AK$35,C26))</f>
        <v>1</v>
      </c>
      <c r="AN55" s="224">
        <f t="shared" si="32"/>
        <v>0</v>
      </c>
      <c r="AO55" s="224">
        <f t="shared" si="33"/>
        <v>0</v>
      </c>
      <c r="AP55" s="224">
        <f t="shared" si="34"/>
        <v>132.16881983325453</v>
      </c>
      <c r="AQ55" s="224">
        <f t="shared" si="35"/>
        <v>0</v>
      </c>
      <c r="AR55" s="224">
        <f t="shared" si="36"/>
        <v>0</v>
      </c>
      <c r="AS55" s="224">
        <f t="shared" si="37"/>
        <v>0</v>
      </c>
      <c r="AT55" s="224">
        <f t="shared" si="38"/>
        <v>0</v>
      </c>
      <c r="AU55" s="224">
        <f t="shared" si="39"/>
        <v>0</v>
      </c>
      <c r="AV55" s="224">
        <f t="shared" si="40"/>
        <v>0</v>
      </c>
      <c r="AW55" s="224">
        <f t="shared" si="41"/>
        <v>0</v>
      </c>
      <c r="AX55" s="224">
        <f t="shared" si="42"/>
        <v>0</v>
      </c>
    </row>
    <row r="56" spans="3:50" ht="14.85" customHeight="1">
      <c r="C56" s="12" t="str">
        <f t="shared" si="5"/>
        <v>Can22</v>
      </c>
      <c r="D56" s="2">
        <f t="shared" si="6"/>
        <v>-75.8</v>
      </c>
      <c r="E56" s="43">
        <f t="shared" si="7"/>
        <v>9.8000000000000007</v>
      </c>
      <c r="F56" s="120">
        <f t="shared" si="8"/>
        <v>95</v>
      </c>
      <c r="G56" s="120">
        <f t="shared" si="9"/>
        <v>78.08751765338063</v>
      </c>
      <c r="H56" s="120">
        <f t="shared" si="10"/>
        <v>63.334848183305475</v>
      </c>
      <c r="I56" s="120">
        <f t="shared" si="11"/>
        <v>0</v>
      </c>
      <c r="J56" s="120">
        <f>VLOOKUP(R56,'Steel grades'!$B$5:$J$22,IF(F56&gt;200,10,IF(F56&gt;150,9,IF(F56&gt;120,8,IF(F56&gt;100,7,IF(F56&gt;80,6,IF(F56&gt;63,5,IF(F56&gt;40,4,IF(F56&gt;16,3,2)))))))),FALSE)</f>
        <v>315</v>
      </c>
      <c r="K56" s="120">
        <f t="shared" si="12"/>
        <v>256.18801163376423</v>
      </c>
      <c r="L56" s="3">
        <f t="shared" si="13"/>
        <v>18.007938872423583</v>
      </c>
      <c r="M56" s="3">
        <f t="shared" si="14"/>
        <v>111.53246203128748</v>
      </c>
      <c r="N56" s="3">
        <f t="shared" si="15"/>
        <v>0.56786021782195173</v>
      </c>
      <c r="O56" s="3">
        <f t="shared" si="16"/>
        <v>0.42747147966345639</v>
      </c>
      <c r="P56" s="3">
        <f>(ABS(Geometry_loads!S39)/Z56+ABS(Geometry_loads!T39)/AA56)/(1000*J56)</f>
        <v>0.18289061197575895</v>
      </c>
      <c r="Q56" s="22">
        <f>IF(D56&gt;=$R$14,IF(P56&gt;0.75,"Redesign",IF(P56&lt;0.5,VLOOKUP(R56,'Steel grades'!$B$5:$AB$22,27,FALSE),(VLOOKUP(R56,'Steel grades'!$B$5:$AB$22,27,FALSE)-VLOOKUP(R56,'Steel grades'!$B$5:$AB$22,25,FALSE))/(0.5-0.75)*(P56-0.75)+VLOOKUP(R56,'Steel grades'!$B$5:$AB$22,25,FALSE))),IF(D56&lt;$R$2,IF(P56&gt;0.75,"Redesign",IF(P56&lt;0.5,VLOOKUP(R56,'Steel grades'!$B$5:$AB$22,18,FALSE),(VLOOKUP(R56,'Steel grades'!$B$5:$AB$22,18,FALSE)-VLOOKUP(R56,'Steel grades'!$B$5:$AB$22,11,FALSE))/(0.5-0.75)*(P56-0.75)+VLOOKUP(R56,'Steel grades'!$B$5:$AB$22,11,FALSE))),IF(P56&gt;0.75,"Redesign",IF(P56&lt;0.5,VLOOKUP(R56,'Steel grades'!$B$5:$AB$22,26,FALSE),(VLOOKUP(R56,'Steel grades'!$B$5:$AB$22,26,FALSE)-VLOOKUP(R56,'Steel grades'!$B$5:$AB$22,24,FALSE))/(0.5-0.75)*(P56-0.75)+VLOOKUP(R56,'Steel grades'!$B$5:$AB$22,24,FALSE)))))</f>
        <v>180</v>
      </c>
      <c r="R56" s="3" t="str">
        <f>Geometry!M49</f>
        <v>S355 NL/ML</v>
      </c>
      <c r="T56" s="3">
        <f>Geometry_loads!L39</f>
        <v>-44127.25</v>
      </c>
      <c r="U56" s="3">
        <f>Geometry_loads!M39</f>
        <v>-46415.88</v>
      </c>
      <c r="V56" s="3">
        <f>Geometry_loads!N39</f>
        <v>441700.98015413393</v>
      </c>
      <c r="W56" s="3">
        <f>Geometry_loads!O39</f>
        <v>-86941.063303155868</v>
      </c>
      <c r="X56" s="3">
        <f t="shared" si="17"/>
        <v>0</v>
      </c>
      <c r="Y56" s="3">
        <f t="shared" si="18"/>
        <v>0</v>
      </c>
      <c r="Z56" s="18">
        <f t="shared" si="19"/>
        <v>2.8964698867934486</v>
      </c>
      <c r="AA56" s="224">
        <f t="shared" si="20"/>
        <v>6.9601026091808569</v>
      </c>
      <c r="AB56" s="224">
        <f t="shared" si="21"/>
        <v>4.8525</v>
      </c>
      <c r="AC56" s="120">
        <f t="shared" si="22"/>
        <v>95</v>
      </c>
      <c r="AD56" s="224">
        <f t="shared" si="23"/>
        <v>111.6363252400652</v>
      </c>
      <c r="AE56" s="224">
        <f t="shared" si="24"/>
        <v>0.4041715670738375</v>
      </c>
      <c r="AF56" s="224">
        <f t="shared" si="25"/>
        <v>0.38787344180203998</v>
      </c>
      <c r="AG56" s="224">
        <f t="shared" si="26"/>
        <v>0.28049004676877554</v>
      </c>
      <c r="AH56" s="224">
        <f t="shared" si="27"/>
        <v>0.89462480253060517</v>
      </c>
      <c r="AI56" s="224">
        <f t="shared" si="28"/>
        <v>39.61746551933188</v>
      </c>
      <c r="AJ56" s="224">
        <f t="shared" si="29"/>
        <v>2.8197586175283056</v>
      </c>
      <c r="AK56" s="224">
        <f t="shared" si="30"/>
        <v>6.2884865903701404E-2</v>
      </c>
      <c r="AL56" s="224">
        <f t="shared" si="31"/>
        <v>0.67459644452247702</v>
      </c>
      <c r="AM56" s="224">
        <f>IF(_xlfn.MINIFS(Geometry!$AJ$28:$AJ$35,Geometry!$AI$28:$AI$35,"o",Geometry!$AK$28:$AK$35,C27)&lt;=0,1,_xlfn.MINIFS(Geometry!$AJ$28:$AJ$35,Geometry!$AI$28:$AI$35,"o",Geometry!$AK$28:$AK$35,C27))</f>
        <v>1</v>
      </c>
      <c r="AN56" s="224">
        <f t="shared" si="32"/>
        <v>0</v>
      </c>
      <c r="AO56" s="224">
        <f t="shared" si="33"/>
        <v>0</v>
      </c>
      <c r="AP56" s="224">
        <f t="shared" si="34"/>
        <v>78.08751765338063</v>
      </c>
      <c r="AQ56" s="224">
        <f t="shared" si="35"/>
        <v>0</v>
      </c>
      <c r="AR56" s="224">
        <f t="shared" si="36"/>
        <v>0</v>
      </c>
      <c r="AS56" s="224">
        <f t="shared" si="37"/>
        <v>0</v>
      </c>
      <c r="AT56" s="224">
        <f t="shared" si="38"/>
        <v>0</v>
      </c>
      <c r="AU56" s="224">
        <f t="shared" si="39"/>
        <v>0</v>
      </c>
      <c r="AV56" s="224">
        <f t="shared" si="40"/>
        <v>0</v>
      </c>
      <c r="AW56" s="224">
        <f t="shared" si="41"/>
        <v>0</v>
      </c>
      <c r="AX56" s="224">
        <f t="shared" si="42"/>
        <v>0</v>
      </c>
    </row>
    <row r="57" spans="3:50" ht="14.85" customHeight="1">
      <c r="C57" s="12" t="str">
        <f t="shared" si="5"/>
        <v>Can23</v>
      </c>
      <c r="D57" s="2">
        <f t="shared" si="6"/>
        <v>-79.73</v>
      </c>
      <c r="E57" s="43">
        <f t="shared" si="7"/>
        <v>9.8000000000000007</v>
      </c>
      <c r="F57" s="120">
        <f t="shared" si="8"/>
        <v>100</v>
      </c>
      <c r="G57" s="120">
        <f t="shared" si="9"/>
        <v>31.127985406287593</v>
      </c>
      <c r="H57" s="120">
        <f t="shared" si="10"/>
        <v>45.470662128429453</v>
      </c>
      <c r="I57" s="120">
        <f t="shared" si="11"/>
        <v>0</v>
      </c>
      <c r="J57" s="120">
        <f>VLOOKUP(R57,'Steel grades'!$B$5:$J$22,IF(F57&gt;200,10,IF(F57&gt;150,9,IF(F57&gt;120,8,IF(F57&gt;100,7,IF(F57&gt;80,6,IF(F57&gt;63,5,IF(F57&gt;40,4,IF(F57&gt;16,3,2)))))))),FALSE)</f>
        <v>315</v>
      </c>
      <c r="K57" s="120">
        <f t="shared" si="12"/>
        <v>253.22463082159462</v>
      </c>
      <c r="L57" s="3">
        <f t="shared" si="13"/>
        <v>19.090003660512018</v>
      </c>
      <c r="M57" s="3">
        <f t="shared" si="14"/>
        <v>114.99374186908264</v>
      </c>
      <c r="N57" s="3">
        <f t="shared" si="15"/>
        <v>0.3954185800840937</v>
      </c>
      <c r="O57" s="3">
        <f t="shared" si="16"/>
        <v>0.26884399877620202</v>
      </c>
      <c r="P57" s="3">
        <f>(ABS(Geometry_loads!S40)/Z57+ABS(Geometry_loads!T40)/AA57)/(1000*J57)</f>
        <v>7.3068567460307848E-2</v>
      </c>
      <c r="Q57" s="22">
        <f>IF(D57&gt;=$R$14,IF(P57&gt;0.75,"Redesign",IF(P57&lt;0.5,VLOOKUP(R57,'Steel grades'!$B$5:$AB$22,27,FALSE),(VLOOKUP(R57,'Steel grades'!$B$5:$AB$22,27,FALSE)-VLOOKUP(R57,'Steel grades'!$B$5:$AB$22,25,FALSE))/(0.5-0.75)*(P57-0.75)+VLOOKUP(R57,'Steel grades'!$B$5:$AB$22,25,FALSE))),IF(D57&lt;$R$2,IF(P57&gt;0.75,"Redesign",IF(P57&lt;0.5,VLOOKUP(R57,'Steel grades'!$B$5:$AB$22,18,FALSE),(VLOOKUP(R57,'Steel grades'!$B$5:$AB$22,18,FALSE)-VLOOKUP(R57,'Steel grades'!$B$5:$AB$22,11,FALSE))/(0.5-0.75)*(P57-0.75)+VLOOKUP(R57,'Steel grades'!$B$5:$AB$22,11,FALSE))),IF(P57&gt;0.75,"Redesign",IF(P57&lt;0.5,VLOOKUP(R57,'Steel grades'!$B$5:$AB$22,26,FALSE),(VLOOKUP(R57,'Steel grades'!$B$5:$AB$22,26,FALSE)-VLOOKUP(R57,'Steel grades'!$B$5:$AB$22,24,FALSE))/(0.5-0.75)*(P57-0.75)+VLOOKUP(R57,'Steel grades'!$B$5:$AB$22,24,FALSE)))))</f>
        <v>180</v>
      </c>
      <c r="R57" s="3" t="str">
        <f>Geometry!M50</f>
        <v>S355 NL/ML</v>
      </c>
      <c r="T57" s="3">
        <f>Geometry_loads!L40</f>
        <v>-44127.25</v>
      </c>
      <c r="U57" s="3">
        <f>Geometry_loads!M40</f>
        <v>-46415.88</v>
      </c>
      <c r="V57" s="3">
        <f>Geometry_loads!N40</f>
        <v>123021.35765570727</v>
      </c>
      <c r="W57" s="3">
        <f>Geometry_loads!O40</f>
        <v>-64497.252308779505</v>
      </c>
      <c r="X57" s="3">
        <f t="shared" si="17"/>
        <v>0</v>
      </c>
      <c r="Y57" s="3">
        <f t="shared" si="18"/>
        <v>0</v>
      </c>
      <c r="Z57" s="18">
        <f t="shared" si="19"/>
        <v>3.0473448739820959</v>
      </c>
      <c r="AA57" s="224">
        <f t="shared" si="20"/>
        <v>7.3151824653498716</v>
      </c>
      <c r="AB57" s="224">
        <f t="shared" si="21"/>
        <v>4.8500000000000005</v>
      </c>
      <c r="AC57" s="120">
        <f t="shared" si="22"/>
        <v>100</v>
      </c>
      <c r="AD57" s="224">
        <f t="shared" si="23"/>
        <v>108.83767045872497</v>
      </c>
      <c r="AE57" s="224">
        <f t="shared" si="24"/>
        <v>0.39583291593729591</v>
      </c>
      <c r="AF57" s="224">
        <f t="shared" si="25"/>
        <v>0.39326454456084714</v>
      </c>
      <c r="AG57" s="224">
        <f t="shared" si="26"/>
        <v>0.25348058528422057</v>
      </c>
      <c r="AH57" s="224">
        <f t="shared" si="27"/>
        <v>0.88427648858334629</v>
      </c>
      <c r="AI57" s="224">
        <f t="shared" si="28"/>
        <v>41.998008053126441</v>
      </c>
      <c r="AJ57" s="224">
        <f t="shared" si="29"/>
        <v>2.738677732350006</v>
      </c>
      <c r="AK57" s="224">
        <f t="shared" si="30"/>
        <v>6.6663504846232444E-2</v>
      </c>
      <c r="AL57" s="224">
        <f t="shared" si="31"/>
        <v>0.69553175814819923</v>
      </c>
      <c r="AM57" s="224">
        <f>IF(_xlfn.MINIFS(Geometry!$AJ$28:$AJ$35,Geometry!$AI$28:$AI$35,"o",Geometry!$AK$28:$AK$35,C28)&lt;=0,1,_xlfn.MINIFS(Geometry!$AJ$28:$AJ$35,Geometry!$AI$28:$AI$35,"o",Geometry!$AK$28:$AK$35,C28))</f>
        <v>1</v>
      </c>
      <c r="AN57" s="224">
        <f t="shared" si="32"/>
        <v>0</v>
      </c>
      <c r="AO57" s="224">
        <f t="shared" si="33"/>
        <v>0</v>
      </c>
      <c r="AP57" s="224">
        <f t="shared" si="34"/>
        <v>31.127985406287593</v>
      </c>
      <c r="AQ57" s="224">
        <f t="shared" si="35"/>
        <v>0</v>
      </c>
      <c r="AR57" s="224">
        <f t="shared" si="36"/>
        <v>0</v>
      </c>
      <c r="AS57" s="224">
        <f t="shared" si="37"/>
        <v>0</v>
      </c>
      <c r="AT57" s="224">
        <f t="shared" si="38"/>
        <v>0</v>
      </c>
      <c r="AU57" s="224">
        <f t="shared" si="39"/>
        <v>0</v>
      </c>
      <c r="AV57" s="224">
        <f t="shared" si="40"/>
        <v>0</v>
      </c>
      <c r="AW57" s="224">
        <f t="shared" si="41"/>
        <v>0</v>
      </c>
      <c r="AX57" s="224">
        <f t="shared" si="42"/>
        <v>0</v>
      </c>
    </row>
    <row r="58" spans="3:50" ht="14.85" customHeight="1"/>
    <row r="59" spans="3:50">
      <c r="C59" s="35" t="s">
        <v>226</v>
      </c>
    </row>
    <row r="60" spans="3:50" ht="15" customHeight="1">
      <c r="C60" s="317" t="s">
        <v>225</v>
      </c>
      <c r="D60" s="317" t="s">
        <v>53</v>
      </c>
      <c r="E60" s="317" t="s">
        <v>105</v>
      </c>
      <c r="F60" s="317" t="s">
        <v>101</v>
      </c>
      <c r="G60" s="329" t="s">
        <v>98</v>
      </c>
      <c r="H60" s="329" t="s">
        <v>269</v>
      </c>
      <c r="I60" s="330" t="s">
        <v>102</v>
      </c>
      <c r="J60" s="317" t="s">
        <v>100</v>
      </c>
      <c r="K60" s="329" t="s">
        <v>94</v>
      </c>
      <c r="L60" s="329" t="s">
        <v>216</v>
      </c>
      <c r="M60" s="332" t="s">
        <v>217</v>
      </c>
      <c r="N60" s="317" t="s">
        <v>106</v>
      </c>
      <c r="O60" s="317" t="s">
        <v>107</v>
      </c>
      <c r="P60" s="317" t="s">
        <v>136</v>
      </c>
      <c r="Q60" s="317" t="s">
        <v>290</v>
      </c>
      <c r="R60" s="317" t="s">
        <v>108</v>
      </c>
      <c r="T60" s="317" t="s">
        <v>73</v>
      </c>
      <c r="U60" s="317" t="s">
        <v>78</v>
      </c>
      <c r="V60" s="317" t="s">
        <v>79</v>
      </c>
      <c r="W60" s="317" t="s">
        <v>80</v>
      </c>
      <c r="X60" s="317" t="s">
        <v>84</v>
      </c>
      <c r="Y60" s="317" t="s">
        <v>85</v>
      </c>
      <c r="Z60" s="317" t="s">
        <v>86</v>
      </c>
      <c r="AA60" s="317" t="s">
        <v>87</v>
      </c>
      <c r="AB60" s="317" t="s">
        <v>605</v>
      </c>
      <c r="AC60" s="317" t="s">
        <v>579</v>
      </c>
      <c r="AD60" s="317" t="s">
        <v>580</v>
      </c>
      <c r="AE60" s="328" t="s">
        <v>582</v>
      </c>
      <c r="AF60" s="317" t="s">
        <v>581</v>
      </c>
      <c r="AG60" s="328" t="s">
        <v>583</v>
      </c>
      <c r="AH60" s="328" t="s">
        <v>584</v>
      </c>
      <c r="AI60" s="317" t="s">
        <v>587</v>
      </c>
      <c r="AJ60" s="328" t="s">
        <v>588</v>
      </c>
      <c r="AK60" s="328" t="s">
        <v>585</v>
      </c>
      <c r="AL60" s="328" t="s">
        <v>586</v>
      </c>
      <c r="AM60" s="317" t="s">
        <v>97</v>
      </c>
      <c r="AN60" s="317" t="s">
        <v>205</v>
      </c>
      <c r="AO60" s="317" t="s">
        <v>206</v>
      </c>
      <c r="AP60" s="317" t="s">
        <v>599</v>
      </c>
      <c r="AQ60" s="317" t="s">
        <v>600</v>
      </c>
      <c r="AR60" s="317" t="s">
        <v>601</v>
      </c>
      <c r="AS60" s="317" t="s">
        <v>602</v>
      </c>
      <c r="AT60" s="317" t="s">
        <v>603</v>
      </c>
      <c r="AU60" s="317" t="s">
        <v>147</v>
      </c>
      <c r="AV60" s="317" t="s">
        <v>145</v>
      </c>
      <c r="AW60" s="317" t="s">
        <v>146</v>
      </c>
      <c r="AX60" s="317" t="s">
        <v>604</v>
      </c>
    </row>
    <row r="61" spans="3:50" ht="18.75" customHeight="1">
      <c r="C61" s="318">
        <v>0</v>
      </c>
      <c r="D61" s="318">
        <v>0</v>
      </c>
      <c r="E61" s="318"/>
      <c r="F61" s="318"/>
      <c r="G61" s="318"/>
      <c r="H61" s="318"/>
      <c r="I61" s="331"/>
      <c r="J61" s="318"/>
      <c r="K61" s="318"/>
      <c r="L61" s="318"/>
      <c r="M61" s="312"/>
      <c r="N61" s="318"/>
      <c r="O61" s="318"/>
      <c r="P61" s="318"/>
      <c r="Q61" s="318"/>
      <c r="R61" s="318"/>
      <c r="T61" s="318"/>
      <c r="U61" s="318"/>
      <c r="V61" s="318"/>
      <c r="W61" s="318"/>
      <c r="X61" s="318"/>
      <c r="Y61" s="318"/>
      <c r="Z61" s="318"/>
      <c r="AA61" s="318"/>
      <c r="AB61" s="318"/>
      <c r="AC61" s="318"/>
      <c r="AD61" s="318"/>
      <c r="AE61" s="318"/>
      <c r="AF61" s="318"/>
      <c r="AG61" s="318"/>
      <c r="AH61" s="318"/>
      <c r="AI61" s="318"/>
      <c r="AJ61" s="333"/>
      <c r="AK61" s="318"/>
      <c r="AL61" s="318"/>
      <c r="AM61" s="318"/>
      <c r="AN61" s="318"/>
      <c r="AO61" s="318"/>
      <c r="AP61" s="318"/>
      <c r="AQ61" s="318"/>
      <c r="AR61" s="318"/>
      <c r="AS61" s="318"/>
      <c r="AT61" s="318"/>
      <c r="AU61" s="318"/>
      <c r="AV61" s="318"/>
      <c r="AW61" s="318"/>
      <c r="AX61" s="318"/>
    </row>
    <row r="62" spans="3:50">
      <c r="C62" s="30" t="s">
        <v>16</v>
      </c>
      <c r="D62" s="30" t="str">
        <f>"[m"&amp;Control!$F$7&amp;"]"</f>
        <v>[mLAT]</v>
      </c>
      <c r="E62" s="30" t="s">
        <v>9</v>
      </c>
      <c r="F62" s="34" t="s">
        <v>10</v>
      </c>
      <c r="G62" s="34" t="s">
        <v>77</v>
      </c>
      <c r="H62" s="34" t="s">
        <v>77</v>
      </c>
      <c r="I62" s="34" t="s">
        <v>77</v>
      </c>
      <c r="J62" s="34" t="s">
        <v>77</v>
      </c>
      <c r="K62" s="34" t="s">
        <v>77</v>
      </c>
      <c r="L62" s="34" t="s">
        <v>77</v>
      </c>
      <c r="M62" s="30" t="s">
        <v>77</v>
      </c>
      <c r="N62" s="30" t="s">
        <v>16</v>
      </c>
      <c r="O62" s="30" t="s">
        <v>16</v>
      </c>
      <c r="P62" s="30" t="s">
        <v>16</v>
      </c>
      <c r="Q62" s="30" t="s">
        <v>10</v>
      </c>
      <c r="R62" s="30" t="s">
        <v>16</v>
      </c>
      <c r="T62" s="34" t="s">
        <v>81</v>
      </c>
      <c r="U62" s="34" t="s">
        <v>82</v>
      </c>
      <c r="V62" s="34" t="s">
        <v>83</v>
      </c>
      <c r="W62" s="34" t="s">
        <v>81</v>
      </c>
      <c r="X62" s="34" t="s">
        <v>88</v>
      </c>
      <c r="Y62" s="34" t="s">
        <v>88</v>
      </c>
      <c r="Z62" s="34" t="s">
        <v>89</v>
      </c>
      <c r="AA62" s="34" t="s">
        <v>90</v>
      </c>
      <c r="AB62" s="34" t="s">
        <v>573</v>
      </c>
      <c r="AC62" s="34" t="s">
        <v>10</v>
      </c>
      <c r="AD62" s="34" t="s">
        <v>16</v>
      </c>
      <c r="AE62" s="34" t="s">
        <v>16</v>
      </c>
      <c r="AF62" s="34" t="s">
        <v>16</v>
      </c>
      <c r="AG62" s="34" t="s">
        <v>16</v>
      </c>
      <c r="AH62" s="34" t="s">
        <v>16</v>
      </c>
      <c r="AI62" s="34" t="s">
        <v>16</v>
      </c>
      <c r="AJ62" s="34" t="s">
        <v>16</v>
      </c>
      <c r="AK62" s="34" t="s">
        <v>16</v>
      </c>
      <c r="AL62" s="34" t="s">
        <v>16</v>
      </c>
      <c r="AM62" s="34" t="s">
        <v>16</v>
      </c>
      <c r="AN62" s="34" t="s">
        <v>11</v>
      </c>
      <c r="AO62" s="34" t="s">
        <v>11</v>
      </c>
      <c r="AP62" s="30" t="s">
        <v>77</v>
      </c>
      <c r="AQ62" s="30" t="s">
        <v>77</v>
      </c>
      <c r="AR62" s="30" t="s">
        <v>77</v>
      </c>
      <c r="AS62" s="34" t="s">
        <v>16</v>
      </c>
      <c r="AT62" s="30" t="s">
        <v>77</v>
      </c>
      <c r="AU62" s="34" t="s">
        <v>16</v>
      </c>
      <c r="AV62" s="34" t="s">
        <v>16</v>
      </c>
      <c r="AW62" s="34" t="s">
        <v>16</v>
      </c>
      <c r="AX62" s="34" t="s">
        <v>16</v>
      </c>
    </row>
    <row r="63" spans="3:50" ht="15" customHeight="1">
      <c r="C63" s="12" t="str">
        <f>"Can"&amp;TEXT(C6,"0")</f>
        <v>Can1</v>
      </c>
      <c r="D63" s="2">
        <f>E6</f>
        <v>1.6</v>
      </c>
      <c r="E63" s="3">
        <f>G6</f>
        <v>7.5</v>
      </c>
      <c r="F63" s="120">
        <f>H6</f>
        <v>108</v>
      </c>
      <c r="G63" s="120">
        <f>ABS(T63/(2*PI()*AB63*AC63))+ABS(V63/(PI()*(AB63^2)*AC63))</f>
        <v>145.64974428071719</v>
      </c>
      <c r="H63" s="120">
        <f>ABS(W63/(PI()*AB63*AC63))+ABS(U63/(2*PI()*(AB63^2)*AC63))</f>
        <v>14.213317844561757</v>
      </c>
      <c r="I63" s="120">
        <f>IF(OR(D63&lt;$R$2,D63&gt;$W$6),0,IF(D63&lt;=$W$5,$W$7*AB63/(AC63/1000),$W$7*AB63/(AC63/1000)*($W$6-D63)/($W$6-$W$5)))</f>
        <v>6.4845570442887928</v>
      </c>
      <c r="J63" s="120">
        <f>VLOOKUP(R63,'Steel grades'!$B$5:$J$22,IF(F63&gt;200,10,IF(F63&gt;150,9,IF(F63&gt;120,8,IF(F63&gt;100,7,IF(F63&gt;80,6,IF(F63&gt;63,5,IF(F63&gt;40,4,IF(F63&gt;16,3,2)))))))),FALSE)</f>
        <v>295</v>
      </c>
      <c r="K63" s="3">
        <f>AH63*J63/$W$9*AM63</f>
        <v>252.27507063907117</v>
      </c>
      <c r="L63" s="3">
        <f>AK63*J63/$W$9</f>
        <v>23.908363420866234</v>
      </c>
      <c r="M63" s="3">
        <f>AL63*J63/$W$9/SQRT(3)</f>
        <v>122.97820913484931</v>
      </c>
      <c r="N63" s="3">
        <f>MAX(G63/K63,H63/M63,I63/L63,(G63/K63)^(1.25+0.75*AH63)-(AH63*AK63)^2*(G63/K63)*(I63/L63)+(I63/L63)^(1.25+0.75*AK63)+(H63/M63)^(1.75+0.25*AL63),AS63,AX63)</f>
        <v>0.58258068518446937</v>
      </c>
      <c r="O63" s="3">
        <f>MAX(SQRT(G63^2+I63^2-G63*I63+3*H63^2)/(J63/$W$10),AU63)</f>
        <v>0.49026698782213479</v>
      </c>
      <c r="P63" s="3">
        <f>(ABS(Geometry_loads!S19)/Z63+ABS(Geometry_loads!T19)/AA63)/(1000*J63)</f>
        <v>0.37592979517391129</v>
      </c>
      <c r="Q63" s="22">
        <f>IF(D63&gt;=$R$14,IF(P63&gt;0.75,"Redesign",IF(P63&lt;0.5,VLOOKUP(R63,'Steel grades'!$B$5:$AB$22,27,FALSE),(VLOOKUP(R63,'Steel grades'!$B$5:$AB$22,27,FALSE)-VLOOKUP(R63,'Steel grades'!$B$5:$AB$22,25,FALSE))/(0.5-0.75)*(P63-0.75)+VLOOKUP(R63,'Steel grades'!$B$5:$AB$22,25,FALSE))),IF(D63&lt;$R$2,IF(P63&gt;0.75,"Redesign",IF(P63&lt;0.5,VLOOKUP(R63,'Steel grades'!$B$5:$AB$22,18,FALSE),(VLOOKUP(R63,'Steel grades'!$B$5:$AB$22,18,FALSE)-VLOOKUP(R63,'Steel grades'!$B$5:$AB$22,11,FALSE))/(0.5-0.75)*(P63-0.75)+VLOOKUP(R63,'Steel grades'!$B$5:$AB$22,11,FALSE))),IF(P63&gt;0.75,"Redesign",IF(P63&lt;0.5,VLOOKUP(R63,'Steel grades'!$B$5:$AB$22,26,FALSE),(VLOOKUP(R63,'Steel grades'!$B$5:$AB$22,26,FALSE)-VLOOKUP(R63,'Steel grades'!$B$5:$AB$22,24,FALSE))/(0.5-0.75)*(P63-0.75)+VLOOKUP(R63,'Steel grades'!$B$5:$AB$22,24,FALSE)))))</f>
        <v>122.5</v>
      </c>
      <c r="R63" s="3" t="str">
        <f>Geometry!M28</f>
        <v>S355 NL/ML</v>
      </c>
      <c r="T63" s="3">
        <f>Geometry_loads!L19</f>
        <v>-29625.58</v>
      </c>
      <c r="U63" s="3">
        <f>Geometry_loads!M19</f>
        <v>-46354.1</v>
      </c>
      <c r="V63" s="3">
        <f>Geometry_loads!N19</f>
        <v>597208.5</v>
      </c>
      <c r="W63" s="3">
        <f>Geometry_loads!O19</f>
        <v>10947.41</v>
      </c>
      <c r="X63" s="3">
        <f>X35</f>
        <v>3.5999999999999996</v>
      </c>
      <c r="Y63" s="120">
        <f>Y35</f>
        <v>0</v>
      </c>
      <c r="Z63" s="224">
        <f>PI()/4*((E63-2*X63/1000)^2-((E63-2*X63/1000)-2*(F63-X63-Y63)/1000)^2)</f>
        <v>2.4232642260901303</v>
      </c>
      <c r="AA63" s="224">
        <f>PI()/32*((E63-2*X63/1000)^4-((E63-2*X63/1000)-2*(F63-X63-Y63)/1000)^4)/(E63-2*X63/1000)</f>
        <v>4.4145266496493258</v>
      </c>
      <c r="AB63" s="224">
        <f>(0.5*E63-(X63/1000))-(0.5*(AC63/1000))</f>
        <v>3.6941999999999999</v>
      </c>
      <c r="AC63" s="120">
        <f>F63-X63-Y63</f>
        <v>104.4</v>
      </c>
      <c r="AD63" s="224">
        <f>$R$4/SQRT(E63/2*F63/1000)</f>
        <v>119.10297109185855</v>
      </c>
      <c r="AE63" s="224">
        <f>(J63/((0.605*$W$2*IF(AD63&gt;0.5*(AB63)/(AC63/1000),MAX(0.6,1+0.2/$AC$7*(1-2*AD63*(AC63/1000)/(AB63))),IF(AD63&lt;=1.7,1.36-(1.83/AD63)+(2.07/AD63^2),1)))*((AC63/1000)/(AB63)/1000)))^0.5</f>
        <v>0.36465493454743514</v>
      </c>
      <c r="AF63" s="224">
        <f>0.62/(1+1.91*((((AB63)/(AC63/1000))^0.5*(AC63/1000)/$AC$4)/(AC63/1000))^1.44)</f>
        <v>0.42481366719080393</v>
      </c>
      <c r="AG63" s="224">
        <f>IF(AND((AB63)/(AC63/1000)&lt;=150,AD63&lt;=6*(AB63)/(AC63/1000),$W$2/(J63*1000)&lt;=1000,500&lt;=$W$2/(J63*1000)),0.2+0.1*(ABS(V63/(PI()*(AB63^2)*AC63))/G63),0.2)</f>
        <v>0.29160624354277376</v>
      </c>
      <c r="AH63" s="224">
        <f>IF(AE63&lt;=AG63,1,IF(AE63&gt;=(AF63/(1-0.6))^0.5,AF63/(AE63^2),1-0.6*((AE63-(AG63))/((AF63/(1-0.6))^0.5-AG63))))</f>
        <v>0.94068670407789257</v>
      </c>
      <c r="AI63" s="224">
        <f>IF(AD63/1.25&gt;1.63*((AB63)/(AC63/1000)),$W$2/1000*(AC63/(AB63*1000))^2*(0.275+2.03*(1.25/AD63*AB63*1000/AC63)^4),IF(AD63/1.25&lt;20,0.92*$W$2/1000*((1.25+(8/AD63^2)-(4/AD63^3))/AD63)*((AC63/1000)/(AB63)),0.92*$W$2/1000*(1.25/AD63)*((AC63/1000)/(AB63))))</f>
        <v>52.59839952590572</v>
      </c>
      <c r="AJ63" s="224">
        <f>SQRT(J63/AI63)</f>
        <v>2.3682347162829478</v>
      </c>
      <c r="AK63" s="224">
        <f>IF(AJ63&lt;0.4,1,IF(AJ63&lt;SQRT($AC$5/(1-0.6)),1-0.6*((AJ63-0.4)/(SQRT($AC$5/(1-0.6))-0.4)^1),$AC$5/AJ63^2))</f>
        <v>8.9149829704924952E-2</v>
      </c>
      <c r="AL63" s="224">
        <f>IF(((J63/SQRT(3)/(0.75*$W$2*(IF(AD63&lt;10,SQRT(1+42/(AD63^3)),IF(AD63&gt;8.7*(AB63)/(AC63/1000),(1/3)*SQRT(AD63*(AC63/1000)/(AB63)),1)))*(1/AD63)^0.5*((AC63/1000)/(AB63))/1000))^0.5)&lt;=0.4,1,IF(((J63/SQRT(3)/(0.75*$W$2*(IF(AD63&lt;10,SQRT(1+42/(AD63^3)),IF(AD63&gt;8.7*(AB63)/(AC63/1000),(1/3)*SQRT(AD63*(AC63/1000)/(AB63)),1)))*(1/AD63)^0.5*((AC63/1000)/(AB63))/1000))^0.5)&gt;=($AC$6/(1-0.6))^0.5,$AC$6/(((J63/SQRT(3)/(0.75*$W$2*(IF(AD63&lt;10,SQRT(1+42/(AD63^3)),IF(AD63&gt;8.7*(AB63)/(AC63/1000),(1/3)*SQRT(AD63*(AC63/1000)/(AB63)),1)))*(1/AD63)^0.5*((AC63/1000)/(AB63))/1000))^0.5)^2),1-0.6*((((J63/SQRT(3)/(0.75*$W$2*(IF(AD63&lt;10,SQRT(1+42/(AD63^3)),IF(AD63&gt;8.7*(AB63)/(AC63/1000),(1/3)*SQRT(AD63*(AC63/1000)/(AB63)),1)))*(1/AD63)^0.5*((AC63/1000)/(AB63))/1000))^0.5)-(0.4))/(($AC$6/(1-0.6))^0.5-0.4))))</f>
        <v>0.79425409183026785</v>
      </c>
      <c r="AM63" s="224">
        <f>AM35</f>
        <v>1</v>
      </c>
      <c r="AN63" s="224">
        <f>IF(NOT(ISNUMBER(D64)),0,ABS(J6-J7))</f>
        <v>0</v>
      </c>
      <c r="AO63" s="224">
        <f>MAX(AN63,J12)</f>
        <v>2.4101421139187957</v>
      </c>
      <c r="AP63" s="224">
        <f>((ABS(T63/(PI()*((E63-2*X63/1000)-((AC63))/1000*COS(AO63*PI()/180))*(AC63)/1000))/1000)+ABS((4*V63)/(PI()*((E63-X63/1000)-((F63-X63-Y63)/1000)*COS(AO63*PI()/180))^2*((AC63)/1000))/1000))/COS(AO63*PI()/180)</f>
        <v>145.64517129611735</v>
      </c>
      <c r="AQ63" s="224">
        <f>((0.6*(F63-X63-Y63)*((E63*1000-2*X63)*(2*(AC63)))^0.5)/((AC63)^2))*(G63*TAN(AN63*PI()/180))</f>
        <v>0</v>
      </c>
      <c r="AR63" s="224">
        <f>IF(AN63=0,0,0.45*((E63*1000-2*X63)/(AC63))^0.5*G63*TAN(AN63*PI()/180)+I63)</f>
        <v>0</v>
      </c>
      <c r="AS63" s="224">
        <f>IF(AO63=0,0,1.18*AP63/IF(J63/(2*0.3*$W$2/1000*(AC63)/1000/(E63-2*X63/1000))&lt;=0.17,J63,(1.047-0.274*(J63/(2*0.3*$W$2/1000*(AC63)/1000/(E63-2*X63/1000))))*J63))</f>
        <v>0.58258068518446937</v>
      </c>
      <c r="AT63" s="224">
        <f>IF(AN63=0,0,MAX(G63+AQ63,AP63+AQ63))</f>
        <v>0</v>
      </c>
      <c r="AU63" s="224">
        <f>(AT63^2+AR63^2+AR63*AT63)^0.5/(J63/$W$10)</f>
        <v>0</v>
      </c>
      <c r="AV63" s="224">
        <f>1.1*AT63/J63</f>
        <v>0</v>
      </c>
      <c r="AW63" s="224">
        <f>1.25*AR63/IF(0.4*$W$2/1000*(AC63)/1000/(E63-2*X63/1000)/J63&gt;2.44,J63,IF(0.4*$W$2/1000*(AC63)/1000/(E63-2*X63/1000)/J63&lt;=0.55,0.4*$W$2/1000*(AC63)/1000/(E63-2*X63/1000),MIN(0.7*(0.4*$W$2/1000*(AC63)/1000/(E63-2*X63/1000)/J63)^0.4*J63,J63)))</f>
        <v>0</v>
      </c>
      <c r="AX63" s="224">
        <f>MAX(AV63^2+AW63^(2*(5-4*(IF(0.4*$W$2/1000*(AC63)/1000/(E63-2*(X63/1000))/J63&gt;2.44,J63,IF(0.4*$W$2/1000*(AC63)/1000/(E63-2*(X63/1000))/J63&lt;=0.55,0.4*$W$2/1000*(AC63)/1000/(E63-2*(X63/1000)),MIN(0.7*(0.4*$W$2/1000*(AC63)/1000/(E63-2*(X63/1000))/J63)^0.4*J63,J63)))/J63)))+2*0.3*AV63*AW63,AW63,AT63/(IF(J63/(2*0.3*$W$2/1000*(AC63)/1000/(E63-2*(X63/1000)))&lt;=0.17,J63,(1.047-0.274*(J63/(2*0.3*$W$2/1000*(AC63)/1000/(E63-2*(X63/1000)))))*J63)/1.18))</f>
        <v>0</v>
      </c>
    </row>
    <row r="64" spans="3:50">
      <c r="C64" s="12" t="str">
        <f t="shared" ref="C64:C85" si="43">"Can"&amp;TEXT(C7,"0")</f>
        <v>Can2</v>
      </c>
      <c r="D64" s="2">
        <f t="shared" ref="D64:D85" si="44">E7</f>
        <v>-2.2999999999999998</v>
      </c>
      <c r="E64" s="3">
        <f t="shared" ref="E64:F64" si="45">G7</f>
        <v>7.5</v>
      </c>
      <c r="F64" s="120">
        <f t="shared" si="45"/>
        <v>100</v>
      </c>
      <c r="G64" s="120">
        <f t="shared" ref="G64:G85" si="46">ABS(T64/(2*PI()*AB64*AC64))+ABS(V64/(PI()*(AB64^2)*AC64))</f>
        <v>165.81980569289837</v>
      </c>
      <c r="H64" s="120">
        <f t="shared" ref="H64:H85" si="47">ABS(W64/(PI()*AB64*AC64))+ABS(U64/(2*PI()*(AB64^2)*AC64))</f>
        <v>15.659019589940552</v>
      </c>
      <c r="I64" s="120">
        <f t="shared" ref="I64:I85" si="48">IF(OR(D64&lt;$R$2,D64&gt;$W$6),0,IF(D64&lt;=$W$5,$W$7*AB64/(AC64/1000),$W$7*AB64/(AC64/1000)*($W$6-D64)/($W$6-$W$5)))</f>
        <v>7.1658109343221463</v>
      </c>
      <c r="J64" s="120">
        <f>VLOOKUP(R64,'Steel grades'!$B$5:$J$22,IF(F64&gt;200,10,IF(F64&gt;150,9,IF(F64&gt;120,8,IF(F64&gt;100,7,IF(F64&gt;80,6,IF(F64&gt;63,5,IF(F64&gt;40,4,IF(F64&gt;16,3,2)))))))),FALSE)</f>
        <v>315</v>
      </c>
      <c r="K64" s="3">
        <f t="shared" ref="K64:K85" si="49">AH64*J64/$W$9*AM64</f>
        <v>263.61586087748941</v>
      </c>
      <c r="L64" s="3">
        <f t="shared" ref="L64:L85" si="50">AK64*J64/$W$9</f>
        <v>20.249791046985468</v>
      </c>
      <c r="M64" s="3">
        <f t="shared" ref="M64:M85" si="51">AL64*J64/$W$9/SQRT(3)</f>
        <v>122.67646415691179</v>
      </c>
      <c r="N64" s="3">
        <f t="shared" ref="N64:N85" si="52">MAX(G64/K64,H64/M64,I64/L64,(G64/K64)^(1.25+0.75*AH64)-(AH64*AK64)^2*(G64/K64)*(I64/L64)+(I64/L64)^(1.25+0.75*AK64)+(H64/M64)^(1.75+0.25*AL64),AS64,AX64)</f>
        <v>0.6827135288982904</v>
      </c>
      <c r="O64" s="3">
        <f t="shared" ref="O64:O85" si="53">MAX(SQRT(G64^2+I64^2-G64*I64+3*H64^2)/(J64/$W$10),AU64)</f>
        <v>0.52255682929272351</v>
      </c>
      <c r="P64" s="3">
        <f>(ABS(Geometry_loads!S20)/Z64+ABS(Geometry_loads!T20)/AA64)/(1000*J64)</f>
        <v>0.40036802227239704</v>
      </c>
      <c r="Q64" s="22">
        <f>IF(D64&gt;=$R$14,IF(P64&gt;0.75,"Redesign",IF(P64&lt;0.5,VLOOKUP(R64,'Steel grades'!$B$5:$AB$22,27,FALSE),(VLOOKUP(R64,'Steel grades'!$B$5:$AB$22,27,FALSE)-VLOOKUP(R64,'Steel grades'!$B$5:$AB$22,25,FALSE))/(0.5-0.75)*(P64-0.75)+VLOOKUP(R64,'Steel grades'!$B$5:$AB$22,25,FALSE))),IF(D64&lt;$R$2,IF(P64&gt;0.75,"Redesign",IF(P64&lt;0.5,VLOOKUP(R64,'Steel grades'!$B$5:$AB$22,18,FALSE),(VLOOKUP(R64,'Steel grades'!$B$5:$AB$22,18,FALSE)-VLOOKUP(R64,'Steel grades'!$B$5:$AB$22,11,FALSE))/(0.5-0.75)*(P64-0.75)+VLOOKUP(R64,'Steel grades'!$B$5:$AB$22,11,FALSE))),IF(P64&gt;0.75,"Redesign",IF(P64&lt;0.5,VLOOKUP(R64,'Steel grades'!$B$5:$AB$22,26,FALSE),(VLOOKUP(R64,'Steel grades'!$B$5:$AB$22,26,FALSE)-VLOOKUP(R64,'Steel grades'!$B$5:$AB$22,24,FALSE))/(0.5-0.75)*(P64-0.75)+VLOOKUP(R64,'Steel grades'!$B$5:$AB$22,24,FALSE)))))</f>
        <v>145</v>
      </c>
      <c r="R64" s="3" t="str">
        <f>Geometry!M29</f>
        <v>S355 NL/ML</v>
      </c>
      <c r="T64" s="3">
        <f>Geometry_loads!L20</f>
        <v>-30823.42</v>
      </c>
      <c r="U64" s="3">
        <f>Geometry_loads!M20</f>
        <v>-46363.46</v>
      </c>
      <c r="V64" s="3">
        <f>Geometry_loads!N20</f>
        <v>617316</v>
      </c>
      <c r="W64" s="3">
        <f>Geometry_loads!O20</f>
        <v>10947.93</v>
      </c>
      <c r="X64" s="3">
        <f t="shared" ref="X64:Y64" si="54">X36</f>
        <v>3.5999999999999996</v>
      </c>
      <c r="Y64" s="120">
        <f t="shared" si="54"/>
        <v>1.7999999999999998</v>
      </c>
      <c r="Z64" s="224">
        <f t="shared" ref="Z64:Z85" si="55">PI()/4*((E64-2*X64/1000)^2-((E64-2*X64/1000)-2*(F64-X64-Y64)/1000)^2)</f>
        <v>2.1987055708219416</v>
      </c>
      <c r="AA64" s="224">
        <f t="shared" ref="AA64:AA85" si="56">PI()/32*((E64-2*X64/1000)^4-((E64-2*X64/1000)-2*(F64-X64-Y64)/1000)^4)/(E64-2*X64/1000)</f>
        <v>4.0159295334706364</v>
      </c>
      <c r="AB64" s="224">
        <f t="shared" ref="AB64:AB85" si="57">(0.5*E64-(X64/1000))-(0.5*(AC64/1000))</f>
        <v>3.6991000000000001</v>
      </c>
      <c r="AC64" s="120">
        <f t="shared" ref="AC64:AC85" si="58">F64-X64-Y64</f>
        <v>94.600000000000009</v>
      </c>
      <c r="AD64" s="224">
        <f t="shared" ref="AD64:AD85" si="59">$R$4/SQRT(E64/2*F64/1000)</f>
        <v>123.77543835810376</v>
      </c>
      <c r="AE64" s="224">
        <f t="shared" ref="AE64:AE85" si="60">(J64/((0.605*$W$2*IF(AD64&gt;0.5*(AB64)/(AC64/1000),MAX(0.6,1+0.2/$AC$7*(1-2*AD64*(AC64/1000)/(AB64))),IF(AD64&lt;=1.7,1.36-(1.83/AD64)+(2.07/AD64^2),1)))*((AC64/1000)/(AB64)/1000)))^0.5</f>
        <v>0.38781185011249886</v>
      </c>
      <c r="AF64" s="224">
        <f t="shared" ref="AF64:AF85" si="61">0.62/(1+1.91*((((AB64)/(AC64/1000))^0.5*(AC64/1000)/$AC$4)/(AC64/1000))^1.44)</f>
        <v>0.41506875192459314</v>
      </c>
      <c r="AG64" s="224">
        <f t="shared" ref="AG64:AG85" si="62">IF(AND((AB64)/(AC64/1000)&lt;=150,AD64&lt;=6*(AB64)/(AC64/1000),$W$2/(J64*1000)&lt;=1000,500&lt;=$W$2/(J64*1000)),0.2+0.1*(ABS(V64/(PI()*(AB64^2)*AC64))/G64),0.2)</f>
        <v>0.29154570602151114</v>
      </c>
      <c r="AH64" s="224">
        <f t="shared" ref="AH64:AH85" si="63">IF(AE64&lt;=AG64,1,IF(AE64&gt;=(AF64/(1-0.6))^0.5,AF64/(AE64^2),1-0.6*((AE64-(AG64))/((AF64/(1-0.6))^0.5-AG64))))</f>
        <v>0.92056332369916938</v>
      </c>
      <c r="AI64" s="224">
        <f t="shared" ref="AI64:AI85" si="64">IF(AD64/1.25&gt;1.63*((AB64)/(AC64/1000)),$W$2/1000*(AC64/(AB64*1000))^2*(0.275+2.03*(1.25/AD64*AB64*1000/AC64)^4),IF(AD64/1.25&lt;20,0.92*$W$2/1000*((1.25+(8/AD64^2)-(4/AD64^3))/AD64)*((AC64/1000)/(AB64)),0.92*$W$2/1000*(1.25/AD64)*((AC64/1000)/(AB64))))</f>
        <v>44.549540303368033</v>
      </c>
      <c r="AJ64" s="224">
        <f t="shared" ref="AJ64:AJ85" si="65">SQRT(J64/AI64)</f>
        <v>2.6590938365793648</v>
      </c>
      <c r="AK64" s="224">
        <f t="shared" ref="AK64:AK85" si="66">IF(AJ64&lt;0.4,1,IF(AJ64&lt;SQRT($AC$5/(1-0.6)),1-0.6*((AJ64-0.4)/(SQRT($AC$5/(1-0.6))-0.4)^1),$AC$5/AJ64^2))</f>
        <v>7.0713556037092118E-2</v>
      </c>
      <c r="AL64" s="224">
        <f t="shared" ref="AL64:AL85" si="67">IF(((J64/SQRT(3)/(0.75*$W$2*(IF(AD64&lt;10,SQRT(1+42/(AD64^3)),IF(AD64&gt;8.7*(AB64)/(AC64/1000),(1/3)*SQRT(AD64*(AC64/1000)/(AB64)),1)))*(1/AD64)^0.5*((AC64/1000)/(AB64))/1000))^0.5)&lt;=0.4,1,IF(((J64/SQRT(3)/(0.75*$W$2*(IF(AD64&lt;10,SQRT(1+42/(AD64^3)),IF(AD64&gt;8.7*(AB64)/(AC64/1000),(1/3)*SQRT(AD64*(AC64/1000)/(AB64)),1)))*(1/AD64)^0.5*((AC64/1000)/(AB64))/1000))^0.5)&gt;=($AC$6/(1-0.6))^0.5,$AC$6/(((J64/SQRT(3)/(0.75*$W$2*(IF(AD64&lt;10,SQRT(1+42/(AD64^3)),IF(AD64&gt;8.7*(AB64)/(AC64/1000),(1/3)*SQRT(AD64*(AC64/1000)/(AB64)),1)))*(1/AD64)^0.5*((AC64/1000)/(AB64))/1000))^0.5)^2),1-0.6*((((J64/SQRT(3)/(0.75*$W$2*(IF(AD64&lt;10,SQRT(1+42/(AD64^3)),IF(AD64&gt;8.7*(AB64)/(AC64/1000),(1/3)*SQRT(AD64*(AC64/1000)/(AB64)),1)))*(1/AD64)^0.5*((AC64/1000)/(AB64))/1000))^0.5)-(0.4))/(($AC$6/(1-0.6))^0.5-0.4))))</f>
        <v>0.74200017680616148</v>
      </c>
      <c r="AM64" s="224">
        <f t="shared" ref="AM64:AM85" si="68">AM36</f>
        <v>1</v>
      </c>
      <c r="AN64" s="224">
        <f t="shared" ref="AN64:AN85" si="69">IF(NOT(ISNUMBER(D65)),0,ABS(J7-J8))</f>
        <v>0</v>
      </c>
      <c r="AO64" s="224">
        <f t="shared" ref="AO64:AO85" si="70">MAX(AN64,J13)</f>
        <v>2.4101421139187984</v>
      </c>
      <c r="AP64" s="224">
        <f t="shared" ref="AP64:AP85" si="71">((ABS(T64/(PI()*((E64-2*X64/1000)-((AC64))/1000*COS(AO64*PI()/180))*(AC64)/1000))/1000)+ABS((4*V64)/(PI()*((E64-X64/1000)-((F64-X64-Y64)/1000)*COS(AO64*PI()/180))^2*((AC64)/1000))/1000))/COS(AO64*PI()/180)</f>
        <v>165.8152715867551</v>
      </c>
      <c r="AQ64" s="224">
        <f t="shared" ref="AQ64:AQ85" si="72">((0.6*(F64-X64-Y64)*((E64*1000-2*X64)*(2*(AC64)))^0.5)/((AC64)^2))*(G64*TAN(AN64*PI()/180))</f>
        <v>0</v>
      </c>
      <c r="AR64" s="224">
        <f t="shared" ref="AR64:AR85" si="73">IF(AN64=0,0,0.45*((E64*1000-2*X64)/(AC64))^0.5*G64*TAN(AN64*PI()/180)+I64)</f>
        <v>0</v>
      </c>
      <c r="AS64" s="224">
        <f t="shared" ref="AS64:AS85" si="74">IF(AO64=0,0,1.18*AP64/IF(J64/(2*0.3*$W$2/1000*(AC64)/1000/(E64-2*X64/1000))&lt;=0.17,J64,(1.047-0.274*(J64/(2*0.3*$W$2/1000*(AC64)/1000/(E64-2*X64/1000))))*J64))</f>
        <v>0.62568894224903782</v>
      </c>
      <c r="AT64" s="224">
        <f t="shared" ref="AT64:AT85" si="75">IF(AN64=0,0,MAX(G64+AQ64,AP64+AQ64))</f>
        <v>0</v>
      </c>
      <c r="AU64" s="224">
        <f t="shared" ref="AU64:AU85" si="76">(AT64^2+AR64^2+AR64*AT64)^0.5/(J64/$W$10)</f>
        <v>0</v>
      </c>
      <c r="AV64" s="224">
        <f t="shared" ref="AV64:AV85" si="77">1.1*AT64/J64</f>
        <v>0</v>
      </c>
      <c r="AW64" s="224">
        <f t="shared" ref="AW64:AW85" si="78">1.25*AR64/IF(0.4*$W$2/1000*(AC64)/1000/(E64-2*X64/1000)/J64&gt;2.44,J64,IF(0.4*$W$2/1000*(AC64)/1000/(E64-2*X64/1000)/J64&lt;=0.55,0.4*$W$2/1000*(AC64)/1000/(E64-2*X64/1000),MIN(0.7*(0.4*$W$2/1000*(AC64)/1000/(E64-2*X64/1000)/J64)^0.4*J64,J64)))</f>
        <v>0</v>
      </c>
      <c r="AX64" s="224">
        <f t="shared" ref="AX64:AX85" si="79">MAX(AV64^2+AW64^(2*(5-4*(IF(0.4*$W$2/1000*(AC64)/1000/(E64-2*(X64/1000))/J64&gt;2.44,J64,IF(0.4*$W$2/1000*(AC64)/1000/(E64-2*(X64/1000))/J64&lt;=0.55,0.4*$W$2/1000*(AC64)/1000/(E64-2*(X64/1000)),MIN(0.7*(0.4*$W$2/1000*(AC64)/1000/(E64-2*(X64/1000))/J64)^0.4*J64,J64)))/J64)))+2*0.3*AV64*AW64,AW64,AT64/(IF(J64/(2*0.3*$W$2/1000*(AC64)/1000/(E64-2*(X64/1000)))&lt;=0.17,J64,(1.047-0.274*(J64/(2*0.3*$W$2/1000*(AC64)/1000/(E64-2*(X64/1000)))))*J64)/1.18))</f>
        <v>0</v>
      </c>
    </row>
    <row r="65" spans="3:50">
      <c r="C65" s="12" t="str">
        <f t="shared" si="43"/>
        <v>Can3</v>
      </c>
      <c r="D65" s="2">
        <f t="shared" si="44"/>
        <v>-6.2</v>
      </c>
      <c r="E65" s="3">
        <f t="shared" ref="E65:F65" si="80">G8</f>
        <v>7.5</v>
      </c>
      <c r="F65" s="120">
        <f t="shared" si="80"/>
        <v>100</v>
      </c>
      <c r="G65" s="120">
        <f t="shared" si="46"/>
        <v>169.1328771136487</v>
      </c>
      <c r="H65" s="120">
        <f t="shared" si="47"/>
        <v>15.138856499565641</v>
      </c>
      <c r="I65" s="120">
        <f t="shared" si="48"/>
        <v>7.0302985803812232</v>
      </c>
      <c r="J65" s="120">
        <f>VLOOKUP(R65,'Steel grades'!$B$5:$J$22,IF(F65&gt;200,10,IF(F65&gt;150,9,IF(F65&gt;120,8,IF(F65&gt;100,7,IF(F65&gt;80,6,IF(F65&gt;63,5,IF(F65&gt;40,4,IF(F65&gt;16,3,2)))))))),FALSE)</f>
        <v>315</v>
      </c>
      <c r="K65" s="3">
        <f t="shared" si="49"/>
        <v>263.97973643597641</v>
      </c>
      <c r="L65" s="3">
        <f t="shared" si="50"/>
        <v>20.802554537845985</v>
      </c>
      <c r="M65" s="3">
        <f t="shared" si="51"/>
        <v>123.60673788160042</v>
      </c>
      <c r="N65" s="3">
        <f t="shared" si="52"/>
        <v>0.83830219026236152</v>
      </c>
      <c r="O65" s="3">
        <f t="shared" si="53"/>
        <v>0.76812513294905271</v>
      </c>
      <c r="P65" s="3">
        <f>(ABS(Geometry_loads!S21)/Z65+ABS(Geometry_loads!T21)/AA65)/(1000*J65)</f>
        <v>0.40849555616420558</v>
      </c>
      <c r="Q65" s="22">
        <f>IF(D65&gt;=$R$14,IF(P65&gt;0.75,"Redesign",IF(P65&lt;0.5,VLOOKUP(R65,'Steel grades'!$B$5:$AB$22,27,FALSE),(VLOOKUP(R65,'Steel grades'!$B$5:$AB$22,27,FALSE)-VLOOKUP(R65,'Steel grades'!$B$5:$AB$22,25,FALSE))/(0.5-0.75)*(P65-0.75)+VLOOKUP(R65,'Steel grades'!$B$5:$AB$22,25,FALSE))),IF(D65&lt;$R$2,IF(P65&gt;0.75,"Redesign",IF(P65&lt;0.5,VLOOKUP(R65,'Steel grades'!$B$5:$AB$22,18,FALSE),(VLOOKUP(R65,'Steel grades'!$B$5:$AB$22,18,FALSE)-VLOOKUP(R65,'Steel grades'!$B$5:$AB$22,11,FALSE))/(0.5-0.75)*(P65-0.75)+VLOOKUP(R65,'Steel grades'!$B$5:$AB$22,11,FALSE))),IF(P65&gt;0.75,"Redesign",IF(P65&lt;0.5,VLOOKUP(R65,'Steel grades'!$B$5:$AB$22,26,FALSE),(VLOOKUP(R65,'Steel grades'!$B$5:$AB$22,26,FALSE)-VLOOKUP(R65,'Steel grades'!$B$5:$AB$22,24,FALSE))/(0.5-0.75)*(P65-0.75)+VLOOKUP(R65,'Steel grades'!$B$5:$AB$22,24,FALSE)))))</f>
        <v>145</v>
      </c>
      <c r="R65" s="3" t="str">
        <f>Geometry!M30</f>
        <v>S355 NL/ML</v>
      </c>
      <c r="T65" s="3">
        <f>Geometry_loads!L21</f>
        <v>-32020.5</v>
      </c>
      <c r="U65" s="3">
        <f>Geometry_loads!M21</f>
        <v>-46371.59</v>
      </c>
      <c r="V65" s="3">
        <f>Geometry_loads!N21</f>
        <v>641335.4</v>
      </c>
      <c r="W65" s="3">
        <f>Geometry_loads!O21</f>
        <v>10686.01</v>
      </c>
      <c r="X65" s="3">
        <f t="shared" ref="X65:Y65" si="81">X37</f>
        <v>3.5999999999999996</v>
      </c>
      <c r="Y65" s="120">
        <f t="shared" si="81"/>
        <v>0</v>
      </c>
      <c r="Z65" s="224">
        <f t="shared" si="55"/>
        <v>2.2399962770503143</v>
      </c>
      <c r="AA65" s="224">
        <f t="shared" si="56"/>
        <v>4.089382285520383</v>
      </c>
      <c r="AB65" s="224">
        <f t="shared" si="57"/>
        <v>3.6981999999999999</v>
      </c>
      <c r="AC65" s="120">
        <f t="shared" si="58"/>
        <v>96.4</v>
      </c>
      <c r="AD65" s="224">
        <f t="shared" si="59"/>
        <v>123.77543835810376</v>
      </c>
      <c r="AE65" s="224">
        <f t="shared" si="60"/>
        <v>0.3865745179087185</v>
      </c>
      <c r="AF65" s="224">
        <f t="shared" si="61"/>
        <v>0.41695025278519998</v>
      </c>
      <c r="AG65" s="224">
        <f t="shared" si="62"/>
        <v>0.29154813063318569</v>
      </c>
      <c r="AH65" s="224">
        <f t="shared" si="63"/>
        <v>0.92183400025261608</v>
      </c>
      <c r="AI65" s="224">
        <f t="shared" si="64"/>
        <v>45.765619983261161</v>
      </c>
      <c r="AJ65" s="224">
        <f t="shared" si="65"/>
        <v>2.623527385136279</v>
      </c>
      <c r="AK65" s="224">
        <f t="shared" si="66"/>
        <v>7.2643841243271695E-2</v>
      </c>
      <c r="AL65" s="224">
        <f t="shared" si="67"/>
        <v>0.74762687360526547</v>
      </c>
      <c r="AM65" s="224">
        <f t="shared" si="68"/>
        <v>1</v>
      </c>
      <c r="AN65" s="224">
        <f t="shared" si="69"/>
        <v>2.4101421139187913</v>
      </c>
      <c r="AO65" s="224">
        <f t="shared" si="70"/>
        <v>2.4101421139187913</v>
      </c>
      <c r="AP65" s="224">
        <f t="shared" si="71"/>
        <v>169.12814113168076</v>
      </c>
      <c r="AQ65" s="224">
        <f t="shared" si="72"/>
        <v>53.254231054044908</v>
      </c>
      <c r="AR65" s="224">
        <f t="shared" si="73"/>
        <v>35.272619509274008</v>
      </c>
      <c r="AS65" s="224">
        <f t="shared" si="74"/>
        <v>0.63753916453996307</v>
      </c>
      <c r="AT65" s="224">
        <f t="shared" si="75"/>
        <v>222.38710816769361</v>
      </c>
      <c r="AU65" s="224">
        <f t="shared" si="76"/>
        <v>0.76812513294905271</v>
      </c>
      <c r="AV65" s="224">
        <f t="shared" si="77"/>
        <v>0.7765899015379778</v>
      </c>
      <c r="AW65" s="224">
        <f t="shared" si="78"/>
        <v>0.13997071233838893</v>
      </c>
      <c r="AX65" s="224">
        <f t="shared" si="79"/>
        <v>0.83830219026236152</v>
      </c>
    </row>
    <row r="66" spans="3:50">
      <c r="C66" s="12" t="str">
        <f t="shared" si="43"/>
        <v>Can4</v>
      </c>
      <c r="D66" s="2">
        <f t="shared" si="44"/>
        <v>-10.1</v>
      </c>
      <c r="E66" s="3">
        <f t="shared" ref="E66:F66" si="82">G9</f>
        <v>7.8282999999999996</v>
      </c>
      <c r="F66" s="120">
        <f t="shared" si="82"/>
        <v>100</v>
      </c>
      <c r="G66" s="120">
        <f t="shared" si="46"/>
        <v>156.24086030544154</v>
      </c>
      <c r="H66" s="120">
        <f t="shared" si="47"/>
        <v>13.954382022637812</v>
      </c>
      <c r="I66" s="120">
        <f t="shared" si="48"/>
        <v>7.0813227088968755</v>
      </c>
      <c r="J66" s="120">
        <f>VLOOKUP(R66,'Steel grades'!$B$5:$J$22,IF(F66&gt;200,10,IF(F66&gt;150,9,IF(F66&gt;120,8,IF(F66&gt;100,7,IF(F66&gt;80,6,IF(F66&gt;63,5,IF(F66&gt;40,4,IF(F66&gt;16,3,2)))))))),FALSE)</f>
        <v>315</v>
      </c>
      <c r="K66" s="3">
        <f t="shared" si="49"/>
        <v>264.42868256671159</v>
      </c>
      <c r="L66" s="3">
        <f t="shared" si="50"/>
        <v>20.858902294660417</v>
      </c>
      <c r="M66" s="3">
        <f t="shared" si="51"/>
        <v>123.77530260253864</v>
      </c>
      <c r="N66" s="3">
        <f t="shared" si="52"/>
        <v>0.61778865677428108</v>
      </c>
      <c r="O66" s="3">
        <f t="shared" si="53"/>
        <v>0.50804959774957237</v>
      </c>
      <c r="P66" s="3">
        <f>(ABS(Geometry_loads!S22)/Z66+ABS(Geometry_loads!T22)/AA66)/(1000*J66)</f>
        <v>0.37733960037320935</v>
      </c>
      <c r="Q66" s="22">
        <f>IF(D66&gt;=$R$14,IF(P66&gt;0.75,"Redesign",IF(P66&lt;0.5,VLOOKUP(R66,'Steel grades'!$B$5:$AB$22,27,FALSE),(VLOOKUP(R66,'Steel grades'!$B$5:$AB$22,27,FALSE)-VLOOKUP(R66,'Steel grades'!$B$5:$AB$22,25,FALSE))/(0.5-0.75)*(P66-0.75)+VLOOKUP(R66,'Steel grades'!$B$5:$AB$22,25,FALSE))),IF(D66&lt;$R$2,IF(P66&gt;0.75,"Redesign",IF(P66&lt;0.5,VLOOKUP(R66,'Steel grades'!$B$5:$AB$22,18,FALSE),(VLOOKUP(R66,'Steel grades'!$B$5:$AB$22,18,FALSE)-VLOOKUP(R66,'Steel grades'!$B$5:$AB$22,11,FALSE))/(0.5-0.75)*(P66-0.75)+VLOOKUP(R66,'Steel grades'!$B$5:$AB$22,11,FALSE))),IF(P66&gt;0.75,"Redesign",IF(P66&lt;0.5,VLOOKUP(R66,'Steel grades'!$B$5:$AB$22,26,FALSE),(VLOOKUP(R66,'Steel grades'!$B$5:$AB$22,26,FALSE)-VLOOKUP(R66,'Steel grades'!$B$5:$AB$22,24,FALSE))/(0.5-0.75)*(P66-0.75)+VLOOKUP(R66,'Steel grades'!$B$5:$AB$22,24,FALSE)))))</f>
        <v>145</v>
      </c>
      <c r="R66" s="3" t="str">
        <f>Geometry!M31</f>
        <v>S355 NL/ML</v>
      </c>
      <c r="T66" s="3">
        <f>Geometry_loads!L22</f>
        <v>-33077.980000000003</v>
      </c>
      <c r="U66" s="3">
        <f>Geometry_loads!M22</f>
        <v>-46378.85</v>
      </c>
      <c r="V66" s="3">
        <f>Geometry_loads!N22</f>
        <v>669003.9</v>
      </c>
      <c r="W66" s="3">
        <f>Geometry_loads!O22</f>
        <v>10938.87</v>
      </c>
      <c r="X66" s="3">
        <f t="shared" ref="X66:Y66" si="83">X38</f>
        <v>0</v>
      </c>
      <c r="Y66" s="120">
        <f t="shared" si="83"/>
        <v>0</v>
      </c>
      <c r="Z66" s="224">
        <f t="shared" si="55"/>
        <v>2.4279170504738024</v>
      </c>
      <c r="AA66" s="224">
        <f t="shared" si="56"/>
        <v>4.6317706397468319</v>
      </c>
      <c r="AB66" s="224">
        <f t="shared" si="57"/>
        <v>3.86415</v>
      </c>
      <c r="AC66" s="120">
        <f t="shared" si="58"/>
        <v>100</v>
      </c>
      <c r="AD66" s="224">
        <f t="shared" si="59"/>
        <v>121.15221942044666</v>
      </c>
      <c r="AE66" s="224">
        <f t="shared" si="60"/>
        <v>0.38432353591334151</v>
      </c>
      <c r="AF66" s="224">
        <f t="shared" si="61"/>
        <v>0.41623863411885065</v>
      </c>
      <c r="AG66" s="224">
        <f t="shared" si="62"/>
        <v>0.29128011989461716</v>
      </c>
      <c r="AH66" s="224">
        <f t="shared" si="63"/>
        <v>0.92340174864565971</v>
      </c>
      <c r="AI66" s="224">
        <f t="shared" si="64"/>
        <v>45.889585048252926</v>
      </c>
      <c r="AJ66" s="224">
        <f t="shared" si="65"/>
        <v>2.6199814206330352</v>
      </c>
      <c r="AK66" s="224">
        <f t="shared" si="66"/>
        <v>7.2840611187703047E-2</v>
      </c>
      <c r="AL66" s="224">
        <f t="shared" si="67"/>
        <v>0.74864642575488927</v>
      </c>
      <c r="AM66" s="224">
        <f t="shared" si="68"/>
        <v>1</v>
      </c>
      <c r="AN66" s="224">
        <f t="shared" si="69"/>
        <v>8.8817841970012523E-16</v>
      </c>
      <c r="AO66" s="224">
        <f t="shared" si="70"/>
        <v>2.4248072009611419</v>
      </c>
      <c r="AP66" s="224">
        <f t="shared" si="71"/>
        <v>156.37741727862888</v>
      </c>
      <c r="AQ66" s="224">
        <f t="shared" si="72"/>
        <v>1.8183278247290407E-14</v>
      </c>
      <c r="AR66" s="224">
        <f t="shared" si="73"/>
        <v>7.0813227088968853</v>
      </c>
      <c r="AS66" s="224">
        <f t="shared" si="74"/>
        <v>0.58970086249473708</v>
      </c>
      <c r="AT66" s="224">
        <f t="shared" si="75"/>
        <v>156.37741727862891</v>
      </c>
      <c r="AU66" s="224">
        <f t="shared" si="76"/>
        <v>0.50804959774957237</v>
      </c>
      <c r="AV66" s="224">
        <f t="shared" si="77"/>
        <v>0.54607986986187873</v>
      </c>
      <c r="AW66" s="224">
        <f t="shared" si="78"/>
        <v>2.8100486940067008E-2</v>
      </c>
      <c r="AX66" s="224">
        <f t="shared" si="79"/>
        <v>0.5897008624947373</v>
      </c>
    </row>
    <row r="67" spans="3:50">
      <c r="C67" s="12" t="str">
        <f t="shared" si="43"/>
        <v>Can5</v>
      </c>
      <c r="D67" s="2">
        <f t="shared" si="44"/>
        <v>-14</v>
      </c>
      <c r="E67" s="3">
        <f t="shared" ref="E67:F67" si="84">G10</f>
        <v>8.1565999999999992</v>
      </c>
      <c r="F67" s="120">
        <f t="shared" si="84"/>
        <v>106</v>
      </c>
      <c r="G67" s="120">
        <f t="shared" si="46"/>
        <v>142.29358561615928</v>
      </c>
      <c r="H67" s="120">
        <f t="shared" si="47"/>
        <v>13.006107500501065</v>
      </c>
      <c r="I67" s="120">
        <f t="shared" si="48"/>
        <v>6.9590955222700472</v>
      </c>
      <c r="J67" s="120">
        <f>VLOOKUP(R67,'Steel grades'!$B$5:$J$22,IF(F67&gt;200,10,IF(F67&gt;150,9,IF(F67&gt;120,8,IF(F67&gt;100,7,IF(F67&gt;80,6,IF(F67&gt;63,5,IF(F67&gt;40,4,IF(F67&gt;16,3,2)))))))),FALSE)</f>
        <v>295</v>
      </c>
      <c r="K67" s="3">
        <f t="shared" si="49"/>
        <v>214.62272837844682</v>
      </c>
      <c r="L67" s="3">
        <f t="shared" si="50"/>
        <v>22.065731180172172</v>
      </c>
      <c r="M67" s="3">
        <f t="shared" si="51"/>
        <v>120.6763429476847</v>
      </c>
      <c r="N67" s="3">
        <f t="shared" si="52"/>
        <v>0.67984575919876056</v>
      </c>
      <c r="O67" s="3">
        <f t="shared" si="53"/>
        <v>0.49462730486441053</v>
      </c>
      <c r="P67" s="3">
        <f>(ABS(Geometry_loads!S23)/Z67+ABS(Geometry_loads!T23)/AA67)/(1000*J67)</f>
        <v>0.36705926943218897</v>
      </c>
      <c r="Q67" s="22">
        <f>IF(D67&gt;=$R$14,IF(P67&gt;0.75,"Redesign",IF(P67&lt;0.5,VLOOKUP(R67,'Steel grades'!$B$5:$AB$22,27,FALSE),(VLOOKUP(R67,'Steel grades'!$B$5:$AB$22,27,FALSE)-VLOOKUP(R67,'Steel grades'!$B$5:$AB$22,25,FALSE))/(0.5-0.75)*(P67-0.75)+VLOOKUP(R67,'Steel grades'!$B$5:$AB$22,25,FALSE))),IF(D67&lt;$R$2,IF(P67&gt;0.75,"Redesign",IF(P67&lt;0.5,VLOOKUP(R67,'Steel grades'!$B$5:$AB$22,18,FALSE),(VLOOKUP(R67,'Steel grades'!$B$5:$AB$22,18,FALSE)-VLOOKUP(R67,'Steel grades'!$B$5:$AB$22,11,FALSE))/(0.5-0.75)*(P67-0.75)+VLOOKUP(R67,'Steel grades'!$B$5:$AB$22,11,FALSE))),IF(P67&gt;0.75,"Redesign",IF(P67&lt;0.5,VLOOKUP(R67,'Steel grades'!$B$5:$AB$22,26,FALSE),(VLOOKUP(R67,'Steel grades'!$B$5:$AB$22,26,FALSE)-VLOOKUP(R67,'Steel grades'!$B$5:$AB$22,24,FALSE))/(0.5-0.75)*(P67-0.75)+VLOOKUP(R67,'Steel grades'!$B$5:$AB$22,24,FALSE)))))</f>
        <v>145</v>
      </c>
      <c r="R67" s="3" t="str">
        <f>Geometry!M32</f>
        <v>S355 NL/ML</v>
      </c>
      <c r="T67" s="3">
        <f>Geometry_loads!L23</f>
        <v>-34256.61</v>
      </c>
      <c r="U67" s="3">
        <f>Geometry_loads!M23</f>
        <v>-46385.24</v>
      </c>
      <c r="V67" s="3">
        <f>Geometry_loads!N23</f>
        <v>698834.8</v>
      </c>
      <c r="W67" s="3">
        <f>Geometry_loads!O23</f>
        <v>11672.46</v>
      </c>
      <c r="X67" s="3">
        <f t="shared" ref="X67:Y67" si="85">X39</f>
        <v>0</v>
      </c>
      <c r="Y67" s="120">
        <f t="shared" si="85"/>
        <v>0</v>
      </c>
      <c r="Z67" s="224">
        <f t="shared" si="55"/>
        <v>2.680920816600938</v>
      </c>
      <c r="AA67" s="224">
        <f t="shared" si="56"/>
        <v>5.3265574106949476</v>
      </c>
      <c r="AB67" s="224">
        <f t="shared" si="57"/>
        <v>4.0252999999999997</v>
      </c>
      <c r="AC67" s="120">
        <f t="shared" si="58"/>
        <v>106</v>
      </c>
      <c r="AD67" s="224">
        <f t="shared" si="59"/>
        <v>115.28096139211631</v>
      </c>
      <c r="AE67" s="224">
        <f t="shared" si="60"/>
        <v>0.3649836680788055</v>
      </c>
      <c r="AF67" s="224">
        <f t="shared" si="61"/>
        <v>0.41794981609885623</v>
      </c>
      <c r="AG67" s="224">
        <f t="shared" si="62"/>
        <v>0.29102002612211897</v>
      </c>
      <c r="AH67" s="224">
        <f t="shared" si="63"/>
        <v>0.93930532830544899</v>
      </c>
      <c r="AI67" s="224">
        <f t="shared" si="64"/>
        <v>48.544608596378779</v>
      </c>
      <c r="AJ67" s="224">
        <f t="shared" si="65"/>
        <v>2.4651338546844181</v>
      </c>
      <c r="AK67" s="224">
        <f t="shared" si="66"/>
        <v>8.2278997620980981E-2</v>
      </c>
      <c r="AL67" s="224">
        <f t="shared" si="67"/>
        <v>0.77938750163625659</v>
      </c>
      <c r="AM67" s="224">
        <f t="shared" si="68"/>
        <v>0.85199999999999998</v>
      </c>
      <c r="AN67" s="224">
        <f t="shared" si="69"/>
        <v>7.3326266252182748E-4</v>
      </c>
      <c r="AO67" s="224">
        <f t="shared" si="70"/>
        <v>7.3326266252182748E-4</v>
      </c>
      <c r="AP67" s="224">
        <f t="shared" si="71"/>
        <v>142.29358562751895</v>
      </c>
      <c r="AQ67" s="224">
        <f t="shared" si="72"/>
        <v>1.3554707813068218E-2</v>
      </c>
      <c r="AR67" s="224">
        <f t="shared" si="73"/>
        <v>6.9662839916287647</v>
      </c>
      <c r="AS67" s="224">
        <f t="shared" si="74"/>
        <v>0.57052273334935433</v>
      </c>
      <c r="AT67" s="224">
        <f t="shared" si="75"/>
        <v>142.30714033533201</v>
      </c>
      <c r="AU67" s="224">
        <f t="shared" si="76"/>
        <v>0.49462730486441053</v>
      </c>
      <c r="AV67" s="224">
        <f t="shared" si="77"/>
        <v>0.53063679447072953</v>
      </c>
      <c r="AW67" s="224">
        <f t="shared" si="78"/>
        <v>2.9518152506901547E-2</v>
      </c>
      <c r="AX67" s="224">
        <f t="shared" si="79"/>
        <v>0.57057708062662027</v>
      </c>
    </row>
    <row r="68" spans="3:50">
      <c r="C68" s="12" t="str">
        <f t="shared" si="43"/>
        <v>Can6</v>
      </c>
      <c r="D68" s="2">
        <f t="shared" si="44"/>
        <v>-17.899999999999999</v>
      </c>
      <c r="E68" s="3">
        <f t="shared" ref="E68:F68" si="86">G11</f>
        <v>8.4847999999999999</v>
      </c>
      <c r="F68" s="120">
        <f t="shared" si="86"/>
        <v>98</v>
      </c>
      <c r="G68" s="120">
        <f t="shared" si="46"/>
        <v>148.86513353484298</v>
      </c>
      <c r="H68" s="120">
        <f t="shared" si="47"/>
        <v>14.012772849547682</v>
      </c>
      <c r="I68" s="120">
        <f t="shared" si="48"/>
        <v>7.841526688813774</v>
      </c>
      <c r="J68" s="120">
        <f>VLOOKUP(R68,'Steel grades'!$B$5:$J$22,IF(F68&gt;200,10,IF(F68&gt;150,9,IF(F68&gt;120,8,IF(F68&gt;100,7,IF(F68&gt;80,6,IF(F68&gt;63,5,IF(F68&gt;40,4,IF(F68&gt;16,3,2)))))))),FALSE)</f>
        <v>315</v>
      </c>
      <c r="K68" s="3">
        <f t="shared" si="49"/>
        <v>262.76861935299058</v>
      </c>
      <c r="L68" s="3">
        <f t="shared" si="50"/>
        <v>18.872846520127307</v>
      </c>
      <c r="M68" s="3">
        <f t="shared" si="51"/>
        <v>119.47627870062968</v>
      </c>
      <c r="N68" s="3">
        <f t="shared" si="52"/>
        <v>0.66693141031860526</v>
      </c>
      <c r="O68" s="3">
        <f t="shared" si="53"/>
        <v>0.48557479977531737</v>
      </c>
      <c r="P68" s="3">
        <f>(ABS(Geometry_loads!S24)/Z68+ABS(Geometry_loads!T24)/AA68)/(1000*J68)</f>
        <v>0.3592070347180199</v>
      </c>
      <c r="Q68" s="22">
        <f>IF(D68&gt;=$R$14,IF(P68&gt;0.75,"Redesign",IF(P68&lt;0.5,VLOOKUP(R68,'Steel grades'!$B$5:$AB$22,27,FALSE),(VLOOKUP(R68,'Steel grades'!$B$5:$AB$22,27,FALSE)-VLOOKUP(R68,'Steel grades'!$B$5:$AB$22,25,FALSE))/(0.5-0.75)*(P68-0.75)+VLOOKUP(R68,'Steel grades'!$B$5:$AB$22,25,FALSE))),IF(D68&lt;$R$2,IF(P68&gt;0.75,"Redesign",IF(P68&lt;0.5,VLOOKUP(R68,'Steel grades'!$B$5:$AB$22,18,FALSE),(VLOOKUP(R68,'Steel grades'!$B$5:$AB$22,18,FALSE)-VLOOKUP(R68,'Steel grades'!$B$5:$AB$22,11,FALSE))/(0.5-0.75)*(P68-0.75)+VLOOKUP(R68,'Steel grades'!$B$5:$AB$22,11,FALSE))),IF(P68&gt;0.75,"Redesign",IF(P68&lt;0.5,VLOOKUP(R68,'Steel grades'!$B$5:$AB$22,26,FALSE),(VLOOKUP(R68,'Steel grades'!$B$5:$AB$22,26,FALSE)-VLOOKUP(R68,'Steel grades'!$B$5:$AB$22,24,FALSE))/(0.5-0.75)*(P68-0.75)+VLOOKUP(R68,'Steel grades'!$B$5:$AB$22,24,FALSE)))))</f>
        <v>145</v>
      </c>
      <c r="R68" s="3" t="str">
        <f>Geometry!M33</f>
        <v>S355 NL/ML</v>
      </c>
      <c r="T68" s="3">
        <f>Geometry_loads!L24</f>
        <v>-35492.58</v>
      </c>
      <c r="U68" s="3">
        <f>Geometry_loads!M24</f>
        <v>-46391.3</v>
      </c>
      <c r="V68" s="3">
        <f>Geometry_loads!N24</f>
        <v>731520.5</v>
      </c>
      <c r="W68" s="3">
        <f>Geometry_loads!O24</f>
        <v>12559.69</v>
      </c>
      <c r="X68" s="3">
        <f t="shared" ref="X68:Y68" si="87">X40</f>
        <v>0</v>
      </c>
      <c r="Y68" s="120">
        <f t="shared" si="87"/>
        <v>0</v>
      </c>
      <c r="Z68" s="224">
        <f t="shared" si="55"/>
        <v>2.5820951081784216</v>
      </c>
      <c r="AA68" s="224">
        <f t="shared" si="56"/>
        <v>5.3520788282443457</v>
      </c>
      <c r="AB68" s="224">
        <f t="shared" si="57"/>
        <v>4.1933999999999996</v>
      </c>
      <c r="AC68" s="120">
        <f t="shared" si="58"/>
        <v>98</v>
      </c>
      <c r="AD68" s="224">
        <f t="shared" si="59"/>
        <v>117.55233551328989</v>
      </c>
      <c r="AE68" s="224">
        <f t="shared" si="60"/>
        <v>0.38920055410092241</v>
      </c>
      <c r="AF68" s="224">
        <f t="shared" si="61"/>
        <v>0.4060716900764616</v>
      </c>
      <c r="AG68" s="224">
        <f t="shared" si="62"/>
        <v>0.2907663726431724</v>
      </c>
      <c r="AH68" s="224">
        <f t="shared" si="63"/>
        <v>0.9176047025025067</v>
      </c>
      <c r="AI68" s="224">
        <f t="shared" si="64"/>
        <v>41.52026234428007</v>
      </c>
      <c r="AJ68" s="224">
        <f t="shared" si="65"/>
        <v>2.7543887281916026</v>
      </c>
      <c r="AK68" s="224">
        <f t="shared" si="66"/>
        <v>6.5905178324254091E-2</v>
      </c>
      <c r="AL68" s="224">
        <f t="shared" si="67"/>
        <v>0.72264407463372982</v>
      </c>
      <c r="AM68" s="224">
        <f t="shared" si="68"/>
        <v>1</v>
      </c>
      <c r="AN68" s="224">
        <f t="shared" si="69"/>
        <v>7.3326266252715655E-4</v>
      </c>
      <c r="AO68" s="224">
        <f t="shared" si="70"/>
        <v>7.3326266252715655E-4</v>
      </c>
      <c r="AP68" s="224">
        <f t="shared" si="71"/>
        <v>148.86513354676219</v>
      </c>
      <c r="AQ68" s="224">
        <f t="shared" si="72"/>
        <v>1.5041943242800152E-2</v>
      </c>
      <c r="AR68" s="224">
        <f t="shared" si="73"/>
        <v>7.8495038838656797</v>
      </c>
      <c r="AS68" s="224">
        <f t="shared" si="74"/>
        <v>0.56460208553256752</v>
      </c>
      <c r="AT68" s="224">
        <f t="shared" si="75"/>
        <v>148.880175490005</v>
      </c>
      <c r="AU68" s="224">
        <f t="shared" si="76"/>
        <v>0.48557479977531737</v>
      </c>
      <c r="AV68" s="224">
        <f t="shared" si="77"/>
        <v>0.51989902552065248</v>
      </c>
      <c r="AW68" s="224">
        <f t="shared" si="78"/>
        <v>3.1148824935974918E-2</v>
      </c>
      <c r="AX68" s="224">
        <f t="shared" si="79"/>
        <v>0.56465913524140809</v>
      </c>
    </row>
    <row r="69" spans="3:50">
      <c r="C69" s="12" t="str">
        <f t="shared" si="43"/>
        <v>Can7</v>
      </c>
      <c r="D69" s="2">
        <f t="shared" si="44"/>
        <v>-21.8</v>
      </c>
      <c r="E69" s="3">
        <f t="shared" ref="E69:F69" si="88">G12</f>
        <v>8.8131000000000004</v>
      </c>
      <c r="F69" s="120">
        <f t="shared" si="88"/>
        <v>93</v>
      </c>
      <c r="G69" s="120">
        <f t="shared" si="46"/>
        <v>152.54015313228922</v>
      </c>
      <c r="H69" s="120">
        <f t="shared" si="47"/>
        <v>14.705287282964795</v>
      </c>
      <c r="I69" s="120">
        <f t="shared" si="48"/>
        <v>8.5914987429737906</v>
      </c>
      <c r="J69" s="120">
        <f>VLOOKUP(R69,'Steel grades'!$B$5:$J$22,IF(F69&gt;200,10,IF(F69&gt;150,9,IF(F69&gt;120,8,IF(F69&gt;100,7,IF(F69&gt;80,6,IF(F69&gt;63,5,IF(F69&gt;40,4,IF(F69&gt;16,3,2)))))))),FALSE)</f>
        <v>315</v>
      </c>
      <c r="K69" s="3">
        <f t="shared" si="49"/>
        <v>259.93155091908824</v>
      </c>
      <c r="L69" s="3">
        <f t="shared" si="50"/>
        <v>17.233661623599637</v>
      </c>
      <c r="M69" s="3">
        <f t="shared" si="51"/>
        <v>114.56043154227044</v>
      </c>
      <c r="N69" s="3">
        <f t="shared" si="52"/>
        <v>0.78169785856340956</v>
      </c>
      <c r="O69" s="3">
        <f t="shared" si="53"/>
        <v>0.49845172936003479</v>
      </c>
      <c r="P69" s="3">
        <f>(ABS(Geometry_loads!S25)/Z69+ABS(Geometry_loads!T25)/AA69)/(1000*J69)</f>
        <v>0.36781170604868879</v>
      </c>
      <c r="Q69" s="22">
        <f>IF(D69&gt;=$R$14,IF(P69&gt;0.75,"Redesign",IF(P69&lt;0.5,VLOOKUP(R69,'Steel grades'!$B$5:$AB$22,27,FALSE),(VLOOKUP(R69,'Steel grades'!$B$5:$AB$22,27,FALSE)-VLOOKUP(R69,'Steel grades'!$B$5:$AB$22,25,FALSE))/(0.5-0.75)*(P69-0.75)+VLOOKUP(R69,'Steel grades'!$B$5:$AB$22,25,FALSE))),IF(D69&lt;$R$2,IF(P69&gt;0.75,"Redesign",IF(P69&lt;0.5,VLOOKUP(R69,'Steel grades'!$B$5:$AB$22,18,FALSE),(VLOOKUP(R69,'Steel grades'!$B$5:$AB$22,18,FALSE)-VLOOKUP(R69,'Steel grades'!$B$5:$AB$22,11,FALSE))/(0.5-0.75)*(P69-0.75)+VLOOKUP(R69,'Steel grades'!$B$5:$AB$22,11,FALSE))),IF(P69&gt;0.75,"Redesign",IF(P69&lt;0.5,VLOOKUP(R69,'Steel grades'!$B$5:$AB$22,26,FALSE),(VLOOKUP(R69,'Steel grades'!$B$5:$AB$22,26,FALSE)-VLOOKUP(R69,'Steel grades'!$B$5:$AB$22,24,FALSE))/(0.5-0.75)*(P69-0.75)+VLOOKUP(R69,'Steel grades'!$B$5:$AB$22,24,FALSE)))))</f>
        <v>145</v>
      </c>
      <c r="R69" s="3" t="str">
        <f>Geometry!M34</f>
        <v>S355 NL/ML</v>
      </c>
      <c r="T69" s="3">
        <f>Geometry_loads!L25</f>
        <v>-36785.86</v>
      </c>
      <c r="U69" s="3">
        <f>Geometry_loads!M25</f>
        <v>-46396.94</v>
      </c>
      <c r="V69" s="3">
        <f>Geometry_loads!N25</f>
        <v>767033.20000000007</v>
      </c>
      <c r="W69" s="3">
        <f>Geometry_loads!O25</f>
        <v>13411.9</v>
      </c>
      <c r="X69" s="3">
        <f t="shared" ref="X69:Y69" si="89">X41</f>
        <v>0</v>
      </c>
      <c r="Y69" s="120">
        <f t="shared" si="89"/>
        <v>0</v>
      </c>
      <c r="Z69" s="224">
        <f t="shared" si="55"/>
        <v>2.5477351951668572</v>
      </c>
      <c r="AA69" s="224">
        <f t="shared" si="56"/>
        <v>5.4961417237276367</v>
      </c>
      <c r="AB69" s="224">
        <f t="shared" si="57"/>
        <v>4.3600500000000002</v>
      </c>
      <c r="AC69" s="120">
        <f t="shared" si="58"/>
        <v>93</v>
      </c>
      <c r="AD69" s="224">
        <f t="shared" si="59"/>
        <v>118.40206628611496</v>
      </c>
      <c r="AE69" s="224">
        <f t="shared" si="60"/>
        <v>0.39905374031110974</v>
      </c>
      <c r="AF69" s="224">
        <f t="shared" si="61"/>
        <v>0.39676572520439118</v>
      </c>
      <c r="AG69" s="224">
        <f t="shared" si="62"/>
        <v>0.29053452420948134</v>
      </c>
      <c r="AH69" s="224">
        <f t="shared" si="63"/>
        <v>0.90769747939999057</v>
      </c>
      <c r="AI69" s="224">
        <f t="shared" si="64"/>
        <v>37.914055571919199</v>
      </c>
      <c r="AJ69" s="224">
        <f t="shared" si="65"/>
        <v>2.8824060172580026</v>
      </c>
      <c r="AK69" s="224">
        <f t="shared" si="66"/>
        <v>6.0181040590347942E-2</v>
      </c>
      <c r="AL69" s="224">
        <f t="shared" si="67"/>
        <v>0.69291091036524277</v>
      </c>
      <c r="AM69" s="224">
        <f t="shared" si="68"/>
        <v>1</v>
      </c>
      <c r="AN69" s="224">
        <f t="shared" si="69"/>
        <v>2.6645352591003757E-15</v>
      </c>
      <c r="AO69" s="224">
        <f t="shared" si="70"/>
        <v>2.6645352591003757E-15</v>
      </c>
      <c r="AP69" s="224">
        <f t="shared" si="71"/>
        <v>152.54015313228922</v>
      </c>
      <c r="AQ69" s="224">
        <f t="shared" si="72"/>
        <v>5.859656259365466E-14</v>
      </c>
      <c r="AR69" s="224">
        <f t="shared" si="73"/>
        <v>8.5914987429738208</v>
      </c>
      <c r="AS69" s="224">
        <f t="shared" si="74"/>
        <v>0.58184321726539934</v>
      </c>
      <c r="AT69" s="224">
        <f t="shared" si="75"/>
        <v>152.54015313228928</v>
      </c>
      <c r="AU69" s="224">
        <f t="shared" si="76"/>
        <v>0.49845172936003479</v>
      </c>
      <c r="AV69" s="224">
        <f t="shared" si="77"/>
        <v>0.53267989982704189</v>
      </c>
      <c r="AW69" s="224">
        <f t="shared" si="78"/>
        <v>3.4093248980054842E-2</v>
      </c>
      <c r="AX69" s="224">
        <f t="shared" si="79"/>
        <v>0.58184321726539956</v>
      </c>
    </row>
    <row r="70" spans="3:50">
      <c r="C70" s="12" t="str">
        <f t="shared" si="43"/>
        <v>Can8</v>
      </c>
      <c r="D70" s="2">
        <f t="shared" si="44"/>
        <v>-25.7</v>
      </c>
      <c r="E70" s="3">
        <f t="shared" ref="E70:F70" si="90">G13</f>
        <v>9.1414000000000009</v>
      </c>
      <c r="F70" s="120">
        <f t="shared" si="90"/>
        <v>93</v>
      </c>
      <c r="G70" s="120">
        <f t="shared" si="46"/>
        <v>149.09694517279803</v>
      </c>
      <c r="H70" s="120">
        <f t="shared" si="47"/>
        <v>14.753094309032019</v>
      </c>
      <c r="I70" s="120">
        <f t="shared" si="48"/>
        <v>8.9149570791532255</v>
      </c>
      <c r="J70" s="120">
        <f>VLOOKUP(R70,'Steel grades'!$B$5:$J$22,IF(F70&gt;200,10,IF(F70&gt;150,9,IF(F70&gt;120,8,IF(F70&gt;100,7,IF(F70&gt;80,6,IF(F70&gt;63,5,IF(F70&gt;40,4,IF(F70&gt;16,3,2)))))))),FALSE)</f>
        <v>315</v>
      </c>
      <c r="K70" s="3">
        <f t="shared" si="49"/>
        <v>259.09530949778809</v>
      </c>
      <c r="L70" s="3">
        <f t="shared" si="50"/>
        <v>17.220927356459651</v>
      </c>
      <c r="M70" s="3">
        <f t="shared" si="51"/>
        <v>113.07554306527612</v>
      </c>
      <c r="N70" s="3">
        <f t="shared" si="52"/>
        <v>0.78985526322611144</v>
      </c>
      <c r="O70" s="3">
        <f t="shared" si="53"/>
        <v>0.48809013688320979</v>
      </c>
      <c r="P70" s="3">
        <f>(ABS(Geometry_loads!S26)/Z70+ABS(Geometry_loads!T26)/AA70)/(1000*J70)</f>
        <v>0.3594625218989862</v>
      </c>
      <c r="Q70" s="22">
        <f>IF(D70&gt;=$R$14,IF(P70&gt;0.75,"Redesign",IF(P70&lt;0.5,VLOOKUP(R70,'Steel grades'!$B$5:$AB$22,27,FALSE),(VLOOKUP(R70,'Steel grades'!$B$5:$AB$22,27,FALSE)-VLOOKUP(R70,'Steel grades'!$B$5:$AB$22,25,FALSE))/(0.5-0.75)*(P70-0.75)+VLOOKUP(R70,'Steel grades'!$B$5:$AB$22,25,FALSE))),IF(D70&lt;$R$2,IF(P70&gt;0.75,"Redesign",IF(P70&lt;0.5,VLOOKUP(R70,'Steel grades'!$B$5:$AB$22,18,FALSE),(VLOOKUP(R70,'Steel grades'!$B$5:$AB$22,18,FALSE)-VLOOKUP(R70,'Steel grades'!$B$5:$AB$22,11,FALSE))/(0.5-0.75)*(P70-0.75)+VLOOKUP(R70,'Steel grades'!$B$5:$AB$22,11,FALSE))),IF(P70&gt;0.75,"Redesign",IF(P70&lt;0.5,VLOOKUP(R70,'Steel grades'!$B$5:$AB$22,26,FALSE),(VLOOKUP(R70,'Steel grades'!$B$5:$AB$22,26,FALSE)-VLOOKUP(R70,'Steel grades'!$B$5:$AB$22,24,FALSE))/(0.5-0.75)*(P70-0.75)+VLOOKUP(R70,'Steel grades'!$B$5:$AB$22,24,FALSE)))))</f>
        <v>145</v>
      </c>
      <c r="R70" s="3" t="str">
        <f>Geometry!M35</f>
        <v>S355 NL/ML</v>
      </c>
      <c r="T70" s="3">
        <f>Geometry_loads!L26</f>
        <v>-38136.42</v>
      </c>
      <c r="U70" s="3">
        <f>Geometry_loads!M26</f>
        <v>-46402.080000000002</v>
      </c>
      <c r="V70" s="3">
        <f>Geometry_loads!N26</f>
        <v>805362.6</v>
      </c>
      <c r="W70" s="3">
        <f>Geometry_loads!O26</f>
        <v>14372.83</v>
      </c>
      <c r="X70" s="3">
        <f t="shared" ref="X70:Y70" si="91">X42</f>
        <v>0</v>
      </c>
      <c r="Y70" s="120">
        <f t="shared" si="91"/>
        <v>0</v>
      </c>
      <c r="Z70" s="224">
        <f t="shared" si="55"/>
        <v>2.6436539879069945</v>
      </c>
      <c r="AA70" s="224">
        <f t="shared" si="56"/>
        <v>5.9199953578269868</v>
      </c>
      <c r="AB70" s="224">
        <f t="shared" si="57"/>
        <v>4.5242000000000004</v>
      </c>
      <c r="AC70" s="120">
        <f t="shared" si="58"/>
        <v>93</v>
      </c>
      <c r="AD70" s="224">
        <f t="shared" si="59"/>
        <v>116.25650805864096</v>
      </c>
      <c r="AE70" s="224">
        <f t="shared" si="60"/>
        <v>0.40154863955235026</v>
      </c>
      <c r="AF70" s="224">
        <f t="shared" si="61"/>
        <v>0.39295041457080082</v>
      </c>
      <c r="AG70" s="224">
        <f t="shared" si="62"/>
        <v>0.29032465267585117</v>
      </c>
      <c r="AH70" s="224">
        <f t="shared" si="63"/>
        <v>0.90477727126211727</v>
      </c>
      <c r="AI70" s="224">
        <f t="shared" si="64"/>
        <v>37.886040184211247</v>
      </c>
      <c r="AJ70" s="224">
        <f t="shared" si="65"/>
        <v>2.883471539003855</v>
      </c>
      <c r="AK70" s="224">
        <f t="shared" si="66"/>
        <v>6.0136571720970214E-2</v>
      </c>
      <c r="AL70" s="224">
        <f t="shared" si="67"/>
        <v>0.68392966428809832</v>
      </c>
      <c r="AM70" s="224">
        <f t="shared" si="68"/>
        <v>1</v>
      </c>
      <c r="AN70" s="224">
        <f t="shared" si="69"/>
        <v>1.5543122344752192E-14</v>
      </c>
      <c r="AO70" s="224">
        <f t="shared" si="70"/>
        <v>1.5543122344752192E-14</v>
      </c>
      <c r="AP70" s="224">
        <f t="shared" si="71"/>
        <v>149.09694517279803</v>
      </c>
      <c r="AQ70" s="224">
        <f t="shared" si="72"/>
        <v>3.4026361269344517E-13</v>
      </c>
      <c r="AR70" s="224">
        <f t="shared" si="73"/>
        <v>8.9149570791534067</v>
      </c>
      <c r="AS70" s="224">
        <f t="shared" si="74"/>
        <v>0.57011332986214869</v>
      </c>
      <c r="AT70" s="224">
        <f t="shared" si="75"/>
        <v>149.09694517279837</v>
      </c>
      <c r="AU70" s="224">
        <f t="shared" si="76"/>
        <v>0.48809013688320979</v>
      </c>
      <c r="AV70" s="224">
        <f t="shared" si="77"/>
        <v>0.52065599901612136</v>
      </c>
      <c r="AW70" s="224">
        <f t="shared" si="78"/>
        <v>3.5376813806164316E-2</v>
      </c>
      <c r="AX70" s="224">
        <f t="shared" si="79"/>
        <v>0.57011332986215002</v>
      </c>
    </row>
    <row r="71" spans="3:50">
      <c r="C71" s="12" t="str">
        <f t="shared" si="43"/>
        <v>Can9</v>
      </c>
      <c r="D71" s="2">
        <f t="shared" si="44"/>
        <v>-29.6</v>
      </c>
      <c r="E71" s="3">
        <f t="shared" ref="E71:F71" si="92">G14</f>
        <v>9.4696999999999996</v>
      </c>
      <c r="F71" s="120">
        <f t="shared" si="92"/>
        <v>93</v>
      </c>
      <c r="G71" s="120">
        <f t="shared" si="46"/>
        <v>146.18488636158085</v>
      </c>
      <c r="H71" s="120">
        <f t="shared" si="47"/>
        <v>14.831396606931923</v>
      </c>
      <c r="I71" s="120">
        <f t="shared" si="48"/>
        <v>9.2384154153326605</v>
      </c>
      <c r="J71" s="120">
        <f>VLOOKUP(R71,'Steel grades'!$B$5:$J$22,IF(F71&gt;200,10,IF(F71&gt;150,9,IF(F71&gt;120,8,IF(F71&gt;100,7,IF(F71&gt;80,6,IF(F71&gt;63,5,IF(F71&gt;40,4,IF(F71&gt;16,3,2)))))))),FALSE)</f>
        <v>315</v>
      </c>
      <c r="K71" s="3">
        <f t="shared" si="49"/>
        <v>258.18568269610796</v>
      </c>
      <c r="L71" s="3">
        <f t="shared" si="50"/>
        <v>17.391853679941207</v>
      </c>
      <c r="M71" s="3">
        <f t="shared" si="51"/>
        <v>111.62406676875769</v>
      </c>
      <c r="N71" s="3">
        <f t="shared" si="52"/>
        <v>0.79482911128973088</v>
      </c>
      <c r="O71" s="3">
        <f t="shared" si="53"/>
        <v>0.48072630784020282</v>
      </c>
      <c r="P71" s="3">
        <f>(ABS(Geometry_loads!S27)/Z71+ABS(Geometry_loads!T27)/AA71)/(1000*J71)</f>
        <v>0.35242065330460115</v>
      </c>
      <c r="Q71" s="22">
        <f>IF(D71&gt;=$R$14,IF(P71&gt;0.75,"Redesign",IF(P71&lt;0.5,VLOOKUP(R71,'Steel grades'!$B$5:$AB$22,27,FALSE),(VLOOKUP(R71,'Steel grades'!$B$5:$AB$22,27,FALSE)-VLOOKUP(R71,'Steel grades'!$B$5:$AB$22,25,FALSE))/(0.5-0.75)*(P71-0.75)+VLOOKUP(R71,'Steel grades'!$B$5:$AB$22,25,FALSE))),IF(D71&lt;$R$2,IF(P71&gt;0.75,"Redesign",IF(P71&lt;0.5,VLOOKUP(R71,'Steel grades'!$B$5:$AB$22,18,FALSE),(VLOOKUP(R71,'Steel grades'!$B$5:$AB$22,18,FALSE)-VLOOKUP(R71,'Steel grades'!$B$5:$AB$22,11,FALSE))/(0.5-0.75)*(P71-0.75)+VLOOKUP(R71,'Steel grades'!$B$5:$AB$22,11,FALSE))),IF(P71&gt;0.75,"Redesign",IF(P71&lt;0.5,VLOOKUP(R71,'Steel grades'!$B$5:$AB$22,26,FALSE),(VLOOKUP(R71,'Steel grades'!$B$5:$AB$22,26,FALSE)-VLOOKUP(R71,'Steel grades'!$B$5:$AB$22,24,FALSE))/(0.5-0.75)*(P71-0.75)+VLOOKUP(R71,'Steel grades'!$B$5:$AB$22,24,FALSE)))))</f>
        <v>145</v>
      </c>
      <c r="R71" s="3" t="str">
        <f>Geometry!M36</f>
        <v>S355 NL/ML</v>
      </c>
      <c r="T71" s="3">
        <f>Geometry_loads!L27</f>
        <v>-39544.53</v>
      </c>
      <c r="U71" s="3">
        <f>Geometry_loads!M27</f>
        <v>-46406.65</v>
      </c>
      <c r="V71" s="3">
        <f>Geometry_loads!N27</f>
        <v>846105.59999999998</v>
      </c>
      <c r="W71" s="3">
        <f>Geometry_loads!O27</f>
        <v>15366.7</v>
      </c>
      <c r="X71" s="3">
        <f t="shared" ref="X71:Y71" si="93">X43</f>
        <v>0</v>
      </c>
      <c r="Y71" s="120">
        <f t="shared" si="93"/>
        <v>0</v>
      </c>
      <c r="Z71" s="224">
        <f t="shared" si="55"/>
        <v>2.7395727806471317</v>
      </c>
      <c r="AA71" s="224">
        <f t="shared" si="56"/>
        <v>6.3595940285540369</v>
      </c>
      <c r="AB71" s="224">
        <f t="shared" si="57"/>
        <v>4.6883499999999998</v>
      </c>
      <c r="AC71" s="120">
        <f t="shared" si="58"/>
        <v>93</v>
      </c>
      <c r="AD71" s="224">
        <f t="shared" si="59"/>
        <v>114.2235148787876</v>
      </c>
      <c r="AE71" s="224">
        <f t="shared" si="60"/>
        <v>0.40432451658758162</v>
      </c>
      <c r="AF71" s="224">
        <f t="shared" si="61"/>
        <v>0.38924526344507621</v>
      </c>
      <c r="AG71" s="224">
        <f t="shared" si="62"/>
        <v>0.29012581860728154</v>
      </c>
      <c r="AH71" s="224">
        <f t="shared" si="63"/>
        <v>0.90160079671656757</v>
      </c>
      <c r="AI71" s="224">
        <f t="shared" si="64"/>
        <v>38.262078095870656</v>
      </c>
      <c r="AJ71" s="224">
        <f t="shared" si="65"/>
        <v>2.8692672414144695</v>
      </c>
      <c r="AK71" s="224">
        <f t="shared" si="66"/>
        <v>6.0733457295032788E-2</v>
      </c>
      <c r="AL71" s="224">
        <f t="shared" si="67"/>
        <v>0.6751505094922029</v>
      </c>
      <c r="AM71" s="224">
        <f t="shared" si="68"/>
        <v>1</v>
      </c>
      <c r="AN71" s="224">
        <f t="shared" si="69"/>
        <v>1.4665087042359026E-2</v>
      </c>
      <c r="AO71" s="224">
        <f t="shared" si="70"/>
        <v>1.4665087042359026E-2</v>
      </c>
      <c r="AP71" s="224">
        <f t="shared" si="71"/>
        <v>146.18489105975166</v>
      </c>
      <c r="AQ71" s="224">
        <f t="shared" si="72"/>
        <v>0.32037408651625482</v>
      </c>
      <c r="AR71" s="224">
        <f t="shared" si="73"/>
        <v>9.4083194321517283</v>
      </c>
      <c r="AS71" s="224">
        <f t="shared" si="74"/>
        <v>0.56036143214158862</v>
      </c>
      <c r="AT71" s="224">
        <f t="shared" si="75"/>
        <v>146.50526514626793</v>
      </c>
      <c r="AU71" s="224">
        <f t="shared" si="76"/>
        <v>0.48072630784020282</v>
      </c>
      <c r="AV71" s="224">
        <f t="shared" si="77"/>
        <v>0.51160568781236426</v>
      </c>
      <c r="AW71" s="224">
        <f t="shared" si="78"/>
        <v>3.733460092123702E-2</v>
      </c>
      <c r="AX71" s="224">
        <f t="shared" si="79"/>
        <v>0.561589502160589</v>
      </c>
    </row>
    <row r="72" spans="3:50">
      <c r="C72" s="12" t="str">
        <f t="shared" si="43"/>
        <v>Can10</v>
      </c>
      <c r="D72" s="2">
        <f t="shared" si="44"/>
        <v>-33.5</v>
      </c>
      <c r="E72" s="3">
        <f t="shared" ref="E72:F72" si="94">G15</f>
        <v>9.8000000000000007</v>
      </c>
      <c r="F72" s="120">
        <f t="shared" si="94"/>
        <v>93</v>
      </c>
      <c r="G72" s="120">
        <f t="shared" si="46"/>
        <v>143.76767931715551</v>
      </c>
      <c r="H72" s="120">
        <f t="shared" si="47"/>
        <v>14.917254811783481</v>
      </c>
      <c r="I72" s="120">
        <f t="shared" si="48"/>
        <v>9.5638442561491956</v>
      </c>
      <c r="J72" s="120">
        <f>VLOOKUP(R72,'Steel grades'!$B$5:$J$22,IF(F72&gt;200,10,IF(F72&gt;150,9,IF(F72&gt;120,8,IF(F72&gt;100,7,IF(F72&gt;80,6,IF(F72&gt;63,5,IF(F72&gt;40,4,IF(F72&gt;16,3,2)))))))),FALSE)</f>
        <v>315</v>
      </c>
      <c r="K72" s="3">
        <f t="shared" si="49"/>
        <v>257.21022088942169</v>
      </c>
      <c r="L72" s="3">
        <f t="shared" si="50"/>
        <v>17.744481235798869</v>
      </c>
      <c r="M72" s="3">
        <f t="shared" si="51"/>
        <v>110.19555838403065</v>
      </c>
      <c r="N72" s="3">
        <f t="shared" si="52"/>
        <v>0.79606251052264154</v>
      </c>
      <c r="O72" s="3">
        <f t="shared" si="53"/>
        <v>0.69276495608250788</v>
      </c>
      <c r="P72" s="3">
        <f>(ABS(Geometry_loads!S28)/Z72+ABS(Geometry_loads!T28)/AA72)/(1000*J72)</f>
        <v>0.34659048230719175</v>
      </c>
      <c r="Q72" s="22">
        <f>IF(D72&gt;=$R$14,IF(P72&gt;0.75,"Redesign",IF(P72&lt;0.5,VLOOKUP(R72,'Steel grades'!$B$5:$AB$22,27,FALSE),(VLOOKUP(R72,'Steel grades'!$B$5:$AB$22,27,FALSE)-VLOOKUP(R72,'Steel grades'!$B$5:$AB$22,25,FALSE))/(0.5-0.75)*(P72-0.75)+VLOOKUP(R72,'Steel grades'!$B$5:$AB$22,25,FALSE))),IF(D72&lt;$R$2,IF(P72&gt;0.75,"Redesign",IF(P72&lt;0.5,VLOOKUP(R72,'Steel grades'!$B$5:$AB$22,18,FALSE),(VLOOKUP(R72,'Steel grades'!$B$5:$AB$22,18,FALSE)-VLOOKUP(R72,'Steel grades'!$B$5:$AB$22,11,FALSE))/(0.5-0.75)*(P72-0.75)+VLOOKUP(R72,'Steel grades'!$B$5:$AB$22,11,FALSE))),IF(P72&gt;0.75,"Redesign",IF(P72&lt;0.5,VLOOKUP(R72,'Steel grades'!$B$5:$AB$22,26,FALSE),(VLOOKUP(R72,'Steel grades'!$B$5:$AB$22,26,FALSE)-VLOOKUP(R72,'Steel grades'!$B$5:$AB$22,24,FALSE))/(0.5-0.75)*(P72-0.75)+VLOOKUP(R72,'Steel grades'!$B$5:$AB$22,24,FALSE)))))</f>
        <v>145</v>
      </c>
      <c r="R72" s="3" t="str">
        <f>Geometry!M37</f>
        <v>S355 NL/ML</v>
      </c>
      <c r="T72" s="3">
        <f>Geometry_loads!L28</f>
        <v>-41010.39</v>
      </c>
      <c r="U72" s="3">
        <f>Geometry_loads!M28</f>
        <v>-46410.559999999998</v>
      </c>
      <c r="V72" s="3">
        <f>Geometry_loads!N28</f>
        <v>889951.5</v>
      </c>
      <c r="W72" s="3">
        <f>Geometry_loads!O28</f>
        <v>16372.09</v>
      </c>
      <c r="X72" s="3">
        <f t="shared" ref="X72:Y72" si="95">X44</f>
        <v>0</v>
      </c>
      <c r="Y72" s="120">
        <f t="shared" si="95"/>
        <v>0</v>
      </c>
      <c r="Z72" s="224">
        <f t="shared" si="55"/>
        <v>2.8360759096208459</v>
      </c>
      <c r="AA72" s="224">
        <f t="shared" si="56"/>
        <v>6.8177599396176953</v>
      </c>
      <c r="AB72" s="224">
        <f t="shared" si="57"/>
        <v>4.8535000000000004</v>
      </c>
      <c r="AC72" s="120">
        <f t="shared" si="58"/>
        <v>93</v>
      </c>
      <c r="AD72" s="224">
        <f t="shared" si="59"/>
        <v>112.28211707845306</v>
      </c>
      <c r="AE72" s="224">
        <f t="shared" si="60"/>
        <v>0.4073444903532501</v>
      </c>
      <c r="AF72" s="224">
        <f t="shared" si="61"/>
        <v>0.38562285511731564</v>
      </c>
      <c r="AG72" s="224">
        <f t="shared" si="62"/>
        <v>0.28994192693789217</v>
      </c>
      <c r="AH72" s="224">
        <f t="shared" si="63"/>
        <v>0.89819442215353629</v>
      </c>
      <c r="AI72" s="224">
        <f t="shared" si="64"/>
        <v>39.037858718757519</v>
      </c>
      <c r="AJ72" s="224">
        <f t="shared" si="65"/>
        <v>2.8406143908678185</v>
      </c>
      <c r="AK72" s="224">
        <f t="shared" si="66"/>
        <v>6.1964855109138912E-2</v>
      </c>
      <c r="AL72" s="224">
        <f t="shared" si="67"/>
        <v>0.66651027453498413</v>
      </c>
      <c r="AM72" s="224">
        <f t="shared" si="68"/>
        <v>1</v>
      </c>
      <c r="AN72" s="224">
        <f t="shared" si="69"/>
        <v>2.4248072009611419</v>
      </c>
      <c r="AO72" s="224">
        <f t="shared" si="70"/>
        <v>2.4248072009611419</v>
      </c>
      <c r="AP72" s="224">
        <f t="shared" si="71"/>
        <v>143.89417880022214</v>
      </c>
      <c r="AQ72" s="224">
        <f t="shared" si="72"/>
        <v>53.02895211136034</v>
      </c>
      <c r="AR72" s="224">
        <f t="shared" si="73"/>
        <v>37.68669298401889</v>
      </c>
      <c r="AS72" s="224">
        <f t="shared" si="74"/>
        <v>0.5529571692790094</v>
      </c>
      <c r="AT72" s="224">
        <f t="shared" si="75"/>
        <v>196.92313091158246</v>
      </c>
      <c r="AU72" s="224">
        <f t="shared" si="76"/>
        <v>0.69276495608250788</v>
      </c>
      <c r="AV72" s="224">
        <f t="shared" si="77"/>
        <v>0.68766807619917691</v>
      </c>
      <c r="AW72" s="224">
        <f t="shared" si="78"/>
        <v>0.14955036898420196</v>
      </c>
      <c r="AX72" s="224">
        <f t="shared" si="79"/>
        <v>0.75673705456568707</v>
      </c>
    </row>
    <row r="73" spans="3:50">
      <c r="C73" s="12" t="str">
        <f t="shared" si="43"/>
        <v>Can11</v>
      </c>
      <c r="D73" s="2">
        <f t="shared" si="44"/>
        <v>-36.799999999999997</v>
      </c>
      <c r="E73" s="3">
        <f t="shared" ref="E73:F73" si="96">G16</f>
        <v>9.8000000000000007</v>
      </c>
      <c r="F73" s="120">
        <f t="shared" si="96"/>
        <v>93</v>
      </c>
      <c r="G73" s="120">
        <f t="shared" si="46"/>
        <v>150.70273968084592</v>
      </c>
      <c r="H73" s="120">
        <f t="shared" si="47"/>
        <v>15.522093615593034</v>
      </c>
      <c r="I73" s="120">
        <f t="shared" si="48"/>
        <v>9.5638442561491956</v>
      </c>
      <c r="J73" s="120">
        <f>VLOOKUP(R73,'Steel grades'!$B$5:$J$22,IF(F73&gt;200,10,IF(F73&gt;150,9,IF(F73&gt;120,8,IF(F73&gt;100,7,IF(F73&gt;80,6,IF(F73&gt;63,5,IF(F73&gt;40,4,IF(F73&gt;16,3,2)))))))),FALSE)</f>
        <v>315</v>
      </c>
      <c r="K73" s="3">
        <f t="shared" si="49"/>
        <v>217.63218821962317</v>
      </c>
      <c r="L73" s="3">
        <f t="shared" si="50"/>
        <v>17.744481235798869</v>
      </c>
      <c r="M73" s="3">
        <f t="shared" si="51"/>
        <v>110.19555838403065</v>
      </c>
      <c r="N73" s="3">
        <f t="shared" si="52"/>
        <v>0.96407421779317182</v>
      </c>
      <c r="O73" s="3">
        <f t="shared" si="53"/>
        <v>0.47177093552608068</v>
      </c>
      <c r="P73" s="3">
        <f>(ABS(Geometry_loads!S29)/Z73+ABS(Geometry_loads!T29)/AA73)/(1000*J73)</f>
        <v>0.36340689397301523</v>
      </c>
      <c r="Q73" s="22">
        <f>IF(D73&gt;=$R$14,IF(P73&gt;0.75,"Redesign",IF(P73&lt;0.5,VLOOKUP(R73,'Steel grades'!$B$5:$AB$22,27,FALSE),(VLOOKUP(R73,'Steel grades'!$B$5:$AB$22,27,FALSE)-VLOOKUP(R73,'Steel grades'!$B$5:$AB$22,25,FALSE))/(0.5-0.75)*(P73-0.75)+VLOOKUP(R73,'Steel grades'!$B$5:$AB$22,25,FALSE))),IF(D73&lt;$R$2,IF(P73&gt;0.75,"Redesign",IF(P73&lt;0.5,VLOOKUP(R73,'Steel grades'!$B$5:$AB$22,18,FALSE),(VLOOKUP(R73,'Steel grades'!$B$5:$AB$22,18,FALSE)-VLOOKUP(R73,'Steel grades'!$B$5:$AB$22,11,FALSE))/(0.5-0.75)*(P73-0.75)+VLOOKUP(R73,'Steel grades'!$B$5:$AB$22,11,FALSE))),IF(P73&gt;0.75,"Redesign",IF(P73&lt;0.5,VLOOKUP(R73,'Steel grades'!$B$5:$AB$22,26,FALSE),(VLOOKUP(R73,'Steel grades'!$B$5:$AB$22,26,FALSE)-VLOOKUP(R73,'Steel grades'!$B$5:$AB$22,24,FALSE))/(0.5-0.75)*(P73-0.75)+VLOOKUP(R73,'Steel grades'!$B$5:$AB$22,24,FALSE)))))</f>
        <v>145</v>
      </c>
      <c r="R73" s="3" t="str">
        <f>Geometry!M38</f>
        <v>S355 NL/ML</v>
      </c>
      <c r="T73" s="3">
        <f>Geometry_loads!L29</f>
        <v>-42196.418461538458</v>
      </c>
      <c r="U73" s="3">
        <f>Geometry_loads!M29</f>
        <v>-46413.081538461542</v>
      </c>
      <c r="V73" s="3">
        <f>Geometry_loads!N29</f>
        <v>934803.4923076923</v>
      </c>
      <c r="W73" s="3">
        <f>Geometry_loads!O29</f>
        <v>17229.514615384614</v>
      </c>
      <c r="X73" s="3">
        <f t="shared" ref="X73:Y73" si="97">X45</f>
        <v>0</v>
      </c>
      <c r="Y73" s="120">
        <f t="shared" si="97"/>
        <v>0</v>
      </c>
      <c r="Z73" s="224">
        <f t="shared" si="55"/>
        <v>2.8360759096208459</v>
      </c>
      <c r="AA73" s="224">
        <f t="shared" si="56"/>
        <v>6.8177599396176953</v>
      </c>
      <c r="AB73" s="224">
        <f t="shared" si="57"/>
        <v>4.8535000000000004</v>
      </c>
      <c r="AC73" s="120">
        <f t="shared" si="58"/>
        <v>93</v>
      </c>
      <c r="AD73" s="224">
        <f t="shared" si="59"/>
        <v>112.28211707845306</v>
      </c>
      <c r="AE73" s="224">
        <f t="shared" si="60"/>
        <v>0.4073444903532501</v>
      </c>
      <c r="AF73" s="224">
        <f t="shared" si="61"/>
        <v>0.38562285511731564</v>
      </c>
      <c r="AG73" s="224">
        <f t="shared" si="62"/>
        <v>0.29012728518438541</v>
      </c>
      <c r="AH73" s="224">
        <f t="shared" si="63"/>
        <v>0.89832791865205264</v>
      </c>
      <c r="AI73" s="224">
        <f t="shared" si="64"/>
        <v>39.037858718757519</v>
      </c>
      <c r="AJ73" s="224">
        <f t="shared" si="65"/>
        <v>2.8406143908678185</v>
      </c>
      <c r="AK73" s="224">
        <f t="shared" si="66"/>
        <v>6.1964855109138912E-2</v>
      </c>
      <c r="AL73" s="224">
        <f t="shared" si="67"/>
        <v>0.66651027453498413</v>
      </c>
      <c r="AM73" s="224">
        <f t="shared" si="68"/>
        <v>0.84599999999999997</v>
      </c>
      <c r="AN73" s="224">
        <f t="shared" si="69"/>
        <v>0</v>
      </c>
      <c r="AO73" s="224">
        <f t="shared" si="70"/>
        <v>0</v>
      </c>
      <c r="AP73" s="224">
        <f t="shared" si="71"/>
        <v>150.70273968084589</v>
      </c>
      <c r="AQ73" s="224">
        <f t="shared" si="72"/>
        <v>0</v>
      </c>
      <c r="AR73" s="224">
        <f t="shared" si="73"/>
        <v>0</v>
      </c>
      <c r="AS73" s="224">
        <f t="shared" si="74"/>
        <v>0</v>
      </c>
      <c r="AT73" s="224">
        <f t="shared" si="75"/>
        <v>0</v>
      </c>
      <c r="AU73" s="224">
        <f t="shared" si="76"/>
        <v>0</v>
      </c>
      <c r="AV73" s="224">
        <f t="shared" si="77"/>
        <v>0</v>
      </c>
      <c r="AW73" s="224">
        <f t="shared" si="78"/>
        <v>0</v>
      </c>
      <c r="AX73" s="224">
        <f t="shared" si="79"/>
        <v>0</v>
      </c>
    </row>
    <row r="74" spans="3:50">
      <c r="C74" s="12" t="str">
        <f t="shared" si="43"/>
        <v>Can12</v>
      </c>
      <c r="D74" s="2">
        <f t="shared" si="44"/>
        <v>-40.200000000000003</v>
      </c>
      <c r="E74" s="3">
        <f t="shared" ref="E74:F74" si="98">G17</f>
        <v>9.8000000000000007</v>
      </c>
      <c r="F74" s="120">
        <f t="shared" si="98"/>
        <v>93</v>
      </c>
      <c r="G74" s="120">
        <f t="shared" si="46"/>
        <v>158.31112049799017</v>
      </c>
      <c r="H74" s="120">
        <f t="shared" si="47"/>
        <v>16.119094482547876</v>
      </c>
      <c r="I74" s="120">
        <f t="shared" si="48"/>
        <v>9.5638442561491956</v>
      </c>
      <c r="J74" s="120">
        <f>VLOOKUP(R74,'Steel grades'!$B$5:$J$22,IF(F74&gt;200,10,IF(F74&gt;150,9,IF(F74&gt;120,8,IF(F74&gt;100,7,IF(F74&gt;80,6,IF(F74&gt;63,5,IF(F74&gt;40,4,IF(F74&gt;16,3,2)))))))),FALSE)</f>
        <v>315</v>
      </c>
      <c r="K74" s="3">
        <f t="shared" si="49"/>
        <v>257.32334568331714</v>
      </c>
      <c r="L74" s="3">
        <f t="shared" si="50"/>
        <v>17.744481235798869</v>
      </c>
      <c r="M74" s="3">
        <f t="shared" si="51"/>
        <v>110.19555838403065</v>
      </c>
      <c r="N74" s="3">
        <f t="shared" si="52"/>
        <v>0.86556425223743383</v>
      </c>
      <c r="O74" s="3">
        <f t="shared" si="53"/>
        <v>0.49608485516968237</v>
      </c>
      <c r="P74" s="3">
        <f>(ABS(Geometry_loads!S30)/Z74+ABS(Geometry_loads!T30)/AA74)/(1000*J74)</f>
        <v>0.38186814400285751</v>
      </c>
      <c r="Q74" s="22">
        <f>IF(D74&gt;=$R$14,IF(P74&gt;0.75,"Redesign",IF(P74&lt;0.5,VLOOKUP(R74,'Steel grades'!$B$5:$AB$22,27,FALSE),(VLOOKUP(R74,'Steel grades'!$B$5:$AB$22,27,FALSE)-VLOOKUP(R74,'Steel grades'!$B$5:$AB$22,25,FALSE))/(0.5-0.75)*(P74-0.75)+VLOOKUP(R74,'Steel grades'!$B$5:$AB$22,25,FALSE))),IF(D74&lt;$R$2,IF(P74&gt;0.75,"Redesign",IF(P74&lt;0.5,VLOOKUP(R74,'Steel grades'!$B$5:$AB$22,18,FALSE),(VLOOKUP(R74,'Steel grades'!$B$5:$AB$22,18,FALSE)-VLOOKUP(R74,'Steel grades'!$B$5:$AB$22,11,FALSE))/(0.5-0.75)*(P74-0.75)+VLOOKUP(R74,'Steel grades'!$B$5:$AB$22,11,FALSE))),IF(P74&gt;0.75,"Redesign",IF(P74&lt;0.5,VLOOKUP(R74,'Steel grades'!$B$5:$AB$22,26,FALSE),(VLOOKUP(R74,'Steel grades'!$B$5:$AB$22,26,FALSE)-VLOOKUP(R74,'Steel grades'!$B$5:$AB$22,24,FALSE))/(0.5-0.75)*(P74-0.75)+VLOOKUP(R74,'Steel grades'!$B$5:$AB$22,24,FALSE)))))</f>
        <v>145</v>
      </c>
      <c r="R74" s="3" t="str">
        <f>Geometry!M39</f>
        <v>S355 NL/ML</v>
      </c>
      <c r="T74" s="3">
        <f>Geometry_loads!L30</f>
        <v>-42697.566666666666</v>
      </c>
      <c r="U74" s="3">
        <f>Geometry_loads!M30</f>
        <v>-46414.76051282051</v>
      </c>
      <c r="V74" s="3">
        <f>Geometry_loads!N30</f>
        <v>985951.61025641044</v>
      </c>
      <c r="W74" s="3">
        <f>Geometry_loads!O30</f>
        <v>18075.91153846154</v>
      </c>
      <c r="X74" s="3">
        <f t="shared" ref="X74:Y74" si="99">X46</f>
        <v>0</v>
      </c>
      <c r="Y74" s="120">
        <f t="shared" si="99"/>
        <v>0</v>
      </c>
      <c r="Z74" s="224">
        <f t="shared" si="55"/>
        <v>2.8360759096208459</v>
      </c>
      <c r="AA74" s="224">
        <f t="shared" si="56"/>
        <v>6.8177599396176953</v>
      </c>
      <c r="AB74" s="224">
        <f t="shared" si="57"/>
        <v>4.8535000000000004</v>
      </c>
      <c r="AC74" s="120">
        <f t="shared" si="58"/>
        <v>93</v>
      </c>
      <c r="AD74" s="224">
        <f t="shared" si="59"/>
        <v>112.28211707845306</v>
      </c>
      <c r="AE74" s="224">
        <f t="shared" si="60"/>
        <v>0.4073444903532501</v>
      </c>
      <c r="AF74" s="224">
        <f t="shared" si="61"/>
        <v>0.38562285511731564</v>
      </c>
      <c r="AG74" s="224">
        <f t="shared" si="62"/>
        <v>0.29049014595238076</v>
      </c>
      <c r="AH74" s="224">
        <f t="shared" si="63"/>
        <v>0.89858946111634563</v>
      </c>
      <c r="AI74" s="224">
        <f t="shared" si="64"/>
        <v>39.037858718757519</v>
      </c>
      <c r="AJ74" s="224">
        <f t="shared" si="65"/>
        <v>2.8406143908678185</v>
      </c>
      <c r="AK74" s="224">
        <f t="shared" si="66"/>
        <v>6.1964855109138912E-2</v>
      </c>
      <c r="AL74" s="224">
        <f t="shared" si="67"/>
        <v>0.66651027453498413</v>
      </c>
      <c r="AM74" s="224">
        <f t="shared" si="68"/>
        <v>1</v>
      </c>
      <c r="AN74" s="224">
        <f t="shared" si="69"/>
        <v>0</v>
      </c>
      <c r="AO74" s="224">
        <f t="shared" si="70"/>
        <v>0</v>
      </c>
      <c r="AP74" s="224">
        <f t="shared" si="71"/>
        <v>158.3111204979902</v>
      </c>
      <c r="AQ74" s="224">
        <f t="shared" si="72"/>
        <v>0</v>
      </c>
      <c r="AR74" s="224">
        <f t="shared" si="73"/>
        <v>0</v>
      </c>
      <c r="AS74" s="224">
        <f t="shared" si="74"/>
        <v>0</v>
      </c>
      <c r="AT74" s="224">
        <f t="shared" si="75"/>
        <v>0</v>
      </c>
      <c r="AU74" s="224">
        <f t="shared" si="76"/>
        <v>0</v>
      </c>
      <c r="AV74" s="224">
        <f t="shared" si="77"/>
        <v>0</v>
      </c>
      <c r="AW74" s="224">
        <f t="shared" si="78"/>
        <v>0</v>
      </c>
      <c r="AX74" s="224">
        <f t="shared" si="79"/>
        <v>0</v>
      </c>
    </row>
    <row r="75" spans="3:50">
      <c r="C75" s="12" t="str">
        <f t="shared" si="43"/>
        <v>Can13</v>
      </c>
      <c r="D75" s="2">
        <f t="shared" si="44"/>
        <v>-43.8</v>
      </c>
      <c r="E75" s="3">
        <f t="shared" ref="E75:F75" si="100">G18</f>
        <v>9.8000000000000007</v>
      </c>
      <c r="F75" s="120">
        <f t="shared" si="100"/>
        <v>102</v>
      </c>
      <c r="G75" s="120">
        <f t="shared" si="46"/>
        <v>152.48075375142895</v>
      </c>
      <c r="H75" s="120">
        <f t="shared" si="47"/>
        <v>15.234855464772236</v>
      </c>
      <c r="I75" s="120">
        <f t="shared" si="48"/>
        <v>8.7118907806985302</v>
      </c>
      <c r="J75" s="120">
        <f>VLOOKUP(R75,'Steel grades'!$B$5:$J$22,IF(F75&gt;200,10,IF(F75&gt;150,9,IF(F75&gt;120,8,IF(F75&gt;100,7,IF(F75&gt;80,6,IF(F75&gt;63,5,IF(F75&gt;40,4,IF(F75&gt;16,3,2)))))))),FALSE)</f>
        <v>340</v>
      </c>
      <c r="K75" s="3">
        <f t="shared" si="49"/>
        <v>235.44862032111223</v>
      </c>
      <c r="L75" s="3">
        <f t="shared" si="50"/>
        <v>19.706657948984915</v>
      </c>
      <c r="M75" s="3">
        <f t="shared" si="51"/>
        <v>121.30200427413617</v>
      </c>
      <c r="N75" s="3">
        <f t="shared" si="52"/>
        <v>0.79759867693237674</v>
      </c>
      <c r="O75" s="3">
        <f t="shared" si="53"/>
        <v>0.44307614629684089</v>
      </c>
      <c r="P75" s="3">
        <f>(ABS(Geometry_loads!S31)/Z75+ABS(Geometry_loads!T31)/AA75)/(1000*J75)</f>
        <v>0.3411549796893743</v>
      </c>
      <c r="Q75" s="22">
        <f>IF(D75&gt;=$R$14,IF(P75&gt;0.75,"Redesign",IF(P75&lt;0.5,VLOOKUP(R75,'Steel grades'!$B$5:$AB$22,27,FALSE),(VLOOKUP(R75,'Steel grades'!$B$5:$AB$22,27,FALSE)-VLOOKUP(R75,'Steel grades'!$B$5:$AB$22,25,FALSE))/(0.5-0.75)*(P75-0.75)+VLOOKUP(R75,'Steel grades'!$B$5:$AB$22,25,FALSE))),IF(D75&lt;$R$2,IF(P75&gt;0.75,"Redesign",IF(P75&lt;0.5,VLOOKUP(R75,'Steel grades'!$B$5:$AB$22,18,FALSE),(VLOOKUP(R75,'Steel grades'!$B$5:$AB$22,18,FALSE)-VLOOKUP(R75,'Steel grades'!$B$5:$AB$22,11,FALSE))/(0.5-0.75)*(P75-0.75)+VLOOKUP(R75,'Steel grades'!$B$5:$AB$22,11,FALSE))),IF(P75&gt;0.75,"Redesign",IF(P75&lt;0.5,VLOOKUP(R75,'Steel grades'!$B$5:$AB$22,26,FALSE),(VLOOKUP(R75,'Steel grades'!$B$5:$AB$22,26,FALSE)-VLOOKUP(R75,'Steel grades'!$B$5:$AB$22,24,FALSE))/(0.5-0.75)*(P75-0.75)+VLOOKUP(R75,'Steel grades'!$B$5:$AB$22,24,FALSE)))))</f>
        <v>130</v>
      </c>
      <c r="R75" s="3" t="str">
        <f>Geometry!M40</f>
        <v>S420 NL</v>
      </c>
      <c r="T75" s="3">
        <f>Geometry_loads!L31</f>
        <v>-43607.330673575125</v>
      </c>
      <c r="U75" s="3">
        <f>Geometry_loads!M31</f>
        <v>-46415.744870466318</v>
      </c>
      <c r="V75" s="3">
        <f>Geometry_loads!N31</f>
        <v>1043140.2010362694</v>
      </c>
      <c r="W75" s="3">
        <f>Geometry_loads!O31</f>
        <v>18886.190880829014</v>
      </c>
      <c r="X75" s="3">
        <f t="shared" ref="X75:Y75" si="101">X47</f>
        <v>0</v>
      </c>
      <c r="Y75" s="120">
        <f t="shared" si="101"/>
        <v>0</v>
      </c>
      <c r="Z75" s="224">
        <f t="shared" si="55"/>
        <v>3.1076508865604193</v>
      </c>
      <c r="AA75" s="224">
        <f t="shared" si="56"/>
        <v>7.4569040686861889</v>
      </c>
      <c r="AB75" s="224">
        <f t="shared" si="57"/>
        <v>4.8490000000000002</v>
      </c>
      <c r="AC75" s="120">
        <f t="shared" si="58"/>
        <v>102</v>
      </c>
      <c r="AD75" s="224">
        <f t="shared" si="59"/>
        <v>107.21411895117426</v>
      </c>
      <c r="AE75" s="224">
        <f t="shared" si="60"/>
        <v>0.40754374378308222</v>
      </c>
      <c r="AF75" s="224">
        <f t="shared" si="61"/>
        <v>0.3953323986453664</v>
      </c>
      <c r="AG75" s="224">
        <f t="shared" si="62"/>
        <v>0.29079736390648792</v>
      </c>
      <c r="AH75" s="224">
        <f t="shared" si="63"/>
        <v>0.9004084353818087</v>
      </c>
      <c r="AI75" s="224">
        <f t="shared" si="64"/>
        <v>43.354647487766819</v>
      </c>
      <c r="AJ75" s="224">
        <f t="shared" si="65"/>
        <v>2.8004100582211846</v>
      </c>
      <c r="AK75" s="224">
        <f t="shared" si="66"/>
        <v>6.3756834540833557E-2</v>
      </c>
      <c r="AL75" s="224">
        <f t="shared" si="67"/>
        <v>0.67973928796769134</v>
      </c>
      <c r="AM75" s="224">
        <f t="shared" si="68"/>
        <v>0.84599999999999997</v>
      </c>
      <c r="AN75" s="224">
        <f t="shared" si="69"/>
        <v>0</v>
      </c>
      <c r="AO75" s="224">
        <f t="shared" si="70"/>
        <v>0</v>
      </c>
      <c r="AP75" s="224">
        <f t="shared" si="71"/>
        <v>152.48075375142895</v>
      </c>
      <c r="AQ75" s="224">
        <f t="shared" si="72"/>
        <v>0</v>
      </c>
      <c r="AR75" s="224">
        <f t="shared" si="73"/>
        <v>0</v>
      </c>
      <c r="AS75" s="224">
        <f t="shared" si="74"/>
        <v>0</v>
      </c>
      <c r="AT75" s="224">
        <f t="shared" si="75"/>
        <v>0</v>
      </c>
      <c r="AU75" s="224">
        <f t="shared" si="76"/>
        <v>0</v>
      </c>
      <c r="AV75" s="224">
        <f t="shared" si="77"/>
        <v>0</v>
      </c>
      <c r="AW75" s="224">
        <f t="shared" si="78"/>
        <v>0</v>
      </c>
      <c r="AX75" s="224">
        <f t="shared" si="79"/>
        <v>0</v>
      </c>
    </row>
    <row r="76" spans="3:50">
      <c r="C76" s="12" t="str">
        <f t="shared" si="43"/>
        <v>Can14</v>
      </c>
      <c r="D76" s="2">
        <f t="shared" si="44"/>
        <v>-47.8</v>
      </c>
      <c r="E76" s="3">
        <f t="shared" ref="E76:F76" si="102">G19</f>
        <v>9.8000000000000007</v>
      </c>
      <c r="F76" s="120">
        <f t="shared" si="102"/>
        <v>92</v>
      </c>
      <c r="G76" s="120">
        <f t="shared" si="46"/>
        <v>179.56460554500163</v>
      </c>
      <c r="H76" s="120">
        <f t="shared" si="47"/>
        <v>16.378767086324221</v>
      </c>
      <c r="I76" s="120">
        <f t="shared" si="48"/>
        <v>0</v>
      </c>
      <c r="J76" s="120">
        <f>VLOOKUP(R76,'Steel grades'!$B$5:$J$22,IF(F76&gt;200,10,IF(F76&gt;150,9,IF(F76&gt;120,8,IF(F76&gt;100,7,IF(F76&gt;80,6,IF(F76&gt;63,5,IF(F76&gt;40,4,IF(F76&gt;16,3,2)))))))),FALSE)</f>
        <v>315</v>
      </c>
      <c r="K76" s="3">
        <f t="shared" si="49"/>
        <v>256.9648097821821</v>
      </c>
      <c r="L76" s="3">
        <f t="shared" si="50"/>
        <v>17.538054942917221</v>
      </c>
      <c r="M76" s="3">
        <f t="shared" si="51"/>
        <v>109.4413668458569</v>
      </c>
      <c r="N76" s="3">
        <f t="shared" si="52"/>
        <v>0.69879064645937605</v>
      </c>
      <c r="O76" s="3">
        <f t="shared" si="53"/>
        <v>0.57711665994585681</v>
      </c>
      <c r="P76" s="3">
        <f>(ABS(Geometry_loads!S32)/Z76+ABS(Geometry_loads!T32)/AA76)/(1000*J76)</f>
        <v>0.43302112750690974</v>
      </c>
      <c r="Q76" s="22">
        <f>IF(D76&gt;=$R$14,IF(P76&gt;0.75,"Redesign",IF(P76&lt;0.5,VLOOKUP(R76,'Steel grades'!$B$5:$AB$22,27,FALSE),(VLOOKUP(R76,'Steel grades'!$B$5:$AB$22,27,FALSE)-VLOOKUP(R76,'Steel grades'!$B$5:$AB$22,25,FALSE))/(0.5-0.75)*(P76-0.75)+VLOOKUP(R76,'Steel grades'!$B$5:$AB$22,25,FALSE))),IF(D76&lt;$R$2,IF(P76&gt;0.75,"Redesign",IF(P76&lt;0.5,VLOOKUP(R76,'Steel grades'!$B$5:$AB$22,18,FALSE),(VLOOKUP(R76,'Steel grades'!$B$5:$AB$22,18,FALSE)-VLOOKUP(R76,'Steel grades'!$B$5:$AB$22,11,FALSE))/(0.5-0.75)*(P76-0.75)+VLOOKUP(R76,'Steel grades'!$B$5:$AB$22,11,FALSE))),IF(P76&gt;0.75,"Redesign",IF(P76&lt;0.5,VLOOKUP(R76,'Steel grades'!$B$5:$AB$22,26,FALSE),(VLOOKUP(R76,'Steel grades'!$B$5:$AB$22,26,FALSE)-VLOOKUP(R76,'Steel grades'!$B$5:$AB$22,24,FALSE))/(0.5-0.75)*(P76-0.75)+VLOOKUP(R76,'Steel grades'!$B$5:$AB$22,24,FALSE)))))</f>
        <v>180</v>
      </c>
      <c r="R76" s="3" t="str">
        <f>Geometry!M41</f>
        <v>S355 NL/ML</v>
      </c>
      <c r="T76" s="3">
        <f>Geometry_loads!L32</f>
        <v>-44127.25</v>
      </c>
      <c r="U76" s="3">
        <f>Geometry_loads!M32</f>
        <v>-46415.88</v>
      </c>
      <c r="V76" s="3">
        <f>Geometry_loads!N32</f>
        <v>1115710.3435158173</v>
      </c>
      <c r="W76" s="3">
        <f>Geometry_loads!O32</f>
        <v>18197.142465779296</v>
      </c>
      <c r="X76" s="3">
        <f t="shared" ref="X76:Y76" si="103">X48</f>
        <v>0</v>
      </c>
      <c r="Y76" s="120">
        <f t="shared" si="103"/>
        <v>0</v>
      </c>
      <c r="Z76" s="224">
        <f t="shared" si="55"/>
        <v>2.8058694962565682</v>
      </c>
      <c r="AA76" s="224">
        <f t="shared" si="56"/>
        <v>6.7465219465220363</v>
      </c>
      <c r="AB76" s="224">
        <f t="shared" si="57"/>
        <v>4.8540000000000001</v>
      </c>
      <c r="AC76" s="120">
        <f t="shared" si="58"/>
        <v>92</v>
      </c>
      <c r="AD76" s="224">
        <f t="shared" si="59"/>
        <v>112.89069669628149</v>
      </c>
      <c r="AE76" s="224">
        <f t="shared" si="60"/>
        <v>0.40916021921501028</v>
      </c>
      <c r="AF76" s="224">
        <f t="shared" si="61"/>
        <v>0.38447624918747192</v>
      </c>
      <c r="AG76" s="224">
        <f t="shared" si="62"/>
        <v>0.29124172334232601</v>
      </c>
      <c r="AH76" s="224">
        <f t="shared" si="63"/>
        <v>0.89733743098539787</v>
      </c>
      <c r="AI76" s="224">
        <f t="shared" si="64"/>
        <v>38.583720874417899</v>
      </c>
      <c r="AJ76" s="224">
        <f t="shared" si="65"/>
        <v>2.8572827767389728</v>
      </c>
      <c r="AK76" s="224">
        <f t="shared" si="66"/>
        <v>6.1244001387964903E-2</v>
      </c>
      <c r="AL76" s="224">
        <f t="shared" si="67"/>
        <v>0.66194859876028256</v>
      </c>
      <c r="AM76" s="224">
        <f t="shared" si="68"/>
        <v>1</v>
      </c>
      <c r="AN76" s="224">
        <f t="shared" si="69"/>
        <v>0</v>
      </c>
      <c r="AO76" s="224">
        <f t="shared" si="70"/>
        <v>0</v>
      </c>
      <c r="AP76" s="224">
        <f t="shared" si="71"/>
        <v>179.56460554500163</v>
      </c>
      <c r="AQ76" s="224">
        <f t="shared" si="72"/>
        <v>0</v>
      </c>
      <c r="AR76" s="224">
        <f t="shared" si="73"/>
        <v>0</v>
      </c>
      <c r="AS76" s="224">
        <f t="shared" si="74"/>
        <v>0</v>
      </c>
      <c r="AT76" s="224">
        <f t="shared" si="75"/>
        <v>0</v>
      </c>
      <c r="AU76" s="224">
        <f t="shared" si="76"/>
        <v>0</v>
      </c>
      <c r="AV76" s="224">
        <f t="shared" si="77"/>
        <v>0</v>
      </c>
      <c r="AW76" s="224">
        <f t="shared" si="78"/>
        <v>0</v>
      </c>
      <c r="AX76" s="224">
        <f t="shared" si="79"/>
        <v>0</v>
      </c>
    </row>
    <row r="77" spans="3:50">
      <c r="C77" s="12" t="str">
        <f t="shared" si="43"/>
        <v>Can15</v>
      </c>
      <c r="D77" s="2">
        <f t="shared" si="44"/>
        <v>-51.8</v>
      </c>
      <c r="E77" s="3">
        <f t="shared" ref="E77:F77" si="104">G20</f>
        <v>9.8000000000000007</v>
      </c>
      <c r="F77" s="120">
        <f t="shared" si="104"/>
        <v>90</v>
      </c>
      <c r="G77" s="120">
        <f t="shared" si="46"/>
        <v>193.67965866268804</v>
      </c>
      <c r="H77" s="120">
        <f t="shared" si="47"/>
        <v>14.71195251578982</v>
      </c>
      <c r="I77" s="120">
        <f t="shared" si="48"/>
        <v>0</v>
      </c>
      <c r="J77" s="120">
        <f>VLOOKUP(R77,'Steel grades'!$B$5:$J$22,IF(F77&gt;200,10,IF(F77&gt;150,9,IF(F77&gt;120,8,IF(F77&gt;100,7,IF(F77&gt;80,6,IF(F77&gt;63,5,IF(F77&gt;40,4,IF(F77&gt;16,3,2)))))))),FALSE)</f>
        <v>315</v>
      </c>
      <c r="K77" s="3">
        <f t="shared" si="49"/>
        <v>255.99879193504606</v>
      </c>
      <c r="L77" s="3">
        <f t="shared" si="50"/>
        <v>17.132141340106244</v>
      </c>
      <c r="M77" s="3">
        <f t="shared" si="51"/>
        <v>107.89234451592876</v>
      </c>
      <c r="N77" s="3">
        <f t="shared" si="52"/>
        <v>0.75656473688293768</v>
      </c>
      <c r="O77" s="3">
        <f t="shared" si="53"/>
        <v>0.62015476754070109</v>
      </c>
      <c r="P77" s="3">
        <f>(ABS(Geometry_loads!S33)/Z77+ABS(Geometry_loads!T33)/AA77)/(1000*J77)</f>
        <v>0.46578092682977118</v>
      </c>
      <c r="Q77" s="22">
        <f>IF(D77&gt;=$R$14,IF(P77&gt;0.75,"Redesign",IF(P77&lt;0.5,VLOOKUP(R77,'Steel grades'!$B$5:$AB$22,27,FALSE),(VLOOKUP(R77,'Steel grades'!$B$5:$AB$22,27,FALSE)-VLOOKUP(R77,'Steel grades'!$B$5:$AB$22,25,FALSE))/(0.5-0.75)*(P77-0.75)+VLOOKUP(R77,'Steel grades'!$B$5:$AB$22,25,FALSE))),IF(D77&lt;$R$2,IF(P77&gt;0.75,"Redesign",IF(P77&lt;0.5,VLOOKUP(R77,'Steel grades'!$B$5:$AB$22,18,FALSE),(VLOOKUP(R77,'Steel grades'!$B$5:$AB$22,18,FALSE)-VLOOKUP(R77,'Steel grades'!$B$5:$AB$22,11,FALSE))/(0.5-0.75)*(P77-0.75)+VLOOKUP(R77,'Steel grades'!$B$5:$AB$22,11,FALSE))),IF(P77&gt;0.75,"Redesign",IF(P77&lt;0.5,VLOOKUP(R77,'Steel grades'!$B$5:$AB$22,26,FALSE),(VLOOKUP(R77,'Steel grades'!$B$5:$AB$22,26,FALSE)-VLOOKUP(R77,'Steel grades'!$B$5:$AB$22,24,FALSE))/(0.5-0.75)*(P77-0.75)+VLOOKUP(R77,'Steel grades'!$B$5:$AB$22,24,FALSE)))))</f>
        <v>180</v>
      </c>
      <c r="R77" s="3" t="str">
        <f>Geometry!M42</f>
        <v>S355 NL/ML</v>
      </c>
      <c r="T77" s="3">
        <f>Geometry_loads!L33</f>
        <v>-44127.25</v>
      </c>
      <c r="U77" s="3">
        <f>Geometry_loads!M33</f>
        <v>-46415.88</v>
      </c>
      <c r="V77" s="3">
        <f>Geometry_loads!N33</f>
        <v>1183668.9294153289</v>
      </c>
      <c r="W77" s="3">
        <f>Geometry_loads!O33</f>
        <v>15415.16120908926</v>
      </c>
      <c r="X77" s="3">
        <f t="shared" ref="X77:Y77" si="105">X49</f>
        <v>0</v>
      </c>
      <c r="Y77" s="120">
        <f t="shared" si="105"/>
        <v>0</v>
      </c>
      <c r="Z77" s="224">
        <f t="shared" si="55"/>
        <v>2.7454378199721172</v>
      </c>
      <c r="AA77" s="224">
        <f t="shared" si="56"/>
        <v>6.6039125512340453</v>
      </c>
      <c r="AB77" s="224">
        <f t="shared" si="57"/>
        <v>4.8550000000000004</v>
      </c>
      <c r="AC77" s="120">
        <f t="shared" si="58"/>
        <v>90</v>
      </c>
      <c r="AD77" s="224">
        <f t="shared" si="59"/>
        <v>114.13814557868059</v>
      </c>
      <c r="AE77" s="224">
        <f t="shared" si="60"/>
        <v>0.41288578103268808</v>
      </c>
      <c r="AF77" s="224">
        <f t="shared" si="61"/>
        <v>0.38213887965963755</v>
      </c>
      <c r="AG77" s="224">
        <f t="shared" si="62"/>
        <v>0.29170127754648978</v>
      </c>
      <c r="AH77" s="224">
        <f t="shared" si="63"/>
        <v>0.89396403532873236</v>
      </c>
      <c r="AI77" s="224">
        <f t="shared" si="64"/>
        <v>37.69071094823375</v>
      </c>
      <c r="AJ77" s="224">
        <f t="shared" si="65"/>
        <v>2.8909335693549618</v>
      </c>
      <c r="AK77" s="224">
        <f t="shared" si="66"/>
        <v>5.982652531465673E-2</v>
      </c>
      <c r="AL77" s="224">
        <f t="shared" si="67"/>
        <v>0.65257944347379471</v>
      </c>
      <c r="AM77" s="224">
        <f t="shared" si="68"/>
        <v>1</v>
      </c>
      <c r="AN77" s="224">
        <f t="shared" si="69"/>
        <v>0</v>
      </c>
      <c r="AO77" s="224">
        <f t="shared" si="70"/>
        <v>0</v>
      </c>
      <c r="AP77" s="224">
        <f t="shared" si="71"/>
        <v>193.67965866268807</v>
      </c>
      <c r="AQ77" s="224">
        <f t="shared" si="72"/>
        <v>0</v>
      </c>
      <c r="AR77" s="224">
        <f t="shared" si="73"/>
        <v>0</v>
      </c>
      <c r="AS77" s="224">
        <f t="shared" si="74"/>
        <v>0</v>
      </c>
      <c r="AT77" s="224">
        <f t="shared" si="75"/>
        <v>0</v>
      </c>
      <c r="AU77" s="224">
        <f t="shared" si="76"/>
        <v>0</v>
      </c>
      <c r="AV77" s="224">
        <f t="shared" si="77"/>
        <v>0</v>
      </c>
      <c r="AW77" s="224">
        <f t="shared" si="78"/>
        <v>0</v>
      </c>
      <c r="AX77" s="224">
        <f t="shared" si="79"/>
        <v>0</v>
      </c>
    </row>
    <row r="78" spans="3:50">
      <c r="C78" s="12" t="str">
        <f t="shared" si="43"/>
        <v>Can16</v>
      </c>
      <c r="D78" s="2">
        <f t="shared" si="44"/>
        <v>-55.8</v>
      </c>
      <c r="E78" s="3">
        <f t="shared" ref="E78:F78" si="106">G21</f>
        <v>9.8000000000000007</v>
      </c>
      <c r="F78" s="120">
        <f t="shared" si="106"/>
        <v>81</v>
      </c>
      <c r="G78" s="120">
        <f t="shared" si="46"/>
        <v>224.1135847174572</v>
      </c>
      <c r="H78" s="120">
        <f t="shared" si="47"/>
        <v>13.685596291231304</v>
      </c>
      <c r="I78" s="120">
        <f t="shared" si="48"/>
        <v>0</v>
      </c>
      <c r="J78" s="120">
        <f>VLOOKUP(R78,'Steel grades'!$B$5:$J$22,IF(F78&gt;200,10,IF(F78&gt;150,9,IF(F78&gt;120,8,IF(F78&gt;100,7,IF(F78&gt;80,6,IF(F78&gt;63,5,IF(F78&gt;40,4,IF(F78&gt;16,3,2)))))))),FALSE)</f>
        <v>315</v>
      </c>
      <c r="K78" s="3">
        <f t="shared" si="49"/>
        <v>250.66986987681486</v>
      </c>
      <c r="L78" s="3">
        <f t="shared" si="50"/>
        <v>15.208217998344006</v>
      </c>
      <c r="M78" s="3">
        <f t="shared" si="51"/>
        <v>100.16534516525611</v>
      </c>
      <c r="N78" s="3">
        <f t="shared" si="52"/>
        <v>0.89405872683299337</v>
      </c>
      <c r="O78" s="3">
        <f t="shared" si="53"/>
        <v>0.71544023445345561</v>
      </c>
      <c r="P78" s="3">
        <f>(ABS(Geometry_loads!S34)/Z78+ABS(Geometry_loads!T34)/AA78)/(1000*J78)</f>
        <v>0.53636896335919992</v>
      </c>
      <c r="Q78" s="22">
        <f>IF(D78&gt;=$R$14,IF(P78&gt;0.75,"Redesign",IF(P78&lt;0.5,VLOOKUP(R78,'Steel grades'!$B$5:$AB$22,27,FALSE),(VLOOKUP(R78,'Steel grades'!$B$5:$AB$22,27,FALSE)-VLOOKUP(R78,'Steel grades'!$B$5:$AB$22,25,FALSE))/(0.5-0.75)*(P78-0.75)+VLOOKUP(R78,'Steel grades'!$B$5:$AB$22,25,FALSE))),IF(D78&lt;$R$2,IF(P78&gt;0.75,"Redesign",IF(P78&lt;0.5,VLOOKUP(R78,'Steel grades'!$B$5:$AB$22,18,FALSE),(VLOOKUP(R78,'Steel grades'!$B$5:$AB$22,18,FALSE)-VLOOKUP(R78,'Steel grades'!$B$5:$AB$22,11,FALSE))/(0.5-0.75)*(P78-0.75)+VLOOKUP(R78,'Steel grades'!$B$5:$AB$22,11,FALSE))),IF(P78&gt;0.75,"Redesign",IF(P78&lt;0.5,VLOOKUP(R78,'Steel grades'!$B$5:$AB$22,26,FALSE),(VLOOKUP(R78,'Steel grades'!$B$5:$AB$22,26,FALSE)-VLOOKUP(R78,'Steel grades'!$B$5:$AB$22,24,FALSE))/(0.5-0.75)*(P78-0.75)+VLOOKUP(R78,'Steel grades'!$B$5:$AB$22,24,FALSE)))))</f>
        <v>172.72620732816</v>
      </c>
      <c r="R78" s="3" t="str">
        <f>Geometry!M43</f>
        <v>S355 NL/ML</v>
      </c>
      <c r="T78" s="3">
        <f>Geometry_loads!L34</f>
        <v>-44127.25</v>
      </c>
      <c r="U78" s="3">
        <f>Geometry_loads!M34</f>
        <v>-46415.88</v>
      </c>
      <c r="V78" s="3">
        <f>Geometry_loads!N34</f>
        <v>1239529.5273571687</v>
      </c>
      <c r="W78" s="3">
        <f>Geometry_loads!O34</f>
        <v>12147.713028911126</v>
      </c>
      <c r="X78" s="3">
        <f t="shared" ref="X78:Y78" si="107">X50</f>
        <v>0</v>
      </c>
      <c r="Y78" s="120">
        <f t="shared" si="107"/>
        <v>0</v>
      </c>
      <c r="Z78" s="224">
        <f t="shared" si="55"/>
        <v>2.473184259019396</v>
      </c>
      <c r="AA78" s="224">
        <f t="shared" si="56"/>
        <v>5.9599653579196561</v>
      </c>
      <c r="AB78" s="224">
        <f t="shared" si="57"/>
        <v>4.8595000000000006</v>
      </c>
      <c r="AC78" s="120">
        <f t="shared" si="58"/>
        <v>81</v>
      </c>
      <c r="AD78" s="224">
        <f t="shared" si="59"/>
        <v>120.31216931216932</v>
      </c>
      <c r="AE78" s="224">
        <f t="shared" si="60"/>
        <v>0.43139199708949927</v>
      </c>
      <c r="AF78" s="224">
        <f t="shared" si="61"/>
        <v>0.37082436194503576</v>
      </c>
      <c r="AG78" s="224">
        <f t="shared" si="62"/>
        <v>0.29203873267064212</v>
      </c>
      <c r="AH78" s="224">
        <f t="shared" si="63"/>
        <v>0.87535510115713122</v>
      </c>
      <c r="AI78" s="224">
        <f t="shared" si="64"/>
        <v>33.458079596356818</v>
      </c>
      <c r="AJ78" s="224">
        <f t="shared" si="65"/>
        <v>3.0683491151810998</v>
      </c>
      <c r="AK78" s="224">
        <f t="shared" si="66"/>
        <v>5.3108062851360029E-2</v>
      </c>
      <c r="AL78" s="224">
        <f t="shared" si="67"/>
        <v>0.60584321803900609</v>
      </c>
      <c r="AM78" s="224">
        <f t="shared" si="68"/>
        <v>1</v>
      </c>
      <c r="AN78" s="224">
        <f t="shared" si="69"/>
        <v>0</v>
      </c>
      <c r="AO78" s="224">
        <f t="shared" si="70"/>
        <v>0</v>
      </c>
      <c r="AP78" s="224">
        <f t="shared" si="71"/>
        <v>224.1135847174572</v>
      </c>
      <c r="AQ78" s="224">
        <f t="shared" si="72"/>
        <v>0</v>
      </c>
      <c r="AR78" s="224">
        <f t="shared" si="73"/>
        <v>0</v>
      </c>
      <c r="AS78" s="224">
        <f t="shared" si="74"/>
        <v>0</v>
      </c>
      <c r="AT78" s="224">
        <f t="shared" si="75"/>
        <v>0</v>
      </c>
      <c r="AU78" s="224">
        <f t="shared" si="76"/>
        <v>0</v>
      </c>
      <c r="AV78" s="224">
        <f t="shared" si="77"/>
        <v>0</v>
      </c>
      <c r="AW78" s="224">
        <f t="shared" si="78"/>
        <v>0</v>
      </c>
      <c r="AX78" s="224">
        <f t="shared" si="79"/>
        <v>0</v>
      </c>
    </row>
    <row r="79" spans="3:50">
      <c r="C79" s="12" t="str">
        <f t="shared" si="43"/>
        <v>Can17</v>
      </c>
      <c r="D79" s="2">
        <f t="shared" si="44"/>
        <v>-59.8</v>
      </c>
      <c r="E79" s="3">
        <f t="shared" ref="E79:F79" si="108">G22</f>
        <v>9.8000000000000007</v>
      </c>
      <c r="F79" s="120">
        <f t="shared" si="108"/>
        <v>81</v>
      </c>
      <c r="G79" s="120">
        <f t="shared" si="46"/>
        <v>229.86258333706604</v>
      </c>
      <c r="H79" s="120">
        <f t="shared" si="47"/>
        <v>4.2977938485569114</v>
      </c>
      <c r="I79" s="120">
        <f t="shared" si="48"/>
        <v>0</v>
      </c>
      <c r="J79" s="120">
        <f>VLOOKUP(R79,'Steel grades'!$B$5:$J$22,IF(F79&gt;200,10,IF(F79&gt;150,9,IF(F79&gt;120,8,IF(F79&gt;100,7,IF(F79&gt;80,6,IF(F79&gt;63,5,IF(F79&gt;40,4,IF(F79&gt;16,3,2)))))))),FALSE)</f>
        <v>315</v>
      </c>
      <c r="K79" s="3">
        <f t="shared" si="49"/>
        <v>250.71028809837284</v>
      </c>
      <c r="L79" s="3">
        <f t="shared" si="50"/>
        <v>15.208217998344006</v>
      </c>
      <c r="M79" s="3">
        <f t="shared" si="51"/>
        <v>100.16534516525611</v>
      </c>
      <c r="N79" s="3">
        <f t="shared" si="52"/>
        <v>0.91684543574403832</v>
      </c>
      <c r="O79" s="3">
        <f t="shared" si="53"/>
        <v>0.73010503815206862</v>
      </c>
      <c r="P79" s="3">
        <f>(ABS(Geometry_loads!S35)/Z79+ABS(Geometry_loads!T35)/AA79)/(1000*J79)</f>
        <v>0.5471755870273618</v>
      </c>
      <c r="Q79" s="22">
        <f>IF(D79&gt;=$R$14,IF(P79&gt;0.75,"Redesign",IF(P79&lt;0.5,VLOOKUP(R79,'Steel grades'!$B$5:$AB$22,27,FALSE),(VLOOKUP(R79,'Steel grades'!$B$5:$AB$22,27,FALSE)-VLOOKUP(R79,'Steel grades'!$B$5:$AB$22,25,FALSE))/(0.5-0.75)*(P79-0.75)+VLOOKUP(R79,'Steel grades'!$B$5:$AB$22,25,FALSE))),IF(D79&lt;$R$2,IF(P79&gt;0.75,"Redesign",IF(P79&lt;0.5,VLOOKUP(R79,'Steel grades'!$B$5:$AB$22,18,FALSE),(VLOOKUP(R79,'Steel grades'!$B$5:$AB$22,18,FALSE)-VLOOKUP(R79,'Steel grades'!$B$5:$AB$22,11,FALSE))/(0.5-0.75)*(P79-0.75)+VLOOKUP(R79,'Steel grades'!$B$5:$AB$22,11,FALSE))),IF(P79&gt;0.75,"Redesign",IF(P79&lt;0.5,VLOOKUP(R79,'Steel grades'!$B$5:$AB$22,26,FALSE),(VLOOKUP(R79,'Steel grades'!$B$5:$AB$22,26,FALSE)-VLOOKUP(R79,'Steel grades'!$B$5:$AB$22,24,FALSE))/(0.5-0.75)*(P79-0.75)+VLOOKUP(R79,'Steel grades'!$B$5:$AB$22,24,FALSE)))))</f>
        <v>170.56488259452763</v>
      </c>
      <c r="R79" s="3" t="str">
        <f>Geometry!M44</f>
        <v>S355 NL/ML</v>
      </c>
      <c r="T79" s="3">
        <f>Geometry_loads!L35</f>
        <v>-44127.25</v>
      </c>
      <c r="U79" s="3">
        <f>Geometry_loads!M35</f>
        <v>-46415.88</v>
      </c>
      <c r="V79" s="3">
        <f>Geometry_loads!N35</f>
        <v>1274076.5216994178</v>
      </c>
      <c r="W79" s="3">
        <f>Geometry_loads!O35</f>
        <v>-538.83041490815117</v>
      </c>
      <c r="X79" s="3">
        <f t="shared" ref="X79:Y79" si="109">X51</f>
        <v>0</v>
      </c>
      <c r="Y79" s="120">
        <f t="shared" si="109"/>
        <v>0</v>
      </c>
      <c r="Z79" s="224">
        <f t="shared" si="55"/>
        <v>2.473184259019396</v>
      </c>
      <c r="AA79" s="224">
        <f t="shared" si="56"/>
        <v>5.9599653579196561</v>
      </c>
      <c r="AB79" s="224">
        <f t="shared" si="57"/>
        <v>4.8595000000000006</v>
      </c>
      <c r="AC79" s="120">
        <f t="shared" si="58"/>
        <v>81</v>
      </c>
      <c r="AD79" s="224">
        <f t="shared" si="59"/>
        <v>120.31216931216932</v>
      </c>
      <c r="AE79" s="224">
        <f t="shared" si="60"/>
        <v>0.43139199708949927</v>
      </c>
      <c r="AF79" s="224">
        <f t="shared" si="61"/>
        <v>0.37082436194503576</v>
      </c>
      <c r="AG79" s="224">
        <f t="shared" si="62"/>
        <v>0.29223784865647306</v>
      </c>
      <c r="AH79" s="224">
        <f t="shared" si="63"/>
        <v>0.87549624415304816</v>
      </c>
      <c r="AI79" s="224">
        <f t="shared" si="64"/>
        <v>33.458079596356818</v>
      </c>
      <c r="AJ79" s="224">
        <f t="shared" si="65"/>
        <v>3.0683491151810998</v>
      </c>
      <c r="AK79" s="224">
        <f t="shared" si="66"/>
        <v>5.3108062851360029E-2</v>
      </c>
      <c r="AL79" s="224">
        <f t="shared" si="67"/>
        <v>0.60584321803900609</v>
      </c>
      <c r="AM79" s="224">
        <f t="shared" si="68"/>
        <v>1</v>
      </c>
      <c r="AN79" s="224">
        <f t="shared" si="69"/>
        <v>0</v>
      </c>
      <c r="AO79" s="224">
        <f t="shared" si="70"/>
        <v>0</v>
      </c>
      <c r="AP79" s="224">
        <f t="shared" si="71"/>
        <v>229.86258333706601</v>
      </c>
      <c r="AQ79" s="224">
        <f t="shared" si="72"/>
        <v>0</v>
      </c>
      <c r="AR79" s="224">
        <f t="shared" si="73"/>
        <v>0</v>
      </c>
      <c r="AS79" s="224">
        <f t="shared" si="74"/>
        <v>0</v>
      </c>
      <c r="AT79" s="224">
        <f t="shared" si="75"/>
        <v>0</v>
      </c>
      <c r="AU79" s="224">
        <f t="shared" si="76"/>
        <v>0</v>
      </c>
      <c r="AV79" s="224">
        <f t="shared" si="77"/>
        <v>0</v>
      </c>
      <c r="AW79" s="224">
        <f t="shared" si="78"/>
        <v>0</v>
      </c>
      <c r="AX79" s="224">
        <f t="shared" si="79"/>
        <v>0</v>
      </c>
    </row>
    <row r="80" spans="3:50">
      <c r="C80" s="12" t="str">
        <f t="shared" si="43"/>
        <v>Can18</v>
      </c>
      <c r="D80" s="2">
        <f t="shared" si="44"/>
        <v>-63.8</v>
      </c>
      <c r="E80" s="3">
        <f t="shared" ref="E80:F80" si="110">G23</f>
        <v>9.8000000000000007</v>
      </c>
      <c r="F80" s="120">
        <f t="shared" si="110"/>
        <v>81</v>
      </c>
      <c r="G80" s="120">
        <f t="shared" si="46"/>
        <v>219.7813204519608</v>
      </c>
      <c r="H80" s="120">
        <f t="shared" si="47"/>
        <v>29.195562890160886</v>
      </c>
      <c r="I80" s="120">
        <f t="shared" si="48"/>
        <v>0</v>
      </c>
      <c r="J80" s="120">
        <f>VLOOKUP(R80,'Steel grades'!$B$5:$J$22,IF(F80&gt;200,10,IF(F80&gt;150,9,IF(F80&gt;120,8,IF(F80&gt;100,7,IF(F80&gt;80,6,IF(F80&gt;63,5,IF(F80&gt;40,4,IF(F80&gt;16,3,2)))))))),FALSE)</f>
        <v>315</v>
      </c>
      <c r="K80" s="3">
        <f t="shared" si="49"/>
        <v>250.63803179310048</v>
      </c>
      <c r="L80" s="3">
        <f t="shared" si="50"/>
        <v>15.208217998344006</v>
      </c>
      <c r="M80" s="3">
        <f t="shared" si="51"/>
        <v>100.16534516525611</v>
      </c>
      <c r="N80" s="3">
        <f t="shared" si="52"/>
        <v>0.87688735376516347</v>
      </c>
      <c r="O80" s="3">
        <f t="shared" si="53"/>
        <v>0.71594848084992657</v>
      </c>
      <c r="P80" s="3">
        <f>(ABS(Geometry_loads!S36)/Z80+ABS(Geometry_loads!T36)/AA80)/(1000*J80)</f>
        <v>0.52013882893211005</v>
      </c>
      <c r="Q80" s="22">
        <f>IF(D80&gt;=$R$14,IF(P80&gt;0.75,"Redesign",IF(P80&lt;0.5,VLOOKUP(R80,'Steel grades'!$B$5:$AB$22,27,FALSE),(VLOOKUP(R80,'Steel grades'!$B$5:$AB$22,27,FALSE)-VLOOKUP(R80,'Steel grades'!$B$5:$AB$22,25,FALSE))/(0.5-0.75)*(P80-0.75)+VLOOKUP(R80,'Steel grades'!$B$5:$AB$22,25,FALSE))),IF(D80&lt;$R$2,IF(P80&gt;0.75,"Redesign",IF(P80&lt;0.5,VLOOKUP(R80,'Steel grades'!$B$5:$AB$22,18,FALSE),(VLOOKUP(R80,'Steel grades'!$B$5:$AB$22,18,FALSE)-VLOOKUP(R80,'Steel grades'!$B$5:$AB$22,11,FALSE))/(0.5-0.75)*(P80-0.75)+VLOOKUP(R80,'Steel grades'!$B$5:$AB$22,11,FALSE))),IF(P80&gt;0.75,"Redesign",IF(P80&lt;0.5,VLOOKUP(R80,'Steel grades'!$B$5:$AB$22,26,FALSE),(VLOOKUP(R80,'Steel grades'!$B$5:$AB$22,26,FALSE)-VLOOKUP(R80,'Steel grades'!$B$5:$AB$22,24,FALSE))/(0.5-0.75)*(P80-0.75)+VLOOKUP(R80,'Steel grades'!$B$5:$AB$22,24,FALSE)))))</f>
        <v>175.97223421357799</v>
      </c>
      <c r="R80" s="3" t="str">
        <f>Geometry!M45</f>
        <v>S355 NL/ML</v>
      </c>
      <c r="T80" s="3">
        <f>Geometry_loads!L36</f>
        <v>-44127.25</v>
      </c>
      <c r="U80" s="3">
        <f>Geometry_loads!M36</f>
        <v>-46415.88</v>
      </c>
      <c r="V80" s="3">
        <f>Geometry_loads!N36</f>
        <v>1213496.0006558846</v>
      </c>
      <c r="W80" s="3">
        <f>Geometry_loads!O36</f>
        <v>-31327.215654105592</v>
      </c>
      <c r="X80" s="3">
        <f t="shared" ref="X80:Y80" si="111">X52</f>
        <v>0</v>
      </c>
      <c r="Y80" s="120">
        <f t="shared" si="111"/>
        <v>0</v>
      </c>
      <c r="Z80" s="224">
        <f t="shared" si="55"/>
        <v>2.473184259019396</v>
      </c>
      <c r="AA80" s="224">
        <f t="shared" si="56"/>
        <v>5.9599653579196561</v>
      </c>
      <c r="AB80" s="224">
        <f t="shared" si="57"/>
        <v>4.8595000000000006</v>
      </c>
      <c r="AC80" s="120">
        <f t="shared" si="58"/>
        <v>81</v>
      </c>
      <c r="AD80" s="224">
        <f t="shared" si="59"/>
        <v>120.31216931216932</v>
      </c>
      <c r="AE80" s="224">
        <f t="shared" si="60"/>
        <v>0.43139199708949927</v>
      </c>
      <c r="AF80" s="224">
        <f t="shared" si="61"/>
        <v>0.37082436194503576</v>
      </c>
      <c r="AG80" s="224">
        <f t="shared" si="62"/>
        <v>0.29188180252804347</v>
      </c>
      <c r="AH80" s="224">
        <f t="shared" si="63"/>
        <v>0.87524392054733502</v>
      </c>
      <c r="AI80" s="224">
        <f t="shared" si="64"/>
        <v>33.458079596356818</v>
      </c>
      <c r="AJ80" s="224">
        <f t="shared" si="65"/>
        <v>3.0683491151810998</v>
      </c>
      <c r="AK80" s="224">
        <f t="shared" si="66"/>
        <v>5.3108062851360029E-2</v>
      </c>
      <c r="AL80" s="224">
        <f t="shared" si="67"/>
        <v>0.60584321803900609</v>
      </c>
      <c r="AM80" s="224">
        <f t="shared" si="68"/>
        <v>1</v>
      </c>
      <c r="AN80" s="224">
        <f t="shared" si="69"/>
        <v>0</v>
      </c>
      <c r="AO80" s="224">
        <f t="shared" si="70"/>
        <v>0</v>
      </c>
      <c r="AP80" s="224">
        <f t="shared" si="71"/>
        <v>219.7813204519608</v>
      </c>
      <c r="AQ80" s="224">
        <f t="shared" si="72"/>
        <v>0</v>
      </c>
      <c r="AR80" s="224">
        <f t="shared" si="73"/>
        <v>0</v>
      </c>
      <c r="AS80" s="224">
        <f t="shared" si="74"/>
        <v>0</v>
      </c>
      <c r="AT80" s="224">
        <f t="shared" si="75"/>
        <v>0</v>
      </c>
      <c r="AU80" s="224">
        <f t="shared" si="76"/>
        <v>0</v>
      </c>
      <c r="AV80" s="224">
        <f t="shared" si="77"/>
        <v>0</v>
      </c>
      <c r="AW80" s="224">
        <f t="shared" si="78"/>
        <v>0</v>
      </c>
      <c r="AX80" s="224">
        <f t="shared" si="79"/>
        <v>0</v>
      </c>
    </row>
    <row r="81" spans="3:50">
      <c r="C81" s="12" t="str">
        <f t="shared" si="43"/>
        <v>Can19</v>
      </c>
      <c r="D81" s="2">
        <f t="shared" si="44"/>
        <v>-67.8</v>
      </c>
      <c r="E81" s="3">
        <f t="shared" ref="E81:F81" si="112">G24</f>
        <v>9.8000000000000007</v>
      </c>
      <c r="F81" s="120">
        <f t="shared" si="112"/>
        <v>81</v>
      </c>
      <c r="G81" s="120">
        <f t="shared" si="46"/>
        <v>191.13235605210375</v>
      </c>
      <c r="H81" s="120">
        <f t="shared" si="47"/>
        <v>49.906216458680262</v>
      </c>
      <c r="I81" s="120">
        <f t="shared" si="48"/>
        <v>0</v>
      </c>
      <c r="J81" s="120">
        <f>VLOOKUP(R81,'Steel grades'!$B$5:$J$22,IF(F81&gt;200,10,IF(F81&gt;150,9,IF(F81&gt;120,8,IF(F81&gt;100,7,IF(F81&gt;80,6,IF(F81&gt;63,5,IF(F81&gt;40,4,IF(F81&gt;16,3,2)))))))),FALSE)</f>
        <v>315</v>
      </c>
      <c r="K81" s="3">
        <f t="shared" si="49"/>
        <v>250.39166261798712</v>
      </c>
      <c r="L81" s="3">
        <f t="shared" si="50"/>
        <v>15.208217998344006</v>
      </c>
      <c r="M81" s="3">
        <f t="shared" si="51"/>
        <v>100.16534516525611</v>
      </c>
      <c r="N81" s="3">
        <f t="shared" si="52"/>
        <v>0.86357518577586889</v>
      </c>
      <c r="O81" s="3">
        <f t="shared" si="53"/>
        <v>0.66593662865594039</v>
      </c>
      <c r="P81" s="3">
        <f>(ABS(Geometry_loads!S37)/Z81+ABS(Geometry_loads!T37)/AA81)/(1000*J81)</f>
        <v>0.44971376459167484</v>
      </c>
      <c r="Q81" s="22">
        <f>IF(D81&gt;=$R$14,IF(P81&gt;0.75,"Redesign",IF(P81&lt;0.5,VLOOKUP(R81,'Steel grades'!$B$5:$AB$22,27,FALSE),(VLOOKUP(R81,'Steel grades'!$B$5:$AB$22,27,FALSE)-VLOOKUP(R81,'Steel grades'!$B$5:$AB$22,25,FALSE))/(0.5-0.75)*(P81-0.75)+VLOOKUP(R81,'Steel grades'!$B$5:$AB$22,25,FALSE))),IF(D81&lt;$R$2,IF(P81&gt;0.75,"Redesign",IF(P81&lt;0.5,VLOOKUP(R81,'Steel grades'!$B$5:$AB$22,18,FALSE),(VLOOKUP(R81,'Steel grades'!$B$5:$AB$22,18,FALSE)-VLOOKUP(R81,'Steel grades'!$B$5:$AB$22,11,FALSE))/(0.5-0.75)*(P81-0.75)+VLOOKUP(R81,'Steel grades'!$B$5:$AB$22,11,FALSE))),IF(P81&gt;0.75,"Redesign",IF(P81&lt;0.5,VLOOKUP(R81,'Steel grades'!$B$5:$AB$22,26,FALSE),(VLOOKUP(R81,'Steel grades'!$B$5:$AB$22,26,FALSE)-VLOOKUP(R81,'Steel grades'!$B$5:$AB$22,24,FALSE))/(0.5-0.75)*(P81-0.75)+VLOOKUP(R81,'Steel grades'!$B$5:$AB$22,24,FALSE)))))</f>
        <v>180</v>
      </c>
      <c r="R81" s="3" t="str">
        <f>Geometry!M46</f>
        <v>S355 NL/ML</v>
      </c>
      <c r="T81" s="3">
        <f>Geometry_loads!L37</f>
        <v>-44127.25</v>
      </c>
      <c r="U81" s="3">
        <f>Geometry_loads!M37</f>
        <v>-46415.88</v>
      </c>
      <c r="V81" s="3">
        <f>Geometry_loads!N37</f>
        <v>1041338.0864658654</v>
      </c>
      <c r="W81" s="3">
        <f>Geometry_loads!O37</f>
        <v>-56937.846853938376</v>
      </c>
      <c r="X81" s="3">
        <f t="shared" ref="X81:Y81" si="113">X53</f>
        <v>0</v>
      </c>
      <c r="Y81" s="120">
        <f t="shared" si="113"/>
        <v>0</v>
      </c>
      <c r="Z81" s="224">
        <f t="shared" si="55"/>
        <v>2.473184259019396</v>
      </c>
      <c r="AA81" s="224">
        <f t="shared" si="56"/>
        <v>5.9599653579196561</v>
      </c>
      <c r="AB81" s="224">
        <f t="shared" si="57"/>
        <v>4.8595000000000006</v>
      </c>
      <c r="AC81" s="120">
        <f t="shared" si="58"/>
        <v>81</v>
      </c>
      <c r="AD81" s="224">
        <f t="shared" si="59"/>
        <v>120.31216931216932</v>
      </c>
      <c r="AE81" s="224">
        <f t="shared" si="60"/>
        <v>0.43139199708949927</v>
      </c>
      <c r="AF81" s="224">
        <f t="shared" si="61"/>
        <v>0.37082436194503576</v>
      </c>
      <c r="AG81" s="224">
        <f t="shared" si="62"/>
        <v>0.29066496015154031</v>
      </c>
      <c r="AH81" s="224">
        <f t="shared" si="63"/>
        <v>0.87438358374535186</v>
      </c>
      <c r="AI81" s="224">
        <f t="shared" si="64"/>
        <v>33.458079596356818</v>
      </c>
      <c r="AJ81" s="224">
        <f t="shared" si="65"/>
        <v>3.0683491151810998</v>
      </c>
      <c r="AK81" s="224">
        <f t="shared" si="66"/>
        <v>5.3108062851360029E-2</v>
      </c>
      <c r="AL81" s="224">
        <f t="shared" si="67"/>
        <v>0.60584321803900609</v>
      </c>
      <c r="AM81" s="224">
        <f t="shared" si="68"/>
        <v>1</v>
      </c>
      <c r="AN81" s="224">
        <f t="shared" si="69"/>
        <v>0</v>
      </c>
      <c r="AO81" s="224">
        <f t="shared" si="70"/>
        <v>0</v>
      </c>
      <c r="AP81" s="224">
        <f t="shared" si="71"/>
        <v>191.13235605210375</v>
      </c>
      <c r="AQ81" s="224">
        <f t="shared" si="72"/>
        <v>0</v>
      </c>
      <c r="AR81" s="224">
        <f t="shared" si="73"/>
        <v>0</v>
      </c>
      <c r="AS81" s="224">
        <f t="shared" si="74"/>
        <v>0</v>
      </c>
      <c r="AT81" s="224">
        <f t="shared" si="75"/>
        <v>0</v>
      </c>
      <c r="AU81" s="224">
        <f t="shared" si="76"/>
        <v>0</v>
      </c>
      <c r="AV81" s="224">
        <f t="shared" si="77"/>
        <v>0</v>
      </c>
      <c r="AW81" s="224">
        <f t="shared" si="78"/>
        <v>0</v>
      </c>
      <c r="AX81" s="224">
        <f t="shared" si="79"/>
        <v>0</v>
      </c>
    </row>
    <row r="82" spans="3:50">
      <c r="C82" s="12" t="str">
        <f t="shared" si="43"/>
        <v>Can20</v>
      </c>
      <c r="D82" s="2">
        <f t="shared" si="44"/>
        <v>-71.8</v>
      </c>
      <c r="E82" s="3">
        <f t="shared" ref="E82:F82" si="114">G25</f>
        <v>9.8000000000000007</v>
      </c>
      <c r="F82" s="120">
        <f t="shared" si="114"/>
        <v>81</v>
      </c>
      <c r="G82" s="120">
        <f t="shared" si="46"/>
        <v>146.59891223417196</v>
      </c>
      <c r="H82" s="120">
        <f t="shared" si="47"/>
        <v>66.805210784277932</v>
      </c>
      <c r="I82" s="120">
        <f t="shared" si="48"/>
        <v>0</v>
      </c>
      <c r="J82" s="120">
        <f>VLOOKUP(R82,'Steel grades'!$B$5:$J$22,IF(F82&gt;200,10,IF(F82&gt;150,9,IF(F82&gt;120,8,IF(F82&gt;100,7,IF(F82&gt;80,6,IF(F82&gt;63,5,IF(F82&gt;40,4,IF(F82&gt;16,3,2)))))))),FALSE)</f>
        <v>315</v>
      </c>
      <c r="K82" s="3">
        <f t="shared" si="49"/>
        <v>249.82096181241005</v>
      </c>
      <c r="L82" s="3">
        <f t="shared" si="50"/>
        <v>15.208217998344006</v>
      </c>
      <c r="M82" s="3">
        <f t="shared" si="51"/>
        <v>100.16534516525611</v>
      </c>
      <c r="N82" s="3">
        <f t="shared" si="52"/>
        <v>0.82531064624866102</v>
      </c>
      <c r="O82" s="3">
        <f t="shared" si="53"/>
        <v>0.59289528048887352</v>
      </c>
      <c r="P82" s="3">
        <f>(ABS(Geometry_loads!S38)/Z82+ABS(Geometry_loads!T38)/AA82)/(1000*J82)</f>
        <v>0.34329822425355616</v>
      </c>
      <c r="Q82" s="22">
        <f>IF(D82&gt;=$R$14,IF(P82&gt;0.75,"Redesign",IF(P82&lt;0.5,VLOOKUP(R82,'Steel grades'!$B$5:$AB$22,27,FALSE),(VLOOKUP(R82,'Steel grades'!$B$5:$AB$22,27,FALSE)-VLOOKUP(R82,'Steel grades'!$B$5:$AB$22,25,FALSE))/(0.5-0.75)*(P82-0.75)+VLOOKUP(R82,'Steel grades'!$B$5:$AB$22,25,FALSE))),IF(D82&lt;$R$2,IF(P82&gt;0.75,"Redesign",IF(P82&lt;0.5,VLOOKUP(R82,'Steel grades'!$B$5:$AB$22,18,FALSE),(VLOOKUP(R82,'Steel grades'!$B$5:$AB$22,18,FALSE)-VLOOKUP(R82,'Steel grades'!$B$5:$AB$22,11,FALSE))/(0.5-0.75)*(P82-0.75)+VLOOKUP(R82,'Steel grades'!$B$5:$AB$22,11,FALSE))),IF(P82&gt;0.75,"Redesign",IF(P82&lt;0.5,VLOOKUP(R82,'Steel grades'!$B$5:$AB$22,26,FALSE),(VLOOKUP(R82,'Steel grades'!$B$5:$AB$22,26,FALSE)-VLOOKUP(R82,'Steel grades'!$B$5:$AB$22,24,FALSE))/(0.5-0.75)*(P82-0.75)+VLOOKUP(R82,'Steel grades'!$B$5:$AB$22,24,FALSE)))))</f>
        <v>180</v>
      </c>
      <c r="R82" s="3" t="str">
        <f>Geometry!M47</f>
        <v>S355 NL/ML</v>
      </c>
      <c r="T82" s="3">
        <f>Geometry_loads!L38</f>
        <v>-44127.25</v>
      </c>
      <c r="U82" s="3">
        <f>Geometry_loads!M38</f>
        <v>-46415.88</v>
      </c>
      <c r="V82" s="3">
        <f>Geometry_loads!N38</f>
        <v>773726.84955037665</v>
      </c>
      <c r="W82" s="3">
        <f>Geometry_loads!O38</f>
        <v>-77835.010233601337</v>
      </c>
      <c r="X82" s="3">
        <f t="shared" ref="X82:Y82" si="115">X54</f>
        <v>0</v>
      </c>
      <c r="Y82" s="120">
        <f t="shared" si="115"/>
        <v>0</v>
      </c>
      <c r="Z82" s="224">
        <f t="shared" si="55"/>
        <v>2.473184259019396</v>
      </c>
      <c r="AA82" s="224">
        <f t="shared" si="56"/>
        <v>5.9599653579196561</v>
      </c>
      <c r="AB82" s="224">
        <f t="shared" si="57"/>
        <v>4.8595000000000006</v>
      </c>
      <c r="AC82" s="120">
        <f t="shared" si="58"/>
        <v>81</v>
      </c>
      <c r="AD82" s="224">
        <f t="shared" si="59"/>
        <v>120.31216931216932</v>
      </c>
      <c r="AE82" s="224">
        <f t="shared" si="60"/>
        <v>0.43139199708949927</v>
      </c>
      <c r="AF82" s="224">
        <f t="shared" si="61"/>
        <v>0.37082436194503576</v>
      </c>
      <c r="AG82" s="224">
        <f t="shared" si="62"/>
        <v>0.28782918554520848</v>
      </c>
      <c r="AH82" s="224">
        <f t="shared" si="63"/>
        <v>0.87239066029730505</v>
      </c>
      <c r="AI82" s="224">
        <f t="shared" si="64"/>
        <v>33.458079596356818</v>
      </c>
      <c r="AJ82" s="224">
        <f t="shared" si="65"/>
        <v>3.0683491151810998</v>
      </c>
      <c r="AK82" s="224">
        <f t="shared" si="66"/>
        <v>5.3108062851360029E-2</v>
      </c>
      <c r="AL82" s="224">
        <f t="shared" si="67"/>
        <v>0.60584321803900609</v>
      </c>
      <c r="AM82" s="224">
        <f t="shared" si="68"/>
        <v>1</v>
      </c>
      <c r="AN82" s="224">
        <f t="shared" si="69"/>
        <v>0</v>
      </c>
      <c r="AO82" s="224">
        <f t="shared" si="70"/>
        <v>0</v>
      </c>
      <c r="AP82" s="224">
        <f t="shared" si="71"/>
        <v>146.59891223417196</v>
      </c>
      <c r="AQ82" s="224">
        <f t="shared" si="72"/>
        <v>0</v>
      </c>
      <c r="AR82" s="224">
        <f t="shared" si="73"/>
        <v>0</v>
      </c>
      <c r="AS82" s="224">
        <f t="shared" si="74"/>
        <v>0</v>
      </c>
      <c r="AT82" s="224">
        <f t="shared" si="75"/>
        <v>0</v>
      </c>
      <c r="AU82" s="224">
        <f t="shared" si="76"/>
        <v>0</v>
      </c>
      <c r="AV82" s="224">
        <f t="shared" si="77"/>
        <v>0</v>
      </c>
      <c r="AW82" s="224">
        <f t="shared" si="78"/>
        <v>0</v>
      </c>
      <c r="AX82" s="224">
        <f t="shared" si="79"/>
        <v>0</v>
      </c>
    </row>
    <row r="83" spans="3:50">
      <c r="C83" s="12" t="str">
        <f t="shared" si="43"/>
        <v>Can21</v>
      </c>
      <c r="D83" s="2">
        <f t="shared" si="44"/>
        <v>-75.8</v>
      </c>
      <c r="E83" s="3">
        <f t="shared" ref="E83:F83" si="116">G26</f>
        <v>9.8000000000000007</v>
      </c>
      <c r="F83" s="120">
        <f t="shared" si="116"/>
        <v>90</v>
      </c>
      <c r="G83" s="120">
        <f t="shared" si="46"/>
        <v>82.349123971919994</v>
      </c>
      <c r="H83" s="120">
        <f t="shared" si="47"/>
        <v>66.81723173482014</v>
      </c>
      <c r="I83" s="120">
        <f t="shared" si="48"/>
        <v>0</v>
      </c>
      <c r="J83" s="120">
        <f>VLOOKUP(R83,'Steel grades'!$B$5:$J$22,IF(F83&gt;200,10,IF(F83&gt;150,9,IF(F83&gt;120,8,IF(F83&gt;100,7,IF(F83&gt;80,6,IF(F83&gt;63,5,IF(F83&gt;40,4,IF(F83&gt;16,3,2)))))))),FALSE)</f>
        <v>315</v>
      </c>
      <c r="K83" s="3">
        <f t="shared" si="49"/>
        <v>253.72166927261082</v>
      </c>
      <c r="L83" s="3">
        <f t="shared" si="50"/>
        <v>17.132141340106244</v>
      </c>
      <c r="M83" s="3">
        <f t="shared" si="51"/>
        <v>107.89234451592876</v>
      </c>
      <c r="N83" s="3">
        <f t="shared" si="52"/>
        <v>0.6192953914812328</v>
      </c>
      <c r="O83" s="3">
        <f t="shared" si="53"/>
        <v>0.45091665646929402</v>
      </c>
      <c r="P83" s="3">
        <f>(ABS(Geometry_loads!S39)/Z83+ABS(Geometry_loads!T39)/AA83)/(1000*J83)</f>
        <v>0.19279358077052272</v>
      </c>
      <c r="Q83" s="22">
        <f>IF(D83&gt;=$R$14,IF(P83&gt;0.75,"Redesign",IF(P83&lt;0.5,VLOOKUP(R83,'Steel grades'!$B$5:$AB$22,27,FALSE),(VLOOKUP(R83,'Steel grades'!$B$5:$AB$22,27,FALSE)-VLOOKUP(R83,'Steel grades'!$B$5:$AB$22,25,FALSE))/(0.5-0.75)*(P83-0.75)+VLOOKUP(R83,'Steel grades'!$B$5:$AB$22,25,FALSE))),IF(D83&lt;$R$2,IF(P83&gt;0.75,"Redesign",IF(P83&lt;0.5,VLOOKUP(R83,'Steel grades'!$B$5:$AB$22,18,FALSE),(VLOOKUP(R83,'Steel grades'!$B$5:$AB$22,18,FALSE)-VLOOKUP(R83,'Steel grades'!$B$5:$AB$22,11,FALSE))/(0.5-0.75)*(P83-0.75)+VLOOKUP(R83,'Steel grades'!$B$5:$AB$22,11,FALSE))),IF(P83&gt;0.75,"Redesign",IF(P83&lt;0.5,VLOOKUP(R83,'Steel grades'!$B$5:$AB$22,26,FALSE),(VLOOKUP(R83,'Steel grades'!$B$5:$AB$22,26,FALSE)-VLOOKUP(R83,'Steel grades'!$B$5:$AB$22,24,FALSE))/(0.5-0.75)*(P83-0.75)+VLOOKUP(R83,'Steel grades'!$B$5:$AB$22,24,FALSE)))))</f>
        <v>180</v>
      </c>
      <c r="R83" s="3" t="str">
        <f>Geometry!M48</f>
        <v>S355 NL/ML</v>
      </c>
      <c r="T83" s="3">
        <f>Geometry_loads!L39</f>
        <v>-44127.25</v>
      </c>
      <c r="U83" s="3">
        <f>Geometry_loads!M39</f>
        <v>-46415.88</v>
      </c>
      <c r="V83" s="3">
        <f>Geometry_loads!N39</f>
        <v>441700.98015413393</v>
      </c>
      <c r="W83" s="3">
        <f>Geometry_loads!O39</f>
        <v>-86941.063303155868</v>
      </c>
      <c r="X83" s="3">
        <f t="shared" ref="X83:Y83" si="117">X55</f>
        <v>0</v>
      </c>
      <c r="Y83" s="120">
        <f t="shared" si="117"/>
        <v>0</v>
      </c>
      <c r="Z83" s="224">
        <f t="shared" si="55"/>
        <v>2.7454378199721172</v>
      </c>
      <c r="AA83" s="224">
        <f t="shared" si="56"/>
        <v>6.6039125512340453</v>
      </c>
      <c r="AB83" s="224">
        <f t="shared" si="57"/>
        <v>4.8550000000000004</v>
      </c>
      <c r="AC83" s="120">
        <f t="shared" si="58"/>
        <v>90</v>
      </c>
      <c r="AD83" s="224">
        <f t="shared" si="59"/>
        <v>114.13814557868059</v>
      </c>
      <c r="AE83" s="224">
        <f t="shared" si="60"/>
        <v>0.41288578103268808</v>
      </c>
      <c r="AF83" s="224">
        <f t="shared" si="61"/>
        <v>0.38213887965963755</v>
      </c>
      <c r="AG83" s="224">
        <f t="shared" si="62"/>
        <v>0.28048195712828339</v>
      </c>
      <c r="AH83" s="224">
        <f t="shared" si="63"/>
        <v>0.88601217841229185</v>
      </c>
      <c r="AI83" s="224">
        <f t="shared" si="64"/>
        <v>37.69071094823375</v>
      </c>
      <c r="AJ83" s="224">
        <f t="shared" si="65"/>
        <v>2.8909335693549618</v>
      </c>
      <c r="AK83" s="224">
        <f t="shared" si="66"/>
        <v>5.982652531465673E-2</v>
      </c>
      <c r="AL83" s="224">
        <f t="shared" si="67"/>
        <v>0.65257944347379471</v>
      </c>
      <c r="AM83" s="224">
        <f t="shared" si="68"/>
        <v>1</v>
      </c>
      <c r="AN83" s="224">
        <f t="shared" si="69"/>
        <v>0</v>
      </c>
      <c r="AO83" s="224">
        <f t="shared" si="70"/>
        <v>0</v>
      </c>
      <c r="AP83" s="224">
        <f t="shared" si="71"/>
        <v>82.349123971919994</v>
      </c>
      <c r="AQ83" s="224">
        <f t="shared" si="72"/>
        <v>0</v>
      </c>
      <c r="AR83" s="224">
        <f t="shared" si="73"/>
        <v>0</v>
      </c>
      <c r="AS83" s="224">
        <f t="shared" si="74"/>
        <v>0</v>
      </c>
      <c r="AT83" s="224">
        <f t="shared" si="75"/>
        <v>0</v>
      </c>
      <c r="AU83" s="224">
        <f t="shared" si="76"/>
        <v>0</v>
      </c>
      <c r="AV83" s="224">
        <f t="shared" si="77"/>
        <v>0</v>
      </c>
      <c r="AW83" s="224">
        <f t="shared" si="78"/>
        <v>0</v>
      </c>
      <c r="AX83" s="224">
        <f t="shared" si="79"/>
        <v>0</v>
      </c>
    </row>
    <row r="84" spans="3:50">
      <c r="C84" s="12" t="str">
        <f t="shared" si="43"/>
        <v>Can22</v>
      </c>
      <c r="D84" s="2">
        <f t="shared" si="44"/>
        <v>-79.73</v>
      </c>
      <c r="E84" s="3">
        <f t="shared" ref="E84:F84" si="118">G27</f>
        <v>9.8000000000000007</v>
      </c>
      <c r="F84" s="120">
        <f t="shared" si="118"/>
        <v>95</v>
      </c>
      <c r="G84" s="120">
        <f t="shared" si="46"/>
        <v>32.740395800397692</v>
      </c>
      <c r="H84" s="120">
        <f t="shared" si="47"/>
        <v>47.837493215653531</v>
      </c>
      <c r="I84" s="120">
        <f t="shared" si="48"/>
        <v>0</v>
      </c>
      <c r="J84" s="120">
        <f>VLOOKUP(R84,'Steel grades'!$B$5:$J$22,IF(F84&gt;200,10,IF(F84&gt;150,9,IF(F84&gt;120,8,IF(F84&gt;100,7,IF(F84&gt;80,6,IF(F84&gt;63,5,IF(F84&gt;40,4,IF(F84&gt;16,3,2)))))))),FALSE)</f>
        <v>315</v>
      </c>
      <c r="K84" s="3">
        <f t="shared" si="49"/>
        <v>251.04046974341836</v>
      </c>
      <c r="L84" s="3">
        <f t="shared" si="50"/>
        <v>18.164279889447453</v>
      </c>
      <c r="M84" s="3">
        <f t="shared" si="51"/>
        <v>111.66517923955928</v>
      </c>
      <c r="N84" s="3">
        <f t="shared" si="52"/>
        <v>0.42840116804027201</v>
      </c>
      <c r="O84" s="3">
        <f t="shared" si="53"/>
        <v>0.28282865173952071</v>
      </c>
      <c r="P84" s="3">
        <f>(ABS(Geometry_loads!S40)/Z84+ABS(Geometry_loads!T40)/AA84)/(1000*J84)</f>
        <v>7.6832798452628331E-2</v>
      </c>
      <c r="Q84" s="22">
        <f>IF(D84&gt;=$R$14,IF(P84&gt;0.75,"Redesign",IF(P84&lt;0.5,VLOOKUP(R84,'Steel grades'!$B$5:$AB$22,27,FALSE),(VLOOKUP(R84,'Steel grades'!$B$5:$AB$22,27,FALSE)-VLOOKUP(R84,'Steel grades'!$B$5:$AB$22,25,FALSE))/(0.5-0.75)*(P84-0.75)+VLOOKUP(R84,'Steel grades'!$B$5:$AB$22,25,FALSE))),IF(D84&lt;$R$2,IF(P84&gt;0.75,"Redesign",IF(P84&lt;0.5,VLOOKUP(R84,'Steel grades'!$B$5:$AB$22,18,FALSE),(VLOOKUP(R84,'Steel grades'!$B$5:$AB$22,18,FALSE)-VLOOKUP(R84,'Steel grades'!$B$5:$AB$22,11,FALSE))/(0.5-0.75)*(P84-0.75)+VLOOKUP(R84,'Steel grades'!$B$5:$AB$22,11,FALSE))),IF(P84&gt;0.75,"Redesign",IF(P84&lt;0.5,VLOOKUP(R84,'Steel grades'!$B$5:$AB$22,26,FALSE),(VLOOKUP(R84,'Steel grades'!$B$5:$AB$22,26,FALSE)-VLOOKUP(R84,'Steel grades'!$B$5:$AB$22,24,FALSE))/(0.5-0.75)*(P84-0.75)+VLOOKUP(R84,'Steel grades'!$B$5:$AB$22,24,FALSE)))))</f>
        <v>180</v>
      </c>
      <c r="R84" s="3" t="str">
        <f>Geometry!M49</f>
        <v>S355 NL/ML</v>
      </c>
      <c r="T84" s="3">
        <f>Geometry_loads!L40</f>
        <v>-44127.25</v>
      </c>
      <c r="U84" s="3">
        <f>Geometry_loads!M40</f>
        <v>-46415.88</v>
      </c>
      <c r="V84" s="3">
        <f>Geometry_loads!N40</f>
        <v>123021.35765570727</v>
      </c>
      <c r="W84" s="3">
        <f>Geometry_loads!O40</f>
        <v>-64497.252308779505</v>
      </c>
      <c r="X84" s="3">
        <f t="shared" ref="X84:Y84" si="119">X56</f>
        <v>0</v>
      </c>
      <c r="Y84" s="120">
        <f t="shared" si="119"/>
        <v>0</v>
      </c>
      <c r="Z84" s="224">
        <f t="shared" si="55"/>
        <v>2.8964698867934486</v>
      </c>
      <c r="AA84" s="224">
        <f t="shared" si="56"/>
        <v>6.9601026091808569</v>
      </c>
      <c r="AB84" s="224">
        <f t="shared" si="57"/>
        <v>4.8525</v>
      </c>
      <c r="AC84" s="120">
        <f t="shared" si="58"/>
        <v>95</v>
      </c>
      <c r="AD84" s="224">
        <f t="shared" si="59"/>
        <v>111.09391308602055</v>
      </c>
      <c r="AE84" s="224">
        <f t="shared" si="60"/>
        <v>0.40380299596539071</v>
      </c>
      <c r="AF84" s="224">
        <f t="shared" si="61"/>
        <v>0.38787344180203998</v>
      </c>
      <c r="AG84" s="224">
        <f t="shared" si="62"/>
        <v>0.25346776420640077</v>
      </c>
      <c r="AH84" s="224">
        <f t="shared" si="63"/>
        <v>0.87664925942146099</v>
      </c>
      <c r="AI84" s="224">
        <f t="shared" si="64"/>
        <v>39.961415756784405</v>
      </c>
      <c r="AJ84" s="224">
        <f t="shared" si="65"/>
        <v>2.8075974795844529</v>
      </c>
      <c r="AK84" s="224">
        <f t="shared" si="66"/>
        <v>6.3430818661562541E-2</v>
      </c>
      <c r="AL84" s="224">
        <f t="shared" si="67"/>
        <v>0.67539917545118189</v>
      </c>
      <c r="AM84" s="224">
        <f t="shared" si="68"/>
        <v>1</v>
      </c>
      <c r="AN84" s="224">
        <f t="shared" si="69"/>
        <v>0</v>
      </c>
      <c r="AO84" s="224">
        <f t="shared" si="70"/>
        <v>0</v>
      </c>
      <c r="AP84" s="224">
        <f t="shared" si="71"/>
        <v>32.740395800397692</v>
      </c>
      <c r="AQ84" s="224">
        <f t="shared" si="72"/>
        <v>0</v>
      </c>
      <c r="AR84" s="224">
        <f t="shared" si="73"/>
        <v>0</v>
      </c>
      <c r="AS84" s="224">
        <f t="shared" si="74"/>
        <v>0</v>
      </c>
      <c r="AT84" s="224">
        <f t="shared" si="75"/>
        <v>0</v>
      </c>
      <c r="AU84" s="224">
        <f t="shared" si="76"/>
        <v>0</v>
      </c>
      <c r="AV84" s="224">
        <f t="shared" si="77"/>
        <v>0</v>
      </c>
      <c r="AW84" s="224">
        <f t="shared" si="78"/>
        <v>0</v>
      </c>
      <c r="AX84" s="224">
        <f t="shared" si="79"/>
        <v>0</v>
      </c>
    </row>
    <row r="85" spans="3:50">
      <c r="C85" s="12" t="str">
        <f t="shared" si="43"/>
        <v>Can23</v>
      </c>
      <c r="D85" s="2">
        <f t="shared" si="44"/>
        <v>-82.73</v>
      </c>
      <c r="E85" s="3">
        <f t="shared" ref="E85:F85" si="120">G28</f>
        <v>9.8000000000000007</v>
      </c>
      <c r="F85" s="120">
        <f t="shared" si="120"/>
        <v>100</v>
      </c>
      <c r="G85" s="120">
        <f t="shared" si="46"/>
        <v>14.480672744249437</v>
      </c>
      <c r="H85" s="120">
        <f t="shared" si="47"/>
        <v>8.7735810597210673</v>
      </c>
      <c r="I85" s="120">
        <f t="shared" si="48"/>
        <v>0</v>
      </c>
      <c r="J85" s="120">
        <f>VLOOKUP(R85,'Steel grades'!$B$5:$J$22,IF(F85&gt;200,10,IF(F85&gt;150,9,IF(F85&gt;120,8,IF(F85&gt;100,7,IF(F85&gt;80,6,IF(F85&gt;63,5,IF(F85&gt;40,4,IF(F85&gt;16,3,2)))))))),FALSE)</f>
        <v>315</v>
      </c>
      <c r="K85" s="3">
        <f t="shared" si="49"/>
        <v>243.94047639759629</v>
      </c>
      <c r="L85" s="3">
        <f t="shared" si="50"/>
        <v>19.254361480905285</v>
      </c>
      <c r="M85" s="3">
        <f t="shared" si="51"/>
        <v>115.12904090124061</v>
      </c>
      <c r="N85" s="3">
        <f t="shared" si="52"/>
        <v>7.6206498300000383E-2</v>
      </c>
      <c r="O85" s="3">
        <f t="shared" si="53"/>
        <v>6.663771532820309E-2</v>
      </c>
      <c r="P85" s="3" t="e">
        <f>(ABS(Geometry_loads!S41)/Z85+ABS(Geometry_loads!T41)/AA85)/(1000*J85)</f>
        <v>#N/A</v>
      </c>
      <c r="Q85" s="22" t="e">
        <f>IF(D85&gt;=$R$14,IF(P85&gt;0.75,"Redesign",IF(P85&lt;0.5,VLOOKUP(R85,'Steel grades'!$B$5:$AB$22,27,FALSE),(VLOOKUP(R85,'Steel grades'!$B$5:$AB$22,27,FALSE)-VLOOKUP(R85,'Steel grades'!$B$5:$AB$22,25,FALSE))/(0.5-0.75)*(P85-0.75)+VLOOKUP(R85,'Steel grades'!$B$5:$AB$22,25,FALSE))),IF(D85&lt;$R$2,IF(P85&gt;0.75,"Redesign",IF(P85&lt;0.5,VLOOKUP(R85,'Steel grades'!$B$5:$AB$22,18,FALSE),(VLOOKUP(R85,'Steel grades'!$B$5:$AB$22,18,FALSE)-VLOOKUP(R85,'Steel grades'!$B$5:$AB$22,11,FALSE))/(0.5-0.75)*(P85-0.75)+VLOOKUP(R85,'Steel grades'!$B$5:$AB$22,11,FALSE))),IF(P85&gt;0.75,"Redesign",IF(P85&lt;0.5,VLOOKUP(R85,'Steel grades'!$B$5:$AB$22,26,FALSE),(VLOOKUP(R85,'Steel grades'!$B$5:$AB$22,26,FALSE)-VLOOKUP(R85,'Steel grades'!$B$5:$AB$22,24,FALSE))/(0.5-0.75)*(P85-0.75)+VLOOKUP(R85,'Steel grades'!$B$5:$AB$22,24,FALSE)))))</f>
        <v>#N/A</v>
      </c>
      <c r="R85" s="3" t="str">
        <f>Geometry!M50</f>
        <v>S355 NL/ML</v>
      </c>
      <c r="T85" s="3">
        <f>Geometry_loads!L41</f>
        <v>-44127.25</v>
      </c>
      <c r="U85" s="3">
        <f>Geometry_loads!M41</f>
        <v>-46415.88</v>
      </c>
      <c r="V85" s="3">
        <f>Geometry_loads!N41</f>
        <v>0.85810807700776814</v>
      </c>
      <c r="W85" s="3">
        <f>Geometry_loads!O41</f>
        <v>-8582.9213663624796</v>
      </c>
      <c r="X85" s="3">
        <f t="shared" ref="X85:Y85" si="121">X57</f>
        <v>0</v>
      </c>
      <c r="Y85" s="120">
        <f t="shared" si="121"/>
        <v>0</v>
      </c>
      <c r="Z85" s="224">
        <f t="shared" si="55"/>
        <v>3.0473448739820959</v>
      </c>
      <c r="AA85" s="224">
        <f t="shared" si="56"/>
        <v>7.3151824653498716</v>
      </c>
      <c r="AB85" s="224">
        <f t="shared" si="57"/>
        <v>4.8500000000000005</v>
      </c>
      <c r="AC85" s="120">
        <f t="shared" si="58"/>
        <v>100</v>
      </c>
      <c r="AD85" s="224">
        <f t="shared" si="59"/>
        <v>108.28095238095237</v>
      </c>
      <c r="AE85" s="224">
        <f t="shared" si="60"/>
        <v>0.39543881138996811</v>
      </c>
      <c r="AF85" s="224">
        <f t="shared" si="61"/>
        <v>0.39326454456084714</v>
      </c>
      <c r="AG85" s="224">
        <f t="shared" si="62"/>
        <v>0.20000080189942324</v>
      </c>
      <c r="AH85" s="224">
        <f t="shared" si="63"/>
        <v>0.85185563186462199</v>
      </c>
      <c r="AI85" s="224">
        <f t="shared" si="64"/>
        <v>42.359595257991636</v>
      </c>
      <c r="AJ85" s="224">
        <f t="shared" si="65"/>
        <v>2.7269638200773398</v>
      </c>
      <c r="AK85" s="224">
        <f t="shared" si="66"/>
        <v>6.7237452790462907E-2</v>
      </c>
      <c r="AL85" s="224">
        <f t="shared" si="67"/>
        <v>0.69635010506154449</v>
      </c>
      <c r="AM85" s="224">
        <f t="shared" si="68"/>
        <v>1</v>
      </c>
      <c r="AN85" s="224">
        <f t="shared" si="69"/>
        <v>0</v>
      </c>
      <c r="AO85" s="224">
        <f t="shared" si="70"/>
        <v>0</v>
      </c>
      <c r="AP85" s="224">
        <f t="shared" si="71"/>
        <v>14.480672744249437</v>
      </c>
      <c r="AQ85" s="224">
        <f t="shared" si="72"/>
        <v>0</v>
      </c>
      <c r="AR85" s="224">
        <f t="shared" si="73"/>
        <v>0</v>
      </c>
      <c r="AS85" s="224">
        <f t="shared" si="74"/>
        <v>0</v>
      </c>
      <c r="AT85" s="224">
        <f t="shared" si="75"/>
        <v>0</v>
      </c>
      <c r="AU85" s="224">
        <f t="shared" si="76"/>
        <v>0</v>
      </c>
      <c r="AV85" s="224">
        <f t="shared" si="77"/>
        <v>0</v>
      </c>
      <c r="AW85" s="224">
        <f t="shared" si="78"/>
        <v>0</v>
      </c>
      <c r="AX85" s="224">
        <f t="shared" si="79"/>
        <v>0</v>
      </c>
    </row>
  </sheetData>
  <sheetProtection sheet="1" objects="1" scenarios="1"/>
  <mergeCells count="95">
    <mergeCell ref="AW32:AW33"/>
    <mergeCell ref="AX32:AX33"/>
    <mergeCell ref="AI32:AI33"/>
    <mergeCell ref="AJ32:AJ33"/>
    <mergeCell ref="AF32:AF33"/>
    <mergeCell ref="AG32:AG33"/>
    <mergeCell ref="AR32:AR33"/>
    <mergeCell ref="AS32:AS33"/>
    <mergeCell ref="AH32:AH33"/>
    <mergeCell ref="AK32:AK33"/>
    <mergeCell ref="AL32:AL33"/>
    <mergeCell ref="AO32:AO33"/>
    <mergeCell ref="AC32:AC33"/>
    <mergeCell ref="AX60:AX61"/>
    <mergeCell ref="AU32:AU33"/>
    <mergeCell ref="AV32:AV33"/>
    <mergeCell ref="AT32:AT33"/>
    <mergeCell ref="AM32:AM33"/>
    <mergeCell ref="AN32:AN33"/>
    <mergeCell ref="AP32:AP33"/>
    <mergeCell ref="AQ32:AQ33"/>
    <mergeCell ref="AN60:AN61"/>
    <mergeCell ref="AO60:AO61"/>
    <mergeCell ref="AP60:AP61"/>
    <mergeCell ref="AS60:AS61"/>
    <mergeCell ref="AT60:AT61"/>
    <mergeCell ref="AU60:AU61"/>
    <mergeCell ref="AV60:AV61"/>
    <mergeCell ref="AW60:AW61"/>
    <mergeCell ref="T60:T61"/>
    <mergeCell ref="U60:U61"/>
    <mergeCell ref="V60:V61"/>
    <mergeCell ref="W60:W61"/>
    <mergeCell ref="AA60:AA61"/>
    <mergeCell ref="X60:X61"/>
    <mergeCell ref="Y60:Y61"/>
    <mergeCell ref="AF60:AF61"/>
    <mergeCell ref="Z60:Z61"/>
    <mergeCell ref="AD60:AD61"/>
    <mergeCell ref="AC60:AC61"/>
    <mergeCell ref="AE60:AE61"/>
    <mergeCell ref="AB60:AB61"/>
    <mergeCell ref="AG60:AG61"/>
    <mergeCell ref="AH60:AH61"/>
    <mergeCell ref="H60:H61"/>
    <mergeCell ref="I60:I61"/>
    <mergeCell ref="J60:J61"/>
    <mergeCell ref="K60:K61"/>
    <mergeCell ref="L60:L61"/>
    <mergeCell ref="M60:M61"/>
    <mergeCell ref="N60:N61"/>
    <mergeCell ref="O60:O61"/>
    <mergeCell ref="Q32:Q33"/>
    <mergeCell ref="R32:R33"/>
    <mergeCell ref="R60:R61"/>
    <mergeCell ref="P60:P61"/>
    <mergeCell ref="Q60:Q61"/>
    <mergeCell ref="C60:C61"/>
    <mergeCell ref="D60:D61"/>
    <mergeCell ref="E60:E61"/>
    <mergeCell ref="F60:F61"/>
    <mergeCell ref="G60:G61"/>
    <mergeCell ref="C4:C5"/>
    <mergeCell ref="C32:C33"/>
    <mergeCell ref="D32:D33"/>
    <mergeCell ref="E32:E33"/>
    <mergeCell ref="F32:F33"/>
    <mergeCell ref="G32:G33"/>
    <mergeCell ref="H32:H33"/>
    <mergeCell ref="I32:I33"/>
    <mergeCell ref="J32:J33"/>
    <mergeCell ref="K32:K33"/>
    <mergeCell ref="L32:L33"/>
    <mergeCell ref="M32:M33"/>
    <mergeCell ref="N32:N33"/>
    <mergeCell ref="O32:O33"/>
    <mergeCell ref="AE32:AE33"/>
    <mergeCell ref="P32:P33"/>
    <mergeCell ref="T32:T33"/>
    <mergeCell ref="U32:U33"/>
    <mergeCell ref="V32:V33"/>
    <mergeCell ref="X32:X33"/>
    <mergeCell ref="Y32:Y33"/>
    <mergeCell ref="Z32:Z33"/>
    <mergeCell ref="AA32:AA33"/>
    <mergeCell ref="AD32:AD33"/>
    <mergeCell ref="W32:W33"/>
    <mergeCell ref="AB32:AB33"/>
    <mergeCell ref="AI60:AI61"/>
    <mergeCell ref="AJ60:AJ61"/>
    <mergeCell ref="AM60:AM61"/>
    <mergeCell ref="AQ60:AQ61"/>
    <mergeCell ref="AR60:AR61"/>
    <mergeCell ref="AK60:AK61"/>
    <mergeCell ref="AL60:AL61"/>
  </mergeCells>
  <conditionalFormatting sqref="N35:O57 N63:O85">
    <cfRule type="cellIs" dxfId="9" priority="3" operator="greaterThan">
      <formula>1</formula>
    </cfRule>
    <cfRule type="cellIs" dxfId="8" priority="4" operator="lessThan">
      <formula>0.9</formula>
    </cfRule>
    <cfRule type="cellIs" dxfId="7" priority="5" operator="greaterThan">
      <formula>0.9</formula>
    </cfRule>
  </conditionalFormatting>
  <conditionalFormatting sqref="Q35:Q57 Q63:Q85">
    <cfRule type="cellIs" dxfId="6" priority="2" operator="greaterThan">
      <formula>F35</formula>
    </cfRule>
  </conditionalFormatting>
  <conditionalFormatting sqref="Q35:Q57 Q63:Q85">
    <cfRule type="cellIs" dxfId="5" priority="1" operator="lessThan">
      <formula>F35</formula>
    </cfRule>
  </conditionalFormatting>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053CEE6-46A4-4336-B8B1-956F447C21C3}">
          <x14:formula1>
            <xm:f>'Steel grades'!#REF!</xm:f>
          </x14:formula1>
          <xm:sqref>R35:R58 R63:R85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D9DAA9-7A0D-4019-8880-7FCC8524930C}">
  <sheetPr codeName="Tabelle15"/>
  <dimension ref="C1:BC85"/>
  <sheetViews>
    <sheetView workbookViewId="0">
      <selection activeCell="AH14" sqref="AH14"/>
    </sheetView>
  </sheetViews>
  <sheetFormatPr baseColWidth="10" defaultColWidth="10.5546875" defaultRowHeight="14.4"/>
  <cols>
    <col min="1" max="1" width="9.5546875" customWidth="1"/>
    <col min="2" max="2" width="3.5546875" bestFit="1" customWidth="1"/>
    <col min="3" max="4" width="9.5546875" customWidth="1"/>
    <col min="5" max="13" width="7" customWidth="1"/>
    <col min="14" max="15" width="7.44140625" customWidth="1"/>
    <col min="16" max="16" width="9.44140625" bestFit="1" customWidth="1"/>
    <col min="17" max="17" width="8.44140625" customWidth="1"/>
    <col min="18" max="19" width="7.44140625" customWidth="1"/>
    <col min="20" max="20" width="8.5546875" customWidth="1"/>
    <col min="21" max="21" width="7.44140625" bestFit="1" customWidth="1"/>
    <col min="22" max="22" width="4.5546875" bestFit="1" customWidth="1"/>
    <col min="23" max="23" width="10" bestFit="1" customWidth="1"/>
    <col min="24" max="24" width="4.5546875" bestFit="1" customWidth="1"/>
    <col min="25" max="25" width="6" bestFit="1" customWidth="1"/>
    <col min="29" max="29" width="10.77734375" bestFit="1" customWidth="1"/>
    <col min="36" max="36" width="9.44140625" bestFit="1" customWidth="1"/>
    <col min="38" max="38" width="9" bestFit="1" customWidth="1"/>
    <col min="39" max="39" width="8.5546875" bestFit="1" customWidth="1"/>
    <col min="40" max="40" width="6.5546875" bestFit="1" customWidth="1"/>
    <col min="41" max="41" width="9" bestFit="1" customWidth="1"/>
    <col min="42" max="42" width="6.77734375" customWidth="1"/>
    <col min="43" max="43" width="9.5546875" customWidth="1"/>
    <col min="44" max="44" width="11.5546875" bestFit="1" customWidth="1"/>
    <col min="45" max="45" width="11.44140625" customWidth="1"/>
    <col min="46" max="46" width="7.21875" customWidth="1"/>
    <col min="47" max="47" width="9.77734375" customWidth="1"/>
    <col min="48" max="48" width="12" customWidth="1"/>
    <col min="49" max="51" width="5" customWidth="1"/>
    <col min="52" max="52" width="5.5546875" customWidth="1"/>
    <col min="53" max="54" width="6.44140625" customWidth="1"/>
    <col min="55" max="55" width="5.5546875" customWidth="1"/>
    <col min="56" max="56" width="13.44140625" bestFit="1" customWidth="1"/>
  </cols>
  <sheetData>
    <row r="1" spans="3:55">
      <c r="P1" s="199" t="s">
        <v>589</v>
      </c>
      <c r="Q1" s="199"/>
      <c r="R1" s="199"/>
      <c r="S1" s="199"/>
      <c r="T1" s="32"/>
      <c r="U1" s="209" t="s">
        <v>590</v>
      </c>
      <c r="V1" s="209"/>
      <c r="W1" s="209"/>
      <c r="X1" s="209"/>
      <c r="Y1" s="209"/>
      <c r="Z1" s="32"/>
      <c r="AA1" s="209" t="s">
        <v>592</v>
      </c>
      <c r="AB1" s="209"/>
      <c r="AC1" s="209"/>
      <c r="AD1" s="209"/>
    </row>
    <row r="2" spans="3:55">
      <c r="P2" s="32" t="s">
        <v>199</v>
      </c>
      <c r="Q2" s="32"/>
      <c r="R2" s="198" t="e">
        <f>SUM(I6:I28)</f>
        <v>#REF!</v>
      </c>
      <c r="S2" s="32" t="s">
        <v>91</v>
      </c>
      <c r="T2" s="32"/>
      <c r="U2" s="32" t="s">
        <v>92</v>
      </c>
      <c r="V2" s="32"/>
      <c r="W2" s="32">
        <v>210000000</v>
      </c>
      <c r="X2" s="32" t="s">
        <v>93</v>
      </c>
      <c r="Y2" s="32"/>
      <c r="Z2" s="32"/>
      <c r="AA2" s="32" t="s">
        <v>593</v>
      </c>
      <c r="AB2" s="32"/>
      <c r="AC2" s="198" t="str">
        <f>Control!$F$31</f>
        <v>C</v>
      </c>
      <c r="AD2" s="32"/>
    </row>
    <row r="3" spans="3:55">
      <c r="C3" s="35" t="s">
        <v>468</v>
      </c>
      <c r="P3" s="32"/>
      <c r="Q3" s="32"/>
      <c r="R3" s="32"/>
      <c r="S3" s="32"/>
      <c r="T3" s="32"/>
      <c r="U3" s="209" t="s">
        <v>552</v>
      </c>
      <c r="V3" s="209"/>
      <c r="W3" s="209"/>
      <c r="X3" s="209"/>
      <c r="Y3" s="209"/>
      <c r="Z3" s="32"/>
      <c r="AA3" s="32" t="s">
        <v>595</v>
      </c>
      <c r="AB3" s="32"/>
      <c r="AC3" s="32"/>
      <c r="AD3" s="32"/>
      <c r="AU3" s="23"/>
      <c r="AV3" s="24"/>
      <c r="AW3" s="24"/>
      <c r="AX3" s="24"/>
      <c r="AY3" s="24"/>
      <c r="AZ3" s="24"/>
    </row>
    <row r="4" spans="3:55">
      <c r="C4" s="12" t="s">
        <v>0</v>
      </c>
      <c r="D4" s="12" t="s">
        <v>1</v>
      </c>
      <c r="E4" s="12" t="s">
        <v>2</v>
      </c>
      <c r="F4" s="12" t="s">
        <v>104</v>
      </c>
      <c r="G4" s="12" t="s">
        <v>103</v>
      </c>
      <c r="H4" s="12" t="s">
        <v>5</v>
      </c>
      <c r="I4" s="12" t="s">
        <v>6</v>
      </c>
      <c r="J4" s="12" t="s">
        <v>7</v>
      </c>
      <c r="K4" s="12" t="s">
        <v>8</v>
      </c>
      <c r="L4" s="20"/>
      <c r="P4" s="32"/>
      <c r="Q4" s="32"/>
      <c r="R4" s="32"/>
      <c r="S4" s="32"/>
      <c r="T4" s="32"/>
      <c r="U4" s="32" t="s">
        <v>95</v>
      </c>
      <c r="V4" s="32"/>
      <c r="W4" s="198">
        <f>Control!$F$29</f>
        <v>1.1000000000000001</v>
      </c>
      <c r="X4" s="32"/>
      <c r="Y4" s="32"/>
      <c r="Z4" s="32"/>
      <c r="AA4" s="32"/>
      <c r="AB4" s="32" t="s">
        <v>594</v>
      </c>
      <c r="AC4" s="32">
        <f>IF(AC2="A",40,IF(AC2="B",25,16))</f>
        <v>16</v>
      </c>
      <c r="AD4" s="32"/>
      <c r="AU4" s="23"/>
      <c r="AV4" s="195"/>
      <c r="AW4" s="195"/>
      <c r="AX4" s="195"/>
      <c r="AY4" s="195"/>
      <c r="AZ4" s="195"/>
      <c r="BA4" s="195"/>
      <c r="BB4" s="195"/>
      <c r="BC4" s="195"/>
    </row>
    <row r="5" spans="3:55">
      <c r="C5" s="12"/>
      <c r="D5" s="12" t="str">
        <f>"[m"&amp;Control!$F$7&amp;"]"</f>
        <v>[mLAT]</v>
      </c>
      <c r="E5" s="12" t="str">
        <f>"[m"&amp;Control!$F$7&amp;"]"</f>
        <v>[mLAT]</v>
      </c>
      <c r="F5" s="12" t="s">
        <v>9</v>
      </c>
      <c r="G5" s="12" t="s">
        <v>9</v>
      </c>
      <c r="H5" s="12" t="s">
        <v>10</v>
      </c>
      <c r="I5" s="12" t="s">
        <v>9</v>
      </c>
      <c r="J5" s="12" t="s">
        <v>11</v>
      </c>
      <c r="K5" s="12" t="s">
        <v>12</v>
      </c>
      <c r="L5" s="20"/>
      <c r="T5" s="32"/>
      <c r="U5" s="32" t="s">
        <v>96</v>
      </c>
      <c r="V5" s="32"/>
      <c r="W5" s="198">
        <f>Control!$F$28</f>
        <v>1</v>
      </c>
      <c r="X5" s="32"/>
      <c r="Y5" s="32"/>
      <c r="Z5" s="32"/>
      <c r="AA5" s="32"/>
      <c r="AB5" s="32" t="s">
        <v>596</v>
      </c>
      <c r="AC5" s="32">
        <f>IF(AC2="A",0.75,IF(AC2="B",0.65,0.5))</f>
        <v>0.5</v>
      </c>
      <c r="AD5" s="32"/>
      <c r="AU5" s="196"/>
      <c r="AV5" s="197"/>
      <c r="AW5" s="197"/>
      <c r="AX5" s="197"/>
      <c r="AY5" s="197"/>
      <c r="AZ5" s="197"/>
      <c r="BA5" s="197"/>
      <c r="BB5" s="197"/>
      <c r="BC5" s="197"/>
    </row>
    <row r="6" spans="3:55">
      <c r="C6" s="12">
        <v>1</v>
      </c>
      <c r="D6" s="44">
        <f>Geometry!D28</f>
        <v>5.5</v>
      </c>
      <c r="E6" s="44">
        <f>Geometry!E28</f>
        <v>1.6</v>
      </c>
      <c r="F6" s="44">
        <f>Geometry!F28</f>
        <v>7.5</v>
      </c>
      <c r="G6" s="44">
        <f>Geometry!G28</f>
        <v>7.5</v>
      </c>
      <c r="H6" s="44">
        <f>Geometry!H28</f>
        <v>108</v>
      </c>
      <c r="I6" s="56">
        <f>D6-E6</f>
        <v>3.9</v>
      </c>
      <c r="J6" s="57">
        <f>ATAN((G6-F6)/(2*I6))/PI()*180</f>
        <v>0</v>
      </c>
      <c r="K6" s="58">
        <f>IF(J6=0,PI()/4*(F6^2-(F6-(2*H6/1000))^2)*I6*7850/1000,(I6*PI()/12)*((G6^2+G6*F6+F6^2)-((G6-2*(H6/1000))^2+(G6-(2*H6/1000))*(F6-(2*H6/1000))+(F6-(2*H6/1000))^2))*7850/1000)</f>
        <v>76.783843986196089</v>
      </c>
      <c r="L6" s="21"/>
      <c r="P6" s="32"/>
      <c r="Q6" s="32"/>
      <c r="R6" s="32"/>
      <c r="S6" s="32"/>
      <c r="T6" s="32"/>
      <c r="U6" s="32"/>
      <c r="V6" s="32"/>
      <c r="W6" s="32"/>
      <c r="X6" s="32"/>
      <c r="Y6" s="32"/>
      <c r="Z6" s="32"/>
      <c r="AA6" s="32"/>
      <c r="AB6" s="32" t="s">
        <v>597</v>
      </c>
      <c r="AC6" s="32">
        <f>IF(AC2="A",0.75,IF(AC2="B",0.65,0.5))</f>
        <v>0.5</v>
      </c>
      <c r="AD6" s="32"/>
      <c r="AU6" s="196"/>
      <c r="AV6" s="197"/>
      <c r="AW6" s="197"/>
      <c r="AX6" s="197"/>
      <c r="AY6" s="197"/>
      <c r="AZ6" s="197"/>
      <c r="BA6" s="197"/>
      <c r="BB6" s="197"/>
      <c r="BC6" s="197"/>
    </row>
    <row r="7" spans="3:55">
      <c r="C7" s="12">
        <v>2</v>
      </c>
      <c r="D7" s="44">
        <f>Geometry!D29</f>
        <v>1.6</v>
      </c>
      <c r="E7" s="44">
        <f>Geometry!E29</f>
        <v>-2.2999999999999998</v>
      </c>
      <c r="F7" s="44">
        <f>Geometry!F29</f>
        <v>7.5</v>
      </c>
      <c r="G7" s="44">
        <f>Geometry!G29</f>
        <v>7.5</v>
      </c>
      <c r="H7" s="44">
        <f>Geometry!H29</f>
        <v>100</v>
      </c>
      <c r="I7" s="56">
        <f t="shared" ref="I7:I28" si="0">D7-E7</f>
        <v>3.9</v>
      </c>
      <c r="J7" s="57">
        <f t="shared" ref="J7:J28" si="1">ATAN((G7-F7)/(2*I7))/PI()*180</f>
        <v>0</v>
      </c>
      <c r="K7" s="58">
        <f t="shared" ref="K7:K28" si="2">IF(J7=0,PI()/4*(F7^2-(F7-(2*H7/1000))^2)*I7*7850/1000,(I7*PI()/12)*((G7^2+G7*F7+F7^2)-((G7-2*(H7/1000))^2+(G7-(2*H7/1000))*(F7-(2*H7/1000))+(F7-(2*H7/1000))^2))*7850/1000)</f>
        <v>71.17309572634214</v>
      </c>
      <c r="R7" s="29"/>
      <c r="S7" s="29"/>
      <c r="AB7" s="32" t="s">
        <v>650</v>
      </c>
      <c r="AC7">
        <v>3</v>
      </c>
      <c r="AU7" s="196"/>
      <c r="AV7" s="197"/>
      <c r="AW7" s="197"/>
      <c r="AX7" s="197"/>
      <c r="AY7" s="197"/>
      <c r="AZ7" s="197"/>
      <c r="BA7" s="197"/>
      <c r="BB7" s="197"/>
      <c r="BC7" s="197"/>
    </row>
    <row r="8" spans="3:55">
      <c r="C8" s="12">
        <v>3</v>
      </c>
      <c r="D8" s="44">
        <f>Geometry!D30</f>
        <v>-2.2999999999999998</v>
      </c>
      <c r="E8" s="44">
        <f>Geometry!E30</f>
        <v>-6.2</v>
      </c>
      <c r="F8" s="44">
        <f>Geometry!F30</f>
        <v>7.5</v>
      </c>
      <c r="G8" s="44">
        <f>Geometry!G30</f>
        <v>7.5</v>
      </c>
      <c r="H8" s="44">
        <f>Geometry!H30</f>
        <v>100</v>
      </c>
      <c r="I8" s="56">
        <f t="shared" si="0"/>
        <v>3.9000000000000004</v>
      </c>
      <c r="J8" s="57">
        <f t="shared" si="1"/>
        <v>0</v>
      </c>
      <c r="K8" s="58">
        <f t="shared" si="2"/>
        <v>71.17309572634214</v>
      </c>
      <c r="R8" s="29"/>
      <c r="S8" s="29"/>
      <c r="AU8" s="196"/>
      <c r="AV8" s="197"/>
      <c r="AW8" s="197"/>
      <c r="AX8" s="197"/>
      <c r="AY8" s="197"/>
      <c r="AZ8" s="197"/>
      <c r="BA8" s="197"/>
      <c r="BB8" s="197"/>
      <c r="BC8" s="197"/>
    </row>
    <row r="9" spans="3:55">
      <c r="C9" s="12">
        <v>4</v>
      </c>
      <c r="D9" s="44">
        <f>Geometry!D31</f>
        <v>-6.2</v>
      </c>
      <c r="E9" s="44">
        <f>Geometry!E31</f>
        <v>-10.1</v>
      </c>
      <c r="F9" s="44">
        <f>Geometry!F31</f>
        <v>7.5</v>
      </c>
      <c r="G9" s="44">
        <f>Geometry!G31</f>
        <v>7.8282999999999996</v>
      </c>
      <c r="H9" s="44">
        <f>Geometry!H31</f>
        <v>100</v>
      </c>
      <c r="I9" s="56">
        <f t="shared" si="0"/>
        <v>3.8999999999999995</v>
      </c>
      <c r="J9" s="57">
        <f t="shared" si="1"/>
        <v>2.4101421139187913</v>
      </c>
      <c r="K9" s="58">
        <f t="shared" si="2"/>
        <v>72.751888113298889</v>
      </c>
      <c r="P9" s="29"/>
      <c r="AU9" s="196"/>
      <c r="AV9" s="197"/>
      <c r="AW9" s="197"/>
      <c r="AX9" s="197"/>
      <c r="AY9" s="197"/>
      <c r="AZ9" s="197"/>
      <c r="BA9" s="197"/>
      <c r="BB9" s="197"/>
      <c r="BC9" s="197"/>
    </row>
    <row r="10" spans="3:55">
      <c r="C10" s="12">
        <v>5</v>
      </c>
      <c r="D10" s="44">
        <f>Geometry!D32</f>
        <v>-10.1</v>
      </c>
      <c r="E10" s="44">
        <f>Geometry!E32</f>
        <v>-14</v>
      </c>
      <c r="F10" s="44">
        <f>Geometry!F32</f>
        <v>7.8282999999999996</v>
      </c>
      <c r="G10" s="44">
        <f>Geometry!G32</f>
        <v>8.1565999999999992</v>
      </c>
      <c r="H10" s="44">
        <f>Geometry!H32</f>
        <v>106</v>
      </c>
      <c r="I10" s="56">
        <f t="shared" si="0"/>
        <v>3.9000000000000004</v>
      </c>
      <c r="J10" s="57">
        <f t="shared" si="1"/>
        <v>2.4101421139187904</v>
      </c>
      <c r="K10" s="58">
        <f t="shared" si="2"/>
        <v>80.402870870063566</v>
      </c>
      <c r="P10" s="29"/>
    </row>
    <row r="11" spans="3:55">
      <c r="C11" s="12">
        <v>6</v>
      </c>
      <c r="D11" s="44">
        <f>Geometry!D33</f>
        <v>-14</v>
      </c>
      <c r="E11" s="44">
        <f>Geometry!E33</f>
        <v>-17.899999999999999</v>
      </c>
      <c r="F11" s="44">
        <f>Geometry!F33</f>
        <v>8.1565999999999992</v>
      </c>
      <c r="G11" s="44">
        <f>Geometry!G33</f>
        <v>8.4847999999999999</v>
      </c>
      <c r="H11" s="44">
        <f>Geometry!H33</f>
        <v>98</v>
      </c>
      <c r="I11" s="56">
        <f t="shared" si="0"/>
        <v>3.8999999999999986</v>
      </c>
      <c r="J11" s="57">
        <f t="shared" si="1"/>
        <v>2.4094088512562686</v>
      </c>
      <c r="K11" s="58">
        <f t="shared" si="2"/>
        <v>77.504096478974418</v>
      </c>
      <c r="P11" s="29"/>
    </row>
    <row r="12" spans="3:55">
      <c r="C12" s="12">
        <v>7</v>
      </c>
      <c r="D12" s="44">
        <f>Geometry!D34</f>
        <v>-17.899999999999999</v>
      </c>
      <c r="E12" s="44">
        <f>Geometry!E34</f>
        <v>-21.8</v>
      </c>
      <c r="F12" s="44">
        <f>Geometry!F34</f>
        <v>8.4847999999999999</v>
      </c>
      <c r="G12" s="44">
        <f>Geometry!G34</f>
        <v>8.8131000000000004</v>
      </c>
      <c r="H12" s="44">
        <f>Geometry!H34</f>
        <v>93</v>
      </c>
      <c r="I12" s="56">
        <f t="shared" si="0"/>
        <v>3.9000000000000021</v>
      </c>
      <c r="J12" s="57">
        <f t="shared" si="1"/>
        <v>2.4101421139187957</v>
      </c>
      <c r="K12" s="58">
        <f t="shared" si="2"/>
        <v>76.530636080163617</v>
      </c>
      <c r="P12" s="29"/>
    </row>
    <row r="13" spans="3:55">
      <c r="C13" s="12">
        <v>8</v>
      </c>
      <c r="D13" s="44">
        <f>Geometry!D35</f>
        <v>-21.8</v>
      </c>
      <c r="E13" s="44">
        <f>Geometry!E35</f>
        <v>-25.7</v>
      </c>
      <c r="F13" s="44">
        <f>Geometry!F35</f>
        <v>8.8131000000000004</v>
      </c>
      <c r="G13" s="44">
        <f>Geometry!G35</f>
        <v>9.1414000000000009</v>
      </c>
      <c r="H13" s="44">
        <f>Geometry!H35</f>
        <v>93</v>
      </c>
      <c r="I13" s="56">
        <f t="shared" si="0"/>
        <v>3.8999999999999986</v>
      </c>
      <c r="J13" s="57">
        <f t="shared" si="1"/>
        <v>2.4101421139187984</v>
      </c>
      <c r="K13" s="58">
        <f t="shared" si="2"/>
        <v>79.467189919903291</v>
      </c>
    </row>
    <row r="14" spans="3:55">
      <c r="C14" s="12">
        <v>9</v>
      </c>
      <c r="D14" s="44">
        <f>Geometry!D36</f>
        <v>-25.7</v>
      </c>
      <c r="E14" s="44">
        <f>Geometry!E36</f>
        <v>-29.6</v>
      </c>
      <c r="F14" s="44">
        <f>Geometry!F36</f>
        <v>9.1414000000000009</v>
      </c>
      <c r="G14" s="44">
        <f>Geometry!G36</f>
        <v>9.4696999999999996</v>
      </c>
      <c r="H14" s="44">
        <f>Geometry!H36</f>
        <v>93</v>
      </c>
      <c r="I14" s="56">
        <f t="shared" si="0"/>
        <v>3.9000000000000021</v>
      </c>
      <c r="J14" s="57">
        <f t="shared" si="1"/>
        <v>2.4101421139187829</v>
      </c>
      <c r="K14" s="58">
        <f t="shared" si="2"/>
        <v>82.403743759642452</v>
      </c>
    </row>
    <row r="15" spans="3:55">
      <c r="C15" s="12">
        <v>10</v>
      </c>
      <c r="D15" s="44">
        <f>Geometry!D37</f>
        <v>-29.6</v>
      </c>
      <c r="E15" s="44">
        <f>Geometry!E37</f>
        <v>-33.5</v>
      </c>
      <c r="F15" s="44">
        <f>Geometry!F37</f>
        <v>9.4696999999999996</v>
      </c>
      <c r="G15" s="44">
        <f>Geometry!G37</f>
        <v>9.8000000000000007</v>
      </c>
      <c r="H15" s="44">
        <f>Geometry!H37</f>
        <v>93</v>
      </c>
      <c r="I15" s="56">
        <f t="shared" si="0"/>
        <v>3.8999999999999986</v>
      </c>
      <c r="J15" s="57">
        <f t="shared" si="1"/>
        <v>2.4248072009611419</v>
      </c>
      <c r="K15" s="58">
        <f t="shared" si="2"/>
        <v>85.349242326277192</v>
      </c>
    </row>
    <row r="16" spans="3:55">
      <c r="C16" s="12">
        <v>11</v>
      </c>
      <c r="D16" s="44">
        <f>Geometry!D38</f>
        <v>-33.5</v>
      </c>
      <c r="E16" s="44">
        <f>Geometry!E38</f>
        <v>-36.799999999999997</v>
      </c>
      <c r="F16" s="44">
        <f>Geometry!F38</f>
        <v>9.8000000000000007</v>
      </c>
      <c r="G16" s="44">
        <f>Geometry!G38</f>
        <v>9.8000000000000007</v>
      </c>
      <c r="H16" s="44">
        <f>Geometry!H38</f>
        <v>93</v>
      </c>
      <c r="I16" s="56">
        <f t="shared" si="0"/>
        <v>3.2999999999999972</v>
      </c>
      <c r="J16" s="57">
        <f t="shared" si="1"/>
        <v>0</v>
      </c>
      <c r="K16" s="58">
        <f t="shared" si="2"/>
        <v>73.468546438727955</v>
      </c>
    </row>
    <row r="17" spans="3:48">
      <c r="C17" s="12">
        <v>12</v>
      </c>
      <c r="D17" s="44" t="e">
        <f>Geometry!#REF!</f>
        <v>#REF!</v>
      </c>
      <c r="E17" s="44" t="e">
        <f>Geometry!#REF!</f>
        <v>#REF!</v>
      </c>
      <c r="F17" s="44" t="e">
        <f>Geometry!#REF!</f>
        <v>#REF!</v>
      </c>
      <c r="G17" s="44" t="e">
        <f>Geometry!#REF!</f>
        <v>#REF!</v>
      </c>
      <c r="H17" s="44" t="e">
        <f>Geometry!#REF!</f>
        <v>#REF!</v>
      </c>
      <c r="I17" s="56" t="e">
        <f t="shared" si="0"/>
        <v>#REF!</v>
      </c>
      <c r="J17" s="57" t="e">
        <f t="shared" si="1"/>
        <v>#REF!</v>
      </c>
      <c r="K17" s="58" t="e">
        <f t="shared" si="2"/>
        <v>#REF!</v>
      </c>
    </row>
    <row r="18" spans="3:48">
      <c r="C18" s="12">
        <v>13</v>
      </c>
      <c r="D18" s="44">
        <f>Geometry!D40</f>
        <v>-40.200000000000003</v>
      </c>
      <c r="E18" s="44">
        <f>Geometry!E40</f>
        <v>-43.8</v>
      </c>
      <c r="F18" s="44">
        <f>Geometry!F40</f>
        <v>9.8000000000000007</v>
      </c>
      <c r="G18" s="44">
        <f>Geometry!G40</f>
        <v>9.8000000000000007</v>
      </c>
      <c r="H18" s="44">
        <f>Geometry!H40</f>
        <v>102</v>
      </c>
      <c r="I18" s="56">
        <f t="shared" si="0"/>
        <v>3.5999999999999943</v>
      </c>
      <c r="J18" s="57">
        <f t="shared" si="1"/>
        <v>0</v>
      </c>
      <c r="K18" s="58">
        <f t="shared" si="2"/>
        <v>87.822214054197303</v>
      </c>
    </row>
    <row r="19" spans="3:48">
      <c r="C19" s="12">
        <v>14</v>
      </c>
      <c r="D19" s="44">
        <f>Geometry!D42</f>
        <v>-47.8</v>
      </c>
      <c r="E19" s="44">
        <f>Geometry!E42</f>
        <v>-51.8</v>
      </c>
      <c r="F19" s="44">
        <f>Geometry!F42</f>
        <v>9.8000000000000007</v>
      </c>
      <c r="G19" s="44">
        <f>Geometry!G42</f>
        <v>9.8000000000000007</v>
      </c>
      <c r="H19" s="44">
        <f>Geometry!H42</f>
        <v>90</v>
      </c>
      <c r="I19" s="56">
        <f t="shared" si="0"/>
        <v>4</v>
      </c>
      <c r="J19" s="57">
        <f t="shared" si="1"/>
        <v>0</v>
      </c>
      <c r="K19" s="58">
        <f t="shared" si="2"/>
        <v>86.206747547124479</v>
      </c>
    </row>
    <row r="20" spans="3:48">
      <c r="C20" s="12">
        <v>15</v>
      </c>
      <c r="D20" s="44">
        <f>Geometry!D43</f>
        <v>-51.8</v>
      </c>
      <c r="E20" s="44">
        <f>Geometry!E43</f>
        <v>-55.8</v>
      </c>
      <c r="F20" s="44">
        <f>Geometry!F43</f>
        <v>9.8000000000000007</v>
      </c>
      <c r="G20" s="44">
        <f>Geometry!G43</f>
        <v>9.8000000000000007</v>
      </c>
      <c r="H20" s="44">
        <f>Geometry!H43</f>
        <v>81</v>
      </c>
      <c r="I20" s="56">
        <f t="shared" si="0"/>
        <v>4</v>
      </c>
      <c r="J20" s="57">
        <f t="shared" si="1"/>
        <v>0</v>
      </c>
      <c r="K20" s="58">
        <f t="shared" si="2"/>
        <v>77.657985733209031</v>
      </c>
    </row>
    <row r="21" spans="3:48">
      <c r="C21" s="12">
        <v>16</v>
      </c>
      <c r="D21" s="44">
        <f>Geometry!D44</f>
        <v>-55.8</v>
      </c>
      <c r="E21" s="44">
        <f>Geometry!E44</f>
        <v>-59.8</v>
      </c>
      <c r="F21" s="44">
        <f>Geometry!F44</f>
        <v>9.8000000000000007</v>
      </c>
      <c r="G21" s="44">
        <f>Geometry!G44</f>
        <v>9.8000000000000007</v>
      </c>
      <c r="H21" s="44">
        <f>Geometry!H44</f>
        <v>81</v>
      </c>
      <c r="I21" s="56">
        <f t="shared" si="0"/>
        <v>4</v>
      </c>
      <c r="J21" s="57">
        <f t="shared" si="1"/>
        <v>0</v>
      </c>
      <c r="K21" s="58">
        <f t="shared" si="2"/>
        <v>77.657985733209031</v>
      </c>
    </row>
    <row r="22" spans="3:48">
      <c r="C22" s="12">
        <v>17</v>
      </c>
      <c r="D22" s="44">
        <f>Geometry!D45</f>
        <v>-59.8</v>
      </c>
      <c r="E22" s="44">
        <f>Geometry!E45</f>
        <v>-63.8</v>
      </c>
      <c r="F22" s="44">
        <f>Geometry!F45</f>
        <v>9.8000000000000007</v>
      </c>
      <c r="G22" s="44">
        <f>Geometry!G45</f>
        <v>9.8000000000000007</v>
      </c>
      <c r="H22" s="44">
        <f>Geometry!H45</f>
        <v>81</v>
      </c>
      <c r="I22" s="56">
        <f t="shared" si="0"/>
        <v>4</v>
      </c>
      <c r="J22" s="57">
        <f t="shared" si="1"/>
        <v>0</v>
      </c>
      <c r="K22" s="58">
        <f t="shared" si="2"/>
        <v>77.657985733209031</v>
      </c>
    </row>
    <row r="23" spans="3:48">
      <c r="C23" s="12">
        <v>18</v>
      </c>
      <c r="D23" s="44">
        <f>Geometry!D46</f>
        <v>-63.8</v>
      </c>
      <c r="E23" s="44">
        <f>Geometry!E46</f>
        <v>-67.8</v>
      </c>
      <c r="F23" s="44">
        <f>Geometry!F46</f>
        <v>9.8000000000000007</v>
      </c>
      <c r="G23" s="44">
        <f>Geometry!G46</f>
        <v>9.8000000000000007</v>
      </c>
      <c r="H23" s="44">
        <f>Geometry!H46</f>
        <v>81</v>
      </c>
      <c r="I23" s="56">
        <f t="shared" si="0"/>
        <v>4</v>
      </c>
      <c r="J23" s="57">
        <f t="shared" si="1"/>
        <v>0</v>
      </c>
      <c r="K23" s="58">
        <f t="shared" si="2"/>
        <v>77.657985733209031</v>
      </c>
    </row>
    <row r="24" spans="3:48">
      <c r="C24" s="12">
        <v>19</v>
      </c>
      <c r="D24" s="44">
        <f>Geometry!D47</f>
        <v>-67.8</v>
      </c>
      <c r="E24" s="44">
        <f>Geometry!E47</f>
        <v>-71.8</v>
      </c>
      <c r="F24" s="44">
        <f>Geometry!F47</f>
        <v>9.8000000000000007</v>
      </c>
      <c r="G24" s="44">
        <f>Geometry!G47</f>
        <v>9.8000000000000007</v>
      </c>
      <c r="H24" s="44">
        <f>Geometry!H47</f>
        <v>81</v>
      </c>
      <c r="I24" s="56">
        <f t="shared" si="0"/>
        <v>4</v>
      </c>
      <c r="J24" s="57">
        <f t="shared" si="1"/>
        <v>0</v>
      </c>
      <c r="K24" s="58">
        <f t="shared" si="2"/>
        <v>77.657985733209031</v>
      </c>
    </row>
    <row r="25" spans="3:48">
      <c r="C25" s="12">
        <v>20</v>
      </c>
      <c r="D25" s="44" t="e">
        <f>Geometry!#REF!</f>
        <v>#REF!</v>
      </c>
      <c r="E25" s="44" t="e">
        <f>Geometry!#REF!</f>
        <v>#REF!</v>
      </c>
      <c r="F25" s="44" t="e">
        <f>Geometry!#REF!</f>
        <v>#REF!</v>
      </c>
      <c r="G25" s="44" t="e">
        <f>Geometry!#REF!</f>
        <v>#REF!</v>
      </c>
      <c r="H25" s="44" t="e">
        <f>Geometry!#REF!</f>
        <v>#REF!</v>
      </c>
      <c r="I25" s="56" t="e">
        <f t="shared" si="0"/>
        <v>#REF!</v>
      </c>
      <c r="J25" s="57" t="e">
        <f t="shared" si="1"/>
        <v>#REF!</v>
      </c>
      <c r="K25" s="58" t="e">
        <f t="shared" si="2"/>
        <v>#REF!</v>
      </c>
    </row>
    <row r="26" spans="3:48">
      <c r="C26" s="12">
        <v>21</v>
      </c>
      <c r="D26" s="44">
        <f>Geometry!D48</f>
        <v>-71.8</v>
      </c>
      <c r="E26" s="44">
        <f>Geometry!E48</f>
        <v>-75.8</v>
      </c>
      <c r="F26" s="44">
        <f>Geometry!F48</f>
        <v>9.8000000000000007</v>
      </c>
      <c r="G26" s="44">
        <f>Geometry!G48</f>
        <v>9.8000000000000007</v>
      </c>
      <c r="H26" s="44">
        <f>Geometry!H48</f>
        <v>90</v>
      </c>
      <c r="I26" s="56">
        <f t="shared" si="0"/>
        <v>4</v>
      </c>
      <c r="J26" s="57">
        <f t="shared" si="1"/>
        <v>0</v>
      </c>
      <c r="K26" s="58">
        <f t="shared" si="2"/>
        <v>86.206747547124479</v>
      </c>
    </row>
    <row r="27" spans="3:48">
      <c r="C27" s="12">
        <v>22</v>
      </c>
      <c r="D27" s="44">
        <f>Geometry!D49</f>
        <v>-75.8</v>
      </c>
      <c r="E27" s="44">
        <f>Geometry!E49</f>
        <v>-79.73</v>
      </c>
      <c r="F27" s="44">
        <f>Geometry!F49</f>
        <v>9.8000000000000007</v>
      </c>
      <c r="G27" s="44">
        <f>Geometry!G49</f>
        <v>9.8000000000000007</v>
      </c>
      <c r="H27" s="44">
        <f>Geometry!H49</f>
        <v>95</v>
      </c>
      <c r="I27" s="56">
        <f t="shared" si="0"/>
        <v>3.9300000000000068</v>
      </c>
      <c r="J27" s="57">
        <f t="shared" si="1"/>
        <v>0</v>
      </c>
      <c r="K27" s="58">
        <f t="shared" si="2"/>
        <v>89.357544242521442</v>
      </c>
    </row>
    <row r="28" spans="3:48">
      <c r="C28" s="12">
        <v>23</v>
      </c>
      <c r="D28" s="44">
        <f>Geometry!D50</f>
        <v>-79.73</v>
      </c>
      <c r="E28" s="44">
        <f>Geometry!E50</f>
        <v>-82.73</v>
      </c>
      <c r="F28" s="44">
        <f>Geometry!F50</f>
        <v>9.8000000000000007</v>
      </c>
      <c r="G28" s="44">
        <f>Geometry!G50</f>
        <v>9.8000000000000007</v>
      </c>
      <c r="H28" s="44">
        <f>Geometry!H50</f>
        <v>100</v>
      </c>
      <c r="I28" s="56">
        <f t="shared" si="0"/>
        <v>3</v>
      </c>
      <c r="J28" s="57">
        <f t="shared" si="1"/>
        <v>0</v>
      </c>
      <c r="K28" s="58">
        <f t="shared" si="2"/>
        <v>71.764971782278351</v>
      </c>
    </row>
    <row r="30" spans="3:48">
      <c r="N30" s="184"/>
      <c r="O30" s="184"/>
      <c r="AK30" s="184" t="s">
        <v>570</v>
      </c>
    </row>
    <row r="31" spans="3:48">
      <c r="C31" s="35" t="s">
        <v>224</v>
      </c>
      <c r="F31" t="s">
        <v>571</v>
      </c>
      <c r="I31" s="19"/>
      <c r="J31" s="19"/>
      <c r="N31" s="19"/>
    </row>
    <row r="32" spans="3:48" ht="15" customHeight="1">
      <c r="C32" s="317" t="s">
        <v>225</v>
      </c>
      <c r="D32" s="317" t="s">
        <v>53</v>
      </c>
      <c r="E32" s="317" t="s">
        <v>105</v>
      </c>
      <c r="F32" s="317" t="s">
        <v>101</v>
      </c>
      <c r="G32" s="329" t="s">
        <v>98</v>
      </c>
      <c r="H32" s="317" t="s">
        <v>99</v>
      </c>
      <c r="I32" s="330" t="s">
        <v>102</v>
      </c>
      <c r="J32" s="317" t="s">
        <v>100</v>
      </c>
      <c r="K32" s="329" t="s">
        <v>94</v>
      </c>
      <c r="L32" s="329" t="s">
        <v>216</v>
      </c>
      <c r="M32" s="332" t="s">
        <v>217</v>
      </c>
      <c r="N32" s="317" t="s">
        <v>106</v>
      </c>
      <c r="O32" s="317" t="s">
        <v>107</v>
      </c>
      <c r="P32" s="317" t="s">
        <v>108</v>
      </c>
      <c r="R32" s="317" t="s">
        <v>73</v>
      </c>
      <c r="S32" s="317" t="s">
        <v>78</v>
      </c>
      <c r="T32" s="317" t="s">
        <v>79</v>
      </c>
      <c r="U32" s="317" t="s">
        <v>80</v>
      </c>
      <c r="V32" s="317" t="s">
        <v>84</v>
      </c>
      <c r="W32" s="317" t="s">
        <v>85</v>
      </c>
      <c r="X32" s="317" t="s">
        <v>86</v>
      </c>
      <c r="Y32" s="317" t="s">
        <v>87</v>
      </c>
      <c r="Z32" s="317" t="s">
        <v>605</v>
      </c>
      <c r="AA32" s="317" t="s">
        <v>579</v>
      </c>
      <c r="AB32" s="317" t="s">
        <v>580</v>
      </c>
      <c r="AC32" s="328" t="s">
        <v>582</v>
      </c>
      <c r="AD32" s="317" t="s">
        <v>581</v>
      </c>
      <c r="AE32" s="328" t="s">
        <v>583</v>
      </c>
      <c r="AF32" s="328" t="s">
        <v>584</v>
      </c>
      <c r="AG32" s="317" t="s">
        <v>587</v>
      </c>
      <c r="AH32" s="328" t="s">
        <v>588</v>
      </c>
      <c r="AI32" s="328" t="s">
        <v>585</v>
      </c>
      <c r="AJ32" s="328" t="s">
        <v>586</v>
      </c>
      <c r="AK32" s="334" t="s">
        <v>97</v>
      </c>
      <c r="AL32" s="317" t="s">
        <v>205</v>
      </c>
      <c r="AM32" s="317" t="s">
        <v>206</v>
      </c>
      <c r="AN32" s="317" t="s">
        <v>599</v>
      </c>
      <c r="AO32" s="317" t="s">
        <v>600</v>
      </c>
      <c r="AP32" s="317" t="s">
        <v>601</v>
      </c>
      <c r="AQ32" s="317" t="s">
        <v>602</v>
      </c>
      <c r="AR32" s="317" t="s">
        <v>603</v>
      </c>
      <c r="AS32" s="317" t="s">
        <v>147</v>
      </c>
      <c r="AT32" s="317" t="s">
        <v>145</v>
      </c>
      <c r="AU32" s="317" t="s">
        <v>146</v>
      </c>
      <c r="AV32" s="317" t="s">
        <v>604</v>
      </c>
    </row>
    <row r="33" spans="3:48" ht="18.75" customHeight="1">
      <c r="C33" s="318">
        <v>0</v>
      </c>
      <c r="D33" s="318">
        <v>0</v>
      </c>
      <c r="E33" s="318"/>
      <c r="F33" s="318"/>
      <c r="G33" s="318"/>
      <c r="H33" s="318"/>
      <c r="I33" s="331"/>
      <c r="J33" s="318"/>
      <c r="K33" s="318"/>
      <c r="L33" s="318"/>
      <c r="M33" s="312"/>
      <c r="N33" s="318"/>
      <c r="O33" s="318"/>
      <c r="P33" s="318"/>
      <c r="R33" s="318"/>
      <c r="S33" s="318"/>
      <c r="T33" s="318"/>
      <c r="U33" s="318"/>
      <c r="V33" s="318"/>
      <c r="W33" s="318"/>
      <c r="X33" s="318"/>
      <c r="Y33" s="318"/>
      <c r="Z33" s="318"/>
      <c r="AA33" s="318"/>
      <c r="AB33" s="318"/>
      <c r="AC33" s="318"/>
      <c r="AD33" s="318"/>
      <c r="AE33" s="318"/>
      <c r="AF33" s="318"/>
      <c r="AG33" s="318"/>
      <c r="AH33" s="333"/>
      <c r="AI33" s="318"/>
      <c r="AJ33" s="318"/>
      <c r="AK33" s="335"/>
      <c r="AL33" s="318"/>
      <c r="AM33" s="318"/>
      <c r="AN33" s="318"/>
      <c r="AO33" s="318"/>
      <c r="AP33" s="318"/>
      <c r="AQ33" s="318"/>
      <c r="AR33" s="318"/>
      <c r="AS33" s="318"/>
      <c r="AT33" s="318"/>
      <c r="AU33" s="318"/>
      <c r="AV33" s="318"/>
    </row>
    <row r="34" spans="3:48">
      <c r="C34" s="30" t="s">
        <v>16</v>
      </c>
      <c r="D34" s="30" t="str">
        <f>"[m"&amp;Control!$F$7&amp;"]"</f>
        <v>[mLAT]</v>
      </c>
      <c r="E34" s="30" t="s">
        <v>9</v>
      </c>
      <c r="F34" s="34" t="s">
        <v>10</v>
      </c>
      <c r="G34" s="34" t="s">
        <v>77</v>
      </c>
      <c r="H34" s="34" t="s">
        <v>77</v>
      </c>
      <c r="I34" s="34" t="s">
        <v>77</v>
      </c>
      <c r="J34" s="34" t="s">
        <v>77</v>
      </c>
      <c r="K34" s="34" t="s">
        <v>77</v>
      </c>
      <c r="L34" s="34" t="s">
        <v>77</v>
      </c>
      <c r="M34" s="30" t="s">
        <v>77</v>
      </c>
      <c r="N34" s="30" t="s">
        <v>16</v>
      </c>
      <c r="O34" s="30" t="s">
        <v>16</v>
      </c>
      <c r="P34" s="30" t="s">
        <v>16</v>
      </c>
      <c r="R34" s="34" t="s">
        <v>81</v>
      </c>
      <c r="S34" s="34" t="s">
        <v>82</v>
      </c>
      <c r="T34" s="34" t="s">
        <v>83</v>
      </c>
      <c r="U34" s="34" t="s">
        <v>81</v>
      </c>
      <c r="V34" s="34" t="s">
        <v>88</v>
      </c>
      <c r="W34" s="34" t="s">
        <v>88</v>
      </c>
      <c r="X34" s="34" t="s">
        <v>89</v>
      </c>
      <c r="Y34" s="34" t="s">
        <v>90</v>
      </c>
      <c r="Z34" s="34" t="s">
        <v>573</v>
      </c>
      <c r="AA34" s="34" t="s">
        <v>10</v>
      </c>
      <c r="AB34" s="34" t="s">
        <v>16</v>
      </c>
      <c r="AC34" s="34" t="s">
        <v>16</v>
      </c>
      <c r="AD34" s="34" t="s">
        <v>16</v>
      </c>
      <c r="AE34" s="34" t="s">
        <v>16</v>
      </c>
      <c r="AF34" s="34" t="s">
        <v>16</v>
      </c>
      <c r="AG34" s="34" t="s">
        <v>16</v>
      </c>
      <c r="AH34" s="34" t="s">
        <v>16</v>
      </c>
      <c r="AI34" s="34" t="s">
        <v>16</v>
      </c>
      <c r="AJ34" s="34" t="s">
        <v>16</v>
      </c>
      <c r="AK34" s="86" t="s">
        <v>16</v>
      </c>
      <c r="AL34" s="34" t="s">
        <v>11</v>
      </c>
      <c r="AM34" s="34" t="s">
        <v>11</v>
      </c>
      <c r="AN34" s="30" t="s">
        <v>77</v>
      </c>
      <c r="AO34" s="30" t="s">
        <v>77</v>
      </c>
      <c r="AP34" s="30" t="s">
        <v>77</v>
      </c>
      <c r="AQ34" s="34" t="s">
        <v>16</v>
      </c>
      <c r="AR34" s="30" t="s">
        <v>77</v>
      </c>
      <c r="AS34" s="34" t="s">
        <v>16</v>
      </c>
      <c r="AT34" s="34" t="s">
        <v>16</v>
      </c>
      <c r="AU34" s="34" t="s">
        <v>16</v>
      </c>
      <c r="AV34" s="34" t="s">
        <v>16</v>
      </c>
    </row>
    <row r="35" spans="3:48" ht="14.85" customHeight="1">
      <c r="C35" s="12" t="str">
        <f>"Can"&amp;TEXT(C6,"0")</f>
        <v>Can1</v>
      </c>
      <c r="D35" s="2">
        <f>D6</f>
        <v>5.5</v>
      </c>
      <c r="E35" s="3">
        <f>F6</f>
        <v>7.5</v>
      </c>
      <c r="F35" s="3">
        <f>H6</f>
        <v>108</v>
      </c>
      <c r="G35" s="3">
        <v>141</v>
      </c>
      <c r="H35" s="3">
        <v>0</v>
      </c>
      <c r="I35" s="3">
        <v>0</v>
      </c>
      <c r="J35" s="192">
        <f>VLOOKUP(P35,'Steel grades'!$B$5:$J$22,IF(F35&gt;200,10,IF(F35&gt;150,9,IF(F35&gt;120,8,IF(F35&gt;100,7,IF(F35&gt;80,6,IF(F35&gt;63,5,IF(F35&gt;40,4,IF(F35&gt;16,3,2)))))))),FALSE)</f>
        <v>295</v>
      </c>
      <c r="K35" s="3" t="e">
        <f t="shared" ref="K35:K57" si="3">AF35*J35/$W$4*AK35</f>
        <v>#REF!</v>
      </c>
      <c r="L35" s="3">
        <v>0</v>
      </c>
      <c r="M35" s="3">
        <v>0</v>
      </c>
      <c r="N35" s="3" t="e">
        <f t="shared" ref="N35:N57" si="4">MAX(G35/K35,AQ35,AV35)</f>
        <v>#REF!</v>
      </c>
      <c r="O35" s="3">
        <f t="shared" ref="O35:O57" si="5">MAX(SQRT(G35^2)/(J35/$W$5),AS35)</f>
        <v>0.47796610169491527</v>
      </c>
      <c r="P35" s="3" t="str">
        <f>Geometry!M28</f>
        <v>S355 NL/ML</v>
      </c>
      <c r="R35" s="220">
        <f>-G35*2*PI()*Z35*AA35</f>
        <v>-353634.55829017278</v>
      </c>
      <c r="S35" s="3"/>
      <c r="T35" s="3"/>
      <c r="U35" s="3"/>
      <c r="V35" s="3"/>
      <c r="W35" s="3"/>
      <c r="X35" s="18">
        <f>PI()/4*((E35-2*V35/1000)^2-((E35-2*V35/1000)-2*(F35-V35-W35)/1000)^2)</f>
        <v>2.5080465126962634</v>
      </c>
      <c r="Y35" s="18">
        <f>PI()/32*((E35-2*V35/1000)^4-((E35-2*V35/1000)-2*(F35-V35-W35)/1000)^4)/(E35-2*V35/1000)</f>
        <v>4.5691029565881678</v>
      </c>
      <c r="Z35" s="194">
        <f>(0.5*E35)-(0.5*(AA35/1000))</f>
        <v>3.6960000000000002</v>
      </c>
      <c r="AA35" s="194">
        <f>F35</f>
        <v>108</v>
      </c>
      <c r="AB35" s="194" t="e">
        <f t="shared" ref="AB35:AB57" si="6">$R$2/SQRT(Z35*AA35/1000)</f>
        <v>#REF!</v>
      </c>
      <c r="AC35" s="194" t="e">
        <f>(J35/((0.605*$W$2*IF(AB35&gt;0.5*(Z35)/(AA35/1000),MAX(0.6,1+0.2/$AC$7*(1-2*AB35*(AA35/1000)/(Z35))),IF(AB35&lt;=1.7,1.36-(1.83/AB35)+(2.07/AB35^2),1)))*((AA35/1000)/(Z35)/1000)))^0.5</f>
        <v>#REF!</v>
      </c>
      <c r="AD35" s="194">
        <f>0.62/(1+1.91*((((Z35)/(AA35/1000))^0.5*(AA35/1000)/$AC$4)/(AA35/1000))^1.44)</f>
        <v>0.42801677229468893</v>
      </c>
      <c r="AE35" s="194" t="e">
        <f>IF(AND((Z35)/(AA35/1000)&lt;=150,AB35&lt;=6*(Z35)/(AA35/1000),$W$2/(J35*1000)&lt;=1000,500&lt;=$W$2/(J35*1000)),0.2+0.1*(ABS(T35/1000/Y35)/G35),0.2)</f>
        <v>#REF!</v>
      </c>
      <c r="AF35" s="194" t="e">
        <f>IF(AC35&lt;=AE35,1,IF(AC35&gt;=(AD35/(1-0.6))^0.5,AD35/(AC35^2),1-0.6*((AC35-(AE35))/((AD35/(1-0.6))^0.5-AE35))))</f>
        <v>#REF!</v>
      </c>
      <c r="AG35" s="18"/>
      <c r="AH35" s="18"/>
      <c r="AI35" s="18"/>
      <c r="AJ35" s="18"/>
      <c r="AK35" s="194">
        <f>'ULS MP'!AM35</f>
        <v>1</v>
      </c>
      <c r="AL35" s="18">
        <f t="shared" ref="AL35:AL57" si="7">IF(NOT(ISNUMBER(D34)),0,ABS(J5-J6))</f>
        <v>0</v>
      </c>
      <c r="AM35" s="18">
        <f t="shared" ref="AM35:AM57" si="8">MAX(AL35,J6)</f>
        <v>0</v>
      </c>
      <c r="AN35" s="194">
        <f>((ABS(R35/(PI()*((E35-2*V35/1000)-((AA35))/1000*COS(AM35*PI()/180))*(AA35)/1000))/1000)+ABS((4*T35)/(PI()*((E35-V35/1000)-((AA35)/1000)*COS(AM35*PI()/180))^2*((AA35)/1000))/1000))/COS(AM35*PI()/180)</f>
        <v>140.99999999999997</v>
      </c>
      <c r="AO35" s="194">
        <f>((0.6*(AA35)*((E35*1000-2*V35)*(2*(AA35)))^0.5)/((AA35)^2))*(G35*TAN(AL35*PI()/180))</f>
        <v>0</v>
      </c>
      <c r="AP35" s="194">
        <f t="shared" ref="AP35:AP57" si="9">IF(AL35=0,0,0.45*((E35*1000-2*V35)/(F35-V35-W35))^0.5*G35*TAN(AL35*PI()/180)+I35)</f>
        <v>0</v>
      </c>
      <c r="AQ35" s="194">
        <f>IF(AM35=0,0,1.18*AN35/IF(J35/(2*0.3*$W$2/1000*(AA35)/1000/(E35-2*V35/1000))&lt;=0.17,J35,(1.047-0.274*(J35/(2*0.3*$W$2/1000*(AA35)/1000/(E35-2*V35/1000))))*J35))</f>
        <v>0</v>
      </c>
      <c r="AR35" s="18">
        <f t="shared" ref="AR35:AR57" si="10">IF(AL35=0,0,MAX(G35+AO35,AN35+AO35))</f>
        <v>0</v>
      </c>
      <c r="AS35" s="18">
        <f t="shared" ref="AS35:AS57" si="11">(AR35^2+AP35^2+AP35*AR35)^0.5/(J35/$W$5)</f>
        <v>0</v>
      </c>
      <c r="AT35" s="18">
        <f t="shared" ref="AT35:AT57" si="12">1.1*AR35/J35</f>
        <v>0</v>
      </c>
      <c r="AU35" s="194">
        <f>1.25*AP35/IF(0.4*$W$2/1000*(AA35)/1000/(E35-2*V35/1000)/J35&gt;2.44,J35,IF(0.4*$W$2/1000*(AA35)/1000/(E35-2*V35/1000)/J35&lt;=0.55,0.4*$W$2/1000*(AA35)/1000/(E35-2*V35/1000),MIN(0.7*(0.4*$W$2/1000*(F35-V35-W35)/1000/(E35-2*V35/1000)/J35)^0.4*J35,J35)))</f>
        <v>0</v>
      </c>
      <c r="AV35" s="194">
        <f>MAX(AT35^2+AU35^(2*(5-4*(IF(0.4*$W$2/1000*(AA35)/1000/(E35-2*V35)/J35&gt;2.44,J35,IF(0.4*$W$2/1000*(AA35)/1000/(E35-2*V35)/J35&lt;=0.55,0.4*$W$2/1000*(AA35)/1000/(E35-2*V35),MIN(0.7*(0.4*$W$2/1000*(AA35)/1000/(E35-2*V35)/J35)^0.4*J35,J35)))/J35)))+2*0.3*AT35*AU35,AU35,AR35/(IF(J35/(2*0.3*$W$2/1000*(AA35)/1000/(E35-2*V35))&lt;=0.17,J35,(1.047-0.274*(J35/(2*0.3*$W$2/1000*(AA35)/1000/(E35-2*V35))))*J35)/1.18))</f>
        <v>0</v>
      </c>
    </row>
    <row r="36" spans="3:48" ht="14.85" customHeight="1">
      <c r="C36" s="12" t="str">
        <f t="shared" ref="C36:C57" si="13">"Can"&amp;TEXT(C7,"0")</f>
        <v>Can2</v>
      </c>
      <c r="D36" s="2">
        <f t="shared" ref="D36:D57" si="14">D7</f>
        <v>1.6</v>
      </c>
      <c r="E36" s="3">
        <f t="shared" ref="E36:E57" si="15">F7</f>
        <v>7.5</v>
      </c>
      <c r="F36" s="3">
        <f t="shared" ref="F36:F57" si="16">H7</f>
        <v>100</v>
      </c>
      <c r="G36" s="3">
        <v>141</v>
      </c>
      <c r="H36" s="3">
        <v>0</v>
      </c>
      <c r="I36" s="3">
        <v>0</v>
      </c>
      <c r="J36" s="192">
        <f>VLOOKUP(P36,'Steel grades'!$B$5:$J$22,IF(F36&gt;200,10,IF(F36&gt;150,9,IF(F36&gt;120,8,IF(F36&gt;100,7,IF(F36&gt;80,6,IF(F36&gt;63,5,IF(F36&gt;40,4,IF(F36&gt;16,3,2)))))))),FALSE)</f>
        <v>315</v>
      </c>
      <c r="K36" s="3" t="e">
        <f t="shared" si="3"/>
        <v>#REF!</v>
      </c>
      <c r="L36" s="3">
        <v>0</v>
      </c>
      <c r="M36" s="3">
        <v>0</v>
      </c>
      <c r="N36" s="3" t="e">
        <f t="shared" si="4"/>
        <v>#REF!</v>
      </c>
      <c r="O36" s="3">
        <f t="shared" si="5"/>
        <v>0.44761904761904764</v>
      </c>
      <c r="P36" s="3" t="str">
        <f>Geometry!M29</f>
        <v>S355 NL/ML</v>
      </c>
      <c r="R36" s="220">
        <f t="shared" ref="R36:R57" si="17">-G36*2*PI()*Z36*AA36</f>
        <v>-327793.77747555898</v>
      </c>
      <c r="S36" s="3"/>
      <c r="T36" s="3"/>
      <c r="U36" s="3"/>
      <c r="V36" s="3"/>
      <c r="W36" s="3"/>
      <c r="X36" s="18">
        <f t="shared" ref="X36:X57" si="18">PI()/4*((E36-2*V36/1000)^2-((E36-2*V36/1000)-2*(F36-V36-W36)/1000)^2)</f>
        <v>2.3247785636564475</v>
      </c>
      <c r="Y36" s="18">
        <f t="shared" ref="Y36:Y57" si="19">PI()/32*((E36-2*V36/1000)^4-((E36-2*V36/1000)-2*(F36-V36-W36)/1000)^4)/(E36-2*V36/1000)</f>
        <v>4.2442707310487888</v>
      </c>
      <c r="Z36" s="194">
        <f t="shared" ref="Z36:Z57" si="20">(0.5*E36)-(0.5*(AA36/1000))</f>
        <v>3.7</v>
      </c>
      <c r="AA36" s="194">
        <f t="shared" ref="AA36:AA57" si="21">F36</f>
        <v>100</v>
      </c>
      <c r="AB36" s="194" t="e">
        <f t="shared" si="6"/>
        <v>#REF!</v>
      </c>
      <c r="AC36" s="194" t="e">
        <f t="shared" ref="AC36:AC57" si="22">(J36/((0.605*$W$2*IF(AB36&gt;0.5*(Z36)/(AA36/1000),MAX(0.6,1+0.2/$AC$7*(1-2*AB36*(AA36/1000)/(Z36))),IF(AB36&lt;=1.7,1.36-(1.83/AB36)+(2.07/AB36^2),1)))*((AA36/1000)/(Z36)/1000)))^0.5</f>
        <v>#REF!</v>
      </c>
      <c r="AD36" s="194">
        <f t="shared" ref="AD36:AD57" si="23">0.62/(1+1.91*((((Z36)/(AA36/1000))^0.5*(AA36/1000)/$AC$4)/(AA36/1000))^1.44)</f>
        <v>0.42049098550361969</v>
      </c>
      <c r="AE36" s="194" t="e">
        <f t="shared" ref="AE36:AE57" si="24">IF(AND((Z36)/(AA36/1000)&lt;=150,AB36&lt;=6*(Z36)/(AA36/1000),$W$2/(J36*1000)&lt;=1000,500&lt;=$W$2/(J36*1000)),0.2+0.1*(ABS(T36/1000/Y36)/G36),0.2)</f>
        <v>#REF!</v>
      </c>
      <c r="AF36" s="194" t="e">
        <f t="shared" ref="AF36:AF57" si="25">IF(AC36&lt;=AE36,1,IF(AC36&gt;=(AD36/(1-0.6))^0.5,AD36/(AC36^2),1-0.6*((AC36-(AE36))/((AD36/(1-0.6))^0.5-AE36))))</f>
        <v>#REF!</v>
      </c>
      <c r="AG36" s="18"/>
      <c r="AH36" s="18"/>
      <c r="AI36" s="18"/>
      <c r="AJ36" s="18"/>
      <c r="AK36" s="194">
        <f>'ULS MP'!AM36</f>
        <v>1</v>
      </c>
      <c r="AL36" s="18">
        <f t="shared" si="7"/>
        <v>0</v>
      </c>
      <c r="AM36" s="18">
        <f t="shared" si="8"/>
        <v>0</v>
      </c>
      <c r="AN36" s="194">
        <f t="shared" ref="AN36:AN57" si="26">((ABS(R36/(PI()*((E36-2*V36/1000)-((AA36))/1000*COS(AM36*PI()/180))*(AA36)/1000))/1000)+ABS((4*T36)/(PI()*((E36-V36/1000)-((AA36)/1000)*COS(AM36*PI()/180))^2*((AA36)/1000))/1000))/COS(AM36*PI()/180)</f>
        <v>141</v>
      </c>
      <c r="AO36" s="194">
        <f t="shared" ref="AO36:AO57" si="27">((0.6*(AA36)*((E36*1000-2*V36)*(2*(AA36)))^0.5)/((AA36)^2))*(G36*TAN(AL36*PI()/180))</f>
        <v>0</v>
      </c>
      <c r="AP36" s="194">
        <f t="shared" si="9"/>
        <v>0</v>
      </c>
      <c r="AQ36" s="194">
        <f t="shared" ref="AQ36:AQ57" si="28">IF(AM36=0,0,1.18*AN36/IF(J36/(2*0.3*$W$2/1000*(AA36)/1000/(E36-2*V36/1000))&lt;=0.17,J36,(1.047-0.274*(J36/(2*0.3*$W$2/1000*(AA36)/1000/(E36-2*V36/1000))))*J36))</f>
        <v>0</v>
      </c>
      <c r="AR36" s="18">
        <f t="shared" si="10"/>
        <v>0</v>
      </c>
      <c r="AS36" s="18">
        <f t="shared" si="11"/>
        <v>0</v>
      </c>
      <c r="AT36" s="18">
        <f t="shared" si="12"/>
        <v>0</v>
      </c>
      <c r="AU36" s="194">
        <f t="shared" ref="AU36:AU57" si="29">1.25*AP36/IF(0.4*$W$2/1000*(AA36)/1000/(E36-2*V36/1000)/J36&gt;2.44,J36,IF(0.4*$W$2/1000*(AA36)/1000/(E36-2*V36/1000)/J36&lt;=0.55,0.4*$W$2/1000*(AA36)/1000/(E36-2*V36/1000),MIN(0.7*(0.4*$W$2/1000*(F36-V36-W36)/1000/(E36-2*V36/1000)/J36)^0.4*J36,J36)))</f>
        <v>0</v>
      </c>
      <c r="AV36" s="194">
        <f t="shared" ref="AV36:AV57" si="30">MAX(AT36^2+AU36^(2*(5-4*(IF(0.4*$W$2/1000*(AA36)/1000/(E36-2*V36)/J36&gt;2.44,J36,IF(0.4*$W$2/1000*(AA36)/1000/(E36-2*V36)/J36&lt;=0.55,0.4*$W$2/1000*(AA36)/1000/(E36-2*V36),MIN(0.7*(0.4*$W$2/1000*(AA36)/1000/(E36-2*V36)/J36)^0.4*J36,J36)))/J36)))+2*0.3*AT36*AU36,AU36,AR36/(IF(J36/(2*0.3*$W$2/1000*(AA36)/1000/(E36-2*V36))&lt;=0.17,J36,(1.047-0.274*(J36/(2*0.3*$W$2/1000*(AA36)/1000/(E36-2*V36))))*J36)/1.18))</f>
        <v>0</v>
      </c>
    </row>
    <row r="37" spans="3:48" ht="14.85" customHeight="1">
      <c r="C37" s="12" t="str">
        <f t="shared" si="13"/>
        <v>Can3</v>
      </c>
      <c r="D37" s="2">
        <f t="shared" si="14"/>
        <v>-2.2999999999999998</v>
      </c>
      <c r="E37" s="3">
        <f t="shared" si="15"/>
        <v>7.5</v>
      </c>
      <c r="F37" s="3">
        <f t="shared" si="16"/>
        <v>100</v>
      </c>
      <c r="G37" s="3">
        <v>141</v>
      </c>
      <c r="H37" s="3">
        <v>0</v>
      </c>
      <c r="I37" s="3">
        <v>0</v>
      </c>
      <c r="J37" s="192">
        <f>VLOOKUP(P37,'Steel grades'!$B$5:$J$22,IF(F37&gt;200,10,IF(F37&gt;150,9,IF(F37&gt;120,8,IF(F37&gt;100,7,IF(F37&gt;80,6,IF(F37&gt;63,5,IF(F37&gt;40,4,IF(F37&gt;16,3,2)))))))),FALSE)</f>
        <v>315</v>
      </c>
      <c r="K37" s="3" t="e">
        <f t="shared" si="3"/>
        <v>#REF!</v>
      </c>
      <c r="L37" s="3">
        <v>0</v>
      </c>
      <c r="M37" s="3">
        <v>0</v>
      </c>
      <c r="N37" s="3" t="e">
        <f t="shared" si="4"/>
        <v>#REF!</v>
      </c>
      <c r="O37" s="3">
        <f t="shared" si="5"/>
        <v>0.44761904761904764</v>
      </c>
      <c r="P37" s="3" t="str">
        <f>Geometry!M30</f>
        <v>S355 NL/ML</v>
      </c>
      <c r="R37" s="220">
        <f t="shared" si="17"/>
        <v>-327793.77747555898</v>
      </c>
      <c r="S37" s="3"/>
      <c r="T37" s="3"/>
      <c r="U37" s="3"/>
      <c r="V37" s="3"/>
      <c r="W37" s="3"/>
      <c r="X37" s="18">
        <f t="shared" si="18"/>
        <v>2.3247785636564475</v>
      </c>
      <c r="Y37" s="18">
        <f t="shared" si="19"/>
        <v>4.2442707310487888</v>
      </c>
      <c r="Z37" s="194">
        <f t="shared" si="20"/>
        <v>3.7</v>
      </c>
      <c r="AA37" s="194">
        <f t="shared" si="21"/>
        <v>100</v>
      </c>
      <c r="AB37" s="194" t="e">
        <f t="shared" si="6"/>
        <v>#REF!</v>
      </c>
      <c r="AC37" s="194" t="e">
        <f t="shared" si="22"/>
        <v>#REF!</v>
      </c>
      <c r="AD37" s="194">
        <f t="shared" si="23"/>
        <v>0.42049098550361969</v>
      </c>
      <c r="AE37" s="194" t="e">
        <f t="shared" si="24"/>
        <v>#REF!</v>
      </c>
      <c r="AF37" s="194" t="e">
        <f t="shared" si="25"/>
        <v>#REF!</v>
      </c>
      <c r="AG37" s="18"/>
      <c r="AH37" s="18"/>
      <c r="AI37" s="18"/>
      <c r="AJ37" s="18"/>
      <c r="AK37" s="194" t="e">
        <f>'ULS MP'!#REF!</f>
        <v>#REF!</v>
      </c>
      <c r="AL37" s="18">
        <f t="shared" si="7"/>
        <v>0</v>
      </c>
      <c r="AM37" s="18">
        <f t="shared" si="8"/>
        <v>0</v>
      </c>
      <c r="AN37" s="194">
        <f t="shared" si="26"/>
        <v>141</v>
      </c>
      <c r="AO37" s="194">
        <f t="shared" si="27"/>
        <v>0</v>
      </c>
      <c r="AP37" s="194">
        <f t="shared" si="9"/>
        <v>0</v>
      </c>
      <c r="AQ37" s="194">
        <f t="shared" si="28"/>
        <v>0</v>
      </c>
      <c r="AR37" s="18">
        <f t="shared" si="10"/>
        <v>0</v>
      </c>
      <c r="AS37" s="18">
        <f t="shared" si="11"/>
        <v>0</v>
      </c>
      <c r="AT37" s="18">
        <f t="shared" si="12"/>
        <v>0</v>
      </c>
      <c r="AU37" s="194">
        <f t="shared" si="29"/>
        <v>0</v>
      </c>
      <c r="AV37" s="194">
        <f t="shared" si="30"/>
        <v>0</v>
      </c>
    </row>
    <row r="38" spans="3:48" ht="14.85" customHeight="1">
      <c r="C38" s="12" t="str">
        <f t="shared" si="13"/>
        <v>Can4</v>
      </c>
      <c r="D38" s="2">
        <f t="shared" si="14"/>
        <v>-6.2</v>
      </c>
      <c r="E38" s="3">
        <f t="shared" si="15"/>
        <v>7.5</v>
      </c>
      <c r="F38" s="3">
        <f t="shared" si="16"/>
        <v>100</v>
      </c>
      <c r="G38" s="3">
        <v>141</v>
      </c>
      <c r="H38" s="3">
        <v>0</v>
      </c>
      <c r="I38" s="3">
        <v>0</v>
      </c>
      <c r="J38" s="192">
        <f>VLOOKUP(P38,'Steel grades'!$B$5:$J$22,IF(F38&gt;200,10,IF(F38&gt;150,9,IF(F38&gt;120,8,IF(F38&gt;100,7,IF(F38&gt;80,6,IF(F38&gt;63,5,IF(F38&gt;40,4,IF(F38&gt;16,3,2)))))))),FALSE)</f>
        <v>315</v>
      </c>
      <c r="K38" s="3" t="e">
        <f t="shared" si="3"/>
        <v>#REF!</v>
      </c>
      <c r="L38" s="3">
        <v>0</v>
      </c>
      <c r="M38" s="3">
        <v>0</v>
      </c>
      <c r="N38" s="3" t="e">
        <f t="shared" si="4"/>
        <v>#REF!</v>
      </c>
      <c r="O38" s="3">
        <f t="shared" si="5"/>
        <v>0.62640318356498725</v>
      </c>
      <c r="P38" s="3" t="str">
        <f>Geometry!M31</f>
        <v>S355 NL/ML</v>
      </c>
      <c r="R38" s="220">
        <f t="shared" si="17"/>
        <v>-327793.77747555898</v>
      </c>
      <c r="S38" s="3"/>
      <c r="T38" s="3"/>
      <c r="U38" s="3"/>
      <c r="V38" s="3"/>
      <c r="W38" s="3"/>
      <c r="X38" s="18">
        <f t="shared" si="18"/>
        <v>2.3247785636564475</v>
      </c>
      <c r="Y38" s="18">
        <f t="shared" si="19"/>
        <v>4.2442707310487888</v>
      </c>
      <c r="Z38" s="194">
        <f t="shared" si="20"/>
        <v>3.7</v>
      </c>
      <c r="AA38" s="194">
        <f t="shared" si="21"/>
        <v>100</v>
      </c>
      <c r="AB38" s="194" t="e">
        <f t="shared" si="6"/>
        <v>#REF!</v>
      </c>
      <c r="AC38" s="194" t="e">
        <f t="shared" si="22"/>
        <v>#REF!</v>
      </c>
      <c r="AD38" s="194">
        <f t="shared" si="23"/>
        <v>0.42049098550361969</v>
      </c>
      <c r="AE38" s="194" t="e">
        <f t="shared" si="24"/>
        <v>#REF!</v>
      </c>
      <c r="AF38" s="194" t="e">
        <f t="shared" si="25"/>
        <v>#REF!</v>
      </c>
      <c r="AG38" s="18"/>
      <c r="AH38" s="18"/>
      <c r="AI38" s="18"/>
      <c r="AJ38" s="18"/>
      <c r="AK38" s="194" t="e">
        <f>'ULS MP'!#REF!</f>
        <v>#REF!</v>
      </c>
      <c r="AL38" s="18">
        <f t="shared" si="7"/>
        <v>2.4101421139187913</v>
      </c>
      <c r="AM38" s="18">
        <f t="shared" si="8"/>
        <v>2.4101421139187913</v>
      </c>
      <c r="AN38" s="194">
        <f t="shared" si="26"/>
        <v>141.12315177422178</v>
      </c>
      <c r="AO38" s="194">
        <f t="shared" si="27"/>
        <v>43.610621169367704</v>
      </c>
      <c r="AP38" s="194">
        <f t="shared" si="9"/>
        <v>23.128024470463135</v>
      </c>
      <c r="AQ38" s="194">
        <f t="shared" si="28"/>
        <v>0.53097482149031117</v>
      </c>
      <c r="AR38" s="18">
        <f t="shared" si="10"/>
        <v>184.73377294358949</v>
      </c>
      <c r="AS38" s="18">
        <f t="shared" si="11"/>
        <v>0.62640318356498725</v>
      </c>
      <c r="AT38" s="18">
        <f t="shared" si="12"/>
        <v>0.64510206424745542</v>
      </c>
      <c r="AU38" s="194">
        <f t="shared" si="29"/>
        <v>9.1777874882790211E-2</v>
      </c>
      <c r="AV38" s="194">
        <f t="shared" si="30"/>
        <v>0.69505946316224143</v>
      </c>
    </row>
    <row r="39" spans="3:48" ht="14.85" customHeight="1">
      <c r="C39" s="12" t="str">
        <f t="shared" si="13"/>
        <v>Can5</v>
      </c>
      <c r="D39" s="2">
        <f t="shared" si="14"/>
        <v>-10.1</v>
      </c>
      <c r="E39" s="3">
        <f t="shared" si="15"/>
        <v>7.8282999999999996</v>
      </c>
      <c r="F39" s="3">
        <f t="shared" si="16"/>
        <v>106</v>
      </c>
      <c r="G39" s="3">
        <v>141</v>
      </c>
      <c r="H39" s="3">
        <v>0</v>
      </c>
      <c r="I39" s="3">
        <v>0</v>
      </c>
      <c r="J39" s="192">
        <f>VLOOKUP(P39,'Steel grades'!$B$5:$J$22,IF(F39&gt;200,10,IF(F39&gt;150,9,IF(F39&gt;120,8,IF(F39&gt;100,7,IF(F39&gt;80,6,IF(F39&gt;63,5,IF(F39&gt;40,4,IF(F39&gt;16,3,2)))))))),FALSE)</f>
        <v>295</v>
      </c>
      <c r="K39" s="3" t="e">
        <f t="shared" si="3"/>
        <v>#REF!</v>
      </c>
      <c r="L39" s="3">
        <v>0</v>
      </c>
      <c r="M39" s="3">
        <v>0</v>
      </c>
      <c r="N39" s="3" t="e">
        <f t="shared" si="4"/>
        <v>#REF!</v>
      </c>
      <c r="O39" s="3">
        <f t="shared" si="5"/>
        <v>0.47838347521468794</v>
      </c>
      <c r="P39" s="3" t="str">
        <f>Geometry!M32</f>
        <v>S355 NL/ML</v>
      </c>
      <c r="R39" s="220">
        <f t="shared" si="17"/>
        <v>-362594.75690101075</v>
      </c>
      <c r="S39" s="3"/>
      <c r="T39" s="3"/>
      <c r="U39" s="3"/>
      <c r="V39" s="3"/>
      <c r="W39" s="3"/>
      <c r="X39" s="18">
        <f t="shared" si="18"/>
        <v>2.571594020574544</v>
      </c>
      <c r="Y39" s="18">
        <f t="shared" si="19"/>
        <v>4.898353395910223</v>
      </c>
      <c r="Z39" s="194">
        <f t="shared" si="20"/>
        <v>3.8611499999999999</v>
      </c>
      <c r="AA39" s="194">
        <f t="shared" si="21"/>
        <v>106</v>
      </c>
      <c r="AB39" s="194" t="e">
        <f t="shared" si="6"/>
        <v>#REF!</v>
      </c>
      <c r="AC39" s="194" t="e">
        <f t="shared" si="22"/>
        <v>#REF!</v>
      </c>
      <c r="AD39" s="194">
        <f t="shared" si="23"/>
        <v>0.42201128441629848</v>
      </c>
      <c r="AE39" s="194" t="e">
        <f t="shared" si="24"/>
        <v>#REF!</v>
      </c>
      <c r="AF39" s="194" t="e">
        <f t="shared" si="25"/>
        <v>#REF!</v>
      </c>
      <c r="AG39" s="18"/>
      <c r="AH39" s="18"/>
      <c r="AI39" s="18"/>
      <c r="AJ39" s="18"/>
      <c r="AK39" s="194" t="e">
        <f>'ULS MP'!#REF!</f>
        <v>#REF!</v>
      </c>
      <c r="AL39" s="18">
        <f t="shared" si="7"/>
        <v>8.8817841970012523E-16</v>
      </c>
      <c r="AM39" s="18">
        <f t="shared" si="8"/>
        <v>2.4101421139187904</v>
      </c>
      <c r="AN39" s="194">
        <f t="shared" si="26"/>
        <v>141.12312518833292</v>
      </c>
      <c r="AO39" s="194">
        <f t="shared" si="27"/>
        <v>1.5938364069622245E-14</v>
      </c>
      <c r="AP39" s="194">
        <f t="shared" si="9"/>
        <v>8.4525939859874302E-15</v>
      </c>
      <c r="AQ39" s="194">
        <f t="shared" si="28"/>
        <v>0.56470515262165699</v>
      </c>
      <c r="AR39" s="18">
        <f t="shared" si="10"/>
        <v>141.12312518833295</v>
      </c>
      <c r="AS39" s="18">
        <f t="shared" si="11"/>
        <v>0.47838347521468794</v>
      </c>
      <c r="AT39" s="18">
        <f t="shared" si="12"/>
        <v>0.52622182273615681</v>
      </c>
      <c r="AU39" s="194">
        <f t="shared" si="29"/>
        <v>3.5816076211811145E-17</v>
      </c>
      <c r="AV39" s="194">
        <f t="shared" si="30"/>
        <v>0.5647051526216571</v>
      </c>
    </row>
    <row r="40" spans="3:48" ht="14.85" customHeight="1">
      <c r="C40" s="12" t="str">
        <f t="shared" si="13"/>
        <v>Can6</v>
      </c>
      <c r="D40" s="2">
        <f t="shared" si="14"/>
        <v>-14</v>
      </c>
      <c r="E40" s="3">
        <f t="shared" si="15"/>
        <v>8.1565999999999992</v>
      </c>
      <c r="F40" s="3">
        <f t="shared" si="16"/>
        <v>98</v>
      </c>
      <c r="G40" s="3">
        <v>141</v>
      </c>
      <c r="H40" s="3">
        <v>0</v>
      </c>
      <c r="I40" s="3">
        <v>0</v>
      </c>
      <c r="J40" s="192">
        <f>VLOOKUP(P40,'Steel grades'!$B$5:$J$22,IF(F40&gt;200,10,IF(F40&gt;150,9,IF(F40&gt;120,8,IF(F40&gt;100,7,IF(F40&gt;80,6,IF(F40&gt;63,5,IF(F40&gt;40,4,IF(F40&gt;16,3,2)))))))),FALSE)</f>
        <v>315</v>
      </c>
      <c r="K40" s="3" t="e">
        <f t="shared" si="3"/>
        <v>#REF!</v>
      </c>
      <c r="L40" s="3">
        <v>0</v>
      </c>
      <c r="M40" s="3">
        <v>0</v>
      </c>
      <c r="N40" s="3" t="e">
        <f t="shared" si="4"/>
        <v>#REF!</v>
      </c>
      <c r="O40" s="3">
        <f t="shared" si="5"/>
        <v>0.44806640863664904</v>
      </c>
      <c r="P40" s="3" t="str">
        <f>Geometry!M33</f>
        <v>S355 NL/ML</v>
      </c>
      <c r="R40" s="220">
        <f t="shared" si="17"/>
        <v>-349828.07519746601</v>
      </c>
      <c r="S40" s="3"/>
      <c r="T40" s="3"/>
      <c r="U40" s="3"/>
      <c r="V40" s="3"/>
      <c r="W40" s="3"/>
      <c r="X40" s="18">
        <f t="shared" si="18"/>
        <v>2.481050178705436</v>
      </c>
      <c r="Y40" s="18">
        <f t="shared" si="19"/>
        <v>4.9391226711402449</v>
      </c>
      <c r="Z40" s="194">
        <f t="shared" si="20"/>
        <v>4.0292999999999992</v>
      </c>
      <c r="AA40" s="194">
        <f t="shared" si="21"/>
        <v>98</v>
      </c>
      <c r="AB40" s="194" t="e">
        <f t="shared" si="6"/>
        <v>#REF!</v>
      </c>
      <c r="AC40" s="194" t="e">
        <f t="shared" si="22"/>
        <v>#REF!</v>
      </c>
      <c r="AD40" s="194">
        <f t="shared" si="23"/>
        <v>0.41008067021747058</v>
      </c>
      <c r="AE40" s="194" t="e">
        <f t="shared" si="24"/>
        <v>#REF!</v>
      </c>
      <c r="AF40" s="194" t="e">
        <f t="shared" si="25"/>
        <v>#REF!</v>
      </c>
      <c r="AG40" s="18"/>
      <c r="AH40" s="18"/>
      <c r="AI40" s="18"/>
      <c r="AJ40" s="18"/>
      <c r="AK40" s="194" t="e">
        <f>'ULS MP'!#REF!</f>
        <v>#REF!</v>
      </c>
      <c r="AL40" s="18">
        <f t="shared" si="7"/>
        <v>7.3326266252182748E-4</v>
      </c>
      <c r="AM40" s="18">
        <f t="shared" si="8"/>
        <v>2.4094088512562686</v>
      </c>
      <c r="AN40" s="194">
        <f t="shared" si="26"/>
        <v>141.1232455441783</v>
      </c>
      <c r="AO40" s="194">
        <f t="shared" si="27"/>
        <v>1.3968952628687815E-2</v>
      </c>
      <c r="AP40" s="194">
        <f t="shared" si="9"/>
        <v>7.408155847364103E-3</v>
      </c>
      <c r="AQ40" s="194">
        <f t="shared" si="28"/>
        <v>0.53399907429553595</v>
      </c>
      <c r="AR40" s="18">
        <f t="shared" si="10"/>
        <v>141.13721449680699</v>
      </c>
      <c r="AS40" s="18">
        <f t="shared" si="11"/>
        <v>0.44806640863664904</v>
      </c>
      <c r="AT40" s="18">
        <f t="shared" si="12"/>
        <v>0.49286011411583402</v>
      </c>
      <c r="AU40" s="194">
        <f t="shared" si="29"/>
        <v>2.9397443838746443E-5</v>
      </c>
      <c r="AV40" s="194">
        <f t="shared" si="30"/>
        <v>0.53405193169506515</v>
      </c>
    </row>
    <row r="41" spans="3:48" ht="14.85" customHeight="1">
      <c r="C41" s="12" t="str">
        <f t="shared" si="13"/>
        <v>Can7</v>
      </c>
      <c r="D41" s="2">
        <f t="shared" si="14"/>
        <v>-17.899999999999999</v>
      </c>
      <c r="E41" s="3">
        <f t="shared" si="15"/>
        <v>8.4847999999999999</v>
      </c>
      <c r="F41" s="3">
        <f t="shared" si="16"/>
        <v>93</v>
      </c>
      <c r="G41" s="3">
        <v>141</v>
      </c>
      <c r="H41" s="3">
        <v>0</v>
      </c>
      <c r="I41" s="3">
        <v>0</v>
      </c>
      <c r="J41" s="192">
        <f>VLOOKUP(P41,'Steel grades'!$B$5:$J$22,IF(F41&gt;200,10,IF(F41&gt;150,9,IF(F41&gt;120,8,IF(F41&gt;100,7,IF(F41&gt;80,6,IF(F41&gt;63,5,IF(F41&gt;40,4,IF(F41&gt;16,3,2)))))))),FALSE)</f>
        <v>315</v>
      </c>
      <c r="K41" s="3" t="e">
        <f t="shared" si="3"/>
        <v>#REF!</v>
      </c>
      <c r="L41" s="3">
        <v>0</v>
      </c>
      <c r="M41" s="3">
        <v>0</v>
      </c>
      <c r="N41" s="3" t="e">
        <f t="shared" si="4"/>
        <v>#REF!</v>
      </c>
      <c r="O41" s="3">
        <f t="shared" si="5"/>
        <v>0.44806971024680814</v>
      </c>
      <c r="P41" s="3" t="str">
        <f>Geometry!M34</f>
        <v>S355 NL/ML</v>
      </c>
      <c r="R41" s="220">
        <f t="shared" si="17"/>
        <v>-345706.11274216737</v>
      </c>
      <c r="S41" s="3"/>
      <c r="T41" s="3"/>
      <c r="U41" s="3"/>
      <c r="V41" s="3"/>
      <c r="W41" s="3"/>
      <c r="X41" s="18">
        <f t="shared" si="18"/>
        <v>2.4518164024267195</v>
      </c>
      <c r="Y41" s="18">
        <f t="shared" si="19"/>
        <v>5.0880331224021331</v>
      </c>
      <c r="Z41" s="194">
        <f t="shared" si="20"/>
        <v>4.1959</v>
      </c>
      <c r="AA41" s="194">
        <f t="shared" si="21"/>
        <v>93</v>
      </c>
      <c r="AB41" s="194" t="e">
        <f t="shared" si="6"/>
        <v>#REF!</v>
      </c>
      <c r="AC41" s="194" t="e">
        <f t="shared" si="22"/>
        <v>#REF!</v>
      </c>
      <c r="AD41" s="194">
        <f t="shared" si="23"/>
        <v>0.40069749590617648</v>
      </c>
      <c r="AE41" s="194" t="e">
        <f t="shared" si="24"/>
        <v>#REF!</v>
      </c>
      <c r="AF41" s="194" t="e">
        <f t="shared" si="25"/>
        <v>#REF!</v>
      </c>
      <c r="AG41" s="18"/>
      <c r="AH41" s="18"/>
      <c r="AI41" s="18"/>
      <c r="AJ41" s="18"/>
      <c r="AK41" s="194" t="e">
        <f>'ULS MP'!#REF!</f>
        <v>#REF!</v>
      </c>
      <c r="AL41" s="18">
        <f t="shared" si="7"/>
        <v>7.3326266252715655E-4</v>
      </c>
      <c r="AM41" s="18">
        <f t="shared" si="8"/>
        <v>2.4101421139187957</v>
      </c>
      <c r="AN41" s="194">
        <f t="shared" si="26"/>
        <v>141.12345528393124</v>
      </c>
      <c r="AO41" s="194">
        <f t="shared" si="27"/>
        <v>1.4625193828954353E-2</v>
      </c>
      <c r="AP41" s="194">
        <f t="shared" si="9"/>
        <v>7.7561802994659543E-3</v>
      </c>
      <c r="AQ41" s="194">
        <f t="shared" si="28"/>
        <v>0.53697365642687755</v>
      </c>
      <c r="AR41" s="18">
        <f t="shared" si="10"/>
        <v>141.13808047776018</v>
      </c>
      <c r="AS41" s="18">
        <f t="shared" si="11"/>
        <v>0.44806971024680814</v>
      </c>
      <c r="AT41" s="18">
        <f t="shared" si="12"/>
        <v>0.49286313817630539</v>
      </c>
      <c r="AU41" s="194">
        <f t="shared" si="29"/>
        <v>3.0778493251849029E-5</v>
      </c>
      <c r="AV41" s="194">
        <f t="shared" si="30"/>
        <v>0.53702930517633929</v>
      </c>
    </row>
    <row r="42" spans="3:48" ht="14.85" customHeight="1">
      <c r="C42" s="12" t="str">
        <f t="shared" si="13"/>
        <v>Can8</v>
      </c>
      <c r="D42" s="2">
        <f t="shared" si="14"/>
        <v>-21.8</v>
      </c>
      <c r="E42" s="3">
        <f t="shared" si="15"/>
        <v>8.8131000000000004</v>
      </c>
      <c r="F42" s="3">
        <f t="shared" si="16"/>
        <v>93</v>
      </c>
      <c r="G42" s="3">
        <v>141</v>
      </c>
      <c r="H42" s="3">
        <v>0</v>
      </c>
      <c r="I42" s="3">
        <v>0</v>
      </c>
      <c r="J42" s="192">
        <f>VLOOKUP(P42,'Steel grades'!$B$5:$J$22,IF(F42&gt;200,10,IF(F42&gt;150,9,IF(F42&gt;120,8,IF(F42&gt;100,7,IF(F42&gt;80,6,IF(F42&gt;63,5,IF(F42&gt;40,4,IF(F42&gt;16,3,2)))))))),FALSE)</f>
        <v>315</v>
      </c>
      <c r="K42" s="3" t="e">
        <f t="shared" si="3"/>
        <v>#REF!</v>
      </c>
      <c r="L42" s="3">
        <v>0</v>
      </c>
      <c r="M42" s="3">
        <v>0</v>
      </c>
      <c r="N42" s="3" t="e">
        <f t="shared" si="4"/>
        <v>#REF!</v>
      </c>
      <c r="O42" s="3">
        <f t="shared" si="5"/>
        <v>0.44801113450670599</v>
      </c>
      <c r="P42" s="3" t="str">
        <f>Geometry!M35</f>
        <v>S355 NL/ML</v>
      </c>
      <c r="R42" s="220">
        <f t="shared" si="17"/>
        <v>-359230.66251852683</v>
      </c>
      <c r="S42" s="3"/>
      <c r="T42" s="3"/>
      <c r="U42" s="3"/>
      <c r="V42" s="3"/>
      <c r="W42" s="3"/>
      <c r="X42" s="18">
        <f t="shared" si="18"/>
        <v>2.5477351951668572</v>
      </c>
      <c r="Y42" s="18">
        <f t="shared" si="19"/>
        <v>5.4961417237276367</v>
      </c>
      <c r="Z42" s="194">
        <f t="shared" si="20"/>
        <v>4.3600500000000002</v>
      </c>
      <c r="AA42" s="194">
        <f t="shared" si="21"/>
        <v>93</v>
      </c>
      <c r="AB42" s="194" t="e">
        <f t="shared" si="6"/>
        <v>#REF!</v>
      </c>
      <c r="AC42" s="194" t="e">
        <f t="shared" si="22"/>
        <v>#REF!</v>
      </c>
      <c r="AD42" s="194">
        <f t="shared" si="23"/>
        <v>0.39676572520439118</v>
      </c>
      <c r="AE42" s="194" t="e">
        <f t="shared" si="24"/>
        <v>#REF!</v>
      </c>
      <c r="AF42" s="194" t="e">
        <f t="shared" si="25"/>
        <v>#REF!</v>
      </c>
      <c r="AG42" s="18"/>
      <c r="AH42" s="18"/>
      <c r="AI42" s="18"/>
      <c r="AJ42" s="18"/>
      <c r="AK42" s="194" t="e">
        <f>'ULS MP'!#REF!</f>
        <v>#REF!</v>
      </c>
      <c r="AL42" s="18">
        <f t="shared" si="7"/>
        <v>2.6645352591003757E-15</v>
      </c>
      <c r="AM42" s="18">
        <f t="shared" si="8"/>
        <v>2.4101421139187984</v>
      </c>
      <c r="AN42" s="194">
        <f t="shared" si="26"/>
        <v>141.12350736961233</v>
      </c>
      <c r="AO42" s="194">
        <f t="shared" si="27"/>
        <v>5.4163544195081899E-14</v>
      </c>
      <c r="AP42" s="194">
        <f t="shared" si="9"/>
        <v>2.8724557045079756E-14</v>
      </c>
      <c r="AQ42" s="194">
        <f t="shared" si="28"/>
        <v>0.53829600845163539</v>
      </c>
      <c r="AR42" s="18">
        <f t="shared" si="10"/>
        <v>141.12350736961238</v>
      </c>
      <c r="AS42" s="18">
        <f t="shared" si="11"/>
        <v>0.44801113450670599</v>
      </c>
      <c r="AT42" s="18">
        <f t="shared" si="12"/>
        <v>0.4928122479573766</v>
      </c>
      <c r="AU42" s="194">
        <f t="shared" si="29"/>
        <v>1.1398633748047522E-16</v>
      </c>
      <c r="AV42" s="194">
        <f t="shared" si="30"/>
        <v>0.53829600845163572</v>
      </c>
    </row>
    <row r="43" spans="3:48" ht="14.85" customHeight="1">
      <c r="C43" s="12" t="str">
        <f t="shared" si="13"/>
        <v>Can9</v>
      </c>
      <c r="D43" s="2">
        <f t="shared" si="14"/>
        <v>-25.7</v>
      </c>
      <c r="E43" s="3">
        <f t="shared" si="15"/>
        <v>9.1414000000000009</v>
      </c>
      <c r="F43" s="3">
        <f t="shared" si="16"/>
        <v>93</v>
      </c>
      <c r="G43" s="3">
        <v>141</v>
      </c>
      <c r="H43" s="3">
        <v>0</v>
      </c>
      <c r="I43" s="3">
        <v>0</v>
      </c>
      <c r="J43" s="192">
        <f>VLOOKUP(P43,'Steel grades'!$B$5:$J$22,IF(F43&gt;200,10,IF(F43&gt;150,9,IF(F43&gt;120,8,IF(F43&gt;100,7,IF(F43&gt;80,6,IF(F43&gt;63,5,IF(F43&gt;40,4,IF(F43&gt;16,3,2)))))))),FALSE)</f>
        <v>315</v>
      </c>
      <c r="K43" s="3" t="e">
        <f t="shared" si="3"/>
        <v>#REF!</v>
      </c>
      <c r="L43" s="3">
        <v>0</v>
      </c>
      <c r="M43" s="3">
        <v>0</v>
      </c>
      <c r="N43" s="3" t="e">
        <f t="shared" si="4"/>
        <v>#REF!</v>
      </c>
      <c r="O43" s="3">
        <f t="shared" si="5"/>
        <v>0.44801128785941063</v>
      </c>
      <c r="P43" s="3" t="str">
        <f>Geometry!M36</f>
        <v>S355 NL/ML</v>
      </c>
      <c r="R43" s="220">
        <f t="shared" si="17"/>
        <v>-372755.21229488635</v>
      </c>
      <c r="S43" s="3"/>
      <c r="T43" s="3"/>
      <c r="U43" s="3"/>
      <c r="V43" s="3"/>
      <c r="W43" s="3"/>
      <c r="X43" s="18">
        <f t="shared" si="18"/>
        <v>2.6436539879069945</v>
      </c>
      <c r="Y43" s="18">
        <f t="shared" si="19"/>
        <v>5.9199953578269868</v>
      </c>
      <c r="Z43" s="194">
        <f t="shared" si="20"/>
        <v>4.5242000000000004</v>
      </c>
      <c r="AA43" s="194">
        <f t="shared" si="21"/>
        <v>93</v>
      </c>
      <c r="AB43" s="194" t="e">
        <f t="shared" si="6"/>
        <v>#REF!</v>
      </c>
      <c r="AC43" s="194" t="e">
        <f t="shared" si="22"/>
        <v>#REF!</v>
      </c>
      <c r="AD43" s="194">
        <f t="shared" si="23"/>
        <v>0.39295041457080082</v>
      </c>
      <c r="AE43" s="194" t="e">
        <f t="shared" si="24"/>
        <v>#REF!</v>
      </c>
      <c r="AF43" s="194" t="e">
        <f t="shared" si="25"/>
        <v>#REF!</v>
      </c>
      <c r="AG43" s="18"/>
      <c r="AH43" s="18"/>
      <c r="AI43" s="18"/>
      <c r="AJ43" s="18"/>
      <c r="AK43" s="194" t="e">
        <f>'ULS MP'!#REF!</f>
        <v>#REF!</v>
      </c>
      <c r="AL43" s="18">
        <f t="shared" si="7"/>
        <v>1.5543122344752192E-14</v>
      </c>
      <c r="AM43" s="18">
        <f t="shared" si="8"/>
        <v>2.4101421139187829</v>
      </c>
      <c r="AN43" s="194">
        <f t="shared" si="26"/>
        <v>141.12355567571396</v>
      </c>
      <c r="AO43" s="194">
        <f t="shared" si="27"/>
        <v>3.217850596078407E-13</v>
      </c>
      <c r="AP43" s="194">
        <f t="shared" si="9"/>
        <v>1.7065229829991619E-13</v>
      </c>
      <c r="AQ43" s="194">
        <f t="shared" si="28"/>
        <v>0.53962487397056669</v>
      </c>
      <c r="AR43" s="18">
        <f t="shared" si="10"/>
        <v>141.12355567571427</v>
      </c>
      <c r="AS43" s="18">
        <f t="shared" si="11"/>
        <v>0.44801128785941063</v>
      </c>
      <c r="AT43" s="18">
        <f t="shared" si="12"/>
        <v>0.49281241664535141</v>
      </c>
      <c r="AU43" s="194">
        <f t="shared" si="29"/>
        <v>6.7719165992030243E-16</v>
      </c>
      <c r="AV43" s="194">
        <f t="shared" si="30"/>
        <v>0.5396248739705678</v>
      </c>
    </row>
    <row r="44" spans="3:48" ht="14.85" customHeight="1">
      <c r="C44" s="12" t="str">
        <f t="shared" si="13"/>
        <v>Can10</v>
      </c>
      <c r="D44" s="2">
        <f t="shared" si="14"/>
        <v>-29.6</v>
      </c>
      <c r="E44" s="3">
        <f t="shared" si="15"/>
        <v>9.4696999999999996</v>
      </c>
      <c r="F44" s="3">
        <f t="shared" si="16"/>
        <v>93</v>
      </c>
      <c r="G44" s="3">
        <v>141</v>
      </c>
      <c r="H44" s="3">
        <v>0</v>
      </c>
      <c r="I44" s="3">
        <v>0</v>
      </c>
      <c r="J44" s="192">
        <f>VLOOKUP(P44,'Steel grades'!$B$5:$J$22,IF(F44&gt;200,10,IF(F44&gt;150,9,IF(F44&gt;120,8,IF(F44&gt;100,7,IF(F44&gt;80,6,IF(F44&gt;63,5,IF(F44&gt;40,4,IF(F44&gt;16,3,2)))))))),FALSE)</f>
        <v>315</v>
      </c>
      <c r="K44" s="3" t="e">
        <f t="shared" si="3"/>
        <v>#REF!</v>
      </c>
      <c r="L44" s="3">
        <v>0</v>
      </c>
      <c r="M44" s="3">
        <v>0</v>
      </c>
      <c r="N44" s="3" t="e">
        <f t="shared" si="4"/>
        <v>#REF!</v>
      </c>
      <c r="O44" s="3">
        <f t="shared" si="5"/>
        <v>0.4492575606630409</v>
      </c>
      <c r="P44" s="3" t="str">
        <f>Geometry!M37</f>
        <v>S355 NL/ML</v>
      </c>
      <c r="R44" s="220">
        <f t="shared" si="17"/>
        <v>-386279.76207124582</v>
      </c>
      <c r="S44" s="3"/>
      <c r="T44" s="3"/>
      <c r="U44" s="3"/>
      <c r="V44" s="3"/>
      <c r="W44" s="3"/>
      <c r="X44" s="18">
        <f t="shared" si="18"/>
        <v>2.7395727806471317</v>
      </c>
      <c r="Y44" s="18">
        <f t="shared" si="19"/>
        <v>6.3595940285540369</v>
      </c>
      <c r="Z44" s="194">
        <f t="shared" si="20"/>
        <v>4.6883499999999998</v>
      </c>
      <c r="AA44" s="194">
        <f t="shared" si="21"/>
        <v>93</v>
      </c>
      <c r="AB44" s="194" t="e">
        <f t="shared" si="6"/>
        <v>#REF!</v>
      </c>
      <c r="AC44" s="194" t="e">
        <f t="shared" si="22"/>
        <v>#REF!</v>
      </c>
      <c r="AD44" s="194">
        <f t="shared" si="23"/>
        <v>0.38924526344507621</v>
      </c>
      <c r="AE44" s="194" t="e">
        <f t="shared" si="24"/>
        <v>#REF!</v>
      </c>
      <c r="AF44" s="194" t="e">
        <f t="shared" si="25"/>
        <v>#REF!</v>
      </c>
      <c r="AG44" s="18"/>
      <c r="AH44" s="18"/>
      <c r="AI44" s="18"/>
      <c r="AJ44" s="18"/>
      <c r="AK44" s="194" t="e">
        <f>'ULS MP'!#REF!</f>
        <v>#REF!</v>
      </c>
      <c r="AL44" s="18">
        <f t="shared" si="7"/>
        <v>1.4665087042359026E-2</v>
      </c>
      <c r="AM44" s="18">
        <f t="shared" si="8"/>
        <v>2.4248072009611419</v>
      </c>
      <c r="AN44" s="194">
        <f t="shared" si="26"/>
        <v>141.12511045719336</v>
      </c>
      <c r="AO44" s="194">
        <f t="shared" si="27"/>
        <v>0.30901105663590589</v>
      </c>
      <c r="AP44" s="194">
        <f t="shared" si="9"/>
        <v>0.16387786020665202</v>
      </c>
      <c r="AQ44" s="194">
        <f t="shared" si="28"/>
        <v>0.54096609050116629</v>
      </c>
      <c r="AR44" s="18">
        <f t="shared" si="10"/>
        <v>141.43412151382927</v>
      </c>
      <c r="AS44" s="18">
        <f t="shared" si="11"/>
        <v>0.4492575606630409</v>
      </c>
      <c r="AT44" s="18">
        <f t="shared" si="12"/>
        <v>0.4938969322705149</v>
      </c>
      <c r="AU44" s="194">
        <f t="shared" si="29"/>
        <v>6.5030896907401585E-4</v>
      </c>
      <c r="AV44" s="194">
        <f t="shared" si="30"/>
        <v>0.54215060332591036</v>
      </c>
    </row>
    <row r="45" spans="3:48" ht="14.85" customHeight="1">
      <c r="C45" s="12" t="str">
        <f t="shared" si="13"/>
        <v>Can11</v>
      </c>
      <c r="D45" s="2">
        <f t="shared" si="14"/>
        <v>-33.5</v>
      </c>
      <c r="E45" s="3">
        <f t="shared" si="15"/>
        <v>9.8000000000000007</v>
      </c>
      <c r="F45" s="3">
        <f t="shared" si="16"/>
        <v>93</v>
      </c>
      <c r="G45" s="3">
        <v>141</v>
      </c>
      <c r="H45" s="3">
        <v>0</v>
      </c>
      <c r="I45" s="3">
        <v>0</v>
      </c>
      <c r="J45" s="192">
        <f>VLOOKUP(P45,'Steel grades'!$B$5:$J$22,IF(F45&gt;200,10,IF(F45&gt;150,9,IF(F45&gt;120,8,IF(F45&gt;100,7,IF(F45&gt;80,6,IF(F45&gt;63,5,IF(F45&gt;40,4,IF(F45&gt;16,3,2)))))))),FALSE)</f>
        <v>315</v>
      </c>
      <c r="K45" s="3" t="e">
        <f t="shared" si="3"/>
        <v>#REF!</v>
      </c>
      <c r="L45" s="3">
        <v>0</v>
      </c>
      <c r="M45" s="3">
        <v>0</v>
      </c>
      <c r="N45" s="3" t="e">
        <f t="shared" si="4"/>
        <v>#REF!</v>
      </c>
      <c r="O45" s="3">
        <f t="shared" si="5"/>
        <v>0.66126368000663871</v>
      </c>
      <c r="P45" s="3" t="str">
        <f>Geometry!M38</f>
        <v>S355 NL/ML</v>
      </c>
      <c r="R45" s="220">
        <f t="shared" si="17"/>
        <v>-399886.70325653837</v>
      </c>
      <c r="S45" s="3"/>
      <c r="T45" s="3"/>
      <c r="U45" s="3"/>
      <c r="V45" s="3"/>
      <c r="W45" s="3"/>
      <c r="X45" s="18">
        <f t="shared" si="18"/>
        <v>2.8360759096208459</v>
      </c>
      <c r="Y45" s="18">
        <f t="shared" si="19"/>
        <v>6.8177599396176953</v>
      </c>
      <c r="Z45" s="194">
        <f t="shared" si="20"/>
        <v>4.8535000000000004</v>
      </c>
      <c r="AA45" s="194">
        <f t="shared" si="21"/>
        <v>93</v>
      </c>
      <c r="AB45" s="194" t="e">
        <f t="shared" si="6"/>
        <v>#REF!</v>
      </c>
      <c r="AC45" s="194" t="e">
        <f t="shared" si="22"/>
        <v>#REF!</v>
      </c>
      <c r="AD45" s="194">
        <f t="shared" si="23"/>
        <v>0.38562285511731564</v>
      </c>
      <c r="AE45" s="194" t="e">
        <f t="shared" si="24"/>
        <v>#REF!</v>
      </c>
      <c r="AF45" s="194" t="e">
        <f t="shared" si="25"/>
        <v>#REF!</v>
      </c>
      <c r="AG45" s="18"/>
      <c r="AH45" s="18"/>
      <c r="AI45" s="18"/>
      <c r="AJ45" s="18"/>
      <c r="AK45" s="194" t="e">
        <f>'ULS MP'!#REF!</f>
        <v>#REF!</v>
      </c>
      <c r="AL45" s="18">
        <f t="shared" si="7"/>
        <v>2.4248072009611419</v>
      </c>
      <c r="AM45" s="18">
        <f t="shared" si="8"/>
        <v>2.4248072009611419</v>
      </c>
      <c r="AN45" s="194">
        <f t="shared" si="26"/>
        <v>141.12515310251405</v>
      </c>
      <c r="AO45" s="194">
        <f t="shared" si="27"/>
        <v>52.008088905762726</v>
      </c>
      <c r="AP45" s="194">
        <f t="shared" si="9"/>
        <v>27.581454256363259</v>
      </c>
      <c r="AQ45" s="194">
        <f t="shared" si="28"/>
        <v>0.54231634541641738</v>
      </c>
      <c r="AR45" s="18">
        <f t="shared" si="10"/>
        <v>193.13324200827677</v>
      </c>
      <c r="AS45" s="18">
        <f t="shared" si="11"/>
        <v>0.66126368000663871</v>
      </c>
      <c r="AT45" s="18">
        <f t="shared" si="12"/>
        <v>0.67443354352096663</v>
      </c>
      <c r="AU45" s="194">
        <f t="shared" si="29"/>
        <v>0.1094502153030288</v>
      </c>
      <c r="AV45" s="194">
        <f t="shared" si="30"/>
        <v>0.74217325318520611</v>
      </c>
    </row>
    <row r="46" spans="3:48" ht="14.85" customHeight="1">
      <c r="C46" s="12" t="str">
        <f t="shared" si="13"/>
        <v>Can12</v>
      </c>
      <c r="D46" s="2" t="e">
        <f t="shared" si="14"/>
        <v>#REF!</v>
      </c>
      <c r="E46" s="3" t="e">
        <f t="shared" si="15"/>
        <v>#REF!</v>
      </c>
      <c r="F46" s="3" t="e">
        <f t="shared" si="16"/>
        <v>#REF!</v>
      </c>
      <c r="G46" s="3">
        <v>141</v>
      </c>
      <c r="H46" s="3">
        <v>0</v>
      </c>
      <c r="I46" s="3">
        <v>0</v>
      </c>
      <c r="J46" s="192" t="e">
        <f>VLOOKUP(P46,'Steel grades'!$B$5:$J$22,IF(F46&gt;200,10,IF(F46&gt;150,9,IF(F46&gt;120,8,IF(F46&gt;100,7,IF(F46&gt;80,6,IF(F46&gt;63,5,IF(F46&gt;40,4,IF(F46&gt;16,3,2)))))))),FALSE)</f>
        <v>#REF!</v>
      </c>
      <c r="K46" s="3" t="e">
        <f t="shared" si="3"/>
        <v>#REF!</v>
      </c>
      <c r="L46" s="3">
        <v>0</v>
      </c>
      <c r="M46" s="3">
        <v>0</v>
      </c>
      <c r="N46" s="3" t="e">
        <f t="shared" si="4"/>
        <v>#REF!</v>
      </c>
      <c r="O46" s="3" t="e">
        <f t="shared" si="5"/>
        <v>#REF!</v>
      </c>
      <c r="P46" s="3" t="e">
        <f>Geometry!#REF!</f>
        <v>#REF!</v>
      </c>
      <c r="R46" s="220" t="e">
        <f t="shared" si="17"/>
        <v>#REF!</v>
      </c>
      <c r="S46" s="3"/>
      <c r="T46" s="3"/>
      <c r="U46" s="3"/>
      <c r="V46" s="3"/>
      <c r="W46" s="3"/>
      <c r="X46" s="18" t="e">
        <f t="shared" si="18"/>
        <v>#REF!</v>
      </c>
      <c r="Y46" s="18" t="e">
        <f t="shared" si="19"/>
        <v>#REF!</v>
      </c>
      <c r="Z46" s="194" t="e">
        <f t="shared" si="20"/>
        <v>#REF!</v>
      </c>
      <c r="AA46" s="194" t="e">
        <f t="shared" si="21"/>
        <v>#REF!</v>
      </c>
      <c r="AB46" s="194" t="e">
        <f t="shared" si="6"/>
        <v>#REF!</v>
      </c>
      <c r="AC46" s="194" t="e">
        <f t="shared" si="22"/>
        <v>#REF!</v>
      </c>
      <c r="AD46" s="194" t="e">
        <f t="shared" si="23"/>
        <v>#REF!</v>
      </c>
      <c r="AE46" s="194" t="e">
        <f t="shared" si="24"/>
        <v>#REF!</v>
      </c>
      <c r="AF46" s="194" t="e">
        <f t="shared" si="25"/>
        <v>#REF!</v>
      </c>
      <c r="AG46" s="18"/>
      <c r="AH46" s="18"/>
      <c r="AI46" s="18"/>
      <c r="AJ46" s="18"/>
      <c r="AK46" s="194" t="e">
        <f>'ULS MP'!#REF!</f>
        <v>#REF!</v>
      </c>
      <c r="AL46" s="18" t="e">
        <f t="shared" si="7"/>
        <v>#REF!</v>
      </c>
      <c r="AM46" s="18" t="e">
        <f t="shared" si="8"/>
        <v>#REF!</v>
      </c>
      <c r="AN46" s="194" t="e">
        <f t="shared" si="26"/>
        <v>#REF!</v>
      </c>
      <c r="AO46" s="194" t="e">
        <f t="shared" si="27"/>
        <v>#REF!</v>
      </c>
      <c r="AP46" s="194" t="e">
        <f t="shared" si="9"/>
        <v>#REF!</v>
      </c>
      <c r="AQ46" s="194" t="e">
        <f t="shared" si="28"/>
        <v>#REF!</v>
      </c>
      <c r="AR46" s="18" t="e">
        <f t="shared" si="10"/>
        <v>#REF!</v>
      </c>
      <c r="AS46" s="18" t="e">
        <f t="shared" si="11"/>
        <v>#REF!</v>
      </c>
      <c r="AT46" s="18" t="e">
        <f t="shared" si="12"/>
        <v>#REF!</v>
      </c>
      <c r="AU46" s="194" t="e">
        <f t="shared" si="29"/>
        <v>#REF!</v>
      </c>
      <c r="AV46" s="194" t="e">
        <f t="shared" si="30"/>
        <v>#REF!</v>
      </c>
    </row>
    <row r="47" spans="3:48" ht="14.85" customHeight="1">
      <c r="C47" s="12" t="str">
        <f t="shared" si="13"/>
        <v>Can13</v>
      </c>
      <c r="D47" s="2">
        <f t="shared" si="14"/>
        <v>-40.200000000000003</v>
      </c>
      <c r="E47" s="3">
        <f t="shared" si="15"/>
        <v>9.8000000000000007</v>
      </c>
      <c r="F47" s="3">
        <f t="shared" si="16"/>
        <v>102</v>
      </c>
      <c r="G47" s="3">
        <v>141</v>
      </c>
      <c r="H47" s="3">
        <v>0</v>
      </c>
      <c r="I47" s="3">
        <v>0</v>
      </c>
      <c r="J47" s="192">
        <f>VLOOKUP(P47,'Steel grades'!$B$5:$J$22,IF(F47&gt;200,10,IF(F47&gt;150,9,IF(F47&gt;120,8,IF(F47&gt;100,7,IF(F47&gt;80,6,IF(F47&gt;63,5,IF(F47&gt;40,4,IF(F47&gt;16,3,2)))))))),FALSE)</f>
        <v>340</v>
      </c>
      <c r="K47" s="3" t="e">
        <f t="shared" si="3"/>
        <v>#REF!</v>
      </c>
      <c r="L47" s="3">
        <v>0</v>
      </c>
      <c r="M47" s="3">
        <v>0</v>
      </c>
      <c r="N47" s="3" t="e">
        <f t="shared" si="4"/>
        <v>#REF!</v>
      </c>
      <c r="O47" s="3">
        <f t="shared" si="5"/>
        <v>0.4147058823529412</v>
      </c>
      <c r="P47" s="3" t="str">
        <f>Geometry!M40</f>
        <v>S420 NL</v>
      </c>
      <c r="R47" s="220">
        <f t="shared" si="17"/>
        <v>-438178.7750050177</v>
      </c>
      <c r="S47" s="3"/>
      <c r="T47" s="3"/>
      <c r="U47" s="3"/>
      <c r="V47" s="3"/>
      <c r="W47" s="3"/>
      <c r="X47" s="18">
        <f t="shared" si="18"/>
        <v>3.1076508865604193</v>
      </c>
      <c r="Y47" s="18">
        <f t="shared" si="19"/>
        <v>7.4569040686861889</v>
      </c>
      <c r="Z47" s="194">
        <f t="shared" si="20"/>
        <v>4.8490000000000002</v>
      </c>
      <c r="AA47" s="194">
        <f t="shared" si="21"/>
        <v>102</v>
      </c>
      <c r="AB47" s="194" t="e">
        <f t="shared" si="6"/>
        <v>#REF!</v>
      </c>
      <c r="AC47" s="194" t="e">
        <f t="shared" si="22"/>
        <v>#REF!</v>
      </c>
      <c r="AD47" s="194">
        <f t="shared" si="23"/>
        <v>0.3953323986453664</v>
      </c>
      <c r="AE47" s="194" t="e">
        <f t="shared" si="24"/>
        <v>#REF!</v>
      </c>
      <c r="AF47" s="194" t="e">
        <f t="shared" si="25"/>
        <v>#REF!</v>
      </c>
      <c r="AG47" s="18"/>
      <c r="AH47" s="18"/>
      <c r="AI47" s="18"/>
      <c r="AJ47" s="18"/>
      <c r="AK47" s="194" t="e">
        <f>'ULS MP'!#REF!</f>
        <v>#REF!</v>
      </c>
      <c r="AL47" s="18">
        <f t="shared" si="7"/>
        <v>0</v>
      </c>
      <c r="AM47" s="18">
        <f t="shared" si="8"/>
        <v>0</v>
      </c>
      <c r="AN47" s="194">
        <f t="shared" si="26"/>
        <v>141</v>
      </c>
      <c r="AO47" s="194">
        <f t="shared" si="27"/>
        <v>0</v>
      </c>
      <c r="AP47" s="194">
        <f t="shared" si="9"/>
        <v>0</v>
      </c>
      <c r="AQ47" s="194">
        <f t="shared" si="28"/>
        <v>0</v>
      </c>
      <c r="AR47" s="18">
        <f t="shared" si="10"/>
        <v>0</v>
      </c>
      <c r="AS47" s="18">
        <f t="shared" si="11"/>
        <v>0</v>
      </c>
      <c r="AT47" s="18">
        <f t="shared" si="12"/>
        <v>0</v>
      </c>
      <c r="AU47" s="194">
        <f t="shared" si="29"/>
        <v>0</v>
      </c>
      <c r="AV47" s="194">
        <f t="shared" si="30"/>
        <v>0</v>
      </c>
    </row>
    <row r="48" spans="3:48" ht="14.85" customHeight="1">
      <c r="C48" s="12" t="str">
        <f t="shared" si="13"/>
        <v>Can14</v>
      </c>
      <c r="D48" s="2">
        <f t="shared" si="14"/>
        <v>-47.8</v>
      </c>
      <c r="E48" s="3">
        <f t="shared" si="15"/>
        <v>9.8000000000000007</v>
      </c>
      <c r="F48" s="3">
        <f t="shared" si="16"/>
        <v>90</v>
      </c>
      <c r="G48" s="3">
        <v>141</v>
      </c>
      <c r="H48" s="3">
        <v>0</v>
      </c>
      <c r="I48" s="3">
        <v>0</v>
      </c>
      <c r="J48" s="192">
        <f>VLOOKUP(P48,'Steel grades'!$B$5:$J$22,IF(F48&gt;200,10,IF(F48&gt;150,9,IF(F48&gt;120,8,IF(F48&gt;100,7,IF(F48&gt;80,6,IF(F48&gt;63,5,IF(F48&gt;40,4,IF(F48&gt;16,3,2)))))))),FALSE)</f>
        <v>315</v>
      </c>
      <c r="K48" s="3" t="e">
        <f t="shared" si="3"/>
        <v>#REF!</v>
      </c>
      <c r="L48" s="3">
        <v>0</v>
      </c>
      <c r="M48" s="3">
        <v>0</v>
      </c>
      <c r="N48" s="3" t="e">
        <f t="shared" si="4"/>
        <v>#REF!</v>
      </c>
      <c r="O48" s="3">
        <f t="shared" si="5"/>
        <v>0.44761904761904764</v>
      </c>
      <c r="P48" s="3" t="str">
        <f>Geometry!M42</f>
        <v>S355 NL/ML</v>
      </c>
      <c r="R48" s="220">
        <f t="shared" si="17"/>
        <v>-387106.73261606897</v>
      </c>
      <c r="S48" s="3"/>
      <c r="T48" s="3"/>
      <c r="U48" s="3"/>
      <c r="V48" s="3"/>
      <c r="W48" s="3"/>
      <c r="X48" s="18">
        <f t="shared" si="18"/>
        <v>2.7454378199721172</v>
      </c>
      <c r="Y48" s="18">
        <f t="shared" si="19"/>
        <v>6.6039125512340453</v>
      </c>
      <c r="Z48" s="194">
        <f t="shared" si="20"/>
        <v>4.8550000000000004</v>
      </c>
      <c r="AA48" s="194">
        <f t="shared" si="21"/>
        <v>90</v>
      </c>
      <c r="AB48" s="194" t="e">
        <f t="shared" si="6"/>
        <v>#REF!</v>
      </c>
      <c r="AC48" s="194" t="e">
        <f t="shared" si="22"/>
        <v>#REF!</v>
      </c>
      <c r="AD48" s="194">
        <f t="shared" si="23"/>
        <v>0.38213887965963755</v>
      </c>
      <c r="AE48" s="194" t="e">
        <f t="shared" si="24"/>
        <v>#REF!</v>
      </c>
      <c r="AF48" s="194" t="e">
        <f t="shared" si="25"/>
        <v>#REF!</v>
      </c>
      <c r="AG48" s="18"/>
      <c r="AH48" s="18"/>
      <c r="AI48" s="18"/>
      <c r="AJ48" s="18"/>
      <c r="AK48" s="194" t="e">
        <f>'ULS MP'!#REF!</f>
        <v>#REF!</v>
      </c>
      <c r="AL48" s="18">
        <f t="shared" si="7"/>
        <v>0</v>
      </c>
      <c r="AM48" s="18">
        <f t="shared" si="8"/>
        <v>0</v>
      </c>
      <c r="AN48" s="194">
        <f t="shared" si="26"/>
        <v>141</v>
      </c>
      <c r="AO48" s="194">
        <f t="shared" si="27"/>
        <v>0</v>
      </c>
      <c r="AP48" s="194">
        <f t="shared" si="9"/>
        <v>0</v>
      </c>
      <c r="AQ48" s="194">
        <f t="shared" si="28"/>
        <v>0</v>
      </c>
      <c r="AR48" s="18">
        <f t="shared" si="10"/>
        <v>0</v>
      </c>
      <c r="AS48" s="18">
        <f t="shared" si="11"/>
        <v>0</v>
      </c>
      <c r="AT48" s="18">
        <f t="shared" si="12"/>
        <v>0</v>
      </c>
      <c r="AU48" s="194">
        <f t="shared" si="29"/>
        <v>0</v>
      </c>
      <c r="AV48" s="194">
        <f t="shared" si="30"/>
        <v>0</v>
      </c>
    </row>
    <row r="49" spans="3:48" ht="14.85" customHeight="1">
      <c r="C49" s="12" t="str">
        <f t="shared" si="13"/>
        <v>Can15</v>
      </c>
      <c r="D49" s="2">
        <f t="shared" si="14"/>
        <v>-51.8</v>
      </c>
      <c r="E49" s="3">
        <f t="shared" si="15"/>
        <v>9.8000000000000007</v>
      </c>
      <c r="F49" s="3">
        <f t="shared" si="16"/>
        <v>81</v>
      </c>
      <c r="G49" s="3">
        <v>141</v>
      </c>
      <c r="H49" s="3">
        <v>0</v>
      </c>
      <c r="I49" s="3">
        <v>0</v>
      </c>
      <c r="J49" s="192">
        <f>VLOOKUP(P49,'Steel grades'!$B$5:$J$22,IF(F49&gt;200,10,IF(F49&gt;150,9,IF(F49&gt;120,8,IF(F49&gt;100,7,IF(F49&gt;80,6,IF(F49&gt;63,5,IF(F49&gt;40,4,IF(F49&gt;16,3,2)))))))),FALSE)</f>
        <v>315</v>
      </c>
      <c r="K49" s="3" t="e">
        <f t="shared" si="3"/>
        <v>#REF!</v>
      </c>
      <c r="L49" s="3">
        <v>0</v>
      </c>
      <c r="M49" s="3">
        <v>0</v>
      </c>
      <c r="N49" s="3" t="e">
        <f t="shared" si="4"/>
        <v>#REF!</v>
      </c>
      <c r="O49" s="3">
        <f t="shared" si="5"/>
        <v>0.44761904761904764</v>
      </c>
      <c r="P49" s="3" t="str">
        <f>Geometry!M43</f>
        <v>S355 NL/ML</v>
      </c>
      <c r="R49" s="220">
        <f t="shared" si="17"/>
        <v>-348718.98052173189</v>
      </c>
      <c r="S49" s="3"/>
      <c r="T49" s="3"/>
      <c r="U49" s="3"/>
      <c r="V49" s="3"/>
      <c r="W49" s="3"/>
      <c r="X49" s="18">
        <f t="shared" si="18"/>
        <v>2.473184259019396</v>
      </c>
      <c r="Y49" s="18">
        <f t="shared" si="19"/>
        <v>5.9599653579196561</v>
      </c>
      <c r="Z49" s="194">
        <f t="shared" si="20"/>
        <v>4.8595000000000006</v>
      </c>
      <c r="AA49" s="194">
        <f t="shared" si="21"/>
        <v>81</v>
      </c>
      <c r="AB49" s="194" t="e">
        <f t="shared" si="6"/>
        <v>#REF!</v>
      </c>
      <c r="AC49" s="194" t="e">
        <f t="shared" si="22"/>
        <v>#REF!</v>
      </c>
      <c r="AD49" s="194">
        <f t="shared" si="23"/>
        <v>0.37082436194503576</v>
      </c>
      <c r="AE49" s="194" t="e">
        <f t="shared" si="24"/>
        <v>#REF!</v>
      </c>
      <c r="AF49" s="194" t="e">
        <f t="shared" si="25"/>
        <v>#REF!</v>
      </c>
      <c r="AG49" s="18"/>
      <c r="AH49" s="18"/>
      <c r="AI49" s="18"/>
      <c r="AJ49" s="18"/>
      <c r="AK49" s="194" t="e">
        <f>'ULS MP'!#REF!</f>
        <v>#REF!</v>
      </c>
      <c r="AL49" s="18">
        <f t="shared" si="7"/>
        <v>0</v>
      </c>
      <c r="AM49" s="18">
        <f t="shared" si="8"/>
        <v>0</v>
      </c>
      <c r="AN49" s="194">
        <f t="shared" si="26"/>
        <v>140.99999999999997</v>
      </c>
      <c r="AO49" s="194">
        <f t="shared" si="27"/>
        <v>0</v>
      </c>
      <c r="AP49" s="194">
        <f t="shared" si="9"/>
        <v>0</v>
      </c>
      <c r="AQ49" s="194">
        <f t="shared" si="28"/>
        <v>0</v>
      </c>
      <c r="AR49" s="18">
        <f t="shared" si="10"/>
        <v>0</v>
      </c>
      <c r="AS49" s="18">
        <f t="shared" si="11"/>
        <v>0</v>
      </c>
      <c r="AT49" s="18">
        <f t="shared" si="12"/>
        <v>0</v>
      </c>
      <c r="AU49" s="194">
        <f t="shared" si="29"/>
        <v>0</v>
      </c>
      <c r="AV49" s="194">
        <f t="shared" si="30"/>
        <v>0</v>
      </c>
    </row>
    <row r="50" spans="3:48" ht="14.85" customHeight="1">
      <c r="C50" s="12" t="str">
        <f t="shared" si="13"/>
        <v>Can16</v>
      </c>
      <c r="D50" s="2">
        <f t="shared" si="14"/>
        <v>-55.8</v>
      </c>
      <c r="E50" s="3">
        <f t="shared" si="15"/>
        <v>9.8000000000000007</v>
      </c>
      <c r="F50" s="3">
        <f t="shared" si="16"/>
        <v>81</v>
      </c>
      <c r="G50" s="3">
        <v>141</v>
      </c>
      <c r="H50" s="3">
        <v>0</v>
      </c>
      <c r="I50" s="3">
        <v>0</v>
      </c>
      <c r="J50" s="192">
        <f>VLOOKUP(P50,'Steel grades'!$B$5:$J$22,IF(F50&gt;200,10,IF(F50&gt;150,9,IF(F50&gt;120,8,IF(F50&gt;100,7,IF(F50&gt;80,6,IF(F50&gt;63,5,IF(F50&gt;40,4,IF(F50&gt;16,3,2)))))))),FALSE)</f>
        <v>315</v>
      </c>
      <c r="K50" s="3" t="e">
        <f t="shared" si="3"/>
        <v>#REF!</v>
      </c>
      <c r="L50" s="3">
        <v>0</v>
      </c>
      <c r="M50" s="3">
        <v>0</v>
      </c>
      <c r="N50" s="3" t="e">
        <f t="shared" si="4"/>
        <v>#REF!</v>
      </c>
      <c r="O50" s="3">
        <f t="shared" si="5"/>
        <v>0.44761904761904764</v>
      </c>
      <c r="P50" s="3" t="str">
        <f>Geometry!M44</f>
        <v>S355 NL/ML</v>
      </c>
      <c r="R50" s="220">
        <f t="shared" si="17"/>
        <v>-348718.98052173189</v>
      </c>
      <c r="S50" s="3"/>
      <c r="T50" s="3"/>
      <c r="U50" s="3"/>
      <c r="V50" s="3"/>
      <c r="W50" s="3"/>
      <c r="X50" s="18">
        <f t="shared" si="18"/>
        <v>2.473184259019396</v>
      </c>
      <c r="Y50" s="18">
        <f t="shared" si="19"/>
        <v>5.9599653579196561</v>
      </c>
      <c r="Z50" s="194">
        <f t="shared" si="20"/>
        <v>4.8595000000000006</v>
      </c>
      <c r="AA50" s="194">
        <f t="shared" si="21"/>
        <v>81</v>
      </c>
      <c r="AB50" s="194" t="e">
        <f t="shared" si="6"/>
        <v>#REF!</v>
      </c>
      <c r="AC50" s="194" t="e">
        <f t="shared" si="22"/>
        <v>#REF!</v>
      </c>
      <c r="AD50" s="194">
        <f t="shared" si="23"/>
        <v>0.37082436194503576</v>
      </c>
      <c r="AE50" s="194" t="e">
        <f t="shared" si="24"/>
        <v>#REF!</v>
      </c>
      <c r="AF50" s="194" t="e">
        <f t="shared" si="25"/>
        <v>#REF!</v>
      </c>
      <c r="AG50" s="18"/>
      <c r="AH50" s="18"/>
      <c r="AI50" s="18"/>
      <c r="AJ50" s="18"/>
      <c r="AK50" s="194" t="e">
        <f>'ULS MP'!#REF!</f>
        <v>#REF!</v>
      </c>
      <c r="AL50" s="18">
        <f t="shared" si="7"/>
        <v>0</v>
      </c>
      <c r="AM50" s="18">
        <f t="shared" si="8"/>
        <v>0</v>
      </c>
      <c r="AN50" s="194">
        <f t="shared" si="26"/>
        <v>140.99999999999997</v>
      </c>
      <c r="AO50" s="194">
        <f t="shared" si="27"/>
        <v>0</v>
      </c>
      <c r="AP50" s="194">
        <f t="shared" si="9"/>
        <v>0</v>
      </c>
      <c r="AQ50" s="194">
        <f t="shared" si="28"/>
        <v>0</v>
      </c>
      <c r="AR50" s="18">
        <f t="shared" si="10"/>
        <v>0</v>
      </c>
      <c r="AS50" s="18">
        <f t="shared" si="11"/>
        <v>0</v>
      </c>
      <c r="AT50" s="18">
        <f t="shared" si="12"/>
        <v>0</v>
      </c>
      <c r="AU50" s="194">
        <f t="shared" si="29"/>
        <v>0</v>
      </c>
      <c r="AV50" s="194">
        <f t="shared" si="30"/>
        <v>0</v>
      </c>
    </row>
    <row r="51" spans="3:48" ht="14.85" customHeight="1">
      <c r="C51" s="12" t="str">
        <f t="shared" si="13"/>
        <v>Can17</v>
      </c>
      <c r="D51" s="2">
        <f t="shared" si="14"/>
        <v>-59.8</v>
      </c>
      <c r="E51" s="3">
        <f t="shared" si="15"/>
        <v>9.8000000000000007</v>
      </c>
      <c r="F51" s="3">
        <f t="shared" si="16"/>
        <v>81</v>
      </c>
      <c r="G51" s="3">
        <v>141</v>
      </c>
      <c r="H51" s="3">
        <v>0</v>
      </c>
      <c r="I51" s="3">
        <v>0</v>
      </c>
      <c r="J51" s="192">
        <f>VLOOKUP(P51,'Steel grades'!$B$5:$J$22,IF(F51&gt;200,10,IF(F51&gt;150,9,IF(F51&gt;120,8,IF(F51&gt;100,7,IF(F51&gt;80,6,IF(F51&gt;63,5,IF(F51&gt;40,4,IF(F51&gt;16,3,2)))))))),FALSE)</f>
        <v>315</v>
      </c>
      <c r="K51" s="3" t="e">
        <f t="shared" si="3"/>
        <v>#REF!</v>
      </c>
      <c r="L51" s="3">
        <v>0</v>
      </c>
      <c r="M51" s="3">
        <v>0</v>
      </c>
      <c r="N51" s="3" t="e">
        <f t="shared" si="4"/>
        <v>#REF!</v>
      </c>
      <c r="O51" s="3">
        <f t="shared" si="5"/>
        <v>0.44761904761904764</v>
      </c>
      <c r="P51" s="3" t="str">
        <f>Geometry!M45</f>
        <v>S355 NL/ML</v>
      </c>
      <c r="R51" s="220">
        <f t="shared" si="17"/>
        <v>-348718.98052173189</v>
      </c>
      <c r="S51" s="3"/>
      <c r="T51" s="3"/>
      <c r="U51" s="3"/>
      <c r="V51" s="3"/>
      <c r="W51" s="3"/>
      <c r="X51" s="18">
        <f t="shared" si="18"/>
        <v>2.473184259019396</v>
      </c>
      <c r="Y51" s="18">
        <f t="shared" si="19"/>
        <v>5.9599653579196561</v>
      </c>
      <c r="Z51" s="194">
        <f t="shared" si="20"/>
        <v>4.8595000000000006</v>
      </c>
      <c r="AA51" s="194">
        <f t="shared" si="21"/>
        <v>81</v>
      </c>
      <c r="AB51" s="194" t="e">
        <f t="shared" si="6"/>
        <v>#REF!</v>
      </c>
      <c r="AC51" s="194" t="e">
        <f t="shared" si="22"/>
        <v>#REF!</v>
      </c>
      <c r="AD51" s="194">
        <f t="shared" si="23"/>
        <v>0.37082436194503576</v>
      </c>
      <c r="AE51" s="194" t="e">
        <f t="shared" si="24"/>
        <v>#REF!</v>
      </c>
      <c r="AF51" s="194" t="e">
        <f t="shared" si="25"/>
        <v>#REF!</v>
      </c>
      <c r="AG51" s="18"/>
      <c r="AH51" s="18"/>
      <c r="AI51" s="18"/>
      <c r="AJ51" s="18"/>
      <c r="AK51" s="194" t="e">
        <f>'ULS MP'!#REF!</f>
        <v>#REF!</v>
      </c>
      <c r="AL51" s="18">
        <f t="shared" si="7"/>
        <v>0</v>
      </c>
      <c r="AM51" s="18">
        <f t="shared" si="8"/>
        <v>0</v>
      </c>
      <c r="AN51" s="194">
        <f t="shared" si="26"/>
        <v>140.99999999999997</v>
      </c>
      <c r="AO51" s="194">
        <f t="shared" si="27"/>
        <v>0</v>
      </c>
      <c r="AP51" s="194">
        <f t="shared" si="9"/>
        <v>0</v>
      </c>
      <c r="AQ51" s="194">
        <f t="shared" si="28"/>
        <v>0</v>
      </c>
      <c r="AR51" s="18">
        <f t="shared" si="10"/>
        <v>0</v>
      </c>
      <c r="AS51" s="18">
        <f t="shared" si="11"/>
        <v>0</v>
      </c>
      <c r="AT51" s="18">
        <f t="shared" si="12"/>
        <v>0</v>
      </c>
      <c r="AU51" s="194">
        <f t="shared" si="29"/>
        <v>0</v>
      </c>
      <c r="AV51" s="194">
        <f t="shared" si="30"/>
        <v>0</v>
      </c>
    </row>
    <row r="52" spans="3:48" ht="14.85" customHeight="1">
      <c r="C52" s="12" t="str">
        <f t="shared" si="13"/>
        <v>Can18</v>
      </c>
      <c r="D52" s="2">
        <f t="shared" si="14"/>
        <v>-63.8</v>
      </c>
      <c r="E52" s="3">
        <f t="shared" si="15"/>
        <v>9.8000000000000007</v>
      </c>
      <c r="F52" s="3">
        <f t="shared" si="16"/>
        <v>81</v>
      </c>
      <c r="G52" s="3">
        <v>141</v>
      </c>
      <c r="H52" s="3">
        <v>0</v>
      </c>
      <c r="I52" s="3">
        <v>0</v>
      </c>
      <c r="J52" s="192">
        <f>VLOOKUP(P52,'Steel grades'!$B$5:$J$22,IF(F52&gt;200,10,IF(F52&gt;150,9,IF(F52&gt;120,8,IF(F52&gt;100,7,IF(F52&gt;80,6,IF(F52&gt;63,5,IF(F52&gt;40,4,IF(F52&gt;16,3,2)))))))),FALSE)</f>
        <v>315</v>
      </c>
      <c r="K52" s="3" t="e">
        <f t="shared" si="3"/>
        <v>#REF!</v>
      </c>
      <c r="L52" s="3">
        <v>0</v>
      </c>
      <c r="M52" s="3">
        <v>0</v>
      </c>
      <c r="N52" s="3" t="e">
        <f t="shared" si="4"/>
        <v>#REF!</v>
      </c>
      <c r="O52" s="3">
        <f t="shared" si="5"/>
        <v>0.44761904761904764</v>
      </c>
      <c r="P52" s="3" t="str">
        <f>Geometry!M46</f>
        <v>S355 NL/ML</v>
      </c>
      <c r="R52" s="220">
        <f t="shared" si="17"/>
        <v>-348718.98052173189</v>
      </c>
      <c r="S52" s="3"/>
      <c r="T52" s="3"/>
      <c r="U52" s="3"/>
      <c r="V52" s="3"/>
      <c r="W52" s="3"/>
      <c r="X52" s="18">
        <f t="shared" si="18"/>
        <v>2.473184259019396</v>
      </c>
      <c r="Y52" s="18">
        <f t="shared" si="19"/>
        <v>5.9599653579196561</v>
      </c>
      <c r="Z52" s="194">
        <f t="shared" si="20"/>
        <v>4.8595000000000006</v>
      </c>
      <c r="AA52" s="194">
        <f t="shared" si="21"/>
        <v>81</v>
      </c>
      <c r="AB52" s="194" t="e">
        <f t="shared" si="6"/>
        <v>#REF!</v>
      </c>
      <c r="AC52" s="194" t="e">
        <f t="shared" si="22"/>
        <v>#REF!</v>
      </c>
      <c r="AD52" s="194">
        <f t="shared" si="23"/>
        <v>0.37082436194503576</v>
      </c>
      <c r="AE52" s="194" t="e">
        <f t="shared" si="24"/>
        <v>#REF!</v>
      </c>
      <c r="AF52" s="194" t="e">
        <f t="shared" si="25"/>
        <v>#REF!</v>
      </c>
      <c r="AG52" s="18"/>
      <c r="AH52" s="18"/>
      <c r="AI52" s="18"/>
      <c r="AJ52" s="18"/>
      <c r="AK52" s="194" t="e">
        <f>'ULS MP'!#REF!</f>
        <v>#REF!</v>
      </c>
      <c r="AL52" s="18">
        <f t="shared" si="7"/>
        <v>0</v>
      </c>
      <c r="AM52" s="18">
        <f t="shared" si="8"/>
        <v>0</v>
      </c>
      <c r="AN52" s="194">
        <f t="shared" si="26"/>
        <v>140.99999999999997</v>
      </c>
      <c r="AO52" s="194">
        <f t="shared" si="27"/>
        <v>0</v>
      </c>
      <c r="AP52" s="194">
        <f t="shared" si="9"/>
        <v>0</v>
      </c>
      <c r="AQ52" s="194">
        <f t="shared" si="28"/>
        <v>0</v>
      </c>
      <c r="AR52" s="18">
        <f t="shared" si="10"/>
        <v>0</v>
      </c>
      <c r="AS52" s="18">
        <f t="shared" si="11"/>
        <v>0</v>
      </c>
      <c r="AT52" s="18">
        <f t="shared" si="12"/>
        <v>0</v>
      </c>
      <c r="AU52" s="194">
        <f t="shared" si="29"/>
        <v>0</v>
      </c>
      <c r="AV52" s="194">
        <f t="shared" si="30"/>
        <v>0</v>
      </c>
    </row>
    <row r="53" spans="3:48" ht="14.85" customHeight="1">
      <c r="C53" s="12" t="str">
        <f t="shared" si="13"/>
        <v>Can19</v>
      </c>
      <c r="D53" s="2">
        <f t="shared" si="14"/>
        <v>-67.8</v>
      </c>
      <c r="E53" s="3">
        <f t="shared" si="15"/>
        <v>9.8000000000000007</v>
      </c>
      <c r="F53" s="3">
        <f t="shared" si="16"/>
        <v>81</v>
      </c>
      <c r="G53" s="3">
        <v>141</v>
      </c>
      <c r="H53" s="3">
        <v>0</v>
      </c>
      <c r="I53" s="3">
        <v>0</v>
      </c>
      <c r="J53" s="192">
        <f>VLOOKUP(P53,'Steel grades'!$B$5:$J$22,IF(F53&gt;200,10,IF(F53&gt;150,9,IF(F53&gt;120,8,IF(F53&gt;100,7,IF(F53&gt;80,6,IF(F53&gt;63,5,IF(F53&gt;40,4,IF(F53&gt;16,3,2)))))))),FALSE)</f>
        <v>315</v>
      </c>
      <c r="K53" s="3" t="e">
        <f t="shared" si="3"/>
        <v>#REF!</v>
      </c>
      <c r="L53" s="3">
        <v>0</v>
      </c>
      <c r="M53" s="3">
        <v>0</v>
      </c>
      <c r="N53" s="3" t="e">
        <f t="shared" si="4"/>
        <v>#REF!</v>
      </c>
      <c r="O53" s="3">
        <f t="shared" si="5"/>
        <v>0.44761904761904764</v>
      </c>
      <c r="P53" s="3" t="str">
        <f>Geometry!M47</f>
        <v>S355 NL/ML</v>
      </c>
      <c r="R53" s="220">
        <f t="shared" si="17"/>
        <v>-348718.98052173189</v>
      </c>
      <c r="S53" s="3"/>
      <c r="T53" s="3"/>
      <c r="U53" s="3"/>
      <c r="V53" s="3"/>
      <c r="W53" s="3"/>
      <c r="X53" s="18">
        <f t="shared" si="18"/>
        <v>2.473184259019396</v>
      </c>
      <c r="Y53" s="18">
        <f t="shared" si="19"/>
        <v>5.9599653579196561</v>
      </c>
      <c r="Z53" s="194">
        <f t="shared" si="20"/>
        <v>4.8595000000000006</v>
      </c>
      <c r="AA53" s="194">
        <f t="shared" si="21"/>
        <v>81</v>
      </c>
      <c r="AB53" s="194" t="e">
        <f t="shared" si="6"/>
        <v>#REF!</v>
      </c>
      <c r="AC53" s="194" t="e">
        <f t="shared" si="22"/>
        <v>#REF!</v>
      </c>
      <c r="AD53" s="194">
        <f t="shared" si="23"/>
        <v>0.37082436194503576</v>
      </c>
      <c r="AE53" s="194" t="e">
        <f t="shared" si="24"/>
        <v>#REF!</v>
      </c>
      <c r="AF53" s="194" t="e">
        <f t="shared" si="25"/>
        <v>#REF!</v>
      </c>
      <c r="AG53" s="18"/>
      <c r="AH53" s="18"/>
      <c r="AI53" s="18"/>
      <c r="AJ53" s="18"/>
      <c r="AK53" s="194" t="e">
        <f>'ULS MP'!#REF!</f>
        <v>#REF!</v>
      </c>
      <c r="AL53" s="18">
        <f t="shared" si="7"/>
        <v>0</v>
      </c>
      <c r="AM53" s="18">
        <f t="shared" si="8"/>
        <v>0</v>
      </c>
      <c r="AN53" s="194">
        <f t="shared" si="26"/>
        <v>140.99999999999997</v>
      </c>
      <c r="AO53" s="194">
        <f t="shared" si="27"/>
        <v>0</v>
      </c>
      <c r="AP53" s="194">
        <f t="shared" si="9"/>
        <v>0</v>
      </c>
      <c r="AQ53" s="194">
        <f t="shared" si="28"/>
        <v>0</v>
      </c>
      <c r="AR53" s="18">
        <f t="shared" si="10"/>
        <v>0</v>
      </c>
      <c r="AS53" s="18">
        <f t="shared" si="11"/>
        <v>0</v>
      </c>
      <c r="AT53" s="18">
        <f t="shared" si="12"/>
        <v>0</v>
      </c>
      <c r="AU53" s="194">
        <f t="shared" si="29"/>
        <v>0</v>
      </c>
      <c r="AV53" s="194">
        <f t="shared" si="30"/>
        <v>0</v>
      </c>
    </row>
    <row r="54" spans="3:48" ht="14.85" customHeight="1">
      <c r="C54" s="12" t="str">
        <f t="shared" si="13"/>
        <v>Can20</v>
      </c>
      <c r="D54" s="2" t="e">
        <f t="shared" si="14"/>
        <v>#REF!</v>
      </c>
      <c r="E54" s="3" t="e">
        <f t="shared" si="15"/>
        <v>#REF!</v>
      </c>
      <c r="F54" s="3" t="e">
        <f t="shared" si="16"/>
        <v>#REF!</v>
      </c>
      <c r="G54" s="3">
        <v>141</v>
      </c>
      <c r="H54" s="3">
        <v>0</v>
      </c>
      <c r="I54" s="3">
        <v>0</v>
      </c>
      <c r="J54" s="192" t="e">
        <f>VLOOKUP(P54,'Steel grades'!$B$5:$J$22,IF(F54&gt;200,10,IF(F54&gt;150,9,IF(F54&gt;120,8,IF(F54&gt;100,7,IF(F54&gt;80,6,IF(F54&gt;63,5,IF(F54&gt;40,4,IF(F54&gt;16,3,2)))))))),FALSE)</f>
        <v>#REF!</v>
      </c>
      <c r="K54" s="3" t="e">
        <f t="shared" si="3"/>
        <v>#REF!</v>
      </c>
      <c r="L54" s="3">
        <v>0</v>
      </c>
      <c r="M54" s="3">
        <v>0</v>
      </c>
      <c r="N54" s="3" t="e">
        <f t="shared" si="4"/>
        <v>#REF!</v>
      </c>
      <c r="O54" s="3" t="e">
        <f t="shared" si="5"/>
        <v>#REF!</v>
      </c>
      <c r="P54" s="3" t="e">
        <f>Geometry!#REF!</f>
        <v>#REF!</v>
      </c>
      <c r="R54" s="220" t="e">
        <f t="shared" si="17"/>
        <v>#REF!</v>
      </c>
      <c r="S54" s="3"/>
      <c r="T54" s="3"/>
      <c r="U54" s="3"/>
      <c r="V54" s="3"/>
      <c r="W54" s="3"/>
      <c r="X54" s="18" t="e">
        <f t="shared" si="18"/>
        <v>#REF!</v>
      </c>
      <c r="Y54" s="18" t="e">
        <f t="shared" si="19"/>
        <v>#REF!</v>
      </c>
      <c r="Z54" s="194" t="e">
        <f t="shared" si="20"/>
        <v>#REF!</v>
      </c>
      <c r="AA54" s="194" t="e">
        <f t="shared" si="21"/>
        <v>#REF!</v>
      </c>
      <c r="AB54" s="194" t="e">
        <f t="shared" si="6"/>
        <v>#REF!</v>
      </c>
      <c r="AC54" s="194" t="e">
        <f t="shared" si="22"/>
        <v>#REF!</v>
      </c>
      <c r="AD54" s="194" t="e">
        <f t="shared" si="23"/>
        <v>#REF!</v>
      </c>
      <c r="AE54" s="194" t="e">
        <f t="shared" si="24"/>
        <v>#REF!</v>
      </c>
      <c r="AF54" s="194" t="e">
        <f t="shared" si="25"/>
        <v>#REF!</v>
      </c>
      <c r="AG54" s="18"/>
      <c r="AH54" s="18"/>
      <c r="AI54" s="18"/>
      <c r="AJ54" s="18"/>
      <c r="AK54" s="194" t="e">
        <f>'ULS MP'!#REF!</f>
        <v>#REF!</v>
      </c>
      <c r="AL54" s="18" t="e">
        <f t="shared" si="7"/>
        <v>#REF!</v>
      </c>
      <c r="AM54" s="18" t="e">
        <f t="shared" si="8"/>
        <v>#REF!</v>
      </c>
      <c r="AN54" s="194" t="e">
        <f t="shared" si="26"/>
        <v>#REF!</v>
      </c>
      <c r="AO54" s="194" t="e">
        <f t="shared" si="27"/>
        <v>#REF!</v>
      </c>
      <c r="AP54" s="194" t="e">
        <f t="shared" si="9"/>
        <v>#REF!</v>
      </c>
      <c r="AQ54" s="194" t="e">
        <f t="shared" si="28"/>
        <v>#REF!</v>
      </c>
      <c r="AR54" s="18" t="e">
        <f t="shared" si="10"/>
        <v>#REF!</v>
      </c>
      <c r="AS54" s="18" t="e">
        <f t="shared" si="11"/>
        <v>#REF!</v>
      </c>
      <c r="AT54" s="18" t="e">
        <f t="shared" si="12"/>
        <v>#REF!</v>
      </c>
      <c r="AU54" s="194" t="e">
        <f t="shared" si="29"/>
        <v>#REF!</v>
      </c>
      <c r="AV54" s="194" t="e">
        <f t="shared" si="30"/>
        <v>#REF!</v>
      </c>
    </row>
    <row r="55" spans="3:48" ht="14.85" customHeight="1">
      <c r="C55" s="12" t="str">
        <f t="shared" si="13"/>
        <v>Can21</v>
      </c>
      <c r="D55" s="2">
        <f t="shared" si="14"/>
        <v>-71.8</v>
      </c>
      <c r="E55" s="3">
        <f t="shared" si="15"/>
        <v>9.8000000000000007</v>
      </c>
      <c r="F55" s="3">
        <f t="shared" si="16"/>
        <v>90</v>
      </c>
      <c r="G55" s="3">
        <v>141</v>
      </c>
      <c r="H55" s="3">
        <v>0</v>
      </c>
      <c r="I55" s="3">
        <v>0</v>
      </c>
      <c r="J55" s="192">
        <f>VLOOKUP(P55,'Steel grades'!$B$5:$J$22,IF(F55&gt;200,10,IF(F55&gt;150,9,IF(F55&gt;120,8,IF(F55&gt;100,7,IF(F55&gt;80,6,IF(F55&gt;63,5,IF(F55&gt;40,4,IF(F55&gt;16,3,2)))))))),FALSE)</f>
        <v>315</v>
      </c>
      <c r="K55" s="3" t="e">
        <f t="shared" si="3"/>
        <v>#REF!</v>
      </c>
      <c r="L55" s="3">
        <v>0</v>
      </c>
      <c r="M55" s="3">
        <v>0</v>
      </c>
      <c r="N55" s="3" t="e">
        <f t="shared" si="4"/>
        <v>#REF!</v>
      </c>
      <c r="O55" s="3">
        <f t="shared" si="5"/>
        <v>0.44761904761904764</v>
      </c>
      <c r="P55" s="3" t="str">
        <f>Geometry!M48</f>
        <v>S355 NL/ML</v>
      </c>
      <c r="R55" s="220">
        <f t="shared" si="17"/>
        <v>-387106.73261606897</v>
      </c>
      <c r="S55" s="3"/>
      <c r="T55" s="3"/>
      <c r="U55" s="3"/>
      <c r="V55" s="3"/>
      <c r="W55" s="3"/>
      <c r="X55" s="18">
        <f t="shared" si="18"/>
        <v>2.7454378199721172</v>
      </c>
      <c r="Y55" s="18">
        <f t="shared" si="19"/>
        <v>6.6039125512340453</v>
      </c>
      <c r="Z55" s="194">
        <f t="shared" si="20"/>
        <v>4.8550000000000004</v>
      </c>
      <c r="AA55" s="194">
        <f t="shared" si="21"/>
        <v>90</v>
      </c>
      <c r="AB55" s="194" t="e">
        <f t="shared" si="6"/>
        <v>#REF!</v>
      </c>
      <c r="AC55" s="194" t="e">
        <f t="shared" si="22"/>
        <v>#REF!</v>
      </c>
      <c r="AD55" s="194">
        <f t="shared" si="23"/>
        <v>0.38213887965963755</v>
      </c>
      <c r="AE55" s="194" t="e">
        <f t="shared" si="24"/>
        <v>#REF!</v>
      </c>
      <c r="AF55" s="194" t="e">
        <f t="shared" si="25"/>
        <v>#REF!</v>
      </c>
      <c r="AG55" s="18"/>
      <c r="AH55" s="18"/>
      <c r="AI55" s="18"/>
      <c r="AJ55" s="18"/>
      <c r="AK55" s="194" t="e">
        <f>'ULS MP'!#REF!</f>
        <v>#REF!</v>
      </c>
      <c r="AL55" s="18">
        <f t="shared" si="7"/>
        <v>0</v>
      </c>
      <c r="AM55" s="18">
        <f t="shared" si="8"/>
        <v>0</v>
      </c>
      <c r="AN55" s="194">
        <f t="shared" si="26"/>
        <v>141</v>
      </c>
      <c r="AO55" s="194">
        <f t="shared" si="27"/>
        <v>0</v>
      </c>
      <c r="AP55" s="194">
        <f t="shared" si="9"/>
        <v>0</v>
      </c>
      <c r="AQ55" s="194">
        <f t="shared" si="28"/>
        <v>0</v>
      </c>
      <c r="AR55" s="18">
        <f t="shared" si="10"/>
        <v>0</v>
      </c>
      <c r="AS55" s="18">
        <f t="shared" si="11"/>
        <v>0</v>
      </c>
      <c r="AT55" s="18">
        <f t="shared" si="12"/>
        <v>0</v>
      </c>
      <c r="AU55" s="194">
        <f t="shared" si="29"/>
        <v>0</v>
      </c>
      <c r="AV55" s="194">
        <f t="shared" si="30"/>
        <v>0</v>
      </c>
    </row>
    <row r="56" spans="3:48" ht="14.85" customHeight="1">
      <c r="C56" s="12" t="str">
        <f t="shared" si="13"/>
        <v>Can22</v>
      </c>
      <c r="D56" s="2">
        <f t="shared" si="14"/>
        <v>-75.8</v>
      </c>
      <c r="E56" s="3">
        <f t="shared" si="15"/>
        <v>9.8000000000000007</v>
      </c>
      <c r="F56" s="3">
        <f t="shared" si="16"/>
        <v>95</v>
      </c>
      <c r="G56" s="3">
        <v>141</v>
      </c>
      <c r="H56" s="3">
        <v>0</v>
      </c>
      <c r="I56" s="3">
        <v>0</v>
      </c>
      <c r="J56" s="192">
        <f>VLOOKUP(P56,'Steel grades'!$B$5:$J$22,IF(F56&gt;200,10,IF(F56&gt;150,9,IF(F56&gt;120,8,IF(F56&gt;100,7,IF(F56&gt;80,6,IF(F56&gt;63,5,IF(F56&gt;40,4,IF(F56&gt;16,3,2)))))))),FALSE)</f>
        <v>315</v>
      </c>
      <c r="K56" s="3" t="e">
        <f t="shared" si="3"/>
        <v>#REF!</v>
      </c>
      <c r="L56" s="3">
        <v>0</v>
      </c>
      <c r="M56" s="3">
        <v>0</v>
      </c>
      <c r="N56" s="3" t="e">
        <f t="shared" si="4"/>
        <v>#REF!</v>
      </c>
      <c r="O56" s="3">
        <f t="shared" si="5"/>
        <v>0.44761904761904764</v>
      </c>
      <c r="P56" s="3" t="str">
        <f>Geometry!M49</f>
        <v>S355 NL/ML</v>
      </c>
      <c r="R56" s="220">
        <f t="shared" si="17"/>
        <v>-408402.25403787638</v>
      </c>
      <c r="S56" s="3"/>
      <c r="T56" s="3"/>
      <c r="U56" s="3"/>
      <c r="V56" s="3"/>
      <c r="W56" s="3"/>
      <c r="X56" s="18">
        <f t="shared" si="18"/>
        <v>2.8964698867934486</v>
      </c>
      <c r="Y56" s="18">
        <f t="shared" si="19"/>
        <v>6.9601026091808569</v>
      </c>
      <c r="Z56" s="194">
        <f t="shared" si="20"/>
        <v>4.8525</v>
      </c>
      <c r="AA56" s="194">
        <f t="shared" si="21"/>
        <v>95</v>
      </c>
      <c r="AB56" s="194" t="e">
        <f t="shared" si="6"/>
        <v>#REF!</v>
      </c>
      <c r="AC56" s="194" t="e">
        <f t="shared" si="22"/>
        <v>#REF!</v>
      </c>
      <c r="AD56" s="194">
        <f t="shared" si="23"/>
        <v>0.38787344180203998</v>
      </c>
      <c r="AE56" s="194" t="e">
        <f t="shared" si="24"/>
        <v>#REF!</v>
      </c>
      <c r="AF56" s="194" t="e">
        <f t="shared" si="25"/>
        <v>#REF!</v>
      </c>
      <c r="AG56" s="18"/>
      <c r="AH56" s="18"/>
      <c r="AI56" s="18"/>
      <c r="AJ56" s="18"/>
      <c r="AK56" s="194" t="e">
        <f>'ULS MP'!#REF!</f>
        <v>#REF!</v>
      </c>
      <c r="AL56" s="18">
        <f t="shared" si="7"/>
        <v>0</v>
      </c>
      <c r="AM56" s="18">
        <f t="shared" si="8"/>
        <v>0</v>
      </c>
      <c r="AN56" s="194">
        <f t="shared" si="26"/>
        <v>141</v>
      </c>
      <c r="AO56" s="194">
        <f t="shared" si="27"/>
        <v>0</v>
      </c>
      <c r="AP56" s="194">
        <f t="shared" si="9"/>
        <v>0</v>
      </c>
      <c r="AQ56" s="194">
        <f t="shared" si="28"/>
        <v>0</v>
      </c>
      <c r="AR56" s="18">
        <f t="shared" si="10"/>
        <v>0</v>
      </c>
      <c r="AS56" s="18">
        <f t="shared" si="11"/>
        <v>0</v>
      </c>
      <c r="AT56" s="18">
        <f t="shared" si="12"/>
        <v>0</v>
      </c>
      <c r="AU56" s="194">
        <f t="shared" si="29"/>
        <v>0</v>
      </c>
      <c r="AV56" s="194">
        <f t="shared" si="30"/>
        <v>0</v>
      </c>
    </row>
    <row r="57" spans="3:48" ht="14.85" customHeight="1">
      <c r="C57" s="12" t="str">
        <f t="shared" si="13"/>
        <v>Can23</v>
      </c>
      <c r="D57" s="2">
        <f t="shared" si="14"/>
        <v>-79.73</v>
      </c>
      <c r="E57" s="3">
        <f t="shared" si="15"/>
        <v>9.8000000000000007</v>
      </c>
      <c r="F57" s="3">
        <f t="shared" si="16"/>
        <v>100</v>
      </c>
      <c r="G57" s="3">
        <v>141</v>
      </c>
      <c r="H57" s="3">
        <v>0</v>
      </c>
      <c r="I57" s="3">
        <v>0</v>
      </c>
      <c r="J57" s="192">
        <f>VLOOKUP(P57,'Steel grades'!$B$5:$J$22,IF(F57&gt;200,10,IF(F57&gt;150,9,IF(F57&gt;120,8,IF(F57&gt;100,7,IF(F57&gt;80,6,IF(F57&gt;63,5,IF(F57&gt;40,4,IF(F57&gt;16,3,2)))))))),FALSE)</f>
        <v>315</v>
      </c>
      <c r="K57" s="3" t="e">
        <f t="shared" si="3"/>
        <v>#REF!</v>
      </c>
      <c r="L57" s="3">
        <v>0</v>
      </c>
      <c r="M57" s="3">
        <v>0</v>
      </c>
      <c r="N57" s="3" t="e">
        <f t="shared" si="4"/>
        <v>#REF!</v>
      </c>
      <c r="O57" s="3">
        <f t="shared" si="5"/>
        <v>0.44761904761904764</v>
      </c>
      <c r="P57" s="3" t="str">
        <f>Geometry!M50</f>
        <v>S355 NL/ML</v>
      </c>
      <c r="R57" s="220">
        <f t="shared" si="17"/>
        <v>-429675.62723147601</v>
      </c>
      <c r="S57" s="3"/>
      <c r="T57" s="3"/>
      <c r="U57" s="3"/>
      <c r="V57" s="3"/>
      <c r="W57" s="3"/>
      <c r="X57" s="18">
        <f t="shared" si="18"/>
        <v>3.0473448739820959</v>
      </c>
      <c r="Y57" s="18">
        <f t="shared" si="19"/>
        <v>7.3151824653498716</v>
      </c>
      <c r="Z57" s="194">
        <f t="shared" si="20"/>
        <v>4.8500000000000005</v>
      </c>
      <c r="AA57" s="194">
        <f t="shared" si="21"/>
        <v>100</v>
      </c>
      <c r="AB57" s="194" t="e">
        <f t="shared" si="6"/>
        <v>#REF!</v>
      </c>
      <c r="AC57" s="194" t="e">
        <f t="shared" si="22"/>
        <v>#REF!</v>
      </c>
      <c r="AD57" s="194">
        <f t="shared" si="23"/>
        <v>0.39326454456084714</v>
      </c>
      <c r="AE57" s="194" t="e">
        <f t="shared" si="24"/>
        <v>#REF!</v>
      </c>
      <c r="AF57" s="194" t="e">
        <f t="shared" si="25"/>
        <v>#REF!</v>
      </c>
      <c r="AG57" s="18"/>
      <c r="AH57" s="18"/>
      <c r="AI57" s="18"/>
      <c r="AJ57" s="18"/>
      <c r="AK57" s="194" t="e">
        <f>'ULS MP'!#REF!</f>
        <v>#REF!</v>
      </c>
      <c r="AL57" s="18">
        <f t="shared" si="7"/>
        <v>0</v>
      </c>
      <c r="AM57" s="18">
        <f t="shared" si="8"/>
        <v>0</v>
      </c>
      <c r="AN57" s="194">
        <f t="shared" si="26"/>
        <v>140.99999999999997</v>
      </c>
      <c r="AO57" s="194">
        <f t="shared" si="27"/>
        <v>0</v>
      </c>
      <c r="AP57" s="194">
        <f t="shared" si="9"/>
        <v>0</v>
      </c>
      <c r="AQ57" s="194">
        <f t="shared" si="28"/>
        <v>0</v>
      </c>
      <c r="AR57" s="18">
        <f t="shared" si="10"/>
        <v>0</v>
      </c>
      <c r="AS57" s="18">
        <f t="shared" si="11"/>
        <v>0</v>
      </c>
      <c r="AT57" s="18">
        <f t="shared" si="12"/>
        <v>0</v>
      </c>
      <c r="AU57" s="194">
        <f t="shared" si="29"/>
        <v>0</v>
      </c>
      <c r="AV57" s="194">
        <f t="shared" si="30"/>
        <v>0</v>
      </c>
    </row>
    <row r="58" spans="3:48" ht="14.85" customHeight="1"/>
    <row r="59" spans="3:48">
      <c r="C59" s="35" t="s">
        <v>226</v>
      </c>
    </row>
    <row r="60" spans="3:48" ht="15" customHeight="1">
      <c r="C60" s="317" t="s">
        <v>225</v>
      </c>
      <c r="D60" s="317" t="s">
        <v>53</v>
      </c>
      <c r="E60" s="317" t="s">
        <v>105</v>
      </c>
      <c r="F60" s="317" t="s">
        <v>101</v>
      </c>
      <c r="G60" s="329" t="s">
        <v>98</v>
      </c>
      <c r="H60" s="317" t="s">
        <v>99</v>
      </c>
      <c r="I60" s="330" t="s">
        <v>102</v>
      </c>
      <c r="J60" s="317" t="s">
        <v>100</v>
      </c>
      <c r="K60" s="329" t="s">
        <v>94</v>
      </c>
      <c r="L60" s="329" t="s">
        <v>216</v>
      </c>
      <c r="M60" s="332" t="s">
        <v>217</v>
      </c>
      <c r="N60" s="317" t="s">
        <v>106</v>
      </c>
      <c r="O60" s="317" t="s">
        <v>107</v>
      </c>
      <c r="P60" s="317" t="s">
        <v>108</v>
      </c>
      <c r="R60" s="317" t="s">
        <v>73</v>
      </c>
      <c r="S60" s="317" t="s">
        <v>78</v>
      </c>
      <c r="T60" s="317" t="s">
        <v>79</v>
      </c>
      <c r="U60" s="317" t="s">
        <v>80</v>
      </c>
      <c r="V60" s="317" t="s">
        <v>84</v>
      </c>
      <c r="W60" s="317" t="s">
        <v>85</v>
      </c>
      <c r="X60" s="317" t="s">
        <v>86</v>
      </c>
      <c r="Y60" s="317" t="s">
        <v>87</v>
      </c>
      <c r="Z60" s="317" t="s">
        <v>605</v>
      </c>
      <c r="AA60" s="317" t="s">
        <v>579</v>
      </c>
      <c r="AB60" s="317" t="s">
        <v>580</v>
      </c>
      <c r="AC60" s="328" t="s">
        <v>582</v>
      </c>
      <c r="AD60" s="317" t="s">
        <v>581</v>
      </c>
      <c r="AE60" s="328" t="s">
        <v>583</v>
      </c>
      <c r="AF60" s="328" t="s">
        <v>584</v>
      </c>
      <c r="AG60" s="317" t="s">
        <v>587</v>
      </c>
      <c r="AH60" s="328" t="s">
        <v>588</v>
      </c>
      <c r="AI60" s="328" t="s">
        <v>585</v>
      </c>
      <c r="AJ60" s="328" t="s">
        <v>586</v>
      </c>
      <c r="AK60" s="334" t="s">
        <v>97</v>
      </c>
      <c r="AL60" s="317" t="s">
        <v>205</v>
      </c>
      <c r="AM60" s="317" t="s">
        <v>206</v>
      </c>
      <c r="AN60" s="317" t="s">
        <v>599</v>
      </c>
      <c r="AO60" s="317" t="s">
        <v>600</v>
      </c>
      <c r="AP60" s="317" t="s">
        <v>601</v>
      </c>
      <c r="AQ60" s="317" t="s">
        <v>602</v>
      </c>
      <c r="AR60" s="317" t="s">
        <v>603</v>
      </c>
      <c r="AS60" s="317" t="s">
        <v>147</v>
      </c>
      <c r="AT60" s="317" t="s">
        <v>145</v>
      </c>
      <c r="AU60" s="317" t="s">
        <v>146</v>
      </c>
      <c r="AV60" s="317" t="s">
        <v>604</v>
      </c>
    </row>
    <row r="61" spans="3:48" ht="18.75" customHeight="1">
      <c r="C61" s="318">
        <v>0</v>
      </c>
      <c r="D61" s="318">
        <v>0</v>
      </c>
      <c r="E61" s="318"/>
      <c r="F61" s="318"/>
      <c r="G61" s="318"/>
      <c r="H61" s="318"/>
      <c r="I61" s="331"/>
      <c r="J61" s="318"/>
      <c r="K61" s="318"/>
      <c r="L61" s="318"/>
      <c r="M61" s="312"/>
      <c r="N61" s="318"/>
      <c r="O61" s="318"/>
      <c r="P61" s="318"/>
      <c r="R61" s="318"/>
      <c r="S61" s="318"/>
      <c r="T61" s="318"/>
      <c r="U61" s="318"/>
      <c r="V61" s="318"/>
      <c r="W61" s="318"/>
      <c r="X61" s="318"/>
      <c r="Y61" s="318"/>
      <c r="Z61" s="318"/>
      <c r="AA61" s="318"/>
      <c r="AB61" s="318"/>
      <c r="AC61" s="318"/>
      <c r="AD61" s="318"/>
      <c r="AE61" s="318"/>
      <c r="AF61" s="318"/>
      <c r="AG61" s="318"/>
      <c r="AH61" s="333"/>
      <c r="AI61" s="318"/>
      <c r="AJ61" s="318"/>
      <c r="AK61" s="335"/>
      <c r="AL61" s="318"/>
      <c r="AM61" s="318"/>
      <c r="AN61" s="318"/>
      <c r="AO61" s="318"/>
      <c r="AP61" s="318"/>
      <c r="AQ61" s="318"/>
      <c r="AR61" s="318"/>
      <c r="AS61" s="318"/>
      <c r="AT61" s="318"/>
      <c r="AU61" s="318"/>
      <c r="AV61" s="318"/>
    </row>
    <row r="62" spans="3:48">
      <c r="C62" s="30" t="s">
        <v>16</v>
      </c>
      <c r="D62" s="30" t="str">
        <f>"[m"&amp;Control!$F$7&amp;"]"</f>
        <v>[mLAT]</v>
      </c>
      <c r="E62" s="30" t="s">
        <v>9</v>
      </c>
      <c r="F62" s="34" t="s">
        <v>10</v>
      </c>
      <c r="G62" s="34" t="s">
        <v>77</v>
      </c>
      <c r="H62" s="34" t="s">
        <v>77</v>
      </c>
      <c r="I62" s="34" t="s">
        <v>77</v>
      </c>
      <c r="J62" s="34" t="s">
        <v>77</v>
      </c>
      <c r="K62" s="34" t="s">
        <v>77</v>
      </c>
      <c r="L62" s="34" t="s">
        <v>77</v>
      </c>
      <c r="M62" s="30" t="s">
        <v>77</v>
      </c>
      <c r="N62" s="30" t="s">
        <v>16</v>
      </c>
      <c r="O62" s="30" t="s">
        <v>16</v>
      </c>
      <c r="P62" s="30" t="s">
        <v>16</v>
      </c>
      <c r="R62" s="34" t="s">
        <v>81</v>
      </c>
      <c r="S62" s="34" t="s">
        <v>82</v>
      </c>
      <c r="T62" s="34" t="s">
        <v>83</v>
      </c>
      <c r="U62" s="34" t="s">
        <v>81</v>
      </c>
      <c r="V62" s="34" t="s">
        <v>88</v>
      </c>
      <c r="W62" s="34" t="s">
        <v>88</v>
      </c>
      <c r="X62" s="34" t="s">
        <v>89</v>
      </c>
      <c r="Y62" s="34" t="s">
        <v>90</v>
      </c>
      <c r="Z62" s="34" t="s">
        <v>573</v>
      </c>
      <c r="AA62" s="34" t="s">
        <v>10</v>
      </c>
      <c r="AB62" s="34" t="s">
        <v>16</v>
      </c>
      <c r="AC62" s="34" t="s">
        <v>16</v>
      </c>
      <c r="AD62" s="34" t="s">
        <v>16</v>
      </c>
      <c r="AE62" s="34" t="s">
        <v>16</v>
      </c>
      <c r="AF62" s="34" t="s">
        <v>16</v>
      </c>
      <c r="AG62" s="34" t="s">
        <v>16</v>
      </c>
      <c r="AH62" s="34" t="s">
        <v>16</v>
      </c>
      <c r="AI62" s="34" t="s">
        <v>16</v>
      </c>
      <c r="AJ62" s="34" t="s">
        <v>16</v>
      </c>
      <c r="AK62" s="86" t="s">
        <v>16</v>
      </c>
      <c r="AL62" s="34" t="s">
        <v>11</v>
      </c>
      <c r="AM62" s="34" t="s">
        <v>11</v>
      </c>
      <c r="AN62" s="30" t="s">
        <v>77</v>
      </c>
      <c r="AO62" s="30" t="s">
        <v>77</v>
      </c>
      <c r="AP62" s="30" t="s">
        <v>77</v>
      </c>
      <c r="AQ62" s="34" t="s">
        <v>16</v>
      </c>
      <c r="AR62" s="30" t="s">
        <v>77</v>
      </c>
      <c r="AS62" s="34" t="s">
        <v>16</v>
      </c>
      <c r="AT62" s="34" t="s">
        <v>16</v>
      </c>
      <c r="AU62" s="34" t="s">
        <v>16</v>
      </c>
      <c r="AV62" s="34" t="s">
        <v>16</v>
      </c>
    </row>
    <row r="63" spans="3:48" ht="15" customHeight="1">
      <c r="C63" s="12" t="str">
        <f>"Can"&amp;TEXT(C6,"0")</f>
        <v>Can1</v>
      </c>
      <c r="D63" s="2">
        <f>E6</f>
        <v>1.6</v>
      </c>
      <c r="E63" s="3">
        <f t="shared" ref="E63:E85" si="31">G6</f>
        <v>7.5</v>
      </c>
      <c r="F63" s="3">
        <f t="shared" ref="F63:F85" si="32">H6</f>
        <v>108</v>
      </c>
      <c r="G63" s="3">
        <v>137.19999999999999</v>
      </c>
      <c r="H63" s="3">
        <v>0</v>
      </c>
      <c r="I63" s="3">
        <v>0</v>
      </c>
      <c r="J63" s="192">
        <f>VLOOKUP(P63,'Steel grades'!$B$5:$J$22,IF(F63&gt;200,10,IF(F63&gt;150,9,IF(F63&gt;120,8,IF(F63&gt;100,7,IF(F63&gt;80,6,IF(F63&gt;63,5,IF(F63&gt;40,4,IF(F63&gt;16,3,2)))))))),FALSE)</f>
        <v>295</v>
      </c>
      <c r="K63" s="3" t="e">
        <f t="shared" ref="K63:K85" si="33">AF63*J63/$W$4*AK63</f>
        <v>#REF!</v>
      </c>
      <c r="L63" s="3">
        <v>0</v>
      </c>
      <c r="M63" s="3">
        <v>0</v>
      </c>
      <c r="N63" s="3" t="e">
        <f t="shared" ref="N63:N85" si="34">MAX(G63/K63,AQ63,AV63)</f>
        <v>#REF!</v>
      </c>
      <c r="O63" s="3">
        <f t="shared" ref="O63:O85" si="35">MAX(SQRT(G63^2)/(J63/$W$5),AS63)</f>
        <v>0.4650847457627118</v>
      </c>
      <c r="P63" s="3" t="str">
        <f>Geometry!M28</f>
        <v>S355 NL/ML</v>
      </c>
      <c r="R63" s="220">
        <f>-G63*2*PI()*Z63*AA63</f>
        <v>-344103.98154192703</v>
      </c>
      <c r="S63" s="3"/>
      <c r="T63" s="3"/>
      <c r="U63" s="3"/>
      <c r="V63" s="3"/>
      <c r="W63" s="3"/>
      <c r="X63" s="18">
        <f>PI()/4*((E63-2*V63/1000)^2-((E63-2*V63/1000)-2*(F63-V63-W63)/1000)^2)</f>
        <v>2.5080465126962634</v>
      </c>
      <c r="Y63" s="18">
        <f>PI()/32*((E63-2*V63/1000)^4-((E63-2*V63/1000)-2*(F63-V63-W63)/1000)^4)/(E63-2*V63/1000)</f>
        <v>4.5691029565881678</v>
      </c>
      <c r="Z63" s="194">
        <f>(0.5*E63)-(0.5*(AA63/1000))</f>
        <v>3.6960000000000002</v>
      </c>
      <c r="AA63" s="194">
        <f>F63</f>
        <v>108</v>
      </c>
      <c r="AB63" s="194" t="e">
        <f t="shared" ref="AB63:AB85" si="36">$R$2/SQRT(Z63*AA63/1000)</f>
        <v>#REF!</v>
      </c>
      <c r="AC63" s="194" t="e">
        <f>(J63/((0.605*$W$2*IF(AB63&gt;0.5*(Z63)/(AA63/1000),MAX(0.6,1+0.2/$AC$7*(1-2*AB63*(AA63/1000)/(Z63))),IF(AB63&lt;=1.7,1.36-(1.83/AB63)+(2.07/AB63^2),1)))*((AA63/1000)/(Z63)/1000)))^0.5</f>
        <v>#REF!</v>
      </c>
      <c r="AD63" s="194">
        <f>0.62/(1+1.91*((((Z63)/(AA63/1000))^0.5*(AA63/1000)/$AC$4)/(AA63/1000))^1.44)</f>
        <v>0.42801677229468893</v>
      </c>
      <c r="AE63" s="194" t="e">
        <f>IF(AND((Z63)/(AA63/1000)&lt;=150,AB63&lt;=6*(Z63)/(AA63/1000),$W$2/(J63*1000)&lt;=1000,500&lt;=$W$2/(J63*1000)),0.2+0.1*(ABS(T63/1000/Y63)/G63),0.2)</f>
        <v>#REF!</v>
      </c>
      <c r="AF63" s="194" t="e">
        <f>IF(AC63&lt;=AE63,1,IF(AC63&gt;=(AD63/(1-0.6))^0.5,AD63/(AC63^2),1-0.6*((AC63-(AE63))/((AD63/(1-0.6))^0.5-AE63))))</f>
        <v>#REF!</v>
      </c>
      <c r="AG63" s="18"/>
      <c r="AH63" s="18"/>
      <c r="AI63" s="18"/>
      <c r="AJ63" s="18"/>
      <c r="AK63" s="194">
        <f>'ULS MP'!AM63</f>
        <v>1</v>
      </c>
      <c r="AL63" s="18">
        <f t="shared" ref="AL63:AL85" si="37">IF(NOT(ISNUMBER(D64)),0,ABS(J6-J7))</f>
        <v>0</v>
      </c>
      <c r="AM63" s="18">
        <f t="shared" ref="AM63:AM85" si="38">MAX(AL63,J6)</f>
        <v>0</v>
      </c>
      <c r="AN63" s="194">
        <f>((ABS(R63/(PI()*((E63-2*V63/1000)-((AA63))/1000*COS(AM63*PI()/180))*(AA63)/1000))/1000)+ABS((4*T63)/(PI()*((E63-V63/1000)-((AA63)/1000)*COS(AM63*PI()/180))^2*((AA63)/1000))/1000))/COS(AM63*PI()/180)</f>
        <v>137.19999999999999</v>
      </c>
      <c r="AO63" s="194">
        <f>((0.6*(AA63)*((E63*1000-2*V63)*(2*(AA63)))^0.5)/((AA63)^2))*(G63*TAN(AL63*PI()/180))</f>
        <v>0</v>
      </c>
      <c r="AP63" s="194">
        <f t="shared" ref="AP63:AP85" si="39">IF(AL63=0,0,0.45*((E63*1000-2*V63)/(F63-V63-W63))^0.5*G63*TAN(AL63*PI()/180)+I63)</f>
        <v>0</v>
      </c>
      <c r="AQ63" s="194">
        <f>IF(AM63=0,0,1.18*AN63/IF(J63/(2*0.3*$W$2/1000*(AA63)/1000/(E63-2*V63/1000))&lt;=0.17,J63,(1.047-0.274*(J63/(2*0.3*$W$2/1000*(AA63)/1000/(E63-2*V63/1000))))*J63))</f>
        <v>0</v>
      </c>
      <c r="AR63" s="18">
        <f t="shared" ref="AR63:AR85" si="40">IF(AL63=0,0,MAX(G63+AO63,AN63+AO63))</f>
        <v>0</v>
      </c>
      <c r="AS63" s="18">
        <f t="shared" ref="AS63:AS85" si="41">(AR63^2+AP63^2+AP63*AR63)^0.5/(J63/$W$5)</f>
        <v>0</v>
      </c>
      <c r="AT63" s="18">
        <f t="shared" ref="AT63:AT85" si="42">1.1*AR63/J63</f>
        <v>0</v>
      </c>
      <c r="AU63" s="194">
        <f>1.25*AP63/IF(0.4*$W$2/1000*(AA63)/1000/(E63-2*V63/1000)/J63&gt;2.44,J63,IF(0.4*$W$2/1000*(AA63)/1000/(E63-2*V63/1000)/J63&lt;=0.55,0.4*$W$2/1000*(AA63)/1000/(E63-2*V63/1000),MIN(0.7*(0.4*$W$2/1000*(F63-V63-W63)/1000/(E63-2*V63/1000)/J63)^0.4*J63,J63)))</f>
        <v>0</v>
      </c>
      <c r="AV63" s="194">
        <f>MAX(AT63^2+AU63^(2*(5-4*(IF(0.4*$W$2/1000*(AA63)/1000/(E63-2*V63)/J63&gt;2.44,J63,IF(0.4*$W$2/1000*(AA63)/1000/(E63-2*V63)/J63&lt;=0.55,0.4*$W$2/1000*(AA63)/1000/(E63-2*V63),MIN(0.7*(0.4*$W$2/1000*(AA63)/1000/(E63-2*V63)/J63)^0.4*J63,J63)))/J63)))+2*0.3*AT63*AU63,AU63,AR63/(IF(J63/(2*0.3*$W$2/1000*(AA63)/1000/(E63-2*V63))&lt;=0.17,J63,(1.047-0.274*(J63/(2*0.3*$W$2/1000*(AA63)/1000/(E63-2*V63))))*J63)/1.18))</f>
        <v>0</v>
      </c>
    </row>
    <row r="64" spans="3:48">
      <c r="C64" s="12" t="str">
        <f t="shared" ref="C64:C85" si="43">"Can"&amp;TEXT(C7,"0")</f>
        <v>Can2</v>
      </c>
      <c r="D64" s="2">
        <f t="shared" ref="D64:D85" si="44">E7</f>
        <v>-2.2999999999999998</v>
      </c>
      <c r="E64" s="3">
        <f t="shared" si="31"/>
        <v>7.5</v>
      </c>
      <c r="F64" s="3">
        <f t="shared" si="32"/>
        <v>100</v>
      </c>
      <c r="G64" s="3">
        <v>137.19999999999999</v>
      </c>
      <c r="H64" s="3">
        <v>0</v>
      </c>
      <c r="I64" s="3">
        <v>0</v>
      </c>
      <c r="J64" s="192">
        <f>VLOOKUP(P64,'Steel grades'!$B$5:$J$22,IF(F64&gt;200,10,IF(F64&gt;150,9,IF(F64&gt;120,8,IF(F64&gt;100,7,IF(F64&gt;80,6,IF(F64&gt;63,5,IF(F64&gt;40,4,IF(F64&gt;16,3,2)))))))),FALSE)</f>
        <v>315</v>
      </c>
      <c r="K64" s="3" t="e">
        <f t="shared" si="33"/>
        <v>#REF!</v>
      </c>
      <c r="L64" s="3">
        <v>0</v>
      </c>
      <c r="M64" s="3">
        <v>0</v>
      </c>
      <c r="N64" s="3" t="e">
        <f t="shared" si="34"/>
        <v>#REF!</v>
      </c>
      <c r="O64" s="3">
        <f t="shared" si="35"/>
        <v>0.43555555555555553</v>
      </c>
      <c r="P64" s="3" t="str">
        <f>Geometry!M29</f>
        <v>S355 NL/ML</v>
      </c>
      <c r="R64" s="220">
        <f t="shared" ref="R64:R85" si="45">-G64*2*PI()*Z64*AA64</f>
        <v>-318959.61893366446</v>
      </c>
      <c r="S64" s="3"/>
      <c r="T64" s="3"/>
      <c r="U64" s="3"/>
      <c r="V64" s="3"/>
      <c r="W64" s="3"/>
      <c r="X64" s="18">
        <f t="shared" ref="X64:X85" si="46">PI()/4*((E64-2*V64/1000)^2-((E64-2*V64/1000)-2*(F64-V64-W64)/1000)^2)</f>
        <v>2.3247785636564475</v>
      </c>
      <c r="Y64" s="18">
        <f t="shared" ref="Y64:Y85" si="47">PI()/32*((E64-2*V64/1000)^4-((E64-2*V64/1000)-2*(F64-V64-W64)/1000)^4)/(E64-2*V64/1000)</f>
        <v>4.2442707310487888</v>
      </c>
      <c r="Z64" s="194">
        <f t="shared" ref="Z64:Z85" si="48">(0.5*E64)-(0.5*(F64/1000))</f>
        <v>3.7</v>
      </c>
      <c r="AA64" s="194">
        <f t="shared" ref="AA64:AA85" si="49">F64</f>
        <v>100</v>
      </c>
      <c r="AB64" s="194" t="e">
        <f t="shared" si="36"/>
        <v>#REF!</v>
      </c>
      <c r="AC64" s="194" t="e">
        <f t="shared" ref="AC64:AC85" si="50">(J64/((0.605*$W$2*IF(AB64&gt;0.5*(Z64)/(AA64/1000),MAX(0.6,1+0.2/$AC$7*(1-2*AB64*(AA64/1000)/(Z64))),IF(AB64&lt;=1.7,1.36-(1.83/AB64)+(2.07/AB64^2),1)))*((AA64/1000)/(Z64)/1000)))^0.5</f>
        <v>#REF!</v>
      </c>
      <c r="AD64" s="194">
        <f t="shared" ref="AD64:AD85" si="51">0.62/(1+1.91*((((Z64)/(AA64/1000))^0.5*(AA64/1000)/$AC$4)/(AA64/1000))^1.44)</f>
        <v>0.42049098550361969</v>
      </c>
      <c r="AE64" s="194" t="e">
        <f t="shared" ref="AE64:AE85" si="52">IF(AND((Z64)/(AA64/1000)&lt;=150,AB64&lt;=6*(Z64)/(AA64/1000),$W$2/(J64*1000)&lt;=1000,500&lt;=$W$2/(J64*1000)),0.2+0.1*(ABS(T64/1000/Y64)/G64),0.2)</f>
        <v>#REF!</v>
      </c>
      <c r="AF64" s="194" t="e">
        <f t="shared" ref="AF64:AF85" si="53">IF(AC64&lt;=AE64,1,IF(AC64&gt;=(AD64/(1-0.6))^0.5,AD64/(AC64^2),1-0.6*((AC64-(AE64))/((AD64/(1-0.6))^0.5-AE64))))</f>
        <v>#REF!</v>
      </c>
      <c r="AG64" s="18"/>
      <c r="AH64" s="18"/>
      <c r="AI64" s="18"/>
      <c r="AJ64" s="18"/>
      <c r="AK64" s="194">
        <f>'ULS MP'!AM64</f>
        <v>1</v>
      </c>
      <c r="AL64" s="18">
        <f t="shared" si="37"/>
        <v>0</v>
      </c>
      <c r="AM64" s="18">
        <f t="shared" si="38"/>
        <v>0</v>
      </c>
      <c r="AN64" s="194">
        <f t="shared" ref="AN64:AN85" si="54">((ABS(R64/(PI()*((E64-2*V64/1000)-((F64-V64-W64))/1000*COS(AM64*PI()/180))*(F64-V64-W64)/1000))/1000)+ABS((4*T64)/(PI()*((E64-V64/1000)-((F64-V64-W64)/1000)*COS(AM64*PI()/180))^2*((F64-V64-W64)/1000))/1000))/COS(AM64*PI()/180)</f>
        <v>137.19999999999999</v>
      </c>
      <c r="AO64" s="194">
        <f t="shared" ref="AO64:AO85" si="55">((0.6*(AA64)*((E64*1000-2*V64)*(2*(AA64)))^0.5)/((AA64)^2))*(G64*TAN(AL64*PI()/180))</f>
        <v>0</v>
      </c>
      <c r="AP64" s="194">
        <f t="shared" si="39"/>
        <v>0</v>
      </c>
      <c r="AQ64" s="194">
        <f t="shared" ref="AQ64:AQ85" si="56">IF(AM64=0,0,1.18*AN64/IF(J64/(2*0.3*$W$2/1000*(AA64)/1000/(E64-2*V64/1000))&lt;=0.17,J64,(1.047-0.274*(J64/(2*0.3*$W$2/1000*(AA64)/1000/(E64-2*V64/1000))))*J64))</f>
        <v>0</v>
      </c>
      <c r="AR64" s="18">
        <f t="shared" si="40"/>
        <v>0</v>
      </c>
      <c r="AS64" s="18">
        <f t="shared" si="41"/>
        <v>0</v>
      </c>
      <c r="AT64" s="18">
        <f t="shared" si="42"/>
        <v>0</v>
      </c>
      <c r="AU64" s="194">
        <f t="shared" ref="AU64:AU85" si="57">1.25*AP64/IF(0.4*$W$2/1000*(AA64)/1000/(E64-2*V64/1000)/J64&gt;2.44,J64,IF(0.4*$W$2/1000*(AA64)/1000/(E64-2*V64/1000)/J64&lt;=0.55,0.4*$W$2/1000*(AA64)/1000/(E64-2*V64/1000),MIN(0.7*(0.4*$W$2/1000*(F64-V64-W64)/1000/(E64-2*V64/1000)/J64)^0.4*J64,J64)))</f>
        <v>0</v>
      </c>
      <c r="AV64" s="194">
        <f t="shared" ref="AV64:AV85" si="58">MAX(AT64^2+AU64^(2*(5-4*(IF(0.4*$W$2/1000*(AA64)/1000/(E64-2*V64)/J64&gt;2.44,J64,IF(0.4*$W$2/1000*(AA64)/1000/(E64-2*V64)/J64&lt;=0.55,0.4*$W$2/1000*(AA64)/1000/(E64-2*V64),MIN(0.7*(0.4*$W$2/1000*(AA64)/1000/(E64-2*V64)/J64)^0.4*J64,J64)))/J64)))+2*0.3*AT64*AU64,AU64,AR64/(IF(J64/(2*0.3*$W$2/1000*(AA64)/1000/(E64-2*V64))&lt;=0.17,J64,(1.047-0.274*(J64/(2*0.3*$W$2/1000*(AA64)/1000/(E64-2*V64))))*J64)/1.18))</f>
        <v>0</v>
      </c>
    </row>
    <row r="65" spans="3:48">
      <c r="C65" s="12" t="str">
        <f t="shared" si="43"/>
        <v>Can3</v>
      </c>
      <c r="D65" s="2">
        <f t="shared" si="44"/>
        <v>-6.2</v>
      </c>
      <c r="E65" s="3">
        <f t="shared" si="31"/>
        <v>7.5</v>
      </c>
      <c r="F65" s="3">
        <f t="shared" si="32"/>
        <v>100</v>
      </c>
      <c r="G65" s="3">
        <v>137.19999999999999</v>
      </c>
      <c r="H65" s="3">
        <v>0</v>
      </c>
      <c r="I65" s="3">
        <v>0</v>
      </c>
      <c r="J65" s="192">
        <f>VLOOKUP(P65,'Steel grades'!$B$5:$J$22,IF(F65&gt;200,10,IF(F65&gt;150,9,IF(F65&gt;120,8,IF(F65&gt;100,7,IF(F65&gt;80,6,IF(F65&gt;63,5,IF(F65&gt;40,4,IF(F65&gt;16,3,2)))))))),FALSE)</f>
        <v>315</v>
      </c>
      <c r="K65" s="3" t="e">
        <f t="shared" si="33"/>
        <v>#REF!</v>
      </c>
      <c r="L65" s="3">
        <v>0</v>
      </c>
      <c r="M65" s="3">
        <v>0</v>
      </c>
      <c r="N65" s="3" t="e">
        <f t="shared" si="34"/>
        <v>#REF!</v>
      </c>
      <c r="O65" s="3">
        <f t="shared" si="35"/>
        <v>0.60952139563912222</v>
      </c>
      <c r="P65" s="3" t="str">
        <f>Geometry!M30</f>
        <v>S355 NL/ML</v>
      </c>
      <c r="R65" s="220">
        <f t="shared" si="45"/>
        <v>-318959.61893366446</v>
      </c>
      <c r="S65" s="3"/>
      <c r="T65" s="3"/>
      <c r="U65" s="3"/>
      <c r="V65" s="3"/>
      <c r="W65" s="3"/>
      <c r="X65" s="18">
        <f t="shared" si="46"/>
        <v>2.3247785636564475</v>
      </c>
      <c r="Y65" s="18">
        <f t="shared" si="47"/>
        <v>4.2442707310487888</v>
      </c>
      <c r="Z65" s="194">
        <f t="shared" si="48"/>
        <v>3.7</v>
      </c>
      <c r="AA65" s="194">
        <f t="shared" si="49"/>
        <v>100</v>
      </c>
      <c r="AB65" s="194" t="e">
        <f t="shared" si="36"/>
        <v>#REF!</v>
      </c>
      <c r="AC65" s="194" t="e">
        <f t="shared" si="50"/>
        <v>#REF!</v>
      </c>
      <c r="AD65" s="194">
        <f t="shared" si="51"/>
        <v>0.42049098550361969</v>
      </c>
      <c r="AE65" s="194" t="e">
        <f t="shared" si="52"/>
        <v>#REF!</v>
      </c>
      <c r="AF65" s="194" t="e">
        <f t="shared" si="53"/>
        <v>#REF!</v>
      </c>
      <c r="AG65" s="18"/>
      <c r="AH65" s="18"/>
      <c r="AI65" s="18"/>
      <c r="AJ65" s="18"/>
      <c r="AK65" s="194" t="e">
        <f>'ULS MP'!#REF!</f>
        <v>#REF!</v>
      </c>
      <c r="AL65" s="18">
        <f t="shared" si="37"/>
        <v>2.4101421139187913</v>
      </c>
      <c r="AM65" s="18">
        <f t="shared" si="38"/>
        <v>2.4101421139187913</v>
      </c>
      <c r="AN65" s="194">
        <f t="shared" si="54"/>
        <v>137.31983279023567</v>
      </c>
      <c r="AO65" s="194">
        <f t="shared" si="55"/>
        <v>42.435299464093966</v>
      </c>
      <c r="AP65" s="194">
        <f t="shared" si="39"/>
        <v>22.504716009557029</v>
      </c>
      <c r="AQ65" s="194">
        <f t="shared" si="56"/>
        <v>0.51666486176220361</v>
      </c>
      <c r="AR65" s="18">
        <f t="shared" si="40"/>
        <v>179.75513225432962</v>
      </c>
      <c r="AS65" s="18">
        <f t="shared" si="41"/>
        <v>0.60952139563912222</v>
      </c>
      <c r="AT65" s="18">
        <f t="shared" si="42"/>
        <v>0.62771633485638922</v>
      </c>
      <c r="AU65" s="194">
        <f t="shared" si="57"/>
        <v>8.9304428609353295E-2</v>
      </c>
      <c r="AV65" s="194">
        <f t="shared" si="58"/>
        <v>0.67632736415503214</v>
      </c>
    </row>
    <row r="66" spans="3:48">
      <c r="C66" s="12" t="str">
        <f t="shared" si="43"/>
        <v>Can4</v>
      </c>
      <c r="D66" s="2">
        <f t="shared" si="44"/>
        <v>-10.1</v>
      </c>
      <c r="E66" s="3">
        <f t="shared" si="31"/>
        <v>7.8282999999999996</v>
      </c>
      <c r="F66" s="3">
        <f t="shared" si="32"/>
        <v>100</v>
      </c>
      <c r="G66" s="3">
        <v>137.19999999999999</v>
      </c>
      <c r="H66" s="3">
        <v>0</v>
      </c>
      <c r="I66" s="3">
        <v>0</v>
      </c>
      <c r="J66" s="192">
        <f>VLOOKUP(P66,'Steel grades'!$B$5:$J$22,IF(F66&gt;200,10,IF(F66&gt;150,9,IF(F66&gt;120,8,IF(F66&gt;100,7,IF(F66&gt;80,6,IF(F66&gt;63,5,IF(F66&gt;40,4,IF(F66&gt;16,3,2)))))))),FALSE)</f>
        <v>315</v>
      </c>
      <c r="K66" s="3" t="e">
        <f t="shared" si="33"/>
        <v>#REF!</v>
      </c>
      <c r="L66" s="3">
        <v>0</v>
      </c>
      <c r="M66" s="3">
        <v>0</v>
      </c>
      <c r="N66" s="3" t="e">
        <f t="shared" si="34"/>
        <v>#REF!</v>
      </c>
      <c r="O66" s="3">
        <f t="shared" si="35"/>
        <v>0.43593619848194592</v>
      </c>
      <c r="P66" s="3" t="str">
        <f>Geometry!M31</f>
        <v>S355 NL/ML</v>
      </c>
      <c r="R66" s="220">
        <f t="shared" si="45"/>
        <v>-333110.21932500531</v>
      </c>
      <c r="S66" s="3"/>
      <c r="T66" s="3"/>
      <c r="U66" s="3"/>
      <c r="V66" s="3"/>
      <c r="W66" s="3"/>
      <c r="X66" s="18">
        <f t="shared" si="46"/>
        <v>2.4279170504738024</v>
      </c>
      <c r="Y66" s="18">
        <f t="shared" si="47"/>
        <v>4.6317706397468319</v>
      </c>
      <c r="Z66" s="194">
        <f t="shared" si="48"/>
        <v>3.86415</v>
      </c>
      <c r="AA66" s="194">
        <f t="shared" si="49"/>
        <v>100</v>
      </c>
      <c r="AB66" s="194" t="e">
        <f t="shared" si="36"/>
        <v>#REF!</v>
      </c>
      <c r="AC66" s="194" t="e">
        <f t="shared" si="50"/>
        <v>#REF!</v>
      </c>
      <c r="AD66" s="194">
        <f t="shared" si="51"/>
        <v>0.41623863411885065</v>
      </c>
      <c r="AE66" s="194" t="e">
        <f t="shared" si="52"/>
        <v>#REF!</v>
      </c>
      <c r="AF66" s="194" t="e">
        <f t="shared" si="53"/>
        <v>#REF!</v>
      </c>
      <c r="AG66" s="18"/>
      <c r="AH66" s="18"/>
      <c r="AI66" s="18"/>
      <c r="AJ66" s="18"/>
      <c r="AK66" s="194" t="e">
        <f>'ULS MP'!#REF!</f>
        <v>#REF!</v>
      </c>
      <c r="AL66" s="18">
        <f t="shared" si="37"/>
        <v>8.8817841970012523E-16</v>
      </c>
      <c r="AM66" s="18">
        <f t="shared" si="38"/>
        <v>2.4101421139187913</v>
      </c>
      <c r="AN66" s="194">
        <f t="shared" si="54"/>
        <v>137.31990252181293</v>
      </c>
      <c r="AO66" s="194">
        <f t="shared" si="55"/>
        <v>1.5967306955755139E-14</v>
      </c>
      <c r="AP66" s="194">
        <f t="shared" si="39"/>
        <v>8.4679432692761889E-15</v>
      </c>
      <c r="AQ66" s="194">
        <f t="shared" si="56"/>
        <v>0.51783477668340427</v>
      </c>
      <c r="AR66" s="18">
        <f t="shared" si="40"/>
        <v>137.31990252181296</v>
      </c>
      <c r="AS66" s="18">
        <f t="shared" si="41"/>
        <v>0.43593619848194592</v>
      </c>
      <c r="AT66" s="18">
        <f t="shared" si="42"/>
        <v>0.47952981833014052</v>
      </c>
      <c r="AU66" s="194">
        <f t="shared" si="57"/>
        <v>3.3602949481254719E-17</v>
      </c>
      <c r="AV66" s="194">
        <f t="shared" si="58"/>
        <v>0.5178347766834045</v>
      </c>
    </row>
    <row r="67" spans="3:48">
      <c r="C67" s="12" t="str">
        <f t="shared" si="43"/>
        <v>Can5</v>
      </c>
      <c r="D67" s="2">
        <f t="shared" si="44"/>
        <v>-14</v>
      </c>
      <c r="E67" s="3">
        <f t="shared" si="31"/>
        <v>8.1565999999999992</v>
      </c>
      <c r="F67" s="3">
        <f t="shared" si="32"/>
        <v>106</v>
      </c>
      <c r="G67" s="3">
        <v>137.19999999999999</v>
      </c>
      <c r="H67" s="3">
        <v>0</v>
      </c>
      <c r="I67" s="3">
        <v>0</v>
      </c>
      <c r="J67" s="192">
        <f>VLOOKUP(P67,'Steel grades'!$B$5:$J$22,IF(F67&gt;200,10,IF(F67&gt;150,9,IF(F67&gt;120,8,IF(F67&gt;100,7,IF(F67&gt;80,6,IF(F67&gt;63,5,IF(F67&gt;40,4,IF(F67&gt;16,3,2)))))))),FALSE)</f>
        <v>295</v>
      </c>
      <c r="K67" s="3" t="e">
        <f t="shared" si="33"/>
        <v>#REF!</v>
      </c>
      <c r="L67" s="3">
        <v>0</v>
      </c>
      <c r="M67" s="3">
        <v>0</v>
      </c>
      <c r="N67" s="3" t="e">
        <f t="shared" si="34"/>
        <v>#REF!</v>
      </c>
      <c r="O67" s="3">
        <f t="shared" si="35"/>
        <v>0.4655471529506971</v>
      </c>
      <c r="P67" s="3" t="str">
        <f>Geometry!M32</f>
        <v>S355 NL/ML</v>
      </c>
      <c r="R67" s="220">
        <f t="shared" si="45"/>
        <v>-367822.33603764873</v>
      </c>
      <c r="S67" s="3"/>
      <c r="T67" s="3"/>
      <c r="U67" s="3"/>
      <c r="V67" s="3"/>
      <c r="W67" s="3"/>
      <c r="X67" s="18">
        <f t="shared" si="46"/>
        <v>2.680920816600938</v>
      </c>
      <c r="Y67" s="18">
        <f t="shared" si="47"/>
        <v>5.3265574106949476</v>
      </c>
      <c r="Z67" s="194">
        <f t="shared" si="48"/>
        <v>4.0252999999999997</v>
      </c>
      <c r="AA67" s="194">
        <f t="shared" si="49"/>
        <v>106</v>
      </c>
      <c r="AB67" s="194" t="e">
        <f t="shared" si="36"/>
        <v>#REF!</v>
      </c>
      <c r="AC67" s="194" t="e">
        <f t="shared" si="50"/>
        <v>#REF!</v>
      </c>
      <c r="AD67" s="194">
        <f t="shared" si="51"/>
        <v>0.41794981609885623</v>
      </c>
      <c r="AE67" s="194" t="e">
        <f t="shared" si="52"/>
        <v>#REF!</v>
      </c>
      <c r="AF67" s="194" t="e">
        <f t="shared" si="53"/>
        <v>#REF!</v>
      </c>
      <c r="AG67" s="18"/>
      <c r="AH67" s="18"/>
      <c r="AI67" s="18"/>
      <c r="AJ67" s="18"/>
      <c r="AK67" s="194" t="e">
        <f>'ULS MP'!#REF!</f>
        <v>#REF!</v>
      </c>
      <c r="AL67" s="18">
        <f t="shared" si="37"/>
        <v>7.3326266252182748E-4</v>
      </c>
      <c r="AM67" s="18">
        <f t="shared" si="38"/>
        <v>2.4101421139187904</v>
      </c>
      <c r="AN67" s="194">
        <f t="shared" si="54"/>
        <v>137.31987491568626</v>
      </c>
      <c r="AO67" s="194">
        <f t="shared" si="55"/>
        <v>1.3069499260279836E-2</v>
      </c>
      <c r="AP67" s="194">
        <f t="shared" si="39"/>
        <v>6.9311486652423289E-3</v>
      </c>
      <c r="AQ67" s="194">
        <f t="shared" si="56"/>
        <v>0.55058075903132886</v>
      </c>
      <c r="AR67" s="18">
        <f t="shared" si="40"/>
        <v>137.33294441494652</v>
      </c>
      <c r="AS67" s="18">
        <f t="shared" si="41"/>
        <v>0.4655471529506971</v>
      </c>
      <c r="AT67" s="18">
        <f t="shared" si="42"/>
        <v>0.51208894527607185</v>
      </c>
      <c r="AU67" s="194">
        <f t="shared" si="57"/>
        <v>2.9369274005264106E-5</v>
      </c>
      <c r="AV67" s="194">
        <f t="shared" si="58"/>
        <v>0.55063316087648995</v>
      </c>
    </row>
    <row r="68" spans="3:48">
      <c r="C68" s="12" t="str">
        <f t="shared" si="43"/>
        <v>Can6</v>
      </c>
      <c r="D68" s="2">
        <f t="shared" si="44"/>
        <v>-17.899999999999999</v>
      </c>
      <c r="E68" s="3">
        <f t="shared" si="31"/>
        <v>8.4847999999999999</v>
      </c>
      <c r="F68" s="3">
        <f t="shared" si="32"/>
        <v>98</v>
      </c>
      <c r="G68" s="3">
        <v>137.19999999999999</v>
      </c>
      <c r="H68" s="3">
        <v>0</v>
      </c>
      <c r="I68" s="3">
        <v>0</v>
      </c>
      <c r="J68" s="192">
        <f>VLOOKUP(P68,'Steel grades'!$B$5:$J$22,IF(F68&gt;200,10,IF(F68&gt;150,9,IF(F68&gt;120,8,IF(F68&gt;100,7,IF(F68&gt;80,6,IF(F68&gt;63,5,IF(F68&gt;40,4,IF(F68&gt;16,3,2)))))))),FALSE)</f>
        <v>315</v>
      </c>
      <c r="K68" s="3" t="e">
        <f t="shared" si="33"/>
        <v>#REF!</v>
      </c>
      <c r="L68" s="3">
        <v>0</v>
      </c>
      <c r="M68" s="3">
        <v>0</v>
      </c>
      <c r="N68" s="3" t="e">
        <f t="shared" si="34"/>
        <v>#REF!</v>
      </c>
      <c r="O68" s="3">
        <f t="shared" si="35"/>
        <v>0.43599213096079581</v>
      </c>
      <c r="P68" s="3" t="str">
        <f>Geometry!M33</f>
        <v>S355 NL/ML</v>
      </c>
      <c r="R68" s="220">
        <f t="shared" si="45"/>
        <v>-354263.44884208107</v>
      </c>
      <c r="S68" s="3"/>
      <c r="T68" s="3"/>
      <c r="U68" s="3"/>
      <c r="V68" s="3"/>
      <c r="W68" s="3"/>
      <c r="X68" s="18">
        <f t="shared" si="46"/>
        <v>2.5820951081784216</v>
      </c>
      <c r="Y68" s="18">
        <f t="shared" si="47"/>
        <v>5.3520788282443457</v>
      </c>
      <c r="Z68" s="194">
        <f t="shared" si="48"/>
        <v>4.1933999999999996</v>
      </c>
      <c r="AA68" s="194">
        <f t="shared" si="49"/>
        <v>98</v>
      </c>
      <c r="AB68" s="194" t="e">
        <f t="shared" si="36"/>
        <v>#REF!</v>
      </c>
      <c r="AC68" s="194" t="e">
        <f t="shared" si="50"/>
        <v>#REF!</v>
      </c>
      <c r="AD68" s="194">
        <f t="shared" si="51"/>
        <v>0.4060716900764616</v>
      </c>
      <c r="AE68" s="194" t="e">
        <f t="shared" si="52"/>
        <v>#REF!</v>
      </c>
      <c r="AF68" s="194" t="e">
        <f t="shared" si="53"/>
        <v>#REF!</v>
      </c>
      <c r="AG68" s="18"/>
      <c r="AH68" s="18"/>
      <c r="AI68" s="18"/>
      <c r="AJ68" s="18"/>
      <c r="AK68" s="194" t="e">
        <f>'ULS MP'!#REF!</f>
        <v>#REF!</v>
      </c>
      <c r="AL68" s="18">
        <f t="shared" si="37"/>
        <v>7.3326266252715655E-4</v>
      </c>
      <c r="AM68" s="18">
        <f t="shared" si="38"/>
        <v>2.4094088512562686</v>
      </c>
      <c r="AN68" s="194">
        <f t="shared" si="54"/>
        <v>137.31998180534777</v>
      </c>
      <c r="AO68" s="194">
        <f t="shared" si="55"/>
        <v>1.38632503387984E-2</v>
      </c>
      <c r="AP68" s="194">
        <f t="shared" si="39"/>
        <v>7.3520987428882878E-3</v>
      </c>
      <c r="AQ68" s="194">
        <f t="shared" si="56"/>
        <v>0.52081468820393151</v>
      </c>
      <c r="AR68" s="18">
        <f t="shared" si="40"/>
        <v>137.33384505568657</v>
      </c>
      <c r="AS68" s="18">
        <f t="shared" si="41"/>
        <v>0.43599213096079581</v>
      </c>
      <c r="AT68" s="18">
        <f t="shared" si="42"/>
        <v>0.4795785065436674</v>
      </c>
      <c r="AU68" s="194">
        <f t="shared" si="57"/>
        <v>2.9174995011461461E-5</v>
      </c>
      <c r="AV68" s="194">
        <f t="shared" si="58"/>
        <v>0.52086726747395307</v>
      </c>
    </row>
    <row r="69" spans="3:48">
      <c r="C69" s="12" t="str">
        <f t="shared" si="43"/>
        <v>Can7</v>
      </c>
      <c r="D69" s="2">
        <f t="shared" si="44"/>
        <v>-21.8</v>
      </c>
      <c r="E69" s="3">
        <f t="shared" si="31"/>
        <v>8.8131000000000004</v>
      </c>
      <c r="F69" s="3">
        <f t="shared" si="32"/>
        <v>93</v>
      </c>
      <c r="G69" s="3">
        <v>137.19999999999999</v>
      </c>
      <c r="H69" s="3">
        <v>0</v>
      </c>
      <c r="I69" s="3">
        <v>0</v>
      </c>
      <c r="J69" s="192">
        <f>VLOOKUP(P69,'Steel grades'!$B$5:$J$22,IF(F69&gt;200,10,IF(F69&gt;150,9,IF(F69&gt;120,8,IF(F69&gt;100,7,IF(F69&gt;80,6,IF(F69&gt;63,5,IF(F69&gt;40,4,IF(F69&gt;16,3,2)))))))),FALSE)</f>
        <v>315</v>
      </c>
      <c r="K69" s="3" t="e">
        <f t="shared" si="33"/>
        <v>#REF!</v>
      </c>
      <c r="L69" s="3">
        <v>0</v>
      </c>
      <c r="M69" s="3">
        <v>0</v>
      </c>
      <c r="N69" s="3" t="e">
        <f t="shared" si="34"/>
        <v>#REF!</v>
      </c>
      <c r="O69" s="3">
        <f t="shared" si="35"/>
        <v>0.43593707556255362</v>
      </c>
      <c r="P69" s="3" t="str">
        <f>Geometry!M34</f>
        <v>S355 NL/ML</v>
      </c>
      <c r="R69" s="220">
        <f t="shared" si="45"/>
        <v>-349549.26877689274</v>
      </c>
      <c r="S69" s="3"/>
      <c r="T69" s="3"/>
      <c r="U69" s="3"/>
      <c r="V69" s="3"/>
      <c r="W69" s="3"/>
      <c r="X69" s="18">
        <f t="shared" si="46"/>
        <v>2.5477351951668572</v>
      </c>
      <c r="Y69" s="18">
        <f t="shared" si="47"/>
        <v>5.4961417237276367</v>
      </c>
      <c r="Z69" s="194">
        <f t="shared" si="48"/>
        <v>4.3600500000000002</v>
      </c>
      <c r="AA69" s="194">
        <f t="shared" si="49"/>
        <v>93</v>
      </c>
      <c r="AB69" s="194" t="e">
        <f t="shared" si="36"/>
        <v>#REF!</v>
      </c>
      <c r="AC69" s="194" t="e">
        <f t="shared" si="50"/>
        <v>#REF!</v>
      </c>
      <c r="AD69" s="194">
        <f t="shared" si="51"/>
        <v>0.39676572520439118</v>
      </c>
      <c r="AE69" s="194" t="e">
        <f t="shared" si="52"/>
        <v>#REF!</v>
      </c>
      <c r="AF69" s="194" t="e">
        <f t="shared" si="53"/>
        <v>#REF!</v>
      </c>
      <c r="AG69" s="18"/>
      <c r="AH69" s="18"/>
      <c r="AI69" s="18"/>
      <c r="AJ69" s="18"/>
      <c r="AK69" s="194" t="e">
        <f>'ULS MP'!#REF!</f>
        <v>#REF!</v>
      </c>
      <c r="AL69" s="18">
        <f t="shared" si="37"/>
        <v>2.6645352591003757E-15</v>
      </c>
      <c r="AM69" s="18">
        <f t="shared" si="38"/>
        <v>2.4101421139187957</v>
      </c>
      <c r="AN69" s="194">
        <f t="shared" si="54"/>
        <v>137.32017880220434</v>
      </c>
      <c r="AO69" s="194">
        <f t="shared" si="55"/>
        <v>5.2703817472093871E-14</v>
      </c>
      <c r="AP69" s="194">
        <f t="shared" si="39"/>
        <v>2.7950420046701724E-14</v>
      </c>
      <c r="AQ69" s="194">
        <f t="shared" si="56"/>
        <v>0.52378874013875454</v>
      </c>
      <c r="AR69" s="18">
        <f t="shared" si="40"/>
        <v>137.3201788022044</v>
      </c>
      <c r="AS69" s="18">
        <f t="shared" si="41"/>
        <v>0.43593707556255362</v>
      </c>
      <c r="AT69" s="18">
        <f t="shared" si="42"/>
        <v>0.47953078311880898</v>
      </c>
      <c r="AU69" s="194">
        <f t="shared" si="57"/>
        <v>1.1091436526468939E-16</v>
      </c>
      <c r="AV69" s="194">
        <f t="shared" si="58"/>
        <v>0.52378874013875476</v>
      </c>
    </row>
    <row r="70" spans="3:48">
      <c r="C70" s="12" t="str">
        <f t="shared" si="43"/>
        <v>Can8</v>
      </c>
      <c r="D70" s="2">
        <f t="shared" si="44"/>
        <v>-25.7</v>
      </c>
      <c r="E70" s="3">
        <f t="shared" si="31"/>
        <v>9.1414000000000009</v>
      </c>
      <c r="F70" s="3">
        <f t="shared" si="32"/>
        <v>93</v>
      </c>
      <c r="G70" s="3">
        <v>137.19999999999999</v>
      </c>
      <c r="H70" s="3">
        <v>0</v>
      </c>
      <c r="I70" s="3">
        <v>0</v>
      </c>
      <c r="J70" s="192">
        <f>VLOOKUP(P70,'Steel grades'!$B$5:$J$22,IF(F70&gt;200,10,IF(F70&gt;150,9,IF(F70&gt;120,8,IF(F70&gt;100,7,IF(F70&gt;80,6,IF(F70&gt;63,5,IF(F70&gt;40,4,IF(F70&gt;16,3,2)))))))),FALSE)</f>
        <v>315</v>
      </c>
      <c r="K70" s="3" t="e">
        <f t="shared" si="33"/>
        <v>#REF!</v>
      </c>
      <c r="L70" s="3">
        <v>0</v>
      </c>
      <c r="M70" s="3">
        <v>0</v>
      </c>
      <c r="N70" s="3" t="e">
        <f t="shared" si="34"/>
        <v>#REF!</v>
      </c>
      <c r="O70" s="3">
        <f t="shared" si="35"/>
        <v>0.43593722478234853</v>
      </c>
      <c r="P70" s="3" t="str">
        <f>Geometry!M35</f>
        <v>S355 NL/ML</v>
      </c>
      <c r="R70" s="220">
        <f t="shared" si="45"/>
        <v>-362709.32714083971</v>
      </c>
      <c r="S70" s="3"/>
      <c r="T70" s="3"/>
      <c r="U70" s="3"/>
      <c r="V70" s="3"/>
      <c r="W70" s="3"/>
      <c r="X70" s="18">
        <f t="shared" si="46"/>
        <v>2.6436539879069945</v>
      </c>
      <c r="Y70" s="18">
        <f t="shared" si="47"/>
        <v>5.9199953578269868</v>
      </c>
      <c r="Z70" s="194">
        <f t="shared" si="48"/>
        <v>4.5242000000000004</v>
      </c>
      <c r="AA70" s="194">
        <f t="shared" si="49"/>
        <v>93</v>
      </c>
      <c r="AB70" s="194" t="e">
        <f t="shared" si="36"/>
        <v>#REF!</v>
      </c>
      <c r="AC70" s="194" t="e">
        <f t="shared" si="50"/>
        <v>#REF!</v>
      </c>
      <c r="AD70" s="194">
        <f t="shared" si="51"/>
        <v>0.39295041457080082</v>
      </c>
      <c r="AE70" s="194" t="e">
        <f t="shared" si="52"/>
        <v>#REF!</v>
      </c>
      <c r="AF70" s="194" t="e">
        <f t="shared" si="53"/>
        <v>#REF!</v>
      </c>
      <c r="AG70" s="18"/>
      <c r="AH70" s="18"/>
      <c r="AI70" s="18"/>
      <c r="AJ70" s="18"/>
      <c r="AK70" s="194" t="e">
        <f>'ULS MP'!#REF!</f>
        <v>#REF!</v>
      </c>
      <c r="AL70" s="18">
        <f t="shared" si="37"/>
        <v>1.5543122344752192E-14</v>
      </c>
      <c r="AM70" s="18">
        <f t="shared" si="38"/>
        <v>2.4101421139187984</v>
      </c>
      <c r="AN70" s="194">
        <f t="shared" si="54"/>
        <v>137.3202258064394</v>
      </c>
      <c r="AO70" s="194">
        <f t="shared" si="55"/>
        <v>3.1311283814323222E-13</v>
      </c>
      <c r="AP70" s="194">
        <f t="shared" si="39"/>
        <v>1.6605315834573401E-13</v>
      </c>
      <c r="AQ70" s="194">
        <f t="shared" si="56"/>
        <v>0.5250817922607216</v>
      </c>
      <c r="AR70" s="18">
        <f t="shared" si="40"/>
        <v>137.32022580643971</v>
      </c>
      <c r="AS70" s="18">
        <f t="shared" si="41"/>
        <v>0.43593722478234853</v>
      </c>
      <c r="AT70" s="18">
        <f t="shared" si="42"/>
        <v>0.47953094726058315</v>
      </c>
      <c r="AU70" s="194">
        <f t="shared" si="57"/>
        <v>6.5894110454656355E-16</v>
      </c>
      <c r="AV70" s="194">
        <f t="shared" si="58"/>
        <v>0.52508179226072271</v>
      </c>
    </row>
    <row r="71" spans="3:48">
      <c r="C71" s="12" t="str">
        <f t="shared" si="43"/>
        <v>Can9</v>
      </c>
      <c r="D71" s="2">
        <f t="shared" si="44"/>
        <v>-29.6</v>
      </c>
      <c r="E71" s="3">
        <f t="shared" si="31"/>
        <v>9.4696999999999996</v>
      </c>
      <c r="F71" s="3">
        <f t="shared" si="32"/>
        <v>93</v>
      </c>
      <c r="G71" s="3">
        <v>137.19999999999999</v>
      </c>
      <c r="H71" s="3">
        <v>0</v>
      </c>
      <c r="I71" s="3">
        <v>0</v>
      </c>
      <c r="J71" s="192">
        <f>VLOOKUP(P71,'Steel grades'!$B$5:$J$22,IF(F71&gt;200,10,IF(F71&gt;150,9,IF(F71&gt;120,8,IF(F71&gt;100,7,IF(F71&gt;80,6,IF(F71&gt;63,5,IF(F71&gt;40,4,IF(F71&gt;16,3,2)))))))),FALSE)</f>
        <v>315</v>
      </c>
      <c r="K71" s="3" t="e">
        <f t="shared" si="33"/>
        <v>#REF!</v>
      </c>
      <c r="L71" s="3">
        <v>0</v>
      </c>
      <c r="M71" s="3">
        <v>0</v>
      </c>
      <c r="N71" s="3" t="e">
        <f t="shared" si="34"/>
        <v>#REF!</v>
      </c>
      <c r="O71" s="3">
        <f t="shared" si="35"/>
        <v>0.43714524607287247</v>
      </c>
      <c r="P71" s="3" t="str">
        <f>Geometry!M36</f>
        <v>S355 NL/ML</v>
      </c>
      <c r="R71" s="220">
        <f t="shared" si="45"/>
        <v>-375869.38550478662</v>
      </c>
      <c r="S71" s="3"/>
      <c r="T71" s="3"/>
      <c r="U71" s="3"/>
      <c r="V71" s="3"/>
      <c r="W71" s="3"/>
      <c r="X71" s="18">
        <f t="shared" si="46"/>
        <v>2.7395727806471317</v>
      </c>
      <c r="Y71" s="18">
        <f t="shared" si="47"/>
        <v>6.3595940285540369</v>
      </c>
      <c r="Z71" s="194">
        <f t="shared" si="48"/>
        <v>4.6883499999999998</v>
      </c>
      <c r="AA71" s="194">
        <f t="shared" si="49"/>
        <v>93</v>
      </c>
      <c r="AB71" s="194" t="e">
        <f t="shared" si="36"/>
        <v>#REF!</v>
      </c>
      <c r="AC71" s="194" t="e">
        <f t="shared" si="50"/>
        <v>#REF!</v>
      </c>
      <c r="AD71" s="194">
        <f t="shared" si="51"/>
        <v>0.38924526344507621</v>
      </c>
      <c r="AE71" s="194" t="e">
        <f t="shared" si="52"/>
        <v>#REF!</v>
      </c>
      <c r="AF71" s="194" t="e">
        <f t="shared" si="53"/>
        <v>#REF!</v>
      </c>
      <c r="AG71" s="18"/>
      <c r="AH71" s="18"/>
      <c r="AI71" s="18"/>
      <c r="AJ71" s="18"/>
      <c r="AK71" s="194" t="e">
        <f>'ULS MP'!#REF!</f>
        <v>#REF!</v>
      </c>
      <c r="AL71" s="18">
        <f t="shared" si="37"/>
        <v>1.4665087042359026E-2</v>
      </c>
      <c r="AM71" s="18">
        <f t="shared" si="38"/>
        <v>2.4101421139187829</v>
      </c>
      <c r="AN71" s="194">
        <f t="shared" si="54"/>
        <v>137.32026951924885</v>
      </c>
      <c r="AO71" s="194">
        <f t="shared" si="55"/>
        <v>0.30068309908117935</v>
      </c>
      <c r="AP71" s="194">
        <f t="shared" si="39"/>
        <v>0.15946129376136636</v>
      </c>
      <c r="AQ71" s="194">
        <f t="shared" si="56"/>
        <v>0.52638123086484412</v>
      </c>
      <c r="AR71" s="18">
        <f t="shared" si="40"/>
        <v>137.62095261833002</v>
      </c>
      <c r="AS71" s="18">
        <f t="shared" si="41"/>
        <v>0.43714524607287247</v>
      </c>
      <c r="AT71" s="18">
        <f t="shared" si="42"/>
        <v>0.48058110438147</v>
      </c>
      <c r="AU71" s="194">
        <f t="shared" si="57"/>
        <v>6.3278291175145388E-4</v>
      </c>
      <c r="AV71" s="194">
        <f t="shared" si="58"/>
        <v>0.52753382064892129</v>
      </c>
    </row>
    <row r="72" spans="3:48">
      <c r="C72" s="12" t="str">
        <f t="shared" si="43"/>
        <v>Can10</v>
      </c>
      <c r="D72" s="2">
        <f t="shared" si="44"/>
        <v>-33.5</v>
      </c>
      <c r="E72" s="3">
        <f t="shared" si="31"/>
        <v>9.8000000000000007</v>
      </c>
      <c r="F72" s="3">
        <f t="shared" si="32"/>
        <v>93</v>
      </c>
      <c r="G72" s="3">
        <v>137.19999999999999</v>
      </c>
      <c r="H72" s="3">
        <v>0</v>
      </c>
      <c r="I72" s="3">
        <v>0</v>
      </c>
      <c r="J72" s="192">
        <f>VLOOKUP(P72,'Steel grades'!$B$5:$J$22,IF(F72&gt;200,10,IF(F72&gt;150,9,IF(F72&gt;120,8,IF(F72&gt;100,7,IF(F72&gt;80,6,IF(F72&gt;63,5,IF(F72&gt;40,4,IF(F72&gt;16,3,2)))))))),FALSE)</f>
        <v>315</v>
      </c>
      <c r="K72" s="3" t="e">
        <f t="shared" si="33"/>
        <v>#REF!</v>
      </c>
      <c r="L72" s="3">
        <v>0</v>
      </c>
      <c r="M72" s="3">
        <v>0</v>
      </c>
      <c r="N72" s="3" t="e">
        <f t="shared" si="34"/>
        <v>#REF!</v>
      </c>
      <c r="O72" s="3">
        <f t="shared" si="35"/>
        <v>0.64344238933979292</v>
      </c>
      <c r="P72" s="3" t="str">
        <f>Geometry!M37</f>
        <v>S355 NL/ML</v>
      </c>
      <c r="R72" s="220">
        <f t="shared" si="45"/>
        <v>-389109.61479997908</v>
      </c>
      <c r="S72" s="3"/>
      <c r="T72" s="3"/>
      <c r="U72" s="3"/>
      <c r="V72" s="3"/>
      <c r="W72" s="3"/>
      <c r="X72" s="18">
        <f t="shared" si="46"/>
        <v>2.8360759096208459</v>
      </c>
      <c r="Y72" s="18">
        <f t="shared" si="47"/>
        <v>6.8177599396176953</v>
      </c>
      <c r="Z72" s="194">
        <f t="shared" si="48"/>
        <v>4.8535000000000004</v>
      </c>
      <c r="AA72" s="194">
        <f t="shared" si="49"/>
        <v>93</v>
      </c>
      <c r="AB72" s="194" t="e">
        <f t="shared" si="36"/>
        <v>#REF!</v>
      </c>
      <c r="AC72" s="194" t="e">
        <f t="shared" si="50"/>
        <v>#REF!</v>
      </c>
      <c r="AD72" s="194">
        <f t="shared" si="51"/>
        <v>0.38562285511731564</v>
      </c>
      <c r="AE72" s="194" t="e">
        <f t="shared" si="52"/>
        <v>#REF!</v>
      </c>
      <c r="AF72" s="194" t="e">
        <f t="shared" si="53"/>
        <v>#REF!</v>
      </c>
      <c r="AG72" s="18"/>
      <c r="AH72" s="18"/>
      <c r="AI72" s="18"/>
      <c r="AJ72" s="18"/>
      <c r="AK72" s="194" t="e">
        <f>'ULS MP'!#REF!</f>
        <v>#REF!</v>
      </c>
      <c r="AL72" s="18">
        <f t="shared" si="37"/>
        <v>2.4248072009611419</v>
      </c>
      <c r="AM72" s="18">
        <f t="shared" si="38"/>
        <v>2.4248072009611419</v>
      </c>
      <c r="AN72" s="194">
        <f t="shared" si="54"/>
        <v>137.32178018202075</v>
      </c>
      <c r="AO72" s="194">
        <f t="shared" si="55"/>
        <v>50.606452467167692</v>
      </c>
      <c r="AP72" s="194">
        <f t="shared" si="39"/>
        <v>26.838124283496732</v>
      </c>
      <c r="AQ72" s="194">
        <f t="shared" si="56"/>
        <v>0.52770072759668396</v>
      </c>
      <c r="AR72" s="18">
        <f t="shared" si="40"/>
        <v>187.92823264918843</v>
      </c>
      <c r="AS72" s="18">
        <f t="shared" si="41"/>
        <v>0.64344238933979292</v>
      </c>
      <c r="AT72" s="18">
        <f t="shared" si="42"/>
        <v>0.65625732036224538</v>
      </c>
      <c r="AU72" s="194">
        <f t="shared" si="57"/>
        <v>0.10650049318847911</v>
      </c>
      <c r="AV72" s="194">
        <f t="shared" si="58"/>
        <v>0.72217142082986008</v>
      </c>
    </row>
    <row r="73" spans="3:48">
      <c r="C73" s="12" t="str">
        <f t="shared" si="43"/>
        <v>Can11</v>
      </c>
      <c r="D73" s="2">
        <f t="shared" si="44"/>
        <v>-36.799999999999997</v>
      </c>
      <c r="E73" s="3">
        <f t="shared" si="31"/>
        <v>9.8000000000000007</v>
      </c>
      <c r="F73" s="3">
        <f t="shared" si="32"/>
        <v>93</v>
      </c>
      <c r="G73" s="3">
        <v>137.19999999999999</v>
      </c>
      <c r="H73" s="3">
        <v>0</v>
      </c>
      <c r="I73" s="3">
        <v>0</v>
      </c>
      <c r="J73" s="192">
        <f>VLOOKUP(P73,'Steel grades'!$B$5:$J$22,IF(F73&gt;200,10,IF(F73&gt;150,9,IF(F73&gt;120,8,IF(F73&gt;100,7,IF(F73&gt;80,6,IF(F73&gt;63,5,IF(F73&gt;40,4,IF(F73&gt;16,3,2)))))))),FALSE)</f>
        <v>315</v>
      </c>
      <c r="K73" s="3" t="e">
        <f t="shared" si="33"/>
        <v>#REF!</v>
      </c>
      <c r="L73" s="3">
        <v>0</v>
      </c>
      <c r="M73" s="3">
        <v>0</v>
      </c>
      <c r="N73" s="3" t="e">
        <f t="shared" si="34"/>
        <v>#REF!</v>
      </c>
      <c r="O73" s="3">
        <f t="shared" si="35"/>
        <v>0.43555555555555553</v>
      </c>
      <c r="P73" s="3" t="str">
        <f>Geometry!M38</f>
        <v>S355 NL/ML</v>
      </c>
      <c r="R73" s="220">
        <f t="shared" si="45"/>
        <v>-389109.61479997908</v>
      </c>
      <c r="S73" s="3"/>
      <c r="T73" s="3"/>
      <c r="U73" s="3"/>
      <c r="V73" s="3"/>
      <c r="W73" s="3"/>
      <c r="X73" s="18">
        <f t="shared" si="46"/>
        <v>2.8360759096208459</v>
      </c>
      <c r="Y73" s="18">
        <f t="shared" si="47"/>
        <v>6.8177599396176953</v>
      </c>
      <c r="Z73" s="194">
        <f t="shared" si="48"/>
        <v>4.8535000000000004</v>
      </c>
      <c r="AA73" s="194">
        <f t="shared" si="49"/>
        <v>93</v>
      </c>
      <c r="AB73" s="194" t="e">
        <f t="shared" si="36"/>
        <v>#REF!</v>
      </c>
      <c r="AC73" s="194" t="e">
        <f t="shared" si="50"/>
        <v>#REF!</v>
      </c>
      <c r="AD73" s="194">
        <f t="shared" si="51"/>
        <v>0.38562285511731564</v>
      </c>
      <c r="AE73" s="194" t="e">
        <f t="shared" si="52"/>
        <v>#REF!</v>
      </c>
      <c r="AF73" s="194" t="e">
        <f t="shared" si="53"/>
        <v>#REF!</v>
      </c>
      <c r="AG73" s="18"/>
      <c r="AH73" s="18"/>
      <c r="AI73" s="18"/>
      <c r="AJ73" s="18"/>
      <c r="AK73" s="194" t="e">
        <f>'ULS MP'!#REF!</f>
        <v>#REF!</v>
      </c>
      <c r="AL73" s="18">
        <f t="shared" si="37"/>
        <v>0</v>
      </c>
      <c r="AM73" s="18">
        <f t="shared" si="38"/>
        <v>0</v>
      </c>
      <c r="AN73" s="194">
        <f t="shared" si="54"/>
        <v>137.19999999999996</v>
      </c>
      <c r="AO73" s="194">
        <f t="shared" si="55"/>
        <v>0</v>
      </c>
      <c r="AP73" s="194">
        <f t="shared" si="39"/>
        <v>0</v>
      </c>
      <c r="AQ73" s="194">
        <f t="shared" si="56"/>
        <v>0</v>
      </c>
      <c r="AR73" s="18">
        <f t="shared" si="40"/>
        <v>0</v>
      </c>
      <c r="AS73" s="18">
        <f t="shared" si="41"/>
        <v>0</v>
      </c>
      <c r="AT73" s="18">
        <f t="shared" si="42"/>
        <v>0</v>
      </c>
      <c r="AU73" s="194">
        <f t="shared" si="57"/>
        <v>0</v>
      </c>
      <c r="AV73" s="194">
        <f t="shared" si="58"/>
        <v>0</v>
      </c>
    </row>
    <row r="74" spans="3:48">
      <c r="C74" s="12" t="str">
        <f t="shared" si="43"/>
        <v>Can12</v>
      </c>
      <c r="D74" s="2" t="e">
        <f t="shared" si="44"/>
        <v>#REF!</v>
      </c>
      <c r="E74" s="3" t="e">
        <f t="shared" si="31"/>
        <v>#REF!</v>
      </c>
      <c r="F74" s="3" t="e">
        <f t="shared" si="32"/>
        <v>#REF!</v>
      </c>
      <c r="G74" s="3">
        <v>137.19999999999999</v>
      </c>
      <c r="H74" s="3">
        <v>0</v>
      </c>
      <c r="I74" s="3">
        <v>0</v>
      </c>
      <c r="J74" s="192" t="e">
        <f>VLOOKUP(P74,'Steel grades'!$B$5:$J$22,IF(F74&gt;200,10,IF(F74&gt;150,9,IF(F74&gt;120,8,IF(F74&gt;100,7,IF(F74&gt;80,6,IF(F74&gt;63,5,IF(F74&gt;40,4,IF(F74&gt;16,3,2)))))))),FALSE)</f>
        <v>#REF!</v>
      </c>
      <c r="K74" s="3" t="e">
        <f t="shared" si="33"/>
        <v>#REF!</v>
      </c>
      <c r="L74" s="3">
        <v>0</v>
      </c>
      <c r="M74" s="3">
        <v>0</v>
      </c>
      <c r="N74" s="3" t="e">
        <f t="shared" si="34"/>
        <v>#REF!</v>
      </c>
      <c r="O74" s="3" t="e">
        <f t="shared" si="35"/>
        <v>#REF!</v>
      </c>
      <c r="P74" s="3" t="e">
        <f>Geometry!#REF!</f>
        <v>#REF!</v>
      </c>
      <c r="R74" s="220" t="e">
        <f t="shared" si="45"/>
        <v>#REF!</v>
      </c>
      <c r="S74" s="3"/>
      <c r="T74" s="3"/>
      <c r="U74" s="3"/>
      <c r="V74" s="3"/>
      <c r="W74" s="3"/>
      <c r="X74" s="18" t="e">
        <f t="shared" si="46"/>
        <v>#REF!</v>
      </c>
      <c r="Y74" s="18" t="e">
        <f t="shared" si="47"/>
        <v>#REF!</v>
      </c>
      <c r="Z74" s="194" t="e">
        <f t="shared" si="48"/>
        <v>#REF!</v>
      </c>
      <c r="AA74" s="194" t="e">
        <f t="shared" si="49"/>
        <v>#REF!</v>
      </c>
      <c r="AB74" s="194" t="e">
        <f t="shared" si="36"/>
        <v>#REF!</v>
      </c>
      <c r="AC74" s="194" t="e">
        <f t="shared" si="50"/>
        <v>#REF!</v>
      </c>
      <c r="AD74" s="194" t="e">
        <f t="shared" si="51"/>
        <v>#REF!</v>
      </c>
      <c r="AE74" s="194" t="e">
        <f t="shared" si="52"/>
        <v>#REF!</v>
      </c>
      <c r="AF74" s="194" t="e">
        <f t="shared" si="53"/>
        <v>#REF!</v>
      </c>
      <c r="AG74" s="18"/>
      <c r="AH74" s="18"/>
      <c r="AI74" s="18"/>
      <c r="AJ74" s="18"/>
      <c r="AK74" s="194" t="e">
        <f>'ULS MP'!#REF!</f>
        <v>#REF!</v>
      </c>
      <c r="AL74" s="18" t="e">
        <f t="shared" si="37"/>
        <v>#REF!</v>
      </c>
      <c r="AM74" s="18" t="e">
        <f t="shared" si="38"/>
        <v>#REF!</v>
      </c>
      <c r="AN74" s="194" t="e">
        <f t="shared" si="54"/>
        <v>#REF!</v>
      </c>
      <c r="AO74" s="194" t="e">
        <f t="shared" si="55"/>
        <v>#REF!</v>
      </c>
      <c r="AP74" s="194" t="e">
        <f t="shared" si="39"/>
        <v>#REF!</v>
      </c>
      <c r="AQ74" s="194" t="e">
        <f t="shared" si="56"/>
        <v>#REF!</v>
      </c>
      <c r="AR74" s="18" t="e">
        <f t="shared" si="40"/>
        <v>#REF!</v>
      </c>
      <c r="AS74" s="18" t="e">
        <f t="shared" si="41"/>
        <v>#REF!</v>
      </c>
      <c r="AT74" s="18" t="e">
        <f t="shared" si="42"/>
        <v>#REF!</v>
      </c>
      <c r="AU74" s="194" t="e">
        <f t="shared" si="57"/>
        <v>#REF!</v>
      </c>
      <c r="AV74" s="194" t="e">
        <f t="shared" si="58"/>
        <v>#REF!</v>
      </c>
    </row>
    <row r="75" spans="3:48">
      <c r="C75" s="12" t="str">
        <f t="shared" si="43"/>
        <v>Can13</v>
      </c>
      <c r="D75" s="2">
        <f t="shared" si="44"/>
        <v>-43.8</v>
      </c>
      <c r="E75" s="3">
        <f t="shared" si="31"/>
        <v>9.8000000000000007</v>
      </c>
      <c r="F75" s="3">
        <f t="shared" si="32"/>
        <v>102</v>
      </c>
      <c r="G75" s="3">
        <v>137.19999999999999</v>
      </c>
      <c r="H75" s="3">
        <v>0</v>
      </c>
      <c r="I75" s="3">
        <v>0</v>
      </c>
      <c r="J75" s="192">
        <f>VLOOKUP(P75,'Steel grades'!$B$5:$J$22,IF(F75&gt;200,10,IF(F75&gt;150,9,IF(F75&gt;120,8,IF(F75&gt;100,7,IF(F75&gt;80,6,IF(F75&gt;63,5,IF(F75&gt;40,4,IF(F75&gt;16,3,2)))))))),FALSE)</f>
        <v>340</v>
      </c>
      <c r="K75" s="3" t="e">
        <f t="shared" si="33"/>
        <v>#REF!</v>
      </c>
      <c r="L75" s="3">
        <v>0</v>
      </c>
      <c r="M75" s="3">
        <v>0</v>
      </c>
      <c r="N75" s="3" t="e">
        <f t="shared" si="34"/>
        <v>#REF!</v>
      </c>
      <c r="O75" s="3">
        <f t="shared" si="35"/>
        <v>0.40352941176470586</v>
      </c>
      <c r="P75" s="3" t="str">
        <f>Geometry!M40</f>
        <v>S420 NL</v>
      </c>
      <c r="R75" s="220">
        <f t="shared" si="45"/>
        <v>-426369.70163608808</v>
      </c>
      <c r="S75" s="3"/>
      <c r="T75" s="3"/>
      <c r="U75" s="3"/>
      <c r="V75" s="3"/>
      <c r="W75" s="3"/>
      <c r="X75" s="18">
        <f t="shared" si="46"/>
        <v>3.1076508865604193</v>
      </c>
      <c r="Y75" s="18">
        <f t="shared" si="47"/>
        <v>7.4569040686861889</v>
      </c>
      <c r="Z75" s="194">
        <f t="shared" si="48"/>
        <v>4.8490000000000002</v>
      </c>
      <c r="AA75" s="194">
        <f t="shared" si="49"/>
        <v>102</v>
      </c>
      <c r="AB75" s="194" t="e">
        <f t="shared" si="36"/>
        <v>#REF!</v>
      </c>
      <c r="AC75" s="194" t="e">
        <f t="shared" si="50"/>
        <v>#REF!</v>
      </c>
      <c r="AD75" s="194">
        <f t="shared" si="51"/>
        <v>0.3953323986453664</v>
      </c>
      <c r="AE75" s="194" t="e">
        <f t="shared" si="52"/>
        <v>#REF!</v>
      </c>
      <c r="AF75" s="194" t="e">
        <f t="shared" si="53"/>
        <v>#REF!</v>
      </c>
      <c r="AG75" s="18"/>
      <c r="AH75" s="18"/>
      <c r="AI75" s="18"/>
      <c r="AJ75" s="18"/>
      <c r="AK75" s="194" t="e">
        <f>'ULS MP'!#REF!</f>
        <v>#REF!</v>
      </c>
      <c r="AL75" s="18">
        <f t="shared" si="37"/>
        <v>0</v>
      </c>
      <c r="AM75" s="18">
        <f t="shared" si="38"/>
        <v>0</v>
      </c>
      <c r="AN75" s="194">
        <f t="shared" si="54"/>
        <v>137.19999999999996</v>
      </c>
      <c r="AO75" s="194">
        <f t="shared" si="55"/>
        <v>0</v>
      </c>
      <c r="AP75" s="194">
        <f t="shared" si="39"/>
        <v>0</v>
      </c>
      <c r="AQ75" s="194">
        <f t="shared" si="56"/>
        <v>0</v>
      </c>
      <c r="AR75" s="18">
        <f t="shared" si="40"/>
        <v>0</v>
      </c>
      <c r="AS75" s="18">
        <f t="shared" si="41"/>
        <v>0</v>
      </c>
      <c r="AT75" s="18">
        <f t="shared" si="42"/>
        <v>0</v>
      </c>
      <c r="AU75" s="194">
        <f t="shared" si="57"/>
        <v>0</v>
      </c>
      <c r="AV75" s="194">
        <f t="shared" si="58"/>
        <v>0</v>
      </c>
    </row>
    <row r="76" spans="3:48">
      <c r="C76" s="12" t="str">
        <f t="shared" si="43"/>
        <v>Can14</v>
      </c>
      <c r="D76" s="2">
        <f t="shared" si="44"/>
        <v>-51.8</v>
      </c>
      <c r="E76" s="3">
        <f t="shared" si="31"/>
        <v>9.8000000000000007</v>
      </c>
      <c r="F76" s="3">
        <f t="shared" si="32"/>
        <v>90</v>
      </c>
      <c r="G76" s="3">
        <v>137.19999999999999</v>
      </c>
      <c r="H76" s="3">
        <v>0</v>
      </c>
      <c r="I76" s="3">
        <v>0</v>
      </c>
      <c r="J76" s="192">
        <f>VLOOKUP(P76,'Steel grades'!$B$5:$J$22,IF(F76&gt;200,10,IF(F76&gt;150,9,IF(F76&gt;120,8,IF(F76&gt;100,7,IF(F76&gt;80,6,IF(F76&gt;63,5,IF(F76&gt;40,4,IF(F76&gt;16,3,2)))))))),FALSE)</f>
        <v>315</v>
      </c>
      <c r="K76" s="3" t="e">
        <f t="shared" si="33"/>
        <v>#REF!</v>
      </c>
      <c r="L76" s="3">
        <v>0</v>
      </c>
      <c r="M76" s="3">
        <v>0</v>
      </c>
      <c r="N76" s="3" t="e">
        <f t="shared" si="34"/>
        <v>#REF!</v>
      </c>
      <c r="O76" s="3">
        <f t="shared" si="35"/>
        <v>0.43555555555555553</v>
      </c>
      <c r="P76" s="3" t="str">
        <f>Geometry!M42</f>
        <v>S355 NL/ML</v>
      </c>
      <c r="R76" s="220">
        <f t="shared" si="45"/>
        <v>-376674.06890017493</v>
      </c>
      <c r="S76" s="3"/>
      <c r="T76" s="3"/>
      <c r="U76" s="3"/>
      <c r="V76" s="3"/>
      <c r="W76" s="3"/>
      <c r="X76" s="18">
        <f t="shared" si="46"/>
        <v>2.7454378199721172</v>
      </c>
      <c r="Y76" s="18">
        <f t="shared" si="47"/>
        <v>6.6039125512340453</v>
      </c>
      <c r="Z76" s="194">
        <f t="shared" si="48"/>
        <v>4.8550000000000004</v>
      </c>
      <c r="AA76" s="194">
        <f t="shared" si="49"/>
        <v>90</v>
      </c>
      <c r="AB76" s="194" t="e">
        <f t="shared" si="36"/>
        <v>#REF!</v>
      </c>
      <c r="AC76" s="194" t="e">
        <f t="shared" si="50"/>
        <v>#REF!</v>
      </c>
      <c r="AD76" s="194">
        <f t="shared" si="51"/>
        <v>0.38213887965963755</v>
      </c>
      <c r="AE76" s="194" t="e">
        <f t="shared" si="52"/>
        <v>#REF!</v>
      </c>
      <c r="AF76" s="194" t="e">
        <f t="shared" si="53"/>
        <v>#REF!</v>
      </c>
      <c r="AG76" s="18"/>
      <c r="AH76" s="18"/>
      <c r="AI76" s="18"/>
      <c r="AJ76" s="18"/>
      <c r="AK76" s="194" t="e">
        <f>'ULS MP'!#REF!</f>
        <v>#REF!</v>
      </c>
      <c r="AL76" s="18">
        <f t="shared" si="37"/>
        <v>0</v>
      </c>
      <c r="AM76" s="18">
        <f t="shared" si="38"/>
        <v>0</v>
      </c>
      <c r="AN76" s="194">
        <f t="shared" si="54"/>
        <v>137.19999999999999</v>
      </c>
      <c r="AO76" s="194">
        <f t="shared" si="55"/>
        <v>0</v>
      </c>
      <c r="AP76" s="194">
        <f t="shared" si="39"/>
        <v>0</v>
      </c>
      <c r="AQ76" s="194">
        <f t="shared" si="56"/>
        <v>0</v>
      </c>
      <c r="AR76" s="18">
        <f t="shared" si="40"/>
        <v>0</v>
      </c>
      <c r="AS76" s="18">
        <f t="shared" si="41"/>
        <v>0</v>
      </c>
      <c r="AT76" s="18">
        <f t="shared" si="42"/>
        <v>0</v>
      </c>
      <c r="AU76" s="194">
        <f t="shared" si="57"/>
        <v>0</v>
      </c>
      <c r="AV76" s="194">
        <f t="shared" si="58"/>
        <v>0</v>
      </c>
    </row>
    <row r="77" spans="3:48">
      <c r="C77" s="12" t="str">
        <f t="shared" si="43"/>
        <v>Can15</v>
      </c>
      <c r="D77" s="2">
        <f t="shared" si="44"/>
        <v>-55.8</v>
      </c>
      <c r="E77" s="3">
        <f t="shared" si="31"/>
        <v>9.8000000000000007</v>
      </c>
      <c r="F77" s="3">
        <f t="shared" si="32"/>
        <v>81</v>
      </c>
      <c r="G77" s="3">
        <v>137.19999999999999</v>
      </c>
      <c r="H77" s="3">
        <v>0</v>
      </c>
      <c r="I77" s="3">
        <v>0</v>
      </c>
      <c r="J77" s="192">
        <f>VLOOKUP(P77,'Steel grades'!$B$5:$J$22,IF(F77&gt;200,10,IF(F77&gt;150,9,IF(F77&gt;120,8,IF(F77&gt;100,7,IF(F77&gt;80,6,IF(F77&gt;63,5,IF(F77&gt;40,4,IF(F77&gt;16,3,2)))))))),FALSE)</f>
        <v>315</v>
      </c>
      <c r="K77" s="3" t="e">
        <f t="shared" si="33"/>
        <v>#REF!</v>
      </c>
      <c r="L77" s="3">
        <v>0</v>
      </c>
      <c r="M77" s="3">
        <v>0</v>
      </c>
      <c r="N77" s="3" t="e">
        <f t="shared" si="34"/>
        <v>#REF!</v>
      </c>
      <c r="O77" s="3">
        <f t="shared" si="35"/>
        <v>0.43555555555555553</v>
      </c>
      <c r="P77" s="3" t="str">
        <f>Geometry!M43</f>
        <v>S355 NL/ML</v>
      </c>
      <c r="R77" s="220">
        <f t="shared" si="45"/>
        <v>-339320.88033745828</v>
      </c>
      <c r="S77" s="3"/>
      <c r="T77" s="3"/>
      <c r="U77" s="3"/>
      <c r="V77" s="3"/>
      <c r="W77" s="3"/>
      <c r="X77" s="18">
        <f t="shared" si="46"/>
        <v>2.473184259019396</v>
      </c>
      <c r="Y77" s="18">
        <f t="shared" si="47"/>
        <v>5.9599653579196561</v>
      </c>
      <c r="Z77" s="194">
        <f t="shared" si="48"/>
        <v>4.8595000000000006</v>
      </c>
      <c r="AA77" s="194">
        <f t="shared" si="49"/>
        <v>81</v>
      </c>
      <c r="AB77" s="194" t="e">
        <f t="shared" si="36"/>
        <v>#REF!</v>
      </c>
      <c r="AC77" s="194" t="e">
        <f t="shared" si="50"/>
        <v>#REF!</v>
      </c>
      <c r="AD77" s="194">
        <f t="shared" si="51"/>
        <v>0.37082436194503576</v>
      </c>
      <c r="AE77" s="194" t="e">
        <f t="shared" si="52"/>
        <v>#REF!</v>
      </c>
      <c r="AF77" s="194" t="e">
        <f t="shared" si="53"/>
        <v>#REF!</v>
      </c>
      <c r="AG77" s="18"/>
      <c r="AH77" s="18"/>
      <c r="AI77" s="18"/>
      <c r="AJ77" s="18"/>
      <c r="AK77" s="194" t="e">
        <f>'ULS MP'!#REF!</f>
        <v>#REF!</v>
      </c>
      <c r="AL77" s="18">
        <f t="shared" si="37"/>
        <v>0</v>
      </c>
      <c r="AM77" s="18">
        <f t="shared" si="38"/>
        <v>0</v>
      </c>
      <c r="AN77" s="194">
        <f t="shared" si="54"/>
        <v>137.19999999999996</v>
      </c>
      <c r="AO77" s="194">
        <f t="shared" si="55"/>
        <v>0</v>
      </c>
      <c r="AP77" s="194">
        <f t="shared" si="39"/>
        <v>0</v>
      </c>
      <c r="AQ77" s="194">
        <f t="shared" si="56"/>
        <v>0</v>
      </c>
      <c r="AR77" s="18">
        <f t="shared" si="40"/>
        <v>0</v>
      </c>
      <c r="AS77" s="18">
        <f t="shared" si="41"/>
        <v>0</v>
      </c>
      <c r="AT77" s="18">
        <f t="shared" si="42"/>
        <v>0</v>
      </c>
      <c r="AU77" s="194">
        <f t="shared" si="57"/>
        <v>0</v>
      </c>
      <c r="AV77" s="194">
        <f t="shared" si="58"/>
        <v>0</v>
      </c>
    </row>
    <row r="78" spans="3:48">
      <c r="C78" s="12" t="str">
        <f t="shared" si="43"/>
        <v>Can16</v>
      </c>
      <c r="D78" s="2">
        <f t="shared" si="44"/>
        <v>-59.8</v>
      </c>
      <c r="E78" s="3">
        <f t="shared" si="31"/>
        <v>9.8000000000000007</v>
      </c>
      <c r="F78" s="3">
        <f t="shared" si="32"/>
        <v>81</v>
      </c>
      <c r="G78" s="3">
        <v>137.19999999999999</v>
      </c>
      <c r="H78" s="3">
        <v>0</v>
      </c>
      <c r="I78" s="3">
        <v>0</v>
      </c>
      <c r="J78" s="192">
        <f>VLOOKUP(P78,'Steel grades'!$B$5:$J$22,IF(F78&gt;200,10,IF(F78&gt;150,9,IF(F78&gt;120,8,IF(F78&gt;100,7,IF(F78&gt;80,6,IF(F78&gt;63,5,IF(F78&gt;40,4,IF(F78&gt;16,3,2)))))))),FALSE)</f>
        <v>315</v>
      </c>
      <c r="K78" s="3" t="e">
        <f t="shared" si="33"/>
        <v>#REF!</v>
      </c>
      <c r="L78" s="3">
        <v>0</v>
      </c>
      <c r="M78" s="3">
        <v>0</v>
      </c>
      <c r="N78" s="3" t="e">
        <f t="shared" si="34"/>
        <v>#REF!</v>
      </c>
      <c r="O78" s="3">
        <f t="shared" si="35"/>
        <v>0.43555555555555553</v>
      </c>
      <c r="P78" s="3" t="str">
        <f>Geometry!M44</f>
        <v>S355 NL/ML</v>
      </c>
      <c r="R78" s="220">
        <f t="shared" si="45"/>
        <v>-339320.88033745828</v>
      </c>
      <c r="S78" s="3"/>
      <c r="T78" s="3"/>
      <c r="U78" s="3"/>
      <c r="V78" s="3"/>
      <c r="W78" s="3"/>
      <c r="X78" s="18">
        <f t="shared" si="46"/>
        <v>2.473184259019396</v>
      </c>
      <c r="Y78" s="18">
        <f t="shared" si="47"/>
        <v>5.9599653579196561</v>
      </c>
      <c r="Z78" s="194">
        <f t="shared" si="48"/>
        <v>4.8595000000000006</v>
      </c>
      <c r="AA78" s="194">
        <f t="shared" si="49"/>
        <v>81</v>
      </c>
      <c r="AB78" s="194" t="e">
        <f t="shared" si="36"/>
        <v>#REF!</v>
      </c>
      <c r="AC78" s="194" t="e">
        <f t="shared" si="50"/>
        <v>#REF!</v>
      </c>
      <c r="AD78" s="194">
        <f t="shared" si="51"/>
        <v>0.37082436194503576</v>
      </c>
      <c r="AE78" s="194" t="e">
        <f t="shared" si="52"/>
        <v>#REF!</v>
      </c>
      <c r="AF78" s="194" t="e">
        <f t="shared" si="53"/>
        <v>#REF!</v>
      </c>
      <c r="AG78" s="18"/>
      <c r="AH78" s="18"/>
      <c r="AI78" s="18"/>
      <c r="AJ78" s="18"/>
      <c r="AK78" s="194" t="e">
        <f>'ULS MP'!#REF!</f>
        <v>#REF!</v>
      </c>
      <c r="AL78" s="18">
        <f t="shared" si="37"/>
        <v>0</v>
      </c>
      <c r="AM78" s="18">
        <f t="shared" si="38"/>
        <v>0</v>
      </c>
      <c r="AN78" s="194">
        <f t="shared" si="54"/>
        <v>137.19999999999996</v>
      </c>
      <c r="AO78" s="194">
        <f t="shared" si="55"/>
        <v>0</v>
      </c>
      <c r="AP78" s="194">
        <f t="shared" si="39"/>
        <v>0</v>
      </c>
      <c r="AQ78" s="194">
        <f t="shared" si="56"/>
        <v>0</v>
      </c>
      <c r="AR78" s="18">
        <f t="shared" si="40"/>
        <v>0</v>
      </c>
      <c r="AS78" s="18">
        <f t="shared" si="41"/>
        <v>0</v>
      </c>
      <c r="AT78" s="18">
        <f t="shared" si="42"/>
        <v>0</v>
      </c>
      <c r="AU78" s="194">
        <f t="shared" si="57"/>
        <v>0</v>
      </c>
      <c r="AV78" s="194">
        <f t="shared" si="58"/>
        <v>0</v>
      </c>
    </row>
    <row r="79" spans="3:48">
      <c r="C79" s="12" t="str">
        <f t="shared" si="43"/>
        <v>Can17</v>
      </c>
      <c r="D79" s="2">
        <f t="shared" si="44"/>
        <v>-63.8</v>
      </c>
      <c r="E79" s="3">
        <f t="shared" si="31"/>
        <v>9.8000000000000007</v>
      </c>
      <c r="F79" s="3">
        <f t="shared" si="32"/>
        <v>81</v>
      </c>
      <c r="G79" s="3">
        <v>137.19999999999999</v>
      </c>
      <c r="H79" s="3">
        <v>0</v>
      </c>
      <c r="I79" s="3">
        <v>0</v>
      </c>
      <c r="J79" s="192">
        <f>VLOOKUP(P79,'Steel grades'!$B$5:$J$22,IF(F79&gt;200,10,IF(F79&gt;150,9,IF(F79&gt;120,8,IF(F79&gt;100,7,IF(F79&gt;80,6,IF(F79&gt;63,5,IF(F79&gt;40,4,IF(F79&gt;16,3,2)))))))),FALSE)</f>
        <v>315</v>
      </c>
      <c r="K79" s="3" t="e">
        <f t="shared" si="33"/>
        <v>#REF!</v>
      </c>
      <c r="L79" s="3">
        <v>0</v>
      </c>
      <c r="M79" s="3">
        <v>0</v>
      </c>
      <c r="N79" s="3" t="e">
        <f t="shared" si="34"/>
        <v>#REF!</v>
      </c>
      <c r="O79" s="3">
        <f t="shared" si="35"/>
        <v>0.43555555555555553</v>
      </c>
      <c r="P79" s="3" t="str">
        <f>Geometry!M45</f>
        <v>S355 NL/ML</v>
      </c>
      <c r="R79" s="220">
        <f t="shared" si="45"/>
        <v>-339320.88033745828</v>
      </c>
      <c r="S79" s="3"/>
      <c r="T79" s="3"/>
      <c r="U79" s="3"/>
      <c r="V79" s="3"/>
      <c r="W79" s="3"/>
      <c r="X79" s="18">
        <f t="shared" si="46"/>
        <v>2.473184259019396</v>
      </c>
      <c r="Y79" s="18">
        <f t="shared" si="47"/>
        <v>5.9599653579196561</v>
      </c>
      <c r="Z79" s="194">
        <f t="shared" si="48"/>
        <v>4.8595000000000006</v>
      </c>
      <c r="AA79" s="194">
        <f t="shared" si="49"/>
        <v>81</v>
      </c>
      <c r="AB79" s="194" t="e">
        <f t="shared" si="36"/>
        <v>#REF!</v>
      </c>
      <c r="AC79" s="194" t="e">
        <f t="shared" si="50"/>
        <v>#REF!</v>
      </c>
      <c r="AD79" s="194">
        <f t="shared" si="51"/>
        <v>0.37082436194503576</v>
      </c>
      <c r="AE79" s="194" t="e">
        <f t="shared" si="52"/>
        <v>#REF!</v>
      </c>
      <c r="AF79" s="194" t="e">
        <f t="shared" si="53"/>
        <v>#REF!</v>
      </c>
      <c r="AG79" s="18"/>
      <c r="AH79" s="18"/>
      <c r="AI79" s="18"/>
      <c r="AJ79" s="18"/>
      <c r="AK79" s="194" t="e">
        <f>'ULS MP'!#REF!</f>
        <v>#REF!</v>
      </c>
      <c r="AL79" s="18">
        <f t="shared" si="37"/>
        <v>0</v>
      </c>
      <c r="AM79" s="18">
        <f t="shared" si="38"/>
        <v>0</v>
      </c>
      <c r="AN79" s="194">
        <f t="shared" si="54"/>
        <v>137.19999999999996</v>
      </c>
      <c r="AO79" s="194">
        <f t="shared" si="55"/>
        <v>0</v>
      </c>
      <c r="AP79" s="194">
        <f t="shared" si="39"/>
        <v>0</v>
      </c>
      <c r="AQ79" s="194">
        <f t="shared" si="56"/>
        <v>0</v>
      </c>
      <c r="AR79" s="18">
        <f t="shared" si="40"/>
        <v>0</v>
      </c>
      <c r="AS79" s="18">
        <f t="shared" si="41"/>
        <v>0</v>
      </c>
      <c r="AT79" s="18">
        <f t="shared" si="42"/>
        <v>0</v>
      </c>
      <c r="AU79" s="194">
        <f t="shared" si="57"/>
        <v>0</v>
      </c>
      <c r="AV79" s="194">
        <f t="shared" si="58"/>
        <v>0</v>
      </c>
    </row>
    <row r="80" spans="3:48">
      <c r="C80" s="12" t="str">
        <f t="shared" si="43"/>
        <v>Can18</v>
      </c>
      <c r="D80" s="2">
        <f t="shared" si="44"/>
        <v>-67.8</v>
      </c>
      <c r="E80" s="3">
        <f t="shared" si="31"/>
        <v>9.8000000000000007</v>
      </c>
      <c r="F80" s="3">
        <f t="shared" si="32"/>
        <v>81</v>
      </c>
      <c r="G80" s="3">
        <v>137.19999999999999</v>
      </c>
      <c r="H80" s="3">
        <v>0</v>
      </c>
      <c r="I80" s="3">
        <v>0</v>
      </c>
      <c r="J80" s="192">
        <f>VLOOKUP(P80,'Steel grades'!$B$5:$J$22,IF(F80&gt;200,10,IF(F80&gt;150,9,IF(F80&gt;120,8,IF(F80&gt;100,7,IF(F80&gt;80,6,IF(F80&gt;63,5,IF(F80&gt;40,4,IF(F80&gt;16,3,2)))))))),FALSE)</f>
        <v>315</v>
      </c>
      <c r="K80" s="3" t="e">
        <f t="shared" si="33"/>
        <v>#REF!</v>
      </c>
      <c r="L80" s="3">
        <v>0</v>
      </c>
      <c r="M80" s="3">
        <v>0</v>
      </c>
      <c r="N80" s="3" t="e">
        <f t="shared" si="34"/>
        <v>#REF!</v>
      </c>
      <c r="O80" s="3">
        <f t="shared" si="35"/>
        <v>0.43555555555555553</v>
      </c>
      <c r="P80" s="3" t="str">
        <f>Geometry!M46</f>
        <v>S355 NL/ML</v>
      </c>
      <c r="R80" s="220">
        <f t="shared" si="45"/>
        <v>-339320.88033745828</v>
      </c>
      <c r="S80" s="3"/>
      <c r="T80" s="3"/>
      <c r="U80" s="3"/>
      <c r="V80" s="3"/>
      <c r="W80" s="3"/>
      <c r="X80" s="18">
        <f t="shared" si="46"/>
        <v>2.473184259019396</v>
      </c>
      <c r="Y80" s="18">
        <f t="shared" si="47"/>
        <v>5.9599653579196561</v>
      </c>
      <c r="Z80" s="194">
        <f t="shared" si="48"/>
        <v>4.8595000000000006</v>
      </c>
      <c r="AA80" s="194">
        <f t="shared" si="49"/>
        <v>81</v>
      </c>
      <c r="AB80" s="194" t="e">
        <f t="shared" si="36"/>
        <v>#REF!</v>
      </c>
      <c r="AC80" s="194" t="e">
        <f t="shared" si="50"/>
        <v>#REF!</v>
      </c>
      <c r="AD80" s="194">
        <f t="shared" si="51"/>
        <v>0.37082436194503576</v>
      </c>
      <c r="AE80" s="194" t="e">
        <f t="shared" si="52"/>
        <v>#REF!</v>
      </c>
      <c r="AF80" s="194" t="e">
        <f t="shared" si="53"/>
        <v>#REF!</v>
      </c>
      <c r="AG80" s="18"/>
      <c r="AH80" s="18"/>
      <c r="AI80" s="18"/>
      <c r="AJ80" s="18"/>
      <c r="AK80" s="194" t="e">
        <f>'ULS MP'!#REF!</f>
        <v>#REF!</v>
      </c>
      <c r="AL80" s="18">
        <f t="shared" si="37"/>
        <v>0</v>
      </c>
      <c r="AM80" s="18">
        <f t="shared" si="38"/>
        <v>0</v>
      </c>
      <c r="AN80" s="194">
        <f t="shared" si="54"/>
        <v>137.19999999999996</v>
      </c>
      <c r="AO80" s="194">
        <f t="shared" si="55"/>
        <v>0</v>
      </c>
      <c r="AP80" s="194">
        <f t="shared" si="39"/>
        <v>0</v>
      </c>
      <c r="AQ80" s="194">
        <f t="shared" si="56"/>
        <v>0</v>
      </c>
      <c r="AR80" s="18">
        <f t="shared" si="40"/>
        <v>0</v>
      </c>
      <c r="AS80" s="18">
        <f t="shared" si="41"/>
        <v>0</v>
      </c>
      <c r="AT80" s="18">
        <f t="shared" si="42"/>
        <v>0</v>
      </c>
      <c r="AU80" s="194">
        <f t="shared" si="57"/>
        <v>0</v>
      </c>
      <c r="AV80" s="194">
        <f t="shared" si="58"/>
        <v>0</v>
      </c>
    </row>
    <row r="81" spans="3:48">
      <c r="C81" s="12" t="str">
        <f t="shared" si="43"/>
        <v>Can19</v>
      </c>
      <c r="D81" s="2">
        <f t="shared" si="44"/>
        <v>-71.8</v>
      </c>
      <c r="E81" s="3">
        <f t="shared" si="31"/>
        <v>9.8000000000000007</v>
      </c>
      <c r="F81" s="3">
        <f t="shared" si="32"/>
        <v>81</v>
      </c>
      <c r="G81" s="3">
        <v>137.19999999999999</v>
      </c>
      <c r="H81" s="3">
        <v>0</v>
      </c>
      <c r="I81" s="3">
        <v>0</v>
      </c>
      <c r="J81" s="192">
        <f>VLOOKUP(P81,'Steel grades'!$B$5:$J$22,IF(F81&gt;200,10,IF(F81&gt;150,9,IF(F81&gt;120,8,IF(F81&gt;100,7,IF(F81&gt;80,6,IF(F81&gt;63,5,IF(F81&gt;40,4,IF(F81&gt;16,3,2)))))))),FALSE)</f>
        <v>315</v>
      </c>
      <c r="K81" s="3" t="e">
        <f t="shared" si="33"/>
        <v>#REF!</v>
      </c>
      <c r="L81" s="3">
        <v>0</v>
      </c>
      <c r="M81" s="3">
        <v>0</v>
      </c>
      <c r="N81" s="3" t="e">
        <f t="shared" si="34"/>
        <v>#REF!</v>
      </c>
      <c r="O81" s="3">
        <f t="shared" si="35"/>
        <v>0.43555555555555553</v>
      </c>
      <c r="P81" s="3" t="str">
        <f>Geometry!M47</f>
        <v>S355 NL/ML</v>
      </c>
      <c r="R81" s="220">
        <f t="shared" si="45"/>
        <v>-339320.88033745828</v>
      </c>
      <c r="S81" s="3"/>
      <c r="T81" s="3"/>
      <c r="U81" s="3"/>
      <c r="V81" s="3"/>
      <c r="W81" s="3"/>
      <c r="X81" s="18">
        <f t="shared" si="46"/>
        <v>2.473184259019396</v>
      </c>
      <c r="Y81" s="18">
        <f t="shared" si="47"/>
        <v>5.9599653579196561</v>
      </c>
      <c r="Z81" s="194">
        <f t="shared" si="48"/>
        <v>4.8595000000000006</v>
      </c>
      <c r="AA81" s="194">
        <f t="shared" si="49"/>
        <v>81</v>
      </c>
      <c r="AB81" s="194" t="e">
        <f t="shared" si="36"/>
        <v>#REF!</v>
      </c>
      <c r="AC81" s="194" t="e">
        <f t="shared" si="50"/>
        <v>#REF!</v>
      </c>
      <c r="AD81" s="194">
        <f t="shared" si="51"/>
        <v>0.37082436194503576</v>
      </c>
      <c r="AE81" s="194" t="e">
        <f t="shared" si="52"/>
        <v>#REF!</v>
      </c>
      <c r="AF81" s="194" t="e">
        <f t="shared" si="53"/>
        <v>#REF!</v>
      </c>
      <c r="AG81" s="18"/>
      <c r="AH81" s="18"/>
      <c r="AI81" s="18"/>
      <c r="AJ81" s="18"/>
      <c r="AK81" s="194" t="e">
        <f>'ULS MP'!#REF!</f>
        <v>#REF!</v>
      </c>
      <c r="AL81" s="18">
        <f t="shared" si="37"/>
        <v>0</v>
      </c>
      <c r="AM81" s="18">
        <f t="shared" si="38"/>
        <v>0</v>
      </c>
      <c r="AN81" s="194">
        <f t="shared" si="54"/>
        <v>137.19999999999996</v>
      </c>
      <c r="AO81" s="194">
        <f t="shared" si="55"/>
        <v>0</v>
      </c>
      <c r="AP81" s="194">
        <f t="shared" si="39"/>
        <v>0</v>
      </c>
      <c r="AQ81" s="194">
        <f t="shared" si="56"/>
        <v>0</v>
      </c>
      <c r="AR81" s="18">
        <f t="shared" si="40"/>
        <v>0</v>
      </c>
      <c r="AS81" s="18">
        <f t="shared" si="41"/>
        <v>0</v>
      </c>
      <c r="AT81" s="18">
        <f t="shared" si="42"/>
        <v>0</v>
      </c>
      <c r="AU81" s="194">
        <f t="shared" si="57"/>
        <v>0</v>
      </c>
      <c r="AV81" s="194">
        <f t="shared" si="58"/>
        <v>0</v>
      </c>
    </row>
    <row r="82" spans="3:48">
      <c r="C82" s="12" t="str">
        <f t="shared" si="43"/>
        <v>Can20</v>
      </c>
      <c r="D82" s="2" t="e">
        <f t="shared" si="44"/>
        <v>#REF!</v>
      </c>
      <c r="E82" s="3" t="e">
        <f t="shared" si="31"/>
        <v>#REF!</v>
      </c>
      <c r="F82" s="3" t="e">
        <f t="shared" si="32"/>
        <v>#REF!</v>
      </c>
      <c r="G82" s="3">
        <v>137.19999999999999</v>
      </c>
      <c r="H82" s="3">
        <v>0</v>
      </c>
      <c r="I82" s="3">
        <v>0</v>
      </c>
      <c r="J82" s="192" t="e">
        <f>VLOOKUP(P82,'Steel grades'!$B$5:$J$22,IF(F82&gt;200,10,IF(F82&gt;150,9,IF(F82&gt;120,8,IF(F82&gt;100,7,IF(F82&gt;80,6,IF(F82&gt;63,5,IF(F82&gt;40,4,IF(F82&gt;16,3,2)))))))),FALSE)</f>
        <v>#REF!</v>
      </c>
      <c r="K82" s="3" t="e">
        <f t="shared" si="33"/>
        <v>#REF!</v>
      </c>
      <c r="L82" s="3">
        <v>0</v>
      </c>
      <c r="M82" s="3">
        <v>0</v>
      </c>
      <c r="N82" s="3" t="e">
        <f t="shared" si="34"/>
        <v>#REF!</v>
      </c>
      <c r="O82" s="3" t="e">
        <f t="shared" si="35"/>
        <v>#REF!</v>
      </c>
      <c r="P82" s="3" t="e">
        <f>Geometry!#REF!</f>
        <v>#REF!</v>
      </c>
      <c r="R82" s="220" t="e">
        <f t="shared" si="45"/>
        <v>#REF!</v>
      </c>
      <c r="S82" s="3"/>
      <c r="T82" s="3"/>
      <c r="U82" s="3"/>
      <c r="V82" s="3"/>
      <c r="W82" s="3"/>
      <c r="X82" s="18" t="e">
        <f t="shared" si="46"/>
        <v>#REF!</v>
      </c>
      <c r="Y82" s="18" t="e">
        <f t="shared" si="47"/>
        <v>#REF!</v>
      </c>
      <c r="Z82" s="194" t="e">
        <f t="shared" si="48"/>
        <v>#REF!</v>
      </c>
      <c r="AA82" s="194" t="e">
        <f t="shared" si="49"/>
        <v>#REF!</v>
      </c>
      <c r="AB82" s="194" t="e">
        <f t="shared" si="36"/>
        <v>#REF!</v>
      </c>
      <c r="AC82" s="194" t="e">
        <f t="shared" si="50"/>
        <v>#REF!</v>
      </c>
      <c r="AD82" s="194" t="e">
        <f t="shared" si="51"/>
        <v>#REF!</v>
      </c>
      <c r="AE82" s="194" t="e">
        <f t="shared" si="52"/>
        <v>#REF!</v>
      </c>
      <c r="AF82" s="194" t="e">
        <f t="shared" si="53"/>
        <v>#REF!</v>
      </c>
      <c r="AG82" s="18"/>
      <c r="AH82" s="18"/>
      <c r="AI82" s="18"/>
      <c r="AJ82" s="18"/>
      <c r="AK82" s="194" t="e">
        <f>'ULS MP'!#REF!</f>
        <v>#REF!</v>
      </c>
      <c r="AL82" s="18" t="e">
        <f t="shared" si="37"/>
        <v>#REF!</v>
      </c>
      <c r="AM82" s="18" t="e">
        <f t="shared" si="38"/>
        <v>#REF!</v>
      </c>
      <c r="AN82" s="194" t="e">
        <f t="shared" si="54"/>
        <v>#REF!</v>
      </c>
      <c r="AO82" s="194" t="e">
        <f t="shared" si="55"/>
        <v>#REF!</v>
      </c>
      <c r="AP82" s="194" t="e">
        <f t="shared" si="39"/>
        <v>#REF!</v>
      </c>
      <c r="AQ82" s="194" t="e">
        <f t="shared" si="56"/>
        <v>#REF!</v>
      </c>
      <c r="AR82" s="18" t="e">
        <f t="shared" si="40"/>
        <v>#REF!</v>
      </c>
      <c r="AS82" s="18" t="e">
        <f t="shared" si="41"/>
        <v>#REF!</v>
      </c>
      <c r="AT82" s="18" t="e">
        <f t="shared" si="42"/>
        <v>#REF!</v>
      </c>
      <c r="AU82" s="194" t="e">
        <f t="shared" si="57"/>
        <v>#REF!</v>
      </c>
      <c r="AV82" s="194" t="e">
        <f t="shared" si="58"/>
        <v>#REF!</v>
      </c>
    </row>
    <row r="83" spans="3:48">
      <c r="C83" s="12" t="str">
        <f t="shared" si="43"/>
        <v>Can21</v>
      </c>
      <c r="D83" s="2">
        <f t="shared" si="44"/>
        <v>-75.8</v>
      </c>
      <c r="E83" s="3">
        <f t="shared" si="31"/>
        <v>9.8000000000000007</v>
      </c>
      <c r="F83" s="3">
        <f t="shared" si="32"/>
        <v>90</v>
      </c>
      <c r="G83" s="3">
        <v>137.19999999999999</v>
      </c>
      <c r="H83" s="3">
        <v>0</v>
      </c>
      <c r="I83" s="3">
        <v>0</v>
      </c>
      <c r="J83" s="192">
        <f>VLOOKUP(P83,'Steel grades'!$B$5:$J$22,IF(F83&gt;200,10,IF(F83&gt;150,9,IF(F83&gt;120,8,IF(F83&gt;100,7,IF(F83&gt;80,6,IF(F83&gt;63,5,IF(F83&gt;40,4,IF(F83&gt;16,3,2)))))))),FALSE)</f>
        <v>315</v>
      </c>
      <c r="K83" s="3" t="e">
        <f t="shared" si="33"/>
        <v>#REF!</v>
      </c>
      <c r="L83" s="3">
        <v>0</v>
      </c>
      <c r="M83" s="3">
        <v>0</v>
      </c>
      <c r="N83" s="3" t="e">
        <f t="shared" si="34"/>
        <v>#REF!</v>
      </c>
      <c r="O83" s="3">
        <f t="shared" si="35"/>
        <v>0.43555555555555553</v>
      </c>
      <c r="P83" s="3" t="str">
        <f>Geometry!M48</f>
        <v>S355 NL/ML</v>
      </c>
      <c r="R83" s="220">
        <f t="shared" si="45"/>
        <v>-376674.06890017493</v>
      </c>
      <c r="S83" s="3"/>
      <c r="T83" s="3"/>
      <c r="U83" s="3"/>
      <c r="V83" s="3"/>
      <c r="W83" s="3"/>
      <c r="X83" s="18">
        <f t="shared" si="46"/>
        <v>2.7454378199721172</v>
      </c>
      <c r="Y83" s="18">
        <f t="shared" si="47"/>
        <v>6.6039125512340453</v>
      </c>
      <c r="Z83" s="194">
        <f t="shared" si="48"/>
        <v>4.8550000000000004</v>
      </c>
      <c r="AA83" s="194">
        <f t="shared" si="49"/>
        <v>90</v>
      </c>
      <c r="AB83" s="194" t="e">
        <f t="shared" si="36"/>
        <v>#REF!</v>
      </c>
      <c r="AC83" s="194" t="e">
        <f t="shared" si="50"/>
        <v>#REF!</v>
      </c>
      <c r="AD83" s="194">
        <f t="shared" si="51"/>
        <v>0.38213887965963755</v>
      </c>
      <c r="AE83" s="194" t="e">
        <f t="shared" si="52"/>
        <v>#REF!</v>
      </c>
      <c r="AF83" s="194" t="e">
        <f t="shared" si="53"/>
        <v>#REF!</v>
      </c>
      <c r="AG83" s="18"/>
      <c r="AH83" s="18"/>
      <c r="AI83" s="18"/>
      <c r="AJ83" s="18"/>
      <c r="AK83" s="194" t="e">
        <f>'ULS MP'!#REF!</f>
        <v>#REF!</v>
      </c>
      <c r="AL83" s="18">
        <f t="shared" si="37"/>
        <v>0</v>
      </c>
      <c r="AM83" s="18">
        <f t="shared" si="38"/>
        <v>0</v>
      </c>
      <c r="AN83" s="194">
        <f t="shared" si="54"/>
        <v>137.19999999999999</v>
      </c>
      <c r="AO83" s="194">
        <f t="shared" si="55"/>
        <v>0</v>
      </c>
      <c r="AP83" s="194">
        <f t="shared" si="39"/>
        <v>0</v>
      </c>
      <c r="AQ83" s="194">
        <f t="shared" si="56"/>
        <v>0</v>
      </c>
      <c r="AR83" s="18">
        <f t="shared" si="40"/>
        <v>0</v>
      </c>
      <c r="AS83" s="18">
        <f t="shared" si="41"/>
        <v>0</v>
      </c>
      <c r="AT83" s="18">
        <f t="shared" si="42"/>
        <v>0</v>
      </c>
      <c r="AU83" s="194">
        <f t="shared" si="57"/>
        <v>0</v>
      </c>
      <c r="AV83" s="194">
        <f t="shared" si="58"/>
        <v>0</v>
      </c>
    </row>
    <row r="84" spans="3:48">
      <c r="C84" s="12" t="str">
        <f t="shared" si="43"/>
        <v>Can22</v>
      </c>
      <c r="D84" s="2">
        <f t="shared" si="44"/>
        <v>-79.73</v>
      </c>
      <c r="E84" s="3">
        <f t="shared" si="31"/>
        <v>9.8000000000000007</v>
      </c>
      <c r="F84" s="3">
        <f t="shared" si="32"/>
        <v>95</v>
      </c>
      <c r="G84" s="3">
        <v>137.19999999999999</v>
      </c>
      <c r="H84" s="3">
        <v>0</v>
      </c>
      <c r="I84" s="3">
        <v>0</v>
      </c>
      <c r="J84" s="192">
        <f>VLOOKUP(P84,'Steel grades'!$B$5:$J$22,IF(F84&gt;200,10,IF(F84&gt;150,9,IF(F84&gt;120,8,IF(F84&gt;100,7,IF(F84&gt;80,6,IF(F84&gt;63,5,IF(F84&gt;40,4,IF(F84&gt;16,3,2)))))))),FALSE)</f>
        <v>315</v>
      </c>
      <c r="K84" s="3" t="e">
        <f t="shared" si="33"/>
        <v>#REF!</v>
      </c>
      <c r="L84" s="3">
        <v>0</v>
      </c>
      <c r="M84" s="3">
        <v>0</v>
      </c>
      <c r="N84" s="3" t="e">
        <f t="shared" si="34"/>
        <v>#REF!</v>
      </c>
      <c r="O84" s="3">
        <f t="shared" si="35"/>
        <v>0.43555555555555553</v>
      </c>
      <c r="P84" s="3" t="str">
        <f>Geometry!M49</f>
        <v>S355 NL/ML</v>
      </c>
      <c r="R84" s="220">
        <f t="shared" si="45"/>
        <v>-397395.66846806119</v>
      </c>
      <c r="S84" s="3"/>
      <c r="T84" s="3"/>
      <c r="U84" s="3"/>
      <c r="V84" s="3"/>
      <c r="W84" s="3"/>
      <c r="X84" s="18">
        <f t="shared" si="46"/>
        <v>2.8964698867934486</v>
      </c>
      <c r="Y84" s="18">
        <f t="shared" si="47"/>
        <v>6.9601026091808569</v>
      </c>
      <c r="Z84" s="194">
        <f t="shared" si="48"/>
        <v>4.8525</v>
      </c>
      <c r="AA84" s="194">
        <f t="shared" si="49"/>
        <v>95</v>
      </c>
      <c r="AB84" s="194" t="e">
        <f t="shared" si="36"/>
        <v>#REF!</v>
      </c>
      <c r="AC84" s="194" t="e">
        <f t="shared" si="50"/>
        <v>#REF!</v>
      </c>
      <c r="AD84" s="194">
        <f t="shared" si="51"/>
        <v>0.38787344180203998</v>
      </c>
      <c r="AE84" s="194" t="e">
        <f t="shared" si="52"/>
        <v>#REF!</v>
      </c>
      <c r="AF84" s="194" t="e">
        <f t="shared" si="53"/>
        <v>#REF!</v>
      </c>
      <c r="AG84" s="18"/>
      <c r="AH84" s="18"/>
      <c r="AI84" s="18"/>
      <c r="AJ84" s="18"/>
      <c r="AK84" s="194" t="e">
        <f>'ULS MP'!#REF!</f>
        <v>#REF!</v>
      </c>
      <c r="AL84" s="18">
        <f t="shared" si="37"/>
        <v>0</v>
      </c>
      <c r="AM84" s="18">
        <f t="shared" si="38"/>
        <v>0</v>
      </c>
      <c r="AN84" s="194">
        <f t="shared" si="54"/>
        <v>137.19999999999996</v>
      </c>
      <c r="AO84" s="194">
        <f t="shared" si="55"/>
        <v>0</v>
      </c>
      <c r="AP84" s="194">
        <f t="shared" si="39"/>
        <v>0</v>
      </c>
      <c r="AQ84" s="194">
        <f t="shared" si="56"/>
        <v>0</v>
      </c>
      <c r="AR84" s="18">
        <f t="shared" si="40"/>
        <v>0</v>
      </c>
      <c r="AS84" s="18">
        <f t="shared" si="41"/>
        <v>0</v>
      </c>
      <c r="AT84" s="18">
        <f t="shared" si="42"/>
        <v>0</v>
      </c>
      <c r="AU84" s="194">
        <f t="shared" si="57"/>
        <v>0</v>
      </c>
      <c r="AV84" s="194">
        <f t="shared" si="58"/>
        <v>0</v>
      </c>
    </row>
    <row r="85" spans="3:48">
      <c r="C85" s="12" t="str">
        <f t="shared" si="43"/>
        <v>Can23</v>
      </c>
      <c r="D85" s="2">
        <f t="shared" si="44"/>
        <v>-82.73</v>
      </c>
      <c r="E85" s="3">
        <f t="shared" si="31"/>
        <v>9.8000000000000007</v>
      </c>
      <c r="F85" s="3">
        <f t="shared" si="32"/>
        <v>100</v>
      </c>
      <c r="G85" s="3">
        <v>137.19999999999999</v>
      </c>
      <c r="H85" s="3">
        <v>0</v>
      </c>
      <c r="I85" s="3">
        <v>0</v>
      </c>
      <c r="J85" s="192">
        <f>VLOOKUP(P85,'Steel grades'!$B$5:$J$22,IF(F85&gt;200,10,IF(F85&gt;150,9,IF(F85&gt;120,8,IF(F85&gt;100,7,IF(F85&gt;80,6,IF(F85&gt;63,5,IF(F85&gt;40,4,IF(F85&gt;16,3,2)))))))),FALSE)</f>
        <v>315</v>
      </c>
      <c r="K85" s="3" t="e">
        <f t="shared" si="33"/>
        <v>#REF!</v>
      </c>
      <c r="L85" s="3">
        <v>0</v>
      </c>
      <c r="M85" s="3">
        <v>0</v>
      </c>
      <c r="N85" s="3" t="e">
        <f t="shared" si="34"/>
        <v>#REF!</v>
      </c>
      <c r="O85" s="3">
        <f t="shared" si="35"/>
        <v>0.43555555555555553</v>
      </c>
      <c r="P85" s="3" t="str">
        <f>Geometry!M50</f>
        <v>S355 NL/ML</v>
      </c>
      <c r="R85" s="220">
        <f t="shared" si="45"/>
        <v>-418095.71671034402</v>
      </c>
      <c r="S85" s="3"/>
      <c r="T85" s="3"/>
      <c r="U85" s="3"/>
      <c r="V85" s="3"/>
      <c r="W85" s="3"/>
      <c r="X85" s="18">
        <f t="shared" si="46"/>
        <v>3.0473448739820959</v>
      </c>
      <c r="Y85" s="18">
        <f t="shared" si="47"/>
        <v>7.3151824653498716</v>
      </c>
      <c r="Z85" s="194">
        <f t="shared" si="48"/>
        <v>4.8500000000000005</v>
      </c>
      <c r="AA85" s="194">
        <f t="shared" si="49"/>
        <v>100</v>
      </c>
      <c r="AB85" s="194" t="e">
        <f t="shared" si="36"/>
        <v>#REF!</v>
      </c>
      <c r="AC85" s="194" t="e">
        <f t="shared" si="50"/>
        <v>#REF!</v>
      </c>
      <c r="AD85" s="194">
        <f t="shared" si="51"/>
        <v>0.39326454456084714</v>
      </c>
      <c r="AE85" s="194" t="e">
        <f t="shared" si="52"/>
        <v>#REF!</v>
      </c>
      <c r="AF85" s="194" t="e">
        <f t="shared" si="53"/>
        <v>#REF!</v>
      </c>
      <c r="AG85" s="18"/>
      <c r="AH85" s="18"/>
      <c r="AI85" s="18"/>
      <c r="AJ85" s="18"/>
      <c r="AK85" s="194" t="e">
        <f>'ULS MP'!#REF!</f>
        <v>#REF!</v>
      </c>
      <c r="AL85" s="18">
        <f t="shared" si="37"/>
        <v>0</v>
      </c>
      <c r="AM85" s="18">
        <f t="shared" si="38"/>
        <v>0</v>
      </c>
      <c r="AN85" s="194">
        <f t="shared" si="54"/>
        <v>137.19999999999996</v>
      </c>
      <c r="AO85" s="194">
        <f t="shared" si="55"/>
        <v>0</v>
      </c>
      <c r="AP85" s="194">
        <f t="shared" si="39"/>
        <v>0</v>
      </c>
      <c r="AQ85" s="194">
        <f t="shared" si="56"/>
        <v>0</v>
      </c>
      <c r="AR85" s="18">
        <f t="shared" si="40"/>
        <v>0</v>
      </c>
      <c r="AS85" s="18">
        <f t="shared" si="41"/>
        <v>0</v>
      </c>
      <c r="AT85" s="18">
        <f t="shared" si="42"/>
        <v>0</v>
      </c>
      <c r="AU85" s="194">
        <f t="shared" si="57"/>
        <v>0</v>
      </c>
      <c r="AV85" s="194">
        <f t="shared" si="58"/>
        <v>0</v>
      </c>
    </row>
  </sheetData>
  <sheetProtection sheet="1" objects="1" scenarios="1"/>
  <mergeCells count="90">
    <mergeCell ref="AS32:AS33"/>
    <mergeCell ref="AT32:AT33"/>
    <mergeCell ref="AU32:AU33"/>
    <mergeCell ref="AV32:AV33"/>
    <mergeCell ref="AS60:AS61"/>
    <mergeCell ref="AT60:AT61"/>
    <mergeCell ref="AU60:AU61"/>
    <mergeCell ref="AV60:AV61"/>
    <mergeCell ref="AG32:AG33"/>
    <mergeCell ref="AN32:AN33"/>
    <mergeCell ref="AO32:AO33"/>
    <mergeCell ref="AP32:AP33"/>
    <mergeCell ref="AQ32:AQ33"/>
    <mergeCell ref="Z32:Z33"/>
    <mergeCell ref="Z60:Z61"/>
    <mergeCell ref="AA32:AA33"/>
    <mergeCell ref="AF32:AF33"/>
    <mergeCell ref="X60:X61"/>
    <mergeCell ref="U60:U61"/>
    <mergeCell ref="V60:V61"/>
    <mergeCell ref="W60:W61"/>
    <mergeCell ref="AQ60:AQ61"/>
    <mergeCell ref="AJ60:AJ61"/>
    <mergeCell ref="Y60:Y61"/>
    <mergeCell ref="AB60:AB61"/>
    <mergeCell ref="AA60:AA61"/>
    <mergeCell ref="AC60:AC61"/>
    <mergeCell ref="AD60:AD61"/>
    <mergeCell ref="AE60:AE61"/>
    <mergeCell ref="AF60:AF61"/>
    <mergeCell ref="AG60:AG61"/>
    <mergeCell ref="AH60:AH61"/>
    <mergeCell ref="AI60:AI61"/>
    <mergeCell ref="AR60:AR61"/>
    <mergeCell ref="AK60:AK61"/>
    <mergeCell ref="AL60:AL61"/>
    <mergeCell ref="AM60:AM61"/>
    <mergeCell ref="AN60:AN61"/>
    <mergeCell ref="AO60:AO61"/>
    <mergeCell ref="AP60:AP61"/>
    <mergeCell ref="H60:H61"/>
    <mergeCell ref="I60:I61"/>
    <mergeCell ref="J60:J61"/>
    <mergeCell ref="K60:K61"/>
    <mergeCell ref="L60:L61"/>
    <mergeCell ref="M60:M61"/>
    <mergeCell ref="V32:V33"/>
    <mergeCell ref="W32:W33"/>
    <mergeCell ref="X32:X33"/>
    <mergeCell ref="Y32:Y33"/>
    <mergeCell ref="P32:P33"/>
    <mergeCell ref="R32:R33"/>
    <mergeCell ref="S32:S33"/>
    <mergeCell ref="T32:T33"/>
    <mergeCell ref="U32:U33"/>
    <mergeCell ref="N60:N61"/>
    <mergeCell ref="O60:O61"/>
    <mergeCell ref="P60:P61"/>
    <mergeCell ref="R60:R61"/>
    <mergeCell ref="S60:S61"/>
    <mergeCell ref="T60:T61"/>
    <mergeCell ref="AR32:AR33"/>
    <mergeCell ref="C60:C61"/>
    <mergeCell ref="D60:D61"/>
    <mergeCell ref="E60:E61"/>
    <mergeCell ref="F60:F61"/>
    <mergeCell ref="G60:G61"/>
    <mergeCell ref="AH32:AH33"/>
    <mergeCell ref="AI32:AI33"/>
    <mergeCell ref="AJ32:AJ33"/>
    <mergeCell ref="AK32:AK33"/>
    <mergeCell ref="AL32:AL33"/>
    <mergeCell ref="AM32:AM33"/>
    <mergeCell ref="AB32:AB33"/>
    <mergeCell ref="AC32:AC33"/>
    <mergeCell ref="AD32:AD33"/>
    <mergeCell ref="AE32:AE33"/>
    <mergeCell ref="K32:K33"/>
    <mergeCell ref="L32:L33"/>
    <mergeCell ref="M32:M33"/>
    <mergeCell ref="N32:N33"/>
    <mergeCell ref="O32:O33"/>
    <mergeCell ref="H32:H33"/>
    <mergeCell ref="I32:I33"/>
    <mergeCell ref="J32:J33"/>
    <mergeCell ref="C32:C33"/>
    <mergeCell ref="D32:D33"/>
    <mergeCell ref="E32:E33"/>
    <mergeCell ref="F32:F33"/>
    <mergeCell ref="G32:G33"/>
  </mergeCells>
  <conditionalFormatting sqref="N35:O57 N63:O85">
    <cfRule type="cellIs" dxfId="4" priority="3" operator="greaterThan">
      <formula>1</formula>
    </cfRule>
    <cfRule type="cellIs" dxfId="3" priority="4" operator="lessThan">
      <formula>0.9</formula>
    </cfRule>
    <cfRule type="cellIs" dxfId="2" priority="5" operator="greaterThan">
      <formula>0.9</formula>
    </cfRule>
  </conditionalFormatting>
  <dataValidations disablePrompts="1" count="1">
    <dataValidation type="list" allowBlank="1" showInputMessage="1" showErrorMessage="1" sqref="P63:P85" xr:uid="{FA412869-7334-484B-A086-6C81A02D6A22}">
      <formula1>$AU$5:$AU$9</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ULS_analysis_MP_driving">
                <anchor moveWithCells="1" sizeWithCells="1">
                  <from>
                    <xdr:col>12</xdr:col>
                    <xdr:colOff>0</xdr:colOff>
                    <xdr:row>3</xdr:row>
                    <xdr:rowOff>0</xdr:rowOff>
                  </from>
                  <to>
                    <xdr:col>14</xdr:col>
                    <xdr:colOff>0</xdr:colOff>
                    <xdr:row>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3B85DF3-9386-4E10-8B30-B2B2C3A900F4}">
          <x14:formula1>
            <xm:f>'Steel grades'!#REF!</xm:f>
          </x14:formula1>
          <xm:sqref>P35:P58</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0577A-810D-4A36-AD84-33A4D0074AB3}">
  <sheetPr codeName="Tabelle7"/>
  <dimension ref="C1:AH73"/>
  <sheetViews>
    <sheetView topLeftCell="A7" workbookViewId="0">
      <selection activeCell="O66" sqref="O66"/>
    </sheetView>
  </sheetViews>
  <sheetFormatPr baseColWidth="10" defaultColWidth="11.44140625" defaultRowHeight="14.4"/>
  <cols>
    <col min="2" max="2" width="4.5546875" customWidth="1"/>
    <col min="3" max="3" width="10.44140625" customWidth="1"/>
    <col min="4" max="12" width="9.44140625" customWidth="1"/>
    <col min="13" max="17" width="10.44140625" customWidth="1"/>
    <col min="18" max="18" width="11.44140625" customWidth="1"/>
    <col min="20" max="30" width="11.44140625" customWidth="1"/>
  </cols>
  <sheetData>
    <row r="1" spans="3:34">
      <c r="R1" s="185" t="s">
        <v>565</v>
      </c>
      <c r="S1" s="185"/>
      <c r="T1" s="185"/>
      <c r="U1" s="185"/>
    </row>
    <row r="2" spans="3:34">
      <c r="S2" t="s">
        <v>238</v>
      </c>
      <c r="T2" t="s">
        <v>473</v>
      </c>
    </row>
    <row r="3" spans="3:34">
      <c r="C3" s="35" t="s">
        <v>468</v>
      </c>
      <c r="R3" s="8" t="s">
        <v>464</v>
      </c>
      <c r="S3" s="119" t="str">
        <f>Control!$F$39</f>
        <v>EC</v>
      </c>
      <c r="T3" s="119" t="str">
        <f>Control!$K$6</f>
        <v>EC</v>
      </c>
    </row>
    <row r="4" spans="3:34">
      <c r="C4" s="12" t="s">
        <v>0</v>
      </c>
      <c r="D4" s="12" t="s">
        <v>1</v>
      </c>
      <c r="E4" s="12" t="s">
        <v>2</v>
      </c>
      <c r="F4" s="12" t="s">
        <v>3</v>
      </c>
      <c r="G4" s="12" t="s">
        <v>4</v>
      </c>
      <c r="H4" s="12" t="s">
        <v>5</v>
      </c>
      <c r="I4" s="12" t="s">
        <v>6</v>
      </c>
      <c r="J4" s="12" t="s">
        <v>7</v>
      </c>
      <c r="K4" s="12" t="s">
        <v>8</v>
      </c>
      <c r="R4" t="s">
        <v>122</v>
      </c>
      <c r="S4">
        <f>IF(Control!$F$39="EC",1.25,1)</f>
        <v>1.25</v>
      </c>
      <c r="U4" s="6"/>
      <c r="Y4" s="6"/>
      <c r="Z4" s="6"/>
      <c r="AA4" s="6"/>
      <c r="AB4" s="6"/>
      <c r="AC4" s="6"/>
      <c r="AD4" s="6"/>
      <c r="AE4" s="6"/>
      <c r="AF4" s="6"/>
      <c r="AG4" s="6"/>
      <c r="AH4" s="6"/>
    </row>
    <row r="5" spans="3:34">
      <c r="C5" s="12"/>
      <c r="D5" s="12" t="str">
        <f>"[m"&amp;Control!$F$7&amp;"]"</f>
        <v>[mLAT]</v>
      </c>
      <c r="E5" s="12" t="str">
        <f>"[m"&amp;Control!$F$7&amp;"]"</f>
        <v>[mLAT]</v>
      </c>
      <c r="F5" s="12" t="s">
        <v>9</v>
      </c>
      <c r="G5" s="12" t="s">
        <v>9</v>
      </c>
      <c r="H5" s="12" t="s">
        <v>10</v>
      </c>
      <c r="I5" s="12" t="s">
        <v>9</v>
      </c>
      <c r="J5" s="12" t="s">
        <v>11</v>
      </c>
      <c r="K5" s="12" t="s">
        <v>12</v>
      </c>
      <c r="R5" t="s">
        <v>234</v>
      </c>
      <c r="S5">
        <f>IF(Control!$F$39="EC",1,3)</f>
        <v>1</v>
      </c>
      <c r="Y5" s="6"/>
      <c r="Z5" s="6"/>
      <c r="AA5" s="6"/>
      <c r="AB5" s="6"/>
      <c r="AC5" s="6"/>
      <c r="AD5" s="6"/>
      <c r="AE5" s="6"/>
      <c r="AF5" s="6"/>
      <c r="AG5" s="6"/>
      <c r="AH5" s="6"/>
    </row>
    <row r="6" spans="3:34">
      <c r="C6" s="12">
        <v>1</v>
      </c>
      <c r="D6" s="44">
        <f>Geometry!D28</f>
        <v>5.5</v>
      </c>
      <c r="E6" s="44">
        <f>Geometry!E28</f>
        <v>1.6</v>
      </c>
      <c r="F6" s="44">
        <f>Geometry!F28</f>
        <v>7.5</v>
      </c>
      <c r="G6" s="44">
        <f>Geometry!G28</f>
        <v>7.5</v>
      </c>
      <c r="H6" s="44">
        <f>Geometry!H28</f>
        <v>108</v>
      </c>
      <c r="I6" s="56">
        <f>D6-E6</f>
        <v>3.9</v>
      </c>
      <c r="J6" s="57">
        <f>ATAN((G6-F6)/(2*I6))/PI()*180</f>
        <v>0</v>
      </c>
      <c r="K6" s="58">
        <f>IF(J6=0,PI()/4*(F6^2-(F6-(2*H6/1000))^2)*I6*7850/1000,(I6*PI()/12)*((G6^2+G6*F6+F6^2)-((G6-2*(H6/1000))^2+(G6-(2*H6/1000))*(F6-(2*H6/1000))+(F6-(2*H6/1000))^2))*7850/1000)</f>
        <v>76.783843986196089</v>
      </c>
      <c r="R6" s="185" t="s">
        <v>566</v>
      </c>
      <c r="S6" s="185"/>
      <c r="T6" s="185"/>
      <c r="U6" s="185"/>
      <c r="Y6" s="6"/>
      <c r="Z6" s="6"/>
      <c r="AA6" s="6"/>
      <c r="AB6" s="6"/>
      <c r="AC6" s="6"/>
      <c r="AD6" s="6"/>
      <c r="AE6" s="6"/>
      <c r="AF6" s="6"/>
      <c r="AG6" s="6"/>
      <c r="AH6" s="6"/>
    </row>
    <row r="7" spans="3:34">
      <c r="C7" s="12">
        <v>2</v>
      </c>
      <c r="D7" s="44">
        <f>Geometry!D29</f>
        <v>1.6</v>
      </c>
      <c r="E7" s="44">
        <f>Geometry!E29</f>
        <v>-2.2999999999999998</v>
      </c>
      <c r="F7" s="44">
        <f>Geometry!F29</f>
        <v>7.5</v>
      </c>
      <c r="G7" s="44">
        <f>Geometry!G29</f>
        <v>7.5</v>
      </c>
      <c r="H7" s="44">
        <f>Geometry!H29</f>
        <v>100</v>
      </c>
      <c r="I7" s="56">
        <f t="shared" ref="I7:I28" si="0">D7-E7</f>
        <v>3.9</v>
      </c>
      <c r="J7" s="57">
        <f t="shared" ref="J7:J28" si="1">ATAN((G7-F7)/(2*I7))/PI()*180</f>
        <v>0</v>
      </c>
      <c r="K7" s="58">
        <f t="shared" ref="K7:K28" si="2">IF(J7=0,PI()/4*(F7^2-(F7-(2*H7/1000))^2)*I7*7850/1000,(I7*PI()/12)*((G7^2+G7*F7+F7^2)-((G7-2*(H7/1000))^2+(G7-(2*H7/1000))*(F7-(2*H7/1000))+(F7-(2*H7/1000))^2))*7850/1000)</f>
        <v>71.17309572634214</v>
      </c>
      <c r="R7" t="s">
        <v>236</v>
      </c>
      <c r="S7" t="s">
        <v>240</v>
      </c>
      <c r="T7" t="s">
        <v>302</v>
      </c>
      <c r="U7" t="s">
        <v>239</v>
      </c>
    </row>
    <row r="8" spans="3:34">
      <c r="C8" s="12">
        <v>3</v>
      </c>
      <c r="D8" s="44">
        <f>Geometry!D30</f>
        <v>-2.2999999999999998</v>
      </c>
      <c r="E8" s="44">
        <f>Geometry!E30</f>
        <v>-6.2</v>
      </c>
      <c r="F8" s="44">
        <f>Geometry!F30</f>
        <v>7.5</v>
      </c>
      <c r="G8" s="44">
        <f>Geometry!G30</f>
        <v>7.5</v>
      </c>
      <c r="H8" s="44">
        <f>Geometry!H30</f>
        <v>100</v>
      </c>
      <c r="I8" s="56">
        <f t="shared" si="0"/>
        <v>3.9000000000000004</v>
      </c>
      <c r="J8" s="57">
        <f t="shared" si="1"/>
        <v>0</v>
      </c>
      <c r="K8" s="58">
        <f t="shared" si="2"/>
        <v>71.17309572634214</v>
      </c>
      <c r="R8" t="s">
        <v>238</v>
      </c>
      <c r="S8">
        <f>IF($S$3="EC",90,52.63)</f>
        <v>90</v>
      </c>
      <c r="T8">
        <f>IF($S$3="EC",112,65.5)</f>
        <v>112</v>
      </c>
    </row>
    <row r="9" spans="3:34">
      <c r="C9" s="12">
        <v>4</v>
      </c>
      <c r="D9" s="44">
        <f>Geometry!D31</f>
        <v>-6.2</v>
      </c>
      <c r="E9" s="44">
        <f>Geometry!E31</f>
        <v>-10.1</v>
      </c>
      <c r="F9" s="44">
        <f>Geometry!F31</f>
        <v>7.5</v>
      </c>
      <c r="G9" s="44">
        <f>Geometry!G31</f>
        <v>7.8282999999999996</v>
      </c>
      <c r="H9" s="44">
        <f>Geometry!H31</f>
        <v>100</v>
      </c>
      <c r="I9" s="56">
        <f t="shared" si="0"/>
        <v>3.8999999999999995</v>
      </c>
      <c r="J9" s="57">
        <f t="shared" si="1"/>
        <v>2.4101421139187913</v>
      </c>
      <c r="K9" s="58">
        <f t="shared" si="2"/>
        <v>72.751888113298889</v>
      </c>
      <c r="R9" t="s">
        <v>237</v>
      </c>
      <c r="S9">
        <f>IF($S$3="EC",100,52.63)</f>
        <v>100</v>
      </c>
      <c r="T9">
        <f>IF($S$3="EC",112,65.5)</f>
        <v>112</v>
      </c>
      <c r="U9">
        <f>IF($T$3="EC",140,93.59)</f>
        <v>140</v>
      </c>
    </row>
    <row r="10" spans="3:34">
      <c r="C10" s="12">
        <v>5</v>
      </c>
      <c r="D10" s="44">
        <f>Geometry!D32</f>
        <v>-10.1</v>
      </c>
      <c r="E10" s="44">
        <f>Geometry!E32</f>
        <v>-14</v>
      </c>
      <c r="F10" s="44">
        <f>Geometry!F32</f>
        <v>7.8282999999999996</v>
      </c>
      <c r="G10" s="44">
        <f>Geometry!G32</f>
        <v>8.1565999999999992</v>
      </c>
      <c r="H10" s="44">
        <f>Geometry!H32</f>
        <v>106</v>
      </c>
      <c r="I10" s="56">
        <f t="shared" si="0"/>
        <v>3.9000000000000004</v>
      </c>
      <c r="J10" s="57">
        <f t="shared" si="1"/>
        <v>2.4101421139187904</v>
      </c>
      <c r="K10" s="58">
        <f t="shared" si="2"/>
        <v>80.402870870063566</v>
      </c>
      <c r="R10" t="s">
        <v>564</v>
      </c>
      <c r="S10">
        <f>IF(S3="EC",225,131.62)</f>
        <v>225</v>
      </c>
    </row>
    <row r="11" spans="3:34">
      <c r="C11" s="12">
        <v>6</v>
      </c>
      <c r="D11" s="44">
        <f>Geometry!D33</f>
        <v>-14</v>
      </c>
      <c r="E11" s="44">
        <f>Geometry!E33</f>
        <v>-17.899999999999999</v>
      </c>
      <c r="F11" s="44">
        <f>Geometry!F33</f>
        <v>8.1565999999999992</v>
      </c>
      <c r="G11" s="44">
        <f>Geometry!G33</f>
        <v>8.4847999999999999</v>
      </c>
      <c r="H11" s="44">
        <f>Geometry!H33</f>
        <v>98</v>
      </c>
      <c r="I11" s="56">
        <f t="shared" si="0"/>
        <v>3.8999999999999986</v>
      </c>
      <c r="J11" s="57">
        <f t="shared" si="1"/>
        <v>2.4094088512562686</v>
      </c>
      <c r="K11" s="58">
        <f t="shared" si="2"/>
        <v>77.504096478974418</v>
      </c>
      <c r="R11" t="s">
        <v>554</v>
      </c>
      <c r="S11">
        <v>1.3</v>
      </c>
    </row>
    <row r="12" spans="3:34">
      <c r="C12" s="12">
        <v>7</v>
      </c>
      <c r="D12" s="44">
        <f>Geometry!D34</f>
        <v>-17.899999999999999</v>
      </c>
      <c r="E12" s="44">
        <f>Geometry!E34</f>
        <v>-21.8</v>
      </c>
      <c r="F12" s="44">
        <f>Geometry!F34</f>
        <v>8.4847999999999999</v>
      </c>
      <c r="G12" s="44">
        <f>Geometry!G34</f>
        <v>8.8131000000000004</v>
      </c>
      <c r="H12" s="44">
        <f>Geometry!H34</f>
        <v>93</v>
      </c>
      <c r="I12" s="56">
        <f t="shared" si="0"/>
        <v>3.9000000000000021</v>
      </c>
      <c r="J12" s="57">
        <f t="shared" si="1"/>
        <v>2.4101421139187957</v>
      </c>
      <c r="K12" s="58">
        <f t="shared" si="2"/>
        <v>76.530636080163617</v>
      </c>
      <c r="S12" t="s">
        <v>91</v>
      </c>
      <c r="T12" t="s">
        <v>71</v>
      </c>
    </row>
    <row r="13" spans="3:34">
      <c r="C13" s="12">
        <v>8</v>
      </c>
      <c r="D13" s="44">
        <f>Geometry!D35</f>
        <v>-21.8</v>
      </c>
      <c r="E13" s="44">
        <f>Geometry!E35</f>
        <v>-25.7</v>
      </c>
      <c r="F13" s="44">
        <f>Geometry!F35</f>
        <v>8.8131000000000004</v>
      </c>
      <c r="G13" s="44">
        <f>Geometry!G35</f>
        <v>9.1414000000000009</v>
      </c>
      <c r="H13" s="44">
        <f>Geometry!H35</f>
        <v>93</v>
      </c>
      <c r="I13" s="56">
        <f t="shared" si="0"/>
        <v>3.8999999999999986</v>
      </c>
      <c r="J13" s="57">
        <f t="shared" si="1"/>
        <v>2.4101421139187984</v>
      </c>
      <c r="K13" s="58">
        <f t="shared" si="2"/>
        <v>79.467189919903291</v>
      </c>
      <c r="R13" t="s">
        <v>235</v>
      </c>
      <c r="S13">
        <f>IF($T$3="EC",3,4)</f>
        <v>3</v>
      </c>
      <c r="T13">
        <f>IF($T$3="EC",2000000,10000000)</f>
        <v>2000000</v>
      </c>
    </row>
    <row r="14" spans="3:34">
      <c r="C14" s="12">
        <v>9</v>
      </c>
      <c r="D14" s="44">
        <f>Geometry!D36</f>
        <v>-25.7</v>
      </c>
      <c r="E14" s="44">
        <f>Geometry!E36</f>
        <v>-29.6</v>
      </c>
      <c r="F14" s="44">
        <f>Geometry!F36</f>
        <v>9.1414000000000009</v>
      </c>
      <c r="G14" s="44">
        <f>Geometry!G36</f>
        <v>9.4696999999999996</v>
      </c>
      <c r="H14" s="44">
        <f>Geometry!H36</f>
        <v>93</v>
      </c>
      <c r="I14" s="56">
        <f t="shared" si="0"/>
        <v>3.9000000000000021</v>
      </c>
      <c r="J14" s="57">
        <f t="shared" si="1"/>
        <v>2.4101421139187829</v>
      </c>
      <c r="K14" s="58">
        <f t="shared" si="2"/>
        <v>82.403743759642452</v>
      </c>
    </row>
    <row r="15" spans="3:34">
      <c r="C15" s="12">
        <v>10</v>
      </c>
      <c r="D15" s="44">
        <f>Geometry!D37</f>
        <v>-29.6</v>
      </c>
      <c r="E15" s="44">
        <f>Geometry!E37</f>
        <v>-33.5</v>
      </c>
      <c r="F15" s="44">
        <f>Geometry!F37</f>
        <v>9.4696999999999996</v>
      </c>
      <c r="G15" s="44">
        <f>Geometry!G37</f>
        <v>9.8000000000000007</v>
      </c>
      <c r="H15" s="44">
        <f>Geometry!H37</f>
        <v>93</v>
      </c>
      <c r="I15" s="56">
        <f t="shared" si="0"/>
        <v>3.8999999999999986</v>
      </c>
      <c r="J15" s="57">
        <f t="shared" si="1"/>
        <v>2.4248072009611419</v>
      </c>
      <c r="K15" s="58">
        <f t="shared" si="2"/>
        <v>85.349242326277192</v>
      </c>
    </row>
    <row r="16" spans="3:34">
      <c r="C16" s="12">
        <v>11</v>
      </c>
      <c r="D16" s="44">
        <f>Geometry!D38</f>
        <v>-33.5</v>
      </c>
      <c r="E16" s="44">
        <f>Geometry!E38</f>
        <v>-36.799999999999997</v>
      </c>
      <c r="F16" s="44">
        <f>Geometry!F38</f>
        <v>9.8000000000000007</v>
      </c>
      <c r="G16" s="44">
        <f>Geometry!G38</f>
        <v>9.8000000000000007</v>
      </c>
      <c r="H16" s="44">
        <f>Geometry!H38</f>
        <v>93</v>
      </c>
      <c r="I16" s="56">
        <f t="shared" si="0"/>
        <v>3.2999999999999972</v>
      </c>
      <c r="J16" s="57">
        <f t="shared" si="1"/>
        <v>0</v>
      </c>
      <c r="K16" s="58">
        <f t="shared" si="2"/>
        <v>73.468546438727955</v>
      </c>
    </row>
    <row r="17" spans="3:16">
      <c r="C17" s="12">
        <v>12</v>
      </c>
      <c r="D17" s="44" t="e">
        <f>Geometry!#REF!</f>
        <v>#REF!</v>
      </c>
      <c r="E17" s="44" t="e">
        <f>Geometry!#REF!</f>
        <v>#REF!</v>
      </c>
      <c r="F17" s="44" t="e">
        <f>Geometry!#REF!</f>
        <v>#REF!</v>
      </c>
      <c r="G17" s="44" t="e">
        <f>Geometry!#REF!</f>
        <v>#REF!</v>
      </c>
      <c r="H17" s="44" t="e">
        <f>Geometry!#REF!</f>
        <v>#REF!</v>
      </c>
      <c r="I17" s="56" t="e">
        <f t="shared" si="0"/>
        <v>#REF!</v>
      </c>
      <c r="J17" s="57" t="e">
        <f t="shared" si="1"/>
        <v>#REF!</v>
      </c>
      <c r="K17" s="58" t="e">
        <f t="shared" si="2"/>
        <v>#REF!</v>
      </c>
    </row>
    <row r="18" spans="3:16">
      <c r="C18" s="12">
        <v>13</v>
      </c>
      <c r="D18" s="44">
        <f>Geometry!D40</f>
        <v>-40.200000000000003</v>
      </c>
      <c r="E18" s="44">
        <f>Geometry!E40</f>
        <v>-43.8</v>
      </c>
      <c r="F18" s="44">
        <f>Geometry!F40</f>
        <v>9.8000000000000007</v>
      </c>
      <c r="G18" s="44">
        <f>Geometry!G40</f>
        <v>9.8000000000000007</v>
      </c>
      <c r="H18" s="44">
        <f>Geometry!H40</f>
        <v>102</v>
      </c>
      <c r="I18" s="56">
        <f t="shared" si="0"/>
        <v>3.5999999999999943</v>
      </c>
      <c r="J18" s="57">
        <f t="shared" si="1"/>
        <v>0</v>
      </c>
      <c r="K18" s="58">
        <f t="shared" si="2"/>
        <v>87.822214054197303</v>
      </c>
    </row>
    <row r="19" spans="3:16">
      <c r="C19" s="12">
        <v>14</v>
      </c>
      <c r="D19" s="44">
        <f>Geometry!D42</f>
        <v>-47.8</v>
      </c>
      <c r="E19" s="44">
        <f>Geometry!E42</f>
        <v>-51.8</v>
      </c>
      <c r="F19" s="44">
        <f>Geometry!F42</f>
        <v>9.8000000000000007</v>
      </c>
      <c r="G19" s="44">
        <f>Geometry!G42</f>
        <v>9.8000000000000007</v>
      </c>
      <c r="H19" s="44">
        <f>Geometry!H42</f>
        <v>90</v>
      </c>
      <c r="I19" s="56">
        <f t="shared" si="0"/>
        <v>4</v>
      </c>
      <c r="J19" s="57">
        <f t="shared" si="1"/>
        <v>0</v>
      </c>
      <c r="K19" s="58">
        <f t="shared" si="2"/>
        <v>86.206747547124479</v>
      </c>
    </row>
    <row r="20" spans="3:16">
      <c r="C20" s="12">
        <v>15</v>
      </c>
      <c r="D20" s="44">
        <f>Geometry!D43</f>
        <v>-51.8</v>
      </c>
      <c r="E20" s="44">
        <f>Geometry!E43</f>
        <v>-55.8</v>
      </c>
      <c r="F20" s="44">
        <f>Geometry!F43</f>
        <v>9.8000000000000007</v>
      </c>
      <c r="G20" s="44">
        <f>Geometry!G43</f>
        <v>9.8000000000000007</v>
      </c>
      <c r="H20" s="44">
        <f>Geometry!H43</f>
        <v>81</v>
      </c>
      <c r="I20" s="56">
        <f t="shared" si="0"/>
        <v>4</v>
      </c>
      <c r="J20" s="57">
        <f t="shared" si="1"/>
        <v>0</v>
      </c>
      <c r="K20" s="58">
        <f t="shared" si="2"/>
        <v>77.657985733209031</v>
      </c>
    </row>
    <row r="21" spans="3:16">
      <c r="C21" s="12">
        <v>16</v>
      </c>
      <c r="D21" s="44">
        <f>Geometry!D44</f>
        <v>-55.8</v>
      </c>
      <c r="E21" s="44">
        <f>Geometry!E44</f>
        <v>-59.8</v>
      </c>
      <c r="F21" s="44">
        <f>Geometry!F44</f>
        <v>9.8000000000000007</v>
      </c>
      <c r="G21" s="44">
        <f>Geometry!G44</f>
        <v>9.8000000000000007</v>
      </c>
      <c r="H21" s="44">
        <f>Geometry!H44</f>
        <v>81</v>
      </c>
      <c r="I21" s="56">
        <f t="shared" si="0"/>
        <v>4</v>
      </c>
      <c r="J21" s="57">
        <f t="shared" si="1"/>
        <v>0</v>
      </c>
      <c r="K21" s="58">
        <f t="shared" si="2"/>
        <v>77.657985733209031</v>
      </c>
    </row>
    <row r="22" spans="3:16">
      <c r="C22" s="12">
        <v>17</v>
      </c>
      <c r="D22" s="44">
        <f>Geometry!D45</f>
        <v>-59.8</v>
      </c>
      <c r="E22" s="44">
        <f>Geometry!E45</f>
        <v>-63.8</v>
      </c>
      <c r="F22" s="44">
        <f>Geometry!F45</f>
        <v>9.8000000000000007</v>
      </c>
      <c r="G22" s="44">
        <f>Geometry!G45</f>
        <v>9.8000000000000007</v>
      </c>
      <c r="H22" s="44">
        <f>Geometry!H45</f>
        <v>81</v>
      </c>
      <c r="I22" s="56">
        <f t="shared" si="0"/>
        <v>4</v>
      </c>
      <c r="J22" s="57">
        <f t="shared" si="1"/>
        <v>0</v>
      </c>
      <c r="K22" s="58">
        <f t="shared" si="2"/>
        <v>77.657985733209031</v>
      </c>
    </row>
    <row r="23" spans="3:16">
      <c r="C23" s="12">
        <v>18</v>
      </c>
      <c r="D23" s="44">
        <f>Geometry!D46</f>
        <v>-63.8</v>
      </c>
      <c r="E23" s="44">
        <f>Geometry!E46</f>
        <v>-67.8</v>
      </c>
      <c r="F23" s="44">
        <f>Geometry!F46</f>
        <v>9.8000000000000007</v>
      </c>
      <c r="G23" s="44">
        <f>Geometry!G46</f>
        <v>9.8000000000000007</v>
      </c>
      <c r="H23" s="44">
        <f>Geometry!H46</f>
        <v>81</v>
      </c>
      <c r="I23" s="56">
        <f t="shared" si="0"/>
        <v>4</v>
      </c>
      <c r="J23" s="57">
        <f t="shared" si="1"/>
        <v>0</v>
      </c>
      <c r="K23" s="58">
        <f t="shared" si="2"/>
        <v>77.657985733209031</v>
      </c>
    </row>
    <row r="24" spans="3:16">
      <c r="C24" s="12">
        <v>19</v>
      </c>
      <c r="D24" s="44">
        <f>Geometry!D47</f>
        <v>-67.8</v>
      </c>
      <c r="E24" s="44">
        <f>Geometry!E47</f>
        <v>-71.8</v>
      </c>
      <c r="F24" s="44">
        <f>Geometry!F47</f>
        <v>9.8000000000000007</v>
      </c>
      <c r="G24" s="44">
        <f>Geometry!G47</f>
        <v>9.8000000000000007</v>
      </c>
      <c r="H24" s="44">
        <f>Geometry!H47</f>
        <v>81</v>
      </c>
      <c r="I24" s="56">
        <f t="shared" si="0"/>
        <v>4</v>
      </c>
      <c r="J24" s="57">
        <f t="shared" si="1"/>
        <v>0</v>
      </c>
      <c r="K24" s="58">
        <f t="shared" si="2"/>
        <v>77.657985733209031</v>
      </c>
    </row>
    <row r="25" spans="3:16">
      <c r="C25" s="12">
        <v>20</v>
      </c>
      <c r="D25" s="44" t="e">
        <f>Geometry!#REF!</f>
        <v>#REF!</v>
      </c>
      <c r="E25" s="44" t="e">
        <f>Geometry!#REF!</f>
        <v>#REF!</v>
      </c>
      <c r="F25" s="44" t="e">
        <f>Geometry!#REF!</f>
        <v>#REF!</v>
      </c>
      <c r="G25" s="44" t="e">
        <f>Geometry!#REF!</f>
        <v>#REF!</v>
      </c>
      <c r="H25" s="44" t="e">
        <f>Geometry!#REF!</f>
        <v>#REF!</v>
      </c>
      <c r="I25" s="56" t="e">
        <f t="shared" si="0"/>
        <v>#REF!</v>
      </c>
      <c r="J25" s="57" t="e">
        <f t="shared" si="1"/>
        <v>#REF!</v>
      </c>
      <c r="K25" s="58" t="e">
        <f t="shared" si="2"/>
        <v>#REF!</v>
      </c>
    </row>
    <row r="26" spans="3:16">
      <c r="C26" s="12">
        <v>21</v>
      </c>
      <c r="D26" s="44">
        <f>Geometry!D48</f>
        <v>-71.8</v>
      </c>
      <c r="E26" s="44">
        <f>Geometry!E48</f>
        <v>-75.8</v>
      </c>
      <c r="F26" s="44">
        <f>Geometry!F48</f>
        <v>9.8000000000000007</v>
      </c>
      <c r="G26" s="44">
        <f>Geometry!G48</f>
        <v>9.8000000000000007</v>
      </c>
      <c r="H26" s="44">
        <f>Geometry!H48</f>
        <v>90</v>
      </c>
      <c r="I26" s="56">
        <f t="shared" si="0"/>
        <v>4</v>
      </c>
      <c r="J26" s="57">
        <f t="shared" si="1"/>
        <v>0</v>
      </c>
      <c r="K26" s="58">
        <f t="shared" si="2"/>
        <v>86.206747547124479</v>
      </c>
    </row>
    <row r="27" spans="3:16">
      <c r="C27" s="12">
        <v>22</v>
      </c>
      <c r="D27" s="44">
        <f>Geometry!D49</f>
        <v>-75.8</v>
      </c>
      <c r="E27" s="44">
        <f>Geometry!E49</f>
        <v>-79.73</v>
      </c>
      <c r="F27" s="44">
        <f>Geometry!F49</f>
        <v>9.8000000000000007</v>
      </c>
      <c r="G27" s="44">
        <f>Geometry!G49</f>
        <v>9.8000000000000007</v>
      </c>
      <c r="H27" s="44">
        <f>Geometry!H49</f>
        <v>95</v>
      </c>
      <c r="I27" s="56">
        <f t="shared" si="0"/>
        <v>3.9300000000000068</v>
      </c>
      <c r="J27" s="57">
        <f t="shared" si="1"/>
        <v>0</v>
      </c>
      <c r="K27" s="58">
        <f t="shared" si="2"/>
        <v>89.357544242521442</v>
      </c>
    </row>
    <row r="28" spans="3:16">
      <c r="C28" s="12">
        <v>23</v>
      </c>
      <c r="D28" s="44">
        <f>Geometry!D50</f>
        <v>-79.73</v>
      </c>
      <c r="E28" s="44">
        <f>Geometry!E50</f>
        <v>-82.73</v>
      </c>
      <c r="F28" s="44">
        <f>Geometry!F50</f>
        <v>9.8000000000000007</v>
      </c>
      <c r="G28" s="44">
        <f>Geometry!G50</f>
        <v>9.8000000000000007</v>
      </c>
      <c r="H28" s="44">
        <f>Geometry!H50</f>
        <v>100</v>
      </c>
      <c r="I28" s="56">
        <f t="shared" si="0"/>
        <v>3</v>
      </c>
      <c r="J28" s="57">
        <f t="shared" si="1"/>
        <v>0</v>
      </c>
      <c r="K28" s="58">
        <f t="shared" si="2"/>
        <v>71.764971782278351</v>
      </c>
    </row>
    <row r="31" spans="3:16">
      <c r="C31" s="35" t="s">
        <v>232</v>
      </c>
      <c r="M31" s="313" t="s">
        <v>286</v>
      </c>
      <c r="N31" s="314"/>
      <c r="O31" s="313" t="s">
        <v>287</v>
      </c>
      <c r="P31" s="314"/>
    </row>
    <row r="32" spans="3:16" ht="15" customHeight="1">
      <c r="C32" s="317" t="s">
        <v>19</v>
      </c>
      <c r="D32" s="317" t="s">
        <v>282</v>
      </c>
      <c r="E32" s="317" t="s">
        <v>284</v>
      </c>
      <c r="F32" s="317" t="s">
        <v>283</v>
      </c>
      <c r="G32" s="317" t="s">
        <v>244</v>
      </c>
      <c r="H32" s="317" t="s">
        <v>245</v>
      </c>
      <c r="I32" s="317" t="s">
        <v>228</v>
      </c>
      <c r="J32" s="317" t="s">
        <v>229</v>
      </c>
      <c r="K32" s="317" t="s">
        <v>288</v>
      </c>
      <c r="L32" s="317" t="s">
        <v>230</v>
      </c>
      <c r="M32" s="317" t="s">
        <v>279</v>
      </c>
      <c r="N32" s="317" t="s">
        <v>280</v>
      </c>
      <c r="O32" s="317" t="s">
        <v>279</v>
      </c>
      <c r="P32" s="317" t="s">
        <v>280</v>
      </c>
    </row>
    <row r="33" spans="3:16">
      <c r="C33" s="318">
        <v>0</v>
      </c>
      <c r="D33" s="318">
        <v>0</v>
      </c>
      <c r="E33" s="318"/>
      <c r="F33" s="318"/>
      <c r="G33" s="318"/>
      <c r="H33" s="318"/>
      <c r="I33" s="318"/>
      <c r="J33" s="318"/>
      <c r="K33" s="318"/>
      <c r="L33" s="318"/>
      <c r="M33" s="318"/>
      <c r="N33" s="318"/>
      <c r="O33" s="318"/>
      <c r="P33" s="318"/>
    </row>
    <row r="34" spans="3:16">
      <c r="C34" s="30" t="s">
        <v>16</v>
      </c>
      <c r="D34" s="30" t="str">
        <f>"[m"&amp;Control!$F$7&amp;"]"</f>
        <v>[mLAT]</v>
      </c>
      <c r="E34" s="30" t="s">
        <v>10</v>
      </c>
      <c r="F34" s="30" t="s">
        <v>10</v>
      </c>
      <c r="G34" s="30" t="s">
        <v>16</v>
      </c>
      <c r="H34" s="30" t="s">
        <v>16</v>
      </c>
      <c r="I34" s="30" t="s">
        <v>16</v>
      </c>
      <c r="J34" s="30" t="s">
        <v>16</v>
      </c>
      <c r="K34" s="30" t="s">
        <v>16</v>
      </c>
      <c r="L34" s="30" t="s">
        <v>16</v>
      </c>
      <c r="M34" s="30" t="s">
        <v>16</v>
      </c>
      <c r="N34" s="30" t="s">
        <v>16</v>
      </c>
      <c r="O34" s="30" t="s">
        <v>16</v>
      </c>
      <c r="P34" s="30" t="s">
        <v>16</v>
      </c>
    </row>
    <row r="35" spans="3:16">
      <c r="C35" s="12" t="str">
        <f>"CW"&amp;TEXT(C6,"0")</f>
        <v>CW1</v>
      </c>
      <c r="D35" s="2">
        <f>E6</f>
        <v>1.6</v>
      </c>
      <c r="E35" s="3">
        <f>H6</f>
        <v>108</v>
      </c>
      <c r="F35" s="4">
        <f>H7</f>
        <v>100</v>
      </c>
      <c r="G35" s="3">
        <f>'FLS MP'!L35</f>
        <v>0.85864851454153157</v>
      </c>
      <c r="H35" s="3">
        <f>'FLS MP'!M35</f>
        <v>1.0848108912750811</v>
      </c>
      <c r="I35" s="3">
        <f>IF(OR('FLS MP'!N35="n",'FLS MP'!N35="i"),$S$8,$T$8)</f>
        <v>112</v>
      </c>
      <c r="J35" s="3">
        <f>IF(OR('FLS MP'!N35="n",'FLS MP'!N35="o"),$S$8,$T$8)</f>
        <v>112</v>
      </c>
      <c r="K35" s="3">
        <f>IF(OR('FLS MP'!N35="n",'FLS MP'!N35="i"),0.2,0.1)</f>
        <v>0.1</v>
      </c>
      <c r="L35" s="3">
        <f>IF(OR('FLS MP'!N35="n",'FLS MP'!N35="o"),0.2,0.1)</f>
        <v>0.1</v>
      </c>
      <c r="M35" s="46">
        <f>IF(Control!$F$47="N",Control!$F$48,1.1)</f>
        <v>0.1</v>
      </c>
      <c r="N35" s="46">
        <f>IF(Control!$F$47="N",Control!$F$48,1.1)</f>
        <v>0.1</v>
      </c>
      <c r="O35" s="46">
        <f>IF(Control!$F$47="N",Control!$F$48,1.1)</f>
        <v>0.1</v>
      </c>
      <c r="P35" s="46">
        <f>IF(Control!$F$47="N",Control!$F$48,1.1)</f>
        <v>0.1</v>
      </c>
    </row>
    <row r="36" spans="3:16">
      <c r="C36" s="12" t="str">
        <f t="shared" ref="C36:C56" si="3">"CW"&amp;TEXT(C7,"0")</f>
        <v>CW2</v>
      </c>
      <c r="D36" s="2">
        <f t="shared" ref="D36:D56" si="4">E7</f>
        <v>-2.2999999999999998</v>
      </c>
      <c r="E36" s="3">
        <f t="shared" ref="E36:E56" si="5">H7</f>
        <v>100</v>
      </c>
      <c r="F36" s="4">
        <f t="shared" ref="F36:F56" si="6">H8</f>
        <v>100</v>
      </c>
      <c r="G36" s="3">
        <f>'FLS MP'!L36</f>
        <v>0.97</v>
      </c>
      <c r="H36" s="3">
        <f>'FLS MP'!M36</f>
        <v>0.97</v>
      </c>
      <c r="I36" s="3">
        <f>IF(OR('FLS MP'!N36="n",'FLS MP'!N36="i"),$S$8,$T$8)</f>
        <v>90</v>
      </c>
      <c r="J36" s="3">
        <f>IF(OR('FLS MP'!N36="n",'FLS MP'!N36="o"),$S$8,$T$8)</f>
        <v>90</v>
      </c>
      <c r="K36" s="3">
        <f>IF(OR('FLS MP'!N36="n",'FLS MP'!N36="i"),0.2,0.1)</f>
        <v>0.2</v>
      </c>
      <c r="L36" s="3">
        <f>IF(OR('FLS MP'!N36="n",'FLS MP'!N36="o"),0.2,0.1)</f>
        <v>0.2</v>
      </c>
      <c r="M36" s="46">
        <f>IF(Control!$F$47="N",Control!$F$48,1.1)</f>
        <v>0.1</v>
      </c>
      <c r="N36" s="46">
        <f>IF(Control!$F$47="N",Control!$F$48,1.1)</f>
        <v>0.1</v>
      </c>
      <c r="O36" s="46">
        <f>IF(Control!$F$47="N",Control!$F$48,1.1)</f>
        <v>0.1</v>
      </c>
      <c r="P36" s="46">
        <f>IF(Control!$F$47="N",Control!$F$48,1.1)</f>
        <v>0.1</v>
      </c>
    </row>
    <row r="37" spans="3:16">
      <c r="C37" s="12" t="str">
        <f t="shared" si="3"/>
        <v>CW3</v>
      </c>
      <c r="D37" s="2">
        <f t="shared" si="4"/>
        <v>-6.2</v>
      </c>
      <c r="E37" s="3">
        <f t="shared" si="5"/>
        <v>100</v>
      </c>
      <c r="F37" s="4">
        <f t="shared" si="6"/>
        <v>100</v>
      </c>
      <c r="G37" s="3" t="e">
        <f>'FLS MP'!#REF!</f>
        <v>#REF!</v>
      </c>
      <c r="H37" s="3" t="e">
        <f>'FLS MP'!#REF!</f>
        <v>#REF!</v>
      </c>
      <c r="I37" s="3" t="e">
        <f>IF(OR('FLS MP'!#REF!="n",'FLS MP'!#REF!="i"),$S$8,$T$8)</f>
        <v>#REF!</v>
      </c>
      <c r="J37" s="3" t="e">
        <f>IF(OR('FLS MP'!#REF!="n",'FLS MP'!#REF!="o"),$S$8,$T$8)</f>
        <v>#REF!</v>
      </c>
      <c r="K37" s="3" t="e">
        <f>IF(OR('FLS MP'!#REF!="n",'FLS MP'!#REF!="i"),0.2,0.1)</f>
        <v>#REF!</v>
      </c>
      <c r="L37" s="3" t="e">
        <f>IF(OR('FLS MP'!#REF!="n",'FLS MP'!#REF!="o"),0.2,0.1)</f>
        <v>#REF!</v>
      </c>
      <c r="M37" s="46">
        <f>IF(Control!$F$47="N",Control!$F$48,1.1)</f>
        <v>0.1</v>
      </c>
      <c r="N37" s="46">
        <f>IF(Control!$F$47="N",Control!$F$48,1.1)</f>
        <v>0.1</v>
      </c>
      <c r="O37" s="46">
        <f>IF(Control!$F$47="N",Control!$F$48,1.1)</f>
        <v>0.1</v>
      </c>
      <c r="P37" s="46">
        <f>IF(Control!$F$47="N",Control!$F$48,1.1)</f>
        <v>0.1</v>
      </c>
    </row>
    <row r="38" spans="3:16">
      <c r="C38" s="12" t="str">
        <f t="shared" si="3"/>
        <v>CW4</v>
      </c>
      <c r="D38" s="2">
        <f t="shared" si="4"/>
        <v>-10.1</v>
      </c>
      <c r="E38" s="3">
        <f t="shared" si="5"/>
        <v>100</v>
      </c>
      <c r="F38" s="4">
        <f t="shared" si="6"/>
        <v>106</v>
      </c>
      <c r="G38" s="3" t="e">
        <f>'FLS MP'!#REF!</f>
        <v>#REF!</v>
      </c>
      <c r="H38" s="3" t="e">
        <f>'FLS MP'!#REF!</f>
        <v>#REF!</v>
      </c>
      <c r="I38" s="3" t="e">
        <f>IF(OR('FLS MP'!#REF!="n",'FLS MP'!#REF!="i"),$S$8,$T$8)</f>
        <v>#REF!</v>
      </c>
      <c r="J38" s="3" t="e">
        <f>IF(OR('FLS MP'!#REF!="n",'FLS MP'!#REF!="o"),$S$8,$T$8)</f>
        <v>#REF!</v>
      </c>
      <c r="K38" s="3" t="e">
        <f>IF(OR('FLS MP'!#REF!="n",'FLS MP'!#REF!="i"),0.2,0.1)</f>
        <v>#REF!</v>
      </c>
      <c r="L38" s="3" t="e">
        <f>IF(OR('FLS MP'!#REF!="n",'FLS MP'!#REF!="o"),0.2,0.1)</f>
        <v>#REF!</v>
      </c>
      <c r="M38" s="46">
        <f>IF(Control!$F$47="N",Control!$F$48,1.1)</f>
        <v>0.1</v>
      </c>
      <c r="N38" s="46">
        <f>IF(Control!$F$47="N",Control!$F$48,1.1)</f>
        <v>0.1</v>
      </c>
      <c r="O38" s="46">
        <f>IF(Control!$F$47="N",Control!$F$48,1.1)</f>
        <v>0.1</v>
      </c>
      <c r="P38" s="46">
        <f>IF(Control!$F$47="N",Control!$F$48,1.1)</f>
        <v>0.1</v>
      </c>
    </row>
    <row r="39" spans="3:16">
      <c r="C39" s="12" t="str">
        <f t="shared" si="3"/>
        <v>CW5</v>
      </c>
      <c r="D39" s="2">
        <f t="shared" si="4"/>
        <v>-14</v>
      </c>
      <c r="E39" s="3">
        <f t="shared" si="5"/>
        <v>106</v>
      </c>
      <c r="F39" s="4">
        <f t="shared" si="6"/>
        <v>98</v>
      </c>
      <c r="G39" s="3" t="e">
        <f>'FLS MP'!#REF!</f>
        <v>#REF!</v>
      </c>
      <c r="H39" s="3" t="e">
        <f>'FLS MP'!#REF!</f>
        <v>#REF!</v>
      </c>
      <c r="I39" s="3" t="e">
        <f>IF(OR('FLS MP'!#REF!="n",'FLS MP'!#REF!="i"),$S$8,$T$8)</f>
        <v>#REF!</v>
      </c>
      <c r="J39" s="3" t="e">
        <f>IF(OR('FLS MP'!#REF!="n",'FLS MP'!#REF!="o"),$S$8,$T$8)</f>
        <v>#REF!</v>
      </c>
      <c r="K39" s="3" t="e">
        <f>IF(OR('FLS MP'!#REF!="n",'FLS MP'!#REF!="i"),0.2,0.1)</f>
        <v>#REF!</v>
      </c>
      <c r="L39" s="3" t="e">
        <f>IF(OR('FLS MP'!#REF!="n",'FLS MP'!#REF!="o"),0.2,0.1)</f>
        <v>#REF!</v>
      </c>
      <c r="M39" s="46">
        <f>IF(Control!$F$47="N",Control!$F$48,1.1)</f>
        <v>0.1</v>
      </c>
      <c r="N39" s="46">
        <f>IF(Control!$F$47="N",Control!$F$48,1.1)</f>
        <v>0.1</v>
      </c>
      <c r="O39" s="46">
        <f>IF(Control!$F$47="N",Control!$F$48,1.1)</f>
        <v>0.1</v>
      </c>
      <c r="P39" s="46">
        <f>IF(Control!$F$47="N",Control!$F$48,1.1)</f>
        <v>0.1</v>
      </c>
    </row>
    <row r="40" spans="3:16">
      <c r="C40" s="12" t="str">
        <f t="shared" si="3"/>
        <v>CW6</v>
      </c>
      <c r="D40" s="2">
        <f t="shared" si="4"/>
        <v>-17.899999999999999</v>
      </c>
      <c r="E40" s="3">
        <f t="shared" si="5"/>
        <v>98</v>
      </c>
      <c r="F40" s="4">
        <f t="shared" si="6"/>
        <v>93</v>
      </c>
      <c r="G40" s="3" t="e">
        <f>'FLS MP'!#REF!</f>
        <v>#REF!</v>
      </c>
      <c r="H40" s="3" t="e">
        <f>'FLS MP'!#REF!</f>
        <v>#REF!</v>
      </c>
      <c r="I40" s="3" t="e">
        <f>IF(OR('FLS MP'!#REF!="n",'FLS MP'!#REF!="i"),$S$8,$T$8)</f>
        <v>#REF!</v>
      </c>
      <c r="J40" s="3" t="e">
        <f>IF(OR('FLS MP'!#REF!="n",'FLS MP'!#REF!="o"),$S$8,$T$8)</f>
        <v>#REF!</v>
      </c>
      <c r="K40" s="3" t="e">
        <f>IF(OR('FLS MP'!#REF!="n",'FLS MP'!#REF!="i"),0.2,0.1)</f>
        <v>#REF!</v>
      </c>
      <c r="L40" s="3" t="e">
        <f>IF(OR('FLS MP'!#REF!="n",'FLS MP'!#REF!="o"),0.2,0.1)</f>
        <v>#REF!</v>
      </c>
      <c r="M40" s="46">
        <f>IF(Control!$F$47="N",Control!$F$48,1.1)</f>
        <v>0.1</v>
      </c>
      <c r="N40" s="46">
        <f>IF(Control!$F$47="N",Control!$F$48,1.1)</f>
        <v>0.1</v>
      </c>
      <c r="O40" s="46">
        <f>IF(Control!$F$47="N",Control!$F$48,1.1)</f>
        <v>0.1</v>
      </c>
      <c r="P40" s="46">
        <f>IF(Control!$F$47="N",Control!$F$48,1.1)</f>
        <v>0.1</v>
      </c>
    </row>
    <row r="41" spans="3:16">
      <c r="C41" s="12" t="str">
        <f t="shared" si="3"/>
        <v>CW7</v>
      </c>
      <c r="D41" s="2">
        <f t="shared" si="4"/>
        <v>-21.8</v>
      </c>
      <c r="E41" s="3">
        <f t="shared" si="5"/>
        <v>93</v>
      </c>
      <c r="F41" s="4">
        <f t="shared" si="6"/>
        <v>93</v>
      </c>
      <c r="G41" s="3" t="e">
        <f>'FLS MP'!#REF!</f>
        <v>#REF!</v>
      </c>
      <c r="H41" s="3" t="e">
        <f>'FLS MP'!#REF!</f>
        <v>#REF!</v>
      </c>
      <c r="I41" s="3" t="e">
        <f>IF(OR('FLS MP'!#REF!="n",'FLS MP'!#REF!="i"),$S$8,$T$8)</f>
        <v>#REF!</v>
      </c>
      <c r="J41" s="3" t="e">
        <f>IF(OR('FLS MP'!#REF!="n",'FLS MP'!#REF!="o"),$S$8,$T$8)</f>
        <v>#REF!</v>
      </c>
      <c r="K41" s="3" t="e">
        <f>IF(OR('FLS MP'!#REF!="n",'FLS MP'!#REF!="i"),0.2,0.1)</f>
        <v>#REF!</v>
      </c>
      <c r="L41" s="3" t="e">
        <f>IF(OR('FLS MP'!#REF!="n",'FLS MP'!#REF!="o"),0.2,0.1)</f>
        <v>#REF!</v>
      </c>
      <c r="M41" s="46">
        <f>IF(Control!$F$47="N",Control!$F$48,1.1)</f>
        <v>0.1</v>
      </c>
      <c r="N41" s="46">
        <f>IF(Control!$F$47="N",Control!$F$48,1.1)</f>
        <v>0.1</v>
      </c>
      <c r="O41" s="46">
        <f>IF(Control!$F$47="N",Control!$F$48,1.1)</f>
        <v>0.1</v>
      </c>
      <c r="P41" s="46">
        <f>IF(Control!$F$47="N",Control!$F$48,1.1)</f>
        <v>0.1</v>
      </c>
    </row>
    <row r="42" spans="3:16">
      <c r="C42" s="12" t="str">
        <f t="shared" si="3"/>
        <v>CW8</v>
      </c>
      <c r="D42" s="2">
        <f t="shared" si="4"/>
        <v>-25.7</v>
      </c>
      <c r="E42" s="3">
        <f t="shared" si="5"/>
        <v>93</v>
      </c>
      <c r="F42" s="4">
        <f t="shared" si="6"/>
        <v>93</v>
      </c>
      <c r="G42" s="3" t="e">
        <f>'FLS MP'!#REF!</f>
        <v>#REF!</v>
      </c>
      <c r="H42" s="3" t="e">
        <f>'FLS MP'!#REF!</f>
        <v>#REF!</v>
      </c>
      <c r="I42" s="3" t="e">
        <f>IF(OR('FLS MP'!#REF!="n",'FLS MP'!#REF!="i"),$S$8,$T$8)</f>
        <v>#REF!</v>
      </c>
      <c r="J42" s="3" t="e">
        <f>IF(OR('FLS MP'!#REF!="n",'FLS MP'!#REF!="o"),$S$8,$T$8)</f>
        <v>#REF!</v>
      </c>
      <c r="K42" s="3" t="e">
        <f>IF(OR('FLS MP'!#REF!="n",'FLS MP'!#REF!="i"),0.2,0.1)</f>
        <v>#REF!</v>
      </c>
      <c r="L42" s="3" t="e">
        <f>IF(OR('FLS MP'!#REF!="n",'FLS MP'!#REF!="o"),0.2,0.1)</f>
        <v>#REF!</v>
      </c>
      <c r="M42" s="46">
        <f>IF(Control!$F$47="N",Control!$F$48,1.1)</f>
        <v>0.1</v>
      </c>
      <c r="N42" s="46">
        <f>IF(Control!$F$47="N",Control!$F$48,1.1)</f>
        <v>0.1</v>
      </c>
      <c r="O42" s="46">
        <f>IF(Control!$F$47="N",Control!$F$48,1.1)</f>
        <v>0.1</v>
      </c>
      <c r="P42" s="46">
        <f>IF(Control!$F$47="N",Control!$F$48,1.1)</f>
        <v>0.1</v>
      </c>
    </row>
    <row r="43" spans="3:16">
      <c r="C43" s="12" t="str">
        <f t="shared" si="3"/>
        <v>CW9</v>
      </c>
      <c r="D43" s="2">
        <f t="shared" si="4"/>
        <v>-29.6</v>
      </c>
      <c r="E43" s="3">
        <f t="shared" si="5"/>
        <v>93</v>
      </c>
      <c r="F43" s="4">
        <f t="shared" si="6"/>
        <v>93</v>
      </c>
      <c r="G43" s="3" t="e">
        <f>'FLS MP'!#REF!</f>
        <v>#REF!</v>
      </c>
      <c r="H43" s="3" t="e">
        <f>'FLS MP'!#REF!</f>
        <v>#REF!</v>
      </c>
      <c r="I43" s="3" t="e">
        <f>IF(OR('FLS MP'!#REF!="n",'FLS MP'!#REF!="i"),$S$8,$T$8)</f>
        <v>#REF!</v>
      </c>
      <c r="J43" s="3" t="e">
        <f>IF(OR('FLS MP'!#REF!="n",'FLS MP'!#REF!="o"),$S$8,$T$8)</f>
        <v>#REF!</v>
      </c>
      <c r="K43" s="3" t="e">
        <f>IF(OR('FLS MP'!#REF!="n",'FLS MP'!#REF!="i"),0.2,0.1)</f>
        <v>#REF!</v>
      </c>
      <c r="L43" s="3" t="e">
        <f>IF(OR('FLS MP'!#REF!="n",'FLS MP'!#REF!="o"),0.2,0.1)</f>
        <v>#REF!</v>
      </c>
      <c r="M43" s="46">
        <f>IF(Control!$F$47="N",Control!$F$48,1.1)</f>
        <v>0.1</v>
      </c>
      <c r="N43" s="46">
        <f>IF(Control!$F$47="N",Control!$F$48,1.1)</f>
        <v>0.1</v>
      </c>
      <c r="O43" s="46">
        <f>IF(Control!$F$47="N",Control!$F$48,1.1)</f>
        <v>0.1</v>
      </c>
      <c r="P43" s="46">
        <f>IF(Control!$F$47="N",Control!$F$48,1.1)</f>
        <v>0.1</v>
      </c>
    </row>
    <row r="44" spans="3:16">
      <c r="C44" s="12" t="str">
        <f t="shared" si="3"/>
        <v>CW10</v>
      </c>
      <c r="D44" s="2">
        <f t="shared" si="4"/>
        <v>-33.5</v>
      </c>
      <c r="E44" s="3">
        <f t="shared" si="5"/>
        <v>93</v>
      </c>
      <c r="F44" s="4">
        <f t="shared" si="6"/>
        <v>93</v>
      </c>
      <c r="G44" s="3" t="e">
        <f>'FLS MP'!#REF!</f>
        <v>#REF!</v>
      </c>
      <c r="H44" s="3" t="e">
        <f>'FLS MP'!#REF!</f>
        <v>#REF!</v>
      </c>
      <c r="I44" s="3" t="e">
        <f>IF(OR('FLS MP'!#REF!="n",'FLS MP'!#REF!="i"),$S$8,$T$8)</f>
        <v>#REF!</v>
      </c>
      <c r="J44" s="3" t="e">
        <f>IF(OR('FLS MP'!#REF!="n",'FLS MP'!#REF!="o"),$S$8,$T$8)</f>
        <v>#REF!</v>
      </c>
      <c r="K44" s="3" t="e">
        <f>IF(OR('FLS MP'!#REF!="n",'FLS MP'!#REF!="i"),0.2,0.1)</f>
        <v>#REF!</v>
      </c>
      <c r="L44" s="3" t="e">
        <f>IF(OR('FLS MP'!#REF!="n",'FLS MP'!#REF!="o"),0.2,0.1)</f>
        <v>#REF!</v>
      </c>
      <c r="M44" s="46">
        <f>IF(Control!$F$47="N",Control!$F$48,1.1)</f>
        <v>0.1</v>
      </c>
      <c r="N44" s="46">
        <f>IF(Control!$F$47="N",Control!$F$48,1.1)</f>
        <v>0.1</v>
      </c>
      <c r="O44" s="46">
        <f>IF(Control!$F$47="N",Control!$F$48,1.1)</f>
        <v>0.1</v>
      </c>
      <c r="P44" s="46">
        <f>IF(Control!$F$47="N",Control!$F$48,1.1)</f>
        <v>0.1</v>
      </c>
    </row>
    <row r="45" spans="3:16">
      <c r="C45" s="12" t="str">
        <f t="shared" si="3"/>
        <v>CW11</v>
      </c>
      <c r="D45" s="2">
        <f t="shared" si="4"/>
        <v>-36.799999999999997</v>
      </c>
      <c r="E45" s="3">
        <f t="shared" si="5"/>
        <v>93</v>
      </c>
      <c r="F45" s="4" t="e">
        <f t="shared" si="6"/>
        <v>#REF!</v>
      </c>
      <c r="G45" s="3" t="e">
        <f>'FLS MP'!#REF!</f>
        <v>#REF!</v>
      </c>
      <c r="H45" s="3" t="e">
        <f>'FLS MP'!#REF!</f>
        <v>#REF!</v>
      </c>
      <c r="I45" s="3" t="e">
        <f>IF(OR('FLS MP'!#REF!="n",'FLS MP'!#REF!="i"),$S$8,$T$8)</f>
        <v>#REF!</v>
      </c>
      <c r="J45" s="3" t="e">
        <f>IF(OR('FLS MP'!#REF!="n",'FLS MP'!#REF!="o"),$S$8,$T$8)</f>
        <v>#REF!</v>
      </c>
      <c r="K45" s="3" t="e">
        <f>IF(OR('FLS MP'!#REF!="n",'FLS MP'!#REF!="i"),0.2,0.1)</f>
        <v>#REF!</v>
      </c>
      <c r="L45" s="3" t="e">
        <f>IF(OR('FLS MP'!#REF!="n",'FLS MP'!#REF!="o"),0.2,0.1)</f>
        <v>#REF!</v>
      </c>
      <c r="M45" s="46">
        <f>IF(Control!$F$47="N",Control!$F$48,1.1)</f>
        <v>0.1</v>
      </c>
      <c r="N45" s="46">
        <f>IF(Control!$F$47="N",Control!$F$48,1.1)</f>
        <v>0.1</v>
      </c>
      <c r="O45" s="46">
        <f>IF(Control!$F$47="N",Control!$F$48,1.1)</f>
        <v>0.1</v>
      </c>
      <c r="P45" s="46">
        <f>IF(Control!$F$47="N",Control!$F$48,1.1)</f>
        <v>0.1</v>
      </c>
    </row>
    <row r="46" spans="3:16">
      <c r="C46" s="12" t="str">
        <f t="shared" si="3"/>
        <v>CW12</v>
      </c>
      <c r="D46" s="2" t="e">
        <f t="shared" si="4"/>
        <v>#REF!</v>
      </c>
      <c r="E46" s="3" t="e">
        <f t="shared" si="5"/>
        <v>#REF!</v>
      </c>
      <c r="F46" s="4">
        <f t="shared" si="6"/>
        <v>102</v>
      </c>
      <c r="G46" s="3" t="e">
        <f>'FLS MP'!#REF!</f>
        <v>#REF!</v>
      </c>
      <c r="H46" s="3" t="e">
        <f>'FLS MP'!#REF!</f>
        <v>#REF!</v>
      </c>
      <c r="I46" s="3" t="e">
        <f>IF(OR('FLS MP'!#REF!="n",'FLS MP'!#REF!="i"),$S$8,$T$8)</f>
        <v>#REF!</v>
      </c>
      <c r="J46" s="3" t="e">
        <f>IF(OR('FLS MP'!#REF!="n",'FLS MP'!#REF!="o"),$S$8,$T$8)</f>
        <v>#REF!</v>
      </c>
      <c r="K46" s="3" t="e">
        <f>IF(OR('FLS MP'!#REF!="n",'FLS MP'!#REF!="i"),0.2,0.1)</f>
        <v>#REF!</v>
      </c>
      <c r="L46" s="3" t="e">
        <f>IF(OR('FLS MP'!#REF!="n",'FLS MP'!#REF!="o"),0.2,0.1)</f>
        <v>#REF!</v>
      </c>
      <c r="M46" s="46">
        <f>IF(Control!$F$47="N",Control!$F$48,1.1)</f>
        <v>0.1</v>
      </c>
      <c r="N46" s="46">
        <f>IF(Control!$F$47="N",Control!$F$48,1.1)</f>
        <v>0.1</v>
      </c>
      <c r="O46" s="46">
        <f>IF(Control!$F$47="N",Control!$F$48,1.1)</f>
        <v>0.1</v>
      </c>
      <c r="P46" s="46">
        <f>IF(Control!$F$47="N",Control!$F$48,1.1)</f>
        <v>0.1</v>
      </c>
    </row>
    <row r="47" spans="3:16">
      <c r="C47" s="12" t="str">
        <f t="shared" si="3"/>
        <v>CW13</v>
      </c>
      <c r="D47" s="2">
        <f t="shared" si="4"/>
        <v>-43.8</v>
      </c>
      <c r="E47" s="3">
        <f t="shared" si="5"/>
        <v>102</v>
      </c>
      <c r="F47" s="4">
        <f t="shared" si="6"/>
        <v>90</v>
      </c>
      <c r="G47" s="3" t="e">
        <f>'FLS MP'!#REF!</f>
        <v>#REF!</v>
      </c>
      <c r="H47" s="3" t="e">
        <f>'FLS MP'!#REF!</f>
        <v>#REF!</v>
      </c>
      <c r="I47" s="3" t="e">
        <f>IF(OR('FLS MP'!#REF!="n",'FLS MP'!#REF!="i"),$S$8,$T$8)</f>
        <v>#REF!</v>
      </c>
      <c r="J47" s="3" t="e">
        <f>IF(OR('FLS MP'!#REF!="n",'FLS MP'!#REF!="o"),$S$8,$T$8)</f>
        <v>#REF!</v>
      </c>
      <c r="K47" s="3" t="e">
        <f>IF(OR('FLS MP'!#REF!="n",'FLS MP'!#REF!="i"),0.2,0.1)</f>
        <v>#REF!</v>
      </c>
      <c r="L47" s="3" t="e">
        <f>IF(OR('FLS MP'!#REF!="n",'FLS MP'!#REF!="o"),0.2,0.1)</f>
        <v>#REF!</v>
      </c>
      <c r="M47" s="46">
        <f>IF(Control!$F$47="N",Control!$F$48,1.1)</f>
        <v>0.1</v>
      </c>
      <c r="N47" s="46">
        <f>IF(Control!$F$47="N",Control!$F$48,1.1)</f>
        <v>0.1</v>
      </c>
      <c r="O47" s="46">
        <f>IF(Control!$F$47="N",Control!$F$48,1.1)</f>
        <v>0.1</v>
      </c>
      <c r="P47" s="46">
        <f>IF(Control!$F$47="N",Control!$F$48,1.1)</f>
        <v>0.1</v>
      </c>
    </row>
    <row r="48" spans="3:16">
      <c r="C48" s="12" t="str">
        <f t="shared" si="3"/>
        <v>CW14</v>
      </c>
      <c r="D48" s="2">
        <f t="shared" si="4"/>
        <v>-51.8</v>
      </c>
      <c r="E48" s="3">
        <f t="shared" si="5"/>
        <v>90</v>
      </c>
      <c r="F48" s="4">
        <f t="shared" si="6"/>
        <v>81</v>
      </c>
      <c r="G48" s="3" t="e">
        <f>'FLS MP'!#REF!</f>
        <v>#REF!</v>
      </c>
      <c r="H48" s="3" t="e">
        <f>'FLS MP'!#REF!</f>
        <v>#REF!</v>
      </c>
      <c r="I48" s="3" t="e">
        <f>IF(OR('FLS MP'!#REF!="n",'FLS MP'!#REF!="i"),$S$8,$T$8)</f>
        <v>#REF!</v>
      </c>
      <c r="J48" s="3" t="e">
        <f>IF(OR('FLS MP'!#REF!="n",'FLS MP'!#REF!="o"),$S$8,$T$8)</f>
        <v>#REF!</v>
      </c>
      <c r="K48" s="3" t="e">
        <f>IF(OR('FLS MP'!#REF!="n",'FLS MP'!#REF!="i"),0.2,0.1)</f>
        <v>#REF!</v>
      </c>
      <c r="L48" s="3" t="e">
        <f>IF(OR('FLS MP'!#REF!="n",'FLS MP'!#REF!="o"),0.2,0.1)</f>
        <v>#REF!</v>
      </c>
      <c r="M48" s="46">
        <f>IF(Control!$F$47="N",Control!$F$48,1.1)</f>
        <v>0.1</v>
      </c>
      <c r="N48" s="46">
        <f>IF(Control!$F$47="N",Control!$F$48,1.1)</f>
        <v>0.1</v>
      </c>
      <c r="O48" s="46">
        <f>IF(Control!$F$47="N",Control!$F$48,1.1)</f>
        <v>0.1</v>
      </c>
      <c r="P48" s="46">
        <f>IF(Control!$F$47="N",Control!$F$48,1.1)</f>
        <v>0.1</v>
      </c>
    </row>
    <row r="49" spans="3:16">
      <c r="C49" s="12" t="str">
        <f t="shared" si="3"/>
        <v>CW15</v>
      </c>
      <c r="D49" s="2">
        <f t="shared" si="4"/>
        <v>-55.8</v>
      </c>
      <c r="E49" s="3">
        <f t="shared" si="5"/>
        <v>81</v>
      </c>
      <c r="F49" s="4">
        <f t="shared" si="6"/>
        <v>81</v>
      </c>
      <c r="G49" s="3" t="e">
        <f>'FLS MP'!#REF!</f>
        <v>#REF!</v>
      </c>
      <c r="H49" s="3" t="e">
        <f>'FLS MP'!#REF!</f>
        <v>#REF!</v>
      </c>
      <c r="I49" s="3" t="e">
        <f>IF(OR('FLS MP'!#REF!="n",'FLS MP'!#REF!="i"),$S$8,$T$8)</f>
        <v>#REF!</v>
      </c>
      <c r="J49" s="3" t="e">
        <f>IF(OR('FLS MP'!#REF!="n",'FLS MP'!#REF!="o"),$S$8,$T$8)</f>
        <v>#REF!</v>
      </c>
      <c r="K49" s="3" t="e">
        <f>IF(OR('FLS MP'!#REF!="n",'FLS MP'!#REF!="i"),0.2,0.1)</f>
        <v>#REF!</v>
      </c>
      <c r="L49" s="3" t="e">
        <f>IF(OR('FLS MP'!#REF!="n",'FLS MP'!#REF!="o"),0.2,0.1)</f>
        <v>#REF!</v>
      </c>
      <c r="M49" s="46">
        <f>IF(Control!$F$47="N",Control!$F$48,1.1)</f>
        <v>0.1</v>
      </c>
      <c r="N49" s="46">
        <f>IF(Control!$F$47="N",Control!$F$48,1.1)</f>
        <v>0.1</v>
      </c>
      <c r="O49" s="46">
        <f>IF(Control!$F$47="N",Control!$F$48,1.1)</f>
        <v>0.1</v>
      </c>
      <c r="P49" s="46">
        <f>IF(Control!$F$47="N",Control!$F$48,1.1)</f>
        <v>0.1</v>
      </c>
    </row>
    <row r="50" spans="3:16">
      <c r="C50" s="12" t="str">
        <f t="shared" si="3"/>
        <v>CW16</v>
      </c>
      <c r="D50" s="2">
        <f t="shared" si="4"/>
        <v>-59.8</v>
      </c>
      <c r="E50" s="3">
        <f t="shared" si="5"/>
        <v>81</v>
      </c>
      <c r="F50" s="4">
        <f t="shared" si="6"/>
        <v>81</v>
      </c>
      <c r="G50" s="3" t="e">
        <f>'FLS MP'!#REF!</f>
        <v>#REF!</v>
      </c>
      <c r="H50" s="3" t="e">
        <f>'FLS MP'!#REF!</f>
        <v>#REF!</v>
      </c>
      <c r="I50" s="3" t="e">
        <f>IF(OR('FLS MP'!#REF!="n",'FLS MP'!#REF!="i"),$S$8,$T$8)</f>
        <v>#REF!</v>
      </c>
      <c r="J50" s="3" t="e">
        <f>IF(OR('FLS MP'!#REF!="n",'FLS MP'!#REF!="o"),$S$8,$T$8)</f>
        <v>#REF!</v>
      </c>
      <c r="K50" s="3" t="e">
        <f>IF(OR('FLS MP'!#REF!="n",'FLS MP'!#REF!="i"),0.2,0.1)</f>
        <v>#REF!</v>
      </c>
      <c r="L50" s="3" t="e">
        <f>IF(OR('FLS MP'!#REF!="n",'FLS MP'!#REF!="o"),0.2,0.1)</f>
        <v>#REF!</v>
      </c>
      <c r="M50" s="46">
        <f>IF(Control!$F$47="N",Control!$F$48,1.1)</f>
        <v>0.1</v>
      </c>
      <c r="N50" s="46">
        <f>IF(Control!$F$47="N",Control!$F$48,1.1)</f>
        <v>0.1</v>
      </c>
      <c r="O50" s="46">
        <f>IF(Control!$F$47="N",Control!$F$48,1.1)</f>
        <v>0.1</v>
      </c>
      <c r="P50" s="46">
        <f>IF(Control!$F$47="N",Control!$F$48,1.1)</f>
        <v>0.1</v>
      </c>
    </row>
    <row r="51" spans="3:16">
      <c r="C51" s="12" t="str">
        <f t="shared" si="3"/>
        <v>CW17</v>
      </c>
      <c r="D51" s="2">
        <f t="shared" si="4"/>
        <v>-63.8</v>
      </c>
      <c r="E51" s="3">
        <f t="shared" si="5"/>
        <v>81</v>
      </c>
      <c r="F51" s="4">
        <f t="shared" si="6"/>
        <v>81</v>
      </c>
      <c r="G51" s="3" t="e">
        <f>'FLS MP'!#REF!</f>
        <v>#REF!</v>
      </c>
      <c r="H51" s="3" t="e">
        <f>'FLS MP'!#REF!</f>
        <v>#REF!</v>
      </c>
      <c r="I51" s="3" t="e">
        <f>IF(OR('FLS MP'!#REF!="n",'FLS MP'!#REF!="i"),$S$8,$T$8)</f>
        <v>#REF!</v>
      </c>
      <c r="J51" s="3" t="e">
        <f>IF(OR('FLS MP'!#REF!="n",'FLS MP'!#REF!="o"),$S$8,$T$8)</f>
        <v>#REF!</v>
      </c>
      <c r="K51" s="3" t="e">
        <f>IF(OR('FLS MP'!#REF!="n",'FLS MP'!#REF!="i"),0.2,0.1)</f>
        <v>#REF!</v>
      </c>
      <c r="L51" s="3" t="e">
        <f>IF(OR('FLS MP'!#REF!="n",'FLS MP'!#REF!="o"),0.2,0.1)</f>
        <v>#REF!</v>
      </c>
      <c r="M51" s="46">
        <f>IF(Control!$F$47="N",Control!$F$48,1.1)</f>
        <v>0.1</v>
      </c>
      <c r="N51" s="46">
        <f>IF(Control!$F$47="N",Control!$F$48,1.1)</f>
        <v>0.1</v>
      </c>
      <c r="O51" s="46">
        <f>IF(Control!$F$47="N",Control!$F$48,1.1)</f>
        <v>0.1</v>
      </c>
      <c r="P51" s="46">
        <f>IF(Control!$F$47="N",Control!$F$48,1.1)</f>
        <v>0.1</v>
      </c>
    </row>
    <row r="52" spans="3:16">
      <c r="C52" s="12" t="str">
        <f t="shared" si="3"/>
        <v>CW18</v>
      </c>
      <c r="D52" s="2">
        <f t="shared" si="4"/>
        <v>-67.8</v>
      </c>
      <c r="E52" s="3">
        <f t="shared" si="5"/>
        <v>81</v>
      </c>
      <c r="F52" s="4">
        <f t="shared" si="6"/>
        <v>81</v>
      </c>
      <c r="G52" s="3" t="e">
        <f>'FLS MP'!#REF!</f>
        <v>#REF!</v>
      </c>
      <c r="H52" s="3" t="e">
        <f>'FLS MP'!#REF!</f>
        <v>#REF!</v>
      </c>
      <c r="I52" s="3" t="e">
        <f>IF(OR('FLS MP'!#REF!="n",'FLS MP'!#REF!="i"),$S$8,$T$8)</f>
        <v>#REF!</v>
      </c>
      <c r="J52" s="3" t="e">
        <f>IF(OR('FLS MP'!#REF!="n",'FLS MP'!#REF!="o"),$S$8,$T$8)</f>
        <v>#REF!</v>
      </c>
      <c r="K52" s="3" t="e">
        <f>IF(OR('FLS MP'!#REF!="n",'FLS MP'!#REF!="i"),0.2,0.1)</f>
        <v>#REF!</v>
      </c>
      <c r="L52" s="3" t="e">
        <f>IF(OR('FLS MP'!#REF!="n",'FLS MP'!#REF!="o"),0.2,0.1)</f>
        <v>#REF!</v>
      </c>
      <c r="M52" s="46">
        <f>IF(Control!$F$47="N",Control!$F$48,1.1)</f>
        <v>0.1</v>
      </c>
      <c r="N52" s="46">
        <f>IF(Control!$F$47="N",Control!$F$48,1.1)</f>
        <v>0.1</v>
      </c>
      <c r="O52" s="46">
        <f>IF(Control!$F$47="N",Control!$F$48,1.1)</f>
        <v>0.1</v>
      </c>
      <c r="P52" s="46">
        <f>IF(Control!$F$47="N",Control!$F$48,1.1)</f>
        <v>0.1</v>
      </c>
    </row>
    <row r="53" spans="3:16">
      <c r="C53" s="12" t="str">
        <f t="shared" si="3"/>
        <v>CW19</v>
      </c>
      <c r="D53" s="2">
        <f t="shared" si="4"/>
        <v>-71.8</v>
      </c>
      <c r="E53" s="3">
        <f t="shared" si="5"/>
        <v>81</v>
      </c>
      <c r="F53" s="4" t="e">
        <f t="shared" si="6"/>
        <v>#REF!</v>
      </c>
      <c r="G53" s="3" t="e">
        <f>'FLS MP'!#REF!</f>
        <v>#REF!</v>
      </c>
      <c r="H53" s="3" t="e">
        <f>'FLS MP'!#REF!</f>
        <v>#REF!</v>
      </c>
      <c r="I53" s="3" t="e">
        <f>IF(OR('FLS MP'!#REF!="n",'FLS MP'!#REF!="i"),$S$8,$T$8)</f>
        <v>#REF!</v>
      </c>
      <c r="J53" s="3" t="e">
        <f>IF(OR('FLS MP'!#REF!="n",'FLS MP'!#REF!="o"),$S$8,$T$8)</f>
        <v>#REF!</v>
      </c>
      <c r="K53" s="3" t="e">
        <f>IF(OR('FLS MP'!#REF!="n",'FLS MP'!#REF!="i"),0.2,0.1)</f>
        <v>#REF!</v>
      </c>
      <c r="L53" s="3" t="e">
        <f>IF(OR('FLS MP'!#REF!="n",'FLS MP'!#REF!="o"),0.2,0.1)</f>
        <v>#REF!</v>
      </c>
      <c r="M53" s="46">
        <f>IF(Control!$F$47="N",Control!$F$48,1.1)</f>
        <v>0.1</v>
      </c>
      <c r="N53" s="46">
        <f>IF(Control!$F$47="N",Control!$F$48,1.1)</f>
        <v>0.1</v>
      </c>
      <c r="O53" s="46">
        <f>IF(Control!$F$47="N",Control!$F$48,1.1)</f>
        <v>0.1</v>
      </c>
      <c r="P53" s="46">
        <f>IF(Control!$F$47="N",Control!$F$48,1.1)</f>
        <v>0.1</v>
      </c>
    </row>
    <row r="54" spans="3:16">
      <c r="C54" s="12" t="str">
        <f t="shared" si="3"/>
        <v>CW20</v>
      </c>
      <c r="D54" s="2" t="e">
        <f t="shared" si="4"/>
        <v>#REF!</v>
      </c>
      <c r="E54" s="3" t="e">
        <f t="shared" si="5"/>
        <v>#REF!</v>
      </c>
      <c r="F54" s="4">
        <f t="shared" si="6"/>
        <v>90</v>
      </c>
      <c r="G54" s="3" t="e">
        <f>'FLS MP'!#REF!</f>
        <v>#REF!</v>
      </c>
      <c r="H54" s="3" t="e">
        <f>'FLS MP'!#REF!</f>
        <v>#REF!</v>
      </c>
      <c r="I54" s="3" t="e">
        <f>IF(OR('FLS MP'!#REF!="n",'FLS MP'!#REF!="i"),$S$8,$T$8)</f>
        <v>#REF!</v>
      </c>
      <c r="J54" s="3" t="e">
        <f>IF(OR('FLS MP'!#REF!="n",'FLS MP'!#REF!="o"),$S$8,$T$8)</f>
        <v>#REF!</v>
      </c>
      <c r="K54" s="3" t="e">
        <f>IF(OR('FLS MP'!#REF!="n",'FLS MP'!#REF!="i"),0.2,0.1)</f>
        <v>#REF!</v>
      </c>
      <c r="L54" s="3" t="e">
        <f>IF(OR('FLS MP'!#REF!="n",'FLS MP'!#REF!="o"),0.2,0.1)</f>
        <v>#REF!</v>
      </c>
      <c r="M54" s="46">
        <f>IF(Control!$F$47="N",Control!$F$48,1.1)</f>
        <v>0.1</v>
      </c>
      <c r="N54" s="46">
        <f>IF(Control!$F$47="N",Control!$F$48,1.1)</f>
        <v>0.1</v>
      </c>
      <c r="O54" s="46">
        <f>IF(Control!$F$47="N",Control!$F$48,1.1)</f>
        <v>0.1</v>
      </c>
      <c r="P54" s="46">
        <f>IF(Control!$F$47="N",Control!$F$48,1.1)</f>
        <v>0.1</v>
      </c>
    </row>
    <row r="55" spans="3:16">
      <c r="C55" s="12" t="str">
        <f t="shared" si="3"/>
        <v>CW21</v>
      </c>
      <c r="D55" s="2">
        <f t="shared" si="4"/>
        <v>-75.8</v>
      </c>
      <c r="E55" s="3">
        <f t="shared" si="5"/>
        <v>90</v>
      </c>
      <c r="F55" s="4">
        <f t="shared" si="6"/>
        <v>95</v>
      </c>
      <c r="G55" s="3" t="e">
        <f>'FLS MP'!#REF!</f>
        <v>#REF!</v>
      </c>
      <c r="H55" s="3" t="e">
        <f>'FLS MP'!#REF!</f>
        <v>#REF!</v>
      </c>
      <c r="I55" s="3" t="e">
        <f>IF(OR('FLS MP'!#REF!="n",'FLS MP'!#REF!="i"),$S$8,$T$8)</f>
        <v>#REF!</v>
      </c>
      <c r="J55" s="3" t="e">
        <f>IF(OR('FLS MP'!#REF!="n",'FLS MP'!#REF!="o"),$S$8,$T$8)</f>
        <v>#REF!</v>
      </c>
      <c r="K55" s="3" t="e">
        <f>IF(OR('FLS MP'!#REF!="n",'FLS MP'!#REF!="i"),0.2,0.1)</f>
        <v>#REF!</v>
      </c>
      <c r="L55" s="3" t="e">
        <f>IF(OR('FLS MP'!#REF!="n",'FLS MP'!#REF!="o"),0.2,0.1)</f>
        <v>#REF!</v>
      </c>
      <c r="M55" s="46">
        <f>IF(Control!$F$47="N",Control!$F$48,1.1)</f>
        <v>0.1</v>
      </c>
      <c r="N55" s="46">
        <f>IF(Control!$F$47="N",Control!$F$48,1.1)</f>
        <v>0.1</v>
      </c>
      <c r="O55" s="46">
        <f>IF(Control!$F$47="N",Control!$F$48,1.1)</f>
        <v>0.1</v>
      </c>
      <c r="P55" s="46">
        <f>IF(Control!$F$47="N",Control!$F$48,1.1)</f>
        <v>0.1</v>
      </c>
    </row>
    <row r="56" spans="3:16">
      <c r="C56" s="12" t="str">
        <f t="shared" si="3"/>
        <v>CW22</v>
      </c>
      <c r="D56" s="2">
        <f t="shared" si="4"/>
        <v>-79.73</v>
      </c>
      <c r="E56" s="3">
        <f t="shared" si="5"/>
        <v>95</v>
      </c>
      <c r="F56" s="4">
        <f t="shared" si="6"/>
        <v>100</v>
      </c>
      <c r="G56" s="3" t="e">
        <f>'FLS MP'!#REF!</f>
        <v>#REF!</v>
      </c>
      <c r="H56" s="3" t="e">
        <f>'FLS MP'!#REF!</f>
        <v>#REF!</v>
      </c>
      <c r="I56" s="3" t="e">
        <f>IF(OR('FLS MP'!#REF!="n",'FLS MP'!#REF!="i"),$S$8,$T$8)</f>
        <v>#REF!</v>
      </c>
      <c r="J56" s="3" t="e">
        <f>IF(OR('FLS MP'!#REF!="n",'FLS MP'!#REF!="o"),$S$8,$T$8)</f>
        <v>#REF!</v>
      </c>
      <c r="K56" s="3" t="e">
        <f>IF(OR('FLS MP'!#REF!="n",'FLS MP'!#REF!="i"),0.2,0.1)</f>
        <v>#REF!</v>
      </c>
      <c r="L56" s="3" t="e">
        <f>IF(OR('FLS MP'!#REF!="n",'FLS MP'!#REF!="o"),0.2,0.1)</f>
        <v>#REF!</v>
      </c>
      <c r="M56" s="46">
        <f>IF(Control!$F$47="N",Control!$F$48,1.1)</f>
        <v>0.1</v>
      </c>
      <c r="N56" s="46">
        <f>IF(Control!$F$47="N",Control!$F$48,1.1)</f>
        <v>0.1</v>
      </c>
      <c r="O56" s="46">
        <f>IF(Control!$F$47="N",Control!$F$48,1.1)</f>
        <v>0.1</v>
      </c>
      <c r="P56" s="46">
        <f>IF(Control!$F$47="N",Control!$F$48,1.1)</f>
        <v>0.1</v>
      </c>
    </row>
    <row r="59" spans="3:16">
      <c r="C59" s="35" t="s">
        <v>208</v>
      </c>
    </row>
    <row r="60" spans="3:16" ht="14.85" customHeight="1">
      <c r="C60" s="317" t="s">
        <v>150</v>
      </c>
      <c r="D60" s="317" t="s">
        <v>282</v>
      </c>
      <c r="E60" s="317" t="s">
        <v>5</v>
      </c>
      <c r="F60" s="317" t="s">
        <v>193</v>
      </c>
      <c r="G60" s="317" t="s">
        <v>231</v>
      </c>
      <c r="H60" s="317" t="s">
        <v>91</v>
      </c>
      <c r="I60" s="317" t="s">
        <v>49</v>
      </c>
      <c r="J60" s="317" t="s">
        <v>60</v>
      </c>
      <c r="L60" s="317" t="s">
        <v>568</v>
      </c>
    </row>
    <row r="61" spans="3:16">
      <c r="C61" s="318">
        <v>0</v>
      </c>
      <c r="D61" s="318">
        <v>0</v>
      </c>
      <c r="E61" s="318"/>
      <c r="F61" s="318"/>
      <c r="G61" s="318"/>
      <c r="H61" s="318"/>
      <c r="I61" s="318"/>
      <c r="J61" s="318"/>
      <c r="L61" s="318"/>
    </row>
    <row r="62" spans="3:16">
      <c r="C62" s="30" t="s">
        <v>16</v>
      </c>
      <c r="D62" s="30" t="str">
        <f>"[m"&amp;Control!$F$7&amp;"]"</f>
        <v>[mLAT]</v>
      </c>
      <c r="E62" s="30" t="s">
        <v>10</v>
      </c>
      <c r="F62" s="30" t="s">
        <v>16</v>
      </c>
      <c r="G62" s="30" t="s">
        <v>77</v>
      </c>
      <c r="H62" s="31" t="s">
        <v>16</v>
      </c>
      <c r="I62" s="31" t="s">
        <v>16</v>
      </c>
      <c r="J62" s="31" t="s">
        <v>16</v>
      </c>
      <c r="L62" s="31" t="s">
        <v>16</v>
      </c>
    </row>
    <row r="63" spans="3:16">
      <c r="C63" s="12" t="str">
        <f>Geometry!AD28</f>
        <v>MP3-01-01</v>
      </c>
      <c r="D63" s="2">
        <f>Geometry!AF28</f>
        <v>4.5999999999999996</v>
      </c>
      <c r="E63" s="3">
        <f>Geometry!AM28</f>
        <v>108</v>
      </c>
      <c r="F63" s="4">
        <f>Geometry!AG28</f>
        <v>1.1000000000000001</v>
      </c>
      <c r="G63" s="192">
        <f>IF(Geometry!AI28="n",$S$9,IF(Geometry!AI28="g",$T$9,IF(Geometry!AI28="o",$U$9,IF(OR(Geometry!AI28="nn",Geometry!AI28="gn"),$S$10))))</f>
        <v>100</v>
      </c>
      <c r="H63" s="47">
        <f>IF(AND(Geometry!AI28="o",'FLS MP'!$AG$11,$T$3="DNV"),4,3)</f>
        <v>3</v>
      </c>
      <c r="I63" s="192">
        <f>IF(Geometry!AI28="n",'FLS MP'!$AG$11,IF(Geometry!AI28="g",'FLS MP'!$AG$12,IF(Geometry!AI28="o",'FLS MP'!$AG$14,IF(OR(Geometry!AI28="nn",Geometry!AI28="gn"),0))))</f>
        <v>0.3</v>
      </c>
      <c r="J63" s="46">
        <f>IF(UPPER(Control!$F$47)="N",Control!$F$58,1.1)</f>
        <v>0</v>
      </c>
      <c r="L63" s="192">
        <f>IF(AND(Geometry!AI28="gn",OR(G63=131.62,G63=225)),$S$11,1)</f>
        <v>1</v>
      </c>
    </row>
    <row r="64" spans="3:16">
      <c r="C64" s="12" t="str">
        <f>Geometry!AD29</f>
        <v>MP3-01-02</v>
      </c>
      <c r="D64" s="2">
        <f>Geometry!AF29</f>
        <v>3.5999999999999996</v>
      </c>
      <c r="E64" s="3">
        <f>Geometry!AM29</f>
        <v>108</v>
      </c>
      <c r="F64" s="4">
        <f>Geometry!AG29</f>
        <v>1.4</v>
      </c>
      <c r="G64" s="192">
        <f>IF(Geometry!AI29="n",$S$9,IF(Geometry!AI29="g",$T$9,IF(Geometry!AI29="o",$U$9,IF(OR(Geometry!AI29="nn",Geometry!AI29="gn"),$S$10))))</f>
        <v>112</v>
      </c>
      <c r="H64" s="47">
        <f>IF(AND(Geometry!AI29="o",'FLS MP'!$AG$11,$T$3="DNV"),4,3)</f>
        <v>3</v>
      </c>
      <c r="I64" s="192">
        <f>IF(Geometry!AI29="n",'FLS MP'!$AG$11,IF(Geometry!AI29="g",'FLS MP'!$AG$12,IF(Geometry!AI29="o",'FLS MP'!$AG$14,IF(OR(Geometry!AI29="nn",Geometry!AI29="gn"),0))))</f>
        <v>0.2</v>
      </c>
      <c r="J64" s="46">
        <f>IF(UPPER(Control!$F$47)="N",Control!$F$58,1.1)</f>
        <v>0</v>
      </c>
      <c r="L64" s="192">
        <f>IF(AND(Geometry!AI29="gn",OR(G64=131.62,G64=225)),$S$11,1)</f>
        <v>1</v>
      </c>
    </row>
    <row r="65" spans="3:12">
      <c r="C65" s="12" t="str">
        <f>Geometry!AD30</f>
        <v>MP3-01-03</v>
      </c>
      <c r="D65" s="2">
        <f>Geometry!AF30</f>
        <v>4.5</v>
      </c>
      <c r="E65" s="3">
        <f>Geometry!AM30</f>
        <v>108</v>
      </c>
      <c r="F65" s="4">
        <f>Geometry!AG30</f>
        <v>1.1499999999999999</v>
      </c>
      <c r="G65" s="192">
        <f>IF(Geometry!AI30="n",$S$9,IF(Geometry!AI30="g",$T$9,IF(Geometry!AI30="o",$U$9,IF(OR(Geometry!AI30="nn",Geometry!AI30="gn"),$S$10))))</f>
        <v>112</v>
      </c>
      <c r="H65" s="47">
        <f>IF(AND(Geometry!AI30="o",'FLS MP'!$AG$11,$T$3="DNV"),4,3)</f>
        <v>3</v>
      </c>
      <c r="I65" s="192">
        <f>IF(Geometry!AI30="n",'FLS MP'!$AG$11,IF(Geometry!AI30="g",'FLS MP'!$AG$12,IF(Geometry!AI30="o",'FLS MP'!$AG$14,IF(OR(Geometry!AI30="nn",Geometry!AI30="gn"),0))))</f>
        <v>0.2</v>
      </c>
      <c r="J65" s="46">
        <f>IF(UPPER(Control!$F$47)="N",Control!$F$58,1.1)</f>
        <v>0</v>
      </c>
      <c r="L65" s="192">
        <f>IF(AND(Geometry!AI30="gn",OR(G65=131.62,G65=225)),$S$11,1)</f>
        <v>1</v>
      </c>
    </row>
    <row r="66" spans="3:12">
      <c r="C66" s="12" t="str">
        <f>Geometry!AD31</f>
        <v>MP9-01</v>
      </c>
      <c r="D66" s="2">
        <f>Geometry!AF31</f>
        <v>-12.3575</v>
      </c>
      <c r="E66" s="3">
        <f>Geometry!AM31</f>
        <v>106</v>
      </c>
      <c r="F66" s="4">
        <f>Geometry!AG31</f>
        <v>2</v>
      </c>
      <c r="G66" s="192">
        <f>IF(Geometry!AI31="n",$S$9,IF(Geometry!AI31="g",$T$9,IF(Geometry!AI31="o",$U$9,IF(OR(Geometry!AI31="nn",Geometry!AI31="gn"),$S$10))))</f>
        <v>140</v>
      </c>
      <c r="H66" s="47">
        <f>IF(AND(Geometry!AI31="o",'FLS MP'!$AG$11,$T$3="DNV"),4,3)</f>
        <v>3</v>
      </c>
      <c r="I66" s="192">
        <f>IF(Geometry!AI31="n",'FLS MP'!$AG$11,IF(Geometry!AI31="g",'FLS MP'!$AG$12,IF(Geometry!AI31="o",'FLS MP'!$AG$14,IF(OR(Geometry!AI31="nn",Geometry!AI31="gn"),0))))</f>
        <v>0.1</v>
      </c>
      <c r="J66" s="46">
        <f>IF(UPPER(Control!$F$47)="N",Control!$F$58,1.1)</f>
        <v>0</v>
      </c>
      <c r="L66" s="192">
        <f>IF(AND(Geometry!AI31="gn",OR(G66=131.62,G66=225)),$S$11,1)</f>
        <v>1</v>
      </c>
    </row>
    <row r="67" spans="3:12">
      <c r="C67" s="12" t="str">
        <f>Geometry!AD32</f>
        <v>MP11-01</v>
      </c>
      <c r="D67" s="2">
        <f>Geometry!AF32</f>
        <v>-22.715</v>
      </c>
      <c r="E67" s="3">
        <f>Geometry!AM32</f>
        <v>93</v>
      </c>
      <c r="F67" s="4">
        <f>Geometry!AG32</f>
        <v>1.56</v>
      </c>
      <c r="G67" s="192">
        <f>IF(Geometry!AI32="n",$S$9,IF(Geometry!AI32="g",$T$9,IF(Geometry!AI32="o",$U$9,IF(OR(Geometry!AI32="nn",Geometry!AI32="gn"),$S$10))))</f>
        <v>140</v>
      </c>
      <c r="H67" s="47">
        <f>IF(AND(Geometry!AI32="o",'FLS MP'!$AG$11,$T$3="DNV"),4,3)</f>
        <v>3</v>
      </c>
      <c r="I67" s="192">
        <f>IF(Geometry!AI32="n",'FLS MP'!$AG$11,IF(Geometry!AI32="g",'FLS MP'!$AG$12,IF(Geometry!AI32="o",'FLS MP'!$AG$14,IF(OR(Geometry!AI32="nn",Geometry!AI32="gn"),0))))</f>
        <v>0.1</v>
      </c>
      <c r="J67" s="46">
        <f>IF(UPPER(Control!$F$47)="N",Control!$F$58,1.1)</f>
        <v>0</v>
      </c>
      <c r="L67" s="192">
        <f>IF(AND(Geometry!AI32="gn",OR(G67=131.62,G67=225)),$S$11,1)</f>
        <v>1</v>
      </c>
    </row>
    <row r="68" spans="3:12">
      <c r="C68" s="12" t="e">
        <f>Geometry!#REF!</f>
        <v>#REF!</v>
      </c>
      <c r="D68" s="2" t="e">
        <f>Geometry!#REF!</f>
        <v>#REF!</v>
      </c>
      <c r="E68" s="3" t="e">
        <f>Geometry!#REF!</f>
        <v>#REF!</v>
      </c>
      <c r="F68" s="4" t="e">
        <f>Geometry!#REF!</f>
        <v>#REF!</v>
      </c>
      <c r="G68" s="192" t="e">
        <f>IF(Geometry!#REF!="n",$S$9,IF(Geometry!#REF!="g",$T$9,IF(Geometry!#REF!="o",$U$9,IF(OR(Geometry!#REF!="nn",Geometry!#REF!="gn"),$S$10))))</f>
        <v>#REF!</v>
      </c>
      <c r="H68" s="47" t="e">
        <f>IF(AND(Geometry!#REF!="o",'FLS MP'!$AG$11,$T$3="DNV"),4,3)</f>
        <v>#REF!</v>
      </c>
      <c r="I68" s="192" t="e">
        <f>IF(Geometry!#REF!="n",'FLS MP'!$AG$11,IF(Geometry!#REF!="g",'FLS MP'!$AG$12,IF(Geometry!#REF!="o",'FLS MP'!$AG$14,IF(OR(Geometry!#REF!="nn",Geometry!#REF!="gn"),0))))</f>
        <v>#REF!</v>
      </c>
      <c r="J68" s="46">
        <f>IF(UPPER(Control!$F$47)="N",Control!$F$58,1.1)</f>
        <v>0</v>
      </c>
      <c r="L68" s="192" t="e">
        <f>IF(AND(Geometry!#REF!="gn",OR(G68=131.62,G68=225)),$S$11,1)</f>
        <v>#REF!</v>
      </c>
    </row>
    <row r="69" spans="3:12">
      <c r="C69" s="12" t="e">
        <f>Geometry!#REF!</f>
        <v>#REF!</v>
      </c>
      <c r="D69" s="2" t="e">
        <f>Geometry!#REF!</f>
        <v>#REF!</v>
      </c>
      <c r="E69" s="3" t="e">
        <f>Geometry!#REF!</f>
        <v>#REF!</v>
      </c>
      <c r="F69" s="4" t="e">
        <f>Geometry!#REF!</f>
        <v>#REF!</v>
      </c>
      <c r="G69" s="192" t="e">
        <f>IF(Geometry!#REF!="n",$S$9,IF(Geometry!#REF!="g",$T$9,IF(Geometry!#REF!="o",$U$9,IF(OR(Geometry!#REF!="nn",Geometry!#REF!="gn"),$S$10))))</f>
        <v>#REF!</v>
      </c>
      <c r="H69" s="47" t="e">
        <f>IF(AND(Geometry!#REF!="o",'FLS MP'!$AG$11,$T$3="DNV"),4,3)</f>
        <v>#REF!</v>
      </c>
      <c r="I69" s="192" t="e">
        <f>IF(Geometry!#REF!="n",'FLS MP'!$AG$11,IF(Geometry!#REF!="g",'FLS MP'!$AG$12,IF(Geometry!#REF!="o",'FLS MP'!$AG$14,IF(OR(Geometry!#REF!="nn",Geometry!#REF!="gn"),0))))</f>
        <v>#REF!</v>
      </c>
      <c r="J69" s="46">
        <f>IF(UPPER(Control!$F$47)="N",Control!$F$58,1.1)</f>
        <v>0</v>
      </c>
      <c r="L69" s="192" t="e">
        <f>IF(AND(Geometry!#REF!="gn",OR(G69=131.62,G69=225)),$S$11,1)</f>
        <v>#REF!</v>
      </c>
    </row>
    <row r="70" spans="3:12">
      <c r="C70" s="12" t="e">
        <f>Geometry!#REF!</f>
        <v>#REF!</v>
      </c>
      <c r="D70" s="2" t="e">
        <f>Geometry!#REF!</f>
        <v>#REF!</v>
      </c>
      <c r="E70" s="3" t="e">
        <f>Geometry!#REF!</f>
        <v>#REF!</v>
      </c>
      <c r="F70" s="4" t="e">
        <f>Geometry!#REF!</f>
        <v>#REF!</v>
      </c>
      <c r="G70" s="192" t="e">
        <f>IF(Geometry!#REF!="n",$S$9,IF(Geometry!#REF!="g",$T$9,IF(Geometry!#REF!="o",$U$9,IF(OR(Geometry!#REF!="nn",Geometry!#REF!="gn"),$S$10))))</f>
        <v>#REF!</v>
      </c>
      <c r="H70" s="47" t="e">
        <f>IF(AND(Geometry!#REF!="o",'FLS MP'!$AG$11,$T$3="DNV"),4,3)</f>
        <v>#REF!</v>
      </c>
      <c r="I70" s="192" t="e">
        <f>IF(Geometry!#REF!="n",'FLS MP'!$AG$11,IF(Geometry!#REF!="g",'FLS MP'!$AG$12,IF(Geometry!#REF!="o",'FLS MP'!$AG$14,IF(OR(Geometry!#REF!="nn",Geometry!#REF!="gn"),0))))</f>
        <v>#REF!</v>
      </c>
      <c r="J70" s="46">
        <f>IF(UPPER(Control!$F$47)="N",Control!$F$58,1.1)</f>
        <v>0</v>
      </c>
      <c r="L70" s="192" t="e">
        <f>IF(AND(Geometry!#REF!="gn",OR(G70=131.62,G70=225)),$S$11,1)</f>
        <v>#REF!</v>
      </c>
    </row>
    <row r="71" spans="3:12">
      <c r="C71" s="12" t="e">
        <f>Geometry!#REF!</f>
        <v>#REF!</v>
      </c>
      <c r="D71" s="2" t="e">
        <f>Geometry!#REF!</f>
        <v>#REF!</v>
      </c>
      <c r="E71" s="3" t="e">
        <f>Geometry!#REF!</f>
        <v>#REF!</v>
      </c>
      <c r="F71" s="4" t="e">
        <f>Geometry!#REF!</f>
        <v>#REF!</v>
      </c>
      <c r="G71" s="192" t="e">
        <f>IF(Geometry!#REF!="n",$S$9,IF(Geometry!#REF!="g",$T$9,IF(Geometry!#REF!="o",$U$9,IF(OR(Geometry!#REF!="nn",Geometry!#REF!="gn"),$S$10))))</f>
        <v>#REF!</v>
      </c>
      <c r="H71" s="47" t="e">
        <f>IF(AND(Geometry!#REF!="o",'FLS MP'!$AG$11,$T$3="DNV"),4,3)</f>
        <v>#REF!</v>
      </c>
      <c r="I71" s="192" t="e">
        <f>IF(Geometry!#REF!="n",'FLS MP'!$AG$11,IF(Geometry!#REF!="g",'FLS MP'!$AG$12,IF(Geometry!#REF!="o",'FLS MP'!$AG$14,IF(OR(Geometry!#REF!="nn",Geometry!#REF!="gn"),0))))</f>
        <v>#REF!</v>
      </c>
      <c r="J71" s="46">
        <f>IF(UPPER(Control!$F$47)="N",Control!$F$58,1.1)</f>
        <v>0</v>
      </c>
      <c r="L71" s="192" t="e">
        <f>IF(AND(Geometry!#REF!="gn",OR(G71=131.62,G71=225)),$S$11,1)</f>
        <v>#REF!</v>
      </c>
    </row>
    <row r="72" spans="3:12">
      <c r="C72" s="12" t="e">
        <f>Geometry!#REF!</f>
        <v>#REF!</v>
      </c>
      <c r="D72" s="2" t="e">
        <f>Geometry!#REF!</f>
        <v>#REF!</v>
      </c>
      <c r="E72" s="3" t="e">
        <f>Geometry!#REF!</f>
        <v>#REF!</v>
      </c>
      <c r="F72" s="4" t="e">
        <f>Geometry!#REF!</f>
        <v>#REF!</v>
      </c>
      <c r="G72" s="192" t="e">
        <f>IF(Geometry!#REF!="n",$S$9,IF(Geometry!#REF!="g",$T$9,IF(Geometry!#REF!="o",$U$9,IF(OR(Geometry!#REF!="nn",Geometry!#REF!="gn"),$S$10))))</f>
        <v>#REF!</v>
      </c>
      <c r="H72" s="47" t="e">
        <f>IF(AND(Geometry!#REF!="o",'FLS MP'!$AG$11,$T$3="DNV"),4,3)</f>
        <v>#REF!</v>
      </c>
      <c r="I72" s="192" t="e">
        <f>IF(Geometry!#REF!="n",'FLS MP'!$AG$11,IF(Geometry!#REF!="g",'FLS MP'!$AG$12,IF(Geometry!#REF!="o",'FLS MP'!$AG$14,IF(OR(Geometry!#REF!="nn",Geometry!#REF!="gn"),0))))</f>
        <v>#REF!</v>
      </c>
      <c r="J72" s="46">
        <f>IF(UPPER(Control!$F$47)="N",Control!$F$58,1.1)</f>
        <v>0</v>
      </c>
      <c r="L72" s="192" t="e">
        <f>IF(AND(Geometry!#REF!="gn",OR(G72=131.62,G72=225)),$S$11,1)</f>
        <v>#REF!</v>
      </c>
    </row>
    <row r="73" spans="3:12">
      <c r="C73" s="12" t="e">
        <f>Geometry!#REF!</f>
        <v>#REF!</v>
      </c>
      <c r="D73" s="2" t="e">
        <f>Geometry!#REF!</f>
        <v>#REF!</v>
      </c>
      <c r="E73" s="3" t="e">
        <f>Geometry!#REF!</f>
        <v>#REF!</v>
      </c>
      <c r="F73" s="4" t="e">
        <f>Geometry!#REF!</f>
        <v>#REF!</v>
      </c>
      <c r="G73" s="192" t="e">
        <f>IF(Geometry!#REF!="n",$S$9,IF(Geometry!#REF!="g",$T$9,IF(Geometry!#REF!="o",$U$9,IF(OR(Geometry!#REF!="nn",Geometry!#REF!="gn"),$S$10))))</f>
        <v>#REF!</v>
      </c>
      <c r="H73" s="47" t="e">
        <f>IF(AND(Geometry!#REF!="o",'FLS MP'!$AG$11,$T$3="DNV"),4,3)</f>
        <v>#REF!</v>
      </c>
      <c r="I73" s="192" t="e">
        <f>IF(Geometry!#REF!="n",'FLS MP'!$AG$11,IF(Geometry!#REF!="g",'FLS MP'!$AG$12,IF(Geometry!#REF!="o",'FLS MP'!$AG$14,IF(OR(Geometry!#REF!="nn",Geometry!#REF!="gn"),0))))</f>
        <v>#REF!</v>
      </c>
      <c r="J73" s="46">
        <f>IF(UPPER(Control!$F$47)="N",Control!$F$58,1.1)</f>
        <v>0</v>
      </c>
      <c r="L73" s="192" t="e">
        <f>IF(AND(Geometry!#REF!="gn",OR(G73=131.62,G73=225)),$S$11,1)</f>
        <v>#REF!</v>
      </c>
    </row>
  </sheetData>
  <sheetProtection sheet="1" objects="1" scenarios="1"/>
  <mergeCells count="25">
    <mergeCell ref="M31:N31"/>
    <mergeCell ref="O31:P31"/>
    <mergeCell ref="N32:N33"/>
    <mergeCell ref="O32:O33"/>
    <mergeCell ref="P32:P33"/>
    <mergeCell ref="I60:I61"/>
    <mergeCell ref="J60:J61"/>
    <mergeCell ref="L32:L33"/>
    <mergeCell ref="M32:M33"/>
    <mergeCell ref="G60:G61"/>
    <mergeCell ref="I32:I33"/>
    <mergeCell ref="J32:J33"/>
    <mergeCell ref="K32:K33"/>
    <mergeCell ref="L60:L61"/>
    <mergeCell ref="C60:C61"/>
    <mergeCell ref="D60:D61"/>
    <mergeCell ref="E60:E61"/>
    <mergeCell ref="G32:G33"/>
    <mergeCell ref="H32:H33"/>
    <mergeCell ref="F32:F33"/>
    <mergeCell ref="E32:E33"/>
    <mergeCell ref="C32:C33"/>
    <mergeCell ref="D32:D33"/>
    <mergeCell ref="H60:H61"/>
    <mergeCell ref="F60:F61"/>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FLS_analysis_MP_driving">
                <anchor moveWithCells="1" sizeWithCells="1">
                  <from>
                    <xdr:col>12</xdr:col>
                    <xdr:colOff>0</xdr:colOff>
                    <xdr:row>3</xdr:row>
                    <xdr:rowOff>0</xdr:rowOff>
                  </from>
                  <to>
                    <xdr:col>14</xdr:col>
                    <xdr:colOff>0</xdr:colOff>
                    <xdr:row>6</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F5CF1-017C-4B00-AA6A-B55ADB21DF68}">
  <sheetPr codeName="Tabelle25">
    <pageSetUpPr fitToPage="1"/>
  </sheetPr>
  <dimension ref="C2:N109"/>
  <sheetViews>
    <sheetView workbookViewId="0">
      <selection activeCell="C2" sqref="C2"/>
    </sheetView>
  </sheetViews>
  <sheetFormatPr baseColWidth="10" defaultColWidth="11.44140625" defaultRowHeight="14.4"/>
  <cols>
    <col min="1" max="2" width="11.44140625" customWidth="1"/>
    <col min="3" max="3" width="18.44140625" customWidth="1"/>
    <col min="4" max="11" width="11.44140625" customWidth="1"/>
  </cols>
  <sheetData>
    <row r="2" spans="3:14">
      <c r="C2" s="35" t="str">
        <f>"Fatigue damage due to pile driving: "&amp;'FLS MP (driving)'!C35</f>
        <v>Fatigue damage due to pile driving: CW1</v>
      </c>
    </row>
    <row r="4" spans="3:14">
      <c r="C4" s="89" t="s">
        <v>465</v>
      </c>
      <c r="D4" s="48" t="str">
        <f>'FLS MP (driving)'!$S$3</f>
        <v>EC</v>
      </c>
      <c r="M4" t="s">
        <v>149</v>
      </c>
      <c r="N4" t="s">
        <v>259</v>
      </c>
    </row>
    <row r="5" spans="3:14">
      <c r="C5" s="89" t="s">
        <v>241</v>
      </c>
      <c r="D5" s="90">
        <f>'FLS MP (driving)'!I35</f>
        <v>112</v>
      </c>
      <c r="F5" s="89" t="s">
        <v>244</v>
      </c>
      <c r="G5" s="92">
        <f>'FLS MP (driving)'!G35</f>
        <v>0.85864851454153157</v>
      </c>
      <c r="I5" s="89" t="s">
        <v>246</v>
      </c>
      <c r="J5" s="92">
        <f>(25/'FLS MP (driving)'!E35)^'FLS MP (driving)'!K35</f>
        <v>0.86387643087620181</v>
      </c>
      <c r="L5" t="s">
        <v>122</v>
      </c>
      <c r="M5">
        <v>1.25</v>
      </c>
      <c r="N5">
        <v>1</v>
      </c>
    </row>
    <row r="6" spans="3:14">
      <c r="C6" s="89" t="s">
        <v>243</v>
      </c>
      <c r="D6" s="90">
        <f>'FLS MP (driving)'!J35</f>
        <v>112</v>
      </c>
      <c r="F6" s="89" t="s">
        <v>245</v>
      </c>
      <c r="G6" s="92">
        <f>'FLS MP (driving)'!H35</f>
        <v>1.0848108912750811</v>
      </c>
      <c r="I6" s="89" t="s">
        <v>248</v>
      </c>
      <c r="J6" s="92">
        <f>(25/'FLS MP (driving)'!E35)^'FLS MP (driving)'!L35</f>
        <v>0.86387643087620181</v>
      </c>
      <c r="L6" t="s">
        <v>234</v>
      </c>
      <c r="M6">
        <v>1</v>
      </c>
      <c r="N6">
        <v>3</v>
      </c>
    </row>
    <row r="7" spans="3:14">
      <c r="C7" s="89" t="s">
        <v>91</v>
      </c>
      <c r="D7" s="91">
        <v>3</v>
      </c>
      <c r="I7" s="89" t="s">
        <v>247</v>
      </c>
      <c r="J7" s="92">
        <f>(25/'FLS MP (driving)'!F35)^'FLS MP (driving)'!K35</f>
        <v>0.87055056329612412</v>
      </c>
      <c r="M7" t="s">
        <v>484</v>
      </c>
      <c r="N7" t="s">
        <v>485</v>
      </c>
    </row>
    <row r="8" spans="3:14">
      <c r="C8" s="89" t="s">
        <v>71</v>
      </c>
      <c r="D8" s="91">
        <f>IF($D$4="EC",2000000,10000000)</f>
        <v>2000000</v>
      </c>
      <c r="I8" s="89" t="s">
        <v>249</v>
      </c>
      <c r="J8" s="92">
        <f>(25/'FLS MP (driving)'!F35)^'FLS MP (driving)'!L35</f>
        <v>0.87055056329612412</v>
      </c>
      <c r="L8" t="s">
        <v>483</v>
      </c>
      <c r="M8">
        <f>IF(AND(D4="DNV",D5=65.5),'FLS MP'!AE19,1)</f>
        <v>1</v>
      </c>
      <c r="N8">
        <f>IF(AND(D4="DNV",D6=65.5),'FLS MP'!AE19,1)</f>
        <v>1</v>
      </c>
    </row>
    <row r="9" spans="3:14">
      <c r="C9" s="89" t="s">
        <v>242</v>
      </c>
      <c r="D9" s="91">
        <f>MAX(1,Control!$K$3)</f>
        <v>1.2</v>
      </c>
    </row>
    <row r="10" spans="3:14">
      <c r="C10" s="89" t="s">
        <v>122</v>
      </c>
      <c r="D10" s="91">
        <f>IF(Control!$F$39="DNV",N5,M5)</f>
        <v>1.25</v>
      </c>
      <c r="G10" s="336" t="s">
        <v>250</v>
      </c>
      <c r="H10" s="337"/>
      <c r="I10" s="337"/>
      <c r="J10" s="338"/>
    </row>
    <row r="11" spans="3:14">
      <c r="C11" s="89" t="s">
        <v>234</v>
      </c>
      <c r="D11" s="91">
        <f>IF(Control!$F$39="DNV",N6,M6)</f>
        <v>1</v>
      </c>
      <c r="G11" s="48" t="s">
        <v>251</v>
      </c>
      <c r="H11" s="48" t="s">
        <v>252</v>
      </c>
      <c r="I11" s="48" t="s">
        <v>253</v>
      </c>
      <c r="J11" s="48" t="s">
        <v>254</v>
      </c>
    </row>
    <row r="12" spans="3:14">
      <c r="G12" s="93">
        <f>$D$11*SUM('FLS driv. welds'!G17:G501)</f>
        <v>0</v>
      </c>
      <c r="H12" s="93">
        <f>$D$11*SUM('FLS driv. welds'!H17:H501)</f>
        <v>0</v>
      </c>
      <c r="I12" s="93">
        <f>$D$11*SUM('FLS driv. welds'!I17:I501)</f>
        <v>0</v>
      </c>
      <c r="J12" s="93">
        <f>$D$11*SUM('FLS driv. welds'!J17:J501)</f>
        <v>0</v>
      </c>
    </row>
    <row r="15" spans="3:14">
      <c r="C15" s="48" t="s">
        <v>255</v>
      </c>
      <c r="D15" s="48" t="s">
        <v>256</v>
      </c>
      <c r="E15" s="48" t="s">
        <v>257</v>
      </c>
      <c r="F15" s="48" t="s">
        <v>258</v>
      </c>
      <c r="G15" s="48" t="s">
        <v>251</v>
      </c>
      <c r="H15" s="48" t="s">
        <v>252</v>
      </c>
      <c r="I15" s="48" t="s">
        <v>253</v>
      </c>
      <c r="J15" s="48" t="s">
        <v>254</v>
      </c>
    </row>
    <row r="16" spans="3:14">
      <c r="C16" s="48" t="s">
        <v>9</v>
      </c>
      <c r="D16" s="48" t="s">
        <v>16</v>
      </c>
      <c r="E16" s="48" t="s">
        <v>77</v>
      </c>
      <c r="F16" s="48" t="s">
        <v>77</v>
      </c>
      <c r="G16" s="48" t="s">
        <v>16</v>
      </c>
      <c r="H16" s="48" t="s">
        <v>16</v>
      </c>
      <c r="I16" s="48" t="s">
        <v>16</v>
      </c>
      <c r="J16" s="48" t="s">
        <v>16</v>
      </c>
    </row>
    <row r="109" ht="19.350000000000001" customHeight="1"/>
  </sheetData>
  <sheetProtection selectLockedCells="1" selectUnlockedCells="1"/>
  <mergeCells count="1">
    <mergeCell ref="G10:J10"/>
  </mergeCells>
  <pageMargins left="0.70866141732283472" right="0.70866141732283472" top="0.39370078740157477" bottom="0.39370078740157477" header="0" footer="0"/>
  <pageSetup paperSize="9" scale="54"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8D615-6E98-401A-98FA-A60F01E41E82}">
  <sheetPr codeName="Tabelle41">
    <pageSetUpPr fitToPage="1"/>
  </sheetPr>
  <dimension ref="C2:R107"/>
  <sheetViews>
    <sheetView workbookViewId="0">
      <selection activeCell="M14" sqref="M14"/>
    </sheetView>
  </sheetViews>
  <sheetFormatPr baseColWidth="10" defaultColWidth="11.44140625" defaultRowHeight="14.4"/>
  <cols>
    <col min="1" max="8" width="11.44140625" customWidth="1"/>
  </cols>
  <sheetData>
    <row r="2" spans="3:18">
      <c r="C2" s="35" t="str">
        <f>"Fatigue damage due to pile driving: "&amp;'FLS MP (driving)'!C35</f>
        <v>Fatigue damage due to pile driving: CW1</v>
      </c>
    </row>
    <row r="4" spans="3:18">
      <c r="C4" s="89" t="s">
        <v>464</v>
      </c>
      <c r="D4" s="48" t="str">
        <f>IF(OR(D5=100,D5=112,D5=140),"EC","DNV")</f>
        <v>EC</v>
      </c>
      <c r="J4" t="s">
        <v>149</v>
      </c>
      <c r="K4" t="s">
        <v>259</v>
      </c>
    </row>
    <row r="5" spans="3:18">
      <c r="C5" s="89" t="s">
        <v>260</v>
      </c>
      <c r="D5" s="90">
        <f>'FLS MP (driving)'!G63</f>
        <v>100</v>
      </c>
      <c r="F5" s="89" t="s">
        <v>215</v>
      </c>
      <c r="G5" s="92">
        <f>'FLS MP (driving)'!F63</f>
        <v>1.1000000000000001</v>
      </c>
      <c r="I5" t="s">
        <v>122</v>
      </c>
      <c r="J5">
        <v>1.25</v>
      </c>
      <c r="K5">
        <v>1</v>
      </c>
    </row>
    <row r="6" spans="3:18">
      <c r="C6" s="89" t="s">
        <v>91</v>
      </c>
      <c r="D6" s="91">
        <f>'FLS MP (driving)'!H63</f>
        <v>3</v>
      </c>
      <c r="I6" t="s">
        <v>234</v>
      </c>
      <c r="J6">
        <v>1</v>
      </c>
      <c r="K6">
        <v>3</v>
      </c>
    </row>
    <row r="7" spans="3:18">
      <c r="C7" s="89" t="s">
        <v>71</v>
      </c>
      <c r="D7" s="91">
        <f>IF($D$4="EC",2000000,10000000)</f>
        <v>2000000</v>
      </c>
      <c r="F7" s="89" t="s">
        <v>35</v>
      </c>
      <c r="G7" s="92">
        <f>(25/'FLS MP (driving)'!E35)^'FLS MP (driving)'!K35</f>
        <v>0.86387643087620181</v>
      </c>
      <c r="I7" t="s">
        <v>567</v>
      </c>
      <c r="J7">
        <v>1.3</v>
      </c>
      <c r="M7" s="184"/>
      <c r="N7" s="184"/>
      <c r="O7" s="184"/>
      <c r="P7" s="184"/>
      <c r="Q7" s="184"/>
      <c r="R7" s="184"/>
    </row>
    <row r="8" spans="3:18">
      <c r="C8" s="89" t="s">
        <v>242</v>
      </c>
      <c r="D8" s="91">
        <f>MAX(1,Control!$K$3)</f>
        <v>1.2</v>
      </c>
      <c r="I8" t="s">
        <v>483</v>
      </c>
      <c r="J8">
        <f>IF(AND(D4="DNV",D5=65.5),'FLS MP'!AE19,1)</f>
        <v>1</v>
      </c>
    </row>
    <row r="9" spans="3:18">
      <c r="C9" s="89" t="s">
        <v>122</v>
      </c>
      <c r="D9" s="91">
        <f>IF(Control!$F$39="DNV",K5,J5)</f>
        <v>1.25</v>
      </c>
      <c r="G9" s="94" t="s">
        <v>289</v>
      </c>
    </row>
    <row r="10" spans="3:18">
      <c r="C10" s="89" t="s">
        <v>234</v>
      </c>
      <c r="D10" s="91">
        <f>IF(Control!$F$39="DNV",K6,J6)</f>
        <v>1</v>
      </c>
      <c r="G10" s="93">
        <f>$D$10*SUM(G15:G499)</f>
        <v>0</v>
      </c>
    </row>
    <row r="13" spans="3:18">
      <c r="C13" s="48" t="s">
        <v>255</v>
      </c>
      <c r="D13" s="48" t="s">
        <v>256</v>
      </c>
      <c r="E13" s="48" t="s">
        <v>257</v>
      </c>
      <c r="F13" s="48" t="s">
        <v>258</v>
      </c>
      <c r="G13" s="48" t="s">
        <v>60</v>
      </c>
    </row>
    <row r="14" spans="3:18">
      <c r="C14" s="48" t="s">
        <v>9</v>
      </c>
      <c r="D14" s="48" t="s">
        <v>16</v>
      </c>
      <c r="E14" s="48" t="s">
        <v>77</v>
      </c>
      <c r="F14" s="48" t="s">
        <v>77</v>
      </c>
      <c r="G14" s="48" t="s">
        <v>16</v>
      </c>
    </row>
    <row r="107" ht="19.350000000000001" customHeight="1"/>
  </sheetData>
  <sheetProtection selectLockedCells="1" selectUnlockedCells="1"/>
  <pageMargins left="0.70866141732283472" right="0.70866141732283472" top="0.39370078740157477" bottom="0.39370078740157477" header="0" footer="0"/>
  <pageSetup paperSize="9" scale="69" fitToHeight="0"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kument" ma:contentTypeID="0x0101003A50BC14D8D730409B4331BEF0BE6FE2" ma:contentTypeVersion="14" ma:contentTypeDescription="Ein neues Dokument erstellen." ma:contentTypeScope="" ma:versionID="181895a2779307d0dfb75df5e4abba24">
  <xsd:schema xmlns:xsd="http://www.w3.org/2001/XMLSchema" xmlns:xs="http://www.w3.org/2001/XMLSchema" xmlns:p="http://schemas.microsoft.com/office/2006/metadata/properties" xmlns:ns3="06514b72-435d-4c1c-9208-be74eef35d6c" xmlns:ns4="1c0ec926-36e0-4a08-9002-d3778fe66f2f" targetNamespace="http://schemas.microsoft.com/office/2006/metadata/properties" ma:root="true" ma:fieldsID="7b567a49a252a1a360bad9a1ef3c2b08" ns3:_="" ns4:_="">
    <xsd:import namespace="06514b72-435d-4c1c-9208-be74eef35d6c"/>
    <xsd:import namespace="1c0ec926-36e0-4a08-9002-d3778fe66f2f"/>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OCR" minOccurs="0"/>
                <xsd:element ref="ns4:MediaServiceGenerationTime" minOccurs="0"/>
                <xsd:element ref="ns4:MediaServiceEventHashCode" minOccurs="0"/>
                <xsd:element ref="ns4:MediaServiceAutoKeyPoints" minOccurs="0"/>
                <xsd:element ref="ns4:MediaServiceKeyPoints"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514b72-435d-4c1c-9208-be74eef35d6c" elementFormDefault="qualified">
    <xsd:import namespace="http://schemas.microsoft.com/office/2006/documentManagement/types"/>
    <xsd:import namespace="http://schemas.microsoft.com/office/infopath/2007/PartnerControls"/>
    <xsd:element name="SharedWithUsers" ma:index="8"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Freigegeben für - Details" ma:internalName="SharedWithDetails" ma:readOnly="true">
      <xsd:simpleType>
        <xsd:restriction base="dms:Note">
          <xsd:maxLength value="255"/>
        </xsd:restriction>
      </xsd:simpleType>
    </xsd:element>
    <xsd:element name="SharingHintHash" ma:index="10" nillable="true" ma:displayName="Freigabehinweis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c0ec926-36e0-4a08-9002-d3778fe66f2f"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BCAC63B-773D-4E46-B883-0FE5E10E8D65}">
  <ds:schemaRefs>
    <ds:schemaRef ds:uri="http://purl.org/dc/terms/"/>
    <ds:schemaRef ds:uri="http://purl.org/dc/dcmitype/"/>
    <ds:schemaRef ds:uri="http://schemas.microsoft.com/office/2006/documentManagement/types"/>
    <ds:schemaRef ds:uri="http://purl.org/dc/elements/1.1/"/>
    <ds:schemaRef ds:uri="http://www.w3.org/XML/1998/namespace"/>
    <ds:schemaRef ds:uri="http://schemas.openxmlformats.org/package/2006/metadata/core-properties"/>
    <ds:schemaRef ds:uri="http://schemas.microsoft.com/office/2006/metadata/properties"/>
    <ds:schemaRef ds:uri="http://schemas.microsoft.com/office/infopath/2007/PartnerControls"/>
    <ds:schemaRef ds:uri="1c0ec926-36e0-4a08-9002-d3778fe66f2f"/>
    <ds:schemaRef ds:uri="06514b72-435d-4c1c-9208-be74eef35d6c"/>
  </ds:schemaRefs>
</ds:datastoreItem>
</file>

<file path=customXml/itemProps2.xml><?xml version="1.0" encoding="utf-8"?>
<ds:datastoreItem xmlns:ds="http://schemas.openxmlformats.org/officeDocument/2006/customXml" ds:itemID="{34617CFA-40FA-4125-B192-38DEB63ABEC8}">
  <ds:schemaRefs>
    <ds:schemaRef ds:uri="http://schemas.microsoft.com/sharepoint/v3/contenttype/forms"/>
  </ds:schemaRefs>
</ds:datastoreItem>
</file>

<file path=customXml/itemProps3.xml><?xml version="1.0" encoding="utf-8"?>
<ds:datastoreItem xmlns:ds="http://schemas.openxmlformats.org/officeDocument/2006/customXml" ds:itemID="{E3CF0AD1-61FF-4588-AFAC-AD7E92D7EE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6514b72-435d-4c1c-9208-be74eef35d6c"/>
    <ds:schemaRef ds:uri="1c0ec926-36e0-4a08-9002-d3778fe66f2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20</vt:i4>
      </vt:variant>
      <vt:variant>
        <vt:lpstr>Benannte Bereiche</vt:lpstr>
      </vt:variant>
      <vt:variant>
        <vt:i4>13</vt:i4>
      </vt:variant>
    </vt:vector>
  </HeadingPairs>
  <TitlesOfParts>
    <vt:vector size="33" baseType="lpstr">
      <vt:lpstr>Manual</vt:lpstr>
      <vt:lpstr>Rev info</vt:lpstr>
      <vt:lpstr>Control</vt:lpstr>
      <vt:lpstr>Notes</vt:lpstr>
      <vt:lpstr>Geometry</vt:lpstr>
      <vt:lpstr>Eff. thickness (DNVGL-RP-C203)</vt:lpstr>
      <vt:lpstr>Loads</vt:lpstr>
      <vt:lpstr>Background_data</vt:lpstr>
      <vt:lpstr>Steel grades</vt:lpstr>
      <vt:lpstr>Draw.Gen. TP</vt:lpstr>
      <vt:lpstr>Draw.Gen. MP</vt:lpstr>
      <vt:lpstr>Geometry_loads</vt:lpstr>
      <vt:lpstr>FLS TP</vt:lpstr>
      <vt:lpstr>FLS MP</vt:lpstr>
      <vt:lpstr>ULS TP</vt:lpstr>
      <vt:lpstr>ULS MP</vt:lpstr>
      <vt:lpstr>ULS MP (driving)</vt:lpstr>
      <vt:lpstr>FLS MP (driving)</vt:lpstr>
      <vt:lpstr>FLS driv. welds</vt:lpstr>
      <vt:lpstr>FLS driv. attachments</vt:lpstr>
      <vt:lpstr>Control!Druckbereich</vt:lpstr>
      <vt:lpstr>'Draw.Gen. MP'!Druckbereich</vt:lpstr>
      <vt:lpstr>'Draw.Gen. TP'!Druckbereich</vt:lpstr>
      <vt:lpstr>'Draw.Gen. TP'!Height_Top</vt:lpstr>
      <vt:lpstr>Height_Top</vt:lpstr>
      <vt:lpstr>'FLS driv. attachments'!Print_Area</vt:lpstr>
      <vt:lpstr>'FLS driv. welds'!Print_Area</vt:lpstr>
      <vt:lpstr>'Draw.Gen. TP'!top</vt:lpstr>
      <vt:lpstr>top</vt:lpstr>
      <vt:lpstr>'Draw.Gen. TP'!top_1</vt:lpstr>
      <vt:lpstr>top_1</vt:lpstr>
      <vt:lpstr>'Draw.Gen. TP'!topmlat</vt:lpstr>
      <vt:lpstr>topmlat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Walid Al Otaibi</dc:creator>
  <cp:lastModifiedBy>Nikolaj Imwalle</cp:lastModifiedBy>
  <cp:lastPrinted>2021-11-04T11:13:42Z</cp:lastPrinted>
  <dcterms:created xsi:type="dcterms:W3CDTF">2021-07-15T07:45:52Z</dcterms:created>
  <dcterms:modified xsi:type="dcterms:W3CDTF">2025-03-04T16:14:01Z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0x0101003A50BC14D8D730409B4331BEF0BE6FE2</vt:lpwstr>
  </property>
</Properties>
</file>