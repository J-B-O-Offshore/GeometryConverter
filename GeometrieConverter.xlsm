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A8F2E46B-3B1E-4B7A-899C-D780E26C2E47}" xr6:coauthVersionLast="47" xr6:coauthVersionMax="47" xr10:uidLastSave="{00000000-0000-0000-0000-000000000000}"/>
  <bookViews>
    <workbookView xWindow="-120" yWindow="-120" windowWidth="29040" windowHeight="17520" activeTab="1" xr2:uid="{52C6B389-4C94-430F-9043-C68D8C94A3E4}"/>
  </bookViews>
  <sheets>
    <sheet name="CreateStucture" sheetId="1" r:id="rId1"/>
    <sheet name="BuildYourStructure" sheetId="5" r:id="rId2"/>
    <sheet name="Overview" sheetId="2" r:id="rId3"/>
    <sheet name="Loop" sheetId="3" r:id="rId4"/>
  </sheets>
  <functionGroups builtInGroupCount="19"/>
  <externalReferences>
    <externalReference r:id="rId5"/>
    <externalReference r:id="rId6"/>
  </externalReferences>
  <definedNames>
    <definedName name="_xleta.N" hidden="1" xlm="1">#NAME?</definedName>
    <definedName name="_xleta.T" hidden="1" xlm="1">#NAME?</definedName>
    <definedName name="Tabale_MP_META">BuildYourStructure!$B$12</definedName>
    <definedName name="Table_MP_DATA">BuildYourStructure!$N$18</definedName>
    <definedName name="Table_MP_META">BuildYourStructure!$B$12</definedName>
    <definedName name="Table_TP_DATA">BuildYourStructure!$AN$18</definedName>
    <definedName name="Table_TP_META">BuildYourStructure!$AB$12</definedName>
    <definedName name="TextBox_MP_db_path">BuildYourStructure!$C$8</definedName>
    <definedName name="TextBox_TOWER_db_path">BuildYourStructure!$BC$8</definedName>
    <definedName name="TextBox_TP_db_path">BuildYourStructure!$AC$8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0" i="5" l="1"/>
  <c r="J20" i="5"/>
  <c r="K20" i="5"/>
  <c r="L20" i="5"/>
  <c r="I21" i="5"/>
  <c r="J21" i="5"/>
  <c r="K21" i="5"/>
  <c r="L21" i="5"/>
  <c r="I22" i="5"/>
  <c r="J22" i="5"/>
  <c r="K22" i="5"/>
  <c r="L22" i="5"/>
  <c r="I23" i="5"/>
  <c r="J23" i="5"/>
  <c r="K23" i="5"/>
  <c r="L23" i="5"/>
  <c r="I24" i="5"/>
  <c r="J24" i="5"/>
  <c r="K24" i="5"/>
  <c r="L24" i="5"/>
  <c r="I25" i="5"/>
  <c r="J25" i="5"/>
  <c r="K25" i="5"/>
  <c r="L25" i="5"/>
  <c r="I26" i="5"/>
  <c r="J26" i="5"/>
  <c r="K26" i="5"/>
  <c r="L26" i="5"/>
  <c r="I27" i="5"/>
  <c r="J27" i="5"/>
  <c r="K27" i="5"/>
  <c r="L27" i="5"/>
  <c r="I28" i="5"/>
  <c r="J28" i="5"/>
  <c r="K28" i="5"/>
  <c r="L28" i="5"/>
  <c r="I29" i="5"/>
  <c r="J29" i="5"/>
  <c r="K29" i="5"/>
  <c r="L29" i="5"/>
  <c r="I30" i="5"/>
  <c r="J30" i="5"/>
  <c r="K30" i="5"/>
  <c r="L30" i="5"/>
  <c r="I31" i="5"/>
  <c r="J31" i="5"/>
  <c r="K31" i="5"/>
  <c r="L31" i="5"/>
  <c r="I32" i="5"/>
  <c r="J32" i="5"/>
  <c r="K32" i="5"/>
  <c r="L32" i="5"/>
  <c r="I33" i="5"/>
  <c r="J33" i="5"/>
  <c r="K33" i="5"/>
  <c r="L33" i="5"/>
  <c r="I34" i="5"/>
  <c r="J34" i="5"/>
  <c r="K34" i="5"/>
  <c r="L34" i="5"/>
  <c r="I35" i="5"/>
  <c r="J35" i="5"/>
  <c r="K35" i="5"/>
  <c r="L35" i="5"/>
  <c r="I36" i="5"/>
  <c r="J36" i="5"/>
  <c r="K36" i="5"/>
  <c r="L36" i="5"/>
  <c r="I37" i="5"/>
  <c r="J37" i="5"/>
  <c r="K37" i="5"/>
  <c r="L37" i="5"/>
  <c r="I38" i="5"/>
  <c r="J38" i="5"/>
  <c r="K38" i="5"/>
  <c r="L38" i="5"/>
  <c r="I39" i="5"/>
  <c r="J39" i="5"/>
  <c r="K39" i="5"/>
  <c r="L39" i="5"/>
  <c r="I40" i="5"/>
  <c r="J40" i="5"/>
  <c r="K40" i="5"/>
  <c r="L40" i="5"/>
  <c r="I41" i="5"/>
  <c r="J41" i="5"/>
  <c r="K41" i="5"/>
  <c r="L41" i="5"/>
  <c r="I42" i="5"/>
  <c r="J42" i="5"/>
  <c r="K42" i="5"/>
  <c r="L42" i="5"/>
  <c r="I43" i="5"/>
  <c r="J43" i="5"/>
  <c r="K43" i="5"/>
  <c r="L43" i="5"/>
  <c r="I44" i="5"/>
  <c r="J44" i="5"/>
  <c r="K44" i="5"/>
  <c r="L44" i="5"/>
  <c r="I45" i="5"/>
  <c r="J45" i="5"/>
  <c r="K45" i="5"/>
  <c r="L45" i="5"/>
  <c r="I46" i="5"/>
  <c r="J46" i="5"/>
  <c r="K46" i="5"/>
  <c r="L46" i="5"/>
  <c r="I47" i="5"/>
  <c r="J47" i="5"/>
  <c r="K47" i="5"/>
  <c r="L47" i="5"/>
  <c r="I48" i="5"/>
  <c r="J48" i="5"/>
  <c r="K48" i="5"/>
  <c r="L48" i="5"/>
  <c r="I49" i="5"/>
  <c r="J49" i="5"/>
  <c r="K49" i="5"/>
  <c r="L49" i="5"/>
  <c r="I50" i="5"/>
  <c r="J50" i="5"/>
  <c r="K50" i="5"/>
  <c r="L50" i="5"/>
  <c r="I51" i="5"/>
  <c r="J51" i="5"/>
  <c r="K51" i="5"/>
  <c r="L51" i="5"/>
  <c r="I52" i="5"/>
  <c r="J52" i="5"/>
  <c r="K52" i="5"/>
  <c r="L52" i="5"/>
  <c r="I53" i="5"/>
  <c r="J53" i="5"/>
  <c r="K53" i="5"/>
  <c r="L53" i="5"/>
  <c r="I54" i="5"/>
  <c r="J54" i="5"/>
  <c r="K54" i="5"/>
  <c r="L54" i="5"/>
  <c r="I55" i="5"/>
  <c r="J55" i="5"/>
  <c r="K55" i="5"/>
  <c r="L55" i="5"/>
  <c r="I56" i="5"/>
  <c r="J56" i="5"/>
  <c r="K56" i="5"/>
  <c r="L56" i="5"/>
  <c r="I57" i="5"/>
  <c r="J57" i="5"/>
  <c r="K57" i="5"/>
  <c r="L57" i="5"/>
  <c r="I58" i="5"/>
  <c r="J58" i="5"/>
  <c r="K58" i="5"/>
  <c r="L58" i="5"/>
  <c r="I59" i="5"/>
  <c r="J59" i="5"/>
  <c r="K59" i="5"/>
  <c r="L59" i="5"/>
  <c r="I60" i="5"/>
  <c r="J60" i="5"/>
  <c r="K60" i="5"/>
  <c r="L60" i="5"/>
  <c r="I61" i="5"/>
  <c r="J61" i="5"/>
  <c r="K61" i="5"/>
  <c r="L61" i="5"/>
  <c r="I62" i="5"/>
  <c r="J62" i="5"/>
  <c r="K62" i="5"/>
  <c r="L62" i="5"/>
  <c r="I63" i="5"/>
  <c r="J63" i="5"/>
  <c r="K63" i="5"/>
  <c r="L63" i="5"/>
  <c r="I64" i="5"/>
  <c r="J64" i="5"/>
  <c r="K64" i="5"/>
  <c r="L64" i="5"/>
  <c r="I65" i="5"/>
  <c r="J65" i="5"/>
  <c r="K65" i="5"/>
  <c r="L65" i="5"/>
  <c r="I66" i="5"/>
  <c r="J66" i="5"/>
  <c r="K66" i="5"/>
  <c r="L66" i="5"/>
  <c r="I67" i="5"/>
  <c r="J67" i="5"/>
  <c r="K67" i="5"/>
  <c r="L67" i="5"/>
  <c r="I68" i="5"/>
  <c r="J68" i="5"/>
  <c r="K68" i="5"/>
  <c r="L68" i="5"/>
  <c r="I69" i="5"/>
  <c r="J69" i="5"/>
  <c r="K69" i="5"/>
  <c r="L69" i="5"/>
  <c r="I70" i="5"/>
  <c r="J70" i="5"/>
  <c r="K70" i="5"/>
  <c r="L70" i="5"/>
  <c r="I71" i="5"/>
  <c r="J71" i="5"/>
  <c r="K71" i="5"/>
  <c r="L71" i="5"/>
  <c r="I72" i="5"/>
  <c r="J72" i="5"/>
  <c r="K72" i="5"/>
  <c r="L72" i="5"/>
  <c r="I73" i="5"/>
  <c r="J73" i="5"/>
  <c r="K73" i="5"/>
  <c r="L73" i="5"/>
  <c r="I74" i="5"/>
  <c r="J74" i="5"/>
  <c r="K74" i="5"/>
  <c r="L74" i="5"/>
  <c r="I75" i="5"/>
  <c r="J75" i="5"/>
  <c r="K75" i="5"/>
  <c r="L75" i="5"/>
  <c r="I76" i="5"/>
  <c r="J76" i="5"/>
  <c r="K76" i="5"/>
  <c r="L76" i="5"/>
  <c r="I77" i="5"/>
  <c r="J77" i="5"/>
  <c r="K77" i="5"/>
  <c r="L77" i="5"/>
  <c r="I78" i="5"/>
  <c r="J78" i="5"/>
  <c r="K78" i="5"/>
  <c r="L78" i="5"/>
  <c r="I79" i="5"/>
  <c r="J79" i="5"/>
  <c r="K79" i="5"/>
  <c r="L79" i="5"/>
  <c r="I80" i="5"/>
  <c r="J80" i="5"/>
  <c r="K80" i="5"/>
  <c r="L80" i="5"/>
  <c r="I81" i="5"/>
  <c r="J81" i="5"/>
  <c r="K81" i="5"/>
  <c r="L81" i="5"/>
  <c r="I82" i="5"/>
  <c r="J82" i="5"/>
  <c r="K82" i="5"/>
  <c r="L82" i="5"/>
  <c r="I83" i="5"/>
  <c r="J83" i="5"/>
  <c r="K83" i="5"/>
  <c r="L83" i="5"/>
  <c r="I84" i="5"/>
  <c r="J84" i="5"/>
  <c r="K84" i="5"/>
  <c r="L84" i="5"/>
  <c r="I85" i="5"/>
  <c r="J85" i="5"/>
  <c r="K85" i="5"/>
  <c r="L85" i="5"/>
  <c r="I86" i="5"/>
  <c r="J86" i="5"/>
  <c r="K86" i="5"/>
  <c r="L86" i="5"/>
  <c r="I87" i="5"/>
  <c r="J87" i="5"/>
  <c r="K87" i="5"/>
  <c r="L87" i="5"/>
  <c r="I88" i="5"/>
  <c r="J88" i="5"/>
  <c r="K88" i="5"/>
  <c r="L88" i="5"/>
  <c r="I89" i="5"/>
  <c r="J89" i="5"/>
  <c r="K89" i="5"/>
  <c r="L89" i="5"/>
  <c r="I90" i="5"/>
  <c r="J90" i="5"/>
  <c r="K90" i="5"/>
  <c r="L90" i="5"/>
  <c r="I91" i="5"/>
  <c r="J91" i="5"/>
  <c r="K91" i="5"/>
  <c r="L91" i="5"/>
  <c r="I92" i="5"/>
  <c r="J92" i="5"/>
  <c r="K92" i="5"/>
  <c r="L92" i="5"/>
  <c r="I93" i="5"/>
  <c r="J93" i="5"/>
  <c r="K93" i="5"/>
  <c r="L93" i="5"/>
  <c r="I94" i="5"/>
  <c r="J94" i="5"/>
  <c r="K94" i="5"/>
  <c r="L94" i="5"/>
  <c r="I95" i="5"/>
  <c r="J95" i="5"/>
  <c r="K95" i="5"/>
  <c r="L95" i="5"/>
  <c r="I96" i="5"/>
  <c r="J96" i="5"/>
  <c r="K96" i="5"/>
  <c r="L96" i="5"/>
  <c r="I97" i="5"/>
  <c r="J97" i="5"/>
  <c r="K97" i="5"/>
  <c r="L97" i="5"/>
  <c r="I98" i="5"/>
  <c r="J98" i="5"/>
  <c r="K98" i="5"/>
  <c r="L98" i="5"/>
  <c r="I99" i="5"/>
  <c r="J99" i="5"/>
  <c r="K99" i="5"/>
  <c r="L99" i="5"/>
  <c r="I100" i="5"/>
  <c r="J100" i="5"/>
  <c r="K100" i="5"/>
  <c r="L100" i="5"/>
  <c r="I101" i="5"/>
  <c r="J101" i="5"/>
  <c r="K101" i="5"/>
  <c r="L101" i="5"/>
  <c r="I102" i="5"/>
  <c r="J102" i="5"/>
  <c r="K102" i="5"/>
  <c r="L102" i="5"/>
  <c r="I103" i="5"/>
  <c r="J103" i="5"/>
  <c r="K103" i="5"/>
  <c r="L103" i="5"/>
  <c r="I104" i="5"/>
  <c r="J104" i="5"/>
  <c r="K104" i="5"/>
  <c r="L104" i="5"/>
  <c r="I105" i="5"/>
  <c r="J105" i="5"/>
  <c r="K105" i="5"/>
  <c r="L105" i="5"/>
  <c r="I106" i="5"/>
  <c r="J106" i="5"/>
  <c r="K106" i="5"/>
  <c r="L106" i="5"/>
  <c r="I107" i="5"/>
  <c r="J107" i="5"/>
  <c r="K107" i="5"/>
  <c r="L107" i="5"/>
  <c r="I108" i="5"/>
  <c r="J108" i="5"/>
  <c r="K108" i="5"/>
  <c r="L108" i="5"/>
  <c r="I109" i="5"/>
  <c r="J109" i="5"/>
  <c r="K109" i="5"/>
  <c r="L109" i="5"/>
  <c r="I110" i="5"/>
  <c r="J110" i="5"/>
  <c r="K110" i="5"/>
  <c r="L110" i="5"/>
  <c r="I111" i="5"/>
  <c r="J111" i="5"/>
  <c r="K111" i="5"/>
  <c r="L111" i="5"/>
  <c r="I112" i="5"/>
  <c r="J112" i="5"/>
  <c r="K112" i="5"/>
  <c r="L112" i="5"/>
  <c r="I113" i="5"/>
  <c r="J113" i="5"/>
  <c r="K113" i="5"/>
  <c r="L113" i="5"/>
  <c r="I114" i="5"/>
  <c r="J114" i="5"/>
  <c r="K114" i="5"/>
  <c r="L114" i="5"/>
  <c r="I115" i="5"/>
  <c r="J115" i="5"/>
  <c r="K115" i="5"/>
  <c r="L115" i="5"/>
  <c r="I116" i="5"/>
  <c r="J116" i="5"/>
  <c r="K116" i="5"/>
  <c r="L116" i="5"/>
  <c r="I117" i="5"/>
  <c r="J117" i="5"/>
  <c r="K117" i="5"/>
  <c r="L117" i="5"/>
  <c r="I118" i="5"/>
  <c r="J118" i="5"/>
  <c r="K118" i="5"/>
  <c r="L118" i="5"/>
  <c r="I119" i="5"/>
  <c r="J119" i="5"/>
  <c r="K119" i="5"/>
  <c r="L119" i="5"/>
  <c r="I120" i="5"/>
  <c r="J120" i="5"/>
  <c r="K120" i="5"/>
  <c r="L120" i="5"/>
  <c r="I121" i="5"/>
  <c r="J121" i="5"/>
  <c r="K121" i="5"/>
  <c r="L121" i="5"/>
  <c r="I122" i="5"/>
  <c r="J122" i="5"/>
  <c r="K122" i="5"/>
  <c r="L122" i="5"/>
  <c r="I123" i="5"/>
  <c r="J123" i="5"/>
  <c r="K123" i="5"/>
  <c r="L123" i="5"/>
  <c r="I124" i="5"/>
  <c r="J124" i="5"/>
  <c r="K124" i="5"/>
  <c r="L124" i="5"/>
  <c r="I125" i="5"/>
  <c r="J125" i="5"/>
  <c r="K125" i="5"/>
  <c r="L125" i="5"/>
  <c r="I126" i="5"/>
  <c r="J126" i="5"/>
  <c r="K126" i="5"/>
  <c r="L126" i="5"/>
  <c r="I127" i="5"/>
  <c r="J127" i="5"/>
  <c r="K127" i="5"/>
  <c r="L127" i="5"/>
  <c r="I128" i="5"/>
  <c r="J128" i="5"/>
  <c r="K128" i="5"/>
  <c r="L128" i="5"/>
  <c r="I129" i="5"/>
  <c r="J129" i="5"/>
  <c r="K129" i="5"/>
  <c r="L129" i="5"/>
  <c r="I130" i="5"/>
  <c r="J130" i="5"/>
  <c r="K130" i="5"/>
  <c r="L130" i="5"/>
  <c r="I131" i="5"/>
  <c r="J131" i="5"/>
  <c r="K131" i="5"/>
  <c r="L131" i="5"/>
  <c r="I132" i="5"/>
  <c r="J132" i="5"/>
  <c r="K132" i="5"/>
  <c r="L132" i="5"/>
  <c r="I133" i="5"/>
  <c r="J133" i="5"/>
  <c r="K133" i="5"/>
  <c r="L133" i="5"/>
  <c r="L19" i="5"/>
  <c r="J19" i="5"/>
  <c r="I19" i="5"/>
  <c r="K19" i="5"/>
  <c r="BI20" i="5"/>
  <c r="BJ20" i="5"/>
  <c r="BK20" i="5"/>
  <c r="BL20" i="5"/>
  <c r="BI21" i="5"/>
  <c r="BJ21" i="5"/>
  <c r="BK21" i="5"/>
  <c r="BL21" i="5"/>
  <c r="BI22" i="5"/>
  <c r="BJ22" i="5"/>
  <c r="BK22" i="5"/>
  <c r="BL22" i="5"/>
  <c r="BI23" i="5"/>
  <c r="BJ23" i="5"/>
  <c r="BK23" i="5"/>
  <c r="BL23" i="5"/>
  <c r="BI24" i="5"/>
  <c r="BJ24" i="5"/>
  <c r="BK24" i="5"/>
  <c r="BL24" i="5"/>
  <c r="BI25" i="5"/>
  <c r="BJ25" i="5"/>
  <c r="BK25" i="5"/>
  <c r="BL25" i="5"/>
  <c r="BI26" i="5"/>
  <c r="BJ26" i="5"/>
  <c r="BK26" i="5"/>
  <c r="BL26" i="5"/>
  <c r="BI27" i="5"/>
  <c r="BJ27" i="5"/>
  <c r="BK27" i="5"/>
  <c r="BL27" i="5"/>
  <c r="BI28" i="5"/>
  <c r="BJ28" i="5"/>
  <c r="BK28" i="5"/>
  <c r="BL28" i="5"/>
  <c r="BI29" i="5"/>
  <c r="BJ29" i="5"/>
  <c r="BK29" i="5"/>
  <c r="BL29" i="5"/>
  <c r="BI30" i="5"/>
  <c r="BJ30" i="5"/>
  <c r="BK30" i="5"/>
  <c r="BL30" i="5"/>
  <c r="BI31" i="5"/>
  <c r="BJ31" i="5"/>
  <c r="BK31" i="5"/>
  <c r="BL31" i="5"/>
  <c r="BI32" i="5"/>
  <c r="BJ32" i="5"/>
  <c r="BK32" i="5"/>
  <c r="BL32" i="5"/>
  <c r="BI33" i="5"/>
  <c r="BJ33" i="5"/>
  <c r="BK33" i="5"/>
  <c r="BL33" i="5"/>
  <c r="BI34" i="5"/>
  <c r="BJ34" i="5"/>
  <c r="BK34" i="5"/>
  <c r="BL34" i="5"/>
  <c r="BI35" i="5"/>
  <c r="BJ35" i="5"/>
  <c r="BK35" i="5"/>
  <c r="BL35" i="5"/>
  <c r="BI36" i="5"/>
  <c r="BJ36" i="5"/>
  <c r="BK36" i="5"/>
  <c r="BL36" i="5"/>
  <c r="BI37" i="5"/>
  <c r="BJ37" i="5"/>
  <c r="BK37" i="5"/>
  <c r="BL37" i="5"/>
  <c r="BI38" i="5"/>
  <c r="BJ38" i="5"/>
  <c r="BK38" i="5"/>
  <c r="BL38" i="5"/>
  <c r="BI39" i="5"/>
  <c r="BJ39" i="5"/>
  <c r="BK39" i="5"/>
  <c r="BL39" i="5"/>
  <c r="BI40" i="5"/>
  <c r="BJ40" i="5"/>
  <c r="BK40" i="5"/>
  <c r="BL40" i="5"/>
  <c r="BI41" i="5"/>
  <c r="BJ41" i="5"/>
  <c r="BK41" i="5"/>
  <c r="BL41" i="5"/>
  <c r="BI42" i="5"/>
  <c r="BJ42" i="5"/>
  <c r="BK42" i="5"/>
  <c r="BL42" i="5"/>
  <c r="BI43" i="5"/>
  <c r="BJ43" i="5"/>
  <c r="BK43" i="5"/>
  <c r="BL43" i="5"/>
  <c r="BI44" i="5"/>
  <c r="BJ44" i="5"/>
  <c r="BK44" i="5"/>
  <c r="BL44" i="5"/>
  <c r="BI45" i="5"/>
  <c r="BJ45" i="5"/>
  <c r="BK45" i="5"/>
  <c r="BL45" i="5"/>
  <c r="BI46" i="5"/>
  <c r="BJ46" i="5"/>
  <c r="BK46" i="5"/>
  <c r="BL46" i="5"/>
  <c r="BI47" i="5"/>
  <c r="BJ47" i="5"/>
  <c r="BK47" i="5"/>
  <c r="BL47" i="5"/>
  <c r="BI48" i="5"/>
  <c r="BJ48" i="5"/>
  <c r="BK48" i="5"/>
  <c r="BL48" i="5"/>
  <c r="BI49" i="5"/>
  <c r="BJ49" i="5"/>
  <c r="BK49" i="5"/>
  <c r="BL49" i="5"/>
  <c r="BI50" i="5"/>
  <c r="BJ50" i="5"/>
  <c r="BK50" i="5"/>
  <c r="BL50" i="5"/>
  <c r="BI51" i="5"/>
  <c r="BJ51" i="5"/>
  <c r="BK51" i="5"/>
  <c r="BL51" i="5"/>
  <c r="BI52" i="5"/>
  <c r="BJ52" i="5"/>
  <c r="BK52" i="5"/>
  <c r="BL52" i="5"/>
  <c r="BI53" i="5"/>
  <c r="BJ53" i="5"/>
  <c r="BK53" i="5"/>
  <c r="BL53" i="5"/>
  <c r="BI54" i="5"/>
  <c r="BJ54" i="5"/>
  <c r="BK54" i="5"/>
  <c r="BL54" i="5"/>
  <c r="BI55" i="5"/>
  <c r="BJ55" i="5"/>
  <c r="BK55" i="5"/>
  <c r="BL55" i="5"/>
  <c r="BI56" i="5"/>
  <c r="BJ56" i="5"/>
  <c r="BK56" i="5"/>
  <c r="BL56" i="5"/>
  <c r="BI57" i="5"/>
  <c r="BJ57" i="5"/>
  <c r="BK57" i="5"/>
  <c r="BL57" i="5"/>
  <c r="BI58" i="5"/>
  <c r="BJ58" i="5"/>
  <c r="BK58" i="5"/>
  <c r="BL58" i="5"/>
  <c r="BI59" i="5"/>
  <c r="BJ59" i="5"/>
  <c r="BK59" i="5"/>
  <c r="BL59" i="5"/>
  <c r="BI60" i="5"/>
  <c r="BJ60" i="5"/>
  <c r="BK60" i="5"/>
  <c r="BL60" i="5"/>
  <c r="BI61" i="5"/>
  <c r="BJ61" i="5"/>
  <c r="BK61" i="5"/>
  <c r="BL61" i="5"/>
  <c r="BI62" i="5"/>
  <c r="BJ62" i="5"/>
  <c r="BK62" i="5"/>
  <c r="BL62" i="5"/>
  <c r="BI63" i="5"/>
  <c r="BJ63" i="5"/>
  <c r="BK63" i="5"/>
  <c r="BL63" i="5"/>
  <c r="BI64" i="5"/>
  <c r="BJ64" i="5"/>
  <c r="BK64" i="5"/>
  <c r="BL64" i="5"/>
  <c r="BI65" i="5"/>
  <c r="BJ65" i="5"/>
  <c r="BK65" i="5"/>
  <c r="BL65" i="5"/>
  <c r="BI66" i="5"/>
  <c r="BJ66" i="5"/>
  <c r="BK66" i="5"/>
  <c r="BL66" i="5"/>
  <c r="BI67" i="5"/>
  <c r="BJ67" i="5"/>
  <c r="BK67" i="5"/>
  <c r="BL67" i="5"/>
  <c r="BI68" i="5"/>
  <c r="BJ68" i="5"/>
  <c r="BK68" i="5"/>
  <c r="BL68" i="5"/>
  <c r="BI69" i="5"/>
  <c r="BJ69" i="5"/>
  <c r="BK69" i="5"/>
  <c r="BL69" i="5"/>
  <c r="BI70" i="5"/>
  <c r="BJ70" i="5"/>
  <c r="BK70" i="5"/>
  <c r="BL70" i="5"/>
  <c r="BI71" i="5"/>
  <c r="BJ71" i="5"/>
  <c r="BK71" i="5"/>
  <c r="BL71" i="5"/>
  <c r="BI72" i="5"/>
  <c r="BJ72" i="5"/>
  <c r="BK72" i="5"/>
  <c r="BL72" i="5"/>
  <c r="BI73" i="5"/>
  <c r="BJ73" i="5"/>
  <c r="BK73" i="5"/>
  <c r="BL73" i="5"/>
  <c r="BI74" i="5"/>
  <c r="BJ74" i="5"/>
  <c r="BK74" i="5"/>
  <c r="BL74" i="5"/>
  <c r="BI75" i="5"/>
  <c r="BJ75" i="5"/>
  <c r="BK75" i="5"/>
  <c r="BL75" i="5"/>
  <c r="BI76" i="5"/>
  <c r="BJ76" i="5"/>
  <c r="BK76" i="5"/>
  <c r="BL76" i="5"/>
  <c r="BI77" i="5"/>
  <c r="BJ77" i="5"/>
  <c r="BK77" i="5"/>
  <c r="BL77" i="5"/>
  <c r="BI78" i="5"/>
  <c r="BJ78" i="5"/>
  <c r="BK78" i="5"/>
  <c r="BL78" i="5"/>
  <c r="BI79" i="5"/>
  <c r="BJ79" i="5"/>
  <c r="BK79" i="5"/>
  <c r="BL79" i="5"/>
  <c r="BI80" i="5"/>
  <c r="BJ80" i="5"/>
  <c r="BK80" i="5"/>
  <c r="BL80" i="5"/>
  <c r="BI81" i="5"/>
  <c r="BJ81" i="5"/>
  <c r="BK81" i="5"/>
  <c r="BL81" i="5"/>
  <c r="BI82" i="5"/>
  <c r="BJ82" i="5"/>
  <c r="BK82" i="5"/>
  <c r="BL82" i="5"/>
  <c r="BI83" i="5"/>
  <c r="BJ83" i="5"/>
  <c r="BK83" i="5"/>
  <c r="BL83" i="5"/>
  <c r="BI84" i="5"/>
  <c r="BJ84" i="5"/>
  <c r="BK84" i="5"/>
  <c r="BL84" i="5"/>
  <c r="BI85" i="5"/>
  <c r="BJ85" i="5"/>
  <c r="BK85" i="5"/>
  <c r="BL85" i="5"/>
  <c r="BI86" i="5"/>
  <c r="BJ86" i="5"/>
  <c r="BK86" i="5"/>
  <c r="BL86" i="5"/>
  <c r="BI87" i="5"/>
  <c r="BJ87" i="5"/>
  <c r="BK87" i="5"/>
  <c r="BL87" i="5"/>
  <c r="BI88" i="5"/>
  <c r="BJ88" i="5"/>
  <c r="BK88" i="5"/>
  <c r="BL88" i="5"/>
  <c r="BI89" i="5"/>
  <c r="BJ89" i="5"/>
  <c r="BK89" i="5"/>
  <c r="BL89" i="5"/>
  <c r="BI90" i="5"/>
  <c r="BJ90" i="5"/>
  <c r="BK90" i="5"/>
  <c r="BL90" i="5"/>
  <c r="BI91" i="5"/>
  <c r="BJ91" i="5"/>
  <c r="BK91" i="5"/>
  <c r="BL91" i="5"/>
  <c r="BI92" i="5"/>
  <c r="BJ92" i="5"/>
  <c r="BK92" i="5"/>
  <c r="BL92" i="5"/>
  <c r="BI93" i="5"/>
  <c r="BJ93" i="5"/>
  <c r="BK93" i="5"/>
  <c r="BL93" i="5"/>
  <c r="BI94" i="5"/>
  <c r="BJ94" i="5"/>
  <c r="BK94" i="5"/>
  <c r="BL94" i="5"/>
  <c r="BI95" i="5"/>
  <c r="BJ95" i="5"/>
  <c r="BK95" i="5"/>
  <c r="BL95" i="5"/>
  <c r="BI96" i="5"/>
  <c r="BJ96" i="5"/>
  <c r="BK96" i="5"/>
  <c r="BL96" i="5"/>
  <c r="BI97" i="5"/>
  <c r="BJ97" i="5"/>
  <c r="BK97" i="5"/>
  <c r="BL97" i="5"/>
  <c r="BI98" i="5"/>
  <c r="BJ98" i="5"/>
  <c r="BK98" i="5"/>
  <c r="BL98" i="5"/>
  <c r="BI99" i="5"/>
  <c r="BJ99" i="5"/>
  <c r="BK99" i="5"/>
  <c r="BL99" i="5"/>
  <c r="BI100" i="5"/>
  <c r="BJ100" i="5"/>
  <c r="BK100" i="5"/>
  <c r="BL100" i="5"/>
  <c r="BI101" i="5"/>
  <c r="BJ101" i="5"/>
  <c r="BK101" i="5"/>
  <c r="BL101" i="5"/>
  <c r="BI102" i="5"/>
  <c r="BJ102" i="5"/>
  <c r="BK102" i="5"/>
  <c r="BL102" i="5"/>
  <c r="BI103" i="5"/>
  <c r="BJ103" i="5"/>
  <c r="BK103" i="5"/>
  <c r="BL103" i="5"/>
  <c r="BI104" i="5"/>
  <c r="BJ104" i="5"/>
  <c r="BK104" i="5"/>
  <c r="BL104" i="5"/>
  <c r="BI105" i="5"/>
  <c r="BJ105" i="5"/>
  <c r="BK105" i="5"/>
  <c r="BL105" i="5"/>
  <c r="BI106" i="5"/>
  <c r="BJ106" i="5"/>
  <c r="BK106" i="5"/>
  <c r="BL106" i="5"/>
  <c r="BI107" i="5"/>
  <c r="BJ107" i="5"/>
  <c r="BK107" i="5"/>
  <c r="BL107" i="5"/>
  <c r="BI108" i="5"/>
  <c r="BJ108" i="5"/>
  <c r="BK108" i="5"/>
  <c r="BL108" i="5"/>
  <c r="BI109" i="5"/>
  <c r="BJ109" i="5"/>
  <c r="BK109" i="5"/>
  <c r="BL109" i="5"/>
  <c r="BI110" i="5"/>
  <c r="BJ110" i="5"/>
  <c r="BK110" i="5"/>
  <c r="BL110" i="5"/>
  <c r="BI111" i="5"/>
  <c r="BJ111" i="5"/>
  <c r="BK111" i="5"/>
  <c r="BL111" i="5"/>
  <c r="BI112" i="5"/>
  <c r="BJ112" i="5"/>
  <c r="BK112" i="5"/>
  <c r="BL112" i="5"/>
  <c r="BI113" i="5"/>
  <c r="BJ113" i="5"/>
  <c r="BK113" i="5"/>
  <c r="BL113" i="5"/>
  <c r="BI114" i="5"/>
  <c r="BJ114" i="5"/>
  <c r="BK114" i="5"/>
  <c r="BL114" i="5"/>
  <c r="BI115" i="5"/>
  <c r="BJ115" i="5"/>
  <c r="BK115" i="5"/>
  <c r="BL115" i="5"/>
  <c r="BI116" i="5"/>
  <c r="BJ116" i="5"/>
  <c r="BK116" i="5"/>
  <c r="BL116" i="5"/>
  <c r="BI117" i="5"/>
  <c r="BJ117" i="5"/>
  <c r="BK117" i="5"/>
  <c r="BL117" i="5"/>
  <c r="BI118" i="5"/>
  <c r="BJ118" i="5"/>
  <c r="BK118" i="5"/>
  <c r="BL118" i="5"/>
  <c r="BI119" i="5"/>
  <c r="BJ119" i="5"/>
  <c r="BK119" i="5"/>
  <c r="BL119" i="5"/>
  <c r="BI120" i="5"/>
  <c r="BJ120" i="5"/>
  <c r="BK120" i="5"/>
  <c r="BL120" i="5"/>
  <c r="BI121" i="5"/>
  <c r="BJ121" i="5"/>
  <c r="BK121" i="5"/>
  <c r="BL121" i="5"/>
  <c r="BI122" i="5"/>
  <c r="BJ122" i="5"/>
  <c r="BK122" i="5"/>
  <c r="BL122" i="5"/>
  <c r="BI123" i="5"/>
  <c r="BJ123" i="5"/>
  <c r="BK123" i="5"/>
  <c r="BL123" i="5"/>
  <c r="BI124" i="5"/>
  <c r="BJ124" i="5"/>
  <c r="BK124" i="5"/>
  <c r="BL124" i="5"/>
  <c r="BI125" i="5"/>
  <c r="BJ125" i="5"/>
  <c r="BK125" i="5"/>
  <c r="BL125" i="5"/>
  <c r="BI126" i="5"/>
  <c r="BJ126" i="5"/>
  <c r="BK126" i="5"/>
  <c r="BL126" i="5"/>
  <c r="BI127" i="5"/>
  <c r="BJ127" i="5"/>
  <c r="BK127" i="5"/>
  <c r="BL127" i="5"/>
  <c r="BI128" i="5"/>
  <c r="BJ128" i="5"/>
  <c r="BK128" i="5"/>
  <c r="BL128" i="5"/>
  <c r="BI129" i="5"/>
  <c r="BJ129" i="5"/>
  <c r="BK129" i="5"/>
  <c r="BL129" i="5"/>
  <c r="BI130" i="5"/>
  <c r="BJ130" i="5"/>
  <c r="BK130" i="5"/>
  <c r="BL130" i="5"/>
  <c r="BI131" i="5"/>
  <c r="BJ131" i="5"/>
  <c r="BK131" i="5"/>
  <c r="BL131" i="5"/>
  <c r="BI132" i="5"/>
  <c r="BJ132" i="5"/>
  <c r="BK132" i="5"/>
  <c r="BL132" i="5"/>
  <c r="BI133" i="5"/>
  <c r="BJ133" i="5"/>
  <c r="BK133" i="5"/>
  <c r="BL133" i="5"/>
  <c r="BI134" i="5"/>
  <c r="BJ134" i="5"/>
  <c r="BK134" i="5"/>
  <c r="BL134" i="5"/>
  <c r="BI135" i="5"/>
  <c r="BJ135" i="5"/>
  <c r="BK135" i="5"/>
  <c r="BL135" i="5"/>
  <c r="BI136" i="5"/>
  <c r="BJ136" i="5"/>
  <c r="BK136" i="5"/>
  <c r="BL136" i="5"/>
  <c r="BI137" i="5"/>
  <c r="BJ137" i="5"/>
  <c r="BK137" i="5"/>
  <c r="BL137" i="5"/>
  <c r="BI138" i="5"/>
  <c r="BJ138" i="5"/>
  <c r="BK138" i="5"/>
  <c r="BL138" i="5"/>
  <c r="BI139" i="5"/>
  <c r="BJ139" i="5"/>
  <c r="BK139" i="5"/>
  <c r="BL139" i="5"/>
  <c r="BI140" i="5"/>
  <c r="BJ140" i="5"/>
  <c r="BK140" i="5"/>
  <c r="BL140" i="5"/>
  <c r="BI141" i="5"/>
  <c r="BJ141" i="5"/>
  <c r="BK141" i="5"/>
  <c r="BL141" i="5"/>
  <c r="BI142" i="5"/>
  <c r="BJ142" i="5"/>
  <c r="BK142" i="5"/>
  <c r="BL142" i="5"/>
  <c r="BI143" i="5"/>
  <c r="BJ143" i="5"/>
  <c r="BK143" i="5"/>
  <c r="BL143" i="5"/>
  <c r="BI144" i="5"/>
  <c r="BJ144" i="5"/>
  <c r="BK144" i="5"/>
  <c r="BL144" i="5"/>
  <c r="BI145" i="5"/>
  <c r="BJ145" i="5"/>
  <c r="BK145" i="5"/>
  <c r="BL145" i="5"/>
  <c r="BI146" i="5"/>
  <c r="BJ146" i="5"/>
  <c r="BK146" i="5"/>
  <c r="BL146" i="5"/>
  <c r="BI147" i="5"/>
  <c r="BJ147" i="5"/>
  <c r="BK147" i="5"/>
  <c r="BL147" i="5"/>
  <c r="BI148" i="5"/>
  <c r="BJ148" i="5"/>
  <c r="BK148" i="5"/>
  <c r="BL148" i="5"/>
  <c r="BI149" i="5"/>
  <c r="BJ149" i="5"/>
  <c r="BK149" i="5"/>
  <c r="BL149" i="5"/>
  <c r="BI150" i="5"/>
  <c r="BJ150" i="5"/>
  <c r="BK150" i="5"/>
  <c r="BL150" i="5"/>
  <c r="BI151" i="5"/>
  <c r="BJ151" i="5"/>
  <c r="BK151" i="5"/>
  <c r="BL151" i="5"/>
  <c r="BI152" i="5"/>
  <c r="BJ152" i="5"/>
  <c r="BK152" i="5"/>
  <c r="BL152" i="5"/>
  <c r="BI153" i="5"/>
  <c r="BJ153" i="5"/>
  <c r="BK153" i="5"/>
  <c r="BL153" i="5"/>
  <c r="BI154" i="5"/>
  <c r="BJ154" i="5"/>
  <c r="BK154" i="5"/>
  <c r="BL154" i="5"/>
  <c r="BI155" i="5"/>
  <c r="BJ155" i="5"/>
  <c r="BK155" i="5"/>
  <c r="BL155" i="5"/>
  <c r="BI156" i="5"/>
  <c r="BJ156" i="5"/>
  <c r="BK156" i="5"/>
  <c r="BL156" i="5"/>
  <c r="BI157" i="5"/>
  <c r="BJ157" i="5"/>
  <c r="BK157" i="5"/>
  <c r="BL157" i="5"/>
  <c r="BI158" i="5"/>
  <c r="BJ158" i="5"/>
  <c r="BK158" i="5"/>
  <c r="BL158" i="5"/>
  <c r="BI159" i="5"/>
  <c r="BJ159" i="5"/>
  <c r="BK159" i="5"/>
  <c r="BL159" i="5"/>
  <c r="BI160" i="5"/>
  <c r="BJ160" i="5"/>
  <c r="BK160" i="5"/>
  <c r="BL160" i="5"/>
  <c r="BI161" i="5"/>
  <c r="BJ161" i="5"/>
  <c r="BK161" i="5"/>
  <c r="BL161" i="5"/>
  <c r="BI162" i="5"/>
  <c r="BJ162" i="5"/>
  <c r="BK162" i="5"/>
  <c r="BL162" i="5"/>
  <c r="BL19" i="5"/>
  <c r="BJ19" i="5"/>
  <c r="BI19" i="5"/>
  <c r="BK19" i="5"/>
  <c r="AI20" i="5"/>
  <c r="AJ20" i="5"/>
  <c r="AK20" i="5"/>
  <c r="AL20" i="5"/>
  <c r="AI21" i="5"/>
  <c r="AJ21" i="5"/>
  <c r="AK21" i="5"/>
  <c r="AL21" i="5"/>
  <c r="AI22" i="5"/>
  <c r="AJ22" i="5"/>
  <c r="AK22" i="5"/>
  <c r="AL22" i="5"/>
  <c r="AI23" i="5"/>
  <c r="AJ23" i="5"/>
  <c r="AK23" i="5"/>
  <c r="AL23" i="5"/>
  <c r="AI24" i="5"/>
  <c r="AJ24" i="5"/>
  <c r="AK24" i="5"/>
  <c r="AL24" i="5"/>
  <c r="AI25" i="5"/>
  <c r="AJ25" i="5"/>
  <c r="AK25" i="5"/>
  <c r="AL25" i="5"/>
  <c r="AI26" i="5"/>
  <c r="AJ26" i="5"/>
  <c r="AK26" i="5"/>
  <c r="AL26" i="5"/>
  <c r="AI27" i="5"/>
  <c r="AJ27" i="5"/>
  <c r="AK27" i="5"/>
  <c r="AL27" i="5"/>
  <c r="AI28" i="5"/>
  <c r="AJ28" i="5"/>
  <c r="AK28" i="5"/>
  <c r="AL28" i="5"/>
  <c r="AI29" i="5"/>
  <c r="AJ29" i="5"/>
  <c r="AK29" i="5"/>
  <c r="AL29" i="5"/>
  <c r="AI30" i="5"/>
  <c r="AJ30" i="5"/>
  <c r="AK30" i="5"/>
  <c r="AL30" i="5"/>
  <c r="AI31" i="5"/>
  <c r="AJ31" i="5"/>
  <c r="AK31" i="5"/>
  <c r="AL31" i="5"/>
  <c r="AI32" i="5"/>
  <c r="AJ32" i="5"/>
  <c r="AK32" i="5"/>
  <c r="AL32" i="5"/>
  <c r="AI33" i="5"/>
  <c r="AJ33" i="5"/>
  <c r="AK33" i="5"/>
  <c r="AL33" i="5"/>
  <c r="AI34" i="5"/>
  <c r="AJ34" i="5"/>
  <c r="AK34" i="5"/>
  <c r="AL34" i="5"/>
  <c r="AI35" i="5"/>
  <c r="AJ35" i="5"/>
  <c r="AK35" i="5"/>
  <c r="AL35" i="5"/>
  <c r="AI36" i="5"/>
  <c r="AJ36" i="5"/>
  <c r="AK36" i="5"/>
  <c r="AL36" i="5"/>
  <c r="AI37" i="5"/>
  <c r="AJ37" i="5"/>
  <c r="AK37" i="5"/>
  <c r="AL37" i="5"/>
  <c r="AI38" i="5"/>
  <c r="AJ38" i="5"/>
  <c r="AK38" i="5"/>
  <c r="AL38" i="5"/>
  <c r="AI39" i="5"/>
  <c r="AJ39" i="5"/>
  <c r="AK39" i="5"/>
  <c r="AL39" i="5"/>
  <c r="AI40" i="5"/>
  <c r="AJ40" i="5"/>
  <c r="AK40" i="5"/>
  <c r="AL40" i="5"/>
  <c r="AI41" i="5"/>
  <c r="AJ41" i="5"/>
  <c r="AK41" i="5"/>
  <c r="AL41" i="5"/>
  <c r="AI42" i="5"/>
  <c r="AJ42" i="5"/>
  <c r="AK42" i="5"/>
  <c r="AL42" i="5"/>
  <c r="AI43" i="5"/>
  <c r="AJ43" i="5"/>
  <c r="AK43" i="5"/>
  <c r="AL43" i="5"/>
  <c r="AI44" i="5"/>
  <c r="AJ44" i="5"/>
  <c r="AK44" i="5"/>
  <c r="AL44" i="5"/>
  <c r="AI45" i="5"/>
  <c r="AJ45" i="5"/>
  <c r="AK45" i="5"/>
  <c r="AL45" i="5"/>
  <c r="AI46" i="5"/>
  <c r="AJ46" i="5"/>
  <c r="AK46" i="5"/>
  <c r="AL46" i="5"/>
  <c r="AI47" i="5"/>
  <c r="AJ47" i="5"/>
  <c r="AK47" i="5"/>
  <c r="AL47" i="5"/>
  <c r="AI48" i="5"/>
  <c r="AJ48" i="5"/>
  <c r="AK48" i="5"/>
  <c r="AL48" i="5"/>
  <c r="AI49" i="5"/>
  <c r="AJ49" i="5"/>
  <c r="AK49" i="5"/>
  <c r="AL49" i="5"/>
  <c r="AI50" i="5"/>
  <c r="AJ50" i="5"/>
  <c r="AK50" i="5"/>
  <c r="AL50" i="5"/>
  <c r="AI51" i="5"/>
  <c r="AJ51" i="5"/>
  <c r="AK51" i="5"/>
  <c r="AL51" i="5"/>
  <c r="AI52" i="5"/>
  <c r="AJ52" i="5"/>
  <c r="AK52" i="5"/>
  <c r="AL52" i="5"/>
  <c r="AI53" i="5"/>
  <c r="AJ53" i="5"/>
  <c r="AK53" i="5"/>
  <c r="AL53" i="5"/>
  <c r="AI54" i="5"/>
  <c r="AJ54" i="5"/>
  <c r="AK54" i="5"/>
  <c r="AL54" i="5"/>
  <c r="AI55" i="5"/>
  <c r="AJ55" i="5"/>
  <c r="AK55" i="5"/>
  <c r="AL55" i="5"/>
  <c r="AI56" i="5"/>
  <c r="AJ56" i="5"/>
  <c r="AK56" i="5"/>
  <c r="AL56" i="5"/>
  <c r="AI57" i="5"/>
  <c r="AJ57" i="5"/>
  <c r="AK57" i="5"/>
  <c r="AL57" i="5"/>
  <c r="AI58" i="5"/>
  <c r="AJ58" i="5"/>
  <c r="AK58" i="5"/>
  <c r="AL58" i="5"/>
  <c r="AI59" i="5"/>
  <c r="AJ59" i="5"/>
  <c r="AK59" i="5"/>
  <c r="AL59" i="5"/>
  <c r="AI60" i="5"/>
  <c r="AJ60" i="5"/>
  <c r="AK60" i="5"/>
  <c r="AL60" i="5"/>
  <c r="AI61" i="5"/>
  <c r="AJ61" i="5"/>
  <c r="AK61" i="5"/>
  <c r="AL61" i="5"/>
  <c r="AI62" i="5"/>
  <c r="AJ62" i="5"/>
  <c r="AK62" i="5"/>
  <c r="AL62" i="5"/>
  <c r="AI63" i="5"/>
  <c r="AJ63" i="5"/>
  <c r="AK63" i="5"/>
  <c r="AL63" i="5"/>
  <c r="AI64" i="5"/>
  <c r="AJ64" i="5"/>
  <c r="AK64" i="5"/>
  <c r="AL64" i="5"/>
  <c r="AI65" i="5"/>
  <c r="AJ65" i="5"/>
  <c r="AK65" i="5"/>
  <c r="AL65" i="5"/>
  <c r="AI66" i="5"/>
  <c r="AJ66" i="5"/>
  <c r="AK66" i="5"/>
  <c r="AL66" i="5"/>
  <c r="AI67" i="5"/>
  <c r="AJ67" i="5"/>
  <c r="AK67" i="5"/>
  <c r="AL67" i="5"/>
  <c r="AI68" i="5"/>
  <c r="AJ68" i="5"/>
  <c r="AK68" i="5"/>
  <c r="AL68" i="5"/>
  <c r="AI69" i="5"/>
  <c r="AJ69" i="5"/>
  <c r="AK69" i="5"/>
  <c r="AL69" i="5"/>
  <c r="AI70" i="5"/>
  <c r="AJ70" i="5"/>
  <c r="AK70" i="5"/>
  <c r="AL70" i="5"/>
  <c r="AI71" i="5"/>
  <c r="AJ71" i="5"/>
  <c r="AK71" i="5"/>
  <c r="AL71" i="5"/>
  <c r="AI72" i="5"/>
  <c r="AJ72" i="5"/>
  <c r="AK72" i="5"/>
  <c r="AL72" i="5"/>
  <c r="AI73" i="5"/>
  <c r="AJ73" i="5"/>
  <c r="AK73" i="5"/>
  <c r="AL73" i="5"/>
  <c r="AI74" i="5"/>
  <c r="AJ74" i="5"/>
  <c r="AK74" i="5"/>
  <c r="AL74" i="5"/>
  <c r="AI75" i="5"/>
  <c r="AJ75" i="5"/>
  <c r="AK75" i="5"/>
  <c r="AL75" i="5"/>
  <c r="AI76" i="5"/>
  <c r="AJ76" i="5"/>
  <c r="AK76" i="5"/>
  <c r="AL76" i="5"/>
  <c r="AI77" i="5"/>
  <c r="AJ77" i="5"/>
  <c r="AK77" i="5"/>
  <c r="AL77" i="5"/>
  <c r="AI78" i="5"/>
  <c r="AJ78" i="5"/>
  <c r="AK78" i="5"/>
  <c r="AL78" i="5"/>
  <c r="AI79" i="5"/>
  <c r="AJ79" i="5"/>
  <c r="AK79" i="5"/>
  <c r="AL79" i="5"/>
  <c r="AI80" i="5"/>
  <c r="AJ80" i="5"/>
  <c r="AK80" i="5"/>
  <c r="AL80" i="5"/>
  <c r="AI81" i="5"/>
  <c r="AJ81" i="5"/>
  <c r="AK81" i="5"/>
  <c r="AL81" i="5"/>
  <c r="AI82" i="5"/>
  <c r="AJ82" i="5"/>
  <c r="AK82" i="5"/>
  <c r="AL82" i="5"/>
  <c r="AI83" i="5"/>
  <c r="AJ83" i="5"/>
  <c r="AK83" i="5"/>
  <c r="AL83" i="5"/>
  <c r="AI84" i="5"/>
  <c r="AJ84" i="5"/>
  <c r="AK84" i="5"/>
  <c r="AL84" i="5"/>
  <c r="AI85" i="5"/>
  <c r="AJ85" i="5"/>
  <c r="AK85" i="5"/>
  <c r="AL85" i="5"/>
  <c r="AI86" i="5"/>
  <c r="AJ86" i="5"/>
  <c r="AK86" i="5"/>
  <c r="AL86" i="5"/>
  <c r="AI87" i="5"/>
  <c r="AJ87" i="5"/>
  <c r="AK87" i="5"/>
  <c r="AL87" i="5"/>
  <c r="AI88" i="5"/>
  <c r="AJ88" i="5"/>
  <c r="AK88" i="5"/>
  <c r="AL88" i="5"/>
  <c r="AI89" i="5"/>
  <c r="AJ89" i="5"/>
  <c r="AK89" i="5"/>
  <c r="AL89" i="5"/>
  <c r="AI90" i="5"/>
  <c r="AJ90" i="5"/>
  <c r="AK90" i="5"/>
  <c r="AL90" i="5"/>
  <c r="AI91" i="5"/>
  <c r="AJ91" i="5"/>
  <c r="AK91" i="5"/>
  <c r="AL91" i="5"/>
  <c r="AI92" i="5"/>
  <c r="AJ92" i="5"/>
  <c r="AK92" i="5"/>
  <c r="AL92" i="5"/>
  <c r="AI93" i="5"/>
  <c r="AJ93" i="5"/>
  <c r="AK93" i="5"/>
  <c r="AL93" i="5"/>
  <c r="AI94" i="5"/>
  <c r="AJ94" i="5"/>
  <c r="AK94" i="5"/>
  <c r="AL94" i="5"/>
  <c r="AI95" i="5"/>
  <c r="AJ95" i="5"/>
  <c r="AK95" i="5"/>
  <c r="AL95" i="5"/>
  <c r="AI96" i="5"/>
  <c r="AJ96" i="5"/>
  <c r="AK96" i="5"/>
  <c r="AL96" i="5"/>
  <c r="AI97" i="5"/>
  <c r="AJ97" i="5"/>
  <c r="AK97" i="5"/>
  <c r="AL97" i="5"/>
  <c r="AI98" i="5"/>
  <c r="AJ98" i="5"/>
  <c r="AK98" i="5"/>
  <c r="AL98" i="5"/>
  <c r="AI99" i="5"/>
  <c r="AJ99" i="5"/>
  <c r="AK99" i="5"/>
  <c r="AL99" i="5"/>
  <c r="AI100" i="5"/>
  <c r="AJ100" i="5"/>
  <c r="AK100" i="5"/>
  <c r="AL100" i="5"/>
  <c r="AI101" i="5"/>
  <c r="AJ101" i="5"/>
  <c r="AK101" i="5"/>
  <c r="AL101" i="5"/>
  <c r="AI102" i="5"/>
  <c r="AJ102" i="5"/>
  <c r="AK102" i="5"/>
  <c r="AL102" i="5"/>
  <c r="AI103" i="5"/>
  <c r="AJ103" i="5"/>
  <c r="AK103" i="5"/>
  <c r="AL103" i="5"/>
  <c r="AI104" i="5"/>
  <c r="AJ104" i="5"/>
  <c r="AK104" i="5"/>
  <c r="AL104" i="5"/>
  <c r="AI105" i="5"/>
  <c r="AJ105" i="5"/>
  <c r="AK105" i="5"/>
  <c r="AL105" i="5"/>
  <c r="AI106" i="5"/>
  <c r="AJ106" i="5"/>
  <c r="AK106" i="5"/>
  <c r="AL106" i="5"/>
  <c r="AI107" i="5"/>
  <c r="AJ107" i="5"/>
  <c r="AK107" i="5"/>
  <c r="AL107" i="5"/>
  <c r="AI108" i="5"/>
  <c r="AJ108" i="5"/>
  <c r="AK108" i="5"/>
  <c r="AL108" i="5"/>
  <c r="AI109" i="5"/>
  <c r="AJ109" i="5"/>
  <c r="AK109" i="5"/>
  <c r="AL109" i="5"/>
  <c r="AI110" i="5"/>
  <c r="AJ110" i="5"/>
  <c r="AK110" i="5"/>
  <c r="AL110" i="5"/>
  <c r="AI111" i="5"/>
  <c r="AJ111" i="5"/>
  <c r="AK111" i="5"/>
  <c r="AL111" i="5"/>
  <c r="AI112" i="5"/>
  <c r="AJ112" i="5"/>
  <c r="AK112" i="5"/>
  <c r="AL112" i="5"/>
  <c r="AI113" i="5"/>
  <c r="AJ113" i="5"/>
  <c r="AK113" i="5"/>
  <c r="AL113" i="5"/>
  <c r="AI114" i="5"/>
  <c r="AJ114" i="5"/>
  <c r="AK114" i="5"/>
  <c r="AL114" i="5"/>
  <c r="AI115" i="5"/>
  <c r="AJ115" i="5"/>
  <c r="AK115" i="5"/>
  <c r="AL115" i="5"/>
  <c r="AI116" i="5"/>
  <c r="AJ116" i="5"/>
  <c r="AK116" i="5"/>
  <c r="AL116" i="5"/>
  <c r="AI117" i="5"/>
  <c r="AJ117" i="5"/>
  <c r="AK117" i="5"/>
  <c r="AL117" i="5"/>
  <c r="AI118" i="5"/>
  <c r="AJ118" i="5"/>
  <c r="AK118" i="5"/>
  <c r="AL118" i="5"/>
  <c r="AI119" i="5"/>
  <c r="AJ119" i="5"/>
  <c r="AK119" i="5"/>
  <c r="AL119" i="5"/>
  <c r="AI120" i="5"/>
  <c r="AJ120" i="5"/>
  <c r="AK120" i="5"/>
  <c r="AL120" i="5"/>
  <c r="AI121" i="5"/>
  <c r="AJ121" i="5"/>
  <c r="AK121" i="5"/>
  <c r="AL121" i="5"/>
  <c r="AI122" i="5"/>
  <c r="AJ122" i="5"/>
  <c r="AK122" i="5"/>
  <c r="AL122" i="5"/>
  <c r="AI123" i="5"/>
  <c r="AJ123" i="5"/>
  <c r="AK123" i="5"/>
  <c r="AL123" i="5"/>
  <c r="AI124" i="5"/>
  <c r="AJ124" i="5"/>
  <c r="AK124" i="5"/>
  <c r="AL124" i="5"/>
  <c r="AI125" i="5"/>
  <c r="AJ125" i="5"/>
  <c r="AK125" i="5"/>
  <c r="AL125" i="5"/>
  <c r="AI126" i="5"/>
  <c r="AJ126" i="5"/>
  <c r="AK126" i="5"/>
  <c r="AL126" i="5"/>
  <c r="AI127" i="5"/>
  <c r="AJ127" i="5"/>
  <c r="AK127" i="5"/>
  <c r="AL127" i="5"/>
  <c r="AI128" i="5"/>
  <c r="AJ128" i="5"/>
  <c r="AK128" i="5"/>
  <c r="AL128" i="5"/>
  <c r="AI129" i="5"/>
  <c r="AJ129" i="5"/>
  <c r="AK129" i="5"/>
  <c r="AL129" i="5"/>
  <c r="AI130" i="5"/>
  <c r="AJ130" i="5"/>
  <c r="AK130" i="5"/>
  <c r="AL130" i="5"/>
  <c r="AI131" i="5"/>
  <c r="AJ131" i="5"/>
  <c r="AK131" i="5"/>
  <c r="AL131" i="5"/>
  <c r="AI132" i="5"/>
  <c r="AJ132" i="5"/>
  <c r="AK132" i="5"/>
  <c r="AL132" i="5"/>
  <c r="AI133" i="5"/>
  <c r="AJ133" i="5"/>
  <c r="AK133" i="5"/>
  <c r="AL133" i="5"/>
  <c r="AI134" i="5"/>
  <c r="AJ134" i="5"/>
  <c r="AK134" i="5"/>
  <c r="AL134" i="5"/>
  <c r="AI135" i="5"/>
  <c r="AJ135" i="5"/>
  <c r="AK135" i="5"/>
  <c r="AL135" i="5"/>
  <c r="AI136" i="5"/>
  <c r="AJ136" i="5"/>
  <c r="AK136" i="5"/>
  <c r="AL136" i="5"/>
  <c r="AI137" i="5"/>
  <c r="AJ137" i="5"/>
  <c r="AK137" i="5"/>
  <c r="AL137" i="5"/>
  <c r="AI138" i="5"/>
  <c r="AJ138" i="5"/>
  <c r="AK138" i="5"/>
  <c r="AL138" i="5"/>
  <c r="AI139" i="5"/>
  <c r="AJ139" i="5"/>
  <c r="AK139" i="5"/>
  <c r="AL139" i="5"/>
  <c r="AL19" i="5"/>
  <c r="AJ19" i="5"/>
  <c r="AI19" i="5"/>
  <c r="AK19" i="5"/>
  <c r="L134" i="5"/>
  <c r="L135" i="5"/>
  <c r="J134" i="5"/>
  <c r="J135" i="5"/>
  <c r="I134" i="5"/>
  <c r="I135" i="5"/>
  <c r="B7" i="2" l="1"/>
  <c r="I6" i="2"/>
  <c r="I5" i="2"/>
  <c r="I4" i="2"/>
  <c r="C3" i="2"/>
  <c r="C39" i="2"/>
  <c r="C26" i="2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  <c r="N26" i="2"/>
  <c r="N25" i="2"/>
  <c r="N23" i="2"/>
  <c r="K46" i="2" l="1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H22" i="2"/>
  <c r="I22" i="2" s="1"/>
  <c r="J22" i="2" s="1"/>
  <c r="D45" i="2"/>
  <c r="C46" i="2" s="1"/>
  <c r="H46" i="2" s="1"/>
  <c r="I46" i="2" s="1"/>
  <c r="J46" i="2" s="1"/>
  <c r="C45" i="2"/>
  <c r="H45" i="2" s="1"/>
  <c r="I45" i="2" s="1"/>
  <c r="J45" i="2" s="1"/>
  <c r="C44" i="2"/>
  <c r="H44" i="2" s="1"/>
  <c r="I44" i="2" s="1"/>
  <c r="J44" i="2" s="1"/>
  <c r="C43" i="2"/>
  <c r="H43" i="2" s="1"/>
  <c r="I43" i="2" s="1"/>
  <c r="J43" i="2" s="1"/>
  <c r="C42" i="2"/>
  <c r="H42" i="2" s="1"/>
  <c r="I42" i="2" s="1"/>
  <c r="J42" i="2" s="1"/>
  <c r="C41" i="2"/>
  <c r="H41" i="2" s="1"/>
  <c r="I41" i="2" s="1"/>
  <c r="J41" i="2" s="1"/>
  <c r="C40" i="2"/>
  <c r="H40" i="2" s="1"/>
  <c r="I40" i="2" s="1"/>
  <c r="J40" i="2" s="1"/>
  <c r="H39" i="2"/>
  <c r="I39" i="2" s="1"/>
  <c r="J39" i="2" s="1"/>
  <c r="C38" i="2"/>
  <c r="H38" i="2" s="1"/>
  <c r="I38" i="2" s="1"/>
  <c r="J38" i="2" s="1"/>
  <c r="C37" i="2"/>
  <c r="H37" i="2" s="1"/>
  <c r="I37" i="2" s="1"/>
  <c r="J37" i="2" s="1"/>
  <c r="C36" i="2"/>
  <c r="H36" i="2" s="1"/>
  <c r="I36" i="2" s="1"/>
  <c r="J36" i="2" s="1"/>
  <c r="C35" i="2"/>
  <c r="H35" i="2" s="1"/>
  <c r="I35" i="2" s="1"/>
  <c r="J35" i="2" s="1"/>
  <c r="C34" i="2"/>
  <c r="H34" i="2" s="1"/>
  <c r="I34" i="2" s="1"/>
  <c r="J34" i="2" s="1"/>
  <c r="C33" i="2"/>
  <c r="H33" i="2" s="1"/>
  <c r="I33" i="2" s="1"/>
  <c r="J33" i="2" s="1"/>
  <c r="C32" i="2"/>
  <c r="H32" i="2" s="1"/>
  <c r="I32" i="2" s="1"/>
  <c r="J32" i="2" s="1"/>
  <c r="C31" i="2"/>
  <c r="H31" i="2" s="1"/>
  <c r="I31" i="2" s="1"/>
  <c r="J31" i="2" s="1"/>
  <c r="C30" i="2"/>
  <c r="H30" i="2" s="1"/>
  <c r="I30" i="2" s="1"/>
  <c r="J30" i="2" s="1"/>
  <c r="C29" i="2"/>
  <c r="H29" i="2" s="1"/>
  <c r="I29" i="2" s="1"/>
  <c r="J29" i="2" s="1"/>
  <c r="C28" i="2"/>
  <c r="H28" i="2" s="1"/>
  <c r="I28" i="2" s="1"/>
  <c r="J28" i="2" s="1"/>
  <c r="C27" i="2"/>
  <c r="H27" i="2" s="1"/>
  <c r="I27" i="2" s="1"/>
  <c r="J27" i="2" s="1"/>
  <c r="H26" i="2"/>
  <c r="I26" i="2" s="1"/>
  <c r="J26" i="2" s="1"/>
  <c r="C25" i="2"/>
  <c r="H25" i="2" s="1"/>
  <c r="I25" i="2" s="1"/>
  <c r="J25" i="2" s="1"/>
  <c r="C24" i="2"/>
  <c r="H24" i="2" s="1"/>
  <c r="I24" i="2" s="1"/>
  <c r="J24" i="2" s="1"/>
  <c r="C23" i="2"/>
  <c r="H23" i="2" s="1"/>
  <c r="I23" i="2" s="1"/>
  <c r="J23" i="2" s="1"/>
  <c r="D21" i="2"/>
  <c r="C21" i="2"/>
</calcChain>
</file>

<file path=xl/sharedStrings.xml><?xml version="1.0" encoding="utf-8"?>
<sst xmlns="http://schemas.openxmlformats.org/spreadsheetml/2006/main" count="336" uniqueCount="147">
  <si>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</si>
  <si>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</si>
  <si>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</si>
  <si>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</si>
  <si>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</si>
  <si>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</si>
  <si>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</si>
  <si>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</si>
  <si>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</si>
  <si>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</si>
  <si>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</si>
  <si>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</si>
  <si>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</si>
  <si>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</si>
  <si>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</si>
  <si>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</si>
  <si>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</si>
  <si>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MAIN STRUCTURE</t>
  </si>
  <si>
    <t>m</t>
  </si>
  <si>
    <t>APPURTENCES/MARINEGROWTH</t>
  </si>
  <si>
    <t>z top</t>
  </si>
  <si>
    <t>z_bot</t>
  </si>
  <si>
    <t>cd</t>
  </si>
  <si>
    <t>cm</t>
  </si>
  <si>
    <t xml:space="preserve">marine_growth </t>
  </si>
  <si>
    <t>[mLAT]</t>
  </si>
  <si>
    <t>[kg]</t>
  </si>
  <si>
    <t>comment</t>
  </si>
  <si>
    <t>Marine Growth</t>
  </si>
  <si>
    <t>Point Mass</t>
  </si>
  <si>
    <t>Diameter</t>
  </si>
  <si>
    <t>Orienation</t>
  </si>
  <si>
    <t>x-offset</t>
  </si>
  <si>
    <t>Name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</si>
  <si>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</si>
  <si>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</si>
  <si>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</si>
  <si>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</si>
  <si>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</si>
  <si>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</si>
  <si>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</si>
  <si>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</si>
  <si>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</si>
  <si>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</si>
  <si>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</si>
  <si>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</si>
  <si>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</si>
  <si>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</si>
  <si>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</si>
  <si>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</si>
  <si>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</si>
  <si>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</si>
  <si>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</si>
  <si>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</si>
  <si>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</si>
  <si>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</si>
  <si>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</si>
  <si>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</si>
  <si>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</si>
  <si>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>Upper ladder</t>
  </si>
  <si>
    <t xml:space="preserve">Output Structure (read only) </t>
  </si>
  <si>
    <t>&lt;&lt;&lt;&lt;&lt;&lt;&lt;&lt;</t>
  </si>
  <si>
    <t>Plots</t>
  </si>
  <si>
    <t>[deg]</t>
  </si>
  <si>
    <t>Model Name:</t>
  </si>
  <si>
    <t>Turbine Data</t>
  </si>
  <si>
    <t>Type</t>
  </si>
  <si>
    <t>GE-13.0-210</t>
  </si>
  <si>
    <t>Grouted connection</t>
  </si>
  <si>
    <t>Mass RNA [t]</t>
  </si>
  <si>
    <t>Material</t>
  </si>
  <si>
    <t>E-Module [N/m^2]</t>
  </si>
  <si>
    <t>Density [kg/m^3]</t>
  </si>
  <si>
    <t>Shear Module [N/m^2]</t>
  </si>
  <si>
    <t>Dimensional tolerance for node generating [m] :</t>
  </si>
  <si>
    <t>Inertia RNA [kgm^2]</t>
  </si>
  <si>
    <t>Steel</t>
  </si>
  <si>
    <t>Water level :</t>
  </si>
  <si>
    <t>LAT</t>
  </si>
  <si>
    <t>Offset TT_COG [m]</t>
  </si>
  <si>
    <t>Grout</t>
  </si>
  <si>
    <t>Steel Tower</t>
  </si>
  <si>
    <t>Tower Data</t>
  </si>
  <si>
    <t>DROPDOWN</t>
  </si>
  <si>
    <t>Offset</t>
  </si>
  <si>
    <t>…</t>
  </si>
  <si>
    <t>Output Structure</t>
  </si>
  <si>
    <t>ODER</t>
  </si>
  <si>
    <t>Cd Cm</t>
  </si>
  <si>
    <t>Point Masses</t>
  </si>
  <si>
    <t xml:space="preserve">Zusätzliche Eingaben 2 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</si>
  <si>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</si>
  <si>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</si>
  <si>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</si>
  <si>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</si>
  <si>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</si>
  <si>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</si>
  <si>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</si>
  <si>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</si>
  <si>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</si>
  <si>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</si>
  <si>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</si>
  <si>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</si>
  <si>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</si>
  <si>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</si>
  <si>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</si>
  <si>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</si>
  <si>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</si>
  <si>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</si>
  <si>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</si>
  <si>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</si>
  <si>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</si>
  <si>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C:\Users\aaron.lange\Desktop\Projekte\Geometrie_Converter\GeometrieConverter\databases\MP.db</t>
  </si>
  <si>
    <t>project_id</t>
  </si>
  <si>
    <t>index</t>
  </si>
  <si>
    <t>table_name</t>
  </si>
  <si>
    <t>project_name</t>
  </si>
  <si>
    <t>TP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</si>
  <si>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</si>
  <si>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</si>
  <si>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</si>
  <si>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</si>
  <si>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</si>
  <si>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</si>
  <si>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</si>
  <si>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25F234</t>
  </si>
  <si>
    <t>Project2</t>
  </si>
  <si>
    <t>Ostesee, pilapo</t>
  </si>
  <si>
    <t>TP02</t>
  </si>
  <si>
    <t>(edits change db entry when saved!!)</t>
  </si>
  <si>
    <t>MP03</t>
  </si>
  <si>
    <t>25F456</t>
  </si>
  <si>
    <t>Project3</t>
  </si>
  <si>
    <t>Taiwan Straight, pilapo</t>
  </si>
  <si>
    <t>25F123</t>
  </si>
  <si>
    <t>Project1</t>
  </si>
  <si>
    <t>Nordesee, pilapo</t>
  </si>
  <si>
    <t>TP03</t>
  </si>
  <si>
    <t>TOWER</t>
  </si>
  <si>
    <t>C:\Users\aaron.lange\Desktop\Projekte\Geometrie_Converter\GeometrieConverter\databases\Tower.db</t>
  </si>
  <si>
    <t>BUG Loaded umbennen in existierende db table</t>
  </si>
  <si>
    <t>MP01</t>
  </si>
  <si>
    <t>MP02</t>
  </si>
  <si>
    <t>rho_stahl</t>
  </si>
  <si>
    <t>TOWER01</t>
  </si>
  <si>
    <t>TOWER02</t>
  </si>
  <si>
    <t>TOWER03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</si>
</sst>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8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/>
  </cellStyleXfs>
  <cellXfs count="118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164" fontId="2" fillId="2" borderId="4" xfId="1" applyFont="1" applyFill="1" applyBorder="1" applyAlignment="1">
      <alignment horizontal="center" vertical="center"/>
    </xf>
    <xf numFmtId="2" fontId="6" fillId="6" borderId="5" xfId="0" applyNumberFormat="1" applyFont="1" applyFill="1" applyBorder="1" applyAlignment="1" applyProtection="1">
      <alignment horizontal="center" vertical="center"/>
      <protection locked="0"/>
    </xf>
    <xf numFmtId="2" fontId="6" fillId="6" borderId="8" xfId="0" applyNumberFormat="1" applyFont="1" applyFill="1" applyBorder="1" applyAlignment="1" applyProtection="1">
      <alignment horizontal="center" vertical="center"/>
      <protection locked="0"/>
    </xf>
    <xf numFmtId="0" fontId="7" fillId="7" borderId="8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7" xfId="0" applyBorder="1"/>
    <xf numFmtId="0" fontId="0" fillId="0" borderId="15" xfId="0" applyBorder="1"/>
    <xf numFmtId="0" fontId="0" fillId="0" borderId="6" xfId="0" applyBorder="1"/>
    <xf numFmtId="0" fontId="0" fillId="9" borderId="2" xfId="0" applyFill="1" applyBorder="1"/>
    <xf numFmtId="0" fontId="0" fillId="9" borderId="16" xfId="0" applyFill="1" applyBorder="1"/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0" fillId="9" borderId="20" xfId="0" applyFill="1" applyBorder="1"/>
    <xf numFmtId="0" fontId="0" fillId="10" borderId="2" xfId="0" applyFill="1" applyBorder="1"/>
    <xf numFmtId="0" fontId="0" fillId="10" borderId="16" xfId="0" applyFill="1" applyBorder="1"/>
    <xf numFmtId="0" fontId="0" fillId="10" borderId="17" xfId="0" applyFill="1" applyBorder="1"/>
    <xf numFmtId="0" fontId="0" fillId="10" borderId="18" xfId="0" applyFill="1" applyBorder="1"/>
    <xf numFmtId="0" fontId="0" fillId="10" borderId="19" xfId="0" applyFill="1" applyBorder="1"/>
    <xf numFmtId="0" fontId="0" fillId="10" borderId="20" xfId="0" applyFill="1" applyBorder="1"/>
    <xf numFmtId="0" fontId="0" fillId="11" borderId="2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0" xfId="0" applyFill="1" applyBorder="1"/>
    <xf numFmtId="0" fontId="0" fillId="12" borderId="13" xfId="0" applyFill="1" applyBorder="1"/>
    <xf numFmtId="0" fontId="0" fillId="12" borderId="0" xfId="0" applyFill="1"/>
    <xf numFmtId="0" fontId="0" fillId="12" borderId="14" xfId="0" applyFill="1" applyBorder="1"/>
    <xf numFmtId="0" fontId="0" fillId="13" borderId="13" xfId="0" applyFill="1" applyBorder="1"/>
    <xf numFmtId="0" fontId="0" fillId="13" borderId="0" xfId="0" applyFill="1"/>
    <xf numFmtId="0" fontId="0" fillId="13" borderId="14" xfId="0" applyFill="1" applyBorder="1"/>
    <xf numFmtId="0" fontId="0" fillId="14" borderId="13" xfId="0" applyFill="1" applyBorder="1"/>
    <xf numFmtId="0" fontId="0" fillId="14" borderId="0" xfId="0" applyFill="1"/>
    <xf numFmtId="0" fontId="0" fillId="14" borderId="14" xfId="0" applyFill="1" applyBorder="1"/>
    <xf numFmtId="0" fontId="0" fillId="15" borderId="7" xfId="0" applyFill="1" applyBorder="1"/>
    <xf numFmtId="0" fontId="0" fillId="15" borderId="15" xfId="0" applyFill="1" applyBorder="1"/>
    <xf numFmtId="0" fontId="0" fillId="15" borderId="6" xfId="0" applyFill="1" applyBorder="1"/>
    <xf numFmtId="0" fontId="0" fillId="15" borderId="14" xfId="0" applyFill="1" applyBorder="1"/>
    <xf numFmtId="0" fontId="0" fillId="15" borderId="0" xfId="0" applyFill="1"/>
    <xf numFmtId="0" fontId="0" fillId="15" borderId="13" xfId="0" applyFill="1" applyBorder="1"/>
    <xf numFmtId="0" fontId="0" fillId="15" borderId="11" xfId="0" applyFill="1" applyBorder="1"/>
    <xf numFmtId="0" fontId="0" fillId="15" borderId="12" xfId="0" applyFill="1" applyBorder="1"/>
    <xf numFmtId="0" fontId="8" fillId="15" borderId="0" xfId="0" applyFont="1" applyFill="1"/>
    <xf numFmtId="0" fontId="0" fillId="15" borderId="10" xfId="0" applyFill="1" applyBorder="1"/>
    <xf numFmtId="0" fontId="3" fillId="15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167" fontId="1" fillId="4" borderId="2" xfId="1" applyNumberFormat="1" applyFill="1" applyBorder="1" applyAlignment="1">
      <alignment horizontal="center" vertical="center"/>
    </xf>
    <xf numFmtId="0" fontId="8" fillId="16" borderId="0" xfId="0" applyFont="1" applyFill="1"/>
    <xf numFmtId="0" fontId="7" fillId="7" borderId="9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vertical="center"/>
    </xf>
    <xf numFmtId="0" fontId="7" fillId="6" borderId="21" xfId="0" applyFont="1" applyFill="1" applyBorder="1" applyAlignment="1">
      <alignment vertical="center"/>
    </xf>
    <xf numFmtId="0" fontId="7" fillId="7" borderId="22" xfId="0" applyFont="1" applyFill="1" applyBorder="1" applyAlignment="1">
      <alignment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0" fontId="7" fillId="7" borderId="22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left" vertical="center"/>
    </xf>
    <xf numFmtId="2" fontId="6" fillId="6" borderId="2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25" xfId="0" applyBorder="1"/>
    <xf numFmtId="0" fontId="11" fillId="0" borderId="0" xfId="0" applyFont="1"/>
    <xf numFmtId="0" fontId="0" fillId="0" borderId="0" xfId="0" applyAlignment="1">
      <alignment vertical="center"/>
    </xf>
    <xf numFmtId="0" fontId="12" fillId="17" borderId="0" xfId="0" applyFont="1" applyFill="1"/>
    <xf numFmtId="0" fontId="5" fillId="17" borderId="0" xfId="0" applyFont="1" applyFill="1"/>
    <xf numFmtId="0" fontId="12" fillId="0" borderId="0" xfId="0" applyFont="1"/>
    <xf numFmtId="0" fontId="11" fillId="0" borderId="13" xfId="0" applyFont="1" applyBorder="1"/>
    <xf numFmtId="0" fontId="5" fillId="17" borderId="13" xfId="0" applyFont="1" applyFill="1" applyBorder="1"/>
    <xf numFmtId="0" fontId="12" fillId="17" borderId="13" xfId="0" applyFont="1" applyFill="1" applyBorder="1"/>
    <xf numFmtId="0" fontId="12" fillId="0" borderId="13" xfId="0" applyFont="1" applyBorder="1"/>
    <xf numFmtId="0" fontId="12" fillId="17" borderId="10" xfId="0" applyFont="1" applyFill="1" applyBorder="1"/>
    <xf numFmtId="0" fontId="5" fillId="17" borderId="11" xfId="0" applyFont="1" applyFill="1" applyBorder="1"/>
    <xf numFmtId="0" fontId="12" fillId="17" borderId="11" xfId="0" applyFont="1" applyFill="1" applyBorder="1"/>
    <xf numFmtId="0" fontId="5" fillId="17" borderId="10" xfId="0" applyFont="1" applyFill="1" applyBorder="1"/>
    <xf numFmtId="0" fontId="3" fillId="0" borderId="15" xfId="0" applyFont="1" applyBorder="1"/>
    <xf numFmtId="0" fontId="3" fillId="12" borderId="10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3" borderId="10" xfId="0" applyFont="1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3" fillId="13" borderId="12" xfId="0" applyFont="1" applyFill="1" applyBorder="1" applyAlignment="1">
      <alignment horizontal="center"/>
    </xf>
    <xf numFmtId="0" fontId="3" fillId="14" borderId="10" xfId="0" applyFont="1" applyFill="1" applyBorder="1" applyAlignment="1">
      <alignment horizontal="center"/>
    </xf>
    <xf numFmtId="0" fontId="3" fillId="14" borderId="11" xfId="0" applyFont="1" applyFill="1" applyBorder="1" applyAlignment="1">
      <alignment horizontal="center"/>
    </xf>
    <xf numFmtId="0" fontId="3" fillId="14" borderId="12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left" vertical="center"/>
    </xf>
    <xf numFmtId="0" fontId="6" fillId="8" borderId="21" xfId="0" applyFont="1" applyFill="1" applyBorder="1" applyAlignment="1">
      <alignment horizontal="left" vertical="center"/>
    </xf>
    <xf numFmtId="0" fontId="6" fillId="8" borderId="22" xfId="0" applyFont="1" applyFill="1" applyBorder="1" applyAlignment="1">
      <alignment horizontal="left" vertical="center"/>
    </xf>
    <xf numFmtId="0" fontId="7" fillId="7" borderId="21" xfId="0" applyFont="1" applyFill="1" applyBorder="1" applyAlignment="1">
      <alignment horizontal="center" vertical="center" wrapText="1"/>
    </xf>
    <xf numFmtId="0" fontId="12" fillId="0" borderId="13" xfId="0" applyFont="1" applyFill="1" applyBorder="1"/>
    <xf numFmtId="0" fontId="0" fillId="0" borderId="0" xfId="0" applyFill="1"/>
    <xf numFmtId="0" fontId="0" fillId="0" borderId="13" xfId="0" applyFill="1" applyBorder="1"/>
    <xf numFmtId="0" fontId="12" fillId="0" borderId="0" xfId="0" applyFont="1" applyFill="1"/>
    <xf numFmtId="0" fontId="3" fillId="0" borderId="13" xfId="0" applyFont="1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26" xfId="0" applyFont="1" applyFill="1" applyBorder="1"/>
    <xf numFmtId="0" fontId="0" fillId="0" borderId="27" xfId="0" applyFont="1" applyFill="1" applyBorder="1"/>
    <xf numFmtId="0" fontId="0" fillId="0" borderId="28" xfId="0" applyFont="1" applyFill="1" applyBorder="1"/>
    <xf numFmtId="168" fontId="0" fillId="0" borderId="0" xfId="0" applyNumberFormat="1" applyFill="1"/>
  </cellXfs>
  <cellStyles count="2">
    <cellStyle name="Standard" xfId="0" builtinId="0"/>
    <cellStyle name="Standard 4" xfId="1" xr:uid="{7C2E7282-4006-4D40-8AAC-8E6944058B8E}"/>
  </cellStyles>
  <dxfs count="114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6" noThreeD="1" sel="2" val="0">
  <itemLst>
    <item val="MP01"/>
    <item val="MP02"/>
    <item val="MP03"/>
  </itemLst>
</formControlPr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Style="combo" dx="26" noThreeD="1" sel="1" val="0">
  <itemLst>
    <item val="TP02"/>
    <item val="TP03"/>
  </itemLst>
</formControlPr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Drop" dropStyle="combo" dx="26" noThreeD="1" sel="3" val="0">
  <itemLst>
    <item val="TOWER01"/>
    <item val="TOWER02"/>
    <item val="TOWER03"/>
  </itemLst>
</formControlPr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13</xdr:row>
          <xdr:rowOff>104775</xdr:rowOff>
        </xdr:from>
        <xdr:to>
          <xdr:col>3</xdr:col>
          <xdr:colOff>552450</xdr:colOff>
          <xdr:row>16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13</xdr:row>
          <xdr:rowOff>123825</xdr:rowOff>
        </xdr:from>
        <xdr:to>
          <xdr:col>5</xdr:col>
          <xdr:colOff>495300</xdr:colOff>
          <xdr:row>16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123825</xdr:rowOff>
        </xdr:from>
        <xdr:to>
          <xdr:col>2</xdr:col>
          <xdr:colOff>28575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13</xdr:row>
          <xdr:rowOff>133350</xdr:rowOff>
        </xdr:from>
        <xdr:to>
          <xdr:col>7</xdr:col>
          <xdr:colOff>371475</xdr:colOff>
          <xdr:row>16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</xdr:row>
          <xdr:rowOff>161925</xdr:rowOff>
        </xdr:from>
        <xdr:to>
          <xdr:col>4</xdr:col>
          <xdr:colOff>333375</xdr:colOff>
          <xdr:row>9</xdr:row>
          <xdr:rowOff>142875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7</xdr:row>
          <xdr:rowOff>28575</xdr:rowOff>
        </xdr:from>
        <xdr:to>
          <xdr:col>1</xdr:col>
          <xdr:colOff>800100</xdr:colOff>
          <xdr:row>7</xdr:row>
          <xdr:rowOff>257175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8</xdr:row>
          <xdr:rowOff>161925</xdr:rowOff>
        </xdr:from>
        <xdr:to>
          <xdr:col>30</xdr:col>
          <xdr:colOff>428625</xdr:colOff>
          <xdr:row>9</xdr:row>
          <xdr:rowOff>152400</xdr:rowOff>
        </xdr:to>
        <xdr:sp macro="" textlink="">
          <xdr:nvSpPr>
            <xdr:cNvPr id="4104" name="Dropdown_TP_Structure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28575</xdr:colOff>
          <xdr:row>7</xdr:row>
          <xdr:rowOff>28575</xdr:rowOff>
        </xdr:from>
        <xdr:to>
          <xdr:col>27</xdr:col>
          <xdr:colOff>800100</xdr:colOff>
          <xdr:row>7</xdr:row>
          <xdr:rowOff>257175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145677</xdr:colOff>
          <xdr:row>11</xdr:row>
          <xdr:rowOff>38100</xdr:rowOff>
        </xdr:from>
        <xdr:to>
          <xdr:col>11</xdr:col>
          <xdr:colOff>714375</xdr:colOff>
          <xdr:row>15</xdr:row>
          <xdr:rowOff>123825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539563</xdr:colOff>
          <xdr:row>11</xdr:row>
          <xdr:rowOff>47625</xdr:rowOff>
        </xdr:from>
        <xdr:to>
          <xdr:col>8</xdr:col>
          <xdr:colOff>235324</xdr:colOff>
          <xdr:row>15</xdr:row>
          <xdr:rowOff>114300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561975</xdr:colOff>
          <xdr:row>11</xdr:row>
          <xdr:rowOff>57150</xdr:rowOff>
        </xdr:from>
        <xdr:to>
          <xdr:col>37</xdr:col>
          <xdr:colOff>685800</xdr:colOff>
          <xdr:row>15</xdr:row>
          <xdr:rowOff>161925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0</xdr:colOff>
          <xdr:row>11</xdr:row>
          <xdr:rowOff>66675</xdr:rowOff>
        </xdr:from>
        <xdr:to>
          <xdr:col>35</xdr:col>
          <xdr:colOff>276225</xdr:colOff>
          <xdr:row>15</xdr:row>
          <xdr:rowOff>152400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47625</xdr:colOff>
          <xdr:row>8</xdr:row>
          <xdr:rowOff>161925</xdr:rowOff>
        </xdr:from>
        <xdr:to>
          <xdr:col>56</xdr:col>
          <xdr:colOff>428625</xdr:colOff>
          <xdr:row>9</xdr:row>
          <xdr:rowOff>152400</xdr:rowOff>
        </xdr:to>
        <xdr:sp macro="" textlink="">
          <xdr:nvSpPr>
            <xdr:cNvPr id="4111" name="Dropdown_TOWER_Structures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28575</xdr:colOff>
          <xdr:row>7</xdr:row>
          <xdr:rowOff>28575</xdr:rowOff>
        </xdr:from>
        <xdr:to>
          <xdr:col>53</xdr:col>
          <xdr:colOff>800100</xdr:colOff>
          <xdr:row>7</xdr:row>
          <xdr:rowOff>257175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1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590550</xdr:colOff>
          <xdr:row>11</xdr:row>
          <xdr:rowOff>76200</xdr:rowOff>
        </xdr:from>
        <xdr:to>
          <xdr:col>63</xdr:col>
          <xdr:colOff>704850</xdr:colOff>
          <xdr:row>15</xdr:row>
          <xdr:rowOff>171450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28575</xdr:colOff>
          <xdr:row>11</xdr:row>
          <xdr:rowOff>85725</xdr:rowOff>
        </xdr:from>
        <xdr:to>
          <xdr:col>61</xdr:col>
          <xdr:colOff>304800</xdr:colOff>
          <xdr:row>15</xdr:row>
          <xdr:rowOff>161925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1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10646</xdr:colOff>
          <xdr:row>0</xdr:row>
          <xdr:rowOff>119343</xdr:rowOff>
        </xdr:from>
        <xdr:to>
          <xdr:col>4</xdr:col>
          <xdr:colOff>134471</xdr:colOff>
          <xdr:row>3</xdr:row>
          <xdr:rowOff>138393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277345</xdr:colOff>
          <xdr:row>11</xdr:row>
          <xdr:rowOff>38100</xdr:rowOff>
        </xdr:from>
        <xdr:to>
          <xdr:col>10</xdr:col>
          <xdr:colOff>98051</xdr:colOff>
          <xdr:row>15</xdr:row>
          <xdr:rowOff>125506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95DA91D5-ACD6-5040-270A-1CB9197869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10</xdr:row>
          <xdr:rowOff>0</xdr:rowOff>
        </xdr:from>
        <xdr:to>
          <xdr:col>2</xdr:col>
          <xdr:colOff>95250</xdr:colOff>
          <xdr:row>12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JBOOST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10</xdr:row>
          <xdr:rowOff>19050</xdr:rowOff>
        </xdr:from>
        <xdr:to>
          <xdr:col>3</xdr:col>
          <xdr:colOff>600075</xdr:colOff>
          <xdr:row>12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Bladed Out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ron.lange\Desktop\Projekte\Geometrie_Converter\GeomConv_V1.18.xlsm" TargetMode="External"/><Relationship Id="rId1" Type="http://schemas.openxmlformats.org/officeDocument/2006/relationships/externalLinkPath" Target="/Users/aaron.lange/Desktop/Projekte/Geometrie_Converter/GeomConv_V1.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sion History"/>
      <sheetName val="Geometrie"/>
      <sheetName val="Zusätzliche Eingaben"/>
      <sheetName val="Zusätzliche Eingaben 2"/>
      <sheetName val="JBOOST"/>
      <sheetName val="WLGen"/>
      <sheetName val="Bladed-Modell (WLGen)"/>
      <sheetName val="Bladed"/>
      <sheetName val="Bladed PY Input"/>
      <sheetName val="ACP FDDE Converter"/>
      <sheetName val="Splinter PY Input"/>
      <sheetName val="TurbineData"/>
    </sheetNames>
    <sheetDataSet>
      <sheetData sheetId="0"/>
      <sheetData sheetId="1">
        <row r="36">
          <cell r="D36">
            <v>91.787000000000006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6">
          <cell r="H36"/>
          <cell r="I36"/>
          <cell r="J36"/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5B7EAF-F4B3-4CB0-91CE-F052BEDE2D4C}" name="TP_DATA_TRUE" displayName="TP_DATA_TRUE" ref="AN18:AT43" totalsRowShown="0" headerRowDxfId="113">
  <autoFilter ref="AN18:AT43" xr:uid="{A05B7EAF-F4B3-4CB0-91CE-F052BEDE2D4C}"/>
  <tableColumns count="7">
    <tableColumn id="1" xr3:uid="{36A8AEBD-BCE8-4616-8BF1-244AC23DF635}" name="index"/>
    <tableColumn id="2" xr3:uid="{213DB178-23F5-4B18-8924-D2FACACFCB01}" name="Section"/>
    <tableColumn id="3" xr3:uid="{6D3244F2-6451-433F-B598-0434C7F17652}" name="Top"/>
    <tableColumn id="4" xr3:uid="{4323E14B-B20E-45CB-80B5-9ABE1324ECAB}" name="Bottom"/>
    <tableColumn id="5" xr3:uid="{D7E7C610-6414-4B3C-AC77-FEECE8F7A393}" name="D, top"/>
    <tableColumn id="6" xr3:uid="{5EF5BF37-07D0-4397-83DE-A67BCED8D316}" name="D, bottom"/>
    <tableColumn id="7" xr3:uid="{3B1F32B8-4836-442E-9D2C-7597DC9A451E}" name="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12:F13" totalsRowShown="0" headerRowDxfId="112" dataDxfId="8">
  <autoFilter ref="B12:F13" xr:uid="{51AF5F9E-A6E5-4BA1-83BE-2546351DAE06}"/>
  <tableColumns count="5">
    <tableColumn id="1" xr3:uid="{8004DE55-01A0-4AB5-A007-D379F8ED184F}" name="index" dataDxfId="13"/>
    <tableColumn id="2" xr3:uid="{73AEE22B-B9CF-4401-B31E-64902257C6A9}" name="table_name" dataDxfId="12"/>
    <tableColumn id="3" xr3:uid="{6CD7BEF9-707B-4F7D-A334-46DB51B6F454}" name="project_id" dataDxfId="11"/>
    <tableColumn id="4" xr3:uid="{5572AB9F-884A-4001-85E7-5E708A2DFC71}" name="project_name" dataDxfId="10"/>
    <tableColumn id="5" xr3:uid="{AFCB5F1D-C5C1-4D21-A7C0-310C0D52F9E4}" name="comment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448141-751E-4CE2-A594-6FB37278B989}" name="TP_META" displayName="TP_META" ref="AB12:AF13" totalsRowShown="0" headerRowDxfId="111" dataDxfId="36">
  <autoFilter ref="AB12:AF13" xr:uid="{94448141-751E-4CE2-A594-6FB37278B989}"/>
  <tableColumns count="5">
    <tableColumn id="1" xr3:uid="{57DB9C8F-6298-444F-B781-43E493EC350C}" name="index" dataDxfId="41"/>
    <tableColumn id="2" xr3:uid="{E7173C8D-9FFE-458C-872E-CE7E40948D81}" name="table_name" dataDxfId="40"/>
    <tableColumn id="3" xr3:uid="{F7ED4469-200D-42A4-AC13-864E25AA4DF7}" name="project_id" dataDxfId="39"/>
    <tableColumn id="4" xr3:uid="{51AB38F8-F9F6-4EC5-98F3-EF7061139063}" name="project_name" dataDxfId="38"/>
    <tableColumn id="5" xr3:uid="{9757B10C-0135-418C-998A-27E8CF880303}" name="comment" dataDxfId="3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15:F16" totalsRowShown="0" headerRowDxfId="110" dataDxfId="60">
  <autoFilter ref="B15:F16" xr:uid="{58117B73-5FCA-4002-A528-31B3F83BDE75}"/>
  <tableColumns count="5">
    <tableColumn id="1" xr3:uid="{5C484AAB-AA0F-4FBD-9543-28D80EB7F84D}" name="index" dataDxfId="65"/>
    <tableColumn id="2" xr3:uid="{87603448-795E-499B-8754-D6455D5FF52F}" name="table_name" dataDxfId="64"/>
    <tableColumn id="3" xr3:uid="{51EA6487-4EF3-43A9-B440-34893EEEEAB2}" name="project_id" dataDxfId="63"/>
    <tableColumn id="4" xr3:uid="{4AC48BB5-6D2E-492F-89B1-5662010991A8}" name="project_name" dataDxfId="62"/>
    <tableColumn id="5" xr3:uid="{2AE3ED2D-7CAB-45B8-AA43-6197A5DBB9C2}" name="comment" dataDxfId="6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18:H43" totalsRowShown="0" headerRowDxfId="42" dataDxfId="0">
  <autoFilter ref="B18:H43" xr:uid="{C9C31EE9-6B44-4D67-9597-BD108F88B355}"/>
  <sortState xmlns:xlrd2="http://schemas.microsoft.com/office/spreadsheetml/2017/richdata2" ref="B19:L43">
    <sortCondition ref="B18:B43"/>
  </sortState>
  <tableColumns count="7">
    <tableColumn id="1" xr3:uid="{15F53C56-04A7-4EA4-A64D-A2A5A78E2AA2}" name="index" dataDxfId="7"/>
    <tableColumn id="2" xr3:uid="{01B5124C-F6E1-40D2-9236-F2D6BE941DD3}" name="Section" dataDxfId="6"/>
    <tableColumn id="3" xr3:uid="{0537C90E-D320-4AC4-8392-2A7C45CE31A1}" name="Top" dataDxfId="5"/>
    <tableColumn id="4" xr3:uid="{3F0DC3DB-26F8-4D70-A358-70EF5E1596F5}" name="Bottom" dataDxfId="4"/>
    <tableColumn id="5" xr3:uid="{25F6B1D8-AC49-468F-BDCD-72AC07BB3CD0}" name="D, top" dataDxfId="3"/>
    <tableColumn id="6" xr3:uid="{8903080D-EDD3-4988-B4E0-B83C140DA4BA}" name="D, bottom" dataDxfId="2"/>
    <tableColumn id="7" xr3:uid="{DF9432EA-FCDA-4710-9C80-D986C443BD63}" name="t" dataDxfId="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770E9F-FA7E-4954-9882-4BDCCA47D754}" name="TP_DATA" displayName="TP_DATA" ref="AB18:AH43" totalsRowShown="0" headerRowDxfId="109" dataDxfId="28">
  <autoFilter ref="AB18:AH43" xr:uid="{74770E9F-FA7E-4954-9882-4BDCCA47D754}"/>
  <tableColumns count="7">
    <tableColumn id="1" xr3:uid="{01E662F1-57F5-4660-BF9D-F84C54A3C27D}" name="index" dataDxfId="35"/>
    <tableColumn id="2" xr3:uid="{77ADA521-9367-4E8D-84A3-EF0902A21327}" name="Section" dataDxfId="34"/>
    <tableColumn id="3" xr3:uid="{C52F23D5-089D-402B-A3C5-F085DF35E1A3}" name="Top" dataDxfId="33"/>
    <tableColumn id="4" xr3:uid="{A48A6A87-766D-4330-8063-74E5B847017A}" name="Bottom" dataDxfId="32"/>
    <tableColumn id="5" xr3:uid="{C3F932C9-9C2D-4ED1-8B9C-175451BFD053}" name="D, top" dataDxfId="31"/>
    <tableColumn id="6" xr3:uid="{8A2E4BB0-B60B-4739-8FA0-C3238B83736C}" name="D, bottom" dataDxfId="30"/>
    <tableColumn id="7" xr3:uid="{966AFBB3-7397-4BF1-93DB-E43F2F3B1B83}" name="t" dataDxfId="2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N12:R13" totalsRowShown="0" headerRowDxfId="108">
  <autoFilter ref="N12:R13" xr:uid="{F46B677D-4D25-4464-BE0D-6A1E644518C5}"/>
  <tableColumns count="5">
    <tableColumn id="1" xr3:uid="{ECD0389F-015D-412B-9FF1-D5BEAAD27FC1}" name="index" dataDxfId="107"/>
    <tableColumn id="2" xr3:uid="{90794316-AE1E-4D40-A728-B5B995A9CF65}" name="table_name"/>
    <tableColumn id="3" xr3:uid="{B8C9242D-AC32-4E57-A861-DB7E615D6A1C}" name="project_id"/>
    <tableColumn id="4" xr3:uid="{1EEB510B-3010-431D-B8C6-870D9180A629}" name="project_name"/>
    <tableColumn id="5" xr3:uid="{B6F5C20C-83C1-4B16-B4D3-933D066BB6A0}" name="comme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V12:Z15" totalsRowShown="0" headerRowDxfId="106" dataDxfId="105">
  <autoFilter ref="V12:Z15" xr:uid="{46FD7C67-BF9C-41F4-B134-682EDE7A007C}"/>
  <sortState xmlns:xlrd2="http://schemas.microsoft.com/office/spreadsheetml/2017/richdata2" ref="V13:Z14">
    <sortCondition descending="1" ref="X12:X14"/>
  </sortState>
  <tableColumns count="5">
    <tableColumn id="1" xr3:uid="{43AB1C43-FBC5-42AE-8DFA-4651B77C56A0}" name="index" dataDxfId="104"/>
    <tableColumn id="2" xr3:uid="{75FB6F15-9784-4F9D-9947-41C8E7DD1CC9}" name="table_name" dataDxfId="103"/>
    <tableColumn id="3" xr3:uid="{DF3379D9-9371-4EDE-B715-A6A40C072275}" name="project_id" dataDxfId="102"/>
    <tableColumn id="4" xr3:uid="{B2F66CA1-64D8-49D4-A1DA-28FD14EC75C2}" name="project_name" dataDxfId="101"/>
    <tableColumn id="5" xr3:uid="{E0EC4989-22E7-49A3-8DAC-034A87568E19}" name="comment" dataDxfId="10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0B93974-8087-4F74-BDA8-F11BEB0EE9C9}" name="TP_META_FULL" displayName="TP_META_FULL" ref="AV12:AZ14" totalsRowShown="0" headerRowDxfId="99" dataDxfId="98">
  <autoFilter ref="AV12:AZ14" xr:uid="{D0B93974-8087-4F74-BDA8-F11BEB0EE9C9}"/>
  <sortState xmlns:xlrd2="http://schemas.microsoft.com/office/spreadsheetml/2017/richdata2" ref="AV13:AZ14">
    <sortCondition descending="1" ref="AX12:AX14"/>
  </sortState>
  <tableColumns count="5">
    <tableColumn id="1" xr3:uid="{9D52937E-65D8-4312-A4AF-FB3250C72131}" name="index" dataDxfId="97"/>
    <tableColumn id="2" xr3:uid="{A9D3DF7F-89E3-44F4-AB6B-2780085E5FE6}" name="table_name" dataDxfId="96"/>
    <tableColumn id="3" xr3:uid="{B94A6648-9D52-4CBE-8946-79470C9279B8}" name="project_id" dataDxfId="95"/>
    <tableColumn id="4" xr3:uid="{820F00DC-0F6B-4BCC-B860-A46E29D23668}" name="project_name" dataDxfId="94"/>
    <tableColumn id="5" xr3:uid="{7EDDDECA-88E7-4240-97FE-4B82277E2687}" name="comment" dataDxfId="9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5C20F9C-3543-47BB-9F5A-0E9295A0B363}" name="TP_META_NEW" displayName="TP_META_NEW" ref="AB15:AF16" totalsRowShown="0" headerRowDxfId="92" dataDxfId="91">
  <autoFilter ref="AB15:AF16" xr:uid="{65C20F9C-3543-47BB-9F5A-0E9295A0B363}"/>
  <tableColumns count="5">
    <tableColumn id="1" xr3:uid="{7DE2B200-1B36-4B4C-95BD-9AFED869603E}" name="index" dataDxfId="90"/>
    <tableColumn id="2" xr3:uid="{B71CCC44-6656-44E8-830F-8451D7FAF785}" name="table_name" dataDxfId="89"/>
    <tableColumn id="3" xr3:uid="{1E19DEED-B4DC-4667-B815-64BE1A9D2706}" name="project_id" dataDxfId="88"/>
    <tableColumn id="4" xr3:uid="{3F222AA2-DB34-49F0-A96F-C430681C13C4}" name="project_name" dataDxfId="87"/>
    <tableColumn id="5" xr3:uid="{FF4CF8D5-1876-40C6-AFD8-FA6FB994CF82}" name="comment" dataDxfId="8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146C6EF-C6A4-420F-A05C-4B81F64A63DE}" name="TP_META_TRUE" displayName="TP_META_TRUE" ref="AN12:AR13" totalsRowShown="0" headerRowDxfId="85">
  <autoFilter ref="AN12:AR13" xr:uid="{7146C6EF-C6A4-420F-A05C-4B81F64A63DE}"/>
  <tableColumns count="5">
    <tableColumn id="1" xr3:uid="{0274C0F5-144A-42E2-80C1-B9808C5ADCA2}" name="index" dataDxfId="84"/>
    <tableColumn id="2" xr3:uid="{CDC1EB0D-2ED8-42AD-95BF-D93B45F3D9AD}" name="table_name"/>
    <tableColumn id="3" xr3:uid="{9E1E953B-FE8E-4593-A359-BB34FA5B8505}" name="project_id"/>
    <tableColumn id="4" xr3:uid="{B7C61DC2-D719-4F53-AFD5-A51A4C9EC583}" name="project_name"/>
    <tableColumn id="5" xr3:uid="{F6E3128C-A188-48EE-B1D6-225A20F4C647}" name="commen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E8D41F6-9199-43ED-A4E8-1F6B40E39AC7}" name="TOWER_DATA_TRUE" displayName="TOWER_DATA_TRUE" ref="BN18:BT43" totalsRowShown="0" headerRowDxfId="83">
  <autoFilter ref="BN18:BT43" xr:uid="{8E8D41F6-9199-43ED-A4E8-1F6B40E39AC7}"/>
  <tableColumns count="7">
    <tableColumn id="1" xr3:uid="{960F2AAA-A592-41C1-8F18-E724D94B711B}" name="index"/>
    <tableColumn id="2" xr3:uid="{632793ED-5896-4D09-BEEA-3D55A6C847B2}" name="Section"/>
    <tableColumn id="3" xr3:uid="{B05E0C70-9D8D-45F9-8EA3-29846AF4E563}" name="Top"/>
    <tableColumn id="4" xr3:uid="{3B413CA5-66D0-402D-8F6B-86DF66700BAE}" name="Bottom"/>
    <tableColumn id="5" xr3:uid="{F95747AE-5B2E-4E72-8884-8C722E2E1683}" name="D, top"/>
    <tableColumn id="6" xr3:uid="{CB283EE3-DEA3-49C7-9BA7-42AE9683BE96}" name="D, bottom"/>
    <tableColumn id="7" xr3:uid="{999B5B3F-749B-4055-8238-856335379E11}" name="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8450430-9DCE-464B-B388-5545AE7E5471}" name="TOWER_META" displayName="TOWER_META" ref="BB12:BF13" totalsRowShown="0" headerRowDxfId="82" dataDxfId="22">
  <autoFilter ref="BB12:BF13" xr:uid="{88450430-9DCE-464B-B388-5545AE7E5471}"/>
  <tableColumns count="5">
    <tableColumn id="1" xr3:uid="{37758162-60F8-4AA8-9752-6307E4239B0B}" name="index" dataDxfId="27"/>
    <tableColumn id="2" xr3:uid="{E1D641F7-2844-4A65-B5C3-25C895F435B5}" name="table_name" dataDxfId="26"/>
    <tableColumn id="3" xr3:uid="{C693CD9C-41AB-4377-8E3E-8BE85DE9119E}" name="project_id" dataDxfId="25"/>
    <tableColumn id="4" xr3:uid="{16D224DB-FD6B-4D6C-90DB-E8061E6D1015}" name="project_name" dataDxfId="24"/>
    <tableColumn id="5" xr3:uid="{A2DC3881-5C17-40FD-BCE0-1F4FB416BBDA}" name="comment" dataDxfId="2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E858ED4-8211-4779-A836-7B99D7B53A4E}" name="TOWER_DATA" displayName="TOWER_DATA" ref="BB18:BH43" totalsRowShown="0" headerRowDxfId="59" dataDxfId="14">
  <autoFilter ref="BB18:BH43" xr:uid="{CE858ED4-8211-4779-A836-7B99D7B53A4E}"/>
  <tableColumns count="7">
    <tableColumn id="1" xr3:uid="{ACAF42AB-15B0-44F5-A252-2571E3822A53}" name="index" dataDxfId="21"/>
    <tableColumn id="2" xr3:uid="{2FA633BF-64DC-4AA1-9AF0-56BBE0B2B87E}" name="Section" dataDxfId="20"/>
    <tableColumn id="3" xr3:uid="{F72F73EE-F6D6-4971-8052-4CB3EE35433E}" name="Top" dataDxfId="19"/>
    <tableColumn id="4" xr3:uid="{D56E9F85-2FF5-476A-B4C8-2AB028ACD981}" name="Bottom" dataDxfId="18"/>
    <tableColumn id="5" xr3:uid="{F70FA15F-404B-4684-930D-4BC66F2AFC38}" name="D, top" dataDxfId="17"/>
    <tableColumn id="6" xr3:uid="{76541AB4-AAFF-445C-932A-6A3AAE49760C}" name="D, bottom" dataDxfId="16"/>
    <tableColumn id="7" xr3:uid="{2378F701-EC89-4CF1-BACE-F6E6C2CEA0A0}" name="t" dataDxf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82C3AE3-FF49-480C-9D8A-BE8A8E214929}" name="TOWER_META_FULL" displayName="TOWER_META_FULL" ref="BV12:BZ15" totalsRowShown="0" headerRowDxfId="81" dataDxfId="80">
  <autoFilter ref="BV12:BZ15" xr:uid="{D82C3AE3-FF49-480C-9D8A-BE8A8E214929}"/>
  <sortState xmlns:xlrd2="http://schemas.microsoft.com/office/spreadsheetml/2017/richdata2" ref="BV13:BZ14">
    <sortCondition descending="1" ref="BX12:BX14"/>
  </sortState>
  <tableColumns count="5">
    <tableColumn id="1" xr3:uid="{47D5EEA2-B0C2-45DF-B696-5660C3147541}" name="index" dataDxfId="79"/>
    <tableColumn id="2" xr3:uid="{ED3A3BCE-A76B-46E8-BDB0-4756E0252096}" name="table_name" dataDxfId="78"/>
    <tableColumn id="3" xr3:uid="{ED39274A-8C32-4DFC-90F0-12E113EE4094}" name="project_id" dataDxfId="77"/>
    <tableColumn id="4" xr3:uid="{7316EF5B-CF41-4740-B776-CEB289F0744A}" name="project_name" dataDxfId="76"/>
    <tableColumn id="5" xr3:uid="{3647833B-7067-42A1-9EF1-B885C3A2D005}" name="comment" dataDxfId="7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C33E58-38AF-4057-8B0D-6C71828E89F1}" name="TOWER_META_NEW" displayName="TOWER_META_NEW" ref="BB15:BF16" totalsRowShown="0" headerRowDxfId="74" dataDxfId="73">
  <autoFilter ref="BB15:BF16" xr:uid="{BBC33E58-38AF-4057-8B0D-6C71828E89F1}"/>
  <tableColumns count="5">
    <tableColumn id="1" xr3:uid="{EF29D5F3-E7EB-4246-97B5-B048042B700A}" name="index" dataDxfId="72"/>
    <tableColumn id="2" xr3:uid="{B81E590E-2A7F-43AB-8200-AC12B687F45F}" name="table_name" dataDxfId="71"/>
    <tableColumn id="3" xr3:uid="{F6324830-14A2-40D2-859E-656DC97D1238}" name="project_id" dataDxfId="70"/>
    <tableColumn id="4" xr3:uid="{CD3CC26C-5A30-475C-8371-745C2ADF92D8}" name="project_name" dataDxfId="69"/>
    <tableColumn id="5" xr3:uid="{EF674BBA-E3DD-4782-8A54-DDC601051A6D}" name="comment" dataDxfId="6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1442391-36CC-4DEC-AB28-6FA84E5F223B}" name="TOWER_META_TRUE" displayName="TOWER_META_TRUE" ref="BN12:BR13" totalsRowShown="0" headerRowDxfId="67">
  <autoFilter ref="BN12:BR13" xr:uid="{E1442391-36CC-4DEC-AB28-6FA84E5F223B}"/>
  <tableColumns count="5">
    <tableColumn id="1" xr3:uid="{5B5ACE24-6986-402D-B425-62908E2B56BB}" name="index" dataDxfId="66"/>
    <tableColumn id="2" xr3:uid="{04F9AE40-4A86-4DA5-B221-5F1A9A5B276F}" name="table_name"/>
    <tableColumn id="3" xr3:uid="{D549F85B-F5A5-47B8-A4AF-8B86C6064FFE}" name="project_id"/>
    <tableColumn id="4" xr3:uid="{27616881-CCEA-4DF3-A494-933133E38467}" name="project_name"/>
    <tableColumn id="5" xr3:uid="{066E1108-1E1E-49C4-91A6-C551C85FA47B}" name="comment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N18:T43" totalsRowShown="0" headerRowDxfId="51" dataDxfId="50">
  <autoFilter ref="N18:T43" xr:uid="{186CFF05-2CD9-405C-829A-5AD7B62A8ACE}"/>
  <sortState xmlns:xlrd2="http://schemas.microsoft.com/office/spreadsheetml/2017/richdata2" ref="N19:X43">
    <sortCondition ref="N18:N43"/>
  </sortState>
  <tableColumns count="7">
    <tableColumn id="1" xr3:uid="{66D6C4E1-74CA-4A30-A085-277EA5E62B3C}" name="index" dataDxfId="49"/>
    <tableColumn id="2" xr3:uid="{D0F6ECD2-6414-48B2-9B47-1C3B8BAC860B}" name="Section" dataDxfId="48"/>
    <tableColumn id="3" xr3:uid="{575FC20A-0259-4081-83F8-71040557AEA8}" name="Top" dataDxfId="47"/>
    <tableColumn id="4" xr3:uid="{529E5CD0-69F2-4E59-86A7-A3E6F1B39E96}" name="Bottom" dataDxfId="46"/>
    <tableColumn id="5" xr3:uid="{7F90AAFA-52D7-47DB-A99D-3E3E0AEE6541}" name="D, top" dataDxfId="45"/>
    <tableColumn id="6" xr3:uid="{1B01547B-4485-4B79-8DB3-FCEA1C806B60}" name="D, bottom" dataDxfId="44"/>
    <tableColumn id="7" xr3:uid="{A57B84D5-565D-4413-B04E-711170C1D848}" name="t" dataDxfId="4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table" Target="../tables/table1.xml"/><Relationship Id="rId26" Type="http://schemas.openxmlformats.org/officeDocument/2006/relationships/table" Target="../tables/table9.xml"/><Relationship Id="rId3" Type="http://schemas.openxmlformats.org/officeDocument/2006/relationships/vmlDrawing" Target="../drawings/vmlDrawing2.vml"/><Relationship Id="rId21" Type="http://schemas.openxmlformats.org/officeDocument/2006/relationships/table" Target="../tables/table4.xml"/><Relationship Id="rId34" Type="http://schemas.openxmlformats.org/officeDocument/2006/relationships/table" Target="../tables/table17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table" Target="../tables/table8.xml"/><Relationship Id="rId33" Type="http://schemas.openxmlformats.org/officeDocument/2006/relationships/table" Target="../tables/table1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0" Type="http://schemas.openxmlformats.org/officeDocument/2006/relationships/table" Target="../tables/table3.xml"/><Relationship Id="rId29" Type="http://schemas.openxmlformats.org/officeDocument/2006/relationships/table" Target="../tables/table1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24" Type="http://schemas.openxmlformats.org/officeDocument/2006/relationships/table" Target="../tables/table7.xml"/><Relationship Id="rId32" Type="http://schemas.openxmlformats.org/officeDocument/2006/relationships/table" Target="../tables/table15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23" Type="http://schemas.openxmlformats.org/officeDocument/2006/relationships/table" Target="../tables/table6.xml"/><Relationship Id="rId28" Type="http://schemas.openxmlformats.org/officeDocument/2006/relationships/table" Target="../tables/table11.xml"/><Relationship Id="rId10" Type="http://schemas.openxmlformats.org/officeDocument/2006/relationships/ctrlProp" Target="../ctrlProps/ctrlProp11.xml"/><Relationship Id="rId19" Type="http://schemas.openxmlformats.org/officeDocument/2006/relationships/table" Target="../tables/table2.xml"/><Relationship Id="rId31" Type="http://schemas.openxmlformats.org/officeDocument/2006/relationships/table" Target="../tables/table14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table" Target="../tables/table5.xml"/><Relationship Id="rId27" Type="http://schemas.openxmlformats.org/officeDocument/2006/relationships/table" Target="../tables/table10.xml"/><Relationship Id="rId30" Type="http://schemas.openxmlformats.org/officeDocument/2006/relationships/table" Target="../tables/table13.xml"/><Relationship Id="rId35" Type="http://schemas.openxmlformats.org/officeDocument/2006/relationships/table" Target="../tables/table18.xml"/><Relationship Id="rId8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G30" sqref="G30"/>
    </sheetView>
  </sheetViews>
  <sheetFormatPr baseColWidth="10" defaultRowHeight="15" x14ac:dyDescent="0.25"/>
  <cols>
    <col min="2" max="2" width="17.85546875" customWidth="1"/>
    <col min="3" max="3" width="13.28515625" customWidth="1"/>
    <col min="4" max="4" width="13.5703125" customWidth="1"/>
    <col min="6" max="6" width="14.85546875" customWidth="1"/>
    <col min="9" max="9" width="14.140625" customWidth="1"/>
    <col min="11" max="11" width="20.28515625" customWidth="1"/>
  </cols>
  <sheetData>
    <row r="1" spans="1:24" x14ac:dyDescent="0.25">
      <c r="A1" s="57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7"/>
      <c r="P1" s="54"/>
      <c r="Q1" s="54"/>
      <c r="R1" s="55"/>
    </row>
    <row r="2" spans="1:24" ht="15.75" x14ac:dyDescent="0.25">
      <c r="A2" s="53"/>
      <c r="B2" s="56" t="s">
        <v>58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3"/>
      <c r="P2" s="58" t="s">
        <v>16</v>
      </c>
      <c r="Q2" s="52"/>
      <c r="R2" s="51"/>
    </row>
    <row r="3" spans="1:24" ht="15.75" thickBot="1" x14ac:dyDescent="0.3">
      <c r="A3" s="53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3"/>
      <c r="P3" s="52"/>
      <c r="Q3" s="52"/>
      <c r="R3" s="51"/>
    </row>
    <row r="4" spans="1:24" x14ac:dyDescent="0.25">
      <c r="A4" s="53"/>
      <c r="B4" s="93" t="s">
        <v>55</v>
      </c>
      <c r="C4" s="94"/>
      <c r="D4" s="95"/>
      <c r="E4" s="52"/>
      <c r="F4" s="96" t="s">
        <v>39</v>
      </c>
      <c r="G4" s="97"/>
      <c r="H4" s="97"/>
      <c r="I4" s="98"/>
      <c r="J4" s="52"/>
      <c r="K4" s="99" t="s">
        <v>56</v>
      </c>
      <c r="L4" s="100"/>
      <c r="M4" s="101"/>
      <c r="N4" s="52"/>
      <c r="O4" s="53"/>
      <c r="P4" s="52"/>
      <c r="Q4" s="52"/>
      <c r="R4" s="51"/>
    </row>
    <row r="5" spans="1:24" x14ac:dyDescent="0.25">
      <c r="A5" s="53"/>
      <c r="B5" s="39"/>
      <c r="C5" s="40"/>
      <c r="D5" s="41"/>
      <c r="E5" s="52"/>
      <c r="F5" s="42"/>
      <c r="G5" s="43"/>
      <c r="H5" s="43"/>
      <c r="I5" s="44"/>
      <c r="J5" s="52"/>
      <c r="K5" s="45"/>
      <c r="L5" s="46"/>
      <c r="M5" s="47"/>
      <c r="N5" s="52"/>
      <c r="O5" s="53"/>
      <c r="P5" s="52"/>
      <c r="Q5" s="52"/>
      <c r="R5" s="51"/>
    </row>
    <row r="6" spans="1:24" x14ac:dyDescent="0.25">
      <c r="A6" s="53"/>
      <c r="B6" s="22" t="s">
        <v>0</v>
      </c>
      <c r="C6" s="21" t="s">
        <v>49</v>
      </c>
      <c r="D6" s="23" t="s">
        <v>57</v>
      </c>
      <c r="E6" s="52"/>
      <c r="F6" s="28" t="s">
        <v>40</v>
      </c>
      <c r="G6" s="27" t="s">
        <v>41</v>
      </c>
      <c r="H6" s="27" t="s">
        <v>42</v>
      </c>
      <c r="I6" s="29" t="s">
        <v>57</v>
      </c>
      <c r="J6" s="52"/>
      <c r="K6" s="34" t="s">
        <v>40</v>
      </c>
      <c r="L6" s="33" t="s">
        <v>49</v>
      </c>
      <c r="M6" s="35" t="s">
        <v>57</v>
      </c>
      <c r="N6" s="52"/>
      <c r="O6" s="53"/>
      <c r="P6" s="52"/>
      <c r="Q6" s="52"/>
      <c r="R6" s="51"/>
    </row>
    <row r="7" spans="1:24" x14ac:dyDescent="0.25">
      <c r="A7" s="53"/>
      <c r="B7" s="22" t="s">
        <v>34</v>
      </c>
      <c r="C7" s="21"/>
      <c r="D7" s="23"/>
      <c r="E7" s="52"/>
      <c r="F7" s="28" t="s">
        <v>43</v>
      </c>
      <c r="G7" s="27"/>
      <c r="H7" s="27"/>
      <c r="I7" s="29"/>
      <c r="J7" s="52"/>
      <c r="K7" s="34" t="s">
        <v>50</v>
      </c>
      <c r="L7" s="33"/>
      <c r="M7" s="35"/>
      <c r="N7" s="52"/>
      <c r="O7" s="53"/>
      <c r="P7" s="52"/>
      <c r="Q7" s="52"/>
      <c r="R7" s="51"/>
    </row>
    <row r="8" spans="1:24" x14ac:dyDescent="0.25">
      <c r="A8" s="53"/>
      <c r="B8" s="22" t="s">
        <v>35</v>
      </c>
      <c r="C8" s="21"/>
      <c r="D8" s="23"/>
      <c r="E8" s="52"/>
      <c r="F8" s="28" t="s">
        <v>44</v>
      </c>
      <c r="G8" s="27"/>
      <c r="H8" s="27"/>
      <c r="I8" s="29"/>
      <c r="J8" s="52"/>
      <c r="K8" s="34" t="s">
        <v>51</v>
      </c>
      <c r="L8" s="33"/>
      <c r="M8" s="35"/>
      <c r="N8" s="52"/>
      <c r="O8" s="53"/>
      <c r="P8" s="52"/>
      <c r="Q8" s="52"/>
      <c r="R8" s="51"/>
    </row>
    <row r="9" spans="1:24" x14ac:dyDescent="0.25">
      <c r="A9" s="53"/>
      <c r="B9" s="22" t="s">
        <v>36</v>
      </c>
      <c r="C9" s="21"/>
      <c r="D9" s="23"/>
      <c r="E9" s="52"/>
      <c r="F9" s="28" t="s">
        <v>45</v>
      </c>
      <c r="G9" s="27"/>
      <c r="H9" s="27"/>
      <c r="I9" s="29"/>
      <c r="J9" s="52"/>
      <c r="K9" s="34" t="s">
        <v>52</v>
      </c>
      <c r="L9" s="33"/>
      <c r="M9" s="35"/>
      <c r="N9" s="52"/>
      <c r="O9" s="53"/>
      <c r="P9" s="52"/>
      <c r="Q9" s="52"/>
      <c r="R9" s="51"/>
    </row>
    <row r="10" spans="1:24" x14ac:dyDescent="0.25">
      <c r="A10" s="53"/>
      <c r="B10" s="22" t="s">
        <v>37</v>
      </c>
      <c r="C10" s="21"/>
      <c r="D10" s="23"/>
      <c r="E10" s="52"/>
      <c r="F10" s="28" t="s">
        <v>46</v>
      </c>
      <c r="G10" s="27"/>
      <c r="H10" s="27"/>
      <c r="I10" s="29"/>
      <c r="J10" s="52"/>
      <c r="K10" s="34" t="s">
        <v>53</v>
      </c>
      <c r="L10" s="33"/>
      <c r="M10" s="35"/>
      <c r="N10" s="52"/>
      <c r="O10" s="53"/>
      <c r="P10" s="52"/>
      <c r="Q10" s="52"/>
      <c r="R10" s="51"/>
    </row>
    <row r="11" spans="1:24" x14ac:dyDescent="0.25">
      <c r="A11" s="53"/>
      <c r="B11" s="22" t="s">
        <v>38</v>
      </c>
      <c r="C11" s="21"/>
      <c r="D11" s="23"/>
      <c r="E11" s="52"/>
      <c r="F11" s="28" t="s">
        <v>47</v>
      </c>
      <c r="G11" s="27"/>
      <c r="H11" s="27"/>
      <c r="I11" s="29"/>
      <c r="J11" s="52"/>
      <c r="K11" s="34" t="s">
        <v>54</v>
      </c>
      <c r="L11" s="33"/>
      <c r="M11" s="35"/>
      <c r="N11" s="52"/>
      <c r="O11" s="53"/>
      <c r="P11" s="52"/>
      <c r="Q11" s="52"/>
      <c r="R11" s="51"/>
    </row>
    <row r="12" spans="1:24" ht="15.75" thickBot="1" x14ac:dyDescent="0.3">
      <c r="A12" s="53"/>
      <c r="B12" s="24"/>
      <c r="C12" s="25"/>
      <c r="D12" s="26"/>
      <c r="E12" s="52"/>
      <c r="F12" s="30" t="s">
        <v>48</v>
      </c>
      <c r="G12" s="31"/>
      <c r="H12" s="31"/>
      <c r="I12" s="32"/>
      <c r="J12" s="52"/>
      <c r="K12" s="36"/>
      <c r="L12" s="37"/>
      <c r="M12" s="38"/>
      <c r="N12" s="52"/>
      <c r="O12" s="53"/>
      <c r="P12" s="52"/>
      <c r="Q12" s="52"/>
      <c r="R12" s="51"/>
    </row>
    <row r="13" spans="1:24" ht="15.75" thickBot="1" x14ac:dyDescent="0.3">
      <c r="A13" s="53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3"/>
      <c r="P13" s="52"/>
      <c r="Q13" s="52"/>
      <c r="R13" s="51"/>
    </row>
    <row r="14" spans="1:24" x14ac:dyDescent="0.25">
      <c r="A14" s="57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3"/>
      <c r="P14" s="52"/>
      <c r="Q14" s="52"/>
      <c r="R14" s="51"/>
    </row>
    <row r="15" spans="1:24" x14ac:dyDescent="0.25">
      <c r="A15" s="53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1"/>
      <c r="O15" s="53"/>
      <c r="P15" s="52"/>
      <c r="Q15" s="52"/>
      <c r="R15" s="51"/>
      <c r="X15" t="s">
        <v>61</v>
      </c>
    </row>
    <row r="16" spans="1:24" x14ac:dyDescent="0.25">
      <c r="A16" s="53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1"/>
      <c r="O16" s="53"/>
      <c r="P16" s="52"/>
      <c r="Q16" s="52"/>
      <c r="R16" s="51"/>
    </row>
    <row r="17" spans="1:22" ht="15.75" thickBot="1" x14ac:dyDescent="0.3">
      <c r="A17" s="48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50"/>
      <c r="O17" s="53"/>
      <c r="P17" s="52"/>
      <c r="Q17" s="52"/>
      <c r="R17" s="51"/>
    </row>
    <row r="18" spans="1:22" x14ac:dyDescent="0.25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7"/>
      <c r="N18" s="54"/>
      <c r="O18" s="54"/>
      <c r="P18" s="54"/>
      <c r="Q18" s="54"/>
      <c r="R18" s="54"/>
      <c r="S18" s="54"/>
      <c r="T18" s="54"/>
      <c r="U18" s="54"/>
      <c r="V18" s="55"/>
    </row>
    <row r="19" spans="1:22" ht="15" customHeight="1" x14ac:dyDescent="0.25">
      <c r="A19" s="53"/>
      <c r="B19" s="56" t="s">
        <v>60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3"/>
      <c r="N19" s="56" t="s">
        <v>62</v>
      </c>
      <c r="O19" s="52"/>
      <c r="P19" s="52"/>
      <c r="Q19" s="52"/>
      <c r="R19" s="52"/>
      <c r="S19" s="52"/>
      <c r="T19" s="52"/>
      <c r="U19" s="52"/>
      <c r="V19" s="51"/>
    </row>
    <row r="20" spans="1:22" x14ac:dyDescent="0.25">
      <c r="A20" s="53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3"/>
      <c r="N20" s="52"/>
      <c r="O20" s="52"/>
      <c r="P20" s="52"/>
      <c r="Q20" s="52"/>
      <c r="R20" s="52"/>
      <c r="S20" s="52"/>
      <c r="T20" s="52"/>
      <c r="U20" s="52"/>
      <c r="V20" s="51"/>
    </row>
    <row r="21" spans="1:22" x14ac:dyDescent="0.25">
      <c r="A21" s="53"/>
      <c r="B21" s="59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52"/>
      <c r="M21" s="53"/>
      <c r="N21" s="52"/>
      <c r="O21" s="52"/>
      <c r="P21" s="52"/>
      <c r="Q21" s="52"/>
      <c r="R21" s="52"/>
      <c r="S21" s="52"/>
      <c r="T21" s="52"/>
      <c r="U21" s="52"/>
      <c r="V21" s="51"/>
    </row>
    <row r="22" spans="1:22" x14ac:dyDescent="0.25">
      <c r="A22" s="53"/>
      <c r="B22" s="60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52"/>
      <c r="M22" s="53"/>
      <c r="N22" s="52"/>
      <c r="O22" s="52"/>
      <c r="P22" s="52"/>
      <c r="Q22" s="52"/>
      <c r="R22" s="52"/>
      <c r="S22" s="52"/>
      <c r="T22" s="52"/>
      <c r="U22" s="52"/>
      <c r="V22" s="51"/>
    </row>
    <row r="23" spans="1:22" x14ac:dyDescent="0.25">
      <c r="A23" s="53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52"/>
      <c r="M23" s="53"/>
      <c r="N23" s="52"/>
      <c r="O23" s="52"/>
      <c r="P23" s="52"/>
      <c r="Q23" s="52"/>
      <c r="R23" s="52"/>
      <c r="S23" s="52"/>
      <c r="T23" s="52"/>
      <c r="U23" s="52"/>
      <c r="V23" s="51"/>
    </row>
    <row r="24" spans="1:22" x14ac:dyDescent="0.25">
      <c r="A24" s="53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52"/>
      <c r="M24" s="53"/>
      <c r="N24" s="52"/>
      <c r="O24" s="52"/>
      <c r="P24" s="52"/>
      <c r="Q24" s="52"/>
      <c r="R24" s="52"/>
      <c r="S24" s="52"/>
      <c r="T24" s="52"/>
      <c r="U24" s="52"/>
      <c r="V24" s="51"/>
    </row>
    <row r="25" spans="1:22" x14ac:dyDescent="0.25">
      <c r="A25" s="53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52"/>
      <c r="M25" s="53"/>
      <c r="N25" s="52"/>
      <c r="O25" s="52"/>
      <c r="P25" s="52"/>
      <c r="Q25" s="52"/>
      <c r="R25" s="52"/>
      <c r="S25" s="52"/>
      <c r="T25" s="52"/>
      <c r="U25" s="52"/>
      <c r="V25" s="51"/>
    </row>
    <row r="26" spans="1:22" x14ac:dyDescent="0.25">
      <c r="A26" s="53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52"/>
      <c r="M26" s="53"/>
      <c r="N26" s="52"/>
      <c r="O26" s="52"/>
      <c r="P26" s="52"/>
      <c r="Q26" s="52"/>
      <c r="R26" s="52"/>
      <c r="S26" s="52"/>
      <c r="T26" s="52"/>
      <c r="U26" s="52"/>
      <c r="V26" s="51"/>
    </row>
    <row r="27" spans="1:22" x14ac:dyDescent="0.25">
      <c r="A27" s="53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52"/>
      <c r="M27" s="53"/>
      <c r="N27" s="52"/>
      <c r="O27" s="52"/>
      <c r="P27" s="52"/>
      <c r="Q27" s="52"/>
      <c r="R27" s="52"/>
      <c r="S27" s="52"/>
      <c r="T27" s="52"/>
      <c r="U27" s="52"/>
      <c r="V27" s="51"/>
    </row>
    <row r="28" spans="1:22" x14ac:dyDescent="0.25">
      <c r="A28" s="53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52"/>
      <c r="M28" s="53"/>
      <c r="N28" s="52"/>
      <c r="O28" s="52"/>
      <c r="P28" s="52"/>
      <c r="Q28" s="52"/>
      <c r="R28" s="52"/>
      <c r="S28" s="52"/>
      <c r="T28" s="52"/>
      <c r="U28" s="52"/>
      <c r="V28" s="51"/>
    </row>
    <row r="29" spans="1:22" x14ac:dyDescent="0.25">
      <c r="A29" s="53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52"/>
      <c r="M29" s="53"/>
      <c r="N29" s="52"/>
      <c r="O29" s="52"/>
      <c r="P29" s="52"/>
      <c r="Q29" s="52"/>
      <c r="R29" s="52"/>
      <c r="S29" s="52"/>
      <c r="T29" s="52"/>
      <c r="U29" s="52"/>
      <c r="V29" s="51"/>
    </row>
    <row r="30" spans="1:22" x14ac:dyDescent="0.25">
      <c r="A30" s="53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52"/>
      <c r="M30" s="53"/>
      <c r="N30" s="52"/>
      <c r="O30" s="52"/>
      <c r="P30" s="52"/>
      <c r="Q30" s="52"/>
      <c r="R30" s="52"/>
      <c r="S30" s="52"/>
      <c r="T30" s="52"/>
      <c r="U30" s="52"/>
      <c r="V30" s="51"/>
    </row>
    <row r="31" spans="1:22" x14ac:dyDescent="0.25">
      <c r="A31" s="53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52"/>
      <c r="M31" s="53"/>
      <c r="N31" s="52"/>
      <c r="O31" s="52"/>
      <c r="P31" s="52"/>
      <c r="Q31" s="52"/>
      <c r="R31" s="52"/>
      <c r="S31" s="52"/>
      <c r="T31" s="52"/>
      <c r="U31" s="52"/>
      <c r="V31" s="51"/>
    </row>
    <row r="32" spans="1:22" x14ac:dyDescent="0.25">
      <c r="A32" s="53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52"/>
      <c r="M32" s="53"/>
      <c r="N32" s="52"/>
      <c r="O32" s="52"/>
      <c r="P32" s="52"/>
      <c r="Q32" s="52"/>
      <c r="R32" s="52"/>
      <c r="S32" s="52"/>
      <c r="T32" s="52"/>
      <c r="U32" s="52"/>
      <c r="V32" s="51"/>
    </row>
    <row r="33" spans="1:22" x14ac:dyDescent="0.25">
      <c r="A33" s="53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52"/>
      <c r="M33" s="53"/>
      <c r="N33" s="52"/>
      <c r="O33" s="52"/>
      <c r="P33" s="52"/>
      <c r="Q33" s="52"/>
      <c r="R33" s="52"/>
      <c r="S33" s="52"/>
      <c r="T33" s="52"/>
      <c r="U33" s="52"/>
      <c r="V33" s="51"/>
    </row>
    <row r="34" spans="1:22" x14ac:dyDescent="0.25">
      <c r="A34" s="53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52"/>
      <c r="M34" s="53"/>
      <c r="N34" s="52"/>
      <c r="O34" s="52"/>
      <c r="P34" s="52"/>
      <c r="Q34" s="52"/>
      <c r="R34" s="52"/>
      <c r="S34" s="52"/>
      <c r="T34" s="52"/>
      <c r="U34" s="52"/>
      <c r="V34" s="51"/>
    </row>
    <row r="35" spans="1:22" x14ac:dyDescent="0.25">
      <c r="A35" s="53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52"/>
      <c r="M35" s="53"/>
      <c r="N35" s="52"/>
      <c r="O35" s="52"/>
      <c r="P35" s="52"/>
      <c r="Q35" s="52"/>
      <c r="R35" s="52"/>
      <c r="S35" s="52"/>
      <c r="T35" s="52"/>
      <c r="U35" s="52"/>
      <c r="V35" s="51"/>
    </row>
    <row r="36" spans="1:22" x14ac:dyDescent="0.25">
      <c r="A36" s="53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52"/>
      <c r="M36" s="53"/>
      <c r="N36" s="52"/>
      <c r="O36" s="52"/>
      <c r="P36" s="52"/>
      <c r="Q36" s="52"/>
      <c r="R36" s="52"/>
      <c r="S36" s="52"/>
      <c r="T36" s="52"/>
      <c r="U36" s="52"/>
      <c r="V36" s="51"/>
    </row>
    <row r="37" spans="1:22" x14ac:dyDescent="0.25">
      <c r="A37" s="53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52"/>
      <c r="M37" s="53"/>
      <c r="N37" s="52"/>
      <c r="O37" s="52"/>
      <c r="P37" s="52"/>
      <c r="Q37" s="52"/>
      <c r="R37" s="52"/>
      <c r="S37" s="52"/>
      <c r="T37" s="52"/>
      <c r="U37" s="52"/>
      <c r="V37" s="51"/>
    </row>
    <row r="38" spans="1:22" x14ac:dyDescent="0.25">
      <c r="A38" s="53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52"/>
      <c r="M38" s="53"/>
      <c r="N38" s="52"/>
      <c r="O38" s="52"/>
      <c r="P38" s="52"/>
      <c r="Q38" s="52"/>
      <c r="R38" s="52"/>
      <c r="S38" s="52"/>
      <c r="T38" s="52"/>
      <c r="U38" s="52"/>
      <c r="V38" s="51"/>
    </row>
    <row r="39" spans="1:22" x14ac:dyDescent="0.25">
      <c r="A39" s="53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52"/>
      <c r="M39" s="53"/>
      <c r="N39" s="52"/>
      <c r="O39" s="52"/>
      <c r="P39" s="52"/>
      <c r="Q39" s="52"/>
      <c r="R39" s="52"/>
      <c r="S39" s="52"/>
      <c r="T39" s="52"/>
      <c r="U39" s="52"/>
      <c r="V39" s="51"/>
    </row>
    <row r="40" spans="1:22" x14ac:dyDescent="0.25">
      <c r="A40" s="53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52"/>
      <c r="M40" s="53"/>
      <c r="N40" s="52"/>
      <c r="O40" s="52"/>
      <c r="P40" s="52"/>
      <c r="Q40" s="52"/>
      <c r="R40" s="52"/>
      <c r="S40" s="52"/>
      <c r="T40" s="52"/>
      <c r="U40" s="52"/>
      <c r="V40" s="51"/>
    </row>
    <row r="41" spans="1:22" x14ac:dyDescent="0.25">
      <c r="A41" s="53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52"/>
      <c r="M41" s="53"/>
      <c r="N41" s="52"/>
      <c r="O41" s="52"/>
      <c r="P41" s="52"/>
      <c r="Q41" s="52"/>
      <c r="R41" s="52"/>
      <c r="S41" s="52"/>
      <c r="T41" s="52"/>
      <c r="U41" s="52"/>
      <c r="V41" s="51"/>
    </row>
    <row r="42" spans="1:22" x14ac:dyDescent="0.25">
      <c r="A42" s="53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52"/>
      <c r="M42" s="53"/>
      <c r="N42" s="52"/>
      <c r="O42" s="52"/>
      <c r="P42" s="52"/>
      <c r="Q42" s="52"/>
      <c r="R42" s="52"/>
      <c r="S42" s="52"/>
      <c r="T42" s="52"/>
      <c r="U42" s="52"/>
      <c r="V42" s="51"/>
    </row>
    <row r="43" spans="1:22" x14ac:dyDescent="0.25">
      <c r="A43" s="53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52"/>
      <c r="M43" s="53"/>
      <c r="N43" s="52"/>
      <c r="O43" s="52"/>
      <c r="P43" s="52"/>
      <c r="Q43" s="52"/>
      <c r="R43" s="52"/>
      <c r="S43" s="52"/>
      <c r="T43" s="52"/>
      <c r="U43" s="52"/>
      <c r="V43" s="51"/>
    </row>
    <row r="44" spans="1:22" x14ac:dyDescent="0.25">
      <c r="A44" s="53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52"/>
      <c r="M44" s="53"/>
      <c r="N44" s="52"/>
      <c r="O44" s="52"/>
      <c r="P44" s="52"/>
      <c r="Q44" s="52"/>
      <c r="R44" s="52"/>
      <c r="S44" s="52"/>
      <c r="T44" s="52"/>
      <c r="U44" s="52"/>
      <c r="V44" s="51"/>
    </row>
    <row r="45" spans="1:22" x14ac:dyDescent="0.25">
      <c r="A45" s="53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52"/>
      <c r="M45" s="53"/>
      <c r="N45" s="52"/>
      <c r="O45" s="52"/>
      <c r="P45" s="52"/>
      <c r="Q45" s="52"/>
      <c r="R45" s="52"/>
      <c r="S45" s="52"/>
      <c r="T45" s="52"/>
      <c r="U45" s="52"/>
      <c r="V45" s="51"/>
    </row>
    <row r="46" spans="1:22" x14ac:dyDescent="0.25">
      <c r="A46" s="53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52"/>
      <c r="M46" s="53"/>
      <c r="N46" s="52"/>
      <c r="O46" s="52"/>
      <c r="P46" s="52"/>
      <c r="Q46" s="52"/>
      <c r="R46" s="52"/>
      <c r="S46" s="52"/>
      <c r="T46" s="52"/>
      <c r="U46" s="52"/>
      <c r="V46" s="51"/>
    </row>
    <row r="47" spans="1:22" x14ac:dyDescent="0.25">
      <c r="A47" s="53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52"/>
      <c r="M47" s="53"/>
      <c r="N47" s="52"/>
      <c r="O47" s="52"/>
      <c r="P47" s="52"/>
      <c r="Q47" s="52"/>
      <c r="R47" s="52"/>
      <c r="S47" s="52"/>
      <c r="T47" s="52"/>
      <c r="U47" s="52"/>
      <c r="V47" s="51"/>
    </row>
    <row r="48" spans="1:22" x14ac:dyDescent="0.25">
      <c r="A48" s="53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3"/>
      <c r="N48" s="52"/>
      <c r="O48" s="52"/>
      <c r="P48" s="52"/>
      <c r="Q48" s="52"/>
      <c r="R48" s="52"/>
      <c r="S48" s="52"/>
      <c r="T48" s="52"/>
      <c r="U48" s="52"/>
      <c r="V48" s="51"/>
    </row>
    <row r="49" spans="1:22" x14ac:dyDescent="0.25">
      <c r="A49" s="53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3"/>
      <c r="N49" s="52"/>
      <c r="O49" s="52"/>
      <c r="P49" s="52"/>
      <c r="Q49" s="52"/>
      <c r="R49" s="52"/>
      <c r="S49" s="52"/>
      <c r="T49" s="52"/>
      <c r="U49" s="52"/>
      <c r="V49" s="51"/>
    </row>
    <row r="50" spans="1:22" x14ac:dyDescent="0.25">
      <c r="A50" s="53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3"/>
      <c r="N50" s="52"/>
      <c r="O50" s="52"/>
      <c r="P50" s="52"/>
      <c r="Q50" s="52"/>
      <c r="R50" s="52"/>
      <c r="S50" s="52"/>
      <c r="T50" s="52"/>
      <c r="U50" s="52"/>
      <c r="V50" s="51"/>
    </row>
    <row r="51" spans="1:22" x14ac:dyDescent="0.25">
      <c r="A51" s="53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3"/>
      <c r="N51" s="52"/>
      <c r="O51" s="52"/>
      <c r="P51" s="52"/>
      <c r="Q51" s="52"/>
      <c r="R51" s="52"/>
      <c r="S51" s="52"/>
      <c r="T51" s="52"/>
      <c r="U51" s="52"/>
      <c r="V51" s="51"/>
    </row>
    <row r="52" spans="1:22" x14ac:dyDescent="0.25">
      <c r="A52" s="53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3"/>
      <c r="N52" s="52"/>
      <c r="O52" s="52"/>
      <c r="P52" s="52"/>
      <c r="Q52" s="52"/>
      <c r="R52" s="52"/>
      <c r="S52" s="52"/>
      <c r="T52" s="52"/>
      <c r="U52" s="52"/>
      <c r="V52" s="51"/>
    </row>
    <row r="53" spans="1:22" x14ac:dyDescent="0.25">
      <c r="A53" s="53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3"/>
      <c r="N53" s="52"/>
      <c r="O53" s="52"/>
      <c r="P53" s="52"/>
      <c r="Q53" s="52"/>
      <c r="R53" s="52"/>
      <c r="S53" s="52"/>
      <c r="T53" s="52"/>
      <c r="U53" s="52"/>
      <c r="V53" s="51"/>
    </row>
    <row r="54" spans="1:22" x14ac:dyDescent="0.25">
      <c r="A54" s="53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3"/>
      <c r="N54" s="52"/>
      <c r="O54" s="52"/>
      <c r="P54" s="52"/>
      <c r="Q54" s="52"/>
      <c r="R54" s="52"/>
      <c r="S54" s="52"/>
      <c r="T54" s="52"/>
      <c r="U54" s="52"/>
      <c r="V54" s="51"/>
    </row>
    <row r="55" spans="1:22" x14ac:dyDescent="0.25">
      <c r="A55" s="53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3"/>
      <c r="N55" s="52"/>
      <c r="O55" s="52"/>
      <c r="P55" s="52"/>
      <c r="Q55" s="52"/>
      <c r="R55" s="52"/>
      <c r="S55" s="52"/>
      <c r="T55" s="52"/>
      <c r="U55" s="52"/>
      <c r="V55" s="51"/>
    </row>
    <row r="56" spans="1:22" x14ac:dyDescent="0.25">
      <c r="A56" s="53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3"/>
      <c r="N56" s="52"/>
      <c r="O56" s="52"/>
      <c r="P56" s="52"/>
      <c r="Q56" s="52"/>
      <c r="R56" s="52"/>
      <c r="S56" s="52"/>
      <c r="T56" s="52"/>
      <c r="U56" s="52"/>
      <c r="V56" s="51"/>
    </row>
    <row r="57" spans="1:22" x14ac:dyDescent="0.25">
      <c r="A57" s="53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3"/>
      <c r="N57" s="52"/>
      <c r="O57" s="52"/>
      <c r="P57" s="52"/>
      <c r="Q57" s="52"/>
      <c r="R57" s="52"/>
      <c r="S57" s="52"/>
      <c r="T57" s="52"/>
      <c r="U57" s="52"/>
      <c r="V57" s="51"/>
    </row>
    <row r="58" spans="1:22" x14ac:dyDescent="0.25">
      <c r="A58" s="53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3"/>
      <c r="N58" s="52"/>
      <c r="O58" s="52"/>
      <c r="P58" s="52"/>
      <c r="Q58" s="52"/>
      <c r="R58" s="52"/>
      <c r="S58" s="52"/>
      <c r="T58" s="52"/>
      <c r="U58" s="52"/>
      <c r="V58" s="51"/>
    </row>
    <row r="59" spans="1:22" x14ac:dyDescent="0.25">
      <c r="A59" s="53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3"/>
      <c r="N59" s="52"/>
      <c r="O59" s="52"/>
      <c r="P59" s="52"/>
      <c r="Q59" s="52"/>
      <c r="R59" s="52"/>
      <c r="S59" s="52"/>
      <c r="T59" s="52"/>
      <c r="U59" s="52"/>
      <c r="V59" s="51"/>
    </row>
    <row r="60" spans="1:22" x14ac:dyDescent="0.25">
      <c r="A60" s="53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3"/>
      <c r="N60" s="52"/>
      <c r="O60" s="52"/>
      <c r="P60" s="52"/>
      <c r="Q60" s="52"/>
      <c r="R60" s="52"/>
      <c r="S60" s="52"/>
      <c r="T60" s="52"/>
      <c r="U60" s="52"/>
      <c r="V60" s="51"/>
    </row>
    <row r="61" spans="1:22" x14ac:dyDescent="0.25">
      <c r="A61" s="53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3"/>
      <c r="N61" s="52"/>
      <c r="O61" s="52"/>
      <c r="P61" s="52"/>
      <c r="Q61" s="52"/>
      <c r="R61" s="52"/>
      <c r="S61" s="52"/>
      <c r="T61" s="52"/>
      <c r="U61" s="52"/>
      <c r="V61" s="51"/>
    </row>
    <row r="62" spans="1:22" x14ac:dyDescent="0.25">
      <c r="A62" s="53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3"/>
      <c r="N62" s="52"/>
      <c r="O62" s="52"/>
      <c r="P62" s="52"/>
      <c r="Q62" s="52"/>
      <c r="R62" s="52"/>
      <c r="S62" s="52"/>
      <c r="T62" s="52"/>
      <c r="U62" s="52"/>
      <c r="V62" s="51"/>
    </row>
    <row r="63" spans="1:22" x14ac:dyDescent="0.25">
      <c r="A63" s="53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3"/>
      <c r="N63" s="52"/>
      <c r="O63" s="52"/>
      <c r="P63" s="52"/>
      <c r="Q63" s="52"/>
      <c r="R63" s="52"/>
      <c r="S63" s="52"/>
      <c r="T63" s="52"/>
      <c r="U63" s="52"/>
      <c r="V63" s="51"/>
    </row>
    <row r="64" spans="1:22" x14ac:dyDescent="0.25">
      <c r="A64" s="53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3"/>
      <c r="N64" s="52"/>
      <c r="O64" s="52"/>
      <c r="P64" s="52"/>
      <c r="Q64" s="52"/>
      <c r="R64" s="52"/>
      <c r="S64" s="52"/>
      <c r="T64" s="52"/>
      <c r="U64" s="52"/>
      <c r="V64" s="51"/>
    </row>
    <row r="65" spans="1:22" x14ac:dyDescent="0.25">
      <c r="A65" s="53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3"/>
      <c r="N65" s="52"/>
      <c r="O65" s="52"/>
      <c r="P65" s="52"/>
      <c r="Q65" s="52"/>
      <c r="R65" s="52"/>
      <c r="S65" s="52"/>
      <c r="T65" s="52"/>
      <c r="U65" s="52"/>
      <c r="V65" s="51"/>
    </row>
    <row r="66" spans="1:22" x14ac:dyDescent="0.25">
      <c r="A66" s="53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3"/>
      <c r="N66" s="52"/>
      <c r="O66" s="52"/>
      <c r="P66" s="52"/>
      <c r="Q66" s="52"/>
      <c r="R66" s="52"/>
      <c r="S66" s="52"/>
      <c r="T66" s="52"/>
      <c r="U66" s="52"/>
      <c r="V66" s="51"/>
    </row>
    <row r="67" spans="1:22" ht="15.75" thickBot="1" x14ac:dyDescent="0.3">
      <c r="A67" s="53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48"/>
      <c r="N67" s="49"/>
      <c r="O67" s="49"/>
      <c r="P67" s="49"/>
      <c r="Q67" s="49"/>
      <c r="R67" s="49"/>
      <c r="S67" s="49"/>
      <c r="T67" s="49"/>
      <c r="U67" s="49"/>
      <c r="V67" s="50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295275</xdr:colOff>
                    <xdr:row>13</xdr:row>
                    <xdr:rowOff>104775</xdr:rowOff>
                  </from>
                  <to>
                    <xdr:col>3</xdr:col>
                    <xdr:colOff>552450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47625</xdr:colOff>
                    <xdr:row>13</xdr:row>
                    <xdr:rowOff>123825</xdr:rowOff>
                  </from>
                  <to>
                    <xdr:col>5</xdr:col>
                    <xdr:colOff>495300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9525</xdr:colOff>
                    <xdr:row>13</xdr:row>
                    <xdr:rowOff>123825</xdr:rowOff>
                  </from>
                  <to>
                    <xdr:col>2</xdr:col>
                    <xdr:colOff>28575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819150</xdr:colOff>
                    <xdr:row>13</xdr:row>
                    <xdr:rowOff>133350</xdr:rowOff>
                  </from>
                  <to>
                    <xdr:col>7</xdr:col>
                    <xdr:colOff>371475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CA166"/>
  <sheetViews>
    <sheetView tabSelected="1" zoomScale="85" zoomScaleNormal="85" workbookViewId="0">
      <selection activeCell="J5" sqref="J5"/>
    </sheetView>
  </sheetViews>
  <sheetFormatPr baseColWidth="10" defaultColWidth="11.28515625" defaultRowHeight="15" outlineLevelCol="1" x14ac:dyDescent="0.25"/>
  <cols>
    <col min="1" max="1" width="43.28515625" customWidth="1"/>
    <col min="2" max="2" width="11.28515625" customWidth="1"/>
    <col min="3" max="3" width="12.7109375" customWidth="1"/>
    <col min="5" max="5" width="14.5703125" customWidth="1"/>
    <col min="11" max="11" width="11.85546875" bestFit="1" customWidth="1"/>
    <col min="12" max="12" width="12.28515625" bestFit="1" customWidth="1"/>
    <col min="13" max="14" width="11.28515625" hidden="1" customWidth="1" outlineLevel="1"/>
    <col min="15" max="15" width="12.7109375" hidden="1" customWidth="1" outlineLevel="1"/>
    <col min="16" max="16" width="11.28515625" hidden="1" customWidth="1" outlineLevel="1"/>
    <col min="17" max="17" width="14.5703125" hidden="1" customWidth="1" outlineLevel="1"/>
    <col min="18" max="20" width="11.28515625" hidden="1" customWidth="1" outlineLevel="1"/>
    <col min="21" max="21" width="11.28515625" collapsed="1"/>
    <col min="38" max="38" width="11.28515625" customWidth="1"/>
    <col min="39" max="46" width="11.28515625" hidden="1" customWidth="1" outlineLevel="1"/>
    <col min="47" max="47" width="11.28515625" collapsed="1"/>
    <col min="65" max="72" width="11.28515625" hidden="1" customWidth="1" outlineLevel="1"/>
    <col min="73" max="73" width="11.28515625" collapsed="1"/>
  </cols>
  <sheetData>
    <row r="1" spans="1:79" x14ac:dyDescent="0.25">
      <c r="E1" t="s">
        <v>143</v>
      </c>
    </row>
    <row r="2" spans="1:79" x14ac:dyDescent="0.25">
      <c r="J2" t="s">
        <v>140</v>
      </c>
    </row>
    <row r="4" spans="1:79" ht="15.75" thickBot="1" x14ac:dyDescent="0.3"/>
    <row r="5" spans="1:79" x14ac:dyDescent="0.25">
      <c r="A5" s="13"/>
      <c r="B5" s="13"/>
      <c r="C5" s="14"/>
      <c r="D5" s="14"/>
      <c r="E5" s="14"/>
      <c r="F5" s="14"/>
      <c r="G5" s="14"/>
      <c r="H5" s="14"/>
      <c r="I5" s="14"/>
      <c r="J5" s="14"/>
      <c r="K5" s="14"/>
      <c r="L5" s="14" t="s">
        <v>123</v>
      </c>
      <c r="M5" s="14"/>
      <c r="N5" s="14"/>
      <c r="O5" s="14"/>
      <c r="P5" s="14"/>
      <c r="Q5" s="14"/>
      <c r="R5" s="14"/>
      <c r="S5" s="14"/>
      <c r="T5" s="14"/>
      <c r="U5" s="78"/>
      <c r="V5" s="14"/>
      <c r="W5" s="14"/>
      <c r="X5" s="14"/>
      <c r="Y5" s="14"/>
      <c r="Z5" s="14"/>
      <c r="AA5" s="15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 t="s">
        <v>123</v>
      </c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3"/>
      <c r="BC5" s="14"/>
      <c r="BD5" s="14"/>
      <c r="BE5" s="14"/>
      <c r="BF5" s="14"/>
      <c r="BG5" s="14"/>
      <c r="BH5" s="14"/>
      <c r="BI5" s="14"/>
      <c r="BJ5" s="14"/>
      <c r="BK5" s="14"/>
      <c r="BL5" s="14" t="s">
        <v>123</v>
      </c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5"/>
    </row>
    <row r="6" spans="1:79" ht="18.75" x14ac:dyDescent="0.3">
      <c r="A6" s="16"/>
      <c r="B6" s="84" t="s">
        <v>111</v>
      </c>
      <c r="AA6" s="17"/>
      <c r="AB6" s="79" t="s">
        <v>117</v>
      </c>
      <c r="BB6" s="84" t="s">
        <v>138</v>
      </c>
      <c r="CA6" s="17"/>
    </row>
    <row r="7" spans="1:79" x14ac:dyDescent="0.25">
      <c r="A7" s="16"/>
      <c r="B7" s="16"/>
      <c r="AA7" s="17"/>
      <c r="BB7" s="16"/>
      <c r="CA7" s="17"/>
    </row>
    <row r="8" spans="1:79" ht="23.45" customHeight="1" x14ac:dyDescent="0.25">
      <c r="A8" s="16"/>
      <c r="B8" s="16"/>
      <c r="C8" s="80" t="s">
        <v>112</v>
      </c>
      <c r="AA8" s="17"/>
      <c r="AC8" s="80" t="s">
        <v>118</v>
      </c>
      <c r="BB8" s="16"/>
      <c r="BC8" s="80" t="s">
        <v>139</v>
      </c>
      <c r="CA8" s="17"/>
    </row>
    <row r="9" spans="1:79" ht="21.6" customHeight="1" x14ac:dyDescent="0.25">
      <c r="A9" s="16"/>
      <c r="B9" s="16"/>
      <c r="AA9" s="17"/>
      <c r="BB9" s="16"/>
      <c r="CA9" s="17"/>
    </row>
    <row r="10" spans="1:79" x14ac:dyDescent="0.25">
      <c r="A10" s="16"/>
      <c r="B10" s="16"/>
      <c r="AA10" s="17"/>
      <c r="BB10" s="16"/>
      <c r="CA10" s="17"/>
    </row>
    <row r="11" spans="1:79" ht="15.75" thickBot="1" x14ac:dyDescent="0.3">
      <c r="A11" s="16"/>
      <c r="B11" s="18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20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8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20"/>
    </row>
    <row r="12" spans="1:79" x14ac:dyDescent="0.25">
      <c r="A12" s="112" t="s">
        <v>119</v>
      </c>
      <c r="B12" s="88" t="s">
        <v>114</v>
      </c>
      <c r="C12" s="89" t="s">
        <v>115</v>
      </c>
      <c r="D12" s="89" t="s">
        <v>113</v>
      </c>
      <c r="E12" s="89" t="s">
        <v>116</v>
      </c>
      <c r="F12" s="89" t="s">
        <v>27</v>
      </c>
      <c r="G12" s="14"/>
      <c r="H12" s="14"/>
      <c r="I12" s="14"/>
      <c r="J12" s="14"/>
      <c r="K12" s="14"/>
      <c r="L12" s="15"/>
      <c r="M12" s="14"/>
      <c r="N12" s="90" t="s">
        <v>114</v>
      </c>
      <c r="O12" s="89" t="s">
        <v>115</v>
      </c>
      <c r="P12" s="89" t="s">
        <v>113</v>
      </c>
      <c r="Q12" s="89" t="s">
        <v>116</v>
      </c>
      <c r="R12" s="89" t="s">
        <v>27</v>
      </c>
      <c r="S12" s="89"/>
      <c r="T12" s="14"/>
      <c r="U12" s="14"/>
      <c r="V12" s="90" t="s">
        <v>114</v>
      </c>
      <c r="W12" s="89" t="s">
        <v>115</v>
      </c>
      <c r="X12" s="89" t="s">
        <v>113</v>
      </c>
      <c r="Y12" s="89" t="s">
        <v>116</v>
      </c>
      <c r="Z12" s="89" t="s">
        <v>27</v>
      </c>
      <c r="AA12" s="15"/>
      <c r="AB12" s="89" t="s">
        <v>114</v>
      </c>
      <c r="AC12" s="89" t="s">
        <v>115</v>
      </c>
      <c r="AD12" s="89" t="s">
        <v>113</v>
      </c>
      <c r="AE12" s="89" t="s">
        <v>116</v>
      </c>
      <c r="AF12" s="89" t="s">
        <v>27</v>
      </c>
      <c r="AG12" s="14"/>
      <c r="AH12" s="14"/>
      <c r="AI12" s="14"/>
      <c r="AJ12" s="14"/>
      <c r="AK12" s="14"/>
      <c r="AL12" s="15"/>
      <c r="AM12" s="14"/>
      <c r="AN12" s="90" t="s">
        <v>114</v>
      </c>
      <c r="AO12" s="89" t="s">
        <v>115</v>
      </c>
      <c r="AP12" s="89" t="s">
        <v>113</v>
      </c>
      <c r="AQ12" s="89" t="s">
        <v>116</v>
      </c>
      <c r="AR12" s="89" t="s">
        <v>27</v>
      </c>
      <c r="AS12" s="14"/>
      <c r="AT12" s="14"/>
      <c r="AU12" s="14"/>
      <c r="AV12" s="90" t="s">
        <v>114</v>
      </c>
      <c r="AW12" s="89" t="s">
        <v>115</v>
      </c>
      <c r="AX12" s="89" t="s">
        <v>113</v>
      </c>
      <c r="AY12" s="89" t="s">
        <v>116</v>
      </c>
      <c r="AZ12" s="89" t="s">
        <v>27</v>
      </c>
      <c r="BA12" s="14"/>
      <c r="BB12" s="91" t="s">
        <v>114</v>
      </c>
      <c r="BC12" s="89" t="s">
        <v>115</v>
      </c>
      <c r="BD12" s="89" t="s">
        <v>113</v>
      </c>
      <c r="BE12" s="89" t="s">
        <v>116</v>
      </c>
      <c r="BF12" s="89" t="s">
        <v>27</v>
      </c>
      <c r="BG12" s="14"/>
      <c r="BH12" s="14"/>
      <c r="BI12" s="14"/>
      <c r="BJ12" s="14"/>
      <c r="BK12" s="14"/>
      <c r="BL12" s="15"/>
      <c r="BM12" s="14"/>
      <c r="BN12" s="90" t="s">
        <v>114</v>
      </c>
      <c r="BO12" s="89" t="s">
        <v>115</v>
      </c>
      <c r="BP12" s="89" t="s">
        <v>113</v>
      </c>
      <c r="BQ12" s="89" t="s">
        <v>116</v>
      </c>
      <c r="BR12" s="89" t="s">
        <v>27</v>
      </c>
      <c r="BS12" s="14"/>
      <c r="BT12" s="14"/>
      <c r="BU12" s="14"/>
      <c r="BV12" s="90" t="s">
        <v>114</v>
      </c>
      <c r="BW12" s="89" t="s">
        <v>115</v>
      </c>
      <c r="BX12" s="89" t="s">
        <v>113</v>
      </c>
      <c r="BY12" s="89" t="s">
        <v>116</v>
      </c>
      <c r="BZ12" s="89" t="s">
        <v>27</v>
      </c>
      <c r="CA12" s="15"/>
    </row>
    <row r="13" spans="1:79" x14ac:dyDescent="0.25">
      <c r="A13" s="113" t="s">
        <v>129</v>
      </c>
      <c r="B13" s="108">
        <v>1</v>
      </c>
      <c r="C13" s="109" t="s">
        <v>142</v>
      </c>
      <c r="D13" s="109" t="s">
        <v>125</v>
      </c>
      <c r="E13" s="109" t="s">
        <v>126</v>
      </c>
      <c r="F13" s="109" t="s">
        <v>127</v>
      </c>
      <c r="L13" s="17"/>
      <c r="N13" s="83">
        <v>1</v>
      </c>
      <c r="O13" t="s">
        <v>142</v>
      </c>
      <c r="P13" t="s">
        <v>125</v>
      </c>
      <c r="Q13" t="s">
        <v>126</v>
      </c>
      <c r="R13" t="s">
        <v>127</v>
      </c>
      <c r="V13" s="83">
        <v>0</v>
      </c>
      <c r="W13" t="s">
        <v>141</v>
      </c>
      <c r="X13" t="s">
        <v>134</v>
      </c>
      <c r="Y13" t="s">
        <v>135</v>
      </c>
      <c r="Z13" t="s">
        <v>136</v>
      </c>
      <c r="AA13" s="17"/>
      <c r="AB13" s="109">
        <v>1</v>
      </c>
      <c r="AC13" s="109" t="s">
        <v>128</v>
      </c>
      <c r="AD13" s="109" t="s">
        <v>125</v>
      </c>
      <c r="AE13" s="109" t="s">
        <v>126</v>
      </c>
      <c r="AF13" s="109" t="s">
        <v>127</v>
      </c>
      <c r="AL13" s="17"/>
      <c r="AN13" s="83">
        <v>1</v>
      </c>
      <c r="AO13" t="s">
        <v>128</v>
      </c>
      <c r="AP13" t="s">
        <v>125</v>
      </c>
      <c r="AQ13" t="s">
        <v>126</v>
      </c>
      <c r="AR13" t="s">
        <v>127</v>
      </c>
      <c r="AV13" s="83">
        <v>1</v>
      </c>
      <c r="AW13" t="s">
        <v>128</v>
      </c>
      <c r="AX13" t="s">
        <v>125</v>
      </c>
      <c r="AY13" t="s">
        <v>126</v>
      </c>
      <c r="AZ13" t="s">
        <v>127</v>
      </c>
      <c r="BB13" s="110">
        <v>2</v>
      </c>
      <c r="BC13" s="109" t="s">
        <v>146</v>
      </c>
      <c r="BD13" s="109" t="s">
        <v>131</v>
      </c>
      <c r="BE13" s="109" t="s">
        <v>132</v>
      </c>
      <c r="BF13" s="109" t="s">
        <v>133</v>
      </c>
      <c r="BL13" s="17"/>
      <c r="BN13" s="83">
        <v>2</v>
      </c>
      <c r="BO13" t="s">
        <v>146</v>
      </c>
      <c r="BP13" t="s">
        <v>131</v>
      </c>
      <c r="BQ13" t="s">
        <v>132</v>
      </c>
      <c r="BR13" t="s">
        <v>133</v>
      </c>
      <c r="BV13" s="83">
        <v>0</v>
      </c>
      <c r="BW13" t="s">
        <v>144</v>
      </c>
      <c r="BX13" t="s">
        <v>134</v>
      </c>
      <c r="BY13" t="s">
        <v>135</v>
      </c>
      <c r="BZ13" t="s">
        <v>136</v>
      </c>
      <c r="CA13" s="17"/>
    </row>
    <row r="14" spans="1:79" x14ac:dyDescent="0.25">
      <c r="A14" s="113"/>
      <c r="B14" s="108"/>
      <c r="C14" s="109"/>
      <c r="D14" s="109"/>
      <c r="E14" s="109"/>
      <c r="F14" s="109"/>
      <c r="L14" s="17"/>
      <c r="N14" s="111"/>
      <c r="O14" s="109"/>
      <c r="P14" s="109"/>
      <c r="Q14" s="109"/>
      <c r="R14" s="109"/>
      <c r="V14" s="111">
        <v>1</v>
      </c>
      <c r="W14" s="109" t="s">
        <v>142</v>
      </c>
      <c r="X14" s="109" t="s">
        <v>125</v>
      </c>
      <c r="Y14" s="109" t="s">
        <v>126</v>
      </c>
      <c r="Z14" s="109" t="s">
        <v>127</v>
      </c>
      <c r="AA14" s="17"/>
      <c r="AL14" s="17"/>
      <c r="AV14" s="83">
        <v>0</v>
      </c>
      <c r="AW14" t="s">
        <v>137</v>
      </c>
      <c r="AX14" t="s">
        <v>134</v>
      </c>
      <c r="AY14" t="s">
        <v>135</v>
      </c>
      <c r="AZ14" t="s">
        <v>136</v>
      </c>
      <c r="BB14" s="16"/>
      <c r="BL14" s="17"/>
      <c r="BV14" s="83">
        <v>1</v>
      </c>
      <c r="BW14" t="s">
        <v>145</v>
      </c>
      <c r="BX14" t="s">
        <v>125</v>
      </c>
      <c r="BY14" t="s">
        <v>126</v>
      </c>
      <c r="BZ14" t="s">
        <v>127</v>
      </c>
      <c r="CA14" s="17"/>
    </row>
    <row r="15" spans="1:79" x14ac:dyDescent="0.25">
      <c r="A15" s="112" t="s">
        <v>120</v>
      </c>
      <c r="B15" s="86" t="s">
        <v>114</v>
      </c>
      <c r="C15" s="82" t="s">
        <v>115</v>
      </c>
      <c r="D15" s="82" t="s">
        <v>113</v>
      </c>
      <c r="E15" s="82" t="s">
        <v>116</v>
      </c>
      <c r="F15" s="82" t="s">
        <v>27</v>
      </c>
      <c r="L15" s="17"/>
      <c r="V15" s="111">
        <v>2</v>
      </c>
      <c r="W15" s="109" t="s">
        <v>130</v>
      </c>
      <c r="X15" s="109" t="s">
        <v>131</v>
      </c>
      <c r="Y15" s="109" t="s">
        <v>132</v>
      </c>
      <c r="Z15" s="109" t="s">
        <v>133</v>
      </c>
      <c r="AA15" s="17"/>
      <c r="AB15" s="81" t="s">
        <v>114</v>
      </c>
      <c r="AC15" s="82" t="s">
        <v>115</v>
      </c>
      <c r="AD15" s="82" t="s">
        <v>113</v>
      </c>
      <c r="AE15" s="82" t="s">
        <v>116</v>
      </c>
      <c r="AF15" s="82" t="s">
        <v>27</v>
      </c>
      <c r="AL15" s="17"/>
      <c r="AV15" s="83"/>
      <c r="BB15" s="86" t="s">
        <v>114</v>
      </c>
      <c r="BC15" s="82" t="s">
        <v>115</v>
      </c>
      <c r="BD15" s="82" t="s">
        <v>113</v>
      </c>
      <c r="BE15" s="82" t="s">
        <v>116</v>
      </c>
      <c r="BF15" s="82" t="s">
        <v>27</v>
      </c>
      <c r="BL15" s="17"/>
      <c r="BV15" s="111">
        <v>2</v>
      </c>
      <c r="BW15" s="109" t="s">
        <v>146</v>
      </c>
      <c r="BX15" s="109" t="s">
        <v>131</v>
      </c>
      <c r="BY15" s="109" t="s">
        <v>132</v>
      </c>
      <c r="BZ15" s="109" t="s">
        <v>133</v>
      </c>
      <c r="CA15" s="17"/>
    </row>
    <row r="16" spans="1:79" ht="15.75" thickBot="1" x14ac:dyDescent="0.3">
      <c r="A16" s="113" t="s">
        <v>121</v>
      </c>
      <c r="B16" s="108"/>
      <c r="C16" s="109"/>
      <c r="D16" s="109"/>
      <c r="E16" s="109"/>
      <c r="F16" s="109"/>
      <c r="G16" s="19"/>
      <c r="H16" s="19"/>
      <c r="I16" s="19"/>
      <c r="J16" s="19"/>
      <c r="K16" s="19"/>
      <c r="L16" s="20"/>
      <c r="M16" s="19"/>
      <c r="N16" s="92" t="s">
        <v>124</v>
      </c>
      <c r="O16" s="19"/>
      <c r="P16" s="19"/>
      <c r="Q16" s="19"/>
      <c r="R16" s="19"/>
      <c r="S16" s="19"/>
      <c r="T16" s="19"/>
      <c r="AA16" s="17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20"/>
      <c r="AM16" s="19"/>
      <c r="AN16" s="92" t="s">
        <v>124</v>
      </c>
      <c r="AO16" s="19"/>
      <c r="AP16" s="19"/>
      <c r="AQ16" s="19"/>
      <c r="AR16" s="19"/>
      <c r="AS16" s="19"/>
      <c r="AT16" s="19"/>
      <c r="BB16" s="18"/>
      <c r="BC16" s="19"/>
      <c r="BD16" s="19"/>
      <c r="BE16" s="19"/>
      <c r="BF16" s="19"/>
      <c r="BG16" s="19"/>
      <c r="BH16" s="19"/>
      <c r="BI16" s="19"/>
      <c r="BJ16" s="19"/>
      <c r="BK16" s="19"/>
      <c r="BL16" s="20"/>
      <c r="BM16" s="19"/>
      <c r="BN16" s="92" t="s">
        <v>124</v>
      </c>
      <c r="BO16" s="19"/>
      <c r="BP16" s="19"/>
      <c r="BQ16" s="19"/>
      <c r="BR16" s="19"/>
      <c r="BS16" s="19"/>
      <c r="BT16" s="19"/>
      <c r="CA16" s="17"/>
    </row>
    <row r="17" spans="1:79" x14ac:dyDescent="0.25">
      <c r="A17" s="113"/>
      <c r="B17" s="87"/>
      <c r="AA17" s="17"/>
      <c r="BB17" s="16"/>
      <c r="CA17" s="17"/>
    </row>
    <row r="18" spans="1:79" x14ac:dyDescent="0.25">
      <c r="A18" s="113" t="s">
        <v>122</v>
      </c>
      <c r="B18" s="16" t="s">
        <v>114</v>
      </c>
      <c r="C18" t="s">
        <v>1</v>
      </c>
      <c r="D18" t="s">
        <v>2</v>
      </c>
      <c r="E18" t="s">
        <v>3</v>
      </c>
      <c r="F18" t="s">
        <v>4</v>
      </c>
      <c r="G18" t="s">
        <v>5</v>
      </c>
      <c r="H18" t="s">
        <v>6</v>
      </c>
      <c r="I18" t="s">
        <v>9</v>
      </c>
      <c r="J18" t="s">
        <v>10</v>
      </c>
      <c r="K18" t="s">
        <v>11</v>
      </c>
      <c r="L18" t="s">
        <v>12</v>
      </c>
      <c r="N18" s="16" t="s">
        <v>114</v>
      </c>
      <c r="O18" t="s">
        <v>1</v>
      </c>
      <c r="P18" t="s">
        <v>2</v>
      </c>
      <c r="Q18" t="s">
        <v>3</v>
      </c>
      <c r="R18" t="s">
        <v>4</v>
      </c>
      <c r="S18" t="s">
        <v>5</v>
      </c>
      <c r="T18" t="s">
        <v>6</v>
      </c>
      <c r="AA18" s="17"/>
      <c r="AB18" s="82" t="s">
        <v>114</v>
      </c>
      <c r="AC18" s="82" t="s">
        <v>1</v>
      </c>
      <c r="AD18" s="82" t="s">
        <v>2</v>
      </c>
      <c r="AE18" s="82" t="s">
        <v>3</v>
      </c>
      <c r="AF18" s="82" t="s">
        <v>4</v>
      </c>
      <c r="AG18" s="82" t="s">
        <v>5</v>
      </c>
      <c r="AH18" s="82" t="s">
        <v>6</v>
      </c>
      <c r="AI18" t="s">
        <v>9</v>
      </c>
      <c r="AJ18" t="s">
        <v>10</v>
      </c>
      <c r="AK18" t="s">
        <v>11</v>
      </c>
      <c r="AL18" t="s">
        <v>12</v>
      </c>
      <c r="AN18" s="82" t="s">
        <v>114</v>
      </c>
      <c r="AO18" s="82" t="s">
        <v>1</v>
      </c>
      <c r="AP18" s="82" t="s">
        <v>2</v>
      </c>
      <c r="AQ18" s="82" t="s">
        <v>3</v>
      </c>
      <c r="AR18" s="82" t="s">
        <v>4</v>
      </c>
      <c r="AS18" s="82" t="s">
        <v>5</v>
      </c>
      <c r="AT18" s="82" t="s">
        <v>6</v>
      </c>
      <c r="BB18" s="85" t="s">
        <v>114</v>
      </c>
      <c r="BC18" s="82" t="s">
        <v>1</v>
      </c>
      <c r="BD18" s="82" t="s">
        <v>2</v>
      </c>
      <c r="BE18" s="82" t="s">
        <v>3</v>
      </c>
      <c r="BF18" s="82" t="s">
        <v>4</v>
      </c>
      <c r="BG18" s="82" t="s">
        <v>5</v>
      </c>
      <c r="BH18" s="82" t="s">
        <v>6</v>
      </c>
      <c r="BI18" t="s">
        <v>9</v>
      </c>
      <c r="BJ18" t="s">
        <v>10</v>
      </c>
      <c r="BK18" t="s">
        <v>11</v>
      </c>
      <c r="BL18" t="s">
        <v>12</v>
      </c>
      <c r="BN18" s="82" t="s">
        <v>114</v>
      </c>
      <c r="BO18" s="82" t="s">
        <v>1</v>
      </c>
      <c r="BP18" s="82" t="s">
        <v>2</v>
      </c>
      <c r="BQ18" s="82" t="s">
        <v>3</v>
      </c>
      <c r="BR18" s="82" t="s">
        <v>4</v>
      </c>
      <c r="BS18" s="82" t="s">
        <v>5</v>
      </c>
      <c r="BT18" s="82" t="s">
        <v>6</v>
      </c>
      <c r="CA18" s="17"/>
    </row>
    <row r="19" spans="1:79" x14ac:dyDescent="0.25">
      <c r="A19" s="16"/>
      <c r="B19" s="110">
        <v>0</v>
      </c>
      <c r="C19" s="109">
        <v>1</v>
      </c>
      <c r="D19" s="109"/>
      <c r="E19" s="109">
        <v>5</v>
      </c>
      <c r="F19" s="109">
        <v>8</v>
      </c>
      <c r="G19" s="109">
        <v>8</v>
      </c>
      <c r="H19" s="109">
        <v>115</v>
      </c>
      <c r="I19" s="117">
        <f>IFERROR(MP_DATA[[#This Row],[Top]]-MP_DATA[[#This Row],[Bottom]], "")</f>
        <v>-5</v>
      </c>
      <c r="J19" s="117">
        <f>IFERROR(-(MP_DATA[[#This Row],[D, top]]-MP_DATA[[#This Row],[D, bottom]])/(MP_DATA[[#This Row],[Top]]-MP_DATA[[#This Row],[Bottom]]),"")</f>
        <v>0</v>
      </c>
      <c r="K19" s="117">
        <f>IF(7850/1000 * (1/3) * PI() * ABS(D19 - E19) * ((F19/2)^2 + (F19/2)*(G19/2) + (G19/2)^2  - (F19/2 - H19/1000)^2 - (F19/2 - H19/1000)*(G19/2 - H19/1000) - (G19/2 - H19/1000)^2)=0, "", 7850/1000 * (1/3) * PI() * ABS(D19 - E19) * ((F19/2)^2 + (F19/2)*(G19/2) + (G19/2)^2  - (F19/2 - H19/1000)^2 - (F19/2 - H19/1000)*(G19/2 - H19/1000) - (G19/2 - H19/1000)^2))</f>
        <v>111.81216887951152</v>
      </c>
      <c r="L19" s="117">
        <f>IFERROR((MP_DATA[[#This Row],[D, top]]+MP_DATA[[#This Row],[D, bottom]])/(2*MP_DATA[[#This Row],[t]]/1000),"")</f>
        <v>69.565217391304344</v>
      </c>
      <c r="N19" s="110">
        <v>0</v>
      </c>
      <c r="O19" s="109">
        <v>1</v>
      </c>
      <c r="P19" s="109"/>
      <c r="Q19" s="109">
        <v>5</v>
      </c>
      <c r="R19" s="109">
        <v>8</v>
      </c>
      <c r="S19" s="109">
        <v>8</v>
      </c>
      <c r="T19" s="109">
        <v>115</v>
      </c>
      <c r="U19" s="109"/>
      <c r="V19" s="109"/>
      <c r="W19" s="109"/>
      <c r="X19" s="109"/>
      <c r="AA19" s="17"/>
      <c r="AB19" s="109">
        <v>0</v>
      </c>
      <c r="AC19" s="109">
        <v>1</v>
      </c>
      <c r="AD19" s="109"/>
      <c r="AE19" s="109">
        <v>5</v>
      </c>
      <c r="AF19" s="109">
        <v>8</v>
      </c>
      <c r="AG19" s="109">
        <v>8</v>
      </c>
      <c r="AH19" s="109">
        <v>115</v>
      </c>
      <c r="AI19" s="117">
        <f>IFERROR(TP_DATA[[#This Row],[Top]]-TP_DATA[[#This Row],[Bottom]], "")</f>
        <v>-5</v>
      </c>
      <c r="AJ19" s="117">
        <f>IFERROR(-(TP_DATA[[#This Row],[D, top]]-TP_DATA[[#This Row],[D, bottom]])/(TP_DATA[[#This Row],[Top]]-TP_DATA[[#This Row],[Bottom]]),"")</f>
        <v>0</v>
      </c>
      <c r="AK19" s="117">
        <f>IF(7850/1000 * (1/3) * PI() * ABS(AD19 - AE19) * ((AF19/2)^2 + (AF19/2)*(AG19/2) + (AG19/2)^2  - (AF19/2 - AH19/1000)^2 - (AF19/2 - AH19/1000)*(AG19/2 - AH19/1000) - (AG19/2 - AH19/1000)^2)=0, "", 7850/1000 * (1/3) * PI() * ABS(AD19 - AE19) * ((AF19/2)^2 + (AF19/2)*(AG19/2) + (AG19/2)^2  - (AF19/2 - AH19/1000)^2 - (AF19/2 - AH19/1000)*(AG19/2 - AH19/1000) - (AG19/2 - AH19/1000)^2))</f>
        <v>111.81216887951152</v>
      </c>
      <c r="AL19" s="117">
        <f>IFERROR((TP_DATA[[#This Row],[D, top]]+TP_DATA[[#This Row],[D, bottom]])/(2*TP_DATA[[#This Row],[t]]/1000),"")</f>
        <v>69.565217391304344</v>
      </c>
      <c r="AN19">
        <v>0</v>
      </c>
      <c r="AO19">
        <v>1</v>
      </c>
      <c r="AQ19">
        <v>5</v>
      </c>
      <c r="AR19">
        <v>8</v>
      </c>
      <c r="AS19">
        <v>8</v>
      </c>
      <c r="AT19">
        <v>115</v>
      </c>
      <c r="BB19" s="110">
        <v>0</v>
      </c>
      <c r="BC19" s="109">
        <v>1</v>
      </c>
      <c r="BD19" s="109">
        <v>5.8</v>
      </c>
      <c r="BE19" s="109">
        <v>10</v>
      </c>
      <c r="BF19" s="109">
        <v>8</v>
      </c>
      <c r="BG19" s="109">
        <v>8</v>
      </c>
      <c r="BH19" s="109">
        <v>115</v>
      </c>
      <c r="BI19" s="117">
        <f>IFERROR(TOWER_DATA[[#This Row],[Top]]-TOWER_DATA[[#This Row],[Bottom]], "")</f>
        <v>-4.2</v>
      </c>
      <c r="BJ19" s="117">
        <f>IFERROR(-(TOWER_DATA[[#This Row],[D, top]]-TOWER_DATA[[#This Row],[D, bottom]])/(TOWER_DATA[[#This Row],[Top]]-TOWER_DATA[[#This Row],[Bottom]]),"")</f>
        <v>0</v>
      </c>
      <c r="BK19" s="117">
        <f>IF(7850/1000 * (1/3) * PI() * ABS(BD19 - BE19) * ((BF19/2)^2 + (BF19/2)*(BG19/2) + (BG19/2)^2  - (BF19/2 - BH19/1000)^2 - (BF19/2 - BH19/1000)*(BG19/2 - BH19/1000) - (BG19/2 - BH19/1000)^2)=0, "", 7850/1000 * (1/3) * PI() * ABS(BD19 - BE19) * ((BF19/2)^2 + (BF19/2)*(BG19/2) + (BG19/2)^2  - (BF19/2 - BH19/1000)^2 - (BF19/2 - BH19/1000)*(BG19/2 - BH19/1000) - (BG19/2 - BH19/1000)^2))</f>
        <v>93.922221858789683</v>
      </c>
      <c r="BL19" s="117">
        <f>IFERROR((TOWER_DATA[[#This Row],[D, top]]+TOWER_DATA[[#This Row],[D, bottom]])/(2*TOWER_DATA[[#This Row],[t]]/1000),"")</f>
        <v>69.565217391304344</v>
      </c>
      <c r="BN19">
        <v>0</v>
      </c>
      <c r="BO19">
        <v>1</v>
      </c>
      <c r="BP19">
        <v>5.8</v>
      </c>
      <c r="BQ19">
        <v>10</v>
      </c>
      <c r="BR19">
        <v>8</v>
      </c>
      <c r="BS19">
        <v>8</v>
      </c>
      <c r="BT19">
        <v>115</v>
      </c>
      <c r="CA19" s="17"/>
    </row>
    <row r="20" spans="1:79" x14ac:dyDescent="0.25">
      <c r="A20" s="16"/>
      <c r="B20" s="110">
        <v>1</v>
      </c>
      <c r="C20" s="109">
        <v>2</v>
      </c>
      <c r="D20" s="109">
        <v>5</v>
      </c>
      <c r="E20" s="109">
        <v>0</v>
      </c>
      <c r="F20" s="109">
        <v>8</v>
      </c>
      <c r="G20" s="109">
        <v>8</v>
      </c>
      <c r="H20" s="109">
        <v>120</v>
      </c>
      <c r="I20" s="117">
        <f>IFERROR(MP_DATA[[#This Row],[Top]]-MP_DATA[[#This Row],[Bottom]], "")</f>
        <v>5</v>
      </c>
      <c r="J20" s="117">
        <f>IFERROR(-(MP_DATA[[#This Row],[D, top]]-MP_DATA[[#This Row],[D, bottom]])/(MP_DATA[[#This Row],[Top]]-MP_DATA[[#This Row],[Bottom]]),"")</f>
        <v>0</v>
      </c>
      <c r="K20" s="117">
        <f t="shared" ref="K20:K83" si="0">IF(7850/1000 * (1/3) * PI() * ABS(D20 - E20) * ((F20/2)^2 + (F20/2)*(G20/2) + (G20/2)^2  - (F20/2 - H20/1000)^2 - (F20/2 - H20/1000)*(G20/2 - H20/1000) - (G20/2 - H20/1000)^2)=0, "", 7850/1000 * (1/3) * PI() * ABS(D20 - E20) * ((F20/2)^2 + (F20/2)*(G20/2) + (G20/2)^2  - (F20/2 - H20/1000)^2 - (F20/2 - H20/1000)*(G20/2 - H20/1000) - (G20/2 - H20/1000)^2))</f>
        <v>116.59958301945436</v>
      </c>
      <c r="L20" s="117">
        <f>IFERROR((MP_DATA[[#This Row],[D, top]]+MP_DATA[[#This Row],[D, bottom]])/(2*MP_DATA[[#This Row],[t]]/1000),"")</f>
        <v>66.666666666666671</v>
      </c>
      <c r="N20" s="110">
        <v>1</v>
      </c>
      <c r="O20" s="109">
        <v>2</v>
      </c>
      <c r="P20" s="109">
        <v>5</v>
      </c>
      <c r="Q20" s="109">
        <v>0</v>
      </c>
      <c r="R20" s="109">
        <v>8</v>
      </c>
      <c r="S20" s="109">
        <v>8</v>
      </c>
      <c r="T20" s="109">
        <v>120</v>
      </c>
      <c r="U20" s="109"/>
      <c r="V20" s="109"/>
      <c r="W20" s="109"/>
      <c r="X20" s="109"/>
      <c r="AA20" s="17"/>
      <c r="AB20" s="109">
        <v>1</v>
      </c>
      <c r="AC20" s="109">
        <v>2</v>
      </c>
      <c r="AD20" s="109">
        <v>5</v>
      </c>
      <c r="AE20" s="109">
        <v>0</v>
      </c>
      <c r="AF20" s="109">
        <v>8</v>
      </c>
      <c r="AG20" s="109">
        <v>8</v>
      </c>
      <c r="AH20" s="109">
        <v>120</v>
      </c>
      <c r="AI20" s="117">
        <f>IFERROR(TP_DATA[[#This Row],[Top]]-TP_DATA[[#This Row],[Bottom]], "")</f>
        <v>5</v>
      </c>
      <c r="AJ20" s="117">
        <f>IFERROR(-(TP_DATA[[#This Row],[D, top]]-TP_DATA[[#This Row],[D, bottom]])/(TP_DATA[[#This Row],[Top]]-TP_DATA[[#This Row],[Bottom]]),"")</f>
        <v>0</v>
      </c>
      <c r="AK20" s="117">
        <f t="shared" ref="AK20:AK83" si="1">IF(7850/1000 * (1/3) * PI() * ABS(AD20 - AE20) * ((AF20/2)^2 + (AF20/2)*(AG20/2) + (AG20/2)^2  - (AF20/2 - AH20/1000)^2 - (AF20/2 - AH20/1000)*(AG20/2 - AH20/1000) - (AG20/2 - AH20/1000)^2)=0, "", 7850/1000 * (1/3) * PI() * ABS(AD20 - AE20) * ((AF20/2)^2 + (AF20/2)*(AG20/2) + (AG20/2)^2  - (AF20/2 - AH20/1000)^2 - (AF20/2 - AH20/1000)*(AG20/2 - AH20/1000) - (AG20/2 - AH20/1000)^2))</f>
        <v>116.59958301945436</v>
      </c>
      <c r="AL20" s="117">
        <f>IFERROR((TP_DATA[[#This Row],[D, top]]+TP_DATA[[#This Row],[D, bottom]])/(2*TP_DATA[[#This Row],[t]]/1000),"")</f>
        <v>66.666666666666671</v>
      </c>
      <c r="AN20">
        <v>1</v>
      </c>
      <c r="AO20">
        <v>2</v>
      </c>
      <c r="AP20">
        <v>5</v>
      </c>
      <c r="AQ20">
        <v>0</v>
      </c>
      <c r="AR20">
        <v>8</v>
      </c>
      <c r="AS20">
        <v>8</v>
      </c>
      <c r="AT20">
        <v>120</v>
      </c>
      <c r="BB20" s="110">
        <v>1</v>
      </c>
      <c r="BC20" s="109">
        <v>2</v>
      </c>
      <c r="BD20" s="109">
        <v>10</v>
      </c>
      <c r="BE20" s="109">
        <v>7.5</v>
      </c>
      <c r="BF20" s="109">
        <v>8</v>
      </c>
      <c r="BG20" s="109">
        <v>8</v>
      </c>
      <c r="BH20" s="109">
        <v>120</v>
      </c>
      <c r="BI20" s="117">
        <f>IFERROR(TOWER_DATA[[#This Row],[Top]]-TOWER_DATA[[#This Row],[Bottom]], "")</f>
        <v>2.5</v>
      </c>
      <c r="BJ20" s="117">
        <f>IFERROR(-(TOWER_DATA[[#This Row],[D, top]]-TOWER_DATA[[#This Row],[D, bottom]])/(TOWER_DATA[[#This Row],[Top]]-TOWER_DATA[[#This Row],[Bottom]]),"")</f>
        <v>0</v>
      </c>
      <c r="BK20" s="117">
        <f t="shared" ref="BK20:BK83" si="2">IF(7850/1000 * (1/3) * PI() * ABS(BD20 - BE20) * ((BF20/2)^2 + (BF20/2)*(BG20/2) + (BG20/2)^2  - (BF20/2 - BH20/1000)^2 - (BF20/2 - BH20/1000)*(BG20/2 - BH20/1000) - (BG20/2 - BH20/1000)^2)=0, "", 7850/1000 * (1/3) * PI() * ABS(BD20 - BE20) * ((BF20/2)^2 + (BF20/2)*(BG20/2) + (BG20/2)^2  - (BF20/2 - BH20/1000)^2 - (BF20/2 - BH20/1000)*(BG20/2 - BH20/1000) - (BG20/2 - BH20/1000)^2))</f>
        <v>58.299791509727179</v>
      </c>
      <c r="BL20" s="117">
        <f>IFERROR((TOWER_DATA[[#This Row],[D, top]]+TOWER_DATA[[#This Row],[D, bottom]])/(2*TOWER_DATA[[#This Row],[t]]/1000),"")</f>
        <v>66.666666666666671</v>
      </c>
      <c r="BN20">
        <v>1</v>
      </c>
      <c r="BO20">
        <v>2</v>
      </c>
      <c r="BP20">
        <v>10</v>
      </c>
      <c r="BQ20">
        <v>7.5</v>
      </c>
      <c r="BR20">
        <v>8</v>
      </c>
      <c r="BS20">
        <v>8</v>
      </c>
      <c r="BT20">
        <v>120</v>
      </c>
      <c r="CA20" s="17"/>
    </row>
    <row r="21" spans="1:79" x14ac:dyDescent="0.25">
      <c r="A21" s="16"/>
      <c r="B21" s="110">
        <v>2</v>
      </c>
      <c r="C21" s="109">
        <v>3</v>
      </c>
      <c r="D21" s="109">
        <v>0</v>
      </c>
      <c r="E21" s="109">
        <v>-5</v>
      </c>
      <c r="F21" s="109">
        <v>8</v>
      </c>
      <c r="G21" s="109">
        <v>8</v>
      </c>
      <c r="H21" s="109">
        <v>130</v>
      </c>
      <c r="I21" s="117">
        <f>IFERROR(MP_DATA[[#This Row],[Top]]-MP_DATA[[#This Row],[Bottom]], "")</f>
        <v>5</v>
      </c>
      <c r="J21" s="117">
        <f>IFERROR(-(MP_DATA[[#This Row],[D, top]]-MP_DATA[[#This Row],[D, bottom]])/(MP_DATA[[#This Row],[Top]]-MP_DATA[[#This Row],[Bottom]]),"")</f>
        <v>0</v>
      </c>
      <c r="K21" s="117">
        <f t="shared" si="0"/>
        <v>126.15591517259281</v>
      </c>
      <c r="L21" s="117">
        <f>IFERROR((MP_DATA[[#This Row],[D, top]]+MP_DATA[[#This Row],[D, bottom]])/(2*MP_DATA[[#This Row],[t]]/1000),"")</f>
        <v>61.538461538461533</v>
      </c>
      <c r="N21" s="110">
        <v>2</v>
      </c>
      <c r="O21" s="109">
        <v>3</v>
      </c>
      <c r="P21" s="109">
        <v>0</v>
      </c>
      <c r="Q21" s="109">
        <v>-5</v>
      </c>
      <c r="R21" s="109">
        <v>8</v>
      </c>
      <c r="S21" s="109">
        <v>8</v>
      </c>
      <c r="T21" s="109">
        <v>130</v>
      </c>
      <c r="U21" s="109"/>
      <c r="V21" s="109"/>
      <c r="W21" s="109"/>
      <c r="X21" s="109"/>
      <c r="AA21" s="17"/>
      <c r="AB21" s="109">
        <v>2</v>
      </c>
      <c r="AC21" s="109">
        <v>3</v>
      </c>
      <c r="AD21" s="109">
        <v>0</v>
      </c>
      <c r="AE21" s="109">
        <v>-5</v>
      </c>
      <c r="AF21" s="109">
        <v>8</v>
      </c>
      <c r="AG21" s="109">
        <v>8</v>
      </c>
      <c r="AH21" s="109">
        <v>130</v>
      </c>
      <c r="AI21" s="117">
        <f>IFERROR(TP_DATA[[#This Row],[Top]]-TP_DATA[[#This Row],[Bottom]], "")</f>
        <v>5</v>
      </c>
      <c r="AJ21" s="117">
        <f>IFERROR(-(TP_DATA[[#This Row],[D, top]]-TP_DATA[[#This Row],[D, bottom]])/(TP_DATA[[#This Row],[Top]]-TP_DATA[[#This Row],[Bottom]]),"")</f>
        <v>0</v>
      </c>
      <c r="AK21" s="117">
        <f t="shared" si="1"/>
        <v>126.15591517259281</v>
      </c>
      <c r="AL21" s="117">
        <f>IFERROR((TP_DATA[[#This Row],[D, top]]+TP_DATA[[#This Row],[D, bottom]])/(2*TP_DATA[[#This Row],[t]]/1000),"")</f>
        <v>61.538461538461533</v>
      </c>
      <c r="AN21">
        <v>2</v>
      </c>
      <c r="AO21">
        <v>3</v>
      </c>
      <c r="AP21">
        <v>0</v>
      </c>
      <c r="AQ21">
        <v>-5</v>
      </c>
      <c r="AR21">
        <v>8</v>
      </c>
      <c r="AS21">
        <v>8</v>
      </c>
      <c r="AT21">
        <v>130</v>
      </c>
      <c r="BB21" s="110">
        <v>2</v>
      </c>
      <c r="BC21" s="109">
        <v>3</v>
      </c>
      <c r="BD21" s="109">
        <v>7.5</v>
      </c>
      <c r="BE21" s="109">
        <v>5</v>
      </c>
      <c r="BF21" s="109">
        <v>8</v>
      </c>
      <c r="BG21" s="109">
        <v>8</v>
      </c>
      <c r="BH21" s="109">
        <v>130</v>
      </c>
      <c r="BI21" s="117">
        <f>IFERROR(TOWER_DATA[[#This Row],[Top]]-TOWER_DATA[[#This Row],[Bottom]], "")</f>
        <v>2.5</v>
      </c>
      <c r="BJ21" s="117">
        <f>IFERROR(-(TOWER_DATA[[#This Row],[D, top]]-TOWER_DATA[[#This Row],[D, bottom]])/(TOWER_DATA[[#This Row],[Top]]-TOWER_DATA[[#This Row],[Bottom]]),"")</f>
        <v>0</v>
      </c>
      <c r="BK21" s="117">
        <f t="shared" si="2"/>
        <v>63.077957586296407</v>
      </c>
      <c r="BL21" s="117">
        <f>IFERROR((TOWER_DATA[[#This Row],[D, top]]+TOWER_DATA[[#This Row],[D, bottom]])/(2*TOWER_DATA[[#This Row],[t]]/1000),"")</f>
        <v>61.538461538461533</v>
      </c>
      <c r="BN21">
        <v>2</v>
      </c>
      <c r="BO21">
        <v>3</v>
      </c>
      <c r="BP21">
        <v>7.5</v>
      </c>
      <c r="BQ21">
        <v>5</v>
      </c>
      <c r="BR21">
        <v>8</v>
      </c>
      <c r="BS21">
        <v>8</v>
      </c>
      <c r="BT21">
        <v>130</v>
      </c>
      <c r="CA21" s="17"/>
    </row>
    <row r="22" spans="1:79" x14ac:dyDescent="0.25">
      <c r="A22" s="16"/>
      <c r="B22" s="110">
        <v>3</v>
      </c>
      <c r="C22" s="109">
        <v>4</v>
      </c>
      <c r="D22" s="109">
        <v>-5</v>
      </c>
      <c r="E22" s="109">
        <v>-10</v>
      </c>
      <c r="F22" s="109">
        <v>8</v>
      </c>
      <c r="G22" s="109">
        <v>8.44</v>
      </c>
      <c r="H22" s="109">
        <v>130</v>
      </c>
      <c r="I22" s="117">
        <f>IFERROR(MP_DATA[[#This Row],[Top]]-MP_DATA[[#This Row],[Bottom]], "")</f>
        <v>5</v>
      </c>
      <c r="J22" s="117">
        <f>IFERROR(-(MP_DATA[[#This Row],[D, top]]-MP_DATA[[#This Row],[D, bottom]])/(MP_DATA[[#This Row],[Top]]-MP_DATA[[#This Row],[Bottom]]),"")</f>
        <v>8.7999999999999898E-2</v>
      </c>
      <c r="K22" s="117">
        <f t="shared" si="0"/>
        <v>129.68251000587998</v>
      </c>
      <c r="L22" s="117">
        <f>IFERROR((MP_DATA[[#This Row],[D, top]]+MP_DATA[[#This Row],[D, bottom]])/(2*MP_DATA[[#This Row],[t]]/1000),"")</f>
        <v>63.230769230769219</v>
      </c>
      <c r="N22" s="110">
        <v>3</v>
      </c>
      <c r="O22" s="109">
        <v>4</v>
      </c>
      <c r="P22" s="109">
        <v>-5</v>
      </c>
      <c r="Q22" s="109">
        <v>-10</v>
      </c>
      <c r="R22" s="109">
        <v>8</v>
      </c>
      <c r="S22" s="109">
        <v>8.44</v>
      </c>
      <c r="T22" s="109">
        <v>130</v>
      </c>
      <c r="U22" s="109"/>
      <c r="V22" s="109"/>
      <c r="W22" s="109"/>
      <c r="X22" s="109"/>
      <c r="AA22" s="17"/>
      <c r="AB22" s="109">
        <v>3</v>
      </c>
      <c r="AC22" s="109">
        <v>4</v>
      </c>
      <c r="AD22" s="109">
        <v>-5</v>
      </c>
      <c r="AE22" s="109">
        <v>-10</v>
      </c>
      <c r="AF22" s="109">
        <v>8</v>
      </c>
      <c r="AG22" s="109">
        <v>8.44</v>
      </c>
      <c r="AH22" s="109">
        <v>130</v>
      </c>
      <c r="AI22" s="117">
        <f>IFERROR(TP_DATA[[#This Row],[Top]]-TP_DATA[[#This Row],[Bottom]], "")</f>
        <v>5</v>
      </c>
      <c r="AJ22" s="117">
        <f>IFERROR(-(TP_DATA[[#This Row],[D, top]]-TP_DATA[[#This Row],[D, bottom]])/(TP_DATA[[#This Row],[Top]]-TP_DATA[[#This Row],[Bottom]]),"")</f>
        <v>8.7999999999999898E-2</v>
      </c>
      <c r="AK22" s="117">
        <f t="shared" si="1"/>
        <v>129.68251000587998</v>
      </c>
      <c r="AL22" s="117">
        <f>IFERROR((TP_DATA[[#This Row],[D, top]]+TP_DATA[[#This Row],[D, bottom]])/(2*TP_DATA[[#This Row],[t]]/1000),"")</f>
        <v>63.230769230769219</v>
      </c>
      <c r="AN22">
        <v>3</v>
      </c>
      <c r="AO22">
        <v>4</v>
      </c>
      <c r="AP22">
        <v>-5</v>
      </c>
      <c r="AQ22">
        <v>-10</v>
      </c>
      <c r="AR22">
        <v>8</v>
      </c>
      <c r="AS22">
        <v>8.44</v>
      </c>
      <c r="AT22">
        <v>130</v>
      </c>
      <c r="BB22" s="110">
        <v>3</v>
      </c>
      <c r="BC22" s="109">
        <v>4</v>
      </c>
      <c r="BD22" s="109">
        <v>5</v>
      </c>
      <c r="BE22" s="109">
        <v>2.5</v>
      </c>
      <c r="BF22" s="109">
        <v>8</v>
      </c>
      <c r="BG22" s="109">
        <v>8.44</v>
      </c>
      <c r="BH22" s="109">
        <v>130</v>
      </c>
      <c r="BI22" s="117">
        <f>IFERROR(TOWER_DATA[[#This Row],[Top]]-TOWER_DATA[[#This Row],[Bottom]], "")</f>
        <v>2.5</v>
      </c>
      <c r="BJ22" s="117">
        <f>IFERROR(-(TOWER_DATA[[#This Row],[D, top]]-TOWER_DATA[[#This Row],[D, bottom]])/(TOWER_DATA[[#This Row],[Top]]-TOWER_DATA[[#This Row],[Bottom]]),"")</f>
        <v>0.1759999999999998</v>
      </c>
      <c r="BK22" s="117">
        <f t="shared" si="2"/>
        <v>64.841255002939988</v>
      </c>
      <c r="BL22" s="117">
        <f>IFERROR((TOWER_DATA[[#This Row],[D, top]]+TOWER_DATA[[#This Row],[D, bottom]])/(2*TOWER_DATA[[#This Row],[t]]/1000),"")</f>
        <v>63.230769230769219</v>
      </c>
      <c r="BN22">
        <v>3</v>
      </c>
      <c r="BO22">
        <v>4</v>
      </c>
      <c r="BP22">
        <v>5</v>
      </c>
      <c r="BQ22">
        <v>2.5</v>
      </c>
      <c r="BR22">
        <v>8</v>
      </c>
      <c r="BS22">
        <v>8.44</v>
      </c>
      <c r="BT22">
        <v>130</v>
      </c>
      <c r="CA22" s="17"/>
    </row>
    <row r="23" spans="1:79" x14ac:dyDescent="0.25">
      <c r="A23" s="16"/>
      <c r="B23" s="110">
        <v>4</v>
      </c>
      <c r="C23" s="109">
        <v>5</v>
      </c>
      <c r="D23" s="109">
        <v>-10</v>
      </c>
      <c r="E23" s="109">
        <v>-15</v>
      </c>
      <c r="F23" s="109">
        <v>8.44</v>
      </c>
      <c r="G23" s="109">
        <v>8.8800000000000008</v>
      </c>
      <c r="H23" s="109">
        <v>110</v>
      </c>
      <c r="I23" s="117">
        <f>IFERROR(MP_DATA[[#This Row],[Top]]-MP_DATA[[#This Row],[Bottom]], "")</f>
        <v>5</v>
      </c>
      <c r="J23" s="117">
        <f>IFERROR(-(MP_DATA[[#This Row],[D, top]]-MP_DATA[[#This Row],[D, bottom]])/(MP_DATA[[#This Row],[Top]]-MP_DATA[[#This Row],[Bottom]]),"")</f>
        <v>8.8000000000000259E-2</v>
      </c>
      <c r="K23" s="117">
        <f t="shared" si="0"/>
        <v>115.97071471002197</v>
      </c>
      <c r="L23" s="117">
        <f>IFERROR((MP_DATA[[#This Row],[D, top]]+MP_DATA[[#This Row],[D, bottom]])/(2*MP_DATA[[#This Row],[t]]/1000),"")</f>
        <v>78.727272727272734</v>
      </c>
      <c r="N23" s="110">
        <v>4</v>
      </c>
      <c r="O23" s="109">
        <v>5</v>
      </c>
      <c r="P23" s="109">
        <v>-10</v>
      </c>
      <c r="Q23" s="109">
        <v>-15</v>
      </c>
      <c r="R23" s="109">
        <v>8.44</v>
      </c>
      <c r="S23" s="109">
        <v>8.8800000000000008</v>
      </c>
      <c r="T23" s="109">
        <v>110</v>
      </c>
      <c r="U23" s="109"/>
      <c r="V23" s="109"/>
      <c r="W23" s="109"/>
      <c r="X23" s="109"/>
      <c r="AA23" s="17"/>
      <c r="AB23" s="109">
        <v>4</v>
      </c>
      <c r="AC23" s="109">
        <v>5</v>
      </c>
      <c r="AD23" s="109">
        <v>-10</v>
      </c>
      <c r="AE23" s="109">
        <v>-15</v>
      </c>
      <c r="AF23" s="109">
        <v>8.44</v>
      </c>
      <c r="AG23" s="109">
        <v>8.8800000000000008</v>
      </c>
      <c r="AH23" s="109">
        <v>110</v>
      </c>
      <c r="AI23" s="117">
        <f>IFERROR(TP_DATA[[#This Row],[Top]]-TP_DATA[[#This Row],[Bottom]], "")</f>
        <v>5</v>
      </c>
      <c r="AJ23" s="117">
        <f>IFERROR(-(TP_DATA[[#This Row],[D, top]]-TP_DATA[[#This Row],[D, bottom]])/(TP_DATA[[#This Row],[Top]]-TP_DATA[[#This Row],[Bottom]]),"")</f>
        <v>8.8000000000000259E-2</v>
      </c>
      <c r="AK23" s="117">
        <f t="shared" si="1"/>
        <v>115.97071471002197</v>
      </c>
      <c r="AL23" s="117">
        <f>IFERROR((TP_DATA[[#This Row],[D, top]]+TP_DATA[[#This Row],[D, bottom]])/(2*TP_DATA[[#This Row],[t]]/1000),"")</f>
        <v>78.727272727272734</v>
      </c>
      <c r="AN23">
        <v>4</v>
      </c>
      <c r="AO23">
        <v>5</v>
      </c>
      <c r="AP23">
        <v>-10</v>
      </c>
      <c r="AQ23">
        <v>-15</v>
      </c>
      <c r="AR23">
        <v>8.44</v>
      </c>
      <c r="AS23">
        <v>8.8800000000000008</v>
      </c>
      <c r="AT23">
        <v>110</v>
      </c>
      <c r="BB23" s="110">
        <v>4</v>
      </c>
      <c r="BC23" s="109">
        <v>5</v>
      </c>
      <c r="BD23" s="109">
        <v>2.5</v>
      </c>
      <c r="BE23" s="109">
        <v>0</v>
      </c>
      <c r="BF23" s="109">
        <v>8.44</v>
      </c>
      <c r="BG23" s="109">
        <v>8.8800000000000008</v>
      </c>
      <c r="BH23" s="109">
        <v>110</v>
      </c>
      <c r="BI23" s="117">
        <f>IFERROR(TOWER_DATA[[#This Row],[Top]]-TOWER_DATA[[#This Row],[Bottom]], "")</f>
        <v>2.5</v>
      </c>
      <c r="BJ23" s="117">
        <f>IFERROR(-(TOWER_DATA[[#This Row],[D, top]]-TOWER_DATA[[#This Row],[D, bottom]])/(TOWER_DATA[[#This Row],[Top]]-TOWER_DATA[[#This Row],[Bottom]]),"")</f>
        <v>0.17600000000000052</v>
      </c>
      <c r="BK23" s="117">
        <f t="shared" si="2"/>
        <v>57.985357355010983</v>
      </c>
      <c r="BL23" s="117">
        <f>IFERROR((TOWER_DATA[[#This Row],[D, top]]+TOWER_DATA[[#This Row],[D, bottom]])/(2*TOWER_DATA[[#This Row],[t]]/1000),"")</f>
        <v>78.727272727272734</v>
      </c>
      <c r="BN23">
        <v>4</v>
      </c>
      <c r="BO23">
        <v>5</v>
      </c>
      <c r="BP23">
        <v>2.5</v>
      </c>
      <c r="BQ23">
        <v>0</v>
      </c>
      <c r="BR23">
        <v>8.44</v>
      </c>
      <c r="BS23">
        <v>8.8800000000000008</v>
      </c>
      <c r="BT23">
        <v>110</v>
      </c>
      <c r="CA23" s="17"/>
    </row>
    <row r="24" spans="1:79" x14ac:dyDescent="0.25">
      <c r="A24" s="16"/>
      <c r="B24" s="110">
        <v>5</v>
      </c>
      <c r="C24" s="109">
        <v>6</v>
      </c>
      <c r="D24" s="109">
        <v>-15</v>
      </c>
      <c r="E24" s="109">
        <v>-20</v>
      </c>
      <c r="F24" s="109">
        <v>8.8800000000000008</v>
      </c>
      <c r="G24" s="109">
        <v>9.31</v>
      </c>
      <c r="H24" s="109">
        <v>124</v>
      </c>
      <c r="I24" s="117">
        <f>IFERROR(MP_DATA[[#This Row],[Top]]-MP_DATA[[#This Row],[Bottom]], "")</f>
        <v>5</v>
      </c>
      <c r="J24" s="117">
        <f>IFERROR(-(MP_DATA[[#This Row],[D, top]]-MP_DATA[[#This Row],[D, bottom]])/(MP_DATA[[#This Row],[Top]]-MP_DATA[[#This Row],[Bottom]]),"")</f>
        <v>8.5999999999999938E-2</v>
      </c>
      <c r="K24" s="117">
        <f t="shared" si="0"/>
        <v>137.16776919328751</v>
      </c>
      <c r="L24" s="117">
        <f>IFERROR((MP_DATA[[#This Row],[D, top]]+MP_DATA[[#This Row],[D, bottom]])/(2*MP_DATA[[#This Row],[t]]/1000),"")</f>
        <v>73.346774193548399</v>
      </c>
      <c r="N24" s="110">
        <v>5</v>
      </c>
      <c r="O24" s="109">
        <v>6</v>
      </c>
      <c r="P24" s="109">
        <v>-15</v>
      </c>
      <c r="Q24" s="109">
        <v>-20</v>
      </c>
      <c r="R24" s="109">
        <v>8.8800000000000008</v>
      </c>
      <c r="S24" s="109">
        <v>9.31</v>
      </c>
      <c r="T24" s="109">
        <v>124</v>
      </c>
      <c r="U24" s="109"/>
      <c r="V24" s="109"/>
      <c r="W24" s="109"/>
      <c r="X24" s="109"/>
      <c r="AA24" s="17"/>
      <c r="AB24" s="109">
        <v>5</v>
      </c>
      <c r="AC24" s="109">
        <v>6</v>
      </c>
      <c r="AD24" s="109">
        <v>-15</v>
      </c>
      <c r="AE24" s="109">
        <v>-20</v>
      </c>
      <c r="AF24" s="109">
        <v>8.8800000000000008</v>
      </c>
      <c r="AG24" s="109">
        <v>9.31</v>
      </c>
      <c r="AH24" s="109">
        <v>124</v>
      </c>
      <c r="AI24" s="117">
        <f>IFERROR(TP_DATA[[#This Row],[Top]]-TP_DATA[[#This Row],[Bottom]], "")</f>
        <v>5</v>
      </c>
      <c r="AJ24" s="117">
        <f>IFERROR(-(TP_DATA[[#This Row],[D, top]]-TP_DATA[[#This Row],[D, bottom]])/(TP_DATA[[#This Row],[Top]]-TP_DATA[[#This Row],[Bottom]]),"")</f>
        <v>8.5999999999999938E-2</v>
      </c>
      <c r="AK24" s="117">
        <f t="shared" si="1"/>
        <v>137.16776919328751</v>
      </c>
      <c r="AL24" s="117">
        <f>IFERROR((TP_DATA[[#This Row],[D, top]]+TP_DATA[[#This Row],[D, bottom]])/(2*TP_DATA[[#This Row],[t]]/1000),"")</f>
        <v>73.346774193548399</v>
      </c>
      <c r="AN24">
        <v>5</v>
      </c>
      <c r="AO24">
        <v>6</v>
      </c>
      <c r="AP24">
        <v>-15</v>
      </c>
      <c r="AQ24">
        <v>-20</v>
      </c>
      <c r="AR24">
        <v>8.8800000000000008</v>
      </c>
      <c r="AS24">
        <v>9.31</v>
      </c>
      <c r="AT24">
        <v>124</v>
      </c>
      <c r="BB24" s="110">
        <v>5</v>
      </c>
      <c r="BC24" s="109">
        <v>6</v>
      </c>
      <c r="BD24" s="109">
        <v>0</v>
      </c>
      <c r="BE24" s="109">
        <v>-2.5</v>
      </c>
      <c r="BF24" s="109">
        <v>8.8800000000000008</v>
      </c>
      <c r="BG24" s="109">
        <v>9.31</v>
      </c>
      <c r="BH24" s="109">
        <v>124</v>
      </c>
      <c r="BI24" s="117">
        <f>IFERROR(TOWER_DATA[[#This Row],[Top]]-TOWER_DATA[[#This Row],[Bottom]], "")</f>
        <v>2.5</v>
      </c>
      <c r="BJ24" s="117">
        <f>IFERROR(-(TOWER_DATA[[#This Row],[D, top]]-TOWER_DATA[[#This Row],[D, bottom]])/(TOWER_DATA[[#This Row],[Top]]-TOWER_DATA[[#This Row],[Bottom]]),"")</f>
        <v>0.17199999999999988</v>
      </c>
      <c r="BK24" s="117">
        <f t="shared" si="2"/>
        <v>68.583884596643756</v>
      </c>
      <c r="BL24" s="117">
        <f>IFERROR((TOWER_DATA[[#This Row],[D, top]]+TOWER_DATA[[#This Row],[D, bottom]])/(2*TOWER_DATA[[#This Row],[t]]/1000),"")</f>
        <v>73.346774193548399</v>
      </c>
      <c r="BN24">
        <v>5</v>
      </c>
      <c r="BO24">
        <v>6</v>
      </c>
      <c r="BP24">
        <v>0</v>
      </c>
      <c r="BQ24">
        <v>-2.5</v>
      </c>
      <c r="BR24">
        <v>8.8800000000000008</v>
      </c>
      <c r="BS24">
        <v>9.31</v>
      </c>
      <c r="BT24">
        <v>124</v>
      </c>
      <c r="CA24" s="17"/>
    </row>
    <row r="25" spans="1:79" x14ac:dyDescent="0.25">
      <c r="A25" s="16"/>
      <c r="B25" s="110">
        <v>6</v>
      </c>
      <c r="C25" s="109">
        <v>7</v>
      </c>
      <c r="D25" s="109">
        <v>-20</v>
      </c>
      <c r="E25" s="109">
        <v>-25</v>
      </c>
      <c r="F25" s="109">
        <v>9.31</v>
      </c>
      <c r="G25" s="109">
        <v>9.75</v>
      </c>
      <c r="H25" s="109">
        <v>109</v>
      </c>
      <c r="I25" s="117">
        <f>IFERROR(MP_DATA[[#This Row],[Top]]-MP_DATA[[#This Row],[Bottom]], "")</f>
        <v>5</v>
      </c>
      <c r="J25" s="117">
        <f>IFERROR(-(MP_DATA[[#This Row],[D, top]]-MP_DATA[[#This Row],[D, bottom]])/(MP_DATA[[#This Row],[Top]]-MP_DATA[[#This Row],[Bottom]]),"")</f>
        <v>8.7999999999999898E-2</v>
      </c>
      <c r="K25" s="117">
        <f t="shared" si="0"/>
        <v>126.62312733424739</v>
      </c>
      <c r="L25" s="117">
        <f>IFERROR((MP_DATA[[#This Row],[D, top]]+MP_DATA[[#This Row],[D, bottom]])/(2*MP_DATA[[#This Row],[t]]/1000),"")</f>
        <v>87.431192660550465</v>
      </c>
      <c r="N25" s="110">
        <v>6</v>
      </c>
      <c r="O25" s="109">
        <v>7</v>
      </c>
      <c r="P25" s="109">
        <v>-20</v>
      </c>
      <c r="Q25" s="109">
        <v>-25</v>
      </c>
      <c r="R25" s="109">
        <v>9.31</v>
      </c>
      <c r="S25" s="109">
        <v>9.75</v>
      </c>
      <c r="T25" s="109">
        <v>109</v>
      </c>
      <c r="U25" s="109"/>
      <c r="V25" s="109"/>
      <c r="W25" s="109"/>
      <c r="X25" s="109"/>
      <c r="AA25" s="17"/>
      <c r="AB25" s="109">
        <v>6</v>
      </c>
      <c r="AC25" s="109">
        <v>7</v>
      </c>
      <c r="AD25" s="109">
        <v>-20</v>
      </c>
      <c r="AE25" s="109">
        <v>-25</v>
      </c>
      <c r="AF25" s="109">
        <v>9.31</v>
      </c>
      <c r="AG25" s="109">
        <v>9.75</v>
      </c>
      <c r="AH25" s="109">
        <v>109</v>
      </c>
      <c r="AI25" s="117">
        <f>IFERROR(TP_DATA[[#This Row],[Top]]-TP_DATA[[#This Row],[Bottom]], "")</f>
        <v>5</v>
      </c>
      <c r="AJ25" s="117">
        <f>IFERROR(-(TP_DATA[[#This Row],[D, top]]-TP_DATA[[#This Row],[D, bottom]])/(TP_DATA[[#This Row],[Top]]-TP_DATA[[#This Row],[Bottom]]),"")</f>
        <v>8.7999999999999898E-2</v>
      </c>
      <c r="AK25" s="117">
        <f t="shared" si="1"/>
        <v>126.62312733424739</v>
      </c>
      <c r="AL25" s="117">
        <f>IFERROR((TP_DATA[[#This Row],[D, top]]+TP_DATA[[#This Row],[D, bottom]])/(2*TP_DATA[[#This Row],[t]]/1000),"")</f>
        <v>87.431192660550465</v>
      </c>
      <c r="AN25">
        <v>6</v>
      </c>
      <c r="AO25">
        <v>7</v>
      </c>
      <c r="AP25">
        <v>-20</v>
      </c>
      <c r="AQ25">
        <v>-25</v>
      </c>
      <c r="AR25">
        <v>9.31</v>
      </c>
      <c r="AS25">
        <v>9.75</v>
      </c>
      <c r="AT25">
        <v>109</v>
      </c>
      <c r="BB25" s="110">
        <v>6</v>
      </c>
      <c r="BC25" s="109">
        <v>7</v>
      </c>
      <c r="BD25" s="109">
        <v>-2.5</v>
      </c>
      <c r="BE25" s="109">
        <v>-5</v>
      </c>
      <c r="BF25" s="109">
        <v>9.31</v>
      </c>
      <c r="BG25" s="109">
        <v>9.75</v>
      </c>
      <c r="BH25" s="109">
        <v>109</v>
      </c>
      <c r="BI25" s="117">
        <f>IFERROR(TOWER_DATA[[#This Row],[Top]]-TOWER_DATA[[#This Row],[Bottom]], "")</f>
        <v>2.5</v>
      </c>
      <c r="BJ25" s="117">
        <f>IFERROR(-(TOWER_DATA[[#This Row],[D, top]]-TOWER_DATA[[#This Row],[D, bottom]])/(TOWER_DATA[[#This Row],[Top]]-TOWER_DATA[[#This Row],[Bottom]]),"")</f>
        <v>0.1759999999999998</v>
      </c>
      <c r="BK25" s="117">
        <f t="shared" si="2"/>
        <v>63.311563667123693</v>
      </c>
      <c r="BL25" s="117">
        <f>IFERROR((TOWER_DATA[[#This Row],[D, top]]+TOWER_DATA[[#This Row],[D, bottom]])/(2*TOWER_DATA[[#This Row],[t]]/1000),"")</f>
        <v>87.431192660550465</v>
      </c>
      <c r="BN25">
        <v>6</v>
      </c>
      <c r="BO25">
        <v>7</v>
      </c>
      <c r="BP25">
        <v>-2.5</v>
      </c>
      <c r="BQ25">
        <v>-5</v>
      </c>
      <c r="BR25">
        <v>9.31</v>
      </c>
      <c r="BS25">
        <v>9.75</v>
      </c>
      <c r="BT25">
        <v>109</v>
      </c>
      <c r="CA25" s="17"/>
    </row>
    <row r="26" spans="1:79" x14ac:dyDescent="0.25">
      <c r="A26" s="16"/>
      <c r="B26" s="110">
        <v>7</v>
      </c>
      <c r="C26" s="109">
        <v>8</v>
      </c>
      <c r="D26" s="109">
        <v>-25</v>
      </c>
      <c r="E26" s="109">
        <v>-30</v>
      </c>
      <c r="F26" s="109">
        <v>9.75</v>
      </c>
      <c r="G26" s="109">
        <v>10.19</v>
      </c>
      <c r="H26" s="109">
        <v>98</v>
      </c>
      <c r="I26" s="117">
        <f>IFERROR(MP_DATA[[#This Row],[Top]]-MP_DATA[[#This Row],[Bottom]], "")</f>
        <v>5</v>
      </c>
      <c r="J26" s="117">
        <f>IFERROR(-(MP_DATA[[#This Row],[D, top]]-MP_DATA[[#This Row],[D, bottom]])/(MP_DATA[[#This Row],[Top]]-MP_DATA[[#This Row],[Bottom]]),"")</f>
        <v>8.7999999999999898E-2</v>
      </c>
      <c r="K26" s="117">
        <f t="shared" si="0"/>
        <v>119.29459199415065</v>
      </c>
      <c r="L26" s="117">
        <f>IFERROR((MP_DATA[[#This Row],[D, top]]+MP_DATA[[#This Row],[D, bottom]])/(2*MP_DATA[[#This Row],[t]]/1000),"")</f>
        <v>101.73469387755101</v>
      </c>
      <c r="N26" s="110">
        <v>7</v>
      </c>
      <c r="O26" s="109">
        <v>8</v>
      </c>
      <c r="P26" s="109">
        <v>-25</v>
      </c>
      <c r="Q26" s="109">
        <v>-30</v>
      </c>
      <c r="R26" s="109">
        <v>9.75</v>
      </c>
      <c r="S26" s="109">
        <v>10.19</v>
      </c>
      <c r="T26" s="109">
        <v>98</v>
      </c>
      <c r="U26" s="109"/>
      <c r="V26" s="109"/>
      <c r="W26" s="109"/>
      <c r="X26" s="109"/>
      <c r="AA26" s="17"/>
      <c r="AB26" s="109">
        <v>7</v>
      </c>
      <c r="AC26" s="109">
        <v>8</v>
      </c>
      <c r="AD26" s="109">
        <v>-25</v>
      </c>
      <c r="AE26" s="109">
        <v>-30</v>
      </c>
      <c r="AF26" s="109">
        <v>9.75</v>
      </c>
      <c r="AG26" s="109">
        <v>10.19</v>
      </c>
      <c r="AH26" s="109">
        <v>98</v>
      </c>
      <c r="AI26" s="117">
        <f>IFERROR(TP_DATA[[#This Row],[Top]]-TP_DATA[[#This Row],[Bottom]], "")</f>
        <v>5</v>
      </c>
      <c r="AJ26" s="117">
        <f>IFERROR(-(TP_DATA[[#This Row],[D, top]]-TP_DATA[[#This Row],[D, bottom]])/(TP_DATA[[#This Row],[Top]]-TP_DATA[[#This Row],[Bottom]]),"")</f>
        <v>8.7999999999999898E-2</v>
      </c>
      <c r="AK26" s="117">
        <f t="shared" si="1"/>
        <v>119.29459199415065</v>
      </c>
      <c r="AL26" s="117">
        <f>IFERROR((TP_DATA[[#This Row],[D, top]]+TP_DATA[[#This Row],[D, bottom]])/(2*TP_DATA[[#This Row],[t]]/1000),"")</f>
        <v>101.73469387755101</v>
      </c>
      <c r="AN26">
        <v>7</v>
      </c>
      <c r="AO26">
        <v>8</v>
      </c>
      <c r="AP26">
        <v>-25</v>
      </c>
      <c r="AQ26">
        <v>-30</v>
      </c>
      <c r="AR26">
        <v>9.75</v>
      </c>
      <c r="AS26">
        <v>10.19</v>
      </c>
      <c r="AT26">
        <v>98</v>
      </c>
      <c r="BB26" s="110">
        <v>7</v>
      </c>
      <c r="BC26" s="109">
        <v>8</v>
      </c>
      <c r="BD26" s="109">
        <v>-5</v>
      </c>
      <c r="BE26" s="109">
        <v>-7.5</v>
      </c>
      <c r="BF26" s="109">
        <v>9.75</v>
      </c>
      <c r="BG26" s="109">
        <v>10.19</v>
      </c>
      <c r="BH26" s="109">
        <v>98</v>
      </c>
      <c r="BI26" s="117">
        <f>IFERROR(TOWER_DATA[[#This Row],[Top]]-TOWER_DATA[[#This Row],[Bottom]], "")</f>
        <v>2.5</v>
      </c>
      <c r="BJ26" s="117">
        <f>IFERROR(-(TOWER_DATA[[#This Row],[D, top]]-TOWER_DATA[[#This Row],[D, bottom]])/(TOWER_DATA[[#This Row],[Top]]-TOWER_DATA[[#This Row],[Bottom]]),"")</f>
        <v>0.1759999999999998</v>
      </c>
      <c r="BK26" s="117">
        <f t="shared" si="2"/>
        <v>59.647295997075325</v>
      </c>
      <c r="BL26" s="117">
        <f>IFERROR((TOWER_DATA[[#This Row],[D, top]]+TOWER_DATA[[#This Row],[D, bottom]])/(2*TOWER_DATA[[#This Row],[t]]/1000),"")</f>
        <v>101.73469387755101</v>
      </c>
      <c r="BN26">
        <v>7</v>
      </c>
      <c r="BO26">
        <v>8</v>
      </c>
      <c r="BP26">
        <v>-5</v>
      </c>
      <c r="BQ26">
        <v>-7.5</v>
      </c>
      <c r="BR26">
        <v>9.75</v>
      </c>
      <c r="BS26">
        <v>10.19</v>
      </c>
      <c r="BT26">
        <v>98</v>
      </c>
      <c r="CA26" s="17"/>
    </row>
    <row r="27" spans="1:79" x14ac:dyDescent="0.25">
      <c r="A27" s="16"/>
      <c r="B27" s="110">
        <v>8</v>
      </c>
      <c r="C27" s="109">
        <v>9</v>
      </c>
      <c r="D27" s="109">
        <v>-30</v>
      </c>
      <c r="E27" s="109">
        <v>-35</v>
      </c>
      <c r="F27" s="109">
        <v>10.19</v>
      </c>
      <c r="G27" s="109">
        <v>10.63</v>
      </c>
      <c r="H27" s="109">
        <v>98</v>
      </c>
      <c r="I27" s="117">
        <f>IFERROR(MP_DATA[[#This Row],[Top]]-MP_DATA[[#This Row],[Bottom]], "")</f>
        <v>5</v>
      </c>
      <c r="J27" s="117">
        <f>IFERROR(-(MP_DATA[[#This Row],[D, top]]-MP_DATA[[#This Row],[D, bottom]])/(MP_DATA[[#This Row],[Top]]-MP_DATA[[#This Row],[Bottom]]),"")</f>
        <v>8.8000000000000259E-2</v>
      </c>
      <c r="K27" s="117">
        <f t="shared" si="0"/>
        <v>124.61161189664531</v>
      </c>
      <c r="L27" s="117">
        <f>IFERROR((MP_DATA[[#This Row],[D, top]]+MP_DATA[[#This Row],[D, bottom]])/(2*MP_DATA[[#This Row],[t]]/1000),"")</f>
        <v>106.22448979591836</v>
      </c>
      <c r="N27" s="110">
        <v>8</v>
      </c>
      <c r="O27" s="109">
        <v>9</v>
      </c>
      <c r="P27" s="109">
        <v>-30</v>
      </c>
      <c r="Q27" s="109">
        <v>-35</v>
      </c>
      <c r="R27" s="109">
        <v>10.19</v>
      </c>
      <c r="S27" s="109">
        <v>10.63</v>
      </c>
      <c r="T27" s="109">
        <v>98</v>
      </c>
      <c r="U27" s="109"/>
      <c r="V27" s="109"/>
      <c r="W27" s="109"/>
      <c r="X27" s="109"/>
      <c r="AA27" s="17"/>
      <c r="AB27" s="109">
        <v>8</v>
      </c>
      <c r="AC27" s="109">
        <v>9</v>
      </c>
      <c r="AD27" s="109">
        <v>-30</v>
      </c>
      <c r="AE27" s="109">
        <v>-35</v>
      </c>
      <c r="AF27" s="109">
        <v>10.19</v>
      </c>
      <c r="AG27" s="109">
        <v>10.63</v>
      </c>
      <c r="AH27" s="109">
        <v>98</v>
      </c>
      <c r="AI27" s="117">
        <f>IFERROR(TP_DATA[[#This Row],[Top]]-TP_DATA[[#This Row],[Bottom]], "")</f>
        <v>5</v>
      </c>
      <c r="AJ27" s="117">
        <f>IFERROR(-(TP_DATA[[#This Row],[D, top]]-TP_DATA[[#This Row],[D, bottom]])/(TP_DATA[[#This Row],[Top]]-TP_DATA[[#This Row],[Bottom]]),"")</f>
        <v>8.8000000000000259E-2</v>
      </c>
      <c r="AK27" s="117">
        <f t="shared" si="1"/>
        <v>124.61161189664531</v>
      </c>
      <c r="AL27" s="117">
        <f>IFERROR((TP_DATA[[#This Row],[D, top]]+TP_DATA[[#This Row],[D, bottom]])/(2*TP_DATA[[#This Row],[t]]/1000),"")</f>
        <v>106.22448979591836</v>
      </c>
      <c r="AN27">
        <v>8</v>
      </c>
      <c r="AO27">
        <v>9</v>
      </c>
      <c r="AP27">
        <v>-30</v>
      </c>
      <c r="AQ27">
        <v>-35</v>
      </c>
      <c r="AR27">
        <v>10.19</v>
      </c>
      <c r="AS27">
        <v>10.63</v>
      </c>
      <c r="AT27">
        <v>98</v>
      </c>
      <c r="BB27" s="110">
        <v>8</v>
      </c>
      <c r="BC27" s="109">
        <v>9</v>
      </c>
      <c r="BD27" s="109">
        <v>-7.5</v>
      </c>
      <c r="BE27" s="109">
        <v>-10</v>
      </c>
      <c r="BF27" s="109">
        <v>10.19</v>
      </c>
      <c r="BG27" s="109">
        <v>10.63</v>
      </c>
      <c r="BH27" s="109">
        <v>98</v>
      </c>
      <c r="BI27" s="117">
        <f>IFERROR(TOWER_DATA[[#This Row],[Top]]-TOWER_DATA[[#This Row],[Bottom]], "")</f>
        <v>2.5</v>
      </c>
      <c r="BJ27" s="117">
        <f>IFERROR(-(TOWER_DATA[[#This Row],[D, top]]-TOWER_DATA[[#This Row],[D, bottom]])/(TOWER_DATA[[#This Row],[Top]]-TOWER_DATA[[#This Row],[Bottom]]),"")</f>
        <v>0.17600000000000052</v>
      </c>
      <c r="BK27" s="117">
        <f t="shared" si="2"/>
        <v>62.305805948322657</v>
      </c>
      <c r="BL27" s="117">
        <f>IFERROR((TOWER_DATA[[#This Row],[D, top]]+TOWER_DATA[[#This Row],[D, bottom]])/(2*TOWER_DATA[[#This Row],[t]]/1000),"")</f>
        <v>106.22448979591836</v>
      </c>
      <c r="BN27">
        <v>8</v>
      </c>
      <c r="BO27">
        <v>9</v>
      </c>
      <c r="BP27">
        <v>-7.5</v>
      </c>
      <c r="BQ27">
        <v>-10</v>
      </c>
      <c r="BR27">
        <v>10.19</v>
      </c>
      <c r="BS27">
        <v>10.63</v>
      </c>
      <c r="BT27">
        <v>98</v>
      </c>
      <c r="CA27" s="17"/>
    </row>
    <row r="28" spans="1:79" x14ac:dyDescent="0.25">
      <c r="A28" s="16"/>
      <c r="B28" s="110">
        <v>9</v>
      </c>
      <c r="C28" s="109">
        <v>10</v>
      </c>
      <c r="D28" s="109">
        <v>-35</v>
      </c>
      <c r="E28" s="109">
        <v>-40</v>
      </c>
      <c r="F28" s="109">
        <v>10.63</v>
      </c>
      <c r="G28" s="109">
        <v>11.06</v>
      </c>
      <c r="H28" s="109">
        <v>98</v>
      </c>
      <c r="I28" s="117">
        <f>IFERROR(MP_DATA[[#This Row],[Top]]-MP_DATA[[#This Row],[Bottom]], "")</f>
        <v>5</v>
      </c>
      <c r="J28" s="117">
        <f>IFERROR(-(MP_DATA[[#This Row],[D, top]]-MP_DATA[[#This Row],[D, bottom]])/(MP_DATA[[#This Row],[Top]]-MP_DATA[[#This Row],[Bottom]]),"")</f>
        <v>8.5999999999999938E-2</v>
      </c>
      <c r="K28" s="117">
        <f t="shared" si="0"/>
        <v>129.86821111842974</v>
      </c>
      <c r="L28" s="117">
        <f>IFERROR((MP_DATA[[#This Row],[D, top]]+MP_DATA[[#This Row],[D, bottom]])/(2*MP_DATA[[#This Row],[t]]/1000),"")</f>
        <v>110.66326530612245</v>
      </c>
      <c r="N28" s="110">
        <v>9</v>
      </c>
      <c r="O28" s="109">
        <v>10</v>
      </c>
      <c r="P28" s="109">
        <v>-35</v>
      </c>
      <c r="Q28" s="109">
        <v>-40</v>
      </c>
      <c r="R28" s="109">
        <v>10.63</v>
      </c>
      <c r="S28" s="109">
        <v>11.06</v>
      </c>
      <c r="T28" s="109">
        <v>98</v>
      </c>
      <c r="U28" s="109"/>
      <c r="V28" s="109"/>
      <c r="W28" s="109"/>
      <c r="X28" s="109"/>
      <c r="AA28" s="17"/>
      <c r="AB28" s="109">
        <v>9</v>
      </c>
      <c r="AC28" s="109">
        <v>10</v>
      </c>
      <c r="AD28" s="109">
        <v>-35</v>
      </c>
      <c r="AE28" s="109">
        <v>-40</v>
      </c>
      <c r="AF28" s="109">
        <v>10.63</v>
      </c>
      <c r="AG28" s="109">
        <v>11.06</v>
      </c>
      <c r="AH28" s="109">
        <v>98</v>
      </c>
      <c r="AI28" s="117">
        <f>IFERROR(TP_DATA[[#This Row],[Top]]-TP_DATA[[#This Row],[Bottom]], "")</f>
        <v>5</v>
      </c>
      <c r="AJ28" s="117">
        <f>IFERROR(-(TP_DATA[[#This Row],[D, top]]-TP_DATA[[#This Row],[D, bottom]])/(TP_DATA[[#This Row],[Top]]-TP_DATA[[#This Row],[Bottom]]),"")</f>
        <v>8.5999999999999938E-2</v>
      </c>
      <c r="AK28" s="117">
        <f t="shared" si="1"/>
        <v>129.86821111842974</v>
      </c>
      <c r="AL28" s="117">
        <f>IFERROR((TP_DATA[[#This Row],[D, top]]+TP_DATA[[#This Row],[D, bottom]])/(2*TP_DATA[[#This Row],[t]]/1000),"")</f>
        <v>110.66326530612245</v>
      </c>
      <c r="AN28">
        <v>9</v>
      </c>
      <c r="AO28">
        <v>10</v>
      </c>
      <c r="AP28">
        <v>-35</v>
      </c>
      <c r="AQ28">
        <v>-40</v>
      </c>
      <c r="AR28">
        <v>10.63</v>
      </c>
      <c r="AS28">
        <v>11.06</v>
      </c>
      <c r="AT28">
        <v>98</v>
      </c>
      <c r="BB28" s="110">
        <v>9</v>
      </c>
      <c r="BC28" s="109">
        <v>10</v>
      </c>
      <c r="BD28" s="109">
        <v>-10</v>
      </c>
      <c r="BE28" s="109">
        <v>-12.5</v>
      </c>
      <c r="BF28" s="109">
        <v>10.63</v>
      </c>
      <c r="BG28" s="109">
        <v>11.06</v>
      </c>
      <c r="BH28" s="109">
        <v>98</v>
      </c>
      <c r="BI28" s="117">
        <f>IFERROR(TOWER_DATA[[#This Row],[Top]]-TOWER_DATA[[#This Row],[Bottom]], "")</f>
        <v>2.5</v>
      </c>
      <c r="BJ28" s="117">
        <f>IFERROR(-(TOWER_DATA[[#This Row],[D, top]]-TOWER_DATA[[#This Row],[D, bottom]])/(TOWER_DATA[[#This Row],[Top]]-TOWER_DATA[[#This Row],[Bottom]]),"")</f>
        <v>0.17199999999999988</v>
      </c>
      <c r="BK28" s="117">
        <f t="shared" si="2"/>
        <v>64.934105559214871</v>
      </c>
      <c r="BL28" s="117">
        <f>IFERROR((TOWER_DATA[[#This Row],[D, top]]+TOWER_DATA[[#This Row],[D, bottom]])/(2*TOWER_DATA[[#This Row],[t]]/1000),"")</f>
        <v>110.66326530612245</v>
      </c>
      <c r="BN28">
        <v>9</v>
      </c>
      <c r="BO28">
        <v>10</v>
      </c>
      <c r="BP28">
        <v>-10</v>
      </c>
      <c r="BQ28">
        <v>-12.5</v>
      </c>
      <c r="BR28">
        <v>10.63</v>
      </c>
      <c r="BS28">
        <v>11.06</v>
      </c>
      <c r="BT28">
        <v>98</v>
      </c>
      <c r="CA28" s="17"/>
    </row>
    <row r="29" spans="1:79" x14ac:dyDescent="0.25">
      <c r="A29" s="16"/>
      <c r="B29" s="110">
        <v>10</v>
      </c>
      <c r="C29" s="109">
        <v>11</v>
      </c>
      <c r="D29" s="109">
        <v>-40</v>
      </c>
      <c r="E29" s="109">
        <v>-45</v>
      </c>
      <c r="F29" s="109">
        <v>11.06</v>
      </c>
      <c r="G29" s="109">
        <v>11.5</v>
      </c>
      <c r="H29" s="109">
        <v>98</v>
      </c>
      <c r="I29" s="117">
        <f>IFERROR(MP_DATA[[#This Row],[Top]]-MP_DATA[[#This Row],[Bottom]], "")</f>
        <v>5</v>
      </c>
      <c r="J29" s="117">
        <f>IFERROR(-(MP_DATA[[#This Row],[D, top]]-MP_DATA[[#This Row],[D, bottom]])/(MP_DATA[[#This Row],[Top]]-MP_DATA[[#This Row],[Bottom]]),"")</f>
        <v>8.7999999999999898E-2</v>
      </c>
      <c r="K29" s="117">
        <f t="shared" si="0"/>
        <v>135.12481034021405</v>
      </c>
      <c r="L29" s="117">
        <f>IFERROR((MP_DATA[[#This Row],[D, top]]+MP_DATA[[#This Row],[D, bottom]])/(2*MP_DATA[[#This Row],[t]]/1000),"")</f>
        <v>115.10204081632654</v>
      </c>
      <c r="N29" s="110">
        <v>10</v>
      </c>
      <c r="O29" s="109">
        <v>11</v>
      </c>
      <c r="P29" s="109">
        <v>-40</v>
      </c>
      <c r="Q29" s="109">
        <v>-45</v>
      </c>
      <c r="R29" s="109">
        <v>11.06</v>
      </c>
      <c r="S29" s="109">
        <v>11.5</v>
      </c>
      <c r="T29" s="109">
        <v>98</v>
      </c>
      <c r="U29" s="109"/>
      <c r="V29" s="109"/>
      <c r="W29" s="109"/>
      <c r="X29" s="109"/>
      <c r="AA29" s="17"/>
      <c r="AB29" s="109">
        <v>10</v>
      </c>
      <c r="AC29" s="109">
        <v>11</v>
      </c>
      <c r="AD29" s="109">
        <v>-40</v>
      </c>
      <c r="AE29" s="109">
        <v>-45</v>
      </c>
      <c r="AF29" s="109">
        <v>11.06</v>
      </c>
      <c r="AG29" s="109">
        <v>11.5</v>
      </c>
      <c r="AH29" s="109">
        <v>98</v>
      </c>
      <c r="AI29" s="117">
        <f>IFERROR(TP_DATA[[#This Row],[Top]]-TP_DATA[[#This Row],[Bottom]], "")</f>
        <v>5</v>
      </c>
      <c r="AJ29" s="117">
        <f>IFERROR(-(TP_DATA[[#This Row],[D, top]]-TP_DATA[[#This Row],[D, bottom]])/(TP_DATA[[#This Row],[Top]]-TP_DATA[[#This Row],[Bottom]]),"")</f>
        <v>8.7999999999999898E-2</v>
      </c>
      <c r="AK29" s="117">
        <f t="shared" si="1"/>
        <v>135.12481034021405</v>
      </c>
      <c r="AL29" s="117">
        <f>IFERROR((TP_DATA[[#This Row],[D, top]]+TP_DATA[[#This Row],[D, bottom]])/(2*TP_DATA[[#This Row],[t]]/1000),"")</f>
        <v>115.10204081632654</v>
      </c>
      <c r="AN29">
        <v>10</v>
      </c>
      <c r="AO29">
        <v>11</v>
      </c>
      <c r="AP29">
        <v>-40</v>
      </c>
      <c r="AQ29">
        <v>-45</v>
      </c>
      <c r="AR29">
        <v>11.06</v>
      </c>
      <c r="AS29">
        <v>11.5</v>
      </c>
      <c r="AT29">
        <v>98</v>
      </c>
      <c r="BB29" s="110">
        <v>10</v>
      </c>
      <c r="BC29" s="109">
        <v>11</v>
      </c>
      <c r="BD29" s="109">
        <v>-12.5</v>
      </c>
      <c r="BE29" s="109">
        <v>-15</v>
      </c>
      <c r="BF29" s="109">
        <v>11.06</v>
      </c>
      <c r="BG29" s="109">
        <v>11.5</v>
      </c>
      <c r="BH29" s="109">
        <v>98</v>
      </c>
      <c r="BI29" s="117">
        <f>IFERROR(TOWER_DATA[[#This Row],[Top]]-TOWER_DATA[[#This Row],[Bottom]], "")</f>
        <v>2.5</v>
      </c>
      <c r="BJ29" s="117">
        <f>IFERROR(-(TOWER_DATA[[#This Row],[D, top]]-TOWER_DATA[[#This Row],[D, bottom]])/(TOWER_DATA[[#This Row],[Top]]-TOWER_DATA[[#This Row],[Bottom]]),"")</f>
        <v>0.1759999999999998</v>
      </c>
      <c r="BK29" s="117">
        <f t="shared" si="2"/>
        <v>67.562405170107027</v>
      </c>
      <c r="BL29" s="117">
        <f>IFERROR((TOWER_DATA[[#This Row],[D, top]]+TOWER_DATA[[#This Row],[D, bottom]])/(2*TOWER_DATA[[#This Row],[t]]/1000),"")</f>
        <v>115.10204081632654</v>
      </c>
      <c r="BN29">
        <v>10</v>
      </c>
      <c r="BO29">
        <v>11</v>
      </c>
      <c r="BP29">
        <v>-12.5</v>
      </c>
      <c r="BQ29">
        <v>-15</v>
      </c>
      <c r="BR29">
        <v>11.06</v>
      </c>
      <c r="BS29">
        <v>11.5</v>
      </c>
      <c r="BT29">
        <v>98</v>
      </c>
      <c r="CA29" s="17"/>
    </row>
    <row r="30" spans="1:79" x14ac:dyDescent="0.25">
      <c r="A30" s="16"/>
      <c r="B30" s="110">
        <v>11</v>
      </c>
      <c r="C30" s="109">
        <v>12</v>
      </c>
      <c r="D30" s="109">
        <v>-45</v>
      </c>
      <c r="E30" s="109">
        <v>-50</v>
      </c>
      <c r="F30" s="109">
        <v>11.5</v>
      </c>
      <c r="G30" s="109">
        <v>11.5</v>
      </c>
      <c r="H30" s="109">
        <v>98</v>
      </c>
      <c r="I30" s="117">
        <f>IFERROR(MP_DATA[[#This Row],[Top]]-MP_DATA[[#This Row],[Bottom]], "")</f>
        <v>5</v>
      </c>
      <c r="J30" s="117">
        <f>IFERROR(-(MP_DATA[[#This Row],[D, top]]-MP_DATA[[#This Row],[D, bottom]])/(MP_DATA[[#This Row],[Top]]-MP_DATA[[#This Row],[Bottom]]),"")</f>
        <v>0</v>
      </c>
      <c r="K30" s="117">
        <f t="shared" si="0"/>
        <v>137.78332029146173</v>
      </c>
      <c r="L30" s="117">
        <f>IFERROR((MP_DATA[[#This Row],[D, top]]+MP_DATA[[#This Row],[D, bottom]])/(2*MP_DATA[[#This Row],[t]]/1000),"")</f>
        <v>117.3469387755102</v>
      </c>
      <c r="N30" s="110">
        <v>11</v>
      </c>
      <c r="O30" s="109">
        <v>12</v>
      </c>
      <c r="P30" s="109">
        <v>-45</v>
      </c>
      <c r="Q30" s="109">
        <v>-50</v>
      </c>
      <c r="R30" s="109">
        <v>11.5</v>
      </c>
      <c r="S30" s="109">
        <v>11.5</v>
      </c>
      <c r="T30" s="109">
        <v>98</v>
      </c>
      <c r="U30" s="109"/>
      <c r="V30" s="109"/>
      <c r="W30" s="109"/>
      <c r="X30" s="109"/>
      <c r="AA30" s="17"/>
      <c r="AB30" s="109">
        <v>11</v>
      </c>
      <c r="AC30" s="109">
        <v>12</v>
      </c>
      <c r="AD30" s="109">
        <v>-45</v>
      </c>
      <c r="AE30" s="109">
        <v>-50</v>
      </c>
      <c r="AF30" s="109">
        <v>11.5</v>
      </c>
      <c r="AG30" s="109">
        <v>11.5</v>
      </c>
      <c r="AH30" s="109">
        <v>98</v>
      </c>
      <c r="AI30" s="117">
        <f>IFERROR(TP_DATA[[#This Row],[Top]]-TP_DATA[[#This Row],[Bottom]], "")</f>
        <v>5</v>
      </c>
      <c r="AJ30" s="117">
        <f>IFERROR(-(TP_DATA[[#This Row],[D, top]]-TP_DATA[[#This Row],[D, bottom]])/(TP_DATA[[#This Row],[Top]]-TP_DATA[[#This Row],[Bottom]]),"")</f>
        <v>0</v>
      </c>
      <c r="AK30" s="117">
        <f t="shared" si="1"/>
        <v>137.78332029146173</v>
      </c>
      <c r="AL30" s="117">
        <f>IFERROR((TP_DATA[[#This Row],[D, top]]+TP_DATA[[#This Row],[D, bottom]])/(2*TP_DATA[[#This Row],[t]]/1000),"")</f>
        <v>117.3469387755102</v>
      </c>
      <c r="AN30">
        <v>11</v>
      </c>
      <c r="AO30">
        <v>12</v>
      </c>
      <c r="AP30">
        <v>-45</v>
      </c>
      <c r="AQ30">
        <v>-50</v>
      </c>
      <c r="AR30">
        <v>11.5</v>
      </c>
      <c r="AS30">
        <v>11.5</v>
      </c>
      <c r="AT30">
        <v>98</v>
      </c>
      <c r="BB30" s="110">
        <v>11</v>
      </c>
      <c r="BC30" s="109">
        <v>12</v>
      </c>
      <c r="BD30" s="109">
        <v>-15</v>
      </c>
      <c r="BE30" s="109">
        <v>-17.5</v>
      </c>
      <c r="BF30" s="109">
        <v>11.5</v>
      </c>
      <c r="BG30" s="109">
        <v>11.5</v>
      </c>
      <c r="BH30" s="109">
        <v>98</v>
      </c>
      <c r="BI30" s="117">
        <f>IFERROR(TOWER_DATA[[#This Row],[Top]]-TOWER_DATA[[#This Row],[Bottom]], "")</f>
        <v>2.5</v>
      </c>
      <c r="BJ30" s="117">
        <f>IFERROR(-(TOWER_DATA[[#This Row],[D, top]]-TOWER_DATA[[#This Row],[D, bottom]])/(TOWER_DATA[[#This Row],[Top]]-TOWER_DATA[[#This Row],[Bottom]]),"")</f>
        <v>0</v>
      </c>
      <c r="BK30" s="117">
        <f t="shared" si="2"/>
        <v>68.891660145730867</v>
      </c>
      <c r="BL30" s="117">
        <f>IFERROR((TOWER_DATA[[#This Row],[D, top]]+TOWER_DATA[[#This Row],[D, bottom]])/(2*TOWER_DATA[[#This Row],[t]]/1000),"")</f>
        <v>117.3469387755102</v>
      </c>
      <c r="BN30">
        <v>11</v>
      </c>
      <c r="BO30">
        <v>12</v>
      </c>
      <c r="BP30">
        <v>-15</v>
      </c>
      <c r="BQ30">
        <v>-17.5</v>
      </c>
      <c r="BR30">
        <v>11.5</v>
      </c>
      <c r="BS30">
        <v>11.5</v>
      </c>
      <c r="BT30">
        <v>98</v>
      </c>
      <c r="CA30" s="17"/>
    </row>
    <row r="31" spans="1:79" x14ac:dyDescent="0.25">
      <c r="A31" s="16"/>
      <c r="B31" s="110">
        <v>12</v>
      </c>
      <c r="C31" s="109">
        <v>13</v>
      </c>
      <c r="D31" s="109">
        <v>-50</v>
      </c>
      <c r="E31" s="109">
        <v>-55</v>
      </c>
      <c r="F31" s="109">
        <v>11.5</v>
      </c>
      <c r="G31" s="109">
        <v>11.5</v>
      </c>
      <c r="H31" s="109">
        <v>98</v>
      </c>
      <c r="I31" s="117">
        <f>IFERROR(MP_DATA[[#This Row],[Top]]-MP_DATA[[#This Row],[Bottom]], "")</f>
        <v>5</v>
      </c>
      <c r="J31" s="117">
        <f>IFERROR(-(MP_DATA[[#This Row],[D, top]]-MP_DATA[[#This Row],[D, bottom]])/(MP_DATA[[#This Row],[Top]]-MP_DATA[[#This Row],[Bottom]]),"")</f>
        <v>0</v>
      </c>
      <c r="K31" s="117">
        <f t="shared" si="0"/>
        <v>137.78332029146173</v>
      </c>
      <c r="L31" s="117">
        <f>IFERROR((MP_DATA[[#This Row],[D, top]]+MP_DATA[[#This Row],[D, bottom]])/(2*MP_DATA[[#This Row],[t]]/1000),"")</f>
        <v>117.3469387755102</v>
      </c>
      <c r="N31" s="110">
        <v>12</v>
      </c>
      <c r="O31" s="109">
        <v>13</v>
      </c>
      <c r="P31" s="109">
        <v>-50</v>
      </c>
      <c r="Q31" s="109">
        <v>-55</v>
      </c>
      <c r="R31" s="109">
        <v>11.5</v>
      </c>
      <c r="S31" s="109">
        <v>11.5</v>
      </c>
      <c r="T31" s="109">
        <v>98</v>
      </c>
      <c r="U31" s="109"/>
      <c r="V31" s="109"/>
      <c r="W31" s="109"/>
      <c r="X31" s="109"/>
      <c r="AA31" s="17"/>
      <c r="AB31" s="109">
        <v>12</v>
      </c>
      <c r="AC31" s="109">
        <v>13</v>
      </c>
      <c r="AD31" s="109">
        <v>-50</v>
      </c>
      <c r="AE31" s="109">
        <v>-55</v>
      </c>
      <c r="AF31" s="109">
        <v>11.5</v>
      </c>
      <c r="AG31" s="109">
        <v>11.5</v>
      </c>
      <c r="AH31" s="109">
        <v>98</v>
      </c>
      <c r="AI31" s="117">
        <f>IFERROR(TP_DATA[[#This Row],[Top]]-TP_DATA[[#This Row],[Bottom]], "")</f>
        <v>5</v>
      </c>
      <c r="AJ31" s="117">
        <f>IFERROR(-(TP_DATA[[#This Row],[D, top]]-TP_DATA[[#This Row],[D, bottom]])/(TP_DATA[[#This Row],[Top]]-TP_DATA[[#This Row],[Bottom]]),"")</f>
        <v>0</v>
      </c>
      <c r="AK31" s="117">
        <f t="shared" si="1"/>
        <v>137.78332029146173</v>
      </c>
      <c r="AL31" s="117">
        <f>IFERROR((TP_DATA[[#This Row],[D, top]]+TP_DATA[[#This Row],[D, bottom]])/(2*TP_DATA[[#This Row],[t]]/1000),"")</f>
        <v>117.3469387755102</v>
      </c>
      <c r="AN31">
        <v>12</v>
      </c>
      <c r="AO31">
        <v>13</v>
      </c>
      <c r="AP31">
        <v>-50</v>
      </c>
      <c r="AQ31">
        <v>-55</v>
      </c>
      <c r="AR31">
        <v>11.5</v>
      </c>
      <c r="AS31">
        <v>11.5</v>
      </c>
      <c r="AT31">
        <v>98</v>
      </c>
      <c r="BB31" s="110">
        <v>12</v>
      </c>
      <c r="BC31" s="109">
        <v>13</v>
      </c>
      <c r="BD31" s="109">
        <v>-17.5</v>
      </c>
      <c r="BE31" s="109">
        <v>-20</v>
      </c>
      <c r="BF31" s="109">
        <v>11.5</v>
      </c>
      <c r="BG31" s="109">
        <v>11.5</v>
      </c>
      <c r="BH31" s="109">
        <v>98</v>
      </c>
      <c r="BI31" s="117">
        <f>IFERROR(TOWER_DATA[[#This Row],[Top]]-TOWER_DATA[[#This Row],[Bottom]], "")</f>
        <v>2.5</v>
      </c>
      <c r="BJ31" s="117">
        <f>IFERROR(-(TOWER_DATA[[#This Row],[D, top]]-TOWER_DATA[[#This Row],[D, bottom]])/(TOWER_DATA[[#This Row],[Top]]-TOWER_DATA[[#This Row],[Bottom]]),"")</f>
        <v>0</v>
      </c>
      <c r="BK31" s="117">
        <f t="shared" si="2"/>
        <v>68.891660145730867</v>
      </c>
      <c r="BL31" s="117">
        <f>IFERROR((TOWER_DATA[[#This Row],[D, top]]+TOWER_DATA[[#This Row],[D, bottom]])/(2*TOWER_DATA[[#This Row],[t]]/1000),"")</f>
        <v>117.3469387755102</v>
      </c>
      <c r="BN31">
        <v>12</v>
      </c>
      <c r="BO31">
        <v>13</v>
      </c>
      <c r="BP31">
        <v>-17.5</v>
      </c>
      <c r="BQ31">
        <v>-20</v>
      </c>
      <c r="BR31">
        <v>11.5</v>
      </c>
      <c r="BS31">
        <v>11.5</v>
      </c>
      <c r="BT31">
        <v>98</v>
      </c>
      <c r="CA31" s="17"/>
    </row>
    <row r="32" spans="1:79" x14ac:dyDescent="0.25">
      <c r="A32" s="16"/>
      <c r="B32" s="110">
        <v>13</v>
      </c>
      <c r="C32" s="109">
        <v>14</v>
      </c>
      <c r="D32" s="109">
        <v>-55</v>
      </c>
      <c r="E32" s="109">
        <v>-60</v>
      </c>
      <c r="F32" s="109">
        <v>11.5</v>
      </c>
      <c r="G32" s="109">
        <v>11.5</v>
      </c>
      <c r="H32" s="109">
        <v>98</v>
      </c>
      <c r="I32" s="117">
        <f>IFERROR(MP_DATA[[#This Row],[Top]]-MP_DATA[[#This Row],[Bottom]], "")</f>
        <v>5</v>
      </c>
      <c r="J32" s="117">
        <f>IFERROR(-(MP_DATA[[#This Row],[D, top]]-MP_DATA[[#This Row],[D, bottom]])/(MP_DATA[[#This Row],[Top]]-MP_DATA[[#This Row],[Bottom]]),"")</f>
        <v>0</v>
      </c>
      <c r="K32" s="117">
        <f t="shared" si="0"/>
        <v>137.78332029146173</v>
      </c>
      <c r="L32" s="117">
        <f>IFERROR((MP_DATA[[#This Row],[D, top]]+MP_DATA[[#This Row],[D, bottom]])/(2*MP_DATA[[#This Row],[t]]/1000),"")</f>
        <v>117.3469387755102</v>
      </c>
      <c r="N32" s="110">
        <v>13</v>
      </c>
      <c r="O32" s="109">
        <v>14</v>
      </c>
      <c r="P32" s="109">
        <v>-55</v>
      </c>
      <c r="Q32" s="109">
        <v>-60</v>
      </c>
      <c r="R32" s="109">
        <v>11.5</v>
      </c>
      <c r="S32" s="109">
        <v>11.5</v>
      </c>
      <c r="T32" s="109">
        <v>98</v>
      </c>
      <c r="U32" s="109"/>
      <c r="V32" s="109"/>
      <c r="W32" s="109"/>
      <c r="X32" s="109"/>
      <c r="AA32" s="17"/>
      <c r="AB32" s="109">
        <v>13</v>
      </c>
      <c r="AC32" s="109">
        <v>14</v>
      </c>
      <c r="AD32" s="109">
        <v>-55</v>
      </c>
      <c r="AE32" s="109">
        <v>-60</v>
      </c>
      <c r="AF32" s="109">
        <v>11.5</v>
      </c>
      <c r="AG32" s="109">
        <v>11.5</v>
      </c>
      <c r="AH32" s="109">
        <v>98</v>
      </c>
      <c r="AI32" s="117">
        <f>IFERROR(TP_DATA[[#This Row],[Top]]-TP_DATA[[#This Row],[Bottom]], "")</f>
        <v>5</v>
      </c>
      <c r="AJ32" s="117">
        <f>IFERROR(-(TP_DATA[[#This Row],[D, top]]-TP_DATA[[#This Row],[D, bottom]])/(TP_DATA[[#This Row],[Top]]-TP_DATA[[#This Row],[Bottom]]),"")</f>
        <v>0</v>
      </c>
      <c r="AK32" s="117">
        <f t="shared" si="1"/>
        <v>137.78332029146173</v>
      </c>
      <c r="AL32" s="117">
        <f>IFERROR((TP_DATA[[#This Row],[D, top]]+TP_DATA[[#This Row],[D, bottom]])/(2*TP_DATA[[#This Row],[t]]/1000),"")</f>
        <v>117.3469387755102</v>
      </c>
      <c r="AN32">
        <v>13</v>
      </c>
      <c r="AO32">
        <v>14</v>
      </c>
      <c r="AP32">
        <v>-55</v>
      </c>
      <c r="AQ32">
        <v>-60</v>
      </c>
      <c r="AR32">
        <v>11.5</v>
      </c>
      <c r="AS32">
        <v>11.5</v>
      </c>
      <c r="AT32">
        <v>98</v>
      </c>
      <c r="BB32" s="110">
        <v>13</v>
      </c>
      <c r="BC32" s="109">
        <v>14</v>
      </c>
      <c r="BD32" s="109">
        <v>-20</v>
      </c>
      <c r="BE32" s="109">
        <v>-22.5</v>
      </c>
      <c r="BF32" s="109">
        <v>11.5</v>
      </c>
      <c r="BG32" s="109">
        <v>11.5</v>
      </c>
      <c r="BH32" s="109">
        <v>98</v>
      </c>
      <c r="BI32" s="117">
        <f>IFERROR(TOWER_DATA[[#This Row],[Top]]-TOWER_DATA[[#This Row],[Bottom]], "")</f>
        <v>2.5</v>
      </c>
      <c r="BJ32" s="117">
        <f>IFERROR(-(TOWER_DATA[[#This Row],[D, top]]-TOWER_DATA[[#This Row],[D, bottom]])/(TOWER_DATA[[#This Row],[Top]]-TOWER_DATA[[#This Row],[Bottom]]),"")</f>
        <v>0</v>
      </c>
      <c r="BK32" s="117">
        <f t="shared" si="2"/>
        <v>68.891660145730867</v>
      </c>
      <c r="BL32" s="117">
        <f>IFERROR((TOWER_DATA[[#This Row],[D, top]]+TOWER_DATA[[#This Row],[D, bottom]])/(2*TOWER_DATA[[#This Row],[t]]/1000),"")</f>
        <v>117.3469387755102</v>
      </c>
      <c r="BN32">
        <v>13</v>
      </c>
      <c r="BO32">
        <v>14</v>
      </c>
      <c r="BP32">
        <v>-20</v>
      </c>
      <c r="BQ32">
        <v>-22.5</v>
      </c>
      <c r="BR32">
        <v>11.5</v>
      </c>
      <c r="BS32">
        <v>11.5</v>
      </c>
      <c r="BT32">
        <v>98</v>
      </c>
      <c r="CA32" s="17"/>
    </row>
    <row r="33" spans="1:79" x14ac:dyDescent="0.25">
      <c r="A33" s="16"/>
      <c r="B33" s="110">
        <v>14</v>
      </c>
      <c r="C33" s="109">
        <v>15</v>
      </c>
      <c r="D33" s="109">
        <v>-60</v>
      </c>
      <c r="E33" s="109">
        <v>-65</v>
      </c>
      <c r="F33" s="109">
        <v>11.5</v>
      </c>
      <c r="G33" s="109">
        <v>11.5</v>
      </c>
      <c r="H33" s="109">
        <v>100</v>
      </c>
      <c r="I33" s="117">
        <f>IFERROR(MP_DATA[[#This Row],[Top]]-MP_DATA[[#This Row],[Bottom]], "")</f>
        <v>5</v>
      </c>
      <c r="J33" s="117">
        <f>IFERROR(-(MP_DATA[[#This Row],[D, top]]-MP_DATA[[#This Row],[D, bottom]])/(MP_DATA[[#This Row],[Top]]-MP_DATA[[#This Row],[Bottom]]),"")</f>
        <v>0</v>
      </c>
      <c r="K33" s="117">
        <f t="shared" si="0"/>
        <v>140.57056328487519</v>
      </c>
      <c r="L33" s="117">
        <f>IFERROR((MP_DATA[[#This Row],[D, top]]+MP_DATA[[#This Row],[D, bottom]])/(2*MP_DATA[[#This Row],[t]]/1000),"")</f>
        <v>115</v>
      </c>
      <c r="N33" s="110">
        <v>14</v>
      </c>
      <c r="O33" s="109">
        <v>15</v>
      </c>
      <c r="P33" s="109">
        <v>-60</v>
      </c>
      <c r="Q33" s="109">
        <v>-65</v>
      </c>
      <c r="R33" s="109">
        <v>11.5</v>
      </c>
      <c r="S33" s="109">
        <v>11.5</v>
      </c>
      <c r="T33" s="109">
        <v>100</v>
      </c>
      <c r="U33" s="109"/>
      <c r="V33" s="109"/>
      <c r="W33" s="109"/>
      <c r="X33" s="109"/>
      <c r="AA33" s="17"/>
      <c r="AB33" s="109">
        <v>14</v>
      </c>
      <c r="AC33" s="109">
        <v>15</v>
      </c>
      <c r="AD33" s="109">
        <v>-60</v>
      </c>
      <c r="AE33" s="109">
        <v>-65</v>
      </c>
      <c r="AF33" s="109">
        <v>11.5</v>
      </c>
      <c r="AG33" s="109">
        <v>11.5</v>
      </c>
      <c r="AH33" s="109">
        <v>100</v>
      </c>
      <c r="AI33" s="117">
        <f>IFERROR(TP_DATA[[#This Row],[Top]]-TP_DATA[[#This Row],[Bottom]], "")</f>
        <v>5</v>
      </c>
      <c r="AJ33" s="117">
        <f>IFERROR(-(TP_DATA[[#This Row],[D, top]]-TP_DATA[[#This Row],[D, bottom]])/(TP_DATA[[#This Row],[Top]]-TP_DATA[[#This Row],[Bottom]]),"")</f>
        <v>0</v>
      </c>
      <c r="AK33" s="117">
        <f t="shared" si="1"/>
        <v>140.57056328487519</v>
      </c>
      <c r="AL33" s="117">
        <f>IFERROR((TP_DATA[[#This Row],[D, top]]+TP_DATA[[#This Row],[D, bottom]])/(2*TP_DATA[[#This Row],[t]]/1000),"")</f>
        <v>115</v>
      </c>
      <c r="AN33">
        <v>14</v>
      </c>
      <c r="AO33">
        <v>15</v>
      </c>
      <c r="AP33">
        <v>-60</v>
      </c>
      <c r="AQ33">
        <v>-65</v>
      </c>
      <c r="AR33">
        <v>11.5</v>
      </c>
      <c r="AS33">
        <v>11.5</v>
      </c>
      <c r="AT33">
        <v>100</v>
      </c>
      <c r="BB33" s="110">
        <v>14</v>
      </c>
      <c r="BC33" s="109">
        <v>15</v>
      </c>
      <c r="BD33" s="109">
        <v>-22.5</v>
      </c>
      <c r="BE33" s="109">
        <v>-25</v>
      </c>
      <c r="BF33" s="109">
        <v>11.5</v>
      </c>
      <c r="BG33" s="109">
        <v>11.5</v>
      </c>
      <c r="BH33" s="109">
        <v>100</v>
      </c>
      <c r="BI33" s="117">
        <f>IFERROR(TOWER_DATA[[#This Row],[Top]]-TOWER_DATA[[#This Row],[Bottom]], "")</f>
        <v>2.5</v>
      </c>
      <c r="BJ33" s="117">
        <f>IFERROR(-(TOWER_DATA[[#This Row],[D, top]]-TOWER_DATA[[#This Row],[D, bottom]])/(TOWER_DATA[[#This Row],[Top]]-TOWER_DATA[[#This Row],[Bottom]]),"")</f>
        <v>0</v>
      </c>
      <c r="BK33" s="117">
        <f t="shared" si="2"/>
        <v>70.285281642437596</v>
      </c>
      <c r="BL33" s="117">
        <f>IFERROR((TOWER_DATA[[#This Row],[D, top]]+TOWER_DATA[[#This Row],[D, bottom]])/(2*TOWER_DATA[[#This Row],[t]]/1000),"")</f>
        <v>115</v>
      </c>
      <c r="BN33">
        <v>14</v>
      </c>
      <c r="BO33">
        <v>15</v>
      </c>
      <c r="BP33">
        <v>-22.5</v>
      </c>
      <c r="BQ33">
        <v>-25</v>
      </c>
      <c r="BR33">
        <v>11.5</v>
      </c>
      <c r="BS33">
        <v>11.5</v>
      </c>
      <c r="BT33">
        <v>100</v>
      </c>
      <c r="CA33" s="17"/>
    </row>
    <row r="34" spans="1:79" x14ac:dyDescent="0.25">
      <c r="A34" s="16"/>
      <c r="B34" s="110">
        <v>15</v>
      </c>
      <c r="C34" s="109">
        <v>16</v>
      </c>
      <c r="D34" s="109">
        <v>-65</v>
      </c>
      <c r="E34" s="109">
        <v>-70</v>
      </c>
      <c r="F34" s="109">
        <v>11.5</v>
      </c>
      <c r="G34" s="109">
        <v>11.5</v>
      </c>
      <c r="H34" s="109">
        <v>98</v>
      </c>
      <c r="I34" s="117">
        <f>IFERROR(MP_DATA[[#This Row],[Top]]-MP_DATA[[#This Row],[Bottom]], "")</f>
        <v>5</v>
      </c>
      <c r="J34" s="117">
        <f>IFERROR(-(MP_DATA[[#This Row],[D, top]]-MP_DATA[[#This Row],[D, bottom]])/(MP_DATA[[#This Row],[Top]]-MP_DATA[[#This Row],[Bottom]]),"")</f>
        <v>0</v>
      </c>
      <c r="K34" s="117">
        <f t="shared" si="0"/>
        <v>137.78332029146173</v>
      </c>
      <c r="L34" s="117">
        <f>IFERROR((MP_DATA[[#This Row],[D, top]]+MP_DATA[[#This Row],[D, bottom]])/(2*MP_DATA[[#This Row],[t]]/1000),"")</f>
        <v>117.3469387755102</v>
      </c>
      <c r="N34" s="110">
        <v>15</v>
      </c>
      <c r="O34" s="109">
        <v>16</v>
      </c>
      <c r="P34" s="109">
        <v>-65</v>
      </c>
      <c r="Q34" s="109">
        <v>-70</v>
      </c>
      <c r="R34" s="109">
        <v>11.5</v>
      </c>
      <c r="S34" s="109">
        <v>11.5</v>
      </c>
      <c r="T34" s="109">
        <v>98</v>
      </c>
      <c r="U34" s="109"/>
      <c r="V34" s="109"/>
      <c r="W34" s="109"/>
      <c r="X34" s="109"/>
      <c r="AA34" s="17"/>
      <c r="AB34" s="109">
        <v>15</v>
      </c>
      <c r="AC34" s="109">
        <v>16</v>
      </c>
      <c r="AD34" s="109">
        <v>-65</v>
      </c>
      <c r="AE34" s="109">
        <v>-70</v>
      </c>
      <c r="AF34" s="109">
        <v>11.5</v>
      </c>
      <c r="AG34" s="109">
        <v>11.5</v>
      </c>
      <c r="AH34" s="109">
        <v>98</v>
      </c>
      <c r="AI34" s="117">
        <f>IFERROR(TP_DATA[[#This Row],[Top]]-TP_DATA[[#This Row],[Bottom]], "")</f>
        <v>5</v>
      </c>
      <c r="AJ34" s="117">
        <f>IFERROR(-(TP_DATA[[#This Row],[D, top]]-TP_DATA[[#This Row],[D, bottom]])/(TP_DATA[[#This Row],[Top]]-TP_DATA[[#This Row],[Bottom]]),"")</f>
        <v>0</v>
      </c>
      <c r="AK34" s="117">
        <f t="shared" si="1"/>
        <v>137.78332029146173</v>
      </c>
      <c r="AL34" s="117">
        <f>IFERROR((TP_DATA[[#This Row],[D, top]]+TP_DATA[[#This Row],[D, bottom]])/(2*TP_DATA[[#This Row],[t]]/1000),"")</f>
        <v>117.3469387755102</v>
      </c>
      <c r="AN34">
        <v>15</v>
      </c>
      <c r="AO34">
        <v>16</v>
      </c>
      <c r="AP34">
        <v>-65</v>
      </c>
      <c r="AQ34">
        <v>-70</v>
      </c>
      <c r="AR34">
        <v>11.5</v>
      </c>
      <c r="AS34">
        <v>11.5</v>
      </c>
      <c r="AT34">
        <v>98</v>
      </c>
      <c r="BB34" s="110">
        <v>15</v>
      </c>
      <c r="BC34" s="109">
        <v>16</v>
      </c>
      <c r="BD34" s="109">
        <v>-25</v>
      </c>
      <c r="BE34" s="109">
        <v>-27.5</v>
      </c>
      <c r="BF34" s="109">
        <v>11.5</v>
      </c>
      <c r="BG34" s="109">
        <v>11.5</v>
      </c>
      <c r="BH34" s="109">
        <v>98</v>
      </c>
      <c r="BI34" s="117">
        <f>IFERROR(TOWER_DATA[[#This Row],[Top]]-TOWER_DATA[[#This Row],[Bottom]], "")</f>
        <v>2.5</v>
      </c>
      <c r="BJ34" s="117">
        <f>IFERROR(-(TOWER_DATA[[#This Row],[D, top]]-TOWER_DATA[[#This Row],[D, bottom]])/(TOWER_DATA[[#This Row],[Top]]-TOWER_DATA[[#This Row],[Bottom]]),"")</f>
        <v>0</v>
      </c>
      <c r="BK34" s="117">
        <f t="shared" si="2"/>
        <v>68.891660145730867</v>
      </c>
      <c r="BL34" s="117">
        <f>IFERROR((TOWER_DATA[[#This Row],[D, top]]+TOWER_DATA[[#This Row],[D, bottom]])/(2*TOWER_DATA[[#This Row],[t]]/1000),"")</f>
        <v>117.3469387755102</v>
      </c>
      <c r="BN34">
        <v>15</v>
      </c>
      <c r="BO34">
        <v>16</v>
      </c>
      <c r="BP34">
        <v>-25</v>
      </c>
      <c r="BQ34">
        <v>-27.5</v>
      </c>
      <c r="BR34">
        <v>11.5</v>
      </c>
      <c r="BS34">
        <v>11.5</v>
      </c>
      <c r="BT34">
        <v>98</v>
      </c>
      <c r="CA34" s="17"/>
    </row>
    <row r="35" spans="1:79" x14ac:dyDescent="0.25">
      <c r="A35" s="16"/>
      <c r="B35" s="110">
        <v>16</v>
      </c>
      <c r="C35" s="109">
        <v>17</v>
      </c>
      <c r="D35" s="109">
        <v>-70</v>
      </c>
      <c r="E35" s="109">
        <v>-75</v>
      </c>
      <c r="F35" s="109">
        <v>11.5</v>
      </c>
      <c r="G35" s="109">
        <v>11.5</v>
      </c>
      <c r="H35" s="109">
        <v>96</v>
      </c>
      <c r="I35" s="117">
        <f>IFERROR(MP_DATA[[#This Row],[Top]]-MP_DATA[[#This Row],[Bottom]], "")</f>
        <v>5</v>
      </c>
      <c r="J35" s="117">
        <f>IFERROR(-(MP_DATA[[#This Row],[D, top]]-MP_DATA[[#This Row],[D, bottom]])/(MP_DATA[[#This Row],[Top]]-MP_DATA[[#This Row],[Bottom]]),"")</f>
        <v>0</v>
      </c>
      <c r="K35" s="117">
        <f t="shared" si="0"/>
        <v>134.99509083795553</v>
      </c>
      <c r="L35" s="117">
        <f>IFERROR((MP_DATA[[#This Row],[D, top]]+MP_DATA[[#This Row],[D, bottom]])/(2*MP_DATA[[#This Row],[t]]/1000),"")</f>
        <v>119.79166666666666</v>
      </c>
      <c r="N35" s="110">
        <v>16</v>
      </c>
      <c r="O35" s="109">
        <v>17</v>
      </c>
      <c r="P35" s="109">
        <v>-70</v>
      </c>
      <c r="Q35" s="109">
        <v>-75</v>
      </c>
      <c r="R35" s="109">
        <v>11.5</v>
      </c>
      <c r="S35" s="109">
        <v>11.5</v>
      </c>
      <c r="T35" s="109">
        <v>96</v>
      </c>
      <c r="U35" s="109"/>
      <c r="V35" s="109"/>
      <c r="W35" s="109"/>
      <c r="X35" s="109"/>
      <c r="AA35" s="17"/>
      <c r="AB35" s="109">
        <v>16</v>
      </c>
      <c r="AC35" s="109">
        <v>17</v>
      </c>
      <c r="AD35" s="109">
        <v>-70</v>
      </c>
      <c r="AE35" s="109">
        <v>-75</v>
      </c>
      <c r="AF35" s="109">
        <v>11.5</v>
      </c>
      <c r="AG35" s="109">
        <v>11.5</v>
      </c>
      <c r="AH35" s="109">
        <v>96</v>
      </c>
      <c r="AI35" s="117">
        <f>IFERROR(TP_DATA[[#This Row],[Top]]-TP_DATA[[#This Row],[Bottom]], "")</f>
        <v>5</v>
      </c>
      <c r="AJ35" s="117">
        <f>IFERROR(-(TP_DATA[[#This Row],[D, top]]-TP_DATA[[#This Row],[D, bottom]])/(TP_DATA[[#This Row],[Top]]-TP_DATA[[#This Row],[Bottom]]),"")</f>
        <v>0</v>
      </c>
      <c r="AK35" s="117">
        <f t="shared" si="1"/>
        <v>134.99509083795553</v>
      </c>
      <c r="AL35" s="117">
        <f>IFERROR((TP_DATA[[#This Row],[D, top]]+TP_DATA[[#This Row],[D, bottom]])/(2*TP_DATA[[#This Row],[t]]/1000),"")</f>
        <v>119.79166666666666</v>
      </c>
      <c r="AN35">
        <v>16</v>
      </c>
      <c r="AO35">
        <v>17</v>
      </c>
      <c r="AP35">
        <v>-70</v>
      </c>
      <c r="AQ35">
        <v>-75</v>
      </c>
      <c r="AR35">
        <v>11.5</v>
      </c>
      <c r="AS35">
        <v>11.5</v>
      </c>
      <c r="AT35">
        <v>96</v>
      </c>
      <c r="BB35" s="110">
        <v>16</v>
      </c>
      <c r="BC35" s="109">
        <v>17</v>
      </c>
      <c r="BD35" s="109">
        <v>-27.5</v>
      </c>
      <c r="BE35" s="109">
        <v>-30</v>
      </c>
      <c r="BF35" s="109">
        <v>11.5</v>
      </c>
      <c r="BG35" s="109">
        <v>11.5</v>
      </c>
      <c r="BH35" s="109">
        <v>96</v>
      </c>
      <c r="BI35" s="117">
        <f>IFERROR(TOWER_DATA[[#This Row],[Top]]-TOWER_DATA[[#This Row],[Bottom]], "")</f>
        <v>2.5</v>
      </c>
      <c r="BJ35" s="117">
        <f>IFERROR(-(TOWER_DATA[[#This Row],[D, top]]-TOWER_DATA[[#This Row],[D, bottom]])/(TOWER_DATA[[#This Row],[Top]]-TOWER_DATA[[#This Row],[Bottom]]),"")</f>
        <v>0</v>
      </c>
      <c r="BK35" s="117">
        <f t="shared" si="2"/>
        <v>67.497545418977765</v>
      </c>
      <c r="BL35" s="117">
        <f>IFERROR((TOWER_DATA[[#This Row],[D, top]]+TOWER_DATA[[#This Row],[D, bottom]])/(2*TOWER_DATA[[#This Row],[t]]/1000),"")</f>
        <v>119.79166666666666</v>
      </c>
      <c r="BN35">
        <v>16</v>
      </c>
      <c r="BO35">
        <v>17</v>
      </c>
      <c r="BP35">
        <v>-27.5</v>
      </c>
      <c r="BQ35">
        <v>-30</v>
      </c>
      <c r="BR35">
        <v>11.5</v>
      </c>
      <c r="BS35">
        <v>11.5</v>
      </c>
      <c r="BT35">
        <v>96</v>
      </c>
      <c r="CA35" s="17"/>
    </row>
    <row r="36" spans="1:79" x14ac:dyDescent="0.25">
      <c r="A36" s="16"/>
      <c r="B36" s="110">
        <v>17</v>
      </c>
      <c r="C36" s="109">
        <v>18</v>
      </c>
      <c r="D36" s="109">
        <v>-75</v>
      </c>
      <c r="E36" s="109">
        <v>-80</v>
      </c>
      <c r="F36" s="109">
        <v>11.5</v>
      </c>
      <c r="G36" s="109">
        <v>11.5</v>
      </c>
      <c r="H36" s="109">
        <v>93</v>
      </c>
      <c r="I36" s="117">
        <f>IFERROR(MP_DATA[[#This Row],[Top]]-MP_DATA[[#This Row],[Bottom]], "")</f>
        <v>5</v>
      </c>
      <c r="J36" s="117">
        <f>IFERROR(-(MP_DATA[[#This Row],[D, top]]-MP_DATA[[#This Row],[D, bottom]])/(MP_DATA[[#This Row],[Top]]-MP_DATA[[#This Row],[Bottom]]),"")</f>
        <v>0</v>
      </c>
      <c r="K36" s="117">
        <f t="shared" si="0"/>
        <v>130.81089704502031</v>
      </c>
      <c r="L36" s="117">
        <f>IFERROR((MP_DATA[[#This Row],[D, top]]+MP_DATA[[#This Row],[D, bottom]])/(2*MP_DATA[[#This Row],[t]]/1000),"")</f>
        <v>123.65591397849462</v>
      </c>
      <c r="N36" s="110">
        <v>17</v>
      </c>
      <c r="O36" s="109">
        <v>18</v>
      </c>
      <c r="P36" s="109">
        <v>-75</v>
      </c>
      <c r="Q36" s="109">
        <v>-80</v>
      </c>
      <c r="R36" s="109">
        <v>11.5</v>
      </c>
      <c r="S36" s="109">
        <v>11.5</v>
      </c>
      <c r="T36" s="109">
        <v>93</v>
      </c>
      <c r="U36" s="109"/>
      <c r="V36" s="109"/>
      <c r="W36" s="109"/>
      <c r="X36" s="109"/>
      <c r="AA36" s="17"/>
      <c r="AB36" s="109">
        <v>17</v>
      </c>
      <c r="AC36" s="109">
        <v>18</v>
      </c>
      <c r="AD36" s="109">
        <v>-75</v>
      </c>
      <c r="AE36" s="109">
        <v>-80</v>
      </c>
      <c r="AF36" s="109">
        <v>11.5</v>
      </c>
      <c r="AG36" s="109">
        <v>11.5</v>
      </c>
      <c r="AH36" s="109">
        <v>93</v>
      </c>
      <c r="AI36" s="117">
        <f>IFERROR(TP_DATA[[#This Row],[Top]]-TP_DATA[[#This Row],[Bottom]], "")</f>
        <v>5</v>
      </c>
      <c r="AJ36" s="117">
        <f>IFERROR(-(TP_DATA[[#This Row],[D, top]]-TP_DATA[[#This Row],[D, bottom]])/(TP_DATA[[#This Row],[Top]]-TP_DATA[[#This Row],[Bottom]]),"")</f>
        <v>0</v>
      </c>
      <c r="AK36" s="117">
        <f t="shared" si="1"/>
        <v>130.81089704502031</v>
      </c>
      <c r="AL36" s="117">
        <f>IFERROR((TP_DATA[[#This Row],[D, top]]+TP_DATA[[#This Row],[D, bottom]])/(2*TP_DATA[[#This Row],[t]]/1000),"")</f>
        <v>123.65591397849462</v>
      </c>
      <c r="AN36">
        <v>17</v>
      </c>
      <c r="AO36">
        <v>18</v>
      </c>
      <c r="AP36">
        <v>-75</v>
      </c>
      <c r="AQ36">
        <v>-80</v>
      </c>
      <c r="AR36">
        <v>11.5</v>
      </c>
      <c r="AS36">
        <v>11.5</v>
      </c>
      <c r="AT36">
        <v>93</v>
      </c>
      <c r="BB36" s="110">
        <v>17</v>
      </c>
      <c r="BC36" s="109">
        <v>18</v>
      </c>
      <c r="BD36" s="109">
        <v>-30</v>
      </c>
      <c r="BE36" s="109">
        <v>-32.5</v>
      </c>
      <c r="BF36" s="109">
        <v>11.5</v>
      </c>
      <c r="BG36" s="109">
        <v>11.5</v>
      </c>
      <c r="BH36" s="109">
        <v>93</v>
      </c>
      <c r="BI36" s="117">
        <f>IFERROR(TOWER_DATA[[#This Row],[Top]]-TOWER_DATA[[#This Row],[Bottom]], "")</f>
        <v>2.5</v>
      </c>
      <c r="BJ36" s="117">
        <f>IFERROR(-(TOWER_DATA[[#This Row],[D, top]]-TOWER_DATA[[#This Row],[D, bottom]])/(TOWER_DATA[[#This Row],[Top]]-TOWER_DATA[[#This Row],[Bottom]]),"")</f>
        <v>0</v>
      </c>
      <c r="BK36" s="117">
        <f t="shared" si="2"/>
        <v>65.405448522510156</v>
      </c>
      <c r="BL36" s="117">
        <f>IFERROR((TOWER_DATA[[#This Row],[D, top]]+TOWER_DATA[[#This Row],[D, bottom]])/(2*TOWER_DATA[[#This Row],[t]]/1000),"")</f>
        <v>123.65591397849462</v>
      </c>
      <c r="BN36">
        <v>17</v>
      </c>
      <c r="BO36">
        <v>18</v>
      </c>
      <c r="BP36">
        <v>-30</v>
      </c>
      <c r="BQ36">
        <v>-32.5</v>
      </c>
      <c r="BR36">
        <v>11.5</v>
      </c>
      <c r="BS36">
        <v>11.5</v>
      </c>
      <c r="BT36">
        <v>93</v>
      </c>
      <c r="CA36" s="17"/>
    </row>
    <row r="37" spans="1:79" x14ac:dyDescent="0.25">
      <c r="A37" s="16"/>
      <c r="B37" s="110">
        <v>18</v>
      </c>
      <c r="C37" s="109">
        <v>19</v>
      </c>
      <c r="D37" s="109">
        <v>-80</v>
      </c>
      <c r="E37" s="109">
        <v>-85</v>
      </c>
      <c r="F37" s="109">
        <v>11.5</v>
      </c>
      <c r="G37" s="109">
        <v>11.5</v>
      </c>
      <c r="H37" s="109">
        <v>93</v>
      </c>
      <c r="I37" s="117">
        <f>IFERROR(MP_DATA[[#This Row],[Top]]-MP_DATA[[#This Row],[Bottom]], "")</f>
        <v>5</v>
      </c>
      <c r="J37" s="117">
        <f>IFERROR(-(MP_DATA[[#This Row],[D, top]]-MP_DATA[[#This Row],[D, bottom]])/(MP_DATA[[#This Row],[Top]]-MP_DATA[[#This Row],[Bottom]]),"")</f>
        <v>0</v>
      </c>
      <c r="K37" s="117">
        <f t="shared" si="0"/>
        <v>130.81089704502031</v>
      </c>
      <c r="L37" s="117">
        <f>IFERROR((MP_DATA[[#This Row],[D, top]]+MP_DATA[[#This Row],[D, bottom]])/(2*MP_DATA[[#This Row],[t]]/1000),"")</f>
        <v>123.65591397849462</v>
      </c>
      <c r="N37" s="110">
        <v>18</v>
      </c>
      <c r="O37" s="109">
        <v>19</v>
      </c>
      <c r="P37" s="109">
        <v>-80</v>
      </c>
      <c r="Q37" s="109">
        <v>-85</v>
      </c>
      <c r="R37" s="109">
        <v>11.5</v>
      </c>
      <c r="S37" s="109">
        <v>11.5</v>
      </c>
      <c r="T37" s="109">
        <v>93</v>
      </c>
      <c r="U37" s="109"/>
      <c r="V37" s="109"/>
      <c r="W37" s="109"/>
      <c r="X37" s="109"/>
      <c r="AA37" s="17"/>
      <c r="AB37" s="109">
        <v>18</v>
      </c>
      <c r="AC37" s="109">
        <v>19</v>
      </c>
      <c r="AD37" s="109">
        <v>-80</v>
      </c>
      <c r="AE37" s="109">
        <v>-85</v>
      </c>
      <c r="AF37" s="109">
        <v>11.5</v>
      </c>
      <c r="AG37" s="109">
        <v>11.5</v>
      </c>
      <c r="AH37" s="109">
        <v>93</v>
      </c>
      <c r="AI37" s="117">
        <f>IFERROR(TP_DATA[[#This Row],[Top]]-TP_DATA[[#This Row],[Bottom]], "")</f>
        <v>5</v>
      </c>
      <c r="AJ37" s="117">
        <f>IFERROR(-(TP_DATA[[#This Row],[D, top]]-TP_DATA[[#This Row],[D, bottom]])/(TP_DATA[[#This Row],[Top]]-TP_DATA[[#This Row],[Bottom]]),"")</f>
        <v>0</v>
      </c>
      <c r="AK37" s="117">
        <f t="shared" si="1"/>
        <v>130.81089704502031</v>
      </c>
      <c r="AL37" s="117">
        <f>IFERROR((TP_DATA[[#This Row],[D, top]]+TP_DATA[[#This Row],[D, bottom]])/(2*TP_DATA[[#This Row],[t]]/1000),"")</f>
        <v>123.65591397849462</v>
      </c>
      <c r="AN37">
        <v>18</v>
      </c>
      <c r="AO37">
        <v>19</v>
      </c>
      <c r="AP37">
        <v>-80</v>
      </c>
      <c r="AQ37">
        <v>-85</v>
      </c>
      <c r="AR37">
        <v>11.5</v>
      </c>
      <c r="AS37">
        <v>11.5</v>
      </c>
      <c r="AT37">
        <v>93</v>
      </c>
      <c r="BB37" s="110">
        <v>18</v>
      </c>
      <c r="BC37" s="109">
        <v>19</v>
      </c>
      <c r="BD37" s="109">
        <v>-32.5</v>
      </c>
      <c r="BE37" s="109">
        <v>-35</v>
      </c>
      <c r="BF37" s="109">
        <v>11.5</v>
      </c>
      <c r="BG37" s="109">
        <v>11.5</v>
      </c>
      <c r="BH37" s="109">
        <v>93</v>
      </c>
      <c r="BI37" s="117">
        <f>IFERROR(TOWER_DATA[[#This Row],[Top]]-TOWER_DATA[[#This Row],[Bottom]], "")</f>
        <v>2.5</v>
      </c>
      <c r="BJ37" s="117">
        <f>IFERROR(-(TOWER_DATA[[#This Row],[D, top]]-TOWER_DATA[[#This Row],[D, bottom]])/(TOWER_DATA[[#This Row],[Top]]-TOWER_DATA[[#This Row],[Bottom]]),"")</f>
        <v>0</v>
      </c>
      <c r="BK37" s="117">
        <f t="shared" si="2"/>
        <v>65.405448522510156</v>
      </c>
      <c r="BL37" s="117">
        <f>IFERROR((TOWER_DATA[[#This Row],[D, top]]+TOWER_DATA[[#This Row],[D, bottom]])/(2*TOWER_DATA[[#This Row],[t]]/1000),"")</f>
        <v>123.65591397849462</v>
      </c>
      <c r="BN37">
        <v>18</v>
      </c>
      <c r="BO37">
        <v>19</v>
      </c>
      <c r="BP37">
        <v>-32.5</v>
      </c>
      <c r="BQ37">
        <v>-35</v>
      </c>
      <c r="BR37">
        <v>11.5</v>
      </c>
      <c r="BS37">
        <v>11.5</v>
      </c>
      <c r="BT37">
        <v>93</v>
      </c>
      <c r="CA37" s="17"/>
    </row>
    <row r="38" spans="1:79" x14ac:dyDescent="0.25">
      <c r="A38" s="16"/>
      <c r="B38" s="110">
        <v>19</v>
      </c>
      <c r="C38" s="109">
        <v>20</v>
      </c>
      <c r="D38" s="109">
        <v>-85</v>
      </c>
      <c r="E38" s="109">
        <v>-90</v>
      </c>
      <c r="F38" s="109">
        <v>11.5</v>
      </c>
      <c r="G38" s="109">
        <v>11.5</v>
      </c>
      <c r="H38" s="109">
        <v>93</v>
      </c>
      <c r="I38" s="117">
        <f>IFERROR(MP_DATA[[#This Row],[Top]]-MP_DATA[[#This Row],[Bottom]], "")</f>
        <v>5</v>
      </c>
      <c r="J38" s="117">
        <f>IFERROR(-(MP_DATA[[#This Row],[D, top]]-MP_DATA[[#This Row],[D, bottom]])/(MP_DATA[[#This Row],[Top]]-MP_DATA[[#This Row],[Bottom]]),"")</f>
        <v>0</v>
      </c>
      <c r="K38" s="117">
        <f t="shared" si="0"/>
        <v>130.81089704502031</v>
      </c>
      <c r="L38" s="117">
        <f>IFERROR((MP_DATA[[#This Row],[D, top]]+MP_DATA[[#This Row],[D, bottom]])/(2*MP_DATA[[#This Row],[t]]/1000),"")</f>
        <v>123.65591397849462</v>
      </c>
      <c r="N38" s="110">
        <v>19</v>
      </c>
      <c r="O38" s="109">
        <v>20</v>
      </c>
      <c r="P38" s="109">
        <v>-85</v>
      </c>
      <c r="Q38" s="109">
        <v>-90</v>
      </c>
      <c r="R38" s="109">
        <v>11.5</v>
      </c>
      <c r="S38" s="109">
        <v>11.5</v>
      </c>
      <c r="T38" s="109">
        <v>93</v>
      </c>
      <c r="U38" s="109"/>
      <c r="V38" s="109"/>
      <c r="W38" s="109"/>
      <c r="X38" s="109"/>
      <c r="AA38" s="17"/>
      <c r="AB38" s="109">
        <v>19</v>
      </c>
      <c r="AC38" s="109">
        <v>20</v>
      </c>
      <c r="AD38" s="109">
        <v>-85</v>
      </c>
      <c r="AE38" s="109">
        <v>-90</v>
      </c>
      <c r="AF38" s="109">
        <v>11.5</v>
      </c>
      <c r="AG38" s="109">
        <v>11.5</v>
      </c>
      <c r="AH38" s="109">
        <v>93</v>
      </c>
      <c r="AI38" s="117">
        <f>IFERROR(TP_DATA[[#This Row],[Top]]-TP_DATA[[#This Row],[Bottom]], "")</f>
        <v>5</v>
      </c>
      <c r="AJ38" s="117">
        <f>IFERROR(-(TP_DATA[[#This Row],[D, top]]-TP_DATA[[#This Row],[D, bottom]])/(TP_DATA[[#This Row],[Top]]-TP_DATA[[#This Row],[Bottom]]),"")</f>
        <v>0</v>
      </c>
      <c r="AK38" s="117">
        <f t="shared" si="1"/>
        <v>130.81089704502031</v>
      </c>
      <c r="AL38" s="117">
        <f>IFERROR((TP_DATA[[#This Row],[D, top]]+TP_DATA[[#This Row],[D, bottom]])/(2*TP_DATA[[#This Row],[t]]/1000),"")</f>
        <v>123.65591397849462</v>
      </c>
      <c r="AN38">
        <v>19</v>
      </c>
      <c r="AO38">
        <v>20</v>
      </c>
      <c r="AP38">
        <v>-85</v>
      </c>
      <c r="AQ38">
        <v>-90</v>
      </c>
      <c r="AR38">
        <v>11.5</v>
      </c>
      <c r="AS38">
        <v>11.5</v>
      </c>
      <c r="AT38">
        <v>93</v>
      </c>
      <c r="BB38" s="110">
        <v>19</v>
      </c>
      <c r="BC38" s="109">
        <v>20</v>
      </c>
      <c r="BD38" s="109">
        <v>-35</v>
      </c>
      <c r="BE38" s="109">
        <v>-37.5</v>
      </c>
      <c r="BF38" s="109">
        <v>11.5</v>
      </c>
      <c r="BG38" s="109">
        <v>11.5</v>
      </c>
      <c r="BH38" s="109">
        <v>93</v>
      </c>
      <c r="BI38" s="117">
        <f>IFERROR(TOWER_DATA[[#This Row],[Top]]-TOWER_DATA[[#This Row],[Bottom]], "")</f>
        <v>2.5</v>
      </c>
      <c r="BJ38" s="117">
        <f>IFERROR(-(TOWER_DATA[[#This Row],[D, top]]-TOWER_DATA[[#This Row],[D, bottom]])/(TOWER_DATA[[#This Row],[Top]]-TOWER_DATA[[#This Row],[Bottom]]),"")</f>
        <v>0</v>
      </c>
      <c r="BK38" s="117">
        <f t="shared" si="2"/>
        <v>65.405448522510156</v>
      </c>
      <c r="BL38" s="117">
        <f>IFERROR((TOWER_DATA[[#This Row],[D, top]]+TOWER_DATA[[#This Row],[D, bottom]])/(2*TOWER_DATA[[#This Row],[t]]/1000),"")</f>
        <v>123.65591397849462</v>
      </c>
      <c r="BN38">
        <v>19</v>
      </c>
      <c r="BO38">
        <v>20</v>
      </c>
      <c r="BP38">
        <v>-35</v>
      </c>
      <c r="BQ38">
        <v>-37.5</v>
      </c>
      <c r="BR38">
        <v>11.5</v>
      </c>
      <c r="BS38">
        <v>11.5</v>
      </c>
      <c r="BT38">
        <v>93</v>
      </c>
      <c r="CA38" s="17"/>
    </row>
    <row r="39" spans="1:79" x14ac:dyDescent="0.25">
      <c r="A39" s="16"/>
      <c r="B39" s="110">
        <v>20</v>
      </c>
      <c r="C39" s="109">
        <v>21</v>
      </c>
      <c r="D39" s="109">
        <v>-90</v>
      </c>
      <c r="E39" s="109">
        <v>-95</v>
      </c>
      <c r="F39" s="109">
        <v>11.5</v>
      </c>
      <c r="G39" s="109">
        <v>11.5</v>
      </c>
      <c r="H39" s="109">
        <v>93</v>
      </c>
      <c r="I39" s="117">
        <f>IFERROR(MP_DATA[[#This Row],[Top]]-MP_DATA[[#This Row],[Bottom]], "")</f>
        <v>5</v>
      </c>
      <c r="J39" s="117">
        <f>IFERROR(-(MP_DATA[[#This Row],[D, top]]-MP_DATA[[#This Row],[D, bottom]])/(MP_DATA[[#This Row],[Top]]-MP_DATA[[#This Row],[Bottom]]),"")</f>
        <v>0</v>
      </c>
      <c r="K39" s="117">
        <f t="shared" si="0"/>
        <v>130.81089704502031</v>
      </c>
      <c r="L39" s="117">
        <f>IFERROR((MP_DATA[[#This Row],[D, top]]+MP_DATA[[#This Row],[D, bottom]])/(2*MP_DATA[[#This Row],[t]]/1000),"")</f>
        <v>123.65591397849462</v>
      </c>
      <c r="N39" s="110">
        <v>20</v>
      </c>
      <c r="O39" s="109">
        <v>21</v>
      </c>
      <c r="P39" s="109">
        <v>-90</v>
      </c>
      <c r="Q39" s="109">
        <v>-95</v>
      </c>
      <c r="R39" s="109">
        <v>11.5</v>
      </c>
      <c r="S39" s="109">
        <v>11.5</v>
      </c>
      <c r="T39" s="109">
        <v>93</v>
      </c>
      <c r="U39" s="109"/>
      <c r="V39" s="109"/>
      <c r="W39" s="109"/>
      <c r="X39" s="109"/>
      <c r="AA39" s="17"/>
      <c r="AB39" s="109">
        <v>20</v>
      </c>
      <c r="AC39" s="109">
        <v>21</v>
      </c>
      <c r="AD39" s="109">
        <v>-90</v>
      </c>
      <c r="AE39" s="109">
        <v>-95</v>
      </c>
      <c r="AF39" s="109">
        <v>11.5</v>
      </c>
      <c r="AG39" s="109">
        <v>11.5</v>
      </c>
      <c r="AH39" s="109">
        <v>93</v>
      </c>
      <c r="AI39" s="117">
        <f>IFERROR(TP_DATA[[#This Row],[Top]]-TP_DATA[[#This Row],[Bottom]], "")</f>
        <v>5</v>
      </c>
      <c r="AJ39" s="117">
        <f>IFERROR(-(TP_DATA[[#This Row],[D, top]]-TP_DATA[[#This Row],[D, bottom]])/(TP_DATA[[#This Row],[Top]]-TP_DATA[[#This Row],[Bottom]]),"")</f>
        <v>0</v>
      </c>
      <c r="AK39" s="117">
        <f t="shared" si="1"/>
        <v>130.81089704502031</v>
      </c>
      <c r="AL39" s="117">
        <f>IFERROR((TP_DATA[[#This Row],[D, top]]+TP_DATA[[#This Row],[D, bottom]])/(2*TP_DATA[[#This Row],[t]]/1000),"")</f>
        <v>123.65591397849462</v>
      </c>
      <c r="AN39">
        <v>20</v>
      </c>
      <c r="AO39">
        <v>21</v>
      </c>
      <c r="AP39">
        <v>-90</v>
      </c>
      <c r="AQ39">
        <v>-95</v>
      </c>
      <c r="AR39">
        <v>11.5</v>
      </c>
      <c r="AS39">
        <v>11.5</v>
      </c>
      <c r="AT39">
        <v>93</v>
      </c>
      <c r="BB39" s="110">
        <v>20</v>
      </c>
      <c r="BC39" s="109">
        <v>21</v>
      </c>
      <c r="BD39" s="109">
        <v>-37.5</v>
      </c>
      <c r="BE39" s="109">
        <v>-40</v>
      </c>
      <c r="BF39" s="109">
        <v>11.5</v>
      </c>
      <c r="BG39" s="109">
        <v>11.5</v>
      </c>
      <c r="BH39" s="109">
        <v>93</v>
      </c>
      <c r="BI39" s="117">
        <f>IFERROR(TOWER_DATA[[#This Row],[Top]]-TOWER_DATA[[#This Row],[Bottom]], "")</f>
        <v>2.5</v>
      </c>
      <c r="BJ39" s="117">
        <f>IFERROR(-(TOWER_DATA[[#This Row],[D, top]]-TOWER_DATA[[#This Row],[D, bottom]])/(TOWER_DATA[[#This Row],[Top]]-TOWER_DATA[[#This Row],[Bottom]]),"")</f>
        <v>0</v>
      </c>
      <c r="BK39" s="117">
        <f t="shared" si="2"/>
        <v>65.405448522510156</v>
      </c>
      <c r="BL39" s="117">
        <f>IFERROR((TOWER_DATA[[#This Row],[D, top]]+TOWER_DATA[[#This Row],[D, bottom]])/(2*TOWER_DATA[[#This Row],[t]]/1000),"")</f>
        <v>123.65591397849462</v>
      </c>
      <c r="BN39">
        <v>20</v>
      </c>
      <c r="BO39">
        <v>21</v>
      </c>
      <c r="BP39">
        <v>-37.5</v>
      </c>
      <c r="BQ39">
        <v>-40</v>
      </c>
      <c r="BR39">
        <v>11.5</v>
      </c>
      <c r="BS39">
        <v>11.5</v>
      </c>
      <c r="BT39">
        <v>93</v>
      </c>
      <c r="CA39" s="17"/>
    </row>
    <row r="40" spans="1:79" x14ac:dyDescent="0.25">
      <c r="A40" s="16"/>
      <c r="B40" s="110">
        <v>21</v>
      </c>
      <c r="C40" s="109">
        <v>22</v>
      </c>
      <c r="D40" s="109">
        <v>-95</v>
      </c>
      <c r="E40" s="109">
        <v>-100</v>
      </c>
      <c r="F40" s="109">
        <v>11.5</v>
      </c>
      <c r="G40" s="109">
        <v>11.5</v>
      </c>
      <c r="H40" s="109">
        <v>93</v>
      </c>
      <c r="I40" s="117">
        <f>IFERROR(MP_DATA[[#This Row],[Top]]-MP_DATA[[#This Row],[Bottom]], "")</f>
        <v>5</v>
      </c>
      <c r="J40" s="117">
        <f>IFERROR(-(MP_DATA[[#This Row],[D, top]]-MP_DATA[[#This Row],[D, bottom]])/(MP_DATA[[#This Row],[Top]]-MP_DATA[[#This Row],[Bottom]]),"")</f>
        <v>0</v>
      </c>
      <c r="K40" s="117">
        <f t="shared" si="0"/>
        <v>130.81089704502031</v>
      </c>
      <c r="L40" s="117">
        <f>IFERROR((MP_DATA[[#This Row],[D, top]]+MP_DATA[[#This Row],[D, bottom]])/(2*MP_DATA[[#This Row],[t]]/1000),"")</f>
        <v>123.65591397849462</v>
      </c>
      <c r="N40" s="110">
        <v>21</v>
      </c>
      <c r="O40" s="109">
        <v>22</v>
      </c>
      <c r="P40" s="109">
        <v>-95</v>
      </c>
      <c r="Q40" s="109">
        <v>-100</v>
      </c>
      <c r="R40" s="109">
        <v>11.5</v>
      </c>
      <c r="S40" s="109">
        <v>11.5</v>
      </c>
      <c r="T40" s="109">
        <v>93</v>
      </c>
      <c r="U40" s="109"/>
      <c r="V40" s="109"/>
      <c r="W40" s="109"/>
      <c r="X40" s="109"/>
      <c r="AA40" s="17"/>
      <c r="AB40" s="109">
        <v>21</v>
      </c>
      <c r="AC40" s="109">
        <v>22</v>
      </c>
      <c r="AD40" s="109">
        <v>-95</v>
      </c>
      <c r="AE40" s="109">
        <v>-100</v>
      </c>
      <c r="AF40" s="109">
        <v>11.5</v>
      </c>
      <c r="AG40" s="109">
        <v>11.5</v>
      </c>
      <c r="AH40" s="109">
        <v>93</v>
      </c>
      <c r="AI40" s="117">
        <f>IFERROR(TP_DATA[[#This Row],[Top]]-TP_DATA[[#This Row],[Bottom]], "")</f>
        <v>5</v>
      </c>
      <c r="AJ40" s="117">
        <f>IFERROR(-(TP_DATA[[#This Row],[D, top]]-TP_DATA[[#This Row],[D, bottom]])/(TP_DATA[[#This Row],[Top]]-TP_DATA[[#This Row],[Bottom]]),"")</f>
        <v>0</v>
      </c>
      <c r="AK40" s="117">
        <f t="shared" si="1"/>
        <v>130.81089704502031</v>
      </c>
      <c r="AL40" s="117">
        <f>IFERROR((TP_DATA[[#This Row],[D, top]]+TP_DATA[[#This Row],[D, bottom]])/(2*TP_DATA[[#This Row],[t]]/1000),"")</f>
        <v>123.65591397849462</v>
      </c>
      <c r="AN40">
        <v>21</v>
      </c>
      <c r="AO40">
        <v>22</v>
      </c>
      <c r="AP40">
        <v>-95</v>
      </c>
      <c r="AQ40">
        <v>-100</v>
      </c>
      <c r="AR40">
        <v>11.5</v>
      </c>
      <c r="AS40">
        <v>11.5</v>
      </c>
      <c r="AT40">
        <v>93</v>
      </c>
      <c r="BB40" s="110">
        <v>21</v>
      </c>
      <c r="BC40" s="109">
        <v>22</v>
      </c>
      <c r="BD40" s="109">
        <v>-40</v>
      </c>
      <c r="BE40" s="109">
        <v>-42.5</v>
      </c>
      <c r="BF40" s="109">
        <v>11.5</v>
      </c>
      <c r="BG40" s="109">
        <v>11.5</v>
      </c>
      <c r="BH40" s="109">
        <v>93</v>
      </c>
      <c r="BI40" s="117">
        <f>IFERROR(TOWER_DATA[[#This Row],[Top]]-TOWER_DATA[[#This Row],[Bottom]], "")</f>
        <v>2.5</v>
      </c>
      <c r="BJ40" s="117">
        <f>IFERROR(-(TOWER_DATA[[#This Row],[D, top]]-TOWER_DATA[[#This Row],[D, bottom]])/(TOWER_DATA[[#This Row],[Top]]-TOWER_DATA[[#This Row],[Bottom]]),"")</f>
        <v>0</v>
      </c>
      <c r="BK40" s="117">
        <f t="shared" si="2"/>
        <v>65.405448522510156</v>
      </c>
      <c r="BL40" s="117">
        <f>IFERROR((TOWER_DATA[[#This Row],[D, top]]+TOWER_DATA[[#This Row],[D, bottom]])/(2*TOWER_DATA[[#This Row],[t]]/1000),"")</f>
        <v>123.65591397849462</v>
      </c>
      <c r="BN40">
        <v>21</v>
      </c>
      <c r="BO40">
        <v>22</v>
      </c>
      <c r="BP40">
        <v>-40</v>
      </c>
      <c r="BQ40">
        <v>-42.5</v>
      </c>
      <c r="BR40">
        <v>11.5</v>
      </c>
      <c r="BS40">
        <v>11.5</v>
      </c>
      <c r="BT40">
        <v>93</v>
      </c>
      <c r="CA40" s="17"/>
    </row>
    <row r="41" spans="1:79" x14ac:dyDescent="0.25">
      <c r="A41" s="16"/>
      <c r="B41" s="110">
        <v>22</v>
      </c>
      <c r="C41" s="109">
        <v>23</v>
      </c>
      <c r="D41" s="109">
        <v>-100</v>
      </c>
      <c r="E41" s="109">
        <v>-105</v>
      </c>
      <c r="F41" s="109">
        <v>11.5</v>
      </c>
      <c r="G41" s="109">
        <v>11.5</v>
      </c>
      <c r="H41" s="109">
        <v>96</v>
      </c>
      <c r="I41" s="117">
        <f>IFERROR(MP_DATA[[#This Row],[Top]]-MP_DATA[[#This Row],[Bottom]], "")</f>
        <v>5</v>
      </c>
      <c r="J41" s="117">
        <f>IFERROR(-(MP_DATA[[#This Row],[D, top]]-MP_DATA[[#This Row],[D, bottom]])/(MP_DATA[[#This Row],[Top]]-MP_DATA[[#This Row],[Bottom]]),"")</f>
        <v>0</v>
      </c>
      <c r="K41" s="117">
        <f t="shared" si="0"/>
        <v>134.99509083795553</v>
      </c>
      <c r="L41" s="117">
        <f>IFERROR((MP_DATA[[#This Row],[D, top]]+MP_DATA[[#This Row],[D, bottom]])/(2*MP_DATA[[#This Row],[t]]/1000),"")</f>
        <v>119.79166666666666</v>
      </c>
      <c r="N41" s="110">
        <v>22</v>
      </c>
      <c r="O41" s="109">
        <v>23</v>
      </c>
      <c r="P41" s="109">
        <v>-100</v>
      </c>
      <c r="Q41" s="109">
        <v>-105</v>
      </c>
      <c r="R41" s="109">
        <v>11.5</v>
      </c>
      <c r="S41" s="109">
        <v>11.5</v>
      </c>
      <c r="T41" s="109">
        <v>96</v>
      </c>
      <c r="U41" s="109"/>
      <c r="V41" s="109"/>
      <c r="W41" s="109"/>
      <c r="X41" s="109"/>
      <c r="AA41" s="17"/>
      <c r="AB41" s="109">
        <v>22</v>
      </c>
      <c r="AC41" s="109">
        <v>23</v>
      </c>
      <c r="AD41" s="109">
        <v>-100</v>
      </c>
      <c r="AE41" s="109">
        <v>-105</v>
      </c>
      <c r="AF41" s="109">
        <v>11.5</v>
      </c>
      <c r="AG41" s="109">
        <v>11.5</v>
      </c>
      <c r="AH41" s="109">
        <v>96</v>
      </c>
      <c r="AI41" s="117">
        <f>IFERROR(TP_DATA[[#This Row],[Top]]-TP_DATA[[#This Row],[Bottom]], "")</f>
        <v>5</v>
      </c>
      <c r="AJ41" s="117">
        <f>IFERROR(-(TP_DATA[[#This Row],[D, top]]-TP_DATA[[#This Row],[D, bottom]])/(TP_DATA[[#This Row],[Top]]-TP_DATA[[#This Row],[Bottom]]),"")</f>
        <v>0</v>
      </c>
      <c r="AK41" s="117">
        <f t="shared" si="1"/>
        <v>134.99509083795553</v>
      </c>
      <c r="AL41" s="117">
        <f>IFERROR((TP_DATA[[#This Row],[D, top]]+TP_DATA[[#This Row],[D, bottom]])/(2*TP_DATA[[#This Row],[t]]/1000),"")</f>
        <v>119.79166666666666</v>
      </c>
      <c r="AN41">
        <v>22</v>
      </c>
      <c r="AO41">
        <v>23</v>
      </c>
      <c r="AP41">
        <v>-100</v>
      </c>
      <c r="AQ41">
        <v>-105</v>
      </c>
      <c r="AR41">
        <v>11.5</v>
      </c>
      <c r="AS41">
        <v>11.5</v>
      </c>
      <c r="AT41">
        <v>96</v>
      </c>
      <c r="BB41" s="110">
        <v>22</v>
      </c>
      <c r="BC41" s="109">
        <v>23</v>
      </c>
      <c r="BD41" s="109">
        <v>-42.5</v>
      </c>
      <c r="BE41" s="109">
        <v>-45</v>
      </c>
      <c r="BF41" s="109">
        <v>11.5</v>
      </c>
      <c r="BG41" s="109">
        <v>11.5</v>
      </c>
      <c r="BH41" s="109">
        <v>96</v>
      </c>
      <c r="BI41" s="117">
        <f>IFERROR(TOWER_DATA[[#This Row],[Top]]-TOWER_DATA[[#This Row],[Bottom]], "")</f>
        <v>2.5</v>
      </c>
      <c r="BJ41" s="117">
        <f>IFERROR(-(TOWER_DATA[[#This Row],[D, top]]-TOWER_DATA[[#This Row],[D, bottom]])/(TOWER_DATA[[#This Row],[Top]]-TOWER_DATA[[#This Row],[Bottom]]),"")</f>
        <v>0</v>
      </c>
      <c r="BK41" s="117">
        <f t="shared" si="2"/>
        <v>67.497545418977765</v>
      </c>
      <c r="BL41" s="117">
        <f>IFERROR((TOWER_DATA[[#This Row],[D, top]]+TOWER_DATA[[#This Row],[D, bottom]])/(2*TOWER_DATA[[#This Row],[t]]/1000),"")</f>
        <v>119.79166666666666</v>
      </c>
      <c r="BN41">
        <v>22</v>
      </c>
      <c r="BO41">
        <v>23</v>
      </c>
      <c r="BP41">
        <v>-42.5</v>
      </c>
      <c r="BQ41">
        <v>-45</v>
      </c>
      <c r="BR41">
        <v>11.5</v>
      </c>
      <c r="BS41">
        <v>11.5</v>
      </c>
      <c r="BT41">
        <v>96</v>
      </c>
      <c r="CA41" s="17"/>
    </row>
    <row r="42" spans="1:79" x14ac:dyDescent="0.25">
      <c r="A42" s="16"/>
      <c r="B42" s="110">
        <v>23</v>
      </c>
      <c r="C42" s="109">
        <v>24</v>
      </c>
      <c r="D42" s="109">
        <v>-105</v>
      </c>
      <c r="E42" s="109">
        <v>-110</v>
      </c>
      <c r="F42" s="109">
        <v>11.5</v>
      </c>
      <c r="G42" s="109">
        <v>11.5</v>
      </c>
      <c r="H42" s="109">
        <v>100</v>
      </c>
      <c r="I42" s="117">
        <f>IFERROR(MP_DATA[[#This Row],[Top]]-MP_DATA[[#This Row],[Bottom]], "")</f>
        <v>5</v>
      </c>
      <c r="J42" s="117">
        <f>IFERROR(-(MP_DATA[[#This Row],[D, top]]-MP_DATA[[#This Row],[D, bottom]])/(MP_DATA[[#This Row],[Top]]-MP_DATA[[#This Row],[Bottom]]),"")</f>
        <v>0</v>
      </c>
      <c r="K42" s="117">
        <f t="shared" si="0"/>
        <v>140.57056328487519</v>
      </c>
      <c r="L42" s="117">
        <f>IFERROR((MP_DATA[[#This Row],[D, top]]+MP_DATA[[#This Row],[D, bottom]])/(2*MP_DATA[[#This Row],[t]]/1000),"")</f>
        <v>115</v>
      </c>
      <c r="N42" s="110">
        <v>23</v>
      </c>
      <c r="O42" s="109">
        <v>24</v>
      </c>
      <c r="P42" s="109">
        <v>-105</v>
      </c>
      <c r="Q42" s="109">
        <v>-110</v>
      </c>
      <c r="R42" s="109">
        <v>11.5</v>
      </c>
      <c r="S42" s="109">
        <v>11.5</v>
      </c>
      <c r="T42" s="109">
        <v>100</v>
      </c>
      <c r="U42" s="109"/>
      <c r="V42" s="109"/>
      <c r="W42" s="109"/>
      <c r="X42" s="109"/>
      <c r="AA42" s="17"/>
      <c r="AB42" s="109">
        <v>23</v>
      </c>
      <c r="AC42" s="109">
        <v>24</v>
      </c>
      <c r="AD42" s="109">
        <v>-105</v>
      </c>
      <c r="AE42" s="109">
        <v>-110</v>
      </c>
      <c r="AF42" s="109">
        <v>11.5</v>
      </c>
      <c r="AG42" s="109">
        <v>11.5</v>
      </c>
      <c r="AH42" s="109">
        <v>100</v>
      </c>
      <c r="AI42" s="117">
        <f>IFERROR(TP_DATA[[#This Row],[Top]]-TP_DATA[[#This Row],[Bottom]], "")</f>
        <v>5</v>
      </c>
      <c r="AJ42" s="117">
        <f>IFERROR(-(TP_DATA[[#This Row],[D, top]]-TP_DATA[[#This Row],[D, bottom]])/(TP_DATA[[#This Row],[Top]]-TP_DATA[[#This Row],[Bottom]]),"")</f>
        <v>0</v>
      </c>
      <c r="AK42" s="117">
        <f t="shared" si="1"/>
        <v>140.57056328487519</v>
      </c>
      <c r="AL42" s="117">
        <f>IFERROR((TP_DATA[[#This Row],[D, top]]+TP_DATA[[#This Row],[D, bottom]])/(2*TP_DATA[[#This Row],[t]]/1000),"")</f>
        <v>115</v>
      </c>
      <c r="AN42">
        <v>23</v>
      </c>
      <c r="AO42">
        <v>24</v>
      </c>
      <c r="AP42">
        <v>-105</v>
      </c>
      <c r="AQ42">
        <v>-110</v>
      </c>
      <c r="AR42">
        <v>11.5</v>
      </c>
      <c r="AS42">
        <v>11.5</v>
      </c>
      <c r="AT42">
        <v>100</v>
      </c>
      <c r="BB42" s="110">
        <v>23</v>
      </c>
      <c r="BC42" s="109">
        <v>24</v>
      </c>
      <c r="BD42" s="109">
        <v>-45</v>
      </c>
      <c r="BE42" s="109">
        <v>-47.5</v>
      </c>
      <c r="BF42" s="109">
        <v>11.5</v>
      </c>
      <c r="BG42" s="109">
        <v>11.5</v>
      </c>
      <c r="BH42" s="109">
        <v>100</v>
      </c>
      <c r="BI42" s="117">
        <f>IFERROR(TOWER_DATA[[#This Row],[Top]]-TOWER_DATA[[#This Row],[Bottom]], "")</f>
        <v>2.5</v>
      </c>
      <c r="BJ42" s="117">
        <f>IFERROR(-(TOWER_DATA[[#This Row],[D, top]]-TOWER_DATA[[#This Row],[D, bottom]])/(TOWER_DATA[[#This Row],[Top]]-TOWER_DATA[[#This Row],[Bottom]]),"")</f>
        <v>0</v>
      </c>
      <c r="BK42" s="117">
        <f t="shared" si="2"/>
        <v>70.285281642437596</v>
      </c>
      <c r="BL42" s="117">
        <f>IFERROR((TOWER_DATA[[#This Row],[D, top]]+TOWER_DATA[[#This Row],[D, bottom]])/(2*TOWER_DATA[[#This Row],[t]]/1000),"")</f>
        <v>115</v>
      </c>
      <c r="BN42">
        <v>23</v>
      </c>
      <c r="BO42">
        <v>24</v>
      </c>
      <c r="BP42">
        <v>-45</v>
      </c>
      <c r="BQ42">
        <v>-47.5</v>
      </c>
      <c r="BR42">
        <v>11.5</v>
      </c>
      <c r="BS42">
        <v>11.5</v>
      </c>
      <c r="BT42">
        <v>100</v>
      </c>
      <c r="CA42" s="17"/>
    </row>
    <row r="43" spans="1:79" x14ac:dyDescent="0.25">
      <c r="A43" s="16"/>
      <c r="B43" s="110">
        <v>24</v>
      </c>
      <c r="C43" s="109">
        <v>25</v>
      </c>
      <c r="D43" s="109">
        <v>-110</v>
      </c>
      <c r="E43" s="109">
        <v>-115</v>
      </c>
      <c r="F43" s="109">
        <v>11.5</v>
      </c>
      <c r="G43" s="109">
        <v>11.5</v>
      </c>
      <c r="H43" s="109">
        <v>105</v>
      </c>
      <c r="I43" s="117">
        <f>IFERROR(MP_DATA[[#This Row],[Top]]-MP_DATA[[#This Row],[Bottom]], "")</f>
        <v>5</v>
      </c>
      <c r="J43" s="117">
        <f>IFERROR(-(MP_DATA[[#This Row],[D, top]]-MP_DATA[[#This Row],[D, bottom]])/(MP_DATA[[#This Row],[Top]]-MP_DATA[[#This Row],[Bottom]]),"")</f>
        <v>0</v>
      </c>
      <c r="K43" s="117">
        <f t="shared" si="0"/>
        <v>147.53435500550165</v>
      </c>
      <c r="L43" s="117">
        <f>IFERROR((MP_DATA[[#This Row],[D, top]]+MP_DATA[[#This Row],[D, bottom]])/(2*MP_DATA[[#This Row],[t]]/1000),"")</f>
        <v>109.52380952380953</v>
      </c>
      <c r="N43" s="110">
        <v>24</v>
      </c>
      <c r="O43" s="109">
        <v>25</v>
      </c>
      <c r="P43" s="109">
        <v>-110</v>
      </c>
      <c r="Q43" s="109">
        <v>-115</v>
      </c>
      <c r="R43" s="109">
        <v>11.5</v>
      </c>
      <c r="S43" s="109">
        <v>11.5</v>
      </c>
      <c r="T43" s="109">
        <v>105</v>
      </c>
      <c r="U43" s="109"/>
      <c r="V43" s="109"/>
      <c r="W43" s="109"/>
      <c r="X43" s="109"/>
      <c r="AA43" s="17"/>
      <c r="AB43" s="109">
        <v>24</v>
      </c>
      <c r="AC43" s="109">
        <v>25</v>
      </c>
      <c r="AD43" s="109">
        <v>-110</v>
      </c>
      <c r="AE43" s="109">
        <v>-115</v>
      </c>
      <c r="AF43" s="109">
        <v>11.5</v>
      </c>
      <c r="AG43" s="109">
        <v>11.5</v>
      </c>
      <c r="AH43" s="109">
        <v>105</v>
      </c>
      <c r="AI43" s="117">
        <f>IFERROR(TP_DATA[[#This Row],[Top]]-TP_DATA[[#This Row],[Bottom]], "")</f>
        <v>5</v>
      </c>
      <c r="AJ43" s="117">
        <f>IFERROR(-(TP_DATA[[#This Row],[D, top]]-TP_DATA[[#This Row],[D, bottom]])/(TP_DATA[[#This Row],[Top]]-TP_DATA[[#This Row],[Bottom]]),"")</f>
        <v>0</v>
      </c>
      <c r="AK43" s="117">
        <f t="shared" si="1"/>
        <v>147.53435500550165</v>
      </c>
      <c r="AL43" s="117">
        <f>IFERROR((TP_DATA[[#This Row],[D, top]]+TP_DATA[[#This Row],[D, bottom]])/(2*TP_DATA[[#This Row],[t]]/1000),"")</f>
        <v>109.52380952380953</v>
      </c>
      <c r="AN43">
        <v>24</v>
      </c>
      <c r="AO43">
        <v>25</v>
      </c>
      <c r="AP43">
        <v>-110</v>
      </c>
      <c r="AQ43">
        <v>-115</v>
      </c>
      <c r="AR43">
        <v>11.5</v>
      </c>
      <c r="AS43">
        <v>11.5</v>
      </c>
      <c r="AT43">
        <v>105</v>
      </c>
      <c r="BB43" s="110">
        <v>24</v>
      </c>
      <c r="BC43" s="109">
        <v>25</v>
      </c>
      <c r="BD43" s="109">
        <v>-47.5</v>
      </c>
      <c r="BE43" s="109">
        <v>-50</v>
      </c>
      <c r="BF43" s="109">
        <v>11.5</v>
      </c>
      <c r="BG43" s="109">
        <v>11.5</v>
      </c>
      <c r="BH43" s="109">
        <v>105</v>
      </c>
      <c r="BI43" s="117">
        <f>IFERROR(TOWER_DATA[[#This Row],[Top]]-TOWER_DATA[[#This Row],[Bottom]], "")</f>
        <v>2.5</v>
      </c>
      <c r="BJ43" s="117">
        <f>IFERROR(-(TOWER_DATA[[#This Row],[D, top]]-TOWER_DATA[[#This Row],[D, bottom]])/(TOWER_DATA[[#This Row],[Top]]-TOWER_DATA[[#This Row],[Bottom]]),"")</f>
        <v>0</v>
      </c>
      <c r="BK43" s="117">
        <f t="shared" si="2"/>
        <v>73.767177502750826</v>
      </c>
      <c r="BL43" s="117">
        <f>IFERROR((TOWER_DATA[[#This Row],[D, top]]+TOWER_DATA[[#This Row],[D, bottom]])/(2*TOWER_DATA[[#This Row],[t]]/1000),"")</f>
        <v>109.52380952380953</v>
      </c>
      <c r="BN43">
        <v>24</v>
      </c>
      <c r="BO43">
        <v>25</v>
      </c>
      <c r="BP43">
        <v>-47.5</v>
      </c>
      <c r="BQ43">
        <v>-50</v>
      </c>
      <c r="BR43">
        <v>11.5</v>
      </c>
      <c r="BS43">
        <v>11.5</v>
      </c>
      <c r="BT43">
        <v>105</v>
      </c>
      <c r="CA43" s="17"/>
    </row>
    <row r="44" spans="1:79" x14ac:dyDescent="0.25">
      <c r="A44" s="16"/>
      <c r="B44" s="110"/>
      <c r="C44" s="109"/>
      <c r="D44" s="109"/>
      <c r="E44" s="109"/>
      <c r="F44" s="109"/>
      <c r="G44" s="109"/>
      <c r="H44" s="109"/>
      <c r="I44" s="117" t="str">
        <f>IFERROR(MP_DATA[[#This Row],[Top]]-MP_DATA[[#This Row],[Bottom]], "")</f>
        <v/>
      </c>
      <c r="J44" s="117" t="str">
        <f>IFERROR(-(MP_DATA[[#This Row],[D, top]]-MP_DATA[[#This Row],[D, bottom]])/(MP_DATA[[#This Row],[Top]]-MP_DATA[[#This Row],[Bottom]]),"")</f>
        <v/>
      </c>
      <c r="K44" s="117" t="str">
        <f t="shared" si="0"/>
        <v/>
      </c>
      <c r="L44" s="117" t="str">
        <f>IFERROR((MP_DATA[[#This Row],[D, top]]+MP_DATA[[#This Row],[D, bottom]])/(2*MP_DATA[[#This Row],[t]]/1000),"")</f>
        <v/>
      </c>
      <c r="AA44" s="17"/>
      <c r="AI44" s="117" t="str">
        <f>IFERROR(TP_DATA[[#This Row],[Top]]-TP_DATA[[#This Row],[Bottom]], "")</f>
        <v/>
      </c>
      <c r="AJ44" s="117" t="str">
        <f>IFERROR(-(TP_DATA[[#This Row],[D, top]]-TP_DATA[[#This Row],[D, bottom]])/(TP_DATA[[#This Row],[Top]]-TP_DATA[[#This Row],[Bottom]]),"")</f>
        <v/>
      </c>
      <c r="AK44" s="117" t="str">
        <f t="shared" si="1"/>
        <v/>
      </c>
      <c r="AL44" s="117" t="str">
        <f>IFERROR((TP_DATA[[#This Row],[D, top]]+TP_DATA[[#This Row],[D, bottom]])/(2*TP_DATA[[#This Row],[t]]/1000),"")</f>
        <v/>
      </c>
      <c r="BB44" s="16"/>
      <c r="BI44" s="117" t="str">
        <f>IFERROR(TOWER_DATA[[#This Row],[Top]]-TOWER_DATA[[#This Row],[Bottom]], "")</f>
        <v/>
      </c>
      <c r="BJ44" s="117" t="str">
        <f>IFERROR(-(TOWER_DATA[[#This Row],[D, top]]-TOWER_DATA[[#This Row],[D, bottom]])/(TOWER_DATA[[#This Row],[Top]]-TOWER_DATA[[#This Row],[Bottom]]),"")</f>
        <v/>
      </c>
      <c r="BK44" s="117" t="str">
        <f t="shared" si="2"/>
        <v/>
      </c>
      <c r="BL44" s="117" t="str">
        <f>IFERROR((TOWER_DATA[[#This Row],[D, top]]+TOWER_DATA[[#This Row],[D, bottom]])/(2*TOWER_DATA[[#This Row],[t]]/1000),"")</f>
        <v/>
      </c>
      <c r="CA44" s="17"/>
    </row>
    <row r="45" spans="1:79" x14ac:dyDescent="0.25">
      <c r="A45" s="16"/>
      <c r="B45" s="110"/>
      <c r="C45" s="109"/>
      <c r="D45" s="109"/>
      <c r="E45" s="109"/>
      <c r="F45" s="109"/>
      <c r="G45" s="109"/>
      <c r="H45" s="109"/>
      <c r="I45" s="117" t="str">
        <f>IFERROR(MP_DATA[[#This Row],[Top]]-MP_DATA[[#This Row],[Bottom]], "")</f>
        <v/>
      </c>
      <c r="J45" s="117" t="str">
        <f>IFERROR(-(MP_DATA[[#This Row],[D, top]]-MP_DATA[[#This Row],[D, bottom]])/(MP_DATA[[#This Row],[Top]]-MP_DATA[[#This Row],[Bottom]]),"")</f>
        <v/>
      </c>
      <c r="K45" s="117" t="str">
        <f t="shared" si="0"/>
        <v/>
      </c>
      <c r="L45" s="117" t="str">
        <f>IFERROR((MP_DATA[[#This Row],[D, top]]+MP_DATA[[#This Row],[D, bottom]])/(2*MP_DATA[[#This Row],[t]]/1000),"")</f>
        <v/>
      </c>
      <c r="AA45" s="17"/>
      <c r="AI45" s="117" t="str">
        <f>IFERROR(TP_DATA[[#This Row],[Top]]-TP_DATA[[#This Row],[Bottom]], "")</f>
        <v/>
      </c>
      <c r="AJ45" s="117" t="str">
        <f>IFERROR(-(TP_DATA[[#This Row],[D, top]]-TP_DATA[[#This Row],[D, bottom]])/(TP_DATA[[#This Row],[Top]]-TP_DATA[[#This Row],[Bottom]]),"")</f>
        <v/>
      </c>
      <c r="AK45" s="117" t="str">
        <f t="shared" si="1"/>
        <v/>
      </c>
      <c r="AL45" s="117" t="str">
        <f>IFERROR((TP_DATA[[#This Row],[D, top]]+TP_DATA[[#This Row],[D, bottom]])/(2*TP_DATA[[#This Row],[t]]/1000),"")</f>
        <v/>
      </c>
      <c r="BB45" s="16"/>
      <c r="BI45" s="117" t="str">
        <f>IFERROR(TOWER_DATA[[#This Row],[Top]]-TOWER_DATA[[#This Row],[Bottom]], "")</f>
        <v/>
      </c>
      <c r="BJ45" s="117" t="str">
        <f>IFERROR(-(TOWER_DATA[[#This Row],[D, top]]-TOWER_DATA[[#This Row],[D, bottom]])/(TOWER_DATA[[#This Row],[Top]]-TOWER_DATA[[#This Row],[Bottom]]),"")</f>
        <v/>
      </c>
      <c r="BK45" s="117" t="str">
        <f t="shared" si="2"/>
        <v/>
      </c>
      <c r="BL45" s="117" t="str">
        <f>IFERROR((TOWER_DATA[[#This Row],[D, top]]+TOWER_DATA[[#This Row],[D, bottom]])/(2*TOWER_DATA[[#This Row],[t]]/1000),"")</f>
        <v/>
      </c>
      <c r="CA45" s="17"/>
    </row>
    <row r="46" spans="1:79" x14ac:dyDescent="0.25">
      <c r="A46" s="16"/>
      <c r="B46" s="114"/>
      <c r="C46" s="115"/>
      <c r="D46" s="115"/>
      <c r="E46" s="115"/>
      <c r="F46" s="115"/>
      <c r="G46" s="115"/>
      <c r="H46" s="116"/>
      <c r="I46" s="117" t="str">
        <f>IFERROR(MP_DATA[[#This Row],[Top]]-MP_DATA[[#This Row],[Bottom]], "")</f>
        <v/>
      </c>
      <c r="J46" s="117" t="str">
        <f>IFERROR(-(MP_DATA[[#This Row],[D, top]]-MP_DATA[[#This Row],[D, bottom]])/(MP_DATA[[#This Row],[Top]]-MP_DATA[[#This Row],[Bottom]]),"")</f>
        <v/>
      </c>
      <c r="K46" s="117" t="str">
        <f t="shared" si="0"/>
        <v/>
      </c>
      <c r="L46" s="117" t="str">
        <f>IFERROR((MP_DATA[[#This Row],[D, top]]+MP_DATA[[#This Row],[D, bottom]])/(2*MP_DATA[[#This Row],[t]]/1000),"")</f>
        <v/>
      </c>
      <c r="AA46" s="17"/>
      <c r="AI46" s="117" t="str">
        <f>IFERROR(TP_DATA[[#This Row],[Top]]-TP_DATA[[#This Row],[Bottom]], "")</f>
        <v/>
      </c>
      <c r="AJ46" s="117" t="str">
        <f>IFERROR(-(TP_DATA[[#This Row],[D, top]]-TP_DATA[[#This Row],[D, bottom]])/(TP_DATA[[#This Row],[Top]]-TP_DATA[[#This Row],[Bottom]]),"")</f>
        <v/>
      </c>
      <c r="AK46" s="117" t="str">
        <f t="shared" si="1"/>
        <v/>
      </c>
      <c r="AL46" s="117" t="str">
        <f>IFERROR((TP_DATA[[#This Row],[D, top]]+TP_DATA[[#This Row],[D, bottom]])/(2*TP_DATA[[#This Row],[t]]/1000),"")</f>
        <v/>
      </c>
      <c r="BB46" s="16"/>
      <c r="BI46" s="117" t="str">
        <f>IFERROR(TOWER_DATA[[#This Row],[Top]]-TOWER_DATA[[#This Row],[Bottom]], "")</f>
        <v/>
      </c>
      <c r="BJ46" s="117" t="str">
        <f>IFERROR(-(TOWER_DATA[[#This Row],[D, top]]-TOWER_DATA[[#This Row],[D, bottom]])/(TOWER_DATA[[#This Row],[Top]]-TOWER_DATA[[#This Row],[Bottom]]),"")</f>
        <v/>
      </c>
      <c r="BK46" s="117" t="str">
        <f t="shared" si="2"/>
        <v/>
      </c>
      <c r="BL46" s="117" t="str">
        <f>IFERROR((TOWER_DATA[[#This Row],[D, top]]+TOWER_DATA[[#This Row],[D, bottom]])/(2*TOWER_DATA[[#This Row],[t]]/1000),"")</f>
        <v/>
      </c>
      <c r="CA46" s="17"/>
    </row>
    <row r="47" spans="1:79" x14ac:dyDescent="0.25">
      <c r="A47" s="16"/>
      <c r="B47" s="16"/>
      <c r="I47" s="117" t="str">
        <f>IFERROR(MP_DATA[[#This Row],[Top]]-MP_DATA[[#This Row],[Bottom]], "")</f>
        <v/>
      </c>
      <c r="J47" s="117" t="str">
        <f>IFERROR(-(MP_DATA[[#This Row],[D, top]]-MP_DATA[[#This Row],[D, bottom]])/(MP_DATA[[#This Row],[Top]]-MP_DATA[[#This Row],[Bottom]]),"")</f>
        <v/>
      </c>
      <c r="K47" s="117" t="str">
        <f t="shared" si="0"/>
        <v/>
      </c>
      <c r="L47" s="117" t="str">
        <f>IFERROR((MP_DATA[[#This Row],[D, top]]+MP_DATA[[#This Row],[D, bottom]])/(2*MP_DATA[[#This Row],[t]]/1000),"")</f>
        <v/>
      </c>
      <c r="AA47" s="17"/>
      <c r="AI47" s="117" t="str">
        <f>IFERROR(TP_DATA[[#This Row],[Top]]-TP_DATA[[#This Row],[Bottom]], "")</f>
        <v/>
      </c>
      <c r="AJ47" s="117" t="str">
        <f>IFERROR(-(TP_DATA[[#This Row],[D, top]]-TP_DATA[[#This Row],[D, bottom]])/(TP_DATA[[#This Row],[Top]]-TP_DATA[[#This Row],[Bottom]]),"")</f>
        <v/>
      </c>
      <c r="AK47" s="117" t="str">
        <f t="shared" si="1"/>
        <v/>
      </c>
      <c r="AL47" s="117" t="str">
        <f>IFERROR((TP_DATA[[#This Row],[D, top]]+TP_DATA[[#This Row],[D, bottom]])/(2*TP_DATA[[#This Row],[t]]/1000),"")</f>
        <v/>
      </c>
      <c r="BB47" s="16"/>
      <c r="BI47" s="117" t="str">
        <f>IFERROR(TOWER_DATA[[#This Row],[Top]]-TOWER_DATA[[#This Row],[Bottom]], "")</f>
        <v/>
      </c>
      <c r="BJ47" s="117" t="str">
        <f>IFERROR(-(TOWER_DATA[[#This Row],[D, top]]-TOWER_DATA[[#This Row],[D, bottom]])/(TOWER_DATA[[#This Row],[Top]]-TOWER_DATA[[#This Row],[Bottom]]),"")</f>
        <v/>
      </c>
      <c r="BK47" s="117" t="str">
        <f t="shared" si="2"/>
        <v/>
      </c>
      <c r="BL47" s="117" t="str">
        <f>IFERROR((TOWER_DATA[[#This Row],[D, top]]+TOWER_DATA[[#This Row],[D, bottom]])/(2*TOWER_DATA[[#This Row],[t]]/1000),"")</f>
        <v/>
      </c>
      <c r="CA47" s="17"/>
    </row>
    <row r="48" spans="1:79" x14ac:dyDescent="0.25">
      <c r="A48" s="16"/>
      <c r="B48" s="16"/>
      <c r="I48" s="117" t="str">
        <f>IFERROR(MP_DATA[[#This Row],[Top]]-MP_DATA[[#This Row],[Bottom]], "")</f>
        <v/>
      </c>
      <c r="J48" s="117" t="str">
        <f>IFERROR(-(MP_DATA[[#This Row],[D, top]]-MP_DATA[[#This Row],[D, bottom]])/(MP_DATA[[#This Row],[Top]]-MP_DATA[[#This Row],[Bottom]]),"")</f>
        <v/>
      </c>
      <c r="K48" s="117" t="str">
        <f t="shared" si="0"/>
        <v/>
      </c>
      <c r="L48" s="117" t="str">
        <f>IFERROR((MP_DATA[[#This Row],[D, top]]+MP_DATA[[#This Row],[D, bottom]])/(2*MP_DATA[[#This Row],[t]]/1000),"")</f>
        <v/>
      </c>
      <c r="AA48" s="17"/>
      <c r="AI48" s="117" t="str">
        <f>IFERROR(TP_DATA[[#This Row],[Top]]-TP_DATA[[#This Row],[Bottom]], "")</f>
        <v/>
      </c>
      <c r="AJ48" s="117" t="str">
        <f>IFERROR(-(TP_DATA[[#This Row],[D, top]]-TP_DATA[[#This Row],[D, bottom]])/(TP_DATA[[#This Row],[Top]]-TP_DATA[[#This Row],[Bottom]]),"")</f>
        <v/>
      </c>
      <c r="AK48" s="117" t="str">
        <f t="shared" si="1"/>
        <v/>
      </c>
      <c r="AL48" s="117" t="str">
        <f>IFERROR((TP_DATA[[#This Row],[D, top]]+TP_DATA[[#This Row],[D, bottom]])/(2*TP_DATA[[#This Row],[t]]/1000),"")</f>
        <v/>
      </c>
      <c r="BB48" s="16"/>
      <c r="BI48" s="117" t="str">
        <f>IFERROR(TOWER_DATA[[#This Row],[Top]]-TOWER_DATA[[#This Row],[Bottom]], "")</f>
        <v/>
      </c>
      <c r="BJ48" s="117" t="str">
        <f>IFERROR(-(TOWER_DATA[[#This Row],[D, top]]-TOWER_DATA[[#This Row],[D, bottom]])/(TOWER_DATA[[#This Row],[Top]]-TOWER_DATA[[#This Row],[Bottom]]),"")</f>
        <v/>
      </c>
      <c r="BK48" s="117" t="str">
        <f t="shared" si="2"/>
        <v/>
      </c>
      <c r="BL48" s="117" t="str">
        <f>IFERROR((TOWER_DATA[[#This Row],[D, top]]+TOWER_DATA[[#This Row],[D, bottom]])/(2*TOWER_DATA[[#This Row],[t]]/1000),"")</f>
        <v/>
      </c>
      <c r="CA48" s="17"/>
    </row>
    <row r="49" spans="1:79" x14ac:dyDescent="0.25">
      <c r="A49" s="16"/>
      <c r="B49" s="16"/>
      <c r="I49" s="117" t="str">
        <f>IFERROR(MP_DATA[[#This Row],[Top]]-MP_DATA[[#This Row],[Bottom]], "")</f>
        <v/>
      </c>
      <c r="J49" s="117" t="str">
        <f>IFERROR(-(MP_DATA[[#This Row],[D, top]]-MP_DATA[[#This Row],[D, bottom]])/(MP_DATA[[#This Row],[Top]]-MP_DATA[[#This Row],[Bottom]]),"")</f>
        <v/>
      </c>
      <c r="K49" s="117" t="str">
        <f t="shared" si="0"/>
        <v/>
      </c>
      <c r="L49" s="117" t="str">
        <f>IFERROR((MP_DATA[[#This Row],[D, top]]+MP_DATA[[#This Row],[D, bottom]])/(2*MP_DATA[[#This Row],[t]]/1000),"")</f>
        <v/>
      </c>
      <c r="AA49" s="17"/>
      <c r="AI49" s="117" t="str">
        <f>IFERROR(TP_DATA[[#This Row],[Top]]-TP_DATA[[#This Row],[Bottom]], "")</f>
        <v/>
      </c>
      <c r="AJ49" s="117" t="str">
        <f>IFERROR(-(TP_DATA[[#This Row],[D, top]]-TP_DATA[[#This Row],[D, bottom]])/(TP_DATA[[#This Row],[Top]]-TP_DATA[[#This Row],[Bottom]]),"")</f>
        <v/>
      </c>
      <c r="AK49" s="117" t="str">
        <f t="shared" si="1"/>
        <v/>
      </c>
      <c r="AL49" s="117" t="str">
        <f>IFERROR((TP_DATA[[#This Row],[D, top]]+TP_DATA[[#This Row],[D, bottom]])/(2*TP_DATA[[#This Row],[t]]/1000),"")</f>
        <v/>
      </c>
      <c r="BB49" s="16"/>
      <c r="BI49" s="117" t="str">
        <f>IFERROR(TOWER_DATA[[#This Row],[Top]]-TOWER_DATA[[#This Row],[Bottom]], "")</f>
        <v/>
      </c>
      <c r="BJ49" s="117" t="str">
        <f>IFERROR(-(TOWER_DATA[[#This Row],[D, top]]-TOWER_DATA[[#This Row],[D, bottom]])/(TOWER_DATA[[#This Row],[Top]]-TOWER_DATA[[#This Row],[Bottom]]),"")</f>
        <v/>
      </c>
      <c r="BK49" s="117" t="str">
        <f t="shared" si="2"/>
        <v/>
      </c>
      <c r="BL49" s="117" t="str">
        <f>IFERROR((TOWER_DATA[[#This Row],[D, top]]+TOWER_DATA[[#This Row],[D, bottom]])/(2*TOWER_DATA[[#This Row],[t]]/1000),"")</f>
        <v/>
      </c>
      <c r="CA49" s="17"/>
    </row>
    <row r="50" spans="1:79" x14ac:dyDescent="0.25">
      <c r="A50" s="16"/>
      <c r="B50" s="16"/>
      <c r="I50" s="117" t="str">
        <f>IFERROR(MP_DATA[[#This Row],[Top]]-MP_DATA[[#This Row],[Bottom]], "")</f>
        <v/>
      </c>
      <c r="J50" s="117" t="str">
        <f>IFERROR(-(MP_DATA[[#This Row],[D, top]]-MP_DATA[[#This Row],[D, bottom]])/(MP_DATA[[#This Row],[Top]]-MP_DATA[[#This Row],[Bottom]]),"")</f>
        <v/>
      </c>
      <c r="K50" s="117" t="str">
        <f t="shared" si="0"/>
        <v/>
      </c>
      <c r="L50" s="117" t="str">
        <f>IFERROR((MP_DATA[[#This Row],[D, top]]+MP_DATA[[#This Row],[D, bottom]])/(2*MP_DATA[[#This Row],[t]]/1000),"")</f>
        <v/>
      </c>
      <c r="AA50" s="17"/>
      <c r="AI50" s="117" t="str">
        <f>IFERROR(TP_DATA[[#This Row],[Top]]-TP_DATA[[#This Row],[Bottom]], "")</f>
        <v/>
      </c>
      <c r="AJ50" s="117" t="str">
        <f>IFERROR(-(TP_DATA[[#This Row],[D, top]]-TP_DATA[[#This Row],[D, bottom]])/(TP_DATA[[#This Row],[Top]]-TP_DATA[[#This Row],[Bottom]]),"")</f>
        <v/>
      </c>
      <c r="AK50" s="117" t="str">
        <f t="shared" si="1"/>
        <v/>
      </c>
      <c r="AL50" s="117" t="str">
        <f>IFERROR((TP_DATA[[#This Row],[D, top]]+TP_DATA[[#This Row],[D, bottom]])/(2*TP_DATA[[#This Row],[t]]/1000),"")</f>
        <v/>
      </c>
      <c r="BB50" s="16"/>
      <c r="BI50" s="117" t="str">
        <f>IFERROR(TOWER_DATA[[#This Row],[Top]]-TOWER_DATA[[#This Row],[Bottom]], "")</f>
        <v/>
      </c>
      <c r="BJ50" s="117" t="str">
        <f>IFERROR(-(TOWER_DATA[[#This Row],[D, top]]-TOWER_DATA[[#This Row],[D, bottom]])/(TOWER_DATA[[#This Row],[Top]]-TOWER_DATA[[#This Row],[Bottom]]),"")</f>
        <v/>
      </c>
      <c r="BK50" s="117" t="str">
        <f t="shared" si="2"/>
        <v/>
      </c>
      <c r="BL50" s="117" t="str">
        <f>IFERROR((TOWER_DATA[[#This Row],[D, top]]+TOWER_DATA[[#This Row],[D, bottom]])/(2*TOWER_DATA[[#This Row],[t]]/1000),"")</f>
        <v/>
      </c>
      <c r="CA50" s="17"/>
    </row>
    <row r="51" spans="1:79" x14ac:dyDescent="0.25">
      <c r="A51" s="16"/>
      <c r="B51" s="16"/>
      <c r="I51" s="117" t="str">
        <f>IFERROR(MP_DATA[[#This Row],[Top]]-MP_DATA[[#This Row],[Bottom]], "")</f>
        <v/>
      </c>
      <c r="J51" s="117" t="str">
        <f>IFERROR(-(MP_DATA[[#This Row],[D, top]]-MP_DATA[[#This Row],[D, bottom]])/(MP_DATA[[#This Row],[Top]]-MP_DATA[[#This Row],[Bottom]]),"")</f>
        <v/>
      </c>
      <c r="K51" s="117" t="str">
        <f t="shared" si="0"/>
        <v/>
      </c>
      <c r="L51" s="117" t="str">
        <f>IFERROR((MP_DATA[[#This Row],[D, top]]+MP_DATA[[#This Row],[D, bottom]])/(2*MP_DATA[[#This Row],[t]]/1000),"")</f>
        <v/>
      </c>
      <c r="AA51" s="17"/>
      <c r="AI51" s="117" t="str">
        <f>IFERROR(TP_DATA[[#This Row],[Top]]-TP_DATA[[#This Row],[Bottom]], "")</f>
        <v/>
      </c>
      <c r="AJ51" s="117" t="str">
        <f>IFERROR(-(TP_DATA[[#This Row],[D, top]]-TP_DATA[[#This Row],[D, bottom]])/(TP_DATA[[#This Row],[Top]]-TP_DATA[[#This Row],[Bottom]]),"")</f>
        <v/>
      </c>
      <c r="AK51" s="117" t="str">
        <f t="shared" si="1"/>
        <v/>
      </c>
      <c r="AL51" s="117" t="str">
        <f>IFERROR((TP_DATA[[#This Row],[D, top]]+TP_DATA[[#This Row],[D, bottom]])/(2*TP_DATA[[#This Row],[t]]/1000),"")</f>
        <v/>
      </c>
      <c r="BB51" s="16"/>
      <c r="BI51" s="117" t="str">
        <f>IFERROR(TOWER_DATA[[#This Row],[Top]]-TOWER_DATA[[#This Row],[Bottom]], "")</f>
        <v/>
      </c>
      <c r="BJ51" s="117" t="str">
        <f>IFERROR(-(TOWER_DATA[[#This Row],[D, top]]-TOWER_DATA[[#This Row],[D, bottom]])/(TOWER_DATA[[#This Row],[Top]]-TOWER_DATA[[#This Row],[Bottom]]),"")</f>
        <v/>
      </c>
      <c r="BK51" s="117" t="str">
        <f t="shared" si="2"/>
        <v/>
      </c>
      <c r="BL51" s="117" t="str">
        <f>IFERROR((TOWER_DATA[[#This Row],[D, top]]+TOWER_DATA[[#This Row],[D, bottom]])/(2*TOWER_DATA[[#This Row],[t]]/1000),"")</f>
        <v/>
      </c>
      <c r="CA51" s="17"/>
    </row>
    <row r="52" spans="1:79" x14ac:dyDescent="0.25">
      <c r="A52" s="16"/>
      <c r="B52" s="16"/>
      <c r="I52" s="117" t="str">
        <f>IFERROR(MP_DATA[[#This Row],[Top]]-MP_DATA[[#This Row],[Bottom]], "")</f>
        <v/>
      </c>
      <c r="J52" s="117" t="str">
        <f>IFERROR(-(MP_DATA[[#This Row],[D, top]]-MP_DATA[[#This Row],[D, bottom]])/(MP_DATA[[#This Row],[Top]]-MP_DATA[[#This Row],[Bottom]]),"")</f>
        <v/>
      </c>
      <c r="K52" s="117" t="str">
        <f t="shared" si="0"/>
        <v/>
      </c>
      <c r="L52" s="117" t="str">
        <f>IFERROR((MP_DATA[[#This Row],[D, top]]+MP_DATA[[#This Row],[D, bottom]])/(2*MP_DATA[[#This Row],[t]]/1000),"")</f>
        <v/>
      </c>
      <c r="AA52" s="17"/>
      <c r="AI52" s="117" t="str">
        <f>IFERROR(TP_DATA[[#This Row],[Top]]-TP_DATA[[#This Row],[Bottom]], "")</f>
        <v/>
      </c>
      <c r="AJ52" s="117" t="str">
        <f>IFERROR(-(TP_DATA[[#This Row],[D, top]]-TP_DATA[[#This Row],[D, bottom]])/(TP_DATA[[#This Row],[Top]]-TP_DATA[[#This Row],[Bottom]]),"")</f>
        <v/>
      </c>
      <c r="AK52" s="117" t="str">
        <f t="shared" si="1"/>
        <v/>
      </c>
      <c r="AL52" s="117" t="str">
        <f>IFERROR((TP_DATA[[#This Row],[D, top]]+TP_DATA[[#This Row],[D, bottom]])/(2*TP_DATA[[#This Row],[t]]/1000),"")</f>
        <v/>
      </c>
      <c r="BB52" s="16"/>
      <c r="BI52" s="117" t="str">
        <f>IFERROR(TOWER_DATA[[#This Row],[Top]]-TOWER_DATA[[#This Row],[Bottom]], "")</f>
        <v/>
      </c>
      <c r="BJ52" s="117" t="str">
        <f>IFERROR(-(TOWER_DATA[[#This Row],[D, top]]-TOWER_DATA[[#This Row],[D, bottom]])/(TOWER_DATA[[#This Row],[Top]]-TOWER_DATA[[#This Row],[Bottom]]),"")</f>
        <v/>
      </c>
      <c r="BK52" s="117" t="str">
        <f t="shared" si="2"/>
        <v/>
      </c>
      <c r="BL52" s="117" t="str">
        <f>IFERROR((TOWER_DATA[[#This Row],[D, top]]+TOWER_DATA[[#This Row],[D, bottom]])/(2*TOWER_DATA[[#This Row],[t]]/1000),"")</f>
        <v/>
      </c>
      <c r="CA52" s="17"/>
    </row>
    <row r="53" spans="1:79" x14ac:dyDescent="0.25">
      <c r="A53" s="16"/>
      <c r="B53" s="16"/>
      <c r="I53" s="117" t="str">
        <f>IFERROR(MP_DATA[[#This Row],[Top]]-MP_DATA[[#This Row],[Bottom]], "")</f>
        <v/>
      </c>
      <c r="J53" s="117" t="str">
        <f>IFERROR(-(MP_DATA[[#This Row],[D, top]]-MP_DATA[[#This Row],[D, bottom]])/(MP_DATA[[#This Row],[Top]]-MP_DATA[[#This Row],[Bottom]]),"")</f>
        <v/>
      </c>
      <c r="K53" s="117" t="str">
        <f t="shared" si="0"/>
        <v/>
      </c>
      <c r="L53" s="117" t="str">
        <f>IFERROR((MP_DATA[[#This Row],[D, top]]+MP_DATA[[#This Row],[D, bottom]])/(2*MP_DATA[[#This Row],[t]]/1000),"")</f>
        <v/>
      </c>
      <c r="AA53" s="17"/>
      <c r="AI53" s="117" t="str">
        <f>IFERROR(TP_DATA[[#This Row],[Top]]-TP_DATA[[#This Row],[Bottom]], "")</f>
        <v/>
      </c>
      <c r="AJ53" s="117" t="str">
        <f>IFERROR(-(TP_DATA[[#This Row],[D, top]]-TP_DATA[[#This Row],[D, bottom]])/(TP_DATA[[#This Row],[Top]]-TP_DATA[[#This Row],[Bottom]]),"")</f>
        <v/>
      </c>
      <c r="AK53" s="117" t="str">
        <f t="shared" si="1"/>
        <v/>
      </c>
      <c r="AL53" s="117" t="str">
        <f>IFERROR((TP_DATA[[#This Row],[D, top]]+TP_DATA[[#This Row],[D, bottom]])/(2*TP_DATA[[#This Row],[t]]/1000),"")</f>
        <v/>
      </c>
      <c r="BB53" s="16"/>
      <c r="BI53" s="117" t="str">
        <f>IFERROR(TOWER_DATA[[#This Row],[Top]]-TOWER_DATA[[#This Row],[Bottom]], "")</f>
        <v/>
      </c>
      <c r="BJ53" s="117" t="str">
        <f>IFERROR(-(TOWER_DATA[[#This Row],[D, top]]-TOWER_DATA[[#This Row],[D, bottom]])/(TOWER_DATA[[#This Row],[Top]]-TOWER_DATA[[#This Row],[Bottom]]),"")</f>
        <v/>
      </c>
      <c r="BK53" s="117" t="str">
        <f t="shared" si="2"/>
        <v/>
      </c>
      <c r="BL53" s="117" t="str">
        <f>IFERROR((TOWER_DATA[[#This Row],[D, top]]+TOWER_DATA[[#This Row],[D, bottom]])/(2*TOWER_DATA[[#This Row],[t]]/1000),"")</f>
        <v/>
      </c>
      <c r="CA53" s="17"/>
    </row>
    <row r="54" spans="1:79" x14ac:dyDescent="0.25">
      <c r="A54" s="16"/>
      <c r="B54" s="16"/>
      <c r="I54" s="117" t="str">
        <f>IFERROR(MP_DATA[[#This Row],[Top]]-MP_DATA[[#This Row],[Bottom]], "")</f>
        <v/>
      </c>
      <c r="J54" s="117" t="str">
        <f>IFERROR(-(MP_DATA[[#This Row],[D, top]]-MP_DATA[[#This Row],[D, bottom]])/(MP_DATA[[#This Row],[Top]]-MP_DATA[[#This Row],[Bottom]]),"")</f>
        <v/>
      </c>
      <c r="K54" s="117" t="str">
        <f t="shared" si="0"/>
        <v/>
      </c>
      <c r="L54" s="117" t="str">
        <f>IFERROR((MP_DATA[[#This Row],[D, top]]+MP_DATA[[#This Row],[D, bottom]])/(2*MP_DATA[[#This Row],[t]]/1000),"")</f>
        <v/>
      </c>
      <c r="AA54" s="17"/>
      <c r="AI54" s="117" t="str">
        <f>IFERROR(TP_DATA[[#This Row],[Top]]-TP_DATA[[#This Row],[Bottom]], "")</f>
        <v/>
      </c>
      <c r="AJ54" s="117" t="str">
        <f>IFERROR(-(TP_DATA[[#This Row],[D, top]]-TP_DATA[[#This Row],[D, bottom]])/(TP_DATA[[#This Row],[Top]]-TP_DATA[[#This Row],[Bottom]]),"")</f>
        <v/>
      </c>
      <c r="AK54" s="117" t="str">
        <f t="shared" si="1"/>
        <v/>
      </c>
      <c r="AL54" s="117" t="str">
        <f>IFERROR((TP_DATA[[#This Row],[D, top]]+TP_DATA[[#This Row],[D, bottom]])/(2*TP_DATA[[#This Row],[t]]/1000),"")</f>
        <v/>
      </c>
      <c r="BB54" s="16"/>
      <c r="BI54" s="117" t="str">
        <f>IFERROR(TOWER_DATA[[#This Row],[Top]]-TOWER_DATA[[#This Row],[Bottom]], "")</f>
        <v/>
      </c>
      <c r="BJ54" s="117" t="str">
        <f>IFERROR(-(TOWER_DATA[[#This Row],[D, top]]-TOWER_DATA[[#This Row],[D, bottom]])/(TOWER_DATA[[#This Row],[Top]]-TOWER_DATA[[#This Row],[Bottom]]),"")</f>
        <v/>
      </c>
      <c r="BK54" s="117" t="str">
        <f t="shared" si="2"/>
        <v/>
      </c>
      <c r="BL54" s="117" t="str">
        <f>IFERROR((TOWER_DATA[[#This Row],[D, top]]+TOWER_DATA[[#This Row],[D, bottom]])/(2*TOWER_DATA[[#This Row],[t]]/1000),"")</f>
        <v/>
      </c>
      <c r="CA54" s="17"/>
    </row>
    <row r="55" spans="1:79" x14ac:dyDescent="0.25">
      <c r="A55" s="16"/>
      <c r="B55" s="16"/>
      <c r="I55" s="117" t="str">
        <f>IFERROR(MP_DATA[[#This Row],[Top]]-MP_DATA[[#This Row],[Bottom]], "")</f>
        <v/>
      </c>
      <c r="J55" s="117" t="str">
        <f>IFERROR(-(MP_DATA[[#This Row],[D, top]]-MP_DATA[[#This Row],[D, bottom]])/(MP_DATA[[#This Row],[Top]]-MP_DATA[[#This Row],[Bottom]]),"")</f>
        <v/>
      </c>
      <c r="K55" s="117" t="str">
        <f t="shared" si="0"/>
        <v/>
      </c>
      <c r="L55" s="117" t="str">
        <f>IFERROR((MP_DATA[[#This Row],[D, top]]+MP_DATA[[#This Row],[D, bottom]])/(2*MP_DATA[[#This Row],[t]]/1000),"")</f>
        <v/>
      </c>
      <c r="AA55" s="17"/>
      <c r="AI55" s="117" t="str">
        <f>IFERROR(TP_DATA[[#This Row],[Top]]-TP_DATA[[#This Row],[Bottom]], "")</f>
        <v/>
      </c>
      <c r="AJ55" s="117" t="str">
        <f>IFERROR(-(TP_DATA[[#This Row],[D, top]]-TP_DATA[[#This Row],[D, bottom]])/(TP_DATA[[#This Row],[Top]]-TP_DATA[[#This Row],[Bottom]]),"")</f>
        <v/>
      </c>
      <c r="AK55" s="117" t="str">
        <f t="shared" si="1"/>
        <v/>
      </c>
      <c r="AL55" s="117" t="str">
        <f>IFERROR((TP_DATA[[#This Row],[D, top]]+TP_DATA[[#This Row],[D, bottom]])/(2*TP_DATA[[#This Row],[t]]/1000),"")</f>
        <v/>
      </c>
      <c r="BB55" s="16"/>
      <c r="BI55" s="117" t="str">
        <f>IFERROR(TOWER_DATA[[#This Row],[Top]]-TOWER_DATA[[#This Row],[Bottom]], "")</f>
        <v/>
      </c>
      <c r="BJ55" s="117" t="str">
        <f>IFERROR(-(TOWER_DATA[[#This Row],[D, top]]-TOWER_DATA[[#This Row],[D, bottom]])/(TOWER_DATA[[#This Row],[Top]]-TOWER_DATA[[#This Row],[Bottom]]),"")</f>
        <v/>
      </c>
      <c r="BK55" s="117" t="str">
        <f t="shared" si="2"/>
        <v/>
      </c>
      <c r="BL55" s="117" t="str">
        <f>IFERROR((TOWER_DATA[[#This Row],[D, top]]+TOWER_DATA[[#This Row],[D, bottom]])/(2*TOWER_DATA[[#This Row],[t]]/1000),"")</f>
        <v/>
      </c>
      <c r="CA55" s="17"/>
    </row>
    <row r="56" spans="1:79" x14ac:dyDescent="0.25">
      <c r="A56" s="16"/>
      <c r="B56" s="16"/>
      <c r="I56" s="117" t="str">
        <f>IFERROR(MP_DATA[[#This Row],[Top]]-MP_DATA[[#This Row],[Bottom]], "")</f>
        <v/>
      </c>
      <c r="J56" s="117" t="str">
        <f>IFERROR(-(MP_DATA[[#This Row],[D, top]]-MP_DATA[[#This Row],[D, bottom]])/(MP_DATA[[#This Row],[Top]]-MP_DATA[[#This Row],[Bottom]]),"")</f>
        <v/>
      </c>
      <c r="K56" s="117" t="str">
        <f t="shared" si="0"/>
        <v/>
      </c>
      <c r="L56" s="117" t="str">
        <f>IFERROR((MP_DATA[[#This Row],[D, top]]+MP_DATA[[#This Row],[D, bottom]])/(2*MP_DATA[[#This Row],[t]]/1000),"")</f>
        <v/>
      </c>
      <c r="AA56" s="17"/>
      <c r="AI56" s="117" t="str">
        <f>IFERROR(TP_DATA[[#This Row],[Top]]-TP_DATA[[#This Row],[Bottom]], "")</f>
        <v/>
      </c>
      <c r="AJ56" s="117" t="str">
        <f>IFERROR(-(TP_DATA[[#This Row],[D, top]]-TP_DATA[[#This Row],[D, bottom]])/(TP_DATA[[#This Row],[Top]]-TP_DATA[[#This Row],[Bottom]]),"")</f>
        <v/>
      </c>
      <c r="AK56" s="117" t="str">
        <f t="shared" si="1"/>
        <v/>
      </c>
      <c r="AL56" s="117" t="str">
        <f>IFERROR((TP_DATA[[#This Row],[D, top]]+TP_DATA[[#This Row],[D, bottom]])/(2*TP_DATA[[#This Row],[t]]/1000),"")</f>
        <v/>
      </c>
      <c r="BB56" s="16"/>
      <c r="BI56" s="117" t="str">
        <f>IFERROR(TOWER_DATA[[#This Row],[Top]]-TOWER_DATA[[#This Row],[Bottom]], "")</f>
        <v/>
      </c>
      <c r="BJ56" s="117" t="str">
        <f>IFERROR(-(TOWER_DATA[[#This Row],[D, top]]-TOWER_DATA[[#This Row],[D, bottom]])/(TOWER_DATA[[#This Row],[Top]]-TOWER_DATA[[#This Row],[Bottom]]),"")</f>
        <v/>
      </c>
      <c r="BK56" s="117" t="str">
        <f t="shared" si="2"/>
        <v/>
      </c>
      <c r="BL56" s="117" t="str">
        <f>IFERROR((TOWER_DATA[[#This Row],[D, top]]+TOWER_DATA[[#This Row],[D, bottom]])/(2*TOWER_DATA[[#This Row],[t]]/1000),"")</f>
        <v/>
      </c>
      <c r="CA56" s="17"/>
    </row>
    <row r="57" spans="1:79" x14ac:dyDescent="0.25">
      <c r="A57" s="16"/>
      <c r="B57" s="16"/>
      <c r="I57" s="117" t="str">
        <f>IFERROR(MP_DATA[[#This Row],[Top]]-MP_DATA[[#This Row],[Bottom]], "")</f>
        <v/>
      </c>
      <c r="J57" s="117" t="str">
        <f>IFERROR(-(MP_DATA[[#This Row],[D, top]]-MP_DATA[[#This Row],[D, bottom]])/(MP_DATA[[#This Row],[Top]]-MP_DATA[[#This Row],[Bottom]]),"")</f>
        <v/>
      </c>
      <c r="K57" s="117" t="str">
        <f t="shared" si="0"/>
        <v/>
      </c>
      <c r="L57" s="117" t="str">
        <f>IFERROR((MP_DATA[[#This Row],[D, top]]+MP_DATA[[#This Row],[D, bottom]])/(2*MP_DATA[[#This Row],[t]]/1000),"")</f>
        <v/>
      </c>
      <c r="AA57" s="17"/>
      <c r="AI57" s="117" t="str">
        <f>IFERROR(TP_DATA[[#This Row],[Top]]-TP_DATA[[#This Row],[Bottom]], "")</f>
        <v/>
      </c>
      <c r="AJ57" s="117" t="str">
        <f>IFERROR(-(TP_DATA[[#This Row],[D, top]]-TP_DATA[[#This Row],[D, bottom]])/(TP_DATA[[#This Row],[Top]]-TP_DATA[[#This Row],[Bottom]]),"")</f>
        <v/>
      </c>
      <c r="AK57" s="117" t="str">
        <f t="shared" si="1"/>
        <v/>
      </c>
      <c r="AL57" s="117" t="str">
        <f>IFERROR((TP_DATA[[#This Row],[D, top]]+TP_DATA[[#This Row],[D, bottom]])/(2*TP_DATA[[#This Row],[t]]/1000),"")</f>
        <v/>
      </c>
      <c r="BB57" s="16"/>
      <c r="BI57" s="117" t="str">
        <f>IFERROR(TOWER_DATA[[#This Row],[Top]]-TOWER_DATA[[#This Row],[Bottom]], "")</f>
        <v/>
      </c>
      <c r="BJ57" s="117" t="str">
        <f>IFERROR(-(TOWER_DATA[[#This Row],[D, top]]-TOWER_DATA[[#This Row],[D, bottom]])/(TOWER_DATA[[#This Row],[Top]]-TOWER_DATA[[#This Row],[Bottom]]),"")</f>
        <v/>
      </c>
      <c r="BK57" s="117" t="str">
        <f t="shared" si="2"/>
        <v/>
      </c>
      <c r="BL57" s="117" t="str">
        <f>IFERROR((TOWER_DATA[[#This Row],[D, top]]+TOWER_DATA[[#This Row],[D, bottom]])/(2*TOWER_DATA[[#This Row],[t]]/1000),"")</f>
        <v/>
      </c>
      <c r="CA57" s="17"/>
    </row>
    <row r="58" spans="1:79" x14ac:dyDescent="0.25">
      <c r="A58" s="16"/>
      <c r="B58" s="16"/>
      <c r="I58" s="117" t="str">
        <f>IFERROR(MP_DATA[[#This Row],[Top]]-MP_DATA[[#This Row],[Bottom]], "")</f>
        <v/>
      </c>
      <c r="J58" s="117" t="str">
        <f>IFERROR(-(MP_DATA[[#This Row],[D, top]]-MP_DATA[[#This Row],[D, bottom]])/(MP_DATA[[#This Row],[Top]]-MP_DATA[[#This Row],[Bottom]]),"")</f>
        <v/>
      </c>
      <c r="K58" s="117" t="str">
        <f t="shared" si="0"/>
        <v/>
      </c>
      <c r="L58" s="117" t="str">
        <f>IFERROR((MP_DATA[[#This Row],[D, top]]+MP_DATA[[#This Row],[D, bottom]])/(2*MP_DATA[[#This Row],[t]]/1000),"")</f>
        <v/>
      </c>
      <c r="AA58" s="17"/>
      <c r="AI58" s="117" t="str">
        <f>IFERROR(TP_DATA[[#This Row],[Top]]-TP_DATA[[#This Row],[Bottom]], "")</f>
        <v/>
      </c>
      <c r="AJ58" s="117" t="str">
        <f>IFERROR(-(TP_DATA[[#This Row],[D, top]]-TP_DATA[[#This Row],[D, bottom]])/(TP_DATA[[#This Row],[Top]]-TP_DATA[[#This Row],[Bottom]]),"")</f>
        <v/>
      </c>
      <c r="AK58" s="117" t="str">
        <f t="shared" si="1"/>
        <v/>
      </c>
      <c r="AL58" s="117" t="str">
        <f>IFERROR((TP_DATA[[#This Row],[D, top]]+TP_DATA[[#This Row],[D, bottom]])/(2*TP_DATA[[#This Row],[t]]/1000),"")</f>
        <v/>
      </c>
      <c r="BB58" s="16"/>
      <c r="BI58" s="117" t="str">
        <f>IFERROR(TOWER_DATA[[#This Row],[Top]]-TOWER_DATA[[#This Row],[Bottom]], "")</f>
        <v/>
      </c>
      <c r="BJ58" s="117" t="str">
        <f>IFERROR(-(TOWER_DATA[[#This Row],[D, top]]-TOWER_DATA[[#This Row],[D, bottom]])/(TOWER_DATA[[#This Row],[Top]]-TOWER_DATA[[#This Row],[Bottom]]),"")</f>
        <v/>
      </c>
      <c r="BK58" s="117" t="str">
        <f t="shared" si="2"/>
        <v/>
      </c>
      <c r="BL58" s="117" t="str">
        <f>IFERROR((TOWER_DATA[[#This Row],[D, top]]+TOWER_DATA[[#This Row],[D, bottom]])/(2*TOWER_DATA[[#This Row],[t]]/1000),"")</f>
        <v/>
      </c>
      <c r="CA58" s="17"/>
    </row>
    <row r="59" spans="1:79" x14ac:dyDescent="0.25">
      <c r="A59" s="16"/>
      <c r="B59" s="16"/>
      <c r="I59" s="117" t="str">
        <f>IFERROR(MP_DATA[[#This Row],[Top]]-MP_DATA[[#This Row],[Bottom]], "")</f>
        <v/>
      </c>
      <c r="J59" s="117" t="str">
        <f>IFERROR(-(MP_DATA[[#This Row],[D, top]]-MP_DATA[[#This Row],[D, bottom]])/(MP_DATA[[#This Row],[Top]]-MP_DATA[[#This Row],[Bottom]]),"")</f>
        <v/>
      </c>
      <c r="K59" s="117" t="str">
        <f t="shared" si="0"/>
        <v/>
      </c>
      <c r="L59" s="117" t="str">
        <f>IFERROR((MP_DATA[[#This Row],[D, top]]+MP_DATA[[#This Row],[D, bottom]])/(2*MP_DATA[[#This Row],[t]]/1000),"")</f>
        <v/>
      </c>
      <c r="AA59" s="17"/>
      <c r="AI59" s="117" t="str">
        <f>IFERROR(TP_DATA[[#This Row],[Top]]-TP_DATA[[#This Row],[Bottom]], "")</f>
        <v/>
      </c>
      <c r="AJ59" s="117" t="str">
        <f>IFERROR(-(TP_DATA[[#This Row],[D, top]]-TP_DATA[[#This Row],[D, bottom]])/(TP_DATA[[#This Row],[Top]]-TP_DATA[[#This Row],[Bottom]]),"")</f>
        <v/>
      </c>
      <c r="AK59" s="117" t="str">
        <f t="shared" si="1"/>
        <v/>
      </c>
      <c r="AL59" s="117" t="str">
        <f>IFERROR((TP_DATA[[#This Row],[D, top]]+TP_DATA[[#This Row],[D, bottom]])/(2*TP_DATA[[#This Row],[t]]/1000),"")</f>
        <v/>
      </c>
      <c r="BB59" s="16"/>
      <c r="BI59" s="117" t="str">
        <f>IFERROR(TOWER_DATA[[#This Row],[Top]]-TOWER_DATA[[#This Row],[Bottom]], "")</f>
        <v/>
      </c>
      <c r="BJ59" s="117" t="str">
        <f>IFERROR(-(TOWER_DATA[[#This Row],[D, top]]-TOWER_DATA[[#This Row],[D, bottom]])/(TOWER_DATA[[#This Row],[Top]]-TOWER_DATA[[#This Row],[Bottom]]),"")</f>
        <v/>
      </c>
      <c r="BK59" s="117" t="str">
        <f t="shared" si="2"/>
        <v/>
      </c>
      <c r="BL59" s="117" t="str">
        <f>IFERROR((TOWER_DATA[[#This Row],[D, top]]+TOWER_DATA[[#This Row],[D, bottom]])/(2*TOWER_DATA[[#This Row],[t]]/1000),"")</f>
        <v/>
      </c>
      <c r="CA59" s="17"/>
    </row>
    <row r="60" spans="1:79" x14ac:dyDescent="0.25">
      <c r="A60" s="16"/>
      <c r="B60" s="16"/>
      <c r="I60" s="117" t="str">
        <f>IFERROR(MP_DATA[[#This Row],[Top]]-MP_DATA[[#This Row],[Bottom]], "")</f>
        <v/>
      </c>
      <c r="J60" s="117" t="str">
        <f>IFERROR(-(MP_DATA[[#This Row],[D, top]]-MP_DATA[[#This Row],[D, bottom]])/(MP_DATA[[#This Row],[Top]]-MP_DATA[[#This Row],[Bottom]]),"")</f>
        <v/>
      </c>
      <c r="K60" s="117" t="str">
        <f t="shared" si="0"/>
        <v/>
      </c>
      <c r="L60" s="117" t="str">
        <f>IFERROR((MP_DATA[[#This Row],[D, top]]+MP_DATA[[#This Row],[D, bottom]])/(2*MP_DATA[[#This Row],[t]]/1000),"")</f>
        <v/>
      </c>
      <c r="AA60" s="17"/>
      <c r="AI60" s="117" t="str">
        <f>IFERROR(TP_DATA[[#This Row],[Top]]-TP_DATA[[#This Row],[Bottom]], "")</f>
        <v/>
      </c>
      <c r="AJ60" s="117" t="str">
        <f>IFERROR(-(TP_DATA[[#This Row],[D, top]]-TP_DATA[[#This Row],[D, bottom]])/(TP_DATA[[#This Row],[Top]]-TP_DATA[[#This Row],[Bottom]]),"")</f>
        <v/>
      </c>
      <c r="AK60" s="117" t="str">
        <f t="shared" si="1"/>
        <v/>
      </c>
      <c r="AL60" s="117" t="str">
        <f>IFERROR((TP_DATA[[#This Row],[D, top]]+TP_DATA[[#This Row],[D, bottom]])/(2*TP_DATA[[#This Row],[t]]/1000),"")</f>
        <v/>
      </c>
      <c r="BB60" s="16"/>
      <c r="BI60" s="117" t="str">
        <f>IFERROR(TOWER_DATA[[#This Row],[Top]]-TOWER_DATA[[#This Row],[Bottom]], "")</f>
        <v/>
      </c>
      <c r="BJ60" s="117" t="str">
        <f>IFERROR(-(TOWER_DATA[[#This Row],[D, top]]-TOWER_DATA[[#This Row],[D, bottom]])/(TOWER_DATA[[#This Row],[Top]]-TOWER_DATA[[#This Row],[Bottom]]),"")</f>
        <v/>
      </c>
      <c r="BK60" s="117" t="str">
        <f t="shared" si="2"/>
        <v/>
      </c>
      <c r="BL60" s="117" t="str">
        <f>IFERROR((TOWER_DATA[[#This Row],[D, top]]+TOWER_DATA[[#This Row],[D, bottom]])/(2*TOWER_DATA[[#This Row],[t]]/1000),"")</f>
        <v/>
      </c>
      <c r="CA60" s="17"/>
    </row>
    <row r="61" spans="1:79" x14ac:dyDescent="0.25">
      <c r="A61" s="16"/>
      <c r="B61" s="16"/>
      <c r="I61" s="117" t="str">
        <f>IFERROR(MP_DATA[[#This Row],[Top]]-MP_DATA[[#This Row],[Bottom]], "")</f>
        <v/>
      </c>
      <c r="J61" s="117" t="str">
        <f>IFERROR(-(MP_DATA[[#This Row],[D, top]]-MP_DATA[[#This Row],[D, bottom]])/(MP_DATA[[#This Row],[Top]]-MP_DATA[[#This Row],[Bottom]]),"")</f>
        <v/>
      </c>
      <c r="K61" s="117" t="str">
        <f t="shared" si="0"/>
        <v/>
      </c>
      <c r="L61" s="117" t="str">
        <f>IFERROR((MP_DATA[[#This Row],[D, top]]+MP_DATA[[#This Row],[D, bottom]])/(2*MP_DATA[[#This Row],[t]]/1000),"")</f>
        <v/>
      </c>
      <c r="AA61" s="17"/>
      <c r="AI61" s="117" t="str">
        <f>IFERROR(TP_DATA[[#This Row],[Top]]-TP_DATA[[#This Row],[Bottom]], "")</f>
        <v/>
      </c>
      <c r="AJ61" s="117" t="str">
        <f>IFERROR(-(TP_DATA[[#This Row],[D, top]]-TP_DATA[[#This Row],[D, bottom]])/(TP_DATA[[#This Row],[Top]]-TP_DATA[[#This Row],[Bottom]]),"")</f>
        <v/>
      </c>
      <c r="AK61" s="117" t="str">
        <f t="shared" si="1"/>
        <v/>
      </c>
      <c r="AL61" s="117" t="str">
        <f>IFERROR((TP_DATA[[#This Row],[D, top]]+TP_DATA[[#This Row],[D, bottom]])/(2*TP_DATA[[#This Row],[t]]/1000),"")</f>
        <v/>
      </c>
      <c r="BB61" s="16"/>
      <c r="BI61" s="117" t="str">
        <f>IFERROR(TOWER_DATA[[#This Row],[Top]]-TOWER_DATA[[#This Row],[Bottom]], "")</f>
        <v/>
      </c>
      <c r="BJ61" s="117" t="str">
        <f>IFERROR(-(TOWER_DATA[[#This Row],[D, top]]-TOWER_DATA[[#This Row],[D, bottom]])/(TOWER_DATA[[#This Row],[Top]]-TOWER_DATA[[#This Row],[Bottom]]),"")</f>
        <v/>
      </c>
      <c r="BK61" s="117" t="str">
        <f t="shared" si="2"/>
        <v/>
      </c>
      <c r="BL61" s="117" t="str">
        <f>IFERROR((TOWER_DATA[[#This Row],[D, top]]+TOWER_DATA[[#This Row],[D, bottom]])/(2*TOWER_DATA[[#This Row],[t]]/1000),"")</f>
        <v/>
      </c>
      <c r="CA61" s="17"/>
    </row>
    <row r="62" spans="1:79" x14ac:dyDescent="0.25">
      <c r="A62" s="16"/>
      <c r="B62" s="16"/>
      <c r="I62" s="117" t="str">
        <f>IFERROR(MP_DATA[[#This Row],[Top]]-MP_DATA[[#This Row],[Bottom]], "")</f>
        <v/>
      </c>
      <c r="J62" s="117" t="str">
        <f>IFERROR(-(MP_DATA[[#This Row],[D, top]]-MP_DATA[[#This Row],[D, bottom]])/(MP_DATA[[#This Row],[Top]]-MP_DATA[[#This Row],[Bottom]]),"")</f>
        <v/>
      </c>
      <c r="K62" s="117" t="str">
        <f t="shared" si="0"/>
        <v/>
      </c>
      <c r="L62" s="117" t="str">
        <f>IFERROR((MP_DATA[[#This Row],[D, top]]+MP_DATA[[#This Row],[D, bottom]])/(2*MP_DATA[[#This Row],[t]]/1000),"")</f>
        <v/>
      </c>
      <c r="AA62" s="17"/>
      <c r="AI62" s="117" t="str">
        <f>IFERROR(TP_DATA[[#This Row],[Top]]-TP_DATA[[#This Row],[Bottom]], "")</f>
        <v/>
      </c>
      <c r="AJ62" s="117" t="str">
        <f>IFERROR(-(TP_DATA[[#This Row],[D, top]]-TP_DATA[[#This Row],[D, bottom]])/(TP_DATA[[#This Row],[Top]]-TP_DATA[[#This Row],[Bottom]]),"")</f>
        <v/>
      </c>
      <c r="AK62" s="117" t="str">
        <f t="shared" si="1"/>
        <v/>
      </c>
      <c r="AL62" s="117" t="str">
        <f>IFERROR((TP_DATA[[#This Row],[D, top]]+TP_DATA[[#This Row],[D, bottom]])/(2*TP_DATA[[#This Row],[t]]/1000),"")</f>
        <v/>
      </c>
      <c r="BB62" s="16"/>
      <c r="BI62" s="117" t="str">
        <f>IFERROR(TOWER_DATA[[#This Row],[Top]]-TOWER_DATA[[#This Row],[Bottom]], "")</f>
        <v/>
      </c>
      <c r="BJ62" s="117" t="str">
        <f>IFERROR(-(TOWER_DATA[[#This Row],[D, top]]-TOWER_DATA[[#This Row],[D, bottom]])/(TOWER_DATA[[#This Row],[Top]]-TOWER_DATA[[#This Row],[Bottom]]),"")</f>
        <v/>
      </c>
      <c r="BK62" s="117" t="str">
        <f t="shared" si="2"/>
        <v/>
      </c>
      <c r="BL62" s="117" t="str">
        <f>IFERROR((TOWER_DATA[[#This Row],[D, top]]+TOWER_DATA[[#This Row],[D, bottom]])/(2*TOWER_DATA[[#This Row],[t]]/1000),"")</f>
        <v/>
      </c>
      <c r="CA62" s="17"/>
    </row>
    <row r="63" spans="1:79" x14ac:dyDescent="0.25">
      <c r="A63" s="16"/>
      <c r="B63" s="16"/>
      <c r="I63" s="117" t="str">
        <f>IFERROR(MP_DATA[[#This Row],[Top]]-MP_DATA[[#This Row],[Bottom]], "")</f>
        <v/>
      </c>
      <c r="J63" s="117" t="str">
        <f>IFERROR(-(MP_DATA[[#This Row],[D, top]]-MP_DATA[[#This Row],[D, bottom]])/(MP_DATA[[#This Row],[Top]]-MP_DATA[[#This Row],[Bottom]]),"")</f>
        <v/>
      </c>
      <c r="K63" s="117" t="str">
        <f t="shared" si="0"/>
        <v/>
      </c>
      <c r="L63" s="117" t="str">
        <f>IFERROR((MP_DATA[[#This Row],[D, top]]+MP_DATA[[#This Row],[D, bottom]])/(2*MP_DATA[[#This Row],[t]]/1000),"")</f>
        <v/>
      </c>
      <c r="AA63" s="17"/>
      <c r="AI63" s="117" t="str">
        <f>IFERROR(TP_DATA[[#This Row],[Top]]-TP_DATA[[#This Row],[Bottom]], "")</f>
        <v/>
      </c>
      <c r="AJ63" s="117" t="str">
        <f>IFERROR(-(TP_DATA[[#This Row],[D, top]]-TP_DATA[[#This Row],[D, bottom]])/(TP_DATA[[#This Row],[Top]]-TP_DATA[[#This Row],[Bottom]]),"")</f>
        <v/>
      </c>
      <c r="AK63" s="117" t="str">
        <f t="shared" si="1"/>
        <v/>
      </c>
      <c r="AL63" s="117" t="str">
        <f>IFERROR((TP_DATA[[#This Row],[D, top]]+TP_DATA[[#This Row],[D, bottom]])/(2*TP_DATA[[#This Row],[t]]/1000),"")</f>
        <v/>
      </c>
      <c r="BB63" s="16"/>
      <c r="BI63" s="117" t="str">
        <f>IFERROR(TOWER_DATA[[#This Row],[Top]]-TOWER_DATA[[#This Row],[Bottom]], "")</f>
        <v/>
      </c>
      <c r="BJ63" s="117" t="str">
        <f>IFERROR(-(TOWER_DATA[[#This Row],[D, top]]-TOWER_DATA[[#This Row],[D, bottom]])/(TOWER_DATA[[#This Row],[Top]]-TOWER_DATA[[#This Row],[Bottom]]),"")</f>
        <v/>
      </c>
      <c r="BK63" s="117" t="str">
        <f t="shared" si="2"/>
        <v/>
      </c>
      <c r="BL63" s="117" t="str">
        <f>IFERROR((TOWER_DATA[[#This Row],[D, top]]+TOWER_DATA[[#This Row],[D, bottom]])/(2*TOWER_DATA[[#This Row],[t]]/1000),"")</f>
        <v/>
      </c>
      <c r="CA63" s="17"/>
    </row>
    <row r="64" spans="1:79" x14ac:dyDescent="0.25">
      <c r="A64" s="16"/>
      <c r="B64" s="16"/>
      <c r="I64" s="117" t="str">
        <f>IFERROR(MP_DATA[[#This Row],[Top]]-MP_DATA[[#This Row],[Bottom]], "")</f>
        <v/>
      </c>
      <c r="J64" s="117" t="str">
        <f>IFERROR(-(MP_DATA[[#This Row],[D, top]]-MP_DATA[[#This Row],[D, bottom]])/(MP_DATA[[#This Row],[Top]]-MP_DATA[[#This Row],[Bottom]]),"")</f>
        <v/>
      </c>
      <c r="K64" s="117" t="str">
        <f t="shared" si="0"/>
        <v/>
      </c>
      <c r="L64" s="117" t="str">
        <f>IFERROR((MP_DATA[[#This Row],[D, top]]+MP_DATA[[#This Row],[D, bottom]])/(2*MP_DATA[[#This Row],[t]]/1000),"")</f>
        <v/>
      </c>
      <c r="AA64" s="17"/>
      <c r="AI64" s="117" t="str">
        <f>IFERROR(TP_DATA[[#This Row],[Top]]-TP_DATA[[#This Row],[Bottom]], "")</f>
        <v/>
      </c>
      <c r="AJ64" s="117" t="str">
        <f>IFERROR(-(TP_DATA[[#This Row],[D, top]]-TP_DATA[[#This Row],[D, bottom]])/(TP_DATA[[#This Row],[Top]]-TP_DATA[[#This Row],[Bottom]]),"")</f>
        <v/>
      </c>
      <c r="AK64" s="117" t="str">
        <f t="shared" si="1"/>
        <v/>
      </c>
      <c r="AL64" s="117" t="str">
        <f>IFERROR((TP_DATA[[#This Row],[D, top]]+TP_DATA[[#This Row],[D, bottom]])/(2*TP_DATA[[#This Row],[t]]/1000),"")</f>
        <v/>
      </c>
      <c r="BB64" s="16"/>
      <c r="BI64" s="117" t="str">
        <f>IFERROR(TOWER_DATA[[#This Row],[Top]]-TOWER_DATA[[#This Row],[Bottom]], "")</f>
        <v/>
      </c>
      <c r="BJ64" s="117" t="str">
        <f>IFERROR(-(TOWER_DATA[[#This Row],[D, top]]-TOWER_DATA[[#This Row],[D, bottom]])/(TOWER_DATA[[#This Row],[Top]]-TOWER_DATA[[#This Row],[Bottom]]),"")</f>
        <v/>
      </c>
      <c r="BK64" s="117" t="str">
        <f t="shared" si="2"/>
        <v/>
      </c>
      <c r="BL64" s="117" t="str">
        <f>IFERROR((TOWER_DATA[[#This Row],[D, top]]+TOWER_DATA[[#This Row],[D, bottom]])/(2*TOWER_DATA[[#This Row],[t]]/1000),"")</f>
        <v/>
      </c>
      <c r="CA64" s="17"/>
    </row>
    <row r="65" spans="1:79" x14ac:dyDescent="0.25">
      <c r="A65" s="16"/>
      <c r="B65" s="16"/>
      <c r="I65" s="117" t="str">
        <f>IFERROR(MP_DATA[[#This Row],[Top]]-MP_DATA[[#This Row],[Bottom]], "")</f>
        <v/>
      </c>
      <c r="J65" s="117" t="str">
        <f>IFERROR(-(MP_DATA[[#This Row],[D, top]]-MP_DATA[[#This Row],[D, bottom]])/(MP_DATA[[#This Row],[Top]]-MP_DATA[[#This Row],[Bottom]]),"")</f>
        <v/>
      </c>
      <c r="K65" s="117" t="str">
        <f t="shared" si="0"/>
        <v/>
      </c>
      <c r="L65" s="117" t="str">
        <f>IFERROR((MP_DATA[[#This Row],[D, top]]+MP_DATA[[#This Row],[D, bottom]])/(2*MP_DATA[[#This Row],[t]]/1000),"")</f>
        <v/>
      </c>
      <c r="AA65" s="17"/>
      <c r="AI65" s="117" t="str">
        <f>IFERROR(TP_DATA[[#This Row],[Top]]-TP_DATA[[#This Row],[Bottom]], "")</f>
        <v/>
      </c>
      <c r="AJ65" s="117" t="str">
        <f>IFERROR(-(TP_DATA[[#This Row],[D, top]]-TP_DATA[[#This Row],[D, bottom]])/(TP_DATA[[#This Row],[Top]]-TP_DATA[[#This Row],[Bottom]]),"")</f>
        <v/>
      </c>
      <c r="AK65" s="117" t="str">
        <f t="shared" si="1"/>
        <v/>
      </c>
      <c r="AL65" s="117" t="str">
        <f>IFERROR((TP_DATA[[#This Row],[D, top]]+TP_DATA[[#This Row],[D, bottom]])/(2*TP_DATA[[#This Row],[t]]/1000),"")</f>
        <v/>
      </c>
      <c r="BB65" s="16"/>
      <c r="BI65" s="117" t="str">
        <f>IFERROR(TOWER_DATA[[#This Row],[Top]]-TOWER_DATA[[#This Row],[Bottom]], "")</f>
        <v/>
      </c>
      <c r="BJ65" s="117" t="str">
        <f>IFERROR(-(TOWER_DATA[[#This Row],[D, top]]-TOWER_DATA[[#This Row],[D, bottom]])/(TOWER_DATA[[#This Row],[Top]]-TOWER_DATA[[#This Row],[Bottom]]),"")</f>
        <v/>
      </c>
      <c r="BK65" s="117" t="str">
        <f t="shared" si="2"/>
        <v/>
      </c>
      <c r="BL65" s="117" t="str">
        <f>IFERROR((TOWER_DATA[[#This Row],[D, top]]+TOWER_DATA[[#This Row],[D, bottom]])/(2*TOWER_DATA[[#This Row],[t]]/1000),"")</f>
        <v/>
      </c>
      <c r="CA65" s="17"/>
    </row>
    <row r="66" spans="1:79" x14ac:dyDescent="0.25">
      <c r="A66" s="16"/>
      <c r="B66" s="16"/>
      <c r="I66" s="117" t="str">
        <f>IFERROR(MP_DATA[[#This Row],[Top]]-MP_DATA[[#This Row],[Bottom]], "")</f>
        <v/>
      </c>
      <c r="J66" s="117" t="str">
        <f>IFERROR(-(MP_DATA[[#This Row],[D, top]]-MP_DATA[[#This Row],[D, bottom]])/(MP_DATA[[#This Row],[Top]]-MP_DATA[[#This Row],[Bottom]]),"")</f>
        <v/>
      </c>
      <c r="K66" s="117" t="str">
        <f t="shared" si="0"/>
        <v/>
      </c>
      <c r="L66" s="117" t="str">
        <f>IFERROR((MP_DATA[[#This Row],[D, top]]+MP_DATA[[#This Row],[D, bottom]])/(2*MP_DATA[[#This Row],[t]]/1000),"")</f>
        <v/>
      </c>
      <c r="AA66" s="17"/>
      <c r="AI66" s="117" t="str">
        <f>IFERROR(TP_DATA[[#This Row],[Top]]-TP_DATA[[#This Row],[Bottom]], "")</f>
        <v/>
      </c>
      <c r="AJ66" s="117" t="str">
        <f>IFERROR(-(TP_DATA[[#This Row],[D, top]]-TP_DATA[[#This Row],[D, bottom]])/(TP_DATA[[#This Row],[Top]]-TP_DATA[[#This Row],[Bottom]]),"")</f>
        <v/>
      </c>
      <c r="AK66" s="117" t="str">
        <f t="shared" si="1"/>
        <v/>
      </c>
      <c r="AL66" s="117" t="str">
        <f>IFERROR((TP_DATA[[#This Row],[D, top]]+TP_DATA[[#This Row],[D, bottom]])/(2*TP_DATA[[#This Row],[t]]/1000),"")</f>
        <v/>
      </c>
      <c r="BB66" s="16"/>
      <c r="BI66" s="117" t="str">
        <f>IFERROR(TOWER_DATA[[#This Row],[Top]]-TOWER_DATA[[#This Row],[Bottom]], "")</f>
        <v/>
      </c>
      <c r="BJ66" s="117" t="str">
        <f>IFERROR(-(TOWER_DATA[[#This Row],[D, top]]-TOWER_DATA[[#This Row],[D, bottom]])/(TOWER_DATA[[#This Row],[Top]]-TOWER_DATA[[#This Row],[Bottom]]),"")</f>
        <v/>
      </c>
      <c r="BK66" s="117" t="str">
        <f t="shared" si="2"/>
        <v/>
      </c>
      <c r="BL66" s="117" t="str">
        <f>IFERROR((TOWER_DATA[[#This Row],[D, top]]+TOWER_DATA[[#This Row],[D, bottom]])/(2*TOWER_DATA[[#This Row],[t]]/1000),"")</f>
        <v/>
      </c>
      <c r="CA66" s="17"/>
    </row>
    <row r="67" spans="1:79" x14ac:dyDescent="0.25">
      <c r="A67" s="16"/>
      <c r="B67" s="16"/>
      <c r="I67" s="117" t="str">
        <f>IFERROR(MP_DATA[[#This Row],[Top]]-MP_DATA[[#This Row],[Bottom]], "")</f>
        <v/>
      </c>
      <c r="J67" s="117" t="str">
        <f>IFERROR(-(MP_DATA[[#This Row],[D, top]]-MP_DATA[[#This Row],[D, bottom]])/(MP_DATA[[#This Row],[Top]]-MP_DATA[[#This Row],[Bottom]]),"")</f>
        <v/>
      </c>
      <c r="K67" s="117" t="str">
        <f t="shared" si="0"/>
        <v/>
      </c>
      <c r="L67" s="117" t="str">
        <f>IFERROR((MP_DATA[[#This Row],[D, top]]+MP_DATA[[#This Row],[D, bottom]])/(2*MP_DATA[[#This Row],[t]]/1000),"")</f>
        <v/>
      </c>
      <c r="AA67" s="17"/>
      <c r="AI67" s="117" t="str">
        <f>IFERROR(TP_DATA[[#This Row],[Top]]-TP_DATA[[#This Row],[Bottom]], "")</f>
        <v/>
      </c>
      <c r="AJ67" s="117" t="str">
        <f>IFERROR(-(TP_DATA[[#This Row],[D, top]]-TP_DATA[[#This Row],[D, bottom]])/(TP_DATA[[#This Row],[Top]]-TP_DATA[[#This Row],[Bottom]]),"")</f>
        <v/>
      </c>
      <c r="AK67" s="117" t="str">
        <f t="shared" si="1"/>
        <v/>
      </c>
      <c r="AL67" s="117" t="str">
        <f>IFERROR((TP_DATA[[#This Row],[D, top]]+TP_DATA[[#This Row],[D, bottom]])/(2*TP_DATA[[#This Row],[t]]/1000),"")</f>
        <v/>
      </c>
      <c r="BB67" s="16"/>
      <c r="BI67" s="117" t="str">
        <f>IFERROR(TOWER_DATA[[#This Row],[Top]]-TOWER_DATA[[#This Row],[Bottom]], "")</f>
        <v/>
      </c>
      <c r="BJ67" s="117" t="str">
        <f>IFERROR(-(TOWER_DATA[[#This Row],[D, top]]-TOWER_DATA[[#This Row],[D, bottom]])/(TOWER_DATA[[#This Row],[Top]]-TOWER_DATA[[#This Row],[Bottom]]),"")</f>
        <v/>
      </c>
      <c r="BK67" s="117" t="str">
        <f t="shared" si="2"/>
        <v/>
      </c>
      <c r="BL67" s="117" t="str">
        <f>IFERROR((TOWER_DATA[[#This Row],[D, top]]+TOWER_DATA[[#This Row],[D, bottom]])/(2*TOWER_DATA[[#This Row],[t]]/1000),"")</f>
        <v/>
      </c>
      <c r="CA67" s="17"/>
    </row>
    <row r="68" spans="1:79" x14ac:dyDescent="0.25">
      <c r="A68" s="16"/>
      <c r="B68" s="16"/>
      <c r="I68" s="117" t="str">
        <f>IFERROR(MP_DATA[[#This Row],[Top]]-MP_DATA[[#This Row],[Bottom]], "")</f>
        <v/>
      </c>
      <c r="J68" s="117" t="str">
        <f>IFERROR(-(MP_DATA[[#This Row],[D, top]]-MP_DATA[[#This Row],[D, bottom]])/(MP_DATA[[#This Row],[Top]]-MP_DATA[[#This Row],[Bottom]]),"")</f>
        <v/>
      </c>
      <c r="K68" s="117" t="str">
        <f t="shared" si="0"/>
        <v/>
      </c>
      <c r="L68" s="117" t="str">
        <f>IFERROR((MP_DATA[[#This Row],[D, top]]+MP_DATA[[#This Row],[D, bottom]])/(2*MP_DATA[[#This Row],[t]]/1000),"")</f>
        <v/>
      </c>
      <c r="AA68" s="17"/>
      <c r="AI68" s="117" t="str">
        <f>IFERROR(TP_DATA[[#This Row],[Top]]-TP_DATA[[#This Row],[Bottom]], "")</f>
        <v/>
      </c>
      <c r="AJ68" s="117" t="str">
        <f>IFERROR(-(TP_DATA[[#This Row],[D, top]]-TP_DATA[[#This Row],[D, bottom]])/(TP_DATA[[#This Row],[Top]]-TP_DATA[[#This Row],[Bottom]]),"")</f>
        <v/>
      </c>
      <c r="AK68" s="117" t="str">
        <f t="shared" si="1"/>
        <v/>
      </c>
      <c r="AL68" s="117" t="str">
        <f>IFERROR((TP_DATA[[#This Row],[D, top]]+TP_DATA[[#This Row],[D, bottom]])/(2*TP_DATA[[#This Row],[t]]/1000),"")</f>
        <v/>
      </c>
      <c r="BB68" s="16"/>
      <c r="BI68" s="117" t="str">
        <f>IFERROR(TOWER_DATA[[#This Row],[Top]]-TOWER_DATA[[#This Row],[Bottom]], "")</f>
        <v/>
      </c>
      <c r="BJ68" s="117" t="str">
        <f>IFERROR(-(TOWER_DATA[[#This Row],[D, top]]-TOWER_DATA[[#This Row],[D, bottom]])/(TOWER_DATA[[#This Row],[Top]]-TOWER_DATA[[#This Row],[Bottom]]),"")</f>
        <v/>
      </c>
      <c r="BK68" s="117" t="str">
        <f t="shared" si="2"/>
        <v/>
      </c>
      <c r="BL68" s="117" t="str">
        <f>IFERROR((TOWER_DATA[[#This Row],[D, top]]+TOWER_DATA[[#This Row],[D, bottom]])/(2*TOWER_DATA[[#This Row],[t]]/1000),"")</f>
        <v/>
      </c>
      <c r="CA68" s="17"/>
    </row>
    <row r="69" spans="1:79" x14ac:dyDescent="0.25">
      <c r="A69" s="16"/>
      <c r="B69" s="16"/>
      <c r="I69" s="117" t="str">
        <f>IFERROR(MP_DATA[[#This Row],[Top]]-MP_DATA[[#This Row],[Bottom]], "")</f>
        <v/>
      </c>
      <c r="J69" s="117" t="str">
        <f>IFERROR(-(MP_DATA[[#This Row],[D, top]]-MP_DATA[[#This Row],[D, bottom]])/(MP_DATA[[#This Row],[Top]]-MP_DATA[[#This Row],[Bottom]]),"")</f>
        <v/>
      </c>
      <c r="K69" s="117" t="str">
        <f t="shared" si="0"/>
        <v/>
      </c>
      <c r="L69" s="117" t="str">
        <f>IFERROR((MP_DATA[[#This Row],[D, top]]+MP_DATA[[#This Row],[D, bottom]])/(2*MP_DATA[[#This Row],[t]]/1000),"")</f>
        <v/>
      </c>
      <c r="AA69" s="17"/>
      <c r="AI69" s="117" t="str">
        <f>IFERROR(TP_DATA[[#This Row],[Top]]-TP_DATA[[#This Row],[Bottom]], "")</f>
        <v/>
      </c>
      <c r="AJ69" s="117" t="str">
        <f>IFERROR(-(TP_DATA[[#This Row],[D, top]]-TP_DATA[[#This Row],[D, bottom]])/(TP_DATA[[#This Row],[Top]]-TP_DATA[[#This Row],[Bottom]]),"")</f>
        <v/>
      </c>
      <c r="AK69" s="117" t="str">
        <f t="shared" si="1"/>
        <v/>
      </c>
      <c r="AL69" s="117" t="str">
        <f>IFERROR((TP_DATA[[#This Row],[D, top]]+TP_DATA[[#This Row],[D, bottom]])/(2*TP_DATA[[#This Row],[t]]/1000),"")</f>
        <v/>
      </c>
      <c r="BB69" s="16"/>
      <c r="BI69" s="117" t="str">
        <f>IFERROR(TOWER_DATA[[#This Row],[Top]]-TOWER_DATA[[#This Row],[Bottom]], "")</f>
        <v/>
      </c>
      <c r="BJ69" s="117" t="str">
        <f>IFERROR(-(TOWER_DATA[[#This Row],[D, top]]-TOWER_DATA[[#This Row],[D, bottom]])/(TOWER_DATA[[#This Row],[Top]]-TOWER_DATA[[#This Row],[Bottom]]),"")</f>
        <v/>
      </c>
      <c r="BK69" s="117" t="str">
        <f t="shared" si="2"/>
        <v/>
      </c>
      <c r="BL69" s="117" t="str">
        <f>IFERROR((TOWER_DATA[[#This Row],[D, top]]+TOWER_DATA[[#This Row],[D, bottom]])/(2*TOWER_DATA[[#This Row],[t]]/1000),"")</f>
        <v/>
      </c>
      <c r="CA69" s="17"/>
    </row>
    <row r="70" spans="1:79" x14ac:dyDescent="0.25">
      <c r="A70" s="16"/>
      <c r="B70" s="16"/>
      <c r="I70" s="117" t="str">
        <f>IFERROR(MP_DATA[[#This Row],[Top]]-MP_DATA[[#This Row],[Bottom]], "")</f>
        <v/>
      </c>
      <c r="J70" s="117" t="str">
        <f>IFERROR(-(MP_DATA[[#This Row],[D, top]]-MP_DATA[[#This Row],[D, bottom]])/(MP_DATA[[#This Row],[Top]]-MP_DATA[[#This Row],[Bottom]]),"")</f>
        <v/>
      </c>
      <c r="K70" s="117" t="str">
        <f t="shared" si="0"/>
        <v/>
      </c>
      <c r="L70" s="117" t="str">
        <f>IFERROR((MP_DATA[[#This Row],[D, top]]+MP_DATA[[#This Row],[D, bottom]])/(2*MP_DATA[[#This Row],[t]]/1000),"")</f>
        <v/>
      </c>
      <c r="AA70" s="17"/>
      <c r="AI70" s="117" t="str">
        <f>IFERROR(TP_DATA[[#This Row],[Top]]-TP_DATA[[#This Row],[Bottom]], "")</f>
        <v/>
      </c>
      <c r="AJ70" s="117" t="str">
        <f>IFERROR(-(TP_DATA[[#This Row],[D, top]]-TP_DATA[[#This Row],[D, bottom]])/(TP_DATA[[#This Row],[Top]]-TP_DATA[[#This Row],[Bottom]]),"")</f>
        <v/>
      </c>
      <c r="AK70" s="117" t="str">
        <f t="shared" si="1"/>
        <v/>
      </c>
      <c r="AL70" s="117" t="str">
        <f>IFERROR((TP_DATA[[#This Row],[D, top]]+TP_DATA[[#This Row],[D, bottom]])/(2*TP_DATA[[#This Row],[t]]/1000),"")</f>
        <v/>
      </c>
      <c r="BB70" s="16"/>
      <c r="BI70" s="117" t="str">
        <f>IFERROR(TOWER_DATA[[#This Row],[Top]]-TOWER_DATA[[#This Row],[Bottom]], "")</f>
        <v/>
      </c>
      <c r="BJ70" s="117" t="str">
        <f>IFERROR(-(TOWER_DATA[[#This Row],[D, top]]-TOWER_DATA[[#This Row],[D, bottom]])/(TOWER_DATA[[#This Row],[Top]]-TOWER_DATA[[#This Row],[Bottom]]),"")</f>
        <v/>
      </c>
      <c r="BK70" s="117" t="str">
        <f t="shared" si="2"/>
        <v/>
      </c>
      <c r="BL70" s="117" t="str">
        <f>IFERROR((TOWER_DATA[[#This Row],[D, top]]+TOWER_DATA[[#This Row],[D, bottom]])/(2*TOWER_DATA[[#This Row],[t]]/1000),"")</f>
        <v/>
      </c>
      <c r="CA70" s="17"/>
    </row>
    <row r="71" spans="1:79" x14ac:dyDescent="0.25">
      <c r="A71" s="16"/>
      <c r="B71" s="16"/>
      <c r="I71" s="117" t="str">
        <f>IFERROR(MP_DATA[[#This Row],[Top]]-MP_DATA[[#This Row],[Bottom]], "")</f>
        <v/>
      </c>
      <c r="J71" s="117" t="str">
        <f>IFERROR(-(MP_DATA[[#This Row],[D, top]]-MP_DATA[[#This Row],[D, bottom]])/(MP_DATA[[#This Row],[Top]]-MP_DATA[[#This Row],[Bottom]]),"")</f>
        <v/>
      </c>
      <c r="K71" s="117" t="str">
        <f t="shared" si="0"/>
        <v/>
      </c>
      <c r="L71" s="117" t="str">
        <f>IFERROR((MP_DATA[[#This Row],[D, top]]+MP_DATA[[#This Row],[D, bottom]])/(2*MP_DATA[[#This Row],[t]]/1000),"")</f>
        <v/>
      </c>
      <c r="AA71" s="17"/>
      <c r="AI71" s="117" t="str">
        <f>IFERROR(TP_DATA[[#This Row],[Top]]-TP_DATA[[#This Row],[Bottom]], "")</f>
        <v/>
      </c>
      <c r="AJ71" s="117" t="str">
        <f>IFERROR(-(TP_DATA[[#This Row],[D, top]]-TP_DATA[[#This Row],[D, bottom]])/(TP_DATA[[#This Row],[Top]]-TP_DATA[[#This Row],[Bottom]]),"")</f>
        <v/>
      </c>
      <c r="AK71" s="117" t="str">
        <f t="shared" si="1"/>
        <v/>
      </c>
      <c r="AL71" s="117" t="str">
        <f>IFERROR((TP_DATA[[#This Row],[D, top]]+TP_DATA[[#This Row],[D, bottom]])/(2*TP_DATA[[#This Row],[t]]/1000),"")</f>
        <v/>
      </c>
      <c r="BB71" s="16"/>
      <c r="BI71" s="117" t="str">
        <f>IFERROR(TOWER_DATA[[#This Row],[Top]]-TOWER_DATA[[#This Row],[Bottom]], "")</f>
        <v/>
      </c>
      <c r="BJ71" s="117" t="str">
        <f>IFERROR(-(TOWER_DATA[[#This Row],[D, top]]-TOWER_DATA[[#This Row],[D, bottom]])/(TOWER_DATA[[#This Row],[Top]]-TOWER_DATA[[#This Row],[Bottom]]),"")</f>
        <v/>
      </c>
      <c r="BK71" s="117" t="str">
        <f t="shared" si="2"/>
        <v/>
      </c>
      <c r="BL71" s="117" t="str">
        <f>IFERROR((TOWER_DATA[[#This Row],[D, top]]+TOWER_DATA[[#This Row],[D, bottom]])/(2*TOWER_DATA[[#This Row],[t]]/1000),"")</f>
        <v/>
      </c>
      <c r="CA71" s="17"/>
    </row>
    <row r="72" spans="1:79" x14ac:dyDescent="0.25">
      <c r="A72" s="16"/>
      <c r="B72" s="16"/>
      <c r="I72" s="117" t="str">
        <f>IFERROR(MP_DATA[[#This Row],[Top]]-MP_DATA[[#This Row],[Bottom]], "")</f>
        <v/>
      </c>
      <c r="J72" s="117" t="str">
        <f>IFERROR(-(MP_DATA[[#This Row],[D, top]]-MP_DATA[[#This Row],[D, bottom]])/(MP_DATA[[#This Row],[Top]]-MP_DATA[[#This Row],[Bottom]]),"")</f>
        <v/>
      </c>
      <c r="K72" s="117" t="str">
        <f t="shared" si="0"/>
        <v/>
      </c>
      <c r="L72" s="117" t="str">
        <f>IFERROR((MP_DATA[[#This Row],[D, top]]+MP_DATA[[#This Row],[D, bottom]])/(2*MP_DATA[[#This Row],[t]]/1000),"")</f>
        <v/>
      </c>
      <c r="AA72" s="17"/>
      <c r="AI72" s="117" t="str">
        <f>IFERROR(TP_DATA[[#This Row],[Top]]-TP_DATA[[#This Row],[Bottom]], "")</f>
        <v/>
      </c>
      <c r="AJ72" s="117" t="str">
        <f>IFERROR(-(TP_DATA[[#This Row],[D, top]]-TP_DATA[[#This Row],[D, bottom]])/(TP_DATA[[#This Row],[Top]]-TP_DATA[[#This Row],[Bottom]]),"")</f>
        <v/>
      </c>
      <c r="AK72" s="117" t="str">
        <f t="shared" si="1"/>
        <v/>
      </c>
      <c r="AL72" s="117" t="str">
        <f>IFERROR((TP_DATA[[#This Row],[D, top]]+TP_DATA[[#This Row],[D, bottom]])/(2*TP_DATA[[#This Row],[t]]/1000),"")</f>
        <v/>
      </c>
      <c r="BB72" s="16"/>
      <c r="BI72" s="117" t="str">
        <f>IFERROR(TOWER_DATA[[#This Row],[Top]]-TOWER_DATA[[#This Row],[Bottom]], "")</f>
        <v/>
      </c>
      <c r="BJ72" s="117" t="str">
        <f>IFERROR(-(TOWER_DATA[[#This Row],[D, top]]-TOWER_DATA[[#This Row],[D, bottom]])/(TOWER_DATA[[#This Row],[Top]]-TOWER_DATA[[#This Row],[Bottom]]),"")</f>
        <v/>
      </c>
      <c r="BK72" s="117" t="str">
        <f t="shared" si="2"/>
        <v/>
      </c>
      <c r="BL72" s="117" t="str">
        <f>IFERROR((TOWER_DATA[[#This Row],[D, top]]+TOWER_DATA[[#This Row],[D, bottom]])/(2*TOWER_DATA[[#This Row],[t]]/1000),"")</f>
        <v/>
      </c>
      <c r="CA72" s="17"/>
    </row>
    <row r="73" spans="1:79" x14ac:dyDescent="0.25">
      <c r="A73" s="16"/>
      <c r="B73" s="16"/>
      <c r="I73" s="117" t="str">
        <f>IFERROR(MP_DATA[[#This Row],[Top]]-MP_DATA[[#This Row],[Bottom]], "")</f>
        <v/>
      </c>
      <c r="J73" s="117" t="str">
        <f>IFERROR(-(MP_DATA[[#This Row],[D, top]]-MP_DATA[[#This Row],[D, bottom]])/(MP_DATA[[#This Row],[Top]]-MP_DATA[[#This Row],[Bottom]]),"")</f>
        <v/>
      </c>
      <c r="K73" s="117" t="str">
        <f t="shared" si="0"/>
        <v/>
      </c>
      <c r="L73" s="117" t="str">
        <f>IFERROR((MP_DATA[[#This Row],[D, top]]+MP_DATA[[#This Row],[D, bottom]])/(2*MP_DATA[[#This Row],[t]]/1000),"")</f>
        <v/>
      </c>
      <c r="AA73" s="17"/>
      <c r="AI73" s="117" t="str">
        <f>IFERROR(TP_DATA[[#This Row],[Top]]-TP_DATA[[#This Row],[Bottom]], "")</f>
        <v/>
      </c>
      <c r="AJ73" s="117" t="str">
        <f>IFERROR(-(TP_DATA[[#This Row],[D, top]]-TP_DATA[[#This Row],[D, bottom]])/(TP_DATA[[#This Row],[Top]]-TP_DATA[[#This Row],[Bottom]]),"")</f>
        <v/>
      </c>
      <c r="AK73" s="117" t="str">
        <f t="shared" si="1"/>
        <v/>
      </c>
      <c r="AL73" s="117" t="str">
        <f>IFERROR((TP_DATA[[#This Row],[D, top]]+TP_DATA[[#This Row],[D, bottom]])/(2*TP_DATA[[#This Row],[t]]/1000),"")</f>
        <v/>
      </c>
      <c r="BB73" s="16"/>
      <c r="BI73" s="117" t="str">
        <f>IFERROR(TOWER_DATA[[#This Row],[Top]]-TOWER_DATA[[#This Row],[Bottom]], "")</f>
        <v/>
      </c>
      <c r="BJ73" s="117" t="str">
        <f>IFERROR(-(TOWER_DATA[[#This Row],[D, top]]-TOWER_DATA[[#This Row],[D, bottom]])/(TOWER_DATA[[#This Row],[Top]]-TOWER_DATA[[#This Row],[Bottom]]),"")</f>
        <v/>
      </c>
      <c r="BK73" s="117" t="str">
        <f t="shared" si="2"/>
        <v/>
      </c>
      <c r="BL73" s="117" t="str">
        <f>IFERROR((TOWER_DATA[[#This Row],[D, top]]+TOWER_DATA[[#This Row],[D, bottom]])/(2*TOWER_DATA[[#This Row],[t]]/1000),"")</f>
        <v/>
      </c>
      <c r="CA73" s="17"/>
    </row>
    <row r="74" spans="1:79" x14ac:dyDescent="0.25">
      <c r="A74" s="16"/>
      <c r="B74" s="16"/>
      <c r="I74" s="117" t="str">
        <f>IFERROR(MP_DATA[[#This Row],[Top]]-MP_DATA[[#This Row],[Bottom]], "")</f>
        <v/>
      </c>
      <c r="J74" s="117" t="str">
        <f>IFERROR(-(MP_DATA[[#This Row],[D, top]]-MP_DATA[[#This Row],[D, bottom]])/(MP_DATA[[#This Row],[Top]]-MP_DATA[[#This Row],[Bottom]]),"")</f>
        <v/>
      </c>
      <c r="K74" s="117" t="str">
        <f t="shared" si="0"/>
        <v/>
      </c>
      <c r="L74" s="117" t="str">
        <f>IFERROR((MP_DATA[[#This Row],[D, top]]+MP_DATA[[#This Row],[D, bottom]])/(2*MP_DATA[[#This Row],[t]]/1000),"")</f>
        <v/>
      </c>
      <c r="AA74" s="17"/>
      <c r="AI74" s="117" t="str">
        <f>IFERROR(TP_DATA[[#This Row],[Top]]-TP_DATA[[#This Row],[Bottom]], "")</f>
        <v/>
      </c>
      <c r="AJ74" s="117" t="str">
        <f>IFERROR(-(TP_DATA[[#This Row],[D, top]]-TP_DATA[[#This Row],[D, bottom]])/(TP_DATA[[#This Row],[Top]]-TP_DATA[[#This Row],[Bottom]]),"")</f>
        <v/>
      </c>
      <c r="AK74" s="117" t="str">
        <f t="shared" si="1"/>
        <v/>
      </c>
      <c r="AL74" s="117" t="str">
        <f>IFERROR((TP_DATA[[#This Row],[D, top]]+TP_DATA[[#This Row],[D, bottom]])/(2*TP_DATA[[#This Row],[t]]/1000),"")</f>
        <v/>
      </c>
      <c r="BB74" s="16"/>
      <c r="BI74" s="117" t="str">
        <f>IFERROR(TOWER_DATA[[#This Row],[Top]]-TOWER_DATA[[#This Row],[Bottom]], "")</f>
        <v/>
      </c>
      <c r="BJ74" s="117" t="str">
        <f>IFERROR(-(TOWER_DATA[[#This Row],[D, top]]-TOWER_DATA[[#This Row],[D, bottom]])/(TOWER_DATA[[#This Row],[Top]]-TOWER_DATA[[#This Row],[Bottom]]),"")</f>
        <v/>
      </c>
      <c r="BK74" s="117" t="str">
        <f t="shared" si="2"/>
        <v/>
      </c>
      <c r="BL74" s="117" t="str">
        <f>IFERROR((TOWER_DATA[[#This Row],[D, top]]+TOWER_DATA[[#This Row],[D, bottom]])/(2*TOWER_DATA[[#This Row],[t]]/1000),"")</f>
        <v/>
      </c>
      <c r="CA74" s="17"/>
    </row>
    <row r="75" spans="1:79" x14ac:dyDescent="0.25">
      <c r="A75" s="16"/>
      <c r="B75" s="16"/>
      <c r="I75" s="117" t="str">
        <f>IFERROR(MP_DATA[[#This Row],[Top]]-MP_DATA[[#This Row],[Bottom]], "")</f>
        <v/>
      </c>
      <c r="J75" s="117" t="str">
        <f>IFERROR(-(MP_DATA[[#This Row],[D, top]]-MP_DATA[[#This Row],[D, bottom]])/(MP_DATA[[#This Row],[Top]]-MP_DATA[[#This Row],[Bottom]]),"")</f>
        <v/>
      </c>
      <c r="K75" s="117" t="str">
        <f t="shared" si="0"/>
        <v/>
      </c>
      <c r="L75" s="117" t="str">
        <f>IFERROR((MP_DATA[[#This Row],[D, top]]+MP_DATA[[#This Row],[D, bottom]])/(2*MP_DATA[[#This Row],[t]]/1000),"")</f>
        <v/>
      </c>
      <c r="AA75" s="17"/>
      <c r="AI75" s="117" t="str">
        <f>IFERROR(TP_DATA[[#This Row],[Top]]-TP_DATA[[#This Row],[Bottom]], "")</f>
        <v/>
      </c>
      <c r="AJ75" s="117" t="str">
        <f>IFERROR(-(TP_DATA[[#This Row],[D, top]]-TP_DATA[[#This Row],[D, bottom]])/(TP_DATA[[#This Row],[Top]]-TP_DATA[[#This Row],[Bottom]]),"")</f>
        <v/>
      </c>
      <c r="AK75" s="117" t="str">
        <f t="shared" si="1"/>
        <v/>
      </c>
      <c r="AL75" s="117" t="str">
        <f>IFERROR((TP_DATA[[#This Row],[D, top]]+TP_DATA[[#This Row],[D, bottom]])/(2*TP_DATA[[#This Row],[t]]/1000),"")</f>
        <v/>
      </c>
      <c r="BB75" s="16"/>
      <c r="BI75" s="117" t="str">
        <f>IFERROR(TOWER_DATA[[#This Row],[Top]]-TOWER_DATA[[#This Row],[Bottom]], "")</f>
        <v/>
      </c>
      <c r="BJ75" s="117" t="str">
        <f>IFERROR(-(TOWER_DATA[[#This Row],[D, top]]-TOWER_DATA[[#This Row],[D, bottom]])/(TOWER_DATA[[#This Row],[Top]]-TOWER_DATA[[#This Row],[Bottom]]),"")</f>
        <v/>
      </c>
      <c r="BK75" s="117" t="str">
        <f t="shared" si="2"/>
        <v/>
      </c>
      <c r="BL75" s="117" t="str">
        <f>IFERROR((TOWER_DATA[[#This Row],[D, top]]+TOWER_DATA[[#This Row],[D, bottom]])/(2*TOWER_DATA[[#This Row],[t]]/1000),"")</f>
        <v/>
      </c>
      <c r="CA75" s="17"/>
    </row>
    <row r="76" spans="1:79" x14ac:dyDescent="0.25">
      <c r="A76" s="16"/>
      <c r="B76" s="16"/>
      <c r="I76" s="117" t="str">
        <f>IFERROR(MP_DATA[[#This Row],[Top]]-MP_DATA[[#This Row],[Bottom]], "")</f>
        <v/>
      </c>
      <c r="J76" s="117" t="str">
        <f>IFERROR(-(MP_DATA[[#This Row],[D, top]]-MP_DATA[[#This Row],[D, bottom]])/(MP_DATA[[#This Row],[Top]]-MP_DATA[[#This Row],[Bottom]]),"")</f>
        <v/>
      </c>
      <c r="K76" s="117" t="str">
        <f t="shared" si="0"/>
        <v/>
      </c>
      <c r="L76" s="117" t="str">
        <f>IFERROR((MP_DATA[[#This Row],[D, top]]+MP_DATA[[#This Row],[D, bottom]])/(2*MP_DATA[[#This Row],[t]]/1000),"")</f>
        <v/>
      </c>
      <c r="AA76" s="17"/>
      <c r="AI76" s="117" t="str">
        <f>IFERROR(TP_DATA[[#This Row],[Top]]-TP_DATA[[#This Row],[Bottom]], "")</f>
        <v/>
      </c>
      <c r="AJ76" s="117" t="str">
        <f>IFERROR(-(TP_DATA[[#This Row],[D, top]]-TP_DATA[[#This Row],[D, bottom]])/(TP_DATA[[#This Row],[Top]]-TP_DATA[[#This Row],[Bottom]]),"")</f>
        <v/>
      </c>
      <c r="AK76" s="117" t="str">
        <f t="shared" si="1"/>
        <v/>
      </c>
      <c r="AL76" s="117" t="str">
        <f>IFERROR((TP_DATA[[#This Row],[D, top]]+TP_DATA[[#This Row],[D, bottom]])/(2*TP_DATA[[#This Row],[t]]/1000),"")</f>
        <v/>
      </c>
      <c r="BB76" s="16"/>
      <c r="BI76" s="117" t="str">
        <f>IFERROR(TOWER_DATA[[#This Row],[Top]]-TOWER_DATA[[#This Row],[Bottom]], "")</f>
        <v/>
      </c>
      <c r="BJ76" s="117" t="str">
        <f>IFERROR(-(TOWER_DATA[[#This Row],[D, top]]-TOWER_DATA[[#This Row],[D, bottom]])/(TOWER_DATA[[#This Row],[Top]]-TOWER_DATA[[#This Row],[Bottom]]),"")</f>
        <v/>
      </c>
      <c r="BK76" s="117" t="str">
        <f t="shared" si="2"/>
        <v/>
      </c>
      <c r="BL76" s="117" t="str">
        <f>IFERROR((TOWER_DATA[[#This Row],[D, top]]+TOWER_DATA[[#This Row],[D, bottom]])/(2*TOWER_DATA[[#This Row],[t]]/1000),"")</f>
        <v/>
      </c>
      <c r="CA76" s="17"/>
    </row>
    <row r="77" spans="1:79" x14ac:dyDescent="0.25">
      <c r="A77" s="16"/>
      <c r="B77" s="16"/>
      <c r="I77" s="117" t="str">
        <f>IFERROR(MP_DATA[[#This Row],[Top]]-MP_DATA[[#This Row],[Bottom]], "")</f>
        <v/>
      </c>
      <c r="J77" s="117" t="str">
        <f>IFERROR(-(MP_DATA[[#This Row],[D, top]]-MP_DATA[[#This Row],[D, bottom]])/(MP_DATA[[#This Row],[Top]]-MP_DATA[[#This Row],[Bottom]]),"")</f>
        <v/>
      </c>
      <c r="K77" s="117" t="str">
        <f t="shared" si="0"/>
        <v/>
      </c>
      <c r="L77" s="117" t="str">
        <f>IFERROR((MP_DATA[[#This Row],[D, top]]+MP_DATA[[#This Row],[D, bottom]])/(2*MP_DATA[[#This Row],[t]]/1000),"")</f>
        <v/>
      </c>
      <c r="AA77" s="17"/>
      <c r="AI77" s="117" t="str">
        <f>IFERROR(TP_DATA[[#This Row],[Top]]-TP_DATA[[#This Row],[Bottom]], "")</f>
        <v/>
      </c>
      <c r="AJ77" s="117" t="str">
        <f>IFERROR(-(TP_DATA[[#This Row],[D, top]]-TP_DATA[[#This Row],[D, bottom]])/(TP_DATA[[#This Row],[Top]]-TP_DATA[[#This Row],[Bottom]]),"")</f>
        <v/>
      </c>
      <c r="AK77" s="117" t="str">
        <f t="shared" si="1"/>
        <v/>
      </c>
      <c r="AL77" s="117" t="str">
        <f>IFERROR((TP_DATA[[#This Row],[D, top]]+TP_DATA[[#This Row],[D, bottom]])/(2*TP_DATA[[#This Row],[t]]/1000),"")</f>
        <v/>
      </c>
      <c r="BB77" s="16"/>
      <c r="BI77" s="117" t="str">
        <f>IFERROR(TOWER_DATA[[#This Row],[Top]]-TOWER_DATA[[#This Row],[Bottom]], "")</f>
        <v/>
      </c>
      <c r="BJ77" s="117" t="str">
        <f>IFERROR(-(TOWER_DATA[[#This Row],[D, top]]-TOWER_DATA[[#This Row],[D, bottom]])/(TOWER_DATA[[#This Row],[Top]]-TOWER_DATA[[#This Row],[Bottom]]),"")</f>
        <v/>
      </c>
      <c r="BK77" s="117" t="str">
        <f t="shared" si="2"/>
        <v/>
      </c>
      <c r="BL77" s="117" t="str">
        <f>IFERROR((TOWER_DATA[[#This Row],[D, top]]+TOWER_DATA[[#This Row],[D, bottom]])/(2*TOWER_DATA[[#This Row],[t]]/1000),"")</f>
        <v/>
      </c>
      <c r="CA77" s="17"/>
    </row>
    <row r="78" spans="1:79" x14ac:dyDescent="0.25">
      <c r="A78" s="16"/>
      <c r="B78" s="16"/>
      <c r="I78" s="117" t="str">
        <f>IFERROR(MP_DATA[[#This Row],[Top]]-MP_DATA[[#This Row],[Bottom]], "")</f>
        <v/>
      </c>
      <c r="J78" s="117" t="str">
        <f>IFERROR(-(MP_DATA[[#This Row],[D, top]]-MP_DATA[[#This Row],[D, bottom]])/(MP_DATA[[#This Row],[Top]]-MP_DATA[[#This Row],[Bottom]]),"")</f>
        <v/>
      </c>
      <c r="K78" s="117" t="str">
        <f t="shared" si="0"/>
        <v/>
      </c>
      <c r="L78" s="117" t="str">
        <f>IFERROR((MP_DATA[[#This Row],[D, top]]+MP_DATA[[#This Row],[D, bottom]])/(2*MP_DATA[[#This Row],[t]]/1000),"")</f>
        <v/>
      </c>
      <c r="AA78" s="17"/>
      <c r="AI78" s="117" t="str">
        <f>IFERROR(TP_DATA[[#This Row],[Top]]-TP_DATA[[#This Row],[Bottom]], "")</f>
        <v/>
      </c>
      <c r="AJ78" s="117" t="str">
        <f>IFERROR(-(TP_DATA[[#This Row],[D, top]]-TP_DATA[[#This Row],[D, bottom]])/(TP_DATA[[#This Row],[Top]]-TP_DATA[[#This Row],[Bottom]]),"")</f>
        <v/>
      </c>
      <c r="AK78" s="117" t="str">
        <f t="shared" si="1"/>
        <v/>
      </c>
      <c r="AL78" s="117" t="str">
        <f>IFERROR((TP_DATA[[#This Row],[D, top]]+TP_DATA[[#This Row],[D, bottom]])/(2*TP_DATA[[#This Row],[t]]/1000),"")</f>
        <v/>
      </c>
      <c r="BB78" s="16"/>
      <c r="BI78" s="117" t="str">
        <f>IFERROR(TOWER_DATA[[#This Row],[Top]]-TOWER_DATA[[#This Row],[Bottom]], "")</f>
        <v/>
      </c>
      <c r="BJ78" s="117" t="str">
        <f>IFERROR(-(TOWER_DATA[[#This Row],[D, top]]-TOWER_DATA[[#This Row],[D, bottom]])/(TOWER_DATA[[#This Row],[Top]]-TOWER_DATA[[#This Row],[Bottom]]),"")</f>
        <v/>
      </c>
      <c r="BK78" s="117" t="str">
        <f t="shared" si="2"/>
        <v/>
      </c>
      <c r="BL78" s="117" t="str">
        <f>IFERROR((TOWER_DATA[[#This Row],[D, top]]+TOWER_DATA[[#This Row],[D, bottom]])/(2*TOWER_DATA[[#This Row],[t]]/1000),"")</f>
        <v/>
      </c>
      <c r="CA78" s="17"/>
    </row>
    <row r="79" spans="1:79" x14ac:dyDescent="0.25">
      <c r="A79" s="16"/>
      <c r="B79" s="16"/>
      <c r="I79" s="117" t="str">
        <f>IFERROR(MP_DATA[[#This Row],[Top]]-MP_DATA[[#This Row],[Bottom]], "")</f>
        <v/>
      </c>
      <c r="J79" s="117" t="str">
        <f>IFERROR(-(MP_DATA[[#This Row],[D, top]]-MP_DATA[[#This Row],[D, bottom]])/(MP_DATA[[#This Row],[Top]]-MP_DATA[[#This Row],[Bottom]]),"")</f>
        <v/>
      </c>
      <c r="K79" s="117" t="str">
        <f t="shared" si="0"/>
        <v/>
      </c>
      <c r="L79" s="117" t="str">
        <f>IFERROR((MP_DATA[[#This Row],[D, top]]+MP_DATA[[#This Row],[D, bottom]])/(2*MP_DATA[[#This Row],[t]]/1000),"")</f>
        <v/>
      </c>
      <c r="AA79" s="17"/>
      <c r="AI79" s="117" t="str">
        <f>IFERROR(TP_DATA[[#This Row],[Top]]-TP_DATA[[#This Row],[Bottom]], "")</f>
        <v/>
      </c>
      <c r="AJ79" s="117" t="str">
        <f>IFERROR(-(TP_DATA[[#This Row],[D, top]]-TP_DATA[[#This Row],[D, bottom]])/(TP_DATA[[#This Row],[Top]]-TP_DATA[[#This Row],[Bottom]]),"")</f>
        <v/>
      </c>
      <c r="AK79" s="117" t="str">
        <f t="shared" si="1"/>
        <v/>
      </c>
      <c r="AL79" s="117" t="str">
        <f>IFERROR((TP_DATA[[#This Row],[D, top]]+TP_DATA[[#This Row],[D, bottom]])/(2*TP_DATA[[#This Row],[t]]/1000),"")</f>
        <v/>
      </c>
      <c r="BB79" s="16"/>
      <c r="BI79" s="117" t="str">
        <f>IFERROR(TOWER_DATA[[#This Row],[Top]]-TOWER_DATA[[#This Row],[Bottom]], "")</f>
        <v/>
      </c>
      <c r="BJ79" s="117" t="str">
        <f>IFERROR(-(TOWER_DATA[[#This Row],[D, top]]-TOWER_DATA[[#This Row],[D, bottom]])/(TOWER_DATA[[#This Row],[Top]]-TOWER_DATA[[#This Row],[Bottom]]),"")</f>
        <v/>
      </c>
      <c r="BK79" s="117" t="str">
        <f t="shared" si="2"/>
        <v/>
      </c>
      <c r="BL79" s="117" t="str">
        <f>IFERROR((TOWER_DATA[[#This Row],[D, top]]+TOWER_DATA[[#This Row],[D, bottom]])/(2*TOWER_DATA[[#This Row],[t]]/1000),"")</f>
        <v/>
      </c>
      <c r="CA79" s="17"/>
    </row>
    <row r="80" spans="1:79" x14ac:dyDescent="0.25">
      <c r="A80" s="16"/>
      <c r="B80" s="16"/>
      <c r="I80" s="117" t="str">
        <f>IFERROR(MP_DATA[[#This Row],[Top]]-MP_DATA[[#This Row],[Bottom]], "")</f>
        <v/>
      </c>
      <c r="J80" s="117" t="str">
        <f>IFERROR(-(MP_DATA[[#This Row],[D, top]]-MP_DATA[[#This Row],[D, bottom]])/(MP_DATA[[#This Row],[Top]]-MP_DATA[[#This Row],[Bottom]]),"")</f>
        <v/>
      </c>
      <c r="K80" s="117" t="str">
        <f t="shared" si="0"/>
        <v/>
      </c>
      <c r="L80" s="117" t="str">
        <f>IFERROR((MP_DATA[[#This Row],[D, top]]+MP_DATA[[#This Row],[D, bottom]])/(2*MP_DATA[[#This Row],[t]]/1000),"")</f>
        <v/>
      </c>
      <c r="AA80" s="17"/>
      <c r="AI80" s="117" t="str">
        <f>IFERROR(TP_DATA[[#This Row],[Top]]-TP_DATA[[#This Row],[Bottom]], "")</f>
        <v/>
      </c>
      <c r="AJ80" s="117" t="str">
        <f>IFERROR(-(TP_DATA[[#This Row],[D, top]]-TP_DATA[[#This Row],[D, bottom]])/(TP_DATA[[#This Row],[Top]]-TP_DATA[[#This Row],[Bottom]]),"")</f>
        <v/>
      </c>
      <c r="AK80" s="117" t="str">
        <f t="shared" si="1"/>
        <v/>
      </c>
      <c r="AL80" s="117" t="str">
        <f>IFERROR((TP_DATA[[#This Row],[D, top]]+TP_DATA[[#This Row],[D, bottom]])/(2*TP_DATA[[#This Row],[t]]/1000),"")</f>
        <v/>
      </c>
      <c r="BB80" s="16"/>
      <c r="BI80" s="117" t="str">
        <f>IFERROR(TOWER_DATA[[#This Row],[Top]]-TOWER_DATA[[#This Row],[Bottom]], "")</f>
        <v/>
      </c>
      <c r="BJ80" s="117" t="str">
        <f>IFERROR(-(TOWER_DATA[[#This Row],[D, top]]-TOWER_DATA[[#This Row],[D, bottom]])/(TOWER_DATA[[#This Row],[Top]]-TOWER_DATA[[#This Row],[Bottom]]),"")</f>
        <v/>
      </c>
      <c r="BK80" s="117" t="str">
        <f t="shared" si="2"/>
        <v/>
      </c>
      <c r="BL80" s="117" t="str">
        <f>IFERROR((TOWER_DATA[[#This Row],[D, top]]+TOWER_DATA[[#This Row],[D, bottom]])/(2*TOWER_DATA[[#This Row],[t]]/1000),"")</f>
        <v/>
      </c>
      <c r="CA80" s="17"/>
    </row>
    <row r="81" spans="1:79" x14ac:dyDescent="0.25">
      <c r="A81" s="16"/>
      <c r="B81" s="16"/>
      <c r="I81" s="117" t="str">
        <f>IFERROR(MP_DATA[[#This Row],[Top]]-MP_DATA[[#This Row],[Bottom]], "")</f>
        <v/>
      </c>
      <c r="J81" s="117" t="str">
        <f>IFERROR(-(MP_DATA[[#This Row],[D, top]]-MP_DATA[[#This Row],[D, bottom]])/(MP_DATA[[#This Row],[Top]]-MP_DATA[[#This Row],[Bottom]]),"")</f>
        <v/>
      </c>
      <c r="K81" s="117" t="str">
        <f t="shared" si="0"/>
        <v/>
      </c>
      <c r="L81" s="117" t="str">
        <f>IFERROR((MP_DATA[[#This Row],[D, top]]+MP_DATA[[#This Row],[D, bottom]])/(2*MP_DATA[[#This Row],[t]]/1000),"")</f>
        <v/>
      </c>
      <c r="AA81" s="17"/>
      <c r="AI81" s="117" t="str">
        <f>IFERROR(TP_DATA[[#This Row],[Top]]-TP_DATA[[#This Row],[Bottom]], "")</f>
        <v/>
      </c>
      <c r="AJ81" s="117" t="str">
        <f>IFERROR(-(TP_DATA[[#This Row],[D, top]]-TP_DATA[[#This Row],[D, bottom]])/(TP_DATA[[#This Row],[Top]]-TP_DATA[[#This Row],[Bottom]]),"")</f>
        <v/>
      </c>
      <c r="AK81" s="117" t="str">
        <f t="shared" si="1"/>
        <v/>
      </c>
      <c r="AL81" s="117" t="str">
        <f>IFERROR((TP_DATA[[#This Row],[D, top]]+TP_DATA[[#This Row],[D, bottom]])/(2*TP_DATA[[#This Row],[t]]/1000),"")</f>
        <v/>
      </c>
      <c r="BB81" s="16"/>
      <c r="BI81" s="117" t="str">
        <f>IFERROR(TOWER_DATA[[#This Row],[Top]]-TOWER_DATA[[#This Row],[Bottom]], "")</f>
        <v/>
      </c>
      <c r="BJ81" s="117" t="str">
        <f>IFERROR(-(TOWER_DATA[[#This Row],[D, top]]-TOWER_DATA[[#This Row],[D, bottom]])/(TOWER_DATA[[#This Row],[Top]]-TOWER_DATA[[#This Row],[Bottom]]),"")</f>
        <v/>
      </c>
      <c r="BK81" s="117" t="str">
        <f t="shared" si="2"/>
        <v/>
      </c>
      <c r="BL81" s="117" t="str">
        <f>IFERROR((TOWER_DATA[[#This Row],[D, top]]+TOWER_DATA[[#This Row],[D, bottom]])/(2*TOWER_DATA[[#This Row],[t]]/1000),"")</f>
        <v/>
      </c>
      <c r="CA81" s="17"/>
    </row>
    <row r="82" spans="1:79" x14ac:dyDescent="0.25">
      <c r="A82" s="16"/>
      <c r="B82" s="16"/>
      <c r="I82" s="117" t="str">
        <f>IFERROR(MP_DATA[[#This Row],[Top]]-MP_DATA[[#This Row],[Bottom]], "")</f>
        <v/>
      </c>
      <c r="J82" s="117" t="str">
        <f>IFERROR(-(MP_DATA[[#This Row],[D, top]]-MP_DATA[[#This Row],[D, bottom]])/(MP_DATA[[#This Row],[Top]]-MP_DATA[[#This Row],[Bottom]]),"")</f>
        <v/>
      </c>
      <c r="K82" s="117" t="str">
        <f t="shared" si="0"/>
        <v/>
      </c>
      <c r="L82" s="117" t="str">
        <f>IFERROR((MP_DATA[[#This Row],[D, top]]+MP_DATA[[#This Row],[D, bottom]])/(2*MP_DATA[[#This Row],[t]]/1000),"")</f>
        <v/>
      </c>
      <c r="AA82" s="17"/>
      <c r="AI82" s="117" t="str">
        <f>IFERROR(TP_DATA[[#This Row],[Top]]-TP_DATA[[#This Row],[Bottom]], "")</f>
        <v/>
      </c>
      <c r="AJ82" s="117" t="str">
        <f>IFERROR(-(TP_DATA[[#This Row],[D, top]]-TP_DATA[[#This Row],[D, bottom]])/(TP_DATA[[#This Row],[Top]]-TP_DATA[[#This Row],[Bottom]]),"")</f>
        <v/>
      </c>
      <c r="AK82" s="117" t="str">
        <f t="shared" si="1"/>
        <v/>
      </c>
      <c r="AL82" s="117" t="str">
        <f>IFERROR((TP_DATA[[#This Row],[D, top]]+TP_DATA[[#This Row],[D, bottom]])/(2*TP_DATA[[#This Row],[t]]/1000),"")</f>
        <v/>
      </c>
      <c r="BB82" s="16"/>
      <c r="BI82" s="117" t="str">
        <f>IFERROR(TOWER_DATA[[#This Row],[Top]]-TOWER_DATA[[#This Row],[Bottom]], "")</f>
        <v/>
      </c>
      <c r="BJ82" s="117" t="str">
        <f>IFERROR(-(TOWER_DATA[[#This Row],[D, top]]-TOWER_DATA[[#This Row],[D, bottom]])/(TOWER_DATA[[#This Row],[Top]]-TOWER_DATA[[#This Row],[Bottom]]),"")</f>
        <v/>
      </c>
      <c r="BK82" s="117" t="str">
        <f t="shared" si="2"/>
        <v/>
      </c>
      <c r="BL82" s="117" t="str">
        <f>IFERROR((TOWER_DATA[[#This Row],[D, top]]+TOWER_DATA[[#This Row],[D, bottom]])/(2*TOWER_DATA[[#This Row],[t]]/1000),"")</f>
        <v/>
      </c>
      <c r="CA82" s="17"/>
    </row>
    <row r="83" spans="1:79" x14ac:dyDescent="0.25">
      <c r="A83" s="16"/>
      <c r="B83" s="16"/>
      <c r="I83" s="117" t="str">
        <f>IFERROR(MP_DATA[[#This Row],[Top]]-MP_DATA[[#This Row],[Bottom]], "")</f>
        <v/>
      </c>
      <c r="J83" s="117" t="str">
        <f>IFERROR(-(MP_DATA[[#This Row],[D, top]]-MP_DATA[[#This Row],[D, bottom]])/(MP_DATA[[#This Row],[Top]]-MP_DATA[[#This Row],[Bottom]]),"")</f>
        <v/>
      </c>
      <c r="K83" s="117" t="str">
        <f t="shared" si="0"/>
        <v/>
      </c>
      <c r="L83" s="117" t="str">
        <f>IFERROR((MP_DATA[[#This Row],[D, top]]+MP_DATA[[#This Row],[D, bottom]])/(2*MP_DATA[[#This Row],[t]]/1000),"")</f>
        <v/>
      </c>
      <c r="AA83" s="17"/>
      <c r="AI83" s="117" t="str">
        <f>IFERROR(TP_DATA[[#This Row],[Top]]-TP_DATA[[#This Row],[Bottom]], "")</f>
        <v/>
      </c>
      <c r="AJ83" s="117" t="str">
        <f>IFERROR(-(TP_DATA[[#This Row],[D, top]]-TP_DATA[[#This Row],[D, bottom]])/(TP_DATA[[#This Row],[Top]]-TP_DATA[[#This Row],[Bottom]]),"")</f>
        <v/>
      </c>
      <c r="AK83" s="117" t="str">
        <f t="shared" si="1"/>
        <v/>
      </c>
      <c r="AL83" s="117" t="str">
        <f>IFERROR((TP_DATA[[#This Row],[D, top]]+TP_DATA[[#This Row],[D, bottom]])/(2*TP_DATA[[#This Row],[t]]/1000),"")</f>
        <v/>
      </c>
      <c r="BB83" s="16"/>
      <c r="BI83" s="117" t="str">
        <f>IFERROR(TOWER_DATA[[#This Row],[Top]]-TOWER_DATA[[#This Row],[Bottom]], "")</f>
        <v/>
      </c>
      <c r="BJ83" s="117" t="str">
        <f>IFERROR(-(TOWER_DATA[[#This Row],[D, top]]-TOWER_DATA[[#This Row],[D, bottom]])/(TOWER_DATA[[#This Row],[Top]]-TOWER_DATA[[#This Row],[Bottom]]),"")</f>
        <v/>
      </c>
      <c r="BK83" s="117" t="str">
        <f t="shared" si="2"/>
        <v/>
      </c>
      <c r="BL83" s="117" t="str">
        <f>IFERROR((TOWER_DATA[[#This Row],[D, top]]+TOWER_DATA[[#This Row],[D, bottom]])/(2*TOWER_DATA[[#This Row],[t]]/1000),"")</f>
        <v/>
      </c>
      <c r="CA83" s="17"/>
    </row>
    <row r="84" spans="1:79" x14ac:dyDescent="0.25">
      <c r="A84" s="16"/>
      <c r="B84" s="16"/>
      <c r="I84" s="117" t="str">
        <f>IFERROR(MP_DATA[[#This Row],[Top]]-MP_DATA[[#This Row],[Bottom]], "")</f>
        <v/>
      </c>
      <c r="J84" s="117" t="str">
        <f>IFERROR(-(MP_DATA[[#This Row],[D, top]]-MP_DATA[[#This Row],[D, bottom]])/(MP_DATA[[#This Row],[Top]]-MP_DATA[[#This Row],[Bottom]]),"")</f>
        <v/>
      </c>
      <c r="K84" s="117" t="str">
        <f t="shared" ref="K84:K133" si="3">IF(7850/1000 * (1/3) * PI() * ABS(D84 - E84) * ((F84/2)^2 + (F84/2)*(G84/2) + (G84/2)^2  - (F84/2 - H84/1000)^2 - (F84/2 - H84/1000)*(G84/2 - H84/1000) - (G84/2 - H84/1000)^2)=0, "", 7850/1000 * (1/3) * PI() * ABS(D84 - E84) * ((F84/2)^2 + (F84/2)*(G84/2) + (G84/2)^2  - (F84/2 - H84/1000)^2 - (F84/2 - H84/1000)*(G84/2 - H84/1000) - (G84/2 - H84/1000)^2))</f>
        <v/>
      </c>
      <c r="L84" s="117" t="str">
        <f>IFERROR((MP_DATA[[#This Row],[D, top]]+MP_DATA[[#This Row],[D, bottom]])/(2*MP_DATA[[#This Row],[t]]/1000),"")</f>
        <v/>
      </c>
      <c r="AA84" s="17"/>
      <c r="AI84" s="117" t="str">
        <f>IFERROR(TP_DATA[[#This Row],[Top]]-TP_DATA[[#This Row],[Bottom]], "")</f>
        <v/>
      </c>
      <c r="AJ84" s="117" t="str">
        <f>IFERROR(-(TP_DATA[[#This Row],[D, top]]-TP_DATA[[#This Row],[D, bottom]])/(TP_DATA[[#This Row],[Top]]-TP_DATA[[#This Row],[Bottom]]),"")</f>
        <v/>
      </c>
      <c r="AK84" s="117" t="str">
        <f t="shared" ref="AK84:AK139" si="4">IF(7850/1000 * (1/3) * PI() * ABS(AD84 - AE84) * ((AF84/2)^2 + (AF84/2)*(AG84/2) + (AG84/2)^2  - (AF84/2 - AH84/1000)^2 - (AF84/2 - AH84/1000)*(AG84/2 - AH84/1000) - (AG84/2 - AH84/1000)^2)=0, "", 7850/1000 * (1/3) * PI() * ABS(AD84 - AE84) * ((AF84/2)^2 + (AF84/2)*(AG84/2) + (AG84/2)^2  - (AF84/2 - AH84/1000)^2 - (AF84/2 - AH84/1000)*(AG84/2 - AH84/1000) - (AG84/2 - AH84/1000)^2))</f>
        <v/>
      </c>
      <c r="AL84" s="117" t="str">
        <f>IFERROR((TP_DATA[[#This Row],[D, top]]+TP_DATA[[#This Row],[D, bottom]])/(2*TP_DATA[[#This Row],[t]]/1000),"")</f>
        <v/>
      </c>
      <c r="BB84" s="16"/>
      <c r="BI84" s="117" t="str">
        <f>IFERROR(TOWER_DATA[[#This Row],[Top]]-TOWER_DATA[[#This Row],[Bottom]], "")</f>
        <v/>
      </c>
      <c r="BJ84" s="117" t="str">
        <f>IFERROR(-(TOWER_DATA[[#This Row],[D, top]]-TOWER_DATA[[#This Row],[D, bottom]])/(TOWER_DATA[[#This Row],[Top]]-TOWER_DATA[[#This Row],[Bottom]]),"")</f>
        <v/>
      </c>
      <c r="BK84" s="117" t="str">
        <f t="shared" ref="BK84:BK147" si="5">IF(7850/1000 * (1/3) * PI() * ABS(BD84 - BE84) * ((BF84/2)^2 + (BF84/2)*(BG84/2) + (BG84/2)^2  - (BF84/2 - BH84/1000)^2 - (BF84/2 - BH84/1000)*(BG84/2 - BH84/1000) - (BG84/2 - BH84/1000)^2)=0, "", 7850/1000 * (1/3) * PI() * ABS(BD84 - BE84) * ((BF84/2)^2 + (BF84/2)*(BG84/2) + (BG84/2)^2  - (BF84/2 - BH84/1000)^2 - (BF84/2 - BH84/1000)*(BG84/2 - BH84/1000) - (BG84/2 - BH84/1000)^2))</f>
        <v/>
      </c>
      <c r="BL84" s="117" t="str">
        <f>IFERROR((TOWER_DATA[[#This Row],[D, top]]+TOWER_DATA[[#This Row],[D, bottom]])/(2*TOWER_DATA[[#This Row],[t]]/1000),"")</f>
        <v/>
      </c>
      <c r="CA84" s="17"/>
    </row>
    <row r="85" spans="1:79" x14ac:dyDescent="0.25">
      <c r="A85" s="16"/>
      <c r="B85" s="16"/>
      <c r="I85" s="117" t="str">
        <f>IFERROR(MP_DATA[[#This Row],[Top]]-MP_DATA[[#This Row],[Bottom]], "")</f>
        <v/>
      </c>
      <c r="J85" s="117" t="str">
        <f>IFERROR(-(MP_DATA[[#This Row],[D, top]]-MP_DATA[[#This Row],[D, bottom]])/(MP_DATA[[#This Row],[Top]]-MP_DATA[[#This Row],[Bottom]]),"")</f>
        <v/>
      </c>
      <c r="K85" s="117" t="str">
        <f t="shared" si="3"/>
        <v/>
      </c>
      <c r="L85" s="117" t="str">
        <f>IFERROR((MP_DATA[[#This Row],[D, top]]+MP_DATA[[#This Row],[D, bottom]])/(2*MP_DATA[[#This Row],[t]]/1000),"")</f>
        <v/>
      </c>
      <c r="AA85" s="17"/>
      <c r="AI85" s="117" t="str">
        <f>IFERROR(TP_DATA[[#This Row],[Top]]-TP_DATA[[#This Row],[Bottom]], "")</f>
        <v/>
      </c>
      <c r="AJ85" s="117" t="str">
        <f>IFERROR(-(TP_DATA[[#This Row],[D, top]]-TP_DATA[[#This Row],[D, bottom]])/(TP_DATA[[#This Row],[Top]]-TP_DATA[[#This Row],[Bottom]]),"")</f>
        <v/>
      </c>
      <c r="AK85" s="117" t="str">
        <f t="shared" si="4"/>
        <v/>
      </c>
      <c r="AL85" s="117" t="str">
        <f>IFERROR((TP_DATA[[#This Row],[D, top]]+TP_DATA[[#This Row],[D, bottom]])/(2*TP_DATA[[#This Row],[t]]/1000),"")</f>
        <v/>
      </c>
      <c r="BB85" s="16"/>
      <c r="BI85" s="117" t="str">
        <f>IFERROR(TOWER_DATA[[#This Row],[Top]]-TOWER_DATA[[#This Row],[Bottom]], "")</f>
        <v/>
      </c>
      <c r="BJ85" s="117" t="str">
        <f>IFERROR(-(TOWER_DATA[[#This Row],[D, top]]-TOWER_DATA[[#This Row],[D, bottom]])/(TOWER_DATA[[#This Row],[Top]]-TOWER_DATA[[#This Row],[Bottom]]),"")</f>
        <v/>
      </c>
      <c r="BK85" s="117" t="str">
        <f t="shared" si="5"/>
        <v/>
      </c>
      <c r="BL85" s="117" t="str">
        <f>IFERROR((TOWER_DATA[[#This Row],[D, top]]+TOWER_DATA[[#This Row],[D, bottom]])/(2*TOWER_DATA[[#This Row],[t]]/1000),"")</f>
        <v/>
      </c>
      <c r="CA85" s="17"/>
    </row>
    <row r="86" spans="1:79" x14ac:dyDescent="0.25">
      <c r="A86" s="16"/>
      <c r="B86" s="16"/>
      <c r="I86" s="117" t="str">
        <f>IFERROR(MP_DATA[[#This Row],[Top]]-MP_DATA[[#This Row],[Bottom]], "")</f>
        <v/>
      </c>
      <c r="J86" s="117" t="str">
        <f>IFERROR(-(MP_DATA[[#This Row],[D, top]]-MP_DATA[[#This Row],[D, bottom]])/(MP_DATA[[#This Row],[Top]]-MP_DATA[[#This Row],[Bottom]]),"")</f>
        <v/>
      </c>
      <c r="K86" s="117" t="str">
        <f t="shared" si="3"/>
        <v/>
      </c>
      <c r="L86" s="117" t="str">
        <f>IFERROR((MP_DATA[[#This Row],[D, top]]+MP_DATA[[#This Row],[D, bottom]])/(2*MP_DATA[[#This Row],[t]]/1000),"")</f>
        <v/>
      </c>
      <c r="AA86" s="17"/>
      <c r="AI86" s="117" t="str">
        <f>IFERROR(TP_DATA[[#This Row],[Top]]-TP_DATA[[#This Row],[Bottom]], "")</f>
        <v/>
      </c>
      <c r="AJ86" s="117" t="str">
        <f>IFERROR(-(TP_DATA[[#This Row],[D, top]]-TP_DATA[[#This Row],[D, bottom]])/(TP_DATA[[#This Row],[Top]]-TP_DATA[[#This Row],[Bottom]]),"")</f>
        <v/>
      </c>
      <c r="AK86" s="117" t="str">
        <f t="shared" si="4"/>
        <v/>
      </c>
      <c r="AL86" s="117" t="str">
        <f>IFERROR((TP_DATA[[#This Row],[D, top]]+TP_DATA[[#This Row],[D, bottom]])/(2*TP_DATA[[#This Row],[t]]/1000),"")</f>
        <v/>
      </c>
      <c r="BB86" s="16"/>
      <c r="BI86" s="117" t="str">
        <f>IFERROR(TOWER_DATA[[#This Row],[Top]]-TOWER_DATA[[#This Row],[Bottom]], "")</f>
        <v/>
      </c>
      <c r="BJ86" s="117" t="str">
        <f>IFERROR(-(TOWER_DATA[[#This Row],[D, top]]-TOWER_DATA[[#This Row],[D, bottom]])/(TOWER_DATA[[#This Row],[Top]]-TOWER_DATA[[#This Row],[Bottom]]),"")</f>
        <v/>
      </c>
      <c r="BK86" s="117" t="str">
        <f t="shared" si="5"/>
        <v/>
      </c>
      <c r="BL86" s="117" t="str">
        <f>IFERROR((TOWER_DATA[[#This Row],[D, top]]+TOWER_DATA[[#This Row],[D, bottom]])/(2*TOWER_DATA[[#This Row],[t]]/1000),"")</f>
        <v/>
      </c>
      <c r="CA86" s="17"/>
    </row>
    <row r="87" spans="1:79" x14ac:dyDescent="0.25">
      <c r="A87" s="16"/>
      <c r="B87" s="16"/>
      <c r="I87" s="117" t="str">
        <f>IFERROR(MP_DATA[[#This Row],[Top]]-MP_DATA[[#This Row],[Bottom]], "")</f>
        <v/>
      </c>
      <c r="J87" s="117" t="str">
        <f>IFERROR(-(MP_DATA[[#This Row],[D, top]]-MP_DATA[[#This Row],[D, bottom]])/(MP_DATA[[#This Row],[Top]]-MP_DATA[[#This Row],[Bottom]]),"")</f>
        <v/>
      </c>
      <c r="K87" s="117" t="str">
        <f t="shared" si="3"/>
        <v/>
      </c>
      <c r="L87" s="117" t="str">
        <f>IFERROR((MP_DATA[[#This Row],[D, top]]+MP_DATA[[#This Row],[D, bottom]])/(2*MP_DATA[[#This Row],[t]]/1000),"")</f>
        <v/>
      </c>
      <c r="AA87" s="17"/>
      <c r="AI87" s="117" t="str">
        <f>IFERROR(TP_DATA[[#This Row],[Top]]-TP_DATA[[#This Row],[Bottom]], "")</f>
        <v/>
      </c>
      <c r="AJ87" s="117" t="str">
        <f>IFERROR(-(TP_DATA[[#This Row],[D, top]]-TP_DATA[[#This Row],[D, bottom]])/(TP_DATA[[#This Row],[Top]]-TP_DATA[[#This Row],[Bottom]]),"")</f>
        <v/>
      </c>
      <c r="AK87" s="117" t="str">
        <f t="shared" si="4"/>
        <v/>
      </c>
      <c r="AL87" s="117" t="str">
        <f>IFERROR((TP_DATA[[#This Row],[D, top]]+TP_DATA[[#This Row],[D, bottom]])/(2*TP_DATA[[#This Row],[t]]/1000),"")</f>
        <v/>
      </c>
      <c r="BB87" s="16"/>
      <c r="BI87" s="117" t="str">
        <f>IFERROR(TOWER_DATA[[#This Row],[Top]]-TOWER_DATA[[#This Row],[Bottom]], "")</f>
        <v/>
      </c>
      <c r="BJ87" s="117" t="str">
        <f>IFERROR(-(TOWER_DATA[[#This Row],[D, top]]-TOWER_DATA[[#This Row],[D, bottom]])/(TOWER_DATA[[#This Row],[Top]]-TOWER_DATA[[#This Row],[Bottom]]),"")</f>
        <v/>
      </c>
      <c r="BK87" s="117" t="str">
        <f t="shared" si="5"/>
        <v/>
      </c>
      <c r="BL87" s="117" t="str">
        <f>IFERROR((TOWER_DATA[[#This Row],[D, top]]+TOWER_DATA[[#This Row],[D, bottom]])/(2*TOWER_DATA[[#This Row],[t]]/1000),"")</f>
        <v/>
      </c>
      <c r="CA87" s="17"/>
    </row>
    <row r="88" spans="1:79" x14ac:dyDescent="0.25">
      <c r="A88" s="16"/>
      <c r="B88" s="16"/>
      <c r="I88" s="117" t="str">
        <f>IFERROR(MP_DATA[[#This Row],[Top]]-MP_DATA[[#This Row],[Bottom]], "")</f>
        <v/>
      </c>
      <c r="J88" s="117" t="str">
        <f>IFERROR(-(MP_DATA[[#This Row],[D, top]]-MP_DATA[[#This Row],[D, bottom]])/(MP_DATA[[#This Row],[Top]]-MP_DATA[[#This Row],[Bottom]]),"")</f>
        <v/>
      </c>
      <c r="K88" s="117" t="str">
        <f t="shared" si="3"/>
        <v/>
      </c>
      <c r="L88" s="117" t="str">
        <f>IFERROR((MP_DATA[[#This Row],[D, top]]+MP_DATA[[#This Row],[D, bottom]])/(2*MP_DATA[[#This Row],[t]]/1000),"")</f>
        <v/>
      </c>
      <c r="AA88" s="17"/>
      <c r="AI88" s="117" t="str">
        <f>IFERROR(TP_DATA[[#This Row],[Top]]-TP_DATA[[#This Row],[Bottom]], "")</f>
        <v/>
      </c>
      <c r="AJ88" s="117" t="str">
        <f>IFERROR(-(TP_DATA[[#This Row],[D, top]]-TP_DATA[[#This Row],[D, bottom]])/(TP_DATA[[#This Row],[Top]]-TP_DATA[[#This Row],[Bottom]]),"")</f>
        <v/>
      </c>
      <c r="AK88" s="117" t="str">
        <f t="shared" si="4"/>
        <v/>
      </c>
      <c r="AL88" s="117" t="str">
        <f>IFERROR((TP_DATA[[#This Row],[D, top]]+TP_DATA[[#This Row],[D, bottom]])/(2*TP_DATA[[#This Row],[t]]/1000),"")</f>
        <v/>
      </c>
      <c r="BB88" s="16"/>
      <c r="BI88" s="117" t="str">
        <f>IFERROR(TOWER_DATA[[#This Row],[Top]]-TOWER_DATA[[#This Row],[Bottom]], "")</f>
        <v/>
      </c>
      <c r="BJ88" s="117" t="str">
        <f>IFERROR(-(TOWER_DATA[[#This Row],[D, top]]-TOWER_DATA[[#This Row],[D, bottom]])/(TOWER_DATA[[#This Row],[Top]]-TOWER_DATA[[#This Row],[Bottom]]),"")</f>
        <v/>
      </c>
      <c r="BK88" s="117" t="str">
        <f t="shared" si="5"/>
        <v/>
      </c>
      <c r="BL88" s="117" t="str">
        <f>IFERROR((TOWER_DATA[[#This Row],[D, top]]+TOWER_DATA[[#This Row],[D, bottom]])/(2*TOWER_DATA[[#This Row],[t]]/1000),"")</f>
        <v/>
      </c>
      <c r="CA88" s="17"/>
    </row>
    <row r="89" spans="1:79" x14ac:dyDescent="0.25">
      <c r="A89" s="16"/>
      <c r="B89" s="16"/>
      <c r="I89" s="117" t="str">
        <f>IFERROR(MP_DATA[[#This Row],[Top]]-MP_DATA[[#This Row],[Bottom]], "")</f>
        <v/>
      </c>
      <c r="J89" s="117" t="str">
        <f>IFERROR(-(MP_DATA[[#This Row],[D, top]]-MP_DATA[[#This Row],[D, bottom]])/(MP_DATA[[#This Row],[Top]]-MP_DATA[[#This Row],[Bottom]]),"")</f>
        <v/>
      </c>
      <c r="K89" s="117" t="str">
        <f t="shared" si="3"/>
        <v/>
      </c>
      <c r="L89" s="117" t="str">
        <f>IFERROR((MP_DATA[[#This Row],[D, top]]+MP_DATA[[#This Row],[D, bottom]])/(2*MP_DATA[[#This Row],[t]]/1000),"")</f>
        <v/>
      </c>
      <c r="AA89" s="17"/>
      <c r="AI89" s="117" t="str">
        <f>IFERROR(TP_DATA[[#This Row],[Top]]-TP_DATA[[#This Row],[Bottom]], "")</f>
        <v/>
      </c>
      <c r="AJ89" s="117" t="str">
        <f>IFERROR(-(TP_DATA[[#This Row],[D, top]]-TP_DATA[[#This Row],[D, bottom]])/(TP_DATA[[#This Row],[Top]]-TP_DATA[[#This Row],[Bottom]]),"")</f>
        <v/>
      </c>
      <c r="AK89" s="117" t="str">
        <f t="shared" si="4"/>
        <v/>
      </c>
      <c r="AL89" s="117" t="str">
        <f>IFERROR((TP_DATA[[#This Row],[D, top]]+TP_DATA[[#This Row],[D, bottom]])/(2*TP_DATA[[#This Row],[t]]/1000),"")</f>
        <v/>
      </c>
      <c r="BB89" s="16"/>
      <c r="BI89" s="117" t="str">
        <f>IFERROR(TOWER_DATA[[#This Row],[Top]]-TOWER_DATA[[#This Row],[Bottom]], "")</f>
        <v/>
      </c>
      <c r="BJ89" s="117" t="str">
        <f>IFERROR(-(TOWER_DATA[[#This Row],[D, top]]-TOWER_DATA[[#This Row],[D, bottom]])/(TOWER_DATA[[#This Row],[Top]]-TOWER_DATA[[#This Row],[Bottom]]),"")</f>
        <v/>
      </c>
      <c r="BK89" s="117" t="str">
        <f t="shared" si="5"/>
        <v/>
      </c>
      <c r="BL89" s="117" t="str">
        <f>IFERROR((TOWER_DATA[[#This Row],[D, top]]+TOWER_DATA[[#This Row],[D, bottom]])/(2*TOWER_DATA[[#This Row],[t]]/1000),"")</f>
        <v/>
      </c>
      <c r="CA89" s="17"/>
    </row>
    <row r="90" spans="1:79" x14ac:dyDescent="0.25">
      <c r="A90" s="16"/>
      <c r="B90" s="16"/>
      <c r="I90" s="117" t="str">
        <f>IFERROR(MP_DATA[[#This Row],[Top]]-MP_DATA[[#This Row],[Bottom]], "")</f>
        <v/>
      </c>
      <c r="J90" s="117" t="str">
        <f>IFERROR(-(MP_DATA[[#This Row],[D, top]]-MP_DATA[[#This Row],[D, bottom]])/(MP_DATA[[#This Row],[Top]]-MP_DATA[[#This Row],[Bottom]]),"")</f>
        <v/>
      </c>
      <c r="K90" s="117" t="str">
        <f t="shared" si="3"/>
        <v/>
      </c>
      <c r="L90" s="117" t="str">
        <f>IFERROR((MP_DATA[[#This Row],[D, top]]+MP_DATA[[#This Row],[D, bottom]])/(2*MP_DATA[[#This Row],[t]]/1000),"")</f>
        <v/>
      </c>
      <c r="AA90" s="17"/>
      <c r="AI90" s="117" t="str">
        <f>IFERROR(TP_DATA[[#This Row],[Top]]-TP_DATA[[#This Row],[Bottom]], "")</f>
        <v/>
      </c>
      <c r="AJ90" s="117" t="str">
        <f>IFERROR(-(TP_DATA[[#This Row],[D, top]]-TP_DATA[[#This Row],[D, bottom]])/(TP_DATA[[#This Row],[Top]]-TP_DATA[[#This Row],[Bottom]]),"")</f>
        <v/>
      </c>
      <c r="AK90" s="117" t="str">
        <f t="shared" si="4"/>
        <v/>
      </c>
      <c r="AL90" s="117" t="str">
        <f>IFERROR((TP_DATA[[#This Row],[D, top]]+TP_DATA[[#This Row],[D, bottom]])/(2*TP_DATA[[#This Row],[t]]/1000),"")</f>
        <v/>
      </c>
      <c r="BB90" s="16"/>
      <c r="BI90" s="117" t="str">
        <f>IFERROR(TOWER_DATA[[#This Row],[Top]]-TOWER_DATA[[#This Row],[Bottom]], "")</f>
        <v/>
      </c>
      <c r="BJ90" s="117" t="str">
        <f>IFERROR(-(TOWER_DATA[[#This Row],[D, top]]-TOWER_DATA[[#This Row],[D, bottom]])/(TOWER_DATA[[#This Row],[Top]]-TOWER_DATA[[#This Row],[Bottom]]),"")</f>
        <v/>
      </c>
      <c r="BK90" s="117" t="str">
        <f t="shared" si="5"/>
        <v/>
      </c>
      <c r="BL90" s="117" t="str">
        <f>IFERROR((TOWER_DATA[[#This Row],[D, top]]+TOWER_DATA[[#This Row],[D, bottom]])/(2*TOWER_DATA[[#This Row],[t]]/1000),"")</f>
        <v/>
      </c>
      <c r="CA90" s="17"/>
    </row>
    <row r="91" spans="1:79" x14ac:dyDescent="0.25">
      <c r="A91" s="16"/>
      <c r="B91" s="16"/>
      <c r="I91" s="117" t="str">
        <f>IFERROR(MP_DATA[[#This Row],[Top]]-MP_DATA[[#This Row],[Bottom]], "")</f>
        <v/>
      </c>
      <c r="J91" s="117" t="str">
        <f>IFERROR(-(MP_DATA[[#This Row],[D, top]]-MP_DATA[[#This Row],[D, bottom]])/(MP_DATA[[#This Row],[Top]]-MP_DATA[[#This Row],[Bottom]]),"")</f>
        <v/>
      </c>
      <c r="K91" s="117" t="str">
        <f t="shared" si="3"/>
        <v/>
      </c>
      <c r="L91" s="117" t="str">
        <f>IFERROR((MP_DATA[[#This Row],[D, top]]+MP_DATA[[#This Row],[D, bottom]])/(2*MP_DATA[[#This Row],[t]]/1000),"")</f>
        <v/>
      </c>
      <c r="AA91" s="17"/>
      <c r="AI91" s="117" t="str">
        <f>IFERROR(TP_DATA[[#This Row],[Top]]-TP_DATA[[#This Row],[Bottom]], "")</f>
        <v/>
      </c>
      <c r="AJ91" s="117" t="str">
        <f>IFERROR(-(TP_DATA[[#This Row],[D, top]]-TP_DATA[[#This Row],[D, bottom]])/(TP_DATA[[#This Row],[Top]]-TP_DATA[[#This Row],[Bottom]]),"")</f>
        <v/>
      </c>
      <c r="AK91" s="117" t="str">
        <f t="shared" si="4"/>
        <v/>
      </c>
      <c r="AL91" s="117" t="str">
        <f>IFERROR((TP_DATA[[#This Row],[D, top]]+TP_DATA[[#This Row],[D, bottom]])/(2*TP_DATA[[#This Row],[t]]/1000),"")</f>
        <v/>
      </c>
      <c r="BB91" s="16"/>
      <c r="BI91" s="117" t="str">
        <f>IFERROR(TOWER_DATA[[#This Row],[Top]]-TOWER_DATA[[#This Row],[Bottom]], "")</f>
        <v/>
      </c>
      <c r="BJ91" s="117" t="str">
        <f>IFERROR(-(TOWER_DATA[[#This Row],[D, top]]-TOWER_DATA[[#This Row],[D, bottom]])/(TOWER_DATA[[#This Row],[Top]]-TOWER_DATA[[#This Row],[Bottom]]),"")</f>
        <v/>
      </c>
      <c r="BK91" s="117" t="str">
        <f t="shared" si="5"/>
        <v/>
      </c>
      <c r="BL91" s="117" t="str">
        <f>IFERROR((TOWER_DATA[[#This Row],[D, top]]+TOWER_DATA[[#This Row],[D, bottom]])/(2*TOWER_DATA[[#This Row],[t]]/1000),"")</f>
        <v/>
      </c>
      <c r="CA91" s="17"/>
    </row>
    <row r="92" spans="1:79" x14ac:dyDescent="0.25">
      <c r="A92" s="16"/>
      <c r="B92" s="16"/>
      <c r="I92" s="117" t="str">
        <f>IFERROR(MP_DATA[[#This Row],[Top]]-MP_DATA[[#This Row],[Bottom]], "")</f>
        <v/>
      </c>
      <c r="J92" s="117" t="str">
        <f>IFERROR(-(MP_DATA[[#This Row],[D, top]]-MP_DATA[[#This Row],[D, bottom]])/(MP_DATA[[#This Row],[Top]]-MP_DATA[[#This Row],[Bottom]]),"")</f>
        <v/>
      </c>
      <c r="K92" s="117" t="str">
        <f t="shared" si="3"/>
        <v/>
      </c>
      <c r="L92" s="117" t="str">
        <f>IFERROR((MP_DATA[[#This Row],[D, top]]+MP_DATA[[#This Row],[D, bottom]])/(2*MP_DATA[[#This Row],[t]]/1000),"")</f>
        <v/>
      </c>
      <c r="AA92" s="17"/>
      <c r="AI92" s="117" t="str">
        <f>IFERROR(TP_DATA[[#This Row],[Top]]-TP_DATA[[#This Row],[Bottom]], "")</f>
        <v/>
      </c>
      <c r="AJ92" s="117" t="str">
        <f>IFERROR(-(TP_DATA[[#This Row],[D, top]]-TP_DATA[[#This Row],[D, bottom]])/(TP_DATA[[#This Row],[Top]]-TP_DATA[[#This Row],[Bottom]]),"")</f>
        <v/>
      </c>
      <c r="AK92" s="117" t="str">
        <f t="shared" si="4"/>
        <v/>
      </c>
      <c r="AL92" s="117" t="str">
        <f>IFERROR((TP_DATA[[#This Row],[D, top]]+TP_DATA[[#This Row],[D, bottom]])/(2*TP_DATA[[#This Row],[t]]/1000),"")</f>
        <v/>
      </c>
      <c r="BB92" s="16"/>
      <c r="BI92" s="117" t="str">
        <f>IFERROR(TOWER_DATA[[#This Row],[Top]]-TOWER_DATA[[#This Row],[Bottom]], "")</f>
        <v/>
      </c>
      <c r="BJ92" s="117" t="str">
        <f>IFERROR(-(TOWER_DATA[[#This Row],[D, top]]-TOWER_DATA[[#This Row],[D, bottom]])/(TOWER_DATA[[#This Row],[Top]]-TOWER_DATA[[#This Row],[Bottom]]),"")</f>
        <v/>
      </c>
      <c r="BK92" s="117" t="str">
        <f t="shared" si="5"/>
        <v/>
      </c>
      <c r="BL92" s="117" t="str">
        <f>IFERROR((TOWER_DATA[[#This Row],[D, top]]+TOWER_DATA[[#This Row],[D, bottom]])/(2*TOWER_DATA[[#This Row],[t]]/1000),"")</f>
        <v/>
      </c>
      <c r="CA92" s="17"/>
    </row>
    <row r="93" spans="1:79" x14ac:dyDescent="0.25">
      <c r="A93" s="16"/>
      <c r="B93" s="16"/>
      <c r="I93" s="117" t="str">
        <f>IFERROR(MP_DATA[[#This Row],[Top]]-MP_DATA[[#This Row],[Bottom]], "")</f>
        <v/>
      </c>
      <c r="J93" s="117" t="str">
        <f>IFERROR(-(MP_DATA[[#This Row],[D, top]]-MP_DATA[[#This Row],[D, bottom]])/(MP_DATA[[#This Row],[Top]]-MP_DATA[[#This Row],[Bottom]]),"")</f>
        <v/>
      </c>
      <c r="K93" s="117" t="str">
        <f t="shared" si="3"/>
        <v/>
      </c>
      <c r="L93" s="117" t="str">
        <f>IFERROR((MP_DATA[[#This Row],[D, top]]+MP_DATA[[#This Row],[D, bottom]])/(2*MP_DATA[[#This Row],[t]]/1000),"")</f>
        <v/>
      </c>
      <c r="AA93" s="17"/>
      <c r="AI93" s="117" t="str">
        <f>IFERROR(TP_DATA[[#This Row],[Top]]-TP_DATA[[#This Row],[Bottom]], "")</f>
        <v/>
      </c>
      <c r="AJ93" s="117" t="str">
        <f>IFERROR(-(TP_DATA[[#This Row],[D, top]]-TP_DATA[[#This Row],[D, bottom]])/(TP_DATA[[#This Row],[Top]]-TP_DATA[[#This Row],[Bottom]]),"")</f>
        <v/>
      </c>
      <c r="AK93" s="117" t="str">
        <f t="shared" si="4"/>
        <v/>
      </c>
      <c r="AL93" s="117" t="str">
        <f>IFERROR((TP_DATA[[#This Row],[D, top]]+TP_DATA[[#This Row],[D, bottom]])/(2*TP_DATA[[#This Row],[t]]/1000),"")</f>
        <v/>
      </c>
      <c r="BB93" s="16"/>
      <c r="BI93" s="117" t="str">
        <f>IFERROR(TOWER_DATA[[#This Row],[Top]]-TOWER_DATA[[#This Row],[Bottom]], "")</f>
        <v/>
      </c>
      <c r="BJ93" s="117" t="str">
        <f>IFERROR(-(TOWER_DATA[[#This Row],[D, top]]-TOWER_DATA[[#This Row],[D, bottom]])/(TOWER_DATA[[#This Row],[Top]]-TOWER_DATA[[#This Row],[Bottom]]),"")</f>
        <v/>
      </c>
      <c r="BK93" s="117" t="str">
        <f t="shared" si="5"/>
        <v/>
      </c>
      <c r="BL93" s="117" t="str">
        <f>IFERROR((TOWER_DATA[[#This Row],[D, top]]+TOWER_DATA[[#This Row],[D, bottom]])/(2*TOWER_DATA[[#This Row],[t]]/1000),"")</f>
        <v/>
      </c>
      <c r="CA93" s="17"/>
    </row>
    <row r="94" spans="1:79" x14ac:dyDescent="0.25">
      <c r="A94" s="16"/>
      <c r="B94" s="16"/>
      <c r="I94" s="117" t="str">
        <f>IFERROR(MP_DATA[[#This Row],[Top]]-MP_DATA[[#This Row],[Bottom]], "")</f>
        <v/>
      </c>
      <c r="J94" s="117" t="str">
        <f>IFERROR(-(MP_DATA[[#This Row],[D, top]]-MP_DATA[[#This Row],[D, bottom]])/(MP_DATA[[#This Row],[Top]]-MP_DATA[[#This Row],[Bottom]]),"")</f>
        <v/>
      </c>
      <c r="K94" s="117" t="str">
        <f t="shared" si="3"/>
        <v/>
      </c>
      <c r="L94" s="117" t="str">
        <f>IFERROR((MP_DATA[[#This Row],[D, top]]+MP_DATA[[#This Row],[D, bottom]])/(2*MP_DATA[[#This Row],[t]]/1000),"")</f>
        <v/>
      </c>
      <c r="AA94" s="17"/>
      <c r="AI94" s="117" t="str">
        <f>IFERROR(TP_DATA[[#This Row],[Top]]-TP_DATA[[#This Row],[Bottom]], "")</f>
        <v/>
      </c>
      <c r="AJ94" s="117" t="str">
        <f>IFERROR(-(TP_DATA[[#This Row],[D, top]]-TP_DATA[[#This Row],[D, bottom]])/(TP_DATA[[#This Row],[Top]]-TP_DATA[[#This Row],[Bottom]]),"")</f>
        <v/>
      </c>
      <c r="AK94" s="117" t="str">
        <f t="shared" si="4"/>
        <v/>
      </c>
      <c r="AL94" s="117" t="str">
        <f>IFERROR((TP_DATA[[#This Row],[D, top]]+TP_DATA[[#This Row],[D, bottom]])/(2*TP_DATA[[#This Row],[t]]/1000),"")</f>
        <v/>
      </c>
      <c r="BB94" s="16"/>
      <c r="BI94" s="117" t="str">
        <f>IFERROR(TOWER_DATA[[#This Row],[Top]]-TOWER_DATA[[#This Row],[Bottom]], "")</f>
        <v/>
      </c>
      <c r="BJ94" s="117" t="str">
        <f>IFERROR(-(TOWER_DATA[[#This Row],[D, top]]-TOWER_DATA[[#This Row],[D, bottom]])/(TOWER_DATA[[#This Row],[Top]]-TOWER_DATA[[#This Row],[Bottom]]),"")</f>
        <v/>
      </c>
      <c r="BK94" s="117" t="str">
        <f t="shared" si="5"/>
        <v/>
      </c>
      <c r="BL94" s="117" t="str">
        <f>IFERROR((TOWER_DATA[[#This Row],[D, top]]+TOWER_DATA[[#This Row],[D, bottom]])/(2*TOWER_DATA[[#This Row],[t]]/1000),"")</f>
        <v/>
      </c>
      <c r="CA94" s="17"/>
    </row>
    <row r="95" spans="1:79" x14ac:dyDescent="0.25">
      <c r="A95" s="16"/>
      <c r="B95" s="16"/>
      <c r="I95" s="117" t="str">
        <f>IFERROR(MP_DATA[[#This Row],[Top]]-MP_DATA[[#This Row],[Bottom]], "")</f>
        <v/>
      </c>
      <c r="J95" s="117" t="str">
        <f>IFERROR(-(MP_DATA[[#This Row],[D, top]]-MP_DATA[[#This Row],[D, bottom]])/(MP_DATA[[#This Row],[Top]]-MP_DATA[[#This Row],[Bottom]]),"")</f>
        <v/>
      </c>
      <c r="K95" s="117" t="str">
        <f t="shared" si="3"/>
        <v/>
      </c>
      <c r="L95" s="117" t="str">
        <f>IFERROR((MP_DATA[[#This Row],[D, top]]+MP_DATA[[#This Row],[D, bottom]])/(2*MP_DATA[[#This Row],[t]]/1000),"")</f>
        <v/>
      </c>
      <c r="AA95" s="17"/>
      <c r="AI95" s="117" t="str">
        <f>IFERROR(TP_DATA[[#This Row],[Top]]-TP_DATA[[#This Row],[Bottom]], "")</f>
        <v/>
      </c>
      <c r="AJ95" s="117" t="str">
        <f>IFERROR(-(TP_DATA[[#This Row],[D, top]]-TP_DATA[[#This Row],[D, bottom]])/(TP_DATA[[#This Row],[Top]]-TP_DATA[[#This Row],[Bottom]]),"")</f>
        <v/>
      </c>
      <c r="AK95" s="117" t="str">
        <f t="shared" si="4"/>
        <v/>
      </c>
      <c r="AL95" s="117" t="str">
        <f>IFERROR((TP_DATA[[#This Row],[D, top]]+TP_DATA[[#This Row],[D, bottom]])/(2*TP_DATA[[#This Row],[t]]/1000),"")</f>
        <v/>
      </c>
      <c r="BB95" s="16"/>
      <c r="BI95" s="117" t="str">
        <f>IFERROR(TOWER_DATA[[#This Row],[Top]]-TOWER_DATA[[#This Row],[Bottom]], "")</f>
        <v/>
      </c>
      <c r="BJ95" s="117" t="str">
        <f>IFERROR(-(TOWER_DATA[[#This Row],[D, top]]-TOWER_DATA[[#This Row],[D, bottom]])/(TOWER_DATA[[#This Row],[Top]]-TOWER_DATA[[#This Row],[Bottom]]),"")</f>
        <v/>
      </c>
      <c r="BK95" s="117" t="str">
        <f t="shared" si="5"/>
        <v/>
      </c>
      <c r="BL95" s="117" t="str">
        <f>IFERROR((TOWER_DATA[[#This Row],[D, top]]+TOWER_DATA[[#This Row],[D, bottom]])/(2*TOWER_DATA[[#This Row],[t]]/1000),"")</f>
        <v/>
      </c>
      <c r="CA95" s="17"/>
    </row>
    <row r="96" spans="1:79" x14ac:dyDescent="0.25">
      <c r="A96" s="16"/>
      <c r="B96" s="16"/>
      <c r="I96" s="117" t="str">
        <f>IFERROR(MP_DATA[[#This Row],[Top]]-MP_DATA[[#This Row],[Bottom]], "")</f>
        <v/>
      </c>
      <c r="J96" s="117" t="str">
        <f>IFERROR(-(MP_DATA[[#This Row],[D, top]]-MP_DATA[[#This Row],[D, bottom]])/(MP_DATA[[#This Row],[Top]]-MP_DATA[[#This Row],[Bottom]]),"")</f>
        <v/>
      </c>
      <c r="K96" s="117" t="str">
        <f t="shared" si="3"/>
        <v/>
      </c>
      <c r="L96" s="117" t="str">
        <f>IFERROR((MP_DATA[[#This Row],[D, top]]+MP_DATA[[#This Row],[D, bottom]])/(2*MP_DATA[[#This Row],[t]]/1000),"")</f>
        <v/>
      </c>
      <c r="AA96" s="17"/>
      <c r="AI96" s="117" t="str">
        <f>IFERROR(TP_DATA[[#This Row],[Top]]-TP_DATA[[#This Row],[Bottom]], "")</f>
        <v/>
      </c>
      <c r="AJ96" s="117" t="str">
        <f>IFERROR(-(TP_DATA[[#This Row],[D, top]]-TP_DATA[[#This Row],[D, bottom]])/(TP_DATA[[#This Row],[Top]]-TP_DATA[[#This Row],[Bottom]]),"")</f>
        <v/>
      </c>
      <c r="AK96" s="117" t="str">
        <f t="shared" si="4"/>
        <v/>
      </c>
      <c r="AL96" s="117" t="str">
        <f>IFERROR((TP_DATA[[#This Row],[D, top]]+TP_DATA[[#This Row],[D, bottom]])/(2*TP_DATA[[#This Row],[t]]/1000),"")</f>
        <v/>
      </c>
      <c r="BB96" s="16"/>
      <c r="BI96" s="117" t="str">
        <f>IFERROR(TOWER_DATA[[#This Row],[Top]]-TOWER_DATA[[#This Row],[Bottom]], "")</f>
        <v/>
      </c>
      <c r="BJ96" s="117" t="str">
        <f>IFERROR(-(TOWER_DATA[[#This Row],[D, top]]-TOWER_DATA[[#This Row],[D, bottom]])/(TOWER_DATA[[#This Row],[Top]]-TOWER_DATA[[#This Row],[Bottom]]),"")</f>
        <v/>
      </c>
      <c r="BK96" s="117" t="str">
        <f t="shared" si="5"/>
        <v/>
      </c>
      <c r="BL96" s="117" t="str">
        <f>IFERROR((TOWER_DATA[[#This Row],[D, top]]+TOWER_DATA[[#This Row],[D, bottom]])/(2*TOWER_DATA[[#This Row],[t]]/1000),"")</f>
        <v/>
      </c>
      <c r="CA96" s="17"/>
    </row>
    <row r="97" spans="1:79" x14ac:dyDescent="0.25">
      <c r="A97" s="16"/>
      <c r="B97" s="16"/>
      <c r="I97" s="117" t="str">
        <f>IFERROR(MP_DATA[[#This Row],[Top]]-MP_DATA[[#This Row],[Bottom]], "")</f>
        <v/>
      </c>
      <c r="J97" s="117" t="str">
        <f>IFERROR(-(MP_DATA[[#This Row],[D, top]]-MP_DATA[[#This Row],[D, bottom]])/(MP_DATA[[#This Row],[Top]]-MP_DATA[[#This Row],[Bottom]]),"")</f>
        <v/>
      </c>
      <c r="K97" s="117" t="str">
        <f t="shared" si="3"/>
        <v/>
      </c>
      <c r="L97" s="117" t="str">
        <f>IFERROR((MP_DATA[[#This Row],[D, top]]+MP_DATA[[#This Row],[D, bottom]])/(2*MP_DATA[[#This Row],[t]]/1000),"")</f>
        <v/>
      </c>
      <c r="AA97" s="17"/>
      <c r="AI97" s="117" t="str">
        <f>IFERROR(TP_DATA[[#This Row],[Top]]-TP_DATA[[#This Row],[Bottom]], "")</f>
        <v/>
      </c>
      <c r="AJ97" s="117" t="str">
        <f>IFERROR(-(TP_DATA[[#This Row],[D, top]]-TP_DATA[[#This Row],[D, bottom]])/(TP_DATA[[#This Row],[Top]]-TP_DATA[[#This Row],[Bottom]]),"")</f>
        <v/>
      </c>
      <c r="AK97" s="117" t="str">
        <f t="shared" si="4"/>
        <v/>
      </c>
      <c r="AL97" s="117" t="str">
        <f>IFERROR((TP_DATA[[#This Row],[D, top]]+TP_DATA[[#This Row],[D, bottom]])/(2*TP_DATA[[#This Row],[t]]/1000),"")</f>
        <v/>
      </c>
      <c r="BB97" s="16"/>
      <c r="BI97" s="117" t="str">
        <f>IFERROR(TOWER_DATA[[#This Row],[Top]]-TOWER_DATA[[#This Row],[Bottom]], "")</f>
        <v/>
      </c>
      <c r="BJ97" s="117" t="str">
        <f>IFERROR(-(TOWER_DATA[[#This Row],[D, top]]-TOWER_DATA[[#This Row],[D, bottom]])/(TOWER_DATA[[#This Row],[Top]]-TOWER_DATA[[#This Row],[Bottom]]),"")</f>
        <v/>
      </c>
      <c r="BK97" s="117" t="str">
        <f t="shared" si="5"/>
        <v/>
      </c>
      <c r="BL97" s="117" t="str">
        <f>IFERROR((TOWER_DATA[[#This Row],[D, top]]+TOWER_DATA[[#This Row],[D, bottom]])/(2*TOWER_DATA[[#This Row],[t]]/1000),"")</f>
        <v/>
      </c>
      <c r="CA97" s="17"/>
    </row>
    <row r="98" spans="1:79" x14ac:dyDescent="0.25">
      <c r="A98" s="16"/>
      <c r="B98" s="16"/>
      <c r="I98" s="117" t="str">
        <f>IFERROR(MP_DATA[[#This Row],[Top]]-MP_DATA[[#This Row],[Bottom]], "")</f>
        <v/>
      </c>
      <c r="J98" s="117" t="str">
        <f>IFERROR(-(MP_DATA[[#This Row],[D, top]]-MP_DATA[[#This Row],[D, bottom]])/(MP_DATA[[#This Row],[Top]]-MP_DATA[[#This Row],[Bottom]]),"")</f>
        <v/>
      </c>
      <c r="K98" s="117" t="str">
        <f t="shared" si="3"/>
        <v/>
      </c>
      <c r="L98" s="117" t="str">
        <f>IFERROR((MP_DATA[[#This Row],[D, top]]+MP_DATA[[#This Row],[D, bottom]])/(2*MP_DATA[[#This Row],[t]]/1000),"")</f>
        <v/>
      </c>
      <c r="AA98" s="17"/>
      <c r="AI98" s="117" t="str">
        <f>IFERROR(TP_DATA[[#This Row],[Top]]-TP_DATA[[#This Row],[Bottom]], "")</f>
        <v/>
      </c>
      <c r="AJ98" s="117" t="str">
        <f>IFERROR(-(TP_DATA[[#This Row],[D, top]]-TP_DATA[[#This Row],[D, bottom]])/(TP_DATA[[#This Row],[Top]]-TP_DATA[[#This Row],[Bottom]]),"")</f>
        <v/>
      </c>
      <c r="AK98" s="117" t="str">
        <f t="shared" si="4"/>
        <v/>
      </c>
      <c r="AL98" s="117" t="str">
        <f>IFERROR((TP_DATA[[#This Row],[D, top]]+TP_DATA[[#This Row],[D, bottom]])/(2*TP_DATA[[#This Row],[t]]/1000),"")</f>
        <v/>
      </c>
      <c r="BB98" s="16"/>
      <c r="BI98" s="117" t="str">
        <f>IFERROR(TOWER_DATA[[#This Row],[Top]]-TOWER_DATA[[#This Row],[Bottom]], "")</f>
        <v/>
      </c>
      <c r="BJ98" s="117" t="str">
        <f>IFERROR(-(TOWER_DATA[[#This Row],[D, top]]-TOWER_DATA[[#This Row],[D, bottom]])/(TOWER_DATA[[#This Row],[Top]]-TOWER_DATA[[#This Row],[Bottom]]),"")</f>
        <v/>
      </c>
      <c r="BK98" s="117" t="str">
        <f t="shared" si="5"/>
        <v/>
      </c>
      <c r="BL98" s="117" t="str">
        <f>IFERROR((TOWER_DATA[[#This Row],[D, top]]+TOWER_DATA[[#This Row],[D, bottom]])/(2*TOWER_DATA[[#This Row],[t]]/1000),"")</f>
        <v/>
      </c>
      <c r="CA98" s="17"/>
    </row>
    <row r="99" spans="1:79" x14ac:dyDescent="0.25">
      <c r="A99" s="16"/>
      <c r="B99" s="16"/>
      <c r="I99" s="117" t="str">
        <f>IFERROR(MP_DATA[[#This Row],[Top]]-MP_DATA[[#This Row],[Bottom]], "")</f>
        <v/>
      </c>
      <c r="J99" s="117" t="str">
        <f>IFERROR(-(MP_DATA[[#This Row],[D, top]]-MP_DATA[[#This Row],[D, bottom]])/(MP_DATA[[#This Row],[Top]]-MP_DATA[[#This Row],[Bottom]]),"")</f>
        <v/>
      </c>
      <c r="K99" s="117" t="str">
        <f t="shared" si="3"/>
        <v/>
      </c>
      <c r="L99" s="117" t="str">
        <f>IFERROR((MP_DATA[[#This Row],[D, top]]+MP_DATA[[#This Row],[D, bottom]])/(2*MP_DATA[[#This Row],[t]]/1000),"")</f>
        <v/>
      </c>
      <c r="AA99" s="17"/>
      <c r="AI99" s="117" t="str">
        <f>IFERROR(TP_DATA[[#This Row],[Top]]-TP_DATA[[#This Row],[Bottom]], "")</f>
        <v/>
      </c>
      <c r="AJ99" s="117" t="str">
        <f>IFERROR(-(TP_DATA[[#This Row],[D, top]]-TP_DATA[[#This Row],[D, bottom]])/(TP_DATA[[#This Row],[Top]]-TP_DATA[[#This Row],[Bottom]]),"")</f>
        <v/>
      </c>
      <c r="AK99" s="117" t="str">
        <f t="shared" si="4"/>
        <v/>
      </c>
      <c r="AL99" s="117" t="str">
        <f>IFERROR((TP_DATA[[#This Row],[D, top]]+TP_DATA[[#This Row],[D, bottom]])/(2*TP_DATA[[#This Row],[t]]/1000),"")</f>
        <v/>
      </c>
      <c r="BB99" s="16"/>
      <c r="BI99" s="117" t="str">
        <f>IFERROR(TOWER_DATA[[#This Row],[Top]]-TOWER_DATA[[#This Row],[Bottom]], "")</f>
        <v/>
      </c>
      <c r="BJ99" s="117" t="str">
        <f>IFERROR(-(TOWER_DATA[[#This Row],[D, top]]-TOWER_DATA[[#This Row],[D, bottom]])/(TOWER_DATA[[#This Row],[Top]]-TOWER_DATA[[#This Row],[Bottom]]),"")</f>
        <v/>
      </c>
      <c r="BK99" s="117" t="str">
        <f t="shared" si="5"/>
        <v/>
      </c>
      <c r="BL99" s="117" t="str">
        <f>IFERROR((TOWER_DATA[[#This Row],[D, top]]+TOWER_DATA[[#This Row],[D, bottom]])/(2*TOWER_DATA[[#This Row],[t]]/1000),"")</f>
        <v/>
      </c>
      <c r="CA99" s="17"/>
    </row>
    <row r="100" spans="1:79" x14ac:dyDescent="0.25">
      <c r="A100" s="16"/>
      <c r="B100" s="16"/>
      <c r="I100" s="117" t="str">
        <f>IFERROR(MP_DATA[[#This Row],[Top]]-MP_DATA[[#This Row],[Bottom]], "")</f>
        <v/>
      </c>
      <c r="J100" s="117" t="str">
        <f>IFERROR(-(MP_DATA[[#This Row],[D, top]]-MP_DATA[[#This Row],[D, bottom]])/(MP_DATA[[#This Row],[Top]]-MP_DATA[[#This Row],[Bottom]]),"")</f>
        <v/>
      </c>
      <c r="K100" s="117" t="str">
        <f t="shared" si="3"/>
        <v/>
      </c>
      <c r="L100" s="117" t="str">
        <f>IFERROR((MP_DATA[[#This Row],[D, top]]+MP_DATA[[#This Row],[D, bottom]])/(2*MP_DATA[[#This Row],[t]]/1000),"")</f>
        <v/>
      </c>
      <c r="AA100" s="17"/>
      <c r="AI100" s="117" t="str">
        <f>IFERROR(TP_DATA[[#This Row],[Top]]-TP_DATA[[#This Row],[Bottom]], "")</f>
        <v/>
      </c>
      <c r="AJ100" s="117" t="str">
        <f>IFERROR(-(TP_DATA[[#This Row],[D, top]]-TP_DATA[[#This Row],[D, bottom]])/(TP_DATA[[#This Row],[Top]]-TP_DATA[[#This Row],[Bottom]]),"")</f>
        <v/>
      </c>
      <c r="AK100" s="117" t="str">
        <f t="shared" si="4"/>
        <v/>
      </c>
      <c r="AL100" s="117" t="str">
        <f>IFERROR((TP_DATA[[#This Row],[D, top]]+TP_DATA[[#This Row],[D, bottom]])/(2*TP_DATA[[#This Row],[t]]/1000),"")</f>
        <v/>
      </c>
      <c r="BB100" s="16"/>
      <c r="BI100" s="117" t="str">
        <f>IFERROR(TOWER_DATA[[#This Row],[Top]]-TOWER_DATA[[#This Row],[Bottom]], "")</f>
        <v/>
      </c>
      <c r="BJ100" s="117" t="str">
        <f>IFERROR(-(TOWER_DATA[[#This Row],[D, top]]-TOWER_DATA[[#This Row],[D, bottom]])/(TOWER_DATA[[#This Row],[Top]]-TOWER_DATA[[#This Row],[Bottom]]),"")</f>
        <v/>
      </c>
      <c r="BK100" s="117" t="str">
        <f t="shared" si="5"/>
        <v/>
      </c>
      <c r="BL100" s="117" t="str">
        <f>IFERROR((TOWER_DATA[[#This Row],[D, top]]+TOWER_DATA[[#This Row],[D, bottom]])/(2*TOWER_DATA[[#This Row],[t]]/1000),"")</f>
        <v/>
      </c>
      <c r="CA100" s="17"/>
    </row>
    <row r="101" spans="1:79" x14ac:dyDescent="0.25">
      <c r="A101" s="16"/>
      <c r="B101" s="16"/>
      <c r="I101" s="117" t="str">
        <f>IFERROR(MP_DATA[[#This Row],[Top]]-MP_DATA[[#This Row],[Bottom]], "")</f>
        <v/>
      </c>
      <c r="J101" s="117" t="str">
        <f>IFERROR(-(MP_DATA[[#This Row],[D, top]]-MP_DATA[[#This Row],[D, bottom]])/(MP_DATA[[#This Row],[Top]]-MP_DATA[[#This Row],[Bottom]]),"")</f>
        <v/>
      </c>
      <c r="K101" s="117" t="str">
        <f t="shared" si="3"/>
        <v/>
      </c>
      <c r="L101" s="117" t="str">
        <f>IFERROR((MP_DATA[[#This Row],[D, top]]+MP_DATA[[#This Row],[D, bottom]])/(2*MP_DATA[[#This Row],[t]]/1000),"")</f>
        <v/>
      </c>
      <c r="AA101" s="17"/>
      <c r="AI101" s="117" t="str">
        <f>IFERROR(TP_DATA[[#This Row],[Top]]-TP_DATA[[#This Row],[Bottom]], "")</f>
        <v/>
      </c>
      <c r="AJ101" s="117" t="str">
        <f>IFERROR(-(TP_DATA[[#This Row],[D, top]]-TP_DATA[[#This Row],[D, bottom]])/(TP_DATA[[#This Row],[Top]]-TP_DATA[[#This Row],[Bottom]]),"")</f>
        <v/>
      </c>
      <c r="AK101" s="117" t="str">
        <f t="shared" si="4"/>
        <v/>
      </c>
      <c r="AL101" s="117" t="str">
        <f>IFERROR((TP_DATA[[#This Row],[D, top]]+TP_DATA[[#This Row],[D, bottom]])/(2*TP_DATA[[#This Row],[t]]/1000),"")</f>
        <v/>
      </c>
      <c r="BB101" s="16"/>
      <c r="BI101" s="117" t="str">
        <f>IFERROR(TOWER_DATA[[#This Row],[Top]]-TOWER_DATA[[#This Row],[Bottom]], "")</f>
        <v/>
      </c>
      <c r="BJ101" s="117" t="str">
        <f>IFERROR(-(TOWER_DATA[[#This Row],[D, top]]-TOWER_DATA[[#This Row],[D, bottom]])/(TOWER_DATA[[#This Row],[Top]]-TOWER_DATA[[#This Row],[Bottom]]),"")</f>
        <v/>
      </c>
      <c r="BK101" s="117" t="str">
        <f t="shared" si="5"/>
        <v/>
      </c>
      <c r="BL101" s="117" t="str">
        <f>IFERROR((TOWER_DATA[[#This Row],[D, top]]+TOWER_DATA[[#This Row],[D, bottom]])/(2*TOWER_DATA[[#This Row],[t]]/1000),"")</f>
        <v/>
      </c>
      <c r="CA101" s="17"/>
    </row>
    <row r="102" spans="1:79" x14ac:dyDescent="0.25">
      <c r="A102" s="16"/>
      <c r="B102" s="16"/>
      <c r="I102" s="117" t="str">
        <f>IFERROR(MP_DATA[[#This Row],[Top]]-MP_DATA[[#This Row],[Bottom]], "")</f>
        <v/>
      </c>
      <c r="J102" s="117" t="str">
        <f>IFERROR(-(MP_DATA[[#This Row],[D, top]]-MP_DATA[[#This Row],[D, bottom]])/(MP_DATA[[#This Row],[Top]]-MP_DATA[[#This Row],[Bottom]]),"")</f>
        <v/>
      </c>
      <c r="K102" s="117" t="str">
        <f t="shared" si="3"/>
        <v/>
      </c>
      <c r="L102" s="117" t="str">
        <f>IFERROR((MP_DATA[[#This Row],[D, top]]+MP_DATA[[#This Row],[D, bottom]])/(2*MP_DATA[[#This Row],[t]]/1000),"")</f>
        <v/>
      </c>
      <c r="AA102" s="17"/>
      <c r="AI102" s="117" t="str">
        <f>IFERROR(TP_DATA[[#This Row],[Top]]-TP_DATA[[#This Row],[Bottom]], "")</f>
        <v/>
      </c>
      <c r="AJ102" s="117" t="str">
        <f>IFERROR(-(TP_DATA[[#This Row],[D, top]]-TP_DATA[[#This Row],[D, bottom]])/(TP_DATA[[#This Row],[Top]]-TP_DATA[[#This Row],[Bottom]]),"")</f>
        <v/>
      </c>
      <c r="AK102" s="117" t="str">
        <f t="shared" si="4"/>
        <v/>
      </c>
      <c r="AL102" s="117" t="str">
        <f>IFERROR((TP_DATA[[#This Row],[D, top]]+TP_DATA[[#This Row],[D, bottom]])/(2*TP_DATA[[#This Row],[t]]/1000),"")</f>
        <v/>
      </c>
      <c r="BB102" s="16"/>
      <c r="BI102" s="117" t="str">
        <f>IFERROR(TOWER_DATA[[#This Row],[Top]]-TOWER_DATA[[#This Row],[Bottom]], "")</f>
        <v/>
      </c>
      <c r="BJ102" s="117" t="str">
        <f>IFERROR(-(TOWER_DATA[[#This Row],[D, top]]-TOWER_DATA[[#This Row],[D, bottom]])/(TOWER_DATA[[#This Row],[Top]]-TOWER_DATA[[#This Row],[Bottom]]),"")</f>
        <v/>
      </c>
      <c r="BK102" s="117" t="str">
        <f t="shared" si="5"/>
        <v/>
      </c>
      <c r="BL102" s="117" t="str">
        <f>IFERROR((TOWER_DATA[[#This Row],[D, top]]+TOWER_DATA[[#This Row],[D, bottom]])/(2*TOWER_DATA[[#This Row],[t]]/1000),"")</f>
        <v/>
      </c>
      <c r="CA102" s="17"/>
    </row>
    <row r="103" spans="1:79" x14ac:dyDescent="0.25">
      <c r="A103" s="16"/>
      <c r="B103" s="16"/>
      <c r="I103" s="117" t="str">
        <f>IFERROR(MP_DATA[[#This Row],[Top]]-MP_DATA[[#This Row],[Bottom]], "")</f>
        <v/>
      </c>
      <c r="J103" s="117" t="str">
        <f>IFERROR(-(MP_DATA[[#This Row],[D, top]]-MP_DATA[[#This Row],[D, bottom]])/(MP_DATA[[#This Row],[Top]]-MP_DATA[[#This Row],[Bottom]]),"")</f>
        <v/>
      </c>
      <c r="K103" s="117" t="str">
        <f t="shared" si="3"/>
        <v/>
      </c>
      <c r="L103" s="117" t="str">
        <f>IFERROR((MP_DATA[[#This Row],[D, top]]+MP_DATA[[#This Row],[D, bottom]])/(2*MP_DATA[[#This Row],[t]]/1000),"")</f>
        <v/>
      </c>
      <c r="AA103" s="17"/>
      <c r="AI103" s="117" t="str">
        <f>IFERROR(TP_DATA[[#This Row],[Top]]-TP_DATA[[#This Row],[Bottom]], "")</f>
        <v/>
      </c>
      <c r="AJ103" s="117" t="str">
        <f>IFERROR(-(TP_DATA[[#This Row],[D, top]]-TP_DATA[[#This Row],[D, bottom]])/(TP_DATA[[#This Row],[Top]]-TP_DATA[[#This Row],[Bottom]]),"")</f>
        <v/>
      </c>
      <c r="AK103" s="117" t="str">
        <f t="shared" si="4"/>
        <v/>
      </c>
      <c r="AL103" s="117" t="str">
        <f>IFERROR((TP_DATA[[#This Row],[D, top]]+TP_DATA[[#This Row],[D, bottom]])/(2*TP_DATA[[#This Row],[t]]/1000),"")</f>
        <v/>
      </c>
      <c r="BB103" s="16"/>
      <c r="BI103" s="117" t="str">
        <f>IFERROR(TOWER_DATA[[#This Row],[Top]]-TOWER_DATA[[#This Row],[Bottom]], "")</f>
        <v/>
      </c>
      <c r="BJ103" s="117" t="str">
        <f>IFERROR(-(TOWER_DATA[[#This Row],[D, top]]-TOWER_DATA[[#This Row],[D, bottom]])/(TOWER_DATA[[#This Row],[Top]]-TOWER_DATA[[#This Row],[Bottom]]),"")</f>
        <v/>
      </c>
      <c r="BK103" s="117" t="str">
        <f t="shared" si="5"/>
        <v/>
      </c>
      <c r="BL103" s="117" t="str">
        <f>IFERROR((TOWER_DATA[[#This Row],[D, top]]+TOWER_DATA[[#This Row],[D, bottom]])/(2*TOWER_DATA[[#This Row],[t]]/1000),"")</f>
        <v/>
      </c>
      <c r="CA103" s="17"/>
    </row>
    <row r="104" spans="1:79" x14ac:dyDescent="0.25">
      <c r="A104" s="16"/>
      <c r="B104" s="16"/>
      <c r="I104" s="117" t="str">
        <f>IFERROR(MP_DATA[[#This Row],[Top]]-MP_DATA[[#This Row],[Bottom]], "")</f>
        <v/>
      </c>
      <c r="J104" s="117" t="str">
        <f>IFERROR(-(MP_DATA[[#This Row],[D, top]]-MP_DATA[[#This Row],[D, bottom]])/(MP_DATA[[#This Row],[Top]]-MP_DATA[[#This Row],[Bottom]]),"")</f>
        <v/>
      </c>
      <c r="K104" s="117" t="str">
        <f t="shared" si="3"/>
        <v/>
      </c>
      <c r="L104" s="117" t="str">
        <f>IFERROR((MP_DATA[[#This Row],[D, top]]+MP_DATA[[#This Row],[D, bottom]])/(2*MP_DATA[[#This Row],[t]]/1000),"")</f>
        <v/>
      </c>
      <c r="AA104" s="17"/>
      <c r="AI104" s="117" t="str">
        <f>IFERROR(TP_DATA[[#This Row],[Top]]-TP_DATA[[#This Row],[Bottom]], "")</f>
        <v/>
      </c>
      <c r="AJ104" s="117" t="str">
        <f>IFERROR(-(TP_DATA[[#This Row],[D, top]]-TP_DATA[[#This Row],[D, bottom]])/(TP_DATA[[#This Row],[Top]]-TP_DATA[[#This Row],[Bottom]]),"")</f>
        <v/>
      </c>
      <c r="AK104" s="117" t="str">
        <f t="shared" si="4"/>
        <v/>
      </c>
      <c r="AL104" s="117" t="str">
        <f>IFERROR((TP_DATA[[#This Row],[D, top]]+TP_DATA[[#This Row],[D, bottom]])/(2*TP_DATA[[#This Row],[t]]/1000),"")</f>
        <v/>
      </c>
      <c r="BB104" s="16"/>
      <c r="BI104" s="117" t="str">
        <f>IFERROR(TOWER_DATA[[#This Row],[Top]]-TOWER_DATA[[#This Row],[Bottom]], "")</f>
        <v/>
      </c>
      <c r="BJ104" s="117" t="str">
        <f>IFERROR(-(TOWER_DATA[[#This Row],[D, top]]-TOWER_DATA[[#This Row],[D, bottom]])/(TOWER_DATA[[#This Row],[Top]]-TOWER_DATA[[#This Row],[Bottom]]),"")</f>
        <v/>
      </c>
      <c r="BK104" s="117" t="str">
        <f t="shared" si="5"/>
        <v/>
      </c>
      <c r="BL104" s="117" t="str">
        <f>IFERROR((TOWER_DATA[[#This Row],[D, top]]+TOWER_DATA[[#This Row],[D, bottom]])/(2*TOWER_DATA[[#This Row],[t]]/1000),"")</f>
        <v/>
      </c>
      <c r="CA104" s="17"/>
    </row>
    <row r="105" spans="1:79" x14ac:dyDescent="0.25">
      <c r="A105" s="16"/>
      <c r="B105" s="16"/>
      <c r="I105" s="117" t="str">
        <f>IFERROR(MP_DATA[[#This Row],[Top]]-MP_DATA[[#This Row],[Bottom]], "")</f>
        <v/>
      </c>
      <c r="J105" s="117" t="str">
        <f>IFERROR(-(MP_DATA[[#This Row],[D, top]]-MP_DATA[[#This Row],[D, bottom]])/(MP_DATA[[#This Row],[Top]]-MP_DATA[[#This Row],[Bottom]]),"")</f>
        <v/>
      </c>
      <c r="K105" s="117" t="str">
        <f t="shared" si="3"/>
        <v/>
      </c>
      <c r="L105" s="117" t="str">
        <f>IFERROR((MP_DATA[[#This Row],[D, top]]+MP_DATA[[#This Row],[D, bottom]])/(2*MP_DATA[[#This Row],[t]]/1000),"")</f>
        <v/>
      </c>
      <c r="AA105" s="17"/>
      <c r="AI105" s="117" t="str">
        <f>IFERROR(TP_DATA[[#This Row],[Top]]-TP_DATA[[#This Row],[Bottom]], "")</f>
        <v/>
      </c>
      <c r="AJ105" s="117" t="str">
        <f>IFERROR(-(TP_DATA[[#This Row],[D, top]]-TP_DATA[[#This Row],[D, bottom]])/(TP_DATA[[#This Row],[Top]]-TP_DATA[[#This Row],[Bottom]]),"")</f>
        <v/>
      </c>
      <c r="AK105" s="117" t="str">
        <f t="shared" si="4"/>
        <v/>
      </c>
      <c r="AL105" s="117" t="str">
        <f>IFERROR((TP_DATA[[#This Row],[D, top]]+TP_DATA[[#This Row],[D, bottom]])/(2*TP_DATA[[#This Row],[t]]/1000),"")</f>
        <v/>
      </c>
      <c r="BB105" s="16"/>
      <c r="BI105" s="117" t="str">
        <f>IFERROR(TOWER_DATA[[#This Row],[Top]]-TOWER_DATA[[#This Row],[Bottom]], "")</f>
        <v/>
      </c>
      <c r="BJ105" s="117" t="str">
        <f>IFERROR(-(TOWER_DATA[[#This Row],[D, top]]-TOWER_DATA[[#This Row],[D, bottom]])/(TOWER_DATA[[#This Row],[Top]]-TOWER_DATA[[#This Row],[Bottom]]),"")</f>
        <v/>
      </c>
      <c r="BK105" s="117" t="str">
        <f t="shared" si="5"/>
        <v/>
      </c>
      <c r="BL105" s="117" t="str">
        <f>IFERROR((TOWER_DATA[[#This Row],[D, top]]+TOWER_DATA[[#This Row],[D, bottom]])/(2*TOWER_DATA[[#This Row],[t]]/1000),"")</f>
        <v/>
      </c>
      <c r="CA105" s="17"/>
    </row>
    <row r="106" spans="1:79" x14ac:dyDescent="0.25">
      <c r="A106" s="16"/>
      <c r="B106" s="16"/>
      <c r="I106" s="117" t="str">
        <f>IFERROR(MP_DATA[[#This Row],[Top]]-MP_DATA[[#This Row],[Bottom]], "")</f>
        <v/>
      </c>
      <c r="J106" s="117" t="str">
        <f>IFERROR(-(MP_DATA[[#This Row],[D, top]]-MP_DATA[[#This Row],[D, bottom]])/(MP_DATA[[#This Row],[Top]]-MP_DATA[[#This Row],[Bottom]]),"")</f>
        <v/>
      </c>
      <c r="K106" s="117" t="str">
        <f t="shared" si="3"/>
        <v/>
      </c>
      <c r="L106" s="117" t="str">
        <f>IFERROR((MP_DATA[[#This Row],[D, top]]+MP_DATA[[#This Row],[D, bottom]])/(2*MP_DATA[[#This Row],[t]]/1000),"")</f>
        <v/>
      </c>
      <c r="AA106" s="17"/>
      <c r="AI106" s="117" t="str">
        <f>IFERROR(TP_DATA[[#This Row],[Top]]-TP_DATA[[#This Row],[Bottom]], "")</f>
        <v/>
      </c>
      <c r="AJ106" s="117" t="str">
        <f>IFERROR(-(TP_DATA[[#This Row],[D, top]]-TP_DATA[[#This Row],[D, bottom]])/(TP_DATA[[#This Row],[Top]]-TP_DATA[[#This Row],[Bottom]]),"")</f>
        <v/>
      </c>
      <c r="AK106" s="117" t="str">
        <f t="shared" si="4"/>
        <v/>
      </c>
      <c r="AL106" s="117" t="str">
        <f>IFERROR((TP_DATA[[#This Row],[D, top]]+TP_DATA[[#This Row],[D, bottom]])/(2*TP_DATA[[#This Row],[t]]/1000),"")</f>
        <v/>
      </c>
      <c r="BB106" s="16"/>
      <c r="BI106" s="117" t="str">
        <f>IFERROR(TOWER_DATA[[#This Row],[Top]]-TOWER_DATA[[#This Row],[Bottom]], "")</f>
        <v/>
      </c>
      <c r="BJ106" s="117" t="str">
        <f>IFERROR(-(TOWER_DATA[[#This Row],[D, top]]-TOWER_DATA[[#This Row],[D, bottom]])/(TOWER_DATA[[#This Row],[Top]]-TOWER_DATA[[#This Row],[Bottom]]),"")</f>
        <v/>
      </c>
      <c r="BK106" s="117" t="str">
        <f t="shared" si="5"/>
        <v/>
      </c>
      <c r="BL106" s="117" t="str">
        <f>IFERROR((TOWER_DATA[[#This Row],[D, top]]+TOWER_DATA[[#This Row],[D, bottom]])/(2*TOWER_DATA[[#This Row],[t]]/1000),"")</f>
        <v/>
      </c>
      <c r="CA106" s="17"/>
    </row>
    <row r="107" spans="1:79" x14ac:dyDescent="0.25">
      <c r="A107" s="16"/>
      <c r="B107" s="16"/>
      <c r="I107" s="117" t="str">
        <f>IFERROR(MP_DATA[[#This Row],[Top]]-MP_DATA[[#This Row],[Bottom]], "")</f>
        <v/>
      </c>
      <c r="J107" s="117" t="str">
        <f>IFERROR(-(MP_DATA[[#This Row],[D, top]]-MP_DATA[[#This Row],[D, bottom]])/(MP_DATA[[#This Row],[Top]]-MP_DATA[[#This Row],[Bottom]]),"")</f>
        <v/>
      </c>
      <c r="K107" s="117" t="str">
        <f t="shared" si="3"/>
        <v/>
      </c>
      <c r="L107" s="117" t="str">
        <f>IFERROR((MP_DATA[[#This Row],[D, top]]+MP_DATA[[#This Row],[D, bottom]])/(2*MP_DATA[[#This Row],[t]]/1000),"")</f>
        <v/>
      </c>
      <c r="AA107" s="17"/>
      <c r="AI107" s="117" t="str">
        <f>IFERROR(TP_DATA[[#This Row],[Top]]-TP_DATA[[#This Row],[Bottom]], "")</f>
        <v/>
      </c>
      <c r="AJ107" s="117" t="str">
        <f>IFERROR(-(TP_DATA[[#This Row],[D, top]]-TP_DATA[[#This Row],[D, bottom]])/(TP_DATA[[#This Row],[Top]]-TP_DATA[[#This Row],[Bottom]]),"")</f>
        <v/>
      </c>
      <c r="AK107" s="117" t="str">
        <f t="shared" si="4"/>
        <v/>
      </c>
      <c r="AL107" s="117" t="str">
        <f>IFERROR((TP_DATA[[#This Row],[D, top]]+TP_DATA[[#This Row],[D, bottom]])/(2*TP_DATA[[#This Row],[t]]/1000),"")</f>
        <v/>
      </c>
      <c r="BB107" s="16"/>
      <c r="BI107" s="117" t="str">
        <f>IFERROR(TOWER_DATA[[#This Row],[Top]]-TOWER_DATA[[#This Row],[Bottom]], "")</f>
        <v/>
      </c>
      <c r="BJ107" s="117" t="str">
        <f>IFERROR(-(TOWER_DATA[[#This Row],[D, top]]-TOWER_DATA[[#This Row],[D, bottom]])/(TOWER_DATA[[#This Row],[Top]]-TOWER_DATA[[#This Row],[Bottom]]),"")</f>
        <v/>
      </c>
      <c r="BK107" s="117" t="str">
        <f t="shared" si="5"/>
        <v/>
      </c>
      <c r="BL107" s="117" t="str">
        <f>IFERROR((TOWER_DATA[[#This Row],[D, top]]+TOWER_DATA[[#This Row],[D, bottom]])/(2*TOWER_DATA[[#This Row],[t]]/1000),"")</f>
        <v/>
      </c>
      <c r="CA107" s="17"/>
    </row>
    <row r="108" spans="1:79" x14ac:dyDescent="0.25">
      <c r="A108" s="16"/>
      <c r="B108" s="16"/>
      <c r="I108" s="117" t="str">
        <f>IFERROR(MP_DATA[[#This Row],[Top]]-MP_DATA[[#This Row],[Bottom]], "")</f>
        <v/>
      </c>
      <c r="J108" s="117" t="str">
        <f>IFERROR(-(MP_DATA[[#This Row],[D, top]]-MP_DATA[[#This Row],[D, bottom]])/(MP_DATA[[#This Row],[Top]]-MP_DATA[[#This Row],[Bottom]]),"")</f>
        <v/>
      </c>
      <c r="K108" s="117" t="str">
        <f t="shared" si="3"/>
        <v/>
      </c>
      <c r="L108" s="117" t="str">
        <f>IFERROR((MP_DATA[[#This Row],[D, top]]+MP_DATA[[#This Row],[D, bottom]])/(2*MP_DATA[[#This Row],[t]]/1000),"")</f>
        <v/>
      </c>
      <c r="AA108" s="17"/>
      <c r="AI108" s="117" t="str">
        <f>IFERROR(TP_DATA[[#This Row],[Top]]-TP_DATA[[#This Row],[Bottom]], "")</f>
        <v/>
      </c>
      <c r="AJ108" s="117" t="str">
        <f>IFERROR(-(TP_DATA[[#This Row],[D, top]]-TP_DATA[[#This Row],[D, bottom]])/(TP_DATA[[#This Row],[Top]]-TP_DATA[[#This Row],[Bottom]]),"")</f>
        <v/>
      </c>
      <c r="AK108" s="117" t="str">
        <f t="shared" si="4"/>
        <v/>
      </c>
      <c r="AL108" s="117" t="str">
        <f>IFERROR((TP_DATA[[#This Row],[D, top]]+TP_DATA[[#This Row],[D, bottom]])/(2*TP_DATA[[#This Row],[t]]/1000),"")</f>
        <v/>
      </c>
      <c r="BB108" s="16"/>
      <c r="BI108" s="117" t="str">
        <f>IFERROR(TOWER_DATA[[#This Row],[Top]]-TOWER_DATA[[#This Row],[Bottom]], "")</f>
        <v/>
      </c>
      <c r="BJ108" s="117" t="str">
        <f>IFERROR(-(TOWER_DATA[[#This Row],[D, top]]-TOWER_DATA[[#This Row],[D, bottom]])/(TOWER_DATA[[#This Row],[Top]]-TOWER_DATA[[#This Row],[Bottom]]),"")</f>
        <v/>
      </c>
      <c r="BK108" s="117" t="str">
        <f t="shared" si="5"/>
        <v/>
      </c>
      <c r="BL108" s="117" t="str">
        <f>IFERROR((TOWER_DATA[[#This Row],[D, top]]+TOWER_DATA[[#This Row],[D, bottom]])/(2*TOWER_DATA[[#This Row],[t]]/1000),"")</f>
        <v/>
      </c>
      <c r="CA108" s="17"/>
    </row>
    <row r="109" spans="1:79" x14ac:dyDescent="0.25">
      <c r="A109" s="16"/>
      <c r="B109" s="16"/>
      <c r="I109" s="117" t="str">
        <f>IFERROR(MP_DATA[[#This Row],[Top]]-MP_DATA[[#This Row],[Bottom]], "")</f>
        <v/>
      </c>
      <c r="J109" s="117" t="str">
        <f>IFERROR(-(MP_DATA[[#This Row],[D, top]]-MP_DATA[[#This Row],[D, bottom]])/(MP_DATA[[#This Row],[Top]]-MP_DATA[[#This Row],[Bottom]]),"")</f>
        <v/>
      </c>
      <c r="K109" s="117" t="str">
        <f t="shared" si="3"/>
        <v/>
      </c>
      <c r="L109" s="117" t="str">
        <f>IFERROR((MP_DATA[[#This Row],[D, top]]+MP_DATA[[#This Row],[D, bottom]])/(2*MP_DATA[[#This Row],[t]]/1000),"")</f>
        <v/>
      </c>
      <c r="AA109" s="17"/>
      <c r="AI109" s="117" t="str">
        <f>IFERROR(TP_DATA[[#This Row],[Top]]-TP_DATA[[#This Row],[Bottom]], "")</f>
        <v/>
      </c>
      <c r="AJ109" s="117" t="str">
        <f>IFERROR(-(TP_DATA[[#This Row],[D, top]]-TP_DATA[[#This Row],[D, bottom]])/(TP_DATA[[#This Row],[Top]]-TP_DATA[[#This Row],[Bottom]]),"")</f>
        <v/>
      </c>
      <c r="AK109" s="117" t="str">
        <f t="shared" si="4"/>
        <v/>
      </c>
      <c r="AL109" s="117" t="str">
        <f>IFERROR((TP_DATA[[#This Row],[D, top]]+TP_DATA[[#This Row],[D, bottom]])/(2*TP_DATA[[#This Row],[t]]/1000),"")</f>
        <v/>
      </c>
      <c r="BB109" s="16"/>
      <c r="BI109" s="117" t="str">
        <f>IFERROR(TOWER_DATA[[#This Row],[Top]]-TOWER_DATA[[#This Row],[Bottom]], "")</f>
        <v/>
      </c>
      <c r="BJ109" s="117" t="str">
        <f>IFERROR(-(TOWER_DATA[[#This Row],[D, top]]-TOWER_DATA[[#This Row],[D, bottom]])/(TOWER_DATA[[#This Row],[Top]]-TOWER_DATA[[#This Row],[Bottom]]),"")</f>
        <v/>
      </c>
      <c r="BK109" s="117" t="str">
        <f t="shared" si="5"/>
        <v/>
      </c>
      <c r="BL109" s="117" t="str">
        <f>IFERROR((TOWER_DATA[[#This Row],[D, top]]+TOWER_DATA[[#This Row],[D, bottom]])/(2*TOWER_DATA[[#This Row],[t]]/1000),"")</f>
        <v/>
      </c>
      <c r="CA109" s="17"/>
    </row>
    <row r="110" spans="1:79" x14ac:dyDescent="0.25">
      <c r="A110" s="16"/>
      <c r="B110" s="16"/>
      <c r="I110" s="117" t="str">
        <f>IFERROR(MP_DATA[[#This Row],[Top]]-MP_DATA[[#This Row],[Bottom]], "")</f>
        <v/>
      </c>
      <c r="J110" s="117" t="str">
        <f>IFERROR(-(MP_DATA[[#This Row],[D, top]]-MP_DATA[[#This Row],[D, bottom]])/(MP_DATA[[#This Row],[Top]]-MP_DATA[[#This Row],[Bottom]]),"")</f>
        <v/>
      </c>
      <c r="K110" s="117" t="str">
        <f t="shared" si="3"/>
        <v/>
      </c>
      <c r="L110" s="117" t="str">
        <f>IFERROR((MP_DATA[[#This Row],[D, top]]+MP_DATA[[#This Row],[D, bottom]])/(2*MP_DATA[[#This Row],[t]]/1000),"")</f>
        <v/>
      </c>
      <c r="AA110" s="17"/>
      <c r="AI110" s="117" t="str">
        <f>IFERROR(TP_DATA[[#This Row],[Top]]-TP_DATA[[#This Row],[Bottom]], "")</f>
        <v/>
      </c>
      <c r="AJ110" s="117" t="str">
        <f>IFERROR(-(TP_DATA[[#This Row],[D, top]]-TP_DATA[[#This Row],[D, bottom]])/(TP_DATA[[#This Row],[Top]]-TP_DATA[[#This Row],[Bottom]]),"")</f>
        <v/>
      </c>
      <c r="AK110" s="117" t="str">
        <f t="shared" si="4"/>
        <v/>
      </c>
      <c r="AL110" s="117" t="str">
        <f>IFERROR((TP_DATA[[#This Row],[D, top]]+TP_DATA[[#This Row],[D, bottom]])/(2*TP_DATA[[#This Row],[t]]/1000),"")</f>
        <v/>
      </c>
      <c r="BB110" s="16"/>
      <c r="BI110" s="117" t="str">
        <f>IFERROR(TOWER_DATA[[#This Row],[Top]]-TOWER_DATA[[#This Row],[Bottom]], "")</f>
        <v/>
      </c>
      <c r="BJ110" s="117" t="str">
        <f>IFERROR(-(TOWER_DATA[[#This Row],[D, top]]-TOWER_DATA[[#This Row],[D, bottom]])/(TOWER_DATA[[#This Row],[Top]]-TOWER_DATA[[#This Row],[Bottom]]),"")</f>
        <v/>
      </c>
      <c r="BK110" s="117" t="str">
        <f t="shared" si="5"/>
        <v/>
      </c>
      <c r="BL110" s="117" t="str">
        <f>IFERROR((TOWER_DATA[[#This Row],[D, top]]+TOWER_DATA[[#This Row],[D, bottom]])/(2*TOWER_DATA[[#This Row],[t]]/1000),"")</f>
        <v/>
      </c>
      <c r="CA110" s="17"/>
    </row>
    <row r="111" spans="1:79" x14ac:dyDescent="0.25">
      <c r="A111" s="16"/>
      <c r="B111" s="16"/>
      <c r="I111" s="117" t="str">
        <f>IFERROR(MP_DATA[[#This Row],[Top]]-MP_DATA[[#This Row],[Bottom]], "")</f>
        <v/>
      </c>
      <c r="J111" s="117" t="str">
        <f>IFERROR(-(MP_DATA[[#This Row],[D, top]]-MP_DATA[[#This Row],[D, bottom]])/(MP_DATA[[#This Row],[Top]]-MP_DATA[[#This Row],[Bottom]]),"")</f>
        <v/>
      </c>
      <c r="K111" s="117" t="str">
        <f t="shared" si="3"/>
        <v/>
      </c>
      <c r="L111" s="117" t="str">
        <f>IFERROR((MP_DATA[[#This Row],[D, top]]+MP_DATA[[#This Row],[D, bottom]])/(2*MP_DATA[[#This Row],[t]]/1000),"")</f>
        <v/>
      </c>
      <c r="AA111" s="17"/>
      <c r="AI111" s="117" t="str">
        <f>IFERROR(TP_DATA[[#This Row],[Top]]-TP_DATA[[#This Row],[Bottom]], "")</f>
        <v/>
      </c>
      <c r="AJ111" s="117" t="str">
        <f>IFERROR(-(TP_DATA[[#This Row],[D, top]]-TP_DATA[[#This Row],[D, bottom]])/(TP_DATA[[#This Row],[Top]]-TP_DATA[[#This Row],[Bottom]]),"")</f>
        <v/>
      </c>
      <c r="AK111" s="117" t="str">
        <f t="shared" si="4"/>
        <v/>
      </c>
      <c r="AL111" s="117" t="str">
        <f>IFERROR((TP_DATA[[#This Row],[D, top]]+TP_DATA[[#This Row],[D, bottom]])/(2*TP_DATA[[#This Row],[t]]/1000),"")</f>
        <v/>
      </c>
      <c r="BB111" s="16"/>
      <c r="BI111" s="117" t="str">
        <f>IFERROR(TOWER_DATA[[#This Row],[Top]]-TOWER_DATA[[#This Row],[Bottom]], "")</f>
        <v/>
      </c>
      <c r="BJ111" s="117" t="str">
        <f>IFERROR(-(TOWER_DATA[[#This Row],[D, top]]-TOWER_DATA[[#This Row],[D, bottom]])/(TOWER_DATA[[#This Row],[Top]]-TOWER_DATA[[#This Row],[Bottom]]),"")</f>
        <v/>
      </c>
      <c r="BK111" s="117" t="str">
        <f t="shared" si="5"/>
        <v/>
      </c>
      <c r="BL111" s="117" t="str">
        <f>IFERROR((TOWER_DATA[[#This Row],[D, top]]+TOWER_DATA[[#This Row],[D, bottom]])/(2*TOWER_DATA[[#This Row],[t]]/1000),"")</f>
        <v/>
      </c>
      <c r="CA111" s="17"/>
    </row>
    <row r="112" spans="1:79" x14ac:dyDescent="0.25">
      <c r="A112" s="16"/>
      <c r="B112" s="16"/>
      <c r="I112" s="117" t="str">
        <f>IFERROR(MP_DATA[[#This Row],[Top]]-MP_DATA[[#This Row],[Bottom]], "")</f>
        <v/>
      </c>
      <c r="J112" s="117" t="str">
        <f>IFERROR(-(MP_DATA[[#This Row],[D, top]]-MP_DATA[[#This Row],[D, bottom]])/(MP_DATA[[#This Row],[Top]]-MP_DATA[[#This Row],[Bottom]]),"")</f>
        <v/>
      </c>
      <c r="K112" s="117" t="str">
        <f t="shared" si="3"/>
        <v/>
      </c>
      <c r="L112" s="117" t="str">
        <f>IFERROR((MP_DATA[[#This Row],[D, top]]+MP_DATA[[#This Row],[D, bottom]])/(2*MP_DATA[[#This Row],[t]]/1000),"")</f>
        <v/>
      </c>
      <c r="AA112" s="17"/>
      <c r="AI112" s="117" t="str">
        <f>IFERROR(TP_DATA[[#This Row],[Top]]-TP_DATA[[#This Row],[Bottom]], "")</f>
        <v/>
      </c>
      <c r="AJ112" s="117" t="str">
        <f>IFERROR(-(TP_DATA[[#This Row],[D, top]]-TP_DATA[[#This Row],[D, bottom]])/(TP_DATA[[#This Row],[Top]]-TP_DATA[[#This Row],[Bottom]]),"")</f>
        <v/>
      </c>
      <c r="AK112" s="117" t="str">
        <f t="shared" si="4"/>
        <v/>
      </c>
      <c r="AL112" s="117" t="str">
        <f>IFERROR((TP_DATA[[#This Row],[D, top]]+TP_DATA[[#This Row],[D, bottom]])/(2*TP_DATA[[#This Row],[t]]/1000),"")</f>
        <v/>
      </c>
      <c r="BB112" s="16"/>
      <c r="BI112" s="117" t="str">
        <f>IFERROR(TOWER_DATA[[#This Row],[Top]]-TOWER_DATA[[#This Row],[Bottom]], "")</f>
        <v/>
      </c>
      <c r="BJ112" s="117" t="str">
        <f>IFERROR(-(TOWER_DATA[[#This Row],[D, top]]-TOWER_DATA[[#This Row],[D, bottom]])/(TOWER_DATA[[#This Row],[Top]]-TOWER_DATA[[#This Row],[Bottom]]),"")</f>
        <v/>
      </c>
      <c r="BK112" s="117" t="str">
        <f t="shared" si="5"/>
        <v/>
      </c>
      <c r="BL112" s="117" t="str">
        <f>IFERROR((TOWER_DATA[[#This Row],[D, top]]+TOWER_DATA[[#This Row],[D, bottom]])/(2*TOWER_DATA[[#This Row],[t]]/1000),"")</f>
        <v/>
      </c>
      <c r="CA112" s="17"/>
    </row>
    <row r="113" spans="1:79" x14ac:dyDescent="0.25">
      <c r="A113" s="16"/>
      <c r="B113" s="16"/>
      <c r="I113" s="117" t="str">
        <f>IFERROR(MP_DATA[[#This Row],[Top]]-MP_DATA[[#This Row],[Bottom]], "")</f>
        <v/>
      </c>
      <c r="J113" s="117" t="str">
        <f>IFERROR(-(MP_DATA[[#This Row],[D, top]]-MP_DATA[[#This Row],[D, bottom]])/(MP_DATA[[#This Row],[Top]]-MP_DATA[[#This Row],[Bottom]]),"")</f>
        <v/>
      </c>
      <c r="K113" s="117" t="str">
        <f t="shared" si="3"/>
        <v/>
      </c>
      <c r="L113" s="117" t="str">
        <f>IFERROR((MP_DATA[[#This Row],[D, top]]+MP_DATA[[#This Row],[D, bottom]])/(2*MP_DATA[[#This Row],[t]]/1000),"")</f>
        <v/>
      </c>
      <c r="AA113" s="17"/>
      <c r="AI113" s="117" t="str">
        <f>IFERROR(TP_DATA[[#This Row],[Top]]-TP_DATA[[#This Row],[Bottom]], "")</f>
        <v/>
      </c>
      <c r="AJ113" s="117" t="str">
        <f>IFERROR(-(TP_DATA[[#This Row],[D, top]]-TP_DATA[[#This Row],[D, bottom]])/(TP_DATA[[#This Row],[Top]]-TP_DATA[[#This Row],[Bottom]]),"")</f>
        <v/>
      </c>
      <c r="AK113" s="117" t="str">
        <f t="shared" si="4"/>
        <v/>
      </c>
      <c r="AL113" s="117" t="str">
        <f>IFERROR((TP_DATA[[#This Row],[D, top]]+TP_DATA[[#This Row],[D, bottom]])/(2*TP_DATA[[#This Row],[t]]/1000),"")</f>
        <v/>
      </c>
      <c r="BB113" s="16"/>
      <c r="BI113" s="117" t="str">
        <f>IFERROR(TOWER_DATA[[#This Row],[Top]]-TOWER_DATA[[#This Row],[Bottom]], "")</f>
        <v/>
      </c>
      <c r="BJ113" s="117" t="str">
        <f>IFERROR(-(TOWER_DATA[[#This Row],[D, top]]-TOWER_DATA[[#This Row],[D, bottom]])/(TOWER_DATA[[#This Row],[Top]]-TOWER_DATA[[#This Row],[Bottom]]),"")</f>
        <v/>
      </c>
      <c r="BK113" s="117" t="str">
        <f t="shared" si="5"/>
        <v/>
      </c>
      <c r="BL113" s="117" t="str">
        <f>IFERROR((TOWER_DATA[[#This Row],[D, top]]+TOWER_DATA[[#This Row],[D, bottom]])/(2*TOWER_DATA[[#This Row],[t]]/1000),"")</f>
        <v/>
      </c>
      <c r="CA113" s="17"/>
    </row>
    <row r="114" spans="1:79" x14ac:dyDescent="0.25">
      <c r="A114" s="16"/>
      <c r="B114" s="16"/>
      <c r="I114" s="117" t="str">
        <f>IFERROR(MP_DATA[[#This Row],[Top]]-MP_DATA[[#This Row],[Bottom]], "")</f>
        <v/>
      </c>
      <c r="J114" s="117" t="str">
        <f>IFERROR(-(MP_DATA[[#This Row],[D, top]]-MP_DATA[[#This Row],[D, bottom]])/(MP_DATA[[#This Row],[Top]]-MP_DATA[[#This Row],[Bottom]]),"")</f>
        <v/>
      </c>
      <c r="K114" s="117" t="str">
        <f t="shared" si="3"/>
        <v/>
      </c>
      <c r="L114" s="117" t="str">
        <f>IFERROR((MP_DATA[[#This Row],[D, top]]+MP_DATA[[#This Row],[D, bottom]])/(2*MP_DATA[[#This Row],[t]]/1000),"")</f>
        <v/>
      </c>
      <c r="AA114" s="17"/>
      <c r="AI114" s="117" t="str">
        <f>IFERROR(TP_DATA[[#This Row],[Top]]-TP_DATA[[#This Row],[Bottom]], "")</f>
        <v/>
      </c>
      <c r="AJ114" s="117" t="str">
        <f>IFERROR(-(TP_DATA[[#This Row],[D, top]]-TP_DATA[[#This Row],[D, bottom]])/(TP_DATA[[#This Row],[Top]]-TP_DATA[[#This Row],[Bottom]]),"")</f>
        <v/>
      </c>
      <c r="AK114" s="117" t="str">
        <f t="shared" si="4"/>
        <v/>
      </c>
      <c r="AL114" s="117" t="str">
        <f>IFERROR((TP_DATA[[#This Row],[D, top]]+TP_DATA[[#This Row],[D, bottom]])/(2*TP_DATA[[#This Row],[t]]/1000),"")</f>
        <v/>
      </c>
      <c r="BB114" s="16"/>
      <c r="BI114" s="117" t="str">
        <f>IFERROR(TOWER_DATA[[#This Row],[Top]]-TOWER_DATA[[#This Row],[Bottom]], "")</f>
        <v/>
      </c>
      <c r="BJ114" s="117" t="str">
        <f>IFERROR(-(TOWER_DATA[[#This Row],[D, top]]-TOWER_DATA[[#This Row],[D, bottom]])/(TOWER_DATA[[#This Row],[Top]]-TOWER_DATA[[#This Row],[Bottom]]),"")</f>
        <v/>
      </c>
      <c r="BK114" s="117" t="str">
        <f t="shared" si="5"/>
        <v/>
      </c>
      <c r="BL114" s="117" t="str">
        <f>IFERROR((TOWER_DATA[[#This Row],[D, top]]+TOWER_DATA[[#This Row],[D, bottom]])/(2*TOWER_DATA[[#This Row],[t]]/1000),"")</f>
        <v/>
      </c>
      <c r="CA114" s="17"/>
    </row>
    <row r="115" spans="1:79" x14ac:dyDescent="0.25">
      <c r="A115" s="16"/>
      <c r="B115" s="16"/>
      <c r="I115" s="117" t="str">
        <f>IFERROR(MP_DATA[[#This Row],[Top]]-MP_DATA[[#This Row],[Bottom]], "")</f>
        <v/>
      </c>
      <c r="J115" s="117" t="str">
        <f>IFERROR(-(MP_DATA[[#This Row],[D, top]]-MP_DATA[[#This Row],[D, bottom]])/(MP_DATA[[#This Row],[Top]]-MP_DATA[[#This Row],[Bottom]]),"")</f>
        <v/>
      </c>
      <c r="K115" s="117" t="str">
        <f t="shared" si="3"/>
        <v/>
      </c>
      <c r="L115" s="117" t="str">
        <f>IFERROR((MP_DATA[[#This Row],[D, top]]+MP_DATA[[#This Row],[D, bottom]])/(2*MP_DATA[[#This Row],[t]]/1000),"")</f>
        <v/>
      </c>
      <c r="AA115" s="17"/>
      <c r="AI115" s="117" t="str">
        <f>IFERROR(TP_DATA[[#This Row],[Top]]-TP_DATA[[#This Row],[Bottom]], "")</f>
        <v/>
      </c>
      <c r="AJ115" s="117" t="str">
        <f>IFERROR(-(TP_DATA[[#This Row],[D, top]]-TP_DATA[[#This Row],[D, bottom]])/(TP_DATA[[#This Row],[Top]]-TP_DATA[[#This Row],[Bottom]]),"")</f>
        <v/>
      </c>
      <c r="AK115" s="117" t="str">
        <f t="shared" si="4"/>
        <v/>
      </c>
      <c r="AL115" s="117" t="str">
        <f>IFERROR((TP_DATA[[#This Row],[D, top]]+TP_DATA[[#This Row],[D, bottom]])/(2*TP_DATA[[#This Row],[t]]/1000),"")</f>
        <v/>
      </c>
      <c r="BB115" s="16"/>
      <c r="BI115" s="117" t="str">
        <f>IFERROR(TOWER_DATA[[#This Row],[Top]]-TOWER_DATA[[#This Row],[Bottom]], "")</f>
        <v/>
      </c>
      <c r="BJ115" s="117" t="str">
        <f>IFERROR(-(TOWER_DATA[[#This Row],[D, top]]-TOWER_DATA[[#This Row],[D, bottom]])/(TOWER_DATA[[#This Row],[Top]]-TOWER_DATA[[#This Row],[Bottom]]),"")</f>
        <v/>
      </c>
      <c r="BK115" s="117" t="str">
        <f t="shared" si="5"/>
        <v/>
      </c>
      <c r="BL115" s="117" t="str">
        <f>IFERROR((TOWER_DATA[[#This Row],[D, top]]+TOWER_DATA[[#This Row],[D, bottom]])/(2*TOWER_DATA[[#This Row],[t]]/1000),"")</f>
        <v/>
      </c>
      <c r="CA115" s="17"/>
    </row>
    <row r="116" spans="1:79" x14ac:dyDescent="0.25">
      <c r="A116" s="16"/>
      <c r="B116" s="16"/>
      <c r="I116" s="117" t="str">
        <f>IFERROR(MP_DATA[[#This Row],[Top]]-MP_DATA[[#This Row],[Bottom]], "")</f>
        <v/>
      </c>
      <c r="J116" s="117" t="str">
        <f>IFERROR(-(MP_DATA[[#This Row],[D, top]]-MP_DATA[[#This Row],[D, bottom]])/(MP_DATA[[#This Row],[Top]]-MP_DATA[[#This Row],[Bottom]]),"")</f>
        <v/>
      </c>
      <c r="K116" s="117" t="str">
        <f t="shared" si="3"/>
        <v/>
      </c>
      <c r="L116" s="117" t="str">
        <f>IFERROR((MP_DATA[[#This Row],[D, top]]+MP_DATA[[#This Row],[D, bottom]])/(2*MP_DATA[[#This Row],[t]]/1000),"")</f>
        <v/>
      </c>
      <c r="AA116" s="17"/>
      <c r="AI116" s="117" t="str">
        <f>IFERROR(TP_DATA[[#This Row],[Top]]-TP_DATA[[#This Row],[Bottom]], "")</f>
        <v/>
      </c>
      <c r="AJ116" s="117" t="str">
        <f>IFERROR(-(TP_DATA[[#This Row],[D, top]]-TP_DATA[[#This Row],[D, bottom]])/(TP_DATA[[#This Row],[Top]]-TP_DATA[[#This Row],[Bottom]]),"")</f>
        <v/>
      </c>
      <c r="AK116" s="117" t="str">
        <f t="shared" si="4"/>
        <v/>
      </c>
      <c r="AL116" s="117" t="str">
        <f>IFERROR((TP_DATA[[#This Row],[D, top]]+TP_DATA[[#This Row],[D, bottom]])/(2*TP_DATA[[#This Row],[t]]/1000),"")</f>
        <v/>
      </c>
      <c r="BB116" s="16"/>
      <c r="BI116" s="117" t="str">
        <f>IFERROR(TOWER_DATA[[#This Row],[Top]]-TOWER_DATA[[#This Row],[Bottom]], "")</f>
        <v/>
      </c>
      <c r="BJ116" s="117" t="str">
        <f>IFERROR(-(TOWER_DATA[[#This Row],[D, top]]-TOWER_DATA[[#This Row],[D, bottom]])/(TOWER_DATA[[#This Row],[Top]]-TOWER_DATA[[#This Row],[Bottom]]),"")</f>
        <v/>
      </c>
      <c r="BK116" s="117" t="str">
        <f t="shared" si="5"/>
        <v/>
      </c>
      <c r="BL116" s="117" t="str">
        <f>IFERROR((TOWER_DATA[[#This Row],[D, top]]+TOWER_DATA[[#This Row],[D, bottom]])/(2*TOWER_DATA[[#This Row],[t]]/1000),"")</f>
        <v/>
      </c>
      <c r="CA116" s="17"/>
    </row>
    <row r="117" spans="1:79" x14ac:dyDescent="0.25">
      <c r="A117" s="16"/>
      <c r="B117" s="16"/>
      <c r="I117" s="117" t="str">
        <f>IFERROR(MP_DATA[[#This Row],[Top]]-MP_DATA[[#This Row],[Bottom]], "")</f>
        <v/>
      </c>
      <c r="J117" s="117" t="str">
        <f>IFERROR(-(MP_DATA[[#This Row],[D, top]]-MP_DATA[[#This Row],[D, bottom]])/(MP_DATA[[#This Row],[Top]]-MP_DATA[[#This Row],[Bottom]]),"")</f>
        <v/>
      </c>
      <c r="K117" s="117" t="str">
        <f t="shared" si="3"/>
        <v/>
      </c>
      <c r="L117" s="117" t="str">
        <f>IFERROR((MP_DATA[[#This Row],[D, top]]+MP_DATA[[#This Row],[D, bottom]])/(2*MP_DATA[[#This Row],[t]]/1000),"")</f>
        <v/>
      </c>
      <c r="AA117" s="17"/>
      <c r="AI117" s="117" t="str">
        <f>IFERROR(TP_DATA[[#This Row],[Top]]-TP_DATA[[#This Row],[Bottom]], "")</f>
        <v/>
      </c>
      <c r="AJ117" s="117" t="str">
        <f>IFERROR(-(TP_DATA[[#This Row],[D, top]]-TP_DATA[[#This Row],[D, bottom]])/(TP_DATA[[#This Row],[Top]]-TP_DATA[[#This Row],[Bottom]]),"")</f>
        <v/>
      </c>
      <c r="AK117" s="117" t="str">
        <f t="shared" si="4"/>
        <v/>
      </c>
      <c r="AL117" s="117" t="str">
        <f>IFERROR((TP_DATA[[#This Row],[D, top]]+TP_DATA[[#This Row],[D, bottom]])/(2*TP_DATA[[#This Row],[t]]/1000),"")</f>
        <v/>
      </c>
      <c r="BB117" s="16"/>
      <c r="BI117" s="117" t="str">
        <f>IFERROR(TOWER_DATA[[#This Row],[Top]]-TOWER_DATA[[#This Row],[Bottom]], "")</f>
        <v/>
      </c>
      <c r="BJ117" s="117" t="str">
        <f>IFERROR(-(TOWER_DATA[[#This Row],[D, top]]-TOWER_DATA[[#This Row],[D, bottom]])/(TOWER_DATA[[#This Row],[Top]]-TOWER_DATA[[#This Row],[Bottom]]),"")</f>
        <v/>
      </c>
      <c r="BK117" s="117" t="str">
        <f t="shared" si="5"/>
        <v/>
      </c>
      <c r="BL117" s="117" t="str">
        <f>IFERROR((TOWER_DATA[[#This Row],[D, top]]+TOWER_DATA[[#This Row],[D, bottom]])/(2*TOWER_DATA[[#This Row],[t]]/1000),"")</f>
        <v/>
      </c>
      <c r="CA117" s="17"/>
    </row>
    <row r="118" spans="1:79" x14ac:dyDescent="0.25">
      <c r="A118" s="16"/>
      <c r="B118" s="16"/>
      <c r="I118" s="117" t="str">
        <f>IFERROR(MP_DATA[[#This Row],[Top]]-MP_DATA[[#This Row],[Bottom]], "")</f>
        <v/>
      </c>
      <c r="J118" s="117" t="str">
        <f>IFERROR(-(MP_DATA[[#This Row],[D, top]]-MP_DATA[[#This Row],[D, bottom]])/(MP_DATA[[#This Row],[Top]]-MP_DATA[[#This Row],[Bottom]]),"")</f>
        <v/>
      </c>
      <c r="K118" s="117" t="str">
        <f t="shared" si="3"/>
        <v/>
      </c>
      <c r="L118" s="117" t="str">
        <f>IFERROR((MP_DATA[[#This Row],[D, top]]+MP_DATA[[#This Row],[D, bottom]])/(2*MP_DATA[[#This Row],[t]]/1000),"")</f>
        <v/>
      </c>
      <c r="AA118" s="17"/>
      <c r="AI118" s="117" t="str">
        <f>IFERROR(TP_DATA[[#This Row],[Top]]-TP_DATA[[#This Row],[Bottom]], "")</f>
        <v/>
      </c>
      <c r="AJ118" s="117" t="str">
        <f>IFERROR(-(TP_DATA[[#This Row],[D, top]]-TP_DATA[[#This Row],[D, bottom]])/(TP_DATA[[#This Row],[Top]]-TP_DATA[[#This Row],[Bottom]]),"")</f>
        <v/>
      </c>
      <c r="AK118" s="117" t="str">
        <f t="shared" si="4"/>
        <v/>
      </c>
      <c r="AL118" s="117" t="str">
        <f>IFERROR((TP_DATA[[#This Row],[D, top]]+TP_DATA[[#This Row],[D, bottom]])/(2*TP_DATA[[#This Row],[t]]/1000),"")</f>
        <v/>
      </c>
      <c r="BB118" s="16"/>
      <c r="BI118" s="117" t="str">
        <f>IFERROR(TOWER_DATA[[#This Row],[Top]]-TOWER_DATA[[#This Row],[Bottom]], "")</f>
        <v/>
      </c>
      <c r="BJ118" s="117" t="str">
        <f>IFERROR(-(TOWER_DATA[[#This Row],[D, top]]-TOWER_DATA[[#This Row],[D, bottom]])/(TOWER_DATA[[#This Row],[Top]]-TOWER_DATA[[#This Row],[Bottom]]),"")</f>
        <v/>
      </c>
      <c r="BK118" s="117" t="str">
        <f t="shared" si="5"/>
        <v/>
      </c>
      <c r="BL118" s="117" t="str">
        <f>IFERROR((TOWER_DATA[[#This Row],[D, top]]+TOWER_DATA[[#This Row],[D, bottom]])/(2*TOWER_DATA[[#This Row],[t]]/1000),"")</f>
        <v/>
      </c>
      <c r="CA118" s="17"/>
    </row>
    <row r="119" spans="1:79" x14ac:dyDescent="0.25">
      <c r="A119" s="16"/>
      <c r="B119" s="16"/>
      <c r="I119" s="117" t="str">
        <f>IFERROR(MP_DATA[[#This Row],[Top]]-MP_DATA[[#This Row],[Bottom]], "")</f>
        <v/>
      </c>
      <c r="J119" s="117" t="str">
        <f>IFERROR(-(MP_DATA[[#This Row],[D, top]]-MP_DATA[[#This Row],[D, bottom]])/(MP_DATA[[#This Row],[Top]]-MP_DATA[[#This Row],[Bottom]]),"")</f>
        <v/>
      </c>
      <c r="K119" s="117" t="str">
        <f t="shared" si="3"/>
        <v/>
      </c>
      <c r="L119" s="117" t="str">
        <f>IFERROR((MP_DATA[[#This Row],[D, top]]+MP_DATA[[#This Row],[D, bottom]])/(2*MP_DATA[[#This Row],[t]]/1000),"")</f>
        <v/>
      </c>
      <c r="AA119" s="17"/>
      <c r="AI119" s="117" t="str">
        <f>IFERROR(TP_DATA[[#This Row],[Top]]-TP_DATA[[#This Row],[Bottom]], "")</f>
        <v/>
      </c>
      <c r="AJ119" s="117" t="str">
        <f>IFERROR(-(TP_DATA[[#This Row],[D, top]]-TP_DATA[[#This Row],[D, bottom]])/(TP_DATA[[#This Row],[Top]]-TP_DATA[[#This Row],[Bottom]]),"")</f>
        <v/>
      </c>
      <c r="AK119" s="117" t="str">
        <f t="shared" si="4"/>
        <v/>
      </c>
      <c r="AL119" s="117" t="str">
        <f>IFERROR((TP_DATA[[#This Row],[D, top]]+TP_DATA[[#This Row],[D, bottom]])/(2*TP_DATA[[#This Row],[t]]/1000),"")</f>
        <v/>
      </c>
      <c r="BB119" s="16"/>
      <c r="BI119" s="117" t="str">
        <f>IFERROR(TOWER_DATA[[#This Row],[Top]]-TOWER_DATA[[#This Row],[Bottom]], "")</f>
        <v/>
      </c>
      <c r="BJ119" s="117" t="str">
        <f>IFERROR(-(TOWER_DATA[[#This Row],[D, top]]-TOWER_DATA[[#This Row],[D, bottom]])/(TOWER_DATA[[#This Row],[Top]]-TOWER_DATA[[#This Row],[Bottom]]),"")</f>
        <v/>
      </c>
      <c r="BK119" s="117" t="str">
        <f t="shared" si="5"/>
        <v/>
      </c>
      <c r="BL119" s="117" t="str">
        <f>IFERROR((TOWER_DATA[[#This Row],[D, top]]+TOWER_DATA[[#This Row],[D, bottom]])/(2*TOWER_DATA[[#This Row],[t]]/1000),"")</f>
        <v/>
      </c>
      <c r="CA119" s="17"/>
    </row>
    <row r="120" spans="1:79" x14ac:dyDescent="0.25">
      <c r="A120" s="16"/>
      <c r="B120" s="16"/>
      <c r="I120" s="117" t="str">
        <f>IFERROR(MP_DATA[[#This Row],[Top]]-MP_DATA[[#This Row],[Bottom]], "")</f>
        <v/>
      </c>
      <c r="J120" s="117" t="str">
        <f>IFERROR(-(MP_DATA[[#This Row],[D, top]]-MP_DATA[[#This Row],[D, bottom]])/(MP_DATA[[#This Row],[Top]]-MP_DATA[[#This Row],[Bottom]]),"")</f>
        <v/>
      </c>
      <c r="K120" s="117" t="str">
        <f t="shared" si="3"/>
        <v/>
      </c>
      <c r="L120" s="117" t="str">
        <f>IFERROR((MP_DATA[[#This Row],[D, top]]+MP_DATA[[#This Row],[D, bottom]])/(2*MP_DATA[[#This Row],[t]]/1000),"")</f>
        <v/>
      </c>
      <c r="AA120" s="17"/>
      <c r="AI120" s="117" t="str">
        <f>IFERROR(TP_DATA[[#This Row],[Top]]-TP_DATA[[#This Row],[Bottom]], "")</f>
        <v/>
      </c>
      <c r="AJ120" s="117" t="str">
        <f>IFERROR(-(TP_DATA[[#This Row],[D, top]]-TP_DATA[[#This Row],[D, bottom]])/(TP_DATA[[#This Row],[Top]]-TP_DATA[[#This Row],[Bottom]]),"")</f>
        <v/>
      </c>
      <c r="AK120" s="117" t="str">
        <f t="shared" si="4"/>
        <v/>
      </c>
      <c r="AL120" s="117" t="str">
        <f>IFERROR((TP_DATA[[#This Row],[D, top]]+TP_DATA[[#This Row],[D, bottom]])/(2*TP_DATA[[#This Row],[t]]/1000),"")</f>
        <v/>
      </c>
      <c r="BB120" s="16"/>
      <c r="BI120" s="117" t="str">
        <f>IFERROR(TOWER_DATA[[#This Row],[Top]]-TOWER_DATA[[#This Row],[Bottom]], "")</f>
        <v/>
      </c>
      <c r="BJ120" s="117" t="str">
        <f>IFERROR(-(TOWER_DATA[[#This Row],[D, top]]-TOWER_DATA[[#This Row],[D, bottom]])/(TOWER_DATA[[#This Row],[Top]]-TOWER_DATA[[#This Row],[Bottom]]),"")</f>
        <v/>
      </c>
      <c r="BK120" s="117" t="str">
        <f t="shared" si="5"/>
        <v/>
      </c>
      <c r="BL120" s="117" t="str">
        <f>IFERROR((TOWER_DATA[[#This Row],[D, top]]+TOWER_DATA[[#This Row],[D, bottom]])/(2*TOWER_DATA[[#This Row],[t]]/1000),"")</f>
        <v/>
      </c>
      <c r="CA120" s="17"/>
    </row>
    <row r="121" spans="1:79" x14ac:dyDescent="0.25">
      <c r="A121" s="16"/>
      <c r="B121" s="16"/>
      <c r="I121" s="117" t="str">
        <f>IFERROR(MP_DATA[[#This Row],[Top]]-MP_DATA[[#This Row],[Bottom]], "")</f>
        <v/>
      </c>
      <c r="J121" s="117" t="str">
        <f>IFERROR(-(MP_DATA[[#This Row],[D, top]]-MP_DATA[[#This Row],[D, bottom]])/(MP_DATA[[#This Row],[Top]]-MP_DATA[[#This Row],[Bottom]]),"")</f>
        <v/>
      </c>
      <c r="K121" s="117" t="str">
        <f t="shared" si="3"/>
        <v/>
      </c>
      <c r="L121" s="117" t="str">
        <f>IFERROR((MP_DATA[[#This Row],[D, top]]+MP_DATA[[#This Row],[D, bottom]])/(2*MP_DATA[[#This Row],[t]]/1000),"")</f>
        <v/>
      </c>
      <c r="AA121" s="17"/>
      <c r="AI121" s="117" t="str">
        <f>IFERROR(TP_DATA[[#This Row],[Top]]-TP_DATA[[#This Row],[Bottom]], "")</f>
        <v/>
      </c>
      <c r="AJ121" s="117" t="str">
        <f>IFERROR(-(TP_DATA[[#This Row],[D, top]]-TP_DATA[[#This Row],[D, bottom]])/(TP_DATA[[#This Row],[Top]]-TP_DATA[[#This Row],[Bottom]]),"")</f>
        <v/>
      </c>
      <c r="AK121" s="117" t="str">
        <f t="shared" si="4"/>
        <v/>
      </c>
      <c r="AL121" s="117" t="str">
        <f>IFERROR((TP_DATA[[#This Row],[D, top]]+TP_DATA[[#This Row],[D, bottom]])/(2*TP_DATA[[#This Row],[t]]/1000),"")</f>
        <v/>
      </c>
      <c r="BB121" s="16"/>
      <c r="BI121" s="117" t="str">
        <f>IFERROR(TOWER_DATA[[#This Row],[Top]]-TOWER_DATA[[#This Row],[Bottom]], "")</f>
        <v/>
      </c>
      <c r="BJ121" s="117" t="str">
        <f>IFERROR(-(TOWER_DATA[[#This Row],[D, top]]-TOWER_DATA[[#This Row],[D, bottom]])/(TOWER_DATA[[#This Row],[Top]]-TOWER_DATA[[#This Row],[Bottom]]),"")</f>
        <v/>
      </c>
      <c r="BK121" s="117" t="str">
        <f t="shared" si="5"/>
        <v/>
      </c>
      <c r="BL121" s="117" t="str">
        <f>IFERROR((TOWER_DATA[[#This Row],[D, top]]+TOWER_DATA[[#This Row],[D, bottom]])/(2*TOWER_DATA[[#This Row],[t]]/1000),"")</f>
        <v/>
      </c>
      <c r="CA121" s="17"/>
    </row>
    <row r="122" spans="1:79" x14ac:dyDescent="0.25">
      <c r="A122" s="16"/>
      <c r="B122" s="16"/>
      <c r="I122" s="117" t="str">
        <f>IFERROR(MP_DATA[[#This Row],[Top]]-MP_DATA[[#This Row],[Bottom]], "")</f>
        <v/>
      </c>
      <c r="J122" s="117" t="str">
        <f>IFERROR(-(MP_DATA[[#This Row],[D, top]]-MP_DATA[[#This Row],[D, bottom]])/(MP_DATA[[#This Row],[Top]]-MP_DATA[[#This Row],[Bottom]]),"")</f>
        <v/>
      </c>
      <c r="K122" s="117" t="str">
        <f t="shared" si="3"/>
        <v/>
      </c>
      <c r="L122" s="117" t="str">
        <f>IFERROR((MP_DATA[[#This Row],[D, top]]+MP_DATA[[#This Row],[D, bottom]])/(2*MP_DATA[[#This Row],[t]]/1000),"")</f>
        <v/>
      </c>
      <c r="AA122" s="17"/>
      <c r="AI122" s="117" t="str">
        <f>IFERROR(TP_DATA[[#This Row],[Top]]-TP_DATA[[#This Row],[Bottom]], "")</f>
        <v/>
      </c>
      <c r="AJ122" s="117" t="str">
        <f>IFERROR(-(TP_DATA[[#This Row],[D, top]]-TP_DATA[[#This Row],[D, bottom]])/(TP_DATA[[#This Row],[Top]]-TP_DATA[[#This Row],[Bottom]]),"")</f>
        <v/>
      </c>
      <c r="AK122" s="117" t="str">
        <f t="shared" si="4"/>
        <v/>
      </c>
      <c r="AL122" s="117" t="str">
        <f>IFERROR((TP_DATA[[#This Row],[D, top]]+TP_DATA[[#This Row],[D, bottom]])/(2*TP_DATA[[#This Row],[t]]/1000),"")</f>
        <v/>
      </c>
      <c r="BB122" s="16"/>
      <c r="BI122" s="117" t="str">
        <f>IFERROR(TOWER_DATA[[#This Row],[Top]]-TOWER_DATA[[#This Row],[Bottom]], "")</f>
        <v/>
      </c>
      <c r="BJ122" s="117" t="str">
        <f>IFERROR(-(TOWER_DATA[[#This Row],[D, top]]-TOWER_DATA[[#This Row],[D, bottom]])/(TOWER_DATA[[#This Row],[Top]]-TOWER_DATA[[#This Row],[Bottom]]),"")</f>
        <v/>
      </c>
      <c r="BK122" s="117" t="str">
        <f t="shared" si="5"/>
        <v/>
      </c>
      <c r="BL122" s="117" t="str">
        <f>IFERROR((TOWER_DATA[[#This Row],[D, top]]+TOWER_DATA[[#This Row],[D, bottom]])/(2*TOWER_DATA[[#This Row],[t]]/1000),"")</f>
        <v/>
      </c>
      <c r="CA122" s="17"/>
    </row>
    <row r="123" spans="1:79" x14ac:dyDescent="0.25">
      <c r="A123" s="16"/>
      <c r="B123" s="16"/>
      <c r="I123" s="117" t="str">
        <f>IFERROR(MP_DATA[[#This Row],[Top]]-MP_DATA[[#This Row],[Bottom]], "")</f>
        <v/>
      </c>
      <c r="J123" s="117" t="str">
        <f>IFERROR(-(MP_DATA[[#This Row],[D, top]]-MP_DATA[[#This Row],[D, bottom]])/(MP_DATA[[#This Row],[Top]]-MP_DATA[[#This Row],[Bottom]]),"")</f>
        <v/>
      </c>
      <c r="K123" s="117" t="str">
        <f t="shared" si="3"/>
        <v/>
      </c>
      <c r="L123" s="117" t="str">
        <f>IFERROR((MP_DATA[[#This Row],[D, top]]+MP_DATA[[#This Row],[D, bottom]])/(2*MP_DATA[[#This Row],[t]]/1000),"")</f>
        <v/>
      </c>
      <c r="AA123" s="17"/>
      <c r="AI123" s="117" t="str">
        <f>IFERROR(TP_DATA[[#This Row],[Top]]-TP_DATA[[#This Row],[Bottom]], "")</f>
        <v/>
      </c>
      <c r="AJ123" s="117" t="str">
        <f>IFERROR(-(TP_DATA[[#This Row],[D, top]]-TP_DATA[[#This Row],[D, bottom]])/(TP_DATA[[#This Row],[Top]]-TP_DATA[[#This Row],[Bottom]]),"")</f>
        <v/>
      </c>
      <c r="AK123" s="117" t="str">
        <f t="shared" si="4"/>
        <v/>
      </c>
      <c r="AL123" s="117" t="str">
        <f>IFERROR((TP_DATA[[#This Row],[D, top]]+TP_DATA[[#This Row],[D, bottom]])/(2*TP_DATA[[#This Row],[t]]/1000),"")</f>
        <v/>
      </c>
      <c r="BB123" s="16"/>
      <c r="BI123" s="117" t="str">
        <f>IFERROR(TOWER_DATA[[#This Row],[Top]]-TOWER_DATA[[#This Row],[Bottom]], "")</f>
        <v/>
      </c>
      <c r="BJ123" s="117" t="str">
        <f>IFERROR(-(TOWER_DATA[[#This Row],[D, top]]-TOWER_DATA[[#This Row],[D, bottom]])/(TOWER_DATA[[#This Row],[Top]]-TOWER_DATA[[#This Row],[Bottom]]),"")</f>
        <v/>
      </c>
      <c r="BK123" s="117" t="str">
        <f t="shared" si="5"/>
        <v/>
      </c>
      <c r="BL123" s="117" t="str">
        <f>IFERROR((TOWER_DATA[[#This Row],[D, top]]+TOWER_DATA[[#This Row],[D, bottom]])/(2*TOWER_DATA[[#This Row],[t]]/1000),"")</f>
        <v/>
      </c>
      <c r="CA123" s="17"/>
    </row>
    <row r="124" spans="1:79" x14ac:dyDescent="0.25">
      <c r="A124" s="16"/>
      <c r="B124" s="16"/>
      <c r="I124" s="117" t="str">
        <f>IFERROR(MP_DATA[[#This Row],[Top]]-MP_DATA[[#This Row],[Bottom]], "")</f>
        <v/>
      </c>
      <c r="J124" s="117" t="str">
        <f>IFERROR(-(MP_DATA[[#This Row],[D, top]]-MP_DATA[[#This Row],[D, bottom]])/(MP_DATA[[#This Row],[Top]]-MP_DATA[[#This Row],[Bottom]]),"")</f>
        <v/>
      </c>
      <c r="K124" s="117" t="str">
        <f t="shared" si="3"/>
        <v/>
      </c>
      <c r="L124" s="117" t="str">
        <f>IFERROR((MP_DATA[[#This Row],[D, top]]+MP_DATA[[#This Row],[D, bottom]])/(2*MP_DATA[[#This Row],[t]]/1000),"")</f>
        <v/>
      </c>
      <c r="AA124" s="17"/>
      <c r="AI124" s="117" t="str">
        <f>IFERROR(TP_DATA[[#This Row],[Top]]-TP_DATA[[#This Row],[Bottom]], "")</f>
        <v/>
      </c>
      <c r="AJ124" s="117" t="str">
        <f>IFERROR(-(TP_DATA[[#This Row],[D, top]]-TP_DATA[[#This Row],[D, bottom]])/(TP_DATA[[#This Row],[Top]]-TP_DATA[[#This Row],[Bottom]]),"")</f>
        <v/>
      </c>
      <c r="AK124" s="117" t="str">
        <f t="shared" si="4"/>
        <v/>
      </c>
      <c r="AL124" s="117" t="str">
        <f>IFERROR((TP_DATA[[#This Row],[D, top]]+TP_DATA[[#This Row],[D, bottom]])/(2*TP_DATA[[#This Row],[t]]/1000),"")</f>
        <v/>
      </c>
      <c r="BB124" s="16"/>
      <c r="BI124" s="117" t="str">
        <f>IFERROR(TOWER_DATA[[#This Row],[Top]]-TOWER_DATA[[#This Row],[Bottom]], "")</f>
        <v/>
      </c>
      <c r="BJ124" s="117" t="str">
        <f>IFERROR(-(TOWER_DATA[[#This Row],[D, top]]-TOWER_DATA[[#This Row],[D, bottom]])/(TOWER_DATA[[#This Row],[Top]]-TOWER_DATA[[#This Row],[Bottom]]),"")</f>
        <v/>
      </c>
      <c r="BK124" s="117" t="str">
        <f t="shared" si="5"/>
        <v/>
      </c>
      <c r="BL124" s="117" t="str">
        <f>IFERROR((TOWER_DATA[[#This Row],[D, top]]+TOWER_DATA[[#This Row],[D, bottom]])/(2*TOWER_DATA[[#This Row],[t]]/1000),"")</f>
        <v/>
      </c>
      <c r="CA124" s="17"/>
    </row>
    <row r="125" spans="1:79" x14ac:dyDescent="0.25">
      <c r="A125" s="16"/>
      <c r="B125" s="16"/>
      <c r="I125" s="117" t="str">
        <f>IFERROR(MP_DATA[[#This Row],[Top]]-MP_DATA[[#This Row],[Bottom]], "")</f>
        <v/>
      </c>
      <c r="J125" s="117" t="str">
        <f>IFERROR(-(MP_DATA[[#This Row],[D, top]]-MP_DATA[[#This Row],[D, bottom]])/(MP_DATA[[#This Row],[Top]]-MP_DATA[[#This Row],[Bottom]]),"")</f>
        <v/>
      </c>
      <c r="K125" s="117" t="str">
        <f t="shared" si="3"/>
        <v/>
      </c>
      <c r="L125" s="117" t="str">
        <f>IFERROR((MP_DATA[[#This Row],[D, top]]+MP_DATA[[#This Row],[D, bottom]])/(2*MP_DATA[[#This Row],[t]]/1000),"")</f>
        <v/>
      </c>
      <c r="AA125" s="17"/>
      <c r="AI125" s="117" t="str">
        <f>IFERROR(TP_DATA[[#This Row],[Top]]-TP_DATA[[#This Row],[Bottom]], "")</f>
        <v/>
      </c>
      <c r="AJ125" s="117" t="str">
        <f>IFERROR(-(TP_DATA[[#This Row],[D, top]]-TP_DATA[[#This Row],[D, bottom]])/(TP_DATA[[#This Row],[Top]]-TP_DATA[[#This Row],[Bottom]]),"")</f>
        <v/>
      </c>
      <c r="AK125" s="117" t="str">
        <f t="shared" si="4"/>
        <v/>
      </c>
      <c r="AL125" s="117" t="str">
        <f>IFERROR((TP_DATA[[#This Row],[D, top]]+TP_DATA[[#This Row],[D, bottom]])/(2*TP_DATA[[#This Row],[t]]/1000),"")</f>
        <v/>
      </c>
      <c r="BB125" s="16"/>
      <c r="BI125" s="117" t="str">
        <f>IFERROR(TOWER_DATA[[#This Row],[Top]]-TOWER_DATA[[#This Row],[Bottom]], "")</f>
        <v/>
      </c>
      <c r="BJ125" s="117" t="str">
        <f>IFERROR(-(TOWER_DATA[[#This Row],[D, top]]-TOWER_DATA[[#This Row],[D, bottom]])/(TOWER_DATA[[#This Row],[Top]]-TOWER_DATA[[#This Row],[Bottom]]),"")</f>
        <v/>
      </c>
      <c r="BK125" s="117" t="str">
        <f t="shared" si="5"/>
        <v/>
      </c>
      <c r="BL125" s="117" t="str">
        <f>IFERROR((TOWER_DATA[[#This Row],[D, top]]+TOWER_DATA[[#This Row],[D, bottom]])/(2*TOWER_DATA[[#This Row],[t]]/1000),"")</f>
        <v/>
      </c>
      <c r="CA125" s="17"/>
    </row>
    <row r="126" spans="1:79" x14ac:dyDescent="0.25">
      <c r="A126" s="16"/>
      <c r="B126" s="16"/>
      <c r="I126" s="117" t="str">
        <f>IFERROR(MP_DATA[[#This Row],[Top]]-MP_DATA[[#This Row],[Bottom]], "")</f>
        <v/>
      </c>
      <c r="J126" s="117" t="str">
        <f>IFERROR(-(MP_DATA[[#This Row],[D, top]]-MP_DATA[[#This Row],[D, bottom]])/(MP_DATA[[#This Row],[Top]]-MP_DATA[[#This Row],[Bottom]]),"")</f>
        <v/>
      </c>
      <c r="K126" s="117" t="str">
        <f t="shared" si="3"/>
        <v/>
      </c>
      <c r="L126" s="117" t="str">
        <f>IFERROR((MP_DATA[[#This Row],[D, top]]+MP_DATA[[#This Row],[D, bottom]])/(2*MP_DATA[[#This Row],[t]]/1000),"")</f>
        <v/>
      </c>
      <c r="AA126" s="17"/>
      <c r="AI126" s="117" t="str">
        <f>IFERROR(TP_DATA[[#This Row],[Top]]-TP_DATA[[#This Row],[Bottom]], "")</f>
        <v/>
      </c>
      <c r="AJ126" s="117" t="str">
        <f>IFERROR(-(TP_DATA[[#This Row],[D, top]]-TP_DATA[[#This Row],[D, bottom]])/(TP_DATA[[#This Row],[Top]]-TP_DATA[[#This Row],[Bottom]]),"")</f>
        <v/>
      </c>
      <c r="AK126" s="117" t="str">
        <f t="shared" si="4"/>
        <v/>
      </c>
      <c r="AL126" s="117" t="str">
        <f>IFERROR((TP_DATA[[#This Row],[D, top]]+TP_DATA[[#This Row],[D, bottom]])/(2*TP_DATA[[#This Row],[t]]/1000),"")</f>
        <v/>
      </c>
      <c r="BB126" s="16"/>
      <c r="BI126" s="117" t="str">
        <f>IFERROR(TOWER_DATA[[#This Row],[Top]]-TOWER_DATA[[#This Row],[Bottom]], "")</f>
        <v/>
      </c>
      <c r="BJ126" s="117" t="str">
        <f>IFERROR(-(TOWER_DATA[[#This Row],[D, top]]-TOWER_DATA[[#This Row],[D, bottom]])/(TOWER_DATA[[#This Row],[Top]]-TOWER_DATA[[#This Row],[Bottom]]),"")</f>
        <v/>
      </c>
      <c r="BK126" s="117" t="str">
        <f t="shared" si="5"/>
        <v/>
      </c>
      <c r="BL126" s="117" t="str">
        <f>IFERROR((TOWER_DATA[[#This Row],[D, top]]+TOWER_DATA[[#This Row],[D, bottom]])/(2*TOWER_DATA[[#This Row],[t]]/1000),"")</f>
        <v/>
      </c>
      <c r="CA126" s="17"/>
    </row>
    <row r="127" spans="1:79" x14ac:dyDescent="0.25">
      <c r="A127" s="16"/>
      <c r="B127" s="16"/>
      <c r="I127" s="117" t="str">
        <f>IFERROR(MP_DATA[[#This Row],[Top]]-MP_DATA[[#This Row],[Bottom]], "")</f>
        <v/>
      </c>
      <c r="J127" s="117" t="str">
        <f>IFERROR(-(MP_DATA[[#This Row],[D, top]]-MP_DATA[[#This Row],[D, bottom]])/(MP_DATA[[#This Row],[Top]]-MP_DATA[[#This Row],[Bottom]]),"")</f>
        <v/>
      </c>
      <c r="K127" s="117" t="str">
        <f t="shared" si="3"/>
        <v/>
      </c>
      <c r="L127" s="117" t="str">
        <f>IFERROR((MP_DATA[[#This Row],[D, top]]+MP_DATA[[#This Row],[D, bottom]])/(2*MP_DATA[[#This Row],[t]]/1000),"")</f>
        <v/>
      </c>
      <c r="AA127" s="17"/>
      <c r="AI127" s="117" t="str">
        <f>IFERROR(TP_DATA[[#This Row],[Top]]-TP_DATA[[#This Row],[Bottom]], "")</f>
        <v/>
      </c>
      <c r="AJ127" s="117" t="str">
        <f>IFERROR(-(TP_DATA[[#This Row],[D, top]]-TP_DATA[[#This Row],[D, bottom]])/(TP_DATA[[#This Row],[Top]]-TP_DATA[[#This Row],[Bottom]]),"")</f>
        <v/>
      </c>
      <c r="AK127" s="117" t="str">
        <f t="shared" si="4"/>
        <v/>
      </c>
      <c r="AL127" s="117" t="str">
        <f>IFERROR((TP_DATA[[#This Row],[D, top]]+TP_DATA[[#This Row],[D, bottom]])/(2*TP_DATA[[#This Row],[t]]/1000),"")</f>
        <v/>
      </c>
      <c r="BB127" s="16"/>
      <c r="BI127" s="117" t="str">
        <f>IFERROR(TOWER_DATA[[#This Row],[Top]]-TOWER_DATA[[#This Row],[Bottom]], "")</f>
        <v/>
      </c>
      <c r="BJ127" s="117" t="str">
        <f>IFERROR(-(TOWER_DATA[[#This Row],[D, top]]-TOWER_DATA[[#This Row],[D, bottom]])/(TOWER_DATA[[#This Row],[Top]]-TOWER_DATA[[#This Row],[Bottom]]),"")</f>
        <v/>
      </c>
      <c r="BK127" s="117" t="str">
        <f t="shared" si="5"/>
        <v/>
      </c>
      <c r="BL127" s="117" t="str">
        <f>IFERROR((TOWER_DATA[[#This Row],[D, top]]+TOWER_DATA[[#This Row],[D, bottom]])/(2*TOWER_DATA[[#This Row],[t]]/1000),"")</f>
        <v/>
      </c>
      <c r="CA127" s="17"/>
    </row>
    <row r="128" spans="1:79" x14ac:dyDescent="0.25">
      <c r="A128" s="16"/>
      <c r="B128" s="16"/>
      <c r="I128" s="117" t="str">
        <f>IFERROR(MP_DATA[[#This Row],[Top]]-MP_DATA[[#This Row],[Bottom]], "")</f>
        <v/>
      </c>
      <c r="J128" s="117" t="str">
        <f>IFERROR(-(MP_DATA[[#This Row],[D, top]]-MP_DATA[[#This Row],[D, bottom]])/(MP_DATA[[#This Row],[Top]]-MP_DATA[[#This Row],[Bottom]]),"")</f>
        <v/>
      </c>
      <c r="K128" s="117" t="str">
        <f t="shared" si="3"/>
        <v/>
      </c>
      <c r="L128" s="117" t="str">
        <f>IFERROR((MP_DATA[[#This Row],[D, top]]+MP_DATA[[#This Row],[D, bottom]])/(2*MP_DATA[[#This Row],[t]]/1000),"")</f>
        <v/>
      </c>
      <c r="AA128" s="17"/>
      <c r="AI128" s="117" t="str">
        <f>IFERROR(TP_DATA[[#This Row],[Top]]-TP_DATA[[#This Row],[Bottom]], "")</f>
        <v/>
      </c>
      <c r="AJ128" s="117" t="str">
        <f>IFERROR(-(TP_DATA[[#This Row],[D, top]]-TP_DATA[[#This Row],[D, bottom]])/(TP_DATA[[#This Row],[Top]]-TP_DATA[[#This Row],[Bottom]]),"")</f>
        <v/>
      </c>
      <c r="AK128" s="117" t="str">
        <f t="shared" si="4"/>
        <v/>
      </c>
      <c r="AL128" s="117" t="str">
        <f>IFERROR((TP_DATA[[#This Row],[D, top]]+TP_DATA[[#This Row],[D, bottom]])/(2*TP_DATA[[#This Row],[t]]/1000),"")</f>
        <v/>
      </c>
      <c r="BB128" s="16"/>
      <c r="BI128" s="117" t="str">
        <f>IFERROR(TOWER_DATA[[#This Row],[Top]]-TOWER_DATA[[#This Row],[Bottom]], "")</f>
        <v/>
      </c>
      <c r="BJ128" s="117" t="str">
        <f>IFERROR(-(TOWER_DATA[[#This Row],[D, top]]-TOWER_DATA[[#This Row],[D, bottom]])/(TOWER_DATA[[#This Row],[Top]]-TOWER_DATA[[#This Row],[Bottom]]),"")</f>
        <v/>
      </c>
      <c r="BK128" s="117" t="str">
        <f t="shared" si="5"/>
        <v/>
      </c>
      <c r="BL128" s="117" t="str">
        <f>IFERROR((TOWER_DATA[[#This Row],[D, top]]+TOWER_DATA[[#This Row],[D, bottom]])/(2*TOWER_DATA[[#This Row],[t]]/1000),"")</f>
        <v/>
      </c>
      <c r="CA128" s="17"/>
    </row>
    <row r="129" spans="1:79" x14ac:dyDescent="0.25">
      <c r="A129" s="16"/>
      <c r="B129" s="16"/>
      <c r="I129" s="117" t="str">
        <f>IFERROR(MP_DATA[[#This Row],[Top]]-MP_DATA[[#This Row],[Bottom]], "")</f>
        <v/>
      </c>
      <c r="J129" s="117" t="str">
        <f>IFERROR(-(MP_DATA[[#This Row],[D, top]]-MP_DATA[[#This Row],[D, bottom]])/(MP_DATA[[#This Row],[Top]]-MP_DATA[[#This Row],[Bottom]]),"")</f>
        <v/>
      </c>
      <c r="K129" s="117" t="str">
        <f t="shared" si="3"/>
        <v/>
      </c>
      <c r="L129" s="117" t="str">
        <f>IFERROR((MP_DATA[[#This Row],[D, top]]+MP_DATA[[#This Row],[D, bottom]])/(2*MP_DATA[[#This Row],[t]]/1000),"")</f>
        <v/>
      </c>
      <c r="AA129" s="17"/>
      <c r="AI129" s="117" t="str">
        <f>IFERROR(TP_DATA[[#This Row],[Top]]-TP_DATA[[#This Row],[Bottom]], "")</f>
        <v/>
      </c>
      <c r="AJ129" s="117" t="str">
        <f>IFERROR(-(TP_DATA[[#This Row],[D, top]]-TP_DATA[[#This Row],[D, bottom]])/(TP_DATA[[#This Row],[Top]]-TP_DATA[[#This Row],[Bottom]]),"")</f>
        <v/>
      </c>
      <c r="AK129" s="117" t="str">
        <f t="shared" si="4"/>
        <v/>
      </c>
      <c r="AL129" s="117" t="str">
        <f>IFERROR((TP_DATA[[#This Row],[D, top]]+TP_DATA[[#This Row],[D, bottom]])/(2*TP_DATA[[#This Row],[t]]/1000),"")</f>
        <v/>
      </c>
      <c r="BB129" s="16"/>
      <c r="BI129" s="117" t="str">
        <f>IFERROR(TOWER_DATA[[#This Row],[Top]]-TOWER_DATA[[#This Row],[Bottom]], "")</f>
        <v/>
      </c>
      <c r="BJ129" s="117" t="str">
        <f>IFERROR(-(TOWER_DATA[[#This Row],[D, top]]-TOWER_DATA[[#This Row],[D, bottom]])/(TOWER_DATA[[#This Row],[Top]]-TOWER_DATA[[#This Row],[Bottom]]),"")</f>
        <v/>
      </c>
      <c r="BK129" s="117" t="str">
        <f t="shared" si="5"/>
        <v/>
      </c>
      <c r="BL129" s="117" t="str">
        <f>IFERROR((TOWER_DATA[[#This Row],[D, top]]+TOWER_DATA[[#This Row],[D, bottom]])/(2*TOWER_DATA[[#This Row],[t]]/1000),"")</f>
        <v/>
      </c>
      <c r="CA129" s="17"/>
    </row>
    <row r="130" spans="1:79" x14ac:dyDescent="0.25">
      <c r="A130" s="16"/>
      <c r="B130" s="16"/>
      <c r="I130" s="109" t="str">
        <f>IFERROR(MP_DATA[[#This Row],[Top]]-MP_DATA[[#This Row],[Bottom]], "")</f>
        <v/>
      </c>
      <c r="J130" s="109" t="str">
        <f>IFERROR(-(MP_DATA[[#This Row],[D, top]]-MP_DATA[[#This Row],[D, bottom]])/(MP_DATA[[#This Row],[Top]]-MP_DATA[[#This Row],[Bottom]]),"")</f>
        <v/>
      </c>
      <c r="K130" s="109" t="str">
        <f t="shared" si="3"/>
        <v/>
      </c>
      <c r="L130" s="109" t="str">
        <f>IFERROR((MP_DATA[[#This Row],[D, top]]+MP_DATA[[#This Row],[D, bottom]])/(2*MP_DATA[[#This Row],[t]]/1000),"")</f>
        <v/>
      </c>
      <c r="AA130" s="17"/>
      <c r="AI130" s="117" t="str">
        <f>IFERROR(TP_DATA[[#This Row],[Top]]-TP_DATA[[#This Row],[Bottom]], "")</f>
        <v/>
      </c>
      <c r="AJ130" s="117" t="str">
        <f>IFERROR(-(TP_DATA[[#This Row],[D, top]]-TP_DATA[[#This Row],[D, bottom]])/(TP_DATA[[#This Row],[Top]]-TP_DATA[[#This Row],[Bottom]]),"")</f>
        <v/>
      </c>
      <c r="AK130" s="117" t="str">
        <f t="shared" si="4"/>
        <v/>
      </c>
      <c r="AL130" s="117" t="str">
        <f>IFERROR((TP_DATA[[#This Row],[D, top]]+TP_DATA[[#This Row],[D, bottom]])/(2*TP_DATA[[#This Row],[t]]/1000),"")</f>
        <v/>
      </c>
      <c r="BB130" s="16"/>
      <c r="BI130" s="117" t="str">
        <f>IFERROR(TOWER_DATA[[#This Row],[Top]]-TOWER_DATA[[#This Row],[Bottom]], "")</f>
        <v/>
      </c>
      <c r="BJ130" s="117" t="str">
        <f>IFERROR(-(TOWER_DATA[[#This Row],[D, top]]-TOWER_DATA[[#This Row],[D, bottom]])/(TOWER_DATA[[#This Row],[Top]]-TOWER_DATA[[#This Row],[Bottom]]),"")</f>
        <v/>
      </c>
      <c r="BK130" s="117" t="str">
        <f t="shared" si="5"/>
        <v/>
      </c>
      <c r="BL130" s="117" t="str">
        <f>IFERROR((TOWER_DATA[[#This Row],[D, top]]+TOWER_DATA[[#This Row],[D, bottom]])/(2*TOWER_DATA[[#This Row],[t]]/1000),"")</f>
        <v/>
      </c>
      <c r="CA130" s="17"/>
    </row>
    <row r="131" spans="1:79" x14ac:dyDescent="0.25">
      <c r="A131" s="16"/>
      <c r="B131" s="16"/>
      <c r="I131" s="109" t="str">
        <f>IFERROR(MP_DATA[[#This Row],[Top]]-MP_DATA[[#This Row],[Bottom]], "")</f>
        <v/>
      </c>
      <c r="J131" s="109" t="str">
        <f>IFERROR(-(MP_DATA[[#This Row],[D, top]]-MP_DATA[[#This Row],[D, bottom]])/(MP_DATA[[#This Row],[Top]]-MP_DATA[[#This Row],[Bottom]]),"")</f>
        <v/>
      </c>
      <c r="K131" s="109" t="str">
        <f t="shared" si="3"/>
        <v/>
      </c>
      <c r="L131" s="109" t="str">
        <f>IFERROR((MP_DATA[[#This Row],[D, top]]+MP_DATA[[#This Row],[D, bottom]])/(2*MP_DATA[[#This Row],[t]]/1000),"")</f>
        <v/>
      </c>
      <c r="AA131" s="17"/>
      <c r="AI131" s="117" t="str">
        <f>IFERROR(TP_DATA[[#This Row],[Top]]-TP_DATA[[#This Row],[Bottom]], "")</f>
        <v/>
      </c>
      <c r="AJ131" s="117" t="str">
        <f>IFERROR(-(TP_DATA[[#This Row],[D, top]]-TP_DATA[[#This Row],[D, bottom]])/(TP_DATA[[#This Row],[Top]]-TP_DATA[[#This Row],[Bottom]]),"")</f>
        <v/>
      </c>
      <c r="AK131" s="117" t="str">
        <f t="shared" si="4"/>
        <v/>
      </c>
      <c r="AL131" s="117" t="str">
        <f>IFERROR((TP_DATA[[#This Row],[D, top]]+TP_DATA[[#This Row],[D, bottom]])/(2*TP_DATA[[#This Row],[t]]/1000),"")</f>
        <v/>
      </c>
      <c r="BB131" s="16"/>
      <c r="BI131" s="117" t="str">
        <f>IFERROR(TOWER_DATA[[#This Row],[Top]]-TOWER_DATA[[#This Row],[Bottom]], "")</f>
        <v/>
      </c>
      <c r="BJ131" s="117" t="str">
        <f>IFERROR(-(TOWER_DATA[[#This Row],[D, top]]-TOWER_DATA[[#This Row],[D, bottom]])/(TOWER_DATA[[#This Row],[Top]]-TOWER_DATA[[#This Row],[Bottom]]),"")</f>
        <v/>
      </c>
      <c r="BK131" s="117" t="str">
        <f t="shared" si="5"/>
        <v/>
      </c>
      <c r="BL131" s="117" t="str">
        <f>IFERROR((TOWER_DATA[[#This Row],[D, top]]+TOWER_DATA[[#This Row],[D, bottom]])/(2*TOWER_DATA[[#This Row],[t]]/1000),"")</f>
        <v/>
      </c>
      <c r="CA131" s="17"/>
    </row>
    <row r="132" spans="1:79" x14ac:dyDescent="0.25">
      <c r="A132" s="16"/>
      <c r="B132" s="16"/>
      <c r="I132" s="109" t="str">
        <f>IFERROR(MP_DATA[[#This Row],[Top]]-MP_DATA[[#This Row],[Bottom]], "")</f>
        <v/>
      </c>
      <c r="J132" s="109" t="str">
        <f>IFERROR(-(MP_DATA[[#This Row],[D, top]]-MP_DATA[[#This Row],[D, bottom]])/(MP_DATA[[#This Row],[Top]]-MP_DATA[[#This Row],[Bottom]]),"")</f>
        <v/>
      </c>
      <c r="K132" s="109" t="str">
        <f t="shared" si="3"/>
        <v/>
      </c>
      <c r="L132" s="109" t="str">
        <f>IFERROR((MP_DATA[[#This Row],[D, top]]+MP_DATA[[#This Row],[D, bottom]])/(2*MP_DATA[[#This Row],[t]]/1000),"")</f>
        <v/>
      </c>
      <c r="AA132" s="17"/>
      <c r="AI132" s="117" t="str">
        <f>IFERROR(TP_DATA[[#This Row],[Top]]-TP_DATA[[#This Row],[Bottom]], "")</f>
        <v/>
      </c>
      <c r="AJ132" s="117" t="str">
        <f>IFERROR(-(TP_DATA[[#This Row],[D, top]]-TP_DATA[[#This Row],[D, bottom]])/(TP_DATA[[#This Row],[Top]]-TP_DATA[[#This Row],[Bottom]]),"")</f>
        <v/>
      </c>
      <c r="AK132" s="117" t="str">
        <f t="shared" si="4"/>
        <v/>
      </c>
      <c r="AL132" s="117" t="str">
        <f>IFERROR((TP_DATA[[#This Row],[D, top]]+TP_DATA[[#This Row],[D, bottom]])/(2*TP_DATA[[#This Row],[t]]/1000),"")</f>
        <v/>
      </c>
      <c r="BB132" s="16"/>
      <c r="BI132" s="117" t="str">
        <f>IFERROR(TOWER_DATA[[#This Row],[Top]]-TOWER_DATA[[#This Row],[Bottom]], "")</f>
        <v/>
      </c>
      <c r="BJ132" s="117" t="str">
        <f>IFERROR(-(TOWER_DATA[[#This Row],[D, top]]-TOWER_DATA[[#This Row],[D, bottom]])/(TOWER_DATA[[#This Row],[Top]]-TOWER_DATA[[#This Row],[Bottom]]),"")</f>
        <v/>
      </c>
      <c r="BK132" s="117" t="str">
        <f t="shared" si="5"/>
        <v/>
      </c>
      <c r="BL132" s="117" t="str">
        <f>IFERROR((TOWER_DATA[[#This Row],[D, top]]+TOWER_DATA[[#This Row],[D, bottom]])/(2*TOWER_DATA[[#This Row],[t]]/1000),"")</f>
        <v/>
      </c>
      <c r="CA132" s="17"/>
    </row>
    <row r="133" spans="1:79" x14ac:dyDescent="0.25">
      <c r="A133" s="16"/>
      <c r="B133" s="16"/>
      <c r="I133" s="109" t="str">
        <f>IFERROR(MP_DATA[[#This Row],[Top]]-MP_DATA[[#This Row],[Bottom]], "")</f>
        <v/>
      </c>
      <c r="J133" s="109" t="str">
        <f>IFERROR(-(MP_DATA[[#This Row],[D, top]]-MP_DATA[[#This Row],[D, bottom]])/(MP_DATA[[#This Row],[Top]]-MP_DATA[[#This Row],[Bottom]]),"")</f>
        <v/>
      </c>
      <c r="K133" s="109" t="str">
        <f t="shared" si="3"/>
        <v/>
      </c>
      <c r="L133" s="109" t="str">
        <f>IFERROR((MP_DATA[[#This Row],[D, top]]+MP_DATA[[#This Row],[D, bottom]])/(2*MP_DATA[[#This Row],[t]]/1000),"")</f>
        <v/>
      </c>
      <c r="AA133" s="17"/>
      <c r="AI133" s="117" t="str">
        <f>IFERROR(TP_DATA[[#This Row],[Top]]-TP_DATA[[#This Row],[Bottom]], "")</f>
        <v/>
      </c>
      <c r="AJ133" s="117" t="str">
        <f>IFERROR(-(TP_DATA[[#This Row],[D, top]]-TP_DATA[[#This Row],[D, bottom]])/(TP_DATA[[#This Row],[Top]]-TP_DATA[[#This Row],[Bottom]]),"")</f>
        <v/>
      </c>
      <c r="AK133" s="117" t="str">
        <f t="shared" si="4"/>
        <v/>
      </c>
      <c r="AL133" s="117" t="str">
        <f>IFERROR((TP_DATA[[#This Row],[D, top]]+TP_DATA[[#This Row],[D, bottom]])/(2*TP_DATA[[#This Row],[t]]/1000),"")</f>
        <v/>
      </c>
      <c r="BB133" s="16"/>
      <c r="BI133" s="117" t="str">
        <f>IFERROR(TOWER_DATA[[#This Row],[Top]]-TOWER_DATA[[#This Row],[Bottom]], "")</f>
        <v/>
      </c>
      <c r="BJ133" s="117" t="str">
        <f>IFERROR(-(TOWER_DATA[[#This Row],[D, top]]-TOWER_DATA[[#This Row],[D, bottom]])/(TOWER_DATA[[#This Row],[Top]]-TOWER_DATA[[#This Row],[Bottom]]),"")</f>
        <v/>
      </c>
      <c r="BK133" s="117" t="str">
        <f t="shared" si="5"/>
        <v/>
      </c>
      <c r="BL133" s="117" t="str">
        <f>IFERROR((TOWER_DATA[[#This Row],[D, top]]+TOWER_DATA[[#This Row],[D, bottom]])/(2*TOWER_DATA[[#This Row],[t]]/1000),"")</f>
        <v/>
      </c>
      <c r="CA133" s="17"/>
    </row>
    <row r="134" spans="1:79" x14ac:dyDescent="0.25">
      <c r="A134" s="16"/>
      <c r="B134" s="16"/>
      <c r="I134" s="109" t="str">
        <f>IFERROR(MP_DATA[[#This Row],[Top]]-MP_DATA[[#This Row],[Bottom]], "")</f>
        <v/>
      </c>
      <c r="J134" s="109" t="str">
        <f>IFERROR(-(MP_DATA[[#This Row],[D, top]]-MP_DATA[[#This Row],[D, bottom]])/(MP_DATA[[#This Row],[Top]]-MP_DATA[[#This Row],[Bottom]]),"")</f>
        <v/>
      </c>
      <c r="L134" s="109" t="str">
        <f>IFERROR((MP_DATA[[#This Row],[D, top]]+MP_DATA[[#This Row],[D, bottom]])/(2*MP_DATA[[#This Row],[t]]/1000),"")</f>
        <v/>
      </c>
      <c r="AA134" s="17"/>
      <c r="AI134" s="117" t="str">
        <f>IFERROR(TP_DATA[[#This Row],[Top]]-TP_DATA[[#This Row],[Bottom]], "")</f>
        <v/>
      </c>
      <c r="AJ134" s="117" t="str">
        <f>IFERROR(-(TP_DATA[[#This Row],[D, top]]-TP_DATA[[#This Row],[D, bottom]])/(TP_DATA[[#This Row],[Top]]-TP_DATA[[#This Row],[Bottom]]),"")</f>
        <v/>
      </c>
      <c r="AK134" s="117" t="str">
        <f t="shared" si="4"/>
        <v/>
      </c>
      <c r="AL134" s="117" t="str">
        <f>IFERROR((TP_DATA[[#This Row],[D, top]]+TP_DATA[[#This Row],[D, bottom]])/(2*TP_DATA[[#This Row],[t]]/1000),"")</f>
        <v/>
      </c>
      <c r="BB134" s="16"/>
      <c r="BI134" s="117" t="str">
        <f>IFERROR(TOWER_DATA[[#This Row],[Top]]-TOWER_DATA[[#This Row],[Bottom]], "")</f>
        <v/>
      </c>
      <c r="BJ134" s="117" t="str">
        <f>IFERROR(-(TOWER_DATA[[#This Row],[D, top]]-TOWER_DATA[[#This Row],[D, bottom]])/(TOWER_DATA[[#This Row],[Top]]-TOWER_DATA[[#This Row],[Bottom]]),"")</f>
        <v/>
      </c>
      <c r="BK134" s="117" t="str">
        <f t="shared" si="5"/>
        <v/>
      </c>
      <c r="BL134" s="117" t="str">
        <f>IFERROR((TOWER_DATA[[#This Row],[D, top]]+TOWER_DATA[[#This Row],[D, bottom]])/(2*TOWER_DATA[[#This Row],[t]]/1000),"")</f>
        <v/>
      </c>
      <c r="CA134" s="17"/>
    </row>
    <row r="135" spans="1:79" x14ac:dyDescent="0.25">
      <c r="A135" s="16"/>
      <c r="B135" s="16"/>
      <c r="I135" s="109" t="str">
        <f>IFERROR(MP_DATA[[#This Row],[Top]]-MP_DATA[[#This Row],[Bottom]], "")</f>
        <v/>
      </c>
      <c r="J135" s="109" t="str">
        <f>IFERROR(-(MP_DATA[[#This Row],[D, top]]-MP_DATA[[#This Row],[D, bottom]])/(MP_DATA[[#This Row],[Top]]-MP_DATA[[#This Row],[Bottom]]),"")</f>
        <v/>
      </c>
      <c r="L135" s="109" t="str">
        <f>IFERROR((MP_DATA[[#This Row],[D, top]]+MP_DATA[[#This Row],[D, bottom]])/(2*MP_DATA[[#This Row],[t]]/1000),"")</f>
        <v/>
      </c>
      <c r="AA135" s="17"/>
      <c r="AI135" s="109" t="str">
        <f>IFERROR(TP_DATA[[#This Row],[Top]]-TP_DATA[[#This Row],[Bottom]], "")</f>
        <v/>
      </c>
      <c r="AJ135" s="109" t="str">
        <f>IFERROR(-(TP_DATA[[#This Row],[D, top]]-TP_DATA[[#This Row],[D, bottom]])/(TP_DATA[[#This Row],[Top]]-TP_DATA[[#This Row],[Bottom]]),"")</f>
        <v/>
      </c>
      <c r="AK135" s="109" t="str">
        <f t="shared" si="4"/>
        <v/>
      </c>
      <c r="AL135" s="109" t="str">
        <f>IFERROR((TP_DATA[[#This Row],[D, top]]+TP_DATA[[#This Row],[D, bottom]])/(2*TP_DATA[[#This Row],[t]]/1000),"")</f>
        <v/>
      </c>
      <c r="BB135" s="16"/>
      <c r="BI135" s="117" t="str">
        <f>IFERROR(TOWER_DATA[[#This Row],[Top]]-TOWER_DATA[[#This Row],[Bottom]], "")</f>
        <v/>
      </c>
      <c r="BJ135" s="117" t="str">
        <f>IFERROR(-(TOWER_DATA[[#This Row],[D, top]]-TOWER_DATA[[#This Row],[D, bottom]])/(TOWER_DATA[[#This Row],[Top]]-TOWER_DATA[[#This Row],[Bottom]]),"")</f>
        <v/>
      </c>
      <c r="BK135" s="117" t="str">
        <f t="shared" si="5"/>
        <v/>
      </c>
      <c r="BL135" s="117" t="str">
        <f>IFERROR((TOWER_DATA[[#This Row],[D, top]]+TOWER_DATA[[#This Row],[D, bottom]])/(2*TOWER_DATA[[#This Row],[t]]/1000),"")</f>
        <v/>
      </c>
      <c r="CA135" s="17"/>
    </row>
    <row r="136" spans="1:79" x14ac:dyDescent="0.25">
      <c r="A136" s="16"/>
      <c r="B136" s="16"/>
      <c r="I136" s="109"/>
      <c r="J136" s="109"/>
      <c r="L136" s="109"/>
      <c r="AA136" s="17"/>
      <c r="AI136" s="109" t="str">
        <f>IFERROR(TP_DATA[[#This Row],[Top]]-TP_DATA[[#This Row],[Bottom]], "")</f>
        <v/>
      </c>
      <c r="AJ136" s="109" t="str">
        <f>IFERROR(-(TP_DATA[[#This Row],[D, top]]-TP_DATA[[#This Row],[D, bottom]])/(TP_DATA[[#This Row],[Top]]-TP_DATA[[#This Row],[Bottom]]),"")</f>
        <v/>
      </c>
      <c r="AK136" s="109" t="str">
        <f t="shared" si="4"/>
        <v/>
      </c>
      <c r="AL136" s="109" t="str">
        <f>IFERROR((TP_DATA[[#This Row],[D, top]]+TP_DATA[[#This Row],[D, bottom]])/(2*TP_DATA[[#This Row],[t]]/1000),"")</f>
        <v/>
      </c>
      <c r="BB136" s="16"/>
      <c r="BI136" s="117" t="str">
        <f>IFERROR(TOWER_DATA[[#This Row],[Top]]-TOWER_DATA[[#This Row],[Bottom]], "")</f>
        <v/>
      </c>
      <c r="BJ136" s="117" t="str">
        <f>IFERROR(-(TOWER_DATA[[#This Row],[D, top]]-TOWER_DATA[[#This Row],[D, bottom]])/(TOWER_DATA[[#This Row],[Top]]-TOWER_DATA[[#This Row],[Bottom]]),"")</f>
        <v/>
      </c>
      <c r="BK136" s="117" t="str">
        <f t="shared" si="5"/>
        <v/>
      </c>
      <c r="BL136" s="117" t="str">
        <f>IFERROR((TOWER_DATA[[#This Row],[D, top]]+TOWER_DATA[[#This Row],[D, bottom]])/(2*TOWER_DATA[[#This Row],[t]]/1000),"")</f>
        <v/>
      </c>
      <c r="CA136" s="17"/>
    </row>
    <row r="137" spans="1:79" x14ac:dyDescent="0.25">
      <c r="A137" s="16"/>
      <c r="B137" s="16"/>
      <c r="I137" s="109"/>
      <c r="J137" s="109"/>
      <c r="L137" s="109"/>
      <c r="AA137" s="17"/>
      <c r="AI137" s="109" t="str">
        <f>IFERROR(TP_DATA[[#This Row],[Top]]-TP_DATA[[#This Row],[Bottom]], "")</f>
        <v/>
      </c>
      <c r="AJ137" s="109" t="str">
        <f>IFERROR(-(TP_DATA[[#This Row],[D, top]]-TP_DATA[[#This Row],[D, bottom]])/(TP_DATA[[#This Row],[Top]]-TP_DATA[[#This Row],[Bottom]]),"")</f>
        <v/>
      </c>
      <c r="AK137" s="109" t="str">
        <f t="shared" si="4"/>
        <v/>
      </c>
      <c r="AL137" s="109" t="str">
        <f>IFERROR((TP_DATA[[#This Row],[D, top]]+TP_DATA[[#This Row],[D, bottom]])/(2*TP_DATA[[#This Row],[t]]/1000),"")</f>
        <v/>
      </c>
      <c r="BB137" s="16"/>
      <c r="BI137" s="117" t="str">
        <f>IFERROR(TOWER_DATA[[#This Row],[Top]]-TOWER_DATA[[#This Row],[Bottom]], "")</f>
        <v/>
      </c>
      <c r="BJ137" s="117" t="str">
        <f>IFERROR(-(TOWER_DATA[[#This Row],[D, top]]-TOWER_DATA[[#This Row],[D, bottom]])/(TOWER_DATA[[#This Row],[Top]]-TOWER_DATA[[#This Row],[Bottom]]),"")</f>
        <v/>
      </c>
      <c r="BK137" s="117" t="str">
        <f t="shared" si="5"/>
        <v/>
      </c>
      <c r="BL137" s="117" t="str">
        <f>IFERROR((TOWER_DATA[[#This Row],[D, top]]+TOWER_DATA[[#This Row],[D, bottom]])/(2*TOWER_DATA[[#This Row],[t]]/1000),"")</f>
        <v/>
      </c>
      <c r="CA137" s="17"/>
    </row>
    <row r="138" spans="1:79" x14ac:dyDescent="0.25">
      <c r="A138" s="16"/>
      <c r="B138" s="16"/>
      <c r="I138" s="109"/>
      <c r="AA138" s="17"/>
      <c r="AI138" s="109" t="str">
        <f>IFERROR(TP_DATA[[#This Row],[Top]]-TP_DATA[[#This Row],[Bottom]], "")</f>
        <v/>
      </c>
      <c r="AJ138" s="109" t="str">
        <f>IFERROR(-(TP_DATA[[#This Row],[D, top]]-TP_DATA[[#This Row],[D, bottom]])/(TP_DATA[[#This Row],[Top]]-TP_DATA[[#This Row],[Bottom]]),"")</f>
        <v/>
      </c>
      <c r="AK138" s="109" t="str">
        <f t="shared" si="4"/>
        <v/>
      </c>
      <c r="AL138" s="109" t="str">
        <f>IFERROR((TP_DATA[[#This Row],[D, top]]+TP_DATA[[#This Row],[D, bottom]])/(2*TP_DATA[[#This Row],[t]]/1000),"")</f>
        <v/>
      </c>
      <c r="BB138" s="16"/>
      <c r="BI138" s="117" t="str">
        <f>IFERROR(TOWER_DATA[[#This Row],[Top]]-TOWER_DATA[[#This Row],[Bottom]], "")</f>
        <v/>
      </c>
      <c r="BJ138" s="117" t="str">
        <f>IFERROR(-(TOWER_DATA[[#This Row],[D, top]]-TOWER_DATA[[#This Row],[D, bottom]])/(TOWER_DATA[[#This Row],[Top]]-TOWER_DATA[[#This Row],[Bottom]]),"")</f>
        <v/>
      </c>
      <c r="BK138" s="117" t="str">
        <f t="shared" si="5"/>
        <v/>
      </c>
      <c r="BL138" s="117" t="str">
        <f>IFERROR((TOWER_DATA[[#This Row],[D, top]]+TOWER_DATA[[#This Row],[D, bottom]])/(2*TOWER_DATA[[#This Row],[t]]/1000),"")</f>
        <v/>
      </c>
      <c r="CA138" s="17"/>
    </row>
    <row r="139" spans="1:79" x14ac:dyDescent="0.25">
      <c r="A139" s="16"/>
      <c r="B139" s="16"/>
      <c r="I139" s="109"/>
      <c r="AA139" s="17"/>
      <c r="AI139" s="109" t="str">
        <f>IFERROR(TP_DATA[[#This Row],[Top]]-TP_DATA[[#This Row],[Bottom]], "")</f>
        <v/>
      </c>
      <c r="AJ139" s="109" t="str">
        <f>IFERROR(-(TP_DATA[[#This Row],[D, top]]-TP_DATA[[#This Row],[D, bottom]])/(TP_DATA[[#This Row],[Top]]-TP_DATA[[#This Row],[Bottom]]),"")</f>
        <v/>
      </c>
      <c r="AK139" s="109" t="str">
        <f t="shared" si="4"/>
        <v/>
      </c>
      <c r="AL139" s="109" t="str">
        <f>IFERROR((TP_DATA[[#This Row],[D, top]]+TP_DATA[[#This Row],[D, bottom]])/(2*TP_DATA[[#This Row],[t]]/1000),"")</f>
        <v/>
      </c>
      <c r="BB139" s="16"/>
      <c r="BI139" s="117" t="str">
        <f>IFERROR(TOWER_DATA[[#This Row],[Top]]-TOWER_DATA[[#This Row],[Bottom]], "")</f>
        <v/>
      </c>
      <c r="BJ139" s="117" t="str">
        <f>IFERROR(-(TOWER_DATA[[#This Row],[D, top]]-TOWER_DATA[[#This Row],[D, bottom]])/(TOWER_DATA[[#This Row],[Top]]-TOWER_DATA[[#This Row],[Bottom]]),"")</f>
        <v/>
      </c>
      <c r="BK139" s="117" t="str">
        <f t="shared" si="5"/>
        <v/>
      </c>
      <c r="BL139" s="117" t="str">
        <f>IFERROR((TOWER_DATA[[#This Row],[D, top]]+TOWER_DATA[[#This Row],[D, bottom]])/(2*TOWER_DATA[[#This Row],[t]]/1000),"")</f>
        <v/>
      </c>
      <c r="CA139" s="17"/>
    </row>
    <row r="140" spans="1:79" x14ac:dyDescent="0.25">
      <c r="A140" s="16"/>
      <c r="B140" s="16"/>
      <c r="I140" s="109"/>
      <c r="AA140" s="17"/>
      <c r="BB140" s="16"/>
      <c r="BI140" s="117" t="str">
        <f>IFERROR(TOWER_DATA[[#This Row],[Top]]-TOWER_DATA[[#This Row],[Bottom]], "")</f>
        <v/>
      </c>
      <c r="BJ140" s="117" t="str">
        <f>IFERROR(-(TOWER_DATA[[#This Row],[D, top]]-TOWER_DATA[[#This Row],[D, bottom]])/(TOWER_DATA[[#This Row],[Top]]-TOWER_DATA[[#This Row],[Bottom]]),"")</f>
        <v/>
      </c>
      <c r="BK140" s="117" t="str">
        <f t="shared" si="5"/>
        <v/>
      </c>
      <c r="BL140" s="117" t="str">
        <f>IFERROR((TOWER_DATA[[#This Row],[D, top]]+TOWER_DATA[[#This Row],[D, bottom]])/(2*TOWER_DATA[[#This Row],[t]]/1000),"")</f>
        <v/>
      </c>
      <c r="CA140" s="17"/>
    </row>
    <row r="141" spans="1:79" x14ac:dyDescent="0.25">
      <c r="A141" s="16"/>
      <c r="B141" s="16"/>
      <c r="I141" s="109"/>
      <c r="AA141" s="17"/>
      <c r="BB141" s="16"/>
      <c r="BI141" s="117" t="str">
        <f>IFERROR(TOWER_DATA[[#This Row],[Top]]-TOWER_DATA[[#This Row],[Bottom]], "")</f>
        <v/>
      </c>
      <c r="BJ141" s="117" t="str">
        <f>IFERROR(-(TOWER_DATA[[#This Row],[D, top]]-TOWER_DATA[[#This Row],[D, bottom]])/(TOWER_DATA[[#This Row],[Top]]-TOWER_DATA[[#This Row],[Bottom]]),"")</f>
        <v/>
      </c>
      <c r="BK141" s="117" t="str">
        <f t="shared" si="5"/>
        <v/>
      </c>
      <c r="BL141" s="117" t="str">
        <f>IFERROR((TOWER_DATA[[#This Row],[D, top]]+TOWER_DATA[[#This Row],[D, bottom]])/(2*TOWER_DATA[[#This Row],[t]]/1000),"")</f>
        <v/>
      </c>
      <c r="CA141" s="17"/>
    </row>
    <row r="142" spans="1:79" x14ac:dyDescent="0.25">
      <c r="A142" s="16"/>
      <c r="B142" s="16"/>
      <c r="I142" s="109"/>
      <c r="AA142" s="17"/>
      <c r="BB142" s="16"/>
      <c r="BI142" s="117" t="str">
        <f>IFERROR(TOWER_DATA[[#This Row],[Top]]-TOWER_DATA[[#This Row],[Bottom]], "")</f>
        <v/>
      </c>
      <c r="BJ142" s="117" t="str">
        <f>IFERROR(-(TOWER_DATA[[#This Row],[D, top]]-TOWER_DATA[[#This Row],[D, bottom]])/(TOWER_DATA[[#This Row],[Top]]-TOWER_DATA[[#This Row],[Bottom]]),"")</f>
        <v/>
      </c>
      <c r="BK142" s="117" t="str">
        <f t="shared" si="5"/>
        <v/>
      </c>
      <c r="BL142" s="117" t="str">
        <f>IFERROR((TOWER_DATA[[#This Row],[D, top]]+TOWER_DATA[[#This Row],[D, bottom]])/(2*TOWER_DATA[[#This Row],[t]]/1000),"")</f>
        <v/>
      </c>
      <c r="CA142" s="17"/>
    </row>
    <row r="143" spans="1:79" x14ac:dyDescent="0.25">
      <c r="A143" s="16"/>
      <c r="B143" s="16"/>
      <c r="I143" s="109"/>
      <c r="AA143" s="17"/>
      <c r="BB143" s="16"/>
      <c r="BI143" s="117" t="str">
        <f>IFERROR(TOWER_DATA[[#This Row],[Top]]-TOWER_DATA[[#This Row],[Bottom]], "")</f>
        <v/>
      </c>
      <c r="BJ143" s="117" t="str">
        <f>IFERROR(-(TOWER_DATA[[#This Row],[D, top]]-TOWER_DATA[[#This Row],[D, bottom]])/(TOWER_DATA[[#This Row],[Top]]-TOWER_DATA[[#This Row],[Bottom]]),"")</f>
        <v/>
      </c>
      <c r="BK143" s="117" t="str">
        <f t="shared" si="5"/>
        <v/>
      </c>
      <c r="BL143" s="117" t="str">
        <f>IFERROR((TOWER_DATA[[#This Row],[D, top]]+TOWER_DATA[[#This Row],[D, bottom]])/(2*TOWER_DATA[[#This Row],[t]]/1000),"")</f>
        <v/>
      </c>
      <c r="CA143" s="17"/>
    </row>
    <row r="144" spans="1:79" x14ac:dyDescent="0.25">
      <c r="A144" s="16"/>
      <c r="B144" s="16"/>
      <c r="I144" s="109"/>
      <c r="AA144" s="17"/>
      <c r="BB144" s="16"/>
      <c r="BI144" s="117" t="str">
        <f>IFERROR(TOWER_DATA[[#This Row],[Top]]-TOWER_DATA[[#This Row],[Bottom]], "")</f>
        <v/>
      </c>
      <c r="BJ144" s="117" t="str">
        <f>IFERROR(-(TOWER_DATA[[#This Row],[D, top]]-TOWER_DATA[[#This Row],[D, bottom]])/(TOWER_DATA[[#This Row],[Top]]-TOWER_DATA[[#This Row],[Bottom]]),"")</f>
        <v/>
      </c>
      <c r="BK144" s="117" t="str">
        <f t="shared" si="5"/>
        <v/>
      </c>
      <c r="BL144" s="117" t="str">
        <f>IFERROR((TOWER_DATA[[#This Row],[D, top]]+TOWER_DATA[[#This Row],[D, bottom]])/(2*TOWER_DATA[[#This Row],[t]]/1000),"")</f>
        <v/>
      </c>
      <c r="CA144" s="17"/>
    </row>
    <row r="145" spans="1:79" x14ac:dyDescent="0.25">
      <c r="A145" s="16"/>
      <c r="B145" s="16"/>
      <c r="I145" s="109"/>
      <c r="AA145" s="17"/>
      <c r="BB145" s="16"/>
      <c r="BI145" s="117" t="str">
        <f>IFERROR(TOWER_DATA[[#This Row],[Top]]-TOWER_DATA[[#This Row],[Bottom]], "")</f>
        <v/>
      </c>
      <c r="BJ145" s="117" t="str">
        <f>IFERROR(-(TOWER_DATA[[#This Row],[D, top]]-TOWER_DATA[[#This Row],[D, bottom]])/(TOWER_DATA[[#This Row],[Top]]-TOWER_DATA[[#This Row],[Bottom]]),"")</f>
        <v/>
      </c>
      <c r="BK145" s="117" t="str">
        <f t="shared" si="5"/>
        <v/>
      </c>
      <c r="BL145" s="117" t="str">
        <f>IFERROR((TOWER_DATA[[#This Row],[D, top]]+TOWER_DATA[[#This Row],[D, bottom]])/(2*TOWER_DATA[[#This Row],[t]]/1000),"")</f>
        <v/>
      </c>
      <c r="CA145" s="17"/>
    </row>
    <row r="146" spans="1:79" x14ac:dyDescent="0.25">
      <c r="A146" s="16"/>
      <c r="B146" s="16"/>
      <c r="I146" s="109"/>
      <c r="AA146" s="17"/>
      <c r="BB146" s="16"/>
      <c r="BI146" s="117" t="str">
        <f>IFERROR(TOWER_DATA[[#This Row],[Top]]-TOWER_DATA[[#This Row],[Bottom]], "")</f>
        <v/>
      </c>
      <c r="BJ146" s="117" t="str">
        <f>IFERROR(-(TOWER_DATA[[#This Row],[D, top]]-TOWER_DATA[[#This Row],[D, bottom]])/(TOWER_DATA[[#This Row],[Top]]-TOWER_DATA[[#This Row],[Bottom]]),"")</f>
        <v/>
      </c>
      <c r="BK146" s="117" t="str">
        <f t="shared" si="5"/>
        <v/>
      </c>
      <c r="BL146" s="117" t="str">
        <f>IFERROR((TOWER_DATA[[#This Row],[D, top]]+TOWER_DATA[[#This Row],[D, bottom]])/(2*TOWER_DATA[[#This Row],[t]]/1000),"")</f>
        <v/>
      </c>
      <c r="CA146" s="17"/>
    </row>
    <row r="147" spans="1:79" x14ac:dyDescent="0.25">
      <c r="A147" s="16"/>
      <c r="B147" s="16"/>
      <c r="I147" s="109"/>
      <c r="AA147" s="17"/>
      <c r="BB147" s="16"/>
      <c r="BI147" s="117" t="str">
        <f>IFERROR(TOWER_DATA[[#This Row],[Top]]-TOWER_DATA[[#This Row],[Bottom]], "")</f>
        <v/>
      </c>
      <c r="BJ147" s="117" t="str">
        <f>IFERROR(-(TOWER_DATA[[#This Row],[D, top]]-TOWER_DATA[[#This Row],[D, bottom]])/(TOWER_DATA[[#This Row],[Top]]-TOWER_DATA[[#This Row],[Bottom]]),"")</f>
        <v/>
      </c>
      <c r="BK147" s="117" t="str">
        <f t="shared" si="5"/>
        <v/>
      </c>
      <c r="BL147" s="117" t="str">
        <f>IFERROR((TOWER_DATA[[#This Row],[D, top]]+TOWER_DATA[[#This Row],[D, bottom]])/(2*TOWER_DATA[[#This Row],[t]]/1000),"")</f>
        <v/>
      </c>
      <c r="CA147" s="17"/>
    </row>
    <row r="148" spans="1:79" x14ac:dyDescent="0.25">
      <c r="A148" s="16"/>
      <c r="B148" s="16"/>
      <c r="I148" s="109"/>
      <c r="AA148" s="17"/>
      <c r="BB148" s="16"/>
      <c r="BI148" s="117" t="str">
        <f>IFERROR(TOWER_DATA[[#This Row],[Top]]-TOWER_DATA[[#This Row],[Bottom]], "")</f>
        <v/>
      </c>
      <c r="BJ148" s="117" t="str">
        <f>IFERROR(-(TOWER_DATA[[#This Row],[D, top]]-TOWER_DATA[[#This Row],[D, bottom]])/(TOWER_DATA[[#This Row],[Top]]-TOWER_DATA[[#This Row],[Bottom]]),"")</f>
        <v/>
      </c>
      <c r="BK148" s="117" t="str">
        <f t="shared" ref="BK148:BK162" si="6">IF(7850/1000 * (1/3) * PI() * ABS(BD148 - BE148) * ((BF148/2)^2 + (BF148/2)*(BG148/2) + (BG148/2)^2  - (BF148/2 - BH148/1000)^2 - (BF148/2 - BH148/1000)*(BG148/2 - BH148/1000) - (BG148/2 - BH148/1000)^2)=0, "", 7850/1000 * (1/3) * PI() * ABS(BD148 - BE148) * ((BF148/2)^2 + (BF148/2)*(BG148/2) + (BG148/2)^2  - (BF148/2 - BH148/1000)^2 - (BF148/2 - BH148/1000)*(BG148/2 - BH148/1000) - (BG148/2 - BH148/1000)^2))</f>
        <v/>
      </c>
      <c r="BL148" s="117" t="str">
        <f>IFERROR((TOWER_DATA[[#This Row],[D, top]]+TOWER_DATA[[#This Row],[D, bottom]])/(2*TOWER_DATA[[#This Row],[t]]/1000),"")</f>
        <v/>
      </c>
      <c r="CA148" s="17"/>
    </row>
    <row r="149" spans="1:79" x14ac:dyDescent="0.25">
      <c r="A149" s="16"/>
      <c r="B149" s="16"/>
      <c r="AA149" s="17"/>
      <c r="BB149" s="16"/>
      <c r="BI149" s="117" t="str">
        <f>IFERROR(TOWER_DATA[[#This Row],[Top]]-TOWER_DATA[[#This Row],[Bottom]], "")</f>
        <v/>
      </c>
      <c r="BJ149" s="117" t="str">
        <f>IFERROR(-(TOWER_DATA[[#This Row],[D, top]]-TOWER_DATA[[#This Row],[D, bottom]])/(TOWER_DATA[[#This Row],[Top]]-TOWER_DATA[[#This Row],[Bottom]]),"")</f>
        <v/>
      </c>
      <c r="BK149" s="117" t="str">
        <f t="shared" si="6"/>
        <v/>
      </c>
      <c r="BL149" s="117" t="str">
        <f>IFERROR((TOWER_DATA[[#This Row],[D, top]]+TOWER_DATA[[#This Row],[D, bottom]])/(2*TOWER_DATA[[#This Row],[t]]/1000),"")</f>
        <v/>
      </c>
      <c r="CA149" s="17"/>
    </row>
    <row r="150" spans="1:79" x14ac:dyDescent="0.25">
      <c r="A150" s="16"/>
      <c r="B150" s="16"/>
      <c r="AA150" s="17"/>
      <c r="BB150" s="16"/>
      <c r="BI150" s="117" t="str">
        <f>IFERROR(TOWER_DATA[[#This Row],[Top]]-TOWER_DATA[[#This Row],[Bottom]], "")</f>
        <v/>
      </c>
      <c r="BJ150" s="117" t="str">
        <f>IFERROR(-(TOWER_DATA[[#This Row],[D, top]]-TOWER_DATA[[#This Row],[D, bottom]])/(TOWER_DATA[[#This Row],[Top]]-TOWER_DATA[[#This Row],[Bottom]]),"")</f>
        <v/>
      </c>
      <c r="BK150" s="117" t="str">
        <f t="shared" si="6"/>
        <v/>
      </c>
      <c r="BL150" s="117" t="str">
        <f>IFERROR((TOWER_DATA[[#This Row],[D, top]]+TOWER_DATA[[#This Row],[D, bottom]])/(2*TOWER_DATA[[#This Row],[t]]/1000),"")</f>
        <v/>
      </c>
      <c r="CA150" s="17"/>
    </row>
    <row r="151" spans="1:79" x14ac:dyDescent="0.25">
      <c r="A151" s="16"/>
      <c r="B151" s="16"/>
      <c r="AA151" s="17"/>
      <c r="BB151" s="16"/>
      <c r="BI151" s="117" t="str">
        <f>IFERROR(TOWER_DATA[[#This Row],[Top]]-TOWER_DATA[[#This Row],[Bottom]], "")</f>
        <v/>
      </c>
      <c r="BJ151" s="117" t="str">
        <f>IFERROR(-(TOWER_DATA[[#This Row],[D, top]]-TOWER_DATA[[#This Row],[D, bottom]])/(TOWER_DATA[[#This Row],[Top]]-TOWER_DATA[[#This Row],[Bottom]]),"")</f>
        <v/>
      </c>
      <c r="BK151" s="117" t="str">
        <f t="shared" si="6"/>
        <v/>
      </c>
      <c r="BL151" s="117" t="str">
        <f>IFERROR((TOWER_DATA[[#This Row],[D, top]]+TOWER_DATA[[#This Row],[D, bottom]])/(2*TOWER_DATA[[#This Row],[t]]/1000),"")</f>
        <v/>
      </c>
      <c r="CA151" s="17"/>
    </row>
    <row r="152" spans="1:79" x14ac:dyDescent="0.25">
      <c r="A152" s="16"/>
      <c r="B152" s="16"/>
      <c r="AA152" s="17"/>
      <c r="BB152" s="16"/>
      <c r="BI152" s="117" t="str">
        <f>IFERROR(TOWER_DATA[[#This Row],[Top]]-TOWER_DATA[[#This Row],[Bottom]], "")</f>
        <v/>
      </c>
      <c r="BJ152" s="117" t="str">
        <f>IFERROR(-(TOWER_DATA[[#This Row],[D, top]]-TOWER_DATA[[#This Row],[D, bottom]])/(TOWER_DATA[[#This Row],[Top]]-TOWER_DATA[[#This Row],[Bottom]]),"")</f>
        <v/>
      </c>
      <c r="BK152" s="117" t="str">
        <f t="shared" si="6"/>
        <v/>
      </c>
      <c r="BL152" s="117" t="str">
        <f>IFERROR((TOWER_DATA[[#This Row],[D, top]]+TOWER_DATA[[#This Row],[D, bottom]])/(2*TOWER_DATA[[#This Row],[t]]/1000),"")</f>
        <v/>
      </c>
      <c r="CA152" s="17"/>
    </row>
    <row r="153" spans="1:79" x14ac:dyDescent="0.25">
      <c r="A153" s="16"/>
      <c r="B153" s="16"/>
      <c r="AA153" s="17"/>
      <c r="BB153" s="16"/>
      <c r="BI153" s="117" t="str">
        <f>IFERROR(TOWER_DATA[[#This Row],[Top]]-TOWER_DATA[[#This Row],[Bottom]], "")</f>
        <v/>
      </c>
      <c r="BJ153" s="117" t="str">
        <f>IFERROR(-(TOWER_DATA[[#This Row],[D, top]]-TOWER_DATA[[#This Row],[D, bottom]])/(TOWER_DATA[[#This Row],[Top]]-TOWER_DATA[[#This Row],[Bottom]]),"")</f>
        <v/>
      </c>
      <c r="BK153" s="117" t="str">
        <f t="shared" si="6"/>
        <v/>
      </c>
      <c r="BL153" s="117" t="str">
        <f>IFERROR((TOWER_DATA[[#This Row],[D, top]]+TOWER_DATA[[#This Row],[D, bottom]])/(2*TOWER_DATA[[#This Row],[t]]/1000),"")</f>
        <v/>
      </c>
      <c r="CA153" s="17"/>
    </row>
    <row r="154" spans="1:79" x14ac:dyDescent="0.25">
      <c r="A154" s="16"/>
      <c r="B154" s="16"/>
      <c r="AA154" s="17"/>
      <c r="BB154" s="16"/>
      <c r="BI154" s="117" t="str">
        <f>IFERROR(TOWER_DATA[[#This Row],[Top]]-TOWER_DATA[[#This Row],[Bottom]], "")</f>
        <v/>
      </c>
      <c r="BJ154" s="117" t="str">
        <f>IFERROR(-(TOWER_DATA[[#This Row],[D, top]]-TOWER_DATA[[#This Row],[D, bottom]])/(TOWER_DATA[[#This Row],[Top]]-TOWER_DATA[[#This Row],[Bottom]]),"")</f>
        <v/>
      </c>
      <c r="BK154" s="117" t="str">
        <f t="shared" si="6"/>
        <v/>
      </c>
      <c r="BL154" s="117" t="str">
        <f>IFERROR((TOWER_DATA[[#This Row],[D, top]]+TOWER_DATA[[#This Row],[D, bottom]])/(2*TOWER_DATA[[#This Row],[t]]/1000),"")</f>
        <v/>
      </c>
      <c r="CA154" s="17"/>
    </row>
    <row r="155" spans="1:79" x14ac:dyDescent="0.25">
      <c r="A155" s="16"/>
      <c r="B155" s="16"/>
      <c r="AA155" s="17"/>
      <c r="BB155" s="16"/>
      <c r="BI155" s="117" t="str">
        <f>IFERROR(TOWER_DATA[[#This Row],[Top]]-TOWER_DATA[[#This Row],[Bottom]], "")</f>
        <v/>
      </c>
      <c r="BJ155" s="117" t="str">
        <f>IFERROR(-(TOWER_DATA[[#This Row],[D, top]]-TOWER_DATA[[#This Row],[D, bottom]])/(TOWER_DATA[[#This Row],[Top]]-TOWER_DATA[[#This Row],[Bottom]]),"")</f>
        <v/>
      </c>
      <c r="BK155" s="117" t="str">
        <f t="shared" si="6"/>
        <v/>
      </c>
      <c r="BL155" s="117" t="str">
        <f>IFERROR((TOWER_DATA[[#This Row],[D, top]]+TOWER_DATA[[#This Row],[D, bottom]])/(2*TOWER_DATA[[#This Row],[t]]/1000),"")</f>
        <v/>
      </c>
      <c r="CA155" s="17"/>
    </row>
    <row r="156" spans="1:79" x14ac:dyDescent="0.25">
      <c r="A156" s="16"/>
      <c r="B156" s="16"/>
      <c r="AA156" s="17"/>
      <c r="BB156" s="16"/>
      <c r="BI156" s="117" t="str">
        <f>IFERROR(TOWER_DATA[[#This Row],[Top]]-TOWER_DATA[[#This Row],[Bottom]], "")</f>
        <v/>
      </c>
      <c r="BJ156" s="117" t="str">
        <f>IFERROR(-(TOWER_DATA[[#This Row],[D, top]]-TOWER_DATA[[#This Row],[D, bottom]])/(TOWER_DATA[[#This Row],[Top]]-TOWER_DATA[[#This Row],[Bottom]]),"")</f>
        <v/>
      </c>
      <c r="BK156" s="117" t="str">
        <f t="shared" si="6"/>
        <v/>
      </c>
      <c r="BL156" s="117" t="str">
        <f>IFERROR((TOWER_DATA[[#This Row],[D, top]]+TOWER_DATA[[#This Row],[D, bottom]])/(2*TOWER_DATA[[#This Row],[t]]/1000),"")</f>
        <v/>
      </c>
      <c r="CA156" s="17"/>
    </row>
    <row r="157" spans="1:79" x14ac:dyDescent="0.25">
      <c r="A157" s="16"/>
      <c r="B157" s="16"/>
      <c r="AA157" s="17"/>
      <c r="BB157" s="16"/>
      <c r="BI157" s="117" t="str">
        <f>IFERROR(TOWER_DATA[[#This Row],[Top]]-TOWER_DATA[[#This Row],[Bottom]], "")</f>
        <v/>
      </c>
      <c r="BJ157" s="117" t="str">
        <f>IFERROR(-(TOWER_DATA[[#This Row],[D, top]]-TOWER_DATA[[#This Row],[D, bottom]])/(TOWER_DATA[[#This Row],[Top]]-TOWER_DATA[[#This Row],[Bottom]]),"")</f>
        <v/>
      </c>
      <c r="BK157" s="117" t="str">
        <f t="shared" si="6"/>
        <v/>
      </c>
      <c r="BL157" s="117" t="str">
        <f>IFERROR((TOWER_DATA[[#This Row],[D, top]]+TOWER_DATA[[#This Row],[D, bottom]])/(2*TOWER_DATA[[#This Row],[t]]/1000),"")</f>
        <v/>
      </c>
      <c r="CA157" s="17"/>
    </row>
    <row r="158" spans="1:79" x14ac:dyDescent="0.25">
      <c r="A158" s="16"/>
      <c r="B158" s="16"/>
      <c r="AA158" s="17"/>
      <c r="BB158" s="16"/>
      <c r="BI158" s="117" t="str">
        <f>IFERROR(TOWER_DATA[[#This Row],[Top]]-TOWER_DATA[[#This Row],[Bottom]], "")</f>
        <v/>
      </c>
      <c r="BJ158" s="117" t="str">
        <f>IFERROR(-(TOWER_DATA[[#This Row],[D, top]]-TOWER_DATA[[#This Row],[D, bottom]])/(TOWER_DATA[[#This Row],[Top]]-TOWER_DATA[[#This Row],[Bottom]]),"")</f>
        <v/>
      </c>
      <c r="BK158" s="117" t="str">
        <f t="shared" si="6"/>
        <v/>
      </c>
      <c r="BL158" s="117" t="str">
        <f>IFERROR((TOWER_DATA[[#This Row],[D, top]]+TOWER_DATA[[#This Row],[D, bottom]])/(2*TOWER_DATA[[#This Row],[t]]/1000),"")</f>
        <v/>
      </c>
      <c r="CA158" s="17"/>
    </row>
    <row r="159" spans="1:79" x14ac:dyDescent="0.25">
      <c r="A159" s="16"/>
      <c r="B159" s="16"/>
      <c r="AA159" s="17"/>
      <c r="BB159" s="16"/>
      <c r="BI159" s="117" t="str">
        <f>IFERROR(TOWER_DATA[[#This Row],[Top]]-TOWER_DATA[[#This Row],[Bottom]], "")</f>
        <v/>
      </c>
      <c r="BJ159" s="117" t="str">
        <f>IFERROR(-(TOWER_DATA[[#This Row],[D, top]]-TOWER_DATA[[#This Row],[D, bottom]])/(TOWER_DATA[[#This Row],[Top]]-TOWER_DATA[[#This Row],[Bottom]]),"")</f>
        <v/>
      </c>
      <c r="BK159" s="117" t="str">
        <f t="shared" si="6"/>
        <v/>
      </c>
      <c r="BL159" s="117" t="str">
        <f>IFERROR((TOWER_DATA[[#This Row],[D, top]]+TOWER_DATA[[#This Row],[D, bottom]])/(2*TOWER_DATA[[#This Row],[t]]/1000),"")</f>
        <v/>
      </c>
      <c r="CA159" s="17"/>
    </row>
    <row r="160" spans="1:79" x14ac:dyDescent="0.25">
      <c r="A160" s="16"/>
      <c r="B160" s="16"/>
      <c r="AA160" s="17"/>
      <c r="BB160" s="16"/>
      <c r="BI160" s="117" t="str">
        <f>IFERROR(TOWER_DATA[[#This Row],[Top]]-TOWER_DATA[[#This Row],[Bottom]], "")</f>
        <v/>
      </c>
      <c r="BJ160" s="117" t="str">
        <f>IFERROR(-(TOWER_DATA[[#This Row],[D, top]]-TOWER_DATA[[#This Row],[D, bottom]])/(TOWER_DATA[[#This Row],[Top]]-TOWER_DATA[[#This Row],[Bottom]]),"")</f>
        <v/>
      </c>
      <c r="BK160" s="117" t="str">
        <f t="shared" si="6"/>
        <v/>
      </c>
      <c r="BL160" s="117" t="str">
        <f>IFERROR((TOWER_DATA[[#This Row],[D, top]]+TOWER_DATA[[#This Row],[D, bottom]])/(2*TOWER_DATA[[#This Row],[t]]/1000),"")</f>
        <v/>
      </c>
      <c r="CA160" s="17"/>
    </row>
    <row r="161" spans="1:79" x14ac:dyDescent="0.25">
      <c r="A161" s="16"/>
      <c r="B161" s="16"/>
      <c r="AA161" s="17"/>
      <c r="BB161" s="16"/>
      <c r="BI161" s="117" t="str">
        <f>IFERROR(TOWER_DATA[[#This Row],[Top]]-TOWER_DATA[[#This Row],[Bottom]], "")</f>
        <v/>
      </c>
      <c r="BJ161" s="117" t="str">
        <f>IFERROR(-(TOWER_DATA[[#This Row],[D, top]]-TOWER_DATA[[#This Row],[D, bottom]])/(TOWER_DATA[[#This Row],[Top]]-TOWER_DATA[[#This Row],[Bottom]]),"")</f>
        <v/>
      </c>
      <c r="BK161" s="117" t="str">
        <f t="shared" si="6"/>
        <v/>
      </c>
      <c r="BL161" s="117" t="str">
        <f>IFERROR((TOWER_DATA[[#This Row],[D, top]]+TOWER_DATA[[#This Row],[D, bottom]])/(2*TOWER_DATA[[#This Row],[t]]/1000),"")</f>
        <v/>
      </c>
      <c r="CA161" s="17"/>
    </row>
    <row r="162" spans="1:79" x14ac:dyDescent="0.25">
      <c r="A162" s="16"/>
      <c r="B162" s="16"/>
      <c r="AA162" s="17"/>
      <c r="BB162" s="16"/>
      <c r="BI162" s="117" t="str">
        <f>IFERROR(TOWER_DATA[[#This Row],[Top]]-TOWER_DATA[[#This Row],[Bottom]], "")</f>
        <v/>
      </c>
      <c r="BJ162" s="117" t="str">
        <f>IFERROR(-(TOWER_DATA[[#This Row],[D, top]]-TOWER_DATA[[#This Row],[D, bottom]])/(TOWER_DATA[[#This Row],[Top]]-TOWER_DATA[[#This Row],[Bottom]]),"")</f>
        <v/>
      </c>
      <c r="BK162" s="117" t="str">
        <f t="shared" si="6"/>
        <v/>
      </c>
      <c r="BL162" s="117" t="str">
        <f>IFERROR((TOWER_DATA[[#This Row],[D, top]]+TOWER_DATA[[#This Row],[D, bottom]])/(2*TOWER_DATA[[#This Row],[t]]/1000),"")</f>
        <v/>
      </c>
      <c r="CA162" s="17"/>
    </row>
    <row r="163" spans="1:79" x14ac:dyDescent="0.25">
      <c r="A163" s="16"/>
      <c r="B163" s="16"/>
      <c r="AA163" s="17"/>
      <c r="BB163" s="16"/>
      <c r="CA163" s="17"/>
    </row>
    <row r="164" spans="1:79" x14ac:dyDescent="0.25">
      <c r="A164" s="16"/>
      <c r="B164" s="16"/>
      <c r="AA164" s="17"/>
      <c r="BB164" s="16"/>
      <c r="CA164" s="17"/>
    </row>
    <row r="165" spans="1:79" ht="15.75" thickBot="1" x14ac:dyDescent="0.3">
      <c r="A165" s="16"/>
      <c r="B165" s="18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20"/>
      <c r="BB165" s="16"/>
      <c r="CA165" s="17"/>
    </row>
    <row r="166" spans="1:79" ht="15.75" thickBot="1" x14ac:dyDescent="0.3">
      <c r="A166" s="18"/>
      <c r="B166" s="18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20"/>
      <c r="AB166" s="19"/>
      <c r="AC166" s="19"/>
      <c r="AD166" s="19"/>
      <c r="AE166" s="19"/>
      <c r="AF166" s="19"/>
      <c r="AG166" s="19"/>
      <c r="AH166" s="19"/>
      <c r="AI166" s="19"/>
      <c r="AJ166" s="19"/>
      <c r="AK166" s="19"/>
      <c r="AL166" s="19"/>
      <c r="AM166" s="19"/>
      <c r="AN166" s="19"/>
      <c r="AO166" s="19"/>
      <c r="AP166" s="19"/>
      <c r="AQ166" s="19"/>
      <c r="AR166" s="19"/>
      <c r="AS166" s="19"/>
      <c r="AT166" s="19"/>
      <c r="AU166" s="19"/>
      <c r="AV166" s="19"/>
      <c r="AW166" s="19"/>
      <c r="AX166" s="19"/>
      <c r="AY166" s="19"/>
      <c r="AZ166" s="19"/>
      <c r="BA166" s="19"/>
      <c r="BB166" s="18"/>
      <c r="BC166" s="19"/>
      <c r="BD166" s="19"/>
      <c r="BE166" s="19"/>
      <c r="BF166" s="19"/>
      <c r="BG166" s="19"/>
      <c r="BH166" s="19"/>
      <c r="BI166" s="19"/>
      <c r="BJ166" s="19"/>
      <c r="BK166" s="19"/>
      <c r="BL166" s="19"/>
      <c r="BM166" s="19"/>
      <c r="BN166" s="19"/>
      <c r="BO166" s="19"/>
      <c r="BP166" s="19"/>
      <c r="BQ166" s="19"/>
      <c r="BR166" s="19"/>
      <c r="BS166" s="19"/>
      <c r="BT166" s="19"/>
      <c r="BU166" s="19"/>
      <c r="BV166" s="19"/>
      <c r="BW166" s="19"/>
      <c r="BX166" s="19"/>
      <c r="BY166" s="19"/>
      <c r="BZ166" s="19"/>
      <c r="CA166" s="20"/>
    </row>
  </sheetData>
  <dataConsolidate/>
  <phoneticPr fontId="13" type="noConversion"/>
  <conditionalFormatting sqref="B1960">
    <cfRule type="expression" dxfId="58" priority="10">
      <formula>B1959&lt;&gt;_xludf.INDIRECT("B" &amp; _xludf.ROW() + 200)</formula>
    </cfRule>
  </conditionalFormatting>
  <conditionalFormatting sqref="B149:L185 B50:H148 J138:L148 K134:K137">
    <cfRule type="expression" dxfId="57" priority="12">
      <formula>#REF!&lt;&gt;_xludf.INDIRECT(_xludf.ADDRESS(_xludf.ROW()-200,_xludf.COLUMN()))</formula>
    </cfRule>
  </conditionalFormatting>
  <conditionalFormatting sqref="H200">
    <cfRule type="expression" dxfId="56" priority="14">
      <formula>#REF!&lt;&gt;_xludf.INDIRECT(_xludf.ADDRESS(_xludf.ROW()-200,_xludf.COLUMN()))</formula>
    </cfRule>
  </conditionalFormatting>
  <conditionalFormatting sqref="D187">
    <cfRule type="expression" dxfId="55" priority="17">
      <formula>#REF!&lt;&gt;_xludf.INDIRECT(_xludf.ADDRESS(_xludf.ROW()-200,_xludf.COLUMN()))</formula>
    </cfRule>
  </conditionalFormatting>
  <conditionalFormatting sqref="G202:G208 H201:H208 G186:G200 H186:H199 I186:L208 F186:F208 B186:C208 D186:E186 D188:E208">
    <cfRule type="expression" dxfId="54" priority="18">
      <formula>B18&lt;&gt;_xludf.INDIRECT(_xludf.ADDRESS(_xludf.ROW()-200,_xludf.COLUMN()))</formula>
    </cfRule>
  </conditionalFormatting>
  <conditionalFormatting sqref="G201">
    <cfRule type="expression" dxfId="53" priority="27">
      <formula>H32&lt;&gt;_xludf.INDIRECT(_xludf.ADDRESS(_xludf.ROW()-200,_xludf.COLUMN()))</formula>
    </cfRule>
  </conditionalFormatting>
  <conditionalFormatting sqref="E187">
    <cfRule type="expression" dxfId="52" priority="28">
      <formula>D19&lt;&gt;_xludf.INDIRECT(_xludf.ADDRESS(_xludf.ROW()-200,_xludf.COLUMN()))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8</xdr:row>
                    <xdr:rowOff>161925</xdr:rowOff>
                  </from>
                  <to>
                    <xdr:col>4</xdr:col>
                    <xdr:colOff>333375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load_MP_DB">
                <anchor moveWithCells="1" sizeWithCells="1">
                  <from>
                    <xdr:col>1</xdr:col>
                    <xdr:colOff>28575</xdr:colOff>
                    <xdr:row>7</xdr:row>
                    <xdr:rowOff>28575</xdr:rowOff>
                  </from>
                  <to>
                    <xdr:col>1</xdr:col>
                    <xdr:colOff>800100</xdr:colOff>
                    <xdr:row>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save_MP_Data">
                <anchor moveWithCells="1" sizeWithCells="1">
                  <from>
                    <xdr:col>10</xdr:col>
                    <xdr:colOff>142875</xdr:colOff>
                    <xdr:row>11</xdr:row>
                    <xdr:rowOff>38100</xdr:rowOff>
                  </from>
                  <to>
                    <xdr:col>11</xdr:col>
                    <xdr:colOff>714375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delete_MP_Data">
                <anchor moveWithCells="1" sizeWithCells="1">
                  <from>
                    <xdr:col>6</xdr:col>
                    <xdr:colOff>542925</xdr:colOff>
                    <xdr:row>11</xdr:row>
                    <xdr:rowOff>47625</xdr:rowOff>
                  </from>
                  <to>
                    <xdr:col>8</xdr:col>
                    <xdr:colOff>238125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Dropdown_TP_Structures">
              <controlPr defaultSize="0" autoLine="0" autoPict="0" macro="[0]!load_TP_Data">
                <anchor moveWithCells="1">
                  <from>
                    <xdr:col>27</xdr:col>
                    <xdr:colOff>47625</xdr:colOff>
                    <xdr:row>8</xdr:row>
                    <xdr:rowOff>161925</xdr:rowOff>
                  </from>
                  <to>
                    <xdr:col>30</xdr:col>
                    <xdr:colOff>428625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load_TP_DB">
                <anchor moveWithCells="1" sizeWithCells="1">
                  <from>
                    <xdr:col>27</xdr:col>
                    <xdr:colOff>28575</xdr:colOff>
                    <xdr:row>7</xdr:row>
                    <xdr:rowOff>28575</xdr:rowOff>
                  </from>
                  <to>
                    <xdr:col>27</xdr:col>
                    <xdr:colOff>800100</xdr:colOff>
                    <xdr:row>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0" name="Button 13">
              <controlPr defaultSize="0" print="0" autoFill="0" autoPict="0" macro="[0]!save_TP_Data">
                <anchor moveWithCells="1" sizeWithCells="1">
                  <from>
                    <xdr:col>35</xdr:col>
                    <xdr:colOff>561975</xdr:colOff>
                    <xdr:row>11</xdr:row>
                    <xdr:rowOff>57150</xdr:rowOff>
                  </from>
                  <to>
                    <xdr:col>37</xdr:col>
                    <xdr:colOff>685800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1" name="Button 14">
              <controlPr defaultSize="0" print="0" autoFill="0" autoPict="0" macro="[0]!delete_TP_Data">
                <anchor moveWithCells="1" sizeWithCells="1">
                  <from>
                    <xdr:col>33</xdr:col>
                    <xdr:colOff>0</xdr:colOff>
                    <xdr:row>11</xdr:row>
                    <xdr:rowOff>66675</xdr:rowOff>
                  </from>
                  <to>
                    <xdr:col>35</xdr:col>
                    <xdr:colOff>276225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2" name="Dropdown_TOWER_Structures">
              <controlPr defaultSize="0" autoLine="0" autoPict="0" macro="[0]!load_TOWER_Data">
                <anchor moveWithCells="1">
                  <from>
                    <xdr:col>53</xdr:col>
                    <xdr:colOff>47625</xdr:colOff>
                    <xdr:row>8</xdr:row>
                    <xdr:rowOff>161925</xdr:rowOff>
                  </from>
                  <to>
                    <xdr:col>56</xdr:col>
                    <xdr:colOff>428625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3" name="Button 16">
              <controlPr defaultSize="0" print="0" autoFill="0" autoPict="0" macro="[0]!load_TOWER_META">
                <anchor moveWithCells="1" sizeWithCells="1">
                  <from>
                    <xdr:col>53</xdr:col>
                    <xdr:colOff>28575</xdr:colOff>
                    <xdr:row>7</xdr:row>
                    <xdr:rowOff>28575</xdr:rowOff>
                  </from>
                  <to>
                    <xdr:col>53</xdr:col>
                    <xdr:colOff>800100</xdr:colOff>
                    <xdr:row>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4" name="Button 17">
              <controlPr defaultSize="0" print="0" autoFill="0" autoPict="0" macro="[0]!save_TOWER_Data">
                <anchor moveWithCells="1" sizeWithCells="1">
                  <from>
                    <xdr:col>61</xdr:col>
                    <xdr:colOff>590550</xdr:colOff>
                    <xdr:row>11</xdr:row>
                    <xdr:rowOff>76200</xdr:rowOff>
                  </from>
                  <to>
                    <xdr:col>63</xdr:col>
                    <xdr:colOff>704850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5" name="Button 18">
              <controlPr defaultSize="0" print="0" autoFill="0" autoPict="0" macro="[0]!delete_TOWER_Data">
                <anchor moveWithCells="1" sizeWithCells="1">
                  <from>
                    <xdr:col>59</xdr:col>
                    <xdr:colOff>28575</xdr:colOff>
                    <xdr:row>11</xdr:row>
                    <xdr:rowOff>85725</xdr:rowOff>
                  </from>
                  <to>
                    <xdr:col>61</xdr:col>
                    <xdr:colOff>304800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6" name="Button 19">
              <controlPr defaultSize="0" print="0" autoFill="0" autoPict="0" macro="[0]!build_structure">
                <anchor moveWithCells="1" sizeWithCells="1">
                  <from>
                    <xdr:col>1</xdr:col>
                    <xdr:colOff>9525</xdr:colOff>
                    <xdr:row>0</xdr:row>
                    <xdr:rowOff>123825</xdr:rowOff>
                  </from>
                  <to>
                    <xdr:col>4</xdr:col>
                    <xdr:colOff>133350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7" name="Button 20">
              <controlPr defaultSize="0" print="0" autoFill="0" autoPict="0" macro="[0]!save_MP_Data">
                <anchor moveWithCells="1" sizeWithCells="1">
                  <from>
                    <xdr:col>8</xdr:col>
                    <xdr:colOff>276225</xdr:colOff>
                    <xdr:row>11</xdr:row>
                    <xdr:rowOff>38100</xdr:rowOff>
                  </from>
                  <to>
                    <xdr:col>10</xdr:col>
                    <xdr:colOff>95250</xdr:colOff>
                    <xdr:row>15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8"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3EC92-8BA8-4E04-831D-C40D6A1ADBE8}">
  <sheetPr codeName="Tabelle3"/>
  <dimension ref="A2:X47"/>
  <sheetViews>
    <sheetView zoomScale="70" zoomScaleNormal="70" workbookViewId="0">
      <selection activeCell="F62" sqref="F62"/>
    </sheetView>
  </sheetViews>
  <sheetFormatPr baseColWidth="10" defaultRowHeight="15" x14ac:dyDescent="0.25"/>
  <cols>
    <col min="2" max="2" width="18.140625" customWidth="1"/>
    <col min="3" max="3" width="12" customWidth="1"/>
    <col min="7" max="7" width="21.42578125" customWidth="1"/>
    <col min="8" max="9" width="17.28515625" customWidth="1"/>
    <col min="11" max="11" width="14.42578125" customWidth="1"/>
    <col min="12" max="12" width="22.28515625" customWidth="1"/>
    <col min="13" max="13" width="22" customWidth="1"/>
    <col min="14" max="14" width="25" customWidth="1"/>
    <col min="16" max="16" width="17.5703125" customWidth="1"/>
    <col min="17" max="17" width="11.42578125" customWidth="1"/>
    <col min="18" max="18" width="16.42578125" customWidth="1"/>
    <col min="19" max="19" width="11.42578125" customWidth="1"/>
    <col min="22" max="23" width="18.140625" customWidth="1"/>
  </cols>
  <sheetData>
    <row r="2" spans="1:24" ht="15.75" thickBot="1" x14ac:dyDescent="0.3"/>
    <row r="3" spans="1:24" ht="15.75" customHeight="1" thickBot="1" x14ac:dyDescent="0.3">
      <c r="B3" s="12" t="s">
        <v>64</v>
      </c>
      <c r="C3" s="104">
        <f>[2]Geometrie!D36</f>
        <v>91.787000000000006</v>
      </c>
      <c r="D3" s="105"/>
      <c r="E3" s="106"/>
      <c r="G3" s="63" t="s">
        <v>65</v>
      </c>
      <c r="H3" s="64" t="s">
        <v>66</v>
      </c>
      <c r="I3" s="65" t="s">
        <v>67</v>
      </c>
      <c r="K3" s="102" t="s">
        <v>68</v>
      </c>
      <c r="L3" s="107"/>
      <c r="M3" s="107"/>
      <c r="N3" s="103"/>
      <c r="P3" s="63" t="s">
        <v>82</v>
      </c>
      <c r="Q3" s="64"/>
      <c r="R3" s="65" t="s">
        <v>83</v>
      </c>
    </row>
    <row r="4" spans="1:24" ht="15.75" customHeight="1" thickBot="1" x14ac:dyDescent="0.3">
      <c r="G4" s="102" t="s">
        <v>69</v>
      </c>
      <c r="H4" s="103"/>
      <c r="I4" s="10">
        <f>[2]TurbineData!H36/1000</f>
        <v>0</v>
      </c>
      <c r="K4" s="12" t="s">
        <v>70</v>
      </c>
      <c r="L4" s="12" t="s">
        <v>71</v>
      </c>
      <c r="M4" s="67" t="s">
        <v>72</v>
      </c>
      <c r="N4" s="67" t="s">
        <v>73</v>
      </c>
      <c r="P4" s="102"/>
      <c r="Q4" s="103"/>
      <c r="R4" s="10"/>
    </row>
    <row r="5" spans="1:24" ht="15.75" thickBot="1" x14ac:dyDescent="0.3">
      <c r="B5" s="74" t="s">
        <v>74</v>
      </c>
      <c r="C5" s="72"/>
      <c r="D5" s="73"/>
      <c r="E5" s="11">
        <v>0.1</v>
      </c>
      <c r="G5" s="63" t="s">
        <v>75</v>
      </c>
      <c r="H5" s="66"/>
      <c r="I5" s="11">
        <f>[2]TurbineData!I36</f>
        <v>0</v>
      </c>
      <c r="K5" s="11" t="s">
        <v>76</v>
      </c>
      <c r="L5" s="11">
        <v>210000000</v>
      </c>
      <c r="M5" s="11">
        <v>7850</v>
      </c>
      <c r="N5" s="11">
        <v>81000000000</v>
      </c>
      <c r="P5" s="63"/>
      <c r="Q5" s="66"/>
      <c r="R5" s="11"/>
    </row>
    <row r="6" spans="1:24" ht="15.75" thickBot="1" x14ac:dyDescent="0.3">
      <c r="B6" s="68" t="s">
        <v>77</v>
      </c>
      <c r="C6" s="69" t="s">
        <v>78</v>
      </c>
      <c r="D6" s="70"/>
      <c r="E6" s="11">
        <v>0.1</v>
      </c>
      <c r="G6" s="63" t="s">
        <v>79</v>
      </c>
      <c r="H6" s="66"/>
      <c r="I6" s="11">
        <f>[2]TurbineData!J36</f>
        <v>0</v>
      </c>
      <c r="K6" s="11" t="s">
        <v>80</v>
      </c>
      <c r="L6" s="11">
        <v>55000000</v>
      </c>
      <c r="M6" s="11">
        <v>2440</v>
      </c>
      <c r="N6" s="11">
        <v>81000000000</v>
      </c>
      <c r="P6" s="63"/>
      <c r="Q6" s="66"/>
      <c r="R6" s="11"/>
    </row>
    <row r="7" spans="1:24" ht="15.75" thickBot="1" x14ac:dyDescent="0.3">
      <c r="B7" s="71" t="str">
        <f>CONCATENATE("Seabed [m "&amp;$C$20&amp;"]")</f>
        <v>Seabed [m Top]</v>
      </c>
      <c r="C7" s="72"/>
      <c r="D7" s="73"/>
      <c r="E7" s="11">
        <v>-23.1</v>
      </c>
      <c r="K7" s="11" t="s">
        <v>81</v>
      </c>
      <c r="L7" s="11">
        <v>210000000</v>
      </c>
      <c r="M7" s="11">
        <v>7850</v>
      </c>
      <c r="N7" s="11">
        <v>81000000000</v>
      </c>
    </row>
    <row r="8" spans="1:24" x14ac:dyDescent="0.25">
      <c r="K8" s="75" t="s">
        <v>84</v>
      </c>
    </row>
    <row r="9" spans="1:24" ht="15.75" thickBot="1" x14ac:dyDescent="0.3"/>
    <row r="10" spans="1:24" x14ac:dyDescent="0.25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5"/>
    </row>
    <row r="11" spans="1:24" x14ac:dyDescent="0.25">
      <c r="A11" s="16"/>
      <c r="X11" s="17"/>
    </row>
    <row r="12" spans="1:24" x14ac:dyDescent="0.25">
      <c r="A12" s="16"/>
      <c r="F12" t="s">
        <v>85</v>
      </c>
      <c r="X12" s="17"/>
    </row>
    <row r="13" spans="1:24" x14ac:dyDescent="0.25">
      <c r="A13" s="16"/>
      <c r="X13" s="17"/>
    </row>
    <row r="14" spans="1:24" ht="15.75" thickBot="1" x14ac:dyDescent="0.3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20"/>
    </row>
    <row r="15" spans="1:24" x14ac:dyDescent="0.25">
      <c r="A15" s="13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5"/>
    </row>
    <row r="16" spans="1:24" ht="15.75" x14ac:dyDescent="0.25">
      <c r="A16" s="16"/>
      <c r="B16" s="62" t="s">
        <v>86</v>
      </c>
      <c r="X16" s="17"/>
    </row>
    <row r="17" spans="1:24" x14ac:dyDescent="0.25">
      <c r="A17" s="16"/>
      <c r="X17" s="17"/>
    </row>
    <row r="18" spans="1:24" x14ac:dyDescent="0.25">
      <c r="A18" s="16"/>
      <c r="B18" t="s">
        <v>17</v>
      </c>
      <c r="M18" t="s">
        <v>19</v>
      </c>
      <c r="X18" s="17"/>
    </row>
    <row r="19" spans="1:24" x14ac:dyDescent="0.25">
      <c r="A19" s="16"/>
      <c r="X19" s="17"/>
    </row>
    <row r="20" spans="1:24" x14ac:dyDescent="0.25">
      <c r="A20" s="16"/>
      <c r="B20" s="59" t="s">
        <v>1</v>
      </c>
      <c r="C20" s="1" t="s">
        <v>2</v>
      </c>
      <c r="D20" s="1" t="s">
        <v>3</v>
      </c>
      <c r="E20" s="1" t="s">
        <v>4</v>
      </c>
      <c r="F20" s="1" t="s">
        <v>5</v>
      </c>
      <c r="G20" s="1" t="s">
        <v>6</v>
      </c>
      <c r="H20" s="1" t="s">
        <v>9</v>
      </c>
      <c r="I20" s="1" t="s">
        <v>10</v>
      </c>
      <c r="J20" s="1" t="s">
        <v>11</v>
      </c>
      <c r="K20" s="1" t="s">
        <v>12</v>
      </c>
      <c r="M20" s="9" t="s">
        <v>33</v>
      </c>
      <c r="N20" s="9" t="s">
        <v>20</v>
      </c>
      <c r="O20" s="9" t="s">
        <v>21</v>
      </c>
      <c r="P20" s="9" t="s">
        <v>18</v>
      </c>
      <c r="Q20" s="9" t="s">
        <v>30</v>
      </c>
      <c r="R20" s="9" t="s">
        <v>31</v>
      </c>
      <c r="S20" s="9" t="s">
        <v>32</v>
      </c>
      <c r="T20" s="9" t="s">
        <v>22</v>
      </c>
      <c r="U20" s="9" t="s">
        <v>23</v>
      </c>
      <c r="V20" s="9" t="s">
        <v>24</v>
      </c>
      <c r="W20" s="9" t="s">
        <v>27</v>
      </c>
      <c r="X20" s="17"/>
    </row>
    <row r="21" spans="1:24" x14ac:dyDescent="0.25">
      <c r="A21" s="16"/>
      <c r="B21" s="60"/>
      <c r="C21" s="1" t="str">
        <f>"[m"&amp;[1]Control!$F$7&amp;"]"</f>
        <v>[mLAT]</v>
      </c>
      <c r="D21" s="1" t="str">
        <f>"[m"&amp;[1]Control!$F$7&amp;"]"</f>
        <v>[mLAT]</v>
      </c>
      <c r="E21" s="1" t="s">
        <v>7</v>
      </c>
      <c r="F21" s="1" t="s">
        <v>7</v>
      </c>
      <c r="G21" s="1" t="s">
        <v>8</v>
      </c>
      <c r="H21" s="1" t="s">
        <v>7</v>
      </c>
      <c r="I21" s="1" t="s">
        <v>13</v>
      </c>
      <c r="J21" s="1" t="s">
        <v>14</v>
      </c>
      <c r="K21" s="1" t="s">
        <v>15</v>
      </c>
      <c r="M21" s="9"/>
      <c r="N21" s="9" t="s">
        <v>25</v>
      </c>
      <c r="O21" s="9" t="s">
        <v>25</v>
      </c>
      <c r="P21" s="9" t="s">
        <v>26</v>
      </c>
      <c r="Q21" s="9" t="s">
        <v>7</v>
      </c>
      <c r="R21" s="9" t="s">
        <v>63</v>
      </c>
      <c r="S21" s="9" t="s">
        <v>7</v>
      </c>
      <c r="T21" s="9" t="s">
        <v>15</v>
      </c>
      <c r="U21" s="9" t="s">
        <v>15</v>
      </c>
      <c r="V21" s="9" t="s">
        <v>8</v>
      </c>
      <c r="W21" s="9"/>
      <c r="X21" s="17"/>
    </row>
    <row r="22" spans="1:24" x14ac:dyDescent="0.25">
      <c r="A22" s="16"/>
      <c r="B22" s="2">
        <v>1</v>
      </c>
      <c r="C22" s="3">
        <v>5.8</v>
      </c>
      <c r="D22" s="3">
        <v>2.6</v>
      </c>
      <c r="E22" s="3">
        <v>8</v>
      </c>
      <c r="F22" s="3">
        <v>8</v>
      </c>
      <c r="G22" s="4">
        <v>115</v>
      </c>
      <c r="H22" s="6">
        <f t="shared" ref="H22:H34" si="0">C22-D22</f>
        <v>3.1999999999999997</v>
      </c>
      <c r="I22" s="7">
        <f>ATAN((F22-E22)/(2*H22))/PI()*180</f>
        <v>0</v>
      </c>
      <c r="J22" s="61">
        <f>IF(I22=0,PI()/4*(E22^2-(E22-(2*G22/1000))^2)*H22*7850/1000,(H22*PI()/12)*((F22^2+F22*E22+E22^2)-((F22-2*(G22/1000))^2+(F22-(2*G22/1000))*(E22-(2*G22/1000))+(E22-(2*G22/1000))^2))*7850/1000)</f>
        <v>71.559788082887295</v>
      </c>
      <c r="K22" s="61">
        <f>MAX(E22:F22)/G22*1000</f>
        <v>69.565217391304344</v>
      </c>
      <c r="M22" s="3"/>
      <c r="N22" s="3">
        <v>20</v>
      </c>
      <c r="O22" s="3">
        <v>6.5</v>
      </c>
      <c r="P22" s="3"/>
      <c r="Q22" s="3"/>
      <c r="R22" s="3"/>
      <c r="S22" s="3"/>
      <c r="T22" s="4">
        <v>0.9</v>
      </c>
      <c r="U22" s="3">
        <v>2</v>
      </c>
      <c r="V22" s="3"/>
      <c r="W22" s="3"/>
      <c r="X22" s="17"/>
    </row>
    <row r="23" spans="1:24" x14ac:dyDescent="0.25">
      <c r="A23" s="16"/>
      <c r="B23" s="2">
        <v>2</v>
      </c>
      <c r="C23" s="5">
        <f>D22</f>
        <v>2.6</v>
      </c>
      <c r="D23" s="3">
        <v>-0.6</v>
      </c>
      <c r="E23" s="3">
        <v>8</v>
      </c>
      <c r="F23" s="3">
        <v>8</v>
      </c>
      <c r="G23" s="4">
        <v>120</v>
      </c>
      <c r="H23" s="6">
        <f t="shared" si="0"/>
        <v>3.2</v>
      </c>
      <c r="I23" s="7">
        <f t="shared" ref="I23:I34" si="1">ATAN((F23-E23)/(2*H23))/PI()*180</f>
        <v>0</v>
      </c>
      <c r="J23" s="61">
        <f t="shared" ref="J23:J34" si="2">IF(I23=0,PI()/4*(E23^2-(E23-(2*G23/1000))^2)*H23*7850/1000,(H23*PI()/12)*((F23^2+F23*E23+E23^2)-((F23-2*(G23/1000))^2+(F23-(2*G23/1000))*(E23-(2*G23/1000))+(E23-(2*G23/1000))^2))*7850/1000)</f>
        <v>74.623733132450909</v>
      </c>
      <c r="K23" s="61">
        <f t="shared" ref="K23:K34" si="3">MAX(E23:F23)/G23*1000</f>
        <v>66.666666666666671</v>
      </c>
      <c r="M23" s="3"/>
      <c r="N23" s="3">
        <f>IF(ISBLANK(O23),"",O22)</f>
        <v>6.5</v>
      </c>
      <c r="O23" s="3">
        <v>-22</v>
      </c>
      <c r="P23" s="3"/>
      <c r="Q23" s="3"/>
      <c r="R23" s="3"/>
      <c r="S23" s="3"/>
      <c r="T23" s="4">
        <v>0.9</v>
      </c>
      <c r="U23" s="3">
        <v>2</v>
      </c>
      <c r="V23" s="3"/>
      <c r="W23" s="3"/>
      <c r="X23" s="17"/>
    </row>
    <row r="24" spans="1:24" x14ac:dyDescent="0.25">
      <c r="A24" s="16"/>
      <c r="B24" s="2">
        <v>3</v>
      </c>
      <c r="C24" s="5">
        <f t="shared" ref="C24:C33" si="4">D23</f>
        <v>-0.6</v>
      </c>
      <c r="D24" s="3">
        <v>-3.8</v>
      </c>
      <c r="E24" s="3">
        <v>8</v>
      </c>
      <c r="F24" s="3">
        <v>8</v>
      </c>
      <c r="G24" s="4">
        <v>130</v>
      </c>
      <c r="H24" s="6">
        <f t="shared" si="0"/>
        <v>3.1999999999999997</v>
      </c>
      <c r="I24" s="7">
        <f t="shared" si="1"/>
        <v>0</v>
      </c>
      <c r="J24" s="61">
        <f t="shared" si="2"/>
        <v>80.739785710459415</v>
      </c>
      <c r="K24" s="61">
        <f t="shared" si="3"/>
        <v>61.53846153846154</v>
      </c>
      <c r="M24" s="3" t="s">
        <v>28</v>
      </c>
      <c r="N24" s="3">
        <v>139</v>
      </c>
      <c r="O24" s="3">
        <v>4.5999999999999996</v>
      </c>
      <c r="P24" s="3"/>
      <c r="Q24" s="3"/>
      <c r="R24" s="3"/>
      <c r="S24" s="3"/>
      <c r="T24" s="4"/>
      <c r="U24" s="3"/>
      <c r="V24" s="3">
        <v>0</v>
      </c>
      <c r="W24" s="3"/>
      <c r="X24" s="17"/>
    </row>
    <row r="25" spans="1:24" x14ac:dyDescent="0.25">
      <c r="A25" s="16"/>
      <c r="B25" s="2">
        <v>4</v>
      </c>
      <c r="C25" s="5">
        <f t="shared" si="4"/>
        <v>-3.8</v>
      </c>
      <c r="D25" s="3">
        <v>-7.3</v>
      </c>
      <c r="E25" s="3">
        <v>8</v>
      </c>
      <c r="F25" s="3">
        <v>8.4377999999999993</v>
      </c>
      <c r="G25" s="4">
        <v>130</v>
      </c>
      <c r="H25" s="6">
        <f t="shared" si="0"/>
        <v>3.5</v>
      </c>
      <c r="I25" s="7">
        <f t="shared" si="1"/>
        <v>3.5787803472726449</v>
      </c>
      <c r="J25" s="61">
        <f t="shared" si="2"/>
        <v>90.765413922199599</v>
      </c>
      <c r="K25" s="61">
        <f t="shared" si="3"/>
        <v>64.906153846153842</v>
      </c>
      <c r="M25" s="3" t="s">
        <v>28</v>
      </c>
      <c r="N25" s="3">
        <f>IF(ISBLANK(O25),"",O24)</f>
        <v>4.5999999999999996</v>
      </c>
      <c r="O25" s="3">
        <v>-9.6</v>
      </c>
      <c r="P25" s="3"/>
      <c r="Q25" s="3"/>
      <c r="R25" s="3"/>
      <c r="S25" s="3"/>
      <c r="T25" s="4"/>
      <c r="U25" s="3"/>
      <c r="V25" s="3">
        <v>250</v>
      </c>
      <c r="W25" s="3"/>
      <c r="X25" s="17"/>
    </row>
    <row r="26" spans="1:24" x14ac:dyDescent="0.25">
      <c r="A26" s="16"/>
      <c r="B26" s="2">
        <v>5</v>
      </c>
      <c r="C26" s="5">
        <f>D25</f>
        <v>-7.3</v>
      </c>
      <c r="D26" s="3">
        <v>-10.8</v>
      </c>
      <c r="E26" s="3">
        <v>8.4377999999999993</v>
      </c>
      <c r="F26" s="3">
        <v>8.8756000000000004</v>
      </c>
      <c r="G26" s="4">
        <v>110</v>
      </c>
      <c r="H26" s="6">
        <f t="shared" si="0"/>
        <v>3.5000000000000009</v>
      </c>
      <c r="I26" s="7">
        <f t="shared" si="1"/>
        <v>3.5787803472726587</v>
      </c>
      <c r="J26" s="61">
        <f t="shared" si="2"/>
        <v>81.148167858304589</v>
      </c>
      <c r="K26" s="61">
        <f t="shared" si="3"/>
        <v>80.687272727272727</v>
      </c>
      <c r="M26" s="3" t="s">
        <v>28</v>
      </c>
      <c r="N26" s="3">
        <f t="shared" ref="N26" si="5">IF(ISBLANK(O26),"",O25)</f>
        <v>-9.6</v>
      </c>
      <c r="O26" s="3">
        <v>-22</v>
      </c>
      <c r="P26" s="3"/>
      <c r="Q26" s="3"/>
      <c r="R26" s="3"/>
      <c r="S26" s="3"/>
      <c r="T26" s="4"/>
      <c r="U26" s="3"/>
      <c r="V26" s="3">
        <v>100</v>
      </c>
      <c r="W26" s="3"/>
      <c r="X26" s="17"/>
    </row>
    <row r="27" spans="1:24" x14ac:dyDescent="0.25">
      <c r="A27" s="16"/>
      <c r="B27" s="2">
        <v>6</v>
      </c>
      <c r="C27" s="5">
        <f t="shared" si="4"/>
        <v>-10.8</v>
      </c>
      <c r="D27" s="3">
        <v>-14.3</v>
      </c>
      <c r="E27" s="3">
        <v>8.8756000000000004</v>
      </c>
      <c r="F27" s="3">
        <v>9.3133999999999997</v>
      </c>
      <c r="G27" s="4">
        <v>124</v>
      </c>
      <c r="H27" s="6">
        <f t="shared" si="0"/>
        <v>3.5</v>
      </c>
      <c r="I27" s="7">
        <f t="shared" si="1"/>
        <v>3.5787803472726449</v>
      </c>
      <c r="J27" s="61">
        <f t="shared" si="2"/>
        <v>96.012086889295531</v>
      </c>
      <c r="K27" s="61">
        <f t="shared" si="3"/>
        <v>75.108064516129033</v>
      </c>
      <c r="M27" s="3" t="s">
        <v>29</v>
      </c>
      <c r="N27" s="3">
        <v>139.20000000000002</v>
      </c>
      <c r="O27" s="3">
        <v>139.20000000000002</v>
      </c>
      <c r="P27" s="3">
        <v>2543</v>
      </c>
      <c r="Q27" s="3"/>
      <c r="R27" s="3"/>
      <c r="S27" s="3"/>
      <c r="T27" s="4"/>
      <c r="U27" s="3"/>
      <c r="V27" s="3"/>
      <c r="W27" s="3"/>
      <c r="X27" s="17"/>
    </row>
    <row r="28" spans="1:24" x14ac:dyDescent="0.25">
      <c r="A28" s="16"/>
      <c r="B28" s="2">
        <v>7</v>
      </c>
      <c r="C28" s="5">
        <f t="shared" si="4"/>
        <v>-14.3</v>
      </c>
      <c r="D28" s="3">
        <v>-17.8</v>
      </c>
      <c r="E28" s="3">
        <v>9.3133999999999997</v>
      </c>
      <c r="F28" s="3">
        <v>9.7510999999999992</v>
      </c>
      <c r="G28" s="4">
        <v>109</v>
      </c>
      <c r="H28" s="6">
        <f t="shared" si="0"/>
        <v>3.5</v>
      </c>
      <c r="I28" s="7">
        <f t="shared" si="1"/>
        <v>3.5779650246316992</v>
      </c>
      <c r="J28" s="61">
        <f t="shared" si="2"/>
        <v>88.657357951036289</v>
      </c>
      <c r="K28" s="61">
        <f t="shared" si="3"/>
        <v>89.459633027522926</v>
      </c>
      <c r="M28" s="3" t="s">
        <v>59</v>
      </c>
      <c r="N28" s="3">
        <v>16.5</v>
      </c>
      <c r="O28" s="3">
        <v>9.6</v>
      </c>
      <c r="P28" s="3">
        <v>1000</v>
      </c>
      <c r="Q28" s="3">
        <v>0.153</v>
      </c>
      <c r="R28" s="3">
        <v>100</v>
      </c>
      <c r="S28" s="3">
        <v>4.3</v>
      </c>
      <c r="T28" s="4"/>
      <c r="U28" s="3"/>
      <c r="V28" s="3"/>
      <c r="W28" s="3"/>
      <c r="X28" s="17"/>
    </row>
    <row r="29" spans="1:24" x14ac:dyDescent="0.25">
      <c r="A29" s="16"/>
      <c r="B29" s="2">
        <v>8</v>
      </c>
      <c r="C29" s="5">
        <f t="shared" si="4"/>
        <v>-17.8</v>
      </c>
      <c r="D29" s="3">
        <v>-21.3</v>
      </c>
      <c r="E29" s="3">
        <v>9.7510999999999992</v>
      </c>
      <c r="F29" s="3">
        <v>10.1889</v>
      </c>
      <c r="G29" s="4">
        <v>98</v>
      </c>
      <c r="H29" s="6">
        <f t="shared" si="0"/>
        <v>3.5</v>
      </c>
      <c r="I29" s="7">
        <f t="shared" si="1"/>
        <v>3.5787803472726605</v>
      </c>
      <c r="J29" s="61">
        <f t="shared" si="2"/>
        <v>83.506214395905687</v>
      </c>
      <c r="K29" s="61">
        <f t="shared" si="3"/>
        <v>103.96836734693878</v>
      </c>
      <c r="M29" s="3"/>
      <c r="N29" s="3"/>
      <c r="O29" s="3"/>
      <c r="P29" s="3"/>
      <c r="Q29" s="3"/>
      <c r="R29" s="3"/>
      <c r="S29" s="3"/>
      <c r="T29" s="4"/>
      <c r="U29" s="3"/>
      <c r="V29" s="3"/>
      <c r="W29" s="3"/>
      <c r="X29" s="17"/>
    </row>
    <row r="30" spans="1:24" x14ac:dyDescent="0.25">
      <c r="A30" s="16"/>
      <c r="B30" s="2">
        <v>9</v>
      </c>
      <c r="C30" s="5">
        <f t="shared" si="4"/>
        <v>-21.3</v>
      </c>
      <c r="D30" s="3">
        <v>-24.8</v>
      </c>
      <c r="E30" s="3">
        <v>10.1889</v>
      </c>
      <c r="F30" s="3">
        <v>10.6267</v>
      </c>
      <c r="G30" s="4">
        <v>98</v>
      </c>
      <c r="H30" s="6">
        <f t="shared" si="0"/>
        <v>3.5</v>
      </c>
      <c r="I30" s="7">
        <f t="shared" si="1"/>
        <v>3.5787803472726449</v>
      </c>
      <c r="J30" s="61">
        <f t="shared" si="2"/>
        <v>87.209518757992953</v>
      </c>
      <c r="K30" s="61">
        <f t="shared" si="3"/>
        <v>108.43571428571428</v>
      </c>
      <c r="M30" s="3"/>
      <c r="N30" s="3"/>
      <c r="O30" s="3"/>
      <c r="P30" s="3"/>
      <c r="Q30" s="3"/>
      <c r="R30" s="3"/>
      <c r="S30" s="3"/>
      <c r="T30" s="4"/>
      <c r="U30" s="3"/>
      <c r="V30" s="3"/>
      <c r="W30" s="3"/>
      <c r="X30" s="17"/>
    </row>
    <row r="31" spans="1:24" x14ac:dyDescent="0.25">
      <c r="A31" s="16"/>
      <c r="B31" s="2">
        <v>10</v>
      </c>
      <c r="C31" s="5">
        <f t="shared" si="4"/>
        <v>-24.8</v>
      </c>
      <c r="D31" s="3">
        <v>-28.3</v>
      </c>
      <c r="E31" s="3">
        <v>10.6267</v>
      </c>
      <c r="F31" s="3">
        <v>11.064500000000001</v>
      </c>
      <c r="G31" s="4">
        <v>98</v>
      </c>
      <c r="H31" s="6">
        <f t="shared" si="0"/>
        <v>3.5</v>
      </c>
      <c r="I31" s="7">
        <f t="shared" si="1"/>
        <v>3.5787803472726605</v>
      </c>
      <c r="J31" s="61">
        <f t="shared" si="2"/>
        <v>90.912823120080617</v>
      </c>
      <c r="K31" s="61">
        <f t="shared" si="3"/>
        <v>112.9030612244898</v>
      </c>
      <c r="M31" s="3"/>
      <c r="N31" s="3"/>
      <c r="O31" s="3"/>
      <c r="P31" s="3"/>
      <c r="Q31" s="3"/>
      <c r="R31" s="3"/>
      <c r="S31" s="3"/>
      <c r="T31" s="4"/>
      <c r="U31" s="3"/>
      <c r="V31" s="3"/>
      <c r="W31" s="3"/>
      <c r="X31" s="17"/>
    </row>
    <row r="32" spans="1:24" x14ac:dyDescent="0.25">
      <c r="A32" s="16"/>
      <c r="B32" s="2">
        <v>11</v>
      </c>
      <c r="C32" s="5">
        <f t="shared" si="4"/>
        <v>-28.3</v>
      </c>
      <c r="D32" s="3">
        <v>-31.8</v>
      </c>
      <c r="E32" s="3">
        <v>11.064500000000001</v>
      </c>
      <c r="F32" s="3">
        <v>11.5</v>
      </c>
      <c r="G32" s="4">
        <v>98</v>
      </c>
      <c r="H32" s="6">
        <f t="shared" si="0"/>
        <v>3.5</v>
      </c>
      <c r="I32" s="7">
        <f t="shared" si="1"/>
        <v>3.5600275600241904</v>
      </c>
      <c r="J32" s="61">
        <f t="shared" si="2"/>
        <v>94.606399752574163</v>
      </c>
      <c r="K32" s="61">
        <f t="shared" si="3"/>
        <v>117.34693877551021</v>
      </c>
      <c r="X32" s="17"/>
    </row>
    <row r="33" spans="1:24" x14ac:dyDescent="0.25">
      <c r="A33" s="16"/>
      <c r="B33" s="2">
        <v>12</v>
      </c>
      <c r="C33" s="5">
        <f t="shared" si="4"/>
        <v>-31.8</v>
      </c>
      <c r="D33" s="3">
        <v>-35.299999999999997</v>
      </c>
      <c r="E33" s="3">
        <v>11.5</v>
      </c>
      <c r="F33" s="3">
        <v>11.5</v>
      </c>
      <c r="G33" s="4">
        <v>98</v>
      </c>
      <c r="H33" s="6">
        <f t="shared" si="0"/>
        <v>3.4999999999999964</v>
      </c>
      <c r="I33" s="7">
        <f t="shared" si="1"/>
        <v>0</v>
      </c>
      <c r="J33" s="61">
        <f t="shared" si="2"/>
        <v>96.448324204023137</v>
      </c>
      <c r="K33" s="61">
        <f t="shared" si="3"/>
        <v>117.34693877551021</v>
      </c>
      <c r="X33" s="17"/>
    </row>
    <row r="34" spans="1:24" x14ac:dyDescent="0.25">
      <c r="A34" s="16"/>
      <c r="B34" s="2">
        <v>13</v>
      </c>
      <c r="C34" s="5">
        <f>D33</f>
        <v>-35.299999999999997</v>
      </c>
      <c r="D34" s="3">
        <v>-38.6</v>
      </c>
      <c r="E34" s="3">
        <v>11.5</v>
      </c>
      <c r="F34" s="3">
        <v>11.5</v>
      </c>
      <c r="G34" s="4">
        <v>98</v>
      </c>
      <c r="H34" s="6">
        <f t="shared" si="0"/>
        <v>3.3000000000000043</v>
      </c>
      <c r="I34" s="7">
        <f t="shared" si="1"/>
        <v>0</v>
      </c>
      <c r="J34" s="61">
        <f t="shared" si="2"/>
        <v>90.936991392364888</v>
      </c>
      <c r="K34" s="61">
        <f t="shared" si="3"/>
        <v>117.34693877551021</v>
      </c>
      <c r="X34" s="17"/>
    </row>
    <row r="35" spans="1:24" x14ac:dyDescent="0.25">
      <c r="A35" s="16"/>
      <c r="B35" s="2">
        <v>14</v>
      </c>
      <c r="C35" s="5">
        <f t="shared" ref="C35:C46" si="6">D34</f>
        <v>-38.6</v>
      </c>
      <c r="D35" s="3">
        <v>-41.9</v>
      </c>
      <c r="E35" s="3">
        <v>11.5</v>
      </c>
      <c r="F35" s="3">
        <v>11.5</v>
      </c>
      <c r="G35" s="4">
        <v>98</v>
      </c>
      <c r="H35" s="6">
        <f>C35-D35</f>
        <v>3.2999999999999972</v>
      </c>
      <c r="I35" s="7">
        <f>ATAN((F35-E35)/(2*H35))/PI()*180</f>
        <v>0</v>
      </c>
      <c r="J35" s="61">
        <f>IF(I35=0,PI()/4*(E35^2-(E35-(2*G35/1000))^2)*H35*7850/1000,(H35*PI()/12)*((F35^2+F35*E35+E35^2)-((F35-2*(G35/1000))^2+(F35-(2*G35/1000))*(E35-(2*G35/1000))+(E35-(2*G35/1000))^2))*7850/1000)</f>
        <v>90.936991392364675</v>
      </c>
      <c r="K35" s="61">
        <f>MAX(E35:F35)/G35*1000</f>
        <v>117.34693877551021</v>
      </c>
      <c r="M35" t="s">
        <v>87</v>
      </c>
      <c r="X35" s="17"/>
    </row>
    <row r="36" spans="1:24" x14ac:dyDescent="0.25">
      <c r="A36" s="16"/>
      <c r="B36" s="2">
        <v>15</v>
      </c>
      <c r="C36" s="5">
        <f t="shared" si="6"/>
        <v>-41.9</v>
      </c>
      <c r="D36" s="3">
        <v>-45.2</v>
      </c>
      <c r="E36" s="3">
        <v>11.5</v>
      </c>
      <c r="F36" s="3">
        <v>11.5</v>
      </c>
      <c r="G36" s="4">
        <v>100</v>
      </c>
      <c r="H36" s="6">
        <f t="shared" ref="H36:H46" si="7">C36-D36</f>
        <v>3.3000000000000043</v>
      </c>
      <c r="I36" s="7">
        <f t="shared" ref="I36:I46" si="8">ATAN((F36-E36)/(2*H36))/PI()*180</f>
        <v>0</v>
      </c>
      <c r="J36" s="61">
        <f t="shared" ref="J36:J46" si="9">IF(I36=0,PI()/4*(E36^2-(E36-(2*G36/1000))^2)*H36*7850/1000,(H36*PI()/12)*((F36^2+F36*E36+E36^2)-((F36-2*(G36/1000))^2+(F36-(2*G36/1000))*(E36-(2*G36/1000))+(E36-(2*G36/1000))^2))*7850/1000)</f>
        <v>92.776571768017575</v>
      </c>
      <c r="K36" s="61">
        <f t="shared" ref="K36:K46" si="10">MAX(E36:F36)/G36*1000</f>
        <v>115</v>
      </c>
      <c r="X36" s="17"/>
    </row>
    <row r="37" spans="1:24" x14ac:dyDescent="0.25">
      <c r="A37" s="16"/>
      <c r="B37" s="2">
        <v>16</v>
      </c>
      <c r="C37" s="5">
        <f t="shared" si="6"/>
        <v>-45.2</v>
      </c>
      <c r="D37" s="3">
        <v>-48.5</v>
      </c>
      <c r="E37" s="3">
        <v>11.5</v>
      </c>
      <c r="F37" s="3">
        <v>11.5</v>
      </c>
      <c r="G37" s="4">
        <v>98</v>
      </c>
      <c r="H37" s="6">
        <f t="shared" si="7"/>
        <v>3.2999999999999972</v>
      </c>
      <c r="I37" s="7">
        <f t="shared" si="8"/>
        <v>0</v>
      </c>
      <c r="J37" s="61">
        <f t="shared" si="9"/>
        <v>90.936991392364675</v>
      </c>
      <c r="K37" s="61">
        <f t="shared" si="10"/>
        <v>117.34693877551021</v>
      </c>
      <c r="M37" t="s">
        <v>28</v>
      </c>
      <c r="P37" t="s">
        <v>88</v>
      </c>
      <c r="S37" t="s">
        <v>89</v>
      </c>
      <c r="V37" t="s">
        <v>90</v>
      </c>
      <c r="X37" s="17"/>
    </row>
    <row r="38" spans="1:24" x14ac:dyDescent="0.25">
      <c r="A38" s="16"/>
      <c r="B38" s="2">
        <v>17</v>
      </c>
      <c r="C38" s="5">
        <f t="shared" si="6"/>
        <v>-48.5</v>
      </c>
      <c r="D38" s="3">
        <v>-51.9</v>
      </c>
      <c r="E38" s="3">
        <v>11.5</v>
      </c>
      <c r="F38" s="3">
        <v>11.5</v>
      </c>
      <c r="G38" s="4">
        <v>96</v>
      </c>
      <c r="H38" s="6">
        <f t="shared" si="7"/>
        <v>3.3999999999999986</v>
      </c>
      <c r="I38" s="7">
        <f t="shared" si="8"/>
        <v>0</v>
      </c>
      <c r="J38" s="61">
        <f t="shared" si="9"/>
        <v>91.796661769809532</v>
      </c>
      <c r="K38" s="61">
        <f t="shared" si="10"/>
        <v>119.79166666666667</v>
      </c>
      <c r="M38" s="9" t="s">
        <v>33</v>
      </c>
      <c r="N38" s="9"/>
      <c r="P38" s="9" t="s">
        <v>33</v>
      </c>
      <c r="Q38" s="9"/>
      <c r="S38" s="9" t="s">
        <v>33</v>
      </c>
      <c r="T38" s="9"/>
      <c r="V38" s="9" t="s">
        <v>33</v>
      </c>
      <c r="W38" s="9"/>
      <c r="X38" s="17"/>
    </row>
    <row r="39" spans="1:24" x14ac:dyDescent="0.25">
      <c r="A39" s="16"/>
      <c r="B39" s="2">
        <v>18</v>
      </c>
      <c r="C39" s="5">
        <f>D38</f>
        <v>-51.9</v>
      </c>
      <c r="D39" s="3">
        <v>-55.9</v>
      </c>
      <c r="E39" s="3">
        <v>11.5</v>
      </c>
      <c r="F39" s="3">
        <v>11.5</v>
      </c>
      <c r="G39" s="4">
        <v>93</v>
      </c>
      <c r="H39" s="6">
        <f t="shared" si="7"/>
        <v>4</v>
      </c>
      <c r="I39" s="7">
        <f t="shared" si="8"/>
        <v>0</v>
      </c>
      <c r="J39" s="61">
        <f t="shared" si="9"/>
        <v>104.64871763601626</v>
      </c>
      <c r="K39" s="61">
        <f t="shared" si="10"/>
        <v>123.65591397849462</v>
      </c>
      <c r="M39" s="9"/>
      <c r="N39" s="9"/>
      <c r="P39" s="9"/>
      <c r="Q39" s="9"/>
      <c r="S39" s="9"/>
      <c r="T39" s="9"/>
      <c r="V39" s="9"/>
      <c r="W39" s="9"/>
      <c r="X39" s="17"/>
    </row>
    <row r="40" spans="1:24" x14ac:dyDescent="0.25">
      <c r="A40" s="16"/>
      <c r="B40" s="2">
        <v>19</v>
      </c>
      <c r="C40" s="5">
        <f t="shared" si="6"/>
        <v>-55.9</v>
      </c>
      <c r="D40" s="3">
        <v>-59.9</v>
      </c>
      <c r="E40" s="3">
        <v>11.5</v>
      </c>
      <c r="F40" s="3">
        <v>11.5</v>
      </c>
      <c r="G40" s="4">
        <v>93</v>
      </c>
      <c r="H40" s="6">
        <f t="shared" si="7"/>
        <v>4</v>
      </c>
      <c r="I40" s="7">
        <f t="shared" si="8"/>
        <v>0</v>
      </c>
      <c r="J40" s="61">
        <f t="shared" si="9"/>
        <v>104.64871763601626</v>
      </c>
      <c r="K40" s="61">
        <f t="shared" si="10"/>
        <v>123.65591397849462</v>
      </c>
      <c r="M40" s="3"/>
      <c r="N40" s="3"/>
      <c r="P40" s="3"/>
      <c r="Q40" s="3"/>
      <c r="S40" s="3"/>
      <c r="T40" s="3"/>
      <c r="V40" s="3"/>
      <c r="W40" s="3"/>
      <c r="X40" s="17"/>
    </row>
    <row r="41" spans="1:24" x14ac:dyDescent="0.25">
      <c r="A41" s="16"/>
      <c r="B41" s="2">
        <v>20</v>
      </c>
      <c r="C41" s="5">
        <f t="shared" si="6"/>
        <v>-59.9</v>
      </c>
      <c r="D41" s="3">
        <v>-63.9</v>
      </c>
      <c r="E41" s="3">
        <v>11.5</v>
      </c>
      <c r="F41" s="3">
        <v>11.5</v>
      </c>
      <c r="G41" s="4">
        <v>93</v>
      </c>
      <c r="H41" s="6">
        <f t="shared" si="7"/>
        <v>4</v>
      </c>
      <c r="I41" s="7">
        <f t="shared" si="8"/>
        <v>0</v>
      </c>
      <c r="J41" s="61">
        <f t="shared" si="9"/>
        <v>104.64871763601626</v>
      </c>
      <c r="K41" s="61">
        <f t="shared" si="10"/>
        <v>123.65591397849462</v>
      </c>
      <c r="X41" s="17"/>
    </row>
    <row r="42" spans="1:24" x14ac:dyDescent="0.25">
      <c r="A42" s="16"/>
      <c r="B42" s="2">
        <v>21</v>
      </c>
      <c r="C42" s="5">
        <f t="shared" si="6"/>
        <v>-63.9</v>
      </c>
      <c r="D42" s="3">
        <v>-67.900000000000006</v>
      </c>
      <c r="E42" s="3">
        <v>11.5</v>
      </c>
      <c r="F42" s="3">
        <v>11.5</v>
      </c>
      <c r="G42" s="4">
        <v>93</v>
      </c>
      <c r="H42" s="6">
        <f t="shared" si="7"/>
        <v>4.0000000000000071</v>
      </c>
      <c r="I42" s="7">
        <f t="shared" si="8"/>
        <v>0</v>
      </c>
      <c r="J42" s="61">
        <f t="shared" si="9"/>
        <v>104.64871763601644</v>
      </c>
      <c r="K42" s="61">
        <f t="shared" si="10"/>
        <v>123.65591397849462</v>
      </c>
      <c r="X42" s="17"/>
    </row>
    <row r="43" spans="1:24" x14ac:dyDescent="0.25">
      <c r="A43" s="16"/>
      <c r="B43" s="2">
        <v>22</v>
      </c>
      <c r="C43" s="5">
        <f t="shared" si="6"/>
        <v>-67.900000000000006</v>
      </c>
      <c r="D43" s="3">
        <v>-71.900000000000006</v>
      </c>
      <c r="E43" s="3">
        <v>11.5</v>
      </c>
      <c r="F43" s="3">
        <v>11.5</v>
      </c>
      <c r="G43" s="4">
        <v>93</v>
      </c>
      <c r="H43" s="6">
        <f t="shared" si="7"/>
        <v>4</v>
      </c>
      <c r="I43" s="7">
        <f t="shared" si="8"/>
        <v>0</v>
      </c>
      <c r="J43" s="61">
        <f t="shared" si="9"/>
        <v>104.64871763601626</v>
      </c>
      <c r="K43" s="61">
        <f t="shared" si="10"/>
        <v>123.65591397849462</v>
      </c>
      <c r="X43" s="17"/>
    </row>
    <row r="44" spans="1:24" x14ac:dyDescent="0.25">
      <c r="A44" s="16"/>
      <c r="B44" s="2">
        <v>23</v>
      </c>
      <c r="C44" s="5">
        <f t="shared" si="6"/>
        <v>-71.900000000000006</v>
      </c>
      <c r="D44" s="3">
        <v>-75.7</v>
      </c>
      <c r="E44" s="3">
        <v>11.5</v>
      </c>
      <c r="F44" s="3">
        <v>11.5</v>
      </c>
      <c r="G44" s="4">
        <v>96</v>
      </c>
      <c r="H44" s="6">
        <f t="shared" si="7"/>
        <v>3.7999999999999972</v>
      </c>
      <c r="I44" s="7">
        <f t="shared" si="8"/>
        <v>0</v>
      </c>
      <c r="J44" s="61">
        <f t="shared" si="9"/>
        <v>102.59626903684591</v>
      </c>
      <c r="K44" s="61">
        <f t="shared" si="10"/>
        <v>119.79166666666667</v>
      </c>
      <c r="X44" s="17"/>
    </row>
    <row r="45" spans="1:24" x14ac:dyDescent="0.25">
      <c r="A45" s="16"/>
      <c r="B45" s="2">
        <v>24</v>
      </c>
      <c r="C45" s="5">
        <f t="shared" si="6"/>
        <v>-75.7</v>
      </c>
      <c r="D45" s="3">
        <f>D46+3</f>
        <v>-79.37</v>
      </c>
      <c r="E45" s="3">
        <v>11.5</v>
      </c>
      <c r="F45" s="3">
        <v>11.5</v>
      </c>
      <c r="G45" s="4">
        <v>100</v>
      </c>
      <c r="H45" s="6">
        <f t="shared" si="7"/>
        <v>3.6700000000000017</v>
      </c>
      <c r="I45" s="7">
        <f t="shared" si="8"/>
        <v>0</v>
      </c>
      <c r="J45" s="61">
        <f t="shared" si="9"/>
        <v>103.17879345109823</v>
      </c>
      <c r="K45" s="61">
        <f t="shared" si="10"/>
        <v>115</v>
      </c>
      <c r="X45" s="17"/>
    </row>
    <row r="46" spans="1:24" x14ac:dyDescent="0.25">
      <c r="A46" s="16"/>
      <c r="B46" s="2">
        <v>25</v>
      </c>
      <c r="C46" s="5">
        <f t="shared" si="6"/>
        <v>-79.37</v>
      </c>
      <c r="D46" s="3">
        <v>-82.37</v>
      </c>
      <c r="E46" s="3">
        <v>11.5</v>
      </c>
      <c r="F46" s="3">
        <v>11.5</v>
      </c>
      <c r="G46" s="4">
        <v>105</v>
      </c>
      <c r="H46" s="6">
        <f t="shared" si="7"/>
        <v>3</v>
      </c>
      <c r="I46" s="7">
        <f t="shared" si="8"/>
        <v>0</v>
      </c>
      <c r="J46" s="61">
        <f t="shared" si="9"/>
        <v>88.520613003300838</v>
      </c>
      <c r="K46" s="61">
        <f t="shared" si="10"/>
        <v>109.52380952380952</v>
      </c>
      <c r="X46" s="17"/>
    </row>
    <row r="47" spans="1:24" ht="15.75" thickBot="1" x14ac:dyDescent="0.3">
      <c r="A47" s="18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20"/>
    </row>
  </sheetData>
  <protectedRanges>
    <protectedRange sqref="O22 Q22:S22" name="Bereich1_1"/>
    <protectedRange sqref="T22:U22" name="Bereich1_4"/>
    <protectedRange sqref="Q23:U23 M23:O23" name="Bereich1_5"/>
    <protectedRange sqref="N24" name="Bereich1_6"/>
    <protectedRange sqref="O24 Q24:S24" name="Bereich1_8"/>
    <protectedRange sqref="V24" name="Bereich1_9"/>
    <protectedRange sqref="N25" name="Bereich1_10"/>
    <protectedRange sqref="O25 Q25:S25" name="Bereich1_11"/>
    <protectedRange sqref="V25" name="Bereich1_12"/>
    <protectedRange sqref="N26 M28:N28 M30:N30" name="Bereich1_13"/>
    <protectedRange sqref="O26 Q26:S26 O28 Q28:S28 O30 Q30:S30" name="Bereich1_14"/>
    <protectedRange sqref="V26 V28 V30" name="Bereich1_15"/>
    <protectedRange sqref="M27:N27 M29:N29 M31:N31" name="Bereich1_16"/>
    <protectedRange sqref="O27 Q27:S27 O29 Q29:S29 O31 Q31:S31" name="Bereich1_18"/>
    <protectedRange sqref="P27 P29 P31" name="Bereich1_19"/>
    <protectedRange sqref="C6 E5:E7 I3:I6 K5:N7 R3:R6" name="Bereich1"/>
  </protectedRanges>
  <mergeCells count="4">
    <mergeCell ref="P4:Q4"/>
    <mergeCell ref="C3:E3"/>
    <mergeCell ref="K3:N3"/>
    <mergeCell ref="G4:H4"/>
  </mergeCells>
  <dataValidations count="1">
    <dataValidation type="list" allowBlank="1" showInputMessage="1" showErrorMessage="1" sqref="C6" xr:uid="{F08C850F-2493-4AD1-BDCC-9FBFB8423FFD}">
      <formula1>$Q$33:$Q$46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Plot">
                <anchor moveWithCells="1" sizeWithCells="1">
                  <from>
                    <xdr:col>1</xdr:col>
                    <xdr:colOff>19050</xdr:colOff>
                    <xdr:row>10</xdr:row>
                    <xdr:rowOff>0</xdr:rowOff>
                  </from>
                  <to>
                    <xdr:col>2</xdr:col>
                    <xdr:colOff>95250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lot">
                <anchor moveWithCells="1" sizeWithCells="1">
                  <from>
                    <xdr:col>2</xdr:col>
                    <xdr:colOff>304800</xdr:colOff>
                    <xdr:row>10</xdr:row>
                    <xdr:rowOff>19050</xdr:rowOff>
                  </from>
                  <to>
                    <xdr:col>3</xdr:col>
                    <xdr:colOff>600075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21" sqref="B21"/>
    </sheetView>
  </sheetViews>
  <sheetFormatPr baseColWidth="10" defaultRowHeight="15" x14ac:dyDescent="0.25"/>
  <cols>
    <col min="2" max="2" width="130.7109375" customWidth="1"/>
  </cols>
  <sheetData>
    <row r="2" spans="2:4" x14ac:dyDescent="0.25">
      <c r="C2" t="s">
        <v>110</v>
      </c>
    </row>
    <row r="3" spans="2:4" ht="17.25" customHeight="1" x14ac:dyDescent="0.25">
      <c r="B3" s="76" t="s">
        <v>91</v>
      </c>
    </row>
    <row r="4" spans="2:4" ht="17.25" customHeight="1" x14ac:dyDescent="0.25">
      <c r="B4" s="76" t="s">
        <v>92</v>
      </c>
      <c r="D4" s="76"/>
    </row>
    <row r="5" spans="2:4" ht="17.25" customHeight="1" x14ac:dyDescent="0.25">
      <c r="B5" s="76" t="s">
        <v>93</v>
      </c>
    </row>
    <row r="6" spans="2:4" ht="17.25" customHeight="1" x14ac:dyDescent="0.25">
      <c r="B6" s="76" t="s">
        <v>94</v>
      </c>
    </row>
    <row r="7" spans="2:4" ht="17.25" customHeight="1" x14ac:dyDescent="0.25">
      <c r="B7" s="77" t="s">
        <v>95</v>
      </c>
    </row>
    <row r="8" spans="2:4" ht="17.25" customHeight="1" x14ac:dyDescent="0.25">
      <c r="B8" s="77" t="s">
        <v>96</v>
      </c>
    </row>
    <row r="9" spans="2:4" ht="17.25" customHeight="1" x14ac:dyDescent="0.25">
      <c r="B9" s="77" t="s">
        <v>97</v>
      </c>
    </row>
    <row r="10" spans="2:4" ht="17.25" customHeight="1" x14ac:dyDescent="0.25">
      <c r="B10" s="77" t="s">
        <v>98</v>
      </c>
    </row>
    <row r="11" spans="2:4" ht="17.25" customHeight="1" x14ac:dyDescent="0.25">
      <c r="B11" s="77" t="s">
        <v>99</v>
      </c>
    </row>
    <row r="12" spans="2:4" ht="17.25" customHeight="1" x14ac:dyDescent="0.25">
      <c r="B12" s="76" t="s">
        <v>100</v>
      </c>
    </row>
    <row r="13" spans="2:4" ht="17.25" customHeight="1" x14ac:dyDescent="0.25">
      <c r="B13" s="76" t="s">
        <v>101</v>
      </c>
    </row>
    <row r="14" spans="2:4" ht="17.25" customHeight="1" x14ac:dyDescent="0.25">
      <c r="B14" s="76" t="s">
        <v>102</v>
      </c>
    </row>
    <row r="15" spans="2:4" ht="17.25" customHeight="1" x14ac:dyDescent="0.25">
      <c r="B15" s="76" t="s">
        <v>103</v>
      </c>
    </row>
    <row r="16" spans="2:4" ht="17.25" customHeight="1" x14ac:dyDescent="0.25">
      <c r="B16" s="76" t="s">
        <v>104</v>
      </c>
    </row>
    <row r="17" spans="2:2" ht="17.25" customHeight="1" x14ac:dyDescent="0.25">
      <c r="B17" s="76" t="s">
        <v>105</v>
      </c>
    </row>
    <row r="18" spans="2:2" ht="17.25" customHeight="1" x14ac:dyDescent="0.25">
      <c r="B18" s="76" t="s">
        <v>106</v>
      </c>
    </row>
    <row r="19" spans="2:2" ht="17.25" customHeight="1" x14ac:dyDescent="0.25">
      <c r="B19" s="76" t="s">
        <v>107</v>
      </c>
    </row>
    <row r="20" spans="2:2" ht="17.25" customHeight="1" x14ac:dyDescent="0.25">
      <c r="B20" s="76" t="s">
        <v>108</v>
      </c>
    </row>
    <row r="21" spans="2:2" ht="17.25" customHeight="1" x14ac:dyDescent="0.25">
      <c r="B21" s="76" t="s">
        <v>109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8</vt:i4>
      </vt:variant>
    </vt:vector>
  </HeadingPairs>
  <TitlesOfParts>
    <vt:vector size="12" baseType="lpstr">
      <vt:lpstr>CreateStucture</vt:lpstr>
      <vt:lpstr>BuildYourStructure</vt:lpstr>
      <vt:lpstr>Overview</vt:lpstr>
      <vt:lpstr>Loop</vt:lpstr>
      <vt:lpstr>Tabale_MP_META</vt:lpstr>
      <vt:lpstr>Table_MP_DATA</vt:lpstr>
      <vt:lpstr>Table_MP_META</vt:lpstr>
      <vt:lpstr>Table_TP_DATA</vt:lpstr>
      <vt:lpstr>Table_TP_META</vt:lpstr>
      <vt:lpstr>TextBox_MP_db_path</vt:lpstr>
      <vt:lpstr>TextBox_TOWER_db_path</vt:lpstr>
      <vt:lpstr>TextBox_TP_db_path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2025-05-15T14:24:13Z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