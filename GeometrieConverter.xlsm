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8760C74D-8B86-4EE9-83E4-886255927ED8}" xr6:coauthVersionLast="47" xr6:coauthVersionMax="47" xr10:uidLastSave="{00000000-0000-0000-0000-000000000000}"/>
  <bookViews>
    <workbookView xWindow="22932" yWindow="-108" windowWidth="23256" windowHeight="12456" firstSheet="1" activeTab="3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PROJECT_PARAMETERS">JBOOST_PROJECT[[#Headers],[Project Settings]]</definedName>
    <definedName name="RNA_CURR_TRUE">RNA_DATA_TRUE[[#Headers],[Identifier]]</definedName>
    <definedName name="RNA_META_FULL36">#REF!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J6" i="6" a="1"/>
  <c r="J6" i="6" s="1"/>
  <c r="J7" i="6"/>
  <c r="DE139" i="5"/>
  <c r="DE138" i="5"/>
  <c r="DE137" i="5"/>
  <c r="DE136" i="5"/>
  <c r="DE135" i="5"/>
  <c r="DE134" i="5"/>
  <c r="DE133" i="5"/>
  <c r="DE132" i="5"/>
  <c r="DE131" i="5"/>
  <c r="DE130" i="5"/>
  <c r="DE129" i="5"/>
  <c r="DE128" i="5"/>
  <c r="DE127" i="5"/>
  <c r="DE126" i="5"/>
  <c r="DE125" i="5"/>
  <c r="DE124" i="5"/>
  <c r="DE123" i="5"/>
  <c r="DE122" i="5"/>
  <c r="DE121" i="5"/>
  <c r="DE120" i="5"/>
  <c r="DE119" i="5"/>
  <c r="DE118" i="5"/>
  <c r="DE117" i="5"/>
  <c r="DE116" i="5"/>
  <c r="DE115" i="5"/>
  <c r="DE114" i="5"/>
  <c r="DE113" i="5"/>
  <c r="DE112" i="5"/>
  <c r="DE111" i="5"/>
  <c r="DE110" i="5"/>
  <c r="DE109" i="5"/>
  <c r="DE108" i="5"/>
  <c r="DE107" i="5"/>
  <c r="DE106" i="5"/>
  <c r="DE105" i="5"/>
  <c r="DE104" i="5"/>
  <c r="DE103" i="5"/>
  <c r="DE102" i="5"/>
  <c r="DE101" i="5"/>
  <c r="DE100" i="5"/>
  <c r="DE99" i="5"/>
  <c r="DE98" i="5"/>
  <c r="DE97" i="5"/>
  <c r="DE96" i="5"/>
  <c r="DE95" i="5"/>
  <c r="DE94" i="5"/>
  <c r="DE93" i="5"/>
  <c r="AN15" i="6" l="1"/>
  <c r="AN14" i="6"/>
  <c r="AJ15" i="6"/>
  <c r="AJ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<sst xmlns="http://schemas.openxmlformats.org/spreadsheetml/2006/main" count="667" uniqueCount="240">
  <si>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</si>
  <si>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</si>
  <si>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</si>
  <si>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</si>
  <si>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</si>
  <si>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</si>
  <si>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</si>
  <si>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</si>
  <si>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</si>
  <si>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</si>
  <si>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</si>
  <si>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</si>
  <si>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</si>
  <si>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</si>
  <si>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</si>
  <si>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</si>
  <si>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</si>
  <si>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</si>
  <si>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</si>
  <si>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</si>
  <si>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</si>
  <si>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</si>
  <si>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</si>
  <si>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</si>
  <si>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</si>
  <si>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</si>
  <si>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</si>
  <si>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</si>
  <si>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</si>
  <si>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</si>
  <si>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</si>
  <si>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</si>
  <si>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</si>
  <si>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</si>
  <si>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</si>
  <si>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</si>
  <si>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</si>
  <si>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</si>
  <si>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</si>
  <si>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</si>
  <si>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</si>
  <si>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</si>
  <si>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</si>
  <si>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</si>
  <si>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</si>
  <si>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</si>
  <si>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</si>
  <si>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</si>
  <si>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</si>
  <si>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</si>
  <si>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</si>
  <si>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</si>
  <si>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</si>
  <si>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</si>
  <si>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</si>
  <si>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</si>
  <si>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</si>
  <si>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</si>
  <si>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</si>
  <si>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</si>
  <si>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</si>
  <si>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</si>
  <si>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</si>
  <si>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</si>
  <si>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</si>
  <si>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</si>
  <si>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</si>
  <si>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</si>
  <si>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</si>
  <si>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</si>
  <si>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</si>
  <si>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</si>
  <si>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</si>
  <si>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</si>
  <si>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</si>
  <si>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</si>
  <si>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</si>
  <si>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</si>
  <si>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</si>
  <si>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</si>
  <si>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</si>
  <si>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</si>
  <si>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</si>
  <si>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</si>
  <si>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</si>
  <si>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</si>
  <si>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</si>
  <si>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</si>
  <si>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</si>
  <si>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</si>
  <si>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</si>
  <si>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</si>
  <si>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</si>
  <si>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</si>
  <si>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</si>
  <si>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</si>
  <si>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</si>
  <si>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</si>
  <si>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</si>
  <si>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</si>
  <si>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</si>
  <si>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</si>
  <si>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</si>
  <si>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</si>
  <si>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</si>
  <si>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</si>
  <si>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</si>
  <si>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</si>
  <si>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</si>
  <si>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</si>
  <si>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</si>
  <si>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</si>
  <si>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</si>
  <si>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</si>
  <si>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</si>
  <si>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</si>
  <si>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</si>
  <si>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</si>
  <si>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</si>
  <si>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</si>
  <si>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</si>
  <si>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</si>
  <si>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</si>
  <si>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</si>
  <si>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</si>
  <si>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</si>
  <si>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</si>
  <si>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</si>
  <si>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</si>
  <si>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</si>
  <si>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</si>
  <si>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</si>
  <si>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</si>
  <si>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</si>
  <si>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</si>
  <si>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</si>
  <si>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</si>
  <si>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</si>
  <si>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</si>
  <si>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Offset TT_COG [m]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</si>
  <si>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</si>
  <si>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</si>
  <si>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</si>
  <si>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</si>
  <si>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</si>
  <si>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</si>
  <si>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</si>
  <si>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</si>
  <si>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</si>
  <si>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</si>
  <si>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</si>
  <si>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</si>
  <si>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</si>
  <si>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</si>
  <si>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</si>
  <si>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</si>
  <si>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</si>
  <si>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</si>
  <si>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</si>
  <si>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</si>
  <si>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</si>
  <si>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</si>
  <si>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</si>
  <si>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</si>
  <si>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</si>
  <si>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</si>
  <si>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</si>
  <si>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</si>
  <si>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</si>
  <si>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nan</t>
  </si>
  <si>
    <t>//</t>
  </si>
  <si>
    <t>Inertia [kg m^2]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</si>
  <si>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</si>
  <si>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</si>
  <si>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</si>
  <si>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</si>
  <si>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</si>
  <si>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</si>
  <si>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</si>
  <si>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</si>
  <si>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</si>
  <si>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</si>
  <si>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</si>
  <si>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</si>
  <si>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</si>
  <si>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</si>
  <si>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</si>
  <si>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</si>
  <si>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res_NumEF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</si>
  <si>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</si>
  <si>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</si>
  <si>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</si>
  <si>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</si>
  <si>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</si>
  <si>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</si>
  <si>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</si>
  <si>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</si>
  <si>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</si>
  <si>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</si>
  <si>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</si>
  <si>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</si>
  <si>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</si>
  <si>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</si>
  <si>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</si>
  <si>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</si>
  <si>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</si>
  <si>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</si>
  <si>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</si>
  <si>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</si>
  <si>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</si>
  <si>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 xml:space="preserve">config1 </t>
  </si>
  <si>
    <t>config2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</si>
  <si>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</si>
  <si>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</si>
  <si>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</si>
  <si>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</si>
  <si>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</si>
  <si>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</si>
  <si>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</si>
  <si>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</si>
  <si>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</si>
  <si>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</si>
  <si>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</si>
  <si>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</si>
  <si>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</si>
  <si>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</si>
  <si>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</si>
  <si>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</si>
  <si>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</si>
  <si>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</si>
  <si>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</si>
  <si>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</si>
  <si>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</si>
  <si>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</si>
  <si>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</si>
  <si>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 xml:space="preserve">Offset TT to HH [m] </t>
  </si>
  <si>
    <t>Offset TT to HH [m]</t>
  </si>
  <si>
    <t>test_structure</t>
  </si>
  <si>
    <t>C:\Users\aaron.lange\Desktop\JBOOSTTest</t>
  </si>
  <si>
    <t>{501.0}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</si>
</sst>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1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0" borderId="23" xfId="0" applyFill="1" applyBorder="1" applyAlignment="1">
      <alignment horizontal="left"/>
    </xf>
    <xf numFmtId="0" fontId="0" fillId="0" borderId="0" xfId="0" applyFill="1" applyAlignment="1">
      <alignment horizontal="left"/>
    </xf>
    <xf numFmtId="168" fontId="0" fillId="0" borderId="0" xfId="0" applyNumberFormat="1" applyFill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2" xfId="0" applyFill="1" applyBorder="1" applyAlignment="1">
      <alignment horizontal="left"/>
    </xf>
    <xf numFmtId="0" fontId="0" fillId="0" borderId="0" xfId="0" applyFont="1" applyFill="1" applyAlignment="1">
      <alignment horizontal="left"/>
    </xf>
    <xf numFmtId="168" fontId="0" fillId="0" borderId="0" xfId="0" applyNumberFormat="1" applyFont="1" applyFill="1" applyAlignment="1">
      <alignment horizontal="left"/>
    </xf>
    <xf numFmtId="0" fontId="0" fillId="0" borderId="0" xfId="0" applyFill="1"/>
    <xf numFmtId="2" fontId="0" fillId="0" borderId="0" xfId="0" applyNumberFormat="1" applyFill="1"/>
    <xf numFmtId="0" fontId="0" fillId="0" borderId="11" xfId="0" applyFill="1" applyBorder="1"/>
    <xf numFmtId="49" fontId="0" fillId="0" borderId="0" xfId="0" applyNumberFormat="1" applyAlignment="1">
      <alignment horizontal="left"/>
    </xf>
  </cellXfs>
  <cellStyles count="2">
    <cellStyle name="Standard" xfId="0" builtinId="0"/>
    <cellStyle name="Standard 4" xfId="1" xr:uid="{7C2E7282-4006-4D40-8AAC-8E6944058B8E}"/>
  </cellStyles>
  <dxfs count="284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228600</xdr:rowOff>
        </xdr:from>
        <xdr:to>
          <xdr:col>2</xdr:col>
          <xdr:colOff>190500</xdr:colOff>
          <xdr:row>14</xdr:row>
          <xdr:rowOff>228600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16</xdr:row>
          <xdr:rowOff>175260</xdr:rowOff>
        </xdr:from>
        <xdr:to>
          <xdr:col>11</xdr:col>
          <xdr:colOff>822960</xdr:colOff>
          <xdr:row>21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160020</xdr:rowOff>
        </xdr:from>
        <xdr:to>
          <xdr:col>36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30480</xdr:colOff>
          <xdr:row>12</xdr:row>
          <xdr:rowOff>30480</xdr:rowOff>
        </xdr:from>
        <xdr:to>
          <xdr:col>34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22860</xdr:rowOff>
        </xdr:from>
        <xdr:to>
          <xdr:col>47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274320</xdr:colOff>
          <xdr:row>17</xdr:row>
          <xdr:rowOff>45720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160020</xdr:rowOff>
        </xdr:from>
        <xdr:to>
          <xdr:col>70</xdr:col>
          <xdr:colOff>388620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868680</xdr:colOff>
          <xdr:row>17</xdr:row>
          <xdr:rowOff>22860</xdr:rowOff>
        </xdr:from>
        <xdr:to>
          <xdr:col>81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335280</xdr:colOff>
          <xdr:row>16</xdr:row>
          <xdr:rowOff>175260</xdr:rowOff>
        </xdr:from>
        <xdr:to>
          <xdr:col>80</xdr:col>
          <xdr:colOff>807720</xdr:colOff>
          <xdr:row>21</xdr:row>
          <xdr:rowOff>137160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12</xdr:row>
          <xdr:rowOff>30480</xdr:rowOff>
        </xdr:from>
        <xdr:to>
          <xdr:col>1</xdr:col>
          <xdr:colOff>2552700</xdr:colOff>
          <xdr:row>12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22860</xdr:rowOff>
        </xdr:from>
        <xdr:to>
          <xdr:col>35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822960</xdr:colOff>
          <xdr:row>12</xdr:row>
          <xdr:rowOff>22860</xdr:rowOff>
        </xdr:from>
        <xdr:to>
          <xdr:col>69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868680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60960</xdr:colOff>
          <xdr:row>14</xdr:row>
          <xdr:rowOff>0</xdr:rowOff>
        </xdr:from>
        <xdr:to>
          <xdr:col>42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160020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861060</xdr:colOff>
          <xdr:row>13</xdr:row>
          <xdr:rowOff>30480</xdr:rowOff>
        </xdr:from>
        <xdr:to>
          <xdr:col>107</xdr:col>
          <xdr:colOff>1592580</xdr:colOff>
          <xdr:row>15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822960</xdr:colOff>
          <xdr:row>12</xdr:row>
          <xdr:rowOff>22860</xdr:rowOff>
        </xdr:from>
        <xdr:to>
          <xdr:col>103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83" dataDxfId="48">
  <autoFilter ref="B18:H19" xr:uid="{51AF5F9E-A6E5-4BA1-83BE-2546351DAE06}"/>
  <tableColumns count="7">
    <tableColumn id="1" xr3:uid="{8004DE55-01A0-4AB5-A007-D379F8ED184F}" name="Identifier" dataDxfId="55"/>
    <tableColumn id="2" xr3:uid="{73AEE22B-B9CF-4401-B31E-64902257C6A9}" name="Project ID" dataDxfId="54"/>
    <tableColumn id="3" xr3:uid="{6CD7BEF9-707B-4F7D-A334-46DB51B6F454}" name="Phase" dataDxfId="53"/>
    <tableColumn id="4" xr3:uid="{5572AB9F-884A-4001-85E7-5E708A2DFC71}" name="Structure ID" dataDxfId="52"/>
    <tableColumn id="5" xr3:uid="{AFCB5F1D-C5C1-4D21-A7C0-310C0D52F9E4}" name="Water Depth [m]" dataDxfId="51"/>
    <tableColumn id="6" xr3:uid="{149EEBB8-62A5-42C4-97FD-484848DB0825}" name="Height Reference" dataDxfId="50"/>
    <tableColumn id="7" xr3:uid="{82ECC3EB-0382-490B-8CE7-963B13E4D1A1}" name="Comment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82" dataDxfId="281">
  <autoFilter ref="B21:H23" xr:uid="{58117B73-5FCA-4002-A528-31B3F83BDE75}"/>
  <tableColumns count="7">
    <tableColumn id="1" xr3:uid="{5C484AAB-AA0F-4FBD-9543-28D80EB7F84D}" name="Identifier" dataDxfId="280"/>
    <tableColumn id="2" xr3:uid="{87603448-795E-499B-8754-D6455D5FF52F}" name="Project ID" dataDxfId="279"/>
    <tableColumn id="3" xr3:uid="{51EA6487-4EF3-43A9-B440-34893EEEEAB2}" name="Phase" dataDxfId="278"/>
    <tableColumn id="4" xr3:uid="{4AC48BB5-6D2E-492F-89B1-5662010991A8}" name="Structure ID" dataDxfId="277"/>
    <tableColumn id="5" xr3:uid="{2AE3ED2D-7CAB-45B8-AA43-6197A5DBB9C2}" name="Water Depth [m]" dataDxfId="276"/>
    <tableColumn id="6" xr3:uid="{BC0E3E2E-DE67-4FD9-94E9-5C112B52D3FD}" name="Height Reference" dataDxfId="275"/>
    <tableColumn id="7" xr3:uid="{16928D7F-3DB7-43BD-BCF5-5C279A3E16F5}" name="Comments" dataDxfId="2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73" dataDxfId="41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47"/>
    <tableColumn id="2" xr3:uid="{01B5124C-F6E1-40D2-9236-F2D6BE941DD3}" name="Top [m]" dataDxfId="46"/>
    <tableColumn id="3" xr3:uid="{0537C90E-D320-4AC4-8392-2A7C45CE31A1}" name="Bottom [m]" dataDxfId="45"/>
    <tableColumn id="4" xr3:uid="{3F0DC3DB-26F8-4D70-A358-70EF5E1596F5}" name="D, top [m]" dataDxfId="44"/>
    <tableColumn id="5" xr3:uid="{25F6B1D8-AC49-468F-BDCD-72AC07BB3CD0}" name="D, bottom [m]" dataDxfId="43"/>
    <tableColumn id="6" xr3:uid="{3ED99EE5-BCA8-4244-A3E5-81C6F22A9AB2}" name="t [mm]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72" dataDxfId="271">
  <autoFilter ref="P18:V19" xr:uid="{F46B677D-4D25-4464-BE0D-6A1E644518C5}"/>
  <tableColumns count="7">
    <tableColumn id="1" xr3:uid="{ECD0389F-015D-412B-9FF1-D5BEAAD27FC1}" name="Identifier" dataDxfId="270"/>
    <tableColumn id="2" xr3:uid="{90794316-AE1E-4D40-A728-B5B995A9CF65}" name="Project ID" dataDxfId="269"/>
    <tableColumn id="3" xr3:uid="{B8C9242D-AC32-4E57-A861-DB7E615D6A1C}" name="Phase" dataDxfId="268"/>
    <tableColumn id="4" xr3:uid="{1EEB510B-3010-431D-B8C6-870D9180A629}" name="Structure ID" dataDxfId="267"/>
    <tableColumn id="5" xr3:uid="{B6F5C20C-83C1-4B16-B4D3-933D066BB6A0}" name="Water Depth [m]" dataDxfId="266"/>
    <tableColumn id="6" xr3:uid="{26EA3A2D-14E0-4809-9795-74592B4984AD}" name="Height Reference" dataDxfId="265"/>
    <tableColumn id="7" xr3:uid="{9AC62F3C-D12C-40A1-8AF4-F7C9B043F1FB}" name="Comments" dataDxfId="26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0" totalsRowShown="0" headerRowDxfId="263" dataDxfId="262">
  <autoFilter ref="AA18:AG20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61"/>
    <tableColumn id="2" xr3:uid="{75FB6F15-9784-4F9D-9947-41C8E7DD1CC9}" name="Project ID" dataDxfId="260"/>
    <tableColumn id="3" xr3:uid="{DF3379D9-9371-4EDE-B715-A6A40C072275}" name="Phase" dataDxfId="259"/>
    <tableColumn id="4" xr3:uid="{B2F66CA1-64D8-49D4-A1DA-28FD14EC75C2}" name="Structure ID" dataDxfId="258"/>
    <tableColumn id="5" xr3:uid="{E0EC4989-22E7-49A3-8DAC-034A87568E19}" name="Water Depth [m]" dataDxfId="257"/>
    <tableColumn id="6" xr3:uid="{9873A46F-D488-4AA7-BC64-C1E65C65D808}" name="Height Reference" dataDxfId="256"/>
    <tableColumn id="7" xr3:uid="{CD60E691-17C5-40B2-9E26-571B6CB0C11D}" name="Comments" dataDxfId="2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9" totalsRowShown="0" headerRowDxfId="254" dataDxfId="253">
  <autoFilter ref="P24:U49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52"/>
    <tableColumn id="2" xr3:uid="{D0F6ECD2-6414-48B2-9B47-1C3B8BAC860B}" name="Top [m]" dataDxfId="251"/>
    <tableColumn id="3" xr3:uid="{575FC20A-0259-4081-83F8-71040557AEA8}" name="Bottom [m]" dataDxfId="250"/>
    <tableColumn id="4" xr3:uid="{529E5CD0-69F2-4E59-86A7-A3E6F1B39E96}" name="D, top [m]" dataDxfId="249"/>
    <tableColumn id="5" xr3:uid="{7F90AAFA-52D7-47DB-A99D-3E3E0AEE6541}" name="D, bottom [m]" dataDxfId="248"/>
    <tableColumn id="6" xr3:uid="{1B01547B-4485-4B79-8DB3-FCEA1C806B60}" name="t [mm]" dataDxfId="24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46" dataDxfId="37">
  <autoFilter ref="M24:O29" xr:uid="{C2F2D263-B298-4967-B7BA-2043D2636A28}"/>
  <tableColumns count="3">
    <tableColumn id="2" xr3:uid="{365B74CD-D14D-4F75-ABA6-B5CBD126E6F2}" name="Elevation [m]" dataDxfId="40"/>
    <tableColumn id="12" xr3:uid="{3CC0B321-8A95-4AEE-8DFB-77DAE8FAB528}" name="Mass [kg]" dataDxfId="39"/>
    <tableColumn id="3" xr3:uid="{29EF80FE-079C-4A10-9ADB-03D595E35311}" name="commment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45" dataDxfId="244">
  <autoFilter ref="W24:Y29" xr:uid="{4D5B4094-2520-4C0E-83CB-05269AAFC062}"/>
  <tableColumns count="3">
    <tableColumn id="1" xr3:uid="{C2D9CE8B-C220-46E5-BFE0-3791AC870182}" name="Elevation [m]" dataDxfId="243"/>
    <tableColumn id="2" xr3:uid="{1DE92BEA-EA77-4A06-9EE3-C4BCA53FA4BA}" name="Mass [kg]" dataDxfId="242"/>
    <tableColumn id="3" xr3:uid="{6F0C1064-8277-4D7C-890E-7B7872EA90CF}" name="commment" dataDxfId="24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40" dataDxfId="29">
  <autoFilter ref="AI18:AO19" xr:uid="{0B04AF76-1113-4DD9-A88C-A478EB316C6E}"/>
  <tableColumns count="7">
    <tableColumn id="1" xr3:uid="{58455F34-16BF-4A81-8A57-F2B2E3E28892}" name="Identifier" dataDxfId="33"/>
    <tableColumn id="2" xr3:uid="{BDC511B7-0336-49CC-A0D7-40D96154D38D}" name="Project ID" dataDxfId="32"/>
    <tableColumn id="3" xr3:uid="{2D75BE55-2BF9-456C-AE5A-2A1218318BAA}" name="Phase" dataDxfId="31"/>
    <tableColumn id="4" xr3:uid="{2B0B47A1-6AA2-4D55-8DF5-A88A949DEAB3}" name="Structure ID" dataDxfId="30"/>
    <tableColumn id="5" xr3:uid="{24994B91-D518-4335-8AFB-5B728F5B9A9A}" name="Water Depth [m]" dataDxfId="28"/>
    <tableColumn id="6" xr3:uid="{BC674145-8AD9-4667-B204-310C7780D8BD}" name="Height Reference" dataDxfId="26"/>
    <tableColumn id="7" xr3:uid="{8574AD8B-5882-49EF-B1C0-6AEBD6820423}" name="Comments" dataDxfId="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insertRow="1" totalsRowShown="0" headerRowDxfId="239" dataDxfId="238">
  <autoFilter ref="AI21:AO22" xr:uid="{05DB58A4-E4A6-44E9-9800-F1D5AD7D9AA7}"/>
  <tableColumns count="7">
    <tableColumn id="1" xr3:uid="{2E834674-089F-43C8-8D07-2A374229A7BC}" name="Identifier" dataDxfId="237"/>
    <tableColumn id="2" xr3:uid="{6BEA972F-3506-4C48-AEB4-7F07A56A7185}" name="Project ID" dataDxfId="236"/>
    <tableColumn id="3" xr3:uid="{4E216AD3-8A97-4909-B2FD-78BAAFF0AD26}" name="Phase" dataDxfId="235"/>
    <tableColumn id="4" xr3:uid="{787011D0-F0FA-4EDD-881B-22121DF4902E}" name="Structure ID" dataDxfId="234"/>
    <tableColumn id="5" xr3:uid="{2067DA19-30E8-4DC2-9605-F5989A843C96}" name="Water Depth [m]" dataDxfId="233"/>
    <tableColumn id="6" xr3:uid="{E1008977-49E5-479B-9DB3-40A483860F73}" name="Height Reference" dataDxfId="232"/>
    <tableColumn id="7" xr3:uid="{F3EB13E3-9193-4095-B8C2-92AB811162B8}" name="Comments" dataDxfId="2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230" dataDxfId="19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25"/>
    <tableColumn id="2" xr3:uid="{20DD1485-D982-4D84-8836-A1F004AD90A8}" name="Top [m]" dataDxfId="24"/>
    <tableColumn id="3" xr3:uid="{A05F4E1F-5C83-413A-B9BE-2BBE3AB13A3B}" name="Bottom [m]" dataDxfId="23"/>
    <tableColumn id="4" xr3:uid="{EBAC8D31-17F8-4535-9E03-9B656FFD2B81}" name="D, top [m]" dataDxfId="22"/>
    <tableColumn id="5" xr3:uid="{A4A3D92C-C993-453F-AF5C-E4B75CB27682}" name="D, bottom [m]" dataDxfId="21"/>
    <tableColumn id="6" xr3:uid="{32AD350F-83E6-4938-BC67-33A5C8B767FF}" name="t [mm]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229" dataDxfId="228">
  <autoFilter ref="AX18:BD19" xr:uid="{6ED14D31-21E8-495C-899A-C1BE36AC7D57}"/>
  <tableColumns count="7">
    <tableColumn id="1" xr3:uid="{DA9D700C-EEF5-42F6-A311-BAEEF88B1BB7}" name="Identifier" dataDxfId="227"/>
    <tableColumn id="2" xr3:uid="{F3154507-C41A-47B8-8944-C5C95FFA02DB}" name="Project ID" dataDxfId="226"/>
    <tableColumn id="3" xr3:uid="{80771C1F-325D-4BE1-93EC-AEBADAEF8C45}" name="Phase" dataDxfId="225"/>
    <tableColumn id="4" xr3:uid="{58EF9147-D484-4AD2-85BC-FC61A3DF1B06}" name="Structure ID" dataDxfId="224"/>
    <tableColumn id="5" xr3:uid="{08D6C2E1-6DB9-491C-8175-4D57250F03F8}" name="Water Depth [m]" dataDxfId="223"/>
    <tableColumn id="6" xr3:uid="{6D129076-7D09-47E2-9F0F-2301ACE416A2}" name="Height Reference" dataDxfId="222"/>
    <tableColumn id="7" xr3:uid="{F96CE66F-661C-4D0F-869C-6075FFBE1D63}" name="Comments" dataDxfId="22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220" dataDxfId="219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218"/>
    <tableColumn id="2" xr3:uid="{10221FF0-6669-415E-A4C9-1A925A636E0E}" name="Project ID" dataDxfId="217"/>
    <tableColumn id="3" xr3:uid="{51ED7DEE-637C-4EB3-BD51-712CBF1C3A3F}" name="Phase" dataDxfId="216"/>
    <tableColumn id="4" xr3:uid="{1FA8653A-38E1-49B7-812A-65D83A87164E}" name="Structure ID" dataDxfId="215"/>
    <tableColumn id="5" xr3:uid="{6C9EA130-8028-4AEB-8FB2-AF4D80F48270}" name="Water Depth [m]" dataDxfId="214"/>
    <tableColumn id="6" xr3:uid="{83CD3E29-C555-4D73-9F88-767BB7CFEAA2}" name="Height Reference" dataDxfId="213"/>
    <tableColumn id="7" xr3:uid="{E5776344-EC8E-455B-8C7D-2D48B57F6EF9}" name="Comments" dataDxfId="2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211" dataDxfId="210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209"/>
    <tableColumn id="2" xr3:uid="{00F60C63-2770-42C2-B48C-5D66D3C52BC7}" name="Top [m]" dataDxfId="208"/>
    <tableColumn id="3" xr3:uid="{B0C70BDD-2B8F-4EF1-9287-C431F103B9ED}" name="Bottom [m]" dataDxfId="207"/>
    <tableColumn id="4" xr3:uid="{5762D413-3034-4D8C-93B6-FD4630B02B90}" name="D, top [m]" dataDxfId="206"/>
    <tableColumn id="5" xr3:uid="{14D973BE-EA8A-4E59-909A-5E1466E24A50}" name="D, bottom [m]" dataDxfId="205"/>
    <tableColumn id="6" xr3:uid="{7BFD2029-1F5C-43ED-A6F8-296E86962F79}" name="t [mm]" dataDxfId="20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203" dataDxfId="15">
  <autoFilter ref="AT24:AV29" xr:uid="{EF6AB3BF-A5B9-4898-A2AA-B1E2D904FCE0}"/>
  <tableColumns count="3">
    <tableColumn id="1" xr3:uid="{1A53106D-E4B7-4076-A33D-6CE63AD9AC29}" name="Elevation [m]" dataDxfId="18"/>
    <tableColumn id="2" xr3:uid="{9D7DAE9F-A86B-4D74-801F-55226E9F4D94}" name="Mass [kg]" dataDxfId="17"/>
    <tableColumn id="3" xr3:uid="{3FD5DC94-754D-4B55-A30B-0CF2D12CDE7F}" name="commment" dataDxf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202" dataDxfId="201">
  <autoFilter ref="BE24:BG29" xr:uid="{6190E545-CB48-44A3-A5CA-9A97C610D06A}"/>
  <tableColumns count="3">
    <tableColumn id="1" xr3:uid="{1CD0DD89-8DB0-4FF9-B740-5D74EB586B63}" name="Elevation [m]" dataDxfId="200"/>
    <tableColumn id="2" xr3:uid="{229F8007-E6CC-45A8-B672-6374F80B1923}" name="Mass [kg]" dataDxfId="199"/>
    <tableColumn id="3" xr3:uid="{23823EA6-A689-44B2-958B-8A7D00EFF106}" name="commment" dataDxfId="19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197" dataDxfId="196">
  <autoFilter ref="BQ18:BW19" xr:uid="{570D3808-2D33-45AA-AE67-BB82CAED07EC}"/>
  <tableColumns count="7">
    <tableColumn id="1" xr3:uid="{CCDDEDAF-7D35-44BE-9711-5BB94A7933B5}" name="Identifier" dataDxfId="195"/>
    <tableColumn id="2" xr3:uid="{A6622A20-5B2E-4695-A263-CDE9418E44CF}" name="Project ID" dataDxfId="194"/>
    <tableColumn id="3" xr3:uid="{352D7C0A-3620-4627-BAFA-7328A9D0D37D}" name="Phase" dataDxfId="193"/>
    <tableColumn id="4" xr3:uid="{B321ED1F-34C0-412F-A702-8500F62ECCC6}" name="Structure ID" dataDxfId="192"/>
    <tableColumn id="5" xr3:uid="{80D47030-3591-4982-92EF-BACC66E1FE86}" name="Water Depth [m]" dataDxfId="191"/>
    <tableColumn id="6" xr3:uid="{EF78C918-5D9E-4AE9-872B-673153622FEA}" name="Height Reference" dataDxfId="190"/>
    <tableColumn id="7" xr3:uid="{170AACDE-B844-4EEC-A0B3-69E2508B4EDA}" name="Comments" dataDxfId="18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188" dataDxfId="187">
  <autoFilter ref="BQ21:BW22" xr:uid="{35A6DD8B-1B03-4405-8692-950A70C42223}"/>
  <tableColumns count="7">
    <tableColumn id="1" xr3:uid="{1E986C31-3F41-4D2E-A5B3-1F241849BF8F}" name="Identifier" dataDxfId="186"/>
    <tableColumn id="2" xr3:uid="{BFA6A302-1312-44A9-9D24-00404B96F93D}" name="Project ID" dataDxfId="185"/>
    <tableColumn id="3" xr3:uid="{6FC4FB3D-D4AD-4191-B505-D0037CFE0AE6}" name="Phase" dataDxfId="184"/>
    <tableColumn id="4" xr3:uid="{869514EC-8FC7-48A8-9C17-94321EE95FF7}" name="Structure ID" dataDxfId="183"/>
    <tableColumn id="5" xr3:uid="{863DC3E8-E570-4145-B742-09AB28340D03}" name="Water Depth [m]" dataDxfId="182"/>
    <tableColumn id="6" xr3:uid="{9DF4DE17-029C-4704-967A-33C81C46070E}" name="Height Reference" dataDxfId="181"/>
    <tableColumn id="7" xr3:uid="{769D8177-1D18-4F53-87D2-AB6EDE9D675F}" name="Comments" dataDxfId="18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179" dataDxfId="178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177"/>
    <tableColumn id="2" xr3:uid="{BC63B096-D7B8-47B5-B5E9-FC896BC9868B}" name="Top [m]" dataDxfId="176"/>
    <tableColumn id="3" xr3:uid="{B9C7376D-FAD6-493B-8287-40DCA419DD50}" name="Bottom [m]" dataDxfId="175"/>
    <tableColumn id="4" xr3:uid="{6DC756E0-08B6-443E-9B2C-8D790BB94B8D}" name="D, top [m]" dataDxfId="174"/>
    <tableColumn id="5" xr3:uid="{BBD13E2B-0AEF-41AA-A565-50855C7E6296}" name="D, bottom [m]" dataDxfId="173"/>
    <tableColumn id="6" xr3:uid="{123F9676-EB92-4044-A35A-E032C3EBF8E7}" name="t [mm]" dataDxfId="17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171" dataDxfId="170">
  <autoFilter ref="CF18:CL19" xr:uid="{BC714A6A-8D53-444B-883B-7E7991C4738D}"/>
  <tableColumns count="7">
    <tableColumn id="1" xr3:uid="{2851D88E-C4FF-4F89-9EC3-EAFBEA54B71F}" name="Identifier" dataDxfId="169"/>
    <tableColumn id="2" xr3:uid="{02792EA3-7910-49BB-A8F1-6C715F3370FC}" name="Project ID" dataDxfId="168"/>
    <tableColumn id="3" xr3:uid="{E61B3620-9AD6-47D6-B636-C8C2AD063634}" name="Phase" dataDxfId="167"/>
    <tableColumn id="4" xr3:uid="{605E5017-0F2F-4443-A933-4E5CD08A4C23}" name="Structure ID" dataDxfId="166"/>
    <tableColumn id="5" xr3:uid="{BDF5F12B-CA8B-48E8-87A7-7D0364DE2FB2}" name="Water Depth [m]" dataDxfId="165"/>
    <tableColumn id="6" xr3:uid="{EE01736A-C2DC-472E-BB17-6D42BEB50FD3}" name="Height Reference" dataDxfId="164"/>
    <tableColumn id="7" xr3:uid="{89F52D24-3700-4E96-A3EE-54C0BD6E6850}" name="Comments" dataDxfId="16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20" totalsRowShown="0" headerRowDxfId="162" dataDxfId="161">
  <autoFilter ref="CQ18:CW20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160"/>
    <tableColumn id="2" xr3:uid="{BCD09FD8-ED15-428C-A59B-CFD0BF079641}" name="Project ID" dataDxfId="159"/>
    <tableColumn id="3" xr3:uid="{76AFB3BE-3FC3-4189-A098-6A9EA54A5EC9}" name="Phase" dataDxfId="158"/>
    <tableColumn id="4" xr3:uid="{33378BDF-E99D-44A7-8811-811CD7F1395F}" name="Structure ID" dataDxfId="157"/>
    <tableColumn id="5" xr3:uid="{DE6D6C26-BA61-4AFF-8E06-02AD273B29E8}" name="Water Depth [m]" dataDxfId="156"/>
    <tableColumn id="6" xr3:uid="{B865CAD0-836B-45FC-8185-9945C6562913}" name="Height Reference" dataDxfId="155"/>
    <tableColumn id="7" xr3:uid="{1F656F81-71F7-4B46-A4A6-8B1FC6147EC5}" name="Comments" dataDxfId="15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53" dataDxfId="152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51"/>
    <tableColumn id="2" xr3:uid="{B6685CB3-8DE6-43F6-B6B6-9EE349AFDB7E}" name="Top [m]" dataDxfId="150"/>
    <tableColumn id="3" xr3:uid="{DF0BDC05-BDC5-4912-B19E-FE92634C630E}" name="Bottom [m]" dataDxfId="149"/>
    <tableColumn id="4" xr3:uid="{FE62A509-C225-4EE7-9E1A-92FB7B34D915}" name="D, top [m]" dataDxfId="148"/>
    <tableColumn id="5" xr3:uid="{40198B9A-CE5F-48D3-B6CF-9F426B6E0187}" name="D, bottom [m]" dataDxfId="147"/>
    <tableColumn id="6" xr3:uid="{9098A7F1-A089-4645-9946-FA698633501A}" name="t [mm]" dataDxfId="14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45" dataDxfId="144">
  <autoFilter ref="CB24:CD29" xr:uid="{E785A247-6678-47FD-8A48-16CD1A0703D0}"/>
  <tableColumns count="3">
    <tableColumn id="1" xr3:uid="{D015FF14-679F-4C4B-AD11-FD169A799F7D}" name="Elevation [m]" dataDxfId="143"/>
    <tableColumn id="2" xr3:uid="{F6B0D10D-7C44-41C3-9301-C37A6304C787}" name="Mass [kg]" dataDxfId="142"/>
    <tableColumn id="3" xr3:uid="{F049C52E-CCD6-4E67-9C8C-52FA82F691D9}" name="commment" dataDxfId="14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140" dataDxfId="139">
  <autoFilter ref="CM24:CO29" xr:uid="{3F664A08-9F40-4B2F-8151-7F221D68F245}"/>
  <tableColumns count="3">
    <tableColumn id="1" xr3:uid="{D4114F81-D70E-4B19-A7AB-C51B4DC07220}" name="Elevation [m]" dataDxfId="138"/>
    <tableColumn id="2" xr3:uid="{55470CA8-68EE-4770-B151-4A1CCF576822}" name="Mass [kg]" dataDxfId="137"/>
    <tableColumn id="3" xr3:uid="{78453B6F-A529-4D07-BA22-75B01F2D871E}" name="commment" dataDxfId="13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8:DF30" totalsRowShown="0" dataDxfId="56">
  <autoFilter ref="CY18:DF30" xr:uid="{FEE1C0E0-398B-48E1-9521-CCB187180413}"/>
  <sortState xmlns:xlrd2="http://schemas.microsoft.com/office/spreadsheetml/2017/richdata2" ref="CY19:DI43">
    <sortCondition ref="CY18:CY43"/>
  </sortState>
  <tableColumns count="8">
    <tableColumn id="1" xr3:uid="{03A8E757-56E6-48B0-929F-24FBFFC0EAA8}" name="Identifier" dataDxfId="64"/>
    <tableColumn id="2" xr3:uid="{BF4DEE24-7E2F-4B20-9B44-27C601C754F1}" name="Power [MW]" dataDxfId="63"/>
    <tableColumn id="3" xr3:uid="{4CBE937C-DD0F-4596-BD90-BE03828E4CA7}" name="Rotor Diameter [m]" dataDxfId="62"/>
    <tableColumn id="4" xr3:uid="{DE89D440-DA99-4425-B50C-30544DB961F5}" name="Mass [kg]" dataDxfId="61"/>
    <tableColumn id="5" xr3:uid="{E2FB4084-506E-4EC7-9BC8-8255DFE52EE0}" name="Inertia [kg m^2]" dataDxfId="60"/>
    <tableColumn id="6" xr3:uid="{18C2BBB8-192B-4BEC-B9C5-5B12B65B00E4}" name="Offset TT to HH [m] " dataDxfId="59"/>
    <tableColumn id="7" xr3:uid="{224A58F0-EA11-4A11-9268-3AE211EDB8B3}" name="Offset TT_COG [m]" dataDxfId="58"/>
    <tableColumn id="8" xr3:uid="{6189FE8D-4B10-4B10-BBA8-06FA82BF9F0C}" name="comment" dataDxfId="5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H18:DO30" totalsRowShown="0" dataDxfId="135">
  <autoFilter ref="DH18:DO30" xr:uid="{6273375F-28C8-4A14-A545-8B988B5C9E65}"/>
  <tableColumns count="8">
    <tableColumn id="1" xr3:uid="{C3AE8FB7-66D2-47E1-8AA6-F0260BDFFCB8}" name="Identifier" dataDxfId="134"/>
    <tableColumn id="2" xr3:uid="{5F848737-A14E-44D6-9231-85AB48A55526}" name="Power [MW]" dataDxfId="133"/>
    <tableColumn id="3" xr3:uid="{2C93533D-1E27-4EB2-B7E6-3A19FEC55632}" name="Rotor Diameter [m]" dataDxfId="132"/>
    <tableColumn id="4" xr3:uid="{9D1780E5-E668-4D12-AF46-0A1DF433FA8A}" name="Mass [kg]" dataDxfId="131"/>
    <tableColumn id="5" xr3:uid="{1CA8A517-990E-4959-826C-118C5EC0C261}" name="Inertia [kg m^2]" dataDxfId="130"/>
    <tableColumn id="6" xr3:uid="{9FFE4A1F-E32A-49E7-8031-A24CF653CD8C}" name="Offset TT to HH [m] " dataDxfId="129"/>
    <tableColumn id="8" xr3:uid="{C481EB76-DD37-4979-8B5D-F3C81E38423E}" name="Offset TT_COG [m]" dataDxfId="128"/>
    <tableColumn id="7" xr3:uid="{3BD257A8-5786-4E03-8F1F-6116921828A3}" name="comment" dataDxfId="6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127" dataDxfId="126">
  <autoFilter ref="B12:I66" xr:uid="{6964430C-2D65-45C4-817F-08653037EDFC}"/>
  <tableColumns count="8">
    <tableColumn id="1" xr3:uid="{1C924510-54DB-4186-8521-598E5FD7BF93}" name="Section" dataDxfId="125"/>
    <tableColumn id="2" xr3:uid="{29F8F207-72DF-4027-A39E-C3D956F79382}" name="Affiliation" dataDxfId="124"/>
    <tableColumn id="3" xr3:uid="{F1A86E12-282B-4FE8-A989-9056549BE251}" name="local Section" dataDxfId="123"/>
    <tableColumn id="4" xr3:uid="{1F0B5480-90D3-4DBF-AAEC-010EB8A46507}" name="Top [m]" dataDxfId="122"/>
    <tableColumn id="5" xr3:uid="{2F9EEEB1-AE18-4058-A215-9A6EAD23E6F0}" name="Bottom [m]" dataDxfId="121"/>
    <tableColumn id="6" xr3:uid="{CAF3E9FD-22BF-4C53-97D3-15DEA70C9DE2}" name="D, top [m]" dataDxfId="120"/>
    <tableColumn id="7" xr3:uid="{EE4449DD-273C-4967-8180-25E33E65F937}" name="D, bottom [m]" dataDxfId="119"/>
    <tableColumn id="8" xr3:uid="{0EE8182A-58FD-432D-A87C-9A474A081C7F}" name="t [mm]" dataDxfId="11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117" dataDxfId="116">
  <autoFilter ref="O12:R27" xr:uid="{99775F4D-8879-4247-BCBB-9E55004F5FE5}"/>
  <tableColumns count="4">
    <tableColumn id="8" xr3:uid="{4222E379-EA2F-436F-A27E-F66347A2B7A2}" name="Affiliation" dataDxfId="115"/>
    <tableColumn id="1" xr3:uid="{00244646-90F3-4DDD-AB6B-0373781AFF60}" name="Elevation [m]" dataDxfId="114"/>
    <tableColumn id="2" xr3:uid="{6305BA78-EC7F-4D5E-A143-DF4E3CB9A56C}" name="Mass [kg]" dataDxfId="113"/>
    <tableColumn id="3" xr3:uid="{156C5A02-52CD-48BE-87D5-E9BF8F935E99}" name="comment" dataDxfId="11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111" dataDxfId="109" headerRowBorderDxfId="110" tableBorderDxfId="108" totalsRowBorderDxfId="107">
  <autoFilter ref="T16:Y17" xr:uid="{A1E86920-59C8-4A34-A4FA-D52D35DC047E}"/>
  <tableColumns count="6">
    <tableColumn id="1" xr3:uid="{D7BA5792-F27A-42AB-84A6-1A5C5073E624}" name="Affiliation" dataDxfId="106"/>
    <tableColumn id="3" xr3:uid="{F299E913-54CD-48A0-BB41-0880A93754FE}" name="Top [m]" dataDxfId="105"/>
    <tableColumn id="4" xr3:uid="{3FE7280C-AE16-43A5-98C5-AC81567063F8}" name="Bottom [m]" dataDxfId="104"/>
    <tableColumn id="5" xr3:uid="{494E1F17-E9F7-4B30-BF2F-0D837AD6C9EB}" name="D, top [m]" dataDxfId="103"/>
    <tableColumn id="6" xr3:uid="{9D18588B-23C1-495C-A81D-3BA5AF2F1DDD}" name="D, bottom [m]" dataDxfId="102"/>
    <tableColumn id="7" xr3:uid="{C3BA2567-9ACF-4834-A3FA-9599A0D98796}" name="t [mm]" dataDxfId="10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99" headerRowBorderDxfId="100" tableBorderDxfId="98">
  <autoFilter ref="T12:W13" xr:uid="{CD52EECF-AB78-4C57-8765-66AA1058C0CF}"/>
  <tableColumns count="4">
    <tableColumn id="1" xr3:uid="{035BC3C9-B7CD-47B5-94D2-F8D64A04FD6C}" name="Affiliation" dataDxfId="97"/>
    <tableColumn id="2" xr3:uid="{9093341A-644E-4005-A4B0-0B05612EE421}" name="Elevation [m]" dataDxfId="96"/>
    <tableColumn id="3" xr3:uid="{71FE16E7-7251-4F14-B28B-4C6055F6AED1}" name="Mass [t]" dataDxfId="95"/>
    <tableColumn id="4" xr3:uid="{87F4221A-61DF-4C79-A116-8098A7C6FAAE}" name="comment" dataDxfId="9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J12:AL15" totalsRowShown="0" headerRowDxfId="93" dataDxfId="92">
  <autoFilter ref="AJ12:AL15" xr:uid="{8D334D84-754D-4685-9A4A-6A66B2E4FFB9}"/>
  <tableColumns count="3">
    <tableColumn id="1" xr3:uid="{DB673771-BB6D-4B68-81A2-B0DFC2758DC6}" name="Bottom [m]" dataDxfId="91">
      <calculatedColumnFormula>IF(ISBLANK(AK13),"",AK12)</calculatedColumnFormula>
    </tableColumn>
    <tableColumn id="2" xr3:uid="{88DBAEFE-0CE9-43B7-BBD5-30E29A54DD0E}" name="Top [m]" dataDxfId="90"/>
    <tableColumn id="3" xr3:uid="{88F4E89D-F5DC-463C-AE91-5C5F8B82A591}" name="Marine Growth [mm]" dataDxfId="8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N12:AQ14" totalsRowShown="0" headerRowDxfId="88">
  <autoFilter ref="AN12:AQ14" xr:uid="{87B4A03F-1005-4720-8887-A14737394284}"/>
  <tableColumns count="4">
    <tableColumn id="1" xr3:uid="{79B3039B-DCB3-4DB5-9657-9170C1A7D7A1}" name="Bottom [m]" dataDxfId="87"/>
    <tableColumn id="2" xr3:uid="{798BD679-C372-4555-9ABA-DF12AF1BEB7B}" name="Top [m]" dataDxfId="86"/>
    <tableColumn id="3" xr3:uid="{C28B4B73-F57A-4DF1-B531-CD436CEA398C}" name="cd" dataDxfId="85"/>
    <tableColumn id="4" xr3:uid="{B75141CC-AB54-4904-90B7-845CA3D69A1B}" name="cm" dataDxfId="84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H13" totalsRowShown="0" dataDxfId="82" headerRowBorderDxfId="83" tableBorderDxfId="81" totalsRowBorderDxfId="80">
  <autoFilter ref="AA12:AH13" xr:uid="{72CE8A2A-6760-4548-BB1E-BCA204D8C1BA}"/>
  <tableColumns count="8">
    <tableColumn id="1" xr3:uid="{46A5A21B-3002-456C-8AD9-5ECB42AC421F}" name="Identifier" dataDxfId="79"/>
    <tableColumn id="2" xr3:uid="{F5B4AC32-29FD-42F7-91EC-62CC42FCE0D7}" name="Power [MW]" dataDxfId="78"/>
    <tableColumn id="3" xr3:uid="{F6A77E93-EA0B-4A7B-91D9-D14361BC8B1A}" name="Rotor Diameter [m]" dataDxfId="77"/>
    <tableColumn id="4" xr3:uid="{324F57B3-0BB2-4A0A-864F-C4E295BA1417}" name="Mass [kg]" dataDxfId="76"/>
    <tableColumn id="5" xr3:uid="{498958C1-FF10-460A-950F-D28B6D477E67}" name="Inertia [kg m^2]" dataDxfId="75"/>
    <tableColumn id="8" xr3:uid="{234964DC-3BFC-4170-9D6A-7B3DBC67A11F}" name="Offset TT to HH [m]" dataDxfId="74"/>
    <tableColumn id="6" xr3:uid="{9A250389-A125-48C0-9709-4FC870698E51}" name="Offset TT_COG [m]" dataDxfId="73"/>
    <tableColumn id="7" xr3:uid="{7481D65D-D15B-4189-850C-213AFF247093}" name="comment" dataDxfId="7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8" totalsRowCount="1" dataDxfId="71">
  <autoFilter ref="B2:D7" xr:uid="{C35E7AB2-603F-4F8E-A683-CC2DB9E03260}"/>
  <tableColumns count="3">
    <tableColumn id="1" xr3:uid="{249E4AC0-B025-41CE-B64B-B1C47A8B108A}" name="Parameter" dataDxfId="70" totalsRowDxfId="36"/>
    <tableColumn id="2" xr3:uid="{96957327-E448-409A-A132-2F66C10F1B05}" name="Value" dataDxfId="69" totalsRowDxfId="35"/>
    <tableColumn id="3" xr3:uid="{9BA3C973-0D4E-4458-9364-B9F23256E516}" name="Unit" dataDxfId="68" totalsRowDxfId="3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2" xr3:uid="{6C705FCB-5D10-4250-9912-E9DAC119643B}" name="Value" dataDxfId="67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60" totalsRowShown="0" headerRowDxfId="66">
  <autoFilter ref="B20:F60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default" dataDxfId="14"/>
    <tableColumn id="4" xr3:uid="{E0487E44-0EED-4BFD-B57A-C884FB22266C}" name="config1 " dataDxfId="13"/>
    <tableColumn id="5" xr3:uid="{92045E4D-F12F-4D16-876C-05D25606D491}" name="config2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1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6.xml"/><Relationship Id="rId42" Type="http://schemas.openxmlformats.org/officeDocument/2006/relationships/table" Target="../tables/table14.xml"/><Relationship Id="rId47" Type="http://schemas.openxmlformats.org/officeDocument/2006/relationships/table" Target="../tables/table19.xml"/><Relationship Id="rId50" Type="http://schemas.openxmlformats.org/officeDocument/2006/relationships/table" Target="../tables/table22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1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4.xml"/><Relationship Id="rId37" Type="http://schemas.openxmlformats.org/officeDocument/2006/relationships/table" Target="../tables/table9.xml"/><Relationship Id="rId40" Type="http://schemas.openxmlformats.org/officeDocument/2006/relationships/table" Target="../tables/table12.xml"/><Relationship Id="rId45" Type="http://schemas.openxmlformats.org/officeDocument/2006/relationships/table" Target="../tables/table17.xml"/><Relationship Id="rId53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3.xml"/><Relationship Id="rId44" Type="http://schemas.openxmlformats.org/officeDocument/2006/relationships/table" Target="../tables/table16.xml"/><Relationship Id="rId52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2.xml"/><Relationship Id="rId35" Type="http://schemas.openxmlformats.org/officeDocument/2006/relationships/table" Target="../tables/table7.xml"/><Relationship Id="rId43" Type="http://schemas.openxmlformats.org/officeDocument/2006/relationships/table" Target="../tables/table15.xml"/><Relationship Id="rId48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5.xml"/><Relationship Id="rId38" Type="http://schemas.openxmlformats.org/officeDocument/2006/relationships/table" Target="../tables/table10.xml"/><Relationship Id="rId46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3.xml"/><Relationship Id="rId54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8.xml"/><Relationship Id="rId49" Type="http://schemas.openxmlformats.org/officeDocument/2006/relationships/table" Target="../tables/table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96" t="s">
        <v>42</v>
      </c>
      <c r="C4" s="97"/>
      <c r="D4" s="98"/>
      <c r="E4" s="40"/>
      <c r="F4" s="99" t="s">
        <v>26</v>
      </c>
      <c r="G4" s="100"/>
      <c r="H4" s="100"/>
      <c r="I4" s="101"/>
      <c r="J4" s="40"/>
      <c r="K4" s="102" t="s">
        <v>43</v>
      </c>
      <c r="L4" s="103"/>
      <c r="M4" s="104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P145"/>
  <sheetViews>
    <sheetView zoomScale="85" zoomScaleNormal="85" workbookViewId="0">
      <selection activeCell="AO15" sqref="AO15"/>
    </sheetView>
  </sheetViews>
  <sheetFormatPr baseColWidth="10" defaultColWidth="11.33203125" defaultRowHeight="14.4" outlineLevelCol="2" x14ac:dyDescent="0.3"/>
  <cols>
    <col min="1" max="1" width="43.33203125" style="71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32.44140625" customWidth="1"/>
    <col min="16" max="16" width="11.33203125" hidden="1" customWidth="1" outlineLevel="1"/>
    <col min="17" max="17" width="12.6640625" hidden="1" customWidth="1" outlineLevel="1"/>
    <col min="18" max="18" width="11.33203125" hidden="1" customWidth="1" outlineLevel="1"/>
    <col min="19" max="19" width="14.5546875" hidden="1" customWidth="1" outlineLevel="1"/>
    <col min="20" max="25" width="11.33203125" hidden="1" customWidth="1" outlineLevel="1"/>
    <col min="26" max="26" width="11.33203125" collapsed="1"/>
    <col min="27" max="27" width="28.33203125" hidden="1" customWidth="1" outlineLevel="1"/>
    <col min="28" max="29" width="11.33203125" hidden="1" customWidth="1" outlineLevel="1"/>
    <col min="30" max="30" width="22" hidden="1" customWidth="1" outlineLevel="1"/>
    <col min="31" max="31" width="11.33203125" hidden="1" customWidth="1" outlineLevel="1"/>
    <col min="32" max="33" width="15.44140625" hidden="1" customWidth="1" outlineLevel="1"/>
    <col min="34" max="34" width="24.44140625" style="73" customWidth="1" collapsed="1"/>
    <col min="35" max="35" width="23.109375" style="71" customWidth="1"/>
    <col min="36" max="36" width="11.33203125" customWidth="1"/>
    <col min="48" max="48" width="25" customWidth="1"/>
    <col min="50" max="59" width="11.33203125" hidden="1" customWidth="1" outlineLevel="1"/>
    <col min="60" max="60" width="11.33203125" collapsed="1"/>
    <col min="61" max="67" width="11.33203125" hidden="1" customWidth="1" outlineLevel="2"/>
    <col min="68" max="68" width="24.5546875" style="92" customWidth="1" collapsed="1"/>
    <col min="69" max="69" width="23.109375" style="71" customWidth="1"/>
    <col min="81" max="81" width="17.33203125" customWidth="1"/>
    <col min="82" max="82" width="39.5546875" customWidth="1"/>
    <col min="84" max="93" width="11.33203125" hidden="1" customWidth="1" outlineLevel="1"/>
    <col min="94" max="94" width="11.33203125" collapsed="1"/>
    <col min="95" max="101" width="11.33203125" hidden="1" customWidth="1" outlineLevel="1"/>
    <col min="102" max="102" width="24.109375" style="73" customWidth="1" collapsed="1"/>
    <col min="103" max="103" width="23.109375" style="71" customWidth="1"/>
    <col min="104" max="104" width="14.6640625" customWidth="1"/>
    <col min="105" max="105" width="21.33203125" customWidth="1"/>
    <col min="106" max="106" width="22.44140625" customWidth="1"/>
    <col min="107" max="107" width="16.6640625" customWidth="1"/>
    <col min="108" max="108" width="24.33203125" customWidth="1"/>
    <col min="109" max="109" width="21" customWidth="1"/>
    <col min="112" max="113" width="0" hidden="1" customWidth="1" outlineLevel="1"/>
    <col min="114" max="114" width="13.33203125" hidden="1" customWidth="1" outlineLevel="1"/>
    <col min="115" max="115" width="19.33203125" hidden="1" customWidth="1" outlineLevel="1"/>
    <col min="116" max="116" width="15.109375" hidden="1" customWidth="1" outlineLevel="1"/>
    <col min="117" max="117" width="18.88671875" hidden="1" customWidth="1" outlineLevel="1"/>
    <col min="118" max="119" width="0" hidden="1" customWidth="1" outlineLevel="1"/>
    <col min="120" max="120" width="11.33203125" collapsed="1"/>
  </cols>
  <sheetData>
    <row r="1" spans="2:104" x14ac:dyDescent="0.3">
      <c r="AH1" s="90" t="s">
        <v>154</v>
      </c>
      <c r="BP1" s="91" t="s">
        <v>154</v>
      </c>
      <c r="CX1" s="90" t="s">
        <v>154</v>
      </c>
    </row>
    <row r="5" spans="2:104" x14ac:dyDescent="0.3">
      <c r="E5" s="72"/>
    </row>
    <row r="6" spans="2:104" x14ac:dyDescent="0.3">
      <c r="E6" s="72" t="b">
        <v>1</v>
      </c>
    </row>
    <row r="7" spans="2:104" x14ac:dyDescent="0.3">
      <c r="E7" s="72"/>
    </row>
    <row r="8" spans="2:104" x14ac:dyDescent="0.3">
      <c r="E8" s="72" t="b">
        <v>1</v>
      </c>
    </row>
    <row r="9" spans="2:104" ht="24" customHeight="1" x14ac:dyDescent="0.3"/>
    <row r="11" spans="2:104" ht="18" x14ac:dyDescent="0.35">
      <c r="B11" s="74" t="s">
        <v>70</v>
      </c>
      <c r="AI11" s="82" t="s">
        <v>95</v>
      </c>
      <c r="AW11" t="s">
        <v>76</v>
      </c>
      <c r="BQ11" s="82" t="s">
        <v>79</v>
      </c>
      <c r="CE11" t="s">
        <v>76</v>
      </c>
      <c r="CY11" s="82" t="s">
        <v>138</v>
      </c>
    </row>
    <row r="13" spans="2:104" ht="23.4" customHeight="1" x14ac:dyDescent="0.3">
      <c r="C13" s="75" t="s">
        <v>97</v>
      </c>
      <c r="AJ13" s="75" t="s">
        <v>71</v>
      </c>
      <c r="BR13" s="75" t="s">
        <v>96</v>
      </c>
      <c r="CZ13" s="75" t="s">
        <v>157</v>
      </c>
    </row>
    <row r="14" spans="2:104" ht="21.6" customHeight="1" thickBot="1" x14ac:dyDescent="0.35"/>
    <row r="15" spans="2:104" ht="21.6" customHeight="1" thickBot="1" x14ac:dyDescent="0.35">
      <c r="D15" s="61" t="s">
        <v>117</v>
      </c>
      <c r="E15" s="62"/>
      <c r="F15" s="64"/>
      <c r="G15" s="62"/>
      <c r="H15" s="63"/>
      <c r="AM15" s="61" t="s">
        <v>117</v>
      </c>
      <c r="AN15" s="62"/>
      <c r="AO15" s="65"/>
      <c r="AP15" s="62"/>
      <c r="AQ15" s="63"/>
    </row>
    <row r="18" spans="1:119" x14ac:dyDescent="0.3">
      <c r="A18" s="76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147</v>
      </c>
      <c r="G18" t="s">
        <v>143</v>
      </c>
      <c r="H18" t="s">
        <v>148</v>
      </c>
      <c r="P18" t="s">
        <v>81</v>
      </c>
      <c r="Q18" t="s">
        <v>82</v>
      </c>
      <c r="R18" t="s">
        <v>80</v>
      </c>
      <c r="S18" t="s">
        <v>83</v>
      </c>
      <c r="T18" t="s">
        <v>147</v>
      </c>
      <c r="U18" t="s">
        <v>143</v>
      </c>
      <c r="V18" t="s">
        <v>148</v>
      </c>
      <c r="AA18" t="s">
        <v>81</v>
      </c>
      <c r="AB18" t="s">
        <v>82</v>
      </c>
      <c r="AC18" t="s">
        <v>80</v>
      </c>
      <c r="AD18" t="s">
        <v>83</v>
      </c>
      <c r="AE18" t="s">
        <v>147</v>
      </c>
      <c r="AF18" t="s">
        <v>143</v>
      </c>
      <c r="AG18" t="s">
        <v>148</v>
      </c>
      <c r="AI18" s="71" t="s">
        <v>81</v>
      </c>
      <c r="AJ18" t="s">
        <v>82</v>
      </c>
      <c r="AK18" t="s">
        <v>80</v>
      </c>
      <c r="AL18" t="s">
        <v>83</v>
      </c>
      <c r="AM18" t="s">
        <v>147</v>
      </c>
      <c r="AN18" t="s">
        <v>143</v>
      </c>
      <c r="AO18" t="s">
        <v>148</v>
      </c>
      <c r="AX18" t="s">
        <v>81</v>
      </c>
      <c r="AY18" t="s">
        <v>82</v>
      </c>
      <c r="AZ18" t="s">
        <v>80</v>
      </c>
      <c r="BA18" t="s">
        <v>83</v>
      </c>
      <c r="BB18" t="s">
        <v>147</v>
      </c>
      <c r="BC18" t="s">
        <v>143</v>
      </c>
      <c r="BD18" t="s">
        <v>148</v>
      </c>
      <c r="BI18" t="s">
        <v>81</v>
      </c>
      <c r="BJ18" t="s">
        <v>82</v>
      </c>
      <c r="BK18" t="s">
        <v>80</v>
      </c>
      <c r="BL18" t="s">
        <v>83</v>
      </c>
      <c r="BM18" t="s">
        <v>147</v>
      </c>
      <c r="BN18" t="s">
        <v>143</v>
      </c>
      <c r="BO18" t="s">
        <v>148</v>
      </c>
      <c r="BQ18" s="71" t="s">
        <v>81</v>
      </c>
      <c r="BR18" t="s">
        <v>82</v>
      </c>
      <c r="BS18" t="s">
        <v>80</v>
      </c>
      <c r="BT18" t="s">
        <v>83</v>
      </c>
      <c r="BU18" t="s">
        <v>147</v>
      </c>
      <c r="BV18" t="s">
        <v>143</v>
      </c>
      <c r="BW18" t="s">
        <v>148</v>
      </c>
      <c r="CF18" t="s">
        <v>81</v>
      </c>
      <c r="CG18" t="s">
        <v>82</v>
      </c>
      <c r="CH18" t="s">
        <v>80</v>
      </c>
      <c r="CI18" t="s">
        <v>83</v>
      </c>
      <c r="CJ18" t="s">
        <v>147</v>
      </c>
      <c r="CK18" t="s">
        <v>143</v>
      </c>
      <c r="CL18" t="s">
        <v>148</v>
      </c>
      <c r="CQ18" t="s">
        <v>81</v>
      </c>
      <c r="CR18" t="s">
        <v>82</v>
      </c>
      <c r="CS18" t="s">
        <v>80</v>
      </c>
      <c r="CT18" t="s">
        <v>83</v>
      </c>
      <c r="CU18" t="s">
        <v>147</v>
      </c>
      <c r="CV18" t="s">
        <v>143</v>
      </c>
      <c r="CW18" t="s">
        <v>148</v>
      </c>
      <c r="CY18" t="s">
        <v>81</v>
      </c>
      <c r="CZ18" t="s">
        <v>152</v>
      </c>
      <c r="DA18" t="s">
        <v>153</v>
      </c>
      <c r="DB18" t="s">
        <v>104</v>
      </c>
      <c r="DC18" t="s">
        <v>171</v>
      </c>
      <c r="DD18" t="s">
        <v>235</v>
      </c>
      <c r="DE18" t="s">
        <v>139</v>
      </c>
      <c r="DF18" t="s">
        <v>19</v>
      </c>
      <c r="DH18" t="s">
        <v>81</v>
      </c>
      <c r="DI18" t="s">
        <v>152</v>
      </c>
      <c r="DJ18" t="s">
        <v>153</v>
      </c>
      <c r="DK18" t="s">
        <v>104</v>
      </c>
      <c r="DL18" t="s">
        <v>171</v>
      </c>
      <c r="DM18" t="s">
        <v>235</v>
      </c>
      <c r="DN18" t="s">
        <v>139</v>
      </c>
      <c r="DO18" t="s">
        <v>19</v>
      </c>
    </row>
    <row r="19" spans="1:119" x14ac:dyDescent="0.3">
      <c r="A19" s="77" t="s">
        <v>78</v>
      </c>
      <c r="B19" s="112" t="s">
        <v>84</v>
      </c>
      <c r="C19" s="112" t="s">
        <v>85</v>
      </c>
      <c r="D19" s="112" t="s">
        <v>86</v>
      </c>
      <c r="E19" s="112" t="s">
        <v>87</v>
      </c>
      <c r="F19" s="112">
        <v>39.799999999999997</v>
      </c>
      <c r="G19" s="112" t="s">
        <v>114</v>
      </c>
      <c r="H19" s="112" t="s">
        <v>88</v>
      </c>
      <c r="P19" t="s">
        <v>84</v>
      </c>
      <c r="Q19" t="s">
        <v>85</v>
      </c>
      <c r="R19" t="s">
        <v>86</v>
      </c>
      <c r="S19" t="s">
        <v>87</v>
      </c>
      <c r="T19">
        <v>39.799999999999997</v>
      </c>
      <c r="U19" t="s">
        <v>114</v>
      </c>
      <c r="V19" t="s">
        <v>88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114</v>
      </c>
      <c r="AG19" t="s">
        <v>88</v>
      </c>
      <c r="AI19" s="114" t="s">
        <v>89</v>
      </c>
      <c r="AJ19" s="112" t="s">
        <v>90</v>
      </c>
      <c r="AK19" s="112" t="s">
        <v>86</v>
      </c>
      <c r="AL19" s="112" t="s">
        <v>91</v>
      </c>
      <c r="AM19" s="112">
        <v>39.799999999999997</v>
      </c>
      <c r="AN19" s="78"/>
      <c r="AO19" s="112" t="s">
        <v>88</v>
      </c>
      <c r="AX19" t="s">
        <v>89</v>
      </c>
      <c r="AY19" t="s">
        <v>90</v>
      </c>
      <c r="AZ19" t="s">
        <v>86</v>
      </c>
      <c r="BA19" t="s">
        <v>91</v>
      </c>
      <c r="BB19">
        <v>39.799999999999997</v>
      </c>
      <c r="BC19" t="s">
        <v>114</v>
      </c>
      <c r="BD19" t="s">
        <v>88</v>
      </c>
      <c r="BI19" t="s">
        <v>84</v>
      </c>
      <c r="BJ19" t="s">
        <v>85</v>
      </c>
      <c r="BK19" t="s">
        <v>86</v>
      </c>
      <c r="BL19" t="s">
        <v>87</v>
      </c>
      <c r="BM19">
        <v>39.799999999999997</v>
      </c>
      <c r="BN19" t="s">
        <v>49</v>
      </c>
      <c r="BO19" t="s">
        <v>88</v>
      </c>
      <c r="BQ19" s="71" t="s">
        <v>84</v>
      </c>
      <c r="BR19" t="s">
        <v>85</v>
      </c>
      <c r="BS19" t="s">
        <v>86</v>
      </c>
      <c r="BT19" t="s">
        <v>87</v>
      </c>
      <c r="BU19">
        <v>39.799999999999997</v>
      </c>
      <c r="BV19" t="s">
        <v>114</v>
      </c>
      <c r="BW19" t="s">
        <v>88</v>
      </c>
      <c r="CF19" t="s">
        <v>84</v>
      </c>
      <c r="CG19" t="s">
        <v>85</v>
      </c>
      <c r="CH19" t="s">
        <v>86</v>
      </c>
      <c r="CI19" t="s">
        <v>87</v>
      </c>
      <c r="CJ19">
        <v>39.799999999999997</v>
      </c>
      <c r="CK19" t="s">
        <v>114</v>
      </c>
      <c r="CL19" t="s">
        <v>88</v>
      </c>
      <c r="CQ19" t="s">
        <v>84</v>
      </c>
      <c r="CR19" t="s">
        <v>85</v>
      </c>
      <c r="CS19" t="s">
        <v>86</v>
      </c>
      <c r="CT19" t="s">
        <v>87</v>
      </c>
      <c r="CU19">
        <v>39.799999999999997</v>
      </c>
      <c r="CV19" t="s">
        <v>114</v>
      </c>
      <c r="CW19" t="s">
        <v>88</v>
      </c>
      <c r="CY19" s="105" t="s">
        <v>158</v>
      </c>
      <c r="CZ19" s="105">
        <v>3.6</v>
      </c>
      <c r="DA19" s="106">
        <v>120</v>
      </c>
      <c r="DB19" s="106">
        <v>237804</v>
      </c>
      <c r="DC19" s="106">
        <v>20595330</v>
      </c>
      <c r="DD19" s="106">
        <v>2.2000000000000002</v>
      </c>
      <c r="DE19" s="107">
        <v>2.2000000000000002</v>
      </c>
      <c r="DF19" s="110" t="s">
        <v>170</v>
      </c>
      <c r="DH19" s="93" t="s">
        <v>158</v>
      </c>
      <c r="DI19" s="93">
        <v>3.6</v>
      </c>
      <c r="DJ19">
        <v>120</v>
      </c>
      <c r="DK19">
        <v>237804</v>
      </c>
      <c r="DL19" s="51">
        <v>20595330</v>
      </c>
      <c r="DM19" s="51">
        <v>2.2000000000000002</v>
      </c>
      <c r="DN19" s="51">
        <v>2.2000000000000002</v>
      </c>
      <c r="DO19" s="112" t="s">
        <v>170</v>
      </c>
    </row>
    <row r="20" spans="1:119" x14ac:dyDescent="0.3">
      <c r="A20" s="77"/>
      <c r="P20" s="78"/>
      <c r="Q20" s="78"/>
      <c r="R20" s="78"/>
      <c r="S20" s="78"/>
      <c r="T20" s="78"/>
      <c r="U20" s="78"/>
      <c r="AA20" t="s">
        <v>89</v>
      </c>
      <c r="AB20" t="s">
        <v>90</v>
      </c>
      <c r="AC20" t="s">
        <v>86</v>
      </c>
      <c r="AD20" t="s">
        <v>91</v>
      </c>
      <c r="AE20">
        <v>39.799999999999997</v>
      </c>
      <c r="AF20" t="s">
        <v>49</v>
      </c>
      <c r="AG20" t="s">
        <v>88</v>
      </c>
      <c r="AX20" s="78"/>
      <c r="AY20" s="78"/>
      <c r="AZ20" s="78"/>
      <c r="BA20" s="78"/>
      <c r="BB20" s="78"/>
      <c r="BI20" t="s">
        <v>89</v>
      </c>
      <c r="BJ20" t="s">
        <v>90</v>
      </c>
      <c r="BK20" t="s">
        <v>86</v>
      </c>
      <c r="BL20" t="s">
        <v>91</v>
      </c>
      <c r="BM20">
        <v>39.799999999999997</v>
      </c>
      <c r="BN20" t="s">
        <v>114</v>
      </c>
      <c r="BO20" t="s">
        <v>88</v>
      </c>
      <c r="CF20" s="78"/>
      <c r="CG20" s="78"/>
      <c r="CH20" s="78"/>
      <c r="CI20" s="78"/>
      <c r="CJ20" s="78"/>
      <c r="CQ20" t="s">
        <v>89</v>
      </c>
      <c r="CR20" t="s">
        <v>90</v>
      </c>
      <c r="CS20" t="s">
        <v>86</v>
      </c>
      <c r="CT20" t="s">
        <v>91</v>
      </c>
      <c r="CU20">
        <v>39.799999999999997</v>
      </c>
      <c r="CV20" t="s">
        <v>49</v>
      </c>
      <c r="CW20" t="s">
        <v>88</v>
      </c>
      <c r="CY20" s="108" t="s">
        <v>159</v>
      </c>
      <c r="CZ20" s="106">
        <v>5</v>
      </c>
      <c r="DA20" s="106">
        <v>122</v>
      </c>
      <c r="DB20" s="106">
        <v>427397</v>
      </c>
      <c r="DC20" s="106">
        <v>37230240</v>
      </c>
      <c r="DD20" s="106">
        <v>3.2</v>
      </c>
      <c r="DE20" s="106">
        <v>3.2</v>
      </c>
      <c r="DF20" s="110" t="s">
        <v>170</v>
      </c>
      <c r="DH20" s="93" t="s">
        <v>159</v>
      </c>
      <c r="DI20" s="93">
        <v>5</v>
      </c>
      <c r="DJ20">
        <v>122</v>
      </c>
      <c r="DK20">
        <v>427397</v>
      </c>
      <c r="DL20" s="51">
        <v>37230240</v>
      </c>
      <c r="DM20" s="51">
        <v>3.2</v>
      </c>
      <c r="DN20" s="51">
        <v>3.2</v>
      </c>
      <c r="DO20" s="112" t="s">
        <v>170</v>
      </c>
    </row>
    <row r="21" spans="1:119" x14ac:dyDescent="0.3">
      <c r="A21" s="76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147</v>
      </c>
      <c r="G21" t="s">
        <v>143</v>
      </c>
      <c r="H21" t="s">
        <v>148</v>
      </c>
      <c r="AI21" s="71" t="s">
        <v>81</v>
      </c>
      <c r="AJ21" t="s">
        <v>82</v>
      </c>
      <c r="AK21" t="s">
        <v>80</v>
      </c>
      <c r="AL21" t="s">
        <v>83</v>
      </c>
      <c r="AM21" t="s">
        <v>147</v>
      </c>
      <c r="AN21" t="s">
        <v>143</v>
      </c>
      <c r="AO21" t="s">
        <v>148</v>
      </c>
      <c r="BQ21" s="71" t="s">
        <v>81</v>
      </c>
      <c r="BR21" t="s">
        <v>82</v>
      </c>
      <c r="BS21" t="s">
        <v>80</v>
      </c>
      <c r="BT21" t="s">
        <v>83</v>
      </c>
      <c r="BU21" t="s">
        <v>147</v>
      </c>
      <c r="BV21" t="s">
        <v>143</v>
      </c>
      <c r="BW21" t="s">
        <v>148</v>
      </c>
      <c r="CY21" s="109" t="s">
        <v>160</v>
      </c>
      <c r="CZ21" s="109">
        <v>4</v>
      </c>
      <c r="DA21" s="106">
        <v>130</v>
      </c>
      <c r="DB21" s="106">
        <v>239664</v>
      </c>
      <c r="DC21" s="109">
        <v>23265890</v>
      </c>
      <c r="DD21" s="109">
        <v>2.2000000000000002</v>
      </c>
      <c r="DE21" s="106">
        <v>2.2000000000000002</v>
      </c>
      <c r="DF21" s="110" t="s">
        <v>170</v>
      </c>
      <c r="DH21" s="51" t="s">
        <v>160</v>
      </c>
      <c r="DI21" s="51">
        <v>4</v>
      </c>
      <c r="DJ21">
        <v>130</v>
      </c>
      <c r="DK21">
        <v>239664</v>
      </c>
      <c r="DL21" s="51">
        <v>23265890</v>
      </c>
      <c r="DM21" s="51">
        <v>2.2000000000000002</v>
      </c>
      <c r="DN21" s="51">
        <v>2.2000000000000002</v>
      </c>
      <c r="DO21" s="112" t="s">
        <v>170</v>
      </c>
    </row>
    <row r="22" spans="1:119" x14ac:dyDescent="0.3">
      <c r="A22" s="77" t="s">
        <v>74</v>
      </c>
      <c r="P22" s="79" t="s">
        <v>77</v>
      </c>
      <c r="AX22" s="79" t="s">
        <v>77</v>
      </c>
      <c r="CF22" s="79" t="s">
        <v>77</v>
      </c>
      <c r="CY22" s="108" t="s">
        <v>161</v>
      </c>
      <c r="CZ22" s="106">
        <v>6</v>
      </c>
      <c r="DA22" s="106">
        <v>142</v>
      </c>
      <c r="DB22" s="106">
        <v>312142</v>
      </c>
      <c r="DC22" s="106">
        <v>59416040</v>
      </c>
      <c r="DD22" s="106">
        <v>2.85</v>
      </c>
      <c r="DE22" s="106">
        <v>2.85</v>
      </c>
      <c r="DF22" s="110" t="s">
        <v>170</v>
      </c>
      <c r="DH22" s="51" t="s">
        <v>161</v>
      </c>
      <c r="DI22" s="51">
        <v>6</v>
      </c>
      <c r="DJ22">
        <v>142</v>
      </c>
      <c r="DK22">
        <v>312142</v>
      </c>
      <c r="DL22" s="51">
        <v>59416040</v>
      </c>
      <c r="DM22" s="51">
        <v>2.85</v>
      </c>
      <c r="DN22" s="51">
        <v>2.85</v>
      </c>
      <c r="DO22" s="112" t="s">
        <v>170</v>
      </c>
    </row>
    <row r="23" spans="1:119" x14ac:dyDescent="0.3">
      <c r="A23" s="77"/>
      <c r="CY23" s="108" t="s">
        <v>162</v>
      </c>
      <c r="CZ23" s="106">
        <v>8</v>
      </c>
      <c r="DA23" s="106">
        <v>164</v>
      </c>
      <c r="DB23" s="106">
        <v>450972</v>
      </c>
      <c r="DC23" s="106">
        <v>72350120</v>
      </c>
      <c r="DD23" s="106">
        <v>2.29</v>
      </c>
      <c r="DE23" s="106">
        <v>2.29</v>
      </c>
      <c r="DF23" s="110" t="s">
        <v>170</v>
      </c>
      <c r="DH23" s="51" t="s">
        <v>162</v>
      </c>
      <c r="DI23" s="51">
        <v>8</v>
      </c>
      <c r="DJ23">
        <v>164</v>
      </c>
      <c r="DK23">
        <v>450972</v>
      </c>
      <c r="DL23" s="51">
        <v>72350120</v>
      </c>
      <c r="DM23" s="51">
        <v>2.29</v>
      </c>
      <c r="DN23" s="51">
        <v>2.29</v>
      </c>
      <c r="DO23" s="112" t="s">
        <v>170</v>
      </c>
    </row>
    <row r="24" spans="1:119" x14ac:dyDescent="0.3">
      <c r="A24" s="77" t="s">
        <v>75</v>
      </c>
      <c r="B24" t="s">
        <v>1</v>
      </c>
      <c r="C24" t="s">
        <v>116</v>
      </c>
      <c r="D24" t="s">
        <v>115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118</v>
      </c>
      <c r="N24" t="s">
        <v>104</v>
      </c>
      <c r="O24" t="s">
        <v>103</v>
      </c>
      <c r="P24" t="s">
        <v>1</v>
      </c>
      <c r="Q24" t="s">
        <v>116</v>
      </c>
      <c r="R24" t="s">
        <v>115</v>
      </c>
      <c r="S24" t="s">
        <v>92</v>
      </c>
      <c r="T24" t="s">
        <v>93</v>
      </c>
      <c r="U24" t="s">
        <v>94</v>
      </c>
      <c r="W24" t="s">
        <v>118</v>
      </c>
      <c r="X24" t="s">
        <v>104</v>
      </c>
      <c r="Y24" t="s">
        <v>103</v>
      </c>
      <c r="AI24" s="71" t="s">
        <v>1</v>
      </c>
      <c r="AJ24" t="s">
        <v>116</v>
      </c>
      <c r="AK24" t="s">
        <v>115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118</v>
      </c>
      <c r="AU24" t="s">
        <v>104</v>
      </c>
      <c r="AV24" t="s">
        <v>103</v>
      </c>
      <c r="AX24" t="s">
        <v>1</v>
      </c>
      <c r="AY24" t="s">
        <v>116</v>
      </c>
      <c r="AZ24" t="s">
        <v>115</v>
      </c>
      <c r="BA24" t="s">
        <v>92</v>
      </c>
      <c r="BB24" t="s">
        <v>93</v>
      </c>
      <c r="BC24" t="s">
        <v>94</v>
      </c>
      <c r="BE24" t="s">
        <v>118</v>
      </c>
      <c r="BF24" t="s">
        <v>104</v>
      </c>
      <c r="BG24" t="s">
        <v>103</v>
      </c>
      <c r="BQ24" s="71" t="s">
        <v>1</v>
      </c>
      <c r="BR24" t="s">
        <v>116</v>
      </c>
      <c r="BS24" t="s">
        <v>115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118</v>
      </c>
      <c r="CC24" t="s">
        <v>104</v>
      </c>
      <c r="CD24" t="s">
        <v>103</v>
      </c>
      <c r="CF24" t="s">
        <v>1</v>
      </c>
      <c r="CG24" t="s">
        <v>116</v>
      </c>
      <c r="CH24" t="s">
        <v>115</v>
      </c>
      <c r="CI24" t="s">
        <v>92</v>
      </c>
      <c r="CJ24" t="s">
        <v>93</v>
      </c>
      <c r="CK24" t="s">
        <v>94</v>
      </c>
      <c r="CM24" t="s">
        <v>118</v>
      </c>
      <c r="CN24" t="s">
        <v>104</v>
      </c>
      <c r="CO24" t="s">
        <v>103</v>
      </c>
      <c r="CY24" s="109" t="s">
        <v>163</v>
      </c>
      <c r="CZ24" s="109">
        <v>9.5</v>
      </c>
      <c r="DA24" s="106">
        <v>174</v>
      </c>
      <c r="DB24" s="106">
        <v>484588</v>
      </c>
      <c r="DC24" s="109">
        <v>83636270</v>
      </c>
      <c r="DD24" s="109">
        <v>3.5</v>
      </c>
      <c r="DE24" s="106">
        <v>3.5</v>
      </c>
      <c r="DF24" s="110" t="s">
        <v>170</v>
      </c>
      <c r="DH24" s="51" t="s">
        <v>163</v>
      </c>
      <c r="DI24" s="51">
        <v>9.5</v>
      </c>
      <c r="DJ24">
        <v>174</v>
      </c>
      <c r="DK24">
        <v>484588</v>
      </c>
      <c r="DL24" s="51">
        <v>83636270</v>
      </c>
      <c r="DM24" s="51">
        <v>3.5</v>
      </c>
      <c r="DN24" s="51">
        <v>3.5</v>
      </c>
      <c r="DO24" s="112" t="s">
        <v>170</v>
      </c>
    </row>
    <row r="25" spans="1:119" x14ac:dyDescent="0.3">
      <c r="B25" s="112">
        <v>1</v>
      </c>
      <c r="C25" s="113">
        <v>5.8</v>
      </c>
      <c r="D25" s="113">
        <v>2.6</v>
      </c>
      <c r="E25" s="112">
        <v>8</v>
      </c>
      <c r="F25" s="112">
        <v>8</v>
      </c>
      <c r="G25" s="112">
        <v>115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80">
        <f>IFERROR((MP_DATA[[#This Row],[D, bottom '[m']]]+MP_DATA[[#This Row],[D, top '[m']]])/(2*MP_DATA[[#This Row],[t '[mm']]]/1000),"")</f>
        <v>69.565217391304344</v>
      </c>
      <c r="M25" s="112">
        <v>5.6</v>
      </c>
      <c r="N25" s="112">
        <v>70000</v>
      </c>
      <c r="O25" s="112" t="s">
        <v>105</v>
      </c>
      <c r="P25" s="78">
        <v>1</v>
      </c>
      <c r="Q25" s="81">
        <v>5.8</v>
      </c>
      <c r="R25" s="81">
        <v>2.6</v>
      </c>
      <c r="S25">
        <v>8</v>
      </c>
      <c r="T25" s="78">
        <v>8</v>
      </c>
      <c r="U25">
        <v>115</v>
      </c>
      <c r="W25">
        <v>5.6</v>
      </c>
      <c r="X25">
        <v>70000</v>
      </c>
      <c r="Y25" t="s">
        <v>105</v>
      </c>
      <c r="AI25" s="114">
        <v>1</v>
      </c>
      <c r="AJ25" s="112">
        <v>21.47</v>
      </c>
      <c r="AK25" s="112">
        <v>17.5</v>
      </c>
      <c r="AL25" s="112">
        <v>8</v>
      </c>
      <c r="AM25" s="112">
        <v>8</v>
      </c>
      <c r="AN25" s="112">
        <v>117</v>
      </c>
      <c r="AO25" s="80">
        <f>IFERROR(TP_DATA[[#This Row],[Bottom '[m']]]-TP_DATA[[#This Row],[D, top '[m']]], "")</f>
        <v>9.5</v>
      </c>
      <c r="AP25" s="80">
        <f>IFERROR(-(TP_DATA[[#This Row],[D, bottom '[m']]]-TP_DATA[[#This Row],[D, top '[m']]])/(TP_DATA[[#This Row],[Bottom '[m']]]-TP_DATA[[#This Row],[Top '[m']]]),"")</f>
        <v>0</v>
      </c>
      <c r="AQ25" s="80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90.299932258163409</v>
      </c>
      <c r="AR25" s="80">
        <f>IFERROR((TP_DATA[[#This Row],[D, bottom '[m']]]+TP_DATA[[#This Row],[D, top '[m']]])/(2*TP_DATA[[#This Row],[t '[mm']]]/1000),"")</f>
        <v>68.376068376068375</v>
      </c>
      <c r="AT25" s="112">
        <v>21.47</v>
      </c>
      <c r="AU25" s="112">
        <v>30000</v>
      </c>
      <c r="AV25" s="112" t="s">
        <v>110</v>
      </c>
      <c r="AX25" s="78">
        <v>1</v>
      </c>
      <c r="AY25" s="78">
        <v>21.47</v>
      </c>
      <c r="AZ25" s="78">
        <v>17.5</v>
      </c>
      <c r="BA25">
        <v>8</v>
      </c>
      <c r="BB25" s="78">
        <v>8</v>
      </c>
      <c r="BC25">
        <v>117</v>
      </c>
      <c r="BE25">
        <v>21.47</v>
      </c>
      <c r="BF25">
        <v>30000</v>
      </c>
      <c r="BG25" t="s">
        <v>110</v>
      </c>
      <c r="BQ25" s="71">
        <v>1</v>
      </c>
      <c r="BR25">
        <v>5.8</v>
      </c>
      <c r="BS25">
        <v>2.6</v>
      </c>
      <c r="BT25">
        <v>8</v>
      </c>
      <c r="BU25">
        <v>8</v>
      </c>
      <c r="BV25">
        <v>115</v>
      </c>
      <c r="BW25" s="80">
        <f>IFERROR(TOWER_DATA[[#This Row],[Bottom '[m']]]-TOWER_DATA[[#This Row],[D, top '[m']]], "")</f>
        <v>-5.4</v>
      </c>
      <c r="BX25" s="80">
        <f>IFERROR(-(TOWER_DATA[[#This Row],[D, bottom '[m']]]-TOWER_DATA[[#This Row],[D, top '[m']]])/(TOWER_DATA[[#This Row],[Bottom '[m']]]-TOWER_DATA[[#This Row],[Top '[m']]]),"")</f>
        <v>0</v>
      </c>
      <c r="BY25" s="80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71.55978808288738</v>
      </c>
      <c r="BZ25" s="80">
        <f>IFERROR((TOWER_DATA[[#This Row],[D, bottom '[m']]]+TOWER_DATA[[#This Row],[D, top '[m']]])/(2*TOWER_DATA[[#This Row],[t '[mm']]]/1000),"")</f>
        <v>69.565217391304344</v>
      </c>
      <c r="CB25" s="83">
        <v>5.6</v>
      </c>
      <c r="CC25" s="83">
        <v>70000</v>
      </c>
      <c r="CD25" s="83" t="s">
        <v>105</v>
      </c>
      <c r="CF25" s="78">
        <v>1</v>
      </c>
      <c r="CG25" s="78">
        <v>5.8</v>
      </c>
      <c r="CH25" s="78">
        <v>2.6</v>
      </c>
      <c r="CI25">
        <v>8</v>
      </c>
      <c r="CJ25" s="78">
        <v>8</v>
      </c>
      <c r="CK25">
        <v>115</v>
      </c>
      <c r="CM25">
        <v>5.6</v>
      </c>
      <c r="CN25">
        <v>70000</v>
      </c>
      <c r="CO25" t="s">
        <v>105</v>
      </c>
      <c r="CY25" s="108" t="s">
        <v>164</v>
      </c>
      <c r="CZ25" s="106">
        <v>10</v>
      </c>
      <c r="DA25" s="106">
        <v>180</v>
      </c>
      <c r="DB25" s="106">
        <v>673916</v>
      </c>
      <c r="DC25" s="106">
        <v>102240300</v>
      </c>
      <c r="DD25" s="106">
        <v>3.5</v>
      </c>
      <c r="DE25" s="107">
        <v>3.5</v>
      </c>
      <c r="DF25" s="111" t="s">
        <v>170</v>
      </c>
      <c r="DH25" s="51" t="s">
        <v>164</v>
      </c>
      <c r="DI25" s="51">
        <v>10</v>
      </c>
      <c r="DJ25">
        <v>180</v>
      </c>
      <c r="DK25">
        <v>673916</v>
      </c>
      <c r="DL25" s="51">
        <v>102240300</v>
      </c>
      <c r="DM25" s="51">
        <v>3.5</v>
      </c>
      <c r="DN25" s="51">
        <v>3.5</v>
      </c>
      <c r="DO25" s="112" t="s">
        <v>170</v>
      </c>
    </row>
    <row r="26" spans="1:119" x14ac:dyDescent="0.3">
      <c r="B26" s="112">
        <v>2</v>
      </c>
      <c r="C26" s="113">
        <v>2.6</v>
      </c>
      <c r="D26" s="113">
        <v>-0.6</v>
      </c>
      <c r="E26" s="112">
        <v>8</v>
      </c>
      <c r="F26" s="112">
        <v>8</v>
      </c>
      <c r="G26" s="112">
        <v>115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71.55978808288738</v>
      </c>
      <c r="K26" s="80">
        <f>IFERROR((MP_DATA[[#This Row],[D, bottom '[m']]]+MP_DATA[[#This Row],[D, top '[m']]])/(2*MP_DATA[[#This Row],[t '[mm']]]/1000),"")</f>
        <v>69.565217391304344</v>
      </c>
      <c r="M26" s="112">
        <v>4.2</v>
      </c>
      <c r="N26" s="112">
        <v>9000</v>
      </c>
      <c r="O26" s="112" t="s">
        <v>106</v>
      </c>
      <c r="P26" s="78">
        <v>2</v>
      </c>
      <c r="Q26" s="81">
        <v>2.6</v>
      </c>
      <c r="R26" s="81">
        <v>-0.6</v>
      </c>
      <c r="S26">
        <v>8</v>
      </c>
      <c r="T26" s="78">
        <v>8</v>
      </c>
      <c r="U26">
        <v>115</v>
      </c>
      <c r="W26">
        <v>4.2</v>
      </c>
      <c r="X26">
        <v>9000</v>
      </c>
      <c r="Y26" t="s">
        <v>106</v>
      </c>
      <c r="AI26" s="114">
        <v>2</v>
      </c>
      <c r="AJ26" s="112">
        <v>17.5</v>
      </c>
      <c r="AK26" s="112">
        <v>13.5</v>
      </c>
      <c r="AL26" s="112">
        <v>8</v>
      </c>
      <c r="AM26" s="112">
        <v>8</v>
      </c>
      <c r="AN26" s="112">
        <v>117</v>
      </c>
      <c r="AO26" s="80">
        <f>IFERROR(TP_DATA[[#This Row],[Bottom '[m']]]-TP_DATA[[#This Row],[D, top '[m']]], "")</f>
        <v>5.5</v>
      </c>
      <c r="AP26" s="80">
        <f>IFERROR(-(TP_DATA[[#This Row],[D, bottom '[m']]]-TP_DATA[[#This Row],[D, top '[m']]])/(TP_DATA[[#This Row],[Bottom '[m']]]-TP_DATA[[#This Row],[Top '[m']]]),"")</f>
        <v>0</v>
      </c>
      <c r="AQ26" s="80">
        <f t="shared" si="1"/>
        <v>90.982299504446786</v>
      </c>
      <c r="AR26" s="80">
        <f>IFERROR((TP_DATA[[#This Row],[D, bottom '[m']]]+TP_DATA[[#This Row],[D, top '[m']]])/(2*TP_DATA[[#This Row],[t '[mm']]]/1000),"")</f>
        <v>68.376068376068375</v>
      </c>
      <c r="AT26" s="112">
        <v>20.7</v>
      </c>
      <c r="AU26" s="112">
        <v>20000</v>
      </c>
      <c r="AV26" s="112" t="s">
        <v>111</v>
      </c>
      <c r="AX26" s="78">
        <v>2</v>
      </c>
      <c r="AY26" s="78">
        <v>17.5</v>
      </c>
      <c r="AZ26" s="78">
        <v>13.5</v>
      </c>
      <c r="BA26">
        <v>8</v>
      </c>
      <c r="BB26" s="78">
        <v>8</v>
      </c>
      <c r="BC26">
        <v>117</v>
      </c>
      <c r="BE26">
        <v>20.7</v>
      </c>
      <c r="BF26">
        <v>20000</v>
      </c>
      <c r="BG26" t="s">
        <v>111</v>
      </c>
      <c r="BQ26" s="71">
        <v>2</v>
      </c>
      <c r="BR26">
        <v>2.6</v>
      </c>
      <c r="BS26">
        <v>-0.6</v>
      </c>
      <c r="BT26">
        <v>8</v>
      </c>
      <c r="BU26">
        <v>8</v>
      </c>
      <c r="BV26">
        <v>115</v>
      </c>
      <c r="BW26" s="80">
        <f>IFERROR(TOWER_DATA[[#This Row],[Bottom '[m']]]-TOWER_DATA[[#This Row],[D, top '[m']]], "")</f>
        <v>-8.6</v>
      </c>
      <c r="BX26" s="80">
        <f>IFERROR(-(TOWER_DATA[[#This Row],[D, bottom '[m']]]-TOWER_DATA[[#This Row],[D, top '[m']]])/(TOWER_DATA[[#This Row],[Bottom '[m']]]-TOWER_DATA[[#This Row],[Top '[m']]]),"")</f>
        <v>0</v>
      </c>
      <c r="BY26" s="80">
        <f t="shared" si="2"/>
        <v>71.55978808288738</v>
      </c>
      <c r="BZ26" s="80">
        <f>IFERROR((TOWER_DATA[[#This Row],[D, bottom '[m']]]+TOWER_DATA[[#This Row],[D, top '[m']]])/(2*TOWER_DATA[[#This Row],[t '[mm']]]/1000),"")</f>
        <v>69.565217391304344</v>
      </c>
      <c r="CB26" s="83">
        <v>4.2</v>
      </c>
      <c r="CC26" s="83">
        <v>9000</v>
      </c>
      <c r="CD26" s="83" t="s">
        <v>106</v>
      </c>
      <c r="CF26" s="78">
        <v>2</v>
      </c>
      <c r="CG26" s="78">
        <v>2.6</v>
      </c>
      <c r="CH26" s="78">
        <v>-0.6</v>
      </c>
      <c r="CI26">
        <v>8</v>
      </c>
      <c r="CJ26" s="78">
        <v>8</v>
      </c>
      <c r="CK26">
        <v>115</v>
      </c>
      <c r="CM26">
        <v>4.2</v>
      </c>
      <c r="CN26">
        <v>9000</v>
      </c>
      <c r="CO26" t="s">
        <v>106</v>
      </c>
      <c r="CY26" s="108" t="s">
        <v>140</v>
      </c>
      <c r="CZ26" s="106">
        <v>13</v>
      </c>
      <c r="DA26" s="106">
        <v>210</v>
      </c>
      <c r="DB26" s="106">
        <v>777534</v>
      </c>
      <c r="DC26" s="106">
        <v>197394400</v>
      </c>
      <c r="DD26" s="106">
        <v>3.4</v>
      </c>
      <c r="DE26" s="107">
        <v>3.4</v>
      </c>
      <c r="DF26" s="111" t="s">
        <v>170</v>
      </c>
      <c r="DH26" s="51" t="s">
        <v>140</v>
      </c>
      <c r="DI26" s="94">
        <v>13</v>
      </c>
      <c r="DJ26">
        <v>210</v>
      </c>
      <c r="DK26">
        <v>777534</v>
      </c>
      <c r="DL26" s="51">
        <v>197394400</v>
      </c>
      <c r="DM26" s="51">
        <v>3.4</v>
      </c>
      <c r="DN26" s="51">
        <v>3.4</v>
      </c>
      <c r="DO26" s="112" t="s">
        <v>170</v>
      </c>
    </row>
    <row r="27" spans="1:119" x14ac:dyDescent="0.3">
      <c r="B27" s="112">
        <v>3</v>
      </c>
      <c r="C27" s="113">
        <v>-0.6</v>
      </c>
      <c r="D27" s="113">
        <v>-3.8</v>
      </c>
      <c r="E27" s="112">
        <v>8</v>
      </c>
      <c r="F27" s="112">
        <v>8</v>
      </c>
      <c r="G27" s="112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 s="112">
        <v>0.3</v>
      </c>
      <c r="N27" s="112">
        <v>100000</v>
      </c>
      <c r="O27" s="112" t="s">
        <v>107</v>
      </c>
      <c r="P27" s="78">
        <v>3</v>
      </c>
      <c r="Q27" s="81">
        <v>-0.6</v>
      </c>
      <c r="R27" s="81">
        <v>-3.8</v>
      </c>
      <c r="S27">
        <v>8</v>
      </c>
      <c r="T27" s="78">
        <v>8</v>
      </c>
      <c r="U27">
        <v>125</v>
      </c>
      <c r="W27">
        <v>0.3</v>
      </c>
      <c r="X27">
        <v>100000</v>
      </c>
      <c r="Y27" t="s">
        <v>107</v>
      </c>
      <c r="AI27" s="114">
        <v>3</v>
      </c>
      <c r="AJ27" s="112">
        <v>13.5</v>
      </c>
      <c r="AK27" s="112">
        <v>9.5</v>
      </c>
      <c r="AL27" s="112">
        <v>8</v>
      </c>
      <c r="AM27" s="112">
        <v>8</v>
      </c>
      <c r="AN27" s="112">
        <v>124</v>
      </c>
      <c r="AO27" s="80">
        <f>IFERROR(TP_DATA[[#This Row],[Bottom '[m']]]-TP_DATA[[#This Row],[D, top '[m']]], "")</f>
        <v>1.5</v>
      </c>
      <c r="AP27" s="80">
        <f>IFERROR(-(TP_DATA[[#This Row],[D, bottom '[m']]]-TP_DATA[[#This Row],[D, top '[m']]])/(TP_DATA[[#This Row],[Bottom '[m']]]-TP_DATA[[#This Row],[Top '[m']]]),"")</f>
        <v>0</v>
      </c>
      <c r="AQ27" s="80">
        <f t="shared" si="1"/>
        <v>96.340060208791698</v>
      </c>
      <c r="AR27" s="80">
        <f>IFERROR((TP_DATA[[#This Row],[D, bottom '[m']]]+TP_DATA[[#This Row],[D, top '[m']]])/(2*TP_DATA[[#This Row],[t '[mm']]]/1000),"")</f>
        <v>64.516129032258064</v>
      </c>
      <c r="AT27" s="112">
        <v>20.100000000000001</v>
      </c>
      <c r="AU27" s="112">
        <v>5000</v>
      </c>
      <c r="AV27" s="112" t="s">
        <v>102</v>
      </c>
      <c r="AX27" s="78">
        <v>3</v>
      </c>
      <c r="AY27" s="78">
        <v>13.5</v>
      </c>
      <c r="AZ27" s="78">
        <v>9.5</v>
      </c>
      <c r="BA27">
        <v>8</v>
      </c>
      <c r="BB27" s="78">
        <v>8</v>
      </c>
      <c r="BC27">
        <v>124</v>
      </c>
      <c r="BE27">
        <v>20.100000000000001</v>
      </c>
      <c r="BF27">
        <v>5000</v>
      </c>
      <c r="BG27" t="s">
        <v>102</v>
      </c>
      <c r="BQ27" s="71">
        <v>3</v>
      </c>
      <c r="BR27">
        <v>-0.6</v>
      </c>
      <c r="BS27">
        <v>-3.8</v>
      </c>
      <c r="BT27">
        <v>8</v>
      </c>
      <c r="BU27">
        <v>8</v>
      </c>
      <c r="BV27">
        <v>125</v>
      </c>
      <c r="BW27" s="80">
        <f>IFERROR(TOWER_DATA[[#This Row],[Bottom '[m']]]-TOWER_DATA[[#This Row],[D, top '[m']]], "")</f>
        <v>-11.8</v>
      </c>
      <c r="BX27" s="80">
        <f>IFERROR(-(TOWER_DATA[[#This Row],[D, bottom '[m']]]-TOWER_DATA[[#This Row],[D, top '[m']]])/(TOWER_DATA[[#This Row],[Bottom '[m']]]-TOWER_DATA[[#This Row],[Top '[m']]]),"")</f>
        <v>0</v>
      </c>
      <c r="BY27" s="80">
        <f t="shared" si="2"/>
        <v>77.683732341641587</v>
      </c>
      <c r="BZ27" s="80">
        <f>IFERROR((TOWER_DATA[[#This Row],[D, bottom '[m']]]+TOWER_DATA[[#This Row],[D, top '[m']]])/(2*TOWER_DATA[[#This Row],[t '[mm']]]/1000),"")</f>
        <v>64</v>
      </c>
      <c r="CB27" s="83">
        <v>0.3</v>
      </c>
      <c r="CC27" s="83">
        <v>100000</v>
      </c>
      <c r="CD27" s="83" t="s">
        <v>107</v>
      </c>
      <c r="CF27" s="78">
        <v>3</v>
      </c>
      <c r="CG27" s="78">
        <v>-0.6</v>
      </c>
      <c r="CH27" s="78">
        <v>-3.8</v>
      </c>
      <c r="CI27">
        <v>8</v>
      </c>
      <c r="CJ27" s="78">
        <v>8</v>
      </c>
      <c r="CK27">
        <v>125</v>
      </c>
      <c r="CM27">
        <v>0.3</v>
      </c>
      <c r="CN27">
        <v>100000</v>
      </c>
      <c r="CO27" t="s">
        <v>107</v>
      </c>
      <c r="CY27" s="108" t="s">
        <v>165</v>
      </c>
      <c r="CZ27" s="106">
        <v>12</v>
      </c>
      <c r="DA27" s="106">
        <v>220</v>
      </c>
      <c r="DB27" s="106">
        <v>775567</v>
      </c>
      <c r="DC27" s="106">
        <v>198819700</v>
      </c>
      <c r="DD27" s="106">
        <v>3.4</v>
      </c>
      <c r="DE27" s="107">
        <v>3.4</v>
      </c>
      <c r="DF27" s="111" t="s">
        <v>170</v>
      </c>
      <c r="DH27" s="51" t="s">
        <v>165</v>
      </c>
      <c r="DI27" s="51">
        <v>12</v>
      </c>
      <c r="DJ27">
        <v>220</v>
      </c>
      <c r="DK27">
        <v>775567</v>
      </c>
      <c r="DL27" s="51">
        <v>198819700</v>
      </c>
      <c r="DM27" s="51">
        <v>3.4</v>
      </c>
      <c r="DN27" s="51">
        <v>3.4</v>
      </c>
      <c r="DO27" s="112" t="s">
        <v>170</v>
      </c>
    </row>
    <row r="28" spans="1:119" x14ac:dyDescent="0.3">
      <c r="B28" s="112">
        <v>4</v>
      </c>
      <c r="C28" s="113">
        <v>-3.8</v>
      </c>
      <c r="D28" s="113">
        <v>-7.3</v>
      </c>
      <c r="E28" s="112">
        <v>8</v>
      </c>
      <c r="F28" s="112">
        <v>8.44</v>
      </c>
      <c r="G28" s="112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 s="112">
        <v>-5</v>
      </c>
      <c r="N28" s="112">
        <v>1</v>
      </c>
      <c r="O28" s="112" t="s">
        <v>108</v>
      </c>
      <c r="P28" s="78">
        <v>4</v>
      </c>
      <c r="Q28" s="81">
        <v>-3.8</v>
      </c>
      <c r="R28" s="81">
        <v>-7.3</v>
      </c>
      <c r="S28">
        <v>8</v>
      </c>
      <c r="T28" s="78">
        <v>8.44</v>
      </c>
      <c r="U28">
        <v>125</v>
      </c>
      <c r="W28">
        <v>-5</v>
      </c>
      <c r="X28">
        <v>1</v>
      </c>
      <c r="Y28" t="s">
        <v>108</v>
      </c>
      <c r="AI28" s="114">
        <v>4</v>
      </c>
      <c r="AJ28" s="112">
        <v>9.5</v>
      </c>
      <c r="AK28" s="112">
        <v>5.8</v>
      </c>
      <c r="AL28" s="112">
        <v>8</v>
      </c>
      <c r="AM28" s="112">
        <v>8</v>
      </c>
      <c r="AN28" s="112">
        <v>120</v>
      </c>
      <c r="AO28" s="80">
        <f>IFERROR(TP_DATA[[#This Row],[Bottom '[m']]]-TP_DATA[[#This Row],[D, top '[m']]], "")</f>
        <v>-2.2000000000000002</v>
      </c>
      <c r="AP28" s="80">
        <f>IFERROR(-(TP_DATA[[#This Row],[D, bottom '[m']]]-TP_DATA[[#This Row],[D, top '[m']]])/(TP_DATA[[#This Row],[Bottom '[m']]]-TP_DATA[[#This Row],[Top '[m']]]),"")</f>
        <v>0</v>
      </c>
      <c r="AQ28" s="80">
        <f t="shared" si="1"/>
        <v>86.283691434396232</v>
      </c>
      <c r="AR28" s="80">
        <f>IFERROR((TP_DATA[[#This Row],[D, bottom '[m']]]+TP_DATA[[#This Row],[D, top '[m']]])/(2*TP_DATA[[#This Row],[t '[mm']]]/1000),"")</f>
        <v>66.666666666666671</v>
      </c>
      <c r="AT28" s="112">
        <v>14</v>
      </c>
      <c r="AU28" s="112">
        <v>5000</v>
      </c>
      <c r="AV28" s="112" t="s">
        <v>112</v>
      </c>
      <c r="AX28" s="78">
        <v>4</v>
      </c>
      <c r="AY28" s="78">
        <v>9.5</v>
      </c>
      <c r="AZ28" s="78">
        <v>5.8</v>
      </c>
      <c r="BA28">
        <v>8</v>
      </c>
      <c r="BB28" s="78">
        <v>8</v>
      </c>
      <c r="BC28">
        <v>120</v>
      </c>
      <c r="BE28">
        <v>14</v>
      </c>
      <c r="BF28">
        <v>5000</v>
      </c>
      <c r="BG28" t="s">
        <v>112</v>
      </c>
      <c r="BQ28" s="71">
        <v>4</v>
      </c>
      <c r="BR28">
        <v>-3.8</v>
      </c>
      <c r="BS28">
        <v>-7.3</v>
      </c>
      <c r="BT28">
        <v>8</v>
      </c>
      <c r="BU28">
        <v>8.44</v>
      </c>
      <c r="BV28">
        <v>125</v>
      </c>
      <c r="BW28" s="80">
        <f>IFERROR(TOWER_DATA[[#This Row],[Bottom '[m']]]-TOWER_DATA[[#This Row],[D, top '[m']]], "")</f>
        <v>-15.3</v>
      </c>
      <c r="BX28" s="80">
        <f>IFERROR(-(TOWER_DATA[[#This Row],[D, bottom '[m']]]-TOWER_DATA[[#This Row],[D, top '[m']]])/(TOWER_DATA[[#This Row],[Bottom '[m']]]-TOWER_DATA[[#This Row],[Top '[m']]]),"")</f>
        <v>0.12571428571428558</v>
      </c>
      <c r="BY28" s="80">
        <f t="shared" si="2"/>
        <v>87.340251847998317</v>
      </c>
      <c r="BZ28" s="80">
        <f>IFERROR((TOWER_DATA[[#This Row],[D, bottom '[m']]]+TOWER_DATA[[#This Row],[D, top '[m']]])/(2*TOWER_DATA[[#This Row],[t '[mm']]]/1000),"")</f>
        <v>65.759999999999991</v>
      </c>
      <c r="CB28" s="83">
        <v>-5</v>
      </c>
      <c r="CC28" s="83">
        <v>1</v>
      </c>
      <c r="CD28" s="83" t="s">
        <v>108</v>
      </c>
      <c r="CF28" s="78">
        <v>4</v>
      </c>
      <c r="CG28" s="78">
        <v>-3.8</v>
      </c>
      <c r="CH28" s="78">
        <v>-7.3</v>
      </c>
      <c r="CI28">
        <v>8</v>
      </c>
      <c r="CJ28" s="78">
        <v>8.44</v>
      </c>
      <c r="CK28">
        <v>125</v>
      </c>
      <c r="CM28">
        <v>-5</v>
      </c>
      <c r="CN28">
        <v>1</v>
      </c>
      <c r="CO28" t="s">
        <v>108</v>
      </c>
      <c r="CY28" s="108" t="s">
        <v>166</v>
      </c>
      <c r="CZ28" s="106">
        <v>15</v>
      </c>
      <c r="DA28" s="106">
        <v>220</v>
      </c>
      <c r="DB28" s="106">
        <v>1166238</v>
      </c>
      <c r="DC28" s="106">
        <v>205031400</v>
      </c>
      <c r="DD28" s="106">
        <v>3.4</v>
      </c>
      <c r="DE28" s="107">
        <v>3.4</v>
      </c>
      <c r="DF28" s="111" t="s">
        <v>170</v>
      </c>
      <c r="DH28" s="51" t="s">
        <v>166</v>
      </c>
      <c r="DI28" s="51">
        <v>15</v>
      </c>
      <c r="DJ28">
        <v>220</v>
      </c>
      <c r="DK28">
        <v>1166238</v>
      </c>
      <c r="DL28" s="51">
        <v>205031400</v>
      </c>
      <c r="DM28" s="51">
        <v>3.4</v>
      </c>
      <c r="DN28" s="51">
        <v>3.4</v>
      </c>
      <c r="DO28" s="112" t="s">
        <v>170</v>
      </c>
    </row>
    <row r="29" spans="1:119" x14ac:dyDescent="0.3">
      <c r="B29" s="112">
        <v>5</v>
      </c>
      <c r="C29" s="113">
        <v>-7.3</v>
      </c>
      <c r="D29" s="113">
        <v>-10.8</v>
      </c>
      <c r="E29" s="112">
        <v>8.44</v>
      </c>
      <c r="F29" s="112">
        <v>8.8800000000000008</v>
      </c>
      <c r="G29" s="112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 s="112">
        <v>-43.3</v>
      </c>
      <c r="N29" s="112">
        <v>1</v>
      </c>
      <c r="O29" s="112" t="s">
        <v>109</v>
      </c>
      <c r="P29" s="78">
        <v>5</v>
      </c>
      <c r="Q29" s="81">
        <v>-7.3</v>
      </c>
      <c r="R29" s="81">
        <v>-10.8</v>
      </c>
      <c r="S29" s="78">
        <v>8.44</v>
      </c>
      <c r="T29" s="78">
        <v>8.8800000000000008</v>
      </c>
      <c r="U29" s="78">
        <v>106</v>
      </c>
      <c r="W29">
        <v>-43.3</v>
      </c>
      <c r="X29">
        <v>1</v>
      </c>
      <c r="Y29" t="s">
        <v>109</v>
      </c>
      <c r="AO29" s="80" t="str">
        <f>IFERROR(TP_DATA[[#This Row],[Bottom '[m']]]-TP_DATA[[#This Row],[D, top '[m']]], "")</f>
        <v/>
      </c>
      <c r="AP29" s="80" t="str">
        <f>IFERROR(-(TP_DATA[[#This Row],[D, bottom '[m']]]-TP_DATA[[#This Row],[D, top '[m']]])/(TP_DATA[[#This Row],[Bottom '[m']]]-TP_DATA[[#This Row],[Top '[m']]]),"")</f>
        <v/>
      </c>
      <c r="AQ29" s="80" t="str">
        <f t="shared" si="1"/>
        <v/>
      </c>
      <c r="AR29" s="80" t="str">
        <f>IFERROR((TP_DATA[[#This Row],[D, bottom '[m']]]+TP_DATA[[#This Row],[D, top '[m']]])/(2*TP_DATA[[#This Row],[t '[mm']]]/1000),"")</f>
        <v/>
      </c>
      <c r="AS29" s="80" t="str">
        <f>IFERROR((TP_DATA[[#This Row],[D, bottom '[m']]]+#REF!)/(2*#REF!/1000),"")</f>
        <v/>
      </c>
      <c r="AT29" s="112">
        <v>6.1</v>
      </c>
      <c r="AU29" s="112">
        <v>200</v>
      </c>
      <c r="AV29" s="112" t="s">
        <v>113</v>
      </c>
      <c r="AX29" s="78"/>
      <c r="AY29" s="78"/>
      <c r="AZ29" s="78"/>
      <c r="BA29" s="78"/>
      <c r="BB29" s="78"/>
      <c r="BC29" s="78"/>
      <c r="BE29">
        <v>6.1</v>
      </c>
      <c r="BF29">
        <v>200</v>
      </c>
      <c r="BG29" t="s">
        <v>113</v>
      </c>
      <c r="BQ29" s="71">
        <v>5</v>
      </c>
      <c r="BR29">
        <v>-7.3</v>
      </c>
      <c r="BS29">
        <v>-10.8</v>
      </c>
      <c r="BT29">
        <v>8.44</v>
      </c>
      <c r="BU29">
        <v>8.8800000000000008</v>
      </c>
      <c r="BV29">
        <v>106</v>
      </c>
      <c r="BW29" s="80">
        <f>IFERROR(TOWER_DATA[[#This Row],[Bottom '[m']]]-TOWER_DATA[[#This Row],[D, top '[m']]], "")</f>
        <v>-19.240000000000002</v>
      </c>
      <c r="BX29" s="80">
        <f>IFERROR(-(TOWER_DATA[[#This Row],[D, bottom '[m']]]-TOWER_DATA[[#This Row],[D, top '[m']]])/(TOWER_DATA[[#This Row],[Bottom '[m']]]-TOWER_DATA[[#This Row],[Top '[m']]]),"")</f>
        <v>0.12571428571428606</v>
      </c>
      <c r="BY29" s="80">
        <f t="shared" si="2"/>
        <v>78.26411613749147</v>
      </c>
      <c r="BZ29" s="80">
        <f>IFERROR((TOWER_DATA[[#This Row],[D, bottom '[m']]]+TOWER_DATA[[#This Row],[D, top '[m']]])/(2*TOWER_DATA[[#This Row],[t '[mm']]]/1000),"")</f>
        <v>81.698113207547181</v>
      </c>
      <c r="CA29" s="80" t="str">
        <f>IFERROR((TOWER_DATA[[#This Row],[D, bottom '[m']]]+#REF!)/(2*#REF!/1000),"")</f>
        <v/>
      </c>
      <c r="CB29" s="83">
        <v>-43.3</v>
      </c>
      <c r="CC29" s="83">
        <v>1</v>
      </c>
      <c r="CD29" s="83" t="s">
        <v>109</v>
      </c>
      <c r="CF29" s="78">
        <v>5</v>
      </c>
      <c r="CG29" s="78">
        <v>-7.3</v>
      </c>
      <c r="CH29" s="78">
        <v>-10.8</v>
      </c>
      <c r="CI29" s="78">
        <v>8.44</v>
      </c>
      <c r="CJ29" s="78">
        <v>8.8800000000000008</v>
      </c>
      <c r="CK29" s="78">
        <v>106</v>
      </c>
      <c r="CM29">
        <v>-43.3</v>
      </c>
      <c r="CN29">
        <v>1</v>
      </c>
      <c r="CO29" t="s">
        <v>109</v>
      </c>
      <c r="CY29" s="108" t="s">
        <v>167</v>
      </c>
      <c r="CZ29" s="106" t="s">
        <v>169</v>
      </c>
      <c r="DA29" s="106">
        <v>236</v>
      </c>
      <c r="DB29" s="106">
        <v>565481</v>
      </c>
      <c r="DC29" s="106">
        <v>241746700</v>
      </c>
      <c r="DD29" s="106">
        <v>3.5</v>
      </c>
      <c r="DE29" s="107">
        <v>3.5</v>
      </c>
      <c r="DF29" s="111" t="s">
        <v>170</v>
      </c>
      <c r="DH29" s="51" t="s">
        <v>167</v>
      </c>
      <c r="DI29" s="51" t="s">
        <v>169</v>
      </c>
      <c r="DJ29">
        <v>236</v>
      </c>
      <c r="DK29">
        <v>565481</v>
      </c>
      <c r="DL29" s="51">
        <v>241746700</v>
      </c>
      <c r="DM29" s="51">
        <v>3.5</v>
      </c>
      <c r="DN29" s="51">
        <v>3.5</v>
      </c>
      <c r="DO29" s="112" t="s">
        <v>170</v>
      </c>
    </row>
    <row r="30" spans="1:119" x14ac:dyDescent="0.3">
      <c r="B30" s="112">
        <v>6</v>
      </c>
      <c r="C30" s="113">
        <v>-10.8</v>
      </c>
      <c r="D30" s="113">
        <v>-14.3</v>
      </c>
      <c r="E30" s="112">
        <v>8.8800000000000008</v>
      </c>
      <c r="F30" s="112">
        <v>9.31</v>
      </c>
      <c r="G30" s="112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P30" s="78">
        <v>6</v>
      </c>
      <c r="Q30" s="81">
        <v>-10.8</v>
      </c>
      <c r="R30" s="81">
        <v>-14.3</v>
      </c>
      <c r="S30" s="78">
        <v>8.8800000000000008</v>
      </c>
      <c r="T30" s="78">
        <v>9.31</v>
      </c>
      <c r="U30" s="78">
        <v>116</v>
      </c>
      <c r="AO30" s="80" t="str">
        <f>IFERROR(TP_DATA[[#This Row],[Bottom '[m']]]-TP_DATA[[#This Row],[D, top '[m']]], "")</f>
        <v/>
      </c>
      <c r="AP30" s="80" t="str">
        <f>IFERROR(-(TP_DATA[[#This Row],[D, bottom '[m']]]-TP_DATA[[#This Row],[D, top '[m']]])/(TP_DATA[[#This Row],[Bottom '[m']]]-TP_DATA[[#This Row],[Top '[m']]]),"")</f>
        <v/>
      </c>
      <c r="AQ30" s="80" t="str">
        <f t="shared" si="1"/>
        <v/>
      </c>
      <c r="AR30" s="80" t="str">
        <f>IFERROR((TP_DATA[[#This Row],[D, bottom '[m']]]+TP_DATA[[#This Row],[D, top '[m']]])/(2*TP_DATA[[#This Row],[t '[mm']]]/1000),"")</f>
        <v/>
      </c>
      <c r="AS30" s="80" t="str">
        <f>IFERROR((TP_DATA[[#This Row],[D, bottom '[m']]]+#REF!)/(2*#REF!/1000),"")</f>
        <v/>
      </c>
      <c r="AX30" s="78"/>
      <c r="AY30" s="78"/>
      <c r="AZ30" s="78"/>
      <c r="BA30" s="78"/>
      <c r="BB30" s="78"/>
      <c r="BC30" s="78"/>
      <c r="BQ30" s="71">
        <v>6</v>
      </c>
      <c r="BR30">
        <v>-10.8</v>
      </c>
      <c r="BS30">
        <v>-14.3</v>
      </c>
      <c r="BT30">
        <v>8.8800000000000008</v>
      </c>
      <c r="BU30">
        <v>9.31</v>
      </c>
      <c r="BV30">
        <v>116</v>
      </c>
      <c r="BW30" s="80">
        <f>IFERROR(TOWER_DATA[[#This Row],[Bottom '[m']]]-TOWER_DATA[[#This Row],[D, top '[m']]], "")</f>
        <v>-23.18</v>
      </c>
      <c r="BX30" s="80">
        <f>IFERROR(-(TOWER_DATA[[#This Row],[D, bottom '[m']]]-TOWER_DATA[[#This Row],[D, top '[m']]])/(TOWER_DATA[[#This Row],[Bottom '[m']]]-TOWER_DATA[[#This Row],[Top '[m']]]),"")</f>
        <v>0.12285714285714278</v>
      </c>
      <c r="BY30" s="80">
        <f t="shared" si="2"/>
        <v>89.902865547432455</v>
      </c>
      <c r="BZ30" s="80">
        <f>IFERROR((TOWER_DATA[[#This Row],[D, bottom '[m']]]+TOWER_DATA[[#This Row],[D, top '[m']]])/(2*TOWER_DATA[[#This Row],[t '[mm']]]/1000),"")</f>
        <v>78.40517241379311</v>
      </c>
      <c r="CA30" s="80" t="str">
        <f>IFERROR((TOWER_DATA[[#This Row],[D, bottom '[m']]]+#REF!)/(2*#REF!/1000),"")</f>
        <v/>
      </c>
      <c r="CB30" s="83"/>
      <c r="CC30" s="83"/>
      <c r="CD30" s="83"/>
      <c r="CF30" s="78">
        <v>6</v>
      </c>
      <c r="CG30" s="78">
        <v>-10.8</v>
      </c>
      <c r="CH30" s="78">
        <v>-14.3</v>
      </c>
      <c r="CI30" s="78">
        <v>8.8800000000000008</v>
      </c>
      <c r="CJ30" s="78">
        <v>9.31</v>
      </c>
      <c r="CK30" s="78">
        <v>116</v>
      </c>
      <c r="CY30" s="108" t="s">
        <v>168</v>
      </c>
      <c r="CZ30" s="106">
        <v>15</v>
      </c>
      <c r="DA30" s="106">
        <v>240</v>
      </c>
      <c r="DB30" s="106">
        <v>1102065</v>
      </c>
      <c r="DC30" s="106">
        <v>276287200</v>
      </c>
      <c r="DD30" s="106">
        <v>3.4</v>
      </c>
      <c r="DE30" s="107">
        <v>3.4</v>
      </c>
      <c r="DF30" s="111" t="s">
        <v>170</v>
      </c>
      <c r="DH30" s="51" t="s">
        <v>168</v>
      </c>
      <c r="DI30" s="51">
        <v>15</v>
      </c>
      <c r="DJ30">
        <v>240</v>
      </c>
      <c r="DK30">
        <v>1102065</v>
      </c>
      <c r="DL30" s="51">
        <v>276287200</v>
      </c>
      <c r="DM30" s="51">
        <v>3.4</v>
      </c>
      <c r="DN30" s="51">
        <v>3.4</v>
      </c>
      <c r="DO30" s="112" t="s">
        <v>170</v>
      </c>
    </row>
    <row r="31" spans="1:119" x14ac:dyDescent="0.3">
      <c r="B31" s="112">
        <v>7</v>
      </c>
      <c r="C31" s="113">
        <v>-14.3</v>
      </c>
      <c r="D31" s="113">
        <v>-17.8</v>
      </c>
      <c r="E31" s="112">
        <v>9.31</v>
      </c>
      <c r="F31" s="112">
        <v>9.75</v>
      </c>
      <c r="G31" s="112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P31" s="78">
        <v>7</v>
      </c>
      <c r="Q31" s="81">
        <v>-14.3</v>
      </c>
      <c r="R31" s="81">
        <v>-17.8</v>
      </c>
      <c r="S31" s="78">
        <v>9.31</v>
      </c>
      <c r="T31" s="78">
        <v>9.75</v>
      </c>
      <c r="U31" s="78">
        <v>103</v>
      </c>
      <c r="AO31" s="80" t="str">
        <f>IFERROR(TP_DATA[[#This Row],[Bottom '[m']]]-TP_DATA[[#This Row],[D, top '[m']]], "")</f>
        <v/>
      </c>
      <c r="AP31" s="80" t="str">
        <f>IFERROR(-(TP_DATA[[#This Row],[D, bottom '[m']]]-TP_DATA[[#This Row],[D, top '[m']]])/(TP_DATA[[#This Row],[Bottom '[m']]]-TP_DATA[[#This Row],[Top '[m']]]),"")</f>
        <v/>
      </c>
      <c r="AQ31" s="80" t="str">
        <f t="shared" si="1"/>
        <v/>
      </c>
      <c r="AR31" s="80" t="str">
        <f>IFERROR((TP_DATA[[#This Row],[D, bottom '[m']]]+TP_DATA[[#This Row],[D, top '[m']]])/(2*TP_DATA[[#This Row],[t '[mm']]]/1000),"")</f>
        <v/>
      </c>
      <c r="AS31" s="80" t="str">
        <f>IFERROR((TP_DATA[[#This Row],[D, bottom '[m']]]+#REF!)/(2*#REF!/1000),"")</f>
        <v/>
      </c>
      <c r="AX31" s="78"/>
      <c r="AY31" s="78"/>
      <c r="AZ31" s="78"/>
      <c r="BA31" s="78"/>
      <c r="BB31" s="78"/>
      <c r="BC31" s="78"/>
      <c r="BQ31" s="71">
        <v>7</v>
      </c>
      <c r="BR31">
        <v>-14.3</v>
      </c>
      <c r="BS31">
        <v>-17.8</v>
      </c>
      <c r="BT31">
        <v>9.31</v>
      </c>
      <c r="BU31">
        <v>9.75</v>
      </c>
      <c r="BV31">
        <v>103</v>
      </c>
      <c r="BW31" s="80">
        <f>IFERROR(TOWER_DATA[[#This Row],[Bottom '[m']]]-TOWER_DATA[[#This Row],[D, top '[m']]], "")</f>
        <v>-27.11</v>
      </c>
      <c r="BX31" s="80">
        <f>IFERROR(-(TOWER_DATA[[#This Row],[D, bottom '[m']]]-TOWER_DATA[[#This Row],[D, top '[m']]])/(TOWER_DATA[[#This Row],[Bottom '[m']]]-TOWER_DATA[[#This Row],[Top '[m']]]),"")</f>
        <v>0.12571428571428558</v>
      </c>
      <c r="BY31" s="80">
        <f t="shared" si="2"/>
        <v>83.810475680910201</v>
      </c>
      <c r="BZ31" s="80">
        <f>IFERROR((TOWER_DATA[[#This Row],[D, bottom '[m']]]+TOWER_DATA[[#This Row],[D, top '[m']]])/(2*TOWER_DATA[[#This Row],[t '[mm']]]/1000),"")</f>
        <v>92.524271844660205</v>
      </c>
      <c r="CA31" s="80" t="str">
        <f>IFERROR((TOWER_DATA[[#This Row],[D, bottom '[m']]]+#REF!)/(2*#REF!/1000),"")</f>
        <v/>
      </c>
      <c r="CB31" s="83"/>
      <c r="CC31" s="83"/>
      <c r="CD31" s="83"/>
      <c r="CF31" s="78">
        <v>7</v>
      </c>
      <c r="CG31" s="78">
        <v>-14.3</v>
      </c>
      <c r="CH31" s="78">
        <v>-17.8</v>
      </c>
      <c r="CI31" s="78">
        <v>9.31</v>
      </c>
      <c r="CJ31" s="78">
        <v>9.75</v>
      </c>
      <c r="CK31" s="78">
        <v>103</v>
      </c>
      <c r="DE31" s="80"/>
      <c r="DF31" s="80"/>
    </row>
    <row r="32" spans="1:119" x14ac:dyDescent="0.3">
      <c r="B32" s="112">
        <v>8</v>
      </c>
      <c r="C32" s="113">
        <v>-17.8</v>
      </c>
      <c r="D32" s="113">
        <v>-21.3</v>
      </c>
      <c r="E32" s="112">
        <v>9.75</v>
      </c>
      <c r="F32" s="112">
        <v>10.19</v>
      </c>
      <c r="G32" s="112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P32" s="78">
        <v>8</v>
      </c>
      <c r="Q32" s="81">
        <v>-17.8</v>
      </c>
      <c r="R32" s="81">
        <v>-21.3</v>
      </c>
      <c r="S32" s="78">
        <v>9.75</v>
      </c>
      <c r="T32" s="78">
        <v>10.19</v>
      </c>
      <c r="U32" s="78">
        <v>98</v>
      </c>
      <c r="W32" s="78"/>
      <c r="X32" s="78"/>
      <c r="Y32" s="78"/>
      <c r="AO32" s="80" t="str">
        <f>IFERROR(TP_DATA[[#This Row],[Bottom '[m']]]-TP_DATA[[#This Row],[D, top '[m']]], "")</f>
        <v/>
      </c>
      <c r="AP32" s="80" t="str">
        <f>IFERROR(-(TP_DATA[[#This Row],[D, bottom '[m']]]-TP_DATA[[#This Row],[D, top '[m']]])/(TP_DATA[[#This Row],[Bottom '[m']]]-TP_DATA[[#This Row],[Top '[m']]]),"")</f>
        <v/>
      </c>
      <c r="AQ32" s="80" t="str">
        <f t="shared" si="1"/>
        <v/>
      </c>
      <c r="AR32" s="80" t="str">
        <f>IFERROR((TP_DATA[[#This Row],[D, bottom '[m']]]+TP_DATA[[#This Row],[D, top '[m']]])/(2*TP_DATA[[#This Row],[t '[mm']]]/1000),"")</f>
        <v/>
      </c>
      <c r="AS32" s="80" t="str">
        <f>IFERROR((TP_DATA[[#This Row],[D, bottom '[m']]]+#REF!)/(2*#REF!/1000),"")</f>
        <v/>
      </c>
      <c r="AX32" s="78"/>
      <c r="AY32" s="78"/>
      <c r="AZ32" s="78"/>
      <c r="BA32" s="78"/>
      <c r="BB32" s="78"/>
      <c r="BC32" s="78"/>
      <c r="BE32" s="78"/>
      <c r="BF32" s="78"/>
      <c r="BG32" s="78"/>
      <c r="BQ32" s="71">
        <v>8</v>
      </c>
      <c r="BR32">
        <v>-17.8</v>
      </c>
      <c r="BS32">
        <v>-21.3</v>
      </c>
      <c r="BT32">
        <v>9.75</v>
      </c>
      <c r="BU32">
        <v>10.19</v>
      </c>
      <c r="BV32">
        <v>98</v>
      </c>
      <c r="BW32" s="80">
        <f>IFERROR(TOWER_DATA[[#This Row],[Bottom '[m']]]-TOWER_DATA[[#This Row],[D, top '[m']]], "")</f>
        <v>-31.05</v>
      </c>
      <c r="BX32" s="80">
        <f>IFERROR(-(TOWER_DATA[[#This Row],[D, bottom '[m']]]-TOWER_DATA[[#This Row],[D, top '[m']]])/(TOWER_DATA[[#This Row],[Bottom '[m']]]-TOWER_DATA[[#This Row],[Top '[m']]]),"")</f>
        <v>0.12571428571428558</v>
      </c>
      <c r="BY32" s="80">
        <f t="shared" si="2"/>
        <v>83.506214395905459</v>
      </c>
      <c r="BZ32" s="80">
        <f>IFERROR((TOWER_DATA[[#This Row],[D, bottom '[m']]]+TOWER_DATA[[#This Row],[D, top '[m']]])/(2*TOWER_DATA[[#This Row],[t '[mm']]]/1000),"")</f>
        <v>101.73469387755101</v>
      </c>
      <c r="CA32" s="80" t="str">
        <f>IFERROR((TOWER_DATA[[#This Row],[D, bottom '[m']]]+#REF!)/(2*#REF!/1000),"")</f>
        <v/>
      </c>
      <c r="CB32" s="83"/>
      <c r="CC32" s="83"/>
      <c r="CD32" s="83"/>
      <c r="CF32" s="78">
        <v>8</v>
      </c>
      <c r="CG32" s="78">
        <v>-17.8</v>
      </c>
      <c r="CH32" s="78">
        <v>-21.3</v>
      </c>
      <c r="CI32" s="78">
        <v>9.75</v>
      </c>
      <c r="CJ32" s="78">
        <v>10.19</v>
      </c>
      <c r="CK32" s="78">
        <v>98</v>
      </c>
      <c r="CM32" s="78"/>
      <c r="CN32" s="78"/>
      <c r="CO32" s="78"/>
      <c r="DE32" s="80"/>
      <c r="DF32" s="80"/>
    </row>
    <row r="33" spans="2:110" x14ac:dyDescent="0.3">
      <c r="B33" s="112">
        <v>9</v>
      </c>
      <c r="C33" s="113">
        <v>-21.3</v>
      </c>
      <c r="D33" s="113">
        <v>-24.8</v>
      </c>
      <c r="E33" s="112">
        <v>10.19</v>
      </c>
      <c r="F33" s="112">
        <v>10.63</v>
      </c>
      <c r="G33" s="112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P33" s="78">
        <v>9</v>
      </c>
      <c r="Q33" s="81">
        <v>-21.3</v>
      </c>
      <c r="R33" s="81">
        <v>-24.8</v>
      </c>
      <c r="S33" s="78">
        <v>10.19</v>
      </c>
      <c r="T33" s="78">
        <v>10.63</v>
      </c>
      <c r="U33" s="78">
        <v>98</v>
      </c>
      <c r="W33" s="78"/>
      <c r="X33" s="78"/>
      <c r="Y33" s="78"/>
      <c r="AO33" s="80" t="str">
        <f>IFERROR(TP_DATA[[#This Row],[Bottom '[m']]]-TP_DATA[[#This Row],[D, top '[m']]], "")</f>
        <v/>
      </c>
      <c r="AP33" s="80" t="str">
        <f>IFERROR(-(TP_DATA[[#This Row],[D, bottom '[m']]]-TP_DATA[[#This Row],[D, top '[m']]])/(TP_DATA[[#This Row],[Bottom '[m']]]-TP_DATA[[#This Row],[Top '[m']]]),"")</f>
        <v/>
      </c>
      <c r="AQ33" s="80" t="str">
        <f t="shared" si="1"/>
        <v/>
      </c>
      <c r="AR33" s="80" t="str">
        <f>IFERROR((TP_DATA[[#This Row],[D, bottom '[m']]]+TP_DATA[[#This Row],[D, top '[m']]])/(2*TP_DATA[[#This Row],[t '[mm']]]/1000),"")</f>
        <v/>
      </c>
      <c r="AS33" s="80" t="str">
        <f>IFERROR((TP_DATA[[#This Row],[D, bottom '[m']]]+#REF!)/(2*#REF!/1000),"")</f>
        <v/>
      </c>
      <c r="AX33" s="78"/>
      <c r="AY33" s="78"/>
      <c r="AZ33" s="78"/>
      <c r="BA33" s="78"/>
      <c r="BB33" s="78"/>
      <c r="BC33" s="78"/>
      <c r="BE33" s="78"/>
      <c r="BF33" s="78"/>
      <c r="BG33" s="78"/>
      <c r="BQ33" s="71">
        <v>9</v>
      </c>
      <c r="BR33">
        <v>-21.3</v>
      </c>
      <c r="BS33">
        <v>-24.8</v>
      </c>
      <c r="BT33">
        <v>10.19</v>
      </c>
      <c r="BU33">
        <v>10.63</v>
      </c>
      <c r="BV33">
        <v>98</v>
      </c>
      <c r="BW33" s="80">
        <f>IFERROR(TOWER_DATA[[#This Row],[Bottom '[m']]]-TOWER_DATA[[#This Row],[D, top '[m']]], "")</f>
        <v>-34.99</v>
      </c>
      <c r="BX33" s="80">
        <f>IFERROR(-(TOWER_DATA[[#This Row],[D, bottom '[m']]]-TOWER_DATA[[#This Row],[D, top '[m']]])/(TOWER_DATA[[#This Row],[Bottom '[m']]]-TOWER_DATA[[#This Row],[Top '[m']]]),"")</f>
        <v>0.12571428571428608</v>
      </c>
      <c r="BY33" s="80">
        <f t="shared" si="2"/>
        <v>87.228128327651717</v>
      </c>
      <c r="BZ33" s="80">
        <f>IFERROR((TOWER_DATA[[#This Row],[D, bottom '[m']]]+TOWER_DATA[[#This Row],[D, top '[m']]])/(2*TOWER_DATA[[#This Row],[t '[mm']]]/1000),"")</f>
        <v>106.22448979591836</v>
      </c>
      <c r="CA33" s="80" t="str">
        <f>IFERROR((TOWER_DATA[[#This Row],[D, bottom '[m']]]+#REF!)/(2*#REF!/1000),"")</f>
        <v/>
      </c>
      <c r="CB33" s="83"/>
      <c r="CC33" s="83"/>
      <c r="CD33" s="83"/>
      <c r="CF33" s="78">
        <v>9</v>
      </c>
      <c r="CG33" s="78">
        <v>-21.3</v>
      </c>
      <c r="CH33" s="78">
        <v>-24.8</v>
      </c>
      <c r="CI33" s="78">
        <v>10.19</v>
      </c>
      <c r="CJ33" s="78">
        <v>10.63</v>
      </c>
      <c r="CK33" s="78">
        <v>98</v>
      </c>
      <c r="CM33" s="78"/>
      <c r="CN33" s="78"/>
      <c r="CO33" s="78"/>
      <c r="DE33" s="80"/>
      <c r="DF33" s="80"/>
    </row>
    <row r="34" spans="2:110" x14ac:dyDescent="0.3">
      <c r="B34" s="112">
        <v>10</v>
      </c>
      <c r="C34" s="113">
        <v>-24.8</v>
      </c>
      <c r="D34" s="113">
        <v>-28.3</v>
      </c>
      <c r="E34" s="112">
        <v>10.63</v>
      </c>
      <c r="F34" s="112">
        <v>11.06</v>
      </c>
      <c r="G34" s="112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P34" s="78">
        <v>10</v>
      </c>
      <c r="Q34" s="81">
        <v>-24.8</v>
      </c>
      <c r="R34" s="81">
        <v>-28.3</v>
      </c>
      <c r="S34" s="78">
        <v>10.63</v>
      </c>
      <c r="T34" s="78">
        <v>11.06</v>
      </c>
      <c r="U34" s="78">
        <v>98</v>
      </c>
      <c r="W34" s="78"/>
      <c r="X34" s="78"/>
      <c r="Y34" s="78"/>
      <c r="AO34" s="80" t="str">
        <f>IFERROR(TP_DATA[[#This Row],[Bottom '[m']]]-TP_DATA[[#This Row],[D, top '[m']]], "")</f>
        <v/>
      </c>
      <c r="AP34" s="80" t="str">
        <f>IFERROR(-(TP_DATA[[#This Row],[D, bottom '[m']]]-TP_DATA[[#This Row],[D, top '[m']]])/(TP_DATA[[#This Row],[Bottom '[m']]]-TP_DATA[[#This Row],[Top '[m']]]),"")</f>
        <v/>
      </c>
      <c r="AQ34" s="80" t="str">
        <f t="shared" si="1"/>
        <v/>
      </c>
      <c r="AR34" s="80" t="str">
        <f>IFERROR((TP_DATA[[#This Row],[D, bottom '[m']]]+TP_DATA[[#This Row],[D, top '[m']]])/(2*TP_DATA[[#This Row],[t '[mm']]]/1000),"")</f>
        <v/>
      </c>
      <c r="AS34" s="80" t="str">
        <f>IFERROR((TP_DATA[[#This Row],[D, bottom '[m']]]+#REF!)/(2*#REF!/1000),"")</f>
        <v/>
      </c>
      <c r="AX34" s="78"/>
      <c r="AY34" s="78"/>
      <c r="AZ34" s="78"/>
      <c r="BA34" s="78"/>
      <c r="BB34" s="78"/>
      <c r="BC34" s="78"/>
      <c r="BE34" s="78"/>
      <c r="BF34" s="78"/>
      <c r="BG34" s="78"/>
      <c r="BQ34" s="71">
        <v>10</v>
      </c>
      <c r="BR34">
        <v>-24.8</v>
      </c>
      <c r="BS34">
        <v>-28.3</v>
      </c>
      <c r="BT34">
        <v>10.63</v>
      </c>
      <c r="BU34">
        <v>11.06</v>
      </c>
      <c r="BV34">
        <v>98</v>
      </c>
      <c r="BW34" s="80">
        <f>IFERROR(TOWER_DATA[[#This Row],[Bottom '[m']]]-TOWER_DATA[[#This Row],[D, top '[m']]], "")</f>
        <v>-38.93</v>
      </c>
      <c r="BX34" s="80">
        <f>IFERROR(-(TOWER_DATA[[#This Row],[D, bottom '[m']]]-TOWER_DATA[[#This Row],[D, top '[m']]])/(TOWER_DATA[[#This Row],[Bottom '[m']]]-TOWER_DATA[[#This Row],[Top '[m']]]),"")</f>
        <v>0.12285714285714278</v>
      </c>
      <c r="BY34" s="80">
        <f t="shared" si="2"/>
        <v>90.907747782900842</v>
      </c>
      <c r="BZ34" s="80">
        <f>IFERROR((TOWER_DATA[[#This Row],[D, bottom '[m']]]+TOWER_DATA[[#This Row],[D, top '[m']]])/(2*TOWER_DATA[[#This Row],[t '[mm']]]/1000),"")</f>
        <v>110.66326530612245</v>
      </c>
      <c r="CA34" s="80" t="str">
        <f>IFERROR((TOWER_DATA[[#This Row],[D, bottom '[m']]]+#REF!)/(2*#REF!/1000),"")</f>
        <v/>
      </c>
      <c r="CB34" s="83"/>
      <c r="CC34" s="83"/>
      <c r="CD34" s="83"/>
      <c r="CF34" s="78">
        <v>10</v>
      </c>
      <c r="CG34" s="78">
        <v>-24.8</v>
      </c>
      <c r="CH34" s="78">
        <v>-28.3</v>
      </c>
      <c r="CI34" s="78">
        <v>10.63</v>
      </c>
      <c r="CJ34" s="78">
        <v>11.06</v>
      </c>
      <c r="CK34" s="78">
        <v>98</v>
      </c>
      <c r="CM34" s="78"/>
      <c r="CN34" s="78"/>
      <c r="CO34" s="78"/>
      <c r="DE34" s="80"/>
      <c r="DF34" s="80"/>
    </row>
    <row r="35" spans="2:110" x14ac:dyDescent="0.3">
      <c r="B35" s="112">
        <v>11</v>
      </c>
      <c r="C35" s="113">
        <v>-28.3</v>
      </c>
      <c r="D35" s="113">
        <v>-31.8</v>
      </c>
      <c r="E35" s="112">
        <v>11.06</v>
      </c>
      <c r="F35" s="112">
        <v>11.5</v>
      </c>
      <c r="G35" s="112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P35" s="78">
        <v>11</v>
      </c>
      <c r="Q35" s="81">
        <v>-28.3</v>
      </c>
      <c r="R35" s="81">
        <v>-31.8</v>
      </c>
      <c r="S35" s="78">
        <v>11.06</v>
      </c>
      <c r="T35" s="78">
        <v>11.5</v>
      </c>
      <c r="U35" s="78">
        <v>98</v>
      </c>
      <c r="AO35" s="80" t="str">
        <f>IFERROR(TP_DATA[[#This Row],[Bottom '[m']]]-TP_DATA[[#This Row],[D, top '[m']]], "")</f>
        <v/>
      </c>
      <c r="AP35" s="80" t="str">
        <f>IFERROR(-(TP_DATA[[#This Row],[D, bottom '[m']]]-TP_DATA[[#This Row],[D, top '[m']]])/(TP_DATA[[#This Row],[Bottom '[m']]]-TP_DATA[[#This Row],[Top '[m']]]),"")</f>
        <v/>
      </c>
      <c r="AQ35" s="80" t="str">
        <f t="shared" si="1"/>
        <v/>
      </c>
      <c r="AR35" s="80" t="str">
        <f>IFERROR((TP_DATA[[#This Row],[D, bottom '[m']]]+TP_DATA[[#This Row],[D, top '[m']]])/(2*TP_DATA[[#This Row],[t '[mm']]]/1000),"")</f>
        <v/>
      </c>
      <c r="AS35" s="80" t="str">
        <f>IFERROR((TP_DATA[[#This Row],[D, bottom '[m']]]+#REF!)/(2*#REF!/1000),"")</f>
        <v/>
      </c>
      <c r="AX35" s="78"/>
      <c r="AY35" s="78"/>
      <c r="AZ35" s="78"/>
      <c r="BA35" s="78"/>
      <c r="BB35" s="78"/>
      <c r="BC35" s="78"/>
      <c r="BQ35" s="71">
        <v>11</v>
      </c>
      <c r="BR35">
        <v>-28.3</v>
      </c>
      <c r="BS35">
        <v>-31.8</v>
      </c>
      <c r="BT35">
        <v>11.06</v>
      </c>
      <c r="BU35">
        <v>11.5</v>
      </c>
      <c r="BV35">
        <v>98</v>
      </c>
      <c r="BW35" s="80">
        <f>IFERROR(TOWER_DATA[[#This Row],[Bottom '[m']]]-TOWER_DATA[[#This Row],[D, top '[m']]], "")</f>
        <v>-42.86</v>
      </c>
      <c r="BX35" s="80">
        <f>IFERROR(-(TOWER_DATA[[#This Row],[D, bottom '[m']]]-TOWER_DATA[[#This Row],[D, top '[m']]])/(TOWER_DATA[[#This Row],[Bottom '[m']]]-TOWER_DATA[[#This Row],[Top '[m']]]),"")</f>
        <v>0.12571428571428558</v>
      </c>
      <c r="BY35" s="80">
        <f t="shared" si="2"/>
        <v>94.587367238149838</v>
      </c>
      <c r="BZ35" s="80">
        <f>IFERROR((TOWER_DATA[[#This Row],[D, bottom '[m']]]+TOWER_DATA[[#This Row],[D, top '[m']]])/(2*TOWER_DATA[[#This Row],[t '[mm']]]/1000),"")</f>
        <v>115.10204081632654</v>
      </c>
      <c r="CA35" s="80" t="str">
        <f>IFERROR((TOWER_DATA[[#This Row],[D, bottom '[m']]]+#REF!)/(2*#REF!/1000),"")</f>
        <v/>
      </c>
      <c r="CB35" s="83"/>
      <c r="CC35" s="83"/>
      <c r="CD35" s="83"/>
      <c r="CF35" s="78">
        <v>11</v>
      </c>
      <c r="CG35" s="78">
        <v>-28.3</v>
      </c>
      <c r="CH35" s="78">
        <v>-31.8</v>
      </c>
      <c r="CI35" s="78">
        <v>11.06</v>
      </c>
      <c r="CJ35" s="78">
        <v>11.5</v>
      </c>
      <c r="CK35" s="78">
        <v>98</v>
      </c>
      <c r="DE35" s="80"/>
      <c r="DF35" s="80"/>
    </row>
    <row r="36" spans="2:110" x14ac:dyDescent="0.3">
      <c r="B36" s="112">
        <v>12</v>
      </c>
      <c r="C36" s="113">
        <v>-31.8</v>
      </c>
      <c r="D36" s="113">
        <v>-35.299999999999997</v>
      </c>
      <c r="E36" s="112">
        <v>11.5</v>
      </c>
      <c r="F36" s="112">
        <v>11.5</v>
      </c>
      <c r="G36" s="112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P36" s="78">
        <v>12</v>
      </c>
      <c r="Q36" s="81">
        <v>-31.8</v>
      </c>
      <c r="R36" s="81">
        <v>-35.299999999999997</v>
      </c>
      <c r="S36" s="78">
        <v>11.5</v>
      </c>
      <c r="T36" s="78">
        <v>11.5</v>
      </c>
      <c r="U36" s="78">
        <v>98</v>
      </c>
      <c r="AO36" s="80" t="str">
        <f>IFERROR(TP_DATA[[#This Row],[Bottom '[m']]]-TP_DATA[[#This Row],[D, top '[m']]], "")</f>
        <v/>
      </c>
      <c r="AP36" s="80" t="str">
        <f>IFERROR(-(TP_DATA[[#This Row],[D, bottom '[m']]]-TP_DATA[[#This Row],[D, top '[m']]])/(TP_DATA[[#This Row],[Bottom '[m']]]-TP_DATA[[#This Row],[Top '[m']]]),"")</f>
        <v/>
      </c>
      <c r="AQ36" s="80" t="str">
        <f t="shared" si="1"/>
        <v/>
      </c>
      <c r="AR36" s="80" t="str">
        <f>IFERROR((TP_DATA[[#This Row],[D, bottom '[m']]]+TP_DATA[[#This Row],[D, top '[m']]])/(2*TP_DATA[[#This Row],[t '[mm']]]/1000),"")</f>
        <v/>
      </c>
      <c r="AS36" s="80" t="str">
        <f>IFERROR((TP_DATA[[#This Row],[D, bottom '[m']]]+#REF!)/(2*#REF!/1000),"")</f>
        <v/>
      </c>
      <c r="AX36" s="78"/>
      <c r="AY36" s="78"/>
      <c r="AZ36" s="78"/>
      <c r="BA36" s="78"/>
      <c r="BB36" s="78"/>
      <c r="BC36" s="78"/>
      <c r="BQ36" s="71">
        <v>12</v>
      </c>
      <c r="BR36">
        <v>-31.8</v>
      </c>
      <c r="BS36">
        <v>-35.299999999999997</v>
      </c>
      <c r="BT36">
        <v>11.5</v>
      </c>
      <c r="BU36">
        <v>11.5</v>
      </c>
      <c r="BV36">
        <v>98</v>
      </c>
      <c r="BW36" s="80">
        <f>IFERROR(TOWER_DATA[[#This Row],[Bottom '[m']]]-TOWER_DATA[[#This Row],[D, top '[m']]], "")</f>
        <v>-46.8</v>
      </c>
      <c r="BX36" s="80">
        <f>IFERROR(-(TOWER_DATA[[#This Row],[D, bottom '[m']]]-TOWER_DATA[[#This Row],[D, top '[m']]])/(TOWER_DATA[[#This Row],[Bottom '[m']]]-TOWER_DATA[[#This Row],[Top '[m']]]),"")</f>
        <v>0</v>
      </c>
      <c r="BY36" s="80">
        <f t="shared" si="2"/>
        <v>96.448324204023137</v>
      </c>
      <c r="BZ36" s="80">
        <f>IFERROR((TOWER_DATA[[#This Row],[D, bottom '[m']]]+TOWER_DATA[[#This Row],[D, top '[m']]])/(2*TOWER_DATA[[#This Row],[t '[mm']]]/1000),"")</f>
        <v>117.3469387755102</v>
      </c>
      <c r="CA36" s="80" t="str">
        <f>IFERROR((TOWER_DATA[[#This Row],[D, bottom '[m']]]+#REF!)/(2*#REF!/1000),"")</f>
        <v/>
      </c>
      <c r="CB36" s="83"/>
      <c r="CC36" s="83"/>
      <c r="CD36" s="83"/>
      <c r="CF36" s="78">
        <v>12</v>
      </c>
      <c r="CG36" s="78">
        <v>-31.8</v>
      </c>
      <c r="CH36" s="78">
        <v>-35.299999999999997</v>
      </c>
      <c r="CI36" s="78">
        <v>11.5</v>
      </c>
      <c r="CJ36" s="78">
        <v>11.5</v>
      </c>
      <c r="CK36" s="78">
        <v>98</v>
      </c>
      <c r="DE36" s="80"/>
      <c r="DF36" s="80"/>
    </row>
    <row r="37" spans="2:110" x14ac:dyDescent="0.3">
      <c r="B37" s="112">
        <v>13</v>
      </c>
      <c r="C37" s="113">
        <v>-35.299999999999997</v>
      </c>
      <c r="D37" s="113">
        <v>-38.6</v>
      </c>
      <c r="E37" s="112">
        <v>11.5</v>
      </c>
      <c r="F37" s="112">
        <v>11.5</v>
      </c>
      <c r="G37" s="112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P37" s="78">
        <v>13</v>
      </c>
      <c r="Q37" s="81">
        <v>-35.299999999999997</v>
      </c>
      <c r="R37" s="81">
        <v>-38.6</v>
      </c>
      <c r="S37" s="78">
        <v>11.5</v>
      </c>
      <c r="T37" s="78">
        <v>11.5</v>
      </c>
      <c r="U37" s="78">
        <v>100</v>
      </c>
      <c r="AO37" s="80" t="str">
        <f>IFERROR(TP_DATA[[#This Row],[Bottom '[m']]]-TP_DATA[[#This Row],[D, top '[m']]], "")</f>
        <v/>
      </c>
      <c r="AP37" s="80" t="str">
        <f>IFERROR(-(TP_DATA[[#This Row],[D, bottom '[m']]]-TP_DATA[[#This Row],[D, top '[m']]])/(TP_DATA[[#This Row],[Bottom '[m']]]-TP_DATA[[#This Row],[Top '[m']]]),"")</f>
        <v/>
      </c>
      <c r="AQ37" s="80" t="str">
        <f t="shared" si="1"/>
        <v/>
      </c>
      <c r="AR37" s="80" t="str">
        <f>IFERROR((TP_DATA[[#This Row],[D, bottom '[m']]]+TP_DATA[[#This Row],[D, top '[m']]])/(2*TP_DATA[[#This Row],[t '[mm']]]/1000),"")</f>
        <v/>
      </c>
      <c r="AS37" s="80" t="str">
        <f>IFERROR((TP_DATA[[#This Row],[D, bottom '[m']]]+#REF!)/(2*#REF!/1000),"")</f>
        <v/>
      </c>
      <c r="AX37" s="78"/>
      <c r="AY37" s="78"/>
      <c r="AZ37" s="78"/>
      <c r="BA37" s="78"/>
      <c r="BB37" s="78"/>
      <c r="BC37" s="78"/>
      <c r="BQ37" s="71">
        <v>13</v>
      </c>
      <c r="BR37">
        <v>-35.299999999999997</v>
      </c>
      <c r="BS37">
        <v>-38.6</v>
      </c>
      <c r="BT37">
        <v>11.5</v>
      </c>
      <c r="BU37">
        <v>11.5</v>
      </c>
      <c r="BV37">
        <v>100</v>
      </c>
      <c r="BW37" s="80">
        <f>IFERROR(TOWER_DATA[[#This Row],[Bottom '[m']]]-TOWER_DATA[[#This Row],[D, top '[m']]], "")</f>
        <v>-50.1</v>
      </c>
      <c r="BX37" s="80">
        <f>IFERROR(-(TOWER_DATA[[#This Row],[D, bottom '[m']]]-TOWER_DATA[[#This Row],[D, top '[m']]])/(TOWER_DATA[[#This Row],[Bottom '[m']]]-TOWER_DATA[[#This Row],[Top '[m']]]),"")</f>
        <v>0</v>
      </c>
      <c r="BY37" s="80">
        <f t="shared" si="2"/>
        <v>92.776571768017746</v>
      </c>
      <c r="BZ37" s="80">
        <f>IFERROR((TOWER_DATA[[#This Row],[D, bottom '[m']]]+TOWER_DATA[[#This Row],[D, top '[m']]])/(2*TOWER_DATA[[#This Row],[t '[mm']]]/1000),"")</f>
        <v>115</v>
      </c>
      <c r="CA37" s="80" t="str">
        <f>IFERROR((TOWER_DATA[[#This Row],[D, bottom '[m']]]+#REF!)/(2*#REF!/1000),"")</f>
        <v/>
      </c>
      <c r="CB37" s="83"/>
      <c r="CC37" s="83"/>
      <c r="CD37" s="83"/>
      <c r="CF37" s="78">
        <v>13</v>
      </c>
      <c r="CG37" s="78">
        <v>-35.299999999999997</v>
      </c>
      <c r="CH37" s="78">
        <v>-38.6</v>
      </c>
      <c r="CI37" s="78">
        <v>11.5</v>
      </c>
      <c r="CJ37" s="78">
        <v>11.5</v>
      </c>
      <c r="CK37" s="78">
        <v>100</v>
      </c>
      <c r="DE37" s="80"/>
      <c r="DF37" s="80"/>
    </row>
    <row r="38" spans="2:110" x14ac:dyDescent="0.3">
      <c r="B38" s="112">
        <v>14</v>
      </c>
      <c r="C38" s="113">
        <v>-38.6</v>
      </c>
      <c r="D38" s="113">
        <v>-41.9</v>
      </c>
      <c r="E38" s="112">
        <v>11.5</v>
      </c>
      <c r="F38" s="112">
        <v>11.5</v>
      </c>
      <c r="G38" s="112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P38" s="78">
        <v>14</v>
      </c>
      <c r="Q38" s="81">
        <v>-38.6</v>
      </c>
      <c r="R38" s="81">
        <v>-41.9</v>
      </c>
      <c r="S38" s="78">
        <v>11.5</v>
      </c>
      <c r="T38" s="78">
        <v>11.5</v>
      </c>
      <c r="U38" s="78">
        <v>98</v>
      </c>
      <c r="AO38" s="80" t="str">
        <f>IFERROR(TP_DATA[[#This Row],[Bottom '[m']]]-TP_DATA[[#This Row],[D, top '[m']]], "")</f>
        <v/>
      </c>
      <c r="AP38" s="80" t="str">
        <f>IFERROR(-(TP_DATA[[#This Row],[D, bottom '[m']]]-TP_DATA[[#This Row],[D, top '[m']]])/(TP_DATA[[#This Row],[Bottom '[m']]]-TP_DATA[[#This Row],[Top '[m']]]),"")</f>
        <v/>
      </c>
      <c r="AQ38" s="80" t="str">
        <f t="shared" si="1"/>
        <v/>
      </c>
      <c r="AR38" s="80" t="str">
        <f>IFERROR((TP_DATA[[#This Row],[D, bottom '[m']]]+TP_DATA[[#This Row],[D, top '[m']]])/(2*TP_DATA[[#This Row],[t '[mm']]]/1000),"")</f>
        <v/>
      </c>
      <c r="AS38" s="80" t="str">
        <f>IFERROR((TP_DATA[[#This Row],[D, bottom '[m']]]+#REF!)/(2*#REF!/1000),"")</f>
        <v/>
      </c>
      <c r="AX38" s="78"/>
      <c r="AY38" s="78"/>
      <c r="AZ38" s="78"/>
      <c r="BA38" s="78"/>
      <c r="BB38" s="78"/>
      <c r="BC38" s="78"/>
      <c r="BQ38" s="71">
        <v>14</v>
      </c>
      <c r="BR38">
        <v>-38.6</v>
      </c>
      <c r="BS38">
        <v>-41.9</v>
      </c>
      <c r="BT38">
        <v>11.5</v>
      </c>
      <c r="BU38">
        <v>11.5</v>
      </c>
      <c r="BV38">
        <v>98</v>
      </c>
      <c r="BW38" s="80">
        <f>IFERROR(TOWER_DATA[[#This Row],[Bottom '[m']]]-TOWER_DATA[[#This Row],[D, top '[m']]], "")</f>
        <v>-53.4</v>
      </c>
      <c r="BX38" s="80">
        <f>IFERROR(-(TOWER_DATA[[#This Row],[D, bottom '[m']]]-TOWER_DATA[[#This Row],[D, top '[m']]])/(TOWER_DATA[[#This Row],[Bottom '[m']]]-TOWER_DATA[[#This Row],[Top '[m']]]),"")</f>
        <v>0</v>
      </c>
      <c r="BY38" s="80">
        <f t="shared" si="2"/>
        <v>90.936991392364675</v>
      </c>
      <c r="BZ38" s="80">
        <f>IFERROR((TOWER_DATA[[#This Row],[D, bottom '[m']]]+TOWER_DATA[[#This Row],[D, top '[m']]])/(2*TOWER_DATA[[#This Row],[t '[mm']]]/1000),"")</f>
        <v>117.3469387755102</v>
      </c>
      <c r="CA38" s="80" t="str">
        <f>IFERROR((TOWER_DATA[[#This Row],[D, bottom '[m']]]+#REF!)/(2*#REF!/1000),"")</f>
        <v/>
      </c>
      <c r="CB38" s="83"/>
      <c r="CC38" s="83"/>
      <c r="CD38" s="83"/>
      <c r="CF38" s="78">
        <v>14</v>
      </c>
      <c r="CG38" s="78">
        <v>-38.6</v>
      </c>
      <c r="CH38" s="78">
        <v>-41.9</v>
      </c>
      <c r="CI38" s="78">
        <v>11.5</v>
      </c>
      <c r="CJ38" s="78">
        <v>11.5</v>
      </c>
      <c r="CK38" s="78">
        <v>98</v>
      </c>
      <c r="DE38" s="80"/>
      <c r="DF38" s="80"/>
    </row>
    <row r="39" spans="2:110" x14ac:dyDescent="0.3">
      <c r="B39" s="112">
        <v>15</v>
      </c>
      <c r="C39" s="113">
        <v>-41.9</v>
      </c>
      <c r="D39" s="113">
        <v>-45.2</v>
      </c>
      <c r="E39" s="112">
        <v>11.5</v>
      </c>
      <c r="F39" s="112">
        <v>11.5</v>
      </c>
      <c r="G39" s="112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P39" s="78">
        <v>15</v>
      </c>
      <c r="Q39" s="81">
        <v>-41.9</v>
      </c>
      <c r="R39" s="81">
        <v>-45.2</v>
      </c>
      <c r="S39" s="78">
        <v>11.5</v>
      </c>
      <c r="T39" s="78">
        <v>11.5</v>
      </c>
      <c r="U39" s="78">
        <v>95</v>
      </c>
      <c r="AO39" s="80" t="str">
        <f>IFERROR(TP_DATA[[#This Row],[Bottom '[m']]]-TP_DATA[[#This Row],[D, top '[m']]], "")</f>
        <v/>
      </c>
      <c r="AP39" s="80" t="str">
        <f>IFERROR(-(TP_DATA[[#This Row],[D, bottom '[m']]]-TP_DATA[[#This Row],[D, top '[m']]])/(TP_DATA[[#This Row],[Bottom '[m']]]-TP_DATA[[#This Row],[Top '[m']]]),"")</f>
        <v/>
      </c>
      <c r="AQ39" s="80" t="str">
        <f t="shared" si="1"/>
        <v/>
      </c>
      <c r="AR39" s="80" t="str">
        <f>IFERROR((TP_DATA[[#This Row],[D, bottom '[m']]]+TP_DATA[[#This Row],[D, top '[m']]])/(2*TP_DATA[[#This Row],[t '[mm']]]/1000),"")</f>
        <v/>
      </c>
      <c r="AS39" s="80" t="str">
        <f>IFERROR((TP_DATA[[#This Row],[D, bottom '[m']]]+#REF!)/(2*#REF!/1000),"")</f>
        <v/>
      </c>
      <c r="AX39" s="78"/>
      <c r="AY39" s="78"/>
      <c r="AZ39" s="78"/>
      <c r="BA39" s="78"/>
      <c r="BB39" s="78"/>
      <c r="BC39" s="78"/>
      <c r="BQ39" s="71">
        <v>15</v>
      </c>
      <c r="BR39">
        <v>-41.9</v>
      </c>
      <c r="BS39">
        <v>-45.2</v>
      </c>
      <c r="BT39">
        <v>11.5</v>
      </c>
      <c r="BU39">
        <v>11.5</v>
      </c>
      <c r="BV39">
        <v>95</v>
      </c>
      <c r="BW39" s="80">
        <f>IFERROR(TOWER_DATA[[#This Row],[Bottom '[m']]]-TOWER_DATA[[#This Row],[D, top '[m']]], "")</f>
        <v>-56.7</v>
      </c>
      <c r="BX39" s="80">
        <f>IFERROR(-(TOWER_DATA[[#This Row],[D, bottom '[m']]]-TOWER_DATA[[#This Row],[D, top '[m']]])/(TOWER_DATA[[#This Row],[Bottom '[m']]]-TOWER_DATA[[#This Row],[Top '[m']]]),"")</f>
        <v>0</v>
      </c>
      <c r="BY39" s="80">
        <f t="shared" si="2"/>
        <v>88.17640008451977</v>
      </c>
      <c r="BZ39" s="80">
        <f>IFERROR((TOWER_DATA[[#This Row],[D, bottom '[m']]]+TOWER_DATA[[#This Row],[D, top '[m']]])/(2*TOWER_DATA[[#This Row],[t '[mm']]]/1000),"")</f>
        <v>121.05263157894737</v>
      </c>
      <c r="CA39" s="80" t="str">
        <f>IFERROR((TOWER_DATA[[#This Row],[D, bottom '[m']]]+#REF!)/(2*#REF!/1000),"")</f>
        <v/>
      </c>
      <c r="CB39" s="83"/>
      <c r="CC39" s="83"/>
      <c r="CD39" s="83"/>
      <c r="CF39" s="78">
        <v>15</v>
      </c>
      <c r="CG39" s="78">
        <v>-41.9</v>
      </c>
      <c r="CH39" s="78">
        <v>-45.2</v>
      </c>
      <c r="CI39" s="78">
        <v>11.5</v>
      </c>
      <c r="CJ39" s="78">
        <v>11.5</v>
      </c>
      <c r="CK39" s="78">
        <v>95</v>
      </c>
      <c r="DE39" s="80"/>
      <c r="DF39" s="80"/>
    </row>
    <row r="40" spans="2:110" x14ac:dyDescent="0.3">
      <c r="B40" s="112">
        <v>16</v>
      </c>
      <c r="C40" s="113">
        <v>-45.2</v>
      </c>
      <c r="D40" s="113">
        <v>-48.5</v>
      </c>
      <c r="E40" s="112">
        <v>11.5</v>
      </c>
      <c r="F40" s="112">
        <v>11.5</v>
      </c>
      <c r="G40" s="112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P40" s="78">
        <v>16</v>
      </c>
      <c r="Q40" s="81">
        <v>-45.2</v>
      </c>
      <c r="R40" s="81">
        <v>-48.5</v>
      </c>
      <c r="S40" s="78">
        <v>11.5</v>
      </c>
      <c r="T40" s="78">
        <v>11.5</v>
      </c>
      <c r="U40" s="78">
        <v>95</v>
      </c>
      <c r="AO40" s="80" t="str">
        <f>IFERROR(TP_DATA[[#This Row],[Bottom '[m']]]-TP_DATA[[#This Row],[D, top '[m']]], "")</f>
        <v/>
      </c>
      <c r="AP40" s="80" t="str">
        <f>IFERROR(-(TP_DATA[[#This Row],[D, bottom '[m']]]-TP_DATA[[#This Row],[D, top '[m']]])/(TP_DATA[[#This Row],[Bottom '[m']]]-TP_DATA[[#This Row],[Top '[m']]]),"")</f>
        <v/>
      </c>
      <c r="AQ40" s="80" t="str">
        <f t="shared" si="1"/>
        <v/>
      </c>
      <c r="AR40" s="80" t="str">
        <f>IFERROR((TP_DATA[[#This Row],[D, bottom '[m']]]+TP_DATA[[#This Row],[D, top '[m']]])/(2*TP_DATA[[#This Row],[t '[mm']]]/1000),"")</f>
        <v/>
      </c>
      <c r="AS40" s="80" t="str">
        <f>IFERROR((TP_DATA[[#This Row],[D, bottom '[m']]]+#REF!)/(2*#REF!/1000),"")</f>
        <v/>
      </c>
      <c r="AX40" s="78"/>
      <c r="AY40" s="78"/>
      <c r="AZ40" s="78"/>
      <c r="BA40" s="78"/>
      <c r="BB40" s="78"/>
      <c r="BC40" s="78"/>
      <c r="BQ40" s="71">
        <v>16</v>
      </c>
      <c r="BR40">
        <v>-45.2</v>
      </c>
      <c r="BS40">
        <v>-48.5</v>
      </c>
      <c r="BT40">
        <v>11.5</v>
      </c>
      <c r="BU40">
        <v>11.5</v>
      </c>
      <c r="BV40">
        <v>95</v>
      </c>
      <c r="BW40" s="80">
        <f>IFERROR(TOWER_DATA[[#This Row],[Bottom '[m']]]-TOWER_DATA[[#This Row],[D, top '[m']]], "")</f>
        <v>-60</v>
      </c>
      <c r="BX40" s="80">
        <f>IFERROR(-(TOWER_DATA[[#This Row],[D, bottom '[m']]]-TOWER_DATA[[#This Row],[D, top '[m']]])/(TOWER_DATA[[#This Row],[Bottom '[m']]]-TOWER_DATA[[#This Row],[Top '[m']]]),"")</f>
        <v>0</v>
      </c>
      <c r="BY40" s="80">
        <f t="shared" si="2"/>
        <v>88.176400084519571</v>
      </c>
      <c r="BZ40" s="80">
        <f>IFERROR((TOWER_DATA[[#This Row],[D, bottom '[m']]]+TOWER_DATA[[#This Row],[D, top '[m']]])/(2*TOWER_DATA[[#This Row],[t '[mm']]]/1000),"")</f>
        <v>121.05263157894737</v>
      </c>
      <c r="CA40" s="80" t="str">
        <f>IFERROR((TOWER_DATA[[#This Row],[D, bottom '[m']]]+#REF!)/(2*#REF!/1000),"")</f>
        <v/>
      </c>
      <c r="CB40" s="83"/>
      <c r="CC40" s="83"/>
      <c r="CD40" s="83"/>
      <c r="CF40" s="78">
        <v>16</v>
      </c>
      <c r="CG40" s="78">
        <v>-45.2</v>
      </c>
      <c r="CH40" s="78">
        <v>-48.5</v>
      </c>
      <c r="CI40" s="78">
        <v>11.5</v>
      </c>
      <c r="CJ40" s="78">
        <v>11.5</v>
      </c>
      <c r="CK40" s="78">
        <v>95</v>
      </c>
      <c r="DE40" s="80"/>
      <c r="DF40" s="80"/>
    </row>
    <row r="41" spans="2:110" x14ac:dyDescent="0.3">
      <c r="B41" s="112">
        <v>17</v>
      </c>
      <c r="C41" s="113">
        <v>-48.5</v>
      </c>
      <c r="D41" s="113">
        <v>-51.7</v>
      </c>
      <c r="E41" s="112">
        <v>11.5</v>
      </c>
      <c r="F41" s="112">
        <v>11.5</v>
      </c>
      <c r="G41" s="112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P41" s="78">
        <v>17</v>
      </c>
      <c r="Q41" s="81">
        <v>-48.5</v>
      </c>
      <c r="R41" s="81">
        <v>-51.7</v>
      </c>
      <c r="S41" s="78">
        <v>11.5</v>
      </c>
      <c r="T41" s="78">
        <v>11.5</v>
      </c>
      <c r="U41" s="78">
        <v>95</v>
      </c>
      <c r="AO41" s="80" t="str">
        <f>IFERROR(TP_DATA[[#This Row],[Bottom '[m']]]-TP_DATA[[#This Row],[D, top '[m']]], "")</f>
        <v/>
      </c>
      <c r="AP41" s="80" t="str">
        <f>IFERROR(-(TP_DATA[[#This Row],[D, bottom '[m']]]-TP_DATA[[#This Row],[D, top '[m']]])/(TP_DATA[[#This Row],[Bottom '[m']]]-TP_DATA[[#This Row],[Top '[m']]]),"")</f>
        <v/>
      </c>
      <c r="AQ41" s="80" t="str">
        <f t="shared" si="1"/>
        <v/>
      </c>
      <c r="AR41" s="80" t="str">
        <f>IFERROR((TP_DATA[[#This Row],[D, bottom '[m']]]+TP_DATA[[#This Row],[D, top '[m']]])/(2*TP_DATA[[#This Row],[t '[mm']]]/1000),"")</f>
        <v/>
      </c>
      <c r="AS41" s="80" t="str">
        <f>IFERROR((TP_DATA[[#This Row],[D, bottom '[m']]]+#REF!)/(2*#REF!/1000),"")</f>
        <v/>
      </c>
      <c r="AX41" s="78"/>
      <c r="AY41" s="78"/>
      <c r="AZ41" s="78"/>
      <c r="BA41" s="78"/>
      <c r="BB41" s="78"/>
      <c r="BC41" s="78"/>
      <c r="BQ41" s="71">
        <v>17</v>
      </c>
      <c r="BR41">
        <v>-48.5</v>
      </c>
      <c r="BS41">
        <v>-51.7</v>
      </c>
      <c r="BT41">
        <v>11.5</v>
      </c>
      <c r="BU41">
        <v>11.5</v>
      </c>
      <c r="BV41">
        <v>95</v>
      </c>
      <c r="BW41" s="80">
        <f>IFERROR(TOWER_DATA[[#This Row],[Bottom '[m']]]-TOWER_DATA[[#This Row],[D, top '[m']]], "")</f>
        <v>-63.2</v>
      </c>
      <c r="BX41" s="80">
        <f>IFERROR(-(TOWER_DATA[[#This Row],[D, bottom '[m']]]-TOWER_DATA[[#This Row],[D, top '[m']]])/(TOWER_DATA[[#This Row],[Bottom '[m']]]-TOWER_DATA[[#This Row],[Top '[m']]]),"")</f>
        <v>0</v>
      </c>
      <c r="BY41" s="80">
        <f t="shared" si="2"/>
        <v>85.504387960746399</v>
      </c>
      <c r="BZ41" s="80">
        <f>IFERROR((TOWER_DATA[[#This Row],[D, bottom '[m']]]+TOWER_DATA[[#This Row],[D, top '[m']]])/(2*TOWER_DATA[[#This Row],[t '[mm']]]/1000),"")</f>
        <v>121.05263157894737</v>
      </c>
      <c r="CA41" s="80" t="str">
        <f>IFERROR((TOWER_DATA[[#This Row],[D, bottom '[m']]]+#REF!)/(2*#REF!/1000),"")</f>
        <v/>
      </c>
      <c r="CB41" s="83"/>
      <c r="CC41" s="83"/>
      <c r="CD41" s="83"/>
      <c r="CF41" s="78">
        <v>17</v>
      </c>
      <c r="CG41" s="78">
        <v>-48.5</v>
      </c>
      <c r="CH41" s="78">
        <v>-51.7</v>
      </c>
      <c r="CI41" s="78">
        <v>11.5</v>
      </c>
      <c r="CJ41" s="78">
        <v>11.5</v>
      </c>
      <c r="CK41" s="78">
        <v>95</v>
      </c>
      <c r="DE41" s="80"/>
      <c r="DF41" s="80"/>
    </row>
    <row r="42" spans="2:110" x14ac:dyDescent="0.3">
      <c r="B42" s="112">
        <v>18</v>
      </c>
      <c r="C42" s="113">
        <v>-51.7</v>
      </c>
      <c r="D42" s="113">
        <v>-55.3</v>
      </c>
      <c r="E42" s="112">
        <v>11.5</v>
      </c>
      <c r="F42" s="112">
        <v>11.5</v>
      </c>
      <c r="G42" s="112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P42" s="78">
        <v>18</v>
      </c>
      <c r="Q42" s="81">
        <v>-51.7</v>
      </c>
      <c r="R42" s="81">
        <v>-55.3</v>
      </c>
      <c r="S42" s="78">
        <v>11.5</v>
      </c>
      <c r="T42" s="78">
        <v>11.5</v>
      </c>
      <c r="U42" s="78">
        <v>93</v>
      </c>
      <c r="AO42" s="80" t="str">
        <f>IFERROR(TP_DATA[[#This Row],[Bottom '[m']]]-TP_DATA[[#This Row],[D, top '[m']]], "")</f>
        <v/>
      </c>
      <c r="AP42" s="80" t="str">
        <f>IFERROR(-(TP_DATA[[#This Row],[D, bottom '[m']]]-TP_DATA[[#This Row],[D, top '[m']]])/(TP_DATA[[#This Row],[Bottom '[m']]]-TP_DATA[[#This Row],[Top '[m']]]),"")</f>
        <v/>
      </c>
      <c r="AQ42" s="80" t="str">
        <f t="shared" si="1"/>
        <v/>
      </c>
      <c r="AR42" s="80" t="str">
        <f>IFERROR((TP_DATA[[#This Row],[D, bottom '[m']]]+TP_DATA[[#This Row],[D, top '[m']]])/(2*TP_DATA[[#This Row],[t '[mm']]]/1000),"")</f>
        <v/>
      </c>
      <c r="AS42" s="80" t="str">
        <f>IFERROR((TP_DATA[[#This Row],[D, bottom '[m']]]+#REF!)/(2*#REF!/1000),"")</f>
        <v/>
      </c>
      <c r="AX42" s="78"/>
      <c r="AY42" s="78"/>
      <c r="AZ42" s="78"/>
      <c r="BA42" s="78"/>
      <c r="BB42" s="78"/>
      <c r="BC42" s="78"/>
      <c r="BQ42" s="71">
        <v>18</v>
      </c>
      <c r="BR42">
        <v>-51.7</v>
      </c>
      <c r="BS42">
        <v>-55.3</v>
      </c>
      <c r="BT42">
        <v>11.5</v>
      </c>
      <c r="BU42">
        <v>11.5</v>
      </c>
      <c r="BV42">
        <v>93</v>
      </c>
      <c r="BW42" s="80">
        <f>IFERROR(TOWER_DATA[[#This Row],[Bottom '[m']]]-TOWER_DATA[[#This Row],[D, top '[m']]], "")</f>
        <v>-66.8</v>
      </c>
      <c r="BX42" s="80">
        <f>IFERROR(-(TOWER_DATA[[#This Row],[D, bottom '[m']]]-TOWER_DATA[[#This Row],[D, top '[m']]])/(TOWER_DATA[[#This Row],[Bottom '[m']]]-TOWER_DATA[[#This Row],[Top '[m']]]),"")</f>
        <v>0</v>
      </c>
      <c r="BY42" s="80">
        <f t="shared" si="2"/>
        <v>94.183845872414466</v>
      </c>
      <c r="BZ42" s="80">
        <f>IFERROR((TOWER_DATA[[#This Row],[D, bottom '[m']]]+TOWER_DATA[[#This Row],[D, top '[m']]])/(2*TOWER_DATA[[#This Row],[t '[mm']]]/1000),"")</f>
        <v>123.65591397849462</v>
      </c>
      <c r="CA42" s="80" t="str">
        <f>IFERROR((TOWER_DATA[[#This Row],[D, bottom '[m']]]+#REF!)/(2*#REF!/1000),"")</f>
        <v/>
      </c>
      <c r="CB42" s="83"/>
      <c r="CC42" s="83"/>
      <c r="CD42" s="83"/>
      <c r="CF42" s="78">
        <v>18</v>
      </c>
      <c r="CG42" s="78">
        <v>-51.7</v>
      </c>
      <c r="CH42" s="78">
        <v>-55.3</v>
      </c>
      <c r="CI42" s="78">
        <v>11.5</v>
      </c>
      <c r="CJ42" s="78">
        <v>11.5</v>
      </c>
      <c r="CK42" s="78">
        <v>93</v>
      </c>
      <c r="DE42" s="80"/>
      <c r="DF42" s="80"/>
    </row>
    <row r="43" spans="2:110" x14ac:dyDescent="0.3">
      <c r="B43" s="112">
        <v>19</v>
      </c>
      <c r="C43" s="113">
        <v>-55.3</v>
      </c>
      <c r="D43" s="113">
        <v>-59.3</v>
      </c>
      <c r="E43" s="112">
        <v>11.5</v>
      </c>
      <c r="F43" s="112">
        <v>11.5</v>
      </c>
      <c r="G43" s="112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P43" s="78">
        <v>19</v>
      </c>
      <c r="Q43" s="81">
        <v>-55.3</v>
      </c>
      <c r="R43" s="81">
        <v>-59.3</v>
      </c>
      <c r="S43" s="78">
        <v>11.5</v>
      </c>
      <c r="T43" s="78">
        <v>11.5</v>
      </c>
      <c r="U43" s="78">
        <v>93</v>
      </c>
      <c r="AO43" s="80" t="str">
        <f>IFERROR(TP_DATA[[#This Row],[Bottom '[m']]]-TP_DATA[[#This Row],[D, top '[m']]], "")</f>
        <v/>
      </c>
      <c r="AP43" s="80" t="str">
        <f>IFERROR(-(TP_DATA[[#This Row],[D, bottom '[m']]]-TP_DATA[[#This Row],[D, top '[m']]])/(TP_DATA[[#This Row],[Bottom '[m']]]-TP_DATA[[#This Row],[Top '[m']]]),"")</f>
        <v/>
      </c>
      <c r="AQ43" s="80" t="str">
        <f t="shared" si="1"/>
        <v/>
      </c>
      <c r="AR43" s="80" t="str">
        <f>IFERROR((TP_DATA[[#This Row],[D, bottom '[m']]]+TP_DATA[[#This Row],[D, top '[m']]])/(2*TP_DATA[[#This Row],[t '[mm']]]/1000),"")</f>
        <v/>
      </c>
      <c r="AS43" s="80" t="str">
        <f>IFERROR((TP_DATA[[#This Row],[D, bottom '[m']]]+#REF!)/(2*#REF!/1000),"")</f>
        <v/>
      </c>
      <c r="AX43" s="78"/>
      <c r="AY43" s="78"/>
      <c r="AZ43" s="78"/>
      <c r="BA43" s="78"/>
      <c r="BB43" s="78"/>
      <c r="BC43" s="78"/>
      <c r="BQ43" s="71">
        <v>19</v>
      </c>
      <c r="BR43">
        <v>-55.3</v>
      </c>
      <c r="BS43">
        <v>-59.3</v>
      </c>
      <c r="BT43">
        <v>11.5</v>
      </c>
      <c r="BU43">
        <v>11.5</v>
      </c>
      <c r="BV43">
        <v>93</v>
      </c>
      <c r="BW43" s="80">
        <f>IFERROR(TOWER_DATA[[#This Row],[Bottom '[m']]]-TOWER_DATA[[#This Row],[D, top '[m']]], "")</f>
        <v>-70.8</v>
      </c>
      <c r="BX43" s="80">
        <f>IFERROR(-(TOWER_DATA[[#This Row],[D, bottom '[m']]]-TOWER_DATA[[#This Row],[D, top '[m']]])/(TOWER_DATA[[#This Row],[Bottom '[m']]]-TOWER_DATA[[#This Row],[Top '[m']]]),"")</f>
        <v>0</v>
      </c>
      <c r="BY43" s="80">
        <f t="shared" si="2"/>
        <v>104.64871763601624</v>
      </c>
      <c r="BZ43" s="80">
        <f>IFERROR((TOWER_DATA[[#This Row],[D, bottom '[m']]]+TOWER_DATA[[#This Row],[D, top '[m']]])/(2*TOWER_DATA[[#This Row],[t '[mm']]]/1000),"")</f>
        <v>123.65591397849462</v>
      </c>
      <c r="CA43" s="80" t="str">
        <f>IFERROR((TOWER_DATA[[#This Row],[D, bottom '[m']]]+#REF!)/(2*#REF!/1000),"")</f>
        <v/>
      </c>
      <c r="CB43" s="83"/>
      <c r="CC43" s="83"/>
      <c r="CD43" s="83"/>
      <c r="CF43" s="78">
        <v>19</v>
      </c>
      <c r="CG43" s="78">
        <v>-55.3</v>
      </c>
      <c r="CH43" s="78">
        <v>-59.3</v>
      </c>
      <c r="CI43" s="78">
        <v>11.5</v>
      </c>
      <c r="CJ43" s="78">
        <v>11.5</v>
      </c>
      <c r="CK43" s="78">
        <v>93</v>
      </c>
      <c r="DE43" s="80"/>
      <c r="DF43" s="80"/>
    </row>
    <row r="44" spans="2:110" x14ac:dyDescent="0.3">
      <c r="B44" s="112">
        <v>20</v>
      </c>
      <c r="C44" s="113">
        <v>-59.3</v>
      </c>
      <c r="D44" s="113">
        <v>-63.3</v>
      </c>
      <c r="E44" s="112">
        <v>11.5</v>
      </c>
      <c r="F44" s="112">
        <v>11.5</v>
      </c>
      <c r="G44" s="112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P44" s="78">
        <v>20</v>
      </c>
      <c r="Q44" s="81">
        <v>-59.3</v>
      </c>
      <c r="R44" s="81">
        <v>-63.3</v>
      </c>
      <c r="S44" s="78">
        <v>11.5</v>
      </c>
      <c r="T44" s="78">
        <v>11.5</v>
      </c>
      <c r="U44" s="78">
        <v>93</v>
      </c>
      <c r="AO44" s="80" t="str">
        <f>IFERROR(TP_DATA[[#This Row],[Bottom '[m']]]-TP_DATA[[#This Row],[D, top '[m']]], "")</f>
        <v/>
      </c>
      <c r="AP44" s="80" t="str">
        <f>IFERROR(-(TP_DATA[[#This Row],[D, bottom '[m']]]-TP_DATA[[#This Row],[D, top '[m']]])/(TP_DATA[[#This Row],[Bottom '[m']]]-TP_DATA[[#This Row],[Top '[m']]]),"")</f>
        <v/>
      </c>
      <c r="AQ44" s="80" t="str">
        <f t="shared" si="1"/>
        <v/>
      </c>
      <c r="AR44" s="80" t="str">
        <f>IFERROR((TP_DATA[[#This Row],[D, bottom '[m']]]+TP_DATA[[#This Row],[D, top '[m']]])/(2*TP_DATA[[#This Row],[t '[mm']]]/1000),"")</f>
        <v/>
      </c>
      <c r="AS44" s="80" t="str">
        <f>IFERROR((TP_DATA[[#This Row],[D, bottom '[m']]]+#REF!)/(2*#REF!/1000),"")</f>
        <v/>
      </c>
      <c r="AX44" s="78"/>
      <c r="AY44" s="78"/>
      <c r="AZ44" s="78"/>
      <c r="BA44" s="78"/>
      <c r="BB44" s="78"/>
      <c r="BC44" s="78"/>
      <c r="BQ44" s="71">
        <v>20</v>
      </c>
      <c r="BR44">
        <v>-59.3</v>
      </c>
      <c r="BS44">
        <v>-63.3</v>
      </c>
      <c r="BT44">
        <v>11.5</v>
      </c>
      <c r="BU44">
        <v>11.5</v>
      </c>
      <c r="BV44">
        <v>93</v>
      </c>
      <c r="BW44" s="80">
        <f>IFERROR(TOWER_DATA[[#This Row],[Bottom '[m']]]-TOWER_DATA[[#This Row],[D, top '[m']]], "")</f>
        <v>-74.8</v>
      </c>
      <c r="BX44" s="80">
        <f>IFERROR(-(TOWER_DATA[[#This Row],[D, bottom '[m']]]-TOWER_DATA[[#This Row],[D, top '[m']]])/(TOWER_DATA[[#This Row],[Bottom '[m']]]-TOWER_DATA[[#This Row],[Top '[m']]]),"")</f>
        <v>0</v>
      </c>
      <c r="BY44" s="80">
        <f t="shared" si="2"/>
        <v>104.64871763601624</v>
      </c>
      <c r="BZ44" s="80">
        <f>IFERROR((TOWER_DATA[[#This Row],[D, bottom '[m']]]+TOWER_DATA[[#This Row],[D, top '[m']]])/(2*TOWER_DATA[[#This Row],[t '[mm']]]/1000),"")</f>
        <v>123.65591397849462</v>
      </c>
      <c r="CA44" s="80" t="str">
        <f>IFERROR((TOWER_DATA[[#This Row],[D, bottom '[m']]]+#REF!)/(2*#REF!/1000),"")</f>
        <v/>
      </c>
      <c r="CB44" s="83"/>
      <c r="CC44" s="83"/>
      <c r="CD44" s="83"/>
      <c r="CF44" s="78">
        <v>20</v>
      </c>
      <c r="CG44" s="78">
        <v>-59.3</v>
      </c>
      <c r="CH44" s="78">
        <v>-63.3</v>
      </c>
      <c r="CI44" s="78">
        <v>11.5</v>
      </c>
      <c r="CJ44" s="78">
        <v>11.5</v>
      </c>
      <c r="CK44" s="78">
        <v>93</v>
      </c>
      <c r="DE44" s="80"/>
      <c r="DF44" s="80"/>
    </row>
    <row r="45" spans="2:110" x14ac:dyDescent="0.3">
      <c r="B45" s="112">
        <v>21</v>
      </c>
      <c r="C45" s="113">
        <v>-63.3</v>
      </c>
      <c r="D45" s="113">
        <v>-67.3</v>
      </c>
      <c r="E45" s="112">
        <v>11.5</v>
      </c>
      <c r="F45" s="112">
        <v>11.5</v>
      </c>
      <c r="G45" s="112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P45" s="78">
        <v>21</v>
      </c>
      <c r="Q45" s="81">
        <v>-63.3</v>
      </c>
      <c r="R45" s="81">
        <v>-67.3</v>
      </c>
      <c r="S45" s="78">
        <v>11.5</v>
      </c>
      <c r="T45" s="78">
        <v>11.5</v>
      </c>
      <c r="U45" s="78">
        <v>93</v>
      </c>
      <c r="AO45" s="80" t="str">
        <f>IFERROR(TP_DATA[[#This Row],[Bottom '[m']]]-TP_DATA[[#This Row],[D, top '[m']]], "")</f>
        <v/>
      </c>
      <c r="AP45" s="80" t="str">
        <f>IFERROR(-(TP_DATA[[#This Row],[D, bottom '[m']]]-TP_DATA[[#This Row],[D, top '[m']]])/(TP_DATA[[#This Row],[Bottom '[m']]]-TP_DATA[[#This Row],[Top '[m']]]),"")</f>
        <v/>
      </c>
      <c r="AQ45" s="80" t="str">
        <f t="shared" si="1"/>
        <v/>
      </c>
      <c r="AR45" s="80" t="str">
        <f>IFERROR((TP_DATA[[#This Row],[D, bottom '[m']]]+TP_DATA[[#This Row],[D, top '[m']]])/(2*TP_DATA[[#This Row],[t '[mm']]]/1000),"")</f>
        <v/>
      </c>
      <c r="AS45" s="80" t="str">
        <f>IFERROR((TP_DATA[[#This Row],[D, bottom '[m']]]+#REF!)/(2*#REF!/1000),"")</f>
        <v/>
      </c>
      <c r="AX45" s="78"/>
      <c r="AY45" s="78"/>
      <c r="AZ45" s="78"/>
      <c r="BA45" s="78"/>
      <c r="BB45" s="78"/>
      <c r="BC45" s="78"/>
      <c r="BQ45" s="71">
        <v>21</v>
      </c>
      <c r="BR45">
        <v>-63.3</v>
      </c>
      <c r="BS45">
        <v>-67.3</v>
      </c>
      <c r="BT45">
        <v>11.5</v>
      </c>
      <c r="BU45">
        <v>11.5</v>
      </c>
      <c r="BV45">
        <v>93</v>
      </c>
      <c r="BW45" s="80">
        <f>IFERROR(TOWER_DATA[[#This Row],[Bottom '[m']]]-TOWER_DATA[[#This Row],[D, top '[m']]], "")</f>
        <v>-78.8</v>
      </c>
      <c r="BX45" s="80">
        <f>IFERROR(-(TOWER_DATA[[#This Row],[D, bottom '[m']]]-TOWER_DATA[[#This Row],[D, top '[m']]])/(TOWER_DATA[[#This Row],[Bottom '[m']]]-TOWER_DATA[[#This Row],[Top '[m']]]),"")</f>
        <v>0</v>
      </c>
      <c r="BY45" s="80">
        <f t="shared" si="2"/>
        <v>104.64871763601624</v>
      </c>
      <c r="BZ45" s="80">
        <f>IFERROR((TOWER_DATA[[#This Row],[D, bottom '[m']]]+TOWER_DATA[[#This Row],[D, top '[m']]])/(2*TOWER_DATA[[#This Row],[t '[mm']]]/1000),"")</f>
        <v>123.65591397849462</v>
      </c>
      <c r="CA45" s="80" t="str">
        <f>IFERROR((TOWER_DATA[[#This Row],[D, bottom '[m']]]+#REF!)/(2*#REF!/1000),"")</f>
        <v/>
      </c>
      <c r="CB45" s="83"/>
      <c r="CC45" s="83"/>
      <c r="CD45" s="83"/>
      <c r="CF45" s="78">
        <v>21</v>
      </c>
      <c r="CG45" s="78">
        <v>-63.3</v>
      </c>
      <c r="CH45" s="78">
        <v>-67.3</v>
      </c>
      <c r="CI45" s="78">
        <v>11.5</v>
      </c>
      <c r="CJ45" s="78">
        <v>11.5</v>
      </c>
      <c r="CK45" s="78">
        <v>93</v>
      </c>
      <c r="DE45" s="80"/>
      <c r="DF45" s="80"/>
    </row>
    <row r="46" spans="2:110" x14ac:dyDescent="0.3">
      <c r="B46" s="112">
        <v>22</v>
      </c>
      <c r="C46" s="113">
        <v>-67.3</v>
      </c>
      <c r="D46" s="113">
        <v>-71</v>
      </c>
      <c r="E46" s="112">
        <v>11.5</v>
      </c>
      <c r="F46" s="112">
        <v>11.5</v>
      </c>
      <c r="G46" s="112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P46" s="78">
        <v>22</v>
      </c>
      <c r="Q46" s="81">
        <v>-67.3</v>
      </c>
      <c r="R46" s="81">
        <v>-71</v>
      </c>
      <c r="S46" s="78">
        <v>11.5</v>
      </c>
      <c r="T46" s="78">
        <v>11.5</v>
      </c>
      <c r="U46" s="78">
        <v>96</v>
      </c>
      <c r="AO46" s="80" t="str">
        <f>IFERROR(TP_DATA[[#This Row],[Bottom '[m']]]-TP_DATA[[#This Row],[D, top '[m']]], "")</f>
        <v/>
      </c>
      <c r="AP46" s="80" t="str">
        <f>IFERROR(-(TP_DATA[[#This Row],[D, bottom '[m']]]-TP_DATA[[#This Row],[D, top '[m']]])/(TP_DATA[[#This Row],[Bottom '[m']]]-TP_DATA[[#This Row],[Top '[m']]]),"")</f>
        <v/>
      </c>
      <c r="AQ46" s="80" t="str">
        <f t="shared" si="1"/>
        <v/>
      </c>
      <c r="AR46" s="80" t="str">
        <f>IFERROR((TP_DATA[[#This Row],[D, bottom '[m']]]+TP_DATA[[#This Row],[D, top '[m']]])/(2*TP_DATA[[#This Row],[t '[mm']]]/1000),"")</f>
        <v/>
      </c>
      <c r="AS46" s="80" t="str">
        <f>IFERROR((TP_DATA[[#This Row],[D, bottom '[m']]]+#REF!)/(2*#REF!/1000),"")</f>
        <v/>
      </c>
      <c r="AX46" s="78"/>
      <c r="AY46" s="78"/>
      <c r="AZ46" s="78"/>
      <c r="BA46" s="78"/>
      <c r="BB46" s="78"/>
      <c r="BC46" s="78"/>
      <c r="BQ46" s="71">
        <v>22</v>
      </c>
      <c r="BR46">
        <v>-67.3</v>
      </c>
      <c r="BS46">
        <v>-71</v>
      </c>
      <c r="BT46">
        <v>11.5</v>
      </c>
      <c r="BU46">
        <v>11.5</v>
      </c>
      <c r="BV46">
        <v>96</v>
      </c>
      <c r="BW46" s="80">
        <f>IFERROR(TOWER_DATA[[#This Row],[Bottom '[m']]]-TOWER_DATA[[#This Row],[D, top '[m']]], "")</f>
        <v>-82.5</v>
      </c>
      <c r="BX46" s="80">
        <f>IFERROR(-(TOWER_DATA[[#This Row],[D, bottom '[m']]]-TOWER_DATA[[#This Row],[D, top '[m']]])/(TOWER_DATA[[#This Row],[Bottom '[m']]]-TOWER_DATA[[#This Row],[Top '[m']]]),"")</f>
        <v>0</v>
      </c>
      <c r="BY46" s="80">
        <f t="shared" si="2"/>
        <v>99.896367220087171</v>
      </c>
      <c r="BZ46" s="80">
        <f>IFERROR((TOWER_DATA[[#This Row],[D, bottom '[m']]]+TOWER_DATA[[#This Row],[D, top '[m']]])/(2*TOWER_DATA[[#This Row],[t '[mm']]]/1000),"")</f>
        <v>119.79166666666666</v>
      </c>
      <c r="CA46" s="80" t="str">
        <f>IFERROR((TOWER_DATA[[#This Row],[D, bottom '[m']]]+#REF!)/(2*#REF!/1000),"")</f>
        <v/>
      </c>
      <c r="CB46" s="83"/>
      <c r="CC46" s="83"/>
      <c r="CD46" s="83"/>
      <c r="CF46" s="78">
        <v>22</v>
      </c>
      <c r="CG46" s="78">
        <v>-67.3</v>
      </c>
      <c r="CH46" s="78">
        <v>-71</v>
      </c>
      <c r="CI46" s="78">
        <v>11.5</v>
      </c>
      <c r="CJ46" s="78">
        <v>11.5</v>
      </c>
      <c r="CK46" s="78">
        <v>96</v>
      </c>
      <c r="DE46" s="80"/>
      <c r="DF46" s="80"/>
    </row>
    <row r="47" spans="2:110" x14ac:dyDescent="0.3">
      <c r="B47" s="112">
        <v>23</v>
      </c>
      <c r="C47" s="113">
        <v>-71</v>
      </c>
      <c r="D47" s="113">
        <v>-74.3</v>
      </c>
      <c r="E47" s="112">
        <v>11.5</v>
      </c>
      <c r="F47" s="112">
        <v>11.5</v>
      </c>
      <c r="G47" s="112">
        <v>96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89.096759953050565</v>
      </c>
      <c r="K47" s="80">
        <f>IFERROR((MP_DATA[[#This Row],[D, bottom '[m']]]+MP_DATA[[#This Row],[D, top '[m']]])/(2*MP_DATA[[#This Row],[t '[mm']]]/1000),"")</f>
        <v>119.79166666666666</v>
      </c>
      <c r="L47" s="80" t="str">
        <f>IFERROR((MP_DATA[[#This Row],[D, bottom '[m']]]+#REF!)/(2*#REF!/1000),"")</f>
        <v/>
      </c>
      <c r="P47" s="78">
        <v>23</v>
      </c>
      <c r="Q47" s="81">
        <v>-71</v>
      </c>
      <c r="R47" s="81">
        <v>-74.3</v>
      </c>
      <c r="S47" s="78">
        <v>11.5</v>
      </c>
      <c r="T47" s="78">
        <v>11.5</v>
      </c>
      <c r="U47" s="78">
        <v>96</v>
      </c>
      <c r="AO47" s="80" t="str">
        <f>IFERROR(TP_DATA[[#This Row],[Bottom '[m']]]-TP_DATA[[#This Row],[D, top '[m']]], "")</f>
        <v/>
      </c>
      <c r="AP47" s="80" t="str">
        <f>IFERROR(-(TP_DATA[[#This Row],[D, bottom '[m']]]-TP_DATA[[#This Row],[D, top '[m']]])/(TP_DATA[[#This Row],[Bottom '[m']]]-TP_DATA[[#This Row],[Top '[m']]]),"")</f>
        <v/>
      </c>
      <c r="AQ47" s="80" t="str">
        <f t="shared" si="1"/>
        <v/>
      </c>
      <c r="AR47" s="80" t="str">
        <f>IFERROR((TP_DATA[[#This Row],[D, bottom '[m']]]+TP_DATA[[#This Row],[D, top '[m']]])/(2*TP_DATA[[#This Row],[t '[mm']]]/1000),"")</f>
        <v/>
      </c>
      <c r="AS47" s="80" t="str">
        <f>IFERROR((TP_DATA[[#This Row],[D, bottom '[m']]]+#REF!)/(2*#REF!/1000),"")</f>
        <v/>
      </c>
      <c r="AX47" s="78"/>
      <c r="AY47" s="78"/>
      <c r="AZ47" s="78"/>
      <c r="BA47" s="78"/>
      <c r="BB47" s="78"/>
      <c r="BC47" s="78"/>
      <c r="BQ47" s="71">
        <v>23</v>
      </c>
      <c r="BR47">
        <v>-71</v>
      </c>
      <c r="BS47">
        <v>-74.3</v>
      </c>
      <c r="BT47">
        <v>11.5</v>
      </c>
      <c r="BU47">
        <v>11.5</v>
      </c>
      <c r="BV47">
        <v>96</v>
      </c>
      <c r="BW47" s="80">
        <f>IFERROR(TOWER_DATA[[#This Row],[Bottom '[m']]]-TOWER_DATA[[#This Row],[D, top '[m']]], "")</f>
        <v>-85.8</v>
      </c>
      <c r="BX47" s="80">
        <f>IFERROR(-(TOWER_DATA[[#This Row],[D, bottom '[m']]]-TOWER_DATA[[#This Row],[D, top '[m']]])/(TOWER_DATA[[#This Row],[Bottom '[m']]]-TOWER_DATA[[#This Row],[Top '[m']]]),"")</f>
        <v>0</v>
      </c>
      <c r="BY47" s="80">
        <f t="shared" si="2"/>
        <v>89.096759953050565</v>
      </c>
      <c r="BZ47" s="80">
        <f>IFERROR((TOWER_DATA[[#This Row],[D, bottom '[m']]]+TOWER_DATA[[#This Row],[D, top '[m']]])/(2*TOWER_DATA[[#This Row],[t '[mm']]]/1000),"")</f>
        <v>119.79166666666666</v>
      </c>
      <c r="CA47" s="80" t="str">
        <f>IFERROR((TOWER_DATA[[#This Row],[D, bottom '[m']]]+#REF!)/(2*#REF!/1000),"")</f>
        <v/>
      </c>
      <c r="CB47" s="83"/>
      <c r="CC47" s="83"/>
      <c r="CD47" s="83"/>
      <c r="CF47" s="78">
        <v>23</v>
      </c>
      <c r="CG47" s="78">
        <v>-71</v>
      </c>
      <c r="CH47" s="78">
        <v>-74.3</v>
      </c>
      <c r="CI47" s="78">
        <v>11.5</v>
      </c>
      <c r="CJ47" s="78">
        <v>11.5</v>
      </c>
      <c r="CK47" s="78">
        <v>96</v>
      </c>
      <c r="DE47" s="80"/>
      <c r="DF47" s="80"/>
    </row>
    <row r="48" spans="2:110" x14ac:dyDescent="0.3">
      <c r="B48" s="112">
        <v>24</v>
      </c>
      <c r="C48" s="113">
        <v>-74.3</v>
      </c>
      <c r="D48" s="113">
        <v>-77.44</v>
      </c>
      <c r="E48" s="112">
        <v>11.5</v>
      </c>
      <c r="F48" s="112">
        <v>11.5</v>
      </c>
      <c r="G48" s="112">
        <v>100</v>
      </c>
      <c r="H48" s="80">
        <f>IFERROR(MP_DATA[[#This Row],[Bottom '[m']]]-MP_DATA[[#This Row],[D, top '[m']]], "")</f>
        <v>-88.94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88.278313742901631</v>
      </c>
      <c r="K48" s="80">
        <f>IFERROR((MP_DATA[[#This Row],[D, bottom '[m']]]+MP_DATA[[#This Row],[D, top '[m']]])/(2*MP_DATA[[#This Row],[t '[mm']]]/1000),"")</f>
        <v>115</v>
      </c>
      <c r="L48" s="80" t="str">
        <f>IFERROR((MP_DATA[[#This Row],[D, bottom '[m']]]+#REF!)/(2*#REF!/1000),"")</f>
        <v/>
      </c>
      <c r="P48" s="78">
        <v>24</v>
      </c>
      <c r="Q48" s="81">
        <v>-74.3</v>
      </c>
      <c r="R48" s="81">
        <v>-77.44</v>
      </c>
      <c r="S48" s="78">
        <v>11.5</v>
      </c>
      <c r="T48" s="78">
        <v>11.5</v>
      </c>
      <c r="U48" s="78">
        <v>100</v>
      </c>
      <c r="AO48" s="80" t="str">
        <f>IFERROR(TP_DATA[[#This Row],[Bottom '[m']]]-TP_DATA[[#This Row],[D, top '[m']]], "")</f>
        <v/>
      </c>
      <c r="AP48" s="80" t="str">
        <f>IFERROR(-(TP_DATA[[#This Row],[D, bottom '[m']]]-TP_DATA[[#This Row],[D, top '[m']]])/(TP_DATA[[#This Row],[Bottom '[m']]]-TP_DATA[[#This Row],[Top '[m']]]),"")</f>
        <v/>
      </c>
      <c r="AQ48" s="80" t="str">
        <f t="shared" si="1"/>
        <v/>
      </c>
      <c r="AR48" s="80" t="str">
        <f>IFERROR((TP_DATA[[#This Row],[D, bottom '[m']]]+TP_DATA[[#This Row],[D, top '[m']]])/(2*TP_DATA[[#This Row],[t '[mm']]]/1000),"")</f>
        <v/>
      </c>
      <c r="AS48" s="80" t="str">
        <f>IFERROR((TP_DATA[[#This Row],[D, bottom '[m']]]+#REF!)/(2*#REF!/1000),"")</f>
        <v/>
      </c>
      <c r="AX48" s="78"/>
      <c r="AY48" s="78"/>
      <c r="AZ48" s="78"/>
      <c r="BA48" s="78"/>
      <c r="BB48" s="78"/>
      <c r="BC48" s="78"/>
      <c r="BQ48" s="71">
        <v>24</v>
      </c>
      <c r="BR48">
        <v>-74.3</v>
      </c>
      <c r="BS48">
        <v>-77.44</v>
      </c>
      <c r="BT48">
        <v>11.5</v>
      </c>
      <c r="BU48">
        <v>11.5</v>
      </c>
      <c r="BV48">
        <v>100</v>
      </c>
      <c r="BW48" s="80">
        <f>IFERROR(TOWER_DATA[[#This Row],[Bottom '[m']]]-TOWER_DATA[[#This Row],[D, top '[m']]], "")</f>
        <v>-88.94</v>
      </c>
      <c r="BX48" s="80">
        <f>IFERROR(-(TOWER_DATA[[#This Row],[D, bottom '[m']]]-TOWER_DATA[[#This Row],[D, top '[m']]])/(TOWER_DATA[[#This Row],[Bottom '[m']]]-TOWER_DATA[[#This Row],[Top '[m']]]),"")</f>
        <v>0</v>
      </c>
      <c r="BY48" s="80">
        <f t="shared" si="2"/>
        <v>88.278313742901631</v>
      </c>
      <c r="BZ48" s="80">
        <f>IFERROR((TOWER_DATA[[#This Row],[D, bottom '[m']]]+TOWER_DATA[[#This Row],[D, top '[m']]])/(2*TOWER_DATA[[#This Row],[t '[mm']]]/1000),"")</f>
        <v>115</v>
      </c>
      <c r="CA48" s="80" t="str">
        <f>IFERROR((TOWER_DATA[[#This Row],[D, bottom '[m']]]+#REF!)/(2*#REF!/1000),"")</f>
        <v/>
      </c>
      <c r="CB48" s="83"/>
      <c r="CC48" s="83"/>
      <c r="CD48" s="83"/>
      <c r="CF48" s="78">
        <v>24</v>
      </c>
      <c r="CG48" s="78">
        <v>-74.3</v>
      </c>
      <c r="CH48" s="78">
        <v>-77.44</v>
      </c>
      <c r="CI48" s="78">
        <v>11.5</v>
      </c>
      <c r="CJ48" s="78">
        <v>11.5</v>
      </c>
      <c r="CK48" s="78">
        <v>100</v>
      </c>
      <c r="DE48" s="80"/>
      <c r="DF48" s="80"/>
    </row>
    <row r="49" spans="2:110" x14ac:dyDescent="0.3">
      <c r="B49" s="112">
        <v>25</v>
      </c>
      <c r="C49" s="113">
        <v>-77.44</v>
      </c>
      <c r="D49" s="113">
        <v>-80.44</v>
      </c>
      <c r="E49" s="112">
        <v>11.5</v>
      </c>
      <c r="F49" s="112">
        <v>11.5</v>
      </c>
      <c r="G49" s="112">
        <v>105</v>
      </c>
      <c r="H49" s="80">
        <f>IFERROR(MP_DATA[[#This Row],[Bottom '[m']]]-MP_DATA[[#This Row],[D, top '[m']]], "")</f>
        <v>-91.94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88.520613003301008</v>
      </c>
      <c r="K49" s="80">
        <f>IFERROR((MP_DATA[[#This Row],[D, bottom '[m']]]+MP_DATA[[#This Row],[D, top '[m']]])/(2*MP_DATA[[#This Row],[t '[mm']]]/1000),"")</f>
        <v>109.52380952380953</v>
      </c>
      <c r="L49" s="80" t="str">
        <f>IFERROR((MP_DATA[[#This Row],[D, bottom '[m']]]+#REF!)/(2*#REF!/1000),"")</f>
        <v/>
      </c>
      <c r="P49" s="78">
        <v>25</v>
      </c>
      <c r="Q49" s="81">
        <v>-77.44</v>
      </c>
      <c r="R49" s="81">
        <v>-80.44</v>
      </c>
      <c r="S49" s="78">
        <v>11.5</v>
      </c>
      <c r="T49" s="78">
        <v>11.5</v>
      </c>
      <c r="U49" s="78">
        <v>105</v>
      </c>
      <c r="AO49" s="80" t="str">
        <f>IFERROR(TP_DATA[[#This Row],[Bottom '[m']]]-TP_DATA[[#This Row],[D, top '[m']]], "")</f>
        <v/>
      </c>
      <c r="AP49" s="80" t="str">
        <f>IFERROR(-(TP_DATA[[#This Row],[D, bottom '[m']]]-TP_DATA[[#This Row],[D, top '[m']]])/(TP_DATA[[#This Row],[Bottom '[m']]]-TP_DATA[[#This Row],[Top '[m']]]),"")</f>
        <v/>
      </c>
      <c r="AQ49" s="80" t="str">
        <f t="shared" si="1"/>
        <v/>
      </c>
      <c r="AR49" s="80" t="str">
        <f>IFERROR((TP_DATA[[#This Row],[D, bottom '[m']]]+TP_DATA[[#This Row],[D, top '[m']]])/(2*TP_DATA[[#This Row],[t '[mm']]]/1000),"")</f>
        <v/>
      </c>
      <c r="AS49" s="80" t="str">
        <f>IFERROR((TP_DATA[[#This Row],[D, bottom '[m']]]+#REF!)/(2*#REF!/1000),"")</f>
        <v/>
      </c>
      <c r="AX49" s="78"/>
      <c r="AY49" s="78"/>
      <c r="AZ49" s="78"/>
      <c r="BA49" s="78"/>
      <c r="BB49" s="78"/>
      <c r="BC49" s="78"/>
      <c r="BQ49" s="71">
        <v>25</v>
      </c>
      <c r="BR49">
        <v>-77.44</v>
      </c>
      <c r="BS49">
        <v>-80.44</v>
      </c>
      <c r="BT49">
        <v>11.5</v>
      </c>
      <c r="BU49">
        <v>11.5</v>
      </c>
      <c r="BV49">
        <v>105</v>
      </c>
      <c r="BW49" s="80">
        <f>IFERROR(TOWER_DATA[[#This Row],[Bottom '[m']]]-TOWER_DATA[[#This Row],[D, top '[m']]], "")</f>
        <v>-91.94</v>
      </c>
      <c r="BX49" s="80">
        <f>IFERROR(-(TOWER_DATA[[#This Row],[D, bottom '[m']]]-TOWER_DATA[[#This Row],[D, top '[m']]])/(TOWER_DATA[[#This Row],[Bottom '[m']]]-TOWER_DATA[[#This Row],[Top '[m']]]),"")</f>
        <v>0</v>
      </c>
      <c r="BY49" s="80">
        <f t="shared" si="2"/>
        <v>88.520613003301008</v>
      </c>
      <c r="BZ49" s="80">
        <f>IFERROR((TOWER_DATA[[#This Row],[D, bottom '[m']]]+TOWER_DATA[[#This Row],[D, top '[m']]])/(2*TOWER_DATA[[#This Row],[t '[mm']]]/1000),"")</f>
        <v>109.52380952380953</v>
      </c>
      <c r="CA49" s="80" t="str">
        <f>IFERROR((TOWER_DATA[[#This Row],[D, bottom '[m']]]+#REF!)/(2*#REF!/1000),"")</f>
        <v/>
      </c>
      <c r="CB49" s="83"/>
      <c r="CC49" s="83"/>
      <c r="CD49" s="83"/>
      <c r="CF49" s="78">
        <v>25</v>
      </c>
      <c r="CG49" s="78">
        <v>-77.44</v>
      </c>
      <c r="CH49" s="78">
        <v>-80.44</v>
      </c>
      <c r="CI49" s="78">
        <v>11.5</v>
      </c>
      <c r="CJ49" s="78">
        <v>11.5</v>
      </c>
      <c r="CK49" s="78">
        <v>105</v>
      </c>
      <c r="DE49" s="80"/>
      <c r="DF49" s="80"/>
    </row>
    <row r="50" spans="2:110" x14ac:dyDescent="0.3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O50" s="80" t="str">
        <f>IFERROR(TP_DATA[[#This Row],[Bottom '[m']]]-TP_DATA[[#This Row],[D, top '[m']]], "")</f>
        <v/>
      </c>
      <c r="AP50" s="80" t="str">
        <f>IFERROR(-(TP_DATA[[#This Row],[D, bottom '[m']]]-TP_DATA[[#This Row],[D, top '[m']]])/(TP_DATA[[#This Row],[Bottom '[m']]]-TP_DATA[[#This Row],[Top '[m']]]),"")</f>
        <v/>
      </c>
      <c r="AQ50" s="80" t="str">
        <f t="shared" si="1"/>
        <v/>
      </c>
      <c r="AR50" s="80" t="str">
        <f>IFERROR((TP_DATA[[#This Row],[D, bottom '[m']]]+TP_DATA[[#This Row],[D, top '[m']]])/(2*TP_DATA[[#This Row],[t '[mm']]]/1000),"")</f>
        <v/>
      </c>
      <c r="AS50" s="80" t="str">
        <f>IFERROR((TP_DATA[[#This Row],[D, bottom '[m']]]+#REF!)/(2*#REF!/1000),"")</f>
        <v/>
      </c>
      <c r="BW50" s="80" t="str">
        <f>IFERROR(TOWER_DATA[[#This Row],[Bottom '[m']]]-TOWER_DATA[[#This Row],[D, top '[m']]], "")</f>
        <v/>
      </c>
      <c r="BX50" s="80" t="str">
        <f>IFERROR(-(TOWER_DATA[[#This Row],[D, bottom '[m']]]-TOWER_DATA[[#This Row],[D, top '[m']]])/(TOWER_DATA[[#This Row],[Bottom '[m']]]-TOWER_DATA[[#This Row],[Top '[m']]]),"")</f>
        <v/>
      </c>
      <c r="BY50" s="80" t="str">
        <f t="shared" si="2"/>
        <v/>
      </c>
      <c r="BZ50" s="80" t="str">
        <f>IFERROR((TOWER_DATA[[#This Row],[D, bottom '[m']]]+TOWER_DATA[[#This Row],[D, top '[m']]])/(2*TOWER_DATA[[#This Row],[t '[mm']]]/1000),"")</f>
        <v/>
      </c>
      <c r="CA50" s="80" t="str">
        <f>IFERROR((TOWER_DATA[[#This Row],[D, bottom '[m']]]+#REF!)/(2*#REF!/1000),"")</f>
        <v/>
      </c>
      <c r="CF50" s="78"/>
      <c r="CG50" s="78"/>
      <c r="CH50" s="78"/>
      <c r="CJ50" s="78"/>
      <c r="DE50" s="80"/>
      <c r="DF50" s="80"/>
    </row>
    <row r="51" spans="2:110" x14ac:dyDescent="0.3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O51" s="80" t="str">
        <f>IFERROR(TP_DATA[[#This Row],[Bottom '[m']]]-TP_DATA[[#This Row],[D, top '[m']]], "")</f>
        <v/>
      </c>
      <c r="AP51" s="80" t="str">
        <f>IFERROR(-(TP_DATA[[#This Row],[D, bottom '[m']]]-TP_DATA[[#This Row],[D, top '[m']]])/(TP_DATA[[#This Row],[Bottom '[m']]]-TP_DATA[[#This Row],[Top '[m']]]),"")</f>
        <v/>
      </c>
      <c r="AQ51" s="80" t="str">
        <f t="shared" si="1"/>
        <v/>
      </c>
      <c r="AR51" s="80" t="str">
        <f>IFERROR((TP_DATA[[#This Row],[D, bottom '[m']]]+TP_DATA[[#This Row],[D, top '[m']]])/(2*TP_DATA[[#This Row],[t '[mm']]]/1000),"")</f>
        <v/>
      </c>
      <c r="AS51" s="80" t="str">
        <f>IFERROR((TP_DATA[[#This Row],[D, bottom '[m']]]+#REF!)/(2*#REF!/1000),"")</f>
        <v/>
      </c>
      <c r="BW51" s="80" t="str">
        <f>IFERROR(TOWER_DATA[[#This Row],[Bottom '[m']]]-TOWER_DATA[[#This Row],[D, top '[m']]], "")</f>
        <v/>
      </c>
      <c r="BX51" s="80" t="str">
        <f>IFERROR(-(TOWER_DATA[[#This Row],[D, bottom '[m']]]-TOWER_DATA[[#This Row],[D, top '[m']]])/(TOWER_DATA[[#This Row],[Bottom '[m']]]-TOWER_DATA[[#This Row],[Top '[m']]]),"")</f>
        <v/>
      </c>
      <c r="BY51" s="80" t="str">
        <f t="shared" si="2"/>
        <v/>
      </c>
      <c r="BZ51" s="80" t="str">
        <f>IFERROR((TOWER_DATA[[#This Row],[D, bottom '[m']]]+TOWER_DATA[[#This Row],[D, top '[m']]])/(2*TOWER_DATA[[#This Row],[t '[mm']]]/1000),"")</f>
        <v/>
      </c>
      <c r="CA51" s="80" t="str">
        <f>IFERROR((TOWER_DATA[[#This Row],[D, bottom '[m']]]+#REF!)/(2*#REF!/1000),"")</f>
        <v/>
      </c>
      <c r="CF51" s="78"/>
      <c r="CG51" s="78"/>
      <c r="CH51" s="78"/>
      <c r="CJ51" s="78"/>
      <c r="DE51" s="80"/>
      <c r="DF51" s="80"/>
    </row>
    <row r="52" spans="2:110" x14ac:dyDescent="0.3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O52" s="80" t="str">
        <f>IFERROR(TP_DATA[[#This Row],[Bottom '[m']]]-TP_DATA[[#This Row],[D, top '[m']]], "")</f>
        <v/>
      </c>
      <c r="AP52" s="80" t="str">
        <f>IFERROR(-(TP_DATA[[#This Row],[D, bottom '[m']]]-TP_DATA[[#This Row],[D, top '[m']]])/(TP_DATA[[#This Row],[Bottom '[m']]]-TP_DATA[[#This Row],[Top '[m']]]),"")</f>
        <v/>
      </c>
      <c r="AQ52" s="80" t="str">
        <f t="shared" si="1"/>
        <v/>
      </c>
      <c r="AR52" s="80" t="str">
        <f>IFERROR((TP_DATA[[#This Row],[D, bottom '[m']]]+TP_DATA[[#This Row],[D, top '[m']]])/(2*TP_DATA[[#This Row],[t '[mm']]]/1000),"")</f>
        <v/>
      </c>
      <c r="AS52" s="80" t="str">
        <f>IFERROR((TP_DATA[[#This Row],[D, bottom '[m']]]+#REF!)/(2*#REF!/1000),"")</f>
        <v/>
      </c>
      <c r="BW52" s="80" t="str">
        <f>IFERROR(TOWER_DATA[[#This Row],[Bottom '[m']]]-TOWER_DATA[[#This Row],[D, top '[m']]], "")</f>
        <v/>
      </c>
      <c r="BX52" s="80" t="str">
        <f>IFERROR(-(TOWER_DATA[[#This Row],[D, bottom '[m']]]-TOWER_DATA[[#This Row],[D, top '[m']]])/(TOWER_DATA[[#This Row],[Bottom '[m']]]-TOWER_DATA[[#This Row],[Top '[m']]]),"")</f>
        <v/>
      </c>
      <c r="BY52" s="80" t="str">
        <f t="shared" si="2"/>
        <v/>
      </c>
      <c r="BZ52" s="80" t="str">
        <f>IFERROR((TOWER_DATA[[#This Row],[D, bottom '[m']]]+TOWER_DATA[[#This Row],[D, top '[m']]])/(2*TOWER_DATA[[#This Row],[t '[mm']]]/1000),"")</f>
        <v/>
      </c>
      <c r="CA52" s="80" t="str">
        <f>IFERROR((TOWER_DATA[[#This Row],[D, bottom '[m']]]+#REF!)/(2*#REF!/1000),"")</f>
        <v/>
      </c>
      <c r="CF52" s="78"/>
      <c r="CG52" s="78"/>
      <c r="CH52" s="78"/>
      <c r="CJ52" s="78"/>
      <c r="DE52" s="80"/>
      <c r="DF52" s="80"/>
    </row>
    <row r="53" spans="2:110" x14ac:dyDescent="0.3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O53" s="80" t="str">
        <f>IFERROR(TP_DATA[[#This Row],[Bottom '[m']]]-TP_DATA[[#This Row],[D, top '[m']]], "")</f>
        <v/>
      </c>
      <c r="AP53" s="80" t="str">
        <f>IFERROR(-(TP_DATA[[#This Row],[D, bottom '[m']]]-TP_DATA[[#This Row],[D, top '[m']]])/(TP_DATA[[#This Row],[Bottom '[m']]]-TP_DATA[[#This Row],[Top '[m']]]),"")</f>
        <v/>
      </c>
      <c r="AQ53" s="80" t="str">
        <f t="shared" si="1"/>
        <v/>
      </c>
      <c r="AR53" s="80" t="str">
        <f>IFERROR((TP_DATA[[#This Row],[D, bottom '[m']]]+TP_DATA[[#This Row],[D, top '[m']]])/(2*TP_DATA[[#This Row],[t '[mm']]]/1000),"")</f>
        <v/>
      </c>
      <c r="AS53" s="80" t="str">
        <f>IFERROR((TP_DATA[[#This Row],[D, bottom '[m']]]+#REF!)/(2*#REF!/1000),"")</f>
        <v/>
      </c>
      <c r="BW53" s="80" t="str">
        <f>IFERROR(TOWER_DATA[[#This Row],[Bottom '[m']]]-TOWER_DATA[[#This Row],[D, top '[m']]], "")</f>
        <v/>
      </c>
      <c r="BX53" s="80" t="str">
        <f>IFERROR(-(TOWER_DATA[[#This Row],[D, bottom '[m']]]-TOWER_DATA[[#This Row],[D, top '[m']]])/(TOWER_DATA[[#This Row],[Bottom '[m']]]-TOWER_DATA[[#This Row],[Top '[m']]]),"")</f>
        <v/>
      </c>
      <c r="BY53" s="80" t="str">
        <f t="shared" si="2"/>
        <v/>
      </c>
      <c r="BZ53" s="80" t="str">
        <f>IFERROR((TOWER_DATA[[#This Row],[D, bottom '[m']]]+TOWER_DATA[[#This Row],[D, top '[m']]])/(2*TOWER_DATA[[#This Row],[t '[mm']]]/1000),"")</f>
        <v/>
      </c>
      <c r="CA53" s="80" t="str">
        <f>IFERROR((TOWER_DATA[[#This Row],[D, bottom '[m']]]+#REF!)/(2*#REF!/1000),"")</f>
        <v/>
      </c>
      <c r="CF53" s="78"/>
      <c r="CG53" s="78"/>
      <c r="CH53" s="78"/>
      <c r="CJ53" s="78"/>
      <c r="DE53" s="80"/>
      <c r="DF53" s="80"/>
    </row>
    <row r="54" spans="2:110" x14ac:dyDescent="0.3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O54" s="80" t="str">
        <f>IFERROR(TP_DATA[[#This Row],[Bottom '[m']]]-TP_DATA[[#This Row],[D, top '[m']]], "")</f>
        <v/>
      </c>
      <c r="AP54" s="80" t="str">
        <f>IFERROR(-(TP_DATA[[#This Row],[D, bottom '[m']]]-TP_DATA[[#This Row],[D, top '[m']]])/(TP_DATA[[#This Row],[Bottom '[m']]]-TP_DATA[[#This Row],[Top '[m']]]),"")</f>
        <v/>
      </c>
      <c r="AQ54" s="80" t="str">
        <f t="shared" si="1"/>
        <v/>
      </c>
      <c r="AR54" s="80" t="str">
        <f>IFERROR((TP_DATA[[#This Row],[D, bottom '[m']]]+TP_DATA[[#This Row],[D, top '[m']]])/(2*TP_DATA[[#This Row],[t '[mm']]]/1000),"")</f>
        <v/>
      </c>
      <c r="AS54" s="80"/>
      <c r="BW54" s="80" t="str">
        <f>IFERROR(TOWER_DATA[[#This Row],[Bottom '[m']]]-TOWER_DATA[[#This Row],[D, top '[m']]], "")</f>
        <v/>
      </c>
      <c r="BX54" s="80" t="str">
        <f>IFERROR(-(TOWER_DATA[[#This Row],[D, bottom '[m']]]-TOWER_DATA[[#This Row],[D, top '[m']]])/(TOWER_DATA[[#This Row],[Bottom '[m']]]-TOWER_DATA[[#This Row],[Top '[m']]]),"")</f>
        <v/>
      </c>
      <c r="BY54" s="80" t="str">
        <f t="shared" si="2"/>
        <v/>
      </c>
      <c r="BZ54" s="80" t="str">
        <f>IFERROR((TOWER_DATA[[#This Row],[D, bottom '[m']]]+TOWER_DATA[[#This Row],[D, top '[m']]])/(2*TOWER_DATA[[#This Row],[t '[mm']]]/1000),"")</f>
        <v/>
      </c>
      <c r="CA54" s="80"/>
      <c r="CF54" s="78"/>
      <c r="CG54" s="78"/>
      <c r="CH54" s="78"/>
      <c r="CJ54" s="78"/>
      <c r="DE54" s="80"/>
      <c r="DF54" s="80"/>
    </row>
    <row r="55" spans="2:110" x14ac:dyDescent="0.3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O55" s="80" t="str">
        <f>IFERROR(TP_DATA[[#This Row],[Bottom '[m']]]-TP_DATA[[#This Row],[D, top '[m']]], "")</f>
        <v/>
      </c>
      <c r="AP55" s="80" t="str">
        <f>IFERROR(-(TP_DATA[[#This Row],[D, bottom '[m']]]-TP_DATA[[#This Row],[D, top '[m']]])/(TP_DATA[[#This Row],[Bottom '[m']]]-TP_DATA[[#This Row],[Top '[m']]]),"")</f>
        <v/>
      </c>
      <c r="AQ55" s="80" t="str">
        <f t="shared" si="1"/>
        <v/>
      </c>
      <c r="AR55" s="80" t="str">
        <f>IFERROR((TP_DATA[[#This Row],[D, bottom '[m']]]+TP_DATA[[#This Row],[D, top '[m']]])/(2*TP_DATA[[#This Row],[t '[mm']]]/1000),"")</f>
        <v/>
      </c>
      <c r="AS55" s="80"/>
      <c r="BW55" s="80" t="str">
        <f>IFERROR(TOWER_DATA[[#This Row],[Bottom '[m']]]-TOWER_DATA[[#This Row],[D, top '[m']]], "")</f>
        <v/>
      </c>
      <c r="BX55" s="80" t="str">
        <f>IFERROR(-(TOWER_DATA[[#This Row],[D, bottom '[m']]]-TOWER_DATA[[#This Row],[D, top '[m']]])/(TOWER_DATA[[#This Row],[Bottom '[m']]]-TOWER_DATA[[#This Row],[Top '[m']]]),"")</f>
        <v/>
      </c>
      <c r="BY55" s="80" t="str">
        <f t="shared" si="2"/>
        <v/>
      </c>
      <c r="BZ55" s="80" t="str">
        <f>IFERROR((TOWER_DATA[[#This Row],[D, bottom '[m']]]+TOWER_DATA[[#This Row],[D, top '[m']]])/(2*TOWER_DATA[[#This Row],[t '[mm']]]/1000),"")</f>
        <v/>
      </c>
      <c r="CA55" s="80"/>
      <c r="CF55" s="78"/>
      <c r="CG55" s="78"/>
      <c r="CH55" s="78"/>
      <c r="CJ55" s="78"/>
      <c r="DE55" s="80"/>
      <c r="DF55" s="80"/>
    </row>
    <row r="56" spans="2:110" x14ac:dyDescent="0.3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O56" s="80" t="str">
        <f>IFERROR(TP_DATA[[#This Row],[Bottom '[m']]]-TP_DATA[[#This Row],[D, top '[m']]], "")</f>
        <v/>
      </c>
      <c r="AP56" s="80" t="str">
        <f>IFERROR(-(TP_DATA[[#This Row],[D, bottom '[m']]]-TP_DATA[[#This Row],[D, top '[m']]])/(TP_DATA[[#This Row],[Bottom '[m']]]-TP_DATA[[#This Row],[Top '[m']]]),"")</f>
        <v/>
      </c>
      <c r="AQ56" s="80" t="str">
        <f t="shared" si="1"/>
        <v/>
      </c>
      <c r="AR56" s="80" t="str">
        <f>IFERROR((TP_DATA[[#This Row],[D, bottom '[m']]]+TP_DATA[[#This Row],[D, top '[m']]])/(2*TP_DATA[[#This Row],[t '[mm']]]/1000),"")</f>
        <v/>
      </c>
      <c r="AS56" s="80"/>
      <c r="BW56" s="80" t="str">
        <f>IFERROR(TOWER_DATA[[#This Row],[Bottom '[m']]]-TOWER_DATA[[#This Row],[D, top '[m']]], "")</f>
        <v/>
      </c>
      <c r="BX56" s="80" t="str">
        <f>IFERROR(-(TOWER_DATA[[#This Row],[D, bottom '[m']]]-TOWER_DATA[[#This Row],[D, top '[m']]])/(TOWER_DATA[[#This Row],[Bottom '[m']]]-TOWER_DATA[[#This Row],[Top '[m']]]),"")</f>
        <v/>
      </c>
      <c r="BY56" s="80" t="str">
        <f t="shared" si="2"/>
        <v/>
      </c>
      <c r="BZ56" s="80" t="str">
        <f>IFERROR((TOWER_DATA[[#This Row],[D, bottom '[m']]]+TOWER_DATA[[#This Row],[D, top '[m']]])/(2*TOWER_DATA[[#This Row],[t '[mm']]]/1000),"")</f>
        <v/>
      </c>
      <c r="CA56" s="80"/>
      <c r="CF56" s="78"/>
      <c r="CG56" s="78"/>
      <c r="CH56" s="78"/>
      <c r="CJ56" s="78"/>
      <c r="DE56" s="80"/>
      <c r="DF56" s="80"/>
    </row>
    <row r="57" spans="2:110" x14ac:dyDescent="0.3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O57" s="80" t="str">
        <f>IFERROR(TP_DATA[[#This Row],[Bottom '[m']]]-TP_DATA[[#This Row],[D, top '[m']]], "")</f>
        <v/>
      </c>
      <c r="AP57" s="80" t="str">
        <f>IFERROR(-(TP_DATA[[#This Row],[D, bottom '[m']]]-TP_DATA[[#This Row],[D, top '[m']]])/(TP_DATA[[#This Row],[Bottom '[m']]]-TP_DATA[[#This Row],[Top '[m']]]),"")</f>
        <v/>
      </c>
      <c r="AQ57" s="80" t="str">
        <f t="shared" si="1"/>
        <v/>
      </c>
      <c r="AR57" s="80" t="str">
        <f>IFERROR((TP_DATA[[#This Row],[D, bottom '[m']]]+TP_DATA[[#This Row],[D, top '[m']]])/(2*TP_DATA[[#This Row],[t '[mm']]]/1000),"")</f>
        <v/>
      </c>
      <c r="AS57" s="80"/>
      <c r="BW57" s="80" t="str">
        <f>IFERROR(TOWER_DATA[[#This Row],[Bottom '[m']]]-TOWER_DATA[[#This Row],[D, top '[m']]], "")</f>
        <v/>
      </c>
      <c r="BX57" s="80" t="str">
        <f>IFERROR(-(TOWER_DATA[[#This Row],[D, bottom '[m']]]-TOWER_DATA[[#This Row],[D, top '[m']]])/(TOWER_DATA[[#This Row],[Bottom '[m']]]-TOWER_DATA[[#This Row],[Top '[m']]]),"")</f>
        <v/>
      </c>
      <c r="BY57" s="80" t="str">
        <f t="shared" si="2"/>
        <v/>
      </c>
      <c r="BZ57" s="80" t="str">
        <f>IFERROR((TOWER_DATA[[#This Row],[D, bottom '[m']]]+TOWER_DATA[[#This Row],[D, top '[m']]])/(2*TOWER_DATA[[#This Row],[t '[mm']]]/1000),"")</f>
        <v/>
      </c>
      <c r="CA57" s="80"/>
      <c r="CF57" s="78"/>
      <c r="CG57" s="78"/>
      <c r="CH57" s="78"/>
      <c r="CJ57" s="78"/>
      <c r="DE57" s="80"/>
      <c r="DF57" s="80"/>
    </row>
    <row r="58" spans="2:110" x14ac:dyDescent="0.3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O58" s="80" t="str">
        <f>IFERROR(TP_DATA[[#This Row],[Bottom '[m']]]-TP_DATA[[#This Row],[D, top '[m']]], "")</f>
        <v/>
      </c>
      <c r="AP58" s="80" t="str">
        <f>IFERROR(-(TP_DATA[[#This Row],[D, bottom '[m']]]-TP_DATA[[#This Row],[D, top '[m']]])/(TP_DATA[[#This Row],[Bottom '[m']]]-TP_DATA[[#This Row],[Top '[m']]]),"")</f>
        <v/>
      </c>
      <c r="AQ58" s="80" t="str">
        <f t="shared" si="1"/>
        <v/>
      </c>
      <c r="AR58" s="80" t="str">
        <f>IFERROR((TP_DATA[[#This Row],[D, bottom '[m']]]+TP_DATA[[#This Row],[D, top '[m']]])/(2*TP_DATA[[#This Row],[t '[mm']]]/1000),"")</f>
        <v/>
      </c>
      <c r="AS58" s="80"/>
      <c r="BW58" s="80" t="str">
        <f>IFERROR(TOWER_DATA[[#This Row],[Bottom '[m']]]-TOWER_DATA[[#This Row],[D, top '[m']]], "")</f>
        <v/>
      </c>
      <c r="BX58" s="80" t="str">
        <f>IFERROR(-(TOWER_DATA[[#This Row],[D, bottom '[m']]]-TOWER_DATA[[#This Row],[D, top '[m']]])/(TOWER_DATA[[#This Row],[Bottom '[m']]]-TOWER_DATA[[#This Row],[Top '[m']]]),"")</f>
        <v/>
      </c>
      <c r="BY58" s="80" t="str">
        <f t="shared" si="2"/>
        <v/>
      </c>
      <c r="BZ58" s="80" t="str">
        <f>IFERROR((TOWER_DATA[[#This Row],[D, bottom '[m']]]+TOWER_DATA[[#This Row],[D, top '[m']]])/(2*TOWER_DATA[[#This Row],[t '[mm']]]/1000),"")</f>
        <v/>
      </c>
      <c r="CA58" s="80"/>
      <c r="CF58" s="78"/>
      <c r="CG58" s="78"/>
      <c r="CH58" s="78"/>
      <c r="CJ58" s="78"/>
      <c r="DE58" s="80"/>
      <c r="DF58" s="80"/>
    </row>
    <row r="59" spans="2:110" x14ac:dyDescent="0.3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O59" s="80" t="str">
        <f>IFERROR(TP_DATA[[#This Row],[Bottom '[m']]]-TP_DATA[[#This Row],[D, top '[m']]], "")</f>
        <v/>
      </c>
      <c r="AP59" s="80" t="str">
        <f>IFERROR(-(TP_DATA[[#This Row],[D, bottom '[m']]]-TP_DATA[[#This Row],[D, top '[m']]])/(TP_DATA[[#This Row],[Bottom '[m']]]-TP_DATA[[#This Row],[Top '[m']]]),"")</f>
        <v/>
      </c>
      <c r="AQ59" s="80" t="str">
        <f t="shared" si="1"/>
        <v/>
      </c>
      <c r="AR59" s="80" t="str">
        <f>IFERROR((TP_DATA[[#This Row],[D, bottom '[m']]]+TP_DATA[[#This Row],[D, top '[m']]])/(2*TP_DATA[[#This Row],[t '[mm']]]/1000),"")</f>
        <v/>
      </c>
      <c r="AS59" s="80"/>
      <c r="BW59" s="80" t="str">
        <f>IFERROR(TOWER_DATA[[#This Row],[Bottom '[m']]]-TOWER_DATA[[#This Row],[D, top '[m']]], "")</f>
        <v/>
      </c>
      <c r="BX59" s="80" t="str">
        <f>IFERROR(-(TOWER_DATA[[#This Row],[D, bottom '[m']]]-TOWER_DATA[[#This Row],[D, top '[m']]])/(TOWER_DATA[[#This Row],[Bottom '[m']]]-TOWER_DATA[[#This Row],[Top '[m']]]),"")</f>
        <v/>
      </c>
      <c r="BY59" s="80" t="str">
        <f t="shared" si="2"/>
        <v/>
      </c>
      <c r="BZ59" s="80" t="str">
        <f>IFERROR((TOWER_DATA[[#This Row],[D, bottom '[m']]]+TOWER_DATA[[#This Row],[D, top '[m']]])/(2*TOWER_DATA[[#This Row],[t '[mm']]]/1000),"")</f>
        <v/>
      </c>
      <c r="CA59" s="80"/>
      <c r="CF59" s="78"/>
      <c r="CG59" s="78"/>
      <c r="CH59" s="78"/>
      <c r="CJ59" s="78"/>
      <c r="DE59" s="80"/>
      <c r="DF59" s="80"/>
    </row>
    <row r="60" spans="2:110" x14ac:dyDescent="0.3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O60" s="80" t="str">
        <f>IFERROR(TP_DATA[[#This Row],[Bottom '[m']]]-TP_DATA[[#This Row],[D, top '[m']]], "")</f>
        <v/>
      </c>
      <c r="AP60" s="80" t="str">
        <f>IFERROR(-(TP_DATA[[#This Row],[D, bottom '[m']]]-TP_DATA[[#This Row],[D, top '[m']]])/(TP_DATA[[#This Row],[Bottom '[m']]]-TP_DATA[[#This Row],[Top '[m']]]),"")</f>
        <v/>
      </c>
      <c r="AQ60" s="80" t="str">
        <f t="shared" si="1"/>
        <v/>
      </c>
      <c r="AR60" s="80" t="str">
        <f>IFERROR((TP_DATA[[#This Row],[D, bottom '[m']]]+TP_DATA[[#This Row],[D, top '[m']]])/(2*TP_DATA[[#This Row],[t '[mm']]]/1000),"")</f>
        <v/>
      </c>
      <c r="AS60" s="80"/>
      <c r="BW60" s="80" t="str">
        <f>IFERROR(TOWER_DATA[[#This Row],[Bottom '[m']]]-TOWER_DATA[[#This Row],[D, top '[m']]], "")</f>
        <v/>
      </c>
      <c r="BX60" s="80" t="str">
        <f>IFERROR(-(TOWER_DATA[[#This Row],[D, bottom '[m']]]-TOWER_DATA[[#This Row],[D, top '[m']]])/(TOWER_DATA[[#This Row],[Bottom '[m']]]-TOWER_DATA[[#This Row],[Top '[m']]]),"")</f>
        <v/>
      </c>
      <c r="BY60" s="80" t="str">
        <f t="shared" si="2"/>
        <v/>
      </c>
      <c r="BZ60" s="80" t="str">
        <f>IFERROR((TOWER_DATA[[#This Row],[D, bottom '[m']]]+TOWER_DATA[[#This Row],[D, top '[m']]])/(2*TOWER_DATA[[#This Row],[t '[mm']]]/1000),"")</f>
        <v/>
      </c>
      <c r="CA60" s="80"/>
      <c r="CF60" s="78"/>
      <c r="CG60" s="78"/>
      <c r="CH60" s="78"/>
      <c r="CJ60" s="78"/>
      <c r="DE60" s="80"/>
      <c r="DF60" s="80"/>
    </row>
    <row r="61" spans="2:110" x14ac:dyDescent="0.3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O61" s="80" t="str">
        <f>IFERROR(TP_DATA[[#This Row],[Bottom '[m']]]-TP_DATA[[#This Row],[D, top '[m']]], "")</f>
        <v/>
      </c>
      <c r="AP61" s="80" t="str">
        <f>IFERROR(-(TP_DATA[[#This Row],[D, bottom '[m']]]-TP_DATA[[#This Row],[D, top '[m']]])/(TP_DATA[[#This Row],[Bottom '[m']]]-TP_DATA[[#This Row],[Top '[m']]]),"")</f>
        <v/>
      </c>
      <c r="AQ61" s="80" t="str">
        <f t="shared" si="1"/>
        <v/>
      </c>
      <c r="AR61" s="80" t="str">
        <f>IFERROR((TP_DATA[[#This Row],[D, bottom '[m']]]+TP_DATA[[#This Row],[D, top '[m']]])/(2*TP_DATA[[#This Row],[t '[mm']]]/1000),"")</f>
        <v/>
      </c>
      <c r="AS61" s="80"/>
      <c r="BW61" s="80" t="str">
        <f>IFERROR(TOWER_DATA[[#This Row],[Bottom '[m']]]-TOWER_DATA[[#This Row],[D, top '[m']]], "")</f>
        <v/>
      </c>
      <c r="BX61" s="80" t="str">
        <f>IFERROR(-(TOWER_DATA[[#This Row],[D, bottom '[m']]]-TOWER_DATA[[#This Row],[D, top '[m']]])/(TOWER_DATA[[#This Row],[Bottom '[m']]]-TOWER_DATA[[#This Row],[Top '[m']]]),"")</f>
        <v/>
      </c>
      <c r="BY61" s="80" t="str">
        <f t="shared" si="2"/>
        <v/>
      </c>
      <c r="BZ61" s="80" t="str">
        <f>IFERROR((TOWER_DATA[[#This Row],[D, bottom '[m']]]+TOWER_DATA[[#This Row],[D, top '[m']]])/(2*TOWER_DATA[[#This Row],[t '[mm']]]/1000),"")</f>
        <v/>
      </c>
      <c r="CA61" s="80"/>
      <c r="CF61" s="78"/>
      <c r="CG61" s="78"/>
      <c r="CH61" s="78"/>
      <c r="CJ61" s="78"/>
      <c r="DE61" s="80"/>
      <c r="DF61" s="80"/>
    </row>
    <row r="62" spans="2:110" x14ac:dyDescent="0.3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O62" s="80" t="str">
        <f>IFERROR(TP_DATA[[#This Row],[Bottom '[m']]]-TP_DATA[[#This Row],[D, top '[m']]], "")</f>
        <v/>
      </c>
      <c r="AP62" s="80" t="str">
        <f>IFERROR(-(TP_DATA[[#This Row],[D, bottom '[m']]]-TP_DATA[[#This Row],[D, top '[m']]])/(TP_DATA[[#This Row],[Bottom '[m']]]-TP_DATA[[#This Row],[Top '[m']]]),"")</f>
        <v/>
      </c>
      <c r="AQ62" s="80" t="str">
        <f t="shared" si="1"/>
        <v/>
      </c>
      <c r="AR62" s="80" t="str">
        <f>IFERROR((TP_DATA[[#This Row],[D, bottom '[m']]]+TP_DATA[[#This Row],[D, top '[m']]])/(2*TP_DATA[[#This Row],[t '[mm']]]/1000),"")</f>
        <v/>
      </c>
      <c r="AS62" s="80"/>
      <c r="BW62" s="80" t="str">
        <f>IFERROR(TOWER_DATA[[#This Row],[Bottom '[m']]]-TOWER_DATA[[#This Row],[D, top '[m']]], "")</f>
        <v/>
      </c>
      <c r="BX62" s="80" t="str">
        <f>IFERROR(-(TOWER_DATA[[#This Row],[D, bottom '[m']]]-TOWER_DATA[[#This Row],[D, top '[m']]])/(TOWER_DATA[[#This Row],[Bottom '[m']]]-TOWER_DATA[[#This Row],[Top '[m']]]),"")</f>
        <v/>
      </c>
      <c r="BY62" s="80" t="str">
        <f t="shared" si="2"/>
        <v/>
      </c>
      <c r="BZ62" s="80" t="str">
        <f>IFERROR((TOWER_DATA[[#This Row],[D, bottom '[m']]]+TOWER_DATA[[#This Row],[D, top '[m']]])/(2*TOWER_DATA[[#This Row],[t '[mm']]]/1000),"")</f>
        <v/>
      </c>
      <c r="CA62" s="80"/>
      <c r="CF62" s="78"/>
      <c r="CG62" s="78"/>
      <c r="CH62" s="78"/>
      <c r="CJ62" s="78"/>
      <c r="DE62" s="80"/>
      <c r="DF62" s="80"/>
    </row>
    <row r="63" spans="2:110" x14ac:dyDescent="0.3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O63" s="80" t="str">
        <f>IFERROR(TP_DATA[[#This Row],[Bottom '[m']]]-TP_DATA[[#This Row],[D, top '[m']]], "")</f>
        <v/>
      </c>
      <c r="AP63" s="80" t="str">
        <f>IFERROR(-(TP_DATA[[#This Row],[D, bottom '[m']]]-TP_DATA[[#This Row],[D, top '[m']]])/(TP_DATA[[#This Row],[Bottom '[m']]]-TP_DATA[[#This Row],[Top '[m']]]),"")</f>
        <v/>
      </c>
      <c r="AQ63" s="80" t="str">
        <f t="shared" si="1"/>
        <v/>
      </c>
      <c r="AR63" s="80" t="str">
        <f>IFERROR((TP_DATA[[#This Row],[D, bottom '[m']]]+TP_DATA[[#This Row],[D, top '[m']]])/(2*TP_DATA[[#This Row],[t '[mm']]]/1000),"")</f>
        <v/>
      </c>
      <c r="AS63" s="80"/>
      <c r="BW63" s="80" t="str">
        <f>IFERROR(TOWER_DATA[[#This Row],[Bottom '[m']]]-TOWER_DATA[[#This Row],[D, top '[m']]], "")</f>
        <v/>
      </c>
      <c r="BX63" s="80" t="str">
        <f>IFERROR(-(TOWER_DATA[[#This Row],[D, bottom '[m']]]-TOWER_DATA[[#This Row],[D, top '[m']]])/(TOWER_DATA[[#This Row],[Bottom '[m']]]-TOWER_DATA[[#This Row],[Top '[m']]]),"")</f>
        <v/>
      </c>
      <c r="BY63" s="80" t="str">
        <f t="shared" si="2"/>
        <v/>
      </c>
      <c r="BZ63" s="80" t="str">
        <f>IFERROR((TOWER_DATA[[#This Row],[D, bottom '[m']]]+TOWER_DATA[[#This Row],[D, top '[m']]])/(2*TOWER_DATA[[#This Row],[t '[mm']]]/1000),"")</f>
        <v/>
      </c>
      <c r="CA63" s="80"/>
      <c r="CF63" s="78"/>
      <c r="CG63" s="78"/>
      <c r="CH63" s="78"/>
      <c r="CJ63" s="78"/>
      <c r="DE63" s="80"/>
      <c r="DF63" s="80"/>
    </row>
    <row r="64" spans="2:110" x14ac:dyDescent="0.3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O64" s="80" t="str">
        <f>IFERROR(TP_DATA[[#This Row],[Bottom '[m']]]-TP_DATA[[#This Row],[D, top '[m']]], "")</f>
        <v/>
      </c>
      <c r="AP64" s="80" t="str">
        <f>IFERROR(-(TP_DATA[[#This Row],[D, bottom '[m']]]-TP_DATA[[#This Row],[D, top '[m']]])/(TP_DATA[[#This Row],[Bottom '[m']]]-TP_DATA[[#This Row],[Top '[m']]]),"")</f>
        <v/>
      </c>
      <c r="AQ64" s="80" t="str">
        <f t="shared" si="1"/>
        <v/>
      </c>
      <c r="AR64" s="80" t="str">
        <f>IFERROR((TP_DATA[[#This Row],[D, bottom '[m']]]+TP_DATA[[#This Row],[D, top '[m']]])/(2*TP_DATA[[#This Row],[t '[mm']]]/1000),"")</f>
        <v/>
      </c>
      <c r="AS64" s="80"/>
      <c r="BW64" s="80" t="str">
        <f>IFERROR(TOWER_DATA[[#This Row],[Bottom '[m']]]-TOWER_DATA[[#This Row],[D, top '[m']]], "")</f>
        <v/>
      </c>
      <c r="BX64" s="80" t="str">
        <f>IFERROR(-(TOWER_DATA[[#This Row],[D, bottom '[m']]]-TOWER_DATA[[#This Row],[D, top '[m']]])/(TOWER_DATA[[#This Row],[Bottom '[m']]]-TOWER_DATA[[#This Row],[Top '[m']]]),"")</f>
        <v/>
      </c>
      <c r="BY64" s="80" t="str">
        <f t="shared" si="2"/>
        <v/>
      </c>
      <c r="BZ64" s="80" t="str">
        <f>IFERROR((TOWER_DATA[[#This Row],[D, bottom '[m']]]+TOWER_DATA[[#This Row],[D, top '[m']]])/(2*TOWER_DATA[[#This Row],[t '[mm']]]/1000),"")</f>
        <v/>
      </c>
      <c r="CA64" s="80"/>
      <c r="CF64" s="78"/>
      <c r="CG64" s="78"/>
      <c r="CH64" s="78"/>
      <c r="CJ64" s="78"/>
      <c r="DE64" s="80"/>
      <c r="DF64" s="80"/>
    </row>
    <row r="65" spans="8:110" x14ac:dyDescent="0.3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O65" s="80" t="str">
        <f>IFERROR(TP_DATA[[#This Row],[Bottom '[m']]]-TP_DATA[[#This Row],[D, top '[m']]], "")</f>
        <v/>
      </c>
      <c r="AP65" s="80" t="str">
        <f>IFERROR(-(TP_DATA[[#This Row],[D, bottom '[m']]]-TP_DATA[[#This Row],[D, top '[m']]])/(TP_DATA[[#This Row],[Bottom '[m']]]-TP_DATA[[#This Row],[Top '[m']]]),"")</f>
        <v/>
      </c>
      <c r="AQ65" s="80" t="str">
        <f t="shared" si="1"/>
        <v/>
      </c>
      <c r="AR65" s="80" t="str">
        <f>IFERROR((TP_DATA[[#This Row],[D, bottom '[m']]]+TP_DATA[[#This Row],[D, top '[m']]])/(2*TP_DATA[[#This Row],[t '[mm']]]/1000),"")</f>
        <v/>
      </c>
      <c r="AS65" s="80"/>
      <c r="BW65" s="80" t="str">
        <f>IFERROR(TOWER_DATA[[#This Row],[Bottom '[m']]]-TOWER_DATA[[#This Row],[D, top '[m']]], "")</f>
        <v/>
      </c>
      <c r="BX65" s="80" t="str">
        <f>IFERROR(-(TOWER_DATA[[#This Row],[D, bottom '[m']]]-TOWER_DATA[[#This Row],[D, top '[m']]])/(TOWER_DATA[[#This Row],[Bottom '[m']]]-TOWER_DATA[[#This Row],[Top '[m']]]),"")</f>
        <v/>
      </c>
      <c r="BY65" s="80" t="str">
        <f t="shared" si="2"/>
        <v/>
      </c>
      <c r="BZ65" s="80" t="str">
        <f>IFERROR((TOWER_DATA[[#This Row],[D, bottom '[m']]]+TOWER_DATA[[#This Row],[D, top '[m']]])/(2*TOWER_DATA[[#This Row],[t '[mm']]]/1000),"")</f>
        <v/>
      </c>
      <c r="CA65" s="80"/>
      <c r="CF65" s="78"/>
      <c r="CG65" s="78"/>
      <c r="CH65" s="78"/>
      <c r="CJ65" s="78"/>
      <c r="DE65" s="80"/>
      <c r="DF65" s="80"/>
    </row>
    <row r="66" spans="8:110" x14ac:dyDescent="0.3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O66" s="80" t="str">
        <f>IFERROR(TP_DATA[[#This Row],[Bottom '[m']]]-TP_DATA[[#This Row],[D, top '[m']]], "")</f>
        <v/>
      </c>
      <c r="AP66" s="80" t="str">
        <f>IFERROR(-(TP_DATA[[#This Row],[D, bottom '[m']]]-TP_DATA[[#This Row],[D, top '[m']]])/(TP_DATA[[#This Row],[Bottom '[m']]]-TP_DATA[[#This Row],[Top '[m']]]),"")</f>
        <v/>
      </c>
      <c r="AQ66" s="80" t="str">
        <f t="shared" si="1"/>
        <v/>
      </c>
      <c r="AR66" s="80" t="str">
        <f>IFERROR((TP_DATA[[#This Row],[D, bottom '[m']]]+TP_DATA[[#This Row],[D, top '[m']]])/(2*TP_DATA[[#This Row],[t '[mm']]]/1000),"")</f>
        <v/>
      </c>
      <c r="AS66" s="80" t="str">
        <f>IFERROR((TP_DATA[[#This Row],[D, bottom '[m']]]+#REF!)/(2*#REF!/1000),"")</f>
        <v/>
      </c>
      <c r="BW66" s="80" t="str">
        <f>IFERROR(TOWER_DATA[[#This Row],[Bottom '[m']]]-TOWER_DATA[[#This Row],[D, top '[m']]], "")</f>
        <v/>
      </c>
      <c r="BX66" s="80" t="str">
        <f>IFERROR(-(TOWER_DATA[[#This Row],[D, bottom '[m']]]-TOWER_DATA[[#This Row],[D, top '[m']]])/(TOWER_DATA[[#This Row],[Bottom '[m']]]-TOWER_DATA[[#This Row],[Top '[m']]]),"")</f>
        <v/>
      </c>
      <c r="BY66" s="80" t="str">
        <f t="shared" si="2"/>
        <v/>
      </c>
      <c r="BZ66" s="80" t="str">
        <f>IFERROR((TOWER_DATA[[#This Row],[D, bottom '[m']]]+TOWER_DATA[[#This Row],[D, top '[m']]])/(2*TOWER_DATA[[#This Row],[t '[mm']]]/1000),"")</f>
        <v/>
      </c>
      <c r="CA66" s="80" t="str">
        <f>IFERROR((TOWER_DATA[[#This Row],[D, bottom '[m']]]+#REF!)/(2*#REF!/1000),"")</f>
        <v/>
      </c>
      <c r="CF66" s="78"/>
      <c r="CG66" s="78"/>
      <c r="CH66" s="78"/>
      <c r="CJ66" s="78"/>
      <c r="DE66" s="80"/>
      <c r="DF66" s="80"/>
    </row>
    <row r="67" spans="8:110" x14ac:dyDescent="0.3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O67" s="80" t="str">
        <f>IFERROR(TP_DATA[[#This Row],[Bottom '[m']]]-TP_DATA[[#This Row],[D, top '[m']]], "")</f>
        <v/>
      </c>
      <c r="AP67" s="80" t="str">
        <f>IFERROR(-(TP_DATA[[#This Row],[D, bottom '[m']]]-TP_DATA[[#This Row],[D, top '[m']]])/(TP_DATA[[#This Row],[Bottom '[m']]]-TP_DATA[[#This Row],[Top '[m']]]),"")</f>
        <v/>
      </c>
      <c r="AQ67" s="80" t="str">
        <f t="shared" si="1"/>
        <v/>
      </c>
      <c r="AR67" s="80" t="str">
        <f>IFERROR((TP_DATA[[#This Row],[D, bottom '[m']]]+TP_DATA[[#This Row],[D, top '[m']]])/(2*TP_DATA[[#This Row],[t '[mm']]]/1000),"")</f>
        <v/>
      </c>
      <c r="AS67" s="80" t="str">
        <f>IFERROR((TP_DATA[[#This Row],[D, bottom '[m']]]+#REF!)/(2*#REF!/1000),"")</f>
        <v/>
      </c>
      <c r="BW67" s="80" t="str">
        <f>IFERROR(TOWER_DATA[[#This Row],[Bottom '[m']]]-TOWER_DATA[[#This Row],[D, top '[m']]], "")</f>
        <v/>
      </c>
      <c r="BX67" s="80" t="str">
        <f>IFERROR(-(TOWER_DATA[[#This Row],[D, bottom '[m']]]-TOWER_DATA[[#This Row],[D, top '[m']]])/(TOWER_DATA[[#This Row],[Bottom '[m']]]-TOWER_DATA[[#This Row],[Top '[m']]]),"")</f>
        <v/>
      </c>
      <c r="BY67" s="80" t="str">
        <f t="shared" si="2"/>
        <v/>
      </c>
      <c r="BZ67" s="80" t="str">
        <f>IFERROR((TOWER_DATA[[#This Row],[D, bottom '[m']]]+TOWER_DATA[[#This Row],[D, top '[m']]])/(2*TOWER_DATA[[#This Row],[t '[mm']]]/1000),"")</f>
        <v/>
      </c>
      <c r="CA67" s="80" t="str">
        <f>IFERROR((TOWER_DATA[[#This Row],[D, bottom '[m']]]+#REF!)/(2*#REF!/1000),"")</f>
        <v/>
      </c>
      <c r="CF67" s="78"/>
      <c r="CG67" s="78"/>
      <c r="CH67" s="78"/>
      <c r="CJ67" s="78"/>
      <c r="DE67" s="80"/>
      <c r="DF67" s="80"/>
    </row>
    <row r="68" spans="8:110" x14ac:dyDescent="0.3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O68" s="80" t="str">
        <f>IFERROR(TP_DATA[[#This Row],[Bottom '[m']]]-TP_DATA[[#This Row],[D, top '[m']]], "")</f>
        <v/>
      </c>
      <c r="AP68" s="80" t="str">
        <f>IFERROR(-(TP_DATA[[#This Row],[D, bottom '[m']]]-TP_DATA[[#This Row],[D, top '[m']]])/(TP_DATA[[#This Row],[Bottom '[m']]]-TP_DATA[[#This Row],[Top '[m']]]),"")</f>
        <v/>
      </c>
      <c r="AQ68" s="80" t="str">
        <f t="shared" si="1"/>
        <v/>
      </c>
      <c r="AR68" s="80" t="str">
        <f>IFERROR((TP_DATA[[#This Row],[D, bottom '[m']]]+TP_DATA[[#This Row],[D, top '[m']]])/(2*TP_DATA[[#This Row],[t '[mm']]]/1000),"")</f>
        <v/>
      </c>
      <c r="AS68" s="80" t="str">
        <f>IFERROR((TP_DATA[[#This Row],[D, bottom '[m']]]+#REF!)/(2*#REF!/1000),"")</f>
        <v/>
      </c>
      <c r="BW68" s="80" t="str">
        <f>IFERROR(TOWER_DATA[[#This Row],[Bottom '[m']]]-TOWER_DATA[[#This Row],[D, top '[m']]], "")</f>
        <v/>
      </c>
      <c r="BX68" s="80" t="str">
        <f>IFERROR(-(TOWER_DATA[[#This Row],[D, bottom '[m']]]-TOWER_DATA[[#This Row],[D, top '[m']]])/(TOWER_DATA[[#This Row],[Bottom '[m']]]-TOWER_DATA[[#This Row],[Top '[m']]]),"")</f>
        <v/>
      </c>
      <c r="BY68" s="80" t="str">
        <f t="shared" si="2"/>
        <v/>
      </c>
      <c r="BZ68" s="80" t="str">
        <f>IFERROR((TOWER_DATA[[#This Row],[D, bottom '[m']]]+TOWER_DATA[[#This Row],[D, top '[m']]])/(2*TOWER_DATA[[#This Row],[t '[mm']]]/1000),"")</f>
        <v/>
      </c>
      <c r="CA68" s="80" t="str">
        <f>IFERROR((TOWER_DATA[[#This Row],[D, bottom '[m']]]+#REF!)/(2*#REF!/1000),"")</f>
        <v/>
      </c>
      <c r="CF68" s="78"/>
      <c r="CG68" s="78"/>
      <c r="CH68" s="78"/>
      <c r="CJ68" s="78"/>
      <c r="DE68" s="80"/>
      <c r="DF68" s="80"/>
    </row>
    <row r="69" spans="8:110" x14ac:dyDescent="0.3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O69" s="80" t="str">
        <f>IFERROR(TP_DATA[[#This Row],[Bottom '[m']]]-TP_DATA[[#This Row],[D, top '[m']]], "")</f>
        <v/>
      </c>
      <c r="AP69" s="80" t="str">
        <f>IFERROR(-(TP_DATA[[#This Row],[D, bottom '[m']]]-TP_DATA[[#This Row],[D, top '[m']]])/(TP_DATA[[#This Row],[Bottom '[m']]]-TP_DATA[[#This Row],[Top '[m']]]),"")</f>
        <v/>
      </c>
      <c r="AQ69" s="80" t="str">
        <f t="shared" si="1"/>
        <v/>
      </c>
      <c r="AR69" s="80" t="str">
        <f>IFERROR((TP_DATA[[#This Row],[D, bottom '[m']]]+TP_DATA[[#This Row],[D, top '[m']]])/(2*TP_DATA[[#This Row],[t '[mm']]]/1000),"")</f>
        <v/>
      </c>
      <c r="AS69" s="80" t="str">
        <f>IFERROR((TP_DATA[[#This Row],[D, bottom '[m']]]+#REF!)/(2*#REF!/1000),"")</f>
        <v/>
      </c>
      <c r="BW69" s="80" t="str">
        <f>IFERROR(TOWER_DATA[[#This Row],[Bottom '[m']]]-TOWER_DATA[[#This Row],[D, top '[m']]], "")</f>
        <v/>
      </c>
      <c r="BX69" s="80" t="str">
        <f>IFERROR(-(TOWER_DATA[[#This Row],[D, bottom '[m']]]-TOWER_DATA[[#This Row],[D, top '[m']]])/(TOWER_DATA[[#This Row],[Bottom '[m']]]-TOWER_DATA[[#This Row],[Top '[m']]]),"")</f>
        <v/>
      </c>
      <c r="BY69" s="80" t="str">
        <f t="shared" si="2"/>
        <v/>
      </c>
      <c r="BZ69" s="80" t="str">
        <f>IFERROR((TOWER_DATA[[#This Row],[D, bottom '[m']]]+TOWER_DATA[[#This Row],[D, top '[m']]])/(2*TOWER_DATA[[#This Row],[t '[mm']]]/1000),"")</f>
        <v/>
      </c>
      <c r="CA69" s="80" t="str">
        <f>IFERROR((TOWER_DATA[[#This Row],[D, bottom '[m']]]+#REF!)/(2*#REF!/1000),"")</f>
        <v/>
      </c>
      <c r="CF69" s="78"/>
      <c r="CG69" s="78"/>
      <c r="CH69" s="78"/>
      <c r="CJ69" s="78"/>
      <c r="DE69" s="80"/>
      <c r="DF69" s="80"/>
    </row>
    <row r="70" spans="8:110" x14ac:dyDescent="0.3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O70" s="80" t="str">
        <f>IFERROR(TP_DATA[[#This Row],[Bottom '[m']]]-TP_DATA[[#This Row],[D, top '[m']]], "")</f>
        <v/>
      </c>
      <c r="AP70" s="80" t="str">
        <f>IFERROR(-(TP_DATA[[#This Row],[D, bottom '[m']]]-TP_DATA[[#This Row],[D, top '[m']]])/(TP_DATA[[#This Row],[Bottom '[m']]]-TP_DATA[[#This Row],[Top '[m']]]),"")</f>
        <v/>
      </c>
      <c r="AQ70" s="80" t="str">
        <f t="shared" si="1"/>
        <v/>
      </c>
      <c r="AR70" s="80" t="str">
        <f>IFERROR((TP_DATA[[#This Row],[D, bottom '[m']]]+TP_DATA[[#This Row],[D, top '[m']]])/(2*TP_DATA[[#This Row],[t '[mm']]]/1000),"")</f>
        <v/>
      </c>
      <c r="AS70" s="80" t="str">
        <f>IFERROR((TP_DATA[[#This Row],[D, bottom '[m']]]+#REF!)/(2*#REF!/1000),"")</f>
        <v/>
      </c>
      <c r="BW70" s="80" t="str">
        <f>IFERROR(TOWER_DATA[[#This Row],[Bottom '[m']]]-TOWER_DATA[[#This Row],[D, top '[m']]], "")</f>
        <v/>
      </c>
      <c r="BX70" s="80" t="str">
        <f>IFERROR(-(TOWER_DATA[[#This Row],[D, bottom '[m']]]-TOWER_DATA[[#This Row],[D, top '[m']]])/(TOWER_DATA[[#This Row],[Bottom '[m']]]-TOWER_DATA[[#This Row],[Top '[m']]]),"")</f>
        <v/>
      </c>
      <c r="BY70" s="80" t="str">
        <f t="shared" si="2"/>
        <v/>
      </c>
      <c r="BZ70" s="80" t="str">
        <f>IFERROR((TOWER_DATA[[#This Row],[D, bottom '[m']]]+TOWER_DATA[[#This Row],[D, top '[m']]])/(2*TOWER_DATA[[#This Row],[t '[mm']]]/1000),"")</f>
        <v/>
      </c>
      <c r="CA70" s="80" t="str">
        <f>IFERROR((TOWER_DATA[[#This Row],[D, bottom '[m']]]+#REF!)/(2*#REF!/1000),"")</f>
        <v/>
      </c>
      <c r="CF70" s="78"/>
      <c r="CG70" s="78"/>
      <c r="CH70" s="78"/>
      <c r="CJ70" s="78"/>
      <c r="DE70" s="80"/>
      <c r="DF70" s="80"/>
    </row>
    <row r="71" spans="8:110" x14ac:dyDescent="0.3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O71" s="80" t="str">
        <f>IFERROR(TP_DATA[[#This Row],[Bottom '[m']]]-TP_DATA[[#This Row],[D, top '[m']]], "")</f>
        <v/>
      </c>
      <c r="AP71" s="80" t="str">
        <f>IFERROR(-(TP_DATA[[#This Row],[D, bottom '[m']]]-TP_DATA[[#This Row],[D, top '[m']]])/(TP_DATA[[#This Row],[Bottom '[m']]]-TP_DATA[[#This Row],[Top '[m']]]),"")</f>
        <v/>
      </c>
      <c r="AQ71" s="80" t="str">
        <f t="shared" si="1"/>
        <v/>
      </c>
      <c r="AR71" s="80" t="str">
        <f>IFERROR((TP_DATA[[#This Row],[D, bottom '[m']]]+TP_DATA[[#This Row],[D, top '[m']]])/(2*TP_DATA[[#This Row],[t '[mm']]]/1000),"")</f>
        <v/>
      </c>
      <c r="AS71" s="80" t="str">
        <f>IFERROR((TP_DATA[[#This Row],[D, bottom '[m']]]+#REF!)/(2*#REF!/1000),"")</f>
        <v/>
      </c>
      <c r="BW71" s="80" t="str">
        <f>IFERROR(TOWER_DATA[[#This Row],[Bottom '[m']]]-TOWER_DATA[[#This Row],[D, top '[m']]], "")</f>
        <v/>
      </c>
      <c r="BX71" s="80" t="str">
        <f>IFERROR(-(TOWER_DATA[[#This Row],[D, bottom '[m']]]-TOWER_DATA[[#This Row],[D, top '[m']]])/(TOWER_DATA[[#This Row],[Bottom '[m']]]-TOWER_DATA[[#This Row],[Top '[m']]]),"")</f>
        <v/>
      </c>
      <c r="BY71" s="80" t="str">
        <f t="shared" si="2"/>
        <v/>
      </c>
      <c r="BZ71" s="80" t="str">
        <f>IFERROR((TOWER_DATA[[#This Row],[D, bottom '[m']]]+TOWER_DATA[[#This Row],[D, top '[m']]])/(2*TOWER_DATA[[#This Row],[t '[mm']]]/1000),"")</f>
        <v/>
      </c>
      <c r="CA71" s="80" t="str">
        <f>IFERROR((TOWER_DATA[[#This Row],[D, bottom '[m']]]+#REF!)/(2*#REF!/1000),"")</f>
        <v/>
      </c>
      <c r="CF71" s="78"/>
      <c r="CG71" s="78"/>
      <c r="CH71" s="78"/>
      <c r="CJ71" s="78"/>
      <c r="DE71" s="80"/>
      <c r="DF71" s="80"/>
    </row>
    <row r="72" spans="8:110" x14ac:dyDescent="0.3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O72" s="80" t="str">
        <f>IFERROR(TP_DATA[[#This Row],[Bottom '[m']]]-TP_DATA[[#This Row],[D, top '[m']]], "")</f>
        <v/>
      </c>
      <c r="AP72" s="80" t="str">
        <f>IFERROR(-(TP_DATA[[#This Row],[D, bottom '[m']]]-TP_DATA[[#This Row],[D, top '[m']]])/(TP_DATA[[#This Row],[Bottom '[m']]]-TP_DATA[[#This Row],[Top '[m']]]),"")</f>
        <v/>
      </c>
      <c r="AQ72" s="80" t="str">
        <f t="shared" si="1"/>
        <v/>
      </c>
      <c r="AR72" s="80" t="str">
        <f>IFERROR((TP_DATA[[#This Row],[D, bottom '[m']]]+TP_DATA[[#This Row],[D, top '[m']]])/(2*TP_DATA[[#This Row],[t '[mm']]]/1000),"")</f>
        <v/>
      </c>
      <c r="AS72" s="80" t="str">
        <f>IFERROR((TP_DATA[[#This Row],[D, bottom '[m']]]+#REF!)/(2*#REF!/1000),"")</f>
        <v/>
      </c>
      <c r="BW72" s="80" t="str">
        <f>IFERROR(TOWER_DATA[[#This Row],[Bottom '[m']]]-TOWER_DATA[[#This Row],[D, top '[m']]], "")</f>
        <v/>
      </c>
      <c r="BX72" s="80" t="str">
        <f>IFERROR(-(TOWER_DATA[[#This Row],[D, bottom '[m']]]-TOWER_DATA[[#This Row],[D, top '[m']]])/(TOWER_DATA[[#This Row],[Bottom '[m']]]-TOWER_DATA[[#This Row],[Top '[m']]]),"")</f>
        <v/>
      </c>
      <c r="BY72" s="80" t="str">
        <f t="shared" si="2"/>
        <v/>
      </c>
      <c r="BZ72" s="80" t="str">
        <f>IFERROR((TOWER_DATA[[#This Row],[D, bottom '[m']]]+TOWER_DATA[[#This Row],[D, top '[m']]])/(2*TOWER_DATA[[#This Row],[t '[mm']]]/1000),"")</f>
        <v/>
      </c>
      <c r="CA72" s="80" t="str">
        <f>IFERROR((TOWER_DATA[[#This Row],[D, bottom '[m']]]+#REF!)/(2*#REF!/1000),"")</f>
        <v/>
      </c>
      <c r="CF72" s="78"/>
      <c r="CG72" s="78"/>
      <c r="CH72" s="78"/>
      <c r="CJ72" s="78"/>
      <c r="DE72" s="80"/>
      <c r="DF72" s="80"/>
    </row>
    <row r="73" spans="8:110" x14ac:dyDescent="0.3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O73" s="80" t="str">
        <f>IFERROR(TP_DATA[[#This Row],[Bottom '[m']]]-TP_DATA[[#This Row],[D, top '[m']]], "")</f>
        <v/>
      </c>
      <c r="AP73" s="80" t="str">
        <f>IFERROR(-(TP_DATA[[#This Row],[D, bottom '[m']]]-TP_DATA[[#This Row],[D, top '[m']]])/(TP_DATA[[#This Row],[Bottom '[m']]]-TP_DATA[[#This Row],[Top '[m']]]),"")</f>
        <v/>
      </c>
      <c r="AQ73" s="80" t="str">
        <f t="shared" si="1"/>
        <v/>
      </c>
      <c r="AR73" s="80" t="str">
        <f>IFERROR((TP_DATA[[#This Row],[D, bottom '[m']]]+TP_DATA[[#This Row],[D, top '[m']]])/(2*TP_DATA[[#This Row],[t '[mm']]]/1000),"")</f>
        <v/>
      </c>
      <c r="AS73" s="80" t="str">
        <f>IFERROR((TP_DATA[[#This Row],[D, bottom '[m']]]+#REF!)/(2*#REF!/1000),"")</f>
        <v/>
      </c>
      <c r="BW73" s="80" t="str">
        <f>IFERROR(TOWER_DATA[[#This Row],[Bottom '[m']]]-TOWER_DATA[[#This Row],[D, top '[m']]], "")</f>
        <v/>
      </c>
      <c r="BX73" s="80" t="str">
        <f>IFERROR(-(TOWER_DATA[[#This Row],[D, bottom '[m']]]-TOWER_DATA[[#This Row],[D, top '[m']]])/(TOWER_DATA[[#This Row],[Bottom '[m']]]-TOWER_DATA[[#This Row],[Top '[m']]]),"")</f>
        <v/>
      </c>
      <c r="BY73" s="80" t="str">
        <f t="shared" si="2"/>
        <v/>
      </c>
      <c r="BZ73" s="80" t="str">
        <f>IFERROR((TOWER_DATA[[#This Row],[D, bottom '[m']]]+TOWER_DATA[[#This Row],[D, top '[m']]])/(2*TOWER_DATA[[#This Row],[t '[mm']]]/1000),"")</f>
        <v/>
      </c>
      <c r="CA73" s="80" t="str">
        <f>IFERROR((TOWER_DATA[[#This Row],[D, bottom '[m']]]+#REF!)/(2*#REF!/1000),"")</f>
        <v/>
      </c>
      <c r="CF73" s="78"/>
      <c r="CG73" s="78"/>
      <c r="CH73" s="78"/>
      <c r="CJ73" s="78"/>
      <c r="DE73" s="80"/>
      <c r="DF73" s="80"/>
    </row>
    <row r="74" spans="8:110" x14ac:dyDescent="0.3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O74" s="80" t="str">
        <f>IFERROR(TP_DATA[[#This Row],[Bottom '[m']]]-TP_DATA[[#This Row],[D, top '[m']]], "")</f>
        <v/>
      </c>
      <c r="AP74" s="80" t="str">
        <f>IFERROR(-(TP_DATA[[#This Row],[D, bottom '[m']]]-TP_DATA[[#This Row],[D, top '[m']]])/(TP_DATA[[#This Row],[Bottom '[m']]]-TP_DATA[[#This Row],[Top '[m']]]),"")</f>
        <v/>
      </c>
      <c r="AQ74" s="80" t="str">
        <f t="shared" si="1"/>
        <v/>
      </c>
      <c r="AR74" s="80" t="str">
        <f>IFERROR((TP_DATA[[#This Row],[D, bottom '[m']]]+TP_DATA[[#This Row],[D, top '[m']]])/(2*TP_DATA[[#This Row],[t '[mm']]]/1000),"")</f>
        <v/>
      </c>
      <c r="AS74" s="80" t="str">
        <f>IFERROR((TP_DATA[[#This Row],[D, bottom '[m']]]+#REF!)/(2*#REF!/1000),"")</f>
        <v/>
      </c>
      <c r="BW74" s="80" t="str">
        <f>IFERROR(TOWER_DATA[[#This Row],[Bottom '[m']]]-TOWER_DATA[[#This Row],[D, top '[m']]], "")</f>
        <v/>
      </c>
      <c r="BX74" s="80" t="str">
        <f>IFERROR(-(TOWER_DATA[[#This Row],[D, bottom '[m']]]-TOWER_DATA[[#This Row],[D, top '[m']]])/(TOWER_DATA[[#This Row],[Bottom '[m']]]-TOWER_DATA[[#This Row],[Top '[m']]]),"")</f>
        <v/>
      </c>
      <c r="BY74" s="80" t="str">
        <f t="shared" si="2"/>
        <v/>
      </c>
      <c r="BZ74" s="80" t="str">
        <f>IFERROR((TOWER_DATA[[#This Row],[D, bottom '[m']]]+TOWER_DATA[[#This Row],[D, top '[m']]])/(2*TOWER_DATA[[#This Row],[t '[mm']]]/1000),"")</f>
        <v/>
      </c>
      <c r="CA74" s="80" t="str">
        <f>IFERROR((TOWER_DATA[[#This Row],[D, bottom '[m']]]+#REF!)/(2*#REF!/1000),"")</f>
        <v/>
      </c>
      <c r="CF74" s="78"/>
      <c r="CG74" s="78"/>
      <c r="CH74" s="78"/>
      <c r="CJ74" s="78"/>
      <c r="DE74" s="80"/>
      <c r="DF74" s="80"/>
    </row>
    <row r="75" spans="8:110" x14ac:dyDescent="0.3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O75" s="80" t="str">
        <f>IFERROR(TP_DATA[[#This Row],[Bottom '[m']]]-TP_DATA[[#This Row],[D, top '[m']]], "")</f>
        <v/>
      </c>
      <c r="AP75" s="80" t="str">
        <f>IFERROR(-(TP_DATA[[#This Row],[D, bottom '[m']]]-TP_DATA[[#This Row],[D, top '[m']]])/(TP_DATA[[#This Row],[Bottom '[m']]]-TP_DATA[[#This Row],[Top '[m']]]),"")</f>
        <v/>
      </c>
      <c r="AQ75" s="80" t="str">
        <f t="shared" si="1"/>
        <v/>
      </c>
      <c r="AR75" s="80" t="str">
        <f>IFERROR((TP_DATA[[#This Row],[D, bottom '[m']]]+TP_DATA[[#This Row],[D, top '[m']]])/(2*TP_DATA[[#This Row],[t '[mm']]]/1000),"")</f>
        <v/>
      </c>
      <c r="AS75" s="80" t="str">
        <f>IFERROR((TP_DATA[[#This Row],[D, bottom '[m']]]+#REF!)/(2*#REF!/1000),"")</f>
        <v/>
      </c>
      <c r="BW75" s="80" t="str">
        <f>IFERROR(TOWER_DATA[[#This Row],[Bottom '[m']]]-TOWER_DATA[[#This Row],[D, top '[m']]], "")</f>
        <v/>
      </c>
      <c r="BX75" s="80" t="str">
        <f>IFERROR(-(TOWER_DATA[[#This Row],[D, bottom '[m']]]-TOWER_DATA[[#This Row],[D, top '[m']]])/(TOWER_DATA[[#This Row],[Bottom '[m']]]-TOWER_DATA[[#This Row],[Top '[m']]]),"")</f>
        <v/>
      </c>
      <c r="BY75" s="80" t="str">
        <f t="shared" si="2"/>
        <v/>
      </c>
      <c r="BZ75" s="80" t="str">
        <f>IFERROR((TOWER_DATA[[#This Row],[D, bottom '[m']]]+TOWER_DATA[[#This Row],[D, top '[m']]])/(2*TOWER_DATA[[#This Row],[t '[mm']]]/1000),"")</f>
        <v/>
      </c>
      <c r="CA75" s="80" t="str">
        <f>IFERROR((TOWER_DATA[[#This Row],[D, bottom '[m']]]+#REF!)/(2*#REF!/1000),"")</f>
        <v/>
      </c>
      <c r="CF75" s="78"/>
      <c r="CG75" s="78"/>
      <c r="CH75" s="78"/>
      <c r="CJ75" s="78"/>
      <c r="DE75" s="80"/>
      <c r="DF75" s="80"/>
    </row>
    <row r="76" spans="8:110" x14ac:dyDescent="0.3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O76" s="80" t="str">
        <f>IFERROR(TP_DATA[[#This Row],[Bottom '[m']]]-TP_DATA[[#This Row],[D, top '[m']]], "")</f>
        <v/>
      </c>
      <c r="AP76" s="80" t="str">
        <f>IFERROR(-(TP_DATA[[#This Row],[D, bottom '[m']]]-TP_DATA[[#This Row],[D, top '[m']]])/(TP_DATA[[#This Row],[Bottom '[m']]]-TP_DATA[[#This Row],[Top '[m']]]),"")</f>
        <v/>
      </c>
      <c r="AQ76" s="80" t="str">
        <f t="shared" si="1"/>
        <v/>
      </c>
      <c r="AR76" s="80" t="str">
        <f>IFERROR((TP_DATA[[#This Row],[D, bottom '[m']]]+TP_DATA[[#This Row],[D, top '[m']]])/(2*TP_DATA[[#This Row],[t '[mm']]]/1000),"")</f>
        <v/>
      </c>
      <c r="AS76" s="80" t="str">
        <f>IFERROR((TP_DATA[[#This Row],[D, bottom '[m']]]+#REF!)/(2*#REF!/1000),"")</f>
        <v/>
      </c>
      <c r="BW76" s="80" t="str">
        <f>IFERROR(TOWER_DATA[[#This Row],[Bottom '[m']]]-TOWER_DATA[[#This Row],[D, top '[m']]], "")</f>
        <v/>
      </c>
      <c r="BX76" s="80" t="str">
        <f>IFERROR(-(TOWER_DATA[[#This Row],[D, bottom '[m']]]-TOWER_DATA[[#This Row],[D, top '[m']]])/(TOWER_DATA[[#This Row],[Bottom '[m']]]-TOWER_DATA[[#This Row],[Top '[m']]]),"")</f>
        <v/>
      </c>
      <c r="BY76" s="80" t="str">
        <f t="shared" si="2"/>
        <v/>
      </c>
      <c r="BZ76" s="80" t="str">
        <f>IFERROR((TOWER_DATA[[#This Row],[D, bottom '[m']]]+TOWER_DATA[[#This Row],[D, top '[m']]])/(2*TOWER_DATA[[#This Row],[t '[mm']]]/1000),"")</f>
        <v/>
      </c>
      <c r="CA76" s="80" t="str">
        <f>IFERROR((TOWER_DATA[[#This Row],[D, bottom '[m']]]+#REF!)/(2*#REF!/1000),"")</f>
        <v/>
      </c>
      <c r="CF76" s="78"/>
      <c r="CG76" s="78"/>
      <c r="CH76" s="78"/>
      <c r="CJ76" s="78"/>
      <c r="DE76" s="80"/>
      <c r="DF76" s="80"/>
    </row>
    <row r="77" spans="8:110" x14ac:dyDescent="0.3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O77" s="80" t="str">
        <f>IFERROR(TP_DATA[[#This Row],[Bottom '[m']]]-TP_DATA[[#This Row],[D, top '[m']]], "")</f>
        <v/>
      </c>
      <c r="AP77" s="80" t="str">
        <f>IFERROR(-(TP_DATA[[#This Row],[D, bottom '[m']]]-TP_DATA[[#This Row],[D, top '[m']]])/(TP_DATA[[#This Row],[Bottom '[m']]]-TP_DATA[[#This Row],[Top '[m']]]),"")</f>
        <v/>
      </c>
      <c r="AQ77" s="80" t="str">
        <f t="shared" si="1"/>
        <v/>
      </c>
      <c r="AR77" s="80" t="str">
        <f>IFERROR((TP_DATA[[#This Row],[D, bottom '[m']]]+TP_DATA[[#This Row],[D, top '[m']]])/(2*TP_DATA[[#This Row],[t '[mm']]]/1000),"")</f>
        <v/>
      </c>
      <c r="AS77" s="80" t="str">
        <f>IFERROR((TP_DATA[[#This Row],[D, bottom '[m']]]+#REF!)/(2*#REF!/1000),"")</f>
        <v/>
      </c>
      <c r="BW77" s="80" t="str">
        <f>IFERROR(TOWER_DATA[[#This Row],[Bottom '[m']]]-TOWER_DATA[[#This Row],[D, top '[m']]], "")</f>
        <v/>
      </c>
      <c r="BX77" s="80" t="str">
        <f>IFERROR(-(TOWER_DATA[[#This Row],[D, bottom '[m']]]-TOWER_DATA[[#This Row],[D, top '[m']]])/(TOWER_DATA[[#This Row],[Bottom '[m']]]-TOWER_DATA[[#This Row],[Top '[m']]]),"")</f>
        <v/>
      </c>
      <c r="BY77" s="80" t="str">
        <f t="shared" si="2"/>
        <v/>
      </c>
      <c r="BZ77" s="80" t="str">
        <f>IFERROR((TOWER_DATA[[#This Row],[D, bottom '[m']]]+TOWER_DATA[[#This Row],[D, top '[m']]])/(2*TOWER_DATA[[#This Row],[t '[mm']]]/1000),"")</f>
        <v/>
      </c>
      <c r="CA77" s="80" t="str">
        <f>IFERROR((TOWER_DATA[[#This Row],[D, bottom '[m']]]+#REF!)/(2*#REF!/1000),"")</f>
        <v/>
      </c>
      <c r="CF77" s="78"/>
      <c r="CG77" s="78"/>
      <c r="CH77" s="78"/>
      <c r="CJ77" s="78"/>
      <c r="DE77" s="80"/>
      <c r="DF77" s="80"/>
    </row>
    <row r="78" spans="8:110" x14ac:dyDescent="0.3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O78" s="80" t="str">
        <f>IFERROR(TP_DATA[[#This Row],[Bottom '[m']]]-TP_DATA[[#This Row],[D, top '[m']]], "")</f>
        <v/>
      </c>
      <c r="AP78" s="80" t="str">
        <f>IFERROR(-(TP_DATA[[#This Row],[D, bottom '[m']]]-TP_DATA[[#This Row],[D, top '[m']]])/(TP_DATA[[#This Row],[Bottom '[m']]]-TP_DATA[[#This Row],[Top '[m']]]),"")</f>
        <v/>
      </c>
      <c r="AQ78" s="80" t="str">
        <f t="shared" si="1"/>
        <v/>
      </c>
      <c r="AR78" s="80" t="str">
        <f>IFERROR((TP_DATA[[#This Row],[D, bottom '[m']]]+TP_DATA[[#This Row],[D, top '[m']]])/(2*TP_DATA[[#This Row],[t '[mm']]]/1000),"")</f>
        <v/>
      </c>
      <c r="AS78" s="80" t="str">
        <f>IFERROR((TP_DATA[[#This Row],[D, bottom '[m']]]+#REF!)/(2*#REF!/1000),"")</f>
        <v/>
      </c>
      <c r="BW78" s="80" t="str">
        <f>IFERROR(TOWER_DATA[[#This Row],[Bottom '[m']]]-TOWER_DATA[[#This Row],[D, top '[m']]], "")</f>
        <v/>
      </c>
      <c r="BX78" s="80" t="str">
        <f>IFERROR(-(TOWER_DATA[[#This Row],[D, bottom '[m']]]-TOWER_DATA[[#This Row],[D, top '[m']]])/(TOWER_DATA[[#This Row],[Bottom '[m']]]-TOWER_DATA[[#This Row],[Top '[m']]]),"")</f>
        <v/>
      </c>
      <c r="BY78" s="80" t="str">
        <f t="shared" si="2"/>
        <v/>
      </c>
      <c r="BZ78" s="80" t="str">
        <f>IFERROR((TOWER_DATA[[#This Row],[D, bottom '[m']]]+TOWER_DATA[[#This Row],[D, top '[m']]])/(2*TOWER_DATA[[#This Row],[t '[mm']]]/1000),"")</f>
        <v/>
      </c>
      <c r="CA78" s="80" t="str">
        <f>IFERROR((TOWER_DATA[[#This Row],[D, bottom '[m']]]+#REF!)/(2*#REF!/1000),"")</f>
        <v/>
      </c>
      <c r="CF78" s="78"/>
      <c r="CG78" s="78"/>
      <c r="CH78" s="78"/>
      <c r="CJ78" s="78"/>
      <c r="DE78" s="80"/>
      <c r="DF78" s="80"/>
    </row>
    <row r="79" spans="8:110" x14ac:dyDescent="0.3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O79" s="80" t="str">
        <f>IFERROR(TP_DATA[[#This Row],[Bottom '[m']]]-TP_DATA[[#This Row],[D, top '[m']]], "")</f>
        <v/>
      </c>
      <c r="AP79" s="80" t="str">
        <f>IFERROR(-(TP_DATA[[#This Row],[D, bottom '[m']]]-TP_DATA[[#This Row],[D, top '[m']]])/(TP_DATA[[#This Row],[Bottom '[m']]]-TP_DATA[[#This Row],[Top '[m']]]),"")</f>
        <v/>
      </c>
      <c r="AQ79" s="80" t="str">
        <f t="shared" si="1"/>
        <v/>
      </c>
      <c r="AR79" s="80" t="str">
        <f>IFERROR((TP_DATA[[#This Row],[D, bottom '[m']]]+TP_DATA[[#This Row],[D, top '[m']]])/(2*TP_DATA[[#This Row],[t '[mm']]]/1000),"")</f>
        <v/>
      </c>
      <c r="AS79" s="80" t="str">
        <f>IFERROR((TP_DATA[[#This Row],[D, bottom '[m']]]+#REF!)/(2*#REF!/1000),"")</f>
        <v/>
      </c>
      <c r="BW79" s="80" t="str">
        <f>IFERROR(TOWER_DATA[[#This Row],[Bottom '[m']]]-TOWER_DATA[[#This Row],[D, top '[m']]], "")</f>
        <v/>
      </c>
      <c r="BX79" s="80" t="str">
        <f>IFERROR(-(TOWER_DATA[[#This Row],[D, bottom '[m']]]-TOWER_DATA[[#This Row],[D, top '[m']]])/(TOWER_DATA[[#This Row],[Bottom '[m']]]-TOWER_DATA[[#This Row],[Top '[m']]]),"")</f>
        <v/>
      </c>
      <c r="BY79" s="80" t="str">
        <f t="shared" si="2"/>
        <v/>
      </c>
      <c r="BZ79" s="80" t="str">
        <f>IFERROR((TOWER_DATA[[#This Row],[D, bottom '[m']]]+TOWER_DATA[[#This Row],[D, top '[m']]])/(2*TOWER_DATA[[#This Row],[t '[mm']]]/1000),"")</f>
        <v/>
      </c>
      <c r="CA79" s="80" t="str">
        <f>IFERROR((TOWER_DATA[[#This Row],[D, bottom '[m']]]+#REF!)/(2*#REF!/1000),"")</f>
        <v/>
      </c>
      <c r="CF79" s="78"/>
      <c r="CG79" s="78"/>
      <c r="CH79" s="78"/>
      <c r="CJ79" s="78"/>
      <c r="DE79" s="80"/>
      <c r="DF79" s="80"/>
    </row>
    <row r="80" spans="8:110" x14ac:dyDescent="0.3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O80" s="80" t="str">
        <f>IFERROR(TP_DATA[[#This Row],[Bottom '[m']]]-TP_DATA[[#This Row],[D, top '[m']]], "")</f>
        <v/>
      </c>
      <c r="AP80" s="80" t="str">
        <f>IFERROR(-(TP_DATA[[#This Row],[D, bottom '[m']]]-TP_DATA[[#This Row],[D, top '[m']]])/(TP_DATA[[#This Row],[Bottom '[m']]]-TP_DATA[[#This Row],[Top '[m']]]),"")</f>
        <v/>
      </c>
      <c r="AQ80" s="80" t="str">
        <f t="shared" si="1"/>
        <v/>
      </c>
      <c r="AR80" s="80" t="str">
        <f>IFERROR((TP_DATA[[#This Row],[D, bottom '[m']]]+TP_DATA[[#This Row],[D, top '[m']]])/(2*TP_DATA[[#This Row],[t '[mm']]]/1000),"")</f>
        <v/>
      </c>
      <c r="AS80" s="80" t="str">
        <f>IFERROR((TP_DATA[[#This Row],[D, bottom '[m']]]+#REF!)/(2*#REF!/1000),"")</f>
        <v/>
      </c>
      <c r="BW80" s="80" t="str">
        <f>IFERROR(TOWER_DATA[[#This Row],[Bottom '[m']]]-TOWER_DATA[[#This Row],[D, top '[m']]], "")</f>
        <v/>
      </c>
      <c r="BX80" s="80" t="str">
        <f>IFERROR(-(TOWER_DATA[[#This Row],[D, bottom '[m']]]-TOWER_DATA[[#This Row],[D, top '[m']]])/(TOWER_DATA[[#This Row],[Bottom '[m']]]-TOWER_DATA[[#This Row],[Top '[m']]]),"")</f>
        <v/>
      </c>
      <c r="BY80" s="80" t="str">
        <f t="shared" si="2"/>
        <v/>
      </c>
      <c r="BZ80" s="80" t="str">
        <f>IFERROR((TOWER_DATA[[#This Row],[D, bottom '[m']]]+TOWER_DATA[[#This Row],[D, top '[m']]])/(2*TOWER_DATA[[#This Row],[t '[mm']]]/1000),"")</f>
        <v/>
      </c>
      <c r="CA80" s="80" t="str">
        <f>IFERROR((TOWER_DATA[[#This Row],[D, bottom '[m']]]+#REF!)/(2*#REF!/1000),"")</f>
        <v/>
      </c>
      <c r="CF80" s="78"/>
      <c r="CG80" s="78"/>
      <c r="CH80" s="78"/>
      <c r="CJ80" s="78"/>
      <c r="DE80" s="80"/>
      <c r="DF80" s="80"/>
    </row>
    <row r="81" spans="8:110" x14ac:dyDescent="0.3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O81" s="80" t="str">
        <f>IFERROR(TP_DATA[[#This Row],[Bottom '[m']]]-TP_DATA[[#This Row],[D, top '[m']]], "")</f>
        <v/>
      </c>
      <c r="AP81" s="80" t="str">
        <f>IFERROR(-(TP_DATA[[#This Row],[D, bottom '[m']]]-TP_DATA[[#This Row],[D, top '[m']]])/(TP_DATA[[#This Row],[Bottom '[m']]]-TP_DATA[[#This Row],[Top '[m']]]),"")</f>
        <v/>
      </c>
      <c r="AQ81" s="80" t="str">
        <f t="shared" si="1"/>
        <v/>
      </c>
      <c r="AR81" s="80" t="str">
        <f>IFERROR((TP_DATA[[#This Row],[D, bottom '[m']]]+TP_DATA[[#This Row],[D, top '[m']]])/(2*TP_DATA[[#This Row],[t '[mm']]]/1000),"")</f>
        <v/>
      </c>
      <c r="AS81" s="80" t="str">
        <f>IFERROR((TP_DATA[[#This Row],[D, bottom '[m']]]+#REF!)/(2*#REF!/1000),"")</f>
        <v/>
      </c>
      <c r="BW81" s="80" t="str">
        <f>IFERROR(TOWER_DATA[[#This Row],[Bottom '[m']]]-TOWER_DATA[[#This Row],[D, top '[m']]], "")</f>
        <v/>
      </c>
      <c r="BX81" s="80" t="str">
        <f>IFERROR(-(TOWER_DATA[[#This Row],[D, bottom '[m']]]-TOWER_DATA[[#This Row],[D, top '[m']]])/(TOWER_DATA[[#This Row],[Bottom '[m']]]-TOWER_DATA[[#This Row],[Top '[m']]]),"")</f>
        <v/>
      </c>
      <c r="BY81" s="80" t="str">
        <f t="shared" si="2"/>
        <v/>
      </c>
      <c r="BZ81" s="80" t="str">
        <f>IFERROR((TOWER_DATA[[#This Row],[D, bottom '[m']]]+TOWER_DATA[[#This Row],[D, top '[m']]])/(2*TOWER_DATA[[#This Row],[t '[mm']]]/1000),"")</f>
        <v/>
      </c>
      <c r="CA81" s="80" t="str">
        <f>IFERROR((TOWER_DATA[[#This Row],[D, bottom '[m']]]+#REF!)/(2*#REF!/1000),"")</f>
        <v/>
      </c>
      <c r="CF81" s="78"/>
      <c r="CG81" s="78"/>
      <c r="CH81" s="78"/>
      <c r="CJ81" s="78"/>
      <c r="DE81" s="80"/>
      <c r="DF81" s="80"/>
    </row>
    <row r="82" spans="8:110" x14ac:dyDescent="0.3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O82" s="80" t="str">
        <f>IFERROR(TP_DATA[[#This Row],[Bottom '[m']]]-TP_DATA[[#This Row],[D, top '[m']]], "")</f>
        <v/>
      </c>
      <c r="AP82" s="80" t="str">
        <f>IFERROR(-(TP_DATA[[#This Row],[D, bottom '[m']]]-TP_DATA[[#This Row],[D, top '[m']]])/(TP_DATA[[#This Row],[Bottom '[m']]]-TP_DATA[[#This Row],[Top '[m']]]),"")</f>
        <v/>
      </c>
      <c r="AQ82" s="80" t="str">
        <f t="shared" si="1"/>
        <v/>
      </c>
      <c r="AR82" s="80" t="str">
        <f>IFERROR((TP_DATA[[#This Row],[D, bottom '[m']]]+TP_DATA[[#This Row],[D, top '[m']]])/(2*TP_DATA[[#This Row],[t '[mm']]]/1000),"")</f>
        <v/>
      </c>
      <c r="AS82" s="80" t="str">
        <f>IFERROR((TP_DATA[[#This Row],[D, bottom '[m']]]+#REF!)/(2*#REF!/1000),"")</f>
        <v/>
      </c>
      <c r="BW82" s="80" t="str">
        <f>IFERROR(TOWER_DATA[[#This Row],[Bottom '[m']]]-TOWER_DATA[[#This Row],[D, top '[m']]], "")</f>
        <v/>
      </c>
      <c r="BX82" s="80" t="str">
        <f>IFERROR(-(TOWER_DATA[[#This Row],[D, bottom '[m']]]-TOWER_DATA[[#This Row],[D, top '[m']]])/(TOWER_DATA[[#This Row],[Bottom '[m']]]-TOWER_DATA[[#This Row],[Top '[m']]]),"")</f>
        <v/>
      </c>
      <c r="BY82" s="80" t="str">
        <f t="shared" si="2"/>
        <v/>
      </c>
      <c r="BZ82" s="80" t="str">
        <f>IFERROR((TOWER_DATA[[#This Row],[D, bottom '[m']]]+TOWER_DATA[[#This Row],[D, top '[m']]])/(2*TOWER_DATA[[#This Row],[t '[mm']]]/1000),"")</f>
        <v/>
      </c>
      <c r="CA82" s="80" t="str">
        <f>IFERROR((TOWER_DATA[[#This Row],[D, bottom '[m']]]+#REF!)/(2*#REF!/1000),"")</f>
        <v/>
      </c>
      <c r="CF82" s="78"/>
      <c r="CG82" s="78"/>
      <c r="CH82" s="78"/>
      <c r="CJ82" s="78"/>
      <c r="DE82" s="80"/>
      <c r="DF82" s="80"/>
    </row>
    <row r="83" spans="8:110" x14ac:dyDescent="0.3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O83" s="80" t="str">
        <f>IFERROR(TP_DATA[[#This Row],[Bottom '[m']]]-TP_DATA[[#This Row],[D, top '[m']]], "")</f>
        <v/>
      </c>
      <c r="AP83" s="80" t="str">
        <f>IFERROR(-(TP_DATA[[#This Row],[D, bottom '[m']]]-TP_DATA[[#This Row],[D, top '[m']]])/(TP_DATA[[#This Row],[Bottom '[m']]]-TP_DATA[[#This Row],[Top '[m']]]),"")</f>
        <v/>
      </c>
      <c r="AQ83" s="80" t="str">
        <f t="shared" si="1"/>
        <v/>
      </c>
      <c r="AR83" s="80" t="str">
        <f>IFERROR((TP_DATA[[#This Row],[D, bottom '[m']]]+TP_DATA[[#This Row],[D, top '[m']]])/(2*TP_DATA[[#This Row],[t '[mm']]]/1000),"")</f>
        <v/>
      </c>
      <c r="AS83" s="80" t="str">
        <f>IFERROR((TP_DATA[[#This Row],[D, bottom '[m']]]+#REF!)/(2*#REF!/1000),"")</f>
        <v/>
      </c>
      <c r="BW83" s="80" t="str">
        <f>IFERROR(TOWER_DATA[[#This Row],[Bottom '[m']]]-TOWER_DATA[[#This Row],[D, top '[m']]], "")</f>
        <v/>
      </c>
      <c r="BX83" s="80" t="str">
        <f>IFERROR(-(TOWER_DATA[[#This Row],[D, bottom '[m']]]-TOWER_DATA[[#This Row],[D, top '[m']]])/(TOWER_DATA[[#This Row],[Bottom '[m']]]-TOWER_DATA[[#This Row],[Top '[m']]]),"")</f>
        <v/>
      </c>
      <c r="BY83" s="80" t="str">
        <f t="shared" si="2"/>
        <v/>
      </c>
      <c r="BZ83" s="80" t="str">
        <f>IFERROR((TOWER_DATA[[#This Row],[D, bottom '[m']]]+TOWER_DATA[[#This Row],[D, top '[m']]])/(2*TOWER_DATA[[#This Row],[t '[mm']]]/1000),"")</f>
        <v/>
      </c>
      <c r="CA83" s="80" t="str">
        <f>IFERROR((TOWER_DATA[[#This Row],[D, bottom '[m']]]+#REF!)/(2*#REF!/1000),"")</f>
        <v/>
      </c>
      <c r="CF83" s="78"/>
      <c r="CG83" s="78"/>
      <c r="CH83" s="78"/>
      <c r="CJ83" s="78"/>
      <c r="DE83" s="80"/>
      <c r="DF83" s="80"/>
    </row>
    <row r="84" spans="8:110" x14ac:dyDescent="0.3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O84" s="80" t="str">
        <f>IFERROR(TP_DATA[[#This Row],[Bottom '[m']]]-TP_DATA[[#This Row],[D, top '[m']]], "")</f>
        <v/>
      </c>
      <c r="AP84" s="80" t="str">
        <f>IFERROR(-(TP_DATA[[#This Row],[D, bottom '[m']]]-TP_DATA[[#This Row],[D, top '[m']]])/(TP_DATA[[#This Row],[Bottom '[m']]]-TP_DATA[[#This Row],[Top '[m']]]),"")</f>
        <v/>
      </c>
      <c r="AQ84" s="80" t="str">
        <f t="shared" si="1"/>
        <v/>
      </c>
      <c r="AR84" s="80" t="str">
        <f>IFERROR((TP_DATA[[#This Row],[D, bottom '[m']]]+TP_DATA[[#This Row],[D, top '[m']]])/(2*TP_DATA[[#This Row],[t '[mm']]]/1000),"")</f>
        <v/>
      </c>
      <c r="AS84" s="80" t="str">
        <f>IFERROR((TP_DATA[[#This Row],[D, bottom '[m']]]+#REF!)/(2*#REF!/1000),"")</f>
        <v/>
      </c>
      <c r="BW84" s="80" t="str">
        <f>IFERROR(TOWER_DATA[[#This Row],[Bottom '[m']]]-TOWER_DATA[[#This Row],[D, top '[m']]], "")</f>
        <v/>
      </c>
      <c r="BX84" s="80" t="str">
        <f>IFERROR(-(TOWER_DATA[[#This Row],[D, bottom '[m']]]-TOWER_DATA[[#This Row],[D, top '[m']]])/(TOWER_DATA[[#This Row],[Bottom '[m']]]-TOWER_DATA[[#This Row],[Top '[m']]]),"")</f>
        <v/>
      </c>
      <c r="BY84" s="80" t="str">
        <f t="shared" si="2"/>
        <v/>
      </c>
      <c r="BZ84" s="80" t="str">
        <f>IFERROR((TOWER_DATA[[#This Row],[D, bottom '[m']]]+TOWER_DATA[[#This Row],[D, top '[m']]])/(2*TOWER_DATA[[#This Row],[t '[mm']]]/1000),"")</f>
        <v/>
      </c>
      <c r="CA84" s="80" t="str">
        <f>IFERROR((TOWER_DATA[[#This Row],[D, bottom '[m']]]+#REF!)/(2*#REF!/1000),"")</f>
        <v/>
      </c>
      <c r="CF84" s="78"/>
      <c r="CG84" s="78"/>
      <c r="CH84" s="78"/>
      <c r="CJ84" s="78"/>
      <c r="DE84" s="80"/>
      <c r="DF84" s="80"/>
    </row>
    <row r="85" spans="8:110" x14ac:dyDescent="0.3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O85" s="80" t="str">
        <f>IFERROR(TP_DATA[[#This Row],[Bottom '[m']]]-TP_DATA[[#This Row],[D, top '[m']]], "")</f>
        <v/>
      </c>
      <c r="AP85" s="80" t="str">
        <f>IFERROR(-(TP_DATA[[#This Row],[D, bottom '[m']]]-TP_DATA[[#This Row],[D, top '[m']]])/(TP_DATA[[#This Row],[Bottom '[m']]]-TP_DATA[[#This Row],[Top '[m']]]),"")</f>
        <v/>
      </c>
      <c r="AQ85" s="80" t="str">
        <f t="shared" si="1"/>
        <v/>
      </c>
      <c r="AR85" s="80" t="str">
        <f>IFERROR((TP_DATA[[#This Row],[D, bottom '[m']]]+TP_DATA[[#This Row],[D, top '[m']]])/(2*TP_DATA[[#This Row],[t '[mm']]]/1000),"")</f>
        <v/>
      </c>
      <c r="AS85" s="80" t="str">
        <f>IFERROR((TP_DATA[[#This Row],[D, bottom '[m']]]+#REF!)/(2*#REF!/1000),"")</f>
        <v/>
      </c>
      <c r="BW85" s="80" t="str">
        <f>IFERROR(TOWER_DATA[[#This Row],[Bottom '[m']]]-TOWER_DATA[[#This Row],[D, top '[m']]], "")</f>
        <v/>
      </c>
      <c r="BX85" s="80" t="str">
        <f>IFERROR(-(TOWER_DATA[[#This Row],[D, bottom '[m']]]-TOWER_DATA[[#This Row],[D, top '[m']]])/(TOWER_DATA[[#This Row],[Bottom '[m']]]-TOWER_DATA[[#This Row],[Top '[m']]]),"")</f>
        <v/>
      </c>
      <c r="BY85" s="80" t="str">
        <f t="shared" si="2"/>
        <v/>
      </c>
      <c r="BZ85" s="80" t="str">
        <f>IFERROR((TOWER_DATA[[#This Row],[D, bottom '[m']]]+TOWER_DATA[[#This Row],[D, top '[m']]])/(2*TOWER_DATA[[#This Row],[t '[mm']]]/1000),"")</f>
        <v/>
      </c>
      <c r="CA85" s="80" t="str">
        <f>IFERROR((TOWER_DATA[[#This Row],[D, bottom '[m']]]+#REF!)/(2*#REF!/1000),"")</f>
        <v/>
      </c>
      <c r="CF85" s="78"/>
      <c r="CG85" s="78"/>
      <c r="CH85" s="78"/>
      <c r="CJ85" s="78"/>
      <c r="DE85" s="80"/>
      <c r="DF85" s="80"/>
    </row>
    <row r="86" spans="8:110" x14ac:dyDescent="0.3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O86" s="80" t="str">
        <f>IFERROR(TP_DATA[[#This Row],[Bottom '[m']]]-TP_DATA[[#This Row],[D, top '[m']]], "")</f>
        <v/>
      </c>
      <c r="AP86" s="80" t="str">
        <f>IFERROR(-(TP_DATA[[#This Row],[D, bottom '[m']]]-TP_DATA[[#This Row],[D, top '[m']]])/(TP_DATA[[#This Row],[Bottom '[m']]]-TP_DATA[[#This Row],[Top '[m']]]),"")</f>
        <v/>
      </c>
      <c r="AQ86" s="80" t="str">
        <f t="shared" si="1"/>
        <v/>
      </c>
      <c r="AR86" s="80" t="str">
        <f>IFERROR((TP_DATA[[#This Row],[D, bottom '[m']]]+TP_DATA[[#This Row],[D, top '[m']]])/(2*TP_DATA[[#This Row],[t '[mm']]]/1000),"")</f>
        <v/>
      </c>
      <c r="AS86" s="80" t="str">
        <f>IFERROR((TP_DATA[[#This Row],[D, bottom '[m']]]+#REF!)/(2*#REF!/1000),"")</f>
        <v/>
      </c>
      <c r="BW86" s="80" t="str">
        <f>IFERROR(TOWER_DATA[[#This Row],[Bottom '[m']]]-TOWER_DATA[[#This Row],[D, top '[m']]], "")</f>
        <v/>
      </c>
      <c r="BX86" s="80" t="str">
        <f>IFERROR(-(TOWER_DATA[[#This Row],[D, bottom '[m']]]-TOWER_DATA[[#This Row],[D, top '[m']]])/(TOWER_DATA[[#This Row],[Bottom '[m']]]-TOWER_DATA[[#This Row],[Top '[m']]]),"")</f>
        <v/>
      </c>
      <c r="BY86" s="80" t="str">
        <f t="shared" si="2"/>
        <v/>
      </c>
      <c r="BZ86" s="80" t="str">
        <f>IFERROR((TOWER_DATA[[#This Row],[D, bottom '[m']]]+TOWER_DATA[[#This Row],[D, top '[m']]])/(2*TOWER_DATA[[#This Row],[t '[mm']]]/1000),"")</f>
        <v/>
      </c>
      <c r="CA86" s="80" t="str">
        <f>IFERROR((TOWER_DATA[[#This Row],[D, bottom '[m']]]+#REF!)/(2*#REF!/1000),"")</f>
        <v/>
      </c>
      <c r="CF86" s="78"/>
      <c r="CG86" s="78"/>
      <c r="CH86" s="78"/>
      <c r="CJ86" s="78"/>
      <c r="DE86" s="80"/>
      <c r="DF86" s="80"/>
    </row>
    <row r="87" spans="8:110" x14ac:dyDescent="0.3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O87" s="80" t="str">
        <f>IFERROR(TP_DATA[[#This Row],[Bottom '[m']]]-TP_DATA[[#This Row],[D, top '[m']]], "")</f>
        <v/>
      </c>
      <c r="AP87" s="80" t="str">
        <f>IFERROR(-(TP_DATA[[#This Row],[D, bottom '[m']]]-TP_DATA[[#This Row],[D, top '[m']]])/(TP_DATA[[#This Row],[Bottom '[m']]]-TP_DATA[[#This Row],[Top '[m']]]),"")</f>
        <v/>
      </c>
      <c r="AQ87" s="80" t="str">
        <f t="shared" si="1"/>
        <v/>
      </c>
      <c r="AR87" s="80" t="str">
        <f>IFERROR((TP_DATA[[#This Row],[D, bottom '[m']]]+TP_DATA[[#This Row],[D, top '[m']]])/(2*TP_DATA[[#This Row],[t '[mm']]]/1000),"")</f>
        <v/>
      </c>
      <c r="AS87" s="80" t="str">
        <f>IFERROR((TP_DATA[[#This Row],[D, bottom '[m']]]+#REF!)/(2*#REF!/1000),"")</f>
        <v/>
      </c>
      <c r="BW87" s="80" t="str">
        <f>IFERROR(TOWER_DATA[[#This Row],[Bottom '[m']]]-TOWER_DATA[[#This Row],[D, top '[m']]], "")</f>
        <v/>
      </c>
      <c r="BX87" s="80" t="str">
        <f>IFERROR(-(TOWER_DATA[[#This Row],[D, bottom '[m']]]-TOWER_DATA[[#This Row],[D, top '[m']]])/(TOWER_DATA[[#This Row],[Bottom '[m']]]-TOWER_DATA[[#This Row],[Top '[m']]]),"")</f>
        <v/>
      </c>
      <c r="BY87" s="80" t="str">
        <f t="shared" si="2"/>
        <v/>
      </c>
      <c r="BZ87" s="80" t="str">
        <f>IFERROR((TOWER_DATA[[#This Row],[D, bottom '[m']]]+TOWER_DATA[[#This Row],[D, top '[m']]])/(2*TOWER_DATA[[#This Row],[t '[mm']]]/1000),"")</f>
        <v/>
      </c>
      <c r="CA87" s="80" t="str">
        <f>IFERROR((TOWER_DATA[[#This Row],[D, bottom '[m']]]+#REF!)/(2*#REF!/1000),"")</f>
        <v/>
      </c>
      <c r="CF87" s="78"/>
      <c r="CG87" s="78"/>
      <c r="CH87" s="78"/>
      <c r="CJ87" s="78"/>
      <c r="DE87" s="80"/>
      <c r="DF87" s="80"/>
    </row>
    <row r="88" spans="8:110" x14ac:dyDescent="0.3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O88" s="80" t="str">
        <f>IFERROR(TP_DATA[[#This Row],[Bottom '[m']]]-TP_DATA[[#This Row],[D, top '[m']]], "")</f>
        <v/>
      </c>
      <c r="AP88" s="80" t="str">
        <f>IFERROR(-(TP_DATA[[#This Row],[D, bottom '[m']]]-TP_DATA[[#This Row],[D, top '[m']]])/(TP_DATA[[#This Row],[Bottom '[m']]]-TP_DATA[[#This Row],[Top '[m']]]),"")</f>
        <v/>
      </c>
      <c r="AQ88" s="80" t="str">
        <f t="shared" si="1"/>
        <v/>
      </c>
      <c r="AR88" s="80" t="str">
        <f>IFERROR((TP_DATA[[#This Row],[D, bottom '[m']]]+TP_DATA[[#This Row],[D, top '[m']]])/(2*TP_DATA[[#This Row],[t '[mm']]]/1000),"")</f>
        <v/>
      </c>
      <c r="AS88" s="80" t="str">
        <f>IFERROR((TP_DATA[[#This Row],[D, bottom '[m']]]+#REF!)/(2*#REF!/1000),"")</f>
        <v/>
      </c>
      <c r="BW88" s="80" t="str">
        <f>IFERROR(TOWER_DATA[[#This Row],[Bottom '[m']]]-TOWER_DATA[[#This Row],[D, top '[m']]], "")</f>
        <v/>
      </c>
      <c r="BX88" s="80" t="str">
        <f>IFERROR(-(TOWER_DATA[[#This Row],[D, bottom '[m']]]-TOWER_DATA[[#This Row],[D, top '[m']]])/(TOWER_DATA[[#This Row],[Bottom '[m']]]-TOWER_DATA[[#This Row],[Top '[m']]]),"")</f>
        <v/>
      </c>
      <c r="BY88" s="80" t="str">
        <f t="shared" si="2"/>
        <v/>
      </c>
      <c r="BZ88" s="80" t="str">
        <f>IFERROR((TOWER_DATA[[#This Row],[D, bottom '[m']]]+TOWER_DATA[[#This Row],[D, top '[m']]])/(2*TOWER_DATA[[#This Row],[t '[mm']]]/1000),"")</f>
        <v/>
      </c>
      <c r="CA88" s="80" t="str">
        <f>IFERROR((TOWER_DATA[[#This Row],[D, bottom '[m']]]+#REF!)/(2*#REF!/1000),"")</f>
        <v/>
      </c>
      <c r="CF88" s="78"/>
      <c r="CG88" s="78"/>
      <c r="CH88" s="78"/>
      <c r="CJ88" s="78"/>
      <c r="DE88" s="80"/>
      <c r="DF88" s="80"/>
    </row>
    <row r="89" spans="8:110" x14ac:dyDescent="0.3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95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O89" s="80" t="str">
        <f>IFERROR(TP_DATA[[#This Row],[Bottom '[m']]]-TP_DATA[[#This Row],[D, top '[m']]], "")</f>
        <v/>
      </c>
      <c r="AP89" s="80" t="str">
        <f>IFERROR(-(TP_DATA[[#This Row],[D, bottom '[m']]]-TP_DATA[[#This Row],[D, top '[m']]])/(TP_DATA[[#This Row],[Bottom '[m']]]-TP_DATA[[#This Row],[Top '[m']]]),"")</f>
        <v/>
      </c>
      <c r="AQ89" s="80" t="str">
        <f t="shared" ref="AQ89:AQ95" si="5"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80" t="str">
        <f>IFERROR((TP_DATA[[#This Row],[D, bottom '[m']]]+TP_DATA[[#This Row],[D, top '[m']]])/(2*TP_DATA[[#This Row],[t '[mm']]]/1000),"")</f>
        <v/>
      </c>
      <c r="AS89" s="80" t="str">
        <f>IFERROR((TP_DATA[[#This Row],[D, bottom '[m']]]+#REF!)/(2*#REF!/1000),"")</f>
        <v/>
      </c>
      <c r="BW89" s="80" t="str">
        <f>IFERROR(TOWER_DATA[[#This Row],[Bottom '[m']]]-TOWER_DATA[[#This Row],[D, top '[m']]], "")</f>
        <v/>
      </c>
      <c r="BX89" s="80" t="str">
        <f>IFERROR(-(TOWER_DATA[[#This Row],[D, bottom '[m']]]-TOWER_DATA[[#This Row],[D, top '[m']]])/(TOWER_DATA[[#This Row],[Bottom '[m']]]-TOWER_DATA[[#This Row],[Top '[m']]]),"")</f>
        <v/>
      </c>
      <c r="BY89" s="80" t="str">
        <f t="shared" ref="BY89:BY95" si="6"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80" t="str">
        <f>IFERROR((TOWER_DATA[[#This Row],[D, bottom '[m']]]+TOWER_DATA[[#This Row],[D, top '[m']]])/(2*TOWER_DATA[[#This Row],[t '[mm']]]/1000),"")</f>
        <v/>
      </c>
      <c r="CA89" s="80" t="str">
        <f>IFERROR((TOWER_DATA[[#This Row],[D, bottom '[m']]]+#REF!)/(2*#REF!/1000),"")</f>
        <v/>
      </c>
      <c r="CF89" s="78"/>
      <c r="CG89" s="78"/>
      <c r="CH89" s="78"/>
      <c r="CJ89" s="78"/>
      <c r="DE89" s="80"/>
      <c r="DF89" s="80"/>
    </row>
    <row r="90" spans="8:110" x14ac:dyDescent="0.3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O90" s="80" t="str">
        <f>IFERROR(TP_DATA[[#This Row],[Bottom '[m']]]-TP_DATA[[#This Row],[D, top '[m']]], "")</f>
        <v/>
      </c>
      <c r="AP90" s="80" t="str">
        <f>IFERROR(-(TP_DATA[[#This Row],[D, bottom '[m']]]-TP_DATA[[#This Row],[D, top '[m']]])/(TP_DATA[[#This Row],[Bottom '[m']]]-TP_DATA[[#This Row],[Top '[m']]]),"")</f>
        <v/>
      </c>
      <c r="AQ90" s="80" t="str">
        <f t="shared" si="5"/>
        <v/>
      </c>
      <c r="AR90" s="80" t="str">
        <f>IFERROR((TP_DATA[[#This Row],[D, bottom '[m']]]+TP_DATA[[#This Row],[D, top '[m']]])/(2*TP_DATA[[#This Row],[t '[mm']]]/1000),"")</f>
        <v/>
      </c>
      <c r="AS90" s="80" t="str">
        <f>IFERROR((TP_DATA[[#This Row],[D, bottom '[m']]]+#REF!)/(2*#REF!/1000),"")</f>
        <v/>
      </c>
      <c r="BW90" s="80" t="str">
        <f>IFERROR(TOWER_DATA[[#This Row],[Bottom '[m']]]-TOWER_DATA[[#This Row],[D, top '[m']]], "")</f>
        <v/>
      </c>
      <c r="BX90" s="80" t="str">
        <f>IFERROR(-(TOWER_DATA[[#This Row],[D, bottom '[m']]]-TOWER_DATA[[#This Row],[D, top '[m']]])/(TOWER_DATA[[#This Row],[Bottom '[m']]]-TOWER_DATA[[#This Row],[Top '[m']]]),"")</f>
        <v/>
      </c>
      <c r="BY90" s="80" t="str">
        <f t="shared" si="6"/>
        <v/>
      </c>
      <c r="BZ90" s="80" t="str">
        <f>IFERROR((TOWER_DATA[[#This Row],[D, bottom '[m']]]+TOWER_DATA[[#This Row],[D, top '[m']]])/(2*TOWER_DATA[[#This Row],[t '[mm']]]/1000),"")</f>
        <v/>
      </c>
      <c r="CA90" s="80" t="str">
        <f>IFERROR((TOWER_DATA[[#This Row],[D, bottom '[m']]]+#REF!)/(2*#REF!/1000),"")</f>
        <v/>
      </c>
      <c r="CF90" s="78"/>
      <c r="CG90" s="78"/>
      <c r="CH90" s="78"/>
      <c r="CJ90" s="78"/>
      <c r="DE90" s="80"/>
      <c r="DF90" s="80"/>
    </row>
    <row r="91" spans="8:110" x14ac:dyDescent="0.3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O91" s="80" t="str">
        <f>IFERROR(TP_DATA[[#This Row],[Bottom '[m']]]-TP_DATA[[#This Row],[D, top '[m']]], "")</f>
        <v/>
      </c>
      <c r="AP91" s="80" t="str">
        <f>IFERROR(-(TP_DATA[[#This Row],[D, bottom '[m']]]-TP_DATA[[#This Row],[D, top '[m']]])/(TP_DATA[[#This Row],[Bottom '[m']]]-TP_DATA[[#This Row],[Top '[m']]]),"")</f>
        <v/>
      </c>
      <c r="AQ91" s="80" t="str">
        <f t="shared" si="5"/>
        <v/>
      </c>
      <c r="AR91" s="80" t="str">
        <f>IFERROR((TP_DATA[[#This Row],[D, bottom '[m']]]+TP_DATA[[#This Row],[D, top '[m']]])/(2*TP_DATA[[#This Row],[t '[mm']]]/1000),"")</f>
        <v/>
      </c>
      <c r="AS91" s="80" t="str">
        <f>IFERROR((TP_DATA[[#This Row],[D, bottom '[m']]]+#REF!)/(2*#REF!/1000),"")</f>
        <v/>
      </c>
      <c r="BW91" s="80" t="str">
        <f>IFERROR(TOWER_DATA[[#This Row],[Bottom '[m']]]-TOWER_DATA[[#This Row],[D, top '[m']]], "")</f>
        <v/>
      </c>
      <c r="BX91" s="80" t="str">
        <f>IFERROR(-(TOWER_DATA[[#This Row],[D, bottom '[m']]]-TOWER_DATA[[#This Row],[D, top '[m']]])/(TOWER_DATA[[#This Row],[Bottom '[m']]]-TOWER_DATA[[#This Row],[Top '[m']]]),"")</f>
        <v/>
      </c>
      <c r="BY91" s="80" t="str">
        <f t="shared" si="6"/>
        <v/>
      </c>
      <c r="BZ91" s="80" t="str">
        <f>IFERROR((TOWER_DATA[[#This Row],[D, bottom '[m']]]+TOWER_DATA[[#This Row],[D, top '[m']]])/(2*TOWER_DATA[[#This Row],[t '[mm']]]/1000),"")</f>
        <v/>
      </c>
      <c r="CA91" s="80" t="str">
        <f>IFERROR((TOWER_DATA[[#This Row],[D, bottom '[m']]]+#REF!)/(2*#REF!/1000),"")</f>
        <v/>
      </c>
      <c r="CF91" s="78"/>
      <c r="CG91" s="78"/>
      <c r="CH91" s="78"/>
      <c r="CJ91" s="78"/>
      <c r="DE91" s="80"/>
      <c r="DF91" s="80"/>
    </row>
    <row r="92" spans="8:110" x14ac:dyDescent="0.3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O92" s="80" t="str">
        <f>IFERROR(TP_DATA[[#This Row],[Bottom '[m']]]-TP_DATA[[#This Row],[D, top '[m']]], "")</f>
        <v/>
      </c>
      <c r="AP92" s="80" t="str">
        <f>IFERROR(-(TP_DATA[[#This Row],[D, bottom '[m']]]-TP_DATA[[#This Row],[D, top '[m']]])/(TP_DATA[[#This Row],[Bottom '[m']]]-TP_DATA[[#This Row],[Top '[m']]]),"")</f>
        <v/>
      </c>
      <c r="AQ92" s="80" t="str">
        <f t="shared" si="5"/>
        <v/>
      </c>
      <c r="AR92" s="80" t="str">
        <f>IFERROR((TP_DATA[[#This Row],[D, bottom '[m']]]+TP_DATA[[#This Row],[D, top '[m']]])/(2*TP_DATA[[#This Row],[t '[mm']]]/1000),"")</f>
        <v/>
      </c>
      <c r="AS92" s="80" t="str">
        <f>IFERROR((TP_DATA[[#This Row],[D, bottom '[m']]]+#REF!)/(2*#REF!/1000),"")</f>
        <v/>
      </c>
      <c r="BW92" s="80" t="str">
        <f>IFERROR(TOWER_DATA[[#This Row],[Bottom '[m']]]-TOWER_DATA[[#This Row],[D, top '[m']]], "")</f>
        <v/>
      </c>
      <c r="BX92" s="80" t="str">
        <f>IFERROR(-(TOWER_DATA[[#This Row],[D, bottom '[m']]]-TOWER_DATA[[#This Row],[D, top '[m']]])/(TOWER_DATA[[#This Row],[Bottom '[m']]]-TOWER_DATA[[#This Row],[Top '[m']]]),"")</f>
        <v/>
      </c>
      <c r="BY92" s="80" t="str">
        <f t="shared" si="6"/>
        <v/>
      </c>
      <c r="BZ92" s="80" t="str">
        <f>IFERROR((TOWER_DATA[[#This Row],[D, bottom '[m']]]+TOWER_DATA[[#This Row],[D, top '[m']]])/(2*TOWER_DATA[[#This Row],[t '[mm']]]/1000),"")</f>
        <v/>
      </c>
      <c r="CA92" s="80" t="str">
        <f>IFERROR((TOWER_DATA[[#This Row],[D, bottom '[m']]]+#REF!)/(2*#REF!/1000),"")</f>
        <v/>
      </c>
      <c r="CF92" s="78"/>
      <c r="CG92" s="78"/>
      <c r="CH92" s="78"/>
      <c r="CJ92" s="78"/>
      <c r="DE92" s="80"/>
      <c r="DF92" s="80"/>
    </row>
    <row r="93" spans="8:110" x14ac:dyDescent="0.3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O93" s="80" t="str">
        <f>IFERROR(TP_DATA[[#This Row],[Bottom '[m']]]-TP_DATA[[#This Row],[D, top '[m']]], "")</f>
        <v/>
      </c>
      <c r="AP93" s="80" t="str">
        <f>IFERROR(-(TP_DATA[[#This Row],[D, bottom '[m']]]-TP_DATA[[#This Row],[D, top '[m']]])/(TP_DATA[[#This Row],[Bottom '[m']]]-TP_DATA[[#This Row],[Top '[m']]]),"")</f>
        <v/>
      </c>
      <c r="AQ93" s="80" t="str">
        <f t="shared" si="5"/>
        <v/>
      </c>
      <c r="AR93" s="80" t="str">
        <f>IFERROR((TP_DATA[[#This Row],[D, bottom '[m']]]+TP_DATA[[#This Row],[D, top '[m']]])/(2*TP_DATA[[#This Row],[t '[mm']]]/1000),"")</f>
        <v/>
      </c>
      <c r="AS93" s="80" t="str">
        <f>IFERROR((TP_DATA[[#This Row],[D, bottom '[m']]]+#REF!)/(2*#REF!/1000),"")</f>
        <v/>
      </c>
      <c r="BW93" s="80" t="str">
        <f>IFERROR(TOWER_DATA[[#This Row],[Bottom '[m']]]-TOWER_DATA[[#This Row],[D, top '[m']]], "")</f>
        <v/>
      </c>
      <c r="BX93" s="80" t="str">
        <f>IFERROR(-(TOWER_DATA[[#This Row],[D, bottom '[m']]]-TOWER_DATA[[#This Row],[D, top '[m']]])/(TOWER_DATA[[#This Row],[Bottom '[m']]]-TOWER_DATA[[#This Row],[Top '[m']]]),"")</f>
        <v/>
      </c>
      <c r="BY93" s="80" t="str">
        <f t="shared" si="6"/>
        <v/>
      </c>
      <c r="BZ93" s="80" t="str">
        <f>IFERROR((TOWER_DATA[[#This Row],[D, bottom '[m']]]+TOWER_DATA[[#This Row],[D, top '[m']]])/(2*TOWER_DATA[[#This Row],[t '[mm']]]/1000),"")</f>
        <v/>
      </c>
      <c r="CA93" s="80" t="str">
        <f>IFERROR((TOWER_DATA[[#This Row],[D, bottom '[m']]]+#REF!)/(2*#REF!/1000),"")</f>
        <v/>
      </c>
      <c r="DE93" s="80" t="str">
        <f>IF(7850/1000*(1/3)*PI()*ABS(CZ93-DA93)*((DB93/2)^2+(DB93/2)*(DC93/2)+(DC93/2)^2-(DB93/2-DD93/1000)^2-(DB93/2-DD93/1000)*(DC93/2-DD93/1000)-(DC93/2-DD93/1000)^2)=0,"",7850/1000*(1/3)*PI()*ABS(CZ93-DA93)*((DB93/2)^2+(DB93/2)*(DC93/2)+(DC93/2)^2-(DB93/2-DD93/1000)^2-(DB93/2-DD93/1000)*(DC93/2-DD93/1000)-(DC93/2-DD93/1000)^2))</f>
        <v/>
      </c>
      <c r="DF93" s="80"/>
    </row>
    <row r="94" spans="8:110" x14ac:dyDescent="0.3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O94" s="80" t="str">
        <f>IFERROR(TP_DATA[[#This Row],[Bottom '[m']]]-TP_DATA[[#This Row],[D, top '[m']]], "")</f>
        <v/>
      </c>
      <c r="AP94" s="80" t="str">
        <f>IFERROR(-(TP_DATA[[#This Row],[D, bottom '[m']]]-TP_DATA[[#This Row],[D, top '[m']]])/(TP_DATA[[#This Row],[Bottom '[m']]]-TP_DATA[[#This Row],[Top '[m']]]),"")</f>
        <v/>
      </c>
      <c r="AQ94" s="80" t="str">
        <f t="shared" si="5"/>
        <v/>
      </c>
      <c r="AR94" s="80" t="str">
        <f>IFERROR((TP_DATA[[#This Row],[D, bottom '[m']]]+TP_DATA[[#This Row],[D, top '[m']]])/(2*TP_DATA[[#This Row],[t '[mm']]]/1000),"")</f>
        <v/>
      </c>
      <c r="AS94" s="80" t="str">
        <f>IFERROR((TP_DATA[[#This Row],[D, bottom '[m']]]+#REF!)/(2*#REF!/1000),"")</f>
        <v/>
      </c>
      <c r="BW94" s="80" t="str">
        <f>IFERROR(TOWER_DATA[[#This Row],[Bottom '[m']]]-TOWER_DATA[[#This Row],[D, top '[m']]], "")</f>
        <v/>
      </c>
      <c r="BX94" s="80" t="str">
        <f>IFERROR(-(TOWER_DATA[[#This Row],[D, bottom '[m']]]-TOWER_DATA[[#This Row],[D, top '[m']]])/(TOWER_DATA[[#This Row],[Bottom '[m']]]-TOWER_DATA[[#This Row],[Top '[m']]]),"")</f>
        <v/>
      </c>
      <c r="BY94" s="80" t="str">
        <f t="shared" si="6"/>
        <v/>
      </c>
      <c r="BZ94" s="80" t="str">
        <f>IFERROR((TOWER_DATA[[#This Row],[D, bottom '[m']]]+TOWER_DATA[[#This Row],[D, top '[m']]])/(2*TOWER_DATA[[#This Row],[t '[mm']]]/1000),"")</f>
        <v/>
      </c>
      <c r="CA94" s="80" t="str">
        <f>IFERROR((TOWER_DATA[[#This Row],[D, bottom '[m']]]+#REF!)/(2*#REF!/1000),"")</f>
        <v/>
      </c>
      <c r="DE94" s="80" t="str">
        <f>IF(7850/1000*(1/3)*PI()*ABS(CZ94-DA94)*((DB94/2)^2+(DB94/2)*(DC94/2)+(DC94/2)^2-(DB94/2-DD94/1000)^2-(DB94/2-DD94/1000)*(DC94/2-DD94/1000)-(DC94/2-DD94/1000)^2)=0,"",7850/1000*(1/3)*PI()*ABS(CZ94-DA94)*((DB94/2)^2+(DB94/2)*(DC94/2)+(DC94/2)^2-(DB94/2-DD94/1000)^2-(DB94/2-DD94/1000)*(DC94/2-DD94/1000)-(DC94/2-DD94/1000)^2))</f>
        <v/>
      </c>
      <c r="DF94" s="80"/>
    </row>
    <row r="95" spans="8:110" x14ac:dyDescent="0.3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O95" s="80" t="str">
        <f>IFERROR(TP_DATA[[#This Row],[Bottom '[m']]]-TP_DATA[[#This Row],[D, top '[m']]], "")</f>
        <v/>
      </c>
      <c r="AP95" s="80" t="str">
        <f>IFERROR(-(TP_DATA[[#This Row],[D, bottom '[m']]]-TP_DATA[[#This Row],[D, top '[m']]])/(TP_DATA[[#This Row],[Bottom '[m']]]-TP_DATA[[#This Row],[Top '[m']]]),"")</f>
        <v/>
      </c>
      <c r="AQ95" s="80" t="str">
        <f t="shared" si="5"/>
        <v/>
      </c>
      <c r="AR95" s="80" t="str">
        <f>IFERROR((TP_DATA[[#This Row],[D, bottom '[m']]]+TP_DATA[[#This Row],[D, top '[m']]])/(2*TP_DATA[[#This Row],[t '[mm']]]/1000),"")</f>
        <v/>
      </c>
      <c r="AS95" s="80" t="str">
        <f>IFERROR((TP_DATA[[#This Row],[D, bottom '[m']]]+#REF!)/(2*#REF!/1000),"")</f>
        <v/>
      </c>
      <c r="BW95" s="80" t="str">
        <f>IFERROR(TOWER_DATA[[#This Row],[Bottom '[m']]]-TOWER_DATA[[#This Row],[D, top '[m']]], "")</f>
        <v/>
      </c>
      <c r="BX95" s="80" t="str">
        <f>IFERROR(-(TOWER_DATA[[#This Row],[D, bottom '[m']]]-TOWER_DATA[[#This Row],[D, top '[m']]])/(TOWER_DATA[[#This Row],[Bottom '[m']]]-TOWER_DATA[[#This Row],[Top '[m']]]),"")</f>
        <v/>
      </c>
      <c r="BY95" s="80" t="str">
        <f t="shared" si="6"/>
        <v/>
      </c>
      <c r="BZ95" s="80" t="str">
        <f>IFERROR((TOWER_DATA[[#This Row],[D, bottom '[m']]]+TOWER_DATA[[#This Row],[D, top '[m']]])/(2*TOWER_DATA[[#This Row],[t '[mm']]]/1000),"")</f>
        <v/>
      </c>
      <c r="CA95" s="80" t="str">
        <f>IFERROR((TOWER_DATA[[#This Row],[D, bottom '[m']]]+#REF!)/(2*#REF!/1000),"")</f>
        <v/>
      </c>
      <c r="DE95" s="80" t="str">
        <f>IF(7850/1000*(1/3)*PI()*ABS(CZ95-DA95)*((DB95/2)^2+(DB95/2)*(DC95/2)+(DC95/2)^2-(DB95/2-DD95/1000)^2-(DB95/2-DD95/1000)*(DC95/2-DD95/1000)-(DC95/2-DD95/1000)^2)=0,"",7850/1000*(1/3)*PI()*ABS(CZ95-DA95)*((DB95/2)^2+(DB95/2)*(DC95/2)+(DC95/2)^2-(DB95/2-DD95/1000)^2-(DB95/2-DD95/1000)*(DC95/2-DD95/1000)-(DC95/2-DD95/1000)^2))</f>
        <v/>
      </c>
      <c r="DF95" s="80"/>
    </row>
    <row r="96" spans="8:110" x14ac:dyDescent="0.3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ref="J96:J97" si="7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O96" s="80" t="str">
        <f>IFERROR(TP_DATA[[#This Row],[Bottom '[m']]]-TP_DATA[[#This Row],[D, top '[m']]], "")</f>
        <v/>
      </c>
      <c r="AP96" s="80" t="str">
        <f>IFERROR(-(TP_DATA[[#This Row],[D, bottom '[m']]]-TP_DATA[[#This Row],[D, top '[m']]])/(TP_DATA[[#This Row],[Bottom '[m']]]-TP_DATA[[#This Row],[Top '[m']]]),"")</f>
        <v/>
      </c>
      <c r="AQ96" s="80" t="str">
        <f t="shared" ref="AQ96:AQ129" si="8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80" t="str">
        <f>IFERROR((TP_DATA[[#This Row],[D, bottom '[m']]]+TP_DATA[[#This Row],[D, top '[m']]])/(2*TP_DATA[[#This Row],[t '[mm']]]/1000),"")</f>
        <v/>
      </c>
      <c r="AS96" s="80" t="str">
        <f>IFERROR((TP_DATA[[#This Row],[D, bottom '[m']]]+#REF!)/(2*#REF!/1000),"")</f>
        <v/>
      </c>
      <c r="BW96" s="80" t="str">
        <f>IFERROR(TOWER_DATA[[#This Row],[Bottom '[m']]]-TOWER_DATA[[#This Row],[D, top '[m']]], "")</f>
        <v/>
      </c>
      <c r="BX96" s="80" t="str">
        <f>IFERROR(-(TOWER_DATA[[#This Row],[D, bottom '[m']]]-TOWER_DATA[[#This Row],[D, top '[m']]])/(TOWER_DATA[[#This Row],[Bottom '[m']]]-TOWER_DATA[[#This Row],[Top '[m']]]),"")</f>
        <v/>
      </c>
      <c r="BY96" s="80" t="str">
        <f t="shared" ref="BY96:BY129" si="9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80" t="str">
        <f>IFERROR((TOWER_DATA[[#This Row],[D, bottom '[m']]]+TOWER_DATA[[#This Row],[D, top '[m']]])/(2*TOWER_DATA[[#This Row],[t '[mm']]]/1000),"")</f>
        <v/>
      </c>
      <c r="CA96" s="80" t="str">
        <f>IFERROR((TOWER_DATA[[#This Row],[D, bottom '[m']]]+#REF!)/(2*#REF!/1000),"")</f>
        <v/>
      </c>
      <c r="DE96" s="80" t="str">
        <f t="shared" ref="DE96:DE129" si="10">IF(7850/1000*(1/3)*PI()*ABS(CZ96-DA96)*((DB96/2)^2+(DB96/2)*(DC96/2)+(DC96/2)^2-(DB96/2-DD96/1000)^2-(DB96/2-DD96/1000)*(DC96/2-DD96/1000)-(DC96/2-DD96/1000)^2)=0,"",7850/1000*(1/3)*PI()*ABS(CZ96-DA96)*((DB96/2)^2+(DB96/2)*(DC96/2)+(DC96/2)^2-(DB96/2-DD96/1000)^2-(DB96/2-DD96/1000)*(DC96/2-DD96/1000)-(DC96/2-DD96/1000)^2))</f>
        <v/>
      </c>
      <c r="DF96" s="80"/>
    </row>
    <row r="97" spans="8:110" x14ac:dyDescent="0.3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7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O97" s="80" t="str">
        <f>IFERROR(TP_DATA[[#This Row],[Bottom '[m']]]-TP_DATA[[#This Row],[D, top '[m']]], "")</f>
        <v/>
      </c>
      <c r="AP97" s="80" t="str">
        <f>IFERROR(-(TP_DATA[[#This Row],[D, bottom '[m']]]-TP_DATA[[#This Row],[D, top '[m']]])/(TP_DATA[[#This Row],[Bottom '[m']]]-TP_DATA[[#This Row],[Top '[m']]]),"")</f>
        <v/>
      </c>
      <c r="AQ97" s="80" t="str">
        <f t="shared" si="8"/>
        <v/>
      </c>
      <c r="AR97" s="80" t="str">
        <f>IFERROR((TP_DATA[[#This Row],[D, bottom '[m']]]+TP_DATA[[#This Row],[D, top '[m']]])/(2*TP_DATA[[#This Row],[t '[mm']]]/1000),"")</f>
        <v/>
      </c>
      <c r="AS97" s="80" t="str">
        <f>IFERROR((TP_DATA[[#This Row],[D, bottom '[m']]]+#REF!)/(2*#REF!/1000),"")</f>
        <v/>
      </c>
      <c r="BW97" s="80" t="str">
        <f>IFERROR(TOWER_DATA[[#This Row],[Bottom '[m']]]-TOWER_DATA[[#This Row],[D, top '[m']]], "")</f>
        <v/>
      </c>
      <c r="BX97" s="80" t="str">
        <f>IFERROR(-(TOWER_DATA[[#This Row],[D, bottom '[m']]]-TOWER_DATA[[#This Row],[D, top '[m']]])/(TOWER_DATA[[#This Row],[Bottom '[m']]]-TOWER_DATA[[#This Row],[Top '[m']]]),"")</f>
        <v/>
      </c>
      <c r="BY97" s="80" t="str">
        <f t="shared" si="9"/>
        <v/>
      </c>
      <c r="BZ97" s="80" t="str">
        <f>IFERROR((TOWER_DATA[[#This Row],[D, bottom '[m']]]+TOWER_DATA[[#This Row],[D, top '[m']]])/(2*TOWER_DATA[[#This Row],[t '[mm']]]/1000),"")</f>
        <v/>
      </c>
      <c r="CA97" s="80" t="str">
        <f>IFERROR((TOWER_DATA[[#This Row],[D, bottom '[m']]]+#REF!)/(2*#REF!/1000),"")</f>
        <v/>
      </c>
      <c r="DE97" s="80" t="str">
        <f t="shared" si="10"/>
        <v/>
      </c>
      <c r="DF97" s="80"/>
    </row>
    <row r="98" spans="8:110" x14ac:dyDescent="0.3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ref="J98:J130" si="11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O98" s="80" t="str">
        <f>IFERROR(TP_DATA[[#This Row],[Bottom '[m']]]-TP_DATA[[#This Row],[D, top '[m']]], "")</f>
        <v/>
      </c>
      <c r="AP98" s="80" t="str">
        <f>IFERROR(-(TP_DATA[[#This Row],[D, bottom '[m']]]-TP_DATA[[#This Row],[D, top '[m']]])/(TP_DATA[[#This Row],[Bottom '[m']]]-TP_DATA[[#This Row],[Top '[m']]]),"")</f>
        <v/>
      </c>
      <c r="AQ98" s="80" t="str">
        <f t="shared" si="8"/>
        <v/>
      </c>
      <c r="AR98" s="80" t="str">
        <f>IFERROR((TP_DATA[[#This Row],[D, bottom '[m']]]+TP_DATA[[#This Row],[D, top '[m']]])/(2*TP_DATA[[#This Row],[t '[mm']]]/1000),"")</f>
        <v/>
      </c>
      <c r="AS98" s="80" t="str">
        <f>IFERROR((TP_DATA[[#This Row],[D, bottom '[m']]]+#REF!)/(2*#REF!/1000),"")</f>
        <v/>
      </c>
      <c r="BW98" s="80" t="str">
        <f>IFERROR(TOWER_DATA[[#This Row],[Bottom '[m']]]-TOWER_DATA[[#This Row],[D, top '[m']]], "")</f>
        <v/>
      </c>
      <c r="BX98" s="80" t="str">
        <f>IFERROR(-(TOWER_DATA[[#This Row],[D, bottom '[m']]]-TOWER_DATA[[#This Row],[D, top '[m']]])/(TOWER_DATA[[#This Row],[Bottom '[m']]]-TOWER_DATA[[#This Row],[Top '[m']]]),"")</f>
        <v/>
      </c>
      <c r="BY98" s="80" t="str">
        <f t="shared" si="9"/>
        <v/>
      </c>
      <c r="BZ98" s="80" t="str">
        <f>IFERROR((TOWER_DATA[[#This Row],[D, bottom '[m']]]+TOWER_DATA[[#This Row],[D, top '[m']]])/(2*TOWER_DATA[[#This Row],[t '[mm']]]/1000),"")</f>
        <v/>
      </c>
      <c r="CA98" s="80" t="str">
        <f>IFERROR((TOWER_DATA[[#This Row],[D, bottom '[m']]]+#REF!)/(2*#REF!/1000),"")</f>
        <v/>
      </c>
      <c r="DE98" s="80" t="str">
        <f t="shared" si="10"/>
        <v/>
      </c>
      <c r="DF98" s="80"/>
    </row>
    <row r="99" spans="8:110" x14ac:dyDescent="0.3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11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O99" s="80" t="str">
        <f>IFERROR(TP_DATA[[#This Row],[Bottom '[m']]]-TP_DATA[[#This Row],[D, top '[m']]], "")</f>
        <v/>
      </c>
      <c r="AP99" s="80" t="str">
        <f>IFERROR(-(TP_DATA[[#This Row],[D, bottom '[m']]]-TP_DATA[[#This Row],[D, top '[m']]])/(TP_DATA[[#This Row],[Bottom '[m']]]-TP_DATA[[#This Row],[Top '[m']]]),"")</f>
        <v/>
      </c>
      <c r="AQ99" s="80" t="str">
        <f t="shared" si="8"/>
        <v/>
      </c>
      <c r="AR99" s="80" t="str">
        <f>IFERROR((TP_DATA[[#This Row],[D, bottom '[m']]]+TP_DATA[[#This Row],[D, top '[m']]])/(2*TP_DATA[[#This Row],[t '[mm']]]/1000),"")</f>
        <v/>
      </c>
      <c r="AS99" s="80" t="str">
        <f>IFERROR((TP_DATA[[#This Row],[D, bottom '[m']]]+#REF!)/(2*#REF!/1000),"")</f>
        <v/>
      </c>
      <c r="BW99" s="80" t="str">
        <f>IFERROR(TOWER_DATA[[#This Row],[Bottom '[m']]]-TOWER_DATA[[#This Row],[D, top '[m']]], "")</f>
        <v/>
      </c>
      <c r="BX99" s="80" t="str">
        <f>IFERROR(-(TOWER_DATA[[#This Row],[D, bottom '[m']]]-TOWER_DATA[[#This Row],[D, top '[m']]])/(TOWER_DATA[[#This Row],[Bottom '[m']]]-TOWER_DATA[[#This Row],[Top '[m']]]),"")</f>
        <v/>
      </c>
      <c r="BY99" s="80" t="str">
        <f t="shared" si="9"/>
        <v/>
      </c>
      <c r="BZ99" s="80" t="str">
        <f>IFERROR((TOWER_DATA[[#This Row],[D, bottom '[m']]]+TOWER_DATA[[#This Row],[D, top '[m']]])/(2*TOWER_DATA[[#This Row],[t '[mm']]]/1000),"")</f>
        <v/>
      </c>
      <c r="CA99" s="80" t="str">
        <f>IFERROR((TOWER_DATA[[#This Row],[D, bottom '[m']]]+#REF!)/(2*#REF!/1000),"")</f>
        <v/>
      </c>
      <c r="DE99" s="80" t="str">
        <f t="shared" si="10"/>
        <v/>
      </c>
      <c r="DF99" s="80"/>
    </row>
    <row r="100" spans="8:110" x14ac:dyDescent="0.3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11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O100" s="80" t="str">
        <f>IFERROR(TP_DATA[[#This Row],[Bottom '[m']]]-TP_DATA[[#This Row],[D, top '[m']]], "")</f>
        <v/>
      </c>
      <c r="AP100" s="80" t="str">
        <f>IFERROR(-(TP_DATA[[#This Row],[D, bottom '[m']]]-TP_DATA[[#This Row],[D, top '[m']]])/(TP_DATA[[#This Row],[Bottom '[m']]]-TP_DATA[[#This Row],[Top '[m']]]),"")</f>
        <v/>
      </c>
      <c r="AQ100" s="80" t="str">
        <f t="shared" si="8"/>
        <v/>
      </c>
      <c r="AR100" s="80" t="str">
        <f>IFERROR((TP_DATA[[#This Row],[D, bottom '[m']]]+TP_DATA[[#This Row],[D, top '[m']]])/(2*TP_DATA[[#This Row],[t '[mm']]]/1000),"")</f>
        <v/>
      </c>
      <c r="AS100" s="80" t="str">
        <f>IFERROR((TP_DATA[[#This Row],[D, bottom '[m']]]+#REF!)/(2*#REF!/1000),"")</f>
        <v/>
      </c>
      <c r="BW100" s="80" t="str">
        <f>IFERROR(TOWER_DATA[[#This Row],[Bottom '[m']]]-TOWER_DATA[[#This Row],[D, top '[m']]], "")</f>
        <v/>
      </c>
      <c r="BX100" s="80" t="str">
        <f>IFERROR(-(TOWER_DATA[[#This Row],[D, bottom '[m']]]-TOWER_DATA[[#This Row],[D, top '[m']]])/(TOWER_DATA[[#This Row],[Bottom '[m']]]-TOWER_DATA[[#This Row],[Top '[m']]]),"")</f>
        <v/>
      </c>
      <c r="BY100" s="80" t="str">
        <f t="shared" si="9"/>
        <v/>
      </c>
      <c r="BZ100" s="80" t="str">
        <f>IFERROR((TOWER_DATA[[#This Row],[D, bottom '[m']]]+TOWER_DATA[[#This Row],[D, top '[m']]])/(2*TOWER_DATA[[#This Row],[t '[mm']]]/1000),"")</f>
        <v/>
      </c>
      <c r="CA100" s="80" t="str">
        <f>IFERROR((TOWER_DATA[[#This Row],[D, bottom '[m']]]+#REF!)/(2*#REF!/1000),"")</f>
        <v/>
      </c>
      <c r="DE100" s="80" t="str">
        <f t="shared" si="10"/>
        <v/>
      </c>
      <c r="DF100" s="80"/>
    </row>
    <row r="101" spans="8:110" x14ac:dyDescent="0.3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11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O101" s="80" t="str">
        <f>IFERROR(TP_DATA[[#This Row],[Bottom '[m']]]-TP_DATA[[#This Row],[D, top '[m']]], "")</f>
        <v/>
      </c>
      <c r="AP101" s="80" t="str">
        <f>IFERROR(-(TP_DATA[[#This Row],[D, bottom '[m']]]-TP_DATA[[#This Row],[D, top '[m']]])/(TP_DATA[[#This Row],[Bottom '[m']]]-TP_DATA[[#This Row],[Top '[m']]]),"")</f>
        <v/>
      </c>
      <c r="AQ101" s="80" t="str">
        <f t="shared" si="8"/>
        <v/>
      </c>
      <c r="AR101" s="80" t="str">
        <f>IFERROR((TP_DATA[[#This Row],[D, bottom '[m']]]+TP_DATA[[#This Row],[D, top '[m']]])/(2*TP_DATA[[#This Row],[t '[mm']]]/1000),"")</f>
        <v/>
      </c>
      <c r="AS101" s="80" t="str">
        <f>IFERROR((TP_DATA[[#This Row],[D, bottom '[m']]]+#REF!)/(2*#REF!/1000),"")</f>
        <v/>
      </c>
      <c r="BW101" s="80" t="str">
        <f>IFERROR(TOWER_DATA[[#This Row],[Bottom '[m']]]-TOWER_DATA[[#This Row],[D, top '[m']]], "")</f>
        <v/>
      </c>
      <c r="BX101" s="80" t="str">
        <f>IFERROR(-(TOWER_DATA[[#This Row],[D, bottom '[m']]]-TOWER_DATA[[#This Row],[D, top '[m']]])/(TOWER_DATA[[#This Row],[Bottom '[m']]]-TOWER_DATA[[#This Row],[Top '[m']]]),"")</f>
        <v/>
      </c>
      <c r="BY101" s="80" t="str">
        <f t="shared" si="9"/>
        <v/>
      </c>
      <c r="BZ101" s="80" t="str">
        <f>IFERROR((TOWER_DATA[[#This Row],[D, bottom '[m']]]+TOWER_DATA[[#This Row],[D, top '[m']]])/(2*TOWER_DATA[[#This Row],[t '[mm']]]/1000),"")</f>
        <v/>
      </c>
      <c r="CA101" s="80" t="str">
        <f>IFERROR((TOWER_DATA[[#This Row],[D, bottom '[m']]]+#REF!)/(2*#REF!/1000),"")</f>
        <v/>
      </c>
      <c r="DE101" s="80" t="str">
        <f t="shared" si="10"/>
        <v/>
      </c>
      <c r="DF101" s="80"/>
    </row>
    <row r="102" spans="8:110" x14ac:dyDescent="0.3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11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O102" s="80" t="str">
        <f>IFERROR(TP_DATA[[#This Row],[Bottom '[m']]]-TP_DATA[[#This Row],[D, top '[m']]], "")</f>
        <v/>
      </c>
      <c r="AP102" s="80" t="str">
        <f>IFERROR(-(TP_DATA[[#This Row],[D, bottom '[m']]]-TP_DATA[[#This Row],[D, top '[m']]])/(TP_DATA[[#This Row],[Bottom '[m']]]-TP_DATA[[#This Row],[Top '[m']]]),"")</f>
        <v/>
      </c>
      <c r="AQ102" s="80" t="str">
        <f t="shared" si="8"/>
        <v/>
      </c>
      <c r="AR102" s="80" t="str">
        <f>IFERROR((TP_DATA[[#This Row],[D, bottom '[m']]]+TP_DATA[[#This Row],[D, top '[m']]])/(2*TP_DATA[[#This Row],[t '[mm']]]/1000),"")</f>
        <v/>
      </c>
      <c r="AS102" s="80" t="str">
        <f>IFERROR((TP_DATA[[#This Row],[D, bottom '[m']]]+#REF!)/(2*#REF!/1000),"")</f>
        <v/>
      </c>
      <c r="BW102" s="80" t="str">
        <f>IFERROR(TOWER_DATA[[#This Row],[Bottom '[m']]]-TOWER_DATA[[#This Row],[D, top '[m']]], "")</f>
        <v/>
      </c>
      <c r="BX102" s="80" t="str">
        <f>IFERROR(-(TOWER_DATA[[#This Row],[D, bottom '[m']]]-TOWER_DATA[[#This Row],[D, top '[m']]])/(TOWER_DATA[[#This Row],[Bottom '[m']]]-TOWER_DATA[[#This Row],[Top '[m']]]),"")</f>
        <v/>
      </c>
      <c r="BY102" s="80" t="str">
        <f t="shared" si="9"/>
        <v/>
      </c>
      <c r="BZ102" s="80" t="str">
        <f>IFERROR((TOWER_DATA[[#This Row],[D, bottom '[m']]]+TOWER_DATA[[#This Row],[D, top '[m']]])/(2*TOWER_DATA[[#This Row],[t '[mm']]]/1000),"")</f>
        <v/>
      </c>
      <c r="CA102" s="80" t="str">
        <f>IFERROR((TOWER_DATA[[#This Row],[D, bottom '[m']]]+#REF!)/(2*#REF!/1000),"")</f>
        <v/>
      </c>
      <c r="DE102" s="80" t="str">
        <f t="shared" si="10"/>
        <v/>
      </c>
      <c r="DF102" s="80"/>
    </row>
    <row r="103" spans="8:110" x14ac:dyDescent="0.3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11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O103" s="80" t="str">
        <f>IFERROR(TP_DATA[[#This Row],[Bottom '[m']]]-TP_DATA[[#This Row],[D, top '[m']]], "")</f>
        <v/>
      </c>
      <c r="AP103" s="80" t="str">
        <f>IFERROR(-(TP_DATA[[#This Row],[D, bottom '[m']]]-TP_DATA[[#This Row],[D, top '[m']]])/(TP_DATA[[#This Row],[Bottom '[m']]]-TP_DATA[[#This Row],[Top '[m']]]),"")</f>
        <v/>
      </c>
      <c r="AQ103" s="80" t="str">
        <f t="shared" si="8"/>
        <v/>
      </c>
      <c r="AR103" s="80" t="str">
        <f>IFERROR((TP_DATA[[#This Row],[D, bottom '[m']]]+TP_DATA[[#This Row],[D, top '[m']]])/(2*TP_DATA[[#This Row],[t '[mm']]]/1000),"")</f>
        <v/>
      </c>
      <c r="AS103" s="80" t="str">
        <f>IFERROR((TP_DATA[[#This Row],[D, bottom '[m']]]+#REF!)/(2*#REF!/1000),"")</f>
        <v/>
      </c>
      <c r="BW103" s="80" t="str">
        <f>IFERROR(TOWER_DATA[[#This Row],[Bottom '[m']]]-TOWER_DATA[[#This Row],[D, top '[m']]], "")</f>
        <v/>
      </c>
      <c r="BX103" s="80" t="str">
        <f>IFERROR(-(TOWER_DATA[[#This Row],[D, bottom '[m']]]-TOWER_DATA[[#This Row],[D, top '[m']]])/(TOWER_DATA[[#This Row],[Bottom '[m']]]-TOWER_DATA[[#This Row],[Top '[m']]]),"")</f>
        <v/>
      </c>
      <c r="BY103" s="80" t="str">
        <f t="shared" si="9"/>
        <v/>
      </c>
      <c r="BZ103" s="80" t="str">
        <f>IFERROR((TOWER_DATA[[#This Row],[D, bottom '[m']]]+TOWER_DATA[[#This Row],[D, top '[m']]])/(2*TOWER_DATA[[#This Row],[t '[mm']]]/1000),"")</f>
        <v/>
      </c>
      <c r="CA103" s="80" t="str">
        <f>IFERROR((TOWER_DATA[[#This Row],[D, bottom '[m']]]+#REF!)/(2*#REF!/1000),"")</f>
        <v/>
      </c>
      <c r="DE103" s="80" t="str">
        <f t="shared" si="10"/>
        <v/>
      </c>
      <c r="DF103" s="80"/>
    </row>
    <row r="104" spans="8:110" x14ac:dyDescent="0.3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11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O104" s="80" t="str">
        <f>IFERROR(TP_DATA[[#This Row],[Bottom '[m']]]-TP_DATA[[#This Row],[D, top '[m']]], "")</f>
        <v/>
      </c>
      <c r="AP104" s="80" t="str">
        <f>IFERROR(-(TP_DATA[[#This Row],[D, bottom '[m']]]-TP_DATA[[#This Row],[D, top '[m']]])/(TP_DATA[[#This Row],[Bottom '[m']]]-TP_DATA[[#This Row],[Top '[m']]]),"")</f>
        <v/>
      </c>
      <c r="AQ104" s="80" t="str">
        <f t="shared" si="8"/>
        <v/>
      </c>
      <c r="AR104" s="80" t="str">
        <f>IFERROR((TP_DATA[[#This Row],[D, bottom '[m']]]+TP_DATA[[#This Row],[D, top '[m']]])/(2*TP_DATA[[#This Row],[t '[mm']]]/1000),"")</f>
        <v/>
      </c>
      <c r="AS104" s="80" t="str">
        <f>IFERROR((TP_DATA[[#This Row],[D, bottom '[m']]]+#REF!)/(2*#REF!/1000),"")</f>
        <v/>
      </c>
      <c r="BW104" s="80" t="str">
        <f>IFERROR(TOWER_DATA[[#This Row],[Bottom '[m']]]-TOWER_DATA[[#This Row],[D, top '[m']]], "")</f>
        <v/>
      </c>
      <c r="BX104" s="80" t="str">
        <f>IFERROR(-(TOWER_DATA[[#This Row],[D, bottom '[m']]]-TOWER_DATA[[#This Row],[D, top '[m']]])/(TOWER_DATA[[#This Row],[Bottom '[m']]]-TOWER_DATA[[#This Row],[Top '[m']]]),"")</f>
        <v/>
      </c>
      <c r="BY104" s="80" t="str">
        <f t="shared" si="9"/>
        <v/>
      </c>
      <c r="BZ104" s="80" t="str">
        <f>IFERROR((TOWER_DATA[[#This Row],[D, bottom '[m']]]+TOWER_DATA[[#This Row],[D, top '[m']]])/(2*TOWER_DATA[[#This Row],[t '[mm']]]/1000),"")</f>
        <v/>
      </c>
      <c r="CA104" s="80" t="str">
        <f>IFERROR((TOWER_DATA[[#This Row],[D, bottom '[m']]]+#REF!)/(2*#REF!/1000),"")</f>
        <v/>
      </c>
      <c r="DE104" s="80" t="str">
        <f t="shared" si="10"/>
        <v/>
      </c>
      <c r="DF104" s="80"/>
    </row>
    <row r="105" spans="8:110" x14ac:dyDescent="0.3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11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O105" s="80" t="str">
        <f>IFERROR(TP_DATA[[#This Row],[Bottom '[m']]]-TP_DATA[[#This Row],[D, top '[m']]], "")</f>
        <v/>
      </c>
      <c r="AP105" s="80" t="str">
        <f>IFERROR(-(TP_DATA[[#This Row],[D, bottom '[m']]]-TP_DATA[[#This Row],[D, top '[m']]])/(TP_DATA[[#This Row],[Bottom '[m']]]-TP_DATA[[#This Row],[Top '[m']]]),"")</f>
        <v/>
      </c>
      <c r="AQ105" s="80" t="str">
        <f t="shared" si="8"/>
        <v/>
      </c>
      <c r="AR105" s="80" t="str">
        <f>IFERROR((TP_DATA[[#This Row],[D, bottom '[m']]]+TP_DATA[[#This Row],[D, top '[m']]])/(2*TP_DATA[[#This Row],[t '[mm']]]/1000),"")</f>
        <v/>
      </c>
      <c r="AS105" s="80" t="str">
        <f>IFERROR((TP_DATA[[#This Row],[D, bottom '[m']]]+#REF!)/(2*#REF!/1000),"")</f>
        <v/>
      </c>
      <c r="BW105" s="80" t="str">
        <f>IFERROR(TOWER_DATA[[#This Row],[Bottom '[m']]]-TOWER_DATA[[#This Row],[D, top '[m']]], "")</f>
        <v/>
      </c>
      <c r="BX105" s="80" t="str">
        <f>IFERROR(-(TOWER_DATA[[#This Row],[D, bottom '[m']]]-TOWER_DATA[[#This Row],[D, top '[m']]])/(TOWER_DATA[[#This Row],[Bottom '[m']]]-TOWER_DATA[[#This Row],[Top '[m']]]),"")</f>
        <v/>
      </c>
      <c r="BY105" s="80" t="str">
        <f t="shared" si="9"/>
        <v/>
      </c>
      <c r="BZ105" s="80" t="str">
        <f>IFERROR((TOWER_DATA[[#This Row],[D, bottom '[m']]]+TOWER_DATA[[#This Row],[D, top '[m']]])/(2*TOWER_DATA[[#This Row],[t '[mm']]]/1000),"")</f>
        <v/>
      </c>
      <c r="CA105" s="80" t="str">
        <f>IFERROR((TOWER_DATA[[#This Row],[D, bottom '[m']]]+#REF!)/(2*#REF!/1000),"")</f>
        <v/>
      </c>
      <c r="DE105" s="80" t="str">
        <f t="shared" si="10"/>
        <v/>
      </c>
      <c r="DF105" s="80"/>
    </row>
    <row r="106" spans="8:110" x14ac:dyDescent="0.3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11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O106" s="80" t="str">
        <f>IFERROR(TP_DATA[[#This Row],[Bottom '[m']]]-TP_DATA[[#This Row],[D, top '[m']]], "")</f>
        <v/>
      </c>
      <c r="AP106" s="80" t="str">
        <f>IFERROR(-(TP_DATA[[#This Row],[D, bottom '[m']]]-TP_DATA[[#This Row],[D, top '[m']]])/(TP_DATA[[#This Row],[Bottom '[m']]]-TP_DATA[[#This Row],[Top '[m']]]),"")</f>
        <v/>
      </c>
      <c r="AQ106" s="80" t="str">
        <f t="shared" si="8"/>
        <v/>
      </c>
      <c r="AR106" s="80" t="str">
        <f>IFERROR((TP_DATA[[#This Row],[D, bottom '[m']]]+TP_DATA[[#This Row],[D, top '[m']]])/(2*TP_DATA[[#This Row],[t '[mm']]]/1000),"")</f>
        <v/>
      </c>
      <c r="AS106" s="80" t="str">
        <f>IFERROR((TP_DATA[[#This Row],[D, bottom '[m']]]+#REF!)/(2*#REF!/1000),"")</f>
        <v/>
      </c>
      <c r="BW106" s="80" t="str">
        <f>IFERROR(TOWER_DATA[[#This Row],[Bottom '[m']]]-TOWER_DATA[[#This Row],[D, top '[m']]], "")</f>
        <v/>
      </c>
      <c r="BX106" s="80" t="str">
        <f>IFERROR(-(TOWER_DATA[[#This Row],[D, bottom '[m']]]-TOWER_DATA[[#This Row],[D, top '[m']]])/(TOWER_DATA[[#This Row],[Bottom '[m']]]-TOWER_DATA[[#This Row],[Top '[m']]]),"")</f>
        <v/>
      </c>
      <c r="BY106" s="80" t="str">
        <f t="shared" si="9"/>
        <v/>
      </c>
      <c r="BZ106" s="80" t="str">
        <f>IFERROR((TOWER_DATA[[#This Row],[D, bottom '[m']]]+TOWER_DATA[[#This Row],[D, top '[m']]])/(2*TOWER_DATA[[#This Row],[t '[mm']]]/1000),"")</f>
        <v/>
      </c>
      <c r="CA106" s="80" t="str">
        <f>IFERROR((TOWER_DATA[[#This Row],[D, bottom '[m']]]+#REF!)/(2*#REF!/1000),"")</f>
        <v/>
      </c>
      <c r="DE106" s="80" t="str">
        <f t="shared" si="10"/>
        <v/>
      </c>
      <c r="DF106" s="80"/>
    </row>
    <row r="107" spans="8:110" x14ac:dyDescent="0.3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11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O107" s="80" t="str">
        <f>IFERROR(TP_DATA[[#This Row],[Bottom '[m']]]-TP_DATA[[#This Row],[D, top '[m']]], "")</f>
        <v/>
      </c>
      <c r="AP107" s="80" t="str">
        <f>IFERROR(-(TP_DATA[[#This Row],[D, bottom '[m']]]-TP_DATA[[#This Row],[D, top '[m']]])/(TP_DATA[[#This Row],[Bottom '[m']]]-TP_DATA[[#This Row],[Top '[m']]]),"")</f>
        <v/>
      </c>
      <c r="AQ107" s="80" t="str">
        <f t="shared" si="8"/>
        <v/>
      </c>
      <c r="AR107" s="80" t="str">
        <f>IFERROR((TP_DATA[[#This Row],[D, bottom '[m']]]+TP_DATA[[#This Row],[D, top '[m']]])/(2*TP_DATA[[#This Row],[t '[mm']]]/1000),"")</f>
        <v/>
      </c>
      <c r="AS107" s="80" t="str">
        <f>IFERROR((TP_DATA[[#This Row],[D, bottom '[m']]]+#REF!)/(2*#REF!/1000),"")</f>
        <v/>
      </c>
      <c r="BW107" s="80" t="str">
        <f>IFERROR(TOWER_DATA[[#This Row],[Bottom '[m']]]-TOWER_DATA[[#This Row],[D, top '[m']]], "")</f>
        <v/>
      </c>
      <c r="BX107" s="80" t="str">
        <f>IFERROR(-(TOWER_DATA[[#This Row],[D, bottom '[m']]]-TOWER_DATA[[#This Row],[D, top '[m']]])/(TOWER_DATA[[#This Row],[Bottom '[m']]]-TOWER_DATA[[#This Row],[Top '[m']]]),"")</f>
        <v/>
      </c>
      <c r="BY107" s="80" t="str">
        <f t="shared" si="9"/>
        <v/>
      </c>
      <c r="BZ107" s="80" t="str">
        <f>IFERROR((TOWER_DATA[[#This Row],[D, bottom '[m']]]+TOWER_DATA[[#This Row],[D, top '[m']]])/(2*TOWER_DATA[[#This Row],[t '[mm']]]/1000),"")</f>
        <v/>
      </c>
      <c r="CA107" s="80" t="str">
        <f>IFERROR((TOWER_DATA[[#This Row],[D, bottom '[m']]]+#REF!)/(2*#REF!/1000),"")</f>
        <v/>
      </c>
      <c r="DE107" s="80" t="str">
        <f t="shared" si="10"/>
        <v/>
      </c>
      <c r="DF107" s="80"/>
    </row>
    <row r="108" spans="8:110" x14ac:dyDescent="0.3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11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O108" s="80" t="str">
        <f>IFERROR(TP_DATA[[#This Row],[Bottom '[m']]]-TP_DATA[[#This Row],[D, top '[m']]], "")</f>
        <v/>
      </c>
      <c r="AP108" s="80" t="str">
        <f>IFERROR(-(TP_DATA[[#This Row],[D, bottom '[m']]]-TP_DATA[[#This Row],[D, top '[m']]])/(TP_DATA[[#This Row],[Bottom '[m']]]-TP_DATA[[#This Row],[Top '[m']]]),"")</f>
        <v/>
      </c>
      <c r="AQ108" s="80" t="str">
        <f t="shared" si="8"/>
        <v/>
      </c>
      <c r="AR108" s="80" t="str">
        <f>IFERROR((TP_DATA[[#This Row],[D, bottom '[m']]]+TP_DATA[[#This Row],[D, top '[m']]])/(2*TP_DATA[[#This Row],[t '[mm']]]/1000),"")</f>
        <v/>
      </c>
      <c r="AS108" s="80" t="str">
        <f>IFERROR((TP_DATA[[#This Row],[D, bottom '[m']]]+#REF!)/(2*#REF!/1000),"")</f>
        <v/>
      </c>
      <c r="BW108" s="80" t="str">
        <f>IFERROR(TOWER_DATA[[#This Row],[Bottom '[m']]]-TOWER_DATA[[#This Row],[D, top '[m']]], "")</f>
        <v/>
      </c>
      <c r="BX108" s="80" t="str">
        <f>IFERROR(-(TOWER_DATA[[#This Row],[D, bottom '[m']]]-TOWER_DATA[[#This Row],[D, top '[m']]])/(TOWER_DATA[[#This Row],[Bottom '[m']]]-TOWER_DATA[[#This Row],[Top '[m']]]),"")</f>
        <v/>
      </c>
      <c r="BY108" s="80" t="str">
        <f t="shared" si="9"/>
        <v/>
      </c>
      <c r="BZ108" s="80" t="str">
        <f>IFERROR((TOWER_DATA[[#This Row],[D, bottom '[m']]]+TOWER_DATA[[#This Row],[D, top '[m']]])/(2*TOWER_DATA[[#This Row],[t '[mm']]]/1000),"")</f>
        <v/>
      </c>
      <c r="CA108" s="80" t="str">
        <f>IFERROR((TOWER_DATA[[#This Row],[D, bottom '[m']]]+#REF!)/(2*#REF!/1000),"")</f>
        <v/>
      </c>
      <c r="DE108" s="80" t="str">
        <f t="shared" si="10"/>
        <v/>
      </c>
      <c r="DF108" s="80"/>
    </row>
    <row r="109" spans="8:110" x14ac:dyDescent="0.3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11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O109" s="80" t="str">
        <f>IFERROR(TP_DATA[[#This Row],[Bottom '[m']]]-TP_DATA[[#This Row],[D, top '[m']]], "")</f>
        <v/>
      </c>
      <c r="AP109" s="80" t="str">
        <f>IFERROR(-(TP_DATA[[#This Row],[D, bottom '[m']]]-TP_DATA[[#This Row],[D, top '[m']]])/(TP_DATA[[#This Row],[Bottom '[m']]]-TP_DATA[[#This Row],[Top '[m']]]),"")</f>
        <v/>
      </c>
      <c r="AQ109" s="80" t="str">
        <f t="shared" si="8"/>
        <v/>
      </c>
      <c r="AR109" s="80" t="str">
        <f>IFERROR((TP_DATA[[#This Row],[D, bottom '[m']]]+TP_DATA[[#This Row],[D, top '[m']]])/(2*TP_DATA[[#This Row],[t '[mm']]]/1000),"")</f>
        <v/>
      </c>
      <c r="AS109" s="80" t="str">
        <f>IFERROR((TP_DATA[[#This Row],[D, bottom '[m']]]+#REF!)/(2*#REF!/1000),"")</f>
        <v/>
      </c>
      <c r="BW109" s="80" t="str">
        <f>IFERROR(TOWER_DATA[[#This Row],[Bottom '[m']]]-TOWER_DATA[[#This Row],[D, top '[m']]], "")</f>
        <v/>
      </c>
      <c r="BX109" s="80" t="str">
        <f>IFERROR(-(TOWER_DATA[[#This Row],[D, bottom '[m']]]-TOWER_DATA[[#This Row],[D, top '[m']]])/(TOWER_DATA[[#This Row],[Bottom '[m']]]-TOWER_DATA[[#This Row],[Top '[m']]]),"")</f>
        <v/>
      </c>
      <c r="BY109" s="80" t="str">
        <f t="shared" si="9"/>
        <v/>
      </c>
      <c r="BZ109" s="80" t="str">
        <f>IFERROR((TOWER_DATA[[#This Row],[D, bottom '[m']]]+TOWER_DATA[[#This Row],[D, top '[m']]])/(2*TOWER_DATA[[#This Row],[t '[mm']]]/1000),"")</f>
        <v/>
      </c>
      <c r="CA109" s="80" t="str">
        <f>IFERROR((TOWER_DATA[[#This Row],[D, bottom '[m']]]+#REF!)/(2*#REF!/1000),"")</f>
        <v/>
      </c>
      <c r="DE109" s="80" t="str">
        <f t="shared" si="10"/>
        <v/>
      </c>
      <c r="DF109" s="80"/>
    </row>
    <row r="110" spans="8:110" x14ac:dyDescent="0.3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11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O110" s="80" t="str">
        <f>IFERROR(TP_DATA[[#This Row],[Bottom '[m']]]-TP_DATA[[#This Row],[D, top '[m']]], "")</f>
        <v/>
      </c>
      <c r="AP110" s="80" t="str">
        <f>IFERROR(-(TP_DATA[[#This Row],[D, bottom '[m']]]-TP_DATA[[#This Row],[D, top '[m']]])/(TP_DATA[[#This Row],[Bottom '[m']]]-TP_DATA[[#This Row],[Top '[m']]]),"")</f>
        <v/>
      </c>
      <c r="AQ110" s="80" t="str">
        <f t="shared" si="8"/>
        <v/>
      </c>
      <c r="AR110" s="80" t="str">
        <f>IFERROR((TP_DATA[[#This Row],[D, bottom '[m']]]+TP_DATA[[#This Row],[D, top '[m']]])/(2*TP_DATA[[#This Row],[t '[mm']]]/1000),"")</f>
        <v/>
      </c>
      <c r="AS110" s="80" t="str">
        <f>IFERROR((TP_DATA[[#This Row],[D, bottom '[m']]]+#REF!)/(2*#REF!/1000),"")</f>
        <v/>
      </c>
      <c r="BW110" s="80" t="str">
        <f>IFERROR(TOWER_DATA[[#This Row],[Bottom '[m']]]-TOWER_DATA[[#This Row],[D, top '[m']]], "")</f>
        <v/>
      </c>
      <c r="BX110" s="80" t="str">
        <f>IFERROR(-(TOWER_DATA[[#This Row],[D, bottom '[m']]]-TOWER_DATA[[#This Row],[D, top '[m']]])/(TOWER_DATA[[#This Row],[Bottom '[m']]]-TOWER_DATA[[#This Row],[Top '[m']]]),"")</f>
        <v/>
      </c>
      <c r="BY110" s="80" t="str">
        <f t="shared" si="9"/>
        <v/>
      </c>
      <c r="BZ110" s="80" t="str">
        <f>IFERROR((TOWER_DATA[[#This Row],[D, bottom '[m']]]+TOWER_DATA[[#This Row],[D, top '[m']]])/(2*TOWER_DATA[[#This Row],[t '[mm']]]/1000),"")</f>
        <v/>
      </c>
      <c r="CA110" s="80" t="str">
        <f>IFERROR((TOWER_DATA[[#This Row],[D, bottom '[m']]]+#REF!)/(2*#REF!/1000),"")</f>
        <v/>
      </c>
      <c r="DE110" s="80" t="str">
        <f t="shared" si="10"/>
        <v/>
      </c>
      <c r="DF110" s="80"/>
    </row>
    <row r="111" spans="8:110" x14ac:dyDescent="0.3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11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O111" s="80" t="str">
        <f>IFERROR(TP_DATA[[#This Row],[Bottom '[m']]]-TP_DATA[[#This Row],[D, top '[m']]], "")</f>
        <v/>
      </c>
      <c r="AP111" s="80" t="str">
        <f>IFERROR(-(TP_DATA[[#This Row],[D, bottom '[m']]]-TP_DATA[[#This Row],[D, top '[m']]])/(TP_DATA[[#This Row],[Bottom '[m']]]-TP_DATA[[#This Row],[Top '[m']]]),"")</f>
        <v/>
      </c>
      <c r="AQ111" s="80" t="str">
        <f t="shared" si="8"/>
        <v/>
      </c>
      <c r="AR111" s="80" t="str">
        <f>IFERROR((TP_DATA[[#This Row],[D, bottom '[m']]]+TP_DATA[[#This Row],[D, top '[m']]])/(2*TP_DATA[[#This Row],[t '[mm']]]/1000),"")</f>
        <v/>
      </c>
      <c r="AS111" s="80" t="str">
        <f>IFERROR((TP_DATA[[#This Row],[D, bottom '[m']]]+#REF!)/(2*#REF!/1000),"")</f>
        <v/>
      </c>
      <c r="BW111" s="80" t="str">
        <f>IFERROR(TOWER_DATA[[#This Row],[Bottom '[m']]]-TOWER_DATA[[#This Row],[D, top '[m']]], "")</f>
        <v/>
      </c>
      <c r="BX111" s="80" t="str">
        <f>IFERROR(-(TOWER_DATA[[#This Row],[D, bottom '[m']]]-TOWER_DATA[[#This Row],[D, top '[m']]])/(TOWER_DATA[[#This Row],[Bottom '[m']]]-TOWER_DATA[[#This Row],[Top '[m']]]),"")</f>
        <v/>
      </c>
      <c r="BY111" s="80" t="str">
        <f t="shared" si="9"/>
        <v/>
      </c>
      <c r="BZ111" s="80" t="str">
        <f>IFERROR((TOWER_DATA[[#This Row],[D, bottom '[m']]]+TOWER_DATA[[#This Row],[D, top '[m']]])/(2*TOWER_DATA[[#This Row],[t '[mm']]]/1000),"")</f>
        <v/>
      </c>
      <c r="CA111" s="80" t="str">
        <f>IFERROR((TOWER_DATA[[#This Row],[D, bottom '[m']]]+#REF!)/(2*#REF!/1000),"")</f>
        <v/>
      </c>
      <c r="DE111" s="80" t="str">
        <f t="shared" si="10"/>
        <v/>
      </c>
      <c r="DF111" s="80"/>
    </row>
    <row r="112" spans="8:110" x14ac:dyDescent="0.3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11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O112" s="80" t="str">
        <f>IFERROR(TP_DATA[[#This Row],[Bottom '[m']]]-TP_DATA[[#This Row],[D, top '[m']]], "")</f>
        <v/>
      </c>
      <c r="AP112" s="80" t="str">
        <f>IFERROR(-(TP_DATA[[#This Row],[D, bottom '[m']]]-TP_DATA[[#This Row],[D, top '[m']]])/(TP_DATA[[#This Row],[Bottom '[m']]]-TP_DATA[[#This Row],[Top '[m']]]),"")</f>
        <v/>
      </c>
      <c r="AQ112" s="80" t="str">
        <f t="shared" si="8"/>
        <v/>
      </c>
      <c r="AR112" s="80" t="str">
        <f>IFERROR((TP_DATA[[#This Row],[D, bottom '[m']]]+TP_DATA[[#This Row],[D, top '[m']]])/(2*TP_DATA[[#This Row],[t '[mm']]]/1000),"")</f>
        <v/>
      </c>
      <c r="AS112" s="80" t="str">
        <f>IFERROR((TP_DATA[[#This Row],[D, bottom '[m']]]+#REF!)/(2*#REF!/1000),"")</f>
        <v/>
      </c>
      <c r="BW112" s="80" t="str">
        <f>IFERROR(TOWER_DATA[[#This Row],[Bottom '[m']]]-TOWER_DATA[[#This Row],[D, top '[m']]], "")</f>
        <v/>
      </c>
      <c r="BX112" s="80" t="str">
        <f>IFERROR(-(TOWER_DATA[[#This Row],[D, bottom '[m']]]-TOWER_DATA[[#This Row],[D, top '[m']]])/(TOWER_DATA[[#This Row],[Bottom '[m']]]-TOWER_DATA[[#This Row],[Top '[m']]]),"")</f>
        <v/>
      </c>
      <c r="BY112" s="80" t="str">
        <f t="shared" si="9"/>
        <v/>
      </c>
      <c r="BZ112" s="80" t="str">
        <f>IFERROR((TOWER_DATA[[#This Row],[D, bottom '[m']]]+TOWER_DATA[[#This Row],[D, top '[m']]])/(2*TOWER_DATA[[#This Row],[t '[mm']]]/1000),"")</f>
        <v/>
      </c>
      <c r="CA112" s="80" t="str">
        <f>IFERROR((TOWER_DATA[[#This Row],[D, bottom '[m']]]+#REF!)/(2*#REF!/1000),"")</f>
        <v/>
      </c>
      <c r="DE112" s="80" t="str">
        <f t="shared" si="10"/>
        <v/>
      </c>
      <c r="DF112" s="80"/>
    </row>
    <row r="113" spans="8:110" x14ac:dyDescent="0.3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11"/>
        <v/>
      </c>
      <c r="K113" s="80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80" t="str">
        <f>IFERROR(TP_DATA[[#This Row],[Bottom '[m']]]-TP_DATA[[#This Row],[D, top '[m']]], "")</f>
        <v/>
      </c>
      <c r="AP113" s="80" t="str">
        <f>IFERROR(-(TP_DATA[[#This Row],[D, bottom '[m']]]-TP_DATA[[#This Row],[D, top '[m']]])/(TP_DATA[[#This Row],[Bottom '[m']]]-TP_DATA[[#This Row],[Top '[m']]]),"")</f>
        <v/>
      </c>
      <c r="AQ113" s="80" t="str">
        <f t="shared" si="8"/>
        <v/>
      </c>
      <c r="AR113" s="80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80" t="str">
        <f>IFERROR(TOWER_DATA[[#This Row],[Bottom '[m']]]-TOWER_DATA[[#This Row],[D, top '[m']]], "")</f>
        <v/>
      </c>
      <c r="BX113" s="80" t="str">
        <f>IFERROR(-(TOWER_DATA[[#This Row],[D, bottom '[m']]]-TOWER_DATA[[#This Row],[D, top '[m']]])/(TOWER_DATA[[#This Row],[Bottom '[m']]]-TOWER_DATA[[#This Row],[Top '[m']]]),"")</f>
        <v/>
      </c>
      <c r="BY113" s="80" t="str">
        <f t="shared" si="9"/>
        <v/>
      </c>
      <c r="BZ113" s="80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E113" s="80" t="str">
        <f t="shared" si="10"/>
        <v/>
      </c>
      <c r="DF113" s="80"/>
    </row>
    <row r="114" spans="8:110" x14ac:dyDescent="0.3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11"/>
        <v/>
      </c>
      <c r="K114" s="80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80" t="str">
        <f>IFERROR(TP_DATA[[#This Row],[Bottom '[m']]]-TP_DATA[[#This Row],[D, top '[m']]], "")</f>
        <v/>
      </c>
      <c r="AP114" s="80" t="str">
        <f>IFERROR(-(TP_DATA[[#This Row],[D, bottom '[m']]]-TP_DATA[[#This Row],[D, top '[m']]])/(TP_DATA[[#This Row],[Bottom '[m']]]-TP_DATA[[#This Row],[Top '[m']]]),"")</f>
        <v/>
      </c>
      <c r="AQ114" s="80" t="str">
        <f t="shared" si="8"/>
        <v/>
      </c>
      <c r="AR114" s="80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80" t="str">
        <f>IFERROR(TOWER_DATA[[#This Row],[Bottom '[m']]]-TOWER_DATA[[#This Row],[D, top '[m']]], "")</f>
        <v/>
      </c>
      <c r="BX114" s="80" t="str">
        <f>IFERROR(-(TOWER_DATA[[#This Row],[D, bottom '[m']]]-TOWER_DATA[[#This Row],[D, top '[m']]])/(TOWER_DATA[[#This Row],[Bottom '[m']]]-TOWER_DATA[[#This Row],[Top '[m']]]),"")</f>
        <v/>
      </c>
      <c r="BY114" s="80" t="str">
        <f t="shared" si="9"/>
        <v/>
      </c>
      <c r="BZ114" s="80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E114" s="80" t="str">
        <f t="shared" si="10"/>
        <v/>
      </c>
      <c r="DF114" s="80"/>
    </row>
    <row r="115" spans="8:110" x14ac:dyDescent="0.3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11"/>
        <v/>
      </c>
      <c r="K115" s="80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80" t="str">
        <f>IFERROR(TP_DATA[[#This Row],[Bottom '[m']]]-TP_DATA[[#This Row],[D, top '[m']]], "")</f>
        <v/>
      </c>
      <c r="AP115" s="80" t="str">
        <f>IFERROR(-(TP_DATA[[#This Row],[D, bottom '[m']]]-TP_DATA[[#This Row],[D, top '[m']]])/(TP_DATA[[#This Row],[Bottom '[m']]]-TP_DATA[[#This Row],[Top '[m']]]),"")</f>
        <v/>
      </c>
      <c r="AQ115" s="80" t="str">
        <f t="shared" si="8"/>
        <v/>
      </c>
      <c r="AR115" s="80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80" t="str">
        <f>IFERROR(TOWER_DATA[[#This Row],[Bottom '[m']]]-TOWER_DATA[[#This Row],[D, top '[m']]], "")</f>
        <v/>
      </c>
      <c r="BX115" s="80" t="str">
        <f>IFERROR(-(TOWER_DATA[[#This Row],[D, bottom '[m']]]-TOWER_DATA[[#This Row],[D, top '[m']]])/(TOWER_DATA[[#This Row],[Bottom '[m']]]-TOWER_DATA[[#This Row],[Top '[m']]]),"")</f>
        <v/>
      </c>
      <c r="BY115" s="80" t="str">
        <f t="shared" si="9"/>
        <v/>
      </c>
      <c r="BZ115" s="80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E115" s="80" t="str">
        <f t="shared" si="10"/>
        <v/>
      </c>
      <c r="DF115" s="80"/>
    </row>
    <row r="116" spans="8:110" x14ac:dyDescent="0.3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11"/>
        <v/>
      </c>
      <c r="K116" s="80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80" t="str">
        <f>IFERROR(TP_DATA[[#This Row],[Bottom '[m']]]-TP_DATA[[#This Row],[D, top '[m']]], "")</f>
        <v/>
      </c>
      <c r="AP116" s="80" t="str">
        <f>IFERROR(-(TP_DATA[[#This Row],[D, bottom '[m']]]-TP_DATA[[#This Row],[D, top '[m']]])/(TP_DATA[[#This Row],[Bottom '[m']]]-TP_DATA[[#This Row],[Top '[m']]]),"")</f>
        <v/>
      </c>
      <c r="AQ116" s="80" t="str">
        <f t="shared" si="8"/>
        <v/>
      </c>
      <c r="AR116" s="80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80" t="str">
        <f>IFERROR(TOWER_DATA[[#This Row],[Bottom '[m']]]-TOWER_DATA[[#This Row],[D, top '[m']]], "")</f>
        <v/>
      </c>
      <c r="BX116" s="80" t="str">
        <f>IFERROR(-(TOWER_DATA[[#This Row],[D, bottom '[m']]]-TOWER_DATA[[#This Row],[D, top '[m']]])/(TOWER_DATA[[#This Row],[Bottom '[m']]]-TOWER_DATA[[#This Row],[Top '[m']]]),"")</f>
        <v/>
      </c>
      <c r="BY116" s="80" t="str">
        <f t="shared" si="9"/>
        <v/>
      </c>
      <c r="BZ116" s="80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E116" s="80" t="str">
        <f t="shared" si="10"/>
        <v/>
      </c>
      <c r="DF116" s="80"/>
    </row>
    <row r="117" spans="8:110" x14ac:dyDescent="0.3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11"/>
        <v/>
      </c>
      <c r="K117" s="80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80" t="str">
        <f>IFERROR(TP_DATA[[#This Row],[Bottom '[m']]]-TP_DATA[[#This Row],[D, top '[m']]], "")</f>
        <v/>
      </c>
      <c r="AP117" s="80" t="str">
        <f>IFERROR(-(TP_DATA[[#This Row],[D, bottom '[m']]]-TP_DATA[[#This Row],[D, top '[m']]])/(TP_DATA[[#This Row],[Bottom '[m']]]-TP_DATA[[#This Row],[Top '[m']]]),"")</f>
        <v/>
      </c>
      <c r="AQ117" s="80" t="str">
        <f t="shared" si="8"/>
        <v/>
      </c>
      <c r="AR117" s="80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80" t="str">
        <f>IFERROR(TOWER_DATA[[#This Row],[Bottom '[m']]]-TOWER_DATA[[#This Row],[D, top '[m']]], "")</f>
        <v/>
      </c>
      <c r="BX117" s="80" t="str">
        <f>IFERROR(-(TOWER_DATA[[#This Row],[D, bottom '[m']]]-TOWER_DATA[[#This Row],[D, top '[m']]])/(TOWER_DATA[[#This Row],[Bottom '[m']]]-TOWER_DATA[[#This Row],[Top '[m']]]),"")</f>
        <v/>
      </c>
      <c r="BY117" s="80" t="str">
        <f t="shared" si="9"/>
        <v/>
      </c>
      <c r="BZ117" s="80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E117" s="80" t="str">
        <f t="shared" si="10"/>
        <v/>
      </c>
      <c r="DF117" s="80"/>
    </row>
    <row r="118" spans="8:110" x14ac:dyDescent="0.3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11"/>
        <v/>
      </c>
      <c r="K118" s="80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80" t="str">
        <f>IFERROR(TP_DATA[[#This Row],[Bottom '[m']]]-TP_DATA[[#This Row],[D, top '[m']]], "")</f>
        <v/>
      </c>
      <c r="AP118" s="80" t="str">
        <f>IFERROR(-(TP_DATA[[#This Row],[D, bottom '[m']]]-TP_DATA[[#This Row],[D, top '[m']]])/(TP_DATA[[#This Row],[Bottom '[m']]]-TP_DATA[[#This Row],[Top '[m']]]),"")</f>
        <v/>
      </c>
      <c r="AQ118" s="80" t="str">
        <f t="shared" si="8"/>
        <v/>
      </c>
      <c r="AR118" s="80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80" t="str">
        <f>IFERROR(TOWER_DATA[[#This Row],[Bottom '[m']]]-TOWER_DATA[[#This Row],[D, top '[m']]], "")</f>
        <v/>
      </c>
      <c r="BX118" s="80" t="str">
        <f>IFERROR(-(TOWER_DATA[[#This Row],[D, bottom '[m']]]-TOWER_DATA[[#This Row],[D, top '[m']]])/(TOWER_DATA[[#This Row],[Bottom '[m']]]-TOWER_DATA[[#This Row],[Top '[m']]]),"")</f>
        <v/>
      </c>
      <c r="BY118" s="80" t="str">
        <f t="shared" si="9"/>
        <v/>
      </c>
      <c r="BZ118" s="80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E118" s="80" t="str">
        <f t="shared" si="10"/>
        <v/>
      </c>
      <c r="DF118" s="80"/>
    </row>
    <row r="119" spans="8:110" x14ac:dyDescent="0.3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11"/>
        <v/>
      </c>
      <c r="K119" s="80" t="str">
        <f>IFERROR((MP_DATA[[#This Row],[D, bottom '[m']]]+MP_DATA[[#This Row],[D, top '[m']]])/(2*MP_DATA[[#This Row],[t '[mm']]]/1000),"")</f>
        <v/>
      </c>
      <c r="AO119" s="80" t="str">
        <f>IFERROR(TP_DATA[[#This Row],[Bottom '[m']]]-TP_DATA[[#This Row],[D, top '[m']]], "")</f>
        <v/>
      </c>
      <c r="AP119" s="80" t="str">
        <f>IFERROR(-(TP_DATA[[#This Row],[D, bottom '[m']]]-TP_DATA[[#This Row],[D, top '[m']]])/(TP_DATA[[#This Row],[Bottom '[m']]]-TP_DATA[[#This Row],[Top '[m']]]),"")</f>
        <v/>
      </c>
      <c r="AQ119" s="80" t="str">
        <f t="shared" si="8"/>
        <v/>
      </c>
      <c r="AR119" s="80" t="str">
        <f>IFERROR((TP_DATA[[#This Row],[D, bottom '[m']]]+TP_DATA[[#This Row],[D, top '[m']]])/(2*TP_DATA[[#This Row],[t '[mm']]]/1000),"")</f>
        <v/>
      </c>
      <c r="BW119" s="80" t="str">
        <f>IFERROR(TOWER_DATA[[#This Row],[Bottom '[m']]]-TOWER_DATA[[#This Row],[D, top '[m']]], "")</f>
        <v/>
      </c>
      <c r="BX119" s="80" t="str">
        <f>IFERROR(-(TOWER_DATA[[#This Row],[D, bottom '[m']]]-TOWER_DATA[[#This Row],[D, top '[m']]])/(TOWER_DATA[[#This Row],[Bottom '[m']]]-TOWER_DATA[[#This Row],[Top '[m']]]),"")</f>
        <v/>
      </c>
      <c r="BY119" s="80" t="str">
        <f t="shared" si="9"/>
        <v/>
      </c>
      <c r="BZ119" s="80" t="str">
        <f>IFERROR((TOWER_DATA[[#This Row],[D, bottom '[m']]]+TOWER_DATA[[#This Row],[D, top '[m']]])/(2*TOWER_DATA[[#This Row],[t '[mm']]]/1000),"")</f>
        <v/>
      </c>
      <c r="DE119" s="80" t="str">
        <f t="shared" si="10"/>
        <v/>
      </c>
      <c r="DF119" s="80"/>
    </row>
    <row r="120" spans="8:110" x14ac:dyDescent="0.3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11"/>
        <v/>
      </c>
      <c r="K120" s="80" t="str">
        <f>IFERROR((MP_DATA[[#This Row],[D, bottom '[m']]]+MP_DATA[[#This Row],[D, top '[m']]])/(2*MP_DATA[[#This Row],[t '[mm']]]/1000),"")</f>
        <v/>
      </c>
      <c r="AO120" s="80" t="str">
        <f>IFERROR(TP_DATA[[#This Row],[Bottom '[m']]]-TP_DATA[[#This Row],[D, top '[m']]], "")</f>
        <v/>
      </c>
      <c r="AP120" s="80" t="str">
        <f>IFERROR(-(TP_DATA[[#This Row],[D, bottom '[m']]]-TP_DATA[[#This Row],[D, top '[m']]])/(TP_DATA[[#This Row],[Bottom '[m']]]-TP_DATA[[#This Row],[Top '[m']]]),"")</f>
        <v/>
      </c>
      <c r="AQ120" s="80" t="str">
        <f t="shared" si="8"/>
        <v/>
      </c>
      <c r="AR120" s="80" t="str">
        <f>IFERROR((TP_DATA[[#This Row],[D, bottom '[m']]]+TP_DATA[[#This Row],[D, top '[m']]])/(2*TP_DATA[[#This Row],[t '[mm']]]/1000),"")</f>
        <v/>
      </c>
      <c r="BW120" s="80" t="str">
        <f>IFERROR(TOWER_DATA[[#This Row],[Bottom '[m']]]-TOWER_DATA[[#This Row],[D, top '[m']]], "")</f>
        <v/>
      </c>
      <c r="BX120" s="80" t="str">
        <f>IFERROR(-(TOWER_DATA[[#This Row],[D, bottom '[m']]]-TOWER_DATA[[#This Row],[D, top '[m']]])/(TOWER_DATA[[#This Row],[Bottom '[m']]]-TOWER_DATA[[#This Row],[Top '[m']]]),"")</f>
        <v/>
      </c>
      <c r="BY120" s="80" t="str">
        <f t="shared" si="9"/>
        <v/>
      </c>
      <c r="BZ120" s="80" t="str">
        <f>IFERROR((TOWER_DATA[[#This Row],[D, bottom '[m']]]+TOWER_DATA[[#This Row],[D, top '[m']]])/(2*TOWER_DATA[[#This Row],[t '[mm']]]/1000),"")</f>
        <v/>
      </c>
      <c r="DE120" s="80" t="str">
        <f t="shared" si="10"/>
        <v/>
      </c>
      <c r="DF120" s="80"/>
    </row>
    <row r="121" spans="8:110" x14ac:dyDescent="0.3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si="11"/>
        <v/>
      </c>
      <c r="K121" s="80" t="str">
        <f>IFERROR((MP_DATA[[#This Row],[D, bottom '[m']]]+MP_DATA[[#This Row],[D, top '[m']]])/(2*MP_DATA[[#This Row],[t '[mm']]]/1000),"")</f>
        <v/>
      </c>
      <c r="AO121" s="80" t="str">
        <f>IFERROR(TP_DATA[[#This Row],[Bottom '[m']]]-TP_DATA[[#This Row],[D, top '[m']]], "")</f>
        <v/>
      </c>
      <c r="AP121" s="80" t="str">
        <f>IFERROR(-(TP_DATA[[#This Row],[D, bottom '[m']]]-TP_DATA[[#This Row],[D, top '[m']]])/(TP_DATA[[#This Row],[Bottom '[m']]]-TP_DATA[[#This Row],[Top '[m']]]),"")</f>
        <v/>
      </c>
      <c r="AQ121" s="80" t="str">
        <f t="shared" si="8"/>
        <v/>
      </c>
      <c r="AR121" s="80" t="str">
        <f>IFERROR((TP_DATA[[#This Row],[D, bottom '[m']]]+TP_DATA[[#This Row],[D, top '[m']]])/(2*TP_DATA[[#This Row],[t '[mm']]]/1000),"")</f>
        <v/>
      </c>
      <c r="BW121" s="80" t="str">
        <f>IFERROR(TOWER_DATA[[#This Row],[Bottom '[m']]]-TOWER_DATA[[#This Row],[D, top '[m']]], "")</f>
        <v/>
      </c>
      <c r="BX121" s="80" t="str">
        <f>IFERROR(-(TOWER_DATA[[#This Row],[D, bottom '[m']]]-TOWER_DATA[[#This Row],[D, top '[m']]])/(TOWER_DATA[[#This Row],[Bottom '[m']]]-TOWER_DATA[[#This Row],[Top '[m']]]),"")</f>
        <v/>
      </c>
      <c r="BY121" s="80" t="str">
        <f t="shared" si="9"/>
        <v/>
      </c>
      <c r="BZ121" s="80" t="str">
        <f>IFERROR((TOWER_DATA[[#This Row],[D, bottom '[m']]]+TOWER_DATA[[#This Row],[D, top '[m']]])/(2*TOWER_DATA[[#This Row],[t '[mm']]]/1000),"")</f>
        <v/>
      </c>
      <c r="DE121" s="80" t="str">
        <f t="shared" si="10"/>
        <v/>
      </c>
      <c r="DF121" s="80"/>
    </row>
    <row r="122" spans="8:110" x14ac:dyDescent="0.3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11"/>
        <v/>
      </c>
      <c r="K122" s="80" t="str">
        <f>IFERROR((MP_DATA[[#This Row],[D, bottom '[m']]]+MP_DATA[[#This Row],[D, top '[m']]])/(2*MP_DATA[[#This Row],[t '[mm']]]/1000),"")</f>
        <v/>
      </c>
      <c r="AO122" s="80" t="str">
        <f>IFERROR(TP_DATA[[#This Row],[Bottom '[m']]]-TP_DATA[[#This Row],[D, top '[m']]], "")</f>
        <v/>
      </c>
      <c r="AP122" s="80" t="str">
        <f>IFERROR(-(TP_DATA[[#This Row],[D, bottom '[m']]]-TP_DATA[[#This Row],[D, top '[m']]])/(TP_DATA[[#This Row],[Bottom '[m']]]-TP_DATA[[#This Row],[Top '[m']]]),"")</f>
        <v/>
      </c>
      <c r="AQ122" s="80" t="str">
        <f t="shared" si="8"/>
        <v/>
      </c>
      <c r="AR122" s="80" t="str">
        <f>IFERROR((TP_DATA[[#This Row],[D, bottom '[m']]]+TP_DATA[[#This Row],[D, top '[m']]])/(2*TP_DATA[[#This Row],[t '[mm']]]/1000),"")</f>
        <v/>
      </c>
      <c r="BW122" s="80" t="str">
        <f>IFERROR(TOWER_DATA[[#This Row],[Bottom '[m']]]-TOWER_DATA[[#This Row],[D, top '[m']]], "")</f>
        <v/>
      </c>
      <c r="BX122" s="80" t="str">
        <f>IFERROR(-(TOWER_DATA[[#This Row],[D, bottom '[m']]]-TOWER_DATA[[#This Row],[D, top '[m']]])/(TOWER_DATA[[#This Row],[Bottom '[m']]]-TOWER_DATA[[#This Row],[Top '[m']]]),"")</f>
        <v/>
      </c>
      <c r="BY122" s="80" t="str">
        <f t="shared" si="9"/>
        <v/>
      </c>
      <c r="BZ122" s="80" t="str">
        <f>IFERROR((TOWER_DATA[[#This Row],[D, bottom '[m']]]+TOWER_DATA[[#This Row],[D, top '[m']]])/(2*TOWER_DATA[[#This Row],[t '[mm']]]/1000),"")</f>
        <v/>
      </c>
      <c r="DE122" s="80" t="str">
        <f t="shared" si="10"/>
        <v/>
      </c>
      <c r="DF122" s="80"/>
    </row>
    <row r="123" spans="8:110" x14ac:dyDescent="0.3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11"/>
        <v/>
      </c>
      <c r="K123" s="80" t="str">
        <f>IFERROR((MP_DATA[[#This Row],[D, bottom '[m']]]+MP_DATA[[#This Row],[D, top '[m']]])/(2*MP_DATA[[#This Row],[t '[mm']]]/1000),"")</f>
        <v/>
      </c>
      <c r="AO123" s="80" t="str">
        <f>IFERROR(TP_DATA[[#This Row],[Bottom '[m']]]-TP_DATA[[#This Row],[D, top '[m']]], "")</f>
        <v/>
      </c>
      <c r="AP123" s="80" t="str">
        <f>IFERROR(-(TP_DATA[[#This Row],[D, bottom '[m']]]-TP_DATA[[#This Row],[D, top '[m']]])/(TP_DATA[[#This Row],[Bottom '[m']]]-TP_DATA[[#This Row],[Top '[m']]]),"")</f>
        <v/>
      </c>
      <c r="AQ123" s="80" t="str">
        <f t="shared" si="8"/>
        <v/>
      </c>
      <c r="AR123" s="80" t="str">
        <f>IFERROR((TP_DATA[[#This Row],[D, bottom '[m']]]+TP_DATA[[#This Row],[D, top '[m']]])/(2*TP_DATA[[#This Row],[t '[mm']]]/1000),"")</f>
        <v/>
      </c>
      <c r="BW123" s="80" t="str">
        <f>IFERROR(TOWER_DATA[[#This Row],[Bottom '[m']]]-TOWER_DATA[[#This Row],[D, top '[m']]], "")</f>
        <v/>
      </c>
      <c r="BX123" s="80" t="str">
        <f>IFERROR(-(TOWER_DATA[[#This Row],[D, bottom '[m']]]-TOWER_DATA[[#This Row],[D, top '[m']]])/(TOWER_DATA[[#This Row],[Bottom '[m']]]-TOWER_DATA[[#This Row],[Top '[m']]]),"")</f>
        <v/>
      </c>
      <c r="BY123" s="80" t="str">
        <f t="shared" si="9"/>
        <v/>
      </c>
      <c r="BZ123" s="80" t="str">
        <f>IFERROR((TOWER_DATA[[#This Row],[D, bottom '[m']]]+TOWER_DATA[[#This Row],[D, top '[m']]])/(2*TOWER_DATA[[#This Row],[t '[mm']]]/1000),"")</f>
        <v/>
      </c>
      <c r="DE123" s="80" t="str">
        <f t="shared" si="10"/>
        <v/>
      </c>
      <c r="DF123" s="80"/>
    </row>
    <row r="124" spans="8:110" x14ac:dyDescent="0.3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11"/>
        <v/>
      </c>
      <c r="K124" s="80" t="str">
        <f>IFERROR((MP_DATA[[#This Row],[D, bottom '[m']]]+MP_DATA[[#This Row],[D, top '[m']]])/(2*MP_DATA[[#This Row],[t '[mm']]]/1000),"")</f>
        <v/>
      </c>
      <c r="AO124" s="80" t="str">
        <f>IFERROR(TP_DATA[[#This Row],[Bottom '[m']]]-TP_DATA[[#This Row],[D, top '[m']]], "")</f>
        <v/>
      </c>
      <c r="AP124" s="80" t="str">
        <f>IFERROR(-(TP_DATA[[#This Row],[D, bottom '[m']]]-TP_DATA[[#This Row],[D, top '[m']]])/(TP_DATA[[#This Row],[Bottom '[m']]]-TP_DATA[[#This Row],[Top '[m']]]),"")</f>
        <v/>
      </c>
      <c r="AQ124" s="80" t="str">
        <f t="shared" si="8"/>
        <v/>
      </c>
      <c r="AR124" s="80" t="str">
        <f>IFERROR((TP_DATA[[#This Row],[D, bottom '[m']]]+TP_DATA[[#This Row],[D, top '[m']]])/(2*TP_DATA[[#This Row],[t '[mm']]]/1000),"")</f>
        <v/>
      </c>
      <c r="BW124" s="80" t="str">
        <f>IFERROR(TOWER_DATA[[#This Row],[Bottom '[m']]]-TOWER_DATA[[#This Row],[D, top '[m']]], "")</f>
        <v/>
      </c>
      <c r="BX124" s="80" t="str">
        <f>IFERROR(-(TOWER_DATA[[#This Row],[D, bottom '[m']]]-TOWER_DATA[[#This Row],[D, top '[m']]])/(TOWER_DATA[[#This Row],[Bottom '[m']]]-TOWER_DATA[[#This Row],[Top '[m']]]),"")</f>
        <v/>
      </c>
      <c r="BY124" s="80" t="str">
        <f t="shared" si="9"/>
        <v/>
      </c>
      <c r="BZ124" s="80" t="str">
        <f>IFERROR((TOWER_DATA[[#This Row],[D, bottom '[m']]]+TOWER_DATA[[#This Row],[D, top '[m']]])/(2*TOWER_DATA[[#This Row],[t '[mm']]]/1000),"")</f>
        <v/>
      </c>
      <c r="DE124" s="80" t="str">
        <f t="shared" si="10"/>
        <v/>
      </c>
      <c r="DF124" s="80"/>
    </row>
    <row r="125" spans="8:110" x14ac:dyDescent="0.3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11"/>
        <v/>
      </c>
      <c r="K125" s="80" t="str">
        <f>IFERROR((MP_DATA[[#This Row],[D, bottom '[m']]]+MP_DATA[[#This Row],[D, top '[m']]])/(2*MP_DATA[[#This Row],[t '[mm']]]/1000),"")</f>
        <v/>
      </c>
      <c r="AO125" s="80" t="str">
        <f>IFERROR(TP_DATA[[#This Row],[Bottom '[m']]]-TP_DATA[[#This Row],[D, top '[m']]], "")</f>
        <v/>
      </c>
      <c r="AP125" s="80" t="str">
        <f>IFERROR(-(TP_DATA[[#This Row],[D, bottom '[m']]]-TP_DATA[[#This Row],[D, top '[m']]])/(TP_DATA[[#This Row],[Bottom '[m']]]-TP_DATA[[#This Row],[Top '[m']]]),"")</f>
        <v/>
      </c>
      <c r="AQ125" s="80" t="str">
        <f t="shared" si="8"/>
        <v/>
      </c>
      <c r="AR125" s="80" t="str">
        <f>IFERROR((TP_DATA[[#This Row],[D, bottom '[m']]]+TP_DATA[[#This Row],[D, top '[m']]])/(2*TP_DATA[[#This Row],[t '[mm']]]/1000),"")</f>
        <v/>
      </c>
      <c r="BW125" s="80" t="str">
        <f>IFERROR(TOWER_DATA[[#This Row],[Bottom '[m']]]-TOWER_DATA[[#This Row],[D, top '[m']]], "")</f>
        <v/>
      </c>
      <c r="BX125" s="80" t="str">
        <f>IFERROR(-(TOWER_DATA[[#This Row],[D, bottom '[m']]]-TOWER_DATA[[#This Row],[D, top '[m']]])/(TOWER_DATA[[#This Row],[Bottom '[m']]]-TOWER_DATA[[#This Row],[Top '[m']]]),"")</f>
        <v/>
      </c>
      <c r="BY125" s="80" t="str">
        <f t="shared" si="9"/>
        <v/>
      </c>
      <c r="BZ125" s="80" t="str">
        <f>IFERROR((TOWER_DATA[[#This Row],[D, bottom '[m']]]+TOWER_DATA[[#This Row],[D, top '[m']]])/(2*TOWER_DATA[[#This Row],[t '[mm']]]/1000),"")</f>
        <v/>
      </c>
      <c r="DE125" s="80" t="str">
        <f t="shared" si="10"/>
        <v/>
      </c>
      <c r="DF125" s="80"/>
    </row>
    <row r="126" spans="8:110" x14ac:dyDescent="0.3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11"/>
        <v/>
      </c>
      <c r="K126" s="80" t="str">
        <f>IFERROR((MP_DATA[[#This Row],[D, bottom '[m']]]+MP_DATA[[#This Row],[D, top '[m']]])/(2*MP_DATA[[#This Row],[t '[mm']]]/1000),"")</f>
        <v/>
      </c>
      <c r="AO126" s="80" t="str">
        <f>IFERROR(TP_DATA[[#This Row],[Bottom '[m']]]-TP_DATA[[#This Row],[D, top '[m']]], "")</f>
        <v/>
      </c>
      <c r="AP126" s="80" t="str">
        <f>IFERROR(-(TP_DATA[[#This Row],[D, bottom '[m']]]-TP_DATA[[#This Row],[D, top '[m']]])/(TP_DATA[[#This Row],[Bottom '[m']]]-TP_DATA[[#This Row],[Top '[m']]]),"")</f>
        <v/>
      </c>
      <c r="AQ126" s="80" t="str">
        <f t="shared" si="8"/>
        <v/>
      </c>
      <c r="AR126" s="80" t="str">
        <f>IFERROR((TP_DATA[[#This Row],[D, bottom '[m']]]+TP_DATA[[#This Row],[D, top '[m']]])/(2*TP_DATA[[#This Row],[t '[mm']]]/1000),"")</f>
        <v/>
      </c>
      <c r="BW126" s="80" t="str">
        <f>IFERROR(TOWER_DATA[[#This Row],[Bottom '[m']]]-TOWER_DATA[[#This Row],[D, top '[m']]], "")</f>
        <v/>
      </c>
      <c r="BX126" s="80" t="str">
        <f>IFERROR(-(TOWER_DATA[[#This Row],[D, bottom '[m']]]-TOWER_DATA[[#This Row],[D, top '[m']]])/(TOWER_DATA[[#This Row],[Bottom '[m']]]-TOWER_DATA[[#This Row],[Top '[m']]]),"")</f>
        <v/>
      </c>
      <c r="BY126" s="80" t="str">
        <f t="shared" si="9"/>
        <v/>
      </c>
      <c r="BZ126" s="80" t="str">
        <f>IFERROR((TOWER_DATA[[#This Row],[D, bottom '[m']]]+TOWER_DATA[[#This Row],[D, top '[m']]])/(2*TOWER_DATA[[#This Row],[t '[mm']]]/1000),"")</f>
        <v/>
      </c>
      <c r="DE126" s="80" t="str">
        <f t="shared" si="10"/>
        <v/>
      </c>
      <c r="DF126" s="80"/>
    </row>
    <row r="127" spans="8:110" x14ac:dyDescent="0.3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11"/>
        <v/>
      </c>
      <c r="K127" s="80" t="str">
        <f>IFERROR((MP_DATA[[#This Row],[D, bottom '[m']]]+MP_DATA[[#This Row],[D, top '[m']]])/(2*MP_DATA[[#This Row],[t '[mm']]]/1000),"")</f>
        <v/>
      </c>
      <c r="AO127" s="80" t="str">
        <f>IFERROR(TP_DATA[[#This Row],[Bottom '[m']]]-TP_DATA[[#This Row],[D, top '[m']]], "")</f>
        <v/>
      </c>
      <c r="AP127" s="80" t="str">
        <f>IFERROR(-(TP_DATA[[#This Row],[D, bottom '[m']]]-TP_DATA[[#This Row],[D, top '[m']]])/(TP_DATA[[#This Row],[Bottom '[m']]]-TP_DATA[[#This Row],[Top '[m']]]),"")</f>
        <v/>
      </c>
      <c r="AQ127" s="80" t="str">
        <f t="shared" si="8"/>
        <v/>
      </c>
      <c r="AR127" s="80" t="str">
        <f>IFERROR((TP_DATA[[#This Row],[D, bottom '[m']]]+TP_DATA[[#This Row],[D, top '[m']]])/(2*TP_DATA[[#This Row],[t '[mm']]]/1000),"")</f>
        <v/>
      </c>
      <c r="BW127" s="80" t="str">
        <f>IFERROR(TOWER_DATA[[#This Row],[Bottom '[m']]]-TOWER_DATA[[#This Row],[D, top '[m']]], "")</f>
        <v/>
      </c>
      <c r="BX127" s="80" t="str">
        <f>IFERROR(-(TOWER_DATA[[#This Row],[D, bottom '[m']]]-TOWER_DATA[[#This Row],[D, top '[m']]])/(TOWER_DATA[[#This Row],[Bottom '[m']]]-TOWER_DATA[[#This Row],[Top '[m']]]),"")</f>
        <v/>
      </c>
      <c r="BY127" s="80" t="str">
        <f t="shared" si="9"/>
        <v/>
      </c>
      <c r="BZ127" s="80" t="str">
        <f>IFERROR((TOWER_DATA[[#This Row],[D, bottom '[m']]]+TOWER_DATA[[#This Row],[D, top '[m']]])/(2*TOWER_DATA[[#This Row],[t '[mm']]]/1000),"")</f>
        <v/>
      </c>
      <c r="DE127" s="80" t="str">
        <f t="shared" si="10"/>
        <v/>
      </c>
      <c r="DF127" s="80"/>
    </row>
    <row r="128" spans="8:110" x14ac:dyDescent="0.3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11"/>
        <v/>
      </c>
      <c r="K128" s="80" t="str">
        <f>IFERROR((MP_DATA[[#This Row],[D, bottom '[m']]]+MP_DATA[[#This Row],[D, top '[m']]])/(2*MP_DATA[[#This Row],[t '[mm']]]/1000),"")</f>
        <v/>
      </c>
      <c r="AO128" s="80" t="str">
        <f>IFERROR(TP_DATA[[#This Row],[Bottom '[m']]]-TP_DATA[[#This Row],[D, top '[m']]], "")</f>
        <v/>
      </c>
      <c r="AP128" s="80" t="str">
        <f>IFERROR(-(TP_DATA[[#This Row],[D, bottom '[m']]]-TP_DATA[[#This Row],[D, top '[m']]])/(TP_DATA[[#This Row],[Bottom '[m']]]-TP_DATA[[#This Row],[Top '[m']]]),"")</f>
        <v/>
      </c>
      <c r="AQ128" s="80" t="str">
        <f t="shared" si="8"/>
        <v/>
      </c>
      <c r="AR128" s="80" t="str">
        <f>IFERROR((TP_DATA[[#This Row],[D, bottom '[m']]]+TP_DATA[[#This Row],[D, top '[m']]])/(2*TP_DATA[[#This Row],[t '[mm']]]/1000),"")</f>
        <v/>
      </c>
      <c r="BW128" s="80" t="str">
        <f>IFERROR(TOWER_DATA[[#This Row],[Bottom '[m']]]-TOWER_DATA[[#This Row],[D, top '[m']]], "")</f>
        <v/>
      </c>
      <c r="BX128" s="80" t="str">
        <f>IFERROR(-(TOWER_DATA[[#This Row],[D, bottom '[m']]]-TOWER_DATA[[#This Row],[D, top '[m']]])/(TOWER_DATA[[#This Row],[Bottom '[m']]]-TOWER_DATA[[#This Row],[Top '[m']]]),"")</f>
        <v/>
      </c>
      <c r="BY128" s="80" t="str">
        <f t="shared" si="9"/>
        <v/>
      </c>
      <c r="BZ128" s="80" t="str">
        <f>IFERROR((TOWER_DATA[[#This Row],[D, bottom '[m']]]+TOWER_DATA[[#This Row],[D, top '[m']]])/(2*TOWER_DATA[[#This Row],[t '[mm']]]/1000),"")</f>
        <v/>
      </c>
      <c r="DE128" s="80" t="str">
        <f t="shared" si="10"/>
        <v/>
      </c>
      <c r="DF128" s="80"/>
    </row>
    <row r="129" spans="8:110" x14ac:dyDescent="0.3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11"/>
        <v/>
      </c>
      <c r="K129" s="80" t="str">
        <f>IFERROR((MP_DATA[[#This Row],[D, bottom '[m']]]+MP_DATA[[#This Row],[D, top '[m']]])/(2*MP_DATA[[#This Row],[t '[mm']]]/1000),"")</f>
        <v/>
      </c>
      <c r="AO129" s="80" t="str">
        <f>IFERROR(TP_DATA[[#This Row],[Bottom '[m']]]-TP_DATA[[#This Row],[D, top '[m']]], "")</f>
        <v/>
      </c>
      <c r="AP129" s="80" t="str">
        <f>IFERROR(-(TP_DATA[[#This Row],[D, bottom '[m']]]-TP_DATA[[#This Row],[D, top '[m']]])/(TP_DATA[[#This Row],[Bottom '[m']]]-TP_DATA[[#This Row],[Top '[m']]]),"")</f>
        <v/>
      </c>
      <c r="AQ129" s="80" t="str">
        <f t="shared" si="8"/>
        <v/>
      </c>
      <c r="AR129" s="80" t="str">
        <f>IFERROR((TP_DATA[[#This Row],[D, bottom '[m']]]+TP_DATA[[#This Row],[D, top '[m']]])/(2*TP_DATA[[#This Row],[t '[mm']]]/1000),"")</f>
        <v/>
      </c>
      <c r="BW129" s="80" t="str">
        <f>IFERROR(TOWER_DATA[[#This Row],[Bottom '[m']]]-TOWER_DATA[[#This Row],[D, top '[m']]], "")</f>
        <v/>
      </c>
      <c r="BX129" s="80" t="str">
        <f>IFERROR(-(TOWER_DATA[[#This Row],[D, bottom '[m']]]-TOWER_DATA[[#This Row],[D, top '[m']]])/(TOWER_DATA[[#This Row],[Bottom '[m']]]-TOWER_DATA[[#This Row],[Top '[m']]]),"")</f>
        <v/>
      </c>
      <c r="BY129" s="80" t="str">
        <f t="shared" si="9"/>
        <v/>
      </c>
      <c r="BZ129" s="80" t="str">
        <f>IFERROR((TOWER_DATA[[#This Row],[D, bottom '[m']]]+TOWER_DATA[[#This Row],[D, top '[m']]])/(2*TOWER_DATA[[#This Row],[t '[mm']]]/1000),"")</f>
        <v/>
      </c>
      <c r="DE129" s="80" t="str">
        <f t="shared" si="10"/>
        <v/>
      </c>
      <c r="DF129" s="80"/>
    </row>
    <row r="130" spans="8:110" x14ac:dyDescent="0.3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11"/>
        <v/>
      </c>
      <c r="K130" s="80" t="str">
        <f>IFERROR((MP_DATA[[#This Row],[D, bottom '[m']]]+MP_DATA[[#This Row],[D, top '[m']]])/(2*MP_DATA[[#This Row],[t '[mm']]]/1000),"")</f>
        <v/>
      </c>
      <c r="AO130" s="80" t="str">
        <f>IFERROR(TP_DATA[[#This Row],[Bottom '[m']]]-TP_DATA[[#This Row],[D, top '[m']]], "")</f>
        <v/>
      </c>
      <c r="AP130" s="80" t="str">
        <f>IFERROR(-(TP_DATA[[#This Row],[D, bottom '[m']]]-TP_DATA[[#This Row],[D, top '[m']]])/(TP_DATA[[#This Row],[Bottom '[m']]]-TP_DATA[[#This Row],[Top '[m']]]),"")</f>
        <v/>
      </c>
      <c r="AQ130" s="80" t="str">
        <f t="shared" ref="AQ130:AQ137" si="12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80" t="str">
        <f>IFERROR((TP_DATA[[#This Row],[D, bottom '[m']]]+TP_DATA[[#This Row],[D, top '[m']]])/(2*TP_DATA[[#This Row],[t '[mm']]]/1000),"")</f>
        <v/>
      </c>
      <c r="BW130" s="80" t="str">
        <f>IFERROR(TOWER_DATA[[#This Row],[Bottom '[m']]]-TOWER_DATA[[#This Row],[D, top '[m']]], "")</f>
        <v/>
      </c>
      <c r="BX130" s="80" t="str">
        <f>IFERROR(-(TOWER_DATA[[#This Row],[D, bottom '[m']]]-TOWER_DATA[[#This Row],[D, top '[m']]])/(TOWER_DATA[[#This Row],[Bottom '[m']]]-TOWER_DATA[[#This Row],[Top '[m']]]),"")</f>
        <v/>
      </c>
      <c r="BY130" s="80" t="str">
        <f t="shared" ref="BY130:BY139" si="13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80" t="str">
        <f>IFERROR((TOWER_DATA[[#This Row],[D, bottom '[m']]]+TOWER_DATA[[#This Row],[D, top '[m']]])/(2*TOWER_DATA[[#This Row],[t '[mm']]]/1000),"")</f>
        <v/>
      </c>
      <c r="DE130" s="80" t="str">
        <f t="shared" ref="DE130:DE139" si="14">IF(7850/1000*(1/3)*PI()*ABS(CZ130-DA130)*((DB130/2)^2+(DB130/2)*(DC130/2)+(DC130/2)^2-(DB130/2-DD130/1000)^2-(DB130/2-DD130/1000)*(DC130/2-DD130/1000)-(DC130/2-DD130/1000)^2)=0,"",7850/1000*(1/3)*PI()*ABS(CZ130-DA130)*((DB130/2)^2+(DB130/2)*(DC130/2)+(DC130/2)^2-(DB130/2-DD130/1000)^2-(DB130/2-DD130/1000)*(DC130/2-DD130/1000)-(DC130/2-DD130/1000)^2))</f>
        <v/>
      </c>
      <c r="DF130" s="80"/>
    </row>
    <row r="131" spans="8:110" x14ac:dyDescent="0.3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ref="J131:J137" si="15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80" t="str">
        <f>IFERROR((MP_DATA[[#This Row],[D, bottom '[m']]]+MP_DATA[[#This Row],[D, top '[m']]])/(2*MP_DATA[[#This Row],[t '[mm']]]/1000),"")</f>
        <v/>
      </c>
      <c r="AO131" s="80" t="str">
        <f>IFERROR(TP_DATA[[#This Row],[Bottom '[m']]]-TP_DATA[[#This Row],[D, top '[m']]], "")</f>
        <v/>
      </c>
      <c r="AP131" s="80" t="str">
        <f>IFERROR(-(TP_DATA[[#This Row],[D, bottom '[m']]]-TP_DATA[[#This Row],[D, top '[m']]])/(TP_DATA[[#This Row],[Bottom '[m']]]-TP_DATA[[#This Row],[Top '[m']]]),"")</f>
        <v/>
      </c>
      <c r="AQ131" s="80" t="str">
        <f t="shared" si="12"/>
        <v/>
      </c>
      <c r="AR131" s="80" t="str">
        <f>IFERROR((TP_DATA[[#This Row],[D, bottom '[m']]]+TP_DATA[[#This Row],[D, top '[m']]])/(2*TP_DATA[[#This Row],[t '[mm']]]/1000),"")</f>
        <v/>
      </c>
      <c r="BW131" s="80" t="str">
        <f>IFERROR(TOWER_DATA[[#This Row],[Bottom '[m']]]-TOWER_DATA[[#This Row],[D, top '[m']]], "")</f>
        <v/>
      </c>
      <c r="BX131" s="80" t="str">
        <f>IFERROR(-(TOWER_DATA[[#This Row],[D, bottom '[m']]]-TOWER_DATA[[#This Row],[D, top '[m']]])/(TOWER_DATA[[#This Row],[Bottom '[m']]]-TOWER_DATA[[#This Row],[Top '[m']]]),"")</f>
        <v/>
      </c>
      <c r="BY131" s="80" t="str">
        <f t="shared" si="13"/>
        <v/>
      </c>
      <c r="BZ131" s="80" t="str">
        <f>IFERROR((TOWER_DATA[[#This Row],[D, bottom '[m']]]+TOWER_DATA[[#This Row],[D, top '[m']]])/(2*TOWER_DATA[[#This Row],[t '[mm']]]/1000),"")</f>
        <v/>
      </c>
      <c r="DE131" s="80" t="str">
        <f t="shared" si="14"/>
        <v/>
      </c>
      <c r="DF131" s="80"/>
    </row>
    <row r="132" spans="8:110" x14ac:dyDescent="0.3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15"/>
        <v/>
      </c>
      <c r="K132" s="80" t="str">
        <f>IFERROR((MP_DATA[[#This Row],[D, bottom '[m']]]+MP_DATA[[#This Row],[D, top '[m']]])/(2*MP_DATA[[#This Row],[t '[mm']]]/1000),"")</f>
        <v/>
      </c>
      <c r="AO132" s="80" t="str">
        <f>IFERROR(TP_DATA[[#This Row],[Bottom '[m']]]-TP_DATA[[#This Row],[D, top '[m']]], "")</f>
        <v/>
      </c>
      <c r="AP132" s="80" t="str">
        <f>IFERROR(-(TP_DATA[[#This Row],[D, bottom '[m']]]-TP_DATA[[#This Row],[D, top '[m']]])/(TP_DATA[[#This Row],[Bottom '[m']]]-TP_DATA[[#This Row],[Top '[m']]]),"")</f>
        <v/>
      </c>
      <c r="AQ132" s="80" t="str">
        <f t="shared" si="12"/>
        <v/>
      </c>
      <c r="AR132" s="80" t="str">
        <f>IFERROR((TP_DATA[[#This Row],[D, bottom '[m']]]+TP_DATA[[#This Row],[D, top '[m']]])/(2*TP_DATA[[#This Row],[t '[mm']]]/1000),"")</f>
        <v/>
      </c>
      <c r="BW132" s="80" t="str">
        <f>IFERROR(TOWER_DATA[[#This Row],[Bottom '[m']]]-TOWER_DATA[[#This Row],[D, top '[m']]], "")</f>
        <v/>
      </c>
      <c r="BX132" s="80" t="str">
        <f>IFERROR(-(TOWER_DATA[[#This Row],[D, bottom '[m']]]-TOWER_DATA[[#This Row],[D, top '[m']]])/(TOWER_DATA[[#This Row],[Bottom '[m']]]-TOWER_DATA[[#This Row],[Top '[m']]]),"")</f>
        <v/>
      </c>
      <c r="BY132" s="80" t="str">
        <f t="shared" si="13"/>
        <v/>
      </c>
      <c r="BZ132" s="80" t="str">
        <f>IFERROR((TOWER_DATA[[#This Row],[D, bottom '[m']]]+TOWER_DATA[[#This Row],[D, top '[m']]])/(2*TOWER_DATA[[#This Row],[t '[mm']]]/1000),"")</f>
        <v/>
      </c>
      <c r="DE132" s="80" t="str">
        <f t="shared" si="14"/>
        <v/>
      </c>
      <c r="DF132" s="80"/>
    </row>
    <row r="133" spans="8:110" x14ac:dyDescent="0.3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15"/>
        <v/>
      </c>
      <c r="K133" s="80" t="str">
        <f>IFERROR((MP_DATA[[#This Row],[D, bottom '[m']]]+MP_DATA[[#This Row],[D, top '[m']]])/(2*MP_DATA[[#This Row],[t '[mm']]]/1000),"")</f>
        <v/>
      </c>
      <c r="AO133" s="80" t="str">
        <f>IFERROR(TP_DATA[[#This Row],[Bottom '[m']]]-TP_DATA[[#This Row],[D, top '[m']]], "")</f>
        <v/>
      </c>
      <c r="AP133" s="80" t="str">
        <f>IFERROR(-(TP_DATA[[#This Row],[D, bottom '[m']]]-TP_DATA[[#This Row],[D, top '[m']]])/(TP_DATA[[#This Row],[Bottom '[m']]]-TP_DATA[[#This Row],[Top '[m']]]),"")</f>
        <v/>
      </c>
      <c r="AQ133" s="80" t="str">
        <f t="shared" si="12"/>
        <v/>
      </c>
      <c r="AR133" s="80" t="str">
        <f>IFERROR((TP_DATA[[#This Row],[D, bottom '[m']]]+TP_DATA[[#This Row],[D, top '[m']]])/(2*TP_DATA[[#This Row],[t '[mm']]]/1000),"")</f>
        <v/>
      </c>
      <c r="BW133" s="80" t="str">
        <f>IFERROR(TOWER_DATA[[#This Row],[Bottom '[m']]]-TOWER_DATA[[#This Row],[D, top '[m']]], "")</f>
        <v/>
      </c>
      <c r="BX133" s="80" t="str">
        <f>IFERROR(-(TOWER_DATA[[#This Row],[D, bottom '[m']]]-TOWER_DATA[[#This Row],[D, top '[m']]])/(TOWER_DATA[[#This Row],[Bottom '[m']]]-TOWER_DATA[[#This Row],[Top '[m']]]),"")</f>
        <v/>
      </c>
      <c r="BY133" s="80" t="str">
        <f t="shared" si="13"/>
        <v/>
      </c>
      <c r="BZ133" s="80" t="str">
        <f>IFERROR((TOWER_DATA[[#This Row],[D, bottom '[m']]]+TOWER_DATA[[#This Row],[D, top '[m']]])/(2*TOWER_DATA[[#This Row],[t '[mm']]]/1000),"")</f>
        <v/>
      </c>
      <c r="DE133" s="80" t="str">
        <f t="shared" si="14"/>
        <v/>
      </c>
      <c r="DF133" s="80"/>
    </row>
    <row r="134" spans="8:110" x14ac:dyDescent="0.3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15"/>
        <v/>
      </c>
      <c r="K134" s="80" t="str">
        <f>IFERROR((MP_DATA[[#This Row],[D, bottom '[m']]]+MP_DATA[[#This Row],[D, top '[m']]])/(2*MP_DATA[[#This Row],[t '[mm']]]/1000),"")</f>
        <v/>
      </c>
      <c r="AO134" s="80" t="str">
        <f>IFERROR(TP_DATA[[#This Row],[Bottom '[m']]]-TP_DATA[[#This Row],[D, top '[m']]], "")</f>
        <v/>
      </c>
      <c r="AP134" s="80" t="str">
        <f>IFERROR(-(TP_DATA[[#This Row],[D, bottom '[m']]]-TP_DATA[[#This Row],[D, top '[m']]])/(TP_DATA[[#This Row],[Bottom '[m']]]-TP_DATA[[#This Row],[Top '[m']]]),"")</f>
        <v/>
      </c>
      <c r="AQ134" s="80" t="str">
        <f t="shared" si="12"/>
        <v/>
      </c>
      <c r="AR134" s="80" t="str">
        <f>IFERROR((TP_DATA[[#This Row],[D, bottom '[m']]]+TP_DATA[[#This Row],[D, top '[m']]])/(2*TP_DATA[[#This Row],[t '[mm']]]/1000),"")</f>
        <v/>
      </c>
      <c r="BW134" s="80" t="str">
        <f>IFERROR(TOWER_DATA[[#This Row],[Bottom '[m']]]-TOWER_DATA[[#This Row],[D, top '[m']]], "")</f>
        <v/>
      </c>
      <c r="BX134" s="80" t="str">
        <f>IFERROR(-(TOWER_DATA[[#This Row],[D, bottom '[m']]]-TOWER_DATA[[#This Row],[D, top '[m']]])/(TOWER_DATA[[#This Row],[Bottom '[m']]]-TOWER_DATA[[#This Row],[Top '[m']]]),"")</f>
        <v/>
      </c>
      <c r="BY134" s="80" t="str">
        <f t="shared" si="13"/>
        <v/>
      </c>
      <c r="BZ134" s="80" t="str">
        <f>IFERROR((TOWER_DATA[[#This Row],[D, bottom '[m']]]+TOWER_DATA[[#This Row],[D, top '[m']]])/(2*TOWER_DATA[[#This Row],[t '[mm']]]/1000),"")</f>
        <v/>
      </c>
      <c r="DE134" s="80" t="str">
        <f t="shared" si="14"/>
        <v/>
      </c>
      <c r="DF134" s="80"/>
    </row>
    <row r="135" spans="8:110" x14ac:dyDescent="0.3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15"/>
        <v/>
      </c>
      <c r="K135" s="80" t="str">
        <f>IFERROR((MP_DATA[[#This Row],[D, bottom '[m']]]+MP_DATA[[#This Row],[D, top '[m']]])/(2*MP_DATA[[#This Row],[t '[mm']]]/1000),"")</f>
        <v/>
      </c>
      <c r="AO135" s="80" t="str">
        <f>IFERROR(TP_DATA[[#This Row],[Bottom '[m']]]-TP_DATA[[#This Row],[D, top '[m']]], "")</f>
        <v/>
      </c>
      <c r="AP135" s="80" t="str">
        <f>IFERROR(-(TP_DATA[[#This Row],[D, bottom '[m']]]-TP_DATA[[#This Row],[D, top '[m']]])/(TP_DATA[[#This Row],[Bottom '[m']]]-TP_DATA[[#This Row],[Top '[m']]]),"")</f>
        <v/>
      </c>
      <c r="AQ135" s="80" t="str">
        <f t="shared" si="12"/>
        <v/>
      </c>
      <c r="AR135" s="80" t="str">
        <f>IFERROR((TP_DATA[[#This Row],[D, bottom '[m']]]+TP_DATA[[#This Row],[D, top '[m']]])/(2*TP_DATA[[#This Row],[t '[mm']]]/1000),"")</f>
        <v/>
      </c>
      <c r="BW135" s="80" t="str">
        <f>IFERROR(TOWER_DATA[[#This Row],[Bottom '[m']]]-TOWER_DATA[[#This Row],[D, top '[m']]], "")</f>
        <v/>
      </c>
      <c r="BX135" s="80" t="str">
        <f>IFERROR(-(TOWER_DATA[[#This Row],[D, bottom '[m']]]-TOWER_DATA[[#This Row],[D, top '[m']]])/(TOWER_DATA[[#This Row],[Bottom '[m']]]-TOWER_DATA[[#This Row],[Top '[m']]]),"")</f>
        <v/>
      </c>
      <c r="BY135" s="80" t="str">
        <f t="shared" si="13"/>
        <v/>
      </c>
      <c r="BZ135" s="80" t="str">
        <f>IFERROR((TOWER_DATA[[#This Row],[D, bottom '[m']]]+TOWER_DATA[[#This Row],[D, top '[m']]])/(2*TOWER_DATA[[#This Row],[t '[mm']]]/1000),"")</f>
        <v/>
      </c>
      <c r="DE135" s="80" t="str">
        <f t="shared" si="14"/>
        <v/>
      </c>
      <c r="DF135" s="80"/>
    </row>
    <row r="136" spans="8:110" x14ac:dyDescent="0.3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15"/>
        <v/>
      </c>
      <c r="K136" s="80" t="str">
        <f>IFERROR((MP_DATA[[#This Row],[D, bottom '[m']]]+MP_DATA[[#This Row],[D, top '[m']]])/(2*MP_DATA[[#This Row],[t '[mm']]]/1000),"")</f>
        <v/>
      </c>
      <c r="AO136" s="80" t="str">
        <f>IFERROR(TP_DATA[[#This Row],[Bottom '[m']]]-TP_DATA[[#This Row],[D, top '[m']]], "")</f>
        <v/>
      </c>
      <c r="AP136" s="80" t="str">
        <f>IFERROR(-(TP_DATA[[#This Row],[D, bottom '[m']]]-TP_DATA[[#This Row],[D, top '[m']]])/(TP_DATA[[#This Row],[Bottom '[m']]]-TP_DATA[[#This Row],[Top '[m']]]),"")</f>
        <v/>
      </c>
      <c r="AQ136" s="80" t="str">
        <f t="shared" si="12"/>
        <v/>
      </c>
      <c r="AR136" s="80" t="str">
        <f>IFERROR((TP_DATA[[#This Row],[D, bottom '[m']]]+TP_DATA[[#This Row],[D, top '[m']]])/(2*TP_DATA[[#This Row],[t '[mm']]]/1000),"")</f>
        <v/>
      </c>
      <c r="BW136" s="80" t="str">
        <f>IFERROR(TOWER_DATA[[#This Row],[Bottom '[m']]]-TOWER_DATA[[#This Row],[D, top '[m']]], "")</f>
        <v/>
      </c>
      <c r="BX136" s="80" t="str">
        <f>IFERROR(-(TOWER_DATA[[#This Row],[D, bottom '[m']]]-TOWER_DATA[[#This Row],[D, top '[m']]])/(TOWER_DATA[[#This Row],[Bottom '[m']]]-TOWER_DATA[[#This Row],[Top '[m']]]),"")</f>
        <v/>
      </c>
      <c r="BY136" s="80" t="str">
        <f t="shared" si="13"/>
        <v/>
      </c>
      <c r="BZ136" s="80" t="str">
        <f>IFERROR((TOWER_DATA[[#This Row],[D, bottom '[m']]]+TOWER_DATA[[#This Row],[D, top '[m']]])/(2*TOWER_DATA[[#This Row],[t '[mm']]]/1000),"")</f>
        <v/>
      </c>
      <c r="DE136" s="80" t="str">
        <f t="shared" si="14"/>
        <v/>
      </c>
      <c r="DF136" s="80"/>
    </row>
    <row r="137" spans="8:110" x14ac:dyDescent="0.3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15"/>
        <v/>
      </c>
      <c r="K137" s="80" t="str">
        <f>IFERROR((MP_DATA[[#This Row],[D, bottom '[m']]]+MP_DATA[[#This Row],[D, top '[m']]])/(2*MP_DATA[[#This Row],[t '[mm']]]/1000),"")</f>
        <v/>
      </c>
      <c r="AO137" s="80" t="str">
        <f>IFERROR(TP_DATA[[#This Row],[Bottom '[m']]]-TP_DATA[[#This Row],[D, top '[m']]], "")</f>
        <v/>
      </c>
      <c r="AP137" s="80" t="str">
        <f>IFERROR(-(TP_DATA[[#This Row],[D, bottom '[m']]]-TP_DATA[[#This Row],[D, top '[m']]])/(TP_DATA[[#This Row],[Bottom '[m']]]-TP_DATA[[#This Row],[Top '[m']]]),"")</f>
        <v/>
      </c>
      <c r="AQ137" s="80" t="str">
        <f t="shared" si="12"/>
        <v/>
      </c>
      <c r="AR137" s="80" t="str">
        <f>IFERROR((TP_DATA[[#This Row],[D, bottom '[m']]]+TP_DATA[[#This Row],[D, top '[m']]])/(2*TP_DATA[[#This Row],[t '[mm']]]/1000),"")</f>
        <v/>
      </c>
      <c r="BW137" s="80" t="str">
        <f>IFERROR(TOWER_DATA[[#This Row],[Bottom '[m']]]-TOWER_DATA[[#This Row],[D, top '[m']]], "")</f>
        <v/>
      </c>
      <c r="BX137" s="80" t="str">
        <f>IFERROR(-(TOWER_DATA[[#This Row],[D, bottom '[m']]]-TOWER_DATA[[#This Row],[D, top '[m']]])/(TOWER_DATA[[#This Row],[Bottom '[m']]]-TOWER_DATA[[#This Row],[Top '[m']]]),"")</f>
        <v/>
      </c>
      <c r="BY137" s="80" t="str">
        <f t="shared" si="13"/>
        <v/>
      </c>
      <c r="BZ137" s="80" t="str">
        <f>IFERROR((TOWER_DATA[[#This Row],[D, bottom '[m']]]+TOWER_DATA[[#This Row],[D, top '[m']]])/(2*TOWER_DATA[[#This Row],[t '[mm']]]/1000),"")</f>
        <v/>
      </c>
      <c r="DE137" s="80" t="str">
        <f t="shared" si="14"/>
        <v/>
      </c>
      <c r="DF137" s="80"/>
    </row>
    <row r="138" spans="8:110" x14ac:dyDescent="0.3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K138" s="80" t="str">
        <f>IFERROR((MP_DATA[[#This Row],[D, bottom '[m']]]+MP_DATA[[#This Row],[D, top '[m']]])/(2*MP_DATA[[#This Row],[t '[mm']]]/1000),"")</f>
        <v/>
      </c>
      <c r="AO138" s="80" t="str">
        <f>IFERROR(TP_DATA[[#This Row],[Bottom '[m']]]-TP_DATA[[#This Row],[D, top '[m']]], "")</f>
        <v/>
      </c>
      <c r="AP138" s="80" t="str">
        <f>IFERROR(-(TP_DATA[[#This Row],[D, bottom '[m']]]-TP_DATA[[#This Row],[D, top '[m']]])/(TP_DATA[[#This Row],[Bottom '[m']]]-TP_DATA[[#This Row],[Top '[m']]]),"")</f>
        <v/>
      </c>
      <c r="AR138" s="80" t="str">
        <f>IFERROR((TP_DATA[[#This Row],[D, bottom '[m']]]+TP_DATA[[#This Row],[D, top '[m']]])/(2*TP_DATA[[#This Row],[t '[mm']]]/1000),"")</f>
        <v/>
      </c>
      <c r="BW138" s="80" t="str">
        <f>IFERROR(TOWER_DATA[[#This Row],[Bottom '[m']]]-TOWER_DATA[[#This Row],[D, top '[m']]], "")</f>
        <v/>
      </c>
      <c r="BX138" s="80" t="str">
        <f>IFERROR(-(TOWER_DATA[[#This Row],[D, bottom '[m']]]-TOWER_DATA[[#This Row],[D, top '[m']]])/(TOWER_DATA[[#This Row],[Bottom '[m']]]-TOWER_DATA[[#This Row],[Top '[m']]]),"")</f>
        <v/>
      </c>
      <c r="BY138" s="80" t="str">
        <f t="shared" si="13"/>
        <v/>
      </c>
      <c r="BZ138" s="80" t="str">
        <f>IFERROR((TOWER_DATA[[#This Row],[D, bottom '[m']]]+TOWER_DATA[[#This Row],[D, top '[m']]])/(2*TOWER_DATA[[#This Row],[t '[mm']]]/1000),"")</f>
        <v/>
      </c>
      <c r="DE138" s="80" t="str">
        <f t="shared" si="14"/>
        <v/>
      </c>
      <c r="DF138" s="80"/>
    </row>
    <row r="139" spans="8:110" x14ac:dyDescent="0.3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K139" s="80" t="str">
        <f>IFERROR((MP_DATA[[#This Row],[D, bottom '[m']]]+MP_DATA[[#This Row],[D, top '[m']]])/(2*MP_DATA[[#This Row],[t '[mm']]]/1000),"")</f>
        <v/>
      </c>
      <c r="AO139" s="80" t="str">
        <f>IFERROR(TP_DATA[[#This Row],[Bottom '[m']]]-TP_DATA[[#This Row],[D, top '[m']]], "")</f>
        <v/>
      </c>
      <c r="AP139" s="80" t="str">
        <f>IFERROR(-(TP_DATA[[#This Row],[D, bottom '[m']]]-TP_DATA[[#This Row],[D, top '[m']]])/(TP_DATA[[#This Row],[Bottom '[m']]]-TP_DATA[[#This Row],[Top '[m']]]),"")</f>
        <v/>
      </c>
      <c r="AR139" s="80" t="str">
        <f>IFERROR((TP_DATA[[#This Row],[D, bottom '[m']]]+TP_DATA[[#This Row],[D, top '[m']]])/(2*TP_DATA[[#This Row],[t '[mm']]]/1000),"")</f>
        <v/>
      </c>
      <c r="BW139" s="80" t="str">
        <f>IFERROR(TOWER_DATA[[#This Row],[Bottom '[m']]]-TOWER_DATA[[#This Row],[D, top '[m']]], "")</f>
        <v/>
      </c>
      <c r="BX139" s="80" t="str">
        <f>IFERROR(-(TOWER_DATA[[#This Row],[D, bottom '[m']]]-TOWER_DATA[[#This Row],[D, top '[m']]])/(TOWER_DATA[[#This Row],[Bottom '[m']]]-TOWER_DATA[[#This Row],[Top '[m']]]),"")</f>
        <v/>
      </c>
      <c r="BY139" s="80" t="str">
        <f t="shared" si="13"/>
        <v/>
      </c>
      <c r="BZ139" s="80" t="str">
        <f>IFERROR((TOWER_DATA[[#This Row],[D, bottom '[m']]]+TOWER_DATA[[#This Row],[D, top '[m']]])/(2*TOWER_DATA[[#This Row],[t '[mm']]]/1000),"")</f>
        <v/>
      </c>
      <c r="DE139" s="80" t="str">
        <f t="shared" si="14"/>
        <v/>
      </c>
      <c r="DF139" s="80"/>
    </row>
    <row r="140" spans="8:110" x14ac:dyDescent="0.3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K140" s="80" t="str">
        <f>IFERROR((MP_DATA[[#This Row],[D, bottom '[m']]]+MP_DATA[[#This Row],[D, top '[m']]])/(2*MP_DATA[[#This Row],[t '[mm']]]/1000),"")</f>
        <v/>
      </c>
      <c r="AO140" s="80" t="str">
        <f>IFERROR(TP_DATA[[#This Row],[Bottom '[m']]]-TP_DATA[[#This Row],[D, top '[m']]], "")</f>
        <v/>
      </c>
      <c r="AP140" s="80" t="str">
        <f>IFERROR(-(TP_DATA[[#This Row],[D, bottom '[m']]]-TP_DATA[[#This Row],[D, top '[m']]])/(TP_DATA[[#This Row],[Bottom '[m']]]-TP_DATA[[#This Row],[Top '[m']]]),"")</f>
        <v/>
      </c>
      <c r="AR140" s="80" t="str">
        <f>IFERROR((TP_DATA[[#This Row],[D, bottom '[m']]]+TP_DATA[[#This Row],[D, top '[m']]])/(2*TP_DATA[[#This Row],[t '[mm']]]/1000),"")</f>
        <v/>
      </c>
      <c r="BW140" s="80" t="str">
        <f>IFERROR(TOWER_DATA[[#This Row],[Bottom '[m']]]-TOWER_DATA[[#This Row],[D, top '[m']]], "")</f>
        <v/>
      </c>
      <c r="BX140" s="80" t="str">
        <f>IFERROR(-(TOWER_DATA[[#This Row],[D, bottom '[m']]]-TOWER_DATA[[#This Row],[D, top '[m']]])/(TOWER_DATA[[#This Row],[Bottom '[m']]]-TOWER_DATA[[#This Row],[Top '[m']]]),"")</f>
        <v/>
      </c>
      <c r="BZ140" s="80" t="str">
        <f>IFERROR((TOWER_DATA[[#This Row],[D, bottom '[m']]]+TOWER_DATA[[#This Row],[D, top '[m']]])/(2*TOWER_DATA[[#This Row],[t '[mm']]]/1000),"")</f>
        <v/>
      </c>
    </row>
    <row r="141" spans="8:110" x14ac:dyDescent="0.3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K141" s="80" t="str">
        <f>IFERROR((MP_DATA[[#This Row],[D, bottom '[m']]]+MP_DATA[[#This Row],[D, top '[m']]])/(2*MP_DATA[[#This Row],[t '[mm']]]/1000),"")</f>
        <v/>
      </c>
      <c r="AO141" s="80" t="str">
        <f>IFERROR(TP_DATA[[#This Row],[Bottom '[m']]]-TP_DATA[[#This Row],[D, top '[m']]], "")</f>
        <v/>
      </c>
      <c r="AP141" s="80" t="str">
        <f>IFERROR(-(TP_DATA[[#This Row],[D, bottom '[m']]]-TP_DATA[[#This Row],[D, top '[m']]])/(TP_DATA[[#This Row],[Bottom '[m']]]-TP_DATA[[#This Row],[Top '[m']]]),"")</f>
        <v/>
      </c>
      <c r="AR141" s="80" t="str">
        <f>IFERROR((TP_DATA[[#This Row],[D, bottom '[m']]]+TP_DATA[[#This Row],[D, top '[m']]])/(2*TP_DATA[[#This Row],[t '[mm']]]/1000),"")</f>
        <v/>
      </c>
      <c r="BW141" s="80" t="str">
        <f>IFERROR(TOWER_DATA[[#This Row],[Bottom '[m']]]-TOWER_DATA[[#This Row],[D, top '[m']]], "")</f>
        <v/>
      </c>
      <c r="BX141" s="80" t="str">
        <f>IFERROR(-(TOWER_DATA[[#This Row],[D, bottom '[m']]]-TOWER_DATA[[#This Row],[D, top '[m']]])/(TOWER_DATA[[#This Row],[Bottom '[m']]]-TOWER_DATA[[#This Row],[Top '[m']]]),"")</f>
        <v/>
      </c>
      <c r="BZ141" s="80" t="str">
        <f>IFERROR((TOWER_DATA[[#This Row],[D, bottom '[m']]]+TOWER_DATA[[#This Row],[D, top '[m']]])/(2*TOWER_DATA[[#This Row],[t '[mm']]]/1000),"")</f>
        <v/>
      </c>
    </row>
    <row r="142" spans="8:110" x14ac:dyDescent="0.3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K142" s="80" t="str">
        <f>IFERROR((MP_DATA[[#This Row],[D, bottom '[m']]]+MP_DATA[[#This Row],[D, top '[m']]])/(2*MP_DATA[[#This Row],[t '[mm']]]/1000),"")</f>
        <v/>
      </c>
      <c r="AO142" s="80" t="str">
        <f>IFERROR(TP_DATA[[#This Row],[Bottom '[m']]]-TP_DATA[[#This Row],[D, top '[m']]], "")</f>
        <v/>
      </c>
      <c r="AP142" s="80" t="str">
        <f>IFERROR(-(TP_DATA[[#This Row],[D, bottom '[m']]]-TP_DATA[[#This Row],[D, top '[m']]])/(TP_DATA[[#This Row],[Bottom '[m']]]-TP_DATA[[#This Row],[Top '[m']]]),"")</f>
        <v/>
      </c>
      <c r="AR142" s="80" t="str">
        <f>IFERROR((TP_DATA[[#This Row],[D, bottom '[m']]]+TP_DATA[[#This Row],[D, top '[m']]])/(2*TP_DATA[[#This Row],[t '[mm']]]/1000),"")</f>
        <v/>
      </c>
      <c r="BW142" s="80" t="str">
        <f>IFERROR(TOWER_DATA[[#This Row],[Bottom '[m']]]-TOWER_DATA[[#This Row],[D, top '[m']]], "")</f>
        <v/>
      </c>
      <c r="BX142" s="80" t="str">
        <f>IFERROR(-(TOWER_DATA[[#This Row],[D, bottom '[m']]]-TOWER_DATA[[#This Row],[D, top '[m']]])/(TOWER_DATA[[#This Row],[Bottom '[m']]]-TOWER_DATA[[#This Row],[Top '[m']]]),"")</f>
        <v/>
      </c>
      <c r="BZ142" s="80" t="str">
        <f>IFERROR((TOWER_DATA[[#This Row],[D, bottom '[m']]]+TOWER_DATA[[#This Row],[D, top '[m']]])/(2*TOWER_DATA[[#This Row],[t '[mm']]]/1000),"")</f>
        <v/>
      </c>
    </row>
    <row r="143" spans="8:110" x14ac:dyDescent="0.3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K143" s="80" t="str">
        <f>IFERROR((MP_DATA[[#This Row],[D, bottom '[m']]]+MP_DATA[[#This Row],[D, top '[m']]])/(2*MP_DATA[[#This Row],[t '[mm']]]/1000),"")</f>
        <v/>
      </c>
      <c r="AO143" s="80" t="str">
        <f>IFERROR(TP_DATA[[#This Row],[Bottom '[m']]]-TP_DATA[[#This Row],[D, top '[m']]], "")</f>
        <v/>
      </c>
      <c r="AP143" s="80" t="str">
        <f>IFERROR(-(TP_DATA[[#This Row],[D, bottom '[m']]]-TP_DATA[[#This Row],[D, top '[m']]])/(TP_DATA[[#This Row],[Bottom '[m']]]-TP_DATA[[#This Row],[Top '[m']]]),"")</f>
        <v/>
      </c>
      <c r="AR143" s="80" t="str">
        <f>IFERROR((TP_DATA[[#This Row],[D, bottom '[m']]]+TP_DATA[[#This Row],[D, top '[m']]])/(2*TP_DATA[[#This Row],[t '[mm']]]/1000),"")</f>
        <v/>
      </c>
      <c r="BW143" s="80" t="str">
        <f>IFERROR(TOWER_DATA[[#This Row],[Bottom '[m']]]-TOWER_DATA[[#This Row],[D, top '[m']]], "")</f>
        <v/>
      </c>
      <c r="BX143" s="80" t="str">
        <f>IFERROR(-(TOWER_DATA[[#This Row],[D, bottom '[m']]]-TOWER_DATA[[#This Row],[D, top '[m']]])/(TOWER_DATA[[#This Row],[Bottom '[m']]]-TOWER_DATA[[#This Row],[Top '[m']]]),"")</f>
        <v/>
      </c>
      <c r="BZ143" s="80" t="str">
        <f>IFERROR((TOWER_DATA[[#This Row],[D, bottom '[m']]]+TOWER_DATA[[#This Row],[D, top '[m']]])/(2*TOWER_DATA[[#This Row],[t '[mm']]]/1000),"")</f>
        <v/>
      </c>
    </row>
    <row r="144" spans="8:110" x14ac:dyDescent="0.3">
      <c r="H144" s="80" t="str">
        <f>IFERROR(MP_DATA[[#This Row],[Bottom '[m']]]-MP_DATA[[#This Row],[D, top '[m']]], "")</f>
        <v/>
      </c>
      <c r="K144" s="80" t="str">
        <f>IFERROR((MP_DATA[[#This Row],[D, bottom '[m']]]+MP_DATA[[#This Row],[D, top '[m']]])/(2*MP_DATA[[#This Row],[t '[mm']]]/1000),"")</f>
        <v/>
      </c>
      <c r="BH144" s="80"/>
      <c r="BI144" s="80"/>
      <c r="BJ144" s="80"/>
      <c r="BK144" s="80"/>
    </row>
    <row r="145" spans="60:63" x14ac:dyDescent="0.3">
      <c r="BH145" s="80"/>
      <c r="BI145" s="80"/>
      <c r="BJ145" s="80"/>
      <c r="BK145" s="80"/>
    </row>
  </sheetData>
  <protectedRanges>
    <protectedRange sqref="CB25:CD49" name="Bereich1"/>
    <protectedRange sqref="DH19:DI19 CY19:CZ19 DL19:DN19 DC19:DD19" name="Bereich1_1"/>
  </protectedRanges>
  <dataConsolidate/>
  <phoneticPr fontId="10" type="noConversion"/>
  <conditionalFormatting sqref="B1943">
    <cfRule type="expression" dxfId="11" priority="13">
      <formula>B1942&lt;&gt;_xludf.INDIRECT("B" &amp; _xludf.ROW() + 200)</formula>
    </cfRule>
  </conditionalFormatting>
  <conditionalFormatting sqref="B145:L168 I144:J144 J138:J143 L121:L144 B56:G144 AI56:AN143 BQ93:BV180 CY93:DD180">
    <cfRule type="expression" dxfId="10" priority="15">
      <formula>#REF!&lt;&gt;_xludf.INDIRECT(_xludf.ADDRESS(_xludf.ROW()-200,_xludf.COLUMN()))</formula>
    </cfRule>
  </conditionalFormatting>
  <conditionalFormatting sqref="H183">
    <cfRule type="expression" dxfId="9" priority="17">
      <formula>#REF!&lt;&gt;_xludf.INDIRECT(_xludf.ADDRESS(_xludf.ROW()-200,_xludf.COLUMN()))</formula>
    </cfRule>
  </conditionalFormatting>
  <conditionalFormatting sqref="D170">
    <cfRule type="expression" dxfId="8" priority="20">
      <formula>#REF!&lt;&gt;_xludf.INDIRECT(_xludf.ADDRESS(_xludf.ROW()-200,_xludf.COLUMN()))</formula>
    </cfRule>
  </conditionalFormatting>
  <conditionalFormatting sqref="B169:B173 H169:H173">
    <cfRule type="expression" dxfId="7" priority="38">
      <formula>#REF!&lt;&gt;_xludf.INDIRECT(_xludf.ADDRESS(_xludf.ROW()-200,_xludf.COLUMN()))</formula>
    </cfRule>
  </conditionalFormatting>
  <conditionalFormatting sqref="AQ138:AQ143 AS121:AS143">
    <cfRule type="expression" dxfId="6" priority="3">
      <formula>#REF!&lt;&gt;_xludf.INDIRECT(_xludf.ADDRESS(_xludf.ROW()-200,_xludf.COLUMN()))</formula>
    </cfRule>
  </conditionalFormatting>
  <conditionalFormatting sqref="BY140:BY143 CA121:CA143">
    <cfRule type="expression" dxfId="5" priority="2">
      <formula>#REF!&lt;&gt;_xludf.INDIRECT(_xludf.ADDRESS(_xludf.ROW()-200,_xludf.COLUMN()))</formula>
    </cfRule>
  </conditionalFormatting>
  <conditionalFormatting sqref="DE140:DF143">
    <cfRule type="expression" dxfId="4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3" priority="44">
      <formula>B29&lt;&gt;_xludf.INDIRECT(_xludf.ADDRESS(_xludf.ROW()-200,_xludf.COLUMN()))</formula>
    </cfRule>
  </conditionalFormatting>
  <conditionalFormatting sqref="G184">
    <cfRule type="expression" dxfId="2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1" priority="51">
      <formula>B24&lt;&gt;_xludf.INDIRECT(_xludf.ADDRESS(_xludf.ROW()-200,_xludf.COLUMN()))</formula>
    </cfRule>
  </conditionalFormatting>
  <conditionalFormatting sqref="E170">
    <cfRule type="expression" dxfId="0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365760</xdr:colOff>
                    <xdr:row>16</xdr:row>
                    <xdr:rowOff>175260</xdr:rowOff>
                  </from>
                  <to>
                    <xdr:col>11</xdr:col>
                    <xdr:colOff>822960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160020</xdr:rowOff>
                  </from>
                  <to>
                    <xdr:col>36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30480</xdr:colOff>
                    <xdr:row>12</xdr:row>
                    <xdr:rowOff>30480</xdr:rowOff>
                  </from>
                  <to>
                    <xdr:col>34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22860</xdr:rowOff>
                  </from>
                  <to>
                    <xdr:col>47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274320</xdr:colOff>
                    <xdr:row>17</xdr:row>
                    <xdr:rowOff>45720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160020</xdr:rowOff>
                  </from>
                  <to>
                    <xdr:col>70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868680</xdr:colOff>
                    <xdr:row>17</xdr:row>
                    <xdr:rowOff>22860</xdr:rowOff>
                  </from>
                  <to>
                    <xdr:col>81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335280</xdr:colOff>
                    <xdr:row>16</xdr:row>
                    <xdr:rowOff>175260</xdr:rowOff>
                  </from>
                  <to>
                    <xdr:col>80</xdr:col>
                    <xdr:colOff>807720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1097280</xdr:colOff>
                    <xdr:row>12</xdr:row>
                    <xdr:rowOff>30480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22860</xdr:rowOff>
                  </from>
                  <to>
                    <xdr:col>35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822960</xdr:colOff>
                    <xdr:row>12</xdr:row>
                    <xdr:rowOff>22860</xdr:rowOff>
                  </from>
                  <to>
                    <xdr:col>69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876300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60960</xdr:colOff>
                    <xdr:row>14</xdr:row>
                    <xdr:rowOff>0</xdr:rowOff>
                  </from>
                  <to>
                    <xdr:col>42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13</xdr:row>
                    <xdr:rowOff>160020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861060</xdr:colOff>
                    <xdr:row>13</xdr:row>
                    <xdr:rowOff>30480</xdr:rowOff>
                  </from>
                  <to>
                    <xdr:col>107</xdr:col>
                    <xdr:colOff>1592580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822960</xdr:colOff>
                    <xdr:row>12</xdr:row>
                    <xdr:rowOff>22860</xdr:rowOff>
                  </from>
                  <to>
                    <xdr:col>103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26"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Q452"/>
  <sheetViews>
    <sheetView topLeftCell="Z1" zoomScale="85" zoomScaleNormal="85" workbookViewId="0">
      <selection activeCell="C6" sqref="C6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28" max="28" width="18.44140625" customWidth="1"/>
    <col min="30" max="30" width="22.6640625" customWidth="1"/>
    <col min="32" max="32" width="20.44140625" customWidth="1"/>
    <col min="36" max="37" width="14.44140625" style="51"/>
    <col min="38" max="38" width="20.44140625" style="51" customWidth="1"/>
    <col min="39" max="16384" width="14.44140625" style="51"/>
  </cols>
  <sheetData>
    <row r="2" spans="2:43" ht="15" customHeight="1" x14ac:dyDescent="0.3">
      <c r="B2" s="51" t="s">
        <v>27</v>
      </c>
      <c r="C2" s="51" t="s">
        <v>128</v>
      </c>
      <c r="D2" s="55" t="s">
        <v>129</v>
      </c>
      <c r="E2" s="55"/>
      <c r="F2" s="55"/>
      <c r="G2" s="55"/>
      <c r="H2" s="55"/>
      <c r="I2" s="55" t="s">
        <v>151</v>
      </c>
      <c r="J2" s="51" t="s">
        <v>128</v>
      </c>
      <c r="K2" s="51" t="s">
        <v>129</v>
      </c>
      <c r="M2" s="55"/>
      <c r="N2" s="55"/>
    </row>
    <row r="3" spans="2:43" x14ac:dyDescent="0.3">
      <c r="B3" s="84" t="s">
        <v>144</v>
      </c>
      <c r="C3" s="86" t="s">
        <v>237</v>
      </c>
      <c r="D3" s="89" t="s">
        <v>88</v>
      </c>
      <c r="E3" s="55"/>
      <c r="I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3" ht="15" customHeight="1" x14ac:dyDescent="0.3">
      <c r="B4" s="84" t="s">
        <v>143</v>
      </c>
      <c r="C4" s="86" t="s">
        <v>49</v>
      </c>
      <c r="D4" s="89" t="s">
        <v>88</v>
      </c>
      <c r="I4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3" ht="15" customHeight="1" x14ac:dyDescent="0.3">
      <c r="B5" s="85" t="s">
        <v>234</v>
      </c>
      <c r="C5" s="87">
        <v>0.1</v>
      </c>
      <c r="D5" s="88" t="s">
        <v>145</v>
      </c>
      <c r="I5" t="s">
        <v>70</v>
      </c>
      <c r="J5" s="69">
        <f>SUMIF(WHOLE_STRUCTURE[Affiliation], "MP", J12:J2250)</f>
        <v>2230.0546820909467</v>
      </c>
      <c r="K5" s="51" t="s">
        <v>6</v>
      </c>
      <c r="M5" s="55"/>
      <c r="N5" s="55"/>
    </row>
    <row r="6" spans="2:43" x14ac:dyDescent="0.3">
      <c r="B6" s="84" t="s">
        <v>146</v>
      </c>
      <c r="C6" s="86">
        <v>-39.799999999999997</v>
      </c>
      <c r="D6" s="89" t="s">
        <v>145</v>
      </c>
      <c r="I6" t="s">
        <v>138</v>
      </c>
      <c r="J6" s="69" cm="1">
        <f t="array" ref="J6">RNA[Power '[MW']]</f>
        <v>3.6</v>
      </c>
      <c r="K6" s="51" t="s">
        <v>6</v>
      </c>
      <c r="M6" s="55"/>
      <c r="N6" s="55"/>
      <c r="AB6" s="95"/>
      <c r="AC6" s="95"/>
    </row>
    <row r="7" spans="2:43" ht="15" customHeight="1" x14ac:dyDescent="0.3">
      <c r="B7" s="55" t="s">
        <v>225</v>
      </c>
      <c r="C7" s="51">
        <f>IFERROR(INDEX(WHOLE_STRUCTURE[Top '[m']], 1)+INDEX(RNA[Offset TT to HH '[m']], 1),"")</f>
        <v>109.91</v>
      </c>
      <c r="D7" s="51" t="s">
        <v>145</v>
      </c>
      <c r="I7" t="s">
        <v>142</v>
      </c>
      <c r="J7" s="69">
        <f>SUM(Q12:Q1048576)</f>
        <v>418204</v>
      </c>
      <c r="K7" s="51" t="s">
        <v>6</v>
      </c>
      <c r="M7" s="55"/>
      <c r="N7" s="55"/>
    </row>
    <row r="8" spans="2:43" ht="15" customHeight="1" x14ac:dyDescent="0.3">
      <c r="E8"/>
      <c r="F8"/>
      <c r="G8"/>
      <c r="H8"/>
      <c r="I8" t="s">
        <v>150</v>
      </c>
      <c r="J8" s="69">
        <f>SUM(J3:J7)</f>
        <v>422947.56857772218</v>
      </c>
      <c r="K8" s="51" t="s">
        <v>6</v>
      </c>
      <c r="L8"/>
      <c r="M8"/>
      <c r="N8"/>
      <c r="O8"/>
      <c r="P8"/>
      <c r="Q8"/>
    </row>
    <row r="9" spans="2:43" ht="31.95" customHeight="1" x14ac:dyDescent="0.6">
      <c r="B9" s="68" t="s">
        <v>119</v>
      </c>
      <c r="O9" s="68" t="s">
        <v>120</v>
      </c>
      <c r="T9" s="68" t="s">
        <v>122</v>
      </c>
      <c r="AA9" s="68" t="s">
        <v>138</v>
      </c>
      <c r="AJ9" s="68" t="s">
        <v>20</v>
      </c>
      <c r="AN9" s="68" t="s">
        <v>121</v>
      </c>
    </row>
    <row r="12" spans="2:43" x14ac:dyDescent="0.3">
      <c r="B12" s="51" t="s">
        <v>1</v>
      </c>
      <c r="C12" s="51" t="s">
        <v>101</v>
      </c>
      <c r="D12" s="51" t="s">
        <v>98</v>
      </c>
      <c r="E12" s="51" t="s">
        <v>116</v>
      </c>
      <c r="F12" s="51" t="s">
        <v>115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118</v>
      </c>
      <c r="Q12" t="s">
        <v>104</v>
      </c>
      <c r="R12" s="55" t="s">
        <v>19</v>
      </c>
      <c r="T12" s="66" t="s">
        <v>101</v>
      </c>
      <c r="U12" s="57" t="s">
        <v>118</v>
      </c>
      <c r="V12" s="57" t="s">
        <v>141</v>
      </c>
      <c r="W12" s="67" t="s">
        <v>19</v>
      </c>
      <c r="AA12" t="s">
        <v>81</v>
      </c>
      <c r="AB12" t="s">
        <v>152</v>
      </c>
      <c r="AC12" t="s">
        <v>153</v>
      </c>
      <c r="AD12" t="s">
        <v>104</v>
      </c>
      <c r="AE12" t="s">
        <v>171</v>
      </c>
      <c r="AF12" t="s">
        <v>236</v>
      </c>
      <c r="AG12" t="s">
        <v>139</v>
      </c>
      <c r="AH12" t="s">
        <v>19</v>
      </c>
      <c r="AJ12" s="51" t="s">
        <v>115</v>
      </c>
      <c r="AK12" s="51" t="s">
        <v>116</v>
      </c>
      <c r="AL12" s="51" t="s">
        <v>123</v>
      </c>
      <c r="AN12" s="51" t="s">
        <v>115</v>
      </c>
      <c r="AO12" s="51" t="s">
        <v>116</v>
      </c>
      <c r="AP12" s="51" t="s">
        <v>17</v>
      </c>
      <c r="AQ12" s="51" t="s">
        <v>18</v>
      </c>
    </row>
    <row r="13" spans="2:43" x14ac:dyDescent="0.3">
      <c r="B13" s="51">
        <v>1</v>
      </c>
      <c r="C13" s="51" t="s">
        <v>79</v>
      </c>
      <c r="D13" s="51">
        <v>1</v>
      </c>
      <c r="E13" s="51">
        <v>107.71</v>
      </c>
      <c r="F13" s="51">
        <v>104.50999999999999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96.509999999999991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107.50999999999999</v>
      </c>
      <c r="Q13" s="55">
        <v>70000</v>
      </c>
      <c r="R13" s="55" t="s">
        <v>105</v>
      </c>
      <c r="U13" s="69"/>
      <c r="V13" s="69"/>
      <c r="AA13" s="58" t="s">
        <v>158</v>
      </c>
      <c r="AB13" s="58">
        <v>3.6</v>
      </c>
      <c r="AC13" s="58">
        <v>120</v>
      </c>
      <c r="AD13" s="60">
        <v>237804</v>
      </c>
      <c r="AE13" s="60">
        <v>20595330</v>
      </c>
      <c r="AF13" s="60">
        <v>2.2000000000000002</v>
      </c>
      <c r="AG13" s="60">
        <v>2.2000000000000002</v>
      </c>
      <c r="AH13" s="60" t="s">
        <v>170</v>
      </c>
      <c r="AJ13" s="51">
        <v>139</v>
      </c>
      <c r="AK13" s="51">
        <v>4.5999999999999996</v>
      </c>
      <c r="AL13" s="51">
        <v>0</v>
      </c>
      <c r="AN13" s="51">
        <v>20</v>
      </c>
      <c r="AO13" s="51">
        <v>6.5</v>
      </c>
      <c r="AP13" s="51">
        <v>0.9</v>
      </c>
      <c r="AQ13" s="51">
        <v>2</v>
      </c>
    </row>
    <row r="14" spans="2:43" x14ac:dyDescent="0.3">
      <c r="B14" s="51">
        <v>2</v>
      </c>
      <c r="C14" s="51" t="s">
        <v>79</v>
      </c>
      <c r="D14" s="51">
        <v>2</v>
      </c>
      <c r="E14" s="51">
        <v>104.50999999999999</v>
      </c>
      <c r="F14" s="51">
        <v>101.31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93.31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106.11</v>
      </c>
      <c r="Q14" s="55">
        <v>9000</v>
      </c>
      <c r="R14" s="55" t="s">
        <v>106</v>
      </c>
      <c r="AJ14" s="51">
        <f>IF(ISBLANK(AK14),"",AK13)</f>
        <v>4.5999999999999996</v>
      </c>
      <c r="AK14" s="51">
        <v>-9.6</v>
      </c>
      <c r="AL14" s="51">
        <v>250</v>
      </c>
      <c r="AN14" s="51">
        <f>IF(ISBLANK(AO14),"",AO13)</f>
        <v>6.5</v>
      </c>
      <c r="AO14" s="51">
        <v>-22</v>
      </c>
      <c r="AP14" s="51">
        <v>0.9</v>
      </c>
      <c r="AQ14" s="51">
        <v>2</v>
      </c>
    </row>
    <row r="15" spans="2:43" x14ac:dyDescent="0.3">
      <c r="B15" s="51">
        <v>3</v>
      </c>
      <c r="C15" s="51" t="s">
        <v>79</v>
      </c>
      <c r="D15" s="51">
        <v>3</v>
      </c>
      <c r="E15" s="51">
        <v>101.31</v>
      </c>
      <c r="F15" s="51">
        <v>98.11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90.11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102.21</v>
      </c>
      <c r="Q15" s="55">
        <v>100000</v>
      </c>
      <c r="R15" s="55" t="s">
        <v>107</v>
      </c>
      <c r="AJ15" s="51">
        <f t="shared" ref="AJ15" si="1">IF(ISBLANK(AK15),"",AK14)</f>
        <v>-9.6</v>
      </c>
      <c r="AK15" s="51">
        <v>-22</v>
      </c>
      <c r="AL15" s="51">
        <v>100</v>
      </c>
      <c r="AN15" s="51" t="str">
        <f t="shared" ref="AN15" si="2">IF(ISBLANK(AO15),"",AO14)</f>
        <v/>
      </c>
    </row>
    <row r="16" spans="2:43" x14ac:dyDescent="0.3">
      <c r="B16" s="51">
        <v>4</v>
      </c>
      <c r="C16" s="51" t="s">
        <v>79</v>
      </c>
      <c r="D16" s="51">
        <v>4</v>
      </c>
      <c r="E16" s="51">
        <v>98.11</v>
      </c>
      <c r="F16" s="51">
        <v>94.61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86.61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96.91</v>
      </c>
      <c r="Q16" s="55">
        <v>1</v>
      </c>
      <c r="R16" s="55" t="s">
        <v>108</v>
      </c>
      <c r="T16" s="56" t="s">
        <v>101</v>
      </c>
      <c r="U16" s="57" t="s">
        <v>116</v>
      </c>
      <c r="V16" s="57" t="s">
        <v>115</v>
      </c>
      <c r="W16" s="57" t="s">
        <v>92</v>
      </c>
      <c r="X16" s="57" t="s">
        <v>93</v>
      </c>
      <c r="Y16" s="57" t="s">
        <v>94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94.61</v>
      </c>
      <c r="F17" s="51">
        <v>91.11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82.67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58.61</v>
      </c>
      <c r="Q17" s="55">
        <v>1</v>
      </c>
      <c r="R17" s="55" t="s">
        <v>109</v>
      </c>
      <c r="T17" s="58"/>
      <c r="U17" s="58"/>
      <c r="V17" s="58"/>
      <c r="W17" s="58"/>
      <c r="X17" s="59"/>
      <c r="Y17" s="60"/>
    </row>
    <row r="18" spans="2:25" x14ac:dyDescent="0.3">
      <c r="B18" s="51">
        <v>6</v>
      </c>
      <c r="C18" s="51" t="s">
        <v>79</v>
      </c>
      <c r="D18" s="51">
        <v>6</v>
      </c>
      <c r="E18" s="51">
        <v>91.11</v>
      </c>
      <c r="F18" s="51">
        <v>87.61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78.73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21.47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3">
      <c r="B19" s="51">
        <v>7</v>
      </c>
      <c r="C19" s="51" t="s">
        <v>79</v>
      </c>
      <c r="D19" s="51">
        <v>7</v>
      </c>
      <c r="E19" s="51">
        <v>87.61</v>
      </c>
      <c r="F19" s="51">
        <v>84.11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74.8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20.7</v>
      </c>
      <c r="Q19" s="55">
        <v>20000</v>
      </c>
      <c r="R19" s="55" t="s">
        <v>111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84.11</v>
      </c>
      <c r="F20" s="51">
        <v>80.61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70.86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20.100000000000001</v>
      </c>
      <c r="Q20" s="55">
        <v>5000</v>
      </c>
      <c r="R20" s="55" t="s">
        <v>102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80.61</v>
      </c>
      <c r="F21" s="51">
        <v>77.11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66.92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14</v>
      </c>
      <c r="Q21" s="55">
        <v>5000</v>
      </c>
      <c r="R21" s="55" t="s">
        <v>112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77.11</v>
      </c>
      <c r="F22" s="51">
        <v>73.61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62.98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99</v>
      </c>
      <c r="P22" s="55">
        <v>6.1</v>
      </c>
      <c r="Q22" s="55">
        <v>200</v>
      </c>
      <c r="R22" s="55" t="s">
        <v>113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73.61</v>
      </c>
      <c r="F23" s="51">
        <v>70.11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59.05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5.6</v>
      </c>
      <c r="Q23" s="55">
        <v>70000</v>
      </c>
      <c r="R23" s="55" t="s">
        <v>105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70.11</v>
      </c>
      <c r="F24" s="51">
        <v>66.61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55.11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70</v>
      </c>
      <c r="P24" s="55">
        <v>4.2</v>
      </c>
      <c r="Q24" s="55">
        <v>9000</v>
      </c>
      <c r="R24" s="55" t="s">
        <v>106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66.61</v>
      </c>
      <c r="F25" s="51">
        <v>63.309999999999995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51.809999999999995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63.309999999999995</v>
      </c>
      <c r="F26" s="51">
        <v>60.01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48.51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60.01</v>
      </c>
      <c r="F27" s="51">
        <v>56.709999999999994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45.209999999999994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56.709999999999994</v>
      </c>
      <c r="F28" s="51">
        <v>53.41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41.91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53.41</v>
      </c>
      <c r="F29" s="51">
        <v>50.209999999999994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38.709999999999994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50.209999999999994</v>
      </c>
      <c r="F30" s="51">
        <v>46.61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35.11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46.61</v>
      </c>
      <c r="F31" s="51">
        <v>42.61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31.11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42.61</v>
      </c>
      <c r="F32" s="51">
        <v>38.61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27.11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79</v>
      </c>
      <c r="D33" s="51">
        <v>21</v>
      </c>
      <c r="E33" s="51">
        <v>38.61</v>
      </c>
      <c r="F33" s="51">
        <v>34.61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23.11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79</v>
      </c>
      <c r="D34" s="51">
        <v>22</v>
      </c>
      <c r="E34" s="51">
        <v>34.61</v>
      </c>
      <c r="F34" s="51">
        <v>30.909999999999997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19.409999999999997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79</v>
      </c>
      <c r="D35" s="51">
        <v>23</v>
      </c>
      <c r="E35" s="51">
        <v>30.909999999999997</v>
      </c>
      <c r="F35" s="51">
        <v>27.61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16.11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79</v>
      </c>
      <c r="D36" s="51">
        <v>24</v>
      </c>
      <c r="E36" s="51">
        <v>27.61</v>
      </c>
      <c r="F36" s="51">
        <v>24.47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12.969999999999999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79</v>
      </c>
      <c r="D37" s="51">
        <v>25</v>
      </c>
      <c r="E37" s="51">
        <v>24.47</v>
      </c>
      <c r="F37" s="51">
        <v>21.47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9.9699999999999989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99</v>
      </c>
      <c r="D38" s="51">
        <v>1</v>
      </c>
      <c r="E38" s="51">
        <v>21.47</v>
      </c>
      <c r="F38" s="51">
        <v>17.5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9.5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3">
      <c r="B39" s="51">
        <v>27</v>
      </c>
      <c r="C39" s="51" t="s">
        <v>99</v>
      </c>
      <c r="D39" s="51">
        <v>2</v>
      </c>
      <c r="E39" s="51">
        <v>17.5</v>
      </c>
      <c r="F39" s="51">
        <v>13.5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5.5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3">
      <c r="B40" s="51">
        <v>28</v>
      </c>
      <c r="C40" s="51" t="s">
        <v>99</v>
      </c>
      <c r="D40" s="51">
        <v>3</v>
      </c>
      <c r="E40" s="51">
        <v>13.5</v>
      </c>
      <c r="F40" s="51">
        <v>9.5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1.5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3">
      <c r="B41" s="51">
        <v>29</v>
      </c>
      <c r="C41" s="51" t="s">
        <v>99</v>
      </c>
      <c r="D41" s="51">
        <v>4</v>
      </c>
      <c r="E41" s="51">
        <v>9.5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86.283691434396232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3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3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3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3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3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3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3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3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3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3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3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3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3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3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3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3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3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3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3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3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60"/>
  <sheetViews>
    <sheetView tabSelected="1" topLeftCell="A5" zoomScaleNormal="100" workbookViewId="0">
      <selection activeCell="E10" sqref="E10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8" t="s">
        <v>56</v>
      </c>
      <c r="C2" s="68"/>
    </row>
    <row r="5" spans="2:5" ht="18" customHeight="1" x14ac:dyDescent="0.3"/>
    <row r="6" spans="2:5" x14ac:dyDescent="0.3">
      <c r="B6" t="s">
        <v>238</v>
      </c>
    </row>
    <row r="8" spans="2:5" x14ac:dyDescent="0.3">
      <c r="B8" s="79" t="s">
        <v>172</v>
      </c>
      <c r="C8" s="79"/>
    </row>
    <row r="9" spans="2:5" x14ac:dyDescent="0.3">
      <c r="B9" t="s">
        <v>27</v>
      </c>
      <c r="C9" t="s">
        <v>128</v>
      </c>
      <c r="D9" t="s">
        <v>129</v>
      </c>
      <c r="E9" t="s">
        <v>19</v>
      </c>
    </row>
    <row r="10" spans="2:5" x14ac:dyDescent="0.3">
      <c r="B10" t="s">
        <v>124</v>
      </c>
      <c r="C10" s="51" t="s">
        <v>125</v>
      </c>
      <c r="D10" t="s">
        <v>88</v>
      </c>
      <c r="E10" t="s">
        <v>137</v>
      </c>
    </row>
    <row r="11" spans="2:5" x14ac:dyDescent="0.3">
      <c r="B11" t="s">
        <v>126</v>
      </c>
      <c r="C11" s="70">
        <v>210000000000</v>
      </c>
      <c r="D11" t="s">
        <v>130</v>
      </c>
    </row>
    <row r="12" spans="2:5" x14ac:dyDescent="0.3">
      <c r="B12" t="s">
        <v>127</v>
      </c>
      <c r="C12" s="51">
        <v>7850</v>
      </c>
      <c r="D12" t="s">
        <v>131</v>
      </c>
    </row>
    <row r="13" spans="2:5" x14ac:dyDescent="0.3">
      <c r="B13" t="s">
        <v>132</v>
      </c>
      <c r="C13" s="51">
        <v>0.1</v>
      </c>
      <c r="D13" t="s">
        <v>133</v>
      </c>
      <c r="E13" t="s">
        <v>156</v>
      </c>
    </row>
    <row r="14" spans="2:5" x14ac:dyDescent="0.3">
      <c r="B14" t="s">
        <v>134</v>
      </c>
      <c r="C14" s="51">
        <v>5</v>
      </c>
      <c r="D14" t="s">
        <v>135</v>
      </c>
      <c r="E14" t="s">
        <v>155</v>
      </c>
    </row>
    <row r="15" spans="2:5" x14ac:dyDescent="0.3">
      <c r="B15" t="s">
        <v>136</v>
      </c>
      <c r="C15" s="51">
        <v>0.5</v>
      </c>
      <c r="D15" t="s">
        <v>133</v>
      </c>
      <c r="E15" t="s">
        <v>156</v>
      </c>
    </row>
    <row r="16" spans="2:5" x14ac:dyDescent="0.3">
      <c r="B16" t="s">
        <v>149</v>
      </c>
      <c r="C16" s="51">
        <v>0.1</v>
      </c>
      <c r="D16" s="55" t="s">
        <v>145</v>
      </c>
    </row>
    <row r="18" spans="2:6" x14ac:dyDescent="0.3">
      <c r="B18" t="s">
        <v>212</v>
      </c>
      <c r="E18" t="s">
        <v>213</v>
      </c>
    </row>
    <row r="20" spans="2:6" x14ac:dyDescent="0.3">
      <c r="B20" s="79" t="s">
        <v>173</v>
      </c>
      <c r="C20" s="79" t="s">
        <v>19</v>
      </c>
      <c r="D20" s="79" t="s">
        <v>209</v>
      </c>
      <c r="E20" s="79" t="s">
        <v>210</v>
      </c>
      <c r="F20" s="79" t="s">
        <v>211</v>
      </c>
    </row>
    <row r="21" spans="2:6" x14ac:dyDescent="0.3">
      <c r="B21" t="s">
        <v>214</v>
      </c>
      <c r="C21" t="s">
        <v>230</v>
      </c>
      <c r="D21" s="115" t="s">
        <v>216</v>
      </c>
      <c r="E21" s="115"/>
      <c r="F21" s="115"/>
    </row>
    <row r="22" spans="2:6" x14ac:dyDescent="0.3">
      <c r="B22" t="s">
        <v>215</v>
      </c>
      <c r="C22" t="s">
        <v>229</v>
      </c>
      <c r="D22" s="115" t="s">
        <v>217</v>
      </c>
      <c r="E22" s="115"/>
      <c r="F22" s="115"/>
    </row>
    <row r="23" spans="2:6" x14ac:dyDescent="0.3">
      <c r="B23" t="s">
        <v>174</v>
      </c>
      <c r="D23" s="115" t="s">
        <v>218</v>
      </c>
      <c r="E23" s="115"/>
      <c r="F23" s="115"/>
    </row>
    <row r="24" spans="2:6" x14ac:dyDescent="0.3">
      <c r="B24" t="s">
        <v>175</v>
      </c>
      <c r="D24" s="115" t="s">
        <v>219</v>
      </c>
      <c r="E24" s="115"/>
      <c r="F24" s="115"/>
    </row>
    <row r="25" spans="2:6" x14ac:dyDescent="0.3">
      <c r="B25" t="s">
        <v>176</v>
      </c>
      <c r="D25" s="115" t="s">
        <v>220</v>
      </c>
      <c r="E25" s="115"/>
      <c r="F25" s="115"/>
    </row>
    <row r="26" spans="2:6" x14ac:dyDescent="0.3">
      <c r="B26" t="s">
        <v>177</v>
      </c>
      <c r="D26" s="115" t="s">
        <v>221</v>
      </c>
      <c r="E26" s="115"/>
      <c r="F26" s="115"/>
    </row>
    <row r="27" spans="2:6" x14ac:dyDescent="0.3">
      <c r="B27" t="s">
        <v>178</v>
      </c>
      <c r="D27" s="115" t="s">
        <v>222</v>
      </c>
      <c r="E27" s="115"/>
      <c r="F27" s="115"/>
    </row>
    <row r="28" spans="2:6" x14ac:dyDescent="0.3">
      <c r="B28" t="s">
        <v>179</v>
      </c>
      <c r="D28" s="115" t="s">
        <v>223</v>
      </c>
      <c r="E28" s="115"/>
      <c r="F28" s="115"/>
    </row>
    <row r="29" spans="2:6" x14ac:dyDescent="0.3">
      <c r="B29" t="s">
        <v>180</v>
      </c>
      <c r="D29" s="115">
        <v>501</v>
      </c>
      <c r="E29" s="115"/>
      <c r="F29" s="115"/>
    </row>
    <row r="30" spans="2:6" x14ac:dyDescent="0.3">
      <c r="B30" t="s">
        <v>181</v>
      </c>
      <c r="D30" s="115">
        <v>4630000000</v>
      </c>
      <c r="E30" s="115"/>
      <c r="F30" s="115"/>
    </row>
    <row r="31" spans="2:6" x14ac:dyDescent="0.3">
      <c r="B31" t="s">
        <v>182</v>
      </c>
      <c r="D31" s="115">
        <v>900000000000</v>
      </c>
      <c r="E31" s="115"/>
      <c r="F31" s="115"/>
    </row>
    <row r="32" spans="2:6" x14ac:dyDescent="0.3">
      <c r="B32" t="s">
        <v>183</v>
      </c>
      <c r="D32" s="115">
        <v>-46200000000</v>
      </c>
      <c r="E32" s="115"/>
      <c r="F32" s="115"/>
    </row>
    <row r="33" spans="2:6" x14ac:dyDescent="0.3">
      <c r="B33" t="s">
        <v>184</v>
      </c>
      <c r="D33" s="115">
        <v>170000</v>
      </c>
      <c r="E33" s="115"/>
      <c r="F33" s="115"/>
    </row>
    <row r="34" spans="2:6" x14ac:dyDescent="0.3">
      <c r="B34" t="s">
        <v>185</v>
      </c>
      <c r="D34" s="115">
        <v>360000000</v>
      </c>
      <c r="E34" s="115"/>
      <c r="F34" s="115"/>
    </row>
    <row r="35" spans="2:6" x14ac:dyDescent="0.3">
      <c r="B35" t="s">
        <v>186</v>
      </c>
      <c r="D35" s="115">
        <v>0</v>
      </c>
      <c r="E35" s="115"/>
      <c r="F35" s="115"/>
    </row>
    <row r="36" spans="2:6" x14ac:dyDescent="0.3">
      <c r="B36" t="s">
        <v>187</v>
      </c>
      <c r="D36" s="115">
        <v>2</v>
      </c>
      <c r="E36" s="115"/>
      <c r="F36" s="115"/>
    </row>
    <row r="37" spans="2:6" x14ac:dyDescent="0.3">
      <c r="B37" t="s">
        <v>188</v>
      </c>
      <c r="D37" s="115">
        <v>10</v>
      </c>
      <c r="E37" s="115"/>
      <c r="F37" s="115"/>
    </row>
    <row r="38" spans="2:6" x14ac:dyDescent="0.3">
      <c r="B38" t="s">
        <v>189</v>
      </c>
      <c r="D38" s="115">
        <v>1</v>
      </c>
      <c r="E38" s="115"/>
      <c r="F38" s="115"/>
    </row>
    <row r="39" spans="2:6" x14ac:dyDescent="0.3">
      <c r="B39" t="s">
        <v>190</v>
      </c>
      <c r="D39" s="115">
        <v>1027</v>
      </c>
      <c r="E39" s="115"/>
      <c r="F39" s="115"/>
    </row>
    <row r="40" spans="2:6" x14ac:dyDescent="0.3">
      <c r="B40" t="s">
        <v>232</v>
      </c>
      <c r="C40" t="s">
        <v>228</v>
      </c>
      <c r="D40" s="115" t="s">
        <v>224</v>
      </c>
      <c r="E40" s="115">
        <v>1</v>
      </c>
      <c r="F40" s="115">
        <v>-2</v>
      </c>
    </row>
    <row r="41" spans="2:6" x14ac:dyDescent="0.3">
      <c r="B41" t="s">
        <v>233</v>
      </c>
      <c r="C41" t="s">
        <v>228</v>
      </c>
      <c r="D41" s="115" t="s">
        <v>224</v>
      </c>
      <c r="E41" s="115"/>
      <c r="F41" s="115"/>
    </row>
    <row r="42" spans="2:6" x14ac:dyDescent="0.3">
      <c r="B42" t="s">
        <v>191</v>
      </c>
      <c r="D42" s="115">
        <v>1325</v>
      </c>
      <c r="E42" s="115"/>
      <c r="F42" s="115"/>
    </row>
    <row r="43" spans="2:6" x14ac:dyDescent="0.3">
      <c r="B43" t="s">
        <v>192</v>
      </c>
      <c r="D43" s="115">
        <v>2</v>
      </c>
      <c r="E43" s="115"/>
      <c r="F43" s="115"/>
    </row>
    <row r="44" spans="2:6" x14ac:dyDescent="0.3">
      <c r="B44" t="s">
        <v>193</v>
      </c>
      <c r="D44" s="115">
        <v>300</v>
      </c>
      <c r="E44" s="115"/>
      <c r="F44" s="115"/>
    </row>
    <row r="45" spans="2:6" x14ac:dyDescent="0.3">
      <c r="B45" t="s">
        <v>194</v>
      </c>
      <c r="D45" s="115">
        <v>10</v>
      </c>
      <c r="E45" s="115"/>
      <c r="F45" s="115"/>
    </row>
    <row r="46" spans="2:6" x14ac:dyDescent="0.3">
      <c r="B46" t="s">
        <v>195</v>
      </c>
      <c r="D46" s="115">
        <v>7.4999999999999997E-3</v>
      </c>
      <c r="E46" s="115"/>
      <c r="F46" s="115"/>
    </row>
    <row r="47" spans="2:6" x14ac:dyDescent="0.3">
      <c r="B47" t="s">
        <v>196</v>
      </c>
      <c r="D47" s="115">
        <v>6.4000000000000003E-3</v>
      </c>
      <c r="E47" s="115"/>
      <c r="F47" s="115"/>
    </row>
    <row r="48" spans="2:6" x14ac:dyDescent="0.3">
      <c r="B48" t="s">
        <v>197</v>
      </c>
      <c r="D48" s="115">
        <v>36</v>
      </c>
      <c r="E48" s="115"/>
      <c r="F48" s="115"/>
    </row>
    <row r="49" spans="2:6" x14ac:dyDescent="0.3">
      <c r="B49" t="s">
        <v>200</v>
      </c>
      <c r="D49" s="115">
        <v>5</v>
      </c>
      <c r="E49" s="115"/>
      <c r="F49" s="115"/>
    </row>
    <row r="50" spans="2:6" x14ac:dyDescent="0.3">
      <c r="B50" t="s">
        <v>198</v>
      </c>
      <c r="D50" s="115">
        <v>10000000</v>
      </c>
      <c r="E50" s="115"/>
      <c r="F50" s="115"/>
    </row>
    <row r="51" spans="2:6" x14ac:dyDescent="0.3">
      <c r="B51" t="s">
        <v>199</v>
      </c>
      <c r="D51" s="115">
        <v>0.89500000000000002</v>
      </c>
      <c r="E51" s="115"/>
      <c r="F51" s="115"/>
    </row>
    <row r="52" spans="2:6" x14ac:dyDescent="0.3">
      <c r="B52" t="s">
        <v>200</v>
      </c>
      <c r="D52" s="115">
        <v>4</v>
      </c>
      <c r="E52" s="115">
        <v>3</v>
      </c>
      <c r="F52" s="115">
        <v>5</v>
      </c>
    </row>
    <row r="53" spans="2:6" x14ac:dyDescent="0.3">
      <c r="B53" t="s">
        <v>201</v>
      </c>
      <c r="C53" t="s">
        <v>231</v>
      </c>
      <c r="D53" s="115" t="s">
        <v>224</v>
      </c>
      <c r="E53" s="115"/>
      <c r="F53" s="115"/>
    </row>
    <row r="54" spans="2:6" x14ac:dyDescent="0.3">
      <c r="B54" t="s">
        <v>202</v>
      </c>
      <c r="C54" t="s">
        <v>228</v>
      </c>
      <c r="D54" s="115" t="s">
        <v>226</v>
      </c>
      <c r="E54" s="115">
        <v>140</v>
      </c>
      <c r="F54" s="115"/>
    </row>
    <row r="55" spans="2:6" x14ac:dyDescent="0.3">
      <c r="B55" t="s">
        <v>203</v>
      </c>
      <c r="D55" s="115">
        <v>0.11</v>
      </c>
      <c r="E55" s="115"/>
      <c r="F55" s="115"/>
    </row>
    <row r="56" spans="2:6" x14ac:dyDescent="0.3">
      <c r="B56" t="s">
        <v>204</v>
      </c>
      <c r="D56" s="115">
        <v>0</v>
      </c>
      <c r="E56" s="115"/>
      <c r="F56" s="115"/>
    </row>
    <row r="57" spans="2:6" x14ac:dyDescent="0.3">
      <c r="B57" t="s">
        <v>205</v>
      </c>
      <c r="D57" s="115">
        <v>0</v>
      </c>
      <c r="E57" s="115"/>
      <c r="F57" s="115"/>
    </row>
    <row r="58" spans="2:6" x14ac:dyDescent="0.3">
      <c r="B58" t="s">
        <v>206</v>
      </c>
      <c r="D58" s="115">
        <v>1</v>
      </c>
      <c r="E58" s="115"/>
      <c r="F58" s="115"/>
    </row>
    <row r="59" spans="2:6" x14ac:dyDescent="0.3">
      <c r="B59" t="s">
        <v>207</v>
      </c>
      <c r="D59" s="115" t="s">
        <v>227</v>
      </c>
      <c r="E59" s="115"/>
      <c r="F59" s="115"/>
    </row>
    <row r="60" spans="2:6" x14ac:dyDescent="0.3">
      <c r="B60" t="s">
        <v>208</v>
      </c>
      <c r="D60" s="115" t="s">
        <v>239</v>
      </c>
      <c r="E60" s="115"/>
      <c r="F60" s="115"/>
    </row>
  </sheetData>
  <protectedRanges>
    <protectedRange sqref="C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20</vt:i4>
      </vt:variant>
    </vt:vector>
  </HeadingPairs>
  <TitlesOfParts>
    <vt:vector size="25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PROJECT_PARAMETERS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2025-06-13T12:20:06Z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