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4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1C8FEC47-47FD-4F0B-AABD-94C88A43572C}" xr6:coauthVersionLast="47" xr6:coauthVersionMax="47" xr10:uidLastSave="{00000000-0000-0000-0000-000000000000}"/>
  <bookViews>
    <workbookView xWindow="-108" yWindow="-108" windowWidth="23256" windowHeight="13896" activeTab="4" xr2:uid="{52C6B389-4C94-430F-9043-C68D8C94A3E4}"/>
  </bookViews>
  <sheets>
    <sheet name="GlobalConfig" sheetId="9" r:id="rId1"/>
    <sheet name="CreateStucture" sheetId="1" r:id="rId2"/>
    <sheet name="BuildYourStructure" sheetId="5" r:id="rId3"/>
    <sheet name="StructureOverview" sheetId="6" r:id="rId4"/>
    <sheet name="ExportStructure" sheetId="7" r:id="rId5"/>
    <sheet name="Loop" sheetId="3" r:id="rId6"/>
  </sheets>
  <functionGroups builtInGroupCount="19"/>
  <externalReferences>
    <externalReference r:id="rId7"/>
  </externalReferences>
  <definedNames>
    <definedName name="_xleta.N" hidden="1" xlm="1">#NAME?</definedName>
    <definedName name="_xleta.T" hidden="1" xlm="1">#NAME?</definedName>
    <definedName name="Assambly_plot">BuildYourStructure!$A$114</definedName>
    <definedName name="Assambly_plot_Overview">StructureOverview!$BG$2</definedName>
    <definedName name="Bladed_Meta">Bladed_Settings[[#Headers],[Parameter]]</definedName>
    <definedName name="DISPL_MP">BuildYourStructure!$F$23</definedName>
    <definedName name="DISPL_TOWER">BuildYourStructure!$CC$23</definedName>
    <definedName name="DISPL_TP">BuildYourStructure!$AQ$23</definedName>
    <definedName name="Import_GeomConv_path">BuildYourStructure!$C$17</definedName>
    <definedName name="Import_MP_path">BuildYourStructure!$A$29</definedName>
    <definedName name="JBOOST_Path">ExportStructure!$E$6</definedName>
    <definedName name="MOVE_STRUCT">BuildYourStructure!#REF!</definedName>
    <definedName name="MP_plot">BuildYourStructure!$M$2</definedName>
    <definedName name="PROJECT_PARAMETERS">JBOOST_PROJECT[[#Headers],[Project Settings]]</definedName>
    <definedName name="python_script_path">GlobalConfig!$C$3</definedName>
    <definedName name="python_scripts_path">GlobalConfig!$C$3</definedName>
    <definedName name="RNA_CURR_TRUE">RNA_DATA_TRUE[[#Headers],[Identifier]]</definedName>
    <definedName name="RNA_META_FULL36">#REF!</definedName>
    <definedName name="SKIRT_MASS">StructureOverview!$AD$12</definedName>
    <definedName name="Table_MP_DATA">BuildYourStructure!$Y$17</definedName>
    <definedName name="Table_MP_META">BuildYourStructure!$E$12</definedName>
    <definedName name="Table_TP_DATA">BuildYourStructure!#REF!</definedName>
    <definedName name="Table_TP_META">BuildYourStructure!#REF!</definedName>
    <definedName name="Text">BuildYourStructure!$BM$6</definedName>
    <definedName name="TextBox_Import_MP_path">BuildYourStructure!$A$29</definedName>
    <definedName name="TextBox_MP_db_path">BuildYourStructure!$F$6</definedName>
    <definedName name="TextBox_RNA_db_path">BuildYourStructure!$DO$6</definedName>
    <definedName name="TextBox_TOWER_db_path">BuildYourStructure!$BM$6</definedName>
    <definedName name="TextBox_TOWER_db_path2">BuildYourStructure!$CC$6</definedName>
    <definedName name="TextBox_TP_db_path">BuildYourStructure!$AQ$6</definedName>
    <definedName name="TextBox_TWR_db_path">#REF!</definedName>
    <definedName name="TOWER_plot">BuildYourStructure!$CJ$2</definedName>
    <definedName name="TP_plot">BuildYourStructure!$AX$2</definedName>
    <definedName name="Use_MP">BuildYourStructure!$A$22</definedName>
    <definedName name="Use_TP">BuildYourStructure!$B$22</definedName>
    <definedName name="UseMPGeomConv">BuildYourStructure!$C$22</definedName>
    <definedName name="UseTOWERGeomConv">BuildYourStructure!$D$22</definedName>
    <definedName name="UseTPGeomConv">BuildYourStructure!$C$23</definedName>
    <definedName name="WLGen_path">ExportStructure!$M$6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6" l="1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7" i="6"/>
  <c r="CH113" i="5" l="1"/>
  <c r="CH114" i="5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563" i="5"/>
  <c r="CH564" i="5"/>
  <c r="CH565" i="5"/>
  <c r="CH566" i="5"/>
  <c r="CH567" i="5"/>
  <c r="CH568" i="5"/>
  <c r="CH569" i="5"/>
  <c r="CH570" i="5"/>
  <c r="CH571" i="5"/>
  <c r="CH572" i="5"/>
  <c r="CH573" i="5"/>
  <c r="CH574" i="5"/>
  <c r="CH575" i="5"/>
  <c r="CH576" i="5"/>
  <c r="CH577" i="5"/>
  <c r="CH578" i="5"/>
  <c r="CH579" i="5"/>
  <c r="CH580" i="5"/>
  <c r="CH581" i="5"/>
  <c r="CH582" i="5"/>
  <c r="CH583" i="5"/>
  <c r="CH584" i="5"/>
  <c r="CH585" i="5"/>
  <c r="CH586" i="5"/>
  <c r="CH587" i="5"/>
  <c r="CH588" i="5"/>
  <c r="CH589" i="5"/>
  <c r="CH590" i="5"/>
  <c r="CH591" i="5"/>
  <c r="CH592" i="5"/>
  <c r="CH593" i="5"/>
  <c r="CH594" i="5"/>
  <c r="CH595" i="5"/>
  <c r="CH596" i="5"/>
  <c r="CH597" i="5"/>
  <c r="CH598" i="5"/>
  <c r="CH599" i="5"/>
  <c r="CH600" i="5"/>
  <c r="CH601" i="5"/>
  <c r="CH602" i="5"/>
  <c r="CH603" i="5"/>
  <c r="CH604" i="5"/>
  <c r="CH605" i="5"/>
  <c r="CH606" i="5"/>
  <c r="CH607" i="5"/>
  <c r="CH608" i="5"/>
  <c r="CH609" i="5"/>
  <c r="CH610" i="5"/>
  <c r="CH611" i="5"/>
  <c r="CH612" i="5"/>
  <c r="CH613" i="5"/>
  <c r="CH614" i="5"/>
  <c r="CH615" i="5"/>
  <c r="CH616" i="5"/>
  <c r="CH617" i="5"/>
  <c r="CH618" i="5"/>
  <c r="CH619" i="5"/>
  <c r="CH620" i="5"/>
  <c r="CH621" i="5"/>
  <c r="CH622" i="5"/>
  <c r="CH623" i="5"/>
  <c r="CH624" i="5"/>
  <c r="CH625" i="5"/>
  <c r="CH626" i="5"/>
  <c r="CH627" i="5"/>
  <c r="CH628" i="5"/>
  <c r="CH629" i="5"/>
  <c r="CH630" i="5"/>
  <c r="CH631" i="5"/>
  <c r="CH632" i="5"/>
  <c r="CH633" i="5"/>
  <c r="CH634" i="5"/>
  <c r="CH635" i="5"/>
  <c r="CH636" i="5"/>
  <c r="CH637" i="5"/>
  <c r="CH638" i="5"/>
  <c r="CH639" i="5"/>
  <c r="CH640" i="5"/>
  <c r="CH641" i="5"/>
  <c r="CH642" i="5"/>
  <c r="CH643" i="5"/>
  <c r="CH644" i="5"/>
  <c r="CH645" i="5"/>
  <c r="CH646" i="5"/>
  <c r="CH647" i="5"/>
  <c r="CH648" i="5"/>
  <c r="CH649" i="5"/>
  <c r="CH650" i="5"/>
  <c r="CH651" i="5"/>
  <c r="CH652" i="5"/>
  <c r="CH653" i="5"/>
  <c r="CH654" i="5"/>
  <c r="CH655" i="5"/>
  <c r="CH656" i="5"/>
  <c r="CH657" i="5"/>
  <c r="CH658" i="5"/>
  <c r="CH659" i="5"/>
  <c r="CH660" i="5"/>
  <c r="CH661" i="5"/>
  <c r="CH662" i="5"/>
  <c r="CH663" i="5"/>
  <c r="CH664" i="5"/>
  <c r="CH665" i="5"/>
  <c r="CH666" i="5"/>
  <c r="CH667" i="5"/>
  <c r="CH668" i="5"/>
  <c r="CH669" i="5"/>
  <c r="CH670" i="5"/>
  <c r="CH671" i="5"/>
  <c r="CH672" i="5"/>
  <c r="CH673" i="5"/>
  <c r="CH674" i="5"/>
  <c r="CH675" i="5"/>
  <c r="CH676" i="5"/>
  <c r="CH677" i="5"/>
  <c r="CH678" i="5"/>
  <c r="CH679" i="5"/>
  <c r="CH680" i="5"/>
  <c r="CH681" i="5"/>
  <c r="CH682" i="5"/>
  <c r="CH683" i="5"/>
  <c r="CH684" i="5"/>
  <c r="CH685" i="5"/>
  <c r="CH686" i="5"/>
  <c r="CH687" i="5"/>
  <c r="CH688" i="5"/>
  <c r="CH689" i="5"/>
  <c r="CH690" i="5"/>
  <c r="CH691" i="5"/>
  <c r="CH692" i="5"/>
  <c r="CH693" i="5"/>
  <c r="CH694" i="5"/>
  <c r="CH695" i="5"/>
  <c r="CH696" i="5"/>
  <c r="CH697" i="5"/>
  <c r="CH698" i="5"/>
  <c r="CH699" i="5"/>
  <c r="CH700" i="5"/>
  <c r="CH701" i="5"/>
  <c r="CH702" i="5"/>
  <c r="CH703" i="5"/>
  <c r="CH704" i="5"/>
  <c r="CH705" i="5"/>
  <c r="CH706" i="5"/>
  <c r="CH707" i="5"/>
  <c r="CH708" i="5"/>
  <c r="CH709" i="5"/>
  <c r="CH710" i="5"/>
  <c r="CH711" i="5"/>
  <c r="CH712" i="5"/>
  <c r="CH713" i="5"/>
  <c r="CH714" i="5"/>
  <c r="CH715" i="5"/>
  <c r="CH716" i="5"/>
  <c r="CH717" i="5"/>
  <c r="CH718" i="5"/>
  <c r="CH719" i="5"/>
  <c r="CH720" i="5"/>
  <c r="CH721" i="5"/>
  <c r="CH722" i="5"/>
  <c r="CH723" i="5"/>
  <c r="CH724" i="5"/>
  <c r="CH725" i="5"/>
  <c r="CH726" i="5"/>
  <c r="CH727" i="5"/>
  <c r="CH728" i="5"/>
  <c r="CH729" i="5"/>
  <c r="CH730" i="5"/>
  <c r="CH731" i="5"/>
  <c r="CH732" i="5"/>
  <c r="CH733" i="5"/>
  <c r="CH734" i="5"/>
  <c r="CH735" i="5"/>
  <c r="CH736" i="5"/>
  <c r="CH737" i="5"/>
  <c r="CH738" i="5"/>
  <c r="CH739" i="5"/>
  <c r="CH740" i="5"/>
  <c r="CH741" i="5"/>
  <c r="CH742" i="5"/>
  <c r="CH743" i="5"/>
  <c r="CH744" i="5"/>
  <c r="CH745" i="5"/>
  <c r="CH746" i="5"/>
  <c r="CH747" i="5"/>
  <c r="CH748" i="5"/>
  <c r="CH749" i="5"/>
  <c r="CH750" i="5"/>
  <c r="CH751" i="5"/>
  <c r="CH752" i="5"/>
  <c r="CH753" i="5"/>
  <c r="CH754" i="5"/>
  <c r="CH755" i="5"/>
  <c r="CH756" i="5"/>
  <c r="CH757" i="5"/>
  <c r="CH758" i="5"/>
  <c r="CH759" i="5"/>
  <c r="CH760" i="5"/>
  <c r="CH761" i="5"/>
  <c r="CH762" i="5"/>
  <c r="CH763" i="5"/>
  <c r="CH764" i="5"/>
  <c r="CH765" i="5"/>
  <c r="CH766" i="5"/>
  <c r="CH767" i="5"/>
  <c r="CH768" i="5"/>
  <c r="CH769" i="5"/>
  <c r="CH770" i="5"/>
  <c r="CH771" i="5"/>
  <c r="CH772" i="5"/>
  <c r="CH773" i="5"/>
  <c r="CH774" i="5"/>
  <c r="CH775" i="5"/>
  <c r="CH776" i="5"/>
  <c r="CH777" i="5"/>
  <c r="CH778" i="5"/>
  <c r="CH779" i="5"/>
  <c r="CH780" i="5"/>
  <c r="CH781" i="5"/>
  <c r="CH782" i="5"/>
  <c r="CH783" i="5"/>
  <c r="CH784" i="5"/>
  <c r="CH785" i="5"/>
  <c r="CH786" i="5"/>
  <c r="CH787" i="5"/>
  <c r="CH788" i="5"/>
  <c r="CH789" i="5"/>
  <c r="CH790" i="5"/>
  <c r="CH791" i="5"/>
  <c r="CH792" i="5"/>
  <c r="CH793" i="5"/>
  <c r="CH794" i="5"/>
  <c r="CH795" i="5"/>
  <c r="CH796" i="5"/>
  <c r="CH797" i="5"/>
  <c r="CH798" i="5"/>
  <c r="CH799" i="5"/>
  <c r="CH800" i="5"/>
  <c r="CH801" i="5"/>
  <c r="CH802" i="5"/>
  <c r="CH803" i="5"/>
  <c r="CH804" i="5"/>
  <c r="CH805" i="5"/>
  <c r="CH806" i="5"/>
  <c r="CH807" i="5"/>
  <c r="CH808" i="5"/>
  <c r="CH809" i="5"/>
  <c r="CH810" i="5"/>
  <c r="CH811" i="5"/>
  <c r="CH812" i="5"/>
  <c r="CH813" i="5"/>
  <c r="CH814" i="5"/>
  <c r="CH815" i="5"/>
  <c r="CH816" i="5"/>
  <c r="CH817" i="5"/>
  <c r="CH818" i="5"/>
  <c r="CH819" i="5"/>
  <c r="CH820" i="5"/>
  <c r="CH821" i="5"/>
  <c r="CH822" i="5"/>
  <c r="CH823" i="5"/>
  <c r="CH824" i="5"/>
  <c r="CH825" i="5"/>
  <c r="CH826" i="5"/>
  <c r="CH827" i="5"/>
  <c r="CH828" i="5"/>
  <c r="CH829" i="5"/>
  <c r="CH830" i="5"/>
  <c r="CH831" i="5"/>
  <c r="CH832" i="5"/>
  <c r="CH833" i="5"/>
  <c r="CH834" i="5"/>
  <c r="CH835" i="5"/>
  <c r="CH836" i="5"/>
  <c r="CH837" i="5"/>
  <c r="CH838" i="5"/>
  <c r="CH839" i="5"/>
  <c r="CH840" i="5"/>
  <c r="CH841" i="5"/>
  <c r="CH842" i="5"/>
  <c r="CH843" i="5"/>
  <c r="CH844" i="5"/>
  <c r="CH845" i="5"/>
  <c r="CH846" i="5"/>
  <c r="CH847" i="5"/>
  <c r="CH848" i="5"/>
  <c r="CH849" i="5"/>
  <c r="CH850" i="5"/>
  <c r="CH851" i="5"/>
  <c r="CH852" i="5"/>
  <c r="CH853" i="5"/>
  <c r="CH854" i="5"/>
  <c r="CH855" i="5"/>
  <c r="CH856" i="5"/>
  <c r="CH857" i="5"/>
  <c r="CH858" i="5"/>
  <c r="CH859" i="5"/>
  <c r="CH860" i="5"/>
  <c r="CH861" i="5"/>
  <c r="CH862" i="5"/>
  <c r="CH863" i="5"/>
  <c r="CH864" i="5"/>
  <c r="CH865" i="5"/>
  <c r="CH866" i="5"/>
  <c r="CH867" i="5"/>
  <c r="CH868" i="5"/>
  <c r="CH869" i="5"/>
  <c r="CH870" i="5"/>
  <c r="CH871" i="5"/>
  <c r="CH872" i="5"/>
  <c r="CH873" i="5"/>
  <c r="CH874" i="5"/>
  <c r="CH875" i="5"/>
  <c r="CH876" i="5"/>
  <c r="CH877" i="5"/>
  <c r="CH878" i="5"/>
  <c r="CH879" i="5"/>
  <c r="CH880" i="5"/>
  <c r="CH881" i="5"/>
  <c r="CH882" i="5"/>
  <c r="CH883" i="5"/>
  <c r="CH884" i="5"/>
  <c r="CH885" i="5"/>
  <c r="CH886" i="5"/>
  <c r="CH887" i="5"/>
  <c r="CH888" i="5"/>
  <c r="CH889" i="5"/>
  <c r="CH112" i="5"/>
  <c r="AV113" i="5"/>
  <c r="AV114" i="5"/>
  <c r="AV115" i="5"/>
  <c r="AV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12" i="5"/>
  <c r="CK137" i="5"/>
  <c r="CJ137" i="5"/>
  <c r="CK136" i="5"/>
  <c r="CJ136" i="5"/>
  <c r="CI136" i="5"/>
  <c r="CK135" i="5"/>
  <c r="CJ135" i="5"/>
  <c r="CI135" i="5"/>
  <c r="CK134" i="5"/>
  <c r="CJ134" i="5"/>
  <c r="CI134" i="5"/>
  <c r="CK133" i="5"/>
  <c r="CJ133" i="5"/>
  <c r="CI133" i="5"/>
  <c r="CK132" i="5"/>
  <c r="CJ132" i="5"/>
  <c r="CI132" i="5"/>
  <c r="CK131" i="5"/>
  <c r="CJ131" i="5"/>
  <c r="CI131" i="5"/>
  <c r="CK130" i="5"/>
  <c r="CJ130" i="5"/>
  <c r="CI130" i="5"/>
  <c r="CK129" i="5"/>
  <c r="CJ129" i="5"/>
  <c r="CI129" i="5"/>
  <c r="CK128" i="5"/>
  <c r="CJ128" i="5"/>
  <c r="CI128" i="5"/>
  <c r="CK127" i="5"/>
  <c r="CJ127" i="5"/>
  <c r="CI127" i="5"/>
  <c r="CK126" i="5"/>
  <c r="CJ126" i="5"/>
  <c r="CI126" i="5"/>
  <c r="CK125" i="5"/>
  <c r="CJ125" i="5"/>
  <c r="CI125" i="5"/>
  <c r="CK124" i="5"/>
  <c r="CJ124" i="5"/>
  <c r="CI124" i="5"/>
  <c r="CK123" i="5"/>
  <c r="CJ123" i="5"/>
  <c r="CI123" i="5"/>
  <c r="CK122" i="5"/>
  <c r="CJ122" i="5"/>
  <c r="CI122" i="5"/>
  <c r="CK121" i="5"/>
  <c r="CJ121" i="5"/>
  <c r="CI121" i="5"/>
  <c r="CK120" i="5"/>
  <c r="CJ120" i="5"/>
  <c r="CI120" i="5"/>
  <c r="CK119" i="5"/>
  <c r="CJ119" i="5"/>
  <c r="CI119" i="5"/>
  <c r="CK118" i="5"/>
  <c r="CJ118" i="5"/>
  <c r="CI118" i="5"/>
  <c r="CK117" i="5"/>
  <c r="CJ117" i="5"/>
  <c r="CI117" i="5"/>
  <c r="CK116" i="5"/>
  <c r="CJ116" i="5"/>
  <c r="CI116" i="5"/>
  <c r="CK115" i="5"/>
  <c r="CJ115" i="5"/>
  <c r="CI115" i="5"/>
  <c r="CK114" i="5"/>
  <c r="CJ114" i="5"/>
  <c r="CI114" i="5"/>
  <c r="CK113" i="5"/>
  <c r="CJ113" i="5"/>
  <c r="CI113" i="5"/>
  <c r="CK112" i="5"/>
  <c r="CJ112" i="5"/>
  <c r="CI112" i="5"/>
  <c r="CL111" i="5"/>
  <c r="CL110" i="5"/>
  <c r="CL109" i="5"/>
  <c r="CK109" i="5"/>
  <c r="CJ109" i="5"/>
  <c r="CI109" i="5"/>
  <c r="CH109" i="5"/>
  <c r="CL108" i="5"/>
  <c r="CK108" i="5"/>
  <c r="CJ108" i="5"/>
  <c r="CI108" i="5"/>
  <c r="CH108" i="5"/>
  <c r="CL107" i="5"/>
  <c r="CL106" i="5"/>
  <c r="CL105" i="5"/>
  <c r="CL104" i="5"/>
  <c r="CL103" i="5"/>
  <c r="CL102" i="5"/>
  <c r="CL101" i="5"/>
  <c r="CL100" i="5"/>
  <c r="CL99" i="5"/>
  <c r="CL98" i="5"/>
  <c r="CL97" i="5"/>
  <c r="CL96" i="5"/>
  <c r="CL95" i="5"/>
  <c r="CL94" i="5"/>
  <c r="CL93" i="5"/>
  <c r="CL92" i="5"/>
  <c r="CL91" i="5"/>
  <c r="CL90" i="5"/>
  <c r="CL89" i="5"/>
  <c r="CL88" i="5"/>
  <c r="CL87" i="5"/>
  <c r="CL86" i="5"/>
  <c r="CL85" i="5"/>
  <c r="CL84" i="5"/>
  <c r="CL83" i="5"/>
  <c r="CK83" i="5"/>
  <c r="CJ83" i="5"/>
  <c r="CI83" i="5"/>
  <c r="CH83" i="5"/>
  <c r="CL82" i="5"/>
  <c r="CK82" i="5"/>
  <c r="CJ82" i="5"/>
  <c r="CI82" i="5"/>
  <c r="CH82" i="5"/>
  <c r="CL81" i="5"/>
  <c r="CK81" i="5"/>
  <c r="CJ81" i="5"/>
  <c r="CI81" i="5"/>
  <c r="CH81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59" i="5"/>
  <c r="CL46" i="5"/>
  <c r="CL45" i="5"/>
  <c r="CL44" i="5"/>
  <c r="CL43" i="5"/>
  <c r="CL42" i="5"/>
  <c r="CL41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CL22" i="5"/>
  <c r="DU87" i="5"/>
  <c r="DU88" i="5"/>
  <c r="DU89" i="5"/>
  <c r="DU90" i="5"/>
  <c r="DU91" i="5"/>
  <c r="DU92" i="5"/>
  <c r="DU93" i="5"/>
  <c r="DU94" i="5"/>
  <c r="DU95" i="5"/>
  <c r="DU96" i="5"/>
  <c r="DU97" i="5"/>
  <c r="DU98" i="5"/>
  <c r="DU99" i="5"/>
  <c r="DU100" i="5"/>
  <c r="DU101" i="5"/>
  <c r="DU102" i="5"/>
  <c r="DU103" i="5"/>
  <c r="DU104" i="5"/>
  <c r="DU105" i="5"/>
  <c r="DU106" i="5"/>
  <c r="DU107" i="5"/>
  <c r="DU108" i="5"/>
  <c r="DU109" i="5"/>
  <c r="DU110" i="5"/>
  <c r="DU111" i="5"/>
  <c r="DU112" i="5"/>
  <c r="DU113" i="5"/>
  <c r="DU114" i="5"/>
  <c r="DU115" i="5"/>
  <c r="DU116" i="5"/>
  <c r="DU117" i="5"/>
  <c r="DU118" i="5"/>
  <c r="DU119" i="5"/>
  <c r="DU120" i="5"/>
  <c r="DU121" i="5"/>
  <c r="DU122" i="5"/>
  <c r="DU123" i="5"/>
  <c r="DU124" i="5"/>
  <c r="DU125" i="5"/>
  <c r="DU126" i="5"/>
  <c r="DU127" i="5"/>
  <c r="DU128" i="5"/>
  <c r="DU129" i="5"/>
  <c r="DU130" i="5"/>
  <c r="DU131" i="5"/>
  <c r="DU132" i="5"/>
  <c r="DU133" i="5"/>
  <c r="AY137" i="5"/>
  <c r="AX137" i="5"/>
  <c r="AY136" i="5"/>
  <c r="AX136" i="5"/>
  <c r="AW136" i="5"/>
  <c r="AY135" i="5"/>
  <c r="AX135" i="5"/>
  <c r="AW135" i="5"/>
  <c r="AY134" i="5"/>
  <c r="AX134" i="5"/>
  <c r="AW134" i="5"/>
  <c r="AY133" i="5"/>
  <c r="AX133" i="5"/>
  <c r="AW133" i="5"/>
  <c r="AY132" i="5"/>
  <c r="AX132" i="5"/>
  <c r="AW132" i="5"/>
  <c r="AY131" i="5"/>
  <c r="AX131" i="5"/>
  <c r="AW131" i="5"/>
  <c r="AY130" i="5"/>
  <c r="AX130" i="5"/>
  <c r="AW130" i="5"/>
  <c r="AY129" i="5"/>
  <c r="AX129" i="5"/>
  <c r="AW129" i="5"/>
  <c r="AY128" i="5"/>
  <c r="AX128" i="5"/>
  <c r="AW128" i="5"/>
  <c r="AY127" i="5"/>
  <c r="AX127" i="5"/>
  <c r="AW127" i="5"/>
  <c r="AY126" i="5"/>
  <c r="AX126" i="5"/>
  <c r="AW126" i="5"/>
  <c r="AY125" i="5"/>
  <c r="AX125" i="5"/>
  <c r="AW125" i="5"/>
  <c r="AY124" i="5"/>
  <c r="AX124" i="5"/>
  <c r="AW124" i="5"/>
  <c r="AY123" i="5"/>
  <c r="AX123" i="5"/>
  <c r="AW123" i="5"/>
  <c r="AY122" i="5"/>
  <c r="AX122" i="5"/>
  <c r="AW122" i="5"/>
  <c r="AY121" i="5"/>
  <c r="AX121" i="5"/>
  <c r="AW121" i="5"/>
  <c r="AY120" i="5"/>
  <c r="AX120" i="5"/>
  <c r="AW120" i="5"/>
  <c r="AY119" i="5"/>
  <c r="AX119" i="5"/>
  <c r="AW119" i="5"/>
  <c r="AY118" i="5"/>
  <c r="AX118" i="5"/>
  <c r="AW118" i="5"/>
  <c r="AY117" i="5"/>
  <c r="AX117" i="5"/>
  <c r="AW117" i="5"/>
  <c r="AY116" i="5"/>
  <c r="AX116" i="5"/>
  <c r="AW116" i="5"/>
  <c r="AY115" i="5"/>
  <c r="AX115" i="5"/>
  <c r="AW115" i="5"/>
  <c r="AY114" i="5"/>
  <c r="AX114" i="5"/>
  <c r="AW114" i="5"/>
  <c r="AY113" i="5"/>
  <c r="AX113" i="5"/>
  <c r="AW113" i="5"/>
  <c r="AY112" i="5"/>
  <c r="AX112" i="5"/>
  <c r="AW112" i="5"/>
  <c r="AZ111" i="5"/>
  <c r="AZ110" i="5"/>
  <c r="AZ109" i="5"/>
  <c r="AY109" i="5"/>
  <c r="AX109" i="5"/>
  <c r="AW109" i="5"/>
  <c r="AV109" i="5"/>
  <c r="AZ108" i="5"/>
  <c r="AY108" i="5"/>
  <c r="AX108" i="5"/>
  <c r="AW108" i="5"/>
  <c r="AV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Z83" i="5"/>
  <c r="AY83" i="5"/>
  <c r="AX83" i="5"/>
  <c r="AW83" i="5"/>
  <c r="AV83" i="5"/>
  <c r="AZ82" i="5"/>
  <c r="AY82" i="5"/>
  <c r="AX82" i="5"/>
  <c r="AW82" i="5"/>
  <c r="AV82" i="5"/>
  <c r="AZ81" i="5"/>
  <c r="AY81" i="5"/>
  <c r="AX81" i="5"/>
  <c r="AW81" i="5"/>
  <c r="AV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59" i="5"/>
  <c r="AZ46" i="5"/>
  <c r="AZ45" i="5"/>
  <c r="AZ44" i="5"/>
  <c r="AZ43" i="5"/>
  <c r="AZ42" i="5"/>
  <c r="AZ41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AZ22" i="5"/>
  <c r="M112" i="5"/>
  <c r="L118" i="5"/>
  <c r="M134" i="5"/>
  <c r="M135" i="5"/>
  <c r="M136" i="5"/>
  <c r="M137" i="5"/>
  <c r="N112" i="5"/>
  <c r="O26" i="5"/>
  <c r="B9" i="6"/>
  <c r="M81" i="5"/>
  <c r="M82" i="5"/>
  <c r="M83" i="5"/>
  <c r="B33" i="6" l="1" a="1"/>
  <c r="B33" i="6" s="1"/>
  <c r="B34" i="6"/>
  <c r="AZ17" i="6" l="1"/>
  <c r="AC31" i="6"/>
  <c r="M7" i="6" l="1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O61" i="6" l="1"/>
  <c r="M61" i="6"/>
  <c r="P61" i="6"/>
  <c r="O62" i="6"/>
  <c r="M62" i="6"/>
  <c r="P62" i="6"/>
  <c r="O63" i="6"/>
  <c r="M63" i="6"/>
  <c r="P63" i="6"/>
  <c r="O64" i="6"/>
  <c r="M64" i="6"/>
  <c r="P64" i="6"/>
  <c r="O65" i="6"/>
  <c r="M65" i="6"/>
  <c r="P65" i="6"/>
  <c r="O66" i="6"/>
  <c r="M66" i="6"/>
  <c r="P66" i="6"/>
  <c r="O67" i="6"/>
  <c r="M67" i="6"/>
  <c r="P67" i="6"/>
  <c r="O68" i="6"/>
  <c r="M68" i="6"/>
  <c r="P68" i="6"/>
  <c r="O69" i="6"/>
  <c r="M69" i="6"/>
  <c r="P69" i="6"/>
  <c r="O70" i="6"/>
  <c r="M70" i="6"/>
  <c r="P70" i="6"/>
  <c r="O71" i="6"/>
  <c r="M71" i="6"/>
  <c r="P71" i="6"/>
  <c r="O72" i="6"/>
  <c r="M72" i="6"/>
  <c r="P72" i="6"/>
  <c r="O73" i="6"/>
  <c r="M73" i="6"/>
  <c r="P73" i="6"/>
  <c r="O74" i="6"/>
  <c r="M74" i="6"/>
  <c r="P74" i="6"/>
  <c r="O75" i="6"/>
  <c r="M75" i="6"/>
  <c r="P75" i="6"/>
  <c r="O76" i="6"/>
  <c r="M76" i="6"/>
  <c r="P76" i="6"/>
  <c r="O77" i="6"/>
  <c r="M77" i="6"/>
  <c r="P77" i="6"/>
  <c r="O78" i="6"/>
  <c r="M78" i="6"/>
  <c r="P78" i="6"/>
  <c r="O79" i="6"/>
  <c r="M79" i="6"/>
  <c r="P79" i="6"/>
  <c r="O80" i="6"/>
  <c r="M80" i="6"/>
  <c r="P80" i="6"/>
  <c r="O81" i="6"/>
  <c r="M81" i="6"/>
  <c r="P81" i="6"/>
  <c r="O82" i="6"/>
  <c r="M82" i="6"/>
  <c r="P82" i="6"/>
  <c r="O83" i="6"/>
  <c r="M83" i="6"/>
  <c r="P83" i="6"/>
  <c r="O84" i="6"/>
  <c r="M84" i="6"/>
  <c r="P84" i="6"/>
  <c r="O85" i="6"/>
  <c r="M85" i="6"/>
  <c r="P85" i="6"/>
  <c r="O86" i="6"/>
  <c r="M86" i="6"/>
  <c r="P86" i="6"/>
  <c r="O87" i="6"/>
  <c r="M87" i="6"/>
  <c r="P87" i="6"/>
  <c r="O88" i="6"/>
  <c r="M88" i="6"/>
  <c r="P88" i="6"/>
  <c r="O89" i="6"/>
  <c r="M89" i="6"/>
  <c r="P89" i="6"/>
  <c r="O90" i="6"/>
  <c r="M90" i="6"/>
  <c r="P90" i="6"/>
  <c r="O91" i="6"/>
  <c r="M91" i="6"/>
  <c r="P91" i="6"/>
  <c r="O92" i="6"/>
  <c r="M92" i="6"/>
  <c r="P92" i="6"/>
  <c r="O93" i="6"/>
  <c r="M93" i="6"/>
  <c r="P93" i="6"/>
  <c r="O94" i="6"/>
  <c r="M94" i="6"/>
  <c r="P94" i="6"/>
  <c r="O95" i="6"/>
  <c r="M95" i="6"/>
  <c r="P95" i="6"/>
  <c r="O96" i="6"/>
  <c r="M96" i="6"/>
  <c r="P96" i="6"/>
  <c r="O97" i="6"/>
  <c r="M97" i="6"/>
  <c r="P97" i="6"/>
  <c r="O98" i="6"/>
  <c r="M98" i="6"/>
  <c r="P98" i="6"/>
  <c r="O99" i="6"/>
  <c r="M99" i="6"/>
  <c r="P99" i="6"/>
  <c r="O100" i="6"/>
  <c r="M100" i="6"/>
  <c r="P100" i="6"/>
  <c r="O101" i="6"/>
  <c r="M101" i="6"/>
  <c r="P101" i="6"/>
  <c r="O102" i="6"/>
  <c r="M102" i="6"/>
  <c r="P102" i="6"/>
  <c r="O103" i="6"/>
  <c r="M103" i="6"/>
  <c r="P103" i="6"/>
  <c r="O104" i="6"/>
  <c r="M104" i="6"/>
  <c r="P104" i="6"/>
  <c r="O105" i="6"/>
  <c r="M105" i="6"/>
  <c r="P105" i="6"/>
  <c r="O106" i="6"/>
  <c r="M106" i="6"/>
  <c r="P106" i="6"/>
  <c r="O107" i="6"/>
  <c r="M107" i="6"/>
  <c r="P107" i="6"/>
  <c r="O108" i="6"/>
  <c r="M108" i="6"/>
  <c r="P108" i="6"/>
  <c r="O109" i="6"/>
  <c r="M109" i="6"/>
  <c r="P109" i="6"/>
  <c r="O110" i="6"/>
  <c r="M110" i="6"/>
  <c r="P110" i="6"/>
  <c r="O111" i="6"/>
  <c r="M111" i="6"/>
  <c r="P111" i="6"/>
  <c r="O112" i="6"/>
  <c r="M112" i="6"/>
  <c r="P112" i="6"/>
  <c r="O113" i="6"/>
  <c r="M113" i="6"/>
  <c r="P113" i="6"/>
  <c r="O114" i="6"/>
  <c r="M114" i="6"/>
  <c r="P114" i="6"/>
  <c r="O115" i="6"/>
  <c r="M115" i="6"/>
  <c r="P115" i="6"/>
  <c r="O116" i="6"/>
  <c r="M116" i="6"/>
  <c r="P116" i="6"/>
  <c r="O117" i="6"/>
  <c r="M117" i="6"/>
  <c r="P117" i="6"/>
  <c r="O118" i="6"/>
  <c r="M118" i="6"/>
  <c r="P118" i="6"/>
  <c r="O119" i="6"/>
  <c r="M119" i="6"/>
  <c r="P119" i="6"/>
  <c r="O120" i="6"/>
  <c r="M120" i="6"/>
  <c r="P120" i="6"/>
  <c r="O121" i="6"/>
  <c r="M121" i="6"/>
  <c r="P121" i="6"/>
  <c r="O122" i="6"/>
  <c r="M122" i="6"/>
  <c r="P122" i="6"/>
  <c r="O123" i="6"/>
  <c r="M123" i="6"/>
  <c r="P123" i="6"/>
  <c r="O132" i="6"/>
  <c r="M132" i="6"/>
  <c r="P132" i="6"/>
  <c r="O133" i="6"/>
  <c r="M133" i="6"/>
  <c r="P133" i="6"/>
  <c r="O134" i="6"/>
  <c r="M134" i="6"/>
  <c r="P134" i="6"/>
  <c r="O135" i="6"/>
  <c r="M135" i="6"/>
  <c r="P135" i="6"/>
  <c r="O136" i="6"/>
  <c r="M136" i="6"/>
  <c r="P136" i="6"/>
  <c r="O137" i="6"/>
  <c r="M137" i="6"/>
  <c r="P137" i="6"/>
  <c r="O138" i="6"/>
  <c r="M138" i="6"/>
  <c r="P138" i="6"/>
  <c r="O139" i="6"/>
  <c r="M139" i="6"/>
  <c r="P139" i="6"/>
  <c r="O140" i="6"/>
  <c r="M140" i="6"/>
  <c r="P140" i="6"/>
  <c r="O141" i="6"/>
  <c r="M141" i="6"/>
  <c r="P141" i="6"/>
  <c r="O142" i="6"/>
  <c r="M142" i="6"/>
  <c r="P142" i="6"/>
  <c r="O143" i="6"/>
  <c r="M143" i="6"/>
  <c r="P143" i="6"/>
  <c r="O144" i="6"/>
  <c r="M144" i="6"/>
  <c r="P144" i="6"/>
  <c r="O145" i="6"/>
  <c r="M145" i="6"/>
  <c r="P145" i="6"/>
  <c r="O146" i="6"/>
  <c r="M146" i="6"/>
  <c r="P146" i="6"/>
  <c r="O147" i="6"/>
  <c r="M147" i="6"/>
  <c r="P147" i="6"/>
  <c r="O148" i="6"/>
  <c r="M148" i="6"/>
  <c r="P148" i="6"/>
  <c r="O149" i="6"/>
  <c r="M149" i="6"/>
  <c r="P149" i="6"/>
  <c r="O150" i="6"/>
  <c r="M150" i="6"/>
  <c r="P150" i="6"/>
  <c r="O151" i="6"/>
  <c r="M151" i="6"/>
  <c r="P151" i="6"/>
  <c r="O152" i="6"/>
  <c r="M152" i="6"/>
  <c r="P152" i="6"/>
  <c r="O153" i="6"/>
  <c r="M153" i="6"/>
  <c r="P153" i="6"/>
  <c r="O154" i="6"/>
  <c r="M154" i="6"/>
  <c r="P154" i="6"/>
  <c r="O155" i="6"/>
  <c r="M155" i="6"/>
  <c r="P155" i="6"/>
  <c r="O156" i="6"/>
  <c r="M156" i="6"/>
  <c r="P156" i="6"/>
  <c r="O157" i="6"/>
  <c r="M157" i="6"/>
  <c r="P157" i="6"/>
  <c r="O158" i="6"/>
  <c r="M158" i="6"/>
  <c r="P158" i="6"/>
  <c r="O159" i="6"/>
  <c r="M159" i="6"/>
  <c r="P159" i="6"/>
  <c r="O160" i="6"/>
  <c r="M160" i="6"/>
  <c r="P160" i="6"/>
  <c r="O161" i="6"/>
  <c r="M161" i="6"/>
  <c r="P161" i="6"/>
  <c r="O162" i="6"/>
  <c r="M162" i="6"/>
  <c r="P162" i="6"/>
  <c r="O163" i="6"/>
  <c r="M163" i="6"/>
  <c r="P163" i="6"/>
  <c r="O164" i="6"/>
  <c r="M164" i="6"/>
  <c r="P164" i="6"/>
  <c r="O165" i="6"/>
  <c r="M165" i="6"/>
  <c r="P165" i="6"/>
  <c r="O166" i="6"/>
  <c r="M166" i="6"/>
  <c r="P166" i="6"/>
  <c r="O167" i="6"/>
  <c r="M167" i="6"/>
  <c r="P167" i="6"/>
  <c r="O168" i="6"/>
  <c r="M168" i="6"/>
  <c r="P168" i="6"/>
  <c r="O169" i="6"/>
  <c r="M169" i="6"/>
  <c r="P169" i="6"/>
  <c r="O170" i="6"/>
  <c r="M170" i="6"/>
  <c r="P170" i="6"/>
  <c r="O171" i="6"/>
  <c r="M171" i="6"/>
  <c r="P171" i="6"/>
  <c r="O172" i="6"/>
  <c r="M172" i="6"/>
  <c r="P172" i="6"/>
  <c r="O173" i="6"/>
  <c r="M173" i="6"/>
  <c r="P173" i="6"/>
  <c r="O174" i="6"/>
  <c r="M174" i="6"/>
  <c r="P174" i="6"/>
  <c r="O175" i="6"/>
  <c r="M175" i="6"/>
  <c r="P175" i="6"/>
  <c r="O176" i="6"/>
  <c r="M176" i="6"/>
  <c r="P176" i="6"/>
  <c r="O177" i="6"/>
  <c r="M177" i="6"/>
  <c r="P177" i="6"/>
  <c r="O178" i="6"/>
  <c r="M178" i="6"/>
  <c r="P178" i="6"/>
  <c r="O179" i="6"/>
  <c r="M179" i="6"/>
  <c r="P179" i="6"/>
  <c r="O180" i="6"/>
  <c r="M180" i="6"/>
  <c r="P180" i="6"/>
  <c r="O181" i="6"/>
  <c r="M181" i="6"/>
  <c r="P181" i="6"/>
  <c r="O182" i="6"/>
  <c r="M182" i="6"/>
  <c r="P182" i="6"/>
  <c r="O183" i="6"/>
  <c r="M183" i="6"/>
  <c r="P183" i="6"/>
  <c r="O184" i="6"/>
  <c r="M184" i="6"/>
  <c r="P184" i="6"/>
  <c r="O185" i="6"/>
  <c r="M185" i="6"/>
  <c r="P185" i="6"/>
  <c r="O186" i="6"/>
  <c r="M186" i="6"/>
  <c r="P186" i="6"/>
  <c r="O187" i="6"/>
  <c r="M187" i="6"/>
  <c r="P187" i="6"/>
  <c r="O188" i="6"/>
  <c r="M188" i="6"/>
  <c r="P188" i="6"/>
  <c r="O189" i="6"/>
  <c r="M189" i="6"/>
  <c r="P189" i="6"/>
  <c r="O190" i="6"/>
  <c r="M190" i="6"/>
  <c r="P190" i="6"/>
  <c r="O191" i="6"/>
  <c r="M191" i="6"/>
  <c r="P191" i="6"/>
  <c r="O192" i="6"/>
  <c r="M192" i="6"/>
  <c r="P192" i="6"/>
  <c r="O193" i="6"/>
  <c r="M193" i="6"/>
  <c r="P193" i="6"/>
  <c r="O194" i="6"/>
  <c r="M194" i="6"/>
  <c r="P194" i="6"/>
  <c r="O195" i="6"/>
  <c r="M195" i="6"/>
  <c r="P195" i="6"/>
  <c r="O196" i="6"/>
  <c r="M196" i="6"/>
  <c r="P196" i="6"/>
  <c r="O197" i="6"/>
  <c r="M197" i="6"/>
  <c r="P197" i="6"/>
  <c r="O198" i="6"/>
  <c r="M198" i="6"/>
  <c r="P198" i="6"/>
  <c r="O199" i="6"/>
  <c r="M199" i="6"/>
  <c r="P199" i="6"/>
  <c r="O200" i="6"/>
  <c r="M200" i="6"/>
  <c r="P200" i="6"/>
  <c r="O201" i="6"/>
  <c r="M201" i="6"/>
  <c r="P201" i="6"/>
  <c r="O202" i="6"/>
  <c r="M202" i="6"/>
  <c r="P202" i="6"/>
  <c r="O203" i="6"/>
  <c r="M203" i="6"/>
  <c r="P203" i="6"/>
  <c r="O204" i="6"/>
  <c r="M204" i="6"/>
  <c r="P204" i="6"/>
  <c r="O205" i="6"/>
  <c r="M205" i="6"/>
  <c r="P205" i="6"/>
  <c r="O206" i="6"/>
  <c r="M206" i="6"/>
  <c r="P206" i="6"/>
  <c r="O207" i="6"/>
  <c r="M207" i="6"/>
  <c r="P207" i="6"/>
  <c r="O208" i="6"/>
  <c r="M208" i="6"/>
  <c r="P208" i="6"/>
  <c r="O209" i="6"/>
  <c r="M209" i="6"/>
  <c r="P209" i="6"/>
  <c r="O210" i="6"/>
  <c r="M210" i="6"/>
  <c r="P210" i="6"/>
  <c r="O211" i="6"/>
  <c r="M211" i="6"/>
  <c r="P211" i="6"/>
  <c r="O212" i="6"/>
  <c r="M212" i="6"/>
  <c r="P212" i="6"/>
  <c r="O213" i="6"/>
  <c r="M213" i="6"/>
  <c r="P213" i="6"/>
  <c r="O214" i="6"/>
  <c r="M214" i="6"/>
  <c r="P214" i="6"/>
  <c r="O215" i="6"/>
  <c r="M215" i="6"/>
  <c r="P215" i="6"/>
  <c r="O216" i="6"/>
  <c r="M216" i="6"/>
  <c r="P216" i="6"/>
  <c r="O217" i="6"/>
  <c r="M217" i="6"/>
  <c r="P217" i="6"/>
  <c r="O218" i="6"/>
  <c r="M218" i="6"/>
  <c r="P218" i="6"/>
  <c r="O219" i="6"/>
  <c r="M219" i="6"/>
  <c r="P219" i="6"/>
  <c r="O220" i="6"/>
  <c r="M220" i="6"/>
  <c r="P220" i="6"/>
  <c r="O221" i="6"/>
  <c r="M221" i="6"/>
  <c r="P221" i="6"/>
  <c r="O222" i="6"/>
  <c r="M222" i="6"/>
  <c r="P222" i="6"/>
  <c r="O223" i="6"/>
  <c r="M223" i="6"/>
  <c r="P223" i="6"/>
  <c r="O224" i="6"/>
  <c r="M224" i="6"/>
  <c r="P224" i="6"/>
  <c r="O225" i="6"/>
  <c r="M225" i="6"/>
  <c r="P225" i="6"/>
  <c r="O226" i="6"/>
  <c r="M226" i="6"/>
  <c r="P226" i="6"/>
  <c r="O227" i="6"/>
  <c r="M227" i="6"/>
  <c r="P227" i="6"/>
  <c r="O228" i="6"/>
  <c r="M228" i="6"/>
  <c r="P228" i="6"/>
  <c r="O229" i="6"/>
  <c r="M229" i="6"/>
  <c r="P229" i="6"/>
  <c r="O230" i="6"/>
  <c r="M230" i="6"/>
  <c r="P230" i="6"/>
  <c r="O231" i="6"/>
  <c r="M231" i="6"/>
  <c r="P231" i="6"/>
  <c r="O232" i="6"/>
  <c r="M232" i="6"/>
  <c r="P232" i="6"/>
  <c r="O233" i="6"/>
  <c r="M233" i="6"/>
  <c r="P233" i="6"/>
  <c r="O234" i="6"/>
  <c r="M234" i="6"/>
  <c r="P234" i="6"/>
  <c r="O235" i="6"/>
  <c r="M235" i="6"/>
  <c r="P235" i="6"/>
  <c r="O236" i="6"/>
  <c r="M236" i="6"/>
  <c r="P236" i="6"/>
  <c r="O237" i="6"/>
  <c r="M237" i="6"/>
  <c r="P237" i="6"/>
  <c r="O238" i="6"/>
  <c r="M238" i="6"/>
  <c r="P238" i="6"/>
  <c r="O239" i="6"/>
  <c r="M239" i="6"/>
  <c r="P239" i="6"/>
  <c r="O240" i="6"/>
  <c r="M240" i="6"/>
  <c r="P240" i="6"/>
  <c r="O241" i="6"/>
  <c r="M241" i="6"/>
  <c r="P241" i="6"/>
  <c r="O242" i="6"/>
  <c r="M242" i="6"/>
  <c r="P242" i="6"/>
  <c r="O243" i="6"/>
  <c r="M243" i="6"/>
  <c r="P243" i="6"/>
  <c r="O244" i="6"/>
  <c r="M244" i="6"/>
  <c r="P244" i="6"/>
  <c r="O245" i="6"/>
  <c r="M245" i="6"/>
  <c r="P245" i="6"/>
  <c r="O246" i="6"/>
  <c r="M246" i="6"/>
  <c r="P246" i="6"/>
  <c r="O247" i="6"/>
  <c r="M247" i="6"/>
  <c r="P247" i="6"/>
  <c r="O248" i="6"/>
  <c r="M248" i="6"/>
  <c r="P248" i="6"/>
  <c r="O249" i="6"/>
  <c r="M249" i="6"/>
  <c r="P249" i="6"/>
  <c r="O250" i="6"/>
  <c r="M250" i="6"/>
  <c r="P250" i="6"/>
  <c r="O251" i="6"/>
  <c r="M251" i="6"/>
  <c r="P251" i="6"/>
  <c r="O252" i="6"/>
  <c r="M252" i="6"/>
  <c r="P252" i="6"/>
  <c r="O253" i="6"/>
  <c r="M253" i="6"/>
  <c r="P253" i="6"/>
  <c r="O254" i="6"/>
  <c r="M254" i="6"/>
  <c r="P254" i="6"/>
  <c r="O255" i="6"/>
  <c r="M255" i="6"/>
  <c r="P255" i="6"/>
  <c r="O256" i="6"/>
  <c r="M256" i="6"/>
  <c r="P256" i="6"/>
  <c r="O257" i="6"/>
  <c r="M257" i="6"/>
  <c r="P257" i="6"/>
  <c r="O258" i="6"/>
  <c r="M258" i="6"/>
  <c r="P258" i="6"/>
  <c r="O259" i="6"/>
  <c r="M259" i="6"/>
  <c r="P259" i="6"/>
  <c r="O260" i="6"/>
  <c r="M260" i="6"/>
  <c r="P260" i="6"/>
  <c r="O261" i="6"/>
  <c r="M261" i="6"/>
  <c r="P261" i="6"/>
  <c r="O262" i="6"/>
  <c r="M262" i="6"/>
  <c r="P262" i="6"/>
  <c r="O263" i="6"/>
  <c r="M263" i="6"/>
  <c r="P263" i="6"/>
  <c r="O264" i="6"/>
  <c r="M264" i="6"/>
  <c r="P264" i="6"/>
  <c r="O265" i="6"/>
  <c r="M265" i="6"/>
  <c r="P265" i="6"/>
  <c r="O266" i="6"/>
  <c r="M266" i="6"/>
  <c r="P266" i="6"/>
  <c r="O267" i="6"/>
  <c r="M267" i="6"/>
  <c r="P267" i="6"/>
  <c r="O268" i="6"/>
  <c r="M268" i="6"/>
  <c r="P268" i="6"/>
  <c r="O269" i="6"/>
  <c r="M269" i="6"/>
  <c r="P269" i="6"/>
  <c r="O270" i="6"/>
  <c r="M270" i="6"/>
  <c r="P270" i="6"/>
  <c r="O271" i="6"/>
  <c r="M271" i="6"/>
  <c r="P271" i="6"/>
  <c r="O272" i="6"/>
  <c r="M272" i="6"/>
  <c r="P272" i="6"/>
  <c r="O273" i="6"/>
  <c r="M273" i="6"/>
  <c r="P273" i="6"/>
  <c r="O274" i="6"/>
  <c r="M274" i="6"/>
  <c r="P274" i="6"/>
  <c r="O275" i="6"/>
  <c r="M275" i="6"/>
  <c r="P275" i="6"/>
  <c r="O276" i="6"/>
  <c r="M276" i="6"/>
  <c r="P276" i="6"/>
  <c r="O277" i="6"/>
  <c r="M277" i="6"/>
  <c r="P277" i="6"/>
  <c r="O278" i="6"/>
  <c r="M278" i="6"/>
  <c r="P278" i="6"/>
  <c r="O279" i="6"/>
  <c r="M279" i="6"/>
  <c r="P279" i="6"/>
  <c r="O280" i="6"/>
  <c r="M280" i="6"/>
  <c r="P280" i="6"/>
  <c r="O281" i="6"/>
  <c r="M281" i="6"/>
  <c r="P281" i="6"/>
  <c r="O282" i="6"/>
  <c r="M282" i="6"/>
  <c r="P282" i="6"/>
  <c r="O283" i="6"/>
  <c r="M283" i="6"/>
  <c r="P283" i="6"/>
  <c r="O284" i="6"/>
  <c r="M284" i="6"/>
  <c r="P284" i="6"/>
  <c r="O285" i="6"/>
  <c r="M285" i="6"/>
  <c r="P285" i="6"/>
  <c r="O286" i="6"/>
  <c r="M286" i="6"/>
  <c r="P286" i="6"/>
  <c r="O287" i="6"/>
  <c r="M287" i="6"/>
  <c r="P287" i="6"/>
  <c r="O288" i="6"/>
  <c r="M288" i="6"/>
  <c r="P288" i="6"/>
  <c r="O289" i="6"/>
  <c r="M289" i="6"/>
  <c r="P289" i="6"/>
  <c r="O290" i="6"/>
  <c r="M290" i="6"/>
  <c r="P290" i="6"/>
  <c r="O291" i="6"/>
  <c r="M291" i="6"/>
  <c r="P291" i="6"/>
  <c r="O292" i="6"/>
  <c r="M292" i="6"/>
  <c r="P292" i="6"/>
  <c r="O293" i="6"/>
  <c r="M293" i="6"/>
  <c r="P293" i="6"/>
  <c r="O294" i="6"/>
  <c r="M294" i="6"/>
  <c r="P294" i="6"/>
  <c r="O295" i="6"/>
  <c r="M295" i="6"/>
  <c r="P295" i="6"/>
  <c r="O296" i="6"/>
  <c r="M296" i="6"/>
  <c r="P296" i="6"/>
  <c r="O297" i="6"/>
  <c r="M297" i="6"/>
  <c r="P297" i="6"/>
  <c r="O298" i="6"/>
  <c r="M298" i="6"/>
  <c r="P298" i="6"/>
  <c r="O299" i="6"/>
  <c r="M299" i="6"/>
  <c r="P299" i="6"/>
  <c r="O300" i="6"/>
  <c r="M300" i="6"/>
  <c r="P300" i="6"/>
  <c r="O301" i="6"/>
  <c r="M301" i="6"/>
  <c r="P301" i="6"/>
  <c r="O302" i="6"/>
  <c r="M302" i="6"/>
  <c r="P302" i="6"/>
  <c r="O303" i="6"/>
  <c r="M303" i="6"/>
  <c r="P303" i="6"/>
  <c r="O304" i="6"/>
  <c r="M304" i="6"/>
  <c r="P304" i="6"/>
  <c r="O305" i="6"/>
  <c r="M305" i="6"/>
  <c r="P305" i="6"/>
  <c r="O306" i="6"/>
  <c r="M306" i="6"/>
  <c r="P306" i="6"/>
  <c r="O307" i="6"/>
  <c r="M307" i="6"/>
  <c r="P307" i="6"/>
  <c r="O308" i="6"/>
  <c r="M308" i="6"/>
  <c r="P308" i="6"/>
  <c r="O309" i="6"/>
  <c r="M309" i="6"/>
  <c r="P309" i="6"/>
  <c r="O310" i="6"/>
  <c r="M310" i="6"/>
  <c r="P310" i="6"/>
  <c r="O311" i="6"/>
  <c r="M311" i="6"/>
  <c r="P311" i="6"/>
  <c r="O312" i="6"/>
  <c r="M312" i="6"/>
  <c r="P312" i="6"/>
  <c r="O313" i="6"/>
  <c r="M313" i="6"/>
  <c r="P313" i="6"/>
  <c r="O314" i="6"/>
  <c r="M314" i="6"/>
  <c r="P314" i="6"/>
  <c r="O315" i="6"/>
  <c r="M315" i="6"/>
  <c r="P315" i="6"/>
  <c r="O316" i="6"/>
  <c r="M316" i="6"/>
  <c r="P316" i="6"/>
  <c r="O317" i="6"/>
  <c r="M317" i="6"/>
  <c r="P317" i="6"/>
  <c r="O318" i="6"/>
  <c r="M318" i="6"/>
  <c r="P318" i="6"/>
  <c r="O319" i="6"/>
  <c r="M319" i="6"/>
  <c r="P319" i="6"/>
  <c r="O320" i="6"/>
  <c r="M320" i="6"/>
  <c r="P320" i="6"/>
  <c r="O321" i="6"/>
  <c r="M321" i="6"/>
  <c r="P321" i="6"/>
  <c r="O322" i="6"/>
  <c r="M322" i="6"/>
  <c r="P322" i="6"/>
  <c r="O323" i="6"/>
  <c r="M323" i="6"/>
  <c r="P323" i="6"/>
  <c r="O324" i="6"/>
  <c r="M324" i="6"/>
  <c r="P324" i="6"/>
  <c r="O325" i="6"/>
  <c r="M325" i="6"/>
  <c r="P325" i="6"/>
  <c r="O326" i="6"/>
  <c r="M326" i="6"/>
  <c r="P326" i="6"/>
  <c r="O327" i="6"/>
  <c r="M327" i="6"/>
  <c r="P327" i="6"/>
  <c r="O328" i="6"/>
  <c r="M328" i="6"/>
  <c r="P328" i="6"/>
  <c r="O329" i="6"/>
  <c r="M329" i="6"/>
  <c r="P329" i="6"/>
  <c r="O330" i="6"/>
  <c r="M330" i="6"/>
  <c r="P330" i="6"/>
  <c r="O331" i="6"/>
  <c r="M331" i="6"/>
  <c r="P331" i="6"/>
  <c r="O332" i="6"/>
  <c r="M332" i="6"/>
  <c r="P332" i="6"/>
  <c r="O333" i="6"/>
  <c r="M333" i="6"/>
  <c r="P333" i="6"/>
  <c r="O334" i="6"/>
  <c r="M334" i="6"/>
  <c r="P334" i="6"/>
  <c r="O335" i="6"/>
  <c r="M335" i="6"/>
  <c r="P335" i="6"/>
  <c r="O336" i="6"/>
  <c r="M336" i="6"/>
  <c r="P336" i="6"/>
  <c r="O337" i="6"/>
  <c r="M337" i="6"/>
  <c r="P337" i="6"/>
  <c r="O338" i="6"/>
  <c r="M338" i="6"/>
  <c r="P338" i="6"/>
  <c r="O339" i="6"/>
  <c r="M339" i="6"/>
  <c r="P339" i="6"/>
  <c r="O340" i="6"/>
  <c r="M340" i="6"/>
  <c r="P340" i="6"/>
  <c r="O341" i="6"/>
  <c r="M341" i="6"/>
  <c r="P341" i="6"/>
  <c r="O342" i="6"/>
  <c r="M342" i="6"/>
  <c r="P342" i="6"/>
  <c r="O343" i="6"/>
  <c r="M343" i="6"/>
  <c r="P343" i="6"/>
  <c r="O344" i="6"/>
  <c r="M344" i="6"/>
  <c r="P344" i="6"/>
  <c r="O345" i="6"/>
  <c r="M345" i="6"/>
  <c r="P345" i="6"/>
  <c r="O346" i="6"/>
  <c r="M346" i="6"/>
  <c r="P346" i="6"/>
  <c r="O347" i="6"/>
  <c r="M347" i="6"/>
  <c r="P347" i="6"/>
  <c r="O348" i="6"/>
  <c r="M348" i="6"/>
  <c r="P348" i="6"/>
  <c r="O349" i="6"/>
  <c r="M349" i="6"/>
  <c r="P349" i="6"/>
  <c r="O350" i="6"/>
  <c r="M350" i="6"/>
  <c r="P350" i="6"/>
  <c r="O351" i="6"/>
  <c r="M351" i="6"/>
  <c r="P351" i="6"/>
  <c r="O352" i="6"/>
  <c r="M352" i="6"/>
  <c r="P352" i="6"/>
  <c r="O353" i="6"/>
  <c r="M353" i="6"/>
  <c r="P353" i="6"/>
  <c r="O354" i="6"/>
  <c r="M354" i="6"/>
  <c r="P354" i="6"/>
  <c r="O355" i="6"/>
  <c r="M355" i="6"/>
  <c r="P355" i="6"/>
  <c r="O356" i="6"/>
  <c r="M356" i="6"/>
  <c r="P356" i="6"/>
  <c r="O357" i="6"/>
  <c r="M357" i="6"/>
  <c r="P357" i="6"/>
  <c r="O358" i="6"/>
  <c r="M358" i="6"/>
  <c r="P358" i="6"/>
  <c r="O359" i="6"/>
  <c r="M359" i="6"/>
  <c r="P359" i="6"/>
  <c r="O360" i="6"/>
  <c r="M360" i="6"/>
  <c r="P360" i="6"/>
  <c r="O361" i="6"/>
  <c r="M361" i="6"/>
  <c r="P361" i="6"/>
  <c r="O362" i="6"/>
  <c r="M362" i="6"/>
  <c r="P362" i="6"/>
  <c r="O363" i="6"/>
  <c r="M363" i="6"/>
  <c r="P363" i="6"/>
  <c r="O364" i="6"/>
  <c r="M364" i="6"/>
  <c r="P364" i="6"/>
  <c r="O365" i="6"/>
  <c r="M365" i="6"/>
  <c r="P365" i="6"/>
  <c r="O366" i="6"/>
  <c r="M366" i="6"/>
  <c r="P366" i="6"/>
  <c r="O367" i="6"/>
  <c r="M367" i="6"/>
  <c r="P367" i="6"/>
  <c r="O368" i="6"/>
  <c r="M368" i="6"/>
  <c r="P368" i="6"/>
  <c r="O369" i="6"/>
  <c r="M369" i="6"/>
  <c r="P369" i="6"/>
  <c r="O370" i="6"/>
  <c r="M370" i="6"/>
  <c r="P370" i="6"/>
  <c r="O371" i="6"/>
  <c r="M371" i="6"/>
  <c r="P371" i="6"/>
  <c r="O372" i="6"/>
  <c r="M372" i="6"/>
  <c r="P372" i="6"/>
  <c r="O373" i="6"/>
  <c r="M373" i="6"/>
  <c r="P373" i="6"/>
  <c r="O374" i="6"/>
  <c r="M374" i="6"/>
  <c r="P374" i="6"/>
  <c r="O375" i="6"/>
  <c r="M375" i="6"/>
  <c r="P375" i="6"/>
  <c r="O376" i="6"/>
  <c r="M376" i="6"/>
  <c r="P376" i="6"/>
  <c r="O377" i="6"/>
  <c r="M377" i="6"/>
  <c r="P377" i="6"/>
  <c r="O378" i="6"/>
  <c r="M378" i="6"/>
  <c r="P378" i="6"/>
  <c r="O379" i="6"/>
  <c r="M379" i="6"/>
  <c r="P379" i="6"/>
  <c r="O380" i="6"/>
  <c r="M380" i="6"/>
  <c r="P380" i="6"/>
  <c r="O381" i="6"/>
  <c r="M381" i="6"/>
  <c r="P381" i="6"/>
  <c r="O382" i="6"/>
  <c r="M382" i="6"/>
  <c r="P382" i="6"/>
  <c r="O383" i="6"/>
  <c r="M383" i="6"/>
  <c r="P383" i="6"/>
  <c r="O384" i="6"/>
  <c r="M384" i="6"/>
  <c r="P384" i="6"/>
  <c r="O385" i="6"/>
  <c r="M385" i="6"/>
  <c r="P385" i="6"/>
  <c r="O386" i="6"/>
  <c r="M386" i="6"/>
  <c r="P386" i="6"/>
  <c r="O387" i="6"/>
  <c r="M387" i="6"/>
  <c r="P387" i="6"/>
  <c r="O388" i="6"/>
  <c r="M388" i="6"/>
  <c r="P388" i="6"/>
  <c r="O389" i="6"/>
  <c r="M389" i="6"/>
  <c r="P389" i="6"/>
  <c r="O390" i="6"/>
  <c r="M390" i="6"/>
  <c r="P390" i="6"/>
  <c r="O391" i="6"/>
  <c r="M391" i="6"/>
  <c r="P391" i="6"/>
  <c r="O392" i="6"/>
  <c r="M392" i="6"/>
  <c r="P392" i="6"/>
  <c r="O393" i="6"/>
  <c r="M393" i="6"/>
  <c r="P393" i="6"/>
  <c r="O394" i="6"/>
  <c r="M394" i="6"/>
  <c r="P394" i="6"/>
  <c r="O395" i="6"/>
  <c r="M395" i="6"/>
  <c r="P395" i="6"/>
  <c r="O396" i="6"/>
  <c r="M396" i="6"/>
  <c r="P396" i="6"/>
  <c r="O397" i="6"/>
  <c r="M397" i="6"/>
  <c r="P397" i="6"/>
  <c r="O398" i="6"/>
  <c r="M398" i="6"/>
  <c r="P398" i="6"/>
  <c r="O399" i="6"/>
  <c r="M399" i="6"/>
  <c r="P399" i="6"/>
  <c r="O400" i="6"/>
  <c r="M400" i="6"/>
  <c r="P400" i="6"/>
  <c r="O401" i="6"/>
  <c r="M401" i="6"/>
  <c r="P401" i="6"/>
  <c r="O402" i="6"/>
  <c r="M402" i="6"/>
  <c r="P402" i="6"/>
  <c r="O403" i="6"/>
  <c r="M403" i="6"/>
  <c r="P403" i="6"/>
  <c r="O404" i="6"/>
  <c r="M404" i="6"/>
  <c r="P404" i="6"/>
  <c r="O405" i="6"/>
  <c r="M405" i="6"/>
  <c r="P405" i="6"/>
  <c r="O406" i="6"/>
  <c r="M406" i="6"/>
  <c r="P406" i="6"/>
  <c r="O407" i="6"/>
  <c r="M407" i="6"/>
  <c r="P407" i="6"/>
  <c r="O408" i="6"/>
  <c r="M408" i="6"/>
  <c r="P408" i="6"/>
  <c r="O409" i="6"/>
  <c r="M409" i="6"/>
  <c r="P409" i="6"/>
  <c r="O410" i="6"/>
  <c r="M410" i="6"/>
  <c r="P410" i="6"/>
  <c r="O411" i="6"/>
  <c r="M411" i="6"/>
  <c r="P411" i="6"/>
  <c r="O412" i="6"/>
  <c r="M412" i="6"/>
  <c r="P412" i="6"/>
  <c r="O413" i="6"/>
  <c r="M413" i="6"/>
  <c r="P413" i="6"/>
  <c r="O414" i="6"/>
  <c r="M414" i="6"/>
  <c r="P414" i="6"/>
  <c r="O415" i="6"/>
  <c r="M415" i="6"/>
  <c r="P415" i="6"/>
  <c r="O416" i="6"/>
  <c r="M416" i="6"/>
  <c r="P416" i="6"/>
  <c r="O417" i="6"/>
  <c r="M417" i="6"/>
  <c r="P417" i="6"/>
  <c r="O418" i="6"/>
  <c r="M418" i="6"/>
  <c r="P418" i="6"/>
  <c r="O419" i="6"/>
  <c r="M419" i="6"/>
  <c r="P419" i="6"/>
  <c r="O420" i="6"/>
  <c r="M420" i="6"/>
  <c r="P420" i="6"/>
  <c r="O421" i="6"/>
  <c r="M421" i="6"/>
  <c r="P421" i="6"/>
  <c r="O422" i="6"/>
  <c r="M422" i="6"/>
  <c r="P422" i="6"/>
  <c r="O423" i="6"/>
  <c r="M423" i="6"/>
  <c r="P423" i="6"/>
  <c r="O424" i="6"/>
  <c r="M424" i="6"/>
  <c r="P424" i="6"/>
  <c r="O425" i="6"/>
  <c r="M425" i="6"/>
  <c r="P425" i="6"/>
  <c r="O426" i="6"/>
  <c r="M426" i="6"/>
  <c r="P426" i="6"/>
  <c r="O427" i="6"/>
  <c r="M427" i="6"/>
  <c r="P427" i="6"/>
  <c r="O428" i="6"/>
  <c r="M428" i="6"/>
  <c r="P428" i="6"/>
  <c r="O429" i="6"/>
  <c r="M429" i="6"/>
  <c r="P429" i="6"/>
  <c r="O430" i="6"/>
  <c r="M430" i="6"/>
  <c r="P430" i="6"/>
  <c r="O431" i="6"/>
  <c r="M431" i="6"/>
  <c r="P431" i="6"/>
  <c r="O432" i="6"/>
  <c r="M432" i="6"/>
  <c r="P432" i="6"/>
  <c r="O433" i="6"/>
  <c r="M433" i="6"/>
  <c r="P433" i="6"/>
  <c r="O434" i="6"/>
  <c r="M434" i="6"/>
  <c r="P434" i="6"/>
  <c r="O435" i="6"/>
  <c r="M435" i="6"/>
  <c r="P435" i="6"/>
  <c r="O436" i="6"/>
  <c r="M436" i="6"/>
  <c r="P436" i="6"/>
  <c r="O437" i="6"/>
  <c r="M437" i="6"/>
  <c r="P437" i="6"/>
  <c r="O438" i="6"/>
  <c r="M438" i="6"/>
  <c r="P438" i="6"/>
  <c r="O439" i="6"/>
  <c r="M439" i="6"/>
  <c r="P439" i="6"/>
  <c r="O440" i="6"/>
  <c r="M440" i="6"/>
  <c r="P440" i="6"/>
  <c r="O441" i="6"/>
  <c r="M441" i="6"/>
  <c r="P441" i="6"/>
  <c r="O442" i="6"/>
  <c r="M442" i="6"/>
  <c r="P442" i="6"/>
  <c r="O443" i="6"/>
  <c r="M443" i="6"/>
  <c r="P443" i="6"/>
  <c r="O444" i="6"/>
  <c r="M444" i="6"/>
  <c r="P444" i="6"/>
  <c r="O445" i="6"/>
  <c r="M445" i="6"/>
  <c r="P445" i="6"/>
  <c r="O446" i="6"/>
  <c r="M446" i="6"/>
  <c r="P446" i="6"/>
  <c r="O447" i="6"/>
  <c r="M447" i="6"/>
  <c r="P447" i="6"/>
  <c r="O448" i="6"/>
  <c r="M448" i="6"/>
  <c r="P448" i="6"/>
  <c r="O449" i="6"/>
  <c r="M449" i="6"/>
  <c r="P449" i="6"/>
  <c r="O450" i="6"/>
  <c r="M450" i="6"/>
  <c r="P450" i="6"/>
  <c r="O451" i="6"/>
  <c r="M451" i="6"/>
  <c r="P451" i="6"/>
  <c r="O452" i="6"/>
  <c r="M452" i="6"/>
  <c r="P452" i="6"/>
  <c r="O453" i="6"/>
  <c r="M453" i="6"/>
  <c r="P453" i="6"/>
  <c r="O454" i="6"/>
  <c r="M454" i="6"/>
  <c r="P454" i="6"/>
  <c r="O8" i="6"/>
  <c r="P8" i="6"/>
  <c r="O9" i="6"/>
  <c r="P9" i="6"/>
  <c r="O10" i="6"/>
  <c r="P10" i="6"/>
  <c r="O11" i="6"/>
  <c r="P11" i="6"/>
  <c r="O12" i="6"/>
  <c r="P12" i="6"/>
  <c r="O13" i="6"/>
  <c r="P13" i="6"/>
  <c r="O14" i="6"/>
  <c r="P14" i="6"/>
  <c r="O15" i="6"/>
  <c r="P15" i="6"/>
  <c r="O16" i="6"/>
  <c r="P16" i="6"/>
  <c r="O17" i="6"/>
  <c r="P17" i="6"/>
  <c r="O18" i="6"/>
  <c r="P18" i="6"/>
  <c r="O19" i="6"/>
  <c r="P19" i="6"/>
  <c r="O20" i="6"/>
  <c r="P20" i="6"/>
  <c r="O21" i="6"/>
  <c r="P21" i="6"/>
  <c r="O22" i="6"/>
  <c r="P22" i="6"/>
  <c r="O23" i="6"/>
  <c r="P23" i="6"/>
  <c r="O24" i="6"/>
  <c r="P24" i="6"/>
  <c r="O25" i="6"/>
  <c r="P25" i="6"/>
  <c r="O26" i="6"/>
  <c r="P26" i="6"/>
  <c r="O27" i="6"/>
  <c r="P27" i="6"/>
  <c r="O28" i="6"/>
  <c r="P28" i="6"/>
  <c r="O29" i="6"/>
  <c r="P29" i="6"/>
  <c r="O30" i="6"/>
  <c r="P30" i="6"/>
  <c r="O31" i="6"/>
  <c r="P31" i="6"/>
  <c r="O32" i="6"/>
  <c r="P32" i="6"/>
  <c r="O33" i="6"/>
  <c r="P33" i="6"/>
  <c r="O34" i="6"/>
  <c r="P34" i="6"/>
  <c r="O35" i="6"/>
  <c r="P35" i="6"/>
  <c r="O36" i="6"/>
  <c r="P36" i="6"/>
  <c r="O37" i="6"/>
  <c r="P37" i="6"/>
  <c r="O38" i="6"/>
  <c r="P38" i="6"/>
  <c r="O39" i="6"/>
  <c r="P39" i="6"/>
  <c r="O40" i="6"/>
  <c r="P40" i="6"/>
  <c r="O41" i="6"/>
  <c r="P41" i="6"/>
  <c r="O42" i="6"/>
  <c r="P42" i="6"/>
  <c r="O43" i="6"/>
  <c r="P43" i="6"/>
  <c r="O44" i="6"/>
  <c r="P44" i="6"/>
  <c r="O45" i="6"/>
  <c r="P45" i="6"/>
  <c r="O46" i="6"/>
  <c r="P46" i="6"/>
  <c r="O47" i="6"/>
  <c r="P47" i="6"/>
  <c r="O48" i="6"/>
  <c r="P48" i="6"/>
  <c r="O49" i="6"/>
  <c r="P49" i="6"/>
  <c r="O50" i="6"/>
  <c r="P50" i="6"/>
  <c r="O51" i="6"/>
  <c r="P51" i="6"/>
  <c r="O52" i="6"/>
  <c r="P52" i="6"/>
  <c r="O53" i="6"/>
  <c r="P53" i="6"/>
  <c r="O54" i="6"/>
  <c r="P54" i="6"/>
  <c r="O55" i="6"/>
  <c r="P55" i="6"/>
  <c r="O56" i="6"/>
  <c r="P56" i="6"/>
  <c r="O57" i="6"/>
  <c r="P57" i="6"/>
  <c r="O58" i="6"/>
  <c r="P58" i="6"/>
  <c r="O59" i="6"/>
  <c r="P59" i="6"/>
  <c r="O60" i="6"/>
  <c r="P60" i="6"/>
  <c r="P7" i="6"/>
  <c r="O7" i="6"/>
  <c r="B30" i="6" l="1"/>
  <c r="B31" i="6"/>
  <c r="B32" i="6"/>
  <c r="N81" i="5"/>
  <c r="N82" i="5"/>
  <c r="N83" i="5"/>
  <c r="N108" i="5"/>
  <c r="N109" i="5"/>
  <c r="N134" i="5"/>
  <c r="N135" i="5"/>
  <c r="N136" i="5"/>
  <c r="N137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13" i="5"/>
  <c r="M108" i="5"/>
  <c r="M109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L113" i="5"/>
  <c r="L114" i="5"/>
  <c r="L115" i="5"/>
  <c r="L116" i="5"/>
  <c r="L117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81" i="5"/>
  <c r="L82" i="5"/>
  <c r="L83" i="5"/>
  <c r="L108" i="5"/>
  <c r="L109" i="5"/>
  <c r="L134" i="5"/>
  <c r="L135" i="5"/>
  <c r="L136" i="5"/>
  <c r="L112" i="5"/>
  <c r="K81" i="5"/>
  <c r="K82" i="5"/>
  <c r="K83" i="5"/>
  <c r="K108" i="5"/>
  <c r="K109" i="5"/>
  <c r="O22" i="5"/>
  <c r="O23" i="5"/>
  <c r="O24" i="5"/>
  <c r="O25" i="5"/>
  <c r="O27" i="5"/>
  <c r="O28" i="5"/>
  <c r="O29" i="5"/>
  <c r="O30" i="5"/>
  <c r="O31" i="5"/>
  <c r="O32" i="5"/>
  <c r="O33" i="5"/>
  <c r="O34" i="5"/>
  <c r="O35" i="5"/>
  <c r="O36" i="5"/>
  <c r="O41" i="5"/>
  <c r="O42" i="5"/>
  <c r="O43" i="5"/>
  <c r="O44" i="5"/>
  <c r="O45" i="5"/>
  <c r="O46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B35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<sst xmlns="http://schemas.openxmlformats.org/spreadsheetml/2006/main" count="1684" uniqueCount="546">
  <si>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</si>
  <si>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</si>
  <si>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</si>
  <si>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</si>
  <si>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</si>
  <si>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</si>
  <si>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</si>
  <si>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</si>
  <si>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</si>
  <si>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</si>
  <si>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</si>
  <si>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</si>
  <si>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</si>
  <si>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</si>
  <si>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</si>
  <si>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</si>
  <si>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</si>
  <si>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</si>
  <si>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</si>
  <si>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</si>
  <si>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</si>
  <si>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</si>
  <si>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</si>
  <si>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</si>
  <si>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</si>
  <si>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</si>
  <si>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</si>
  <si>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</si>
  <si>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</si>
  <si>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</si>
  <si>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</si>
  <si>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</si>
  <si>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</si>
  <si>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</si>
  <si>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</si>
  <si>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</si>
  <si>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</si>
  <si>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</si>
  <si>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</si>
  <si>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</si>
  <si>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</si>
  <si>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</si>
  <si>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</si>
  <si>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</si>
  <si>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</si>
  <si>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</si>
  <si>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</si>
  <si>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</si>
  <si>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</si>
  <si>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</si>
  <si>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</si>
  <si>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</si>
  <si>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</si>
  <si>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</si>
  <si>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</si>
  <si>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</si>
  <si>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</si>
  <si>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</si>
  <si>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</si>
  <si>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</si>
  <si>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</si>
  <si>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</si>
  <si>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</si>
  <si>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</si>
  <si>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</si>
  <si>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</si>
  <si>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</si>
  <si>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</si>
  <si>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</si>
  <si>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</si>
  <si>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</si>
  <si>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</si>
  <si>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</si>
  <si>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</si>
  <si>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</si>
  <si>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</si>
  <si>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</si>
  <si>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</si>
  <si>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</si>
  <si>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</si>
  <si>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</si>
  <si>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</si>
  <si>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</si>
  <si>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</si>
  <si>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</si>
  <si>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</si>
  <si>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Mass [kg]</t>
  </si>
  <si>
    <t>Airtight platform</t>
  </si>
  <si>
    <t>Skirt</t>
  </si>
  <si>
    <t>Bottom [m]</t>
  </si>
  <si>
    <t>Top [m]</t>
  </si>
  <si>
    <t>Elevation [m]</t>
  </si>
  <si>
    <t>Geometry</t>
  </si>
  <si>
    <t>Added Masses</t>
  </si>
  <si>
    <t>Hydro Coefficients</t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</si>
  <si>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</si>
  <si>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</si>
  <si>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</si>
  <si>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</si>
  <si>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</si>
  <si>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</si>
  <si>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</si>
  <si>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</si>
  <si>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</si>
  <si>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</si>
  <si>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</si>
  <si>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</si>
  <si>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</si>
  <si>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</si>
  <si>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</si>
  <si>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</si>
  <si>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</si>
  <si>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</si>
  <si>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</si>
  <si>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</si>
  <si>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</si>
  <si>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</si>
  <si>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</si>
  <si>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</si>
  <si>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</si>
  <si>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</si>
  <si>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</si>
  <si>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</si>
  <si>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</si>
  <si>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</si>
  <si>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</si>
  <si>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</si>
  <si>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</si>
  <si>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</si>
  <si>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</si>
  <si>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</si>
  <si>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</si>
  <si>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</si>
  <si>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</si>
  <si>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</si>
  <si>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</si>
  <si>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</si>
  <si>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</si>
  <si>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</si>
  <si>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Structure Settings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</si>
  <si>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</si>
  <si>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</si>
  <si>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</si>
  <si>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</si>
  <si>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</si>
  <si>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</si>
  <si>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</si>
  <si>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</si>
  <si>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</si>
  <si>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</si>
  <si>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</si>
  <si>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</si>
  <si>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</si>
  <si>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</si>
  <si>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</si>
  <si>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</si>
  <si>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</si>
  <si>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</si>
  <si>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</si>
  <si>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</si>
  <si>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</si>
  <si>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</si>
  <si>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</si>
  <si>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</si>
  <si>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</si>
  <si>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</si>
  <si>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</si>
  <si>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</si>
  <si>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</si>
  <si>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</si>
  <si>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</si>
  <si>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</si>
  <si>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</si>
  <si>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</si>
  <si>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</si>
  <si>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</si>
  <si>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Geo_out_path</t>
  </si>
  <si>
    <t>c/slwmf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</si>
  <si>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</si>
  <si>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</si>
  <si>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</si>
  <si>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</si>
  <si>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</si>
  <si>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</si>
  <si>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</si>
  <si>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</si>
  <si>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</si>
  <si>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</si>
  <si>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</si>
  <si>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</si>
  <si>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</si>
  <si>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</si>
  <si>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</si>
  <si>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</si>
  <si>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</si>
  <si>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</si>
  <si>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</si>
  <si>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</si>
  <si>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</si>
  <si>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</si>
  <si>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</si>
  <si>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</si>
  <si>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</si>
  <si>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</si>
  <si>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</si>
  <si>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</si>
  <si>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</si>
  <si>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</si>
  <si>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</si>
  <si>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</si>
  <si>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</si>
  <si>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</si>
  <si>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</si>
  <si>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</si>
  <si>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</si>
  <si>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</si>
  <si>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</si>
  <si>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</si>
  <si>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</si>
  <si>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</si>
  <si>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</si>
  <si>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</si>
  <si>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</si>
  <si>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</si>
  <si>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</si>
  <si>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</si>
  <si>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 xml:space="preserve">Use For (WL: Waveload generator, AM: Additional Masses) </t>
  </si>
  <si>
    <t>AM</t>
  </si>
  <si>
    <t>Surface Roughness [m]</t>
  </si>
  <si>
    <t>Density  [kg/m^3]</t>
  </si>
  <si>
    <t>DIN 18088-1</t>
  </si>
  <si>
    <t>Siemens SG-DD-XXX</t>
  </si>
  <si>
    <t>added from Ala</t>
  </si>
  <si>
    <t>24A525</t>
  </si>
  <si>
    <t>MPTP_DP-A2_L0_G2_S1</t>
  </si>
  <si>
    <t>24A525_FEED_MPTP_DP-A2_L0_G2_S1</t>
  </si>
  <si>
    <t>for Dreekant</t>
  </si>
  <si>
    <t>whole MP geometry from top to end of pile (way below mudline - right now, geometry must be cut at mudline level for Bladed model, JBOOST model)</t>
  </si>
  <si>
    <t>C:\Users\aaron.lange\Desktop\Projekte\Geometrie_Converter\Validation_Dreekant</t>
  </si>
  <si>
    <t>python_scripts_path</t>
  </si>
  <si>
    <t>C:/Users/aaron.lange/Desktop/Projekte/Geometrie_Converter/GeometrieConverter/python_scripts</t>
  </si>
  <si>
    <t>Name</t>
  </si>
  <si>
    <t>GENERIC_NONE_XXX</t>
  </si>
  <si>
    <t>GENERIC</t>
  </si>
  <si>
    <t>NONE</t>
  </si>
  <si>
    <t>XXX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</si>
  <si>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</si>
  <si>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</si>
  <si>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</si>
  <si>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</si>
  <si>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</si>
  <si>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</si>
  <si>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</si>
  <si>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</si>
  <si>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Slope [-]</t>
  </si>
  <si>
    <t>D/t [-]</t>
  </si>
  <si>
    <t>db path</t>
  </si>
  <si>
    <t xml:space="preserve">value in m </t>
  </si>
  <si>
    <t xml:space="preserve">Added Masses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</si>
  <si>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</si>
  <si>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</si>
  <si>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</si>
  <si>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</si>
  <si>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</si>
  <si>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</si>
  <si>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saved to be used further</t>
    </r>
  </si>
  <si>
    <t>C:\Users\aaron.lange\Desktop\Projekte\Geometrie_Converter\GeometrieConverter\databases\TP.db</t>
  </si>
  <si>
    <t>Same as DP_A</t>
  </si>
  <si>
    <t>Same as DP_A, B</t>
  </si>
  <si>
    <t>Vestas mass</t>
  </si>
  <si>
    <t>Generic_Turbine</t>
  </si>
  <si>
    <t>Generic Turbine as Placeholder</t>
  </si>
  <si>
    <t>C:\Users\aaron.lange\Desktop\Projekte\Geometrie_Converter\GeometrieConverter\databases\TOWER.db</t>
  </si>
  <si>
    <t>24A525_FEED_DP-A2</t>
  </si>
  <si>
    <t>DP-A2</t>
  </si>
  <si>
    <t>XXXX_DUMMY_XXXX</t>
  </si>
  <si>
    <t>XXXX</t>
  </si>
  <si>
    <t>DUMMY</t>
  </si>
  <si>
    <t>C:\Users\aaron.lange\Desktop\Projekte\Geometrie_Converter\Validation_Dreekant\NEW\JBOOST</t>
  </si>
  <si>
    <t>Length [m]</t>
  </si>
  <si>
    <r>
      <t xml:space="preserve">Plot Assambly </t>
    </r>
    <r>
      <rPr>
        <i/>
        <sz val="16"/>
        <color theme="1"/>
        <rFont val="Aptos Narrow"/>
        <family val="2"/>
        <scheme val="minor"/>
      </rPr>
      <t xml:space="preserve"> overlapping mode "SKIRT", waterlevel at 0 and seabed at -waterdepth from MP input</t>
    </r>
  </si>
  <si>
    <t>MISC</t>
  </si>
  <si>
    <t>Masses</t>
  </si>
  <si>
    <t>TP/MP flange</t>
  </si>
  <si>
    <t>Service Platform</t>
  </si>
  <si>
    <t>Bolting Platform</t>
  </si>
  <si>
    <t>Junction Box Platform</t>
  </si>
  <si>
    <t>dummy to have same number of nodes as 22 MW MP</t>
  </si>
  <si>
    <t>Internal Access System</t>
  </si>
  <si>
    <t>TP-sided flange to tower</t>
  </si>
  <si>
    <t>Density</t>
  </si>
  <si>
    <t>Material</t>
  </si>
  <si>
    <t>Young's Mod.</t>
  </si>
  <si>
    <t>Shear Mod</t>
  </si>
  <si>
    <t>1 (End 1)</t>
  </si>
  <si>
    <t>Steel</t>
  </si>
  <si>
    <t>1 (End 2)</t>
  </si>
  <si>
    <t>2 (End 1)</t>
  </si>
  <si>
    <t>2 (End 2)</t>
  </si>
  <si>
    <t>3 (End 1)</t>
  </si>
  <si>
    <t>3 (End 2)</t>
  </si>
  <si>
    <t>4 (End 1)</t>
  </si>
  <si>
    <t>4 (End 2)</t>
  </si>
  <si>
    <t>5 (End 1)</t>
  </si>
  <si>
    <t>5 (End 2)</t>
  </si>
  <si>
    <t>6 (End 1)</t>
  </si>
  <si>
    <t>6 (End 2)</t>
  </si>
  <si>
    <t>7 (End 1)</t>
  </si>
  <si>
    <t>7 (End 2)</t>
  </si>
  <si>
    <t>8 (End 1)</t>
  </si>
  <si>
    <t>8 (End 2)</t>
  </si>
  <si>
    <t>9 (End 1)</t>
  </si>
  <si>
    <t>9 (End 2)</t>
  </si>
  <si>
    <t>10 (End 1)</t>
  </si>
  <si>
    <t>10 (End 2)</t>
  </si>
  <si>
    <t>11 (End 1)</t>
  </si>
  <si>
    <t>11 (End 2)</t>
  </si>
  <si>
    <t>12 (End 1)</t>
  </si>
  <si>
    <t>12 (End 2)</t>
  </si>
  <si>
    <t>13 (End 1)</t>
  </si>
  <si>
    <t>13 (End 2)</t>
  </si>
  <si>
    <t>14 (End 1)</t>
  </si>
  <si>
    <t>14 (End 2)</t>
  </si>
  <si>
    <t>15 (End 1)</t>
  </si>
  <si>
    <t>15 (End 2)</t>
  </si>
  <si>
    <t>16 (End 1)</t>
  </si>
  <si>
    <t>16 (End 2)</t>
  </si>
  <si>
    <t>17 (End 1)</t>
  </si>
  <si>
    <t>17 (End 2)</t>
  </si>
  <si>
    <t>18 (End 1)</t>
  </si>
  <si>
    <t>18 (End 2)</t>
  </si>
  <si>
    <t>19 (End 1)</t>
  </si>
  <si>
    <t>19 (End 2)</t>
  </si>
  <si>
    <t>20 (End 1)</t>
  </si>
  <si>
    <t>20 (End 2)</t>
  </si>
  <si>
    <t>21 (End 1)</t>
  </si>
  <si>
    <t>21 (End 2)</t>
  </si>
  <si>
    <t>22 (End 1)</t>
  </si>
  <si>
    <t>22 (End 2)</t>
  </si>
  <si>
    <t>23 (End 1)</t>
  </si>
  <si>
    <t>23 (End 2)</t>
  </si>
  <si>
    <t>24 (End 1)</t>
  </si>
  <si>
    <t>24 (End 2)</t>
  </si>
  <si>
    <t>25 (End 1)</t>
  </si>
  <si>
    <t>25 (End 2)</t>
  </si>
  <si>
    <t>26 (End 1)</t>
  </si>
  <si>
    <t>26 (End 2)</t>
  </si>
  <si>
    <t>27 (End 1)</t>
  </si>
  <si>
    <t>27 (End 2)</t>
  </si>
  <si>
    <t>28 (End 1)</t>
  </si>
  <si>
    <t>28 (End 2)</t>
  </si>
  <si>
    <t>29 (End 1)</t>
  </si>
  <si>
    <t>29 (End 2)</t>
  </si>
  <si>
    <t>30 (End 1)</t>
  </si>
  <si>
    <t>30 (End 2)</t>
  </si>
  <si>
    <t>31 (End 1)</t>
  </si>
  <si>
    <t>31 (End 2)</t>
  </si>
  <si>
    <t>32 (End 1)</t>
  </si>
  <si>
    <t>32 (End 2)</t>
  </si>
  <si>
    <t>33 (End 1)</t>
  </si>
  <si>
    <t>33 (End 2)</t>
  </si>
  <si>
    <t>34 (End 1)</t>
  </si>
  <si>
    <t>34 (End 2)</t>
  </si>
  <si>
    <t>35 (End 1)</t>
  </si>
  <si>
    <t>35 (End 2)</t>
  </si>
  <si>
    <t>36 (End 1)</t>
  </si>
  <si>
    <t>36 (End 2)</t>
  </si>
  <si>
    <t>37 (End 1)</t>
  </si>
  <si>
    <t>37 (End 2)</t>
  </si>
  <si>
    <t>38 (End 1)</t>
  </si>
  <si>
    <t>38 (End 2)</t>
  </si>
  <si>
    <t>39 (End 1)</t>
  </si>
  <si>
    <t>39 (End 2)</t>
  </si>
  <si>
    <t>40 (End 1)</t>
  </si>
  <si>
    <t>40 (End 2)</t>
  </si>
  <si>
    <t>41 (End 1)</t>
  </si>
  <si>
    <t>41 (End 2)</t>
  </si>
  <si>
    <t>42 (End 1)</t>
  </si>
  <si>
    <t>42 (End 2)</t>
  </si>
  <si>
    <t>43 (End 1)</t>
  </si>
  <si>
    <t>43 (End 2)</t>
  </si>
  <si>
    <t>44 (End 1)</t>
  </si>
  <si>
    <t>44 (End 2)</t>
  </si>
  <si>
    <t>45 (End 1)</t>
  </si>
  <si>
    <t>45 (End 2)</t>
  </si>
  <si>
    <t>46 (End 1)</t>
  </si>
  <si>
    <t>46 (End 2)</t>
  </si>
  <si>
    <t>47 (End 1)</t>
  </si>
  <si>
    <t>47 (End 2)</t>
  </si>
  <si>
    <t>48 (End 1)</t>
  </si>
  <si>
    <t>48 (End 2)</t>
  </si>
  <si>
    <t>49 (End 1)</t>
  </si>
  <si>
    <t>49 (End 2)</t>
  </si>
  <si>
    <t>50 (End 1)</t>
  </si>
  <si>
    <t>50 (End 2)</t>
  </si>
  <si>
    <t>51 (End 1)</t>
  </si>
  <si>
    <t>51 (End 2)</t>
  </si>
  <si>
    <t>52 (End 1)</t>
  </si>
  <si>
    <t>52 (End 2)</t>
  </si>
  <si>
    <t>53 (End 1)</t>
  </si>
  <si>
    <t>53 (End 2)</t>
  </si>
  <si>
    <t>54 (End 1)</t>
  </si>
  <si>
    <t>54 (End 2)</t>
  </si>
  <si>
    <t>55 (End 1)</t>
  </si>
  <si>
    <t>55 (End 2)</t>
  </si>
  <si>
    <t>56 (End 1)</t>
  </si>
  <si>
    <t>56 (End 2)</t>
  </si>
  <si>
    <t>57 (End 1)</t>
  </si>
  <si>
    <t>57 (End 2)</t>
  </si>
  <si>
    <t>58 (End 1)</t>
  </si>
  <si>
    <t>58 (End 2)</t>
  </si>
  <si>
    <t>59 (End 1)</t>
  </si>
  <si>
    <t>59 (End 2)</t>
  </si>
  <si>
    <t>60 (End 1)</t>
  </si>
  <si>
    <t>60 (End 2)</t>
  </si>
  <si>
    <t>61 (End 1)</t>
  </si>
  <si>
    <t>61 (End 2)</t>
  </si>
  <si>
    <t>62 (End 1)</t>
  </si>
  <si>
    <t>62 (End 2)</t>
  </si>
  <si>
    <t>63 (End 1)</t>
  </si>
  <si>
    <t>63 (End 2)</t>
  </si>
  <si>
    <t>64 (End 1)</t>
  </si>
  <si>
    <t>64 (End 2)</t>
  </si>
  <si>
    <t>65 (End 1)</t>
  </si>
  <si>
    <t>65 (End 2)</t>
  </si>
  <si>
    <t>66 (End 1)</t>
  </si>
  <si>
    <t>66 (End 2)</t>
  </si>
  <si>
    <t>67 (End 1)</t>
  </si>
  <si>
    <t>67 (End 2)</t>
  </si>
  <si>
    <t>68 (End 1)</t>
  </si>
  <si>
    <t>68 (End 2)</t>
  </si>
  <si>
    <t>69 (End 1)</t>
  </si>
  <si>
    <t>69 (End 2)</t>
  </si>
  <si>
    <t>70 (End 1)</t>
  </si>
  <si>
    <t>70 (End 2)</t>
  </si>
  <si>
    <t>71 (End 1)</t>
  </si>
  <si>
    <t>71 (End 2)</t>
  </si>
  <si>
    <t>72 (End 1)</t>
  </si>
  <si>
    <t>72 (End 2)</t>
  </si>
  <si>
    <t>73 (End 1)</t>
  </si>
  <si>
    <t>73 (End 2)</t>
  </si>
  <si>
    <t>74 (End 1)</t>
  </si>
  <si>
    <t>74 (End 2)</t>
  </si>
  <si>
    <t>75 (End 1)</t>
  </si>
  <si>
    <t>75 (End 2)</t>
  </si>
  <si>
    <t>76 (End 1)</t>
  </si>
  <si>
    <t>76 (End 2)</t>
  </si>
  <si>
    <t>77 (End 1)</t>
  </si>
  <si>
    <t>77 (End 2)</t>
  </si>
  <si>
    <t>78 (End 1)</t>
  </si>
  <si>
    <t>78 (End 2)</t>
  </si>
  <si>
    <t>79 (End 1)</t>
  </si>
  <si>
    <t>79 (End 2)</t>
  </si>
  <si>
    <t>80 (End 1)</t>
  </si>
  <si>
    <t>80 (End 2)</t>
  </si>
  <si>
    <t>81 (End 1)</t>
  </si>
  <si>
    <t>81 (End 2)</t>
  </si>
  <si>
    <t>82 (End 1)</t>
  </si>
  <si>
    <t>82 (End 2)</t>
  </si>
  <si>
    <t>83 (End 1)</t>
  </si>
  <si>
    <t>83 (End 2)</t>
  </si>
  <si>
    <t>84 (End 1)</t>
  </si>
  <si>
    <t>84 (End 2)</t>
  </si>
  <si>
    <t>85 (End 1)</t>
  </si>
  <si>
    <t>85 (End 2)</t>
  </si>
  <si>
    <t>86 (End 1)</t>
  </si>
  <si>
    <t>86 (End 2)</t>
  </si>
  <si>
    <t>87 (End 1)</t>
  </si>
  <si>
    <t>87 (End 2)</t>
  </si>
  <si>
    <t>88 (End 1)</t>
  </si>
  <si>
    <t>88 (End 2)</t>
  </si>
  <si>
    <t>89 (End 1)</t>
  </si>
  <si>
    <t>89 (End 2)</t>
  </si>
  <si>
    <t>90 (End 1)</t>
  </si>
  <si>
    <t>90 (End 2)</t>
  </si>
  <si>
    <t>91 (End 1)</t>
  </si>
  <si>
    <t>91 (End 2)</t>
  </si>
  <si>
    <t>92 (End 1)</t>
  </si>
  <si>
    <t>92 (End 2)</t>
  </si>
  <si>
    <t>93 (End 1)</t>
  </si>
  <si>
    <t>93 (End 2)</t>
  </si>
  <si>
    <t>94 (End 1)</t>
  </si>
  <si>
    <t>94 (End 2)</t>
  </si>
  <si>
    <t>95 (End 1)</t>
  </si>
  <si>
    <t>95 (End 2)</t>
  </si>
  <si>
    <t>96 (End 1)</t>
  </si>
  <si>
    <t>96 (End 2)</t>
  </si>
  <si>
    <t>97 (End 1)</t>
  </si>
  <si>
    <t>97 (End 2)</t>
  </si>
  <si>
    <t>98 (End 1)</t>
  </si>
  <si>
    <t>98 (End 2)</t>
  </si>
  <si>
    <t>99 (End 1)</t>
  </si>
  <si>
    <t>99 (End 2)</t>
  </si>
  <si>
    <t>100 (End 1)</t>
  </si>
  <si>
    <t>100 (End 2)</t>
  </si>
  <si>
    <t>101 (End 1)</t>
  </si>
  <si>
    <t>101 (End 2)</t>
  </si>
  <si>
    <t>102 (End 1)</t>
  </si>
  <si>
    <t>102 (End 2)</t>
  </si>
  <si>
    <t>103 (End 1)</t>
  </si>
  <si>
    <t>103 (End 2)</t>
  </si>
  <si>
    <t>104 (End 1)</t>
  </si>
  <si>
    <t>104 (End 2)</t>
  </si>
  <si>
    <t>105 (End 1)</t>
  </si>
  <si>
    <t>105 (End 2)</t>
  </si>
  <si>
    <t>106 (End 1)</t>
  </si>
  <si>
    <t>106 (End 2)</t>
  </si>
  <si>
    <t>107 (End 1)</t>
  </si>
  <si>
    <t>107 (End 2)</t>
  </si>
  <si>
    <t>108 (End 1)</t>
  </si>
  <si>
    <t>108 (End 2)</t>
  </si>
  <si>
    <t>109 (End 1)</t>
  </si>
  <si>
    <t>109 (End 2)</t>
  </si>
  <si>
    <t>110 (End 1)</t>
  </si>
  <si>
    <t>110 (End 2)</t>
  </si>
  <si>
    <t>111 (End 1)</t>
  </si>
  <si>
    <t>111 (End 2)</t>
  </si>
  <si>
    <t>112 (End 1)</t>
  </si>
  <si>
    <t>112 (End 2)</t>
  </si>
  <si>
    <t>113 (End 1)</t>
  </si>
  <si>
    <t>113 (End 2)</t>
  </si>
  <si>
    <t>114 (End 1)</t>
  </si>
  <si>
    <t>114 (End 2)</t>
  </si>
  <si>
    <t>Node [-]</t>
  </si>
  <si>
    <t>Local x [m]</t>
  </si>
  <si>
    <t>Point mass [m]</t>
  </si>
  <si>
    <t>Member [-]</t>
  </si>
  <si>
    <t>Wall thickness [mm]</t>
  </si>
  <si>
    <t>cd [-]</t>
  </si>
  <si>
    <t>cm [-]</t>
  </si>
  <si>
    <t>Marine growth [mm]</t>
  </si>
  <si>
    <t>Density [kg*m^-3]</t>
  </si>
  <si>
    <t>Material [-]</t>
  </si>
  <si>
    <t>Dimensional Tolerance for Node generating [m]</t>
  </si>
  <si>
    <t>Bladed</t>
  </si>
  <si>
    <t>Local y [m]</t>
  </si>
  <si>
    <t xml:space="preserve">Service Platform </t>
  </si>
  <si>
    <t xml:space="preserve">Bolting Platform </t>
  </si>
  <si>
    <t xml:space="preserve">Junction Box Platform </t>
  </si>
  <si>
    <t xml:space="preserve">dummy to have same number of nodes as 22 MW MP </t>
  </si>
  <si>
    <t xml:space="preserve">Internal Access System </t>
  </si>
  <si>
    <t xml:space="preserve">Airtight platform </t>
  </si>
  <si>
    <t xml:space="preserve">Skirt </t>
  </si>
  <si>
    <t>New Node?</t>
  </si>
  <si>
    <t xml:space="preserve">TP-sided flange to tower </t>
  </si>
  <si>
    <t xml:space="preserve">TP/MP flange TP/MP flange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</si>
</sst>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2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sz val="16"/>
      <color rgb="FF000000"/>
      <name val="Aptos Narrow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">
    <xf numFmtId="0" fontId="0" fillId="0" borderId="0"/>
    <xf numFmtId="164" fontId="1" fillId="0" borderId="0"/>
  </cellStyleXfs>
  <cellXfs count="160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0" fillId="7" borderId="0" xfId="0" applyFill="1"/>
    <xf numFmtId="0" fontId="9" fillId="0" borderId="0" xfId="0" applyFont="1"/>
    <xf numFmtId="0" fontId="0" fillId="15" borderId="9" xfId="0" applyFill="1" applyBorder="1"/>
    <xf numFmtId="0" fontId="16" fillId="0" borderId="0" xfId="0" applyFont="1"/>
    <xf numFmtId="0" fontId="0" fillId="7" borderId="0" xfId="0" applyFill="1" applyAlignment="1">
      <alignment vertical="center"/>
    </xf>
    <xf numFmtId="0" fontId="15" fillId="0" borderId="0" xfId="0" applyFont="1"/>
    <xf numFmtId="168" fontId="0" fillId="0" borderId="0" xfId="0" applyNumberFormat="1"/>
    <xf numFmtId="0" fontId="0" fillId="0" borderId="22" xfId="0" applyBorder="1"/>
    <xf numFmtId="0" fontId="0" fillId="17" borderId="6" xfId="0" applyFill="1" applyBorder="1"/>
    <xf numFmtId="0" fontId="0" fillId="17" borderId="7" xfId="0" applyFill="1" applyBorder="1"/>
    <xf numFmtId="0" fontId="0" fillId="17" borderId="9" xfId="0" applyFill="1" applyBorder="1"/>
    <xf numFmtId="0" fontId="0" fillId="17" borderId="0" xfId="0" applyFill="1"/>
    <xf numFmtId="0" fontId="0" fillId="17" borderId="5" xfId="0" applyFill="1" applyBorder="1"/>
    <xf numFmtId="0" fontId="0" fillId="17" borderId="11" xfId="0" applyFill="1" applyBorder="1"/>
    <xf numFmtId="0" fontId="0" fillId="0" borderId="21" xfId="0" applyBorder="1"/>
    <xf numFmtId="2" fontId="0" fillId="0" borderId="7" xfId="0" applyNumberFormat="1" applyBorder="1" applyAlignment="1">
      <alignment horizontal="center"/>
    </xf>
    <xf numFmtId="2" fontId="3" fillId="17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15" borderId="6" xfId="0" applyFill="1" applyBorder="1"/>
    <xf numFmtId="0" fontId="0" fillId="15" borderId="7" xfId="0" applyFill="1" applyBorder="1"/>
    <xf numFmtId="0" fontId="0" fillId="13" borderId="9" xfId="0" applyFill="1" applyBorder="1"/>
    <xf numFmtId="1" fontId="0" fillId="0" borderId="9" xfId="0" applyNumberFormat="1" applyBorder="1" applyAlignment="1">
      <alignment horizontal="center"/>
    </xf>
    <xf numFmtId="0" fontId="20" fillId="0" borderId="9" xfId="0" applyFont="1" applyBorder="1" applyAlignment="1">
      <alignment vertical="center"/>
    </xf>
    <xf numFmtId="0" fontId="14" fillId="16" borderId="17" xfId="0" applyFont="1" applyFill="1" applyBorder="1" applyAlignment="1">
      <alignment horizontal="center"/>
    </xf>
    <xf numFmtId="0" fontId="14" fillId="16" borderId="18" xfId="0" applyFont="1" applyFill="1" applyBorder="1" applyAlignment="1">
      <alignment horizontal="center"/>
    </xf>
    <xf numFmtId="0" fontId="14" fillId="16" borderId="19" xfId="0" applyFon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168" fontId="0" fillId="0" borderId="21" xfId="0" applyNumberFormat="1" applyBorder="1"/>
    <xf numFmtId="0" fontId="0" fillId="0" borderId="20" xfId="0" applyBorder="1"/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15" borderId="5" xfId="0" applyFill="1" applyBorder="1"/>
    <xf numFmtId="0" fontId="0" fillId="15" borderId="11" xfId="0" applyFill="1" applyBorder="1"/>
    <xf numFmtId="0" fontId="21" fillId="15" borderId="0" xfId="0" applyFont="1" applyFill="1"/>
    <xf numFmtId="0" fontId="13" fillId="0" borderId="9" xfId="0" applyFont="1" applyBorder="1"/>
    <xf numFmtId="1" fontId="13" fillId="0" borderId="9" xfId="0" applyNumberFormat="1" applyFont="1" applyBorder="1" applyAlignment="1">
      <alignment horizontal="left"/>
    </xf>
    <xf numFmtId="0" fontId="13" fillId="0" borderId="0" xfId="0" applyFont="1"/>
    <xf numFmtId="168" fontId="0" fillId="0" borderId="21" xfId="0" applyNumberFormat="1" applyBorder="1" applyAlignment="1">
      <alignment horizontal="center"/>
    </xf>
    <xf numFmtId="0" fontId="19" fillId="7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2" fontId="3" fillId="0" borderId="8" xfId="0" applyNumberFormat="1" applyFont="1" applyBorder="1" applyAlignment="1">
      <alignment horizontal="left"/>
    </xf>
    <xf numFmtId="1" fontId="18" fillId="0" borderId="9" xfId="0" applyNumberFormat="1" applyFont="1" applyBorder="1" applyAlignment="1">
      <alignment horizontal="center"/>
    </xf>
    <xf numFmtId="2" fontId="18" fillId="0" borderId="0" xfId="0" applyNumberFormat="1" applyFont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/>
      <protection locked="0"/>
    </xf>
    <xf numFmtId="0" fontId="0" fillId="17" borderId="8" xfId="0" applyFill="1" applyBorder="1"/>
    <xf numFmtId="0" fontId="0" fillId="7" borderId="10" xfId="0" applyFill="1" applyBorder="1"/>
    <xf numFmtId="0" fontId="0" fillId="17" borderId="10" xfId="0" applyFill="1" applyBorder="1"/>
    <xf numFmtId="0" fontId="0" fillId="17" borderId="4" xfId="0" applyFill="1" applyBorder="1"/>
    <xf numFmtId="0" fontId="14" fillId="16" borderId="23" xfId="0" applyFont="1" applyFill="1" applyBorder="1" applyAlignment="1">
      <alignment horizontal="center"/>
    </xf>
    <xf numFmtId="2" fontId="0" fillId="0" borderId="0" xfId="0" applyNumberFormat="1"/>
    <xf numFmtId="2" fontId="0" fillId="0" borderId="25" xfId="0" applyNumberFormat="1" applyBorder="1"/>
    <xf numFmtId="2" fontId="0" fillId="0" borderId="24" xfId="0" applyNumberFormat="1" applyBorder="1"/>
    <xf numFmtId="2" fontId="0" fillId="0" borderId="21" xfId="0" applyNumberFormat="1" applyBorder="1"/>
    <xf numFmtId="0" fontId="13" fillId="15" borderId="9" xfId="0" applyFont="1" applyFill="1" applyBorder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167" fontId="0" fillId="0" borderId="0" xfId="0" applyNumberFormat="1" applyAlignment="1">
      <alignment horizontal="center"/>
    </xf>
    <xf numFmtId="0" fontId="6" fillId="17" borderId="0" xfId="0" applyFont="1" applyFill="1" applyAlignment="1">
      <alignment horizontal="left"/>
    </xf>
    <xf numFmtId="0" fontId="0" fillId="12" borderId="9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0" xfId="0" applyFill="1" applyBorder="1" applyAlignment="1">
      <alignment horizontal="center"/>
    </xf>
    <xf numFmtId="0" fontId="13" fillId="12" borderId="9" xfId="0" applyFont="1" applyFill="1" applyBorder="1" applyAlignment="1">
      <alignment horizontal="left"/>
    </xf>
    <xf numFmtId="0" fontId="0" fillId="15" borderId="10" xfId="0" applyFill="1" applyBorder="1"/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13" borderId="0" xfId="0" applyFill="1" applyAlignment="1">
      <alignment horizontal="center"/>
    </xf>
    <xf numFmtId="0" fontId="2" fillId="0" borderId="0" xfId="0" applyFont="1" applyAlignment="1">
      <alignment horizontal="left"/>
    </xf>
    <xf numFmtId="2" fontId="0" fillId="0" borderId="9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0" fontId="5" fillId="15" borderId="0" xfId="0" applyFont="1" applyFill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16" borderId="0" xfId="0" applyFont="1" applyFill="1" applyAlignment="1">
      <alignment horizontal="center"/>
    </xf>
    <xf numFmtId="0" fontId="12" fillId="0" borderId="0" xfId="0" applyFont="1"/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0" fillId="17" borderId="20" xfId="0" applyFill="1" applyBorder="1" applyAlignment="1">
      <alignment horizontal="center"/>
    </xf>
    <xf numFmtId="0" fontId="0" fillId="18" borderId="20" xfId="0" applyFill="1" applyBorder="1" applyAlignment="1">
      <alignment horizontal="center"/>
    </xf>
    <xf numFmtId="0" fontId="0" fillId="18" borderId="29" xfId="0" applyFill="1" applyBorder="1" applyAlignment="1">
      <alignment horizontal="center"/>
    </xf>
  </cellXfs>
  <cellStyles count="2">
    <cellStyle name="Standard" xfId="0" builtinId="0"/>
    <cellStyle name="Standard 4" xfId="1" xr:uid="{7C2E7282-4006-4D40-8AAC-8E6944058B8E}"/>
  </cellStyles>
  <dxfs count="393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JBO_Design" defaultPivotStyle="PivotStyleLight16">
    <tableStyle name="JBO_Design" pivot="0" count="4" xr9:uid="{95AAA938-C4DD-4DEC-A5CC-FFB0938B175B}">
      <tableStyleElement type="wholeTable" dxfId="392"/>
      <tableStyleElement type="headerRow" dxfId="391"/>
      <tableStyleElement type="firstRowStripe" dxfId="390"/>
      <tableStyleElement type="secondRowStripe" dxfId="389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fmlaLink="Use_TP" lockText="1" noThreeD="1"/>
</file>

<file path=xl/ctrlProps/ctrlProp15.xml><?xml version="1.0" encoding="utf-8"?>
<formControlPr xmlns="http://schemas.microsoft.com/office/spreadsheetml/2009/9/main" objectType="CheckBox" checked="Checked" fmlaLink="Use_MP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CheckBox" checked="Checked" fmlaLink="UseMPGeomConv" lockText="1" noThreeD="1"/>
</file>

<file path=xl/ctrlProps/ctrlProp25.xml><?xml version="1.0" encoding="utf-8"?>
<formControlPr xmlns="http://schemas.microsoft.com/office/spreadsheetml/2009/9/main" objectType="CheckBox" checked="Checked" fmlaLink="UseTPGeomConv" lockText="1" noThreeD="1"/>
</file>

<file path=xl/ctrlProps/ctrlProp26.xml><?xml version="1.0" encoding="utf-8"?>
<formControlPr xmlns="http://schemas.microsoft.com/office/spreadsheetml/2009/9/main" objectType="CheckBox" checked="Checked" fmlaLink="UseTOWERGeomConv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29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Drop" dropStyle="combo" dx="26" noThreeD="1" sel="1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1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Drop" dropStyle="combo" dx="26" noThreeD="1" sel="6" val="5">
  <itemLst>
    <item val="Generic_Turbine"/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6</xdr:row>
          <xdr:rowOff>38100</xdr:rowOff>
        </xdr:from>
        <xdr:to>
          <xdr:col>7</xdr:col>
          <xdr:colOff>1668780</xdr:colOff>
          <xdr:row>7</xdr:row>
          <xdr:rowOff>198120</xdr:rowOff>
        </xdr:to>
        <xdr:sp macro="" textlink="">
          <xdr:nvSpPr>
            <xdr:cNvPr id="4102" name="Dropdown_MP_Structures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4</xdr:row>
          <xdr:rowOff>22860</xdr:rowOff>
        </xdr:from>
        <xdr:to>
          <xdr:col>4</xdr:col>
          <xdr:colOff>3337560</xdr:colOff>
          <xdr:row>5</xdr:row>
          <xdr:rowOff>190500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20</xdr:row>
          <xdr:rowOff>160020</xdr:rowOff>
        </xdr:from>
        <xdr:to>
          <xdr:col>8</xdr:col>
          <xdr:colOff>1447800</xdr:colOff>
          <xdr:row>23</xdr:row>
          <xdr:rowOff>160020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1470660</xdr:colOff>
          <xdr:row>20</xdr:row>
          <xdr:rowOff>160020</xdr:rowOff>
        </xdr:from>
        <xdr:to>
          <xdr:col>10</xdr:col>
          <xdr:colOff>1417320</xdr:colOff>
          <xdr:row>23</xdr:row>
          <xdr:rowOff>144780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99060</xdr:rowOff>
        </xdr:from>
        <xdr:to>
          <xdr:col>3</xdr:col>
          <xdr:colOff>1470660</xdr:colOff>
          <xdr:row>2</xdr:row>
          <xdr:rowOff>60960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17</xdr:row>
          <xdr:rowOff>30480</xdr:rowOff>
        </xdr:from>
        <xdr:to>
          <xdr:col>1</xdr:col>
          <xdr:colOff>1630680</xdr:colOff>
          <xdr:row>19</xdr:row>
          <xdr:rowOff>152400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38100</xdr:colOff>
          <xdr:row>5</xdr:row>
          <xdr:rowOff>38100</xdr:rowOff>
        </xdr:from>
        <xdr:to>
          <xdr:col>63</xdr:col>
          <xdr:colOff>792480</xdr:colOff>
          <xdr:row>5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6</xdr:row>
          <xdr:rowOff>7620</xdr:rowOff>
        </xdr:from>
        <xdr:to>
          <xdr:col>4</xdr:col>
          <xdr:colOff>3322320</xdr:colOff>
          <xdr:row>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822960</xdr:colOff>
          <xdr:row>5</xdr:row>
          <xdr:rowOff>22860</xdr:rowOff>
        </xdr:from>
        <xdr:to>
          <xdr:col>64</xdr:col>
          <xdr:colOff>7620</xdr:colOff>
          <xdr:row>5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1607820</xdr:colOff>
          <xdr:row>19</xdr:row>
          <xdr:rowOff>99060</xdr:rowOff>
        </xdr:from>
        <xdr:to>
          <xdr:col>1</xdr:col>
          <xdr:colOff>807720</xdr:colOff>
          <xdr:row>21</xdr:row>
          <xdr:rowOff>144780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19</xdr:row>
          <xdr:rowOff>114300</xdr:rowOff>
        </xdr:from>
        <xdr:to>
          <xdr:col>0</xdr:col>
          <xdr:colOff>990600</xdr:colOff>
          <xdr:row>21</xdr:row>
          <xdr:rowOff>144780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21</xdr:row>
          <xdr:rowOff>22860</xdr:rowOff>
        </xdr:from>
        <xdr:to>
          <xdr:col>4</xdr:col>
          <xdr:colOff>3314700</xdr:colOff>
          <xdr:row>22</xdr:row>
          <xdr:rowOff>213360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38100</xdr:colOff>
          <xdr:row>5</xdr:row>
          <xdr:rowOff>38100</xdr:rowOff>
        </xdr:from>
        <xdr:to>
          <xdr:col>117</xdr:col>
          <xdr:colOff>792480</xdr:colOff>
          <xdr:row>5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22860</xdr:colOff>
          <xdr:row>9</xdr:row>
          <xdr:rowOff>22860</xdr:rowOff>
        </xdr:from>
        <xdr:to>
          <xdr:col>119</xdr:col>
          <xdr:colOff>723900</xdr:colOff>
          <xdr:row>11</xdr:row>
          <xdr:rowOff>137160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822960</xdr:colOff>
          <xdr:row>5</xdr:row>
          <xdr:rowOff>22860</xdr:rowOff>
        </xdr:from>
        <xdr:to>
          <xdr:col>118</xdr:col>
          <xdr:colOff>7620</xdr:colOff>
          <xdr:row>5</xdr:row>
          <xdr:rowOff>259080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17</xdr:row>
          <xdr:rowOff>30480</xdr:rowOff>
        </xdr:from>
        <xdr:to>
          <xdr:col>3</xdr:col>
          <xdr:colOff>1493520</xdr:colOff>
          <xdr:row>19</xdr:row>
          <xdr:rowOff>152400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19</xdr:row>
          <xdr:rowOff>106680</xdr:rowOff>
        </xdr:from>
        <xdr:to>
          <xdr:col>2</xdr:col>
          <xdr:colOff>914400</xdr:colOff>
          <xdr:row>21</xdr:row>
          <xdr:rowOff>121920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1112520</xdr:colOff>
          <xdr:row>19</xdr:row>
          <xdr:rowOff>83820</xdr:rowOff>
        </xdr:from>
        <xdr:to>
          <xdr:col>3</xdr:col>
          <xdr:colOff>533400</xdr:colOff>
          <xdr:row>21</xdr:row>
          <xdr:rowOff>152400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678180</xdr:colOff>
          <xdr:row>19</xdr:row>
          <xdr:rowOff>76200</xdr:rowOff>
        </xdr:from>
        <xdr:to>
          <xdr:col>3</xdr:col>
          <xdr:colOff>1516380</xdr:colOff>
          <xdr:row>21</xdr:row>
          <xdr:rowOff>144780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2</xdr:row>
          <xdr:rowOff>106680</xdr:rowOff>
        </xdr:from>
        <xdr:to>
          <xdr:col>1</xdr:col>
          <xdr:colOff>1630680</xdr:colOff>
          <xdr:row>4</xdr:row>
          <xdr:rowOff>213360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5</xdr:row>
          <xdr:rowOff>22860</xdr:rowOff>
        </xdr:from>
        <xdr:to>
          <xdr:col>1</xdr:col>
          <xdr:colOff>1607820</xdr:colOff>
          <xdr:row>7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</xdr:row>
          <xdr:rowOff>220980</xdr:rowOff>
        </xdr:from>
        <xdr:to>
          <xdr:col>1</xdr:col>
          <xdr:colOff>1607820</xdr:colOff>
          <xdr:row>10</xdr:row>
          <xdr:rowOff>175260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10</xdr:row>
          <xdr:rowOff>213360</xdr:rowOff>
        </xdr:from>
        <xdr:to>
          <xdr:col>1</xdr:col>
          <xdr:colOff>1623060</xdr:colOff>
          <xdr:row>14</xdr:row>
          <xdr:rowOff>7620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0</xdr:colOff>
          <xdr:row>7</xdr:row>
          <xdr:rowOff>22860</xdr:rowOff>
        </xdr:from>
        <xdr:to>
          <xdr:col>145</xdr:col>
          <xdr:colOff>1402080</xdr:colOff>
          <xdr:row>9</xdr:row>
          <xdr:rowOff>45720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22860</xdr:colOff>
          <xdr:row>7</xdr:row>
          <xdr:rowOff>22860</xdr:rowOff>
        </xdr:from>
        <xdr:to>
          <xdr:col>145</xdr:col>
          <xdr:colOff>1447800</xdr:colOff>
          <xdr:row>8</xdr:row>
          <xdr:rowOff>198120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114</xdr:row>
      <xdr:rowOff>22412</xdr:rowOff>
    </xdr:from>
    <xdr:to>
      <xdr:col>0</xdr:col>
      <xdr:colOff>762000</xdr:colOff>
      <xdr:row>114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</xdr:row>
          <xdr:rowOff>7620</xdr:rowOff>
        </xdr:from>
        <xdr:to>
          <xdr:col>11</xdr:col>
          <xdr:colOff>1371600</xdr:colOff>
          <xdr:row>3</xdr:row>
          <xdr:rowOff>60960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3383280</xdr:colOff>
          <xdr:row>6</xdr:row>
          <xdr:rowOff>38100</xdr:rowOff>
        </xdr:from>
        <xdr:to>
          <xdr:col>146</xdr:col>
          <xdr:colOff>1508760</xdr:colOff>
          <xdr:row>7</xdr:row>
          <xdr:rowOff>198120</xdr:rowOff>
        </xdr:to>
        <xdr:sp macro="" textlink="">
          <xdr:nvSpPr>
            <xdr:cNvPr id="4158" name="Dropdown_TP_Structures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45720</xdr:colOff>
          <xdr:row>4</xdr:row>
          <xdr:rowOff>22860</xdr:rowOff>
        </xdr:from>
        <xdr:to>
          <xdr:col>41</xdr:col>
          <xdr:colOff>3337560</xdr:colOff>
          <xdr:row>5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30480</xdr:colOff>
          <xdr:row>20</xdr:row>
          <xdr:rowOff>160020</xdr:rowOff>
        </xdr:from>
        <xdr:to>
          <xdr:col>45</xdr:col>
          <xdr:colOff>1447800</xdr:colOff>
          <xdr:row>23</xdr:row>
          <xdr:rowOff>160020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1470660</xdr:colOff>
          <xdr:row>20</xdr:row>
          <xdr:rowOff>160020</xdr:rowOff>
        </xdr:from>
        <xdr:to>
          <xdr:col>47</xdr:col>
          <xdr:colOff>1417320</xdr:colOff>
          <xdr:row>23</xdr:row>
          <xdr:rowOff>144780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6</xdr:row>
          <xdr:rowOff>7620</xdr:rowOff>
        </xdr:from>
        <xdr:to>
          <xdr:col>41</xdr:col>
          <xdr:colOff>3322320</xdr:colOff>
          <xdr:row>7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30480</xdr:colOff>
          <xdr:row>21</xdr:row>
          <xdr:rowOff>22860</xdr:rowOff>
        </xdr:from>
        <xdr:to>
          <xdr:col>41</xdr:col>
          <xdr:colOff>3314700</xdr:colOff>
          <xdr:row>22</xdr:row>
          <xdr:rowOff>213360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152400</xdr:colOff>
          <xdr:row>1</xdr:row>
          <xdr:rowOff>7620</xdr:rowOff>
        </xdr:from>
        <xdr:to>
          <xdr:col>48</xdr:col>
          <xdr:colOff>1371600</xdr:colOff>
          <xdr:row>3</xdr:row>
          <xdr:rowOff>60960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5</xdr:row>
          <xdr:rowOff>38100</xdr:rowOff>
        </xdr:from>
        <xdr:to>
          <xdr:col>101</xdr:col>
          <xdr:colOff>792480</xdr:colOff>
          <xdr:row>5</xdr:row>
          <xdr:rowOff>266700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822960</xdr:colOff>
          <xdr:row>5</xdr:row>
          <xdr:rowOff>22860</xdr:rowOff>
        </xdr:from>
        <xdr:to>
          <xdr:col>102</xdr:col>
          <xdr:colOff>7620</xdr:colOff>
          <xdr:row>5</xdr:row>
          <xdr:rowOff>259080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0</xdr:colOff>
          <xdr:row>7</xdr:row>
          <xdr:rowOff>22860</xdr:rowOff>
        </xdr:from>
        <xdr:to>
          <xdr:col>145</xdr:col>
          <xdr:colOff>1447800</xdr:colOff>
          <xdr:row>9</xdr:row>
          <xdr:rowOff>45720</xdr:rowOff>
        </xdr:to>
        <xdr:sp macro="" textlink="">
          <xdr:nvSpPr>
            <xdr:cNvPr id="4168" name="Dropdown_TP_Structures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22860</xdr:colOff>
          <xdr:row>7</xdr:row>
          <xdr:rowOff>22860</xdr:rowOff>
        </xdr:from>
        <xdr:to>
          <xdr:col>145</xdr:col>
          <xdr:colOff>1493520</xdr:colOff>
          <xdr:row>8</xdr:row>
          <xdr:rowOff>198120</xdr:rowOff>
        </xdr:to>
        <xdr:sp macro="" textlink="">
          <xdr:nvSpPr>
            <xdr:cNvPr id="4169" name="Dropdown_TOWER_Structures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3383280</xdr:colOff>
          <xdr:row>6</xdr:row>
          <xdr:rowOff>38100</xdr:rowOff>
        </xdr:from>
        <xdr:to>
          <xdr:col>147</xdr:col>
          <xdr:colOff>0</xdr:colOff>
          <xdr:row>7</xdr:row>
          <xdr:rowOff>175260</xdr:rowOff>
        </xdr:to>
        <xdr:sp macro="" textlink="">
          <xdr:nvSpPr>
            <xdr:cNvPr id="4170" name="Dropdown_TOWER_Structures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45720</xdr:colOff>
          <xdr:row>4</xdr:row>
          <xdr:rowOff>22860</xdr:rowOff>
        </xdr:from>
        <xdr:to>
          <xdr:col>79</xdr:col>
          <xdr:colOff>3337560</xdr:colOff>
          <xdr:row>5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30480</xdr:colOff>
          <xdr:row>20</xdr:row>
          <xdr:rowOff>160020</xdr:rowOff>
        </xdr:from>
        <xdr:to>
          <xdr:col>83</xdr:col>
          <xdr:colOff>1447800</xdr:colOff>
          <xdr:row>23</xdr:row>
          <xdr:rowOff>160020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1470660</xdr:colOff>
          <xdr:row>20</xdr:row>
          <xdr:rowOff>160020</xdr:rowOff>
        </xdr:from>
        <xdr:to>
          <xdr:col>85</xdr:col>
          <xdr:colOff>1417320</xdr:colOff>
          <xdr:row>23</xdr:row>
          <xdr:rowOff>144780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30480</xdr:colOff>
          <xdr:row>6</xdr:row>
          <xdr:rowOff>7620</xdr:rowOff>
        </xdr:from>
        <xdr:to>
          <xdr:col>79</xdr:col>
          <xdr:colOff>3322320</xdr:colOff>
          <xdr:row>7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30480</xdr:colOff>
          <xdr:row>21</xdr:row>
          <xdr:rowOff>22860</xdr:rowOff>
        </xdr:from>
        <xdr:to>
          <xdr:col>79</xdr:col>
          <xdr:colOff>3314700</xdr:colOff>
          <xdr:row>22</xdr:row>
          <xdr:rowOff>213360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152400</xdr:colOff>
          <xdr:row>1</xdr:row>
          <xdr:rowOff>7620</xdr:rowOff>
        </xdr:from>
        <xdr:to>
          <xdr:col>86</xdr:col>
          <xdr:colOff>1371600</xdr:colOff>
          <xdr:row>3</xdr:row>
          <xdr:rowOff>60960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117</xdr:col>
          <xdr:colOff>3383280</xdr:colOff>
          <xdr:row>6</xdr:row>
          <xdr:rowOff>38100</xdr:rowOff>
        </xdr:from>
        <xdr:to>
          <xdr:col>146</xdr:col>
          <xdr:colOff>1493520</xdr:colOff>
          <xdr:row>7</xdr:row>
          <xdr:rowOff>182880</xdr:rowOff>
        </xdr:to>
        <xdr:sp macro="" textlink="">
          <xdr:nvSpPr>
            <xdr:cNvPr id="4180" name="Dropdown_RNA_Structures2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45720</xdr:colOff>
          <xdr:row>4</xdr:row>
          <xdr:rowOff>22860</xdr:rowOff>
        </xdr:from>
        <xdr:to>
          <xdr:col>117</xdr:col>
          <xdr:colOff>3337560</xdr:colOff>
          <xdr:row>5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30480</xdr:colOff>
          <xdr:row>6</xdr:row>
          <xdr:rowOff>7620</xdr:rowOff>
        </xdr:from>
        <xdr:to>
          <xdr:col>117</xdr:col>
          <xdr:colOff>3322320</xdr:colOff>
          <xdr:row>7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2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108</xdr:row>
          <xdr:rowOff>45720</xdr:rowOff>
        </xdr:from>
        <xdr:to>
          <xdr:col>3</xdr:col>
          <xdr:colOff>1440180</xdr:colOff>
          <xdr:row>111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49</xdr:col>
      <xdr:colOff>0</xdr:colOff>
      <xdr:row>1</xdr:row>
      <xdr:rowOff>0</xdr:rowOff>
    </xdr:from>
    <xdr:to>
      <xdr:col>154</xdr:col>
      <xdr:colOff>702425</xdr:colOff>
      <xdr:row>24</xdr:row>
      <xdr:rowOff>212991</xdr:rowOff>
    </xdr:to>
    <xdr:pic>
      <xdr:nvPicPr>
        <xdr:cNvPr id="9" name="Fig_TP_plot" hidden="1">
          <a:extLst>
            <a:ext uri="{FF2B5EF4-FFF2-40B4-BE49-F238E27FC236}">
              <a16:creationId xmlns:a16="http://schemas.microsoft.com/office/drawing/2014/main" id="{A832ED70-E872-FDD8-3E8D-064C43776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00" y="228600"/>
          <a:ext cx="16436567" cy="58098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3</xdr:col>
      <xdr:colOff>1387614</xdr:colOff>
      <xdr:row>197</xdr:row>
      <xdr:rowOff>210731</xdr:rowOff>
    </xdr:to>
    <xdr:pic>
      <xdr:nvPicPr>
        <xdr:cNvPr id="11" name="Fig_Assambly_plot">
          <a:extLst>
            <a:ext uri="{FF2B5EF4-FFF2-40B4-BE49-F238E27FC236}">
              <a16:creationId xmlns:a16="http://schemas.microsoft.com/office/drawing/2014/main" id="{49B554E7-BBAC-036F-2E53-5F11103B1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00900"/>
          <a:ext cx="6207264" cy="19413131"/>
        </a:xfrm>
        <a:prstGeom prst="rect">
          <a:avLst/>
        </a:prstGeom>
      </xdr:spPr>
    </xdr:pic>
    <xdr:clientData/>
  </xdr:twoCellAnchor>
  <xdr:twoCellAnchor editAs="oneCell">
    <xdr:from>
      <xdr:col>87</xdr:col>
      <xdr:colOff>2</xdr:colOff>
      <xdr:row>1</xdr:row>
      <xdr:rowOff>0</xdr:rowOff>
    </xdr:from>
    <xdr:to>
      <xdr:col>154</xdr:col>
      <xdr:colOff>212874</xdr:colOff>
      <xdr:row>24</xdr:row>
      <xdr:rowOff>59228</xdr:rowOff>
    </xdr:to>
    <xdr:pic>
      <xdr:nvPicPr>
        <xdr:cNvPr id="13" name="Fig_TOWER_plot" hidden="1">
          <a:extLst>
            <a:ext uri="{FF2B5EF4-FFF2-40B4-BE49-F238E27FC236}">
              <a16:creationId xmlns:a16="http://schemas.microsoft.com/office/drawing/2014/main" id="{0756CE07-B750-782B-D1AB-52CE784D8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02" y="228600"/>
          <a:ext cx="15948028" cy="5659928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15242</xdr:colOff>
      <xdr:row>1</xdr:row>
      <xdr:rowOff>0</xdr:rowOff>
    </xdr:from>
    <xdr:to>
      <xdr:col>22</xdr:col>
      <xdr:colOff>1237226</xdr:colOff>
      <xdr:row>22</xdr:row>
      <xdr:rowOff>212609</xdr:rowOff>
    </xdr:to>
    <xdr:pic>
      <xdr:nvPicPr>
        <xdr:cNvPr id="17" name="Fig_MP_plot">
          <a:extLst>
            <a:ext uri="{FF2B5EF4-FFF2-40B4-BE49-F238E27FC236}">
              <a16:creationId xmlns:a16="http://schemas.microsoft.com/office/drawing/2014/main" id="{C0160309-5AE3-2583-28B9-6B4E62E78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79742" y="228600"/>
          <a:ext cx="16500084" cy="53561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359871</xdr:colOff>
      <xdr:row>1</xdr:row>
      <xdr:rowOff>17319</xdr:rowOff>
    </xdr:from>
    <xdr:to>
      <xdr:col>64</xdr:col>
      <xdr:colOff>651393</xdr:colOff>
      <xdr:row>124</xdr:row>
      <xdr:rowOff>22563</xdr:rowOff>
    </xdr:to>
    <xdr:pic>
      <xdr:nvPicPr>
        <xdr:cNvPr id="2" name="Fig_Assambly_plot" hidden="1">
          <a:extLst>
            <a:ext uri="{FF2B5EF4-FFF2-40B4-BE49-F238E27FC236}">
              <a16:creationId xmlns:a16="http://schemas.microsoft.com/office/drawing/2014/main" id="{F0B36C60-5DE4-42C7-952D-8E52E7FB9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80780" y="190501"/>
          <a:ext cx="6214340" cy="217689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10</xdr:row>
          <xdr:rowOff>121920</xdr:rowOff>
        </xdr:from>
        <xdr:to>
          <xdr:col>1</xdr:col>
          <xdr:colOff>1775460</xdr:colOff>
          <xdr:row>14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Geometry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15</xdr:row>
          <xdr:rowOff>30480</xdr:rowOff>
        </xdr:from>
        <xdr:to>
          <xdr:col>1</xdr:col>
          <xdr:colOff>1775460</xdr:colOff>
          <xdr:row>19</xdr:row>
          <xdr:rowOff>144780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Added Masses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</xdr:row>
          <xdr:rowOff>160020</xdr:rowOff>
        </xdr:from>
        <xdr:to>
          <xdr:col>1</xdr:col>
          <xdr:colOff>1752600</xdr:colOff>
          <xdr:row>24</xdr:row>
          <xdr:rowOff>83820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MISC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3</xdr:row>
          <xdr:rowOff>144780</xdr:rowOff>
        </xdr:from>
        <xdr:to>
          <xdr:col>4</xdr:col>
          <xdr:colOff>1066800</xdr:colOff>
          <xdr:row>4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1089660</xdr:colOff>
          <xdr:row>3</xdr:row>
          <xdr:rowOff>144780</xdr:rowOff>
        </xdr:from>
        <xdr:to>
          <xdr:col>4</xdr:col>
          <xdr:colOff>2118360</xdr:colOff>
          <xdr:row>4</xdr:row>
          <xdr:rowOff>220980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3</xdr:row>
          <xdr:rowOff>160020</xdr:rowOff>
        </xdr:from>
        <xdr:to>
          <xdr:col>12</xdr:col>
          <xdr:colOff>1051560</xdr:colOff>
          <xdr:row>5</xdr:row>
          <xdr:rowOff>7620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1089660</xdr:colOff>
          <xdr:row>3</xdr:row>
          <xdr:rowOff>144780</xdr:rowOff>
        </xdr:from>
        <xdr:to>
          <xdr:col>12</xdr:col>
          <xdr:colOff>2118360</xdr:colOff>
          <xdr:row>4</xdr:row>
          <xdr:rowOff>220980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2156460</xdr:colOff>
          <xdr:row>3</xdr:row>
          <xdr:rowOff>175260</xdr:rowOff>
        </xdr:from>
        <xdr:to>
          <xdr:col>13</xdr:col>
          <xdr:colOff>1173480</xdr:colOff>
          <xdr:row>5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4</xdr:row>
          <xdr:rowOff>144780</xdr:rowOff>
        </xdr:from>
        <xdr:to>
          <xdr:col>2</xdr:col>
          <xdr:colOff>861060</xdr:colOff>
          <xdr:row>8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9</xdr:row>
          <xdr:rowOff>38100</xdr:rowOff>
        </xdr:from>
        <xdr:to>
          <xdr:col>2</xdr:col>
          <xdr:colOff>883920</xdr:colOff>
          <xdr:row>13</xdr:row>
          <xdr:rowOff>99060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13</xdr:row>
          <xdr:rowOff>114300</xdr:rowOff>
        </xdr:from>
        <xdr:to>
          <xdr:col>2</xdr:col>
          <xdr:colOff>883920</xdr:colOff>
          <xdr:row>17</xdr:row>
          <xdr:rowOff>175260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Bladed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53340</xdr:colOff>
          <xdr:row>4</xdr:row>
          <xdr:rowOff>144780</xdr:rowOff>
        </xdr:from>
        <xdr:to>
          <xdr:col>57</xdr:col>
          <xdr:colOff>2141220</xdr:colOff>
          <xdr:row>6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2:K13" totalsRowShown="0" headerRowDxfId="388" dataDxfId="387">
  <autoFilter ref="E12:K13" xr:uid="{51AF5F9E-A6E5-4BA1-83BE-2546351DAE06}"/>
  <tableColumns count="7">
    <tableColumn id="1" xr3:uid="{8004DE55-01A0-4AB5-A007-D379F8ED184F}" name="Identifier" dataDxfId="386"/>
    <tableColumn id="2" xr3:uid="{73AEE22B-B9CF-4401-B31E-64902257C6A9}" name="Project ID" dataDxfId="385"/>
    <tableColumn id="3" xr3:uid="{6CD7BEF9-707B-4F7D-A334-46DB51B6F454}" name="Phase" dataDxfId="384"/>
    <tableColumn id="4" xr3:uid="{5572AB9F-884A-4001-85E7-5E708A2DFC71}" name="Structure ID" dataDxfId="383"/>
    <tableColumn id="5" xr3:uid="{AFCB5F1D-C5C1-4D21-A7C0-310C0D52F9E4}" name="Water Depth [m]" dataDxfId="382"/>
    <tableColumn id="6" xr3:uid="{149EEBB8-62A5-42C4-97FD-484848DB0825}" name="Height Reference" dataDxfId="381"/>
    <tableColumn id="7" xr3:uid="{82ECC3EB-0382-490B-8CE7-963B13E4D1A1}" name="Comments" dataDxfId="380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7:K18" insertRow="1" totalsRowShown="0" headerRowDxfId="379" dataDxfId="378">
  <autoFilter ref="E17:K18" xr:uid="{58117B73-5FCA-4002-A528-31B3F83BDE75}"/>
  <tableColumns count="7">
    <tableColumn id="1" xr3:uid="{5C484AAB-AA0F-4FBD-9543-28D80EB7F84D}" name="Identifier" dataDxfId="377"/>
    <tableColumn id="2" xr3:uid="{87603448-795E-499B-8754-D6455D5FF52F}" name="Project ID" dataDxfId="376"/>
    <tableColumn id="3" xr3:uid="{51EA6487-4EF3-43A9-B440-34893EEEEAB2}" name="Phase" dataDxfId="375"/>
    <tableColumn id="4" xr3:uid="{4AC48BB5-6D2E-492F-89B1-5662010991A8}" name="Structure ID" dataDxfId="374"/>
    <tableColumn id="5" xr3:uid="{2AE3ED2D-7CAB-45B8-AA43-6197A5DBB9C2}" name="Water Depth [m]" dataDxfId="373"/>
    <tableColumn id="6" xr3:uid="{BC0E3E2E-DE67-4FD9-94E9-5C112B52D3FD}" name="Height Reference" dataDxfId="372"/>
    <tableColumn id="7" xr3:uid="{16928D7F-3DB7-43BD-BCF5-5C279A3E16F5}" name="Comments" dataDxfId="371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1:J134" totalsRowShown="0" headerRowDxfId="370" dataDxfId="369">
  <autoFilter ref="E111:J134" xr:uid="{C9C31EE9-6B44-4D67-9597-BD108F88B355}"/>
  <sortState xmlns:xlrd2="http://schemas.microsoft.com/office/spreadsheetml/2017/richdata2" ref="E112:O136">
    <sortCondition ref="E111:E136"/>
  </sortState>
  <tableColumns count="6">
    <tableColumn id="1" xr3:uid="{15F53C56-04A7-4EA4-A64D-A2A5A78E2AA2}" name="Section" dataDxfId="368"/>
    <tableColumn id="2" xr3:uid="{01B5124C-F6E1-40D2-9236-F2D6BE941DD3}" name="Top [m]" dataDxfId="367"/>
    <tableColumn id="3" xr3:uid="{0537C90E-D320-4AC4-8392-2A7C45CE31A1}" name="Bottom [m]" dataDxfId="366"/>
    <tableColumn id="4" xr3:uid="{3F0DC3DB-26F8-4D70-A358-70EF5E1596F5}" name="D, top [m]" dataDxfId="365"/>
    <tableColumn id="5" xr3:uid="{25F6B1D8-AC49-468F-BDCD-72AC07BB3CD0}" name="D, bottom [m]" dataDxfId="364"/>
    <tableColumn id="6" xr3:uid="{3ED99EE5-BCA8-4244-A3E5-81C6F22A9AB2}" name="t [mm]" dataDxfId="363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Y11:AE12" totalsRowShown="0" headerRowDxfId="362" dataDxfId="361">
  <autoFilter ref="Y11:AE12" xr:uid="{F46B677D-4D25-4464-BE0D-6A1E644518C5}"/>
  <tableColumns count="7">
    <tableColumn id="1" xr3:uid="{ECD0389F-015D-412B-9FF1-D5BEAAD27FC1}" name="Identifier" dataDxfId="360"/>
    <tableColumn id="2" xr3:uid="{90794316-AE1E-4D40-A728-B5B995A9CF65}" name="Project ID" dataDxfId="359"/>
    <tableColumn id="3" xr3:uid="{B8C9242D-AC32-4E57-A861-DB7E615D6A1C}" name="Phase" dataDxfId="358"/>
    <tableColumn id="4" xr3:uid="{1EEB510B-3010-431D-B8C6-870D9180A629}" name="Structure ID" dataDxfId="357"/>
    <tableColumn id="5" xr3:uid="{B6F5C20C-83C1-4B16-B4D3-933D066BB6A0}" name="Water Depth [m]" dataDxfId="356"/>
    <tableColumn id="6" xr3:uid="{26EA3A2D-14E0-4809-9795-74592B4984AD}" name="Height Reference" dataDxfId="355"/>
    <tableColumn id="7" xr3:uid="{9AC62F3C-D12C-40A1-8AF4-F7C9B043F1FB}" name="Comments" dataDxfId="35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Y17:AD40" totalsRowShown="0" headerRowDxfId="353" dataDxfId="352">
  <autoFilter ref="Y17:AD40" xr:uid="{186CFF05-2CD9-405C-829A-5AD7B62A8ACE}"/>
  <sortState xmlns:xlrd2="http://schemas.microsoft.com/office/spreadsheetml/2017/richdata2" ref="Y18:AI42">
    <sortCondition ref="Y17:Y42"/>
  </sortState>
  <tableColumns count="6">
    <tableColumn id="1" xr3:uid="{66D6C4E1-74CA-4A30-A085-277EA5E62B3C}" name="Section" dataDxfId="351"/>
    <tableColumn id="2" xr3:uid="{D0F6ECD2-6414-48B2-9B47-1C3B8BAC860B}" name="Top [m]" dataDxfId="350"/>
    <tableColumn id="3" xr3:uid="{575FC20A-0259-4081-83F8-71040557AEA8}" name="Bottom [m]" dataDxfId="349"/>
    <tableColumn id="4" xr3:uid="{529E5CD0-69F2-4E59-86A7-A3E6F1B39E96}" name="D, top [m]" dataDxfId="348"/>
    <tableColumn id="5" xr3:uid="{7F90AAFA-52D7-47DB-A99D-3E3E0AEE6541}" name="D, bottom [m]" dataDxfId="347"/>
    <tableColumn id="6" xr3:uid="{1B01547B-4485-4B79-8DB3-FCEA1C806B60}" name="t [mm]" dataDxfId="34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1:X114" totalsRowShown="0" headerRowDxfId="345" dataDxfId="344">
  <autoFilter ref="P111:X114" xr:uid="{C2F2D263-B298-4967-B7BA-2043D2636A28}"/>
  <tableColumns count="9">
    <tableColumn id="9" xr3:uid="{983AA3EE-D554-4611-9143-CB18ADA5BC06}" name="Name" dataDxfId="343"/>
    <tableColumn id="2" xr3:uid="{365B74CD-D14D-4F75-ABA6-B5CBD126E6F2}" name="Top [m]" dataDxfId="342"/>
    <tableColumn id="12" xr3:uid="{3CC0B321-8A95-4AEE-8DFB-77DAE8FAB528}" name="Bottom [m]" dataDxfId="341"/>
    <tableColumn id="3" xr3:uid="{29EF80FE-079C-4A10-9ADB-03D595E35311}" name="Mass [kg]" dataDxfId="340"/>
    <tableColumn id="1" xr3:uid="{EB762DF5-D84F-4ED6-9E32-E1B37FE9C38D}" name="Diameter [m]" dataDxfId="339"/>
    <tableColumn id="4" xr3:uid="{7D3C052F-35A7-4A8C-B722-8A6311D56BDC}" name="Orientation [°]" dataDxfId="338"/>
    <tableColumn id="5" xr3:uid="{A094AF7B-AEFB-4B58-9377-0B3B7C131ADC}" name="Distance Axis to Axis" dataDxfId="337"/>
    <tableColumn id="6" xr3:uid="{E15A8DE3-D9C1-4684-A605-26B6F2B8779C}" name="Gap between surfaces" dataDxfId="336"/>
    <tableColumn id="7" xr3:uid="{026563CA-A00A-4D48-9BC2-1AF2FA6C6586}" name="Surface roughness [m]" dataDxfId="335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F17:AN20" totalsRowShown="0" dataDxfId="334">
  <autoFilter ref="AF17:AN20" xr:uid="{BDE973CA-C8D2-4A67-ACE1-6BE97A1FF0C7}"/>
  <tableColumns count="9">
    <tableColumn id="9" xr3:uid="{55BF990C-941A-438C-86DE-D99A5424D8A4}" name="Name" dataDxfId="333"/>
    <tableColumn id="2" xr3:uid="{D2CC7DEA-1AC5-4558-B6A8-7A00324F8731}" name="Top [m]" dataDxfId="332"/>
    <tableColumn id="12" xr3:uid="{63B7643C-B71B-4F75-B941-E84BE173CC9A}" name="Bottom [m]" dataDxfId="331"/>
    <tableColumn id="3" xr3:uid="{74DA4B22-9428-450B-B8ED-D23057E6EF7A}" name="Mass [kg]" dataDxfId="330"/>
    <tableColumn id="1" xr3:uid="{45265052-CB7D-44E4-B950-26F73BB47B9B}" name="Diameter [m]" dataDxfId="329"/>
    <tableColumn id="4" xr3:uid="{E80A5184-2DFE-4036-BD65-B61B96122334}" name="Orientation [°]" dataDxfId="328"/>
    <tableColumn id="5" xr3:uid="{F8C744AA-AA7B-4562-BFA1-0E7C53B53FF4}" name="Distance Axis to Axis" dataDxfId="327"/>
    <tableColumn id="6" xr3:uid="{A8D74212-5B24-4FC1-A938-5DFC386726CB}" name="Gap between surfaces" dataDxfId="326"/>
    <tableColumn id="7" xr3:uid="{9576E46D-F632-4BD0-8B5D-9B663892335B}" name="Surface roughness [m]" dataDxfId="32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6:K31" totalsRowShown="0" headerRowDxfId="324" dataDxfId="323">
  <autoFilter ref="E26:K31" xr:uid="{46FD7C67-BF9C-41F4-B134-682EDE7A007C}"/>
  <sortState xmlns:xlrd2="http://schemas.microsoft.com/office/spreadsheetml/2017/richdata2" ref="E27:I28">
    <sortCondition descending="1" ref="G26:G28"/>
  </sortState>
  <tableColumns count="7">
    <tableColumn id="1" xr3:uid="{43AB1C43-FBC5-42AE-8DFA-4651B77C56A0}" name="Identifier" dataDxfId="322"/>
    <tableColumn id="2" xr3:uid="{75FB6F15-9784-4F9D-9947-41C8E7DD1CC9}" name="Project ID" dataDxfId="321"/>
    <tableColumn id="3" xr3:uid="{DF3379D9-9371-4EDE-B715-A6A40C072275}" name="Phase" dataDxfId="320"/>
    <tableColumn id="4" xr3:uid="{B2F66CA1-64D8-49D4-A1DA-28FD14EC75C2}" name="Structure ID" dataDxfId="319"/>
    <tableColumn id="5" xr3:uid="{E0EC4989-22E7-49A3-8DAC-034A87568E19}" name="Water Depth [m]" dataDxfId="318"/>
    <tableColumn id="6" xr3:uid="{9873A46F-D488-4AA7-BC64-C1E65C65D808}" name="Height Reference" dataDxfId="317"/>
    <tableColumn id="7" xr3:uid="{CD60E691-17C5-40B2-9E26-571B6CB0C11D}" name="Comments" dataDxfId="316"/>
  </tableColumns>
  <tableStyleInfo name="JBO_Desig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688CB2-0B79-4AE2-B2DC-6850E0999F22}" name="TP_META" displayName="TP_META" ref="AP12:AV13" totalsRowShown="0" headerRowDxfId="315" dataDxfId="314">
  <autoFilter ref="AP12:AV13" xr:uid="{4C688CB2-0B79-4AE2-B2DC-6850E0999F22}"/>
  <tableColumns count="7">
    <tableColumn id="1" xr3:uid="{4F627CE6-59C4-4523-A98C-81FD64443B88}" name="Identifier" dataDxfId="313"/>
    <tableColumn id="2" xr3:uid="{19921618-20B3-46FF-937E-24E6775D797E}" name="Project ID" dataDxfId="312"/>
    <tableColumn id="3" xr3:uid="{B1F7CCA9-A1BD-4F05-9237-B6284F3056E5}" name="Phase" dataDxfId="311"/>
    <tableColumn id="4" xr3:uid="{D5F33D5B-370E-46F7-BB6A-B74EC6139333}" name="Structure ID" dataDxfId="310"/>
    <tableColumn id="5" xr3:uid="{A7DF7C25-D9CF-4ABB-B7CD-68DC60608B9A}" name="Water Depth [m]" dataDxfId="309"/>
    <tableColumn id="6" xr3:uid="{A1DB5BD8-96E9-4ECB-89FE-50CF6529DD7E}" name="Height Reference" dataDxfId="308"/>
    <tableColumn id="7" xr3:uid="{2B99DBD7-0B0D-4BA1-87CB-C7AC621E6F3F}" name="Comments" dataDxfId="307"/>
  </tableColumns>
  <tableStyleInfo name="JBO_Desig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B2E050-F7C0-4103-ACF7-1508C2548380}" name="TP_META_NEW" displayName="TP_META_NEW" ref="AP17:AV18" insertRow="1" totalsRowShown="0" headerRowDxfId="306" dataDxfId="305">
  <autoFilter ref="AP17:AV18" xr:uid="{82B2E050-F7C0-4103-ACF7-1508C2548380}"/>
  <tableColumns count="7">
    <tableColumn id="1" xr3:uid="{74379588-884B-4B92-99E3-2D8263DA35A7}" name="Identifier" dataDxfId="304"/>
    <tableColumn id="2" xr3:uid="{4D521BF5-BEDD-467B-BCA6-F197DD205F5D}" name="Project ID" dataDxfId="303"/>
    <tableColumn id="3" xr3:uid="{0D0764F3-2EB6-4AFD-8BBF-4B2A213694FB}" name="Phase" dataDxfId="302"/>
    <tableColumn id="4" xr3:uid="{F735A36B-0E53-4B21-98AF-8098D165B7A4}" name="Structure ID" dataDxfId="301"/>
    <tableColumn id="5" xr3:uid="{DD6C5343-9FF0-4988-B7AD-68A2B196AE75}" name="Water Depth [m]" dataDxfId="300"/>
    <tableColumn id="6" xr3:uid="{593B4864-FEBF-42DA-A98D-9BD5E874FDA3}" name="Height Reference" dataDxfId="299"/>
    <tableColumn id="7" xr3:uid="{AD918F6B-4A01-4D99-AEC7-AC9BF6550DE3}" name="Comments" dataDxfId="298"/>
  </tableColumns>
  <tableStyleInfo name="JBO_Desig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CAB4DE0-822A-4232-A06F-0E82A3BADB53}" name="TP_DATA" displayName="TP_DATA" ref="AP111:AU115" totalsRowShown="0" headerRowDxfId="297" dataDxfId="296">
  <autoFilter ref="AP111:AU115" xr:uid="{4CAB4DE0-822A-4232-A06F-0E82A3BADB53}"/>
  <sortState xmlns:xlrd2="http://schemas.microsoft.com/office/spreadsheetml/2017/richdata2" ref="AP112:AZ136">
    <sortCondition ref="AP111:AP136"/>
  </sortState>
  <tableColumns count="6">
    <tableColumn id="1" xr3:uid="{A8499614-F62D-4117-A756-769C01DC0156}" name="Section" dataDxfId="295"/>
    <tableColumn id="2" xr3:uid="{AA39DD39-8C8E-4F66-AA28-5EB59746565D}" name="Top [m]" dataDxfId="294"/>
    <tableColumn id="3" xr3:uid="{E2F479E9-17D9-4C2D-BF7C-2640F78B84E4}" name="Bottom [m]" dataDxfId="293"/>
    <tableColumn id="4" xr3:uid="{C69849FB-2BB9-4BF6-8192-78ED7173DD46}" name="D, top [m]" dataDxfId="292"/>
    <tableColumn id="5" xr3:uid="{837623EF-EE9F-47D2-AAAD-D903281C1D0A}" name="D, bottom [m]" dataDxfId="291"/>
    <tableColumn id="6" xr3:uid="{FDE46510-9BFE-418F-AE03-598BF29FF831}" name="t [mm]" dataDxfId="290"/>
  </tableColumns>
  <tableStyleInfo name="JBO_Desig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1532FB8-4FA8-44E8-9D28-3535D0247613}" name="TP_MASSES" displayName="TP_MASSES" ref="BA111:BI118" totalsRowShown="0" headerRowDxfId="289" dataDxfId="288">
  <autoFilter ref="BA111:BI118" xr:uid="{E1532FB8-4FA8-44E8-9D28-3535D0247613}"/>
  <tableColumns count="9">
    <tableColumn id="9" xr3:uid="{DDF4C359-0ED4-4157-B9B0-FFEC4F20A42C}" name="Name" dataDxfId="287"/>
    <tableColumn id="2" xr3:uid="{19BE9D85-AB85-4478-869F-084DC21BFD73}" name="Top [m]" dataDxfId="286"/>
    <tableColumn id="12" xr3:uid="{60D0BC20-AB8D-45D9-B128-1553A1D96305}" name="Bottom [m]" dataDxfId="285"/>
    <tableColumn id="3" xr3:uid="{662A2295-30AD-4A23-9CB2-ED339894A5E3}" name="Mass [kg]" dataDxfId="284"/>
    <tableColumn id="1" xr3:uid="{7BB91480-5314-4B92-B955-96A05520598B}" name="Diameter [m]" dataDxfId="283"/>
    <tableColumn id="4" xr3:uid="{288140B8-5B54-4E75-9449-01E8BB0785E7}" name="Orientation [°]" dataDxfId="282"/>
    <tableColumn id="5" xr3:uid="{04DC00AE-32C9-416C-ACBC-DEF2672988E5}" name="Distance Axis to Axis" dataDxfId="281"/>
    <tableColumn id="6" xr3:uid="{55C6527D-0D27-4523-B175-D1F63F0DDCEC}" name="Gap between surfaces" dataDxfId="280"/>
    <tableColumn id="7" xr3:uid="{0BEC8B77-AA74-4444-96C4-C6CFE771E16C}" name="Surface roughness [m]" dataDxfId="279"/>
  </tableColumns>
  <tableStyleInfo name="JBO_Desig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AA18F1D-DEA3-4B85-A06C-016DA74739E0}" name="TP_META_FULL" displayName="TP_META_FULL" ref="AP26:AV31" totalsRowShown="0" headerRowDxfId="278" dataDxfId="277">
  <autoFilter ref="AP26:AV31" xr:uid="{5AA18F1D-DEA3-4B85-A06C-016DA74739E0}"/>
  <sortState xmlns:xlrd2="http://schemas.microsoft.com/office/spreadsheetml/2017/richdata2" ref="AP27:AT28">
    <sortCondition descending="1" ref="AR26:AR28"/>
  </sortState>
  <tableColumns count="7">
    <tableColumn id="1" xr3:uid="{9DA6C410-B11E-4678-8482-D189DD47C876}" name="Identifier" dataDxfId="276"/>
    <tableColumn id="2" xr3:uid="{EC6A5746-7A0B-4DAB-8EBD-EDC20D766606}" name="Project ID" dataDxfId="275"/>
    <tableColumn id="3" xr3:uid="{2A15135F-98D6-4FBD-AE84-5EF0B52672ED}" name="Phase" dataDxfId="274"/>
    <tableColumn id="4" xr3:uid="{A7219BBA-68F7-4990-95D5-9B5A4EC218AA}" name="Structure ID" dataDxfId="273"/>
    <tableColumn id="5" xr3:uid="{ACC137C5-3CF1-40F4-952F-3B5BEC9A8ED2}" name="Water Depth [m]" dataDxfId="272"/>
    <tableColumn id="6" xr3:uid="{28B9B9E9-3ACF-4467-8F04-662CFC688071}" name="Height Reference" dataDxfId="271"/>
    <tableColumn id="7" xr3:uid="{352B6A31-2237-4251-83A7-8BBEBAA34145}" name="Comments" dataDxfId="270"/>
  </tableColumns>
  <tableStyleInfo name="JBO_Desig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5B9336E-C6A5-4C93-9BED-34E5AF05FA6C}" name="TP_META_TRUE" displayName="TP_META_TRUE" ref="BJ11:BP12" totalsRowShown="0" headerRowDxfId="269" dataDxfId="268">
  <autoFilter ref="BJ11:BP12" xr:uid="{95B9336E-C6A5-4C93-9BED-34E5AF05FA6C}"/>
  <tableColumns count="7">
    <tableColumn id="1" xr3:uid="{BFA931EE-6FF8-44FC-AD54-32A5CF9115A2}" name="Identifier" dataDxfId="267"/>
    <tableColumn id="2" xr3:uid="{890F5896-05F5-47DB-B9DE-92FEF30867DB}" name="Project ID" dataDxfId="266"/>
    <tableColumn id="3" xr3:uid="{B37A2062-3A26-4ECC-B4E4-991B88E82CB2}" name="Phase" dataDxfId="265"/>
    <tableColumn id="4" xr3:uid="{C64DA219-F7AA-44CC-BC3D-62956AF84B2E}" name="Structure ID" dataDxfId="264"/>
    <tableColumn id="5" xr3:uid="{47235A3E-EBF6-486D-8ADC-74E88BA72554}" name="Water Depth [m]" dataDxfId="263"/>
    <tableColumn id="6" xr3:uid="{6F9496C9-78A5-48EB-ADDB-1E499513D04A}" name="Height Reference" dataDxfId="262"/>
    <tableColumn id="7" xr3:uid="{377B6EFB-A6E2-452C-9D74-166D22A947E2}" name="Comments" dataDxfId="26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B054-8E79-4F22-8AED-286CD81169E8}" name="TP_DATA_TRUE" displayName="TP_DATA_TRUE" ref="BJ17:BO21" totalsRowShown="0" headerRowDxfId="260" dataDxfId="259">
  <autoFilter ref="BJ17:BO21" xr:uid="{6F0FB054-8E79-4F22-8AED-286CD81169E8}"/>
  <sortState xmlns:xlrd2="http://schemas.microsoft.com/office/spreadsheetml/2017/richdata2" ref="BJ18:BT42">
    <sortCondition ref="BJ17:BJ42"/>
  </sortState>
  <tableColumns count="6">
    <tableColumn id="1" xr3:uid="{382AF089-C078-4605-A4A5-FB574D1D73E2}" name="Section" dataDxfId="258"/>
    <tableColumn id="2" xr3:uid="{E8281684-BC71-4E35-8AE4-31AC648F4A83}" name="Top [m]" dataDxfId="257"/>
    <tableColumn id="3" xr3:uid="{6B784D87-E7E2-4CF9-935B-9C0C8FC2DBC2}" name="Bottom [m]" dataDxfId="256"/>
    <tableColumn id="4" xr3:uid="{96A3790F-0CF8-4CB5-8340-C0A20382D4FC}" name="D, top [m]" dataDxfId="255"/>
    <tableColumn id="5" xr3:uid="{222474F9-E0FB-441A-81D5-07306740C4B2}" name="D, bottom [m]" dataDxfId="254"/>
    <tableColumn id="6" xr3:uid="{541ECBE1-3529-43CA-B9AD-3DE9306D1235}" name="t [mm]" dataDxfId="25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CC2DE03-626B-408F-BF0C-226561799664}" name="TP_MASSES_TRUE" displayName="TP_MASSES_TRUE" ref="BQ17:BY24" totalsRowShown="0" dataDxfId="252">
  <autoFilter ref="BQ17:BY24" xr:uid="{6CC2DE03-626B-408F-BF0C-226561799664}"/>
  <tableColumns count="9">
    <tableColumn id="9" xr3:uid="{C4C238D0-5357-48AB-969A-BE97844E5B70}" name="Name" dataDxfId="251"/>
    <tableColumn id="2" xr3:uid="{75F4D18E-F4BE-42B7-BB68-BF337C8DBA12}" name="Top [m]" dataDxfId="250"/>
    <tableColumn id="12" xr3:uid="{7C08C228-C676-4F90-9088-C9A3D6E72EB7}" name="Bottom [m]" dataDxfId="249"/>
    <tableColumn id="3" xr3:uid="{935DDAA6-49E6-45F6-B4AC-FCE8DF0B0A4D}" name="Mass [kg]" dataDxfId="248"/>
    <tableColumn id="1" xr3:uid="{E1D9BE0D-D944-4F2C-BAFF-1BA4FBB69ECE}" name="Diameter [m]" dataDxfId="247"/>
    <tableColumn id="4" xr3:uid="{A5E1EAFC-3DD4-4294-8717-665AE71BEDA8}" name="Orientation [°]" dataDxfId="246"/>
    <tableColumn id="5" xr3:uid="{5CE5C6CE-44B0-4B32-B390-246BAF490F6A}" name="Distance Axis to Axis" dataDxfId="245"/>
    <tableColumn id="6" xr3:uid="{CBE21F9B-8BA2-4737-8F56-34AD78C68BC3}" name="Gap between surfaces" dataDxfId="244"/>
    <tableColumn id="7" xr3:uid="{18326CB3-EF8F-4E97-ADA5-82B71868B5B1}" name="Surface roughness [m]" dataDxfId="24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DN13:DV27" totalsRowShown="0" dataDxfId="242">
  <autoFilter ref="DN13:DV27" xr:uid="{FEE1C0E0-398B-48E1-9521-CCB187180413}"/>
  <tableColumns count="9">
    <tableColumn id="1" xr3:uid="{03A8E757-56E6-48B0-929F-24FBFFC0EAA8}" name="Identifier" dataDxfId="241"/>
    <tableColumn id="2" xr3:uid="{BF4DEE24-7E2F-4B20-9B44-27C601C754F1}" name="Power [MW]" dataDxfId="240"/>
    <tableColumn id="3" xr3:uid="{4CBE937C-DD0F-4596-BD90-BE03828E4CA7}" name="Rotor Diameter [m]" dataDxfId="239"/>
    <tableColumn id="4" xr3:uid="{DE89D440-DA99-4425-B50C-30544DB961F5}" name="Mass of RNA [kg]" dataDxfId="238"/>
    <tableColumn id="5" xr3:uid="{E2FB4084-506E-4EC7-9BC8-8255DFE52EE0}" name="Inertia of RNA fore-aft @COG [kg m^2]" dataDxfId="237"/>
    <tableColumn id="9" xr3:uid="{44DAFC7A-C2DD-41BB-881C-14AD34F8BE60}" name="Inertia of RNA side-side @COG [kg m^2]" dataDxfId="236"/>
    <tableColumn id="6" xr3:uid="{18C2BBB8-192B-4BEC-B9C5-5B12B65B00E4}" name="Vertical Offset TT to HH [m] " dataDxfId="235"/>
    <tableColumn id="7" xr3:uid="{224A58F0-EA11-4A11-9268-3AE211EDB8B3}" name="Vertical Offset TT_COG [m]" dataDxfId="234"/>
    <tableColumn id="8" xr3:uid="{6189FE8D-4B10-4B10-BBA8-06FA82BF9F0C}" name="comment" dataDxfId="233"/>
  </tableColumns>
  <tableStyleInfo name="JBO_Design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X11:EF25" totalsRowShown="0" dataDxfId="232">
  <autoFilter ref="DX11:EF25" xr:uid="{6273375F-28C8-4A14-A545-8B988B5C9E65}"/>
  <tableColumns count="9">
    <tableColumn id="1" xr3:uid="{C3AE8FB7-66D2-47E1-8AA6-F0260BDFFCB8}" name="Identifier" dataDxfId="231"/>
    <tableColumn id="2" xr3:uid="{5F848737-A14E-44D6-9231-85AB48A55526}" name="Power [MW]" dataDxfId="230"/>
    <tableColumn id="3" xr3:uid="{2C93533D-1E27-4EB2-B7E6-3A19FEC55632}" name="Rotor Diameter [m]" dataDxfId="229"/>
    <tableColumn id="4" xr3:uid="{9D1780E5-E668-4D12-AF46-0A1DF433FA8A}" name="Mass of RNA [kg]" dataDxfId="228"/>
    <tableColumn id="5" xr3:uid="{1CA8A517-990E-4959-826C-118C5EC0C261}" name="Inertia of RNA fore-aft @COG [kg m^2]" dataDxfId="227"/>
    <tableColumn id="6" xr3:uid="{9FFE4A1F-E32A-49E7-8031-A24CF653CD8C}" name="Inertia of RNA side-side @COG [kg m^2]" dataDxfId="226"/>
    <tableColumn id="8" xr3:uid="{C481EB76-DD37-4979-8B5D-F3C81E38423E}" name="vertical offset TT to HH [m] " dataDxfId="225"/>
    <tableColumn id="7" xr3:uid="{3BD257A8-5786-4E03-8F1F-6116921828A3}" name="vertical offset TT_COG [m]" dataDxfId="224"/>
    <tableColumn id="9" xr3:uid="{A74BD603-BB70-4B62-BE72-E692B1275ED2}" name="comment" dataDxfId="22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76A910-DF84-4E36-A4A6-B43198F7A96D}" name="TOWER_META" displayName="TOWER_META" ref="CB12:CH13" totalsRowShown="0" headerRowDxfId="222" dataDxfId="221">
  <autoFilter ref="CB12:CH13" xr:uid="{5E76A910-DF84-4E36-A4A6-B43198F7A96D}"/>
  <tableColumns count="7">
    <tableColumn id="1" xr3:uid="{49BDBE95-80B3-4FD9-8ACC-4B929435AD88}" name="Identifier" dataDxfId="220"/>
    <tableColumn id="2" xr3:uid="{32637689-6006-48B4-8929-BF421BC82099}" name="Project ID" dataDxfId="219"/>
    <tableColumn id="3" xr3:uid="{58EC6A59-D9AB-4639-AE2E-4066805ECCC7}" name="Phase" dataDxfId="218"/>
    <tableColumn id="4" xr3:uid="{D5F3B7B3-BCC6-430C-9377-613CFCF29F12}" name="Structure ID" dataDxfId="217"/>
    <tableColumn id="5" xr3:uid="{92A37342-D675-4C58-9EBE-68B176E8C4F0}" name="Water Depth [m]" dataDxfId="216"/>
    <tableColumn id="6" xr3:uid="{5F11FEBE-52FC-4092-8F48-847726252247}" name="Height Reference" dataDxfId="215"/>
    <tableColumn id="7" xr3:uid="{6517C9F8-12CA-4024-AE0A-4D2B27375CE4}" name="Comments" dataDxfId="214"/>
  </tableColumns>
  <tableStyleInfo name="JBO_Desig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25EB930-F6B9-4BC7-B40C-AB7D77CEB229}" name="TOWER_META_NEW" displayName="TOWER_META_NEW" ref="CB17:CH18" insertRow="1" totalsRowShown="0" headerRowDxfId="213" dataDxfId="212">
  <autoFilter ref="CB17:CH18" xr:uid="{025EB930-F6B9-4BC7-B40C-AB7D77CEB229}"/>
  <tableColumns count="7">
    <tableColumn id="1" xr3:uid="{03FCE140-AA4A-46F2-BC6F-D0614EC2E9FE}" name="Identifier" dataDxfId="211"/>
    <tableColumn id="2" xr3:uid="{8FBF53CD-1458-4120-89FB-5F133EE7EBC4}" name="Project ID" dataDxfId="210"/>
    <tableColumn id="3" xr3:uid="{6DB63014-4AF3-4811-AA2F-6F13926398DB}" name="Phase" dataDxfId="209"/>
    <tableColumn id="4" xr3:uid="{87B1B81D-346F-4544-A6A4-9DDE8CD110B3}" name="Structure ID" dataDxfId="208"/>
    <tableColumn id="5" xr3:uid="{340DEA9D-D07C-4CB2-B2CA-37ABBF463E27}" name="Water Depth [m]" dataDxfId="207"/>
    <tableColumn id="6" xr3:uid="{878704E1-3839-422C-897E-097E9E7D609E}" name="Height Reference" dataDxfId="206"/>
    <tableColumn id="7" xr3:uid="{58108BE0-55DB-4266-A1B3-00D35B62F1A1}" name="Comments" dataDxfId="205"/>
  </tableColumns>
  <tableStyleInfo name="JBO_Desig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24AC03-091B-4440-AE35-46757D89154C}" name="TOWER_DATA" displayName="TOWER_DATA" ref="CB111:CG201" totalsRowShown="0" headerRowDxfId="204" dataDxfId="203">
  <autoFilter ref="CB111:CG201" xr:uid="{6624AC03-091B-4440-AE35-46757D89154C}"/>
  <sortState xmlns:xlrd2="http://schemas.microsoft.com/office/spreadsheetml/2017/richdata2" ref="CB112:CL136">
    <sortCondition ref="CB111:CB136"/>
  </sortState>
  <tableColumns count="6">
    <tableColumn id="1" xr3:uid="{4712795E-488A-48E6-9477-0C98BE5C778B}" name="Section" dataDxfId="202"/>
    <tableColumn id="2" xr3:uid="{AF3B0F66-A97E-469B-BB2C-92E08B9852BC}" name="Top [m]" dataDxfId="201"/>
    <tableColumn id="3" xr3:uid="{EC9C8893-C993-4BCE-BD9D-E7180486ABFE}" name="Bottom [m]" dataDxfId="200"/>
    <tableColumn id="4" xr3:uid="{ED8DD31F-6E20-4C5F-BC92-0B6DB7A1B362}" name="D, top [m]" dataDxfId="199"/>
    <tableColumn id="5" xr3:uid="{2B890B63-A561-40A7-9FBB-7B8D47FD2656}" name="D, bottom [m]" dataDxfId="198"/>
    <tableColumn id="6" xr3:uid="{F255FA0B-5DF3-4FA4-A7BD-E6FEACC8E738}" name="t [mm]" dataDxfId="197"/>
  </tableColumns>
  <tableStyleInfo name="JBO_Desig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3322B7-F3E5-4935-832F-DFBC92EF3AA2}" name="TOWER_MASSES" displayName="TOWER_MASSES" ref="CM111:CU175" totalsRowShown="0" headerRowDxfId="196" dataDxfId="195">
  <autoFilter ref="CM111:CU175" xr:uid="{053322B7-F3E5-4935-832F-DFBC92EF3AA2}"/>
  <tableColumns count="9">
    <tableColumn id="9" xr3:uid="{AB7A3BD0-E047-4B9B-B321-179F40ECC452}" name="Name" dataDxfId="194"/>
    <tableColumn id="2" xr3:uid="{3AED4E5F-8B5F-4607-A3FD-EEAB134CA7C8}" name="Top [m]" dataDxfId="193"/>
    <tableColumn id="12" xr3:uid="{84257648-6597-4C8A-AD5A-3D3D0B07220D}" name="Bottom [m]" dataDxfId="192"/>
    <tableColumn id="3" xr3:uid="{20FDA9C3-BF70-4D85-A870-C8B7ADD0F944}" name="Mass [kg]" dataDxfId="191"/>
    <tableColumn id="1" xr3:uid="{A1DA6B57-09C6-4BA3-8C6D-34B4DE0BC8C4}" name="Diameter [m]" dataDxfId="190"/>
    <tableColumn id="4" xr3:uid="{7B401936-3842-4626-8801-F37D73E9C6DF}" name="Orientation [°]" dataDxfId="189"/>
    <tableColumn id="5" xr3:uid="{3E808003-5E60-482F-ABF1-D2D73158ED75}" name="Distance Axis to Axis" dataDxfId="188"/>
    <tableColumn id="6" xr3:uid="{AA2B16CF-21CA-4B65-91DB-2046C745D885}" name="Gap between surfaces" dataDxfId="187"/>
    <tableColumn id="7" xr3:uid="{269E9AEB-7728-4497-93C0-92D0DDE32F7B}" name="Surface roughness [m]" dataDxfId="186"/>
  </tableColumns>
  <tableStyleInfo name="JBO_Desig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39EC90-AC52-4EC1-B4CF-9799F74991BE}" name="TOWER_META_FULL" displayName="TOWER_META_FULL" ref="CB26:CH29" totalsRowShown="0" headerRowDxfId="185" dataDxfId="184">
  <autoFilter ref="CB26:CH29" xr:uid="{9E39EC90-AC52-4EC1-B4CF-9799F74991BE}"/>
  <sortState xmlns:xlrd2="http://schemas.microsoft.com/office/spreadsheetml/2017/richdata2" ref="CB27:CF28">
    <sortCondition descending="1" ref="CD26:CD28"/>
  </sortState>
  <tableColumns count="7">
    <tableColumn id="1" xr3:uid="{30A99A19-40E5-433E-929D-3A4779ACB1CE}" name="Identifier" dataDxfId="183"/>
    <tableColumn id="2" xr3:uid="{B126DBC5-55C1-442E-B96B-933B020A9CD4}" name="Project ID" dataDxfId="182"/>
    <tableColumn id="3" xr3:uid="{348D5BC0-8868-4781-8DF0-2E04B537B73E}" name="Phase" dataDxfId="181"/>
    <tableColumn id="4" xr3:uid="{056B06E5-26E8-494B-83AF-1C87FB2162FC}" name="Structure ID" dataDxfId="180"/>
    <tableColumn id="5" xr3:uid="{EF179F4C-6CE0-4E71-9486-F0E6D0E71C4C}" name="Water Depth [m]" dataDxfId="179"/>
    <tableColumn id="6" xr3:uid="{2FDCFB50-700F-4830-AD68-13F9C0B1CC31}" name="Height Reference" dataDxfId="178"/>
    <tableColumn id="7" xr3:uid="{DE9B320D-8967-4FD8-BAE1-C291FB3ED005}" name="Comments" dataDxfId="177"/>
  </tableColumns>
  <tableStyleInfo name="JBO_Design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6DA4FD-EDFB-4F12-A89B-84FBA35E7AC5}" name="TOWER_META_TRUE" displayName="TOWER_META_TRUE" ref="CV11:DB12" totalsRowShown="0" headerRowDxfId="176" dataDxfId="175">
  <autoFilter ref="CV11:DB12" xr:uid="{636DA4FD-EDFB-4F12-A89B-84FBA35E7AC5}"/>
  <tableColumns count="7">
    <tableColumn id="1" xr3:uid="{E34E574E-744D-4554-AD98-E3D18572D674}" name="Identifier" dataDxfId="174"/>
    <tableColumn id="2" xr3:uid="{E411370A-1A97-44E5-BD18-89879F80115C}" name="Project ID" dataDxfId="173"/>
    <tableColumn id="3" xr3:uid="{F8DB145A-5EEF-4C6B-8F9D-B588A17D3C5D}" name="Phase" dataDxfId="172"/>
    <tableColumn id="4" xr3:uid="{43BB9CC2-4974-4122-BCFD-6271174F98E0}" name="Structure ID" dataDxfId="171"/>
    <tableColumn id="5" xr3:uid="{1E3D4F3B-C73C-4C7A-9F63-2C7CEB367AA8}" name="Water Depth [m]" dataDxfId="170"/>
    <tableColumn id="6" xr3:uid="{CF6F63D6-FC41-4D2D-B310-0191259847FF}" name="Height Reference" dataDxfId="169"/>
    <tableColumn id="7" xr3:uid="{50321489-A2C4-4A01-B8EA-6B294362F8E1}" name="Comments" dataDxfId="16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99803F4-C2CA-4425-9A32-A18B58E6ABD0}" name="TOWER_DATA_TRUE" displayName="TOWER_DATA_TRUE" ref="CV17:DA107" totalsRowShown="0" headerRowDxfId="167" dataDxfId="166">
  <autoFilter ref="CV17:DA107" xr:uid="{899803F4-C2CA-4425-9A32-A18B58E6ABD0}"/>
  <sortState xmlns:xlrd2="http://schemas.microsoft.com/office/spreadsheetml/2017/richdata2" ref="CV18:DF42">
    <sortCondition ref="CV17:CV42"/>
  </sortState>
  <tableColumns count="6">
    <tableColumn id="1" xr3:uid="{0011CC99-7AB3-49B8-9DB0-22F1E3955E91}" name="Section" dataDxfId="165"/>
    <tableColumn id="2" xr3:uid="{BB1ACF23-16B7-4C47-80B0-893A33C698A9}" name="Top [m]" dataDxfId="164"/>
    <tableColumn id="3" xr3:uid="{D5324E74-51EE-432A-847E-5AE29B7CA4D7}" name="Bottom [m]" dataDxfId="163"/>
    <tableColumn id="4" xr3:uid="{FFBDC83C-AA98-41F1-91F3-EE469D2DD36A}" name="D, top [m]" dataDxfId="162"/>
    <tableColumn id="5" xr3:uid="{B936FF01-5C34-41FB-BD9D-F28D153F9BDF}" name="D, bottom [m]" dataDxfId="161"/>
    <tableColumn id="6" xr3:uid="{19D1010E-9125-43B6-B42C-67FA9586EDA8}" name="t [mm]" dataDxfId="16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2F79D89-930A-4420-97C7-60370F1121DC}" name="TOWER_MASSES_TRUE" displayName="TOWER_MASSES_TRUE" ref="DC17:DK81" totalsRowShown="0" dataDxfId="159">
  <autoFilter ref="DC17:DK81" xr:uid="{12F79D89-930A-4420-97C7-60370F1121DC}"/>
  <tableColumns count="9">
    <tableColumn id="9" xr3:uid="{5BB60229-57C8-489B-8AD5-280AB6D93E54}" name="Name" dataDxfId="158"/>
    <tableColumn id="2" xr3:uid="{EAC19ED0-15BB-4F2F-B297-347769AEDA92}" name="Top [m]" dataDxfId="157"/>
    <tableColumn id="12" xr3:uid="{47A7AF06-EC9F-427D-8F50-53F82DB050A6}" name="Bottom [m]" dataDxfId="156"/>
    <tableColumn id="3" xr3:uid="{50700484-30B3-4605-8578-AD4FBA12A5B2}" name="Mass [kg]" dataDxfId="155"/>
    <tableColumn id="1" xr3:uid="{E557ADD3-D28A-4C96-B6FA-AF6D98691265}" name="Diameter [m]" dataDxfId="154"/>
    <tableColumn id="4" xr3:uid="{E8468086-16DA-4063-B0B5-DAC02A29244C}" name="Orientation [°]" dataDxfId="153"/>
    <tableColumn id="5" xr3:uid="{62B06F09-4543-4DBA-8F55-1F54D6CC331B}" name="Distance Axis to Axis" dataDxfId="152"/>
    <tableColumn id="6" xr3:uid="{FC078448-A491-4E57-AF88-7DC574214818}" name="Gap between surfaces" dataDxfId="151"/>
    <tableColumn id="7" xr3:uid="{C7E82548-94F1-43F3-BD70-20A3E76E01FF}" name="Surface roughness [m]" dataDxfId="15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E6:L123" headerRowDxfId="149" dataDxfId="148">
  <autoFilter ref="E6:L123" xr:uid="{6964430C-2D65-45C4-817F-08653037EDFC}"/>
  <tableColumns count="8">
    <tableColumn id="1" xr3:uid="{1C924510-54DB-4186-8521-598E5FD7BF93}" name="Section" totalsRowLabel="Ergebnis" dataDxfId="147" totalsRowDxfId="146"/>
    <tableColumn id="2" xr3:uid="{29F8F207-72DF-4027-A39E-C3D956F79382}" name="Affiliation" dataDxfId="145" totalsRowDxfId="144"/>
    <tableColumn id="3" xr3:uid="{F1A86E12-282B-4FE8-A989-9056549BE251}" name="local Section" dataDxfId="143" totalsRowDxfId="142"/>
    <tableColumn id="4" xr3:uid="{1F0B5480-90D3-4DBF-AAEC-010EB8A46507}" name="Top [m]" dataDxfId="141" totalsRowDxfId="140"/>
    <tableColumn id="5" xr3:uid="{2F9EEEB1-AE18-4058-A215-9A6EAD23E6F0}" name="Bottom [m]" dataDxfId="139" totalsRowDxfId="138"/>
    <tableColumn id="6" xr3:uid="{CAF3E9FD-22BF-4C53-97D3-15DEA70C9DE2}" name="D, top [m]" dataDxfId="137" totalsRowDxfId="136"/>
    <tableColumn id="7" xr3:uid="{EE4449DD-273C-4967-8180-25E33E65F937}" name="D, bottom [m]" dataDxfId="135" totalsRowDxfId="134"/>
    <tableColumn id="8" xr3:uid="{0EE8182A-58FD-432D-A87C-9A474A081C7F}" name="t [mm]" totalsRowFunction="sum" dataDxfId="133" totalsRowDxfId="132"/>
  </tableColumns>
  <tableStyleInfo name="JBO_Design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R6:AA16" totalsRowShown="0" headerRowDxfId="131" dataDxfId="130">
  <autoFilter ref="R6:AA16" xr:uid="{99775F4D-8879-4247-BCBB-9E55004F5FE5}"/>
  <tableColumns count="10">
    <tableColumn id="8" xr3:uid="{4222E379-EA2F-436F-A27E-F66347A2B7A2}" name="Affiliation" dataDxfId="129"/>
    <tableColumn id="1" xr3:uid="{00244646-90F3-4DDD-AB6B-0373781AFF60}" name="Name" dataDxfId="128"/>
    <tableColumn id="2" xr3:uid="{6305BA78-EC7F-4D5E-A143-DF4E3CB9A56C}" name="Top [m]" dataDxfId="127"/>
    <tableColumn id="3" xr3:uid="{156C5A02-52CD-48BE-87D5-E9BF8F935E99}" name="Bottom [m]" dataDxfId="126"/>
    <tableColumn id="4" xr3:uid="{BA986155-703C-4151-964B-7F7638569588}" name="Mass [kg]" dataDxfId="125"/>
    <tableColumn id="5" xr3:uid="{5FB39ED9-35A0-4964-ADC5-B9008F43FCB7}" name="Diameter [m]" dataDxfId="124"/>
    <tableColumn id="6" xr3:uid="{094B0EAF-8736-4B85-A464-028FE0E10FAC}" name="Orientation [°]" dataDxfId="123"/>
    <tableColumn id="7" xr3:uid="{F864D980-FF18-446E-8D28-70D3CBCA43E9}" name="Distance Axis to Axis" dataDxfId="122"/>
    <tableColumn id="9" xr3:uid="{FD2E8D1C-F275-49BC-BD8B-D63D6205E6DF}" name="Gap between surfaces" dataDxfId="121"/>
    <tableColumn id="10" xr3:uid="{DFEB932C-31A8-42AF-A99C-78CC47E5676D}" name="Surface roughness [m]" dataDxfId="120"/>
  </tableColumns>
  <tableStyleInfo name="JBO_Design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C15:AH17" totalsRowShown="0" headerRowDxfId="119" dataDxfId="117" headerRowBorderDxfId="118" tableBorderDxfId="116" totalsRowBorderDxfId="115">
  <autoFilter ref="AC15:AH17" xr:uid="{A1E86920-59C8-4A34-A4FA-D52D35DC047E}"/>
  <tableColumns count="6">
    <tableColumn id="1" xr3:uid="{D7BA5792-F27A-42AB-84A6-1A5C5073E624}" name="Affiliation" dataDxfId="114"/>
    <tableColumn id="3" xr3:uid="{F299E913-54CD-48A0-BB41-0880A93754FE}" name="Top [m]" dataDxfId="113"/>
    <tableColumn id="4" xr3:uid="{3FE7280C-AE16-43A5-98C5-AC81567063F8}" name="Bottom [m]" dataDxfId="112"/>
    <tableColumn id="5" xr3:uid="{494E1F17-E9F7-4B30-BF2F-0D837AD6C9EB}" name="D, top [m]" dataDxfId="111"/>
    <tableColumn id="6" xr3:uid="{9D18588B-23C1-495C-A81D-3BA5AF2F1DDD}" name="D, bottom [m]" dataDxfId="110"/>
    <tableColumn id="7" xr3:uid="{C3BA2567-9ACF-4834-A3FA-9599A0D98796}" name="t [mm]" dataDxfId="109"/>
  </tableColumns>
  <tableStyleInfo name="JBO_Design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C11:AF12" totalsRowShown="0" headerRowDxfId="108" headerRowBorderDxfId="107" tableBorderDxfId="106">
  <autoFilter ref="AC11:AF12" xr:uid="{CD52EECF-AB78-4C57-8765-66AA1058C0CF}"/>
  <tableColumns count="4">
    <tableColumn id="1" xr3:uid="{035BC3C9-B7CD-47B5-94D2-F8D64A04FD6C}" name="Affiliation" dataDxfId="105"/>
    <tableColumn id="2" xr3:uid="{9093341A-644E-4005-A4B0-0B05612EE421}" name="Elevation [m]" dataDxfId="104"/>
    <tableColumn id="3" xr3:uid="{71FE16E7-7251-4F14-B28B-4C6055F6AED1}" name="Mass [t]" dataDxfId="103"/>
    <tableColumn id="4" xr3:uid="{87F4221A-61DF-4C79-A116-8098A7C6FAAE}" name="comment" dataDxfId="102"/>
  </tableColumns>
  <tableStyleInfo name="JBO_Design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C21:AG25" totalsRowShown="0" headerRowDxfId="48" dataDxfId="47">
  <autoFilter ref="AC21:AG25" xr:uid="{8D334D84-754D-4685-9A4A-6A66B2E4FFB9}"/>
  <tableColumns count="5">
    <tableColumn id="1" xr3:uid="{DB673771-BB6D-4B68-81A2-B0DFC2758DC6}" name="Bottom [m]" dataDxfId="42"/>
    <tableColumn id="2" xr3:uid="{88DBAEFE-0CE9-43B7-BBD5-30E29A54DD0E}" name="Top [m]" dataDxfId="46"/>
    <tableColumn id="3" xr3:uid="{88F4E89D-F5DC-463C-AE91-5C5F8B82A591}" name="Marine Growth [mm]" dataDxfId="45"/>
    <tableColumn id="4" xr3:uid="{ABEE5949-3D04-400D-9A95-F3EBF7837C0E}" name="Density  [kg/m^3]" dataDxfId="44"/>
    <tableColumn id="5" xr3:uid="{F538BE21-E07F-43DA-9EA7-D7658B55572F}" name="Surface Roughness [m]" dataDxfId="43"/>
  </tableColumns>
  <tableStyleInfo name="JBO_Design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C29:AF31" totalsRowShown="0" headerRowDxfId="101">
  <autoFilter ref="AC29:AF31" xr:uid="{87B4A03F-1005-4720-8887-A14737394284}"/>
  <tableColumns count="4">
    <tableColumn id="1" xr3:uid="{79B3039B-DCB3-4DB5-9657-9170C1A7D7A1}" name="Bottom [m]" dataDxfId="100"/>
    <tableColumn id="2" xr3:uid="{798BD679-C372-4555-9ABA-DF12AF1BEB7B}" name="Top [m]" dataDxfId="99"/>
    <tableColumn id="3" xr3:uid="{C28B4B73-F57A-4DF1-B531-CD436CEA398C}" name="cd" dataDxfId="98"/>
    <tableColumn id="4" xr3:uid="{B75141CC-AB54-4904-90B7-845CA3D69A1B}" name="cm" dataDxfId="97"/>
  </tableColumns>
  <tableStyleInfo name="JBO_Design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C6:AK7" totalsRowShown="0" headerRowDxfId="96" dataDxfId="94" headerRowBorderDxfId="95" tableBorderDxfId="93" totalsRowBorderDxfId="92">
  <autoFilter ref="AC6:AK7" xr:uid="{72CE8A2A-6760-4548-BB1E-BCA204D8C1BA}"/>
  <tableColumns count="9">
    <tableColumn id="1" xr3:uid="{46A5A21B-3002-456C-8AD9-5ECB42AC421F}" name="Identifier" dataDxfId="91"/>
    <tableColumn id="2" xr3:uid="{F5B4AC32-29FD-42F7-91EC-62CC42FCE0D7}" name="Power [MW]" dataDxfId="90"/>
    <tableColumn id="3" xr3:uid="{F6A77E93-EA0B-4A7B-91D9-D14361BC8B1A}" name="Rotor Diameter [m]" dataDxfId="89"/>
    <tableColumn id="4" xr3:uid="{324F57B3-0BB2-4A0A-864F-C4E295BA1417}" name="Mass of RNA [kg]" dataDxfId="88"/>
    <tableColumn id="5" xr3:uid="{498958C1-FF10-460A-950F-D28B6D477E67}" name="Inertia of RNA fore-aft @COG [kg m^2]" dataDxfId="87"/>
    <tableColumn id="8" xr3:uid="{234964DC-3BFC-4170-9D6A-7B3DBC67A11F}" name="Inertia of RNA side-side @COG [kg m^2]" dataDxfId="86"/>
    <tableColumn id="6" xr3:uid="{9A250389-A125-48C0-9709-4FC870698E51}" name="Vertical Offset TT to HH [m]" dataDxfId="85"/>
    <tableColumn id="7" xr3:uid="{7481D65D-D15B-4189-850C-213AFF247093}" name="Vertical Offset TT_COG [m]" dataDxfId="84"/>
    <tableColumn id="9" xr3:uid="{DC025F26-D4D4-42D6-A0AC-A10FD5B08484}" name="comment" dataDxfId="83"/>
  </tableColumns>
  <tableStyleInfo name="JBO_Design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A3:C7" headerRowDxfId="82" dataDxfId="81">
  <autoFilter ref="A3:C7" xr:uid="{C35E7AB2-603F-4F8E-A683-CC2DB9E03260}"/>
  <tableColumns count="3">
    <tableColumn id="1" xr3:uid="{249E4AC0-B025-41CE-B64B-B1C47A8B108A}" name="Parameter" dataDxfId="80" totalsRowDxfId="79"/>
    <tableColumn id="2" xr3:uid="{96957327-E448-409A-A132-2F66C10F1B05}" name="Value" dataDxfId="78" totalsRowDxfId="77"/>
    <tableColumn id="3" xr3:uid="{9BA3C973-0D4E-4458-9364-B9F23256E516}" name="Unit" dataDxfId="76" totalsRowDxfId="75"/>
  </tableColumns>
  <tableStyleInfo name="JBO_Design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797A4-FD72-46EC-AF51-C7FF0F3EB792}" name="Tabelle1" displayName="Tabelle1" ref="A29:C35" totalsRowShown="0">
  <autoFilter ref="A29:C35" xr:uid="{AE7797A4-FD72-46EC-AF51-C7FF0F3EB792}"/>
  <tableColumns count="3">
    <tableColumn id="1" xr3:uid="{BDB642AE-B9A4-45CB-BF41-7BEF68FFEDAB}" name="Structure"/>
    <tableColumn id="2" xr3:uid="{6E51D16D-6FD1-4E9F-B93C-11B153F5BAB1}" name="Value" dataDxfId="74"/>
    <tableColumn id="3" xr3:uid="{7B4AFB51-C380-4E40-AA9A-07A3C0BB6BB2}" name="Unit" dataDxfId="73"/>
  </tableColumns>
  <tableStyleInfo name="JBO_Design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E9:H16" totalsRowShown="0">
  <autoFilter ref="E9:H16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 dataDxfId="72"/>
    <tableColumn id="2" xr3:uid="{6C705FCB-5D10-4250-9912-E9DAC119643B}" name="Value" dataDxfId="71"/>
  </tableColumns>
  <tableStyleInfo name="JBO_Design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E20:I59" totalsRowShown="0" headerRowDxfId="70">
  <autoFilter ref="E20:I59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69"/>
    <tableColumn id="4" xr3:uid="{E0487E44-0EED-4BFD-B57A-C884FB22266C}" name="default" dataDxfId="68"/>
    <tableColumn id="5" xr3:uid="{92045E4D-F12F-4D16-876C-05D25606D491}" name="SN1" dataDxfId="67"/>
  </tableColumns>
  <tableStyleInfo name="JBO_Design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M8:W18" totalsRowShown="0" dataDxfId="66">
  <autoFilter ref="M8:W18" xr:uid="{71E9ED97-D6B3-4021-B4A0-767262A463AF}"/>
  <tableColumns count="11">
    <tableColumn id="3" xr3:uid="{FEC1B86F-C35E-46DA-A7B6-958218640B32}" name="Use For (WL: Waveload generator, AM: Additional Masses) " dataDxfId="65"/>
    <tableColumn id="12" xr3:uid="{C2A89023-9057-4005-B5BC-7177CA0916E4}" name="Affiliation" dataDxfId="64"/>
    <tableColumn id="8" xr3:uid="{DA5288F4-A6D2-4654-91EF-5216E3A5D06D}" name="Name" dataDxfId="63"/>
    <tableColumn id="1" xr3:uid="{BCF04A15-F7A1-4B02-B968-2B77E93E65C8}" name="Top [m]" dataDxfId="62"/>
    <tableColumn id="2" xr3:uid="{7285DDF2-50C0-437F-A508-26E337365FD6}" name="Bottom [m]" dataDxfId="61"/>
    <tableColumn id="6" xr3:uid="{FF72EB0E-B8A4-4A02-BB1C-1EDDA8FDE8B6}" name="Mass [kg]" dataDxfId="60"/>
    <tableColumn id="4" xr3:uid="{C529D6EA-DB28-489B-9417-E4E43DA45BC2}" name="Diameter [m]" dataDxfId="59"/>
    <tableColumn id="7" xr3:uid="{187EAF26-0053-462C-A746-F4CFDD4FEA26}" name="Orientation [°]" dataDxfId="58"/>
    <tableColumn id="9" xr3:uid="{083E9AAE-21E0-4DD4-92EE-C339CE2D1002}" name="Distance Axis to Axis" dataDxfId="57"/>
    <tableColumn id="13" xr3:uid="{21BE8926-C21A-4E38-9100-554AFA0FA93B}" name="Gap between surfaces" dataDxfId="56"/>
    <tableColumn id="10" xr3:uid="{5E743F44-ADBC-4FED-9125-954BB70B4AA2}" name="Surface roughness [m]" dataDxfId="55"/>
  </tableColumns>
  <tableStyleInfo name="JBO_Design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356BDF-F7DD-4DF8-8A03-F552C7434686}" name="Bladed_Nodes" displayName="Bladed_Nodes" ref="BF13:BL128" totalsRowShown="0" dataDxfId="54">
  <autoFilter ref="BF13:BL128" xr:uid="{FE356BDF-F7DD-4DF8-8A03-F552C7434686}"/>
  <tableColumns count="7">
    <tableColumn id="1" xr3:uid="{6D2CD887-573B-48AA-98AD-9996FADDC923}" name="Node [-]" dataDxfId="53"/>
    <tableColumn id="2" xr3:uid="{EC70247F-3373-4C15-8E7F-4D2A86B1DE62}" name="Elevation [m]" dataDxfId="52"/>
    <tableColumn id="3" xr3:uid="{083E87E4-CECB-495A-A83F-130B2C844AFE}" name="Local x [m]" dataDxfId="51"/>
    <tableColumn id="4" xr3:uid="{7C868A91-68C1-4A51-B109-53217D6E2AA3}" name="Local y [m]" dataDxfId="50"/>
    <tableColumn id="5" xr3:uid="{86FF08B6-8D4D-4CCD-919D-2EE5F2A56883}" name="Point mass [m]" dataDxfId="49"/>
    <tableColumn id="6" xr3:uid="{6C286BEE-E8E7-481A-94E7-8A10C03F2B0D}" name="New Node?" dataDxfId="41"/>
    <tableColumn id="7" xr3:uid="{6F09390B-5897-4502-BE0F-57B6FE441D6D}" name="comment" dataDxfId="40"/>
  </tableColumns>
  <tableStyleInfo name="JBO_Design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A0827C-AEB7-4AC5-AC1C-3A9EEE71E512}" name="Bladed_Elements" displayName="Bladed_Elements" ref="BO13:BX241" totalsRowShown="0">
  <autoFilter ref="BO13:BX241" xr:uid="{08A0827C-AEB7-4AC5-AC1C-3A9EEE71E512}"/>
  <tableColumns count="10">
    <tableColumn id="1" xr3:uid="{EE8CEEDE-C7F8-49BC-B1C1-62256D68B1F7}" name="Affiliation"/>
    <tableColumn id="2" xr3:uid="{B5C9A065-2A24-4663-A78E-AB359C1B07B6}" name="Member [-]"/>
    <tableColumn id="3" xr3:uid="{6737F7E4-75EA-4406-A7BA-6FC70240743C}" name="Node [-]"/>
    <tableColumn id="4" xr3:uid="{89E5BBF6-3045-4D1E-BBF3-FCAE237AEF1F}" name="Diameter [m]"/>
    <tableColumn id="5" xr3:uid="{6F3CFA72-85FE-4FA1-98D1-C26E66E5227F}" name="Wall thickness [mm]"/>
    <tableColumn id="6" xr3:uid="{6F8DAE76-3BDE-41F7-B41C-569866CCAC01}" name="cd [-]"/>
    <tableColumn id="7" xr3:uid="{38F26F02-A7D4-4714-AB52-DE027CA3C685}" name="cm [-]"/>
    <tableColumn id="8" xr3:uid="{AF03C275-EBB0-4E9C-B3AD-4A9D80A81FED}" name="Marine growth [mm]"/>
    <tableColumn id="9" xr3:uid="{05F492D6-D126-434F-93C6-A121F0788998}" name="Density [kg*m^-3]"/>
    <tableColumn id="10" xr3:uid="{0530F484-7CF4-4A9A-9354-6550550F5D09}" name="Material [-]"/>
  </tableColumns>
  <tableStyleInfo name="JBO_Design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2F54214-E4DF-4B0B-9A28-68FEF7B6C167}" name="Bladed_Material" displayName="Bladed_Material" ref="BO8:BR9" totalsRowShown="0">
  <autoFilter ref="BO8:BR9" xr:uid="{D2F54214-E4DF-4B0B-9A28-68FEF7B6C167}"/>
  <tableColumns count="4">
    <tableColumn id="1" xr3:uid="{9172B9FD-AC02-4021-B668-FA3F4F6A97F3}" name="Material"/>
    <tableColumn id="2" xr3:uid="{20948249-55FD-4128-BAE3-62AB4D047790}" name="Density"/>
    <tableColumn id="3" xr3:uid="{9202FA46-C578-48A7-9D2E-3EEC216A3688}" name="Young's Mod."/>
    <tableColumn id="4" xr3:uid="{C12DCD8F-FF27-4045-882F-B82ACEBE29BA}" name="Shear Mod"/>
  </tableColumns>
  <tableStyleInfo name="JBO_Design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6782E9-093F-4211-A443-CB3D4BF75840}" name="Bladed_Settings" displayName="Bladed_Settings" ref="BF8:BH11" totalsRowShown="0">
  <autoFilter ref="BF8:BH11" xr:uid="{1F6782E9-093F-4211-A443-CB3D4BF75840}"/>
  <tableColumns count="3">
    <tableColumn id="1" xr3:uid="{D6593A5B-E35C-4929-86B1-7A094DA5E411}" name="Parameter"/>
    <tableColumn id="2" xr3:uid="{A216CBAB-6C7C-4CB7-AF7C-4941B2314965}" name="Value"/>
    <tableColumn id="3" xr3:uid="{1877DBDF-5DB6-43EA-8DCB-1CAE927FB230}" name="comment"/>
  </tableColumns>
  <tableStyleInfo name="JBO_Desig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47" Type="http://schemas.openxmlformats.org/officeDocument/2006/relationships/ctrlProp" Target="../ctrlProps/ctrlProp48.xml"/><Relationship Id="rId63" Type="http://schemas.openxmlformats.org/officeDocument/2006/relationships/table" Target="../tables/table12.xml"/><Relationship Id="rId68" Type="http://schemas.openxmlformats.org/officeDocument/2006/relationships/table" Target="../tables/table17.xml"/><Relationship Id="rId16" Type="http://schemas.openxmlformats.org/officeDocument/2006/relationships/ctrlProp" Target="../ctrlProps/ctrlProp17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3" Type="http://schemas.openxmlformats.org/officeDocument/2006/relationships/table" Target="../tables/table2.xml"/><Relationship Id="rId58" Type="http://schemas.openxmlformats.org/officeDocument/2006/relationships/table" Target="../tables/table7.xml"/><Relationship Id="rId66" Type="http://schemas.openxmlformats.org/officeDocument/2006/relationships/table" Target="../tables/table15.xml"/><Relationship Id="rId74" Type="http://schemas.openxmlformats.org/officeDocument/2006/relationships/table" Target="../tables/table23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10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ctrlProp" Target="../ctrlProps/ctrlProp49.xml"/><Relationship Id="rId56" Type="http://schemas.openxmlformats.org/officeDocument/2006/relationships/table" Target="../tables/table5.xml"/><Relationship Id="rId64" Type="http://schemas.openxmlformats.org/officeDocument/2006/relationships/table" Target="../tables/table13.xml"/><Relationship Id="rId69" Type="http://schemas.openxmlformats.org/officeDocument/2006/relationships/table" Target="../tables/table18.xml"/><Relationship Id="rId77" Type="http://schemas.openxmlformats.org/officeDocument/2006/relationships/table" Target="../tables/table26.xml"/><Relationship Id="rId8" Type="http://schemas.openxmlformats.org/officeDocument/2006/relationships/ctrlProp" Target="../ctrlProps/ctrlProp9.xml"/><Relationship Id="rId51" Type="http://schemas.openxmlformats.org/officeDocument/2006/relationships/ctrlProp" Target="../ctrlProps/ctrlProp52.xml"/><Relationship Id="rId72" Type="http://schemas.openxmlformats.org/officeDocument/2006/relationships/table" Target="../tables/table21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ctrlProp" Target="../ctrlProps/ctrlProp47.xml"/><Relationship Id="rId59" Type="http://schemas.openxmlformats.org/officeDocument/2006/relationships/table" Target="../tables/table8.xml"/><Relationship Id="rId67" Type="http://schemas.openxmlformats.org/officeDocument/2006/relationships/table" Target="../tables/table16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54" Type="http://schemas.openxmlformats.org/officeDocument/2006/relationships/table" Target="../tables/table3.xml"/><Relationship Id="rId62" Type="http://schemas.openxmlformats.org/officeDocument/2006/relationships/table" Target="../tables/table11.xml"/><Relationship Id="rId70" Type="http://schemas.openxmlformats.org/officeDocument/2006/relationships/table" Target="../tables/table19.xml"/><Relationship Id="rId75" Type="http://schemas.openxmlformats.org/officeDocument/2006/relationships/table" Target="../tables/table2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ctrlProp" Target="../ctrlProps/ctrlProp50.xml"/><Relationship Id="rId57" Type="http://schemas.openxmlformats.org/officeDocument/2006/relationships/table" Target="../tables/table6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52" Type="http://schemas.openxmlformats.org/officeDocument/2006/relationships/table" Target="../tables/table1.xml"/><Relationship Id="rId60" Type="http://schemas.openxmlformats.org/officeDocument/2006/relationships/table" Target="../tables/table9.xml"/><Relationship Id="rId65" Type="http://schemas.openxmlformats.org/officeDocument/2006/relationships/table" Target="../tables/table14.xml"/><Relationship Id="rId73" Type="http://schemas.openxmlformats.org/officeDocument/2006/relationships/table" Target="../tables/table22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34" Type="http://schemas.openxmlformats.org/officeDocument/2006/relationships/ctrlProp" Target="../ctrlProps/ctrlProp35.xml"/><Relationship Id="rId50" Type="http://schemas.openxmlformats.org/officeDocument/2006/relationships/ctrlProp" Target="../ctrlProps/ctrlProp51.xml"/><Relationship Id="rId55" Type="http://schemas.openxmlformats.org/officeDocument/2006/relationships/table" Target="../tables/table4.xml"/><Relationship Id="rId76" Type="http://schemas.openxmlformats.org/officeDocument/2006/relationships/table" Target="../tables/table25.xml"/><Relationship Id="rId7" Type="http://schemas.openxmlformats.org/officeDocument/2006/relationships/ctrlProp" Target="../ctrlProps/ctrlProp8.xml"/><Relationship Id="rId71" Type="http://schemas.openxmlformats.org/officeDocument/2006/relationships/table" Target="../tables/table2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3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5.xml"/><Relationship Id="rId11" Type="http://schemas.openxmlformats.org/officeDocument/2006/relationships/table" Target="../tables/table31.xml"/><Relationship Id="rId5" Type="http://schemas.openxmlformats.org/officeDocument/2006/relationships/ctrlProp" Target="../ctrlProps/ctrlProp54.xml"/><Relationship Id="rId15" Type="http://schemas.openxmlformats.org/officeDocument/2006/relationships/table" Target="../tables/table35.xml"/><Relationship Id="rId10" Type="http://schemas.openxmlformats.org/officeDocument/2006/relationships/table" Target="../tables/table30.xml"/><Relationship Id="rId4" Type="http://schemas.openxmlformats.org/officeDocument/2006/relationships/ctrlProp" Target="../ctrlProps/ctrlProp53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table" Target="../tables/table40.xml"/><Relationship Id="rId2" Type="http://schemas.openxmlformats.org/officeDocument/2006/relationships/drawing" Target="../drawings/drawing4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5" Type="http://schemas.openxmlformats.org/officeDocument/2006/relationships/ctrlProp" Target="../ctrlProps/ctrlProp57.xml"/><Relationship Id="rId15" Type="http://schemas.openxmlformats.org/officeDocument/2006/relationships/table" Target="../tables/table38.xml"/><Relationship Id="rId10" Type="http://schemas.openxmlformats.org/officeDocument/2006/relationships/ctrlProp" Target="../ctrlProps/ctrlProp62.xml"/><Relationship Id="rId19" Type="http://schemas.openxmlformats.org/officeDocument/2006/relationships/table" Target="../tables/table42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3:C3"/>
  <sheetViews>
    <sheetView workbookViewId="0">
      <selection activeCell="E13" sqref="E13"/>
    </sheetView>
  </sheetViews>
  <sheetFormatPr baseColWidth="10" defaultRowHeight="14.4" x14ac:dyDescent="0.3"/>
  <cols>
    <col min="2" max="2" width="24.33203125" customWidth="1"/>
  </cols>
  <sheetData>
    <row r="3" spans="2:3" x14ac:dyDescent="0.3">
      <c r="B3" t="s">
        <v>239</v>
      </c>
      <c r="C3" t="s">
        <v>240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="70" zoomScaleNormal="70" workbookViewId="0">
      <selection activeCell="J28" sqref="J28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148" t="s">
        <v>42</v>
      </c>
      <c r="C4" s="149"/>
      <c r="D4" s="150"/>
      <c r="E4" s="40"/>
      <c r="F4" s="151" t="s">
        <v>26</v>
      </c>
      <c r="G4" s="152"/>
      <c r="H4" s="152"/>
      <c r="I4" s="153"/>
      <c r="J4" s="40"/>
      <c r="K4" s="154" t="s">
        <v>43</v>
      </c>
      <c r="L4" s="155"/>
      <c r="M4" s="156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EM889"/>
  <sheetViews>
    <sheetView showGridLines="0" topLeftCell="B1" zoomScale="85" zoomScaleNormal="85" workbookViewId="0">
      <selection activeCell="H2" sqref="H2"/>
    </sheetView>
  </sheetViews>
  <sheetFormatPr baseColWidth="10" defaultColWidth="22.88671875" defaultRowHeight="18" customHeight="1" outlineLevelRow="1" x14ac:dyDescent="0.3"/>
  <cols>
    <col min="1" max="1" width="24.5546875" style="72" customWidth="1"/>
    <col min="2" max="2" width="24.6640625" style="60" customWidth="1"/>
    <col min="3" max="3" width="21" style="60" customWidth="1"/>
    <col min="4" max="4" width="23.109375" style="60" customWidth="1"/>
    <col min="5" max="5" width="50.109375" style="91" customWidth="1"/>
    <col min="6" max="7" width="22" style="53" customWidth="1"/>
    <col min="8" max="8" width="27.6640625" style="53" customWidth="1"/>
    <col min="9" max="9" width="22" style="53" customWidth="1"/>
    <col min="10" max="10" width="22" style="52" customWidth="1"/>
    <col min="11" max="11" width="22" style="100" customWidth="1"/>
    <col min="12" max="13" width="22" customWidth="1"/>
    <col min="14" max="14" width="22" style="84" customWidth="1"/>
    <col min="15" max="15" width="11.109375" customWidth="1"/>
    <col min="16" max="16" width="38.5546875" customWidth="1"/>
    <col min="17" max="23" width="21.5546875" customWidth="1"/>
    <col min="24" max="24" width="21.5546875" style="58" customWidth="1"/>
    <col min="25" max="29" width="22.88671875" hidden="1" customWidth="1"/>
    <col min="30" max="30" width="25.109375" hidden="1" customWidth="1"/>
    <col min="31" max="31" width="21.109375" hidden="1" customWidth="1"/>
    <col min="32" max="32" width="18.33203125" hidden="1" customWidth="1"/>
    <col min="33" max="33" width="18.5546875" hidden="1" customWidth="1" collapsed="1"/>
    <col min="34" max="34" width="25.33203125" hidden="1" customWidth="1"/>
    <col min="35" max="35" width="20.6640625" hidden="1" customWidth="1"/>
    <col min="36" max="36" width="16.5546875" hidden="1" customWidth="1"/>
    <col min="37" max="37" width="20.6640625" hidden="1" customWidth="1"/>
    <col min="38" max="38" width="13.33203125" hidden="1" customWidth="1"/>
    <col min="39" max="40" width="22.88671875" hidden="1" customWidth="1"/>
    <col min="41" max="41" width="21.5546875" hidden="1" customWidth="1"/>
    <col min="42" max="42" width="50.109375" style="91" hidden="1" customWidth="1"/>
    <col min="43" max="44" width="22" style="53" hidden="1" customWidth="1"/>
    <col min="45" max="45" width="27.6640625" style="53" hidden="1" customWidth="1"/>
    <col min="46" max="46" width="22" style="53" hidden="1" customWidth="1"/>
    <col min="47" max="47" width="22" style="52" hidden="1" customWidth="1"/>
    <col min="48" max="48" width="22" style="100" hidden="1" customWidth="1"/>
    <col min="49" max="50" width="22" hidden="1" customWidth="1"/>
    <col min="51" max="51" width="22" style="84" hidden="1" customWidth="1"/>
    <col min="52" max="52" width="11.109375" hidden="1" customWidth="1"/>
    <col min="53" max="53" width="56.21875" hidden="1" customWidth="1"/>
    <col min="54" max="60" width="21.5546875" hidden="1" customWidth="1"/>
    <col min="61" max="61" width="21.5546875" style="58" hidden="1" customWidth="1"/>
    <col min="62" max="66" width="22.88671875" hidden="1" customWidth="1"/>
    <col min="67" max="67" width="25.109375" hidden="1" customWidth="1"/>
    <col min="68" max="69" width="21.109375" hidden="1" customWidth="1"/>
    <col min="70" max="72" width="18.33203125" hidden="1" customWidth="1"/>
    <col min="73" max="73" width="18.5546875" hidden="1" customWidth="1" collapsed="1"/>
    <col min="74" max="74" width="25.33203125" hidden="1" customWidth="1"/>
    <col min="75" max="75" width="20.6640625" hidden="1" customWidth="1"/>
    <col min="76" max="76" width="16.5546875" hidden="1" customWidth="1"/>
    <col min="77" max="77" width="22.88671875" hidden="1" customWidth="1" collapsed="1"/>
    <col min="78" max="78" width="22.88671875" hidden="1" customWidth="1"/>
    <col min="79" max="79" width="21.5546875" hidden="1" customWidth="1"/>
    <col min="80" max="80" width="50.109375" style="91" hidden="1" customWidth="1"/>
    <col min="81" max="82" width="22" style="53" hidden="1" customWidth="1"/>
    <col min="83" max="83" width="27.6640625" style="53" hidden="1" customWidth="1"/>
    <col min="84" max="84" width="22" style="53" hidden="1" customWidth="1"/>
    <col min="85" max="85" width="22" style="52" hidden="1" customWidth="1"/>
    <col min="86" max="86" width="22" style="100" hidden="1" customWidth="1"/>
    <col min="87" max="88" width="22" hidden="1" customWidth="1"/>
    <col min="89" max="89" width="22" style="84" hidden="1" customWidth="1"/>
    <col min="90" max="90" width="11.109375" hidden="1" customWidth="1"/>
    <col min="91" max="98" width="21.5546875" hidden="1" customWidth="1"/>
    <col min="99" max="99" width="21.5546875" style="58" hidden="1" customWidth="1"/>
    <col min="100" max="104" width="22.88671875" hidden="1" customWidth="1"/>
    <col min="105" max="105" width="25.109375" hidden="1" customWidth="1"/>
    <col min="106" max="107" width="21.109375" hidden="1" customWidth="1"/>
    <col min="108" max="110" width="18.33203125" hidden="1" customWidth="1"/>
    <col min="111" max="111" width="18.5546875" hidden="1" customWidth="1" collapsed="1"/>
    <col min="112" max="112" width="25.33203125" hidden="1" customWidth="1"/>
    <col min="113" max="113" width="20.6640625" hidden="1" customWidth="1"/>
    <col min="114" max="114" width="16.5546875" hidden="1" customWidth="1"/>
    <col min="115" max="115" width="22.88671875" hidden="1" customWidth="1" collapsed="1"/>
    <col min="116" max="117" width="22.88671875" hidden="1" customWidth="1"/>
    <col min="118" max="118" width="27.21875" style="57" hidden="1" customWidth="1"/>
    <col min="119" max="126" width="22.88671875" hidden="1" customWidth="1"/>
    <col min="127" max="127" width="22.88671875" style="58" hidden="1" customWidth="1"/>
    <col min="128" max="136" width="22.88671875" hidden="1" customWidth="1"/>
    <col min="137" max="137" width="22.88671875" hidden="1" customWidth="1" collapsed="1"/>
    <col min="138" max="138" width="22.88671875" hidden="1" customWidth="1"/>
    <col min="139" max="142" width="0" hidden="1" customWidth="1"/>
    <col min="143" max="143" width="0" style="58" hidden="1" customWidth="1"/>
    <col min="144" max="144" width="0" hidden="1" customWidth="1"/>
  </cols>
  <sheetData>
    <row r="1" spans="5:136" ht="18" customHeight="1" x14ac:dyDescent="0.3">
      <c r="E1" s="101"/>
      <c r="F1" s="85"/>
      <c r="G1" s="85"/>
      <c r="H1" s="85"/>
      <c r="I1" s="85"/>
      <c r="J1" s="102"/>
      <c r="K1" s="65"/>
      <c r="L1" s="64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6"/>
      <c r="AO1" s="65"/>
      <c r="AP1" s="101"/>
      <c r="AQ1" s="85"/>
      <c r="AR1" s="85"/>
      <c r="AS1" s="85"/>
      <c r="AT1" s="85"/>
      <c r="AU1" s="102"/>
      <c r="AV1" s="65"/>
      <c r="AW1" s="64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6"/>
      <c r="CA1" s="65"/>
      <c r="CB1" s="101"/>
      <c r="CC1" s="85"/>
      <c r="CD1" s="85"/>
      <c r="CE1" s="85"/>
      <c r="CF1" s="85"/>
      <c r="CG1" s="102"/>
      <c r="CH1" s="65"/>
      <c r="CI1" s="64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6"/>
      <c r="DN1" s="64"/>
      <c r="DO1" s="65"/>
      <c r="DP1" s="65"/>
      <c r="DQ1" s="65"/>
      <c r="DR1" s="65"/>
      <c r="DS1" s="65"/>
      <c r="DT1" s="65"/>
      <c r="DU1" s="65"/>
      <c r="DV1" s="65"/>
      <c r="DW1" s="66"/>
    </row>
    <row r="2" spans="5:136" ht="43.5" customHeight="1" x14ac:dyDescent="0.3">
      <c r="E2" s="92" t="s">
        <v>69</v>
      </c>
      <c r="K2"/>
      <c r="L2" s="57"/>
      <c r="N2"/>
      <c r="AP2" s="92" t="s">
        <v>83</v>
      </c>
      <c r="AV2"/>
      <c r="AW2" s="57"/>
      <c r="AY2"/>
      <c r="CB2" s="92" t="s">
        <v>71</v>
      </c>
      <c r="CH2"/>
      <c r="CI2" s="57"/>
      <c r="CK2"/>
      <c r="DN2" s="92" t="s">
        <v>109</v>
      </c>
      <c r="DO2" s="53"/>
      <c r="DP2" s="53"/>
      <c r="DQ2" s="53"/>
      <c r="DR2" s="53"/>
      <c r="DS2" s="52"/>
    </row>
    <row r="3" spans="5:136" ht="18" customHeight="1" x14ac:dyDescent="0.3">
      <c r="E3" s="57"/>
      <c r="F3"/>
      <c r="G3"/>
      <c r="H3"/>
      <c r="I3"/>
      <c r="J3"/>
      <c r="K3"/>
      <c r="L3" s="57"/>
      <c r="N3"/>
      <c r="AP3" s="57"/>
      <c r="AQ3"/>
      <c r="AR3"/>
      <c r="AS3"/>
      <c r="AT3"/>
      <c r="AU3"/>
      <c r="AV3"/>
      <c r="AW3" s="57"/>
      <c r="AY3"/>
      <c r="BY3" s="59"/>
      <c r="BZ3" s="59"/>
      <c r="CB3" s="57"/>
      <c r="CC3"/>
      <c r="CD3"/>
      <c r="CE3"/>
      <c r="CF3"/>
      <c r="CG3"/>
      <c r="CH3"/>
      <c r="CI3" s="57"/>
      <c r="CK3"/>
      <c r="DK3" s="59"/>
      <c r="DL3" s="59"/>
      <c r="DM3" s="59"/>
    </row>
    <row r="4" spans="5:136" ht="19.5" customHeight="1" thickBot="1" x14ac:dyDescent="0.45">
      <c r="E4" s="106" t="s">
        <v>260</v>
      </c>
      <c r="F4" s="71"/>
      <c r="G4" s="71"/>
      <c r="H4" s="71"/>
      <c r="I4" s="71"/>
      <c r="J4"/>
      <c r="K4"/>
      <c r="L4" s="57"/>
      <c r="N4"/>
      <c r="AP4" s="106" t="s">
        <v>260</v>
      </c>
      <c r="AQ4" s="71"/>
      <c r="AR4" s="71"/>
      <c r="AS4" s="71"/>
      <c r="AT4" s="71"/>
      <c r="AU4"/>
      <c r="AV4"/>
      <c r="AW4" s="57"/>
      <c r="AY4"/>
      <c r="CB4" s="106" t="s">
        <v>260</v>
      </c>
      <c r="CC4" s="71"/>
      <c r="CD4" s="71"/>
      <c r="CE4" s="71"/>
      <c r="CF4" s="71"/>
      <c r="CG4"/>
      <c r="CH4"/>
      <c r="CI4" s="57"/>
      <c r="CK4"/>
      <c r="DN4" s="106" t="s">
        <v>260</v>
      </c>
      <c r="DO4" s="71"/>
      <c r="DP4" s="71"/>
      <c r="DQ4" s="71"/>
      <c r="DR4" s="71"/>
    </row>
    <row r="5" spans="5:136" ht="18" customHeight="1" x14ac:dyDescent="0.35">
      <c r="E5" s="78"/>
      <c r="F5" s="86" t="s">
        <v>256</v>
      </c>
      <c r="G5" s="79"/>
      <c r="H5" s="79"/>
      <c r="I5" s="79"/>
      <c r="J5" s="79"/>
      <c r="K5" s="79"/>
      <c r="L5" s="57"/>
      <c r="N5" s="73"/>
      <c r="AP5" s="78"/>
      <c r="AQ5" s="86" t="s">
        <v>256</v>
      </c>
      <c r="AR5" s="79"/>
      <c r="AS5" s="79"/>
      <c r="AT5" s="79"/>
      <c r="AU5" s="79"/>
      <c r="AV5" s="79"/>
      <c r="AW5" s="57"/>
      <c r="AY5" s="73"/>
      <c r="CB5" s="78"/>
      <c r="CC5" s="86" t="s">
        <v>256</v>
      </c>
      <c r="CD5" s="79"/>
      <c r="CE5" s="79"/>
      <c r="CF5" s="79"/>
      <c r="CG5" s="79"/>
      <c r="CH5" s="79"/>
      <c r="CI5" s="57"/>
      <c r="CK5" s="73"/>
      <c r="DN5" s="78"/>
      <c r="DO5" s="86" t="s">
        <v>256</v>
      </c>
      <c r="DP5" s="79"/>
      <c r="DQ5" s="79"/>
      <c r="DR5" s="79"/>
      <c r="DS5" s="79"/>
      <c r="DT5" s="117"/>
    </row>
    <row r="6" spans="5:136" ht="18" customHeight="1" x14ac:dyDescent="0.3">
      <c r="E6" s="80"/>
      <c r="F6" s="74" t="s">
        <v>81</v>
      </c>
      <c r="G6" s="70"/>
      <c r="H6" s="70"/>
      <c r="I6" s="70"/>
      <c r="J6" s="70"/>
      <c r="K6" s="70"/>
      <c r="L6" s="57"/>
      <c r="N6"/>
      <c r="AP6" s="80"/>
      <c r="AQ6" s="74" t="s">
        <v>266</v>
      </c>
      <c r="AR6" s="70"/>
      <c r="AS6" s="70"/>
      <c r="AT6" s="70"/>
      <c r="AU6" s="70"/>
      <c r="AV6" s="70"/>
      <c r="AW6" s="57"/>
      <c r="AY6"/>
      <c r="BM6" t="s">
        <v>272</v>
      </c>
      <c r="CB6" s="80"/>
      <c r="CC6" s="74" t="s">
        <v>272</v>
      </c>
      <c r="CD6" s="70"/>
      <c r="CE6" s="70"/>
      <c r="CF6" s="70"/>
      <c r="CG6" s="70"/>
      <c r="CH6" s="70"/>
      <c r="CI6" s="57"/>
      <c r="CK6"/>
      <c r="DN6" s="80"/>
      <c r="DO6" s="74" t="s">
        <v>126</v>
      </c>
      <c r="DP6" s="70"/>
      <c r="DQ6" s="70"/>
      <c r="DR6" s="70"/>
      <c r="DS6" s="70"/>
      <c r="DT6" s="118"/>
    </row>
    <row r="7" spans="5:136" ht="18" customHeight="1" x14ac:dyDescent="0.3">
      <c r="E7" s="80"/>
      <c r="F7" s="81"/>
      <c r="G7" s="81"/>
      <c r="H7" s="81"/>
      <c r="I7" s="81"/>
      <c r="J7" s="81"/>
      <c r="K7" s="81"/>
      <c r="L7" s="57"/>
      <c r="N7"/>
      <c r="AP7" s="80"/>
      <c r="AQ7" s="81"/>
      <c r="AR7" s="81"/>
      <c r="AS7" s="81"/>
      <c r="AT7" s="81"/>
      <c r="AU7" s="81"/>
      <c r="AV7" s="81"/>
      <c r="AW7" s="57"/>
      <c r="AY7"/>
      <c r="CB7" s="80"/>
      <c r="CC7" s="81"/>
      <c r="CD7" s="81"/>
      <c r="CE7" s="81"/>
      <c r="CF7" s="81"/>
      <c r="CG7" s="81"/>
      <c r="CH7" s="81"/>
      <c r="CI7" s="57"/>
      <c r="CK7"/>
      <c r="DN7" s="80"/>
      <c r="DO7" s="81"/>
      <c r="DP7" s="81"/>
      <c r="DQ7" s="81"/>
      <c r="DR7" s="81"/>
      <c r="DS7" s="81"/>
      <c r="DT7" s="119"/>
    </row>
    <row r="8" spans="5:136" ht="18" customHeight="1" thickBot="1" x14ac:dyDescent="0.35">
      <c r="E8" s="82"/>
      <c r="F8" s="83"/>
      <c r="G8" s="83"/>
      <c r="H8" s="83"/>
      <c r="I8" s="83"/>
      <c r="J8" s="83"/>
      <c r="K8" s="83"/>
      <c r="L8" s="57"/>
      <c r="N8"/>
      <c r="AP8" s="82"/>
      <c r="AQ8" s="83"/>
      <c r="AR8" s="83"/>
      <c r="AS8" s="83"/>
      <c r="AT8" s="83"/>
      <c r="AU8" s="83"/>
      <c r="AV8" s="83"/>
      <c r="AW8" s="57"/>
      <c r="AY8"/>
      <c r="CB8" s="82"/>
      <c r="CC8" s="83"/>
      <c r="CD8" s="83"/>
      <c r="CE8" s="83"/>
      <c r="CF8" s="83"/>
      <c r="CG8" s="83"/>
      <c r="CH8" s="83"/>
      <c r="CI8" s="57"/>
      <c r="CK8"/>
      <c r="DN8" s="82"/>
      <c r="DO8" s="83"/>
      <c r="DP8" s="83"/>
      <c r="DQ8" s="83"/>
      <c r="DR8" s="83"/>
      <c r="DS8" s="83"/>
      <c r="DT8" s="120"/>
    </row>
    <row r="9" spans="5:136" ht="18" customHeight="1" x14ac:dyDescent="0.3">
      <c r="E9" s="57"/>
      <c r="F9"/>
      <c r="G9"/>
      <c r="H9"/>
      <c r="I9"/>
      <c r="J9"/>
      <c r="K9"/>
      <c r="L9" s="57"/>
      <c r="N9"/>
      <c r="AP9" s="57"/>
      <c r="AQ9"/>
      <c r="AR9"/>
      <c r="AS9"/>
      <c r="AT9"/>
      <c r="AU9"/>
      <c r="AV9"/>
      <c r="AW9" s="57"/>
      <c r="AY9"/>
      <c r="CB9" s="57"/>
      <c r="CC9"/>
      <c r="CD9"/>
      <c r="CE9"/>
      <c r="CF9"/>
      <c r="CG9"/>
      <c r="CH9"/>
      <c r="CI9" s="57"/>
      <c r="CK9"/>
    </row>
    <row r="10" spans="5:136" ht="18" customHeight="1" x14ac:dyDescent="0.3">
      <c r="E10" s="57"/>
      <c r="F10"/>
      <c r="G10"/>
      <c r="H10"/>
      <c r="I10"/>
      <c r="J10"/>
      <c r="K10"/>
      <c r="L10" s="57"/>
      <c r="N10"/>
      <c r="AP10" s="57"/>
      <c r="AQ10"/>
      <c r="AR10"/>
      <c r="AS10"/>
      <c r="AT10"/>
      <c r="AU10"/>
      <c r="AV10"/>
      <c r="AW10" s="57"/>
      <c r="AY10"/>
      <c r="CB10" s="57"/>
      <c r="CC10"/>
      <c r="CD10"/>
      <c r="CE10"/>
      <c r="CF10"/>
      <c r="CG10"/>
      <c r="CH10"/>
      <c r="CI10" s="57"/>
      <c r="CK10"/>
    </row>
    <row r="11" spans="5:136" ht="18" customHeight="1" x14ac:dyDescent="0.4">
      <c r="E11" s="106" t="s">
        <v>261</v>
      </c>
      <c r="F11"/>
      <c r="G11"/>
      <c r="H11"/>
      <c r="I11"/>
      <c r="J11"/>
      <c r="K11"/>
      <c r="L11" s="57"/>
      <c r="N11"/>
      <c r="Y11" t="s">
        <v>73</v>
      </c>
      <c r="Z11" t="s">
        <v>74</v>
      </c>
      <c r="AA11" t="s">
        <v>72</v>
      </c>
      <c r="AB11" t="s">
        <v>75</v>
      </c>
      <c r="AC11" t="s">
        <v>117</v>
      </c>
      <c r="AD11" t="s">
        <v>113</v>
      </c>
      <c r="AE11" t="s">
        <v>118</v>
      </c>
      <c r="AP11" s="106" t="s">
        <v>261</v>
      </c>
      <c r="AQ11"/>
      <c r="AR11"/>
      <c r="AS11"/>
      <c r="AT11"/>
      <c r="AU11"/>
      <c r="AV11"/>
      <c r="AW11" s="57"/>
      <c r="AY11"/>
      <c r="BJ11" t="s">
        <v>73</v>
      </c>
      <c r="BK11" t="s">
        <v>74</v>
      </c>
      <c r="BL11" t="s">
        <v>72</v>
      </c>
      <c r="BM11" t="s">
        <v>75</v>
      </c>
      <c r="BN11" t="s">
        <v>117</v>
      </c>
      <c r="BO11" t="s">
        <v>113</v>
      </c>
      <c r="BP11" t="s">
        <v>118</v>
      </c>
      <c r="CB11" s="106" t="s">
        <v>261</v>
      </c>
      <c r="CC11"/>
      <c r="CD11"/>
      <c r="CE11"/>
      <c r="CF11"/>
      <c r="CG11"/>
      <c r="CH11"/>
      <c r="CI11" s="57"/>
      <c r="CK11"/>
      <c r="CV11" t="s">
        <v>73</v>
      </c>
      <c r="CW11" t="s">
        <v>74</v>
      </c>
      <c r="CX11" t="s">
        <v>72</v>
      </c>
      <c r="CY11" t="s">
        <v>75</v>
      </c>
      <c r="CZ11" t="s">
        <v>117</v>
      </c>
      <c r="DA11" t="s">
        <v>113</v>
      </c>
      <c r="DB11" t="s">
        <v>118</v>
      </c>
      <c r="DX11" t="s">
        <v>73</v>
      </c>
      <c r="DY11" t="s">
        <v>122</v>
      </c>
      <c r="DZ11" t="s">
        <v>123</v>
      </c>
      <c r="EA11" t="s">
        <v>200</v>
      </c>
      <c r="EB11" t="s">
        <v>209</v>
      </c>
      <c r="EC11" t="s">
        <v>210</v>
      </c>
      <c r="ED11" t="s">
        <v>201</v>
      </c>
      <c r="EE11" t="s">
        <v>202</v>
      </c>
      <c r="EF11" t="s">
        <v>19</v>
      </c>
    </row>
    <row r="12" spans="5:136" ht="18" customHeight="1" x14ac:dyDescent="0.3">
      <c r="E12" s="87" t="s">
        <v>73</v>
      </c>
      <c r="F12" s="51" t="s">
        <v>74</v>
      </c>
      <c r="G12" s="51" t="s">
        <v>72</v>
      </c>
      <c r="H12" s="51" t="s">
        <v>75</v>
      </c>
      <c r="I12" s="51" t="s">
        <v>117</v>
      </c>
      <c r="J12" s="51" t="s">
        <v>113</v>
      </c>
      <c r="K12" s="51" t="s">
        <v>118</v>
      </c>
      <c r="L12" s="57"/>
      <c r="N12"/>
      <c r="Y12" t="s">
        <v>235</v>
      </c>
      <c r="Z12" t="s">
        <v>233</v>
      </c>
      <c r="AA12" t="s">
        <v>76</v>
      </c>
      <c r="AB12" t="s">
        <v>234</v>
      </c>
      <c r="AC12">
        <v>43.5</v>
      </c>
      <c r="AD12" t="s">
        <v>49</v>
      </c>
      <c r="AE12" t="s">
        <v>232</v>
      </c>
      <c r="AP12" s="87" t="s">
        <v>73</v>
      </c>
      <c r="AQ12" s="51" t="s">
        <v>74</v>
      </c>
      <c r="AR12" s="51" t="s">
        <v>72</v>
      </c>
      <c r="AS12" s="51" t="s">
        <v>75</v>
      </c>
      <c r="AT12" s="51" t="s">
        <v>117</v>
      </c>
      <c r="AU12" s="51" t="s">
        <v>113</v>
      </c>
      <c r="AV12" s="51" t="s">
        <v>118</v>
      </c>
      <c r="AW12" s="57"/>
      <c r="AY12"/>
      <c r="BJ12" t="s">
        <v>235</v>
      </c>
      <c r="BK12" t="s">
        <v>233</v>
      </c>
      <c r="BL12" t="s">
        <v>76</v>
      </c>
      <c r="BM12" t="s">
        <v>234</v>
      </c>
      <c r="BN12">
        <v>43.5</v>
      </c>
      <c r="BO12" t="s">
        <v>49</v>
      </c>
      <c r="CB12" s="87" t="s">
        <v>73</v>
      </c>
      <c r="CC12" s="51" t="s">
        <v>74</v>
      </c>
      <c r="CD12" s="51" t="s">
        <v>72</v>
      </c>
      <c r="CE12" s="51" t="s">
        <v>75</v>
      </c>
      <c r="CF12" s="51" t="s">
        <v>117</v>
      </c>
      <c r="CG12" s="51" t="s">
        <v>113</v>
      </c>
      <c r="CH12" s="51" t="s">
        <v>118</v>
      </c>
      <c r="CI12" s="57"/>
      <c r="CK12"/>
      <c r="CV12" t="s">
        <v>273</v>
      </c>
      <c r="CW12" t="s">
        <v>233</v>
      </c>
      <c r="CX12" t="s">
        <v>76</v>
      </c>
      <c r="CY12" t="s">
        <v>274</v>
      </c>
      <c r="CZ12">
        <v>43.5</v>
      </c>
      <c r="DA12" t="s">
        <v>49</v>
      </c>
      <c r="DX12" s="51" t="s">
        <v>270</v>
      </c>
      <c r="DY12" s="51">
        <v>10</v>
      </c>
      <c r="DZ12">
        <v>200</v>
      </c>
      <c r="EA12">
        <v>300000</v>
      </c>
      <c r="EB12" s="51">
        <v>20000000</v>
      </c>
      <c r="EC12" s="51">
        <v>20000000</v>
      </c>
      <c r="ED12" s="51">
        <v>2</v>
      </c>
      <c r="EE12">
        <v>3</v>
      </c>
      <c r="EF12" t="s">
        <v>271</v>
      </c>
    </row>
    <row r="13" spans="5:136" ht="18" customHeight="1" x14ac:dyDescent="0.3">
      <c r="E13" s="87" t="s">
        <v>235</v>
      </c>
      <c r="F13" s="51" t="s">
        <v>233</v>
      </c>
      <c r="G13" s="51" t="s">
        <v>76</v>
      </c>
      <c r="H13" s="51" t="s">
        <v>234</v>
      </c>
      <c r="I13" s="51">
        <v>43.5</v>
      </c>
      <c r="J13" s="51" t="s">
        <v>49</v>
      </c>
      <c r="K13" s="51" t="s">
        <v>232</v>
      </c>
      <c r="L13" s="57"/>
      <c r="N13"/>
      <c r="Y13" s="61"/>
      <c r="Z13" s="61"/>
      <c r="AA13" s="61"/>
      <c r="AB13" s="61"/>
      <c r="AC13" s="61"/>
      <c r="AD13" s="61"/>
      <c r="AP13" s="87" t="s">
        <v>235</v>
      </c>
      <c r="AQ13" s="51" t="s">
        <v>233</v>
      </c>
      <c r="AR13" s="51" t="s">
        <v>76</v>
      </c>
      <c r="AS13" s="51" t="s">
        <v>234</v>
      </c>
      <c r="AT13" s="51">
        <v>43.5</v>
      </c>
      <c r="AU13" s="51" t="s">
        <v>49</v>
      </c>
      <c r="AV13" s="51"/>
      <c r="AW13" s="57"/>
      <c r="AY13"/>
      <c r="BJ13" s="61"/>
      <c r="BK13" s="61"/>
      <c r="BL13" s="61"/>
      <c r="BM13" s="61"/>
      <c r="BN13" s="61"/>
      <c r="BO13" s="61"/>
      <c r="CB13" s="87" t="s">
        <v>273</v>
      </c>
      <c r="CC13" s="51" t="s">
        <v>233</v>
      </c>
      <c r="CD13" s="51" t="s">
        <v>76</v>
      </c>
      <c r="CE13" s="51" t="s">
        <v>274</v>
      </c>
      <c r="CF13" s="51">
        <v>43.5</v>
      </c>
      <c r="CG13" s="51" t="s">
        <v>49</v>
      </c>
      <c r="CH13" s="51"/>
      <c r="CI13" s="57"/>
      <c r="CK13"/>
      <c r="CV13" s="61"/>
      <c r="CW13" s="61"/>
      <c r="CX13" s="61"/>
      <c r="CY13" s="61"/>
      <c r="CZ13" s="61"/>
      <c r="DA13" s="61"/>
      <c r="DN13" s="128" t="s">
        <v>73</v>
      </c>
      <c r="DO13" t="s">
        <v>122</v>
      </c>
      <c r="DP13" t="s">
        <v>123</v>
      </c>
      <c r="DQ13" t="s">
        <v>200</v>
      </c>
      <c r="DR13" t="s">
        <v>209</v>
      </c>
      <c r="DS13" t="s">
        <v>210</v>
      </c>
      <c r="DT13" t="s">
        <v>217</v>
      </c>
      <c r="DU13" t="s">
        <v>218</v>
      </c>
      <c r="DV13" t="s">
        <v>19</v>
      </c>
      <c r="DX13" s="51" t="s">
        <v>127</v>
      </c>
      <c r="DY13" s="51">
        <v>3.6</v>
      </c>
      <c r="DZ13">
        <v>120</v>
      </c>
      <c r="EA13">
        <v>237804</v>
      </c>
      <c r="EB13" s="51">
        <v>20595330</v>
      </c>
      <c r="EC13" s="51">
        <v>20595330</v>
      </c>
      <c r="ED13" s="51">
        <v>2.2000000000000002</v>
      </c>
      <c r="EE13">
        <v>2.2000000000000002</v>
      </c>
      <c r="EF13" t="s">
        <v>138</v>
      </c>
    </row>
    <row r="14" spans="5:136" ht="18" customHeight="1" x14ac:dyDescent="0.3">
      <c r="E14" s="57"/>
      <c r="F14"/>
      <c r="G14"/>
      <c r="H14"/>
      <c r="I14"/>
      <c r="J14"/>
      <c r="K14"/>
      <c r="L14" s="57"/>
      <c r="N14"/>
      <c r="AP14" s="57"/>
      <c r="AQ14"/>
      <c r="AR14"/>
      <c r="AS14"/>
      <c r="AT14"/>
      <c r="AU14"/>
      <c r="AV14"/>
      <c r="AW14" s="57"/>
      <c r="AY14"/>
      <c r="CB14" s="57"/>
      <c r="CC14"/>
      <c r="CD14"/>
      <c r="CE14"/>
      <c r="CF14"/>
      <c r="CG14"/>
      <c r="CH14"/>
      <c r="CI14" s="57"/>
      <c r="CK14"/>
      <c r="DN14" s="140" t="s">
        <v>270</v>
      </c>
      <c r="DO14" s="53">
        <v>10</v>
      </c>
      <c r="DP14" s="53">
        <v>200</v>
      </c>
      <c r="DQ14" s="53">
        <v>300000</v>
      </c>
      <c r="DR14" s="53">
        <v>20000000</v>
      </c>
      <c r="DS14" s="53">
        <v>20000000</v>
      </c>
      <c r="DT14" s="53">
        <v>2</v>
      </c>
      <c r="DU14" s="53">
        <v>3</v>
      </c>
      <c r="DV14" s="53" t="s">
        <v>271</v>
      </c>
      <c r="DX14" s="51" t="s">
        <v>128</v>
      </c>
      <c r="DY14" s="51">
        <v>5</v>
      </c>
      <c r="DZ14">
        <v>122</v>
      </c>
      <c r="EA14">
        <v>427397</v>
      </c>
      <c r="EB14" s="51">
        <v>37230240</v>
      </c>
      <c r="EC14" s="51">
        <v>37230240</v>
      </c>
      <c r="ED14" s="51">
        <v>3.2</v>
      </c>
      <c r="EE14">
        <v>3.2</v>
      </c>
      <c r="EF14" t="s">
        <v>138</v>
      </c>
    </row>
    <row r="15" spans="5:136" ht="18" customHeight="1" x14ac:dyDescent="0.3">
      <c r="K15"/>
      <c r="L15" s="57"/>
      <c r="N15"/>
      <c r="Y15" s="59" t="s">
        <v>70</v>
      </c>
      <c r="AV15"/>
      <c r="AW15" s="57"/>
      <c r="AY15"/>
      <c r="BJ15" s="59" t="s">
        <v>70</v>
      </c>
      <c r="CH15"/>
      <c r="CI15" s="57"/>
      <c r="CK15"/>
      <c r="CV15" s="59" t="s">
        <v>70</v>
      </c>
      <c r="DN15" s="140" t="s">
        <v>127</v>
      </c>
      <c r="DO15" s="53">
        <v>3.6</v>
      </c>
      <c r="DP15" s="53">
        <v>120</v>
      </c>
      <c r="DQ15" s="53">
        <v>237804</v>
      </c>
      <c r="DR15" s="53">
        <v>20595330</v>
      </c>
      <c r="DS15" s="53">
        <v>20595330</v>
      </c>
      <c r="DT15" s="53">
        <v>2.2000000000000002</v>
      </c>
      <c r="DU15" s="53">
        <v>2.2000000000000002</v>
      </c>
      <c r="DV15" s="53" t="s">
        <v>138</v>
      </c>
      <c r="DX15" s="51" t="s">
        <v>129</v>
      </c>
      <c r="DY15" s="51">
        <v>4</v>
      </c>
      <c r="DZ15">
        <v>130</v>
      </c>
      <c r="EA15">
        <v>239664</v>
      </c>
      <c r="EB15" s="51">
        <v>23265890</v>
      </c>
      <c r="EC15" s="51">
        <v>23265890</v>
      </c>
      <c r="ED15" s="51">
        <v>2.2000000000000002</v>
      </c>
      <c r="EE15">
        <v>2.2000000000000002</v>
      </c>
      <c r="EF15" t="s">
        <v>138</v>
      </c>
    </row>
    <row r="16" spans="5:136" ht="18" customHeight="1" x14ac:dyDescent="0.4">
      <c r="E16" s="106" t="s">
        <v>262</v>
      </c>
      <c r="F16"/>
      <c r="G16"/>
      <c r="H16"/>
      <c r="I16"/>
      <c r="J16"/>
      <c r="K16"/>
      <c r="L16" s="57"/>
      <c r="N16"/>
      <c r="AP16" s="106" t="s">
        <v>262</v>
      </c>
      <c r="AQ16"/>
      <c r="AR16"/>
      <c r="AS16"/>
      <c r="AT16"/>
      <c r="AU16"/>
      <c r="AV16"/>
      <c r="AW16" s="57"/>
      <c r="AY16"/>
      <c r="CB16" s="106" t="s">
        <v>262</v>
      </c>
      <c r="CC16"/>
      <c r="CD16"/>
      <c r="CE16"/>
      <c r="CF16"/>
      <c r="CG16"/>
      <c r="CH16"/>
      <c r="CI16" s="57"/>
      <c r="CK16"/>
      <c r="DN16" s="140" t="s">
        <v>128</v>
      </c>
      <c r="DO16" s="53">
        <v>5</v>
      </c>
      <c r="DP16" s="53">
        <v>122</v>
      </c>
      <c r="DQ16" s="53">
        <v>427397</v>
      </c>
      <c r="DR16" s="53">
        <v>37230240</v>
      </c>
      <c r="DS16" s="53">
        <v>37230240</v>
      </c>
      <c r="DT16" s="53">
        <v>3.2</v>
      </c>
      <c r="DU16" s="53">
        <v>3.2</v>
      </c>
      <c r="DV16" s="53" t="s">
        <v>138</v>
      </c>
      <c r="DX16" s="51" t="s">
        <v>130</v>
      </c>
      <c r="DY16" s="51">
        <v>6</v>
      </c>
      <c r="DZ16">
        <v>142</v>
      </c>
      <c r="EA16">
        <v>312142</v>
      </c>
      <c r="EB16" s="51">
        <v>59416040</v>
      </c>
      <c r="EC16" s="51">
        <v>59416040</v>
      </c>
      <c r="ED16" s="51">
        <v>2.85</v>
      </c>
      <c r="EE16">
        <v>2.85</v>
      </c>
      <c r="EF16" t="s">
        <v>138</v>
      </c>
    </row>
    <row r="17" spans="1:136" ht="18" customHeight="1" thickBot="1" x14ac:dyDescent="0.35">
      <c r="E17" s="87" t="s">
        <v>73</v>
      </c>
      <c r="F17" s="51" t="s">
        <v>74</v>
      </c>
      <c r="G17" s="51" t="s">
        <v>72</v>
      </c>
      <c r="H17" s="51" t="s">
        <v>75</v>
      </c>
      <c r="I17" s="51" t="s">
        <v>117</v>
      </c>
      <c r="J17" s="51" t="s">
        <v>113</v>
      </c>
      <c r="K17" s="51" t="s">
        <v>118</v>
      </c>
      <c r="L17" s="57"/>
      <c r="N17"/>
      <c r="Y17" t="s">
        <v>1</v>
      </c>
      <c r="Z17" t="s">
        <v>90</v>
      </c>
      <c r="AA17" t="s">
        <v>89</v>
      </c>
      <c r="AB17" t="s">
        <v>78</v>
      </c>
      <c r="AC17" t="s">
        <v>79</v>
      </c>
      <c r="AD17" t="s">
        <v>80</v>
      </c>
      <c r="AF17" s="62" t="s">
        <v>241</v>
      </c>
      <c r="AG17" t="s">
        <v>90</v>
      </c>
      <c r="AH17" t="s">
        <v>89</v>
      </c>
      <c r="AI17" t="s">
        <v>86</v>
      </c>
      <c r="AJ17" t="s">
        <v>221</v>
      </c>
      <c r="AK17" t="s">
        <v>222</v>
      </c>
      <c r="AL17" t="s">
        <v>223</v>
      </c>
      <c r="AM17" t="s">
        <v>225</v>
      </c>
      <c r="AN17" t="s">
        <v>224</v>
      </c>
      <c r="AP17" s="87" t="s">
        <v>73</v>
      </c>
      <c r="AQ17" s="51" t="s">
        <v>74</v>
      </c>
      <c r="AR17" s="51" t="s">
        <v>72</v>
      </c>
      <c r="AS17" s="51" t="s">
        <v>75</v>
      </c>
      <c r="AT17" s="51" t="s">
        <v>117</v>
      </c>
      <c r="AU17" s="51" t="s">
        <v>113</v>
      </c>
      <c r="AV17" s="51" t="s">
        <v>118</v>
      </c>
      <c r="AW17" s="57"/>
      <c r="AY17"/>
      <c r="BJ17" t="s">
        <v>1</v>
      </c>
      <c r="BK17" t="s">
        <v>90</v>
      </c>
      <c r="BL17" t="s">
        <v>89</v>
      </c>
      <c r="BM17" t="s">
        <v>78</v>
      </c>
      <c r="BN17" t="s">
        <v>79</v>
      </c>
      <c r="BO17" t="s">
        <v>80</v>
      </c>
      <c r="BQ17" s="62" t="s">
        <v>241</v>
      </c>
      <c r="BR17" t="s">
        <v>90</v>
      </c>
      <c r="BS17" t="s">
        <v>89</v>
      </c>
      <c r="BT17" t="s">
        <v>86</v>
      </c>
      <c r="BU17" t="s">
        <v>221</v>
      </c>
      <c r="BV17" t="s">
        <v>222</v>
      </c>
      <c r="BW17" t="s">
        <v>223</v>
      </c>
      <c r="BX17" t="s">
        <v>225</v>
      </c>
      <c r="BY17" t="s">
        <v>224</v>
      </c>
      <c r="CB17" s="87" t="s">
        <v>73</v>
      </c>
      <c r="CC17" s="51" t="s">
        <v>74</v>
      </c>
      <c r="CD17" s="51" t="s">
        <v>72</v>
      </c>
      <c r="CE17" s="51" t="s">
        <v>75</v>
      </c>
      <c r="CF17" s="51" t="s">
        <v>117</v>
      </c>
      <c r="CG17" s="51" t="s">
        <v>113</v>
      </c>
      <c r="CH17" s="51" t="s">
        <v>118</v>
      </c>
      <c r="CI17" s="57"/>
      <c r="CK17"/>
      <c r="CV17" t="s">
        <v>1</v>
      </c>
      <c r="CW17" t="s">
        <v>90</v>
      </c>
      <c r="CX17" t="s">
        <v>89</v>
      </c>
      <c r="CY17" t="s">
        <v>78</v>
      </c>
      <c r="CZ17" t="s">
        <v>79</v>
      </c>
      <c r="DA17" t="s">
        <v>80</v>
      </c>
      <c r="DC17" s="62" t="s">
        <v>241</v>
      </c>
      <c r="DD17" t="s">
        <v>90</v>
      </c>
      <c r="DE17" t="s">
        <v>89</v>
      </c>
      <c r="DF17" t="s">
        <v>86</v>
      </c>
      <c r="DG17" t="s">
        <v>221</v>
      </c>
      <c r="DH17" t="s">
        <v>222</v>
      </c>
      <c r="DI17" t="s">
        <v>223</v>
      </c>
      <c r="DJ17" t="s">
        <v>225</v>
      </c>
      <c r="DK17" t="s">
        <v>224</v>
      </c>
      <c r="DN17" s="140" t="s">
        <v>129</v>
      </c>
      <c r="DO17" s="53">
        <v>4</v>
      </c>
      <c r="DP17" s="53">
        <v>130</v>
      </c>
      <c r="DQ17" s="53">
        <v>239664</v>
      </c>
      <c r="DR17" s="53">
        <v>23265890</v>
      </c>
      <c r="DS17" s="53">
        <v>23265890</v>
      </c>
      <c r="DT17" s="53">
        <v>2.2000000000000002</v>
      </c>
      <c r="DU17" s="53">
        <v>2.2000000000000002</v>
      </c>
      <c r="DV17" s="53" t="s">
        <v>138</v>
      </c>
      <c r="DX17" s="51" t="s">
        <v>131</v>
      </c>
      <c r="DY17" s="51">
        <v>8</v>
      </c>
      <c r="DZ17">
        <v>164</v>
      </c>
      <c r="EA17">
        <v>450972</v>
      </c>
      <c r="EB17" s="51">
        <v>72350120</v>
      </c>
      <c r="EC17" s="51">
        <v>72350120</v>
      </c>
      <c r="ED17" s="51">
        <v>2.29</v>
      </c>
      <c r="EE17">
        <v>2.29</v>
      </c>
      <c r="EF17" t="s">
        <v>138</v>
      </c>
    </row>
    <row r="18" spans="1:136" ht="18" customHeight="1" x14ac:dyDescent="0.3">
      <c r="A18" s="88"/>
      <c r="B18" s="89"/>
      <c r="C18" s="88"/>
      <c r="D18" s="89"/>
      <c r="E18" s="90"/>
      <c r="F18" s="61"/>
      <c r="G18" s="61"/>
      <c r="H18" s="61"/>
      <c r="I18" s="61"/>
      <c r="J18" s="61"/>
      <c r="K18" s="61"/>
      <c r="L18" s="57"/>
      <c r="N18"/>
      <c r="Y18">
        <v>1</v>
      </c>
      <c r="Z18">
        <v>5.6</v>
      </c>
      <c r="AA18">
        <v>1.6</v>
      </c>
      <c r="AB18">
        <v>7.5</v>
      </c>
      <c r="AC18">
        <v>7.5</v>
      </c>
      <c r="AD18">
        <v>108</v>
      </c>
      <c r="AF18" t="s">
        <v>283</v>
      </c>
      <c r="AG18">
        <v>5.6</v>
      </c>
      <c r="AH18">
        <v>5.6</v>
      </c>
      <c r="AI18">
        <v>60000</v>
      </c>
      <c r="AP18" s="90"/>
      <c r="AQ18" s="61"/>
      <c r="AR18" s="61"/>
      <c r="AS18" s="61"/>
      <c r="AT18" s="61"/>
      <c r="AU18" s="61"/>
      <c r="AV18" s="61"/>
      <c r="AW18" s="57"/>
      <c r="AY18"/>
      <c r="BJ18">
        <v>1</v>
      </c>
      <c r="BK18">
        <v>20.9</v>
      </c>
      <c r="BL18">
        <v>17.5</v>
      </c>
      <c r="BM18">
        <v>7.5</v>
      </c>
      <c r="BN18">
        <v>7.5</v>
      </c>
      <c r="BO18">
        <v>86</v>
      </c>
      <c r="BQ18" t="s">
        <v>284</v>
      </c>
      <c r="BR18">
        <v>20.100000000000001</v>
      </c>
      <c r="BS18">
        <v>20.100000000000001</v>
      </c>
      <c r="BT18">
        <v>20000</v>
      </c>
      <c r="CB18" s="90"/>
      <c r="CC18" s="61"/>
      <c r="CD18" s="61"/>
      <c r="CE18" s="61"/>
      <c r="CF18" s="61"/>
      <c r="CG18" s="61"/>
      <c r="CH18" s="61"/>
      <c r="CI18" s="57"/>
      <c r="CK18"/>
      <c r="CV18">
        <v>1</v>
      </c>
      <c r="CW18">
        <v>140.49999999999997</v>
      </c>
      <c r="CX18">
        <v>140.32499999999996</v>
      </c>
      <c r="CY18">
        <v>5.6159999999999997</v>
      </c>
      <c r="CZ18">
        <v>5.6159999999999997</v>
      </c>
      <c r="DA18">
        <v>42</v>
      </c>
      <c r="DC18" t="s">
        <v>269</v>
      </c>
      <c r="DD18">
        <v>140.49999999999997</v>
      </c>
      <c r="DE18">
        <v>140.49999999999997</v>
      </c>
      <c r="DF18">
        <v>6154</v>
      </c>
      <c r="DN18" s="140" t="s">
        <v>130</v>
      </c>
      <c r="DO18" s="53">
        <v>6</v>
      </c>
      <c r="DP18" s="53">
        <v>142</v>
      </c>
      <c r="DQ18" s="53">
        <v>312142</v>
      </c>
      <c r="DR18" s="53">
        <v>59416040</v>
      </c>
      <c r="DS18" s="53">
        <v>59416040</v>
      </c>
      <c r="DT18" s="53">
        <v>2.85</v>
      </c>
      <c r="DU18" s="53">
        <v>2.85</v>
      </c>
      <c r="DV18" s="53" t="s">
        <v>138</v>
      </c>
      <c r="DX18" t="s">
        <v>132</v>
      </c>
      <c r="DY18">
        <v>9.5</v>
      </c>
      <c r="DZ18">
        <v>174</v>
      </c>
      <c r="EA18">
        <v>484588</v>
      </c>
      <c r="EB18">
        <v>83636270</v>
      </c>
      <c r="EC18">
        <v>83636270</v>
      </c>
      <c r="ED18">
        <v>3.5</v>
      </c>
      <c r="EE18">
        <v>3.5</v>
      </c>
      <c r="EF18" t="s">
        <v>138</v>
      </c>
    </row>
    <row r="19" spans="1:136" ht="18" customHeight="1" x14ac:dyDescent="0.3">
      <c r="C19" s="72"/>
      <c r="K19"/>
      <c r="L19" s="57"/>
      <c r="N19"/>
      <c r="Y19">
        <v>2</v>
      </c>
      <c r="Z19">
        <v>1.6</v>
      </c>
      <c r="AA19">
        <v>-2.2999999999999998</v>
      </c>
      <c r="AB19">
        <v>7.5</v>
      </c>
      <c r="AC19">
        <v>7.5</v>
      </c>
      <c r="AD19">
        <v>100</v>
      </c>
      <c r="AF19" t="s">
        <v>87</v>
      </c>
      <c r="AG19">
        <v>4.2</v>
      </c>
      <c r="AH19">
        <v>4.2</v>
      </c>
      <c r="AI19">
        <v>9000</v>
      </c>
      <c r="AV19"/>
      <c r="AW19" s="57"/>
      <c r="AY19"/>
      <c r="BJ19">
        <v>2</v>
      </c>
      <c r="BK19">
        <v>17.5</v>
      </c>
      <c r="BL19">
        <v>13.5</v>
      </c>
      <c r="BM19">
        <v>7.5</v>
      </c>
      <c r="BN19">
        <v>7.5</v>
      </c>
      <c r="BO19">
        <v>86</v>
      </c>
      <c r="BQ19" t="s">
        <v>285</v>
      </c>
      <c r="BR19">
        <v>19.5</v>
      </c>
      <c r="BS19">
        <v>19.5</v>
      </c>
      <c r="BT19">
        <v>5000</v>
      </c>
      <c r="CH19"/>
      <c r="CI19" s="57"/>
      <c r="CK19"/>
      <c r="CV19" s="61">
        <v>2</v>
      </c>
      <c r="CW19" s="63">
        <v>140.32499999999996</v>
      </c>
      <c r="CX19" s="63">
        <v>140.27499999999998</v>
      </c>
      <c r="CY19" s="61">
        <v>5.6159999999999997</v>
      </c>
      <c r="CZ19" s="61">
        <v>5.609</v>
      </c>
      <c r="DA19" s="61">
        <v>42</v>
      </c>
      <c r="DC19" t="s">
        <v>269</v>
      </c>
      <c r="DD19">
        <v>140.32499999999996</v>
      </c>
      <c r="DE19">
        <v>140.32499999999996</v>
      </c>
      <c r="DF19">
        <v>5</v>
      </c>
      <c r="DN19" s="140" t="s">
        <v>131</v>
      </c>
      <c r="DO19" s="53">
        <v>8</v>
      </c>
      <c r="DP19" s="53">
        <v>164</v>
      </c>
      <c r="DQ19" s="53">
        <v>450972</v>
      </c>
      <c r="DR19" s="53">
        <v>72350120</v>
      </c>
      <c r="DS19" s="53">
        <v>72350120</v>
      </c>
      <c r="DT19" s="53">
        <v>2.29</v>
      </c>
      <c r="DU19" s="53">
        <v>2.29</v>
      </c>
      <c r="DV19" s="53" t="s">
        <v>138</v>
      </c>
      <c r="DX19" t="s">
        <v>133</v>
      </c>
      <c r="DY19">
        <v>10</v>
      </c>
      <c r="DZ19">
        <v>180</v>
      </c>
      <c r="EA19">
        <v>673916</v>
      </c>
      <c r="EB19">
        <v>102240300</v>
      </c>
      <c r="EC19">
        <v>102240300</v>
      </c>
      <c r="ED19">
        <v>3.5</v>
      </c>
      <c r="EE19">
        <v>3.5</v>
      </c>
      <c r="EF19" t="s">
        <v>138</v>
      </c>
    </row>
    <row r="20" spans="1:136" ht="18" customHeight="1" x14ac:dyDescent="0.3">
      <c r="C20" s="72"/>
      <c r="K20"/>
      <c r="L20" s="57"/>
      <c r="N20"/>
      <c r="Y20">
        <v>3</v>
      </c>
      <c r="Z20">
        <v>-2.2999999999999998</v>
      </c>
      <c r="AA20">
        <v>-6.2</v>
      </c>
      <c r="AB20">
        <v>7.5</v>
      </c>
      <c r="AC20">
        <v>7.5</v>
      </c>
      <c r="AD20">
        <v>98</v>
      </c>
      <c r="AF20" s="61" t="s">
        <v>88</v>
      </c>
      <c r="AG20" s="61">
        <v>2</v>
      </c>
      <c r="AH20" s="61">
        <v>2</v>
      </c>
      <c r="AI20" s="61">
        <v>80000</v>
      </c>
      <c r="AV20"/>
      <c r="AW20" s="57"/>
      <c r="AY20"/>
      <c r="BJ20">
        <v>3</v>
      </c>
      <c r="BK20">
        <v>13.5</v>
      </c>
      <c r="BL20">
        <v>9.5</v>
      </c>
      <c r="BM20">
        <v>7.5</v>
      </c>
      <c r="BN20">
        <v>7.5</v>
      </c>
      <c r="BO20">
        <v>93</v>
      </c>
      <c r="BQ20" s="61" t="s">
        <v>286</v>
      </c>
      <c r="BR20" s="61">
        <v>14</v>
      </c>
      <c r="BS20" s="61">
        <v>14</v>
      </c>
      <c r="BT20" s="61">
        <v>5000</v>
      </c>
      <c r="CH20"/>
      <c r="CI20" s="57"/>
      <c r="CK20"/>
      <c r="CV20" s="61">
        <v>3</v>
      </c>
      <c r="CW20" s="63">
        <v>140.27499999999998</v>
      </c>
      <c r="CX20" s="63">
        <v>138.62499999999997</v>
      </c>
      <c r="CY20" s="61">
        <v>5.609</v>
      </c>
      <c r="CZ20" s="61">
        <v>5.9039999999999999</v>
      </c>
      <c r="DA20" s="61">
        <v>35</v>
      </c>
      <c r="DC20" s="61" t="s">
        <v>269</v>
      </c>
      <c r="DD20" s="61">
        <v>140.27499999999998</v>
      </c>
      <c r="DE20" s="61">
        <v>140.27499999999998</v>
      </c>
      <c r="DF20" s="61">
        <v>2</v>
      </c>
      <c r="DN20" s="128" t="s">
        <v>132</v>
      </c>
      <c r="DO20" s="51">
        <v>9.5</v>
      </c>
      <c r="DP20" s="51">
        <v>174</v>
      </c>
      <c r="DQ20" s="51">
        <v>484588</v>
      </c>
      <c r="DR20" s="51">
        <v>83636270</v>
      </c>
      <c r="DS20" s="51">
        <v>83636270</v>
      </c>
      <c r="DT20" s="51">
        <v>3.5</v>
      </c>
      <c r="DU20" s="51">
        <v>3.5</v>
      </c>
      <c r="DV20" s="51" t="s">
        <v>138</v>
      </c>
      <c r="DX20" t="s">
        <v>110</v>
      </c>
      <c r="DY20">
        <v>13</v>
      </c>
      <c r="DZ20">
        <v>210</v>
      </c>
      <c r="EA20">
        <v>777534</v>
      </c>
      <c r="EB20">
        <v>197394400</v>
      </c>
      <c r="EC20">
        <v>197394400</v>
      </c>
      <c r="ED20">
        <v>3.4</v>
      </c>
      <c r="EE20">
        <v>3.4</v>
      </c>
      <c r="EF20" t="s">
        <v>138</v>
      </c>
    </row>
    <row r="21" spans="1:136" ht="18" customHeight="1" thickBot="1" x14ac:dyDescent="0.45">
      <c r="A21" s="103"/>
      <c r="B21" s="104"/>
      <c r="C21" s="103"/>
      <c r="D21" s="104"/>
      <c r="E21" s="106" t="s">
        <v>263</v>
      </c>
      <c r="F21"/>
      <c r="G21"/>
      <c r="H21" s="77"/>
      <c r="I21"/>
      <c r="J21"/>
      <c r="K21"/>
      <c r="L21" s="57"/>
      <c r="N21"/>
      <c r="Y21">
        <v>4</v>
      </c>
      <c r="Z21">
        <v>-6.2</v>
      </c>
      <c r="AA21">
        <v>-10.1</v>
      </c>
      <c r="AB21">
        <v>7.5</v>
      </c>
      <c r="AC21">
        <v>7.8282999999999996</v>
      </c>
      <c r="AD21">
        <v>98</v>
      </c>
      <c r="AP21" s="106" t="s">
        <v>263</v>
      </c>
      <c r="AQ21"/>
      <c r="AR21"/>
      <c r="AS21" s="77"/>
      <c r="AT21"/>
      <c r="AU21"/>
      <c r="AV21"/>
      <c r="AW21" s="57"/>
      <c r="AY21"/>
      <c r="BJ21">
        <v>4</v>
      </c>
      <c r="BK21">
        <v>9.5</v>
      </c>
      <c r="BL21">
        <v>5.6</v>
      </c>
      <c r="BM21">
        <v>7.5</v>
      </c>
      <c r="BN21">
        <v>7.5</v>
      </c>
      <c r="BO21">
        <v>100</v>
      </c>
      <c r="BQ21" s="61" t="s">
        <v>287</v>
      </c>
      <c r="BR21" s="61">
        <v>11</v>
      </c>
      <c r="BS21" s="61">
        <v>11</v>
      </c>
      <c r="BT21" s="61">
        <v>1</v>
      </c>
      <c r="CB21" s="106" t="s">
        <v>263</v>
      </c>
      <c r="CC21"/>
      <c r="CD21"/>
      <c r="CE21" s="77"/>
      <c r="CF21"/>
      <c r="CG21"/>
      <c r="CH21"/>
      <c r="CI21" s="57"/>
      <c r="CK21"/>
      <c r="CV21" s="61">
        <v>4</v>
      </c>
      <c r="CW21" s="63">
        <v>138.62499999999997</v>
      </c>
      <c r="CX21" s="63">
        <v>136.97499999999997</v>
      </c>
      <c r="CY21" s="61">
        <v>5.9039999999999999</v>
      </c>
      <c r="CZ21" s="61">
        <v>6.258</v>
      </c>
      <c r="DA21" s="61">
        <v>40</v>
      </c>
      <c r="DC21" s="61" t="s">
        <v>269</v>
      </c>
      <c r="DD21" s="61">
        <v>138.23499999999999</v>
      </c>
      <c r="DE21" s="61">
        <v>138.23499999999999</v>
      </c>
      <c r="DF21" s="61">
        <v>1981</v>
      </c>
      <c r="DN21" s="128" t="s">
        <v>133</v>
      </c>
      <c r="DO21" s="51">
        <v>10</v>
      </c>
      <c r="DP21" s="51">
        <v>180</v>
      </c>
      <c r="DQ21" s="51">
        <v>673916</v>
      </c>
      <c r="DR21" s="51">
        <v>102240300</v>
      </c>
      <c r="DS21" s="51">
        <v>102240300</v>
      </c>
      <c r="DT21" s="51">
        <v>3.5</v>
      </c>
      <c r="DU21" s="51">
        <v>3.5</v>
      </c>
      <c r="DV21" s="51" t="s">
        <v>138</v>
      </c>
      <c r="DX21" t="s">
        <v>134</v>
      </c>
      <c r="DY21">
        <v>12</v>
      </c>
      <c r="DZ21">
        <v>220</v>
      </c>
      <c r="EA21">
        <v>775567</v>
      </c>
      <c r="EB21">
        <v>198819700</v>
      </c>
      <c r="EC21">
        <v>198819700</v>
      </c>
      <c r="ED21">
        <v>3.4</v>
      </c>
      <c r="EE21">
        <v>3.4</v>
      </c>
      <c r="EF21" t="s">
        <v>138</v>
      </c>
    </row>
    <row r="22" spans="1:136" ht="18" customHeight="1" x14ac:dyDescent="0.3">
      <c r="A22" s="105" t="b">
        <v>1</v>
      </c>
      <c r="B22" s="105" t="b">
        <v>0</v>
      </c>
      <c r="C22" s="105" t="b">
        <v>1</v>
      </c>
      <c r="D22" s="105" t="b">
        <v>1</v>
      </c>
      <c r="E22" s="64"/>
      <c r="F22" s="113" t="s">
        <v>257</v>
      </c>
      <c r="G22"/>
      <c r="H22"/>
      <c r="I22"/>
      <c r="J22"/>
      <c r="K22"/>
      <c r="L22" s="57"/>
      <c r="N22"/>
      <c r="O22" t="str">
        <f>IFERROR((MP_DATA[[#This Row],[D, bottom '[m']]]+#REF!)/(2*#REF!/1000),"")</f>
        <v/>
      </c>
      <c r="Y22">
        <v>5</v>
      </c>
      <c r="Z22">
        <v>-10.1</v>
      </c>
      <c r="AA22">
        <v>-14</v>
      </c>
      <c r="AB22">
        <v>7.8282999999999996</v>
      </c>
      <c r="AC22">
        <v>8.1565999999999992</v>
      </c>
      <c r="AD22">
        <v>104</v>
      </c>
      <c r="AP22" s="64"/>
      <c r="AQ22" s="113" t="s">
        <v>257</v>
      </c>
      <c r="AR22"/>
      <c r="AS22"/>
      <c r="AT22"/>
      <c r="AU22"/>
      <c r="AV22"/>
      <c r="AW22" s="57"/>
      <c r="AY22"/>
      <c r="AZ22" t="str">
        <f>IFERROR((TP_DATA[[#This Row],[D, bottom '[m']]]+#REF!)/(2*#REF!/1000),"")</f>
        <v/>
      </c>
      <c r="BJ22" s="61"/>
      <c r="BK22" s="63"/>
      <c r="BL22" s="63"/>
      <c r="BM22" s="61"/>
      <c r="BN22" s="61"/>
      <c r="BO22" s="61"/>
      <c r="BQ22" s="61" t="s">
        <v>288</v>
      </c>
      <c r="BR22" s="61">
        <v>6.1</v>
      </c>
      <c r="BS22" s="61">
        <v>6.1</v>
      </c>
      <c r="BT22" s="61">
        <v>200</v>
      </c>
      <c r="CB22" s="64"/>
      <c r="CC22" s="113" t="s">
        <v>257</v>
      </c>
      <c r="CD22"/>
      <c r="CE22"/>
      <c r="CF22"/>
      <c r="CG22"/>
      <c r="CH22"/>
      <c r="CI22" s="57"/>
      <c r="CK22"/>
      <c r="CL22" t="str">
        <f>IFERROR((TOWER_DATA[[#This Row],[D, bottom '[m']]]+#REF!)/(2*#REF!/1000),"")</f>
        <v/>
      </c>
      <c r="CV22" s="61">
        <v>5</v>
      </c>
      <c r="CW22" s="63">
        <v>136.97499999999997</v>
      </c>
      <c r="CX22" s="63">
        <v>136.38899999999998</v>
      </c>
      <c r="CY22" s="61">
        <v>6.258</v>
      </c>
      <c r="CZ22" s="61">
        <v>6.258</v>
      </c>
      <c r="DA22" s="61">
        <v>58</v>
      </c>
      <c r="DC22" s="61" t="s">
        <v>269</v>
      </c>
      <c r="DD22" s="61">
        <v>136.58499999999998</v>
      </c>
      <c r="DE22" s="61">
        <v>136.58499999999998</v>
      </c>
      <c r="DF22" s="61">
        <v>82</v>
      </c>
      <c r="DN22" s="128" t="s">
        <v>110</v>
      </c>
      <c r="DO22" s="51">
        <v>13</v>
      </c>
      <c r="DP22" s="51">
        <v>210</v>
      </c>
      <c r="DQ22" s="51">
        <v>777534</v>
      </c>
      <c r="DR22" s="51">
        <v>197394400</v>
      </c>
      <c r="DS22" s="51">
        <v>197394400</v>
      </c>
      <c r="DT22" s="51">
        <v>3.4</v>
      </c>
      <c r="DU22" s="51">
        <v>3.4</v>
      </c>
      <c r="DV22" s="51" t="s">
        <v>138</v>
      </c>
      <c r="DX22" t="s">
        <v>135</v>
      </c>
      <c r="DY22">
        <v>15</v>
      </c>
      <c r="DZ22">
        <v>220</v>
      </c>
      <c r="EA22">
        <v>1166238</v>
      </c>
      <c r="EB22">
        <v>205031400</v>
      </c>
      <c r="EC22">
        <v>205031400</v>
      </c>
      <c r="ED22">
        <v>3.4</v>
      </c>
      <c r="EE22">
        <v>3.4</v>
      </c>
      <c r="EF22" t="s">
        <v>138</v>
      </c>
    </row>
    <row r="23" spans="1:136" ht="18" customHeight="1" thickBot="1" x14ac:dyDescent="0.35">
      <c r="B23" s="105"/>
      <c r="C23" s="105" t="b">
        <v>1</v>
      </c>
      <c r="D23" s="105"/>
      <c r="E23" s="67"/>
      <c r="F23" s="110"/>
      <c r="G23"/>
      <c r="H23"/>
      <c r="I23"/>
      <c r="J23"/>
      <c r="K23"/>
      <c r="L23" s="57"/>
      <c r="N23"/>
      <c r="O23" t="str">
        <f>IFERROR((MP_DATA[[#This Row],[D, bottom '[m']]]+#REF!)/(2*#REF!/1000),"")</f>
        <v/>
      </c>
      <c r="Y23">
        <v>6</v>
      </c>
      <c r="Z23">
        <v>-14</v>
      </c>
      <c r="AA23">
        <v>-17.899999999999999</v>
      </c>
      <c r="AB23">
        <v>8.1565999999999992</v>
      </c>
      <c r="AC23">
        <v>8.4847999999999999</v>
      </c>
      <c r="AD23">
        <v>98</v>
      </c>
      <c r="AP23" s="67"/>
      <c r="AQ23" s="110"/>
      <c r="AR23"/>
      <c r="AS23"/>
      <c r="AT23"/>
      <c r="AU23"/>
      <c r="AV23"/>
      <c r="AW23" s="57"/>
      <c r="AY23"/>
      <c r="AZ23" t="str">
        <f>IFERROR((TP_DATA[[#This Row],[D, bottom '[m']]]+#REF!)/(2*#REF!/1000),"")</f>
        <v/>
      </c>
      <c r="BJ23" s="61"/>
      <c r="BK23" s="63"/>
      <c r="BL23" s="63"/>
      <c r="BM23" s="61"/>
      <c r="BN23" s="61"/>
      <c r="BO23" s="61"/>
      <c r="BQ23" s="61" t="s">
        <v>283</v>
      </c>
      <c r="BR23" s="61">
        <v>5.6</v>
      </c>
      <c r="BS23" s="61">
        <v>5.6</v>
      </c>
      <c r="BT23" s="61">
        <v>60000</v>
      </c>
      <c r="CB23" s="67"/>
      <c r="CC23" s="110"/>
      <c r="CD23"/>
      <c r="CE23"/>
      <c r="CF23"/>
      <c r="CG23"/>
      <c r="CH23"/>
      <c r="CI23" s="57"/>
      <c r="CK23"/>
      <c r="CL23" t="str">
        <f>IFERROR((TOWER_DATA[[#This Row],[D, bottom '[m']]]+#REF!)/(2*#REF!/1000),"")</f>
        <v/>
      </c>
      <c r="CV23" s="61">
        <v>6</v>
      </c>
      <c r="CW23" s="63">
        <v>136.38899999999998</v>
      </c>
      <c r="CX23" s="63">
        <v>135.29999999999998</v>
      </c>
      <c r="CY23" s="61">
        <v>6.258</v>
      </c>
      <c r="CZ23" s="61">
        <v>6.258</v>
      </c>
      <c r="DA23" s="61">
        <v>58</v>
      </c>
      <c r="DC23" s="61" t="s">
        <v>269</v>
      </c>
      <c r="DD23" s="61">
        <v>135.999</v>
      </c>
      <c r="DE23" s="61">
        <v>135.999</v>
      </c>
      <c r="DF23" s="61">
        <v>88</v>
      </c>
      <c r="DN23" s="128" t="s">
        <v>134</v>
      </c>
      <c r="DO23" s="51">
        <v>12</v>
      </c>
      <c r="DP23" s="51">
        <v>220</v>
      </c>
      <c r="DQ23" s="51">
        <v>775567</v>
      </c>
      <c r="DR23" s="51">
        <v>198819700</v>
      </c>
      <c r="DS23" s="51">
        <v>198819700</v>
      </c>
      <c r="DT23" s="51">
        <v>3.4</v>
      </c>
      <c r="DU23" s="51">
        <v>3.4</v>
      </c>
      <c r="DV23" s="51" t="s">
        <v>138</v>
      </c>
      <c r="DX23" t="s">
        <v>136</v>
      </c>
      <c r="DZ23">
        <v>236</v>
      </c>
      <c r="EA23">
        <v>565481</v>
      </c>
      <c r="EB23">
        <v>241746700</v>
      </c>
      <c r="EC23">
        <v>241746700</v>
      </c>
      <c r="ED23">
        <v>3.5</v>
      </c>
      <c r="EE23">
        <v>3.5</v>
      </c>
      <c r="EF23" t="s">
        <v>138</v>
      </c>
    </row>
    <row r="24" spans="1:136" ht="18" customHeight="1" x14ac:dyDescent="0.3">
      <c r="K24"/>
      <c r="L24" s="57"/>
      <c r="N24"/>
      <c r="O24" t="str">
        <f>IFERROR((MP_DATA[[#This Row],[D, bottom '[m']]]+#REF!)/(2*#REF!/1000),"")</f>
        <v/>
      </c>
      <c r="Y24">
        <v>7</v>
      </c>
      <c r="Z24">
        <v>-17.899999999999999</v>
      </c>
      <c r="AA24">
        <v>-21.8</v>
      </c>
      <c r="AB24">
        <v>8.4847999999999999</v>
      </c>
      <c r="AC24">
        <v>8.8131000000000004</v>
      </c>
      <c r="AD24">
        <v>94</v>
      </c>
      <c r="AV24"/>
      <c r="AW24" s="57"/>
      <c r="AY24"/>
      <c r="AZ24" t="str">
        <f>IFERROR((TP_DATA[[#This Row],[D, bottom '[m']]]+#REF!)/(2*#REF!/1000),"")</f>
        <v/>
      </c>
      <c r="BJ24" s="61"/>
      <c r="BK24" s="63"/>
      <c r="BL24" s="63"/>
      <c r="BM24" s="61"/>
      <c r="BN24" s="61"/>
      <c r="BO24" s="61"/>
      <c r="BQ24" s="61" t="s">
        <v>289</v>
      </c>
      <c r="BR24" s="61">
        <v>20.900000000000002</v>
      </c>
      <c r="BS24" s="61">
        <v>20.900000000000002</v>
      </c>
      <c r="BT24" s="61">
        <v>28000</v>
      </c>
      <c r="CH24"/>
      <c r="CI24" s="57"/>
      <c r="CK24"/>
      <c r="CL24" t="str">
        <f>IFERROR((TOWER_DATA[[#This Row],[D, bottom '[m']]]+#REF!)/(2*#REF!/1000),"")</f>
        <v/>
      </c>
      <c r="CV24" s="61">
        <v>7</v>
      </c>
      <c r="CW24" s="63">
        <v>135.29999999999998</v>
      </c>
      <c r="CX24" s="63">
        <v>133.47499999999997</v>
      </c>
      <c r="CY24" s="61">
        <v>6.258</v>
      </c>
      <c r="CZ24" s="61">
        <v>6.2229999999999999</v>
      </c>
      <c r="DA24" s="61">
        <v>58</v>
      </c>
      <c r="DC24" s="61" t="s">
        <v>269</v>
      </c>
      <c r="DD24" s="61">
        <v>134.91</v>
      </c>
      <c r="DE24" s="61">
        <v>134.91</v>
      </c>
      <c r="DF24" s="61">
        <v>41600</v>
      </c>
      <c r="DN24" s="128" t="s">
        <v>135</v>
      </c>
      <c r="DO24" s="51">
        <v>15</v>
      </c>
      <c r="DP24" s="51">
        <v>220</v>
      </c>
      <c r="DQ24" s="51">
        <v>1166238</v>
      </c>
      <c r="DR24" s="51">
        <v>205031400</v>
      </c>
      <c r="DS24" s="51">
        <v>205031400</v>
      </c>
      <c r="DT24" s="51">
        <v>3.4</v>
      </c>
      <c r="DU24" s="51">
        <v>3.4</v>
      </c>
      <c r="DV24" s="51" t="s">
        <v>138</v>
      </c>
      <c r="DX24" t="s">
        <v>137</v>
      </c>
      <c r="DY24">
        <v>15</v>
      </c>
      <c r="DZ24">
        <v>240</v>
      </c>
      <c r="EA24">
        <v>1102065</v>
      </c>
      <c r="EB24">
        <v>276287200</v>
      </c>
      <c r="EC24">
        <v>276287200</v>
      </c>
      <c r="ED24">
        <v>3.4</v>
      </c>
      <c r="EE24">
        <v>3.4</v>
      </c>
      <c r="EF24" t="s">
        <v>138</v>
      </c>
    </row>
    <row r="25" spans="1:136" ht="18" customHeight="1" thickBot="1" x14ac:dyDescent="0.45">
      <c r="A25" s="126" t="s">
        <v>280</v>
      </c>
      <c r="E25" s="107" t="s">
        <v>264</v>
      </c>
      <c r="K25"/>
      <c r="L25" s="67"/>
      <c r="M25" s="68"/>
      <c r="N25" s="68"/>
      <c r="O25" s="68" t="str">
        <f>IFERROR((MP_DATA[[#This Row],[D, bottom '[m']]]+#REF!)/(2*#REF!/1000),"")</f>
        <v/>
      </c>
      <c r="P25" s="68"/>
      <c r="Q25" s="68"/>
      <c r="R25" s="68"/>
      <c r="S25" s="68"/>
      <c r="T25" s="68"/>
      <c r="U25" s="68"/>
      <c r="V25" s="68"/>
      <c r="W25" s="68"/>
      <c r="X25" s="69"/>
      <c r="Y25">
        <v>8</v>
      </c>
      <c r="Z25">
        <v>-21.8</v>
      </c>
      <c r="AA25">
        <v>-25.7</v>
      </c>
      <c r="AB25">
        <v>8.8131000000000004</v>
      </c>
      <c r="AC25">
        <v>9.1414000000000009</v>
      </c>
      <c r="AD25">
        <v>92</v>
      </c>
      <c r="AP25" s="107" t="s">
        <v>264</v>
      </c>
      <c r="AV25"/>
      <c r="AW25" s="67"/>
      <c r="AX25" s="68"/>
      <c r="AY25" s="68"/>
      <c r="AZ25" s="68" t="str">
        <f>IFERROR((TP_DATA[[#This Row],[D, bottom '[m']]]+#REF!)/(2*#REF!/1000),"")</f>
        <v/>
      </c>
      <c r="BA25" s="68"/>
      <c r="BB25" s="68"/>
      <c r="BC25" s="68"/>
      <c r="BD25" s="68"/>
      <c r="BE25" s="68"/>
      <c r="BF25" s="68"/>
      <c r="BG25" s="68"/>
      <c r="BH25" s="68"/>
      <c r="BI25" s="69"/>
      <c r="BQ25" s="61"/>
      <c r="BR25" s="61"/>
      <c r="BS25" s="61"/>
      <c r="BT25" s="61"/>
      <c r="BU25" s="61"/>
      <c r="BV25" s="61"/>
      <c r="BW25" s="61"/>
      <c r="BY25" s="61"/>
      <c r="CB25" s="107" t="s">
        <v>264</v>
      </c>
      <c r="CH25"/>
      <c r="CI25" s="67"/>
      <c r="CJ25" s="68"/>
      <c r="CK25" s="68"/>
      <c r="CL25" s="68" t="str">
        <f>IFERROR((TOWER_DATA[[#This Row],[D, bottom '[m']]]+#REF!)/(2*#REF!/1000),"")</f>
        <v/>
      </c>
      <c r="CM25" s="68"/>
      <c r="CN25" s="68"/>
      <c r="CO25" s="68"/>
      <c r="CP25" s="68"/>
      <c r="CQ25" s="68"/>
      <c r="CR25" s="68"/>
      <c r="CS25" s="68"/>
      <c r="CT25" s="68"/>
      <c r="CU25" s="69"/>
      <c r="CV25" s="61">
        <v>8</v>
      </c>
      <c r="CW25" s="63">
        <v>133.47499999999997</v>
      </c>
      <c r="CX25" s="63">
        <v>131.23999999999998</v>
      </c>
      <c r="CY25" s="61">
        <v>6.2229999999999999</v>
      </c>
      <c r="CZ25" s="61">
        <v>6.2229999999999999</v>
      </c>
      <c r="DA25" s="61">
        <v>23</v>
      </c>
      <c r="DC25" s="61" t="s">
        <v>269</v>
      </c>
      <c r="DD25" s="61">
        <v>133.08499999999998</v>
      </c>
      <c r="DE25" s="61">
        <v>133.08499999999998</v>
      </c>
      <c r="DF25" s="61">
        <v>88</v>
      </c>
      <c r="DN25" s="128" t="s">
        <v>136</v>
      </c>
      <c r="DO25" s="51"/>
      <c r="DP25" s="51">
        <v>236</v>
      </c>
      <c r="DQ25" s="51">
        <v>565481</v>
      </c>
      <c r="DR25" s="51">
        <v>241746700</v>
      </c>
      <c r="DS25" s="51">
        <v>241746700</v>
      </c>
      <c r="DT25" s="51">
        <v>3.5</v>
      </c>
      <c r="DU25" s="51">
        <v>3.5</v>
      </c>
      <c r="DV25" s="51" t="s">
        <v>138</v>
      </c>
      <c r="DX25" s="51" t="s">
        <v>231</v>
      </c>
      <c r="DY25" s="51" t="s">
        <v>138</v>
      </c>
      <c r="DZ25" t="s">
        <v>138</v>
      </c>
      <c r="EA25">
        <v>1394251</v>
      </c>
      <c r="EB25" s="51">
        <v>382420000</v>
      </c>
      <c r="EC25" s="51">
        <v>639730000</v>
      </c>
      <c r="ED25">
        <v>6.59</v>
      </c>
      <c r="EE25">
        <v>5.74</v>
      </c>
      <c r="EF25" t="s">
        <v>236</v>
      </c>
    </row>
    <row r="26" spans="1:136" ht="18" hidden="1" customHeight="1" outlineLevel="1" x14ac:dyDescent="0.3">
      <c r="E26" s="57" t="s">
        <v>73</v>
      </c>
      <c r="F26" t="s">
        <v>74</v>
      </c>
      <c r="G26" t="s">
        <v>72</v>
      </c>
      <c r="H26" t="s">
        <v>75</v>
      </c>
      <c r="I26" t="s">
        <v>117</v>
      </c>
      <c r="J26" t="s">
        <v>113</v>
      </c>
      <c r="K26" t="s">
        <v>118</v>
      </c>
      <c r="N26"/>
      <c r="O26" t="str">
        <f>IFERROR((MP_DATA[[#This Row],[D, bottom '[m']]]+#REF!)/(2*#REF!/1000),"")</f>
        <v/>
      </c>
      <c r="Y26" s="61">
        <v>9</v>
      </c>
      <c r="Z26" s="63">
        <v>-25.7</v>
      </c>
      <c r="AA26" s="63">
        <v>-29.6</v>
      </c>
      <c r="AB26" s="61">
        <v>9.1414000000000009</v>
      </c>
      <c r="AC26" s="61">
        <v>9.4696999999999996</v>
      </c>
      <c r="AD26" s="61">
        <v>90</v>
      </c>
      <c r="AP26" s="57" t="s">
        <v>73</v>
      </c>
      <c r="AQ26" t="s">
        <v>74</v>
      </c>
      <c r="AR26" t="s">
        <v>72</v>
      </c>
      <c r="AS26" t="s">
        <v>75</v>
      </c>
      <c r="AT26" t="s">
        <v>117</v>
      </c>
      <c r="AU26" t="s">
        <v>113</v>
      </c>
      <c r="AV26" t="s">
        <v>118</v>
      </c>
      <c r="AY26"/>
      <c r="AZ26" t="str">
        <f>IFERROR((TP_DATA[[#This Row],[D, bottom '[m']]]+#REF!)/(2*#REF!/1000),"")</f>
        <v/>
      </c>
      <c r="BJ26" s="61"/>
      <c r="BK26" s="63"/>
      <c r="BL26" s="63"/>
      <c r="BM26" s="61"/>
      <c r="BN26" s="61"/>
      <c r="BO26" s="61"/>
      <c r="BQ26" s="61"/>
      <c r="BR26" s="61"/>
      <c r="BS26" s="61"/>
      <c r="BT26" s="61"/>
      <c r="BU26" s="61"/>
      <c r="BV26" s="61"/>
      <c r="BW26" s="61"/>
      <c r="BY26" s="61"/>
      <c r="CB26" s="57" t="s">
        <v>73</v>
      </c>
      <c r="CC26" t="s">
        <v>74</v>
      </c>
      <c r="CD26" t="s">
        <v>72</v>
      </c>
      <c r="CE26" t="s">
        <v>75</v>
      </c>
      <c r="CF26" t="s">
        <v>117</v>
      </c>
      <c r="CG26" t="s">
        <v>113</v>
      </c>
      <c r="CH26" t="s">
        <v>118</v>
      </c>
      <c r="CK26"/>
      <c r="CL26" t="str">
        <f>IFERROR((TOWER_DATA[[#This Row],[D, bottom '[m']]]+#REF!)/(2*#REF!/1000),"")</f>
        <v/>
      </c>
      <c r="CV26" s="61">
        <v>9</v>
      </c>
      <c r="CW26" s="63">
        <v>131.23999999999998</v>
      </c>
      <c r="CX26" s="63">
        <v>130.89999999999998</v>
      </c>
      <c r="CY26" s="61">
        <v>6.2229999999999999</v>
      </c>
      <c r="CZ26" s="61">
        <v>6.2229999999999999</v>
      </c>
      <c r="DA26" s="61">
        <v>23</v>
      </c>
      <c r="DC26" s="61" t="s">
        <v>269</v>
      </c>
      <c r="DD26" s="61">
        <v>131.23999999999998</v>
      </c>
      <c r="DE26" s="61">
        <v>131.23999999999998</v>
      </c>
      <c r="DF26" s="61">
        <v>92</v>
      </c>
      <c r="DN26" s="57" t="s">
        <v>137</v>
      </c>
      <c r="DO26">
        <v>15</v>
      </c>
      <c r="DP26">
        <v>240</v>
      </c>
      <c r="DQ26">
        <v>1102065</v>
      </c>
      <c r="DR26">
        <v>276287200</v>
      </c>
      <c r="DS26">
        <v>276287200</v>
      </c>
      <c r="DT26">
        <v>3.4</v>
      </c>
      <c r="DU26">
        <v>3.4</v>
      </c>
      <c r="DV26" t="s">
        <v>138</v>
      </c>
    </row>
    <row r="27" spans="1:136" ht="18" hidden="1" customHeight="1" outlineLevel="1" x14ac:dyDescent="0.3">
      <c r="E27" s="57" t="s">
        <v>235</v>
      </c>
      <c r="F27" t="s">
        <v>233</v>
      </c>
      <c r="G27" t="s">
        <v>76</v>
      </c>
      <c r="H27" t="s">
        <v>234</v>
      </c>
      <c r="I27">
        <v>43.5</v>
      </c>
      <c r="J27" t="s">
        <v>49</v>
      </c>
      <c r="K27" t="s">
        <v>232</v>
      </c>
      <c r="N27"/>
      <c r="O27" t="str">
        <f>IFERROR((MP_DATA[[#This Row],[D, bottom '[m']]]+#REF!)/(2*#REF!/1000),"")</f>
        <v/>
      </c>
      <c r="Y27" s="61">
        <v>10</v>
      </c>
      <c r="Z27" s="63">
        <v>-29.6</v>
      </c>
      <c r="AA27" s="63">
        <v>-33.5</v>
      </c>
      <c r="AB27" s="61">
        <v>9.4696999999999996</v>
      </c>
      <c r="AC27" s="61">
        <v>9.8000000000000007</v>
      </c>
      <c r="AD27" s="61">
        <v>90</v>
      </c>
      <c r="AP27" s="57" t="s">
        <v>235</v>
      </c>
      <c r="AQ27" t="s">
        <v>233</v>
      </c>
      <c r="AR27" t="s">
        <v>76</v>
      </c>
      <c r="AS27" t="s">
        <v>234</v>
      </c>
      <c r="AT27">
        <v>43.5</v>
      </c>
      <c r="AU27" t="s">
        <v>49</v>
      </c>
      <c r="AV27"/>
      <c r="AY27"/>
      <c r="AZ27" t="str">
        <f>IFERROR((TP_DATA[[#This Row],[D, bottom '[m']]]+#REF!)/(2*#REF!/1000),"")</f>
        <v/>
      </c>
      <c r="BJ27" s="61"/>
      <c r="BK27" s="63"/>
      <c r="BL27" s="63"/>
      <c r="BM27" s="61"/>
      <c r="BN27" s="61"/>
      <c r="BO27" s="61"/>
      <c r="BQ27" s="61"/>
      <c r="BR27" s="61"/>
      <c r="BS27" s="61"/>
      <c r="BT27" s="61"/>
      <c r="BU27" s="61"/>
      <c r="BV27" s="61"/>
      <c r="BW27" s="61"/>
      <c r="BY27" s="61"/>
      <c r="BZ27" s="61"/>
      <c r="CB27" s="57" t="s">
        <v>273</v>
      </c>
      <c r="CC27" t="s">
        <v>233</v>
      </c>
      <c r="CD27" t="s">
        <v>76</v>
      </c>
      <c r="CE27" t="s">
        <v>274</v>
      </c>
      <c r="CF27">
        <v>43.5</v>
      </c>
      <c r="CG27" t="s">
        <v>49</v>
      </c>
      <c r="CH27"/>
      <c r="CK27"/>
      <c r="CL27" t="str">
        <f>IFERROR((TOWER_DATA[[#This Row],[D, bottom '[m']]]+#REF!)/(2*#REF!/1000),"")</f>
        <v/>
      </c>
      <c r="CV27" s="61">
        <v>10</v>
      </c>
      <c r="CW27" s="63">
        <v>130.89999999999998</v>
      </c>
      <c r="CX27" s="63">
        <v>128.48999999999998</v>
      </c>
      <c r="CY27" s="61">
        <v>6.2229999999999999</v>
      </c>
      <c r="CZ27" s="61">
        <v>6.2229999999999999</v>
      </c>
      <c r="DA27" s="61">
        <v>23</v>
      </c>
      <c r="DC27" s="61" t="s">
        <v>269</v>
      </c>
      <c r="DD27" s="61">
        <v>130.89999999999998</v>
      </c>
      <c r="DE27" s="61">
        <v>130.89999999999998</v>
      </c>
      <c r="DF27" s="61">
        <v>138</v>
      </c>
      <c r="DG27" s="61"/>
      <c r="DH27" s="61"/>
      <c r="DI27" s="61"/>
      <c r="DK27" s="61"/>
      <c r="DL27" s="61"/>
      <c r="DN27" s="140" t="s">
        <v>231</v>
      </c>
      <c r="DO27" s="141" t="s">
        <v>138</v>
      </c>
      <c r="DP27" s="141" t="s">
        <v>138</v>
      </c>
      <c r="DQ27" s="141">
        <v>1394251</v>
      </c>
      <c r="DR27" s="141">
        <v>382420000</v>
      </c>
      <c r="DS27" s="141">
        <v>639730000</v>
      </c>
      <c r="DT27" s="141">
        <v>6.59</v>
      </c>
      <c r="DU27" s="141">
        <v>5.74</v>
      </c>
      <c r="DV27" s="141" t="s">
        <v>236</v>
      </c>
    </row>
    <row r="28" spans="1:136" ht="18" hidden="1" customHeight="1" outlineLevel="1" x14ac:dyDescent="0.3">
      <c r="E28" s="57" t="s">
        <v>242</v>
      </c>
      <c r="F28" t="s">
        <v>243</v>
      </c>
      <c r="G28" t="s">
        <v>244</v>
      </c>
      <c r="H28" t="s">
        <v>245</v>
      </c>
      <c r="I28">
        <v>23.1</v>
      </c>
      <c r="J28" t="s">
        <v>49</v>
      </c>
      <c r="K28"/>
      <c r="N28"/>
      <c r="O28" t="str">
        <f>IFERROR((MP_DATA[[#This Row],[D, bottom '[m']]]+#REF!)/(2*#REF!/1000),"")</f>
        <v/>
      </c>
      <c r="Y28" s="61">
        <v>11</v>
      </c>
      <c r="Z28" s="63">
        <v>-33.5</v>
      </c>
      <c r="AA28" s="63">
        <v>-36.799999999999997</v>
      </c>
      <c r="AB28" s="61">
        <v>9.8000000000000007</v>
      </c>
      <c r="AC28" s="61">
        <v>9.8000000000000007</v>
      </c>
      <c r="AD28" s="61">
        <v>90</v>
      </c>
      <c r="AP28" s="57" t="s">
        <v>242</v>
      </c>
      <c r="AQ28" t="s">
        <v>243</v>
      </c>
      <c r="AR28" t="s">
        <v>244</v>
      </c>
      <c r="AS28" t="s">
        <v>245</v>
      </c>
      <c r="AT28">
        <v>23.1</v>
      </c>
      <c r="AU28" t="s">
        <v>49</v>
      </c>
      <c r="AV28"/>
      <c r="AY28"/>
      <c r="AZ28" t="str">
        <f>IFERROR((TP_DATA[[#This Row],[D, bottom '[m']]]+#REF!)/(2*#REF!/1000),"")</f>
        <v/>
      </c>
      <c r="BJ28" s="61"/>
      <c r="BK28" s="63"/>
      <c r="BL28" s="63"/>
      <c r="BM28" s="61"/>
      <c r="BN28" s="61"/>
      <c r="BO28" s="61"/>
      <c r="BQ28" s="61"/>
      <c r="BR28" s="61"/>
      <c r="BS28" s="61"/>
      <c r="BT28" s="61"/>
      <c r="BU28" s="61"/>
      <c r="BV28" s="61"/>
      <c r="BW28" s="61"/>
      <c r="BY28" s="61"/>
      <c r="BZ28" s="61"/>
      <c r="CB28" s="57" t="s">
        <v>242</v>
      </c>
      <c r="CC28" t="s">
        <v>243</v>
      </c>
      <c r="CD28" t="s">
        <v>244</v>
      </c>
      <c r="CE28" t="s">
        <v>245</v>
      </c>
      <c r="CF28">
        <v>23.1</v>
      </c>
      <c r="CG28" t="s">
        <v>49</v>
      </c>
      <c r="CH28"/>
      <c r="CK28"/>
      <c r="CL28" t="str">
        <f>IFERROR((TOWER_DATA[[#This Row],[D, bottom '[m']]]+#REF!)/(2*#REF!/1000),"")</f>
        <v/>
      </c>
      <c r="CV28" s="61">
        <v>11</v>
      </c>
      <c r="CW28" s="63">
        <v>128.48999999999998</v>
      </c>
      <c r="CX28" s="63">
        <v>125.74000000000001</v>
      </c>
      <c r="CY28" s="61">
        <v>6.2229999999999999</v>
      </c>
      <c r="CZ28" s="61">
        <v>6.2229999999999999</v>
      </c>
      <c r="DA28" s="61">
        <v>23</v>
      </c>
      <c r="DC28" s="61" t="s">
        <v>269</v>
      </c>
      <c r="DD28" s="61">
        <v>125.74</v>
      </c>
      <c r="DE28" s="61">
        <v>125.74</v>
      </c>
      <c r="DF28" s="61">
        <v>138</v>
      </c>
      <c r="DG28" s="61"/>
      <c r="DH28" s="61"/>
      <c r="DI28" s="61"/>
      <c r="DK28" s="61"/>
      <c r="DL28" s="61"/>
    </row>
    <row r="29" spans="1:136" ht="18" hidden="1" customHeight="1" outlineLevel="1" x14ac:dyDescent="0.3">
      <c r="E29" s="57" t="s">
        <v>246</v>
      </c>
      <c r="F29" t="s">
        <v>247</v>
      </c>
      <c r="G29" t="s">
        <v>248</v>
      </c>
      <c r="H29" t="s">
        <v>249</v>
      </c>
      <c r="I29">
        <v>38.9</v>
      </c>
      <c r="J29" t="s">
        <v>49</v>
      </c>
      <c r="K29"/>
      <c r="N29"/>
      <c r="O29" t="str">
        <f>IFERROR((MP_DATA[[#This Row],[D, bottom '[m']]]+#REF!)/(2*#REF!/1000),"")</f>
        <v/>
      </c>
      <c r="Y29" s="61">
        <v>12</v>
      </c>
      <c r="Z29" s="63">
        <v>-36.799999999999997</v>
      </c>
      <c r="AA29" s="63">
        <v>-40.200000000000003</v>
      </c>
      <c r="AB29" s="61">
        <v>9.8000000000000007</v>
      </c>
      <c r="AC29" s="61">
        <v>9.8000000000000007</v>
      </c>
      <c r="AD29" s="61">
        <v>98</v>
      </c>
      <c r="AP29" s="57" t="s">
        <v>246</v>
      </c>
      <c r="AQ29" t="s">
        <v>247</v>
      </c>
      <c r="AR29" t="s">
        <v>248</v>
      </c>
      <c r="AS29" t="s">
        <v>249</v>
      </c>
      <c r="AT29">
        <v>38.9</v>
      </c>
      <c r="AU29" t="s">
        <v>49</v>
      </c>
      <c r="AV29"/>
      <c r="AY29"/>
      <c r="AZ29" t="str">
        <f>IFERROR((TP_DATA[[#This Row],[D, bottom '[m']]]+#REF!)/(2*#REF!/1000),"")</f>
        <v/>
      </c>
      <c r="BJ29" s="61"/>
      <c r="BK29" s="63"/>
      <c r="BL29" s="63"/>
      <c r="BM29" s="61"/>
      <c r="BN29" s="61"/>
      <c r="BO29" s="61"/>
      <c r="BQ29" s="61"/>
      <c r="BR29" s="61"/>
      <c r="BS29" s="61"/>
      <c r="BT29" s="61"/>
      <c r="BU29" s="61"/>
      <c r="BV29" s="61"/>
      <c r="BW29" s="61"/>
      <c r="BY29" s="61"/>
      <c r="BZ29" s="61"/>
      <c r="CB29" s="57" t="s">
        <v>275</v>
      </c>
      <c r="CC29" t="s">
        <v>276</v>
      </c>
      <c r="CD29" t="s">
        <v>277</v>
      </c>
      <c r="CE29" t="s">
        <v>276</v>
      </c>
      <c r="CF29">
        <v>0</v>
      </c>
      <c r="CG29" t="s">
        <v>49</v>
      </c>
      <c r="CH29"/>
      <c r="CK29"/>
      <c r="CL29" t="str">
        <f>IFERROR((TOWER_DATA[[#This Row],[D, bottom '[m']]]+#REF!)/(2*#REF!/1000),"")</f>
        <v/>
      </c>
      <c r="CV29" s="61">
        <v>12</v>
      </c>
      <c r="CW29" s="63">
        <v>125.74000000000001</v>
      </c>
      <c r="CX29" s="63">
        <v>123.667</v>
      </c>
      <c r="CY29" s="61">
        <v>6.2229999999999999</v>
      </c>
      <c r="CZ29" s="61">
        <v>6.2229999999999999</v>
      </c>
      <c r="DA29" s="61">
        <v>23</v>
      </c>
      <c r="DC29" s="61" t="s">
        <v>269</v>
      </c>
      <c r="DD29" s="61">
        <v>123.66699999999999</v>
      </c>
      <c r="DE29" s="61">
        <v>123.66699999999999</v>
      </c>
      <c r="DF29" s="61">
        <v>147</v>
      </c>
      <c r="DG29" s="61"/>
      <c r="DH29" s="61"/>
      <c r="DI29" s="61"/>
      <c r="DK29" s="61"/>
      <c r="DL29" s="61"/>
    </row>
    <row r="30" spans="1:136" ht="18" hidden="1" customHeight="1" outlineLevel="1" x14ac:dyDescent="0.3">
      <c r="E30" s="57" t="s">
        <v>250</v>
      </c>
      <c r="F30" t="s">
        <v>247</v>
      </c>
      <c r="G30" t="s">
        <v>248</v>
      </c>
      <c r="H30" t="s">
        <v>251</v>
      </c>
      <c r="I30">
        <v>38.9</v>
      </c>
      <c r="J30" t="s">
        <v>49</v>
      </c>
      <c r="K30"/>
      <c r="N30"/>
      <c r="O30" t="str">
        <f>IFERROR((MP_DATA[[#This Row],[D, bottom '[m']]]+#REF!)/(2*#REF!/1000),"")</f>
        <v/>
      </c>
      <c r="Y30" s="61">
        <v>13</v>
      </c>
      <c r="Z30" s="63">
        <v>-40.200000000000003</v>
      </c>
      <c r="AA30" s="63">
        <v>-43.8</v>
      </c>
      <c r="AB30" s="61">
        <v>9.8000000000000007</v>
      </c>
      <c r="AC30" s="61">
        <v>9.8000000000000007</v>
      </c>
      <c r="AD30" s="61">
        <v>88</v>
      </c>
      <c r="AP30" s="57" t="s">
        <v>250</v>
      </c>
      <c r="AQ30" t="s">
        <v>247</v>
      </c>
      <c r="AR30" t="s">
        <v>248</v>
      </c>
      <c r="AS30" t="s">
        <v>251</v>
      </c>
      <c r="AT30">
        <v>38.9</v>
      </c>
      <c r="AU30" t="s">
        <v>49</v>
      </c>
      <c r="AV30" t="s">
        <v>267</v>
      </c>
      <c r="AY30"/>
      <c r="AZ30" t="str">
        <f>IFERROR((TP_DATA[[#This Row],[D, bottom '[m']]]+#REF!)/(2*#REF!/1000),"")</f>
        <v/>
      </c>
      <c r="BJ30" s="61"/>
      <c r="BK30" s="63"/>
      <c r="BL30" s="63"/>
      <c r="BM30" s="61"/>
      <c r="BN30" s="61"/>
      <c r="BO30" s="61"/>
      <c r="BQ30" s="61"/>
      <c r="BR30" s="61"/>
      <c r="BS30" s="61"/>
      <c r="BT30" s="61"/>
      <c r="BU30" s="61"/>
      <c r="BV30" s="61"/>
      <c r="BW30" s="61"/>
      <c r="BY30" s="61"/>
      <c r="BZ30" s="61"/>
      <c r="CB30" s="57"/>
      <c r="CC30"/>
      <c r="CD30"/>
      <c r="CE30"/>
      <c r="CF30"/>
      <c r="CG30"/>
      <c r="CH30"/>
      <c r="CK30"/>
      <c r="CL30" t="str">
        <f>IFERROR((TOWER_DATA[[#This Row],[D, bottom '[m']]]+#REF!)/(2*#REF!/1000),"")</f>
        <v/>
      </c>
      <c r="CV30" s="61">
        <v>13</v>
      </c>
      <c r="CW30" s="63">
        <v>123.667</v>
      </c>
      <c r="CX30" s="63">
        <v>122.81</v>
      </c>
      <c r="CY30" s="61">
        <v>6.2229999999999999</v>
      </c>
      <c r="CZ30" s="61">
        <v>6.2229999999999999</v>
      </c>
      <c r="DA30" s="61">
        <v>23</v>
      </c>
      <c r="DC30" t="s">
        <v>269</v>
      </c>
      <c r="DD30">
        <v>120.89999999999999</v>
      </c>
      <c r="DE30">
        <v>120.89999999999999</v>
      </c>
      <c r="DF30">
        <v>147</v>
      </c>
      <c r="DL30" s="61"/>
    </row>
    <row r="31" spans="1:136" ht="18" hidden="1" customHeight="1" outlineLevel="1" x14ac:dyDescent="0.3">
      <c r="E31" s="57" t="s">
        <v>252</v>
      </c>
      <c r="F31" t="s">
        <v>247</v>
      </c>
      <c r="G31" t="s">
        <v>248</v>
      </c>
      <c r="H31" t="s">
        <v>253</v>
      </c>
      <c r="I31">
        <v>38.9</v>
      </c>
      <c r="J31" t="s">
        <v>49</v>
      </c>
      <c r="K31"/>
      <c r="N31"/>
      <c r="O31" t="str">
        <f>IFERROR((MP_DATA[[#This Row],[D, bottom '[m']]]+#REF!)/(2*#REF!/1000),"")</f>
        <v/>
      </c>
      <c r="Y31" s="61">
        <v>14</v>
      </c>
      <c r="Z31" s="63">
        <v>-43.8</v>
      </c>
      <c r="AA31" s="63">
        <v>-47.8</v>
      </c>
      <c r="AB31" s="61">
        <v>9.8000000000000007</v>
      </c>
      <c r="AC31" s="61">
        <v>9.8000000000000007</v>
      </c>
      <c r="AD31" s="61">
        <v>88</v>
      </c>
      <c r="AP31" s="57" t="s">
        <v>252</v>
      </c>
      <c r="AQ31" t="s">
        <v>247</v>
      </c>
      <c r="AR31" t="s">
        <v>248</v>
      </c>
      <c r="AS31" t="s">
        <v>253</v>
      </c>
      <c r="AT31">
        <v>38.9</v>
      </c>
      <c r="AU31" t="s">
        <v>49</v>
      </c>
      <c r="AV31" t="s">
        <v>268</v>
      </c>
      <c r="AY31"/>
      <c r="AZ31" t="str">
        <f>IFERROR((TP_DATA[[#This Row],[D, bottom '[m']]]+#REF!)/(2*#REF!/1000),"")</f>
        <v/>
      </c>
      <c r="BJ31" s="61"/>
      <c r="BK31" s="63"/>
      <c r="BL31" s="63"/>
      <c r="BM31" s="61"/>
      <c r="BN31" s="61"/>
      <c r="BO31" s="61"/>
      <c r="BQ31" s="61"/>
      <c r="BR31" s="61"/>
      <c r="BS31" s="61"/>
      <c r="BT31" s="61"/>
      <c r="BU31" s="61"/>
      <c r="BV31" s="61"/>
      <c r="BW31" s="61"/>
      <c r="BY31" s="61"/>
      <c r="BZ31" s="61"/>
      <c r="CB31" s="57"/>
      <c r="CC31"/>
      <c r="CD31"/>
      <c r="CE31"/>
      <c r="CF31"/>
      <c r="CG31"/>
      <c r="CH31"/>
      <c r="CK31"/>
      <c r="CL31" t="str">
        <f>IFERROR((TOWER_DATA[[#This Row],[D, bottom '[m']]]+#REF!)/(2*#REF!/1000),"")</f>
        <v/>
      </c>
      <c r="CV31" s="61">
        <v>14</v>
      </c>
      <c r="CW31" s="63">
        <v>122.81</v>
      </c>
      <c r="CX31" s="63">
        <v>120.9</v>
      </c>
      <c r="CY31" s="61">
        <v>6.2229999999999999</v>
      </c>
      <c r="CZ31" s="61">
        <v>6.2229999999999999</v>
      </c>
      <c r="DA31" s="61">
        <v>23</v>
      </c>
      <c r="DC31" t="s">
        <v>269</v>
      </c>
      <c r="DD31">
        <v>119.88</v>
      </c>
      <c r="DE31">
        <v>119.88</v>
      </c>
      <c r="DF31">
        <v>1060</v>
      </c>
      <c r="DL31" s="61"/>
    </row>
    <row r="32" spans="1:136" ht="18" hidden="1" customHeight="1" outlineLevel="1" x14ac:dyDescent="0.3">
      <c r="K32"/>
      <c r="N32"/>
      <c r="O32" s="76" t="str">
        <f>IFERROR((MP_DATA[[#This Row],[D, bottom '[m']]]+#REF!)/(2*#REF!/1000),"")</f>
        <v/>
      </c>
      <c r="Y32" s="61">
        <v>15</v>
      </c>
      <c r="Z32" s="63">
        <v>-47.8</v>
      </c>
      <c r="AA32" s="63">
        <v>-51.8</v>
      </c>
      <c r="AB32" s="61">
        <v>9.8000000000000007</v>
      </c>
      <c r="AC32" s="61">
        <v>9.8000000000000007</v>
      </c>
      <c r="AD32" s="61">
        <v>88</v>
      </c>
      <c r="AV32"/>
      <c r="AY32"/>
      <c r="AZ32" s="76" t="str">
        <f>IFERROR((TP_DATA[[#This Row],[D, bottom '[m']]]+#REF!)/(2*#REF!/1000),"")</f>
        <v/>
      </c>
      <c r="BJ32" s="61"/>
      <c r="BK32" s="63"/>
      <c r="BL32" s="63"/>
      <c r="BM32" s="61"/>
      <c r="BN32" s="61"/>
      <c r="BO32" s="61"/>
      <c r="BQ32" s="61"/>
      <c r="BR32" s="61"/>
      <c r="BS32" s="61"/>
      <c r="BT32" s="61"/>
      <c r="BU32" s="61"/>
      <c r="BV32" s="61"/>
      <c r="BW32" s="61"/>
      <c r="BY32" s="61"/>
      <c r="BZ32" s="61"/>
      <c r="CH32"/>
      <c r="CK32"/>
      <c r="CL32" s="76" t="str">
        <f>IFERROR((TOWER_DATA[[#This Row],[D, bottom '[m']]]+#REF!)/(2*#REF!/1000),"")</f>
        <v/>
      </c>
      <c r="CV32" s="61">
        <v>15</v>
      </c>
      <c r="CW32" s="63">
        <v>120.9</v>
      </c>
      <c r="CX32" s="63">
        <v>119.88000000000001</v>
      </c>
      <c r="CY32" s="61">
        <v>6.2229999999999999</v>
      </c>
      <c r="CZ32" s="61">
        <v>6.2229999999999999</v>
      </c>
      <c r="DA32" s="61">
        <v>23</v>
      </c>
      <c r="DC32" s="61" t="s">
        <v>269</v>
      </c>
      <c r="DD32" s="61">
        <v>116.94999999999999</v>
      </c>
      <c r="DE32" s="61">
        <v>116.94999999999999</v>
      </c>
      <c r="DF32" s="61">
        <v>147</v>
      </c>
      <c r="DL32" s="61"/>
      <c r="DU32" s="76"/>
      <c r="DV32" s="76"/>
    </row>
    <row r="33" spans="11:126" ht="18" hidden="1" customHeight="1" outlineLevel="1" x14ac:dyDescent="0.3">
      <c r="K33"/>
      <c r="N33"/>
      <c r="O33" s="76" t="str">
        <f>IFERROR((MP_DATA[[#This Row],[D, bottom '[m']]]+#REF!)/(2*#REF!/1000),"")</f>
        <v/>
      </c>
      <c r="Y33" s="61">
        <v>16</v>
      </c>
      <c r="Z33" s="63">
        <v>-51.8</v>
      </c>
      <c r="AA33" s="63">
        <v>-55.8</v>
      </c>
      <c r="AB33" s="61">
        <v>9.8000000000000007</v>
      </c>
      <c r="AC33" s="61">
        <v>9.8000000000000007</v>
      </c>
      <c r="AD33" s="61">
        <v>81</v>
      </c>
      <c r="AV33"/>
      <c r="AY33"/>
      <c r="AZ33" s="76" t="str">
        <f>IFERROR((TP_DATA[[#This Row],[D, bottom '[m']]]+#REF!)/(2*#REF!/1000),"")</f>
        <v/>
      </c>
      <c r="BJ33" s="61"/>
      <c r="BK33" s="63"/>
      <c r="BL33" s="63"/>
      <c r="BM33" s="61"/>
      <c r="BN33" s="61"/>
      <c r="BO33" s="61"/>
      <c r="BQ33" s="61"/>
      <c r="BR33" s="61"/>
      <c r="BS33" s="61"/>
      <c r="BT33" s="61"/>
      <c r="BU33" s="61"/>
      <c r="BV33" s="61"/>
      <c r="BW33" s="61"/>
      <c r="BY33" s="61"/>
      <c r="BZ33" s="61"/>
      <c r="CH33"/>
      <c r="CK33"/>
      <c r="CL33" s="76" t="str">
        <f>IFERROR((TOWER_DATA[[#This Row],[D, bottom '[m']]]+#REF!)/(2*#REF!/1000),"")</f>
        <v/>
      </c>
      <c r="CV33" s="61">
        <v>16</v>
      </c>
      <c r="CW33" s="63">
        <v>119.88000000000001</v>
      </c>
      <c r="CX33" s="63">
        <v>116.95</v>
      </c>
      <c r="CY33" s="61">
        <v>6.2229999999999999</v>
      </c>
      <c r="CZ33" s="61">
        <v>6.2229999999999999</v>
      </c>
      <c r="DA33" s="61">
        <v>23</v>
      </c>
      <c r="DC33" s="61" t="s">
        <v>269</v>
      </c>
      <c r="DD33" s="61">
        <v>115.446</v>
      </c>
      <c r="DE33" s="61">
        <v>115.446</v>
      </c>
      <c r="DF33" s="61">
        <v>147</v>
      </c>
      <c r="DL33" s="61"/>
      <c r="DU33" s="76"/>
      <c r="DV33" s="76"/>
    </row>
    <row r="34" spans="11:126" ht="18" hidden="1" customHeight="1" outlineLevel="1" x14ac:dyDescent="0.3">
      <c r="K34"/>
      <c r="N34"/>
      <c r="O34" s="76" t="str">
        <f>IFERROR((MP_DATA[[#This Row],[D, bottom '[m']]]+#REF!)/(2*#REF!/1000),"")</f>
        <v/>
      </c>
      <c r="Y34" s="61">
        <v>17</v>
      </c>
      <c r="Z34" s="63">
        <v>-55.8</v>
      </c>
      <c r="AA34" s="63">
        <v>-59.8</v>
      </c>
      <c r="AB34" s="61">
        <v>9.8000000000000007</v>
      </c>
      <c r="AC34" s="61">
        <v>9.8000000000000007</v>
      </c>
      <c r="AD34" s="61">
        <v>81</v>
      </c>
      <c r="AV34"/>
      <c r="AY34"/>
      <c r="AZ34" s="76" t="str">
        <f>IFERROR((TP_DATA[[#This Row],[D, bottom '[m']]]+#REF!)/(2*#REF!/1000),"")</f>
        <v/>
      </c>
      <c r="BJ34" s="61"/>
      <c r="BK34" s="63"/>
      <c r="BL34" s="63"/>
      <c r="BM34" s="61"/>
      <c r="BN34" s="61"/>
      <c r="BO34" s="61"/>
      <c r="CH34"/>
      <c r="CK34"/>
      <c r="CL34" s="76" t="str">
        <f>IFERROR((TOWER_DATA[[#This Row],[D, bottom '[m']]]+#REF!)/(2*#REF!/1000),"")</f>
        <v/>
      </c>
      <c r="CV34" s="61">
        <v>17</v>
      </c>
      <c r="CW34" s="63">
        <v>116.95</v>
      </c>
      <c r="CX34" s="63">
        <v>115.44600000000001</v>
      </c>
      <c r="CY34" s="61">
        <v>6.2229999999999999</v>
      </c>
      <c r="CZ34" s="61">
        <v>6.2229999999999999</v>
      </c>
      <c r="DA34" s="61">
        <v>23</v>
      </c>
      <c r="DC34" s="61" t="s">
        <v>269</v>
      </c>
      <c r="DD34" s="61">
        <v>111.08999999999999</v>
      </c>
      <c r="DE34" s="61">
        <v>111.08999999999999</v>
      </c>
      <c r="DF34" s="61">
        <v>147</v>
      </c>
      <c r="DU34" s="76"/>
      <c r="DV34" s="76"/>
    </row>
    <row r="35" spans="11:126" ht="18" hidden="1" customHeight="1" outlineLevel="1" x14ac:dyDescent="0.3">
      <c r="K35"/>
      <c r="N35"/>
      <c r="O35" s="76" t="str">
        <f>IFERROR((MP_DATA[[#This Row],[D, bottom '[m']]]+#REF!)/(2*#REF!/1000),"")</f>
        <v/>
      </c>
      <c r="Y35" s="61">
        <v>18</v>
      </c>
      <c r="Z35" s="63">
        <v>-59.8</v>
      </c>
      <c r="AA35" s="63">
        <v>-63.8</v>
      </c>
      <c r="AB35" s="61">
        <v>9.8000000000000007</v>
      </c>
      <c r="AC35" s="61">
        <v>9.8000000000000007</v>
      </c>
      <c r="AD35" s="61">
        <v>81</v>
      </c>
      <c r="AV35"/>
      <c r="AY35"/>
      <c r="AZ35" s="76" t="str">
        <f>IFERROR((TP_DATA[[#This Row],[D, bottom '[m']]]+#REF!)/(2*#REF!/1000),"")</f>
        <v/>
      </c>
      <c r="BJ35" s="61"/>
      <c r="BK35" s="63"/>
      <c r="BL35" s="63"/>
      <c r="BM35" s="61"/>
      <c r="BN35" s="61"/>
      <c r="BO35" s="61"/>
      <c r="CH35"/>
      <c r="CK35"/>
      <c r="CL35" s="76" t="str">
        <f>IFERROR((TOWER_DATA[[#This Row],[D, bottom '[m']]]+#REF!)/(2*#REF!/1000),"")</f>
        <v/>
      </c>
      <c r="CV35" s="61">
        <v>18</v>
      </c>
      <c r="CW35" s="63">
        <v>115.44600000000001</v>
      </c>
      <c r="CX35" s="63">
        <v>114.02000000000001</v>
      </c>
      <c r="CY35" s="61">
        <v>6.2229999999999999</v>
      </c>
      <c r="CZ35" s="61">
        <v>6.2240000000000002</v>
      </c>
      <c r="DA35" s="61">
        <v>23</v>
      </c>
      <c r="DC35" s="61" t="s">
        <v>269</v>
      </c>
      <c r="DD35" s="61">
        <v>110.89999999999999</v>
      </c>
      <c r="DE35" s="61">
        <v>110.89999999999999</v>
      </c>
      <c r="DF35" s="61">
        <v>147</v>
      </c>
      <c r="DU35" s="76"/>
      <c r="DV35" s="76"/>
    </row>
    <row r="36" spans="11:126" ht="18" hidden="1" customHeight="1" outlineLevel="1" x14ac:dyDescent="0.3">
      <c r="K36"/>
      <c r="N36"/>
      <c r="O36" s="76" t="str">
        <f>IFERROR((MP_DATA[[#This Row],[D, bottom '[m']]]+#REF!)/(2*#REF!/1000),"")</f>
        <v/>
      </c>
      <c r="Y36" s="61">
        <v>19</v>
      </c>
      <c r="Z36" s="63">
        <v>-63.8</v>
      </c>
      <c r="AA36" s="63">
        <v>-67.599999999999994</v>
      </c>
      <c r="AB36" s="61">
        <v>9.8000000000000007</v>
      </c>
      <c r="AC36" s="61">
        <v>9.8000000000000007</v>
      </c>
      <c r="AD36" s="61">
        <v>81</v>
      </c>
      <c r="AV36"/>
      <c r="AY36"/>
      <c r="AZ36" s="76" t="str">
        <f>IFERROR((TP_DATA[[#This Row],[D, bottom '[m']]]+#REF!)/(2*#REF!/1000),"")</f>
        <v/>
      </c>
      <c r="BJ36" s="61"/>
      <c r="BK36" s="63"/>
      <c r="BL36" s="63"/>
      <c r="BM36" s="61"/>
      <c r="BN36" s="61"/>
      <c r="BO36" s="61"/>
      <c r="CH36"/>
      <c r="CK36"/>
      <c r="CL36" s="76" t="str">
        <f>IFERROR((TOWER_DATA[[#This Row],[D, bottom '[m']]]+#REF!)/(2*#REF!/1000),"")</f>
        <v/>
      </c>
      <c r="CV36" s="61">
        <v>19</v>
      </c>
      <c r="CW36" s="63">
        <v>114.02000000000001</v>
      </c>
      <c r="CX36" s="63">
        <v>111.09</v>
      </c>
      <c r="CY36" s="61">
        <v>6.2240000000000002</v>
      </c>
      <c r="CZ36" s="61">
        <v>6.2249999999999996</v>
      </c>
      <c r="DA36" s="61">
        <v>24</v>
      </c>
      <c r="DC36" s="61" t="s">
        <v>269</v>
      </c>
      <c r="DD36" s="61">
        <v>107.22399999999999</v>
      </c>
      <c r="DE36" s="61">
        <v>107.22399999999999</v>
      </c>
      <c r="DF36" s="61">
        <v>147</v>
      </c>
      <c r="DU36" s="76"/>
      <c r="DV36" s="76"/>
    </row>
    <row r="37" spans="11:126" ht="18" hidden="1" customHeight="1" outlineLevel="1" x14ac:dyDescent="0.3">
      <c r="K37"/>
      <c r="N37"/>
      <c r="Y37" s="61">
        <v>20</v>
      </c>
      <c r="Z37" s="63">
        <v>-67.599999999999994</v>
      </c>
      <c r="AA37" s="63">
        <v>-70.7</v>
      </c>
      <c r="AB37" s="61">
        <v>9.8000000000000007</v>
      </c>
      <c r="AC37" s="61">
        <v>9.8000000000000007</v>
      </c>
      <c r="AD37" s="61">
        <v>81</v>
      </c>
      <c r="AV37"/>
      <c r="AY37"/>
      <c r="BJ37" s="61"/>
      <c r="BK37" s="63"/>
      <c r="BL37" s="63"/>
      <c r="BM37" s="61"/>
      <c r="BN37" s="61"/>
      <c r="BO37" s="61"/>
      <c r="CH37"/>
      <c r="CK37"/>
      <c r="CV37" s="61">
        <v>20</v>
      </c>
      <c r="CW37" s="63">
        <v>111.09</v>
      </c>
      <c r="CX37" s="63">
        <v>110.9</v>
      </c>
      <c r="CY37" s="61">
        <v>6.2249999999999996</v>
      </c>
      <c r="CZ37" s="61">
        <v>6.2249999999999996</v>
      </c>
      <c r="DA37" s="61">
        <v>25</v>
      </c>
      <c r="DC37" s="61" t="s">
        <v>269</v>
      </c>
      <c r="DD37" s="61">
        <v>102.3</v>
      </c>
      <c r="DE37" s="61">
        <v>102.3</v>
      </c>
      <c r="DF37" s="61">
        <v>147</v>
      </c>
      <c r="DU37" s="76"/>
      <c r="DV37" s="76"/>
    </row>
    <row r="38" spans="11:126" ht="18" hidden="1" customHeight="1" outlineLevel="1" x14ac:dyDescent="0.3">
      <c r="K38"/>
      <c r="N38"/>
      <c r="Y38" s="61">
        <v>21</v>
      </c>
      <c r="Z38" s="63">
        <v>-70.7</v>
      </c>
      <c r="AA38" s="63">
        <v>-73.7</v>
      </c>
      <c r="AB38" s="61">
        <v>9.8000000000000007</v>
      </c>
      <c r="AC38" s="61">
        <v>9.8000000000000007</v>
      </c>
      <c r="AD38" s="61">
        <v>87</v>
      </c>
      <c r="AV38"/>
      <c r="AY38"/>
      <c r="BJ38" s="61"/>
      <c r="BK38" s="63"/>
      <c r="BL38" s="63"/>
      <c r="BM38" s="61"/>
      <c r="BN38" s="61"/>
      <c r="BO38" s="61"/>
      <c r="CH38"/>
      <c r="CK38"/>
      <c r="CV38" s="61">
        <v>21</v>
      </c>
      <c r="CW38" s="63">
        <v>110.9</v>
      </c>
      <c r="CX38" s="63">
        <v>108.16000000000001</v>
      </c>
      <c r="CY38" s="61">
        <v>6.2249999999999996</v>
      </c>
      <c r="CZ38" s="61">
        <v>6.226</v>
      </c>
      <c r="DA38" s="61">
        <v>25</v>
      </c>
      <c r="DC38" s="61" t="s">
        <v>269</v>
      </c>
      <c r="DD38" s="61">
        <v>102.25999999999999</v>
      </c>
      <c r="DE38" s="61">
        <v>102.25999999999999</v>
      </c>
      <c r="DF38" s="61">
        <v>5610</v>
      </c>
      <c r="DU38" s="76"/>
      <c r="DV38" s="76"/>
    </row>
    <row r="39" spans="11:126" ht="18" hidden="1" customHeight="1" outlineLevel="1" x14ac:dyDescent="0.3">
      <c r="K39"/>
      <c r="N39"/>
      <c r="Y39" s="61">
        <v>22</v>
      </c>
      <c r="Z39" s="63">
        <v>-73.7</v>
      </c>
      <c r="AA39" s="63">
        <v>-76.8</v>
      </c>
      <c r="AB39" s="61">
        <v>9.8000000000000007</v>
      </c>
      <c r="AC39" s="61">
        <v>9.8000000000000007</v>
      </c>
      <c r="AD39" s="61">
        <v>95</v>
      </c>
      <c r="AV39"/>
      <c r="AY39"/>
      <c r="BJ39" s="61"/>
      <c r="BK39" s="63"/>
      <c r="BL39" s="63"/>
      <c r="BM39" s="61"/>
      <c r="BN39" s="61"/>
      <c r="BO39" s="61"/>
      <c r="CH39"/>
      <c r="CK39"/>
      <c r="CV39" s="61">
        <v>22</v>
      </c>
      <c r="CW39" s="63">
        <v>108.16000000000001</v>
      </c>
      <c r="CX39" s="63">
        <v>107.224</v>
      </c>
      <c r="CY39" s="61">
        <v>6.226</v>
      </c>
      <c r="CZ39" s="61">
        <v>6.226</v>
      </c>
      <c r="DA39" s="61">
        <v>26</v>
      </c>
      <c r="DC39" s="61" t="s">
        <v>269</v>
      </c>
      <c r="DD39" s="61">
        <v>102.1</v>
      </c>
      <c r="DE39" s="61">
        <v>102.1</v>
      </c>
      <c r="DF39" s="61">
        <v>8160</v>
      </c>
      <c r="DU39" s="76"/>
      <c r="DV39" s="76"/>
    </row>
    <row r="40" spans="11:126" ht="18" hidden="1" customHeight="1" outlineLevel="1" x14ac:dyDescent="0.3">
      <c r="K40"/>
      <c r="N40"/>
      <c r="Y40" s="61">
        <v>23</v>
      </c>
      <c r="Z40" s="63">
        <v>-76.8</v>
      </c>
      <c r="AA40" s="63">
        <v>-79.8</v>
      </c>
      <c r="AB40" s="61">
        <v>9.8000000000000007</v>
      </c>
      <c r="AC40" s="61">
        <v>9.8000000000000007</v>
      </c>
      <c r="AD40" s="61">
        <v>105</v>
      </c>
      <c r="AV40"/>
      <c r="AY40"/>
      <c r="BJ40" s="61"/>
      <c r="BK40" s="63"/>
      <c r="BL40" s="63"/>
      <c r="BM40" s="61"/>
      <c r="BN40" s="61"/>
      <c r="BO40" s="61"/>
      <c r="CH40"/>
      <c r="CK40"/>
      <c r="CV40" s="61">
        <v>23</v>
      </c>
      <c r="CW40" s="63">
        <v>107.224</v>
      </c>
      <c r="CX40" s="63">
        <v>105.23</v>
      </c>
      <c r="CY40" s="61">
        <v>6.226</v>
      </c>
      <c r="CZ40" s="61">
        <v>6.226</v>
      </c>
      <c r="DA40" s="61">
        <v>26</v>
      </c>
      <c r="DC40" s="61" t="s">
        <v>269</v>
      </c>
      <c r="DD40" s="61">
        <v>101.94</v>
      </c>
      <c r="DE40" s="61">
        <v>101.94</v>
      </c>
      <c r="DF40" s="61">
        <v>5</v>
      </c>
      <c r="DU40" s="76"/>
      <c r="DV40" s="76"/>
    </row>
    <row r="41" spans="11:126" ht="18" hidden="1" customHeight="1" outlineLevel="1" x14ac:dyDescent="0.3">
      <c r="K41"/>
      <c r="N41"/>
      <c r="O41" s="76" t="str">
        <f>IFERROR((MP_DATA[[#This Row],[D, bottom '[m']]]+#REF!)/(2*#REF!/1000),"")</f>
        <v/>
      </c>
      <c r="Y41" s="61"/>
      <c r="Z41" s="63"/>
      <c r="AA41" s="63"/>
      <c r="AB41" s="61"/>
      <c r="AC41" s="61"/>
      <c r="AD41" s="61"/>
      <c r="AV41"/>
      <c r="AY41"/>
      <c r="AZ41" s="76" t="str">
        <f>IFERROR((TP_DATA[[#This Row],[D, bottom '[m']]]+#REF!)/(2*#REF!/1000),"")</f>
        <v/>
      </c>
      <c r="BJ41" s="61"/>
      <c r="BK41" s="63"/>
      <c r="BL41" s="63"/>
      <c r="BM41" s="61"/>
      <c r="BN41" s="61"/>
      <c r="BO41" s="61"/>
      <c r="CH41"/>
      <c r="CK41"/>
      <c r="CL41" s="76" t="str">
        <f>IFERROR((TOWER_DATA[[#This Row],[D, bottom '[m']]]+#REF!)/(2*#REF!/1000),"")</f>
        <v/>
      </c>
      <c r="CV41" s="61">
        <v>24</v>
      </c>
      <c r="CW41" s="63">
        <v>105.23</v>
      </c>
      <c r="CX41" s="63">
        <v>102.30000000000001</v>
      </c>
      <c r="CY41" s="61">
        <v>6.226</v>
      </c>
      <c r="CZ41" s="61">
        <v>6.2279999999999998</v>
      </c>
      <c r="DA41" s="61">
        <v>26</v>
      </c>
      <c r="DC41" s="61" t="s">
        <v>269</v>
      </c>
      <c r="DD41" s="61">
        <v>101.89999999999999</v>
      </c>
      <c r="DE41" s="61">
        <v>101.89999999999999</v>
      </c>
      <c r="DF41" s="61">
        <v>1</v>
      </c>
      <c r="DU41" s="76"/>
      <c r="DV41" s="76"/>
    </row>
    <row r="42" spans="11:126" ht="18" hidden="1" customHeight="1" outlineLevel="1" x14ac:dyDescent="0.3">
      <c r="K42"/>
      <c r="N42"/>
      <c r="O42" s="76" t="str">
        <f>IFERROR((MP_DATA[[#This Row],[D, bottom '[m']]]+#REF!)/(2*#REF!/1000),"")</f>
        <v/>
      </c>
      <c r="Y42" s="61"/>
      <c r="Z42" s="63"/>
      <c r="AA42" s="63"/>
      <c r="AB42" s="61"/>
      <c r="AC42" s="61"/>
      <c r="AD42" s="61"/>
      <c r="AV42"/>
      <c r="AY42"/>
      <c r="AZ42" s="76" t="str">
        <f>IFERROR((TP_DATA[[#This Row],[D, bottom '[m']]]+#REF!)/(2*#REF!/1000),"")</f>
        <v/>
      </c>
      <c r="BJ42" s="61"/>
      <c r="BK42" s="63"/>
      <c r="BL42" s="63"/>
      <c r="BM42" s="61"/>
      <c r="BN42" s="61"/>
      <c r="BO42" s="61"/>
      <c r="CH42"/>
      <c r="CK42"/>
      <c r="CL42" s="76" t="str">
        <f>IFERROR((TOWER_DATA[[#This Row],[D, bottom '[m']]]+#REF!)/(2*#REF!/1000),"")</f>
        <v/>
      </c>
      <c r="CV42" s="61">
        <v>25</v>
      </c>
      <c r="CW42" s="63">
        <v>102.30000000000001</v>
      </c>
      <c r="CX42" s="63">
        <v>102.26</v>
      </c>
      <c r="CY42" s="61">
        <v>6.2279999999999998</v>
      </c>
      <c r="CZ42" s="61">
        <v>6.2279999999999998</v>
      </c>
      <c r="DA42" s="61">
        <v>28</v>
      </c>
      <c r="DC42" s="61" t="s">
        <v>269</v>
      </c>
      <c r="DD42" s="61">
        <v>100.89999999999999</v>
      </c>
      <c r="DE42" s="61">
        <v>100.89999999999999</v>
      </c>
      <c r="DF42" s="61">
        <v>1003</v>
      </c>
      <c r="DU42" s="76"/>
      <c r="DV42" s="76"/>
    </row>
    <row r="43" spans="11:126" ht="18" hidden="1" customHeight="1" outlineLevel="1" x14ac:dyDescent="0.3">
      <c r="K43"/>
      <c r="N43"/>
      <c r="O43" s="76" t="str">
        <f>IFERROR((MP_DATA[[#This Row],[D, bottom '[m']]]+#REF!)/(2*#REF!/1000),"")</f>
        <v/>
      </c>
      <c r="AV43"/>
      <c r="AY43"/>
      <c r="AZ43" s="76" t="str">
        <f>IFERROR((TP_DATA[[#This Row],[D, bottom '[m']]]+#REF!)/(2*#REF!/1000),"")</f>
        <v/>
      </c>
      <c r="CH43"/>
      <c r="CK43"/>
      <c r="CL43" s="76" t="str">
        <f>IFERROR((TOWER_DATA[[#This Row],[D, bottom '[m']]]+#REF!)/(2*#REF!/1000),"")</f>
        <v/>
      </c>
      <c r="CV43" s="61">
        <v>26</v>
      </c>
      <c r="CW43" s="63">
        <v>102.26</v>
      </c>
      <c r="CX43" s="63">
        <v>102.10000000000001</v>
      </c>
      <c r="CY43" s="61">
        <v>6.2279999999999998</v>
      </c>
      <c r="CZ43" s="61">
        <v>6.2279999999999998</v>
      </c>
      <c r="DA43" s="61">
        <v>28</v>
      </c>
      <c r="DC43" s="61" t="s">
        <v>269</v>
      </c>
      <c r="DD43" s="61">
        <v>99.002999999999986</v>
      </c>
      <c r="DE43" s="61">
        <v>99.002999999999986</v>
      </c>
      <c r="DF43" s="61">
        <v>137</v>
      </c>
      <c r="DU43" s="76"/>
      <c r="DV43" s="76"/>
    </row>
    <row r="44" spans="11:126" ht="18" hidden="1" customHeight="1" outlineLevel="1" x14ac:dyDescent="0.3">
      <c r="K44"/>
      <c r="N44"/>
      <c r="O44" s="76" t="str">
        <f>IFERROR((MP_DATA[[#This Row],[D, bottom '[m']]]+#REF!)/(2*#REF!/1000),"")</f>
        <v/>
      </c>
      <c r="AV44"/>
      <c r="AY44"/>
      <c r="AZ44" s="76" t="str">
        <f>IFERROR((TP_DATA[[#This Row],[D, bottom '[m']]]+#REF!)/(2*#REF!/1000),"")</f>
        <v/>
      </c>
      <c r="CH44"/>
      <c r="CK44"/>
      <c r="CL44" s="76" t="str">
        <f>IFERROR((TOWER_DATA[[#This Row],[D, bottom '[m']]]+#REF!)/(2*#REF!/1000),"")</f>
        <v/>
      </c>
      <c r="CV44" s="61">
        <v>27</v>
      </c>
      <c r="CW44" s="63">
        <v>102.10000000000001</v>
      </c>
      <c r="CX44" s="63">
        <v>101.94000000000001</v>
      </c>
      <c r="CY44" s="61">
        <v>6.2279999999999998</v>
      </c>
      <c r="CZ44" s="61">
        <v>6.2279999999999998</v>
      </c>
      <c r="DA44" s="61">
        <v>28</v>
      </c>
      <c r="DC44" s="61" t="s">
        <v>269</v>
      </c>
      <c r="DD44" s="61">
        <v>94.891999999999996</v>
      </c>
      <c r="DE44" s="61">
        <v>94.891999999999996</v>
      </c>
      <c r="DF44" s="61">
        <v>138</v>
      </c>
      <c r="DU44" s="76"/>
      <c r="DV44" s="76"/>
    </row>
    <row r="45" spans="11:126" ht="18" hidden="1" customHeight="1" outlineLevel="1" x14ac:dyDescent="0.3">
      <c r="K45"/>
      <c r="N45"/>
      <c r="O45" s="76" t="str">
        <f>IFERROR((MP_DATA[[#This Row],[D, bottom '[m']]]+#REF!)/(2*#REF!/1000),"")</f>
        <v/>
      </c>
      <c r="AV45"/>
      <c r="AY45"/>
      <c r="AZ45" s="76" t="str">
        <f>IFERROR((TP_DATA[[#This Row],[D, bottom '[m']]]+#REF!)/(2*#REF!/1000),"")</f>
        <v/>
      </c>
      <c r="CH45"/>
      <c r="CK45"/>
      <c r="CL45" s="76" t="str">
        <f>IFERROR((TOWER_DATA[[#This Row],[D, bottom '[m']]]+#REF!)/(2*#REF!/1000),"")</f>
        <v/>
      </c>
      <c r="CV45" s="61">
        <v>28</v>
      </c>
      <c r="CW45" s="63">
        <v>101.94000000000001</v>
      </c>
      <c r="CX45" s="63">
        <v>101.9</v>
      </c>
      <c r="CY45" s="61">
        <v>6.2279999999999998</v>
      </c>
      <c r="CZ45" s="61">
        <v>6.23</v>
      </c>
      <c r="DA45" s="61">
        <v>28</v>
      </c>
      <c r="DC45" s="61" t="s">
        <v>269</v>
      </c>
      <c r="DD45" s="61">
        <v>91.005999999999986</v>
      </c>
      <c r="DE45" s="61">
        <v>91.005999999999986</v>
      </c>
      <c r="DF45" s="61">
        <v>138</v>
      </c>
      <c r="DU45" s="76"/>
      <c r="DV45" s="76"/>
    </row>
    <row r="46" spans="11:126" ht="18" hidden="1" customHeight="1" outlineLevel="1" x14ac:dyDescent="0.3">
      <c r="K46"/>
      <c r="N46"/>
      <c r="O46" s="76" t="str">
        <f>IFERROR((MP_DATA[[#This Row],[D, bottom '[m']]]+#REF!)/(2*#REF!/1000),"")</f>
        <v/>
      </c>
      <c r="AV46"/>
      <c r="AY46"/>
      <c r="AZ46" s="76" t="str">
        <f>IFERROR((TP_DATA[[#This Row],[D, bottom '[m']]]+#REF!)/(2*#REF!/1000),"")</f>
        <v/>
      </c>
      <c r="CH46"/>
      <c r="CK46"/>
      <c r="CL46" s="76" t="str">
        <f>IFERROR((TOWER_DATA[[#This Row],[D, bottom '[m']]]+#REF!)/(2*#REF!/1000),"")</f>
        <v/>
      </c>
      <c r="CV46" s="61">
        <v>29</v>
      </c>
      <c r="CW46" s="63">
        <v>101.9</v>
      </c>
      <c r="CX46" s="63">
        <v>100.9</v>
      </c>
      <c r="CY46" s="61">
        <v>6.23</v>
      </c>
      <c r="CZ46" s="61">
        <v>6.2530000000000001</v>
      </c>
      <c r="DA46" s="61">
        <v>30.099999999999998</v>
      </c>
      <c r="DC46" s="61" t="s">
        <v>269</v>
      </c>
      <c r="DD46" s="61">
        <v>90.899999999999991</v>
      </c>
      <c r="DE46" s="61">
        <v>90.899999999999991</v>
      </c>
      <c r="DF46" s="61">
        <v>139</v>
      </c>
      <c r="DU46" s="76"/>
      <c r="DV46" s="76"/>
    </row>
    <row r="47" spans="11:126" ht="18" hidden="1" customHeight="1" outlineLevel="1" x14ac:dyDescent="0.3">
      <c r="K47"/>
      <c r="N47"/>
      <c r="O47" s="76"/>
      <c r="AV47"/>
      <c r="AY47"/>
      <c r="AZ47" s="76"/>
      <c r="CH47"/>
      <c r="CK47"/>
      <c r="CL47" s="76"/>
      <c r="CV47" s="61">
        <v>30</v>
      </c>
      <c r="CW47" s="63">
        <v>100.9</v>
      </c>
      <c r="CX47" s="63">
        <v>99.172000000000011</v>
      </c>
      <c r="CY47" s="61">
        <v>6.2530000000000001</v>
      </c>
      <c r="CZ47" s="61">
        <v>6.2889999999999997</v>
      </c>
      <c r="DA47" s="61">
        <v>30.099999999999998</v>
      </c>
      <c r="DC47" s="61" t="s">
        <v>269</v>
      </c>
      <c r="DD47" s="61">
        <v>86.670999999999992</v>
      </c>
      <c r="DE47" s="61">
        <v>86.670999999999992</v>
      </c>
      <c r="DF47" s="61">
        <v>139</v>
      </c>
      <c r="DU47" s="76"/>
      <c r="DV47" s="76"/>
    </row>
    <row r="48" spans="11:126" ht="18" hidden="1" customHeight="1" outlineLevel="1" x14ac:dyDescent="0.3">
      <c r="K48"/>
      <c r="N48"/>
      <c r="O48" s="76"/>
      <c r="AV48"/>
      <c r="AY48"/>
      <c r="AZ48" s="76"/>
      <c r="CH48"/>
      <c r="CK48"/>
      <c r="CL48" s="76"/>
      <c r="CV48" s="61">
        <v>31</v>
      </c>
      <c r="CW48" s="63">
        <v>99.172000000000011</v>
      </c>
      <c r="CX48" s="63">
        <v>99.003</v>
      </c>
      <c r="CY48" s="61">
        <v>6.2889999999999997</v>
      </c>
      <c r="CZ48" s="61">
        <v>6.2919999999999998</v>
      </c>
      <c r="DA48" s="61">
        <v>26.5</v>
      </c>
      <c r="DC48" s="61" t="s">
        <v>269</v>
      </c>
      <c r="DD48" s="61">
        <v>82.839999999999989</v>
      </c>
      <c r="DE48" s="61">
        <v>82.839999999999989</v>
      </c>
      <c r="DF48" s="61">
        <v>140</v>
      </c>
      <c r="DU48" s="76"/>
      <c r="DV48" s="76"/>
    </row>
    <row r="49" spans="11:126" ht="18" hidden="1" customHeight="1" outlineLevel="1" x14ac:dyDescent="0.3">
      <c r="K49"/>
      <c r="N49"/>
      <c r="O49" s="76"/>
      <c r="AV49"/>
      <c r="AY49"/>
      <c r="AZ49" s="76"/>
      <c r="CH49"/>
      <c r="CK49"/>
      <c r="CL49" s="76"/>
      <c r="CV49" s="61">
        <v>32</v>
      </c>
      <c r="CW49" s="63">
        <v>99.003</v>
      </c>
      <c r="CX49" s="63">
        <v>96.45</v>
      </c>
      <c r="CY49" s="61">
        <v>6.2919999999999998</v>
      </c>
      <c r="CZ49" s="61">
        <v>6.351</v>
      </c>
      <c r="DA49" s="61">
        <v>26.5</v>
      </c>
      <c r="DC49" s="61" t="s">
        <v>269</v>
      </c>
      <c r="DD49" s="61">
        <v>80.899999999999991</v>
      </c>
      <c r="DE49" s="61">
        <v>80.899999999999991</v>
      </c>
      <c r="DF49" s="61">
        <v>140</v>
      </c>
      <c r="DU49" s="76"/>
      <c r="DV49" s="76"/>
    </row>
    <row r="50" spans="11:126" ht="18" hidden="1" customHeight="1" outlineLevel="1" x14ac:dyDescent="0.3">
      <c r="K50"/>
      <c r="N50"/>
      <c r="O50" s="76"/>
      <c r="AV50"/>
      <c r="AY50"/>
      <c r="AZ50" s="76"/>
      <c r="CH50"/>
      <c r="CK50"/>
      <c r="CL50" s="76"/>
      <c r="CV50" s="61">
        <v>33</v>
      </c>
      <c r="CW50" s="63">
        <v>96.45</v>
      </c>
      <c r="CX50" s="63">
        <v>94.89200000000001</v>
      </c>
      <c r="CY50" s="61">
        <v>6.351</v>
      </c>
      <c r="CZ50" s="61">
        <v>6.3869999999999996</v>
      </c>
      <c r="DA50" s="61">
        <v>28</v>
      </c>
      <c r="DC50" s="61" t="s">
        <v>269</v>
      </c>
      <c r="DD50" s="61">
        <v>78.449999999999989</v>
      </c>
      <c r="DE50" s="61">
        <v>78.449999999999989</v>
      </c>
      <c r="DF50" s="61">
        <v>141</v>
      </c>
      <c r="DU50" s="76"/>
      <c r="DV50" s="76"/>
    </row>
    <row r="51" spans="11:126" ht="18" hidden="1" customHeight="1" outlineLevel="1" x14ac:dyDescent="0.3">
      <c r="K51"/>
      <c r="N51"/>
      <c r="O51" s="76"/>
      <c r="AV51"/>
      <c r="AY51"/>
      <c r="AZ51" s="76"/>
      <c r="CH51"/>
      <c r="CK51"/>
      <c r="CL51" s="76"/>
      <c r="CV51" s="61">
        <v>34</v>
      </c>
      <c r="CW51" s="63">
        <v>94.89200000000001</v>
      </c>
      <c r="CX51" s="63">
        <v>93.728000000000009</v>
      </c>
      <c r="CY51" s="61">
        <v>6.3869999999999996</v>
      </c>
      <c r="CZ51" s="61">
        <v>6.4139999999999997</v>
      </c>
      <c r="DA51" s="61">
        <v>28</v>
      </c>
      <c r="DC51" s="61" t="s">
        <v>269</v>
      </c>
      <c r="DD51" s="61">
        <v>74.673999999999992</v>
      </c>
      <c r="DE51" s="61">
        <v>74.673999999999992</v>
      </c>
      <c r="DF51" s="61">
        <v>141</v>
      </c>
      <c r="DU51" s="76"/>
      <c r="DV51" s="76"/>
    </row>
    <row r="52" spans="11:126" ht="18" hidden="1" customHeight="1" outlineLevel="1" x14ac:dyDescent="0.3">
      <c r="K52"/>
      <c r="N52"/>
      <c r="O52" s="76"/>
      <c r="AV52"/>
      <c r="AY52"/>
      <c r="AZ52" s="76"/>
      <c r="CH52"/>
      <c r="CK52"/>
      <c r="CL52" s="76"/>
      <c r="CV52" s="61">
        <v>35</v>
      </c>
      <c r="CW52" s="63">
        <v>93.728000000000009</v>
      </c>
      <c r="CX52" s="63">
        <v>91.006</v>
      </c>
      <c r="CY52" s="61">
        <v>6.4139999999999997</v>
      </c>
      <c r="CZ52" s="61">
        <v>6.4749999999999996</v>
      </c>
      <c r="DA52" s="61">
        <v>28.6</v>
      </c>
      <c r="DC52" s="61" t="s">
        <v>269</v>
      </c>
      <c r="DD52" s="61">
        <v>71.951999999999984</v>
      </c>
      <c r="DE52" s="61">
        <v>71.951999999999984</v>
      </c>
      <c r="DF52" s="61">
        <v>142</v>
      </c>
      <c r="DU52" s="76"/>
      <c r="DV52" s="76"/>
    </row>
    <row r="53" spans="11:126" ht="18" hidden="1" customHeight="1" outlineLevel="1" x14ac:dyDescent="0.3">
      <c r="K53"/>
      <c r="N53"/>
      <c r="O53" s="76"/>
      <c r="AV53"/>
      <c r="AY53"/>
      <c r="AZ53" s="76"/>
      <c r="CH53"/>
      <c r="CK53"/>
      <c r="CL53" s="76"/>
      <c r="CV53" s="61">
        <v>36</v>
      </c>
      <c r="CW53" s="63">
        <v>91.006</v>
      </c>
      <c r="CX53" s="63">
        <v>90.9</v>
      </c>
      <c r="CY53" s="61">
        <v>6.4749999999999996</v>
      </c>
      <c r="CZ53" s="61">
        <v>6.4779999999999998</v>
      </c>
      <c r="DA53" s="61">
        <v>29.4</v>
      </c>
      <c r="DC53" s="61" t="s">
        <v>269</v>
      </c>
      <c r="DD53" s="61">
        <v>70.899999999999991</v>
      </c>
      <c r="DE53" s="61">
        <v>70.899999999999991</v>
      </c>
      <c r="DF53" s="61">
        <v>143</v>
      </c>
      <c r="DU53" s="76"/>
      <c r="DV53" s="76"/>
    </row>
    <row r="54" spans="11:126" ht="18" hidden="1" customHeight="1" outlineLevel="1" x14ac:dyDescent="0.3">
      <c r="K54"/>
      <c r="N54"/>
      <c r="O54" s="76"/>
      <c r="AV54"/>
      <c r="AY54"/>
      <c r="AZ54" s="76"/>
      <c r="CH54"/>
      <c r="CK54"/>
      <c r="CL54" s="76"/>
      <c r="CV54" s="61">
        <v>37</v>
      </c>
      <c r="CW54" s="63">
        <v>90.9</v>
      </c>
      <c r="CX54" s="63">
        <v>88.284000000000006</v>
      </c>
      <c r="CY54" s="61">
        <v>6.4779999999999998</v>
      </c>
      <c r="CZ54" s="61">
        <v>6.5380000000000003</v>
      </c>
      <c r="DA54" s="61">
        <v>29.4</v>
      </c>
      <c r="DC54" s="61" t="s">
        <v>269</v>
      </c>
      <c r="DD54" s="61">
        <v>66.489999999999995</v>
      </c>
      <c r="DE54" s="61">
        <v>66.489999999999995</v>
      </c>
      <c r="DF54" s="61">
        <v>144</v>
      </c>
      <c r="DU54" s="76"/>
      <c r="DV54" s="76"/>
    </row>
    <row r="55" spans="11:126" ht="18" hidden="1" customHeight="1" outlineLevel="1" x14ac:dyDescent="0.3">
      <c r="K55"/>
      <c r="N55"/>
      <c r="O55" s="76"/>
      <c r="AV55"/>
      <c r="AY55"/>
      <c r="AZ55" s="76"/>
      <c r="CH55"/>
      <c r="CK55"/>
      <c r="CL55" s="76"/>
      <c r="CV55" s="61">
        <v>38</v>
      </c>
      <c r="CW55" s="63">
        <v>88.284000000000006</v>
      </c>
      <c r="CX55" s="63">
        <v>86.671000000000006</v>
      </c>
      <c r="CY55" s="61">
        <v>6.5380000000000003</v>
      </c>
      <c r="CZ55" s="61">
        <v>6.5739999999999998</v>
      </c>
      <c r="DA55" s="61">
        <v>29.5</v>
      </c>
      <c r="DC55" s="61" t="s">
        <v>269</v>
      </c>
      <c r="DD55" s="61">
        <v>66.444999999999993</v>
      </c>
      <c r="DE55" s="61">
        <v>66.444999999999993</v>
      </c>
      <c r="DF55" s="61">
        <v>7316</v>
      </c>
      <c r="DU55" s="76"/>
      <c r="DV55" s="76"/>
    </row>
    <row r="56" spans="11:126" ht="18" hidden="1" customHeight="1" outlineLevel="1" x14ac:dyDescent="0.3">
      <c r="K56"/>
      <c r="N56"/>
      <c r="O56" s="76"/>
      <c r="AV56"/>
      <c r="AY56"/>
      <c r="AZ56" s="76"/>
      <c r="CH56"/>
      <c r="CK56"/>
      <c r="CL56" s="76"/>
      <c r="CV56" s="61">
        <v>39</v>
      </c>
      <c r="CW56" s="63">
        <v>86.671000000000006</v>
      </c>
      <c r="CX56" s="63">
        <v>85.562000000000012</v>
      </c>
      <c r="CY56" s="61">
        <v>6.5739999999999998</v>
      </c>
      <c r="CZ56" s="61">
        <v>6.601</v>
      </c>
      <c r="DA56" s="61">
        <v>29.5</v>
      </c>
      <c r="DC56" s="61" t="s">
        <v>269</v>
      </c>
      <c r="DD56" s="61">
        <v>66.259999999999991</v>
      </c>
      <c r="DE56" s="61">
        <v>66.259999999999991</v>
      </c>
      <c r="DF56" s="61">
        <v>10048</v>
      </c>
      <c r="DU56" s="76"/>
      <c r="DV56" s="76"/>
    </row>
    <row r="57" spans="11:126" ht="18" hidden="1" customHeight="1" outlineLevel="1" x14ac:dyDescent="0.3">
      <c r="K57"/>
      <c r="N57"/>
      <c r="O57" s="76"/>
      <c r="AV57"/>
      <c r="AY57"/>
      <c r="AZ57" s="76"/>
      <c r="CH57"/>
      <c r="CK57"/>
      <c r="CL57" s="76"/>
      <c r="CV57" s="61">
        <v>40</v>
      </c>
      <c r="CW57" s="63">
        <v>85.562000000000012</v>
      </c>
      <c r="CX57" s="63">
        <v>82.84</v>
      </c>
      <c r="CY57" s="61">
        <v>6.601</v>
      </c>
      <c r="CZ57" s="61">
        <v>6.6619999999999999</v>
      </c>
      <c r="DA57" s="61">
        <v>31.5</v>
      </c>
      <c r="DC57" s="61" t="s">
        <v>269</v>
      </c>
      <c r="DD57" s="61">
        <v>66.074999999999989</v>
      </c>
      <c r="DE57" s="61">
        <v>66.074999999999989</v>
      </c>
      <c r="DF57" s="61">
        <v>6</v>
      </c>
      <c r="DU57" s="76"/>
      <c r="DV57" s="76"/>
    </row>
    <row r="58" spans="11:126" ht="18" hidden="1" customHeight="1" outlineLevel="1" x14ac:dyDescent="0.3">
      <c r="K58"/>
      <c r="N58"/>
      <c r="O58" s="76"/>
      <c r="AV58"/>
      <c r="AY58"/>
      <c r="AZ58" s="76"/>
      <c r="CH58"/>
      <c r="CK58"/>
      <c r="CL58" s="76"/>
      <c r="CV58" s="61">
        <v>41</v>
      </c>
      <c r="CW58" s="63">
        <v>82.84</v>
      </c>
      <c r="CX58" s="63">
        <v>82.56</v>
      </c>
      <c r="CY58" s="61">
        <v>6.6619999999999999</v>
      </c>
      <c r="CZ58" s="61">
        <v>6.6689999999999996</v>
      </c>
      <c r="DA58" s="61">
        <v>31.2</v>
      </c>
      <c r="DC58" s="61" t="s">
        <v>269</v>
      </c>
      <c r="DD58" s="61">
        <v>66.029999999999987</v>
      </c>
      <c r="DE58" s="61">
        <v>66.029999999999987</v>
      </c>
      <c r="DF58" s="61">
        <v>1061</v>
      </c>
      <c r="DU58" s="76"/>
      <c r="DV58" s="76"/>
    </row>
    <row r="59" spans="11:126" ht="18" hidden="1" customHeight="1" outlineLevel="1" x14ac:dyDescent="0.3">
      <c r="K59"/>
      <c r="N59"/>
      <c r="O59" s="76" t="str">
        <f>IFERROR((MP_DATA[[#This Row],[D, bottom '[m']]]+#REF!)/(2*#REF!/1000),"")</f>
        <v/>
      </c>
      <c r="AV59"/>
      <c r="AY59"/>
      <c r="AZ59" s="76" t="str">
        <f>IFERROR((TP_DATA[[#This Row],[D, bottom '[m']]]+#REF!)/(2*#REF!/1000),"")</f>
        <v/>
      </c>
      <c r="CH59"/>
      <c r="CK59"/>
      <c r="CL59" s="76" t="str">
        <f>IFERROR((TOWER_DATA[[#This Row],[D, bottom '[m']]]+#REF!)/(2*#REF!/1000),"")</f>
        <v/>
      </c>
      <c r="CV59" s="61">
        <v>42</v>
      </c>
      <c r="CW59" s="63">
        <v>82.56</v>
      </c>
      <c r="CX59" s="63">
        <v>80.900000000000006</v>
      </c>
      <c r="CY59" s="61">
        <v>6.6689999999999996</v>
      </c>
      <c r="CZ59" s="61">
        <v>6.7060000000000004</v>
      </c>
      <c r="DA59" s="61">
        <v>31.2</v>
      </c>
      <c r="DC59" s="61" t="s">
        <v>269</v>
      </c>
      <c r="DD59" s="61">
        <v>63.308000000000007</v>
      </c>
      <c r="DE59" s="61">
        <v>63.308000000000007</v>
      </c>
      <c r="DF59" s="61">
        <v>143</v>
      </c>
      <c r="DU59" s="76"/>
      <c r="DV59" s="76"/>
    </row>
    <row r="60" spans="11:126" ht="18" hidden="1" customHeight="1" outlineLevel="1" x14ac:dyDescent="0.3">
      <c r="K60"/>
      <c r="N60"/>
      <c r="O60" s="76" t="str">
        <f>IFERROR((MP_DATA[[#This Row],[D, bottom '[m']]]+#REF!)/(2*#REF!/1000),"")</f>
        <v/>
      </c>
      <c r="AV60"/>
      <c r="AY60"/>
      <c r="AZ60" s="76" t="str">
        <f>IFERROR((TP_DATA[[#This Row],[D, bottom '[m']]]+#REF!)/(2*#REF!/1000),"")</f>
        <v/>
      </c>
      <c r="CH60"/>
      <c r="CK60"/>
      <c r="CL60" s="76" t="str">
        <f>IFERROR((TOWER_DATA[[#This Row],[D, bottom '[m']]]+#REF!)/(2*#REF!/1000),"")</f>
        <v/>
      </c>
      <c r="CV60" s="61">
        <v>43</v>
      </c>
      <c r="CW60" s="63">
        <v>80.900000000000006</v>
      </c>
      <c r="CX60" s="63">
        <v>80.118000000000009</v>
      </c>
      <c r="CY60" s="61">
        <v>6.7060000000000004</v>
      </c>
      <c r="CZ60" s="61">
        <v>6.7240000000000002</v>
      </c>
      <c r="DA60" s="61">
        <v>31.2</v>
      </c>
      <c r="DC60" s="61" t="s">
        <v>269</v>
      </c>
      <c r="DD60" s="61">
        <v>62.007000000000005</v>
      </c>
      <c r="DE60" s="61">
        <v>62.007000000000005</v>
      </c>
      <c r="DF60" s="61">
        <v>144</v>
      </c>
      <c r="DU60" s="76"/>
      <c r="DV60" s="76"/>
    </row>
    <row r="61" spans="11:126" ht="18" hidden="1" customHeight="1" outlineLevel="1" x14ac:dyDescent="0.3">
      <c r="K61"/>
      <c r="N61"/>
      <c r="O61" s="76" t="str">
        <f>IFERROR((MP_DATA[[#This Row],[D, bottom '[m']]]+#REF!)/(2*#REF!/1000),"")</f>
        <v/>
      </c>
      <c r="AV61"/>
      <c r="AY61"/>
      <c r="AZ61" s="76" t="str">
        <f>IFERROR((TP_DATA[[#This Row],[D, bottom '[m']]]+#REF!)/(2*#REF!/1000),"")</f>
        <v/>
      </c>
      <c r="CH61"/>
      <c r="CK61"/>
      <c r="CL61" s="76" t="str">
        <f>IFERROR((TOWER_DATA[[#This Row],[D, bottom '[m']]]+#REF!)/(2*#REF!/1000),"")</f>
        <v/>
      </c>
      <c r="CV61" s="61">
        <v>44</v>
      </c>
      <c r="CW61" s="63">
        <v>80.118000000000009</v>
      </c>
      <c r="CX61" s="63">
        <v>78.45</v>
      </c>
      <c r="CY61" s="61">
        <v>6.7240000000000002</v>
      </c>
      <c r="CZ61" s="61">
        <v>6.7619999999999996</v>
      </c>
      <c r="DA61" s="61">
        <v>31.7</v>
      </c>
      <c r="DC61" s="61" t="s">
        <v>269</v>
      </c>
      <c r="DD61" s="61">
        <v>57.896000000000001</v>
      </c>
      <c r="DE61" s="61">
        <v>57.896000000000001</v>
      </c>
      <c r="DF61" s="61">
        <v>144</v>
      </c>
      <c r="DU61" s="76"/>
      <c r="DV61" s="76"/>
    </row>
    <row r="62" spans="11:126" ht="18" hidden="1" customHeight="1" outlineLevel="1" x14ac:dyDescent="0.3">
      <c r="K62"/>
      <c r="N62"/>
      <c r="O62" s="76" t="str">
        <f>IFERROR((MP_DATA[[#This Row],[D, bottom '[m']]]+#REF!)/(2*#REF!/1000),"")</f>
        <v/>
      </c>
      <c r="AV62"/>
      <c r="AY62"/>
      <c r="AZ62" s="76" t="str">
        <f>IFERROR((TP_DATA[[#This Row],[D, bottom '[m']]]+#REF!)/(2*#REF!/1000),"")</f>
        <v/>
      </c>
      <c r="CH62"/>
      <c r="CK62"/>
      <c r="CL62" s="76" t="str">
        <f>IFERROR((TOWER_DATA[[#This Row],[D, bottom '[m']]]+#REF!)/(2*#REF!/1000),"")</f>
        <v/>
      </c>
      <c r="CV62" s="61">
        <v>45</v>
      </c>
      <c r="CW62" s="63">
        <v>78.45</v>
      </c>
      <c r="CX62" s="63">
        <v>77.396000000000001</v>
      </c>
      <c r="CY62" s="61">
        <v>6.7619999999999996</v>
      </c>
      <c r="CZ62" s="61">
        <v>6.7859999999999996</v>
      </c>
      <c r="DA62" s="61">
        <v>31.7</v>
      </c>
      <c r="DC62" s="61" t="s">
        <v>269</v>
      </c>
      <c r="DD62" s="61">
        <v>55.153999999999996</v>
      </c>
      <c r="DE62" s="61">
        <v>55.153999999999996</v>
      </c>
      <c r="DF62" s="61">
        <v>144</v>
      </c>
      <c r="DU62" s="76"/>
      <c r="DV62" s="76"/>
    </row>
    <row r="63" spans="11:126" ht="18" hidden="1" customHeight="1" outlineLevel="1" x14ac:dyDescent="0.3">
      <c r="K63"/>
      <c r="N63"/>
      <c r="O63" s="76" t="str">
        <f>IFERROR((MP_DATA[[#This Row],[D, bottom '[m']]]+#REF!)/(2*#REF!/1000),"")</f>
        <v/>
      </c>
      <c r="AV63"/>
      <c r="AY63"/>
      <c r="AZ63" s="76" t="str">
        <f>IFERROR((TP_DATA[[#This Row],[D, bottom '[m']]]+#REF!)/(2*#REF!/1000),"")</f>
        <v/>
      </c>
      <c r="CH63"/>
      <c r="CK63"/>
      <c r="CL63" s="76" t="str">
        <f>IFERROR((TOWER_DATA[[#This Row],[D, bottom '[m']]]+#REF!)/(2*#REF!/1000),"")</f>
        <v/>
      </c>
      <c r="CV63" s="61">
        <v>46</v>
      </c>
      <c r="CW63" s="63">
        <v>77.396000000000001</v>
      </c>
      <c r="CX63" s="63">
        <v>74.674000000000007</v>
      </c>
      <c r="CY63" s="61">
        <v>6.7859999999999996</v>
      </c>
      <c r="CZ63" s="61">
        <v>6.8479999999999999</v>
      </c>
      <c r="DA63" s="61">
        <v>32.200000000000003</v>
      </c>
      <c r="DC63" s="61" t="s">
        <v>269</v>
      </c>
      <c r="DD63" s="61">
        <v>53.786000000000001</v>
      </c>
      <c r="DE63" s="61">
        <v>53.786000000000001</v>
      </c>
      <c r="DF63" s="61">
        <v>145</v>
      </c>
      <c r="DU63" s="76"/>
      <c r="DV63" s="76"/>
    </row>
    <row r="64" spans="11:126" ht="18" hidden="1" customHeight="1" outlineLevel="1" x14ac:dyDescent="0.3">
      <c r="K64"/>
      <c r="N64"/>
      <c r="O64" s="76" t="str">
        <f>IFERROR((MP_DATA[[#This Row],[D, bottom '[m']]]+#REF!)/(2*#REF!/1000),"")</f>
        <v/>
      </c>
      <c r="AV64"/>
      <c r="AY64"/>
      <c r="AZ64" s="76" t="str">
        <f>IFERROR((TP_DATA[[#This Row],[D, bottom '[m']]]+#REF!)/(2*#REF!/1000),"")</f>
        <v/>
      </c>
      <c r="CH64"/>
      <c r="CK64"/>
      <c r="CL64" s="76" t="str">
        <f>IFERROR((TOWER_DATA[[#This Row],[D, bottom '[m']]]+#REF!)/(2*#REF!/1000),"")</f>
        <v/>
      </c>
      <c r="CV64" s="61">
        <v>47</v>
      </c>
      <c r="CW64" s="63">
        <v>74.674000000000007</v>
      </c>
      <c r="CX64" s="63">
        <v>71.951999999999998</v>
      </c>
      <c r="CY64" s="61">
        <v>6.8479999999999999</v>
      </c>
      <c r="CZ64" s="61">
        <v>6.9109999999999996</v>
      </c>
      <c r="DA64" s="61">
        <v>32.5</v>
      </c>
      <c r="DC64" s="61" t="s">
        <v>269</v>
      </c>
      <c r="DD64" s="61">
        <v>50.900000000000006</v>
      </c>
      <c r="DE64" s="61">
        <v>50.900000000000006</v>
      </c>
      <c r="DF64" s="61">
        <v>145</v>
      </c>
      <c r="DU64" s="76"/>
      <c r="DV64" s="76"/>
    </row>
    <row r="65" spans="11:126" ht="18" hidden="1" customHeight="1" outlineLevel="1" x14ac:dyDescent="0.3">
      <c r="K65"/>
      <c r="N65"/>
      <c r="O65" s="76" t="str">
        <f>IFERROR((MP_DATA[[#This Row],[D, bottom '[m']]]+#REF!)/(2*#REF!/1000),"")</f>
        <v/>
      </c>
      <c r="AV65"/>
      <c r="AY65"/>
      <c r="AZ65" s="76" t="str">
        <f>IFERROR((TP_DATA[[#This Row],[D, bottom '[m']]]+#REF!)/(2*#REF!/1000),"")</f>
        <v/>
      </c>
      <c r="CH65"/>
      <c r="CK65"/>
      <c r="CL65" s="76" t="str">
        <f>IFERROR((TOWER_DATA[[#This Row],[D, bottom '[m']]]+#REF!)/(2*#REF!/1000),"")</f>
        <v/>
      </c>
      <c r="CV65" s="61">
        <v>48</v>
      </c>
      <c r="CW65" s="63">
        <v>71.951999999999998</v>
      </c>
      <c r="CX65" s="63">
        <v>70.900000000000006</v>
      </c>
      <c r="CY65" s="61">
        <v>6.9109999999999996</v>
      </c>
      <c r="CZ65" s="61">
        <v>6.9340000000000002</v>
      </c>
      <c r="DA65" s="61">
        <v>33.5</v>
      </c>
      <c r="DC65" s="61" t="s">
        <v>269</v>
      </c>
      <c r="DD65" s="61">
        <v>49.674999999999997</v>
      </c>
      <c r="DE65" s="61">
        <v>49.674999999999997</v>
      </c>
      <c r="DF65" s="61">
        <v>145</v>
      </c>
      <c r="DU65" s="76"/>
      <c r="DV65" s="76"/>
    </row>
    <row r="66" spans="11:126" ht="18" hidden="1" customHeight="1" outlineLevel="1" x14ac:dyDescent="0.3">
      <c r="K66"/>
      <c r="N66"/>
      <c r="O66" s="76" t="str">
        <f>IFERROR((MP_DATA[[#This Row],[D, bottom '[m']]]+#REF!)/(2*#REF!/1000),"")</f>
        <v/>
      </c>
      <c r="AV66"/>
      <c r="AY66"/>
      <c r="AZ66" s="76" t="str">
        <f>IFERROR((TP_DATA[[#This Row],[D, bottom '[m']]]+#REF!)/(2*#REF!/1000),"")</f>
        <v/>
      </c>
      <c r="CH66"/>
      <c r="CK66"/>
      <c r="CL66" s="76" t="str">
        <f>IFERROR((TOWER_DATA[[#This Row],[D, bottom '[m']]]+#REF!)/(2*#REF!/1000),"")</f>
        <v/>
      </c>
      <c r="CV66" s="61">
        <v>49</v>
      </c>
      <c r="CW66" s="63">
        <v>70.900000000000006</v>
      </c>
      <c r="CX66" s="63">
        <v>69.225000000000009</v>
      </c>
      <c r="CY66" s="61">
        <v>6.9340000000000002</v>
      </c>
      <c r="CZ66" s="61">
        <v>6.9720000000000004</v>
      </c>
      <c r="DA66" s="61">
        <v>33.5</v>
      </c>
      <c r="DC66" s="61" t="s">
        <v>269</v>
      </c>
      <c r="DD66" s="61">
        <v>45.564000000000007</v>
      </c>
      <c r="DE66" s="61">
        <v>45.564000000000007</v>
      </c>
      <c r="DF66" s="61">
        <v>146</v>
      </c>
      <c r="DU66" s="76"/>
      <c r="DV66" s="76"/>
    </row>
    <row r="67" spans="11:126" ht="18" hidden="1" customHeight="1" outlineLevel="1" x14ac:dyDescent="0.3">
      <c r="K67"/>
      <c r="N67"/>
      <c r="O67" s="76" t="str">
        <f>IFERROR((MP_DATA[[#This Row],[D, bottom '[m']]]+#REF!)/(2*#REF!/1000),"")</f>
        <v/>
      </c>
      <c r="AV67"/>
      <c r="AY67"/>
      <c r="AZ67" s="76" t="str">
        <f>IFERROR((TP_DATA[[#This Row],[D, bottom '[m']]]+#REF!)/(2*#REF!/1000),"")</f>
        <v/>
      </c>
      <c r="CH67"/>
      <c r="CK67"/>
      <c r="CL67" s="76" t="str">
        <f>IFERROR((TOWER_DATA[[#This Row],[D, bottom '[m']]]+#REF!)/(2*#REF!/1000),"")</f>
        <v/>
      </c>
      <c r="CV67" s="61">
        <v>50</v>
      </c>
      <c r="CW67" s="63">
        <v>69.225000000000009</v>
      </c>
      <c r="CX67" s="63">
        <v>66.490000000000009</v>
      </c>
      <c r="CY67" s="61">
        <v>6.9720000000000004</v>
      </c>
      <c r="CZ67" s="61">
        <v>7.0380000000000003</v>
      </c>
      <c r="DA67" s="61">
        <v>34</v>
      </c>
      <c r="DC67" s="61" t="s">
        <v>269</v>
      </c>
      <c r="DD67" s="61">
        <v>41.561000000000007</v>
      </c>
      <c r="DE67" s="61">
        <v>41.561000000000007</v>
      </c>
      <c r="DF67" s="61">
        <v>146</v>
      </c>
      <c r="DU67" s="76"/>
      <c r="DV67" s="76"/>
    </row>
    <row r="68" spans="11:126" ht="18" hidden="1" customHeight="1" outlineLevel="1" x14ac:dyDescent="0.3">
      <c r="K68"/>
      <c r="N68"/>
      <c r="O68" s="76" t="str">
        <f>IFERROR((MP_DATA[[#This Row],[D, bottom '[m']]]+#REF!)/(2*#REF!/1000),"")</f>
        <v/>
      </c>
      <c r="AV68"/>
      <c r="AY68"/>
      <c r="AZ68" s="76" t="str">
        <f>IFERROR((TP_DATA[[#This Row],[D, bottom '[m']]]+#REF!)/(2*#REF!/1000),"")</f>
        <v/>
      </c>
      <c r="CH68"/>
      <c r="CK68"/>
      <c r="CL68" s="76" t="str">
        <f>IFERROR((TOWER_DATA[[#This Row],[D, bottom '[m']]]+#REF!)/(2*#REF!/1000),"")</f>
        <v/>
      </c>
      <c r="CV68" s="61">
        <v>51</v>
      </c>
      <c r="CW68" s="63">
        <v>66.490000000000009</v>
      </c>
      <c r="CX68" s="63">
        <v>66.445000000000007</v>
      </c>
      <c r="CY68" s="61">
        <v>7.0380000000000003</v>
      </c>
      <c r="CZ68" s="61">
        <v>7.0380000000000003</v>
      </c>
      <c r="DA68" s="61">
        <v>38</v>
      </c>
      <c r="DC68" s="61" t="s">
        <v>269</v>
      </c>
      <c r="DD68" s="61">
        <v>40.900000000000006</v>
      </c>
      <c r="DE68" s="61">
        <v>40.900000000000006</v>
      </c>
      <c r="DF68" s="61">
        <v>150</v>
      </c>
      <c r="DU68" s="76"/>
      <c r="DV68" s="76"/>
    </row>
    <row r="69" spans="11:126" ht="18" hidden="1" customHeight="1" outlineLevel="1" x14ac:dyDescent="0.3">
      <c r="K69"/>
      <c r="N69"/>
      <c r="O69" s="76" t="str">
        <f>IFERROR((MP_DATA[[#This Row],[D, bottom '[m']]]+#REF!)/(2*#REF!/1000),"")</f>
        <v/>
      </c>
      <c r="AV69"/>
      <c r="AY69"/>
      <c r="AZ69" s="76" t="str">
        <f>IFERROR((TP_DATA[[#This Row],[D, bottom '[m']]]+#REF!)/(2*#REF!/1000),"")</f>
        <v/>
      </c>
      <c r="CH69"/>
      <c r="CK69"/>
      <c r="CL69" s="76" t="str">
        <f>IFERROR((TOWER_DATA[[#This Row],[D, bottom '[m']]]+#REF!)/(2*#REF!/1000),"")</f>
        <v/>
      </c>
      <c r="CV69" s="61">
        <v>52</v>
      </c>
      <c r="CW69" s="63">
        <v>66.445000000000007</v>
      </c>
      <c r="CX69" s="63">
        <v>66.260000000000005</v>
      </c>
      <c r="CY69" s="61">
        <v>7.0380000000000003</v>
      </c>
      <c r="CZ69" s="61">
        <v>7.0380000000000003</v>
      </c>
      <c r="DA69" s="61">
        <v>38</v>
      </c>
      <c r="DC69" s="61" t="s">
        <v>269</v>
      </c>
      <c r="DD69" s="61">
        <v>38.725000000000001</v>
      </c>
      <c r="DE69" s="61">
        <v>38.725000000000001</v>
      </c>
      <c r="DF69" s="61">
        <v>7072</v>
      </c>
      <c r="DU69" s="76"/>
      <c r="DV69" s="76"/>
    </row>
    <row r="70" spans="11:126" ht="18" hidden="1" customHeight="1" outlineLevel="1" x14ac:dyDescent="0.3">
      <c r="K70"/>
      <c r="N70"/>
      <c r="O70" s="76" t="str">
        <f>IFERROR((MP_DATA[[#This Row],[D, bottom '[m']]]+#REF!)/(2*#REF!/1000),"")</f>
        <v/>
      </c>
      <c r="AV70"/>
      <c r="AY70"/>
      <c r="AZ70" s="76" t="str">
        <f>IFERROR((TP_DATA[[#This Row],[D, bottom '[m']]]+#REF!)/(2*#REF!/1000),"")</f>
        <v/>
      </c>
      <c r="CH70"/>
      <c r="CK70"/>
      <c r="CL70" s="76" t="str">
        <f>IFERROR((TOWER_DATA[[#This Row],[D, bottom '[m']]]+#REF!)/(2*#REF!/1000),"")</f>
        <v/>
      </c>
      <c r="CV70" s="61">
        <v>53</v>
      </c>
      <c r="CW70" s="63">
        <v>66.260000000000005</v>
      </c>
      <c r="CX70" s="63">
        <v>66.075000000000003</v>
      </c>
      <c r="CY70" s="61">
        <v>7.0380000000000003</v>
      </c>
      <c r="CZ70" s="61">
        <v>7.0380000000000003</v>
      </c>
      <c r="DA70" s="61">
        <v>38</v>
      </c>
      <c r="DC70" s="61" t="s">
        <v>269</v>
      </c>
      <c r="DD70" s="61">
        <v>38.540000000000006</v>
      </c>
      <c r="DE70" s="61">
        <v>38.540000000000006</v>
      </c>
      <c r="DF70" s="61">
        <v>11176</v>
      </c>
      <c r="DU70" s="76"/>
      <c r="DV70" s="76"/>
    </row>
    <row r="71" spans="11:126" ht="18" hidden="1" customHeight="1" outlineLevel="1" x14ac:dyDescent="0.3">
      <c r="K71"/>
      <c r="N71"/>
      <c r="O71" s="76" t="str">
        <f>IFERROR((MP_DATA[[#This Row],[D, bottom '[m']]]+#REF!)/(2*#REF!/1000),"")</f>
        <v/>
      </c>
      <c r="AV71"/>
      <c r="AY71"/>
      <c r="AZ71" s="76" t="str">
        <f>IFERROR((TP_DATA[[#This Row],[D, bottom '[m']]]+#REF!)/(2*#REF!/1000),"")</f>
        <v/>
      </c>
      <c r="CH71"/>
      <c r="CK71"/>
      <c r="CL71" s="76" t="str">
        <f>IFERROR((TOWER_DATA[[#This Row],[D, bottom '[m']]]+#REF!)/(2*#REF!/1000),"")</f>
        <v/>
      </c>
      <c r="CV71" s="61">
        <v>54</v>
      </c>
      <c r="CW71" s="63">
        <v>66.075000000000003</v>
      </c>
      <c r="CX71" s="63">
        <v>66.03</v>
      </c>
      <c r="CY71" s="61">
        <v>7.0380000000000003</v>
      </c>
      <c r="CZ71" s="61">
        <v>7.032</v>
      </c>
      <c r="DA71" s="61">
        <v>38</v>
      </c>
      <c r="DC71" s="61" t="s">
        <v>269</v>
      </c>
      <c r="DD71" s="61">
        <v>38.355000000000004</v>
      </c>
      <c r="DE71" s="61">
        <v>38.355000000000004</v>
      </c>
      <c r="DF71" s="61">
        <v>6</v>
      </c>
      <c r="DU71" s="76"/>
      <c r="DV71" s="76"/>
    </row>
    <row r="72" spans="11:126" ht="18" hidden="1" customHeight="1" outlineLevel="1" x14ac:dyDescent="0.3">
      <c r="K72"/>
      <c r="N72"/>
      <c r="O72" s="76" t="str">
        <f>IFERROR((MP_DATA[[#This Row],[D, bottom '[m']]]+#REF!)/(2*#REF!/1000),"")</f>
        <v/>
      </c>
      <c r="AV72"/>
      <c r="AY72"/>
      <c r="AZ72" s="76" t="str">
        <f>IFERROR((TP_DATA[[#This Row],[D, bottom '[m']]]+#REF!)/(2*#REF!/1000),"")</f>
        <v/>
      </c>
      <c r="CH72"/>
      <c r="CK72"/>
      <c r="CL72" s="76" t="str">
        <f>IFERROR((TOWER_DATA[[#This Row],[D, bottom '[m']]]+#REF!)/(2*#REF!/1000),"")</f>
        <v/>
      </c>
      <c r="CV72" s="61">
        <v>55</v>
      </c>
      <c r="CW72" s="63">
        <v>66.03</v>
      </c>
      <c r="CX72" s="63">
        <v>63.308000000000007</v>
      </c>
      <c r="CY72" s="61">
        <v>7.032</v>
      </c>
      <c r="CZ72" s="61">
        <v>7.0759999999999996</v>
      </c>
      <c r="DA72" s="61">
        <v>32</v>
      </c>
      <c r="DC72" s="61" t="s">
        <v>269</v>
      </c>
      <c r="DD72" s="61">
        <v>38.305000000000007</v>
      </c>
      <c r="DE72" s="61">
        <v>38.305000000000007</v>
      </c>
      <c r="DF72" s="61">
        <v>2</v>
      </c>
      <c r="DU72" s="76"/>
      <c r="DV72" s="76"/>
    </row>
    <row r="73" spans="11:126" ht="18" hidden="1" customHeight="1" outlineLevel="1" x14ac:dyDescent="0.3">
      <c r="K73"/>
      <c r="N73"/>
      <c r="O73" s="76" t="str">
        <f>IFERROR((MP_DATA[[#This Row],[D, bottom '[m']]]+#REF!)/(2*#REF!/1000),"")</f>
        <v/>
      </c>
      <c r="AV73"/>
      <c r="AY73"/>
      <c r="AZ73" s="76" t="str">
        <f>IFERROR((TP_DATA[[#This Row],[D, bottom '[m']]]+#REF!)/(2*#REF!/1000),"")</f>
        <v/>
      </c>
      <c r="CH73"/>
      <c r="CK73"/>
      <c r="CL73" s="76" t="str">
        <f>IFERROR((TOWER_DATA[[#This Row],[D, bottom '[m']]]+#REF!)/(2*#REF!/1000),"")</f>
        <v/>
      </c>
      <c r="CV73" s="61">
        <v>56</v>
      </c>
      <c r="CW73" s="63">
        <v>63.308000000000007</v>
      </c>
      <c r="CX73" s="63">
        <v>62.007000000000005</v>
      </c>
      <c r="CY73" s="61">
        <v>7.0759999999999996</v>
      </c>
      <c r="CZ73" s="61">
        <v>7.0970000000000004</v>
      </c>
      <c r="DA73" s="61">
        <v>33</v>
      </c>
      <c r="DC73" s="61" t="s">
        <v>269</v>
      </c>
      <c r="DD73" s="61">
        <v>37.343000000000004</v>
      </c>
      <c r="DE73" s="61">
        <v>37.343000000000004</v>
      </c>
      <c r="DF73" s="61">
        <v>1318</v>
      </c>
      <c r="DU73" s="76"/>
      <c r="DV73" s="76"/>
    </row>
    <row r="74" spans="11:126" ht="18" hidden="1" customHeight="1" outlineLevel="1" x14ac:dyDescent="0.3">
      <c r="K74"/>
      <c r="N74"/>
      <c r="O74" s="76" t="str">
        <f>IFERROR((MP_DATA[[#This Row],[D, bottom '[m']]]+#REF!)/(2*#REF!/1000),"")</f>
        <v/>
      </c>
      <c r="AV74"/>
      <c r="AY74"/>
      <c r="AZ74" s="76" t="str">
        <f>IFERROR((TP_DATA[[#This Row],[D, bottom '[m']]]+#REF!)/(2*#REF!/1000),"")</f>
        <v/>
      </c>
      <c r="CH74"/>
      <c r="CK74"/>
      <c r="CL74" s="76" t="str">
        <f>IFERROR((TOWER_DATA[[#This Row],[D, bottom '[m']]]+#REF!)/(2*#REF!/1000),"")</f>
        <v/>
      </c>
      <c r="CV74" s="61">
        <v>57</v>
      </c>
      <c r="CW74" s="63">
        <v>62.007000000000005</v>
      </c>
      <c r="CX74" s="63">
        <v>60.900000000000006</v>
      </c>
      <c r="CY74" s="61">
        <v>7.0970000000000004</v>
      </c>
      <c r="CZ74" s="61">
        <v>7.1139999999999999</v>
      </c>
      <c r="DA74" s="61">
        <v>33</v>
      </c>
      <c r="DC74" s="61" t="s">
        <v>269</v>
      </c>
      <c r="DD74" s="61">
        <v>33.231999999999999</v>
      </c>
      <c r="DE74" s="61">
        <v>33.231999999999999</v>
      </c>
      <c r="DF74" s="61">
        <v>158</v>
      </c>
      <c r="DU74" s="76"/>
      <c r="DV74" s="76"/>
    </row>
    <row r="75" spans="11:126" ht="18" hidden="1" customHeight="1" outlineLevel="1" x14ac:dyDescent="0.3">
      <c r="K75"/>
      <c r="N75"/>
      <c r="O75" s="76" t="str">
        <f>IFERROR((MP_DATA[[#This Row],[D, bottom '[m']]]+#REF!)/(2*#REF!/1000),"")</f>
        <v/>
      </c>
      <c r="AV75"/>
      <c r="AY75"/>
      <c r="AZ75" s="76" t="str">
        <f>IFERROR((TP_DATA[[#This Row],[D, bottom '[m']]]+#REF!)/(2*#REF!/1000),"")</f>
        <v/>
      </c>
      <c r="CH75"/>
      <c r="CK75"/>
      <c r="CL75" s="76" t="str">
        <f>IFERROR((TOWER_DATA[[#This Row],[D, bottom '[m']]]+#REF!)/(2*#REF!/1000),"")</f>
        <v/>
      </c>
      <c r="CV75" s="61">
        <v>58</v>
      </c>
      <c r="CW75" s="63">
        <v>60.900000000000006</v>
      </c>
      <c r="CX75" s="63">
        <v>60.59</v>
      </c>
      <c r="CY75" s="61">
        <v>7.1139999999999999</v>
      </c>
      <c r="CZ75" s="61">
        <v>7.1189999999999998</v>
      </c>
      <c r="DA75" s="61">
        <v>33</v>
      </c>
      <c r="DC75" s="61" t="s">
        <v>269</v>
      </c>
      <c r="DD75" s="61">
        <v>30.900000000000002</v>
      </c>
      <c r="DE75" s="61">
        <v>30.900000000000002</v>
      </c>
      <c r="DF75" s="61">
        <v>158</v>
      </c>
      <c r="DU75" s="76"/>
      <c r="DV75" s="76"/>
    </row>
    <row r="76" spans="11:126" ht="18" hidden="1" customHeight="1" outlineLevel="1" x14ac:dyDescent="0.3">
      <c r="K76"/>
      <c r="N76"/>
      <c r="O76" s="76" t="str">
        <f>IFERROR((MP_DATA[[#This Row],[D, bottom '[m']]]+#REF!)/(2*#REF!/1000),"")</f>
        <v/>
      </c>
      <c r="AV76"/>
      <c r="AY76"/>
      <c r="AZ76" s="76" t="str">
        <f>IFERROR((TP_DATA[[#This Row],[D, bottom '[m']]]+#REF!)/(2*#REF!/1000),"")</f>
        <v/>
      </c>
      <c r="CH76"/>
      <c r="CK76"/>
      <c r="CL76" s="76" t="str">
        <f>IFERROR((TOWER_DATA[[#This Row],[D, bottom '[m']]]+#REF!)/(2*#REF!/1000),"")</f>
        <v/>
      </c>
      <c r="CV76" s="61">
        <v>59</v>
      </c>
      <c r="CW76" s="63">
        <v>60.59</v>
      </c>
      <c r="CX76" s="63">
        <v>57.896000000000001</v>
      </c>
      <c r="CY76" s="61">
        <v>7.1189999999999998</v>
      </c>
      <c r="CZ76" s="61">
        <v>7.1619999999999999</v>
      </c>
      <c r="DA76" s="61">
        <v>33</v>
      </c>
      <c r="DC76" s="61" t="s">
        <v>269</v>
      </c>
      <c r="DD76" s="61">
        <v>29.121000000000002</v>
      </c>
      <c r="DE76" s="61">
        <v>29.121000000000002</v>
      </c>
      <c r="DF76" s="61">
        <v>158</v>
      </c>
      <c r="DU76" s="76"/>
      <c r="DV76" s="76"/>
    </row>
    <row r="77" spans="11:126" ht="18" hidden="1" customHeight="1" outlineLevel="1" x14ac:dyDescent="0.3">
      <c r="K77"/>
      <c r="N77"/>
      <c r="O77" s="76" t="str">
        <f>IFERROR((MP_DATA[[#This Row],[D, bottom '[m']]]+#REF!)/(2*#REF!/1000),"")</f>
        <v/>
      </c>
      <c r="AV77"/>
      <c r="AY77"/>
      <c r="AZ77" s="76" t="str">
        <f>IFERROR((TP_DATA[[#This Row],[D, bottom '[m']]]+#REF!)/(2*#REF!/1000),"")</f>
        <v/>
      </c>
      <c r="CH77"/>
      <c r="CK77"/>
      <c r="CL77" s="76" t="str">
        <f>IFERROR((TOWER_DATA[[#This Row],[D, bottom '[m']]]+#REF!)/(2*#REF!/1000),"")</f>
        <v/>
      </c>
      <c r="CV77" s="61">
        <v>60</v>
      </c>
      <c r="CW77" s="63">
        <v>57.896000000000001</v>
      </c>
      <c r="CX77" s="63">
        <v>57.872</v>
      </c>
      <c r="CY77" s="61">
        <v>7.1619999999999999</v>
      </c>
      <c r="CZ77" s="61">
        <v>7.1630000000000003</v>
      </c>
      <c r="DA77" s="61">
        <v>33</v>
      </c>
      <c r="DC77" s="61" t="s">
        <v>269</v>
      </c>
      <c r="DD77" s="61">
        <v>25.050000000000004</v>
      </c>
      <c r="DE77" s="61">
        <v>25.050000000000004</v>
      </c>
      <c r="DF77" s="61">
        <v>86</v>
      </c>
      <c r="DU77" s="76"/>
      <c r="DV77" s="76"/>
    </row>
    <row r="78" spans="11:126" ht="18" hidden="1" customHeight="1" outlineLevel="1" x14ac:dyDescent="0.3">
      <c r="K78"/>
      <c r="N78"/>
      <c r="O78" s="76" t="str">
        <f>IFERROR((MP_DATA[[#This Row],[D, bottom '[m']]]+#REF!)/(2*#REF!/1000),"")</f>
        <v/>
      </c>
      <c r="AV78"/>
      <c r="AY78"/>
      <c r="AZ78" s="76" t="str">
        <f>IFERROR((TP_DATA[[#This Row],[D, bottom '[m']]]+#REF!)/(2*#REF!/1000),"")</f>
        <v/>
      </c>
      <c r="CH78"/>
      <c r="CK78"/>
      <c r="CL78" s="76" t="str">
        <f>IFERROR((TOWER_DATA[[#This Row],[D, bottom '[m']]]+#REF!)/(2*#REF!/1000),"")</f>
        <v/>
      </c>
      <c r="CV78" s="61">
        <v>61</v>
      </c>
      <c r="CW78" s="63">
        <v>57.872</v>
      </c>
      <c r="CX78" s="63">
        <v>55.153999999999996</v>
      </c>
      <c r="CY78" s="61">
        <v>7.1630000000000003</v>
      </c>
      <c r="CZ78" s="61">
        <v>7.21</v>
      </c>
      <c r="DA78" s="61">
        <v>34</v>
      </c>
      <c r="DC78" s="61" t="s">
        <v>269</v>
      </c>
      <c r="DD78" s="61">
        <v>25.011000000000003</v>
      </c>
      <c r="DE78" s="61">
        <v>25.011000000000003</v>
      </c>
      <c r="DF78" s="61">
        <v>688</v>
      </c>
      <c r="DU78" s="76"/>
      <c r="DV78" s="76"/>
    </row>
    <row r="79" spans="11:126" ht="18" hidden="1" customHeight="1" outlineLevel="1" x14ac:dyDescent="0.3">
      <c r="K79"/>
      <c r="N79"/>
      <c r="O79" s="76" t="str">
        <f>IFERROR((MP_DATA[[#This Row],[D, bottom '[m']]]+#REF!)/(2*#REF!/1000),"")</f>
        <v/>
      </c>
      <c r="AV79"/>
      <c r="AY79"/>
      <c r="AZ79" s="76" t="str">
        <f>IFERROR((TP_DATA[[#This Row],[D, bottom '[m']]]+#REF!)/(2*#REF!/1000),"")</f>
        <v/>
      </c>
      <c r="CH79"/>
      <c r="CK79"/>
      <c r="CL79" s="76" t="str">
        <f>IFERROR((TOWER_DATA[[#This Row],[D, bottom '[m']]]+#REF!)/(2*#REF!/1000),"")</f>
        <v/>
      </c>
      <c r="CV79" s="61">
        <v>62</v>
      </c>
      <c r="CW79" s="63">
        <v>55.153999999999996</v>
      </c>
      <c r="CX79" s="63">
        <v>53.786000000000001</v>
      </c>
      <c r="CY79" s="61">
        <v>7.21</v>
      </c>
      <c r="CZ79" s="61">
        <v>7.2309999999999999</v>
      </c>
      <c r="DA79" s="61">
        <v>38.199999999999996</v>
      </c>
      <c r="DC79" s="61" t="s">
        <v>269</v>
      </c>
      <c r="DD79" s="61">
        <v>22.12</v>
      </c>
      <c r="DE79" s="61">
        <v>22.12</v>
      </c>
      <c r="DF79" s="61">
        <v>13900</v>
      </c>
      <c r="DU79" s="76"/>
      <c r="DV79" s="76"/>
    </row>
    <row r="80" spans="11:126" ht="18" hidden="1" customHeight="1" outlineLevel="1" x14ac:dyDescent="0.3">
      <c r="K80"/>
      <c r="N80"/>
      <c r="O80" s="76" t="str">
        <f>IFERROR((MP_DATA[[#This Row],[D, bottom '[m']]]+#REF!)/(2*#REF!/1000),"")</f>
        <v/>
      </c>
      <c r="AV80"/>
      <c r="AY80"/>
      <c r="AZ80" s="76" t="str">
        <f>IFERROR((TP_DATA[[#This Row],[D, bottom '[m']]]+#REF!)/(2*#REF!/1000),"")</f>
        <v/>
      </c>
      <c r="CH80"/>
      <c r="CK80"/>
      <c r="CL80" s="76" t="str">
        <f>IFERROR((TOWER_DATA[[#This Row],[D, bottom '[m']]]+#REF!)/(2*#REF!/1000),"")</f>
        <v/>
      </c>
      <c r="CV80" s="61">
        <v>63</v>
      </c>
      <c r="CW80" s="63">
        <v>53.786000000000001</v>
      </c>
      <c r="CX80" s="63">
        <v>52.436000000000007</v>
      </c>
      <c r="CY80" s="61">
        <v>7.2309999999999999</v>
      </c>
      <c r="CZ80" s="61">
        <v>7.2519999999999998</v>
      </c>
      <c r="DA80" s="61">
        <v>38.199999999999996</v>
      </c>
      <c r="DC80" s="61" t="s">
        <v>269</v>
      </c>
      <c r="DD80" s="61">
        <v>21.14</v>
      </c>
      <c r="DE80" s="61">
        <v>21.14</v>
      </c>
      <c r="DF80" s="61">
        <v>53</v>
      </c>
      <c r="DU80" s="76"/>
      <c r="DV80" s="76"/>
    </row>
    <row r="81" spans="11:126" ht="18" hidden="1" customHeight="1" outlineLevel="1" x14ac:dyDescent="0.3">
      <c r="K81" s="76" t="str">
        <f>IFERROR(MP_DATA[[#This Row],[Bottom '[m']]]-MP_DATA[[#This Row],[D, top '[m']]], "")</f>
        <v/>
      </c>
      <c r="L81" t="str">
        <f>IFERROR(-(MP_DATA[[#This Row],[D, bottom '[m']]]-MP_DATA[[#This Row],[D, top '[m']]])/(MP_DATA[[#This Row],[Bottom '[m']]]-MP_DATA[[#This Row],[Top '[m']]]),"")</f>
        <v/>
      </c>
      <c r="M81" s="76" t="str">
        <f t="shared" ref="M81:M109" si="0">IF(7850/1000*(1/3)*PI()*ABS(F140-G140)*((H140/2)^2+(H140/2)*(I140/2)+(I140/2)^2-(H140/2-J140/1000)^2-(H140/2-J140/1000)*(I140/2-J140/1000)-(I140/2-J140/1000)^2)=0,"",7850/1000*(1/3)*PI()*ABS(F140-G140)*((H140/2)^2+(H140/2)*(I140/2)+(I140/2)^2-(H140/2-J140/1000)^2-(H140/2-J140/1000)*(I140/2-J140/1000)-(I140/2-J140/1000)^2))</f>
        <v/>
      </c>
      <c r="N81" s="76" t="str">
        <f>IFERROR((MP_DATA[[#This Row],[D, bottom '[m']]]+MP_DATA[[#This Row],[D, top '[m']]])/(2*MP_DATA[[#This Row],[t '[mm']]]/1000),"")</f>
        <v/>
      </c>
      <c r="O81" s="76" t="str">
        <f>IFERROR((MP_DATA[[#This Row],[D, bottom '[m']]]+#REF!)/(2*#REF!/1000),"")</f>
        <v/>
      </c>
      <c r="AV81" s="76" t="str">
        <f>IFERROR(TP_DATA[[#This Row],[Bottom '[m']]]-TP_DATA[[#This Row],[D, top '[m']]], "")</f>
        <v/>
      </c>
      <c r="AW81" t="str">
        <f>IFERROR(-(TP_DATA[[#This Row],[D, bottom '[m']]]-TP_DATA[[#This Row],[D, top '[m']]])/(TP_DATA[[#This Row],[Bottom '[m']]]-TP_DATA[[#This Row],[Top '[m']]]),"")</f>
        <v/>
      </c>
      <c r="AX81" s="76" t="str">
        <f t="shared" ref="AX81:AX83" si="1">IF(7850/1000*(1/3)*PI()*ABS(AQ140-AR140)*((AS140/2)^2+(AS140/2)*(AT140/2)+(AT140/2)^2-(AS140/2-AU140/1000)^2-(AS140/2-AU140/1000)*(AT140/2-AU140/1000)-(AT140/2-AU140/1000)^2)=0,"",7850/1000*(1/3)*PI()*ABS(AQ140-AR140)*((AS140/2)^2+(AS140/2)*(AT140/2)+(AT140/2)^2-(AS140/2-AU140/1000)^2-(AS140/2-AU140/1000)*(AT140/2-AU140/1000)-(AT140/2-AU140/1000)^2))</f>
        <v/>
      </c>
      <c r="AY81" s="76" t="str">
        <f>IFERROR((TP_DATA[[#This Row],[D, bottom '[m']]]+TP_DATA[[#This Row],[D, top '[m']]])/(2*TP_DATA[[#This Row],[t '[mm']]]/1000),"")</f>
        <v/>
      </c>
      <c r="AZ81" s="76" t="str">
        <f>IFERROR((TP_DATA[[#This Row],[D, bottom '[m']]]+#REF!)/(2*#REF!/1000),"")</f>
        <v/>
      </c>
      <c r="CH81" s="76" t="str">
        <f>IFERROR(TOWER_DATA[[#This Row],[Bottom '[m']]]-TOWER_DATA[[#This Row],[D, top '[m']]], "")</f>
        <v/>
      </c>
      <c r="CI81" t="str">
        <f>IFERROR(-(TOWER_DATA[[#This Row],[D, bottom '[m']]]-TOWER_DATA[[#This Row],[D, top '[m']]])/(TOWER_DATA[[#This Row],[Bottom '[m']]]-TOWER_DATA[[#This Row],[Top '[m']]]),"")</f>
        <v/>
      </c>
      <c r="CJ81" s="76">
        <f t="shared" ref="CJ81:CJ83" si="2">IF(7850/1000*(1/3)*PI()*ABS(CC140-CD140)*((CE140/2)^2+(CE140/2)*(CF140/2)+(CF140/2)^2-(CE140/2-CG140/1000)^2-(CE140/2-CG140/1000)*(CF140/2-CG140/1000)-(CF140/2-CG140/1000)^2)=0,"",7850/1000*(1/3)*PI()*ABS(CC140-CD140)*((CE140/2)^2+(CE140/2)*(CF140/2)+(CF140/2)^2-(CE140/2-CG140/1000)^2-(CE140/2-CG140/1000)*(CF140/2-CG140/1000)-(CF140/2-CG140/1000)^2))</f>
        <v>4.610791912861246</v>
      </c>
      <c r="CK81" s="76" t="str">
        <f>IFERROR((TOWER_DATA[[#This Row],[D, bottom '[m']]]+TOWER_DATA[[#This Row],[D, top '[m']]])/(2*TOWER_DATA[[#This Row],[t '[mm']]]/1000),"")</f>
        <v/>
      </c>
      <c r="CL81" s="76" t="str">
        <f>IFERROR((TOWER_DATA[[#This Row],[D, bottom '[m']]]+#REF!)/(2*#REF!/1000),"")</f>
        <v/>
      </c>
      <c r="CV81" s="61">
        <v>64</v>
      </c>
      <c r="CW81" s="63">
        <v>52.436000000000007</v>
      </c>
      <c r="CX81" s="63">
        <v>50.900000000000006</v>
      </c>
      <c r="CY81" s="61">
        <v>7.2519999999999998</v>
      </c>
      <c r="CZ81" s="61">
        <v>7.2770000000000001</v>
      </c>
      <c r="DA81" s="61">
        <v>38.199999999999996</v>
      </c>
      <c r="DC81" s="61" t="s">
        <v>269</v>
      </c>
      <c r="DD81" s="61">
        <v>21.080000000000002</v>
      </c>
      <c r="DE81" s="61">
        <v>21.080000000000002</v>
      </c>
      <c r="DF81" s="61">
        <v>14132</v>
      </c>
      <c r="DU81" s="76"/>
      <c r="DV81" s="76"/>
    </row>
    <row r="82" spans="11:126" ht="18" hidden="1" customHeight="1" outlineLevel="1" x14ac:dyDescent="0.3">
      <c r="K82" s="76" t="str">
        <f>IFERROR(MP_DATA[[#This Row],[Bottom '[m']]]-MP_DATA[[#This Row],[D, top '[m']]], "")</f>
        <v/>
      </c>
      <c r="L82" t="str">
        <f>IFERROR(-(MP_DATA[[#This Row],[D, bottom '[m']]]-MP_DATA[[#This Row],[D, top '[m']]])/(MP_DATA[[#This Row],[Bottom '[m']]]-MP_DATA[[#This Row],[Top '[m']]]),"")</f>
        <v/>
      </c>
      <c r="M82" s="76" t="str">
        <f t="shared" si="0"/>
        <v/>
      </c>
      <c r="N82" s="76" t="str">
        <f>IFERROR((MP_DATA[[#This Row],[D, bottom '[m']]]+MP_DATA[[#This Row],[D, top '[m']]])/(2*MP_DATA[[#This Row],[t '[mm']]]/1000),"")</f>
        <v/>
      </c>
      <c r="O82" s="76" t="str">
        <f>IFERROR((MP_DATA[[#This Row],[D, bottom '[m']]]+#REF!)/(2*#REF!/1000),"")</f>
        <v/>
      </c>
      <c r="AV82" s="76" t="str">
        <f>IFERROR(TP_DATA[[#This Row],[Bottom '[m']]]-TP_DATA[[#This Row],[D, top '[m']]], "")</f>
        <v/>
      </c>
      <c r="AW82" t="str">
        <f>IFERROR(-(TP_DATA[[#This Row],[D, bottom '[m']]]-TP_DATA[[#This Row],[D, top '[m']]])/(TP_DATA[[#This Row],[Bottom '[m']]]-TP_DATA[[#This Row],[Top '[m']]]),"")</f>
        <v/>
      </c>
      <c r="AX82" s="76" t="str">
        <f t="shared" si="1"/>
        <v/>
      </c>
      <c r="AY82" s="76" t="str">
        <f>IFERROR((TP_DATA[[#This Row],[D, bottom '[m']]]+TP_DATA[[#This Row],[D, top '[m']]])/(2*TP_DATA[[#This Row],[t '[mm']]]/1000),"")</f>
        <v/>
      </c>
      <c r="AZ82" s="76" t="str">
        <f>IFERROR((TP_DATA[[#This Row],[D, bottom '[m']]]+#REF!)/(2*#REF!/1000),"")</f>
        <v/>
      </c>
      <c r="CH82" s="76" t="str">
        <f>IFERROR(TOWER_DATA[[#This Row],[Bottom '[m']]]-TOWER_DATA[[#This Row],[D, top '[m']]], "")</f>
        <v/>
      </c>
      <c r="CI82" t="str">
        <f>IFERROR(-(TOWER_DATA[[#This Row],[D, bottom '[m']]]-TOWER_DATA[[#This Row],[D, top '[m']]])/(TOWER_DATA[[#This Row],[Bottom '[m']]]-TOWER_DATA[[#This Row],[Top '[m']]]),"")</f>
        <v/>
      </c>
      <c r="CJ82" s="76">
        <f t="shared" si="2"/>
        <v>8.0052884821827153</v>
      </c>
      <c r="CK82" s="76" t="str">
        <f>IFERROR((TOWER_DATA[[#This Row],[D, bottom '[m']]]+TOWER_DATA[[#This Row],[D, top '[m']]])/(2*TOWER_DATA[[#This Row],[t '[mm']]]/1000),"")</f>
        <v/>
      </c>
      <c r="CL82" s="76" t="str">
        <f>IFERROR((TOWER_DATA[[#This Row],[D, bottom '[m']]]+#REF!)/(2*#REF!/1000),"")</f>
        <v/>
      </c>
      <c r="CV82" s="61">
        <v>65</v>
      </c>
      <c r="CW82" s="63">
        <v>50.900000000000006</v>
      </c>
      <c r="CX82" s="63">
        <v>49.718000000000004</v>
      </c>
      <c r="CY82" s="61">
        <v>7.2770000000000001</v>
      </c>
      <c r="CZ82" s="61">
        <v>7.2919999999999998</v>
      </c>
      <c r="DA82" s="61">
        <v>38.199999999999996</v>
      </c>
      <c r="DU82" s="76"/>
      <c r="DV82" s="76"/>
    </row>
    <row r="83" spans="11:126" ht="18" hidden="1" customHeight="1" outlineLevel="1" x14ac:dyDescent="0.3">
      <c r="K83" s="76" t="str">
        <f>IFERROR(MP_DATA[[#This Row],[Bottom '[m']]]-MP_DATA[[#This Row],[D, top '[m']]], "")</f>
        <v/>
      </c>
      <c r="L83" s="76" t="str">
        <f>IFERROR(-(MP_DATA[[#This Row],[D, bottom '[m']]]-MP_DATA[[#This Row],[D, top '[m']]])/(MP_DATA[[#This Row],[Bottom '[m']]]-MP_DATA[[#This Row],[Top '[m']]]),"")</f>
        <v/>
      </c>
      <c r="M83" s="76" t="str">
        <f t="shared" si="0"/>
        <v/>
      </c>
      <c r="N83" s="76" t="str">
        <f>IFERROR((MP_DATA[[#This Row],[D, bottom '[m']]]+MP_DATA[[#This Row],[D, top '[m']]])/(2*MP_DATA[[#This Row],[t '[mm']]]/1000),"")</f>
        <v/>
      </c>
      <c r="O83" s="76" t="str">
        <f>IFERROR((MP_DATA[[#This Row],[D, bottom '[m']]]+#REF!)/(2*#REF!/1000),"")</f>
        <v/>
      </c>
      <c r="AV83" s="76" t="str">
        <f>IFERROR(TP_DATA[[#This Row],[Bottom '[m']]]-TP_DATA[[#This Row],[D, top '[m']]], "")</f>
        <v/>
      </c>
      <c r="AW83" s="76" t="str">
        <f>IFERROR(-(TP_DATA[[#This Row],[D, bottom '[m']]]-TP_DATA[[#This Row],[D, top '[m']]])/(TP_DATA[[#This Row],[Bottom '[m']]]-TP_DATA[[#This Row],[Top '[m']]]),"")</f>
        <v/>
      </c>
      <c r="AX83" s="76" t="str">
        <f t="shared" si="1"/>
        <v/>
      </c>
      <c r="AY83" s="76" t="str">
        <f>IFERROR((TP_DATA[[#This Row],[D, bottom '[m']]]+TP_DATA[[#This Row],[D, top '[m']]])/(2*TP_DATA[[#This Row],[t '[mm']]]/1000),"")</f>
        <v/>
      </c>
      <c r="AZ83" s="76" t="str">
        <f>IFERROR((TP_DATA[[#This Row],[D, bottom '[m']]]+#REF!)/(2*#REF!/1000),"")</f>
        <v/>
      </c>
      <c r="CH83" s="76" t="str">
        <f>IFERROR(TOWER_DATA[[#This Row],[Bottom '[m']]]-TOWER_DATA[[#This Row],[D, top '[m']]], "")</f>
        <v/>
      </c>
      <c r="CI83" s="76" t="str">
        <f>IFERROR(-(TOWER_DATA[[#This Row],[D, bottom '[m']]]-TOWER_DATA[[#This Row],[D, top '[m']]])/(TOWER_DATA[[#This Row],[Bottom '[m']]]-TOWER_DATA[[#This Row],[Top '[m']]]),"")</f>
        <v/>
      </c>
      <c r="CJ83" s="76">
        <f t="shared" si="2"/>
        <v>0.69183711520936486</v>
      </c>
      <c r="CK83" s="76" t="str">
        <f>IFERROR((TOWER_DATA[[#This Row],[D, bottom '[m']]]+TOWER_DATA[[#This Row],[D, top '[m']]])/(2*TOWER_DATA[[#This Row],[t '[mm']]]/1000),"")</f>
        <v/>
      </c>
      <c r="CL83" s="76" t="str">
        <f>IFERROR((TOWER_DATA[[#This Row],[D, bottom '[m']]]+#REF!)/(2*#REF!/1000),"")</f>
        <v/>
      </c>
      <c r="CV83" s="61">
        <v>66</v>
      </c>
      <c r="CW83" s="63">
        <v>49.718000000000004</v>
      </c>
      <c r="CX83" s="63">
        <v>49.674999999999997</v>
      </c>
      <c r="CY83" s="61">
        <v>7.2919999999999998</v>
      </c>
      <c r="CZ83" s="61">
        <v>7.2919999999999998</v>
      </c>
      <c r="DA83" s="61">
        <v>34.5</v>
      </c>
      <c r="DU83" s="76"/>
      <c r="DV83" s="76"/>
    </row>
    <row r="84" spans="11:126" ht="18" hidden="1" customHeight="1" outlineLevel="1" x14ac:dyDescent="0.3">
      <c r="K84"/>
      <c r="N84"/>
      <c r="O84" s="76" t="str">
        <f>IFERROR((MP_DATA[[#This Row],[D, bottom '[m']]]+#REF!)/(2*#REF!/1000),"")</f>
        <v/>
      </c>
      <c r="AV84"/>
      <c r="AY84"/>
      <c r="AZ84" s="76" t="str">
        <f>IFERROR((TP_DATA[[#This Row],[D, bottom '[m']]]+#REF!)/(2*#REF!/1000),"")</f>
        <v/>
      </c>
      <c r="CH84"/>
      <c r="CK84"/>
      <c r="CL84" s="76" t="str">
        <f>IFERROR((TOWER_DATA[[#This Row],[D, bottom '[m']]]+#REF!)/(2*#REF!/1000),"")</f>
        <v/>
      </c>
      <c r="CV84" s="61">
        <v>67</v>
      </c>
      <c r="CW84" s="63">
        <v>49.674999999999997</v>
      </c>
      <c r="CX84" s="63">
        <v>47</v>
      </c>
      <c r="CY84" s="61">
        <v>7.2919999999999998</v>
      </c>
      <c r="CZ84" s="61">
        <v>7.335</v>
      </c>
      <c r="DA84" s="61">
        <v>34.5</v>
      </c>
      <c r="DU84" s="76"/>
      <c r="DV84" s="76"/>
    </row>
    <row r="85" spans="11:126" ht="18" hidden="1" customHeight="1" outlineLevel="1" x14ac:dyDescent="0.3">
      <c r="K85"/>
      <c r="N85"/>
      <c r="O85" s="76" t="str">
        <f>IFERROR((MP_DATA[[#This Row],[D, bottom '[m']]]+#REF!)/(2*#REF!/1000),"")</f>
        <v/>
      </c>
      <c r="AV85"/>
      <c r="AY85"/>
      <c r="AZ85" s="76" t="str">
        <f>IFERROR((TP_DATA[[#This Row],[D, bottom '[m']]]+#REF!)/(2*#REF!/1000),"")</f>
        <v/>
      </c>
      <c r="CH85"/>
      <c r="CK85"/>
      <c r="CL85" s="76" t="str">
        <f>IFERROR((TOWER_DATA[[#This Row],[D, bottom '[m']]]+#REF!)/(2*#REF!/1000),"")</f>
        <v/>
      </c>
      <c r="CV85" s="61">
        <v>68</v>
      </c>
      <c r="CW85" s="63">
        <v>47</v>
      </c>
      <c r="CX85" s="63">
        <v>45.564000000000007</v>
      </c>
      <c r="CY85" s="61">
        <v>7.335</v>
      </c>
      <c r="CZ85" s="61">
        <v>7.3579999999999997</v>
      </c>
      <c r="DA85" s="61">
        <v>35</v>
      </c>
      <c r="DU85" s="76"/>
      <c r="DV85" s="76"/>
    </row>
    <row r="86" spans="11:126" ht="18" hidden="1" customHeight="1" outlineLevel="1" x14ac:dyDescent="0.3">
      <c r="K86"/>
      <c r="N86"/>
      <c r="O86" s="76" t="str">
        <f>IFERROR((MP_DATA[[#This Row],[D, bottom '[m']]]+#REF!)/(2*#REF!/1000),"")</f>
        <v/>
      </c>
      <c r="AV86"/>
      <c r="AY86"/>
      <c r="AZ86" s="76" t="str">
        <f>IFERROR((TP_DATA[[#This Row],[D, bottom '[m']]]+#REF!)/(2*#REF!/1000),"")</f>
        <v/>
      </c>
      <c r="CH86"/>
      <c r="CK86"/>
      <c r="CL86" s="76" t="str">
        <f>IFERROR((TOWER_DATA[[#This Row],[D, bottom '[m']]]+#REF!)/(2*#REF!/1000),"")</f>
        <v/>
      </c>
      <c r="CV86" s="61">
        <v>69</v>
      </c>
      <c r="CW86" s="63">
        <v>45.564000000000007</v>
      </c>
      <c r="CX86" s="63">
        <v>44.282000000000004</v>
      </c>
      <c r="CY86" s="61">
        <v>7.3579999999999997</v>
      </c>
      <c r="CZ86" s="61">
        <v>7.3789999999999996</v>
      </c>
      <c r="DA86" s="61">
        <v>35</v>
      </c>
      <c r="DU86" s="76"/>
      <c r="DV86" s="76"/>
    </row>
    <row r="87" spans="11:126" ht="18" hidden="1" customHeight="1" outlineLevel="1" x14ac:dyDescent="0.3">
      <c r="K87"/>
      <c r="N87"/>
      <c r="O87" s="76" t="str">
        <f>IFERROR((MP_DATA[[#This Row],[D, bottom '[m']]]+#REF!)/(2*#REF!/1000),"")</f>
        <v/>
      </c>
      <c r="AV87"/>
      <c r="AY87"/>
      <c r="AZ87" s="76" t="str">
        <f>IFERROR((TP_DATA[[#This Row],[D, bottom '[m']]]+#REF!)/(2*#REF!/1000),"")</f>
        <v/>
      </c>
      <c r="CH87"/>
      <c r="CK87"/>
      <c r="CL87" s="76" t="str">
        <f>IFERROR((TOWER_DATA[[#This Row],[D, bottom '[m']]]+#REF!)/(2*#REF!/1000),"")</f>
        <v/>
      </c>
      <c r="CV87" s="61">
        <v>70</v>
      </c>
      <c r="CW87" s="63">
        <v>44.282000000000004</v>
      </c>
      <c r="CX87" s="63">
        <v>41.561000000000007</v>
      </c>
      <c r="CY87" s="61">
        <v>7.3789999999999996</v>
      </c>
      <c r="CZ87" s="61">
        <v>7.4249999999999998</v>
      </c>
      <c r="DA87" s="61">
        <v>35.799999999999997</v>
      </c>
      <c r="DU87" s="76" t="str">
        <f>IF(7850/1000*(1/3)*PI()*ABS(DO87-DP87)*((DQ87/2)^2+(DQ87/2)*(DR87/2)+(DR87/2)^2-(DQ87/2-DT87/1000)^2-(DQ87/2-DT87/1000)*(DR87/2-DT87/1000)-(DR87/2-DT87/1000)^2)=0,"",7850/1000*(1/3)*PI()*ABS(DO87-DP87)*((DQ87/2)^2+(DQ87/2)*(DR87/2)+(DR87/2)^2-(DQ87/2-DT87/1000)^2-(DQ87/2-DT87/1000)*(DR87/2-DT87/1000)-(DR87/2-DT87/1000)^2))</f>
        <v/>
      </c>
      <c r="DV87" s="76"/>
    </row>
    <row r="88" spans="11:126" ht="18" hidden="1" customHeight="1" outlineLevel="1" x14ac:dyDescent="0.3">
      <c r="K88"/>
      <c r="N88"/>
      <c r="O88" s="76" t="str">
        <f>IFERROR((MP_DATA[[#This Row],[D, bottom '[m']]]+#REF!)/(2*#REF!/1000),"")</f>
        <v/>
      </c>
      <c r="AV88"/>
      <c r="AY88"/>
      <c r="AZ88" s="76" t="str">
        <f>IFERROR((TP_DATA[[#This Row],[D, bottom '[m']]]+#REF!)/(2*#REF!/1000),"")</f>
        <v/>
      </c>
      <c r="CH88"/>
      <c r="CK88"/>
      <c r="CL88" s="76" t="str">
        <f>IFERROR((TOWER_DATA[[#This Row],[D, bottom '[m']]]+#REF!)/(2*#REF!/1000),"")</f>
        <v/>
      </c>
      <c r="CV88" s="61">
        <v>71</v>
      </c>
      <c r="CW88" s="63">
        <v>41.561000000000007</v>
      </c>
      <c r="CX88" s="63">
        <v>40.900000000000006</v>
      </c>
      <c r="CY88" s="61">
        <v>7.4249999999999998</v>
      </c>
      <c r="CZ88" s="61">
        <v>7.4349999999999996</v>
      </c>
      <c r="DA88" s="61">
        <v>39</v>
      </c>
      <c r="DU88" s="76" t="str">
        <f>IF(7850/1000*(1/3)*PI()*ABS(DO88-DP88)*((DQ88/2)^2+(DQ88/2)*(DR88/2)+(DR88/2)^2-(DQ88/2-DT88/1000)^2-(DQ88/2-DT88/1000)*(DR88/2-DT88/1000)-(DR88/2-DT88/1000)^2)=0,"",7850/1000*(1/3)*PI()*ABS(DO88-DP88)*((DQ88/2)^2+(DQ88/2)*(DR88/2)+(DR88/2)^2-(DQ88/2-DT88/1000)^2-(DQ88/2-DT88/1000)*(DR88/2-DT88/1000)-(DR88/2-DT88/1000)^2))</f>
        <v/>
      </c>
      <c r="DV88" s="76"/>
    </row>
    <row r="89" spans="11:126" ht="18" hidden="1" customHeight="1" outlineLevel="1" x14ac:dyDescent="0.3">
      <c r="K89"/>
      <c r="N89"/>
      <c r="O89" s="76" t="str">
        <f>IFERROR((MP_DATA[[#This Row],[D, bottom '[m']]]+#REF!)/(2*#REF!/1000),"")</f>
        <v/>
      </c>
      <c r="AV89"/>
      <c r="AY89"/>
      <c r="AZ89" s="76" t="str">
        <f>IFERROR((TP_DATA[[#This Row],[D, bottom '[m']]]+#REF!)/(2*#REF!/1000),"")</f>
        <v/>
      </c>
      <c r="CH89"/>
      <c r="CK89"/>
      <c r="CL89" s="76" t="str">
        <f>IFERROR((TOWER_DATA[[#This Row],[D, bottom '[m']]]+#REF!)/(2*#REF!/1000),"")</f>
        <v/>
      </c>
      <c r="CV89" s="61">
        <v>72</v>
      </c>
      <c r="CW89" s="63">
        <v>40.900000000000006</v>
      </c>
      <c r="CX89" s="63">
        <v>38.775000000000006</v>
      </c>
      <c r="CY89" s="61">
        <v>7.4349999999999996</v>
      </c>
      <c r="CZ89" s="61">
        <v>7.476</v>
      </c>
      <c r="DA89" s="61">
        <v>39</v>
      </c>
      <c r="DU89" s="76" t="str">
        <f>IF(7850/1000*(1/3)*PI()*ABS(DO89-DP89)*((DQ89/2)^2+(DQ89/2)*(DR89/2)+(DR89/2)^2-(DQ89/2-DT89/1000)^2-(DQ89/2-DT89/1000)*(DR89/2-DT89/1000)-(DR89/2-DT89/1000)^2)=0,"",7850/1000*(1/3)*PI()*ABS(DO89-DP89)*((DQ89/2)^2+(DQ89/2)*(DR89/2)+(DR89/2)^2-(DQ89/2-DT89/1000)^2-(DQ89/2-DT89/1000)*(DR89/2-DT89/1000)-(DR89/2-DT89/1000)^2))</f>
        <v/>
      </c>
      <c r="DV89" s="76"/>
    </row>
    <row r="90" spans="11:126" ht="18" hidden="1" customHeight="1" outlineLevel="1" x14ac:dyDescent="0.3">
      <c r="K90"/>
      <c r="N90"/>
      <c r="O90" s="76" t="str">
        <f>IFERROR((MP_DATA[[#This Row],[D, bottom '[m']]]+#REF!)/(2*#REF!/1000),"")</f>
        <v/>
      </c>
      <c r="AV90"/>
      <c r="AY90"/>
      <c r="AZ90" s="76" t="str">
        <f>IFERROR((TP_DATA[[#This Row],[D, bottom '[m']]]+#REF!)/(2*#REF!/1000),"")</f>
        <v/>
      </c>
      <c r="CH90"/>
      <c r="CK90"/>
      <c r="CL90" s="76" t="str">
        <f>IFERROR((TOWER_DATA[[#This Row],[D, bottom '[m']]]+#REF!)/(2*#REF!/1000),"")</f>
        <v/>
      </c>
      <c r="CV90" s="61">
        <v>73</v>
      </c>
      <c r="CW90" s="63">
        <v>38.775000000000006</v>
      </c>
      <c r="CX90" s="63">
        <v>38.725000000000001</v>
      </c>
      <c r="CY90" s="61">
        <v>7.476</v>
      </c>
      <c r="CZ90" s="61">
        <v>7.476</v>
      </c>
      <c r="DA90" s="61">
        <v>46</v>
      </c>
      <c r="DU90" s="76" t="str">
        <f t="shared" ref="DU90:DU123" si="3">IF(7850/1000*(1/3)*PI()*ABS(DO90-DP90)*((DQ90/2)^2+(DQ90/2)*(DR90/2)+(DR90/2)^2-(DQ90/2-DT90/1000)^2-(DQ90/2-DT90/1000)*(DR90/2-DT90/1000)-(DR90/2-DT90/1000)^2)=0,"",7850/1000*(1/3)*PI()*ABS(DO90-DP90)*((DQ90/2)^2+(DQ90/2)*(DR90/2)+(DR90/2)^2-(DQ90/2-DT90/1000)^2-(DQ90/2-DT90/1000)*(DR90/2-DT90/1000)-(DR90/2-DT90/1000)^2))</f>
        <v/>
      </c>
      <c r="DV90" s="76"/>
    </row>
    <row r="91" spans="11:126" ht="18" hidden="1" customHeight="1" outlineLevel="1" x14ac:dyDescent="0.3">
      <c r="K91"/>
      <c r="N91"/>
      <c r="O91" s="76" t="str">
        <f>IFERROR((MP_DATA[[#This Row],[D, bottom '[m']]]+#REF!)/(2*#REF!/1000),"")</f>
        <v/>
      </c>
      <c r="AV91"/>
      <c r="AY91"/>
      <c r="AZ91" s="76" t="str">
        <f>IFERROR((TP_DATA[[#This Row],[D, bottom '[m']]]+#REF!)/(2*#REF!/1000),"")</f>
        <v/>
      </c>
      <c r="CH91"/>
      <c r="CK91"/>
      <c r="CL91" s="76" t="str">
        <f>IFERROR((TOWER_DATA[[#This Row],[D, bottom '[m']]]+#REF!)/(2*#REF!/1000),"")</f>
        <v/>
      </c>
      <c r="CV91" s="61">
        <v>74</v>
      </c>
      <c r="CW91" s="63">
        <v>38.725000000000001</v>
      </c>
      <c r="CX91" s="63">
        <v>38.540000000000006</v>
      </c>
      <c r="CY91" s="61">
        <v>7.476</v>
      </c>
      <c r="CZ91" s="61">
        <v>7.476</v>
      </c>
      <c r="DA91" s="61">
        <v>46</v>
      </c>
      <c r="DU91" s="76" t="str">
        <f t="shared" si="3"/>
        <v/>
      </c>
      <c r="DV91" s="76"/>
    </row>
    <row r="92" spans="11:126" ht="18" hidden="1" customHeight="1" outlineLevel="1" x14ac:dyDescent="0.3">
      <c r="K92"/>
      <c r="N92"/>
      <c r="O92" s="76" t="str">
        <f>IFERROR((MP_DATA[[#This Row],[D, bottom '[m']]]+#REF!)/(2*#REF!/1000),"")</f>
        <v/>
      </c>
      <c r="AV92"/>
      <c r="AY92"/>
      <c r="AZ92" s="76" t="str">
        <f>IFERROR((TP_DATA[[#This Row],[D, bottom '[m']]]+#REF!)/(2*#REF!/1000),"")</f>
        <v/>
      </c>
      <c r="CH92"/>
      <c r="CK92"/>
      <c r="CL92" s="76" t="str">
        <f>IFERROR((TOWER_DATA[[#This Row],[D, bottom '[m']]]+#REF!)/(2*#REF!/1000),"")</f>
        <v/>
      </c>
      <c r="CV92" s="61">
        <v>75</v>
      </c>
      <c r="CW92" s="63">
        <v>38.540000000000006</v>
      </c>
      <c r="CX92" s="63">
        <v>38.355000000000004</v>
      </c>
      <c r="CY92" s="61">
        <v>7.476</v>
      </c>
      <c r="CZ92" s="61">
        <v>7.476</v>
      </c>
      <c r="DA92" s="61">
        <v>46</v>
      </c>
      <c r="DU92" s="76" t="str">
        <f t="shared" si="3"/>
        <v/>
      </c>
      <c r="DV92" s="76"/>
    </row>
    <row r="93" spans="11:126" ht="18" hidden="1" customHeight="1" outlineLevel="1" x14ac:dyDescent="0.3">
      <c r="K93"/>
      <c r="N93"/>
      <c r="O93" s="76" t="str">
        <f>IFERROR((MP_DATA[[#This Row],[D, bottom '[m']]]+#REF!)/(2*#REF!/1000),"")</f>
        <v/>
      </c>
      <c r="AV93"/>
      <c r="AY93"/>
      <c r="AZ93" s="76" t="str">
        <f>IFERROR((TP_DATA[[#This Row],[D, bottom '[m']]]+#REF!)/(2*#REF!/1000),"")</f>
        <v/>
      </c>
      <c r="CH93"/>
      <c r="CK93"/>
      <c r="CL93" s="76" t="str">
        <f>IFERROR((TOWER_DATA[[#This Row],[D, bottom '[m']]]+#REF!)/(2*#REF!/1000),"")</f>
        <v/>
      </c>
      <c r="CV93" s="61">
        <v>76</v>
      </c>
      <c r="CW93" s="63">
        <v>38.355000000000004</v>
      </c>
      <c r="CX93" s="63">
        <v>38.305000000000007</v>
      </c>
      <c r="CY93" s="61">
        <v>7.476</v>
      </c>
      <c r="CZ93" s="61">
        <v>7.4740000000000002</v>
      </c>
      <c r="DA93" s="61">
        <v>46</v>
      </c>
      <c r="DU93" s="76" t="str">
        <f t="shared" si="3"/>
        <v/>
      </c>
      <c r="DV93" s="76"/>
    </row>
    <row r="94" spans="11:126" ht="18" hidden="1" customHeight="1" outlineLevel="1" x14ac:dyDescent="0.3">
      <c r="K94"/>
      <c r="N94"/>
      <c r="O94" s="76" t="str">
        <f>IFERROR((MP_DATA[[#This Row],[D, bottom '[m']]]+#REF!)/(2*#REF!/1000),"")</f>
        <v/>
      </c>
      <c r="AV94"/>
      <c r="AY94"/>
      <c r="AZ94" s="76" t="str">
        <f>IFERROR((TP_DATA[[#This Row],[D, bottom '[m']]]+#REF!)/(2*#REF!/1000),"")</f>
        <v/>
      </c>
      <c r="CH94"/>
      <c r="CK94"/>
      <c r="CL94" s="76" t="str">
        <f>IFERROR((TOWER_DATA[[#This Row],[D, bottom '[m']]]+#REF!)/(2*#REF!/1000),"")</f>
        <v/>
      </c>
      <c r="CV94" s="61">
        <v>77</v>
      </c>
      <c r="CW94" s="63">
        <v>38.305000000000007</v>
      </c>
      <c r="CX94" s="63">
        <v>37.343000000000004</v>
      </c>
      <c r="CY94" s="61">
        <v>7.4740000000000002</v>
      </c>
      <c r="CZ94" s="61">
        <v>7.4740000000000002</v>
      </c>
      <c r="DA94" s="61">
        <v>44.1</v>
      </c>
      <c r="DU94" s="76" t="str">
        <f t="shared" si="3"/>
        <v/>
      </c>
      <c r="DV94" s="76"/>
    </row>
    <row r="95" spans="11:126" ht="18" hidden="1" customHeight="1" outlineLevel="1" x14ac:dyDescent="0.3">
      <c r="K95"/>
      <c r="N95"/>
      <c r="O95" s="76" t="str">
        <f>IFERROR((MP_DATA[[#This Row],[D, bottom '[m']]]+#REF!)/(2*#REF!/1000),"")</f>
        <v/>
      </c>
      <c r="AV95"/>
      <c r="AY95"/>
      <c r="AZ95" s="76" t="str">
        <f>IFERROR((TP_DATA[[#This Row],[D, bottom '[m']]]+#REF!)/(2*#REF!/1000),"")</f>
        <v/>
      </c>
      <c r="CH95"/>
      <c r="CK95"/>
      <c r="CL95" s="76" t="str">
        <f>IFERROR((TOWER_DATA[[#This Row],[D, bottom '[m']]]+#REF!)/(2*#REF!/1000),"")</f>
        <v/>
      </c>
      <c r="CV95" s="61">
        <v>78</v>
      </c>
      <c r="CW95" s="63">
        <v>37.343000000000004</v>
      </c>
      <c r="CX95" s="63">
        <v>35.43</v>
      </c>
      <c r="CY95" s="61">
        <v>7.4740000000000002</v>
      </c>
      <c r="CZ95" s="61">
        <v>7.476</v>
      </c>
      <c r="DA95" s="61">
        <v>44.1</v>
      </c>
      <c r="DU95" s="76" t="str">
        <f t="shared" si="3"/>
        <v/>
      </c>
      <c r="DV95" s="76"/>
    </row>
    <row r="96" spans="11:126" ht="18" hidden="1" customHeight="1" outlineLevel="1" x14ac:dyDescent="0.3">
      <c r="K96"/>
      <c r="N96"/>
      <c r="O96" s="76" t="str">
        <f>IFERROR((MP_DATA[[#This Row],[D, bottom '[m']]]+#REF!)/(2*#REF!/1000),"")</f>
        <v/>
      </c>
      <c r="AV96"/>
      <c r="AY96"/>
      <c r="AZ96" s="76" t="str">
        <f>IFERROR((TP_DATA[[#This Row],[D, bottom '[m']]]+#REF!)/(2*#REF!/1000),"")</f>
        <v/>
      </c>
      <c r="CH96"/>
      <c r="CK96"/>
      <c r="CL96" s="76" t="str">
        <f>IFERROR((TOWER_DATA[[#This Row],[D, bottom '[m']]]+#REF!)/(2*#REF!/1000),"")</f>
        <v/>
      </c>
      <c r="CV96" s="61">
        <v>79</v>
      </c>
      <c r="CW96" s="63">
        <v>35.43</v>
      </c>
      <c r="CX96" s="63">
        <v>33.231999999999999</v>
      </c>
      <c r="CY96" s="61">
        <v>7.476</v>
      </c>
      <c r="CZ96" s="61">
        <v>7.476</v>
      </c>
      <c r="DA96" s="61">
        <v>45.6</v>
      </c>
      <c r="DU96" s="76" t="str">
        <f t="shared" si="3"/>
        <v/>
      </c>
      <c r="DV96" s="76"/>
    </row>
    <row r="97" spans="5:126" ht="18" hidden="1" customHeight="1" outlineLevel="1" x14ac:dyDescent="0.3">
      <c r="K97"/>
      <c r="N97"/>
      <c r="O97" s="76" t="str">
        <f>IFERROR((MP_DATA[[#This Row],[D, bottom '[m']]]+#REF!)/(2*#REF!/1000),"")</f>
        <v/>
      </c>
      <c r="AV97"/>
      <c r="AY97"/>
      <c r="AZ97" s="76" t="str">
        <f>IFERROR((TP_DATA[[#This Row],[D, bottom '[m']]]+#REF!)/(2*#REF!/1000),"")</f>
        <v/>
      </c>
      <c r="CH97"/>
      <c r="CK97"/>
      <c r="CL97" s="76" t="str">
        <f>IFERROR((TOWER_DATA[[#This Row],[D, bottom '[m']]]+#REF!)/(2*#REF!/1000),"")</f>
        <v/>
      </c>
      <c r="CV97" s="61">
        <v>80</v>
      </c>
      <c r="CW97" s="63">
        <v>33.231999999999999</v>
      </c>
      <c r="CX97" s="63">
        <v>32.5</v>
      </c>
      <c r="CY97" s="61">
        <v>7.476</v>
      </c>
      <c r="CZ97" s="61">
        <v>7.4770000000000003</v>
      </c>
      <c r="DA97" s="61">
        <v>45.6</v>
      </c>
      <c r="DU97" s="76" t="str">
        <f t="shared" si="3"/>
        <v/>
      </c>
      <c r="DV97" s="76"/>
    </row>
    <row r="98" spans="5:126" ht="18" hidden="1" customHeight="1" outlineLevel="1" x14ac:dyDescent="0.3">
      <c r="K98"/>
      <c r="N98"/>
      <c r="O98" s="76" t="str">
        <f>IFERROR((MP_DATA[[#This Row],[D, bottom '[m']]]+#REF!)/(2*#REF!/1000),"")</f>
        <v/>
      </c>
      <c r="AV98"/>
      <c r="AY98"/>
      <c r="AZ98" s="76" t="str">
        <f>IFERROR((TP_DATA[[#This Row],[D, bottom '[m']]]+#REF!)/(2*#REF!/1000),"")</f>
        <v/>
      </c>
      <c r="CH98"/>
      <c r="CK98"/>
      <c r="CL98" s="76" t="str">
        <f>IFERROR((TOWER_DATA[[#This Row],[D, bottom '[m']]]+#REF!)/(2*#REF!/1000),"")</f>
        <v/>
      </c>
      <c r="CV98" s="61">
        <v>81</v>
      </c>
      <c r="CW98" s="63">
        <v>32.5</v>
      </c>
      <c r="CX98" s="63">
        <v>30.9</v>
      </c>
      <c r="CY98" s="61">
        <v>7.4770000000000003</v>
      </c>
      <c r="CZ98" s="61">
        <v>7.4770000000000003</v>
      </c>
      <c r="DA98" s="61">
        <v>47.1</v>
      </c>
      <c r="DU98" s="76" t="str">
        <f t="shared" si="3"/>
        <v/>
      </c>
      <c r="DV98" s="76"/>
    </row>
    <row r="99" spans="5:126" ht="18" hidden="1" customHeight="1" outlineLevel="1" x14ac:dyDescent="0.3">
      <c r="K99"/>
      <c r="N99"/>
      <c r="O99" s="76" t="str">
        <f>IFERROR((MP_DATA[[#This Row],[D, bottom '[m']]]+#REF!)/(2*#REF!/1000),"")</f>
        <v/>
      </c>
      <c r="AV99"/>
      <c r="AY99"/>
      <c r="AZ99" s="76" t="str">
        <f>IFERROR((TP_DATA[[#This Row],[D, bottom '[m']]]+#REF!)/(2*#REF!/1000),"")</f>
        <v/>
      </c>
      <c r="CH99"/>
      <c r="CK99"/>
      <c r="CL99" s="76" t="str">
        <f>IFERROR((TOWER_DATA[[#This Row],[D, bottom '[m']]]+#REF!)/(2*#REF!/1000),"")</f>
        <v/>
      </c>
      <c r="CV99" s="61">
        <v>82</v>
      </c>
      <c r="CW99" s="63">
        <v>30.9</v>
      </c>
      <c r="CX99" s="63">
        <v>29.569999999999997</v>
      </c>
      <c r="CY99" s="61">
        <v>7.4770000000000003</v>
      </c>
      <c r="CZ99" s="61">
        <v>7.4790000000000001</v>
      </c>
      <c r="DA99" s="61">
        <v>47.1</v>
      </c>
      <c r="DU99" s="76" t="str">
        <f t="shared" si="3"/>
        <v/>
      </c>
      <c r="DV99" s="76"/>
    </row>
    <row r="100" spans="5:126" ht="18" hidden="1" customHeight="1" outlineLevel="1" x14ac:dyDescent="0.3">
      <c r="K100"/>
      <c r="N100"/>
      <c r="O100" s="76" t="str">
        <f>IFERROR((MP_DATA[[#This Row],[D, bottom '[m']]]+#REF!)/(2*#REF!/1000),"")</f>
        <v/>
      </c>
      <c r="AV100"/>
      <c r="AY100"/>
      <c r="AZ100" s="76" t="str">
        <f>IFERROR((TP_DATA[[#This Row],[D, bottom '[m']]]+#REF!)/(2*#REF!/1000),"")</f>
        <v/>
      </c>
      <c r="CH100"/>
      <c r="CK100"/>
      <c r="CL100" s="76" t="str">
        <f>IFERROR((TOWER_DATA[[#This Row],[D, bottom '[m']]]+#REF!)/(2*#REF!/1000),"")</f>
        <v/>
      </c>
      <c r="CV100" s="61">
        <v>83</v>
      </c>
      <c r="CW100" s="63">
        <v>29.569999999999997</v>
      </c>
      <c r="CX100" s="63">
        <v>29.120999999999999</v>
      </c>
      <c r="CY100" s="61">
        <v>7.4790000000000001</v>
      </c>
      <c r="CZ100" s="61">
        <v>7.4790000000000001</v>
      </c>
      <c r="DA100" s="61">
        <v>49</v>
      </c>
      <c r="DU100" s="76" t="str">
        <f t="shared" si="3"/>
        <v/>
      </c>
      <c r="DV100" s="76"/>
    </row>
    <row r="101" spans="5:126" ht="18" hidden="1" customHeight="1" outlineLevel="1" x14ac:dyDescent="0.3">
      <c r="K101"/>
      <c r="N101"/>
      <c r="O101" s="76" t="str">
        <f>IFERROR((MP_DATA[[#This Row],[D, bottom '[m']]]+#REF!)/(2*#REF!/1000),"")</f>
        <v/>
      </c>
      <c r="AV101"/>
      <c r="AY101"/>
      <c r="AZ101" s="76" t="str">
        <f>IFERROR((TP_DATA[[#This Row],[D, bottom '[m']]]+#REF!)/(2*#REF!/1000),"")</f>
        <v/>
      </c>
      <c r="CH101"/>
      <c r="CK101"/>
      <c r="CL101" s="76" t="str">
        <f>IFERROR((TOWER_DATA[[#This Row],[D, bottom '[m']]]+#REF!)/(2*#REF!/1000),"")</f>
        <v/>
      </c>
      <c r="CV101" s="61">
        <v>84</v>
      </c>
      <c r="CW101" s="63">
        <v>29.120999999999999</v>
      </c>
      <c r="CX101" s="63">
        <v>26.639999999999997</v>
      </c>
      <c r="CY101" s="61">
        <v>7.4790000000000001</v>
      </c>
      <c r="CZ101" s="61">
        <v>7.5</v>
      </c>
      <c r="DA101" s="61">
        <v>49</v>
      </c>
      <c r="DU101" s="76" t="str">
        <f t="shared" si="3"/>
        <v/>
      </c>
      <c r="DV101" s="76"/>
    </row>
    <row r="102" spans="5:126" ht="18" hidden="1" customHeight="1" outlineLevel="1" x14ac:dyDescent="0.3">
      <c r="K102"/>
      <c r="N102"/>
      <c r="O102" s="76" t="str">
        <f>IFERROR((MP_DATA[[#This Row],[D, bottom '[m']]]+#REF!)/(2*#REF!/1000),"")</f>
        <v/>
      </c>
      <c r="AV102"/>
      <c r="AY102"/>
      <c r="AZ102" s="76" t="str">
        <f>IFERROR((TP_DATA[[#This Row],[D, bottom '[m']]]+#REF!)/(2*#REF!/1000),"")</f>
        <v/>
      </c>
      <c r="CH102"/>
      <c r="CK102"/>
      <c r="CL102" s="76" t="str">
        <f>IFERROR((TOWER_DATA[[#This Row],[D, bottom '[m']]]+#REF!)/(2*#REF!/1000),"")</f>
        <v/>
      </c>
      <c r="CV102" s="61">
        <v>85</v>
      </c>
      <c r="CW102" s="63">
        <v>26.639999999999997</v>
      </c>
      <c r="CX102" s="63">
        <v>25.05</v>
      </c>
      <c r="CY102" s="61">
        <v>7.5</v>
      </c>
      <c r="CZ102" s="61">
        <v>7.5</v>
      </c>
      <c r="DA102" s="61">
        <v>70</v>
      </c>
      <c r="DU102" s="76" t="str">
        <f t="shared" si="3"/>
        <v/>
      </c>
      <c r="DV102" s="76"/>
    </row>
    <row r="103" spans="5:126" ht="18" hidden="1" customHeight="1" outlineLevel="1" x14ac:dyDescent="0.3">
      <c r="K103"/>
      <c r="N103"/>
      <c r="O103" s="76" t="str">
        <f>IFERROR((MP_DATA[[#This Row],[D, bottom '[m']]]+#REF!)/(2*#REF!/1000),"")</f>
        <v/>
      </c>
      <c r="AV103"/>
      <c r="AY103"/>
      <c r="AZ103" s="76" t="str">
        <f>IFERROR((TP_DATA[[#This Row],[D, bottom '[m']]]+#REF!)/(2*#REF!/1000),"")</f>
        <v/>
      </c>
      <c r="CH103"/>
      <c r="CK103"/>
      <c r="CL103" s="76" t="str">
        <f>IFERROR((TOWER_DATA[[#This Row],[D, bottom '[m']]]+#REF!)/(2*#REF!/1000),"")</f>
        <v/>
      </c>
      <c r="CV103" s="61">
        <v>86</v>
      </c>
      <c r="CW103" s="63">
        <v>25.05</v>
      </c>
      <c r="CX103" s="63">
        <v>25.010999999999999</v>
      </c>
      <c r="CY103" s="61">
        <v>7.5</v>
      </c>
      <c r="CZ103" s="61">
        <v>7.5</v>
      </c>
      <c r="DA103" s="61">
        <v>70</v>
      </c>
      <c r="DU103" s="76" t="str">
        <f t="shared" si="3"/>
        <v/>
      </c>
      <c r="DV103" s="76"/>
    </row>
    <row r="104" spans="5:126" ht="18" hidden="1" customHeight="1" outlineLevel="1" x14ac:dyDescent="0.3">
      <c r="K104"/>
      <c r="N104"/>
      <c r="O104" s="76" t="str">
        <f>IFERROR((MP_DATA[[#This Row],[D, bottom '[m']]]+#REF!)/(2*#REF!/1000),"")</f>
        <v/>
      </c>
      <c r="AV104"/>
      <c r="AY104"/>
      <c r="AZ104" s="76" t="str">
        <f>IFERROR((TP_DATA[[#This Row],[D, bottom '[m']]]+#REF!)/(2*#REF!/1000),"")</f>
        <v/>
      </c>
      <c r="CH104"/>
      <c r="CK104"/>
      <c r="CL104" s="76" t="str">
        <f>IFERROR((TOWER_DATA[[#This Row],[D, bottom '[m']]]+#REF!)/(2*#REF!/1000),"")</f>
        <v/>
      </c>
      <c r="CV104" s="61">
        <v>87</v>
      </c>
      <c r="CW104" s="63">
        <v>25.010999999999999</v>
      </c>
      <c r="CX104" s="63">
        <v>22.119999999999997</v>
      </c>
      <c r="CY104" s="61">
        <v>7.5</v>
      </c>
      <c r="CZ104" s="61">
        <v>7.5</v>
      </c>
      <c r="DA104" s="61">
        <v>70</v>
      </c>
      <c r="DU104" s="76" t="str">
        <f t="shared" si="3"/>
        <v/>
      </c>
      <c r="DV104" s="76"/>
    </row>
    <row r="105" spans="5:126" ht="18" hidden="1" customHeight="1" outlineLevel="1" x14ac:dyDescent="0.3">
      <c r="K105"/>
      <c r="N105"/>
      <c r="O105" s="76" t="str">
        <f>IFERROR((MP_DATA[[#This Row],[D, bottom '[m']]]+#REF!)/(2*#REF!/1000),"")</f>
        <v/>
      </c>
      <c r="AV105"/>
      <c r="AY105"/>
      <c r="AZ105" s="76" t="str">
        <f>IFERROR((TP_DATA[[#This Row],[D, bottom '[m']]]+#REF!)/(2*#REF!/1000),"")</f>
        <v/>
      </c>
      <c r="CH105"/>
      <c r="CK105"/>
      <c r="CL105" s="76" t="str">
        <f>IFERROR((TOWER_DATA[[#This Row],[D, bottom '[m']]]+#REF!)/(2*#REF!/1000),"")</f>
        <v/>
      </c>
      <c r="CV105" s="61">
        <v>88</v>
      </c>
      <c r="CW105" s="63">
        <v>22.119999999999997</v>
      </c>
      <c r="CX105" s="63">
        <v>21.139999999999997</v>
      </c>
      <c r="CY105" s="61">
        <v>7.5</v>
      </c>
      <c r="CZ105" s="61">
        <v>7.5</v>
      </c>
      <c r="DA105" s="61">
        <v>70</v>
      </c>
      <c r="DU105" s="76" t="str">
        <f t="shared" si="3"/>
        <v/>
      </c>
      <c r="DV105" s="76"/>
    </row>
    <row r="106" spans="5:126" ht="18" hidden="1" customHeight="1" outlineLevel="1" x14ac:dyDescent="0.3">
      <c r="K106"/>
      <c r="N106"/>
      <c r="O106" t="str">
        <f>IFERROR((MP_DATA[[#This Row],[D, bottom '[m']]]+#REF!)/(2*#REF!/1000),"")</f>
        <v/>
      </c>
      <c r="AV106"/>
      <c r="AY106"/>
      <c r="AZ106" t="str">
        <f>IFERROR((TP_DATA[[#This Row],[D, bottom '[m']]]+#REF!)/(2*#REF!/1000),"")</f>
        <v/>
      </c>
      <c r="CH106"/>
      <c r="CK106"/>
      <c r="CL106" t="str">
        <f>IFERROR((TOWER_DATA[[#This Row],[D, bottom '[m']]]+#REF!)/(2*#REF!/1000),"")</f>
        <v/>
      </c>
      <c r="CV106" s="61">
        <v>89</v>
      </c>
      <c r="CW106" s="63">
        <v>21.139999999999997</v>
      </c>
      <c r="CX106" s="63">
        <v>21.08</v>
      </c>
      <c r="CY106" s="61">
        <v>7.5</v>
      </c>
      <c r="CZ106" s="61">
        <v>7.5</v>
      </c>
      <c r="DA106" s="61">
        <v>70</v>
      </c>
      <c r="DU106" s="76" t="str">
        <f t="shared" si="3"/>
        <v/>
      </c>
      <c r="DV106" s="76"/>
    </row>
    <row r="107" spans="5:126" ht="18" hidden="1" customHeight="1" outlineLevel="1" x14ac:dyDescent="0.3">
      <c r="K107"/>
      <c r="N107"/>
      <c r="O107" t="str">
        <f>IFERROR((MP_DATA[[#This Row],[D, bottom '[m']]]+#REF!)/(2*#REF!/1000),"")</f>
        <v/>
      </c>
      <c r="AV107"/>
      <c r="AY107"/>
      <c r="AZ107" t="str">
        <f>IFERROR((TP_DATA[[#This Row],[D, bottom '[m']]]+#REF!)/(2*#REF!/1000),"")</f>
        <v/>
      </c>
      <c r="CH107"/>
      <c r="CK107"/>
      <c r="CL107" t="str">
        <f>IFERROR((TOWER_DATA[[#This Row],[D, bottom '[m']]]+#REF!)/(2*#REF!/1000),"")</f>
        <v/>
      </c>
      <c r="CV107" s="61">
        <v>90</v>
      </c>
      <c r="CW107" s="63">
        <v>21.08</v>
      </c>
      <c r="CX107" s="63">
        <v>20.9</v>
      </c>
      <c r="CY107" s="61">
        <v>7.5</v>
      </c>
      <c r="CZ107" s="61">
        <v>7.5</v>
      </c>
      <c r="DA107" s="61">
        <v>70</v>
      </c>
      <c r="DU107" s="76" t="str">
        <f t="shared" si="3"/>
        <v/>
      </c>
      <c r="DV107" s="76"/>
    </row>
    <row r="108" spans="5:126" ht="18" hidden="1" customHeight="1" outlineLevel="1" x14ac:dyDescent="0.3">
      <c r="K108" s="76" t="str">
        <f>IFERROR(MP_DATA[[#This Row],[Bottom '[m']]]-MP_DATA[[#This Row],[D, top '[m']]], "")</f>
        <v/>
      </c>
      <c r="L108" t="str">
        <f>IFERROR(-(MP_DATA[[#This Row],[D, bottom '[m']]]-MP_DATA[[#This Row],[D, top '[m']]])/(MP_DATA[[#This Row],[Bottom '[m']]]-MP_DATA[[#This Row],[Top '[m']]]),"")</f>
        <v/>
      </c>
      <c r="M108" s="76" t="str">
        <f t="shared" si="0"/>
        <v/>
      </c>
      <c r="N108" s="76" t="str">
        <f>IFERROR((MP_DATA[[#This Row],[D, bottom '[m']]]+MP_DATA[[#This Row],[D, top '[m']]])/(2*MP_DATA[[#This Row],[t '[mm']]]/1000),"")</f>
        <v/>
      </c>
      <c r="O108" t="str">
        <f>IFERROR((MP_DATA[[#This Row],[D, bottom '[m']]]+#REF!)/(2*#REF!/1000),"")</f>
        <v/>
      </c>
      <c r="AV108" s="76" t="str">
        <f>IFERROR(TP_DATA[[#This Row],[Bottom '[m']]]-TP_DATA[[#This Row],[D, top '[m']]], "")</f>
        <v/>
      </c>
      <c r="AW108" t="str">
        <f>IFERROR(-(TP_DATA[[#This Row],[D, bottom '[m']]]-TP_DATA[[#This Row],[D, top '[m']]])/(TP_DATA[[#This Row],[Bottom '[m']]]-TP_DATA[[#This Row],[Top '[m']]]),"")</f>
        <v/>
      </c>
      <c r="AX108" s="76" t="str">
        <f t="shared" ref="AX108:AX109" si="4">IF(7850/1000*(1/3)*PI()*ABS(AQ167-AR167)*((AS167/2)^2+(AS167/2)*(AT167/2)+(AT167/2)^2-(AS167/2-AU167/1000)^2-(AS167/2-AU167/1000)*(AT167/2-AU167/1000)-(AT167/2-AU167/1000)^2)=0,"",7850/1000*(1/3)*PI()*ABS(AQ167-AR167)*((AS167/2)^2+(AS167/2)*(AT167/2)+(AT167/2)^2-(AS167/2-AU167/1000)^2-(AS167/2-AU167/1000)*(AT167/2-AU167/1000)-(AT167/2-AU167/1000)^2))</f>
        <v/>
      </c>
      <c r="AY108" s="76" t="str">
        <f>IFERROR((TP_DATA[[#This Row],[D, bottom '[m']]]+TP_DATA[[#This Row],[D, top '[m']]])/(2*TP_DATA[[#This Row],[t '[mm']]]/1000),"")</f>
        <v/>
      </c>
      <c r="AZ108" t="str">
        <f>IFERROR((TP_DATA[[#This Row],[D, bottom '[m']]]+#REF!)/(2*#REF!/1000),"")</f>
        <v/>
      </c>
      <c r="CH108" s="76" t="str">
        <f>IFERROR(TOWER_DATA[[#This Row],[Bottom '[m']]]-TOWER_DATA[[#This Row],[D, top '[m']]], "")</f>
        <v/>
      </c>
      <c r="CI108" t="str">
        <f>IFERROR(-(TOWER_DATA[[#This Row],[D, bottom '[m']]]-TOWER_DATA[[#This Row],[D, top '[m']]])/(TOWER_DATA[[#This Row],[Bottom '[m']]]-TOWER_DATA[[#This Row],[Top '[m']]]),"")</f>
        <v/>
      </c>
      <c r="CJ108" s="76">
        <f t="shared" ref="CJ108:CJ109" si="5">IF(7850/1000*(1/3)*PI()*ABS(CC167-CD167)*((CE167/2)^2+(CE167/2)*(CF167/2)+(CF167/2)^2-(CE167/2-CG167/1000)^2-(CE167/2-CG167/1000)*(CF167/2-CG167/1000)-(CF167/2-CG167/1000)^2)=0,"",7850/1000*(1/3)*PI()*ABS(CC167-CD167)*((CE167/2)^2+(CE167/2)*(CF167/2)+(CF167/2)^2-(CE167/2-CG167/1000)^2-(CE167/2-CG167/1000)*(CF167/2-CG167/1000)-(CF167/2-CG167/1000)^2))</f>
        <v>7.4681913438982228</v>
      </c>
      <c r="CK108" s="76" t="str">
        <f>IFERROR((TOWER_DATA[[#This Row],[D, bottom '[m']]]+TOWER_DATA[[#This Row],[D, top '[m']]])/(2*TOWER_DATA[[#This Row],[t '[mm']]]/1000),"")</f>
        <v/>
      </c>
      <c r="CL108" t="str">
        <f>IFERROR((TOWER_DATA[[#This Row],[D, bottom '[m']]]+#REF!)/(2*#REF!/1000),"")</f>
        <v/>
      </c>
      <c r="DU108" s="76" t="str">
        <f t="shared" si="3"/>
        <v/>
      </c>
      <c r="DV108" s="76"/>
    </row>
    <row r="109" spans="5:126" ht="18" customHeight="1" collapsed="1" x14ac:dyDescent="0.3">
      <c r="K109" s="76" t="str">
        <f>IFERROR(MP_DATA[[#This Row],[Bottom '[m']]]-MP_DATA[[#This Row],[D, top '[m']]], "")</f>
        <v/>
      </c>
      <c r="L109" s="76" t="str">
        <f>IFERROR(-(MP_DATA[[#This Row],[D, bottom '[m']]]-MP_DATA[[#This Row],[D, top '[m']]])/(MP_DATA[[#This Row],[Bottom '[m']]]-MP_DATA[[#This Row],[Top '[m']]]),"")</f>
        <v/>
      </c>
      <c r="M109" s="76" t="str">
        <f t="shared" si="0"/>
        <v/>
      </c>
      <c r="N109" s="76" t="str">
        <f>IFERROR((MP_DATA[[#This Row],[D, bottom '[m']]]+MP_DATA[[#This Row],[D, top '[m']]])/(2*MP_DATA[[#This Row],[t '[mm']]]/1000),"")</f>
        <v/>
      </c>
      <c r="O109" t="str">
        <f>IFERROR((MP_DATA[[#This Row],[D, bottom '[m']]]+#REF!)/(2*#REF!/1000),"")</f>
        <v/>
      </c>
      <c r="AV109" s="76" t="str">
        <f>IFERROR(TP_DATA[[#This Row],[Bottom '[m']]]-TP_DATA[[#This Row],[D, top '[m']]], "")</f>
        <v/>
      </c>
      <c r="AW109" s="76" t="str">
        <f>IFERROR(-(TP_DATA[[#This Row],[D, bottom '[m']]]-TP_DATA[[#This Row],[D, top '[m']]])/(TP_DATA[[#This Row],[Bottom '[m']]]-TP_DATA[[#This Row],[Top '[m']]]),"")</f>
        <v/>
      </c>
      <c r="AX109" s="76" t="str">
        <f t="shared" si="4"/>
        <v/>
      </c>
      <c r="AY109" s="76" t="str">
        <f>IFERROR((TP_DATA[[#This Row],[D, bottom '[m']]]+TP_DATA[[#This Row],[D, top '[m']]])/(2*TP_DATA[[#This Row],[t '[mm']]]/1000),"")</f>
        <v/>
      </c>
      <c r="AZ109" t="str">
        <f>IFERROR((TP_DATA[[#This Row],[D, bottom '[m']]]+#REF!)/(2*#REF!/1000),"")</f>
        <v/>
      </c>
      <c r="CH109" s="76" t="str">
        <f>IFERROR(TOWER_DATA[[#This Row],[Bottom '[m']]]-TOWER_DATA[[#This Row],[D, top '[m']]], "")</f>
        <v/>
      </c>
      <c r="CI109" s="76" t="str">
        <f>IFERROR(-(TOWER_DATA[[#This Row],[D, bottom '[m']]]-TOWER_DATA[[#This Row],[D, top '[m']]])/(TOWER_DATA[[#This Row],[Bottom '[m']]]-TOWER_DATA[[#This Row],[Top '[m']]]),"")</f>
        <v/>
      </c>
      <c r="CJ109" s="76">
        <f t="shared" si="5"/>
        <v>6.3716813187634509</v>
      </c>
      <c r="CK109" s="76" t="str">
        <f>IFERROR((TOWER_DATA[[#This Row],[D, bottom '[m']]]+TOWER_DATA[[#This Row],[D, top '[m']]])/(2*TOWER_DATA[[#This Row],[t '[mm']]]/1000),"")</f>
        <v/>
      </c>
      <c r="CL109" t="str">
        <f>IFERROR((TOWER_DATA[[#This Row],[D, bottom '[m']]]+#REF!)/(2*#REF!/1000),"")</f>
        <v/>
      </c>
      <c r="DU109" s="76" t="str">
        <f t="shared" si="3"/>
        <v/>
      </c>
      <c r="DV109" s="76"/>
    </row>
    <row r="110" spans="5:126" ht="18" customHeight="1" x14ac:dyDescent="0.4">
      <c r="E110" s="106" t="s">
        <v>265</v>
      </c>
      <c r="F110"/>
      <c r="G110"/>
      <c r="H110"/>
      <c r="I110"/>
      <c r="J110"/>
      <c r="K110" s="75" t="s">
        <v>259</v>
      </c>
      <c r="N110"/>
      <c r="O110" t="str">
        <f>IFERROR((MP_DATA[[#This Row],[D, bottom '[m']]]+#REF!)/(2*#REF!/1000),"")</f>
        <v/>
      </c>
      <c r="P110" s="108" t="s">
        <v>258</v>
      </c>
      <c r="AP110" s="106" t="s">
        <v>265</v>
      </c>
      <c r="AQ110"/>
      <c r="AR110"/>
      <c r="AS110"/>
      <c r="AT110"/>
      <c r="AU110"/>
      <c r="AV110" s="75" t="s">
        <v>259</v>
      </c>
      <c r="AY110"/>
      <c r="AZ110" t="str">
        <f>IFERROR((TP_DATA[[#This Row],[D, bottom '[m']]]+#REF!)/(2*#REF!/1000),"")</f>
        <v/>
      </c>
      <c r="BA110" s="108" t="s">
        <v>258</v>
      </c>
      <c r="CB110" s="106" t="s">
        <v>265</v>
      </c>
      <c r="CC110"/>
      <c r="CD110"/>
      <c r="CE110"/>
      <c r="CF110"/>
      <c r="CG110"/>
      <c r="CH110" s="75" t="s">
        <v>259</v>
      </c>
      <c r="CK110"/>
      <c r="CL110" t="str">
        <f>IFERROR((TOWER_DATA[[#This Row],[D, bottom '[m']]]+#REF!)/(2*#REF!/1000),"")</f>
        <v/>
      </c>
      <c r="CM110" s="108" t="s">
        <v>258</v>
      </c>
      <c r="DU110" s="76" t="str">
        <f t="shared" si="3"/>
        <v/>
      </c>
      <c r="DV110" s="76"/>
    </row>
    <row r="111" spans="5:126" ht="18" customHeight="1" x14ac:dyDescent="0.3">
      <c r="E111" s="87" t="s">
        <v>1</v>
      </c>
      <c r="F111" s="51" t="s">
        <v>90</v>
      </c>
      <c r="G111" s="51" t="s">
        <v>89</v>
      </c>
      <c r="H111" s="51" t="s">
        <v>78</v>
      </c>
      <c r="I111" s="51" t="s">
        <v>79</v>
      </c>
      <c r="J111" s="51" t="s">
        <v>80</v>
      </c>
      <c r="K111" s="93" t="s">
        <v>279</v>
      </c>
      <c r="L111" s="94" t="s">
        <v>254</v>
      </c>
      <c r="M111" s="94" t="s">
        <v>84</v>
      </c>
      <c r="N111" s="95" t="s">
        <v>255</v>
      </c>
      <c r="O111" t="str">
        <f>IFERROR((MP_DATA[[#This Row],[D, bottom '[m']]]+#REF!)/(2*#REF!/1000),"")</f>
        <v/>
      </c>
      <c r="P111" s="139" t="s">
        <v>241</v>
      </c>
      <c r="Q111" s="51" t="s">
        <v>90</v>
      </c>
      <c r="R111" s="51" t="s">
        <v>89</v>
      </c>
      <c r="S111" s="51" t="s">
        <v>86</v>
      </c>
      <c r="T111" s="51" t="s">
        <v>221</v>
      </c>
      <c r="U111" s="51" t="s">
        <v>222</v>
      </c>
      <c r="V111" s="51" t="s">
        <v>223</v>
      </c>
      <c r="W111" s="51" t="s">
        <v>225</v>
      </c>
      <c r="X111" s="112" t="s">
        <v>224</v>
      </c>
      <c r="AO111" s="51"/>
      <c r="AP111" s="87" t="s">
        <v>1</v>
      </c>
      <c r="AQ111" s="51" t="s">
        <v>90</v>
      </c>
      <c r="AR111" s="51" t="s">
        <v>89</v>
      </c>
      <c r="AS111" s="51" t="s">
        <v>78</v>
      </c>
      <c r="AT111" s="51" t="s">
        <v>79</v>
      </c>
      <c r="AU111" s="51" t="s">
        <v>80</v>
      </c>
      <c r="AV111" s="93" t="s">
        <v>279</v>
      </c>
      <c r="AW111" s="94" t="s">
        <v>254</v>
      </c>
      <c r="AX111" s="94" t="s">
        <v>84</v>
      </c>
      <c r="AY111" s="95" t="s">
        <v>255</v>
      </c>
      <c r="AZ111" t="str">
        <f>IFERROR((TP_DATA[[#This Row],[D, bottom '[m']]]+#REF!)/(2*#REF!/1000),"")</f>
        <v/>
      </c>
      <c r="BA111" s="139" t="s">
        <v>241</v>
      </c>
      <c r="BB111" s="51" t="s">
        <v>90</v>
      </c>
      <c r="BC111" s="51" t="s">
        <v>89</v>
      </c>
      <c r="BD111" s="51" t="s">
        <v>86</v>
      </c>
      <c r="BE111" s="51" t="s">
        <v>221</v>
      </c>
      <c r="BF111" s="51" t="s">
        <v>222</v>
      </c>
      <c r="BG111" s="51" t="s">
        <v>223</v>
      </c>
      <c r="BH111" s="51" t="s">
        <v>225</v>
      </c>
      <c r="BI111" s="112" t="s">
        <v>224</v>
      </c>
      <c r="CA111" s="51"/>
      <c r="CB111" s="87" t="s">
        <v>1</v>
      </c>
      <c r="CC111" s="51" t="s">
        <v>90</v>
      </c>
      <c r="CD111" s="51" t="s">
        <v>89</v>
      </c>
      <c r="CE111" s="51" t="s">
        <v>78</v>
      </c>
      <c r="CF111" s="51" t="s">
        <v>79</v>
      </c>
      <c r="CG111" s="51" t="s">
        <v>80</v>
      </c>
      <c r="CH111" s="121" t="s">
        <v>279</v>
      </c>
      <c r="CI111" s="94" t="s">
        <v>254</v>
      </c>
      <c r="CJ111" s="94" t="s">
        <v>84</v>
      </c>
      <c r="CK111" s="95" t="s">
        <v>255</v>
      </c>
      <c r="CL111" t="str">
        <f>IFERROR((TOWER_DATA[[#This Row],[D, bottom '[m']]]+#REF!)/(2*#REF!/1000),"")</f>
        <v/>
      </c>
      <c r="CM111" s="111" t="s">
        <v>241</v>
      </c>
      <c r="CN111" s="51" t="s">
        <v>90</v>
      </c>
      <c r="CO111" s="51" t="s">
        <v>89</v>
      </c>
      <c r="CP111" s="51" t="s">
        <v>86</v>
      </c>
      <c r="CQ111" s="51" t="s">
        <v>221</v>
      </c>
      <c r="CR111" s="51" t="s">
        <v>222</v>
      </c>
      <c r="CS111" s="51" t="s">
        <v>223</v>
      </c>
      <c r="CT111" s="51" t="s">
        <v>225</v>
      </c>
      <c r="CU111" s="112" t="s">
        <v>224</v>
      </c>
      <c r="DU111" s="76" t="str">
        <f t="shared" si="3"/>
        <v/>
      </c>
      <c r="DV111" s="76"/>
    </row>
    <row r="112" spans="5:126" ht="18" customHeight="1" x14ac:dyDescent="0.3">
      <c r="E112" s="91">
        <v>1</v>
      </c>
      <c r="F112" s="53">
        <v>5.6</v>
      </c>
      <c r="G112" s="53">
        <v>1.6</v>
      </c>
      <c r="H112" s="53">
        <v>7.5</v>
      </c>
      <c r="I112" s="53">
        <v>7.5</v>
      </c>
      <c r="J112" s="52">
        <v>108</v>
      </c>
      <c r="K112" s="53">
        <f>IFERROR(MP_DATA[[#This Row],[Top '[m']]]-MP_DATA[[#This Row],[Bottom '[m']]], "")</f>
        <v>3.9999999999999996</v>
      </c>
      <c r="L112" s="96">
        <f>IFERROR(-(MP_DATA[[#This Row],[D, bottom '[m']]]-MP_DATA[[#This Row],[D, top '[m']]])/(MP_DATA[[#This Row],[Bottom '[m']]]-MP_DATA[[#This Row],[Top '[m']]]),"")</f>
        <v>0</v>
      </c>
      <c r="M112" s="96">
        <f>IF(7850/1000*(1/3)*PI()*ABS(F112-G112)*((H112/2)^2+(H112/2)*(I112/2)+(I112/2)^2-(H112/2-J112/1000)^2-(H112/2-J112/1000)*(I112/2-J112/1000)-(I112/2-J112/1000)^2)=0,"",7850/1000*(1/3)*PI()*ABS(F112-G112)*((H112/2)^2+(H112/2)*(I112/2)+(I112/2)^2-(H112/2-J112/1000)^2-(H112/2-J112/1000)*(I112/2-J112/1000)-(I112/2-J112/1000)^2))</f>
        <v>78.752660498662593</v>
      </c>
      <c r="N112" s="97">
        <f>IFERROR((MP_DATA[[#This Row],[D, bottom '[m']]]+MP_DATA[[#This Row],[D, top '[m']]])/(2*MP_DATA[[#This Row],[t '[mm']]]/1000),"")</f>
        <v>69.444444444444443</v>
      </c>
      <c r="P112" s="55" t="s">
        <v>283</v>
      </c>
      <c r="Q112" s="51">
        <v>5.6</v>
      </c>
      <c r="R112" s="51">
        <v>5.6</v>
      </c>
      <c r="S112" s="51">
        <v>60000</v>
      </c>
      <c r="T112" s="51"/>
      <c r="U112" s="51"/>
      <c r="V112" s="51"/>
      <c r="W112" s="51"/>
      <c r="X112" s="112"/>
      <c r="AO112" s="51"/>
      <c r="AP112" s="91">
        <v>1</v>
      </c>
      <c r="AQ112" s="53">
        <v>20.9</v>
      </c>
      <c r="AR112" s="53">
        <v>17.5</v>
      </c>
      <c r="AS112" s="53">
        <v>7.5</v>
      </c>
      <c r="AT112" s="53">
        <v>7.5</v>
      </c>
      <c r="AU112" s="52">
        <v>86</v>
      </c>
      <c r="AV112" s="53">
        <f>IFERROR(TP_DATA[[#This Row],[Top '[m']]]-TP_DATA[[#This Row],[Bottom '[m']]], "")</f>
        <v>3.3999999999999986</v>
      </c>
      <c r="AW112" s="96">
        <f>IFERROR(-(TP_DATA[[#This Row],[D, bottom '[m']]]-TP_DATA[[#This Row],[D, top '[m']]])/(TP_DATA[[#This Row],[Bottom '[m']]]-TP_DATA[[#This Row],[Top '[m']]]),"")</f>
        <v>0</v>
      </c>
      <c r="AX112" s="96">
        <f>IF(7850/1000*(1/3)*PI()*ABS(AQ112-AR112)*((AS112/2)^2+(AS112/2)*(AT112/2)+(AT112/2)^2-(AS112/2-AU112/1000)^2-(AS112/2-AU112/1000)*(AT112/2-AU112/1000)-(AT112/2-AU112/1000)^2)=0,"",7850/1000*(1/3)*PI()*ABS(AQ112-AR112)*((AS112/2)^2+(AS112/2)*(AT112/2)+(AT112/2)^2-(AS112/2-AU112/1000)^2-(AS112/2-AU112/1000)*(AT112/2-AU112/1000)-(AT112/2-AU112/1000)^2))</f>
        <v>53.462526608972695</v>
      </c>
      <c r="AY112" s="97">
        <f>IFERROR((TP_DATA[[#This Row],[D, bottom '[m']]]+TP_DATA[[#This Row],[D, top '[m']]])/(2*TP_DATA[[#This Row],[t '[mm']]]/1000),"")</f>
        <v>87.209302325581405</v>
      </c>
      <c r="BA112" s="55" t="s">
        <v>284</v>
      </c>
      <c r="BB112" s="51">
        <v>20.100000000000001</v>
      </c>
      <c r="BC112" s="51">
        <v>20.100000000000001</v>
      </c>
      <c r="BD112" s="51">
        <v>20000</v>
      </c>
      <c r="BE112" s="51"/>
      <c r="BF112" s="51"/>
      <c r="BG112" s="51"/>
      <c r="BH112" s="51"/>
      <c r="BI112" s="112"/>
      <c r="CA112" s="51"/>
      <c r="CB112" s="91">
        <v>1</v>
      </c>
      <c r="CC112" s="53">
        <v>140.49999999999997</v>
      </c>
      <c r="CD112" s="53">
        <v>140.32499999999996</v>
      </c>
      <c r="CE112" s="53">
        <v>5.6159999999999997</v>
      </c>
      <c r="CF112" s="53">
        <v>5.6159999999999997</v>
      </c>
      <c r="CG112" s="52">
        <v>42</v>
      </c>
      <c r="CH112" s="122">
        <f>IFERROR(TOWER_DATA[[#This Row],[Top '[m']]]-TOWER_DATA[[#This Row],[Bottom '[m']]], "")</f>
        <v>0.17500000000001137</v>
      </c>
      <c r="CI112" s="123">
        <f>IFERROR(-(TOWER_DATA[[#This Row],[D, bottom '[m']]]-TOWER_DATA[[#This Row],[D, top '[m']]])/(TOWER_DATA[[#This Row],[Bottom '[m']]]-TOWER_DATA[[#This Row],[Top '[m']]]),"")</f>
        <v>0</v>
      </c>
      <c r="CJ112" s="123">
        <f>IF(7850/1000*(1/3)*PI()*ABS(CC112-CD112)*((CE112/2)^2+(CE112/2)*(CF112/2)+(CF112/2)^2-(CE112/2-CG112/1000)^2-(CE112/2-CG112/1000)*(CF112/2-CG112/1000)-(CF112/2-CG112/1000)^2)=0,"",7850/1000*(1/3)*PI()*ABS(CC112-CD112)*((CE112/2)^2+(CE112/2)*(CF112/2)+(CF112/2)^2-(CE112/2-CG112/1000)^2-(CE112/2-CG112/1000)*(CF112/2-CG112/1000)-(CF112/2-CG112/1000)^2))</f>
        <v>1.0103546228354485</v>
      </c>
      <c r="CK112" s="124">
        <f>IFERROR((TOWER_DATA[[#This Row],[D, bottom '[m']]]+TOWER_DATA[[#This Row],[D, top '[m']]])/(2*TOWER_DATA[[#This Row],[t '[mm']]]/1000),"")</f>
        <v>133.71428571428569</v>
      </c>
      <c r="CM112" s="138"/>
      <c r="CN112" s="138"/>
      <c r="CO112" s="138"/>
      <c r="CP112" s="138"/>
      <c r="CQ112" s="51"/>
      <c r="CR112" s="51"/>
      <c r="CS112" s="51"/>
      <c r="CT112" s="51"/>
      <c r="CU112" s="112"/>
      <c r="DU112" s="76" t="str">
        <f t="shared" si="3"/>
        <v/>
      </c>
      <c r="DV112" s="76"/>
    </row>
    <row r="113" spans="5:126" ht="18" customHeight="1" x14ac:dyDescent="0.3">
      <c r="E113" s="91">
        <v>2</v>
      </c>
      <c r="F113" s="53">
        <v>1.6</v>
      </c>
      <c r="G113" s="53">
        <v>-2.2999999999999998</v>
      </c>
      <c r="H113" s="53">
        <v>7.5</v>
      </c>
      <c r="I113" s="53">
        <v>7.5</v>
      </c>
      <c r="J113" s="52">
        <v>100</v>
      </c>
      <c r="K113" s="53">
        <f>IFERROR(MP_DATA[[#This Row],[Top '[m']]]-MP_DATA[[#This Row],[Bottom '[m']]], "")</f>
        <v>3.9</v>
      </c>
      <c r="L113" s="53">
        <f>IFERROR(-(MP_DATA[[#This Row],[D, bottom '[m']]]-MP_DATA[[#This Row],[D, top '[m']]])/(MP_DATA[[#This Row],[Bottom '[m']]]-MP_DATA[[#This Row],[Top '[m']]]),"")</f>
        <v>0</v>
      </c>
      <c r="M113" s="53">
        <f t="shared" ref="M113:M137" si="6"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>71.173095726342183</v>
      </c>
      <c r="N113" s="98">
        <f>IFERROR((MP_DATA[[#This Row],[D, bottom '[m']]]+MP_DATA[[#This Row],[D, top '[m']]])/(2*MP_DATA[[#This Row],[t '[mm']]]/1000),"")</f>
        <v>75</v>
      </c>
      <c r="P113" s="55" t="s">
        <v>87</v>
      </c>
      <c r="Q113" s="51">
        <v>4.2</v>
      </c>
      <c r="R113" s="51">
        <v>4.2</v>
      </c>
      <c r="S113" s="51">
        <v>9000</v>
      </c>
      <c r="T113" s="51"/>
      <c r="U113" s="51"/>
      <c r="V113" s="51"/>
      <c r="W113" s="51"/>
      <c r="X113" s="112"/>
      <c r="AO113" s="51"/>
      <c r="AP113" s="91">
        <v>2</v>
      </c>
      <c r="AQ113" s="53">
        <v>17.5</v>
      </c>
      <c r="AR113" s="53">
        <v>13.5</v>
      </c>
      <c r="AS113" s="53">
        <v>7.5</v>
      </c>
      <c r="AT113" s="53">
        <v>7.5</v>
      </c>
      <c r="AU113" s="52">
        <v>86</v>
      </c>
      <c r="AV113" s="53">
        <f>IFERROR(TP_DATA[[#This Row],[Top '[m']]]-TP_DATA[[#This Row],[Bottom '[m']]], "")</f>
        <v>4</v>
      </c>
      <c r="AW113" s="53">
        <f>IFERROR(-(TP_DATA[[#This Row],[D, bottom '[m']]]-TP_DATA[[#This Row],[D, top '[m']]])/(TP_DATA[[#This Row],[Bottom '[m']]]-TP_DATA[[#This Row],[Top '[m']]]),"")</f>
        <v>0</v>
      </c>
      <c r="AX113" s="53">
        <f t="shared" ref="AX113:AX137" si="7">IF(7850/1000*(1/3)*PI()*ABS(AQ113-AR113)*((AS113/2)^2+(AS113/2)*(AT113/2)+(AT113/2)^2-(AS113/2-AU113/1000)^2-(AS113/2-AU113/1000)*(AT113/2-AU113/1000)-(AT113/2-AU113/1000)^2)=0,"",7850/1000*(1/3)*PI()*ABS(AQ113-AR113)*((AS113/2)^2+(AS113/2)*(AT113/2)+(AT113/2)^2-(AS113/2-AU113/1000)^2-(AS113/2-AU113/1000)*(AT113/2-AU113/1000)-(AT113/2-AU113/1000)^2))</f>
        <v>62.897090128203196</v>
      </c>
      <c r="AY113" s="98">
        <f>IFERROR((TP_DATA[[#This Row],[D, bottom '[m']]]+TP_DATA[[#This Row],[D, top '[m']]])/(2*TP_DATA[[#This Row],[t '[mm']]]/1000),"")</f>
        <v>87.209302325581405</v>
      </c>
      <c r="BA113" s="55" t="s">
        <v>285</v>
      </c>
      <c r="BB113" s="51">
        <v>19.5</v>
      </c>
      <c r="BC113" s="51">
        <v>19.5</v>
      </c>
      <c r="BD113" s="51">
        <v>5000</v>
      </c>
      <c r="BE113" s="51"/>
      <c r="BF113" s="51"/>
      <c r="BG113" s="51"/>
      <c r="BH113" s="51"/>
      <c r="BI113" s="112"/>
      <c r="CA113" s="51"/>
      <c r="CB113" s="114">
        <v>2</v>
      </c>
      <c r="CC113" s="115">
        <v>140.32499999999996</v>
      </c>
      <c r="CD113" s="115">
        <v>140.27499999999998</v>
      </c>
      <c r="CE113" s="115">
        <v>5.6159999999999997</v>
      </c>
      <c r="CF113" s="115">
        <v>5.609</v>
      </c>
      <c r="CG113" s="116">
        <v>42</v>
      </c>
      <c r="CH113" s="122">
        <f>IFERROR(TOWER_DATA[[#This Row],[Top '[m']]]-TOWER_DATA[[#This Row],[Bottom '[m']]], "")</f>
        <v>4.9999999999982947E-2</v>
      </c>
      <c r="CI113" s="122">
        <f>IFERROR(-(TOWER_DATA[[#This Row],[D, bottom '[m']]]-TOWER_DATA[[#This Row],[D, top '[m']]])/(TOWER_DATA[[#This Row],[Bottom '[m']]]-TOWER_DATA[[#This Row],[Top '[m']]]),"")</f>
        <v>-0.1400000000000412</v>
      </c>
      <c r="CJ113" s="122">
        <f t="shared" ref="CJ113:CJ137" si="8">IF(7850/1000*(1/3)*PI()*ABS(CC113-CD113)*((CE113/2)^2+(CE113/2)*(CF113/2)+(CF113/2)^2-(CE113/2-CG113/1000)^2-(CE113/2-CG113/1000)*(CF113/2-CG113/1000)-(CF113/2-CG113/1000)^2)=0,"",7850/1000*(1/3)*PI()*ABS(CC113-CD113)*((CE113/2)^2+(CE113/2)*(CF113/2)+(CF113/2)^2-(CE113/2-CG113/1000)^2-(CE113/2-CG113/1000)*(CF113/2-CG113/1000)-(CF113/2-CG113/1000)^2))</f>
        <v>0.28849148733930929</v>
      </c>
      <c r="CK113" s="125">
        <f>IFERROR((TOWER_DATA[[#This Row],[D, bottom '[m']]]+TOWER_DATA[[#This Row],[D, top '[m']]])/(2*TOWER_DATA[[#This Row],[t '[mm']]]/1000),"")</f>
        <v>133.63095238095238</v>
      </c>
      <c r="CM113" s="138"/>
      <c r="CN113" s="138"/>
      <c r="CO113" s="138"/>
      <c r="CP113" s="138"/>
      <c r="CQ113" s="51"/>
      <c r="CR113" s="51"/>
      <c r="CS113" s="51"/>
      <c r="CT113" s="51"/>
      <c r="CU113" s="112"/>
      <c r="DU113" s="76" t="str">
        <f t="shared" si="3"/>
        <v/>
      </c>
      <c r="DV113" s="76"/>
    </row>
    <row r="114" spans="5:126" ht="18" customHeight="1" x14ac:dyDescent="0.3">
      <c r="E114" s="91">
        <v>3</v>
      </c>
      <c r="F114" s="53">
        <v>-2.2999999999999998</v>
      </c>
      <c r="G114" s="53">
        <v>-6.2</v>
      </c>
      <c r="H114" s="53">
        <v>7.5</v>
      </c>
      <c r="I114" s="53">
        <v>7.5</v>
      </c>
      <c r="J114" s="52">
        <v>98</v>
      </c>
      <c r="K114" s="53">
        <f>IFERROR(MP_DATA[[#This Row],[Top '[m']]]-MP_DATA[[#This Row],[Bottom '[m']]], "")</f>
        <v>3.9000000000000004</v>
      </c>
      <c r="L114" s="53">
        <f>IFERROR(-(MP_DATA[[#This Row],[D, bottom '[m']]]-MP_DATA[[#This Row],[D, top '[m']]])/(MP_DATA[[#This Row],[Bottom '[m']]]-MP_DATA[[#This Row],[Top '[m']]]),"")</f>
        <v>0</v>
      </c>
      <c r="M114" s="53">
        <f t="shared" si="6"/>
        <v>69.768485064196611</v>
      </c>
      <c r="N114" s="98">
        <f>IFERROR((MP_DATA[[#This Row],[D, bottom '[m']]]+MP_DATA[[#This Row],[D, top '[m']]])/(2*MP_DATA[[#This Row],[t '[mm']]]/1000),"")</f>
        <v>76.530612244897952</v>
      </c>
      <c r="P114" s="55" t="s">
        <v>88</v>
      </c>
      <c r="Q114" s="51">
        <v>2</v>
      </c>
      <c r="R114" s="51">
        <v>2</v>
      </c>
      <c r="S114" s="51">
        <v>80000</v>
      </c>
      <c r="T114" s="51"/>
      <c r="U114" s="51"/>
      <c r="V114" s="51"/>
      <c r="W114" s="51"/>
      <c r="X114" s="112"/>
      <c r="AO114" s="51"/>
      <c r="AP114" s="91">
        <v>3</v>
      </c>
      <c r="AQ114" s="53">
        <v>13.5</v>
      </c>
      <c r="AR114" s="53">
        <v>9.5</v>
      </c>
      <c r="AS114" s="53">
        <v>7.5</v>
      </c>
      <c r="AT114" s="53">
        <v>7.5</v>
      </c>
      <c r="AU114" s="52">
        <v>93</v>
      </c>
      <c r="AV114" s="53">
        <f>IFERROR(TP_DATA[[#This Row],[Top '[m']]]-TP_DATA[[#This Row],[Bottom '[m']]], "")</f>
        <v>4</v>
      </c>
      <c r="AW114" s="53">
        <f>IFERROR(-(TP_DATA[[#This Row],[D, bottom '[m']]]-TP_DATA[[#This Row],[D, top '[m']]])/(TP_DATA[[#This Row],[Bottom '[m']]]-TP_DATA[[#This Row],[Top '[m']]]),"")</f>
        <v>0</v>
      </c>
      <c r="AX114" s="53">
        <f t="shared" si="7"/>
        <v>67.952402167964607</v>
      </c>
      <c r="AY114" s="98">
        <f>IFERROR((TP_DATA[[#This Row],[D, bottom '[m']]]+TP_DATA[[#This Row],[D, top '[m']]])/(2*TP_DATA[[#This Row],[t '[mm']]]/1000),"")</f>
        <v>80.645161290322577</v>
      </c>
      <c r="BA114" s="55" t="s">
        <v>286</v>
      </c>
      <c r="BB114" s="51">
        <v>14</v>
      </c>
      <c r="BC114" s="51">
        <v>14</v>
      </c>
      <c r="BD114" s="51">
        <v>5000</v>
      </c>
      <c r="BE114" s="51"/>
      <c r="BF114" s="51"/>
      <c r="BG114" s="51"/>
      <c r="BH114" s="51"/>
      <c r="BI114" s="112"/>
      <c r="CA114" s="51"/>
      <c r="CB114" s="114">
        <v>3</v>
      </c>
      <c r="CC114" s="115">
        <v>140.27499999999998</v>
      </c>
      <c r="CD114" s="115">
        <v>138.62499999999997</v>
      </c>
      <c r="CE114" s="115">
        <v>5.609</v>
      </c>
      <c r="CF114" s="115">
        <v>5.9039999999999999</v>
      </c>
      <c r="CG114" s="116">
        <v>35</v>
      </c>
      <c r="CH114" s="122">
        <f>IFERROR(TOWER_DATA[[#This Row],[Top '[m']]]-TOWER_DATA[[#This Row],[Bottom '[m']]], "")</f>
        <v>1.6500000000000057</v>
      </c>
      <c r="CI114" s="122">
        <f>IFERROR(-(TOWER_DATA[[#This Row],[D, bottom '[m']]]-TOWER_DATA[[#This Row],[D, top '[m']]])/(TOWER_DATA[[#This Row],[Bottom '[m']]]-TOWER_DATA[[#This Row],[Top '[m']]]),"")</f>
        <v>0.17878787878787814</v>
      </c>
      <c r="CJ114" s="122">
        <f t="shared" si="8"/>
        <v>8.1485703675329084</v>
      </c>
      <c r="CK114" s="125">
        <f>IFERROR((TOWER_DATA[[#This Row],[D, bottom '[m']]]+TOWER_DATA[[#This Row],[D, top '[m']]])/(2*TOWER_DATA[[#This Row],[t '[mm']]]/1000),"")</f>
        <v>164.47142857142856</v>
      </c>
      <c r="CM114" s="138"/>
      <c r="CN114" s="138"/>
      <c r="CO114" s="138"/>
      <c r="CP114" s="138"/>
      <c r="CQ114" s="51"/>
      <c r="CR114" s="51"/>
      <c r="CS114" s="51"/>
      <c r="CT114" s="51"/>
      <c r="CU114" s="112"/>
      <c r="DU114" s="76" t="str">
        <f t="shared" si="3"/>
        <v/>
      </c>
      <c r="DV114" s="76"/>
    </row>
    <row r="115" spans="5:126" ht="18" customHeight="1" x14ac:dyDescent="0.3">
      <c r="E115" s="91">
        <v>4</v>
      </c>
      <c r="F115" s="53">
        <v>-6.2</v>
      </c>
      <c r="G115" s="53">
        <v>-10.1</v>
      </c>
      <c r="H115" s="53">
        <v>7.5</v>
      </c>
      <c r="I115" s="53">
        <v>7.8282999999999996</v>
      </c>
      <c r="J115" s="52">
        <v>98</v>
      </c>
      <c r="K115" s="53">
        <f>IFERROR(MP_DATA[[#This Row],[Top '[m']]]-MP_DATA[[#This Row],[Bottom '[m']]], "")</f>
        <v>3.8999999999999995</v>
      </c>
      <c r="L115" s="53">
        <f>IFERROR(-(MP_DATA[[#This Row],[D, bottom '[m']]]-MP_DATA[[#This Row],[D, top '[m']]])/(MP_DATA[[#This Row],[Bottom '[m']]]-MP_DATA[[#This Row],[Top '[m']]]),"")</f>
        <v>8.4179487179487089E-2</v>
      </c>
      <c r="M115" s="53">
        <f t="shared" si="6"/>
        <v>71.315701603414155</v>
      </c>
      <c r="N115" s="98">
        <f>IFERROR((MP_DATA[[#This Row],[D, bottom '[m']]]+MP_DATA[[#This Row],[D, top '[m']]])/(2*MP_DATA[[#This Row],[t '[mm']]]/1000),"")</f>
        <v>78.205612244897949</v>
      </c>
      <c r="P115" s="51"/>
      <c r="Q115" s="51"/>
      <c r="R115" s="51"/>
      <c r="S115" s="51"/>
      <c r="T115" s="51"/>
      <c r="U115" s="51"/>
      <c r="V115" s="51"/>
      <c r="W115" s="51"/>
      <c r="X115" s="112"/>
      <c r="AO115" s="51"/>
      <c r="AP115" s="91">
        <v>4</v>
      </c>
      <c r="AQ115" s="53">
        <v>9.5</v>
      </c>
      <c r="AR115" s="53">
        <v>5.6</v>
      </c>
      <c r="AS115" s="53">
        <v>7.5</v>
      </c>
      <c r="AT115" s="53">
        <v>7.5</v>
      </c>
      <c r="AU115" s="52">
        <v>100</v>
      </c>
      <c r="AV115" s="53">
        <f>IFERROR(TP_DATA[[#This Row],[Top '[m']]]-TP_DATA[[#This Row],[Bottom '[m']]], "")</f>
        <v>3.9000000000000004</v>
      </c>
      <c r="AW115" s="53">
        <f>IFERROR(-(TP_DATA[[#This Row],[D, bottom '[m']]]-TP_DATA[[#This Row],[D, top '[m']]])/(TP_DATA[[#This Row],[Bottom '[m']]]-TP_DATA[[#This Row],[Top '[m']]]),"")</f>
        <v>0</v>
      </c>
      <c r="AX115" s="53">
        <f t="shared" si="7"/>
        <v>71.173095726342197</v>
      </c>
      <c r="AY115" s="98">
        <f>IFERROR((TP_DATA[[#This Row],[D, bottom '[m']]]+TP_DATA[[#This Row],[D, top '[m']]])/(2*TP_DATA[[#This Row],[t '[mm']]]/1000),"")</f>
        <v>75</v>
      </c>
      <c r="BA115" s="55" t="s">
        <v>287</v>
      </c>
      <c r="BB115" s="51">
        <v>11</v>
      </c>
      <c r="BC115" s="51">
        <v>11</v>
      </c>
      <c r="BD115" s="51">
        <v>1</v>
      </c>
      <c r="BE115" s="51"/>
      <c r="BF115" s="51"/>
      <c r="BG115" s="51"/>
      <c r="BH115" s="51"/>
      <c r="BI115" s="112"/>
      <c r="CA115" s="51"/>
      <c r="CB115" s="114">
        <v>4</v>
      </c>
      <c r="CC115" s="115">
        <v>138.62499999999997</v>
      </c>
      <c r="CD115" s="115">
        <v>136.97499999999997</v>
      </c>
      <c r="CE115" s="115">
        <v>5.9039999999999999</v>
      </c>
      <c r="CF115" s="115">
        <v>6.258</v>
      </c>
      <c r="CG115" s="116">
        <v>40</v>
      </c>
      <c r="CH115" s="122">
        <f>IFERROR(TOWER_DATA[[#This Row],[Top '[m']]]-TOWER_DATA[[#This Row],[Bottom '[m']]], "")</f>
        <v>1.6500000000000057</v>
      </c>
      <c r="CI115" s="122">
        <f>IFERROR(-(TOWER_DATA[[#This Row],[D, bottom '[m']]]-TOWER_DATA[[#This Row],[D, top '[m']]])/(TOWER_DATA[[#This Row],[Bottom '[m']]]-TOWER_DATA[[#This Row],[Top '[m']]]),"")</f>
        <v>0.21454545454545387</v>
      </c>
      <c r="CJ115" s="122">
        <f t="shared" si="8"/>
        <v>9.8326889482561182</v>
      </c>
      <c r="CK115" s="125">
        <f>IFERROR((TOWER_DATA[[#This Row],[D, bottom '[m']]]+TOWER_DATA[[#This Row],[D, top '[m']]])/(2*TOWER_DATA[[#This Row],[t '[mm']]]/1000),"")</f>
        <v>152.02499999999998</v>
      </c>
      <c r="CM115" s="138"/>
      <c r="CN115" s="138"/>
      <c r="CO115" s="138"/>
      <c r="CP115" s="138"/>
      <c r="CQ115" s="51"/>
      <c r="CR115" s="51"/>
      <c r="CS115" s="51"/>
      <c r="CT115" s="51"/>
      <c r="CU115" s="112"/>
      <c r="DU115" s="76" t="str">
        <f t="shared" si="3"/>
        <v/>
      </c>
      <c r="DV115" s="76"/>
    </row>
    <row r="116" spans="5:126" ht="18" customHeight="1" x14ac:dyDescent="0.3">
      <c r="E116" s="91">
        <v>5</v>
      </c>
      <c r="F116" s="53">
        <v>-10.1</v>
      </c>
      <c r="G116" s="53">
        <v>-14</v>
      </c>
      <c r="H116" s="53">
        <v>7.8282999999999996</v>
      </c>
      <c r="I116" s="53">
        <v>8.1565999999999992</v>
      </c>
      <c r="J116" s="52">
        <v>104</v>
      </c>
      <c r="K116" s="53">
        <f>IFERROR(MP_DATA[[#This Row],[Top '[m']]]-MP_DATA[[#This Row],[Bottom '[m']]], "")</f>
        <v>3.9000000000000004</v>
      </c>
      <c r="L116" s="53">
        <f>IFERROR(-(MP_DATA[[#This Row],[D, bottom '[m']]]-MP_DATA[[#This Row],[D, top '[m']]])/(MP_DATA[[#This Row],[Bottom '[m']]]-MP_DATA[[#This Row],[Top '[m']]]),"")</f>
        <v>8.4179487179487061E-2</v>
      </c>
      <c r="M116" s="53">
        <f t="shared" si="6"/>
        <v>78.905840981319429</v>
      </c>
      <c r="N116" s="98">
        <f>IFERROR((MP_DATA[[#This Row],[D, bottom '[m']]]+MP_DATA[[#This Row],[D, top '[m']]])/(2*MP_DATA[[#This Row],[t '[mm']]]/1000),"")</f>
        <v>76.850480769230771</v>
      </c>
      <c r="P116" s="51"/>
      <c r="Q116" s="51"/>
      <c r="R116" s="51"/>
      <c r="S116" s="51"/>
      <c r="T116" s="51"/>
      <c r="U116" s="51"/>
      <c r="V116" s="51"/>
      <c r="W116" s="51"/>
      <c r="X116" s="112"/>
      <c r="AO116" s="51"/>
      <c r="AP116" s="114"/>
      <c r="AQ116" s="115"/>
      <c r="AR116" s="115"/>
      <c r="AS116" s="115"/>
      <c r="AT116" s="115"/>
      <c r="AU116" s="116"/>
      <c r="AV116" s="53" t="str">
        <f>IFERROR(TP_DATA[[#This Row],[Top '[m']]]-TP_DATA[[#This Row],[Bottom '[m']]], "")</f>
        <v/>
      </c>
      <c r="AW116" s="53" t="str">
        <f>IFERROR(-(TP_DATA[[#This Row],[D, bottom '[m']]]-TP_DATA[[#This Row],[D, top '[m']]])/(TP_DATA[[#This Row],[Bottom '[m']]]-TP_DATA[[#This Row],[Top '[m']]]),"")</f>
        <v/>
      </c>
      <c r="AX116" s="53" t="str">
        <f t="shared" si="7"/>
        <v/>
      </c>
      <c r="AY116" s="98" t="str">
        <f>IFERROR((TP_DATA[[#This Row],[D, bottom '[m']]]+TP_DATA[[#This Row],[D, top '[m']]])/(2*TP_DATA[[#This Row],[t '[mm']]]/1000),"")</f>
        <v/>
      </c>
      <c r="BA116" s="55" t="s">
        <v>288</v>
      </c>
      <c r="BB116" s="51">
        <v>6.1</v>
      </c>
      <c r="BC116" s="51">
        <v>6.1</v>
      </c>
      <c r="BD116" s="51">
        <v>200</v>
      </c>
      <c r="BE116" s="51"/>
      <c r="BF116" s="51"/>
      <c r="BG116" s="51"/>
      <c r="BH116" s="51"/>
      <c r="BI116" s="112"/>
      <c r="CA116" s="51"/>
      <c r="CB116" s="114">
        <v>5</v>
      </c>
      <c r="CC116" s="115">
        <v>136.97499999999997</v>
      </c>
      <c r="CD116" s="115">
        <v>136.38899999999998</v>
      </c>
      <c r="CE116" s="115">
        <v>6.258</v>
      </c>
      <c r="CF116" s="115">
        <v>6.258</v>
      </c>
      <c r="CG116" s="116">
        <v>58</v>
      </c>
      <c r="CH116" s="122">
        <f>IFERROR(TOWER_DATA[[#This Row],[Top '[m']]]-TOWER_DATA[[#This Row],[Bottom '[m']]], "")</f>
        <v>0.58599999999998431</v>
      </c>
      <c r="CI116" s="122">
        <f>IFERROR(-(TOWER_DATA[[#This Row],[D, bottom '[m']]]-TOWER_DATA[[#This Row],[D, top '[m']]])/(TOWER_DATA[[#This Row],[Bottom '[m']]]-TOWER_DATA[[#This Row],[Top '[m']]]),"")</f>
        <v>0</v>
      </c>
      <c r="CJ116" s="122">
        <f t="shared" si="8"/>
        <v>5.1968098755337806</v>
      </c>
      <c r="CK116" s="125">
        <f>IFERROR((TOWER_DATA[[#This Row],[D, bottom '[m']]]+TOWER_DATA[[#This Row],[D, top '[m']]])/(2*TOWER_DATA[[#This Row],[t '[mm']]]/1000),"")</f>
        <v>107.89655172413792</v>
      </c>
      <c r="CM116" s="138"/>
      <c r="CN116" s="138"/>
      <c r="CO116" s="138"/>
      <c r="CP116" s="138"/>
      <c r="CQ116" s="51"/>
      <c r="CR116" s="51"/>
      <c r="CS116" s="51"/>
      <c r="CT116" s="51"/>
      <c r="CU116" s="112"/>
      <c r="DU116" s="76" t="str">
        <f t="shared" si="3"/>
        <v/>
      </c>
      <c r="DV116" s="76"/>
    </row>
    <row r="117" spans="5:126" ht="18" customHeight="1" x14ac:dyDescent="0.3">
      <c r="E117" s="91">
        <v>6</v>
      </c>
      <c r="F117" s="53">
        <v>-14</v>
      </c>
      <c r="G117" s="53">
        <v>-17.899999999999999</v>
      </c>
      <c r="H117" s="53">
        <v>8.1565999999999992</v>
      </c>
      <c r="I117" s="53">
        <v>8.4847999999999999</v>
      </c>
      <c r="J117" s="52">
        <v>98</v>
      </c>
      <c r="K117" s="53">
        <f>IFERROR(MP_DATA[[#This Row],[Top '[m']]]-MP_DATA[[#This Row],[Bottom '[m']]], "")</f>
        <v>3.8999999999999986</v>
      </c>
      <c r="L117" s="53">
        <f>IFERROR(-(MP_DATA[[#This Row],[D, bottom '[m']]]-MP_DATA[[#This Row],[D, top '[m']]])/(MP_DATA[[#This Row],[Bottom '[m']]]-MP_DATA[[#This Row],[Top '[m']]]),"")</f>
        <v>8.4153846153846371E-2</v>
      </c>
      <c r="M117" s="53">
        <f t="shared" si="6"/>
        <v>77.504096478974631</v>
      </c>
      <c r="N117" s="98">
        <f>IFERROR((MP_DATA[[#This Row],[D, bottom '[m']]]+MP_DATA[[#This Row],[D, top '[m']]])/(2*MP_DATA[[#This Row],[t '[mm']]]/1000),"")</f>
        <v>84.905102040816303</v>
      </c>
      <c r="P117" s="51"/>
      <c r="Q117" s="51"/>
      <c r="R117" s="51"/>
      <c r="S117" s="51"/>
      <c r="T117" s="51"/>
      <c r="U117" s="51"/>
      <c r="V117" s="51"/>
      <c r="W117" s="51"/>
      <c r="X117" s="112"/>
      <c r="AO117" s="51"/>
      <c r="AP117" s="114"/>
      <c r="AQ117" s="115"/>
      <c r="AR117" s="115"/>
      <c r="AS117" s="115"/>
      <c r="AT117" s="115"/>
      <c r="AU117" s="116"/>
      <c r="AV117" s="53" t="str">
        <f>IFERROR(TP_DATA[[#This Row],[Top '[m']]]-TP_DATA[[#This Row],[Bottom '[m']]], "")</f>
        <v/>
      </c>
      <c r="AW117" s="53" t="str">
        <f>IFERROR(-(TP_DATA[[#This Row],[D, bottom '[m']]]-TP_DATA[[#This Row],[D, top '[m']]])/(TP_DATA[[#This Row],[Bottom '[m']]]-TP_DATA[[#This Row],[Top '[m']]]),"")</f>
        <v/>
      </c>
      <c r="AX117" s="53" t="str">
        <f t="shared" si="7"/>
        <v/>
      </c>
      <c r="AY117" s="98" t="str">
        <f>IFERROR((TP_DATA[[#This Row],[D, bottom '[m']]]+TP_DATA[[#This Row],[D, top '[m']]])/(2*TP_DATA[[#This Row],[t '[mm']]]/1000),"")</f>
        <v/>
      </c>
      <c r="BA117" s="55" t="s">
        <v>283</v>
      </c>
      <c r="BB117" s="51">
        <v>5.6</v>
      </c>
      <c r="BC117" s="51">
        <v>5.6</v>
      </c>
      <c r="BD117" s="51">
        <v>60000</v>
      </c>
      <c r="BE117" s="51"/>
      <c r="BF117" s="51"/>
      <c r="BG117" s="51"/>
      <c r="BH117" s="51"/>
      <c r="BI117" s="112"/>
      <c r="CA117" s="51"/>
      <c r="CB117" s="114">
        <v>6</v>
      </c>
      <c r="CC117" s="115">
        <v>136.38899999999998</v>
      </c>
      <c r="CD117" s="115">
        <v>135.29999999999998</v>
      </c>
      <c r="CE117" s="115">
        <v>6.258</v>
      </c>
      <c r="CF117" s="115">
        <v>6.258</v>
      </c>
      <c r="CG117" s="116">
        <v>58</v>
      </c>
      <c r="CH117" s="122">
        <f>IFERROR(TOWER_DATA[[#This Row],[Top '[m']]]-TOWER_DATA[[#This Row],[Bottom '[m']]], "")</f>
        <v>1.0889999999999986</v>
      </c>
      <c r="CI117" s="122">
        <f>IFERROR(-(TOWER_DATA[[#This Row],[D, bottom '[m']]]-TOWER_DATA[[#This Row],[D, top '[m']]])/(TOWER_DATA[[#This Row],[Bottom '[m']]]-TOWER_DATA[[#This Row],[Top '[m']]]),"")</f>
        <v>0</v>
      </c>
      <c r="CJ117" s="122">
        <f t="shared" si="8"/>
        <v>9.6575528233044903</v>
      </c>
      <c r="CK117" s="125">
        <f>IFERROR((TOWER_DATA[[#This Row],[D, bottom '[m']]]+TOWER_DATA[[#This Row],[D, top '[m']]])/(2*TOWER_DATA[[#This Row],[t '[mm']]]/1000),"")</f>
        <v>107.89655172413792</v>
      </c>
      <c r="CM117" s="138"/>
      <c r="CN117" s="138"/>
      <c r="CO117" s="138"/>
      <c r="CP117" s="138"/>
      <c r="CQ117" s="51"/>
      <c r="CR117" s="51"/>
      <c r="CS117" s="51"/>
      <c r="CT117" s="51"/>
      <c r="CU117" s="112"/>
      <c r="DU117" s="76" t="str">
        <f t="shared" si="3"/>
        <v/>
      </c>
      <c r="DV117" s="76"/>
    </row>
    <row r="118" spans="5:126" ht="18" customHeight="1" x14ac:dyDescent="0.3">
      <c r="E118" s="91">
        <v>7</v>
      </c>
      <c r="F118" s="53">
        <v>-17.899999999999999</v>
      </c>
      <c r="G118" s="53">
        <v>-21.8</v>
      </c>
      <c r="H118" s="53">
        <v>8.4847999999999999</v>
      </c>
      <c r="I118" s="53">
        <v>8.8131000000000004</v>
      </c>
      <c r="J118" s="52">
        <v>94</v>
      </c>
      <c r="K118" s="53">
        <f>IFERROR(MP_DATA[[#This Row],[Top '[m']]]-MP_DATA[[#This Row],[Bottom '[m']]], "")</f>
        <v>3.9000000000000021</v>
      </c>
      <c r="L118" s="53">
        <f>IFERROR(-(MP_DATA[[#This Row],[D, bottom '[m']]]-MP_DATA[[#This Row],[D, top '[m']]])/(MP_DATA[[#This Row],[Bottom '[m']]]-MP_DATA[[#This Row],[Top '[m']]]),"")</f>
        <v>8.4179487179487256E-2</v>
      </c>
      <c r="M118" s="53">
        <f t="shared" si="6"/>
        <v>77.34450523878759</v>
      </c>
      <c r="N118" s="98">
        <f>IFERROR((MP_DATA[[#This Row],[D, bottom '[m']]]+MP_DATA[[#This Row],[D, top '[m']]])/(2*MP_DATA[[#This Row],[t '[mm']]]/1000),"")</f>
        <v>92.010106382978719</v>
      </c>
      <c r="AP118" s="114"/>
      <c r="AQ118" s="115"/>
      <c r="AR118" s="115"/>
      <c r="AS118" s="115"/>
      <c r="AT118" s="115"/>
      <c r="AU118" s="116"/>
      <c r="AV118" s="53" t="str">
        <f>IFERROR(TP_DATA[[#This Row],[Top '[m']]]-TP_DATA[[#This Row],[Bottom '[m']]], "")</f>
        <v/>
      </c>
      <c r="AW118" s="53" t="str">
        <f>IFERROR(-(TP_DATA[[#This Row],[D, bottom '[m']]]-TP_DATA[[#This Row],[D, top '[m']]])/(TP_DATA[[#This Row],[Bottom '[m']]]-TP_DATA[[#This Row],[Top '[m']]]),"")</f>
        <v/>
      </c>
      <c r="AX118" s="53" t="str">
        <f t="shared" si="7"/>
        <v/>
      </c>
      <c r="AY118" s="98" t="str">
        <f>IFERROR((TP_DATA[[#This Row],[D, bottom '[m']]]+TP_DATA[[#This Row],[D, top '[m']]])/(2*TP_DATA[[#This Row],[t '[mm']]]/1000),"")</f>
        <v/>
      </c>
      <c r="BA118" s="55" t="s">
        <v>289</v>
      </c>
      <c r="BB118" s="51">
        <v>20.900000000000002</v>
      </c>
      <c r="BC118" s="51">
        <v>20.900000000000002</v>
      </c>
      <c r="BD118" s="51">
        <v>28000</v>
      </c>
      <c r="BE118" s="51"/>
      <c r="BF118" s="51"/>
      <c r="BG118" s="51"/>
      <c r="BH118" s="51"/>
      <c r="BI118" s="112"/>
      <c r="CB118" s="114">
        <v>7</v>
      </c>
      <c r="CC118" s="115">
        <v>135.29999999999998</v>
      </c>
      <c r="CD118" s="115">
        <v>133.47499999999997</v>
      </c>
      <c r="CE118" s="115">
        <v>6.258</v>
      </c>
      <c r="CF118" s="115">
        <v>6.2229999999999999</v>
      </c>
      <c r="CG118" s="116">
        <v>58</v>
      </c>
      <c r="CH118" s="122">
        <f>IFERROR(TOWER_DATA[[#This Row],[Top '[m']]]-TOWER_DATA[[#This Row],[Bottom '[m']]], "")</f>
        <v>1.8250000000000171</v>
      </c>
      <c r="CI118" s="122">
        <f>IFERROR(-(TOWER_DATA[[#This Row],[D, bottom '[m']]]-TOWER_DATA[[#This Row],[D, top '[m']]])/(TOWER_DATA[[#This Row],[Bottom '[m']]]-TOWER_DATA[[#This Row],[Top '[m']]]),"")</f>
        <v>-1.9178082191780719E-2</v>
      </c>
      <c r="CJ118" s="122">
        <f t="shared" si="8"/>
        <v>16.138921784175626</v>
      </c>
      <c r="CK118" s="125">
        <f>IFERROR((TOWER_DATA[[#This Row],[D, bottom '[m']]]+TOWER_DATA[[#This Row],[D, top '[m']]])/(2*TOWER_DATA[[#This Row],[t '[mm']]]/1000),"")</f>
        <v>107.59482758620689</v>
      </c>
      <c r="CM118" s="138"/>
      <c r="CN118" s="138"/>
      <c r="CO118" s="138"/>
      <c r="CP118" s="138"/>
      <c r="CQ118" s="51"/>
      <c r="CR118" s="51"/>
      <c r="CS118" s="51"/>
      <c r="CT118" s="51"/>
      <c r="CU118" s="112"/>
      <c r="DU118" s="76" t="str">
        <f t="shared" si="3"/>
        <v/>
      </c>
      <c r="DV118" s="76"/>
    </row>
    <row r="119" spans="5:126" ht="18" customHeight="1" x14ac:dyDescent="0.3">
      <c r="E119" s="91">
        <v>8</v>
      </c>
      <c r="F119" s="53">
        <v>-21.8</v>
      </c>
      <c r="G119" s="53">
        <v>-25.7</v>
      </c>
      <c r="H119" s="53">
        <v>8.8131000000000004</v>
      </c>
      <c r="I119" s="53">
        <v>9.1414000000000009</v>
      </c>
      <c r="J119" s="52">
        <v>92</v>
      </c>
      <c r="K119" s="53">
        <f>IFERROR(MP_DATA[[#This Row],[Top '[m']]]-MP_DATA[[#This Row],[Bottom '[m']]], "")</f>
        <v>3.8999999999999986</v>
      </c>
      <c r="L119" s="53">
        <f>IFERROR(-(MP_DATA[[#This Row],[D, bottom '[m']]]-MP_DATA[[#This Row],[D, top '[m']]])/(MP_DATA[[#This Row],[Bottom '[m']]]-MP_DATA[[#This Row],[Top '[m']]]),"")</f>
        <v>8.4179487179487339E-2</v>
      </c>
      <c r="M119" s="53">
        <f t="shared" si="6"/>
        <v>78.621552553821701</v>
      </c>
      <c r="N119" s="98">
        <f>IFERROR((MP_DATA[[#This Row],[D, bottom '[m']]]+MP_DATA[[#This Row],[D, top '[m']]])/(2*MP_DATA[[#This Row],[t '[mm']]]/1000),"")</f>
        <v>97.578804347826107</v>
      </c>
      <c r="AV119" s="53" t="str">
        <f>IFERROR(TP_DATA[[#This Row],[Top '[m']]]-TP_DATA[[#This Row],[Bottom '[m']]], "")</f>
        <v/>
      </c>
      <c r="AW119" s="53" t="str">
        <f>IFERROR(-(TP_DATA[[#This Row],[D, bottom '[m']]]-TP_DATA[[#This Row],[D, top '[m']]])/(TP_DATA[[#This Row],[Bottom '[m']]]-TP_DATA[[#This Row],[Top '[m']]]),"")</f>
        <v/>
      </c>
      <c r="AX119" s="53" t="str">
        <f t="shared" si="7"/>
        <v/>
      </c>
      <c r="AY119" s="98" t="str">
        <f>IFERROR((TP_DATA[[#This Row],[D, bottom '[m']]]+TP_DATA[[#This Row],[D, top '[m']]])/(2*TP_DATA[[#This Row],[t '[mm']]]/1000),"")</f>
        <v/>
      </c>
      <c r="BA119" s="51"/>
      <c r="BB119" s="51"/>
      <c r="BC119" s="51"/>
      <c r="BD119" s="51"/>
      <c r="BE119" s="51"/>
      <c r="BF119" s="51"/>
      <c r="BG119" s="51"/>
      <c r="BH119" s="51"/>
      <c r="BI119" s="112"/>
      <c r="CB119" s="114">
        <v>8</v>
      </c>
      <c r="CC119" s="115">
        <v>133.47499999999997</v>
      </c>
      <c r="CD119" s="115">
        <v>131.23999999999998</v>
      </c>
      <c r="CE119" s="115">
        <v>6.2229999999999999</v>
      </c>
      <c r="CF119" s="115">
        <v>6.2229999999999999</v>
      </c>
      <c r="CG119" s="116">
        <v>23</v>
      </c>
      <c r="CH119" s="122">
        <f>IFERROR(TOWER_DATA[[#This Row],[Top '[m']]]-TOWER_DATA[[#This Row],[Bottom '[m']]], "")</f>
        <v>2.2349999999999852</v>
      </c>
      <c r="CI119" s="122">
        <f>IFERROR(-(TOWER_DATA[[#This Row],[D, bottom '[m']]]-TOWER_DATA[[#This Row],[D, top '[m']]])/(TOWER_DATA[[#This Row],[Bottom '[m']]]-TOWER_DATA[[#This Row],[Top '[m']]]),"")</f>
        <v>0</v>
      </c>
      <c r="CJ119" s="122">
        <f t="shared" si="8"/>
        <v>7.8598920693133492</v>
      </c>
      <c r="CK119" s="125">
        <f>IFERROR((TOWER_DATA[[#This Row],[D, bottom '[m']]]+TOWER_DATA[[#This Row],[D, top '[m']]])/(2*TOWER_DATA[[#This Row],[t '[mm']]]/1000),"")</f>
        <v>270.56521739130437</v>
      </c>
      <c r="CM119" s="138"/>
      <c r="CN119" s="138"/>
      <c r="CO119" s="138"/>
      <c r="CP119" s="138"/>
      <c r="CQ119" s="51"/>
      <c r="CR119" s="51"/>
      <c r="CS119" s="51"/>
      <c r="CT119" s="51"/>
      <c r="CU119" s="112"/>
      <c r="DU119" s="76" t="str">
        <f t="shared" si="3"/>
        <v/>
      </c>
      <c r="DV119" s="76"/>
    </row>
    <row r="120" spans="5:126" ht="18" customHeight="1" x14ac:dyDescent="0.3">
      <c r="E120" s="114">
        <v>9</v>
      </c>
      <c r="F120" s="115">
        <v>-25.7</v>
      </c>
      <c r="G120" s="115">
        <v>-29.6</v>
      </c>
      <c r="H120" s="115">
        <v>9.1414000000000009</v>
      </c>
      <c r="I120" s="115">
        <v>9.4696999999999996</v>
      </c>
      <c r="J120" s="116">
        <v>90</v>
      </c>
      <c r="K120" s="53">
        <f>IFERROR(MP_DATA[[#This Row],[Top '[m']]]-MP_DATA[[#This Row],[Bottom '[m']]], "")</f>
        <v>3.9000000000000021</v>
      </c>
      <c r="L120" s="53">
        <f>IFERROR(-(MP_DATA[[#This Row],[D, bottom '[m']]]-MP_DATA[[#This Row],[D, top '[m']]])/(MP_DATA[[#This Row],[Bottom '[m']]]-MP_DATA[[#This Row],[Top '[m']]]),"")</f>
        <v>8.4179487179486798E-2</v>
      </c>
      <c r="M120" s="53">
        <f t="shared" si="6"/>
        <v>79.771527039027319</v>
      </c>
      <c r="N120" s="98">
        <f>IFERROR((MP_DATA[[#This Row],[D, bottom '[m']]]+MP_DATA[[#This Row],[D, top '[m']]])/(2*MP_DATA[[#This Row],[t '[mm']]]/1000),"")</f>
        <v>103.39500000000001</v>
      </c>
      <c r="AP120" s="114"/>
      <c r="AQ120" s="115"/>
      <c r="AR120" s="115"/>
      <c r="AS120" s="115"/>
      <c r="AT120" s="115"/>
      <c r="AU120" s="116"/>
      <c r="AV120" s="53" t="str">
        <f>IFERROR(TP_DATA[[#This Row],[Top '[m']]]-TP_DATA[[#This Row],[Bottom '[m']]], "")</f>
        <v/>
      </c>
      <c r="AW120" s="53" t="str">
        <f>IFERROR(-(TP_DATA[[#This Row],[D, bottom '[m']]]-TP_DATA[[#This Row],[D, top '[m']]])/(TP_DATA[[#This Row],[Bottom '[m']]]-TP_DATA[[#This Row],[Top '[m']]]),"")</f>
        <v/>
      </c>
      <c r="AX120" s="53" t="str">
        <f t="shared" si="7"/>
        <v/>
      </c>
      <c r="AY120" s="98" t="str">
        <f>IFERROR((TP_DATA[[#This Row],[D, bottom '[m']]]+TP_DATA[[#This Row],[D, top '[m']]])/(2*TP_DATA[[#This Row],[t '[mm']]]/1000),"")</f>
        <v/>
      </c>
      <c r="BA120" s="51"/>
      <c r="BB120" s="51"/>
      <c r="BC120" s="51"/>
      <c r="BD120" s="51"/>
      <c r="BE120" s="51"/>
      <c r="BF120" s="51"/>
      <c r="BG120" s="51"/>
      <c r="BH120" s="51"/>
      <c r="BI120" s="112"/>
      <c r="CB120" s="114">
        <v>9</v>
      </c>
      <c r="CC120" s="115">
        <v>131.23999999999998</v>
      </c>
      <c r="CD120" s="115">
        <v>130.89999999999998</v>
      </c>
      <c r="CE120" s="115">
        <v>6.2229999999999999</v>
      </c>
      <c r="CF120" s="115">
        <v>6.2229999999999999</v>
      </c>
      <c r="CG120" s="116">
        <v>23</v>
      </c>
      <c r="CH120" s="122">
        <f>IFERROR(TOWER_DATA[[#This Row],[Top '[m']]]-TOWER_DATA[[#This Row],[Bottom '[m']]], "")</f>
        <v>0.34000000000000341</v>
      </c>
      <c r="CI120" s="122">
        <f>IFERROR(-(TOWER_DATA[[#This Row],[D, bottom '[m']]]-TOWER_DATA[[#This Row],[D, top '[m']]])/(TOWER_DATA[[#This Row],[Bottom '[m']]]-TOWER_DATA[[#This Row],[Top '[m']]]),"")</f>
        <v>0</v>
      </c>
      <c r="CJ120" s="122">
        <f t="shared" si="8"/>
        <v>1.1956882790007084</v>
      </c>
      <c r="CK120" s="125">
        <f>IFERROR((TOWER_DATA[[#This Row],[D, bottom '[m']]]+TOWER_DATA[[#This Row],[D, top '[m']]])/(2*TOWER_DATA[[#This Row],[t '[mm']]]/1000),"")</f>
        <v>270.56521739130437</v>
      </c>
      <c r="CM120" s="138"/>
      <c r="CN120" s="138"/>
      <c r="CO120" s="138"/>
      <c r="CP120" s="138"/>
      <c r="CQ120" s="51"/>
      <c r="CR120" s="51"/>
      <c r="CS120" s="51"/>
      <c r="CT120" s="51"/>
      <c r="CU120" s="112"/>
      <c r="DU120" s="76" t="str">
        <f t="shared" si="3"/>
        <v/>
      </c>
      <c r="DV120" s="76"/>
    </row>
    <row r="121" spans="5:126" ht="18" customHeight="1" x14ac:dyDescent="0.3">
      <c r="E121" s="114">
        <v>10</v>
      </c>
      <c r="F121" s="115">
        <v>-29.6</v>
      </c>
      <c r="G121" s="115">
        <v>-33.5</v>
      </c>
      <c r="H121" s="115">
        <v>9.4696999999999996</v>
      </c>
      <c r="I121" s="115">
        <v>9.8000000000000007</v>
      </c>
      <c r="J121" s="116">
        <v>90</v>
      </c>
      <c r="K121" s="53">
        <f>IFERROR(MP_DATA[[#This Row],[Top '[m']]]-MP_DATA[[#This Row],[Bottom '[m']]], "")</f>
        <v>3.8999999999999986</v>
      </c>
      <c r="L121" s="53">
        <f>IFERROR(-(MP_DATA[[#This Row],[D, bottom '[m']]]-MP_DATA[[#This Row],[D, top '[m']]])/(MP_DATA[[#This Row],[Bottom '[m']]]-MP_DATA[[#This Row],[Top '[m']]]),"")</f>
        <v>8.4692307692308011E-2</v>
      </c>
      <c r="M121" s="53">
        <f t="shared" si="6"/>
        <v>82.622009522867344</v>
      </c>
      <c r="N121" s="98">
        <f>IFERROR((MP_DATA[[#This Row],[D, bottom '[m']]]+MP_DATA[[#This Row],[D, top '[m']]])/(2*MP_DATA[[#This Row],[t '[mm']]]/1000),"")</f>
        <v>107.05388888888889</v>
      </c>
      <c r="AP121" s="114"/>
      <c r="AQ121" s="115"/>
      <c r="AR121" s="115"/>
      <c r="AS121" s="115"/>
      <c r="AT121" s="115"/>
      <c r="AU121" s="116"/>
      <c r="AV121" s="53" t="str">
        <f>IFERROR(TP_DATA[[#This Row],[Top '[m']]]-TP_DATA[[#This Row],[Bottom '[m']]], "")</f>
        <v/>
      </c>
      <c r="AW121" s="53" t="str">
        <f>IFERROR(-(TP_DATA[[#This Row],[D, bottom '[m']]]-TP_DATA[[#This Row],[D, top '[m']]])/(TP_DATA[[#This Row],[Bottom '[m']]]-TP_DATA[[#This Row],[Top '[m']]]),"")</f>
        <v/>
      </c>
      <c r="AX121" s="53" t="str">
        <f t="shared" si="7"/>
        <v/>
      </c>
      <c r="AY121" s="98" t="str">
        <f>IFERROR((TP_DATA[[#This Row],[D, bottom '[m']]]+TP_DATA[[#This Row],[D, top '[m']]])/(2*TP_DATA[[#This Row],[t '[mm']]]/1000),"")</f>
        <v/>
      </c>
      <c r="BA121" s="51"/>
      <c r="BB121" s="51"/>
      <c r="BC121" s="51"/>
      <c r="BD121" s="51"/>
      <c r="BE121" s="51"/>
      <c r="BF121" s="51"/>
      <c r="BG121" s="51"/>
      <c r="BH121" s="51"/>
      <c r="BI121" s="112"/>
      <c r="CB121" s="114">
        <v>10</v>
      </c>
      <c r="CC121" s="115">
        <v>130.89999999999998</v>
      </c>
      <c r="CD121" s="115">
        <v>128.48999999999998</v>
      </c>
      <c r="CE121" s="115">
        <v>6.2229999999999999</v>
      </c>
      <c r="CF121" s="115">
        <v>6.2229999999999999</v>
      </c>
      <c r="CG121" s="116">
        <v>23</v>
      </c>
      <c r="CH121" s="122">
        <f>IFERROR(TOWER_DATA[[#This Row],[Top '[m']]]-TOWER_DATA[[#This Row],[Bottom '[m']]], "")</f>
        <v>2.4099999999999966</v>
      </c>
      <c r="CI121" s="122">
        <f>IFERROR(-(TOWER_DATA[[#This Row],[D, bottom '[m']]]-TOWER_DATA[[#This Row],[D, top '[m']]])/(TOWER_DATA[[#This Row],[Bottom '[m']]]-TOWER_DATA[[#This Row],[Top '[m']]]),"")</f>
        <v>0</v>
      </c>
      <c r="CJ121" s="122">
        <f t="shared" si="8"/>
        <v>8.475319859975512</v>
      </c>
      <c r="CK121" s="125">
        <f>IFERROR((TOWER_DATA[[#This Row],[D, bottom '[m']]]+TOWER_DATA[[#This Row],[D, top '[m']]])/(2*TOWER_DATA[[#This Row],[t '[mm']]]/1000),"")</f>
        <v>270.56521739130437</v>
      </c>
      <c r="CM121" s="138"/>
      <c r="CN121" s="138"/>
      <c r="CO121" s="138"/>
      <c r="CP121" s="138"/>
      <c r="CQ121" s="51"/>
      <c r="CR121" s="51"/>
      <c r="CS121" s="51"/>
      <c r="CT121" s="51"/>
      <c r="CU121" s="112"/>
      <c r="DU121" s="76" t="str">
        <f t="shared" si="3"/>
        <v/>
      </c>
      <c r="DV121" s="76"/>
    </row>
    <row r="122" spans="5:126" ht="18" customHeight="1" x14ac:dyDescent="0.3">
      <c r="E122" s="114">
        <v>11</v>
      </c>
      <c r="F122" s="115">
        <v>-33.5</v>
      </c>
      <c r="G122" s="115">
        <v>-36.799999999999997</v>
      </c>
      <c r="H122" s="115">
        <v>9.8000000000000007</v>
      </c>
      <c r="I122" s="115">
        <v>9.8000000000000007</v>
      </c>
      <c r="J122" s="116">
        <v>90</v>
      </c>
      <c r="K122" s="53">
        <f>IFERROR(MP_DATA[[#This Row],[Top '[m']]]-MP_DATA[[#This Row],[Bottom '[m']]], "")</f>
        <v>3.2999999999999972</v>
      </c>
      <c r="L122" s="53">
        <f>IFERROR(-(MP_DATA[[#This Row],[D, bottom '[m']]]-MP_DATA[[#This Row],[D, top '[m']]])/(MP_DATA[[#This Row],[Bottom '[m']]]-MP_DATA[[#This Row],[Top '[m']]]),"")</f>
        <v>0</v>
      </c>
      <c r="M122" s="53">
        <f t="shared" si="6"/>
        <v>71.120566726377618</v>
      </c>
      <c r="N122" s="98">
        <f>IFERROR((MP_DATA[[#This Row],[D, bottom '[m']]]+MP_DATA[[#This Row],[D, top '[m']]])/(2*MP_DATA[[#This Row],[t '[mm']]]/1000),"")</f>
        <v>108.8888888888889</v>
      </c>
      <c r="AP122" s="114"/>
      <c r="AQ122" s="115"/>
      <c r="AR122" s="115"/>
      <c r="AS122" s="115"/>
      <c r="AT122" s="115"/>
      <c r="AU122" s="116"/>
      <c r="AV122" s="53" t="str">
        <f>IFERROR(TP_DATA[[#This Row],[Top '[m']]]-TP_DATA[[#This Row],[Bottom '[m']]], "")</f>
        <v/>
      </c>
      <c r="AW122" s="53" t="str">
        <f>IFERROR(-(TP_DATA[[#This Row],[D, bottom '[m']]]-TP_DATA[[#This Row],[D, top '[m']]])/(TP_DATA[[#This Row],[Bottom '[m']]]-TP_DATA[[#This Row],[Top '[m']]]),"")</f>
        <v/>
      </c>
      <c r="AX122" s="53" t="str">
        <f t="shared" si="7"/>
        <v/>
      </c>
      <c r="AY122" s="98" t="str">
        <f>IFERROR((TP_DATA[[#This Row],[D, bottom '[m']]]+TP_DATA[[#This Row],[D, top '[m']]])/(2*TP_DATA[[#This Row],[t '[mm']]]/1000),"")</f>
        <v/>
      </c>
      <c r="BA122" s="51"/>
      <c r="BB122" s="51"/>
      <c r="BC122" s="51"/>
      <c r="BD122" s="51"/>
      <c r="BE122" s="51"/>
      <c r="BF122" s="51"/>
      <c r="BG122" s="51"/>
      <c r="BH122" s="51"/>
      <c r="BI122" s="112"/>
      <c r="CB122" s="114">
        <v>11</v>
      </c>
      <c r="CC122" s="115">
        <v>128.48999999999998</v>
      </c>
      <c r="CD122" s="115">
        <v>125.74000000000001</v>
      </c>
      <c r="CE122" s="115">
        <v>6.2229999999999999</v>
      </c>
      <c r="CF122" s="115">
        <v>6.2229999999999999</v>
      </c>
      <c r="CG122" s="116">
        <v>23</v>
      </c>
      <c r="CH122" s="122">
        <f>IFERROR(TOWER_DATA[[#This Row],[Top '[m']]]-TOWER_DATA[[#This Row],[Bottom '[m']]], "")</f>
        <v>2.7499999999999716</v>
      </c>
      <c r="CI122" s="122">
        <f>IFERROR(-(TOWER_DATA[[#This Row],[D, bottom '[m']]]-TOWER_DATA[[#This Row],[D, top '[m']]])/(TOWER_DATA[[#This Row],[Bottom '[m']]]-TOWER_DATA[[#This Row],[Top '[m']]]),"")</f>
        <v>0</v>
      </c>
      <c r="CJ122" s="122">
        <f t="shared" si="8"/>
        <v>9.6710081389761218</v>
      </c>
      <c r="CK122" s="125">
        <f>IFERROR((TOWER_DATA[[#This Row],[D, bottom '[m']]]+TOWER_DATA[[#This Row],[D, top '[m']]])/(2*TOWER_DATA[[#This Row],[t '[mm']]]/1000),"")</f>
        <v>270.56521739130437</v>
      </c>
      <c r="CM122" s="138"/>
      <c r="CN122" s="138"/>
      <c r="CO122" s="138"/>
      <c r="CP122" s="138"/>
      <c r="CQ122" s="51"/>
      <c r="CR122" s="51"/>
      <c r="CS122" s="51"/>
      <c r="CT122" s="51"/>
      <c r="CU122" s="112"/>
      <c r="DU122" s="76" t="str">
        <f t="shared" si="3"/>
        <v/>
      </c>
      <c r="DV122" s="76"/>
    </row>
    <row r="123" spans="5:126" ht="18" customHeight="1" x14ac:dyDescent="0.3">
      <c r="E123" s="114">
        <v>12</v>
      </c>
      <c r="F123" s="115">
        <v>-36.799999999999997</v>
      </c>
      <c r="G123" s="115">
        <v>-40.200000000000003</v>
      </c>
      <c r="H123" s="115">
        <v>9.8000000000000007</v>
      </c>
      <c r="I123" s="115">
        <v>9.8000000000000007</v>
      </c>
      <c r="J123" s="116">
        <v>98</v>
      </c>
      <c r="K123" s="53">
        <f>IFERROR(MP_DATA[[#This Row],[Top '[m']]]-MP_DATA[[#This Row],[Bottom '[m']]], "")</f>
        <v>3.4000000000000057</v>
      </c>
      <c r="L123" s="53">
        <f>IFERROR(-(MP_DATA[[#This Row],[D, bottom '[m']]]-MP_DATA[[#This Row],[D, top '[m']]])/(MP_DATA[[#This Row],[Bottom '[m']]]-MP_DATA[[#This Row],[Top '[m']]]),"")</f>
        <v>0</v>
      </c>
      <c r="M123" s="53">
        <f t="shared" si="6"/>
        <v>79.723396418003802</v>
      </c>
      <c r="N123" s="98">
        <f>IFERROR((MP_DATA[[#This Row],[D, bottom '[m']]]+MP_DATA[[#This Row],[D, top '[m']]])/(2*MP_DATA[[#This Row],[t '[mm']]]/1000),"")</f>
        <v>100</v>
      </c>
      <c r="AP123" s="114"/>
      <c r="AQ123" s="115"/>
      <c r="AR123" s="115"/>
      <c r="AS123" s="115"/>
      <c r="AT123" s="115"/>
      <c r="AU123" s="116"/>
      <c r="AV123" s="53" t="str">
        <f>IFERROR(TP_DATA[[#This Row],[Top '[m']]]-TP_DATA[[#This Row],[Bottom '[m']]], "")</f>
        <v/>
      </c>
      <c r="AW123" s="53" t="str">
        <f>IFERROR(-(TP_DATA[[#This Row],[D, bottom '[m']]]-TP_DATA[[#This Row],[D, top '[m']]])/(TP_DATA[[#This Row],[Bottom '[m']]]-TP_DATA[[#This Row],[Top '[m']]]),"")</f>
        <v/>
      </c>
      <c r="AX123" s="53" t="str">
        <f t="shared" si="7"/>
        <v/>
      </c>
      <c r="AY123" s="98" t="str">
        <f>IFERROR((TP_DATA[[#This Row],[D, bottom '[m']]]+TP_DATA[[#This Row],[D, top '[m']]])/(2*TP_DATA[[#This Row],[t '[mm']]]/1000),"")</f>
        <v/>
      </c>
      <c r="BA123" s="51"/>
      <c r="BB123" s="51"/>
      <c r="BC123" s="51"/>
      <c r="BD123" s="51"/>
      <c r="BE123" s="51"/>
      <c r="BF123" s="51"/>
      <c r="BG123" s="51"/>
      <c r="BH123" s="51"/>
      <c r="BI123" s="112"/>
      <c r="CB123" s="114">
        <v>12</v>
      </c>
      <c r="CC123" s="115">
        <v>125.74000000000001</v>
      </c>
      <c r="CD123" s="115">
        <v>123.667</v>
      </c>
      <c r="CE123" s="115">
        <v>6.2229999999999999</v>
      </c>
      <c r="CF123" s="115">
        <v>6.2229999999999999</v>
      </c>
      <c r="CG123" s="116">
        <v>23</v>
      </c>
      <c r="CH123" s="122">
        <f>IFERROR(TOWER_DATA[[#This Row],[Top '[m']]]-TOWER_DATA[[#This Row],[Bottom '[m']]], "")</f>
        <v>2.0730000000000075</v>
      </c>
      <c r="CI123" s="122">
        <f>IFERROR(-(TOWER_DATA[[#This Row],[D, bottom '[m']]]-TOWER_DATA[[#This Row],[D, top '[m']]])/(TOWER_DATA[[#This Row],[Bottom '[m']]]-TOWER_DATA[[#This Row],[Top '[m']]]),"")</f>
        <v>0</v>
      </c>
      <c r="CJ123" s="122">
        <f t="shared" si="8"/>
        <v>7.2901817716719197</v>
      </c>
      <c r="CK123" s="125">
        <f>IFERROR((TOWER_DATA[[#This Row],[D, bottom '[m']]]+TOWER_DATA[[#This Row],[D, top '[m']]])/(2*TOWER_DATA[[#This Row],[t '[mm']]]/1000),"")</f>
        <v>270.56521739130437</v>
      </c>
      <c r="CM123" s="138"/>
      <c r="CN123" s="138"/>
      <c r="CO123" s="138"/>
      <c r="CP123" s="138"/>
      <c r="CQ123" s="51"/>
      <c r="CR123" s="51"/>
      <c r="CS123" s="51"/>
      <c r="CT123" s="51"/>
      <c r="CU123" s="112"/>
      <c r="DU123" s="76" t="str">
        <f t="shared" si="3"/>
        <v/>
      </c>
      <c r="DV123" s="76"/>
    </row>
    <row r="124" spans="5:126" ht="18" customHeight="1" x14ac:dyDescent="0.3">
      <c r="E124" s="114">
        <v>13</v>
      </c>
      <c r="F124" s="115">
        <v>-40.200000000000003</v>
      </c>
      <c r="G124" s="115">
        <v>-43.8</v>
      </c>
      <c r="H124" s="115">
        <v>9.8000000000000007</v>
      </c>
      <c r="I124" s="115">
        <v>9.8000000000000007</v>
      </c>
      <c r="J124" s="116">
        <v>88</v>
      </c>
      <c r="K124" s="53">
        <f>IFERROR(MP_DATA[[#This Row],[Top '[m']]]-MP_DATA[[#This Row],[Bottom '[m']]], "")</f>
        <v>3.5999999999999943</v>
      </c>
      <c r="L124" s="53">
        <f>IFERROR(-(MP_DATA[[#This Row],[D, bottom '[m']]]-MP_DATA[[#This Row],[D, top '[m']]])/(MP_DATA[[#This Row],[Bottom '[m']]]-MP_DATA[[#This Row],[Top '[m']]]),"")</f>
        <v>0</v>
      </c>
      <c r="M124" s="53">
        <f t="shared" si="6"/>
        <v>75.87756336934649</v>
      </c>
      <c r="N124" s="98">
        <f>IFERROR((MP_DATA[[#This Row],[D, bottom '[m']]]+MP_DATA[[#This Row],[D, top '[m']]])/(2*MP_DATA[[#This Row],[t '[mm']]]/1000),"")</f>
        <v>111.36363636363637</v>
      </c>
      <c r="AP124" s="114"/>
      <c r="AQ124" s="115"/>
      <c r="AR124" s="115"/>
      <c r="AS124" s="115"/>
      <c r="AT124" s="115"/>
      <c r="AU124" s="116"/>
      <c r="AV124" s="53" t="str">
        <f>IFERROR(TP_DATA[[#This Row],[Top '[m']]]-TP_DATA[[#This Row],[Bottom '[m']]], "")</f>
        <v/>
      </c>
      <c r="AW124" s="53" t="str">
        <f>IFERROR(-(TP_DATA[[#This Row],[D, bottom '[m']]]-TP_DATA[[#This Row],[D, top '[m']]])/(TP_DATA[[#This Row],[Bottom '[m']]]-TP_DATA[[#This Row],[Top '[m']]]),"")</f>
        <v/>
      </c>
      <c r="AX124" s="53" t="str">
        <f t="shared" si="7"/>
        <v/>
      </c>
      <c r="AY124" s="98" t="str">
        <f>IFERROR((TP_DATA[[#This Row],[D, bottom '[m']]]+TP_DATA[[#This Row],[D, top '[m']]])/(2*TP_DATA[[#This Row],[t '[mm']]]/1000),"")</f>
        <v/>
      </c>
      <c r="BA124" s="51"/>
      <c r="BB124" s="51"/>
      <c r="BC124" s="51"/>
      <c r="BD124" s="51"/>
      <c r="BE124" s="51"/>
      <c r="BF124" s="51"/>
      <c r="BG124" s="51"/>
      <c r="BH124" s="51"/>
      <c r="BI124" s="112"/>
      <c r="CB124" s="114">
        <v>13</v>
      </c>
      <c r="CC124" s="115">
        <v>123.667</v>
      </c>
      <c r="CD124" s="115">
        <v>122.81</v>
      </c>
      <c r="CE124" s="115">
        <v>6.2229999999999999</v>
      </c>
      <c r="CF124" s="115">
        <v>6.2229999999999999</v>
      </c>
      <c r="CG124" s="116">
        <v>23</v>
      </c>
      <c r="CH124" s="122">
        <f>IFERROR(TOWER_DATA[[#This Row],[Top '[m']]]-TOWER_DATA[[#This Row],[Bottom '[m']]], "")</f>
        <v>0.85699999999999932</v>
      </c>
      <c r="CI124" s="122">
        <f>IFERROR(-(TOWER_DATA[[#This Row],[D, bottom '[m']]]-TOWER_DATA[[#This Row],[D, top '[m']]])/(TOWER_DATA[[#This Row],[Bottom '[m']]]-TOWER_DATA[[#This Row],[Top '[m']]]),"")</f>
        <v>0</v>
      </c>
      <c r="CJ124" s="122">
        <f t="shared" si="8"/>
        <v>3.0138378091282236</v>
      </c>
      <c r="CK124" s="125">
        <f>IFERROR((TOWER_DATA[[#This Row],[D, bottom '[m']]]+TOWER_DATA[[#This Row],[D, top '[m']]])/(2*TOWER_DATA[[#This Row],[t '[mm']]]/1000),"")</f>
        <v>270.56521739130437</v>
      </c>
      <c r="CM124" s="138"/>
      <c r="CN124" s="138"/>
      <c r="CO124" s="138"/>
      <c r="CP124" s="138"/>
      <c r="CQ124" s="51"/>
      <c r="CR124" s="51"/>
      <c r="CS124" s="51"/>
      <c r="CT124" s="51"/>
      <c r="CU124" s="112"/>
      <c r="DU124" s="76" t="str">
        <f t="shared" ref="DU124:DU133" si="9">IF(7850/1000*(1/3)*PI()*ABS(DO124-DP124)*((DQ124/2)^2+(DQ124/2)*(DR124/2)+(DR124/2)^2-(DQ124/2-DT124/1000)^2-(DQ124/2-DT124/1000)*(DR124/2-DT124/1000)-(DR124/2-DT124/1000)^2)=0,"",7850/1000*(1/3)*PI()*ABS(DO124-DP124)*((DQ124/2)^2+(DQ124/2)*(DR124/2)+(DR124/2)^2-(DQ124/2-DT124/1000)^2-(DQ124/2-DT124/1000)*(DR124/2-DT124/1000)-(DR124/2-DT124/1000)^2))</f>
        <v/>
      </c>
      <c r="DV124" s="76"/>
    </row>
    <row r="125" spans="5:126" ht="18" customHeight="1" x14ac:dyDescent="0.3">
      <c r="E125" s="114">
        <v>14</v>
      </c>
      <c r="F125" s="115">
        <v>-43.8</v>
      </c>
      <c r="G125" s="115">
        <v>-47.8</v>
      </c>
      <c r="H125" s="115">
        <v>9.8000000000000007</v>
      </c>
      <c r="I125" s="115">
        <v>9.8000000000000007</v>
      </c>
      <c r="J125" s="116">
        <v>88</v>
      </c>
      <c r="K125" s="53">
        <f>IFERROR(MP_DATA[[#This Row],[Top '[m']]]-MP_DATA[[#This Row],[Bottom '[m']]], "")</f>
        <v>4</v>
      </c>
      <c r="L125" s="53">
        <f>IFERROR(-(MP_DATA[[#This Row],[D, bottom '[m']]]-MP_DATA[[#This Row],[D, top '[m']]])/(MP_DATA[[#This Row],[Bottom '[m']]]-MP_DATA[[#This Row],[Top '[m']]]),"")</f>
        <v>0</v>
      </c>
      <c r="M125" s="53">
        <f t="shared" si="6"/>
        <v>84.308403743718472</v>
      </c>
      <c r="N125" s="98">
        <f>IFERROR((MP_DATA[[#This Row],[D, bottom '[m']]]+MP_DATA[[#This Row],[D, top '[m']]])/(2*MP_DATA[[#This Row],[t '[mm']]]/1000),"")</f>
        <v>111.36363636363637</v>
      </c>
      <c r="AP125" s="114"/>
      <c r="AQ125" s="115"/>
      <c r="AR125" s="115"/>
      <c r="AS125" s="115"/>
      <c r="AT125" s="115"/>
      <c r="AU125" s="116"/>
      <c r="AV125" s="53" t="str">
        <f>IFERROR(TP_DATA[[#This Row],[Top '[m']]]-TP_DATA[[#This Row],[Bottom '[m']]], "")</f>
        <v/>
      </c>
      <c r="AW125" s="53" t="str">
        <f>IFERROR(-(TP_DATA[[#This Row],[D, bottom '[m']]]-TP_DATA[[#This Row],[D, top '[m']]])/(TP_DATA[[#This Row],[Bottom '[m']]]-TP_DATA[[#This Row],[Top '[m']]]),"")</f>
        <v/>
      </c>
      <c r="AX125" s="53" t="str">
        <f t="shared" si="7"/>
        <v/>
      </c>
      <c r="AY125" s="98" t="str">
        <f>IFERROR((TP_DATA[[#This Row],[D, bottom '[m']]]+TP_DATA[[#This Row],[D, top '[m']]])/(2*TP_DATA[[#This Row],[t '[mm']]]/1000),"")</f>
        <v/>
      </c>
      <c r="BA125" s="51"/>
      <c r="BB125" s="51"/>
      <c r="BC125" s="51"/>
      <c r="BD125" s="51"/>
      <c r="BE125" s="51"/>
      <c r="BF125" s="51"/>
      <c r="BG125" s="51"/>
      <c r="BH125" s="51"/>
      <c r="BI125" s="112"/>
      <c r="CB125" s="114">
        <v>14</v>
      </c>
      <c r="CC125" s="115">
        <v>122.81</v>
      </c>
      <c r="CD125" s="115">
        <v>120.9</v>
      </c>
      <c r="CE125" s="115">
        <v>6.2229999999999999</v>
      </c>
      <c r="CF125" s="115">
        <v>6.2229999999999999</v>
      </c>
      <c r="CG125" s="116">
        <v>23</v>
      </c>
      <c r="CH125" s="122">
        <f>IFERROR(TOWER_DATA[[#This Row],[Top '[m']]]-TOWER_DATA[[#This Row],[Bottom '[m']]], "")</f>
        <v>1.9099999999999966</v>
      </c>
      <c r="CI125" s="122">
        <f>IFERROR(-(TOWER_DATA[[#This Row],[D, bottom '[m']]]-TOWER_DATA[[#This Row],[D, top '[m']]])/(TOWER_DATA[[#This Row],[Bottom '[m']]]-TOWER_DATA[[#This Row],[Top '[m']]]),"")</f>
        <v>0</v>
      </c>
      <c r="CJ125" s="122">
        <f t="shared" si="8"/>
        <v>6.7169547437980182</v>
      </c>
      <c r="CK125" s="125">
        <f>IFERROR((TOWER_DATA[[#This Row],[D, bottom '[m']]]+TOWER_DATA[[#This Row],[D, top '[m']]])/(2*TOWER_DATA[[#This Row],[t '[mm']]]/1000),"")</f>
        <v>270.56521739130437</v>
      </c>
      <c r="CM125" s="138"/>
      <c r="CN125" s="138"/>
      <c r="CO125" s="138"/>
      <c r="CP125" s="138"/>
      <c r="CQ125" s="51"/>
      <c r="CR125" s="51"/>
      <c r="CS125" s="51"/>
      <c r="CT125" s="51"/>
      <c r="CU125" s="112"/>
      <c r="DU125" s="76" t="str">
        <f t="shared" si="9"/>
        <v/>
      </c>
      <c r="DV125" s="76"/>
    </row>
    <row r="126" spans="5:126" ht="18" customHeight="1" x14ac:dyDescent="0.3">
      <c r="E126" s="114">
        <v>15</v>
      </c>
      <c r="F126" s="115">
        <v>-47.8</v>
      </c>
      <c r="G126" s="115">
        <v>-51.8</v>
      </c>
      <c r="H126" s="115">
        <v>9.8000000000000007</v>
      </c>
      <c r="I126" s="115">
        <v>9.8000000000000007</v>
      </c>
      <c r="J126" s="116">
        <v>88</v>
      </c>
      <c r="K126" s="53">
        <f>IFERROR(MP_DATA[[#This Row],[Top '[m']]]-MP_DATA[[#This Row],[Bottom '[m']]], "")</f>
        <v>4</v>
      </c>
      <c r="L126" s="53">
        <f>IFERROR(-(MP_DATA[[#This Row],[D, bottom '[m']]]-MP_DATA[[#This Row],[D, top '[m']]])/(MP_DATA[[#This Row],[Bottom '[m']]]-MP_DATA[[#This Row],[Top '[m']]]),"")</f>
        <v>0</v>
      </c>
      <c r="M126" s="53">
        <f t="shared" si="6"/>
        <v>84.308403743718472</v>
      </c>
      <c r="N126" s="98">
        <f>IFERROR((MP_DATA[[#This Row],[D, bottom '[m']]]+MP_DATA[[#This Row],[D, top '[m']]])/(2*MP_DATA[[#This Row],[t '[mm']]]/1000),"")</f>
        <v>111.36363636363637</v>
      </c>
      <c r="AP126" s="114"/>
      <c r="AQ126" s="115"/>
      <c r="AR126" s="115"/>
      <c r="AS126" s="115"/>
      <c r="AT126" s="115"/>
      <c r="AU126" s="116"/>
      <c r="AV126" s="53" t="str">
        <f>IFERROR(TP_DATA[[#This Row],[Top '[m']]]-TP_DATA[[#This Row],[Bottom '[m']]], "")</f>
        <v/>
      </c>
      <c r="AW126" s="53" t="str">
        <f>IFERROR(-(TP_DATA[[#This Row],[D, bottom '[m']]]-TP_DATA[[#This Row],[D, top '[m']]])/(TP_DATA[[#This Row],[Bottom '[m']]]-TP_DATA[[#This Row],[Top '[m']]]),"")</f>
        <v/>
      </c>
      <c r="AX126" s="53" t="str">
        <f t="shared" si="7"/>
        <v/>
      </c>
      <c r="AY126" s="98" t="str">
        <f>IFERROR((TP_DATA[[#This Row],[D, bottom '[m']]]+TP_DATA[[#This Row],[D, top '[m']]])/(2*TP_DATA[[#This Row],[t '[mm']]]/1000),"")</f>
        <v/>
      </c>
      <c r="BA126" s="51"/>
      <c r="BB126" s="51"/>
      <c r="BC126" s="51"/>
      <c r="BD126" s="51"/>
      <c r="BE126" s="51"/>
      <c r="BF126" s="51"/>
      <c r="BG126" s="51"/>
      <c r="BH126" s="51"/>
      <c r="BI126" s="112"/>
      <c r="CB126" s="114">
        <v>15</v>
      </c>
      <c r="CC126" s="115">
        <v>120.9</v>
      </c>
      <c r="CD126" s="115">
        <v>119.88000000000001</v>
      </c>
      <c r="CE126" s="115">
        <v>6.2229999999999999</v>
      </c>
      <c r="CF126" s="115">
        <v>6.2229999999999999</v>
      </c>
      <c r="CG126" s="116">
        <v>23</v>
      </c>
      <c r="CH126" s="122">
        <f>IFERROR(TOWER_DATA[[#This Row],[Top '[m']]]-TOWER_DATA[[#This Row],[Bottom '[m']]], "")</f>
        <v>1.019999999999996</v>
      </c>
      <c r="CI126" s="122">
        <f>IFERROR(-(TOWER_DATA[[#This Row],[D, bottom '[m']]]-TOWER_DATA[[#This Row],[D, top '[m']]])/(TOWER_DATA[[#This Row],[Bottom '[m']]]-TOWER_DATA[[#This Row],[Top '[m']]]),"")</f>
        <v>0</v>
      </c>
      <c r="CJ126" s="122">
        <f t="shared" si="8"/>
        <v>3.587064837002075</v>
      </c>
      <c r="CK126" s="125">
        <f>IFERROR((TOWER_DATA[[#This Row],[D, bottom '[m']]]+TOWER_DATA[[#This Row],[D, top '[m']]])/(2*TOWER_DATA[[#This Row],[t '[mm']]]/1000),"")</f>
        <v>270.56521739130437</v>
      </c>
      <c r="CM126" s="138"/>
      <c r="CN126" s="138"/>
      <c r="CO126" s="138"/>
      <c r="CP126" s="138"/>
      <c r="CQ126" s="51"/>
      <c r="CR126" s="51"/>
      <c r="CS126" s="51"/>
      <c r="CT126" s="51"/>
      <c r="CU126" s="112"/>
      <c r="DU126" s="76" t="str">
        <f t="shared" si="9"/>
        <v/>
      </c>
      <c r="DV126" s="76"/>
    </row>
    <row r="127" spans="5:126" ht="18" customHeight="1" x14ac:dyDescent="0.3">
      <c r="E127" s="114">
        <v>16</v>
      </c>
      <c r="F127" s="115">
        <v>-51.8</v>
      </c>
      <c r="G127" s="115">
        <v>-55.8</v>
      </c>
      <c r="H127" s="115">
        <v>9.8000000000000007</v>
      </c>
      <c r="I127" s="115">
        <v>9.8000000000000007</v>
      </c>
      <c r="J127" s="116">
        <v>81</v>
      </c>
      <c r="K127" s="53">
        <f>IFERROR(MP_DATA[[#This Row],[Top '[m']]]-MP_DATA[[#This Row],[Bottom '[m']]], "")</f>
        <v>4</v>
      </c>
      <c r="L127" s="53">
        <f>IFERROR(-(MP_DATA[[#This Row],[D, bottom '[m']]]-MP_DATA[[#This Row],[D, top '[m']]])/(MP_DATA[[#This Row],[Bottom '[m']]]-MP_DATA[[#This Row],[Top '[m']]]),"")</f>
        <v>0</v>
      </c>
      <c r="M127" s="53">
        <f t="shared" si="6"/>
        <v>77.657985733209031</v>
      </c>
      <c r="N127" s="98">
        <f>IFERROR((MP_DATA[[#This Row],[D, bottom '[m']]]+MP_DATA[[#This Row],[D, top '[m']]])/(2*MP_DATA[[#This Row],[t '[mm']]]/1000),"")</f>
        <v>120.98765432098766</v>
      </c>
      <c r="AP127" s="114"/>
      <c r="AQ127" s="115"/>
      <c r="AR127" s="115"/>
      <c r="AS127" s="115"/>
      <c r="AT127" s="115"/>
      <c r="AU127" s="116"/>
      <c r="AV127" s="53" t="str">
        <f>IFERROR(TP_DATA[[#This Row],[Top '[m']]]-TP_DATA[[#This Row],[Bottom '[m']]], "")</f>
        <v/>
      </c>
      <c r="AW127" s="53" t="str">
        <f>IFERROR(-(TP_DATA[[#This Row],[D, bottom '[m']]]-TP_DATA[[#This Row],[D, top '[m']]])/(TP_DATA[[#This Row],[Bottom '[m']]]-TP_DATA[[#This Row],[Top '[m']]]),"")</f>
        <v/>
      </c>
      <c r="AX127" s="53" t="str">
        <f t="shared" si="7"/>
        <v/>
      </c>
      <c r="AY127" s="98" t="str">
        <f>IFERROR((TP_DATA[[#This Row],[D, bottom '[m']]]+TP_DATA[[#This Row],[D, top '[m']]])/(2*TP_DATA[[#This Row],[t '[mm']]]/1000),"")</f>
        <v/>
      </c>
      <c r="BA127" s="51"/>
      <c r="BB127" s="51"/>
      <c r="BC127" s="51"/>
      <c r="BD127" s="51"/>
      <c r="BE127" s="51"/>
      <c r="BF127" s="51"/>
      <c r="BG127" s="51"/>
      <c r="BH127" s="51"/>
      <c r="BI127" s="112"/>
      <c r="CB127" s="114">
        <v>16</v>
      </c>
      <c r="CC127" s="115">
        <v>119.88000000000001</v>
      </c>
      <c r="CD127" s="115">
        <v>116.95</v>
      </c>
      <c r="CE127" s="115">
        <v>6.2229999999999999</v>
      </c>
      <c r="CF127" s="115">
        <v>6.2229999999999999</v>
      </c>
      <c r="CG127" s="116">
        <v>23</v>
      </c>
      <c r="CH127" s="122">
        <f>IFERROR(TOWER_DATA[[#This Row],[Top '[m']]]-TOWER_DATA[[#This Row],[Bottom '[m']]], "")</f>
        <v>2.9300000000000068</v>
      </c>
      <c r="CI127" s="122">
        <f>IFERROR(-(TOWER_DATA[[#This Row],[D, bottom '[m']]]-TOWER_DATA[[#This Row],[D, top '[m']]])/(TOWER_DATA[[#This Row],[Bottom '[m']]]-TOWER_DATA[[#This Row],[Top '[m']]]),"")</f>
        <v>0</v>
      </c>
      <c r="CJ127" s="122">
        <f t="shared" si="8"/>
        <v>10.304019580800142</v>
      </c>
      <c r="CK127" s="125">
        <f>IFERROR((TOWER_DATA[[#This Row],[D, bottom '[m']]]+TOWER_DATA[[#This Row],[D, top '[m']]])/(2*TOWER_DATA[[#This Row],[t '[mm']]]/1000),"")</f>
        <v>270.56521739130437</v>
      </c>
      <c r="CM127" s="138"/>
      <c r="CN127" s="138"/>
      <c r="CO127" s="138"/>
      <c r="CP127" s="138"/>
      <c r="CQ127" s="51"/>
      <c r="CR127" s="51"/>
      <c r="CS127" s="51"/>
      <c r="CT127" s="51"/>
      <c r="CU127" s="112"/>
      <c r="DU127" s="76" t="str">
        <f t="shared" si="9"/>
        <v/>
      </c>
      <c r="DV127" s="76"/>
    </row>
    <row r="128" spans="5:126" ht="18" customHeight="1" x14ac:dyDescent="0.3">
      <c r="E128" s="114">
        <v>17</v>
      </c>
      <c r="F128" s="115">
        <v>-55.8</v>
      </c>
      <c r="G128" s="115">
        <v>-59.8</v>
      </c>
      <c r="H128" s="115">
        <v>9.8000000000000007</v>
      </c>
      <c r="I128" s="115">
        <v>9.8000000000000007</v>
      </c>
      <c r="J128" s="116">
        <v>81</v>
      </c>
      <c r="K128" s="53">
        <f>IFERROR(MP_DATA[[#This Row],[Top '[m']]]-MP_DATA[[#This Row],[Bottom '[m']]], "")</f>
        <v>4</v>
      </c>
      <c r="L128" s="53">
        <f>IFERROR(-(MP_DATA[[#This Row],[D, bottom '[m']]]-MP_DATA[[#This Row],[D, top '[m']]])/(MP_DATA[[#This Row],[Bottom '[m']]]-MP_DATA[[#This Row],[Top '[m']]]),"")</f>
        <v>0</v>
      </c>
      <c r="M128" s="53">
        <f t="shared" si="6"/>
        <v>77.657985733209031</v>
      </c>
      <c r="N128" s="98">
        <f>IFERROR((MP_DATA[[#This Row],[D, bottom '[m']]]+MP_DATA[[#This Row],[D, top '[m']]])/(2*MP_DATA[[#This Row],[t '[mm']]]/1000),"")</f>
        <v>120.98765432098766</v>
      </c>
      <c r="AP128" s="114"/>
      <c r="AQ128" s="115"/>
      <c r="AR128" s="115"/>
      <c r="AS128" s="115"/>
      <c r="AT128" s="115"/>
      <c r="AU128" s="116"/>
      <c r="AV128" s="53" t="str">
        <f>IFERROR(TP_DATA[[#This Row],[Top '[m']]]-TP_DATA[[#This Row],[Bottom '[m']]], "")</f>
        <v/>
      </c>
      <c r="AW128" s="53" t="str">
        <f>IFERROR(-(TP_DATA[[#This Row],[D, bottom '[m']]]-TP_DATA[[#This Row],[D, top '[m']]])/(TP_DATA[[#This Row],[Bottom '[m']]]-TP_DATA[[#This Row],[Top '[m']]]),"")</f>
        <v/>
      </c>
      <c r="AX128" s="53" t="str">
        <f t="shared" si="7"/>
        <v/>
      </c>
      <c r="AY128" s="98" t="str">
        <f>IFERROR((TP_DATA[[#This Row],[D, bottom '[m']]]+TP_DATA[[#This Row],[D, top '[m']]])/(2*TP_DATA[[#This Row],[t '[mm']]]/1000),"")</f>
        <v/>
      </c>
      <c r="CB128" s="114">
        <v>17</v>
      </c>
      <c r="CC128" s="115">
        <v>116.95</v>
      </c>
      <c r="CD128" s="115">
        <v>115.44600000000001</v>
      </c>
      <c r="CE128" s="115">
        <v>6.2229999999999999</v>
      </c>
      <c r="CF128" s="115">
        <v>6.2229999999999999</v>
      </c>
      <c r="CG128" s="116">
        <v>23</v>
      </c>
      <c r="CH128" s="122">
        <f>IFERROR(TOWER_DATA[[#This Row],[Top '[m']]]-TOWER_DATA[[#This Row],[Bottom '[m']]], "")</f>
        <v>1.5039999999999907</v>
      </c>
      <c r="CI128" s="122">
        <f>IFERROR(-(TOWER_DATA[[#This Row],[D, bottom '[m']]]-TOWER_DATA[[#This Row],[D, top '[m']]])/(TOWER_DATA[[#This Row],[Bottom '[m']]]-TOWER_DATA[[#This Row],[Top '[m']]]),"")</f>
        <v>0</v>
      </c>
      <c r="CJ128" s="122">
        <f t="shared" si="8"/>
        <v>5.2891622694618716</v>
      </c>
      <c r="CK128" s="125">
        <f>IFERROR((TOWER_DATA[[#This Row],[D, bottom '[m']]]+TOWER_DATA[[#This Row],[D, top '[m']]])/(2*TOWER_DATA[[#This Row],[t '[mm']]]/1000),"")</f>
        <v>270.56521739130437</v>
      </c>
      <c r="CM128" s="138"/>
      <c r="CN128" s="138"/>
      <c r="CO128" s="138"/>
      <c r="CP128" s="138"/>
      <c r="CQ128" s="51"/>
      <c r="CR128" s="51"/>
      <c r="CS128" s="51"/>
      <c r="CT128" s="51"/>
      <c r="CU128" s="112"/>
      <c r="DU128" s="76" t="str">
        <f t="shared" si="9"/>
        <v/>
      </c>
      <c r="DV128" s="76"/>
    </row>
    <row r="129" spans="5:126" ht="18" customHeight="1" x14ac:dyDescent="0.3">
      <c r="E129" s="114">
        <v>18</v>
      </c>
      <c r="F129" s="115">
        <v>-59.8</v>
      </c>
      <c r="G129" s="115">
        <v>-63.8</v>
      </c>
      <c r="H129" s="115">
        <v>9.8000000000000007</v>
      </c>
      <c r="I129" s="115">
        <v>9.8000000000000007</v>
      </c>
      <c r="J129" s="116">
        <v>81</v>
      </c>
      <c r="K129" s="53">
        <f>IFERROR(MP_DATA[[#This Row],[Top '[m']]]-MP_DATA[[#This Row],[Bottom '[m']]], "")</f>
        <v>4</v>
      </c>
      <c r="L129" s="53">
        <f>IFERROR(-(MP_DATA[[#This Row],[D, bottom '[m']]]-MP_DATA[[#This Row],[D, top '[m']]])/(MP_DATA[[#This Row],[Bottom '[m']]]-MP_DATA[[#This Row],[Top '[m']]]),"")</f>
        <v>0</v>
      </c>
      <c r="M129" s="53">
        <f t="shared" si="6"/>
        <v>77.657985733209031</v>
      </c>
      <c r="N129" s="98">
        <f>IFERROR((MP_DATA[[#This Row],[D, bottom '[m']]]+MP_DATA[[#This Row],[D, top '[m']]])/(2*MP_DATA[[#This Row],[t '[mm']]]/1000),"")</f>
        <v>120.98765432098766</v>
      </c>
      <c r="AP129" s="114"/>
      <c r="AQ129" s="115"/>
      <c r="AR129" s="115"/>
      <c r="AS129" s="115"/>
      <c r="AT129" s="115"/>
      <c r="AU129" s="116"/>
      <c r="AV129" s="53" t="str">
        <f>IFERROR(TP_DATA[[#This Row],[Top '[m']]]-TP_DATA[[#This Row],[Bottom '[m']]], "")</f>
        <v/>
      </c>
      <c r="AW129" s="53" t="str">
        <f>IFERROR(-(TP_DATA[[#This Row],[D, bottom '[m']]]-TP_DATA[[#This Row],[D, top '[m']]])/(TP_DATA[[#This Row],[Bottom '[m']]]-TP_DATA[[#This Row],[Top '[m']]]),"")</f>
        <v/>
      </c>
      <c r="AX129" s="53" t="str">
        <f t="shared" si="7"/>
        <v/>
      </c>
      <c r="AY129" s="98" t="str">
        <f>IFERROR((TP_DATA[[#This Row],[D, bottom '[m']]]+TP_DATA[[#This Row],[D, top '[m']]])/(2*TP_DATA[[#This Row],[t '[mm']]]/1000),"")</f>
        <v/>
      </c>
      <c r="CB129" s="114">
        <v>18</v>
      </c>
      <c r="CC129" s="115">
        <v>115.44600000000001</v>
      </c>
      <c r="CD129" s="115">
        <v>114.02000000000001</v>
      </c>
      <c r="CE129" s="115">
        <v>6.2229999999999999</v>
      </c>
      <c r="CF129" s="115">
        <v>6.2240000000000002</v>
      </c>
      <c r="CG129" s="116">
        <v>23</v>
      </c>
      <c r="CH129" s="122">
        <f>IFERROR(TOWER_DATA[[#This Row],[Top '[m']]]-TOWER_DATA[[#This Row],[Bottom '[m']]], "")</f>
        <v>1.4260000000000019</v>
      </c>
      <c r="CI129" s="122">
        <f>IFERROR(-(TOWER_DATA[[#This Row],[D, bottom '[m']]]-TOWER_DATA[[#This Row],[D, top '[m']]])/(TOWER_DATA[[#This Row],[Bottom '[m']]]-TOWER_DATA[[#This Row],[Top '[m']]]),"")</f>
        <v>7.0126227208999476E-4</v>
      </c>
      <c r="CJ129" s="122">
        <f t="shared" si="8"/>
        <v>5.0152617353149624</v>
      </c>
      <c r="CK129" s="125">
        <f>IFERROR((TOWER_DATA[[#This Row],[D, bottom '[m']]]+TOWER_DATA[[#This Row],[D, top '[m']]])/(2*TOWER_DATA[[#This Row],[t '[mm']]]/1000),"")</f>
        <v>270.58695652173913</v>
      </c>
      <c r="CM129" s="138"/>
      <c r="CN129" s="138"/>
      <c r="CO129" s="138"/>
      <c r="CP129" s="138"/>
      <c r="CQ129" s="51"/>
      <c r="CR129" s="51"/>
      <c r="CS129" s="51"/>
      <c r="CT129" s="51"/>
      <c r="CU129" s="112"/>
      <c r="DU129" s="76" t="str">
        <f t="shared" si="9"/>
        <v/>
      </c>
      <c r="DV129" s="76"/>
    </row>
    <row r="130" spans="5:126" ht="18" customHeight="1" x14ac:dyDescent="0.3">
      <c r="E130" s="114">
        <v>19</v>
      </c>
      <c r="F130" s="115">
        <v>-63.8</v>
      </c>
      <c r="G130" s="115">
        <v>-67.599999999999994</v>
      </c>
      <c r="H130" s="115">
        <v>9.8000000000000007</v>
      </c>
      <c r="I130" s="115">
        <v>9.8000000000000007</v>
      </c>
      <c r="J130" s="116">
        <v>81</v>
      </c>
      <c r="K130" s="53">
        <f>IFERROR(MP_DATA[[#This Row],[Top '[m']]]-MP_DATA[[#This Row],[Bottom '[m']]], "")</f>
        <v>3.7999999999999972</v>
      </c>
      <c r="L130" s="53">
        <f>IFERROR(-(MP_DATA[[#This Row],[D, bottom '[m']]]-MP_DATA[[#This Row],[D, top '[m']]])/(MP_DATA[[#This Row],[Bottom '[m']]]-MP_DATA[[#This Row],[Top '[m']]]),"")</f>
        <v>0</v>
      </c>
      <c r="M130" s="53">
        <f t="shared" si="6"/>
        <v>73.775086446548514</v>
      </c>
      <c r="N130" s="98">
        <f>IFERROR((MP_DATA[[#This Row],[D, bottom '[m']]]+MP_DATA[[#This Row],[D, top '[m']]])/(2*MP_DATA[[#This Row],[t '[mm']]]/1000),"")</f>
        <v>120.98765432098766</v>
      </c>
      <c r="AP130" s="114"/>
      <c r="AQ130" s="115"/>
      <c r="AR130" s="115"/>
      <c r="AS130" s="115"/>
      <c r="AT130" s="115"/>
      <c r="AU130" s="116"/>
      <c r="AV130" s="53" t="str">
        <f>IFERROR(TP_DATA[[#This Row],[Top '[m']]]-TP_DATA[[#This Row],[Bottom '[m']]], "")</f>
        <v/>
      </c>
      <c r="AW130" s="53" t="str">
        <f>IFERROR(-(TP_DATA[[#This Row],[D, bottom '[m']]]-TP_DATA[[#This Row],[D, top '[m']]])/(TP_DATA[[#This Row],[Bottom '[m']]]-TP_DATA[[#This Row],[Top '[m']]]),"")</f>
        <v/>
      </c>
      <c r="AX130" s="53" t="str">
        <f t="shared" si="7"/>
        <v/>
      </c>
      <c r="AY130" s="98" t="str">
        <f>IFERROR((TP_DATA[[#This Row],[D, bottom '[m']]]+TP_DATA[[#This Row],[D, top '[m']]])/(2*TP_DATA[[#This Row],[t '[mm']]]/1000),"")</f>
        <v/>
      </c>
      <c r="CB130" s="114">
        <v>19</v>
      </c>
      <c r="CC130" s="115">
        <v>114.02000000000001</v>
      </c>
      <c r="CD130" s="115">
        <v>111.09</v>
      </c>
      <c r="CE130" s="115">
        <v>6.2240000000000002</v>
      </c>
      <c r="CF130" s="115">
        <v>6.2249999999999996</v>
      </c>
      <c r="CG130" s="116">
        <v>24</v>
      </c>
      <c r="CH130" s="122">
        <f>IFERROR(TOWER_DATA[[#This Row],[Top '[m']]]-TOWER_DATA[[#This Row],[Bottom '[m']]], "")</f>
        <v>2.9300000000000068</v>
      </c>
      <c r="CI130" s="122">
        <f>IFERROR(-(TOWER_DATA[[#This Row],[D, bottom '[m']]]-TOWER_DATA[[#This Row],[D, top '[m']]])/(TOWER_DATA[[#This Row],[Bottom '[m']]]-TOWER_DATA[[#This Row],[Top '[m']]]),"")</f>
        <v>3.412969283274551E-4</v>
      </c>
      <c r="CJ130" s="122">
        <f t="shared" si="8"/>
        <v>10.752887530560983</v>
      </c>
      <c r="CK130" s="125">
        <f>IFERROR((TOWER_DATA[[#This Row],[D, bottom '[m']]]+TOWER_DATA[[#This Row],[D, top '[m']]])/(2*TOWER_DATA[[#This Row],[t '[mm']]]/1000),"")</f>
        <v>259.35416666666669</v>
      </c>
      <c r="CM130" s="138"/>
      <c r="CN130" s="138"/>
      <c r="CO130" s="138"/>
      <c r="CP130" s="138"/>
      <c r="CQ130" s="51"/>
      <c r="CR130" s="51"/>
      <c r="CS130" s="51"/>
      <c r="CT130" s="51"/>
      <c r="CU130" s="112"/>
      <c r="DU130" s="76" t="str">
        <f t="shared" si="9"/>
        <v/>
      </c>
      <c r="DV130" s="76"/>
    </row>
    <row r="131" spans="5:126" ht="18" customHeight="1" x14ac:dyDescent="0.3">
      <c r="E131" s="114">
        <v>20</v>
      </c>
      <c r="F131" s="115">
        <v>-67.599999999999994</v>
      </c>
      <c r="G131" s="115">
        <v>-70.7</v>
      </c>
      <c r="H131" s="115">
        <v>9.8000000000000007</v>
      </c>
      <c r="I131" s="115">
        <v>9.8000000000000007</v>
      </c>
      <c r="J131" s="116">
        <v>81</v>
      </c>
      <c r="K131" s="53">
        <f>IFERROR(MP_DATA[[#This Row],[Top '[m']]]-MP_DATA[[#This Row],[Bottom '[m']]], "")</f>
        <v>3.1000000000000085</v>
      </c>
      <c r="L131" s="53">
        <f>IFERROR(-(MP_DATA[[#This Row],[D, bottom '[m']]]-MP_DATA[[#This Row],[D, top '[m']]])/(MP_DATA[[#This Row],[Bottom '[m']]]-MP_DATA[[#This Row],[Top '[m']]]),"")</f>
        <v>0</v>
      </c>
      <c r="M131" s="53">
        <f t="shared" si="6"/>
        <v>60.184938943237157</v>
      </c>
      <c r="N131" s="98">
        <f>IFERROR((MP_DATA[[#This Row],[D, bottom '[m']]]+MP_DATA[[#This Row],[D, top '[m']]])/(2*MP_DATA[[#This Row],[t '[mm']]]/1000),"")</f>
        <v>120.98765432098766</v>
      </c>
      <c r="AP131" s="114"/>
      <c r="AQ131" s="115"/>
      <c r="AR131" s="115"/>
      <c r="AS131" s="115"/>
      <c r="AT131" s="115"/>
      <c r="AU131" s="116"/>
      <c r="AV131" s="53" t="str">
        <f>IFERROR(TP_DATA[[#This Row],[Top '[m']]]-TP_DATA[[#This Row],[Bottom '[m']]], "")</f>
        <v/>
      </c>
      <c r="AW131" s="53" t="str">
        <f>IFERROR(-(TP_DATA[[#This Row],[D, bottom '[m']]]-TP_DATA[[#This Row],[D, top '[m']]])/(TP_DATA[[#This Row],[Bottom '[m']]]-TP_DATA[[#This Row],[Top '[m']]]),"")</f>
        <v/>
      </c>
      <c r="AX131" s="53" t="str">
        <f t="shared" si="7"/>
        <v/>
      </c>
      <c r="AY131" s="98" t="str">
        <f>IFERROR((TP_DATA[[#This Row],[D, bottom '[m']]]+TP_DATA[[#This Row],[D, top '[m']]])/(2*TP_DATA[[#This Row],[t '[mm']]]/1000),"")</f>
        <v/>
      </c>
      <c r="CB131" s="114">
        <v>20</v>
      </c>
      <c r="CC131" s="115">
        <v>111.09</v>
      </c>
      <c r="CD131" s="115">
        <v>110.9</v>
      </c>
      <c r="CE131" s="115">
        <v>6.2249999999999996</v>
      </c>
      <c r="CF131" s="115">
        <v>6.2249999999999996</v>
      </c>
      <c r="CG131" s="116">
        <v>25</v>
      </c>
      <c r="CH131" s="122">
        <f>IFERROR(TOWER_DATA[[#This Row],[Top '[m']]]-TOWER_DATA[[#This Row],[Bottom '[m']]], "")</f>
        <v>0.18999999999999773</v>
      </c>
      <c r="CI131" s="122">
        <f>IFERROR(-(TOWER_DATA[[#This Row],[D, bottom '[m']]]-TOWER_DATA[[#This Row],[D, top '[m']]])/(TOWER_DATA[[#This Row],[Bottom '[m']]]-TOWER_DATA[[#This Row],[Top '[m']]]),"")</f>
        <v>0</v>
      </c>
      <c r="CJ131" s="122">
        <f t="shared" si="8"/>
        <v>0.72628124363851332</v>
      </c>
      <c r="CK131" s="125">
        <f>IFERROR((TOWER_DATA[[#This Row],[D, bottom '[m']]]+TOWER_DATA[[#This Row],[D, top '[m']]])/(2*TOWER_DATA[[#This Row],[t '[mm']]]/1000),"")</f>
        <v>248.99999999999997</v>
      </c>
      <c r="CM131" s="138"/>
      <c r="CN131" s="138"/>
      <c r="CO131" s="138"/>
      <c r="CP131" s="138"/>
      <c r="CQ131" s="51"/>
      <c r="CR131" s="51"/>
      <c r="CS131" s="51"/>
      <c r="CT131" s="51"/>
      <c r="CU131" s="112"/>
      <c r="DU131" s="76" t="str">
        <f t="shared" si="9"/>
        <v/>
      </c>
      <c r="DV131" s="76"/>
    </row>
    <row r="132" spans="5:126" ht="18" customHeight="1" x14ac:dyDescent="0.3">
      <c r="E132" s="114">
        <v>21</v>
      </c>
      <c r="F132" s="115">
        <v>-70.7</v>
      </c>
      <c r="G132" s="115">
        <v>-73.7</v>
      </c>
      <c r="H132" s="115">
        <v>9.8000000000000007</v>
      </c>
      <c r="I132" s="115">
        <v>9.8000000000000007</v>
      </c>
      <c r="J132" s="116">
        <v>87</v>
      </c>
      <c r="K132" s="53">
        <f>IFERROR(MP_DATA[[#This Row],[Top '[m']]]-MP_DATA[[#This Row],[Bottom '[m']]], "")</f>
        <v>3</v>
      </c>
      <c r="L132" s="53">
        <f>IFERROR(-(MP_DATA[[#This Row],[D, bottom '[m']]]-MP_DATA[[#This Row],[D, top '[m']]])/(MP_DATA[[#This Row],[Bottom '[m']]]-MP_DATA[[#This Row],[Top '[m']]]),"")</f>
        <v>0</v>
      </c>
      <c r="M132" s="53">
        <f t="shared" si="6"/>
        <v>62.519201927990139</v>
      </c>
      <c r="N132" s="98">
        <f>IFERROR((MP_DATA[[#This Row],[D, bottom '[m']]]+MP_DATA[[#This Row],[D, top '[m']]])/(2*MP_DATA[[#This Row],[t '[mm']]]/1000),"")</f>
        <v>112.64367816091955</v>
      </c>
      <c r="AP132" s="114"/>
      <c r="AQ132" s="115"/>
      <c r="AR132" s="115"/>
      <c r="AS132" s="115"/>
      <c r="AT132" s="115"/>
      <c r="AU132" s="116"/>
      <c r="AV132" s="53" t="str">
        <f>IFERROR(TP_DATA[[#This Row],[Top '[m']]]-TP_DATA[[#This Row],[Bottom '[m']]], "")</f>
        <v/>
      </c>
      <c r="AW132" s="53" t="str">
        <f>IFERROR(-(TP_DATA[[#This Row],[D, bottom '[m']]]-TP_DATA[[#This Row],[D, top '[m']]])/(TP_DATA[[#This Row],[Bottom '[m']]]-TP_DATA[[#This Row],[Top '[m']]]),"")</f>
        <v/>
      </c>
      <c r="AX132" s="53" t="str">
        <f t="shared" si="7"/>
        <v/>
      </c>
      <c r="AY132" s="98" t="str">
        <f>IFERROR((TP_DATA[[#This Row],[D, bottom '[m']]]+TP_DATA[[#This Row],[D, top '[m']]])/(2*TP_DATA[[#This Row],[t '[mm']]]/1000),"")</f>
        <v/>
      </c>
      <c r="CB132" s="114">
        <v>21</v>
      </c>
      <c r="CC132" s="115">
        <v>110.9</v>
      </c>
      <c r="CD132" s="115">
        <v>108.16000000000001</v>
      </c>
      <c r="CE132" s="115">
        <v>6.2249999999999996</v>
      </c>
      <c r="CF132" s="115">
        <v>6.226</v>
      </c>
      <c r="CG132" s="116">
        <v>25</v>
      </c>
      <c r="CH132" s="122">
        <f>IFERROR(TOWER_DATA[[#This Row],[Top '[m']]]-TOWER_DATA[[#This Row],[Bottom '[m']]], "")</f>
        <v>2.7399999999999949</v>
      </c>
      <c r="CI132" s="122">
        <f>IFERROR(-(TOWER_DATA[[#This Row],[D, bottom '[m']]]-TOWER_DATA[[#This Row],[D, top '[m']]])/(TOWER_DATA[[#This Row],[Bottom '[m']]]-TOWER_DATA[[#This Row],[Top '[m']]]),"")</f>
        <v>3.6496350364975758E-4</v>
      </c>
      <c r="CJ132" s="122">
        <f t="shared" si="8"/>
        <v>10.474584696294533</v>
      </c>
      <c r="CK132" s="125">
        <f>IFERROR((TOWER_DATA[[#This Row],[D, bottom '[m']]]+TOWER_DATA[[#This Row],[D, top '[m']]])/(2*TOWER_DATA[[#This Row],[t '[mm']]]/1000),"")</f>
        <v>249.02</v>
      </c>
      <c r="CM132" s="138"/>
      <c r="CN132" s="138"/>
      <c r="CO132" s="138"/>
      <c r="CP132" s="138"/>
      <c r="CQ132" s="51"/>
      <c r="CR132" s="51"/>
      <c r="CS132" s="51"/>
      <c r="CT132" s="51"/>
      <c r="CU132" s="112"/>
      <c r="DU132" s="76" t="str">
        <f t="shared" si="9"/>
        <v/>
      </c>
      <c r="DV132" s="76"/>
    </row>
    <row r="133" spans="5:126" ht="18" customHeight="1" x14ac:dyDescent="0.3">
      <c r="E133" s="114">
        <v>22</v>
      </c>
      <c r="F133" s="115">
        <v>-73.7</v>
      </c>
      <c r="G133" s="115">
        <v>-76.8</v>
      </c>
      <c r="H133" s="115">
        <v>9.8000000000000007</v>
      </c>
      <c r="I133" s="115">
        <v>9.8000000000000007</v>
      </c>
      <c r="J133" s="116">
        <v>95</v>
      </c>
      <c r="K133" s="53">
        <f>IFERROR(MP_DATA[[#This Row],[Top '[m']]]-MP_DATA[[#This Row],[Bottom '[m']]], "")</f>
        <v>3.0999999999999943</v>
      </c>
      <c r="L133" s="53">
        <f>IFERROR(-(MP_DATA[[#This Row],[D, bottom '[m']]]-MP_DATA[[#This Row],[D, top '[m']]])/(MP_DATA[[#This Row],[Bottom '[m']]]-MP_DATA[[#This Row],[Top '[m']]]),"")</f>
        <v>0</v>
      </c>
      <c r="M133" s="53">
        <f t="shared" si="6"/>
        <v>70.485594695118522</v>
      </c>
      <c r="N133" s="98">
        <f>IFERROR((MP_DATA[[#This Row],[D, bottom '[m']]]+MP_DATA[[#This Row],[D, top '[m']]])/(2*MP_DATA[[#This Row],[t '[mm']]]/1000),"")</f>
        <v>103.15789473684211</v>
      </c>
      <c r="AP133" s="114"/>
      <c r="AQ133" s="115"/>
      <c r="AR133" s="115"/>
      <c r="AS133" s="115"/>
      <c r="AT133" s="115"/>
      <c r="AU133" s="116"/>
      <c r="AV133" s="53" t="str">
        <f>IFERROR(TP_DATA[[#This Row],[Top '[m']]]-TP_DATA[[#This Row],[Bottom '[m']]], "")</f>
        <v/>
      </c>
      <c r="AW133" s="53" t="str">
        <f>IFERROR(-(TP_DATA[[#This Row],[D, bottom '[m']]]-TP_DATA[[#This Row],[D, top '[m']]])/(TP_DATA[[#This Row],[Bottom '[m']]]-TP_DATA[[#This Row],[Top '[m']]]),"")</f>
        <v/>
      </c>
      <c r="AX133" s="53" t="str">
        <f t="shared" si="7"/>
        <v/>
      </c>
      <c r="AY133" s="98" t="str">
        <f>IFERROR((TP_DATA[[#This Row],[D, bottom '[m']]]+TP_DATA[[#This Row],[D, top '[m']]])/(2*TP_DATA[[#This Row],[t '[mm']]]/1000),"")</f>
        <v/>
      </c>
      <c r="CB133" s="114">
        <v>22</v>
      </c>
      <c r="CC133" s="115">
        <v>108.16000000000001</v>
      </c>
      <c r="CD133" s="115">
        <v>107.224</v>
      </c>
      <c r="CE133" s="115">
        <v>6.226</v>
      </c>
      <c r="CF133" s="115">
        <v>6.226</v>
      </c>
      <c r="CG133" s="116">
        <v>26</v>
      </c>
      <c r="CH133" s="122">
        <f>IFERROR(TOWER_DATA[[#This Row],[Top '[m']]]-TOWER_DATA[[#This Row],[Bottom '[m']]], "")</f>
        <v>0.93600000000000705</v>
      </c>
      <c r="CI133" s="122">
        <f>IFERROR(-(TOWER_DATA[[#This Row],[D, bottom '[m']]]-TOWER_DATA[[#This Row],[D, top '[m']]])/(TOWER_DATA[[#This Row],[Bottom '[m']]]-TOWER_DATA[[#This Row],[Top '[m']]]),"")</f>
        <v>0</v>
      </c>
      <c r="CJ133" s="122">
        <f t="shared" si="8"/>
        <v>3.7210063884604585</v>
      </c>
      <c r="CK133" s="125">
        <f>IFERROR((TOWER_DATA[[#This Row],[D, bottom '[m']]]+TOWER_DATA[[#This Row],[D, top '[m']]])/(2*TOWER_DATA[[#This Row],[t '[mm']]]/1000),"")</f>
        <v>239.46153846153848</v>
      </c>
      <c r="CM133" s="138"/>
      <c r="CN133" s="138"/>
      <c r="CO133" s="138"/>
      <c r="CP133" s="138"/>
      <c r="CQ133" s="51"/>
      <c r="CR133" s="51"/>
      <c r="CS133" s="51"/>
      <c r="CT133" s="51"/>
      <c r="CU133" s="112"/>
      <c r="DU133" s="76" t="str">
        <f t="shared" si="9"/>
        <v/>
      </c>
      <c r="DV133" s="76"/>
    </row>
    <row r="134" spans="5:126" ht="18" customHeight="1" x14ac:dyDescent="0.3">
      <c r="E134" s="114">
        <v>23</v>
      </c>
      <c r="F134" s="115">
        <v>-76.8</v>
      </c>
      <c r="G134" s="115">
        <v>-79.8</v>
      </c>
      <c r="H134" s="115">
        <v>9.8000000000000007</v>
      </c>
      <c r="I134" s="115">
        <v>9.8000000000000007</v>
      </c>
      <c r="J134" s="116">
        <v>105</v>
      </c>
      <c r="K134" s="53">
        <f>IFERROR(MP_DATA[[#This Row],[Top '[m']]]-MP_DATA[[#This Row],[Bottom '[m']]], "")</f>
        <v>3</v>
      </c>
      <c r="L134" s="51">
        <f>IFERROR(-(MP_DATA[[#This Row],[D, bottom '[m']]]-MP_DATA[[#This Row],[D, top '[m']]])/(MP_DATA[[#This Row],[Bottom '[m']]]-MP_DATA[[#This Row],[Top '[m']]]),"")</f>
        <v>0</v>
      </c>
      <c r="M134" s="53">
        <f t="shared" si="6"/>
        <v>75.314378505222052</v>
      </c>
      <c r="N134" s="109">
        <f>IFERROR((MP_DATA[[#This Row],[D, bottom '[m']]]+MP_DATA[[#This Row],[D, top '[m']]])/(2*MP_DATA[[#This Row],[t '[mm']]]/1000),"")</f>
        <v>93.333333333333343</v>
      </c>
      <c r="AP134" s="114"/>
      <c r="AQ134" s="115"/>
      <c r="AR134" s="115"/>
      <c r="AS134" s="115"/>
      <c r="AT134" s="115"/>
      <c r="AU134" s="116"/>
      <c r="AV134" s="53" t="str">
        <f>IFERROR(TP_DATA[[#This Row],[Top '[m']]]-TP_DATA[[#This Row],[Bottom '[m']]], "")</f>
        <v/>
      </c>
      <c r="AW134" s="51" t="str">
        <f>IFERROR(-(TP_DATA[[#This Row],[D, bottom '[m']]]-TP_DATA[[#This Row],[D, top '[m']]])/(TP_DATA[[#This Row],[Bottom '[m']]]-TP_DATA[[#This Row],[Top '[m']]]),"")</f>
        <v/>
      </c>
      <c r="AX134" s="53" t="str">
        <f t="shared" si="7"/>
        <v/>
      </c>
      <c r="AY134" s="109" t="str">
        <f>IFERROR((TP_DATA[[#This Row],[D, bottom '[m']]]+TP_DATA[[#This Row],[D, top '[m']]])/(2*TP_DATA[[#This Row],[t '[mm']]]/1000),"")</f>
        <v/>
      </c>
      <c r="CB134" s="114">
        <v>23</v>
      </c>
      <c r="CC134" s="115">
        <v>107.224</v>
      </c>
      <c r="CD134" s="115">
        <v>105.23</v>
      </c>
      <c r="CE134" s="115">
        <v>6.226</v>
      </c>
      <c r="CF134" s="115">
        <v>6.226</v>
      </c>
      <c r="CG134" s="116">
        <v>26</v>
      </c>
      <c r="CH134" s="122">
        <f>IFERROR(TOWER_DATA[[#This Row],[Top '[m']]]-TOWER_DATA[[#This Row],[Bottom '[m']]], "")</f>
        <v>1.9939999999999998</v>
      </c>
      <c r="CI134">
        <f>IFERROR(-(TOWER_DATA[[#This Row],[D, bottom '[m']]]-TOWER_DATA[[#This Row],[D, top '[m']]])/(TOWER_DATA[[#This Row],[Bottom '[m']]]-TOWER_DATA[[#This Row],[Top '[m']]]),"")</f>
        <v>0</v>
      </c>
      <c r="CJ134" s="122">
        <f t="shared" si="8"/>
        <v>7.9270157463569424</v>
      </c>
      <c r="CK134" s="99">
        <f>IFERROR((TOWER_DATA[[#This Row],[D, bottom '[m']]]+TOWER_DATA[[#This Row],[D, top '[m']]])/(2*TOWER_DATA[[#This Row],[t '[mm']]]/1000),"")</f>
        <v>239.46153846153848</v>
      </c>
      <c r="CM134" s="138"/>
      <c r="CN134" s="138"/>
      <c r="CO134" s="138"/>
      <c r="CP134" s="138"/>
      <c r="CQ134" s="51"/>
      <c r="CR134" s="51"/>
      <c r="CS134" s="51"/>
      <c r="CT134" s="51"/>
      <c r="CU134" s="112"/>
    </row>
    <row r="135" spans="5:126" ht="18" customHeight="1" x14ac:dyDescent="0.3">
      <c r="K135" s="53" t="str">
        <f>IFERROR(MP_DATA[[#This Row],[Top '[m']]]-MP_DATA[[#This Row],[Bottom '[m']]], "")</f>
        <v/>
      </c>
      <c r="L135" s="76" t="str">
        <f>IFERROR(-(MP_DATA[[#This Row],[D, bottom '[m']]]-MP_DATA[[#This Row],[D, top '[m']]])/(MP_DATA[[#This Row],[Bottom '[m']]]-MP_DATA[[#This Row],[Top '[m']]]),"")</f>
        <v/>
      </c>
      <c r="M135" s="53" t="str">
        <f t="shared" si="6"/>
        <v/>
      </c>
      <c r="N135" s="99" t="str">
        <f>IFERROR((MP_DATA[[#This Row],[D, bottom '[m']]]+MP_DATA[[#This Row],[D, top '[m']]])/(2*MP_DATA[[#This Row],[t '[mm']]]/1000),"")</f>
        <v/>
      </c>
      <c r="AV135" s="53" t="str">
        <f>IFERROR(TP_DATA[[#This Row],[Top '[m']]]-TP_DATA[[#This Row],[Bottom '[m']]], "")</f>
        <v/>
      </c>
      <c r="AW135" s="76" t="str">
        <f>IFERROR(-(TP_DATA[[#This Row],[D, bottom '[m']]]-TP_DATA[[#This Row],[D, top '[m']]])/(TP_DATA[[#This Row],[Bottom '[m']]]-TP_DATA[[#This Row],[Top '[m']]]),"")</f>
        <v/>
      </c>
      <c r="AX135" s="53" t="str">
        <f t="shared" si="7"/>
        <v/>
      </c>
      <c r="AY135" s="99" t="str">
        <f>IFERROR((TP_DATA[[#This Row],[D, bottom '[m']]]+TP_DATA[[#This Row],[D, top '[m']]])/(2*TP_DATA[[#This Row],[t '[mm']]]/1000),"")</f>
        <v/>
      </c>
      <c r="CB135" s="114">
        <v>24</v>
      </c>
      <c r="CC135" s="115">
        <v>105.23</v>
      </c>
      <c r="CD135" s="115">
        <v>102.30000000000001</v>
      </c>
      <c r="CE135" s="115">
        <v>6.226</v>
      </c>
      <c r="CF135" s="115">
        <v>6.2279999999999998</v>
      </c>
      <c r="CG135" s="116">
        <v>26</v>
      </c>
      <c r="CH135" s="122">
        <f>IFERROR(TOWER_DATA[[#This Row],[Top '[m']]]-TOWER_DATA[[#This Row],[Bottom '[m']]], "")</f>
        <v>2.9299999999999926</v>
      </c>
      <c r="CI135" s="76">
        <f>IFERROR(-(TOWER_DATA[[#This Row],[D, bottom '[m']]]-TOWER_DATA[[#This Row],[D, top '[m']]])/(TOWER_DATA[[#This Row],[Bottom '[m']]]-TOWER_DATA[[#This Row],[Top '[m']]]),"")</f>
        <v>6.825938566552166E-4</v>
      </c>
      <c r="CJ135" s="122">
        <f t="shared" si="8"/>
        <v>11.64990084806473</v>
      </c>
      <c r="CK135" s="99">
        <f>IFERROR((TOWER_DATA[[#This Row],[D, bottom '[m']]]+TOWER_DATA[[#This Row],[D, top '[m']]])/(2*TOWER_DATA[[#This Row],[t '[mm']]]/1000),"")</f>
        <v>239.50000000000003</v>
      </c>
      <c r="CM135" s="138"/>
      <c r="CN135" s="138"/>
      <c r="CO135" s="138"/>
      <c r="CP135" s="138"/>
      <c r="CQ135" s="51"/>
      <c r="CR135" s="51"/>
      <c r="CS135" s="51"/>
      <c r="CT135" s="51"/>
      <c r="CU135" s="112"/>
    </row>
    <row r="136" spans="5:126" ht="18" customHeight="1" x14ac:dyDescent="0.3">
      <c r="K136" s="53" t="str">
        <f>IFERROR(MP_DATA[[#This Row],[Top '[m']]]-MP_DATA[[#This Row],[Bottom '[m']]], "")</f>
        <v/>
      </c>
      <c r="L136" s="76" t="str">
        <f>IFERROR(-(MP_DATA[[#This Row],[D, bottom '[m']]]-MP_DATA[[#This Row],[D, top '[m']]])/(MP_DATA[[#This Row],[Bottom '[m']]]-MP_DATA[[#This Row],[Top '[m']]]),"")</f>
        <v/>
      </c>
      <c r="M136" s="53" t="str">
        <f t="shared" si="6"/>
        <v/>
      </c>
      <c r="N136" s="99" t="str">
        <f>IFERROR((MP_DATA[[#This Row],[D, bottom '[m']]]+MP_DATA[[#This Row],[D, top '[m']]])/(2*MP_DATA[[#This Row],[t '[mm']]]/1000),"")</f>
        <v/>
      </c>
      <c r="AV136" s="53" t="str">
        <f>IFERROR(TP_DATA[[#This Row],[Top '[m']]]-TP_DATA[[#This Row],[Bottom '[m']]], "")</f>
        <v/>
      </c>
      <c r="AW136" s="76" t="str">
        <f>IFERROR(-(TP_DATA[[#This Row],[D, bottom '[m']]]-TP_DATA[[#This Row],[D, top '[m']]])/(TP_DATA[[#This Row],[Bottom '[m']]]-TP_DATA[[#This Row],[Top '[m']]]),"")</f>
        <v/>
      </c>
      <c r="AX136" s="53" t="str">
        <f t="shared" si="7"/>
        <v/>
      </c>
      <c r="AY136" s="99" t="str">
        <f>IFERROR((TP_DATA[[#This Row],[D, bottom '[m']]]+TP_DATA[[#This Row],[D, top '[m']]])/(2*TP_DATA[[#This Row],[t '[mm']]]/1000),"")</f>
        <v/>
      </c>
      <c r="CB136" s="114">
        <v>25</v>
      </c>
      <c r="CC136" s="115">
        <v>102.30000000000001</v>
      </c>
      <c r="CD136" s="115">
        <v>102.26</v>
      </c>
      <c r="CE136" s="115">
        <v>6.2279999999999998</v>
      </c>
      <c r="CF136" s="115">
        <v>6.2279999999999998</v>
      </c>
      <c r="CG136" s="116">
        <v>28</v>
      </c>
      <c r="CH136" s="122">
        <f>IFERROR(TOWER_DATA[[#This Row],[Top '[m']]]-TOWER_DATA[[#This Row],[Bottom '[m']]], "")</f>
        <v>4.0000000000006253E-2</v>
      </c>
      <c r="CI136" s="76">
        <f>IFERROR(-(TOWER_DATA[[#This Row],[D, bottom '[m']]]-TOWER_DATA[[#This Row],[D, top '[m']]])/(TOWER_DATA[[#This Row],[Bottom '[m']]]-TOWER_DATA[[#This Row],[Top '[m']]]),"")</f>
        <v>0</v>
      </c>
      <c r="CJ136" s="122">
        <f t="shared" si="8"/>
        <v>0.17124947218426703</v>
      </c>
      <c r="CK136" s="99">
        <f>IFERROR((TOWER_DATA[[#This Row],[D, bottom '[m']]]+TOWER_DATA[[#This Row],[D, top '[m']]])/(2*TOWER_DATA[[#This Row],[t '[mm']]]/1000),"")</f>
        <v>222.42857142857142</v>
      </c>
      <c r="CM136" s="138"/>
      <c r="CN136" s="138"/>
      <c r="CO136" s="138"/>
      <c r="CP136" s="138"/>
      <c r="CQ136" s="51"/>
      <c r="CR136" s="51"/>
      <c r="CS136" s="51"/>
      <c r="CT136" s="51"/>
      <c r="CU136" s="112"/>
    </row>
    <row r="137" spans="5:126" ht="18" customHeight="1" x14ac:dyDescent="0.3">
      <c r="K137" s="53" t="str">
        <f>IFERROR(MP_DATA[[#This Row],[Top '[m']]]-MP_DATA[[#This Row],[Bottom '[m']]], "")</f>
        <v/>
      </c>
      <c r="M137" s="53" t="str">
        <f t="shared" si="6"/>
        <v/>
      </c>
      <c r="N137" s="99" t="str">
        <f>IFERROR((MP_DATA[[#This Row],[D, bottom '[m']]]+MP_DATA[[#This Row],[D, top '[m']]])/(2*MP_DATA[[#This Row],[t '[mm']]]/1000),"")</f>
        <v/>
      </c>
      <c r="AV137" s="53" t="str">
        <f>IFERROR(TP_DATA[[#This Row],[Top '[m']]]-TP_DATA[[#This Row],[Bottom '[m']]], "")</f>
        <v/>
      </c>
      <c r="AX137" s="53" t="str">
        <f t="shared" si="7"/>
        <v/>
      </c>
      <c r="AY137" s="99" t="str">
        <f>IFERROR((TP_DATA[[#This Row],[D, bottom '[m']]]+TP_DATA[[#This Row],[D, top '[m']]])/(2*TP_DATA[[#This Row],[t '[mm']]]/1000),"")</f>
        <v/>
      </c>
      <c r="CB137" s="114">
        <v>26</v>
      </c>
      <c r="CC137" s="115">
        <v>102.26</v>
      </c>
      <c r="CD137" s="115">
        <v>102.10000000000001</v>
      </c>
      <c r="CE137" s="115">
        <v>6.2279999999999998</v>
      </c>
      <c r="CF137" s="115">
        <v>6.2279999999999998</v>
      </c>
      <c r="CG137" s="116">
        <v>28</v>
      </c>
      <c r="CH137" s="122">
        <f>IFERROR(TOWER_DATA[[#This Row],[Top '[m']]]-TOWER_DATA[[#This Row],[Bottom '[m']]], "")</f>
        <v>0.15999999999999659</v>
      </c>
      <c r="CJ137" s="122">
        <f t="shared" si="8"/>
        <v>0.68499788873694645</v>
      </c>
      <c r="CK137" s="99">
        <f>IFERROR((TOWER_DATA[[#This Row],[D, bottom '[m']]]+TOWER_DATA[[#This Row],[D, top '[m']]])/(2*TOWER_DATA[[#This Row],[t '[mm']]]/1000),"")</f>
        <v>222.42857142857142</v>
      </c>
      <c r="CM137" s="138"/>
      <c r="CN137" s="138"/>
      <c r="CO137" s="138"/>
      <c r="CP137" s="138"/>
      <c r="CQ137" s="51"/>
      <c r="CR137" s="51"/>
      <c r="CS137" s="51"/>
      <c r="CT137" s="51"/>
      <c r="CU137" s="112"/>
    </row>
    <row r="138" spans="5:126" ht="18" customHeight="1" x14ac:dyDescent="0.3">
      <c r="K138" s="53" t="str">
        <f>IFERROR(MP_DATA[[#This Row],[Top '[m']]]-MP_DATA[[#This Row],[Bottom '[m']]], "")</f>
        <v/>
      </c>
      <c r="AV138" s="53" t="str">
        <f>IFERROR(TP_DATA[[#This Row],[Top '[m']]]-TP_DATA[[#This Row],[Bottom '[m']]], "")</f>
        <v/>
      </c>
      <c r="CB138" s="114">
        <v>27</v>
      </c>
      <c r="CC138" s="115">
        <v>102.10000000000001</v>
      </c>
      <c r="CD138" s="115">
        <v>101.94000000000001</v>
      </c>
      <c r="CE138" s="115">
        <v>6.2279999999999998</v>
      </c>
      <c r="CF138" s="115">
        <v>6.2279999999999998</v>
      </c>
      <c r="CG138" s="116">
        <v>28</v>
      </c>
      <c r="CH138" s="122">
        <f>IFERROR(TOWER_DATA[[#This Row],[Top '[m']]]-TOWER_DATA[[#This Row],[Bottom '[m']]], "")</f>
        <v>0.15999999999999659</v>
      </c>
      <c r="CM138" s="138"/>
      <c r="CN138" s="138"/>
      <c r="CO138" s="138"/>
      <c r="CP138" s="138"/>
      <c r="CQ138" s="51"/>
      <c r="CR138" s="51"/>
      <c r="CS138" s="51"/>
      <c r="CT138" s="51"/>
      <c r="CU138" s="112"/>
    </row>
    <row r="139" spans="5:126" ht="18" customHeight="1" x14ac:dyDescent="0.3">
      <c r="K139" s="53" t="str">
        <f>IFERROR(MP_DATA[[#This Row],[Top '[m']]]-MP_DATA[[#This Row],[Bottom '[m']]], "")</f>
        <v/>
      </c>
      <c r="AV139" s="53" t="str">
        <f>IFERROR(TP_DATA[[#This Row],[Top '[m']]]-TP_DATA[[#This Row],[Bottom '[m']]], "")</f>
        <v/>
      </c>
      <c r="CB139" s="114">
        <v>28</v>
      </c>
      <c r="CC139" s="115">
        <v>101.94000000000001</v>
      </c>
      <c r="CD139" s="115">
        <v>101.9</v>
      </c>
      <c r="CE139" s="115">
        <v>6.2279999999999998</v>
      </c>
      <c r="CF139" s="115">
        <v>6.23</v>
      </c>
      <c r="CG139" s="116">
        <v>28</v>
      </c>
      <c r="CH139" s="122">
        <f>IFERROR(TOWER_DATA[[#This Row],[Top '[m']]]-TOWER_DATA[[#This Row],[Bottom '[m']]], "")</f>
        <v>4.0000000000006253E-2</v>
      </c>
      <c r="CM139" s="138"/>
      <c r="CN139" s="138"/>
      <c r="CO139" s="138"/>
      <c r="CP139" s="138"/>
      <c r="CQ139" s="51"/>
      <c r="CR139" s="51"/>
      <c r="CS139" s="51"/>
      <c r="CT139" s="51"/>
      <c r="CU139" s="112"/>
    </row>
    <row r="140" spans="5:126" ht="18" customHeight="1" x14ac:dyDescent="0.3">
      <c r="K140" s="53" t="str">
        <f>IFERROR(MP_DATA[[#This Row],[Top '[m']]]-MP_DATA[[#This Row],[Bottom '[m']]], "")</f>
        <v/>
      </c>
      <c r="AV140" s="53" t="str">
        <f>IFERROR(TP_DATA[[#This Row],[Top '[m']]]-TP_DATA[[#This Row],[Bottom '[m']]], "")</f>
        <v/>
      </c>
      <c r="CB140" s="114">
        <v>29</v>
      </c>
      <c r="CC140" s="115">
        <v>101.9</v>
      </c>
      <c r="CD140" s="115">
        <v>100.9</v>
      </c>
      <c r="CE140" s="115">
        <v>6.23</v>
      </c>
      <c r="CF140" s="115">
        <v>6.2530000000000001</v>
      </c>
      <c r="CG140" s="116">
        <v>30.099999999999998</v>
      </c>
      <c r="CH140" s="122">
        <f>IFERROR(TOWER_DATA[[#This Row],[Top '[m']]]-TOWER_DATA[[#This Row],[Bottom '[m']]], "")</f>
        <v>1</v>
      </c>
      <c r="CM140" s="138"/>
      <c r="CN140" s="138"/>
      <c r="CO140" s="138"/>
      <c r="CP140" s="138"/>
      <c r="CQ140" s="51"/>
      <c r="CR140" s="51"/>
      <c r="CS140" s="51"/>
      <c r="CT140" s="51"/>
      <c r="CU140" s="112"/>
    </row>
    <row r="141" spans="5:126" ht="18" customHeight="1" x14ac:dyDescent="0.3">
      <c r="K141" s="53" t="str">
        <f>IFERROR(MP_DATA[[#This Row],[Top '[m']]]-MP_DATA[[#This Row],[Bottom '[m']]], "")</f>
        <v/>
      </c>
      <c r="AV141" s="53" t="str">
        <f>IFERROR(TP_DATA[[#This Row],[Top '[m']]]-TP_DATA[[#This Row],[Bottom '[m']]], "")</f>
        <v/>
      </c>
      <c r="CB141" s="114">
        <v>30</v>
      </c>
      <c r="CC141" s="115">
        <v>100.9</v>
      </c>
      <c r="CD141" s="115">
        <v>99.172000000000011</v>
      </c>
      <c r="CE141" s="115">
        <v>6.2530000000000001</v>
      </c>
      <c r="CF141" s="115">
        <v>6.2889999999999997</v>
      </c>
      <c r="CG141" s="116">
        <v>30.099999999999998</v>
      </c>
      <c r="CH141" s="122">
        <f>IFERROR(TOWER_DATA[[#This Row],[Top '[m']]]-TOWER_DATA[[#This Row],[Bottom '[m']]], "")</f>
        <v>1.7279999999999944</v>
      </c>
      <c r="CM141" s="138"/>
      <c r="CN141" s="138"/>
      <c r="CO141" s="138"/>
      <c r="CP141" s="138"/>
      <c r="CQ141" s="51"/>
      <c r="CR141" s="51"/>
      <c r="CS141" s="51"/>
      <c r="CT141" s="51"/>
      <c r="CU141" s="112"/>
    </row>
    <row r="142" spans="5:126" ht="18" customHeight="1" x14ac:dyDescent="0.3">
      <c r="K142" s="53" t="str">
        <f>IFERROR(MP_DATA[[#This Row],[Top '[m']]]-MP_DATA[[#This Row],[Bottom '[m']]], "")</f>
        <v/>
      </c>
      <c r="AV142" s="53" t="str">
        <f>IFERROR(TP_DATA[[#This Row],[Top '[m']]]-TP_DATA[[#This Row],[Bottom '[m']]], "")</f>
        <v/>
      </c>
      <c r="CB142" s="114">
        <v>31</v>
      </c>
      <c r="CC142" s="115">
        <v>99.172000000000011</v>
      </c>
      <c r="CD142" s="115">
        <v>99.003</v>
      </c>
      <c r="CE142" s="115">
        <v>6.2889999999999997</v>
      </c>
      <c r="CF142" s="115">
        <v>6.2919999999999998</v>
      </c>
      <c r="CG142" s="116">
        <v>26.5</v>
      </c>
      <c r="CH142" s="122">
        <f>IFERROR(TOWER_DATA[[#This Row],[Top '[m']]]-TOWER_DATA[[#This Row],[Bottom '[m']]], "")</f>
        <v>0.16900000000001114</v>
      </c>
      <c r="CM142" s="138"/>
      <c r="CN142" s="138"/>
      <c r="CO142" s="138"/>
      <c r="CP142" s="138"/>
      <c r="CQ142" s="51"/>
      <c r="CR142" s="51"/>
      <c r="CS142" s="51"/>
      <c r="CT142" s="51"/>
      <c r="CU142" s="112"/>
    </row>
    <row r="143" spans="5:126" ht="18" customHeight="1" x14ac:dyDescent="0.3">
      <c r="K143" s="53" t="str">
        <f>IFERROR(MP_DATA[[#This Row],[Top '[m']]]-MP_DATA[[#This Row],[Bottom '[m']]], "")</f>
        <v/>
      </c>
      <c r="AV143" s="53" t="str">
        <f>IFERROR(TP_DATA[[#This Row],[Top '[m']]]-TP_DATA[[#This Row],[Bottom '[m']]], "")</f>
        <v/>
      </c>
      <c r="CB143" s="114">
        <v>32</v>
      </c>
      <c r="CC143" s="115">
        <v>99.003</v>
      </c>
      <c r="CD143" s="115">
        <v>96.45</v>
      </c>
      <c r="CE143" s="115">
        <v>6.2919999999999998</v>
      </c>
      <c r="CF143" s="115">
        <v>6.351</v>
      </c>
      <c r="CG143" s="116">
        <v>26.5</v>
      </c>
      <c r="CH143" s="122">
        <f>IFERROR(TOWER_DATA[[#This Row],[Top '[m']]]-TOWER_DATA[[#This Row],[Bottom '[m']]], "")</f>
        <v>2.5529999999999973</v>
      </c>
      <c r="CM143" s="138"/>
      <c r="CN143" s="138"/>
      <c r="CO143" s="138"/>
      <c r="CP143" s="138"/>
      <c r="CQ143" s="51"/>
      <c r="CR143" s="51"/>
      <c r="CS143" s="51"/>
      <c r="CT143" s="51"/>
      <c r="CU143" s="112"/>
    </row>
    <row r="144" spans="5:126" ht="18" customHeight="1" x14ac:dyDescent="0.3">
      <c r="K144" s="53" t="str">
        <f>IFERROR(MP_DATA[[#This Row],[Top '[m']]]-MP_DATA[[#This Row],[Bottom '[m']]], "")</f>
        <v/>
      </c>
      <c r="AV144" s="53" t="str">
        <f>IFERROR(TP_DATA[[#This Row],[Top '[m']]]-TP_DATA[[#This Row],[Bottom '[m']]], "")</f>
        <v/>
      </c>
      <c r="CB144" s="114">
        <v>33</v>
      </c>
      <c r="CC144" s="115">
        <v>96.45</v>
      </c>
      <c r="CD144" s="115">
        <v>94.89200000000001</v>
      </c>
      <c r="CE144" s="115">
        <v>6.351</v>
      </c>
      <c r="CF144" s="115">
        <v>6.3869999999999996</v>
      </c>
      <c r="CG144" s="116">
        <v>28</v>
      </c>
      <c r="CH144" s="122">
        <f>IFERROR(TOWER_DATA[[#This Row],[Top '[m']]]-TOWER_DATA[[#This Row],[Bottom '[m']]], "")</f>
        <v>1.5579999999999927</v>
      </c>
      <c r="CM144" s="138"/>
      <c r="CN144" s="138"/>
      <c r="CO144" s="138"/>
      <c r="CP144" s="138"/>
      <c r="CQ144" s="51"/>
      <c r="CR144" s="51"/>
      <c r="CS144" s="51"/>
      <c r="CT144" s="51"/>
      <c r="CU144" s="112"/>
    </row>
    <row r="145" spans="11:99" ht="18" customHeight="1" x14ac:dyDescent="0.3">
      <c r="K145" s="53" t="str">
        <f>IFERROR(MP_DATA[[#This Row],[Top '[m']]]-MP_DATA[[#This Row],[Bottom '[m']]], "")</f>
        <v/>
      </c>
      <c r="AV145" s="53" t="str">
        <f>IFERROR(TP_DATA[[#This Row],[Top '[m']]]-TP_DATA[[#This Row],[Bottom '[m']]], "")</f>
        <v/>
      </c>
      <c r="CB145" s="114">
        <v>34</v>
      </c>
      <c r="CC145" s="115">
        <v>94.89200000000001</v>
      </c>
      <c r="CD145" s="115">
        <v>93.728000000000009</v>
      </c>
      <c r="CE145" s="115">
        <v>6.3869999999999996</v>
      </c>
      <c r="CF145" s="115">
        <v>6.4139999999999997</v>
      </c>
      <c r="CG145" s="116">
        <v>28</v>
      </c>
      <c r="CH145" s="122">
        <f>IFERROR(TOWER_DATA[[#This Row],[Top '[m']]]-TOWER_DATA[[#This Row],[Bottom '[m']]], "")</f>
        <v>1.1640000000000015</v>
      </c>
      <c r="CM145" s="138"/>
      <c r="CN145" s="138"/>
      <c r="CO145" s="138"/>
      <c r="CP145" s="138"/>
      <c r="CQ145" s="51"/>
      <c r="CR145" s="51"/>
      <c r="CS145" s="51"/>
      <c r="CT145" s="51"/>
      <c r="CU145" s="112"/>
    </row>
    <row r="146" spans="11:99" ht="18" customHeight="1" x14ac:dyDescent="0.3">
      <c r="K146" s="53" t="str">
        <f>IFERROR(MP_DATA[[#This Row],[Top '[m']]]-MP_DATA[[#This Row],[Bottom '[m']]], "")</f>
        <v/>
      </c>
      <c r="AV146" s="53" t="str">
        <f>IFERROR(TP_DATA[[#This Row],[Top '[m']]]-TP_DATA[[#This Row],[Bottom '[m']]], "")</f>
        <v/>
      </c>
      <c r="CB146" s="114">
        <v>35</v>
      </c>
      <c r="CC146" s="115">
        <v>93.728000000000009</v>
      </c>
      <c r="CD146" s="115">
        <v>91.006</v>
      </c>
      <c r="CE146" s="115">
        <v>6.4139999999999997</v>
      </c>
      <c r="CF146" s="115">
        <v>6.4749999999999996</v>
      </c>
      <c r="CG146" s="116">
        <v>28.6</v>
      </c>
      <c r="CH146" s="122">
        <f>IFERROR(TOWER_DATA[[#This Row],[Top '[m']]]-TOWER_DATA[[#This Row],[Bottom '[m']]], "")</f>
        <v>2.7220000000000084</v>
      </c>
      <c r="CM146" s="138"/>
      <c r="CN146" s="138"/>
      <c r="CO146" s="138"/>
      <c r="CP146" s="138"/>
      <c r="CQ146" s="51"/>
      <c r="CR146" s="51"/>
      <c r="CS146" s="51"/>
      <c r="CT146" s="51"/>
      <c r="CU146" s="112"/>
    </row>
    <row r="147" spans="11:99" ht="18" customHeight="1" x14ac:dyDescent="0.3">
      <c r="K147" s="53" t="str">
        <f>IFERROR(MP_DATA[[#This Row],[Top '[m']]]-MP_DATA[[#This Row],[Bottom '[m']]], "")</f>
        <v/>
      </c>
      <c r="AV147" s="53" t="str">
        <f>IFERROR(TP_DATA[[#This Row],[Top '[m']]]-TP_DATA[[#This Row],[Bottom '[m']]], "")</f>
        <v/>
      </c>
      <c r="CB147" s="114">
        <v>36</v>
      </c>
      <c r="CC147" s="115">
        <v>91.006</v>
      </c>
      <c r="CD147" s="115">
        <v>90.9</v>
      </c>
      <c r="CE147" s="115">
        <v>6.4749999999999996</v>
      </c>
      <c r="CF147" s="115">
        <v>6.4779999999999998</v>
      </c>
      <c r="CG147" s="116">
        <v>29.4</v>
      </c>
      <c r="CH147" s="122">
        <f>IFERROR(TOWER_DATA[[#This Row],[Top '[m']]]-TOWER_DATA[[#This Row],[Bottom '[m']]], "")</f>
        <v>0.10599999999999454</v>
      </c>
      <c r="CM147" s="138"/>
      <c r="CN147" s="138"/>
      <c r="CO147" s="138"/>
      <c r="CP147" s="138"/>
      <c r="CQ147" s="51"/>
      <c r="CR147" s="51"/>
      <c r="CS147" s="51"/>
      <c r="CT147" s="51"/>
      <c r="CU147" s="112"/>
    </row>
    <row r="148" spans="11:99" ht="18" customHeight="1" x14ac:dyDescent="0.3">
      <c r="K148" s="53" t="str">
        <f>IFERROR(MP_DATA[[#This Row],[Top '[m']]]-MP_DATA[[#This Row],[Bottom '[m']]], "")</f>
        <v/>
      </c>
      <c r="AV148" s="53" t="str">
        <f>IFERROR(TP_DATA[[#This Row],[Top '[m']]]-TP_DATA[[#This Row],[Bottom '[m']]], "")</f>
        <v/>
      </c>
      <c r="CB148" s="114">
        <v>37</v>
      </c>
      <c r="CC148" s="115">
        <v>90.9</v>
      </c>
      <c r="CD148" s="115">
        <v>88.284000000000006</v>
      </c>
      <c r="CE148" s="115">
        <v>6.4779999999999998</v>
      </c>
      <c r="CF148" s="115">
        <v>6.5380000000000003</v>
      </c>
      <c r="CG148" s="116">
        <v>29.4</v>
      </c>
      <c r="CH148" s="122">
        <f>IFERROR(TOWER_DATA[[#This Row],[Top '[m']]]-TOWER_DATA[[#This Row],[Bottom '[m']]], "")</f>
        <v>2.6159999999999997</v>
      </c>
      <c r="CM148" s="138"/>
      <c r="CN148" s="138"/>
      <c r="CO148" s="138"/>
      <c r="CP148" s="138"/>
      <c r="CQ148" s="51"/>
      <c r="CR148" s="51"/>
      <c r="CS148" s="51"/>
      <c r="CT148" s="51"/>
      <c r="CU148" s="112"/>
    </row>
    <row r="149" spans="11:99" ht="18" customHeight="1" x14ac:dyDescent="0.3">
      <c r="K149" s="53" t="str">
        <f>IFERROR(MP_DATA[[#This Row],[Top '[m']]]-MP_DATA[[#This Row],[Bottom '[m']]], "")</f>
        <v/>
      </c>
      <c r="AV149" s="53" t="str">
        <f>IFERROR(TP_DATA[[#This Row],[Top '[m']]]-TP_DATA[[#This Row],[Bottom '[m']]], "")</f>
        <v/>
      </c>
      <c r="CB149" s="114">
        <v>38</v>
      </c>
      <c r="CC149" s="115">
        <v>88.284000000000006</v>
      </c>
      <c r="CD149" s="115">
        <v>86.671000000000006</v>
      </c>
      <c r="CE149" s="115">
        <v>6.5380000000000003</v>
      </c>
      <c r="CF149" s="115">
        <v>6.5739999999999998</v>
      </c>
      <c r="CG149" s="116">
        <v>29.5</v>
      </c>
      <c r="CH149" s="122">
        <f>IFERROR(TOWER_DATA[[#This Row],[Top '[m']]]-TOWER_DATA[[#This Row],[Bottom '[m']]], "")</f>
        <v>1.6129999999999995</v>
      </c>
      <c r="CM149" s="138"/>
      <c r="CN149" s="138"/>
      <c r="CO149" s="138"/>
      <c r="CP149" s="138"/>
      <c r="CQ149" s="51"/>
      <c r="CR149" s="51"/>
      <c r="CS149" s="51"/>
      <c r="CT149" s="51"/>
      <c r="CU149" s="112"/>
    </row>
    <row r="150" spans="11:99" ht="18" customHeight="1" x14ac:dyDescent="0.3">
      <c r="K150" s="53" t="str">
        <f>IFERROR(MP_DATA[[#This Row],[Top '[m']]]-MP_DATA[[#This Row],[Bottom '[m']]], "")</f>
        <v/>
      </c>
      <c r="AV150" s="53" t="str">
        <f>IFERROR(TP_DATA[[#This Row],[Top '[m']]]-TP_DATA[[#This Row],[Bottom '[m']]], "")</f>
        <v/>
      </c>
      <c r="CB150" s="114">
        <v>39</v>
      </c>
      <c r="CC150" s="115">
        <v>86.671000000000006</v>
      </c>
      <c r="CD150" s="115">
        <v>85.562000000000012</v>
      </c>
      <c r="CE150" s="115">
        <v>6.5739999999999998</v>
      </c>
      <c r="CF150" s="115">
        <v>6.601</v>
      </c>
      <c r="CG150" s="116">
        <v>29.5</v>
      </c>
      <c r="CH150" s="122">
        <f>IFERROR(TOWER_DATA[[#This Row],[Top '[m']]]-TOWER_DATA[[#This Row],[Bottom '[m']]], "")</f>
        <v>1.1089999999999947</v>
      </c>
      <c r="CM150" s="138"/>
      <c r="CN150" s="138"/>
      <c r="CO150" s="138"/>
      <c r="CP150" s="138"/>
      <c r="CQ150" s="51"/>
      <c r="CR150" s="51"/>
      <c r="CS150" s="51"/>
      <c r="CT150" s="51"/>
      <c r="CU150" s="112"/>
    </row>
    <row r="151" spans="11:99" ht="18" customHeight="1" x14ac:dyDescent="0.3">
      <c r="K151" s="53" t="str">
        <f>IFERROR(MP_DATA[[#This Row],[Top '[m']]]-MP_DATA[[#This Row],[Bottom '[m']]], "")</f>
        <v/>
      </c>
      <c r="AV151" s="53" t="str">
        <f>IFERROR(TP_DATA[[#This Row],[Top '[m']]]-TP_DATA[[#This Row],[Bottom '[m']]], "")</f>
        <v/>
      </c>
      <c r="CB151" s="114">
        <v>40</v>
      </c>
      <c r="CC151" s="115">
        <v>85.562000000000012</v>
      </c>
      <c r="CD151" s="115">
        <v>82.84</v>
      </c>
      <c r="CE151" s="115">
        <v>6.601</v>
      </c>
      <c r="CF151" s="115">
        <v>6.6619999999999999</v>
      </c>
      <c r="CG151" s="116">
        <v>31.5</v>
      </c>
      <c r="CH151" s="122">
        <f>IFERROR(TOWER_DATA[[#This Row],[Top '[m']]]-TOWER_DATA[[#This Row],[Bottom '[m']]], "")</f>
        <v>2.7220000000000084</v>
      </c>
      <c r="CM151" s="138"/>
      <c r="CN151" s="138"/>
      <c r="CO151" s="138"/>
      <c r="CP151" s="138"/>
      <c r="CQ151" s="51"/>
      <c r="CR151" s="51"/>
      <c r="CS151" s="51"/>
      <c r="CT151" s="51"/>
      <c r="CU151" s="112"/>
    </row>
    <row r="152" spans="11:99" ht="18" customHeight="1" x14ac:dyDescent="0.3">
      <c r="K152" s="53" t="str">
        <f>IFERROR(MP_DATA[[#This Row],[Top '[m']]]-MP_DATA[[#This Row],[Bottom '[m']]], "")</f>
        <v/>
      </c>
      <c r="AV152" s="53" t="str">
        <f>IFERROR(TP_DATA[[#This Row],[Top '[m']]]-TP_DATA[[#This Row],[Bottom '[m']]], "")</f>
        <v/>
      </c>
      <c r="CB152" s="114">
        <v>41</v>
      </c>
      <c r="CC152" s="115">
        <v>82.84</v>
      </c>
      <c r="CD152" s="115">
        <v>82.56</v>
      </c>
      <c r="CE152" s="115">
        <v>6.6619999999999999</v>
      </c>
      <c r="CF152" s="115">
        <v>6.6689999999999996</v>
      </c>
      <c r="CG152" s="116">
        <v>31.2</v>
      </c>
      <c r="CH152" s="122">
        <f>IFERROR(TOWER_DATA[[#This Row],[Top '[m']]]-TOWER_DATA[[#This Row],[Bottom '[m']]], "")</f>
        <v>0.28000000000000114</v>
      </c>
      <c r="CM152" s="138"/>
      <c r="CN152" s="138"/>
      <c r="CO152" s="138"/>
      <c r="CP152" s="138"/>
      <c r="CQ152" s="51"/>
      <c r="CR152" s="51"/>
      <c r="CS152" s="51"/>
      <c r="CT152" s="51"/>
      <c r="CU152" s="112"/>
    </row>
    <row r="153" spans="11:99" ht="18" customHeight="1" x14ac:dyDescent="0.3">
      <c r="K153" s="53" t="str">
        <f>IFERROR(MP_DATA[[#This Row],[Top '[m']]]-MP_DATA[[#This Row],[Bottom '[m']]], "")</f>
        <v/>
      </c>
      <c r="AV153" s="53" t="str">
        <f>IFERROR(TP_DATA[[#This Row],[Top '[m']]]-TP_DATA[[#This Row],[Bottom '[m']]], "")</f>
        <v/>
      </c>
      <c r="CB153" s="114">
        <v>42</v>
      </c>
      <c r="CC153" s="115">
        <v>82.56</v>
      </c>
      <c r="CD153" s="115">
        <v>80.900000000000006</v>
      </c>
      <c r="CE153" s="115">
        <v>6.6689999999999996</v>
      </c>
      <c r="CF153" s="115">
        <v>6.7060000000000004</v>
      </c>
      <c r="CG153" s="116">
        <v>31.2</v>
      </c>
      <c r="CH153" s="122">
        <f>IFERROR(TOWER_DATA[[#This Row],[Top '[m']]]-TOWER_DATA[[#This Row],[Bottom '[m']]], "")</f>
        <v>1.6599999999999966</v>
      </c>
      <c r="CM153" s="138"/>
      <c r="CN153" s="138"/>
      <c r="CO153" s="138"/>
      <c r="CP153" s="138"/>
      <c r="CQ153" s="51"/>
      <c r="CR153" s="51"/>
      <c r="CS153" s="51"/>
      <c r="CT153" s="51"/>
      <c r="CU153" s="112"/>
    </row>
    <row r="154" spans="11:99" ht="18" customHeight="1" x14ac:dyDescent="0.3">
      <c r="K154" s="53" t="str">
        <f>IFERROR(MP_DATA[[#This Row],[Top '[m']]]-MP_DATA[[#This Row],[Bottom '[m']]], "")</f>
        <v/>
      </c>
      <c r="AV154" s="53" t="str">
        <f>IFERROR(TP_DATA[[#This Row],[Top '[m']]]-TP_DATA[[#This Row],[Bottom '[m']]], "")</f>
        <v/>
      </c>
      <c r="CB154" s="114">
        <v>43</v>
      </c>
      <c r="CC154" s="115">
        <v>80.900000000000006</v>
      </c>
      <c r="CD154" s="115">
        <v>80.118000000000009</v>
      </c>
      <c r="CE154" s="115">
        <v>6.7060000000000004</v>
      </c>
      <c r="CF154" s="115">
        <v>6.7240000000000002</v>
      </c>
      <c r="CG154" s="116">
        <v>31.2</v>
      </c>
      <c r="CH154" s="122">
        <f>IFERROR(TOWER_DATA[[#This Row],[Top '[m']]]-TOWER_DATA[[#This Row],[Bottom '[m']]], "")</f>
        <v>0.78199999999999648</v>
      </c>
      <c r="CM154" s="138"/>
      <c r="CN154" s="138"/>
      <c r="CO154" s="138"/>
      <c r="CP154" s="138"/>
      <c r="CQ154" s="51"/>
      <c r="CR154" s="51"/>
      <c r="CS154" s="51"/>
      <c r="CT154" s="51"/>
      <c r="CU154" s="112"/>
    </row>
    <row r="155" spans="11:99" ht="18" customHeight="1" x14ac:dyDescent="0.3">
      <c r="K155" s="53" t="str">
        <f>IFERROR(MP_DATA[[#This Row],[Top '[m']]]-MP_DATA[[#This Row],[Bottom '[m']]], "")</f>
        <v/>
      </c>
      <c r="AV155" s="53" t="str">
        <f>IFERROR(TP_DATA[[#This Row],[Top '[m']]]-TP_DATA[[#This Row],[Bottom '[m']]], "")</f>
        <v/>
      </c>
      <c r="CB155" s="114">
        <v>44</v>
      </c>
      <c r="CC155" s="115">
        <v>80.118000000000009</v>
      </c>
      <c r="CD155" s="115">
        <v>78.45</v>
      </c>
      <c r="CE155" s="115">
        <v>6.7240000000000002</v>
      </c>
      <c r="CF155" s="115">
        <v>6.7619999999999996</v>
      </c>
      <c r="CG155" s="116">
        <v>31.7</v>
      </c>
      <c r="CH155" s="122">
        <f>IFERROR(TOWER_DATA[[#This Row],[Top '[m']]]-TOWER_DATA[[#This Row],[Bottom '[m']]], "")</f>
        <v>1.6680000000000064</v>
      </c>
      <c r="CM155" s="138"/>
      <c r="CN155" s="138"/>
      <c r="CO155" s="138"/>
      <c r="CP155" s="138"/>
      <c r="CQ155" s="51"/>
      <c r="CR155" s="51"/>
      <c r="CS155" s="51"/>
      <c r="CT155" s="51"/>
      <c r="CU155" s="112"/>
    </row>
    <row r="156" spans="11:99" ht="18" customHeight="1" x14ac:dyDescent="0.3">
      <c r="K156" s="53" t="str">
        <f>IFERROR(MP_DATA[[#This Row],[Top '[m']]]-MP_DATA[[#This Row],[Bottom '[m']]], "")</f>
        <v/>
      </c>
      <c r="AV156" s="53" t="str">
        <f>IFERROR(TP_DATA[[#This Row],[Top '[m']]]-TP_DATA[[#This Row],[Bottom '[m']]], "")</f>
        <v/>
      </c>
      <c r="CB156" s="114">
        <v>45</v>
      </c>
      <c r="CC156" s="115">
        <v>78.45</v>
      </c>
      <c r="CD156" s="115">
        <v>77.396000000000001</v>
      </c>
      <c r="CE156" s="115">
        <v>6.7619999999999996</v>
      </c>
      <c r="CF156" s="115">
        <v>6.7859999999999996</v>
      </c>
      <c r="CG156" s="116">
        <v>31.7</v>
      </c>
      <c r="CH156" s="122">
        <f>IFERROR(TOWER_DATA[[#This Row],[Top '[m']]]-TOWER_DATA[[#This Row],[Bottom '[m']]], "")</f>
        <v>1.054000000000002</v>
      </c>
      <c r="CM156" s="138"/>
      <c r="CN156" s="138"/>
      <c r="CO156" s="138"/>
      <c r="CP156" s="138"/>
      <c r="CQ156" s="51"/>
      <c r="CR156" s="51"/>
      <c r="CS156" s="51"/>
      <c r="CT156" s="51"/>
      <c r="CU156" s="112"/>
    </row>
    <row r="157" spans="11:99" ht="18" customHeight="1" x14ac:dyDescent="0.3">
      <c r="K157" s="53" t="str">
        <f>IFERROR(MP_DATA[[#This Row],[Top '[m']]]-MP_DATA[[#This Row],[Bottom '[m']]], "")</f>
        <v/>
      </c>
      <c r="AV157" s="53" t="str">
        <f>IFERROR(TP_DATA[[#This Row],[Top '[m']]]-TP_DATA[[#This Row],[Bottom '[m']]], "")</f>
        <v/>
      </c>
      <c r="CB157" s="114">
        <v>46</v>
      </c>
      <c r="CC157" s="115">
        <v>77.396000000000001</v>
      </c>
      <c r="CD157" s="115">
        <v>74.674000000000007</v>
      </c>
      <c r="CE157" s="115">
        <v>6.7859999999999996</v>
      </c>
      <c r="CF157" s="115">
        <v>6.8479999999999999</v>
      </c>
      <c r="CG157" s="116">
        <v>32.200000000000003</v>
      </c>
      <c r="CH157" s="122">
        <f>IFERROR(TOWER_DATA[[#This Row],[Top '[m']]]-TOWER_DATA[[#This Row],[Bottom '[m']]], "")</f>
        <v>2.7219999999999942</v>
      </c>
      <c r="CM157" s="138"/>
      <c r="CN157" s="138"/>
      <c r="CO157" s="138"/>
      <c r="CP157" s="138"/>
      <c r="CQ157" s="51"/>
      <c r="CR157" s="51"/>
      <c r="CS157" s="51"/>
      <c r="CT157" s="51"/>
      <c r="CU157" s="112"/>
    </row>
    <row r="158" spans="11:99" ht="18" customHeight="1" x14ac:dyDescent="0.3">
      <c r="K158" s="53" t="str">
        <f>IFERROR(MP_DATA[[#This Row],[Top '[m']]]-MP_DATA[[#This Row],[Bottom '[m']]], "")</f>
        <v/>
      </c>
      <c r="AV158" s="53" t="str">
        <f>IFERROR(TP_DATA[[#This Row],[Top '[m']]]-TP_DATA[[#This Row],[Bottom '[m']]], "")</f>
        <v/>
      </c>
      <c r="CB158" s="114">
        <v>47</v>
      </c>
      <c r="CC158" s="115">
        <v>74.674000000000007</v>
      </c>
      <c r="CD158" s="115">
        <v>71.951999999999998</v>
      </c>
      <c r="CE158" s="115">
        <v>6.8479999999999999</v>
      </c>
      <c r="CF158" s="115">
        <v>6.9109999999999996</v>
      </c>
      <c r="CG158" s="116">
        <v>32.5</v>
      </c>
      <c r="CH158" s="122">
        <f>IFERROR(TOWER_DATA[[#This Row],[Top '[m']]]-TOWER_DATA[[#This Row],[Bottom '[m']]], "")</f>
        <v>2.7220000000000084</v>
      </c>
      <c r="CM158" s="138"/>
      <c r="CN158" s="138"/>
      <c r="CO158" s="138"/>
      <c r="CP158" s="138"/>
      <c r="CQ158" s="51"/>
      <c r="CR158" s="51"/>
      <c r="CS158" s="51"/>
      <c r="CT158" s="51"/>
      <c r="CU158" s="112"/>
    </row>
    <row r="159" spans="11:99" ht="18" customHeight="1" x14ac:dyDescent="0.3">
      <c r="K159" s="53" t="str">
        <f>IFERROR(MP_DATA[[#This Row],[Top '[m']]]-MP_DATA[[#This Row],[Bottom '[m']]], "")</f>
        <v/>
      </c>
      <c r="AV159" s="53" t="str">
        <f>IFERROR(TP_DATA[[#This Row],[Top '[m']]]-TP_DATA[[#This Row],[Bottom '[m']]], "")</f>
        <v/>
      </c>
      <c r="CB159" s="114">
        <v>48</v>
      </c>
      <c r="CC159" s="115">
        <v>71.951999999999998</v>
      </c>
      <c r="CD159" s="115">
        <v>70.900000000000006</v>
      </c>
      <c r="CE159" s="115">
        <v>6.9109999999999996</v>
      </c>
      <c r="CF159" s="115">
        <v>6.9340000000000002</v>
      </c>
      <c r="CG159" s="116">
        <v>33.5</v>
      </c>
      <c r="CH159" s="122">
        <f>IFERROR(TOWER_DATA[[#This Row],[Top '[m']]]-TOWER_DATA[[#This Row],[Bottom '[m']]], "")</f>
        <v>1.0519999999999925</v>
      </c>
      <c r="CM159" s="138"/>
      <c r="CN159" s="138"/>
      <c r="CO159" s="138"/>
      <c r="CP159" s="138"/>
      <c r="CQ159" s="51"/>
      <c r="CR159" s="51"/>
      <c r="CS159" s="51"/>
      <c r="CT159" s="51"/>
      <c r="CU159" s="112"/>
    </row>
    <row r="160" spans="11:99" ht="18" customHeight="1" x14ac:dyDescent="0.3">
      <c r="K160" s="53" t="str">
        <f>IFERROR(MP_DATA[[#This Row],[Top '[m']]]-MP_DATA[[#This Row],[Bottom '[m']]], "")</f>
        <v/>
      </c>
      <c r="AV160" s="53" t="str">
        <f>IFERROR(TP_DATA[[#This Row],[Top '[m']]]-TP_DATA[[#This Row],[Bottom '[m']]], "")</f>
        <v/>
      </c>
      <c r="CB160" s="114">
        <v>49</v>
      </c>
      <c r="CC160" s="115">
        <v>70.900000000000006</v>
      </c>
      <c r="CD160" s="115">
        <v>69.225000000000009</v>
      </c>
      <c r="CE160" s="115">
        <v>6.9340000000000002</v>
      </c>
      <c r="CF160" s="115">
        <v>6.9720000000000004</v>
      </c>
      <c r="CG160" s="116">
        <v>33.5</v>
      </c>
      <c r="CH160" s="122">
        <f>IFERROR(TOWER_DATA[[#This Row],[Top '[m']]]-TOWER_DATA[[#This Row],[Bottom '[m']]], "")</f>
        <v>1.6749999999999972</v>
      </c>
      <c r="CM160" s="138"/>
      <c r="CN160" s="138"/>
      <c r="CO160" s="138"/>
      <c r="CP160" s="138"/>
      <c r="CQ160" s="51"/>
      <c r="CR160" s="51"/>
      <c r="CS160" s="51"/>
      <c r="CT160" s="51"/>
      <c r="CU160" s="112"/>
    </row>
    <row r="161" spans="11:99" ht="18" customHeight="1" x14ac:dyDescent="0.3">
      <c r="K161" s="53" t="str">
        <f>IFERROR(MP_DATA[[#This Row],[Top '[m']]]-MP_DATA[[#This Row],[Bottom '[m']]], "")</f>
        <v/>
      </c>
      <c r="AV161" s="53" t="str">
        <f>IFERROR(TP_DATA[[#This Row],[Top '[m']]]-TP_DATA[[#This Row],[Bottom '[m']]], "")</f>
        <v/>
      </c>
      <c r="CB161" s="114">
        <v>50</v>
      </c>
      <c r="CC161" s="115">
        <v>69.225000000000009</v>
      </c>
      <c r="CD161" s="115">
        <v>66.490000000000009</v>
      </c>
      <c r="CE161" s="115">
        <v>6.9720000000000004</v>
      </c>
      <c r="CF161" s="115">
        <v>7.0380000000000003</v>
      </c>
      <c r="CG161" s="116">
        <v>34</v>
      </c>
      <c r="CH161" s="122">
        <f>IFERROR(TOWER_DATA[[#This Row],[Top '[m']]]-TOWER_DATA[[#This Row],[Bottom '[m']]], "")</f>
        <v>2.7349999999999994</v>
      </c>
      <c r="CM161" s="138"/>
      <c r="CN161" s="138"/>
      <c r="CO161" s="138"/>
      <c r="CP161" s="138"/>
      <c r="CQ161" s="51"/>
      <c r="CR161" s="51"/>
      <c r="CS161" s="51"/>
      <c r="CT161" s="51"/>
      <c r="CU161" s="112"/>
    </row>
    <row r="162" spans="11:99" ht="18" customHeight="1" x14ac:dyDescent="0.3">
      <c r="K162" s="53" t="str">
        <f>IFERROR(MP_DATA[[#This Row],[Top '[m']]]-MP_DATA[[#This Row],[Bottom '[m']]], "")</f>
        <v/>
      </c>
      <c r="AV162" s="53" t="str">
        <f>IFERROR(TP_DATA[[#This Row],[Top '[m']]]-TP_DATA[[#This Row],[Bottom '[m']]], "")</f>
        <v/>
      </c>
      <c r="CB162" s="114">
        <v>51</v>
      </c>
      <c r="CC162" s="115">
        <v>66.490000000000009</v>
      </c>
      <c r="CD162" s="115">
        <v>66.445000000000007</v>
      </c>
      <c r="CE162" s="115">
        <v>7.0380000000000003</v>
      </c>
      <c r="CF162" s="115">
        <v>7.0380000000000003</v>
      </c>
      <c r="CG162" s="116">
        <v>38</v>
      </c>
      <c r="CH162" s="122">
        <f>IFERROR(TOWER_DATA[[#This Row],[Top '[m']]]-TOWER_DATA[[#This Row],[Bottom '[m']]], "")</f>
        <v>4.5000000000001705E-2</v>
      </c>
      <c r="CM162" s="138"/>
      <c r="CN162" s="138"/>
      <c r="CO162" s="138"/>
      <c r="CP162" s="138"/>
      <c r="CQ162" s="51"/>
      <c r="CR162" s="51"/>
      <c r="CS162" s="51"/>
      <c r="CT162" s="51"/>
      <c r="CU162" s="112"/>
    </row>
    <row r="163" spans="11:99" ht="18" customHeight="1" x14ac:dyDescent="0.3">
      <c r="K163" s="53" t="str">
        <f>IFERROR(MP_DATA[[#This Row],[Top '[m']]]-MP_DATA[[#This Row],[Bottom '[m']]], "")</f>
        <v/>
      </c>
      <c r="AV163" s="53" t="str">
        <f>IFERROR(TP_DATA[[#This Row],[Top '[m']]]-TP_DATA[[#This Row],[Bottom '[m']]], "")</f>
        <v/>
      </c>
      <c r="CB163" s="114">
        <v>52</v>
      </c>
      <c r="CC163" s="115">
        <v>66.445000000000007</v>
      </c>
      <c r="CD163" s="115">
        <v>66.260000000000005</v>
      </c>
      <c r="CE163" s="115">
        <v>7.0380000000000003</v>
      </c>
      <c r="CF163" s="115">
        <v>7.0380000000000003</v>
      </c>
      <c r="CG163" s="116">
        <v>38</v>
      </c>
      <c r="CH163" s="122">
        <f>IFERROR(TOWER_DATA[[#This Row],[Top '[m']]]-TOWER_DATA[[#This Row],[Bottom '[m']]], "")</f>
        <v>0.18500000000000227</v>
      </c>
      <c r="CM163" s="138"/>
      <c r="CN163" s="138"/>
      <c r="CO163" s="138"/>
      <c r="CP163" s="138"/>
      <c r="CQ163" s="51"/>
      <c r="CR163" s="51"/>
      <c r="CS163" s="51"/>
      <c r="CT163" s="51"/>
      <c r="CU163" s="112"/>
    </row>
    <row r="164" spans="11:99" ht="18" customHeight="1" x14ac:dyDescent="0.3">
      <c r="K164" s="53" t="str">
        <f>IFERROR(MP_DATA[[#This Row],[Top '[m']]]-MP_DATA[[#This Row],[Bottom '[m']]], "")</f>
        <v/>
      </c>
      <c r="AV164" s="53" t="str">
        <f>IFERROR(TP_DATA[[#This Row],[Top '[m']]]-TP_DATA[[#This Row],[Bottom '[m']]], "")</f>
        <v/>
      </c>
      <c r="CB164" s="114">
        <v>53</v>
      </c>
      <c r="CC164" s="115">
        <v>66.260000000000005</v>
      </c>
      <c r="CD164" s="115">
        <v>66.075000000000003</v>
      </c>
      <c r="CE164" s="115">
        <v>7.0380000000000003</v>
      </c>
      <c r="CF164" s="115">
        <v>7.0380000000000003</v>
      </c>
      <c r="CG164" s="116">
        <v>38</v>
      </c>
      <c r="CH164" s="122">
        <f>IFERROR(TOWER_DATA[[#This Row],[Top '[m']]]-TOWER_DATA[[#This Row],[Bottom '[m']]], "")</f>
        <v>0.18500000000000227</v>
      </c>
      <c r="CM164" s="138"/>
      <c r="CN164" s="138"/>
      <c r="CO164" s="138"/>
      <c r="CP164" s="138"/>
      <c r="CQ164" s="51"/>
      <c r="CR164" s="51"/>
      <c r="CS164" s="51"/>
      <c r="CT164" s="51"/>
      <c r="CU164" s="112"/>
    </row>
    <row r="165" spans="11:99" ht="18" customHeight="1" x14ac:dyDescent="0.3">
      <c r="K165" s="53" t="str">
        <f>IFERROR(MP_DATA[[#This Row],[Top '[m']]]-MP_DATA[[#This Row],[Bottom '[m']]], "")</f>
        <v/>
      </c>
      <c r="AV165" s="53" t="str">
        <f>IFERROR(TP_DATA[[#This Row],[Top '[m']]]-TP_DATA[[#This Row],[Bottom '[m']]], "")</f>
        <v/>
      </c>
      <c r="CB165" s="114">
        <v>54</v>
      </c>
      <c r="CC165" s="115">
        <v>66.075000000000003</v>
      </c>
      <c r="CD165" s="115">
        <v>66.03</v>
      </c>
      <c r="CE165" s="115">
        <v>7.0380000000000003</v>
      </c>
      <c r="CF165" s="115">
        <v>7.032</v>
      </c>
      <c r="CG165" s="116">
        <v>38</v>
      </c>
      <c r="CH165" s="122">
        <f>IFERROR(TOWER_DATA[[#This Row],[Top '[m']]]-TOWER_DATA[[#This Row],[Bottom '[m']]], "")</f>
        <v>4.5000000000001705E-2</v>
      </c>
      <c r="CM165" s="138"/>
      <c r="CN165" s="138"/>
      <c r="CO165" s="138"/>
      <c r="CP165" s="138"/>
      <c r="CQ165" s="51"/>
      <c r="CR165" s="51"/>
      <c r="CS165" s="51"/>
      <c r="CT165" s="51"/>
      <c r="CU165" s="112"/>
    </row>
    <row r="166" spans="11:99" ht="18" customHeight="1" x14ac:dyDescent="0.3">
      <c r="K166" s="53" t="str">
        <f>IFERROR(MP_DATA[[#This Row],[Top '[m']]]-MP_DATA[[#This Row],[Bottom '[m']]], "")</f>
        <v/>
      </c>
      <c r="AV166" s="53" t="str">
        <f>IFERROR(TP_DATA[[#This Row],[Top '[m']]]-TP_DATA[[#This Row],[Bottom '[m']]], "")</f>
        <v/>
      </c>
      <c r="CB166" s="114">
        <v>55</v>
      </c>
      <c r="CC166" s="115">
        <v>66.03</v>
      </c>
      <c r="CD166" s="115">
        <v>63.308000000000007</v>
      </c>
      <c r="CE166" s="115">
        <v>7.032</v>
      </c>
      <c r="CF166" s="115">
        <v>7.0759999999999996</v>
      </c>
      <c r="CG166" s="116">
        <v>32</v>
      </c>
      <c r="CH166" s="122">
        <f>IFERROR(TOWER_DATA[[#This Row],[Top '[m']]]-TOWER_DATA[[#This Row],[Bottom '[m']]], "")</f>
        <v>2.7219999999999942</v>
      </c>
      <c r="CM166" s="138"/>
      <c r="CN166" s="138"/>
      <c r="CO166" s="138"/>
      <c r="CP166" s="138"/>
      <c r="CQ166" s="51"/>
      <c r="CR166" s="51"/>
      <c r="CS166" s="51"/>
      <c r="CT166" s="51"/>
      <c r="CU166" s="112"/>
    </row>
    <row r="167" spans="11:99" ht="18" customHeight="1" x14ac:dyDescent="0.3">
      <c r="K167" s="53" t="str">
        <f>IFERROR(MP_DATA[[#This Row],[Top '[m']]]-MP_DATA[[#This Row],[Bottom '[m']]], "")</f>
        <v/>
      </c>
      <c r="AV167" s="53" t="str">
        <f>IFERROR(TP_DATA[[#This Row],[Top '[m']]]-TP_DATA[[#This Row],[Bottom '[m']]], "")</f>
        <v/>
      </c>
      <c r="CB167" s="114">
        <v>56</v>
      </c>
      <c r="CC167" s="115">
        <v>63.308000000000007</v>
      </c>
      <c r="CD167" s="115">
        <v>62.007000000000005</v>
      </c>
      <c r="CE167" s="115">
        <v>7.0759999999999996</v>
      </c>
      <c r="CF167" s="115">
        <v>7.0970000000000004</v>
      </c>
      <c r="CG167" s="116">
        <v>33</v>
      </c>
      <c r="CH167" s="122">
        <f>IFERROR(TOWER_DATA[[#This Row],[Top '[m']]]-TOWER_DATA[[#This Row],[Bottom '[m']]], "")</f>
        <v>1.3010000000000019</v>
      </c>
      <c r="CM167" s="138"/>
      <c r="CN167" s="138"/>
      <c r="CO167" s="138"/>
      <c r="CP167" s="138"/>
      <c r="CQ167" s="51"/>
      <c r="CR167" s="51"/>
      <c r="CS167" s="51"/>
      <c r="CT167" s="51"/>
      <c r="CU167" s="112"/>
    </row>
    <row r="168" spans="11:99" ht="18" customHeight="1" x14ac:dyDescent="0.3">
      <c r="K168" s="53" t="str">
        <f>IFERROR(MP_DATA[[#This Row],[Top '[m']]]-MP_DATA[[#This Row],[Bottom '[m']]], "")</f>
        <v/>
      </c>
      <c r="AV168" s="53" t="str">
        <f>IFERROR(TP_DATA[[#This Row],[Top '[m']]]-TP_DATA[[#This Row],[Bottom '[m']]], "")</f>
        <v/>
      </c>
      <c r="CB168" s="114">
        <v>57</v>
      </c>
      <c r="CC168" s="115">
        <v>62.007000000000005</v>
      </c>
      <c r="CD168" s="115">
        <v>60.900000000000006</v>
      </c>
      <c r="CE168" s="115">
        <v>7.0970000000000004</v>
      </c>
      <c r="CF168" s="115">
        <v>7.1139999999999999</v>
      </c>
      <c r="CG168" s="116">
        <v>33</v>
      </c>
      <c r="CH168" s="122">
        <f>IFERROR(TOWER_DATA[[#This Row],[Top '[m']]]-TOWER_DATA[[#This Row],[Bottom '[m']]], "")</f>
        <v>1.1069999999999993</v>
      </c>
      <c r="CM168" s="138"/>
      <c r="CN168" s="138"/>
      <c r="CO168" s="138"/>
      <c r="CP168" s="138"/>
      <c r="CQ168" s="51"/>
      <c r="CR168" s="51"/>
      <c r="CS168" s="51"/>
      <c r="CT168" s="51"/>
      <c r="CU168" s="112"/>
    </row>
    <row r="169" spans="11:99" ht="18" customHeight="1" x14ac:dyDescent="0.3">
      <c r="K169" s="53" t="str">
        <f>IFERROR(MP_DATA[[#This Row],[Top '[m']]]-MP_DATA[[#This Row],[Bottom '[m']]], "")</f>
        <v/>
      </c>
      <c r="AV169" s="53" t="str">
        <f>IFERROR(TP_DATA[[#This Row],[Top '[m']]]-TP_DATA[[#This Row],[Bottom '[m']]], "")</f>
        <v/>
      </c>
      <c r="CB169" s="114">
        <v>58</v>
      </c>
      <c r="CC169" s="115">
        <v>60.900000000000006</v>
      </c>
      <c r="CD169" s="115">
        <v>60.59</v>
      </c>
      <c r="CE169" s="115">
        <v>7.1139999999999999</v>
      </c>
      <c r="CF169" s="115">
        <v>7.1189999999999998</v>
      </c>
      <c r="CG169" s="116">
        <v>33</v>
      </c>
      <c r="CH169" s="122">
        <f>IFERROR(TOWER_DATA[[#This Row],[Top '[m']]]-TOWER_DATA[[#This Row],[Bottom '[m']]], "")</f>
        <v>0.31000000000000227</v>
      </c>
      <c r="CM169" s="138"/>
      <c r="CN169" s="138"/>
      <c r="CO169" s="138"/>
      <c r="CP169" s="138"/>
      <c r="CQ169" s="51"/>
      <c r="CR169" s="51"/>
      <c r="CS169" s="51"/>
      <c r="CT169" s="51"/>
      <c r="CU169" s="112"/>
    </row>
    <row r="170" spans="11:99" ht="18" customHeight="1" x14ac:dyDescent="0.3">
      <c r="K170" s="53" t="str">
        <f>IFERROR(MP_DATA[[#This Row],[Top '[m']]]-MP_DATA[[#This Row],[Bottom '[m']]], "")</f>
        <v/>
      </c>
      <c r="AV170" s="53" t="str">
        <f>IFERROR(TP_DATA[[#This Row],[Top '[m']]]-TP_DATA[[#This Row],[Bottom '[m']]], "")</f>
        <v/>
      </c>
      <c r="CB170" s="114">
        <v>59</v>
      </c>
      <c r="CC170" s="115">
        <v>60.59</v>
      </c>
      <c r="CD170" s="115">
        <v>57.896000000000001</v>
      </c>
      <c r="CE170" s="115">
        <v>7.1189999999999998</v>
      </c>
      <c r="CF170" s="115">
        <v>7.1619999999999999</v>
      </c>
      <c r="CG170" s="116">
        <v>33</v>
      </c>
      <c r="CH170" s="122">
        <f>IFERROR(TOWER_DATA[[#This Row],[Top '[m']]]-TOWER_DATA[[#This Row],[Bottom '[m']]], "")</f>
        <v>2.6940000000000026</v>
      </c>
      <c r="CM170" s="138"/>
      <c r="CN170" s="138"/>
      <c r="CO170" s="138"/>
      <c r="CP170" s="138"/>
      <c r="CQ170" s="51"/>
      <c r="CR170" s="51"/>
      <c r="CS170" s="51"/>
      <c r="CT170" s="51"/>
      <c r="CU170" s="112"/>
    </row>
    <row r="171" spans="11:99" ht="18" customHeight="1" x14ac:dyDescent="0.3">
      <c r="K171" s="53" t="str">
        <f>IFERROR(MP_DATA[[#This Row],[Top '[m']]]-MP_DATA[[#This Row],[Bottom '[m']]], "")</f>
        <v/>
      </c>
      <c r="AV171" s="53" t="str">
        <f>IFERROR(TP_DATA[[#This Row],[Top '[m']]]-TP_DATA[[#This Row],[Bottom '[m']]], "")</f>
        <v/>
      </c>
      <c r="CB171" s="114">
        <v>60</v>
      </c>
      <c r="CC171" s="115">
        <v>57.896000000000001</v>
      </c>
      <c r="CD171" s="115">
        <v>57.872</v>
      </c>
      <c r="CE171" s="115">
        <v>7.1619999999999999</v>
      </c>
      <c r="CF171" s="115">
        <v>7.1630000000000003</v>
      </c>
      <c r="CG171" s="116">
        <v>33</v>
      </c>
      <c r="CH171" s="122">
        <f>IFERROR(TOWER_DATA[[#This Row],[Top '[m']]]-TOWER_DATA[[#This Row],[Bottom '[m']]], "")</f>
        <v>2.4000000000000909E-2</v>
      </c>
      <c r="CM171" s="138"/>
      <c r="CN171" s="138"/>
      <c r="CO171" s="138"/>
      <c r="CP171" s="138"/>
      <c r="CQ171" s="51"/>
      <c r="CR171" s="51"/>
      <c r="CS171" s="51"/>
      <c r="CT171" s="51"/>
      <c r="CU171" s="112"/>
    </row>
    <row r="172" spans="11:99" ht="18" customHeight="1" x14ac:dyDescent="0.3">
      <c r="K172" s="53" t="str">
        <f>IFERROR(MP_DATA[[#This Row],[Top '[m']]]-MP_DATA[[#This Row],[Bottom '[m']]], "")</f>
        <v/>
      </c>
      <c r="AV172" s="53" t="str">
        <f>IFERROR(TP_DATA[[#This Row],[Top '[m']]]-TP_DATA[[#This Row],[Bottom '[m']]], "")</f>
        <v/>
      </c>
      <c r="CB172" s="114">
        <v>61</v>
      </c>
      <c r="CC172" s="115">
        <v>57.872</v>
      </c>
      <c r="CD172" s="115">
        <v>55.153999999999996</v>
      </c>
      <c r="CE172" s="115">
        <v>7.1630000000000003</v>
      </c>
      <c r="CF172" s="115">
        <v>7.21</v>
      </c>
      <c r="CG172" s="116">
        <v>34</v>
      </c>
      <c r="CH172" s="122">
        <f>IFERROR(TOWER_DATA[[#This Row],[Top '[m']]]-TOWER_DATA[[#This Row],[Bottom '[m']]], "")</f>
        <v>2.7180000000000035</v>
      </c>
      <c r="CM172" s="138"/>
      <c r="CN172" s="138"/>
      <c r="CO172" s="138"/>
      <c r="CP172" s="138"/>
      <c r="CQ172" s="51"/>
      <c r="CR172" s="51"/>
      <c r="CS172" s="51"/>
      <c r="CT172" s="51"/>
      <c r="CU172" s="112"/>
    </row>
    <row r="173" spans="11:99" ht="18" customHeight="1" x14ac:dyDescent="0.3">
      <c r="K173" s="53" t="str">
        <f>IFERROR(MP_DATA[[#This Row],[Top '[m']]]-MP_DATA[[#This Row],[Bottom '[m']]], "")</f>
        <v/>
      </c>
      <c r="AV173" s="53" t="str">
        <f>IFERROR(TP_DATA[[#This Row],[Top '[m']]]-TP_DATA[[#This Row],[Bottom '[m']]], "")</f>
        <v/>
      </c>
      <c r="CB173" s="114">
        <v>62</v>
      </c>
      <c r="CC173" s="115">
        <v>55.153999999999996</v>
      </c>
      <c r="CD173" s="115">
        <v>53.786000000000001</v>
      </c>
      <c r="CE173" s="115">
        <v>7.21</v>
      </c>
      <c r="CF173" s="115">
        <v>7.2309999999999999</v>
      </c>
      <c r="CG173" s="116">
        <v>38.199999999999996</v>
      </c>
      <c r="CH173" s="122">
        <f>IFERROR(TOWER_DATA[[#This Row],[Top '[m']]]-TOWER_DATA[[#This Row],[Bottom '[m']]], "")</f>
        <v>1.367999999999995</v>
      </c>
      <c r="CM173" s="138"/>
      <c r="CN173" s="138"/>
      <c r="CO173" s="138"/>
      <c r="CP173" s="138"/>
      <c r="CQ173" s="51"/>
      <c r="CR173" s="51"/>
      <c r="CS173" s="51"/>
      <c r="CT173" s="51"/>
      <c r="CU173" s="112"/>
    </row>
    <row r="174" spans="11:99" ht="18" customHeight="1" x14ac:dyDescent="0.3">
      <c r="K174" s="53" t="str">
        <f>IFERROR(MP_DATA[[#This Row],[Top '[m']]]-MP_DATA[[#This Row],[Bottom '[m']]], "")</f>
        <v/>
      </c>
      <c r="AV174" s="53" t="str">
        <f>IFERROR(TP_DATA[[#This Row],[Top '[m']]]-TP_DATA[[#This Row],[Bottom '[m']]], "")</f>
        <v/>
      </c>
      <c r="CB174" s="114">
        <v>63</v>
      </c>
      <c r="CC174" s="115">
        <v>53.786000000000001</v>
      </c>
      <c r="CD174" s="115">
        <v>52.436000000000007</v>
      </c>
      <c r="CE174" s="115">
        <v>7.2309999999999999</v>
      </c>
      <c r="CF174" s="115">
        <v>7.2519999999999998</v>
      </c>
      <c r="CG174" s="116">
        <v>38.199999999999996</v>
      </c>
      <c r="CH174" s="122">
        <f>IFERROR(TOWER_DATA[[#This Row],[Top '[m']]]-TOWER_DATA[[#This Row],[Bottom '[m']]], "")</f>
        <v>1.3499999999999943</v>
      </c>
      <c r="CM174" s="138"/>
      <c r="CN174" s="138"/>
      <c r="CO174" s="138"/>
      <c r="CP174" s="138"/>
      <c r="CQ174" s="51"/>
      <c r="CR174" s="51"/>
      <c r="CS174" s="51"/>
      <c r="CT174" s="51"/>
      <c r="CU174" s="112"/>
    </row>
    <row r="175" spans="11:99" ht="18" customHeight="1" x14ac:dyDescent="0.3">
      <c r="K175" s="53" t="str">
        <f>IFERROR(MP_DATA[[#This Row],[Top '[m']]]-MP_DATA[[#This Row],[Bottom '[m']]], "")</f>
        <v/>
      </c>
      <c r="AV175" s="53" t="str">
        <f>IFERROR(TP_DATA[[#This Row],[Top '[m']]]-TP_DATA[[#This Row],[Bottom '[m']]], "")</f>
        <v/>
      </c>
      <c r="CB175" s="114">
        <v>64</v>
      </c>
      <c r="CC175" s="115">
        <v>52.436000000000007</v>
      </c>
      <c r="CD175" s="115">
        <v>50.900000000000006</v>
      </c>
      <c r="CE175" s="115">
        <v>7.2519999999999998</v>
      </c>
      <c r="CF175" s="115">
        <v>7.2770000000000001</v>
      </c>
      <c r="CG175" s="116">
        <v>38.199999999999996</v>
      </c>
      <c r="CH175" s="122">
        <f>IFERROR(TOWER_DATA[[#This Row],[Top '[m']]]-TOWER_DATA[[#This Row],[Bottom '[m']]], "")</f>
        <v>1.5360000000000014</v>
      </c>
      <c r="CM175" s="138"/>
      <c r="CN175" s="138"/>
      <c r="CO175" s="138"/>
      <c r="CP175" s="138"/>
      <c r="CQ175" s="51"/>
      <c r="CR175" s="51"/>
      <c r="CS175" s="51"/>
      <c r="CT175" s="51"/>
      <c r="CU175" s="112"/>
    </row>
    <row r="176" spans="11:99" ht="18" customHeight="1" x14ac:dyDescent="0.3">
      <c r="K176" s="53" t="str">
        <f>IFERROR(MP_DATA[[#This Row],[Top '[m']]]-MP_DATA[[#This Row],[Bottom '[m']]], "")</f>
        <v/>
      </c>
      <c r="AV176" s="53" t="str">
        <f>IFERROR(TP_DATA[[#This Row],[Top '[m']]]-TP_DATA[[#This Row],[Bottom '[m']]], "")</f>
        <v/>
      </c>
      <c r="CB176" s="114">
        <v>65</v>
      </c>
      <c r="CC176" s="115">
        <v>50.900000000000006</v>
      </c>
      <c r="CD176" s="115">
        <v>49.718000000000004</v>
      </c>
      <c r="CE176" s="115">
        <v>7.2770000000000001</v>
      </c>
      <c r="CF176" s="115">
        <v>7.2919999999999998</v>
      </c>
      <c r="CG176" s="116">
        <v>38.199999999999996</v>
      </c>
      <c r="CH176" s="122">
        <f>IFERROR(TOWER_DATA[[#This Row],[Top '[m']]]-TOWER_DATA[[#This Row],[Bottom '[m']]], "")</f>
        <v>1.1820000000000022</v>
      </c>
    </row>
    <row r="177" spans="11:86" ht="18" customHeight="1" x14ac:dyDescent="0.3">
      <c r="K177" s="53" t="str">
        <f>IFERROR(MP_DATA[[#This Row],[Top '[m']]]-MP_DATA[[#This Row],[Bottom '[m']]], "")</f>
        <v/>
      </c>
      <c r="AV177" s="53" t="str">
        <f>IFERROR(TP_DATA[[#This Row],[Top '[m']]]-TP_DATA[[#This Row],[Bottom '[m']]], "")</f>
        <v/>
      </c>
      <c r="CB177" s="114">
        <v>66</v>
      </c>
      <c r="CC177" s="115">
        <v>49.718000000000004</v>
      </c>
      <c r="CD177" s="115">
        <v>49.674999999999997</v>
      </c>
      <c r="CE177" s="115">
        <v>7.2919999999999998</v>
      </c>
      <c r="CF177" s="115">
        <v>7.2919999999999998</v>
      </c>
      <c r="CG177" s="116">
        <v>34.5</v>
      </c>
      <c r="CH177" s="122">
        <f>IFERROR(TOWER_DATA[[#This Row],[Top '[m']]]-TOWER_DATA[[#This Row],[Bottom '[m']]], "")</f>
        <v>4.3000000000006366E-2</v>
      </c>
    </row>
    <row r="178" spans="11:86" ht="18" customHeight="1" x14ac:dyDescent="0.3">
      <c r="K178" s="53" t="str">
        <f>IFERROR(MP_DATA[[#This Row],[Top '[m']]]-MP_DATA[[#This Row],[Bottom '[m']]], "")</f>
        <v/>
      </c>
      <c r="AV178" s="53" t="str">
        <f>IFERROR(TP_DATA[[#This Row],[Top '[m']]]-TP_DATA[[#This Row],[Bottom '[m']]], "")</f>
        <v/>
      </c>
      <c r="CB178" s="114">
        <v>67</v>
      </c>
      <c r="CC178" s="115">
        <v>49.674999999999997</v>
      </c>
      <c r="CD178" s="115">
        <v>47</v>
      </c>
      <c r="CE178" s="115">
        <v>7.2919999999999998</v>
      </c>
      <c r="CF178" s="115">
        <v>7.335</v>
      </c>
      <c r="CG178" s="116">
        <v>34.5</v>
      </c>
      <c r="CH178" s="122">
        <f>IFERROR(TOWER_DATA[[#This Row],[Top '[m']]]-TOWER_DATA[[#This Row],[Bottom '[m']]], "")</f>
        <v>2.6749999999999972</v>
      </c>
    </row>
    <row r="179" spans="11:86" ht="18" customHeight="1" x14ac:dyDescent="0.3">
      <c r="K179" s="53" t="str">
        <f>IFERROR(MP_DATA[[#This Row],[Top '[m']]]-MP_DATA[[#This Row],[Bottom '[m']]], "")</f>
        <v/>
      </c>
      <c r="AV179" s="53" t="str">
        <f>IFERROR(TP_DATA[[#This Row],[Top '[m']]]-TP_DATA[[#This Row],[Bottom '[m']]], "")</f>
        <v/>
      </c>
      <c r="CB179" s="114">
        <v>68</v>
      </c>
      <c r="CC179" s="115">
        <v>47</v>
      </c>
      <c r="CD179" s="115">
        <v>45.564000000000007</v>
      </c>
      <c r="CE179" s="115">
        <v>7.335</v>
      </c>
      <c r="CF179" s="115">
        <v>7.3579999999999997</v>
      </c>
      <c r="CG179" s="116">
        <v>35</v>
      </c>
      <c r="CH179" s="122">
        <f>IFERROR(TOWER_DATA[[#This Row],[Top '[m']]]-TOWER_DATA[[#This Row],[Bottom '[m']]], "")</f>
        <v>1.4359999999999928</v>
      </c>
    </row>
    <row r="180" spans="11:86" ht="18" customHeight="1" x14ac:dyDescent="0.3">
      <c r="K180" s="53" t="str">
        <f>IFERROR(MP_DATA[[#This Row],[Top '[m']]]-MP_DATA[[#This Row],[Bottom '[m']]], "")</f>
        <v/>
      </c>
      <c r="AV180" s="53" t="str">
        <f>IFERROR(TP_DATA[[#This Row],[Top '[m']]]-TP_DATA[[#This Row],[Bottom '[m']]], "")</f>
        <v/>
      </c>
      <c r="CB180" s="114">
        <v>69</v>
      </c>
      <c r="CC180" s="115">
        <v>45.564000000000007</v>
      </c>
      <c r="CD180" s="115">
        <v>44.282000000000004</v>
      </c>
      <c r="CE180" s="115">
        <v>7.3579999999999997</v>
      </c>
      <c r="CF180" s="115">
        <v>7.3789999999999996</v>
      </c>
      <c r="CG180" s="116">
        <v>35</v>
      </c>
      <c r="CH180" s="122">
        <f>IFERROR(TOWER_DATA[[#This Row],[Top '[m']]]-TOWER_DATA[[#This Row],[Bottom '[m']]], "")</f>
        <v>1.2820000000000036</v>
      </c>
    </row>
    <row r="181" spans="11:86" ht="18" customHeight="1" x14ac:dyDescent="0.3">
      <c r="K181" s="53" t="str">
        <f>IFERROR(MP_DATA[[#This Row],[Top '[m']]]-MP_DATA[[#This Row],[Bottom '[m']]], "")</f>
        <v/>
      </c>
      <c r="AV181" s="53" t="str">
        <f>IFERROR(TP_DATA[[#This Row],[Top '[m']]]-TP_DATA[[#This Row],[Bottom '[m']]], "")</f>
        <v/>
      </c>
      <c r="CB181" s="114">
        <v>70</v>
      </c>
      <c r="CC181" s="115">
        <v>44.282000000000004</v>
      </c>
      <c r="CD181" s="115">
        <v>41.561000000000007</v>
      </c>
      <c r="CE181" s="115">
        <v>7.3789999999999996</v>
      </c>
      <c r="CF181" s="115">
        <v>7.4249999999999998</v>
      </c>
      <c r="CG181" s="116">
        <v>35.799999999999997</v>
      </c>
      <c r="CH181" s="122">
        <f>IFERROR(TOWER_DATA[[#This Row],[Top '[m']]]-TOWER_DATA[[#This Row],[Bottom '[m']]], "")</f>
        <v>2.7209999999999965</v>
      </c>
    </row>
    <row r="182" spans="11:86" ht="18" customHeight="1" x14ac:dyDescent="0.3">
      <c r="K182" s="53" t="str">
        <f>IFERROR(MP_DATA[[#This Row],[Top '[m']]]-MP_DATA[[#This Row],[Bottom '[m']]], "")</f>
        <v/>
      </c>
      <c r="AV182" s="53" t="str">
        <f>IFERROR(TP_DATA[[#This Row],[Top '[m']]]-TP_DATA[[#This Row],[Bottom '[m']]], "")</f>
        <v/>
      </c>
      <c r="CB182" s="114">
        <v>71</v>
      </c>
      <c r="CC182" s="115">
        <v>41.561000000000007</v>
      </c>
      <c r="CD182" s="115">
        <v>40.900000000000006</v>
      </c>
      <c r="CE182" s="115">
        <v>7.4249999999999998</v>
      </c>
      <c r="CF182" s="115">
        <v>7.4349999999999996</v>
      </c>
      <c r="CG182" s="116">
        <v>39</v>
      </c>
      <c r="CH182" s="122">
        <f>IFERROR(TOWER_DATA[[#This Row],[Top '[m']]]-TOWER_DATA[[#This Row],[Bottom '[m']]], "")</f>
        <v>0.66100000000000136</v>
      </c>
    </row>
    <row r="183" spans="11:86" ht="18" customHeight="1" x14ac:dyDescent="0.3">
      <c r="K183" s="53" t="str">
        <f>IFERROR(MP_DATA[[#This Row],[Top '[m']]]-MP_DATA[[#This Row],[Bottom '[m']]], "")</f>
        <v/>
      </c>
      <c r="AV183" s="53" t="str">
        <f>IFERROR(TP_DATA[[#This Row],[Top '[m']]]-TP_DATA[[#This Row],[Bottom '[m']]], "")</f>
        <v/>
      </c>
      <c r="CB183" s="114">
        <v>72</v>
      </c>
      <c r="CC183" s="115">
        <v>40.900000000000006</v>
      </c>
      <c r="CD183" s="115">
        <v>38.775000000000006</v>
      </c>
      <c r="CE183" s="115">
        <v>7.4349999999999996</v>
      </c>
      <c r="CF183" s="115">
        <v>7.476</v>
      </c>
      <c r="CG183" s="116">
        <v>39</v>
      </c>
      <c r="CH183" s="122">
        <f>IFERROR(TOWER_DATA[[#This Row],[Top '[m']]]-TOWER_DATA[[#This Row],[Bottom '[m']]], "")</f>
        <v>2.125</v>
      </c>
    </row>
    <row r="184" spans="11:86" ht="18" customHeight="1" x14ac:dyDescent="0.3">
      <c r="K184" s="53" t="str">
        <f>IFERROR(MP_DATA[[#This Row],[Top '[m']]]-MP_DATA[[#This Row],[Bottom '[m']]], "")</f>
        <v/>
      </c>
      <c r="AV184" s="53" t="str">
        <f>IFERROR(TP_DATA[[#This Row],[Top '[m']]]-TP_DATA[[#This Row],[Bottom '[m']]], "")</f>
        <v/>
      </c>
      <c r="CB184" s="114">
        <v>73</v>
      </c>
      <c r="CC184" s="115">
        <v>38.775000000000006</v>
      </c>
      <c r="CD184" s="115">
        <v>38.725000000000001</v>
      </c>
      <c r="CE184" s="115">
        <v>7.476</v>
      </c>
      <c r="CF184" s="115">
        <v>7.476</v>
      </c>
      <c r="CG184" s="116">
        <v>46</v>
      </c>
      <c r="CH184" s="122">
        <f>IFERROR(TOWER_DATA[[#This Row],[Top '[m']]]-TOWER_DATA[[#This Row],[Bottom '[m']]], "")</f>
        <v>5.0000000000004263E-2</v>
      </c>
    </row>
    <row r="185" spans="11:86" ht="18" customHeight="1" x14ac:dyDescent="0.3">
      <c r="K185" s="53" t="str">
        <f>IFERROR(MP_DATA[[#This Row],[Top '[m']]]-MP_DATA[[#This Row],[Bottom '[m']]], "")</f>
        <v/>
      </c>
      <c r="AV185" s="53" t="str">
        <f>IFERROR(TP_DATA[[#This Row],[Top '[m']]]-TP_DATA[[#This Row],[Bottom '[m']]], "")</f>
        <v/>
      </c>
      <c r="CB185" s="114">
        <v>74</v>
      </c>
      <c r="CC185" s="115">
        <v>38.725000000000001</v>
      </c>
      <c r="CD185" s="115">
        <v>38.540000000000006</v>
      </c>
      <c r="CE185" s="115">
        <v>7.476</v>
      </c>
      <c r="CF185" s="115">
        <v>7.476</v>
      </c>
      <c r="CG185" s="116">
        <v>46</v>
      </c>
      <c r="CH185" s="122">
        <f>IFERROR(TOWER_DATA[[#This Row],[Top '[m']]]-TOWER_DATA[[#This Row],[Bottom '[m']]], "")</f>
        <v>0.18499999999999517</v>
      </c>
    </row>
    <row r="186" spans="11:86" ht="18" customHeight="1" x14ac:dyDescent="0.3">
      <c r="K186" s="53" t="str">
        <f>IFERROR(MP_DATA[[#This Row],[Top '[m']]]-MP_DATA[[#This Row],[Bottom '[m']]], "")</f>
        <v/>
      </c>
      <c r="AV186" s="53" t="str">
        <f>IFERROR(TP_DATA[[#This Row],[Top '[m']]]-TP_DATA[[#This Row],[Bottom '[m']]], "")</f>
        <v/>
      </c>
      <c r="CB186" s="114">
        <v>75</v>
      </c>
      <c r="CC186" s="115">
        <v>38.540000000000006</v>
      </c>
      <c r="CD186" s="115">
        <v>38.355000000000004</v>
      </c>
      <c r="CE186" s="115">
        <v>7.476</v>
      </c>
      <c r="CF186" s="115">
        <v>7.476</v>
      </c>
      <c r="CG186" s="116">
        <v>46</v>
      </c>
      <c r="CH186" s="122">
        <f>IFERROR(TOWER_DATA[[#This Row],[Top '[m']]]-TOWER_DATA[[#This Row],[Bottom '[m']]], "")</f>
        <v>0.18500000000000227</v>
      </c>
    </row>
    <row r="187" spans="11:86" ht="18" customHeight="1" x14ac:dyDescent="0.3">
      <c r="K187" s="53" t="str">
        <f>IFERROR(MP_DATA[[#This Row],[Top '[m']]]-MP_DATA[[#This Row],[Bottom '[m']]], "")</f>
        <v/>
      </c>
      <c r="AV187" s="53" t="str">
        <f>IFERROR(TP_DATA[[#This Row],[Top '[m']]]-TP_DATA[[#This Row],[Bottom '[m']]], "")</f>
        <v/>
      </c>
      <c r="CB187" s="114">
        <v>76</v>
      </c>
      <c r="CC187" s="115">
        <v>38.355000000000004</v>
      </c>
      <c r="CD187" s="115">
        <v>38.305000000000007</v>
      </c>
      <c r="CE187" s="115">
        <v>7.476</v>
      </c>
      <c r="CF187" s="115">
        <v>7.4740000000000002</v>
      </c>
      <c r="CG187" s="116">
        <v>46</v>
      </c>
      <c r="CH187" s="122">
        <f>IFERROR(TOWER_DATA[[#This Row],[Top '[m']]]-TOWER_DATA[[#This Row],[Bottom '[m']]], "")</f>
        <v>4.9999999999997158E-2</v>
      </c>
    </row>
    <row r="188" spans="11:86" ht="18" customHeight="1" x14ac:dyDescent="0.3">
      <c r="K188" s="53" t="str">
        <f>IFERROR(MP_DATA[[#This Row],[Top '[m']]]-MP_DATA[[#This Row],[Bottom '[m']]], "")</f>
        <v/>
      </c>
      <c r="AV188" s="53" t="str">
        <f>IFERROR(TP_DATA[[#This Row],[Top '[m']]]-TP_DATA[[#This Row],[Bottom '[m']]], "")</f>
        <v/>
      </c>
      <c r="CB188" s="114">
        <v>77</v>
      </c>
      <c r="CC188" s="115">
        <v>38.305000000000007</v>
      </c>
      <c r="CD188" s="115">
        <v>37.343000000000004</v>
      </c>
      <c r="CE188" s="115">
        <v>7.4740000000000002</v>
      </c>
      <c r="CF188" s="115">
        <v>7.4740000000000002</v>
      </c>
      <c r="CG188" s="116">
        <v>44.1</v>
      </c>
      <c r="CH188" s="122">
        <f>IFERROR(TOWER_DATA[[#This Row],[Top '[m']]]-TOWER_DATA[[#This Row],[Bottom '[m']]], "")</f>
        <v>0.9620000000000033</v>
      </c>
    </row>
    <row r="189" spans="11:86" ht="18" customHeight="1" x14ac:dyDescent="0.3">
      <c r="K189" s="53" t="str">
        <f>IFERROR(MP_DATA[[#This Row],[Top '[m']]]-MP_DATA[[#This Row],[Bottom '[m']]], "")</f>
        <v/>
      </c>
      <c r="AV189" s="53" t="str">
        <f>IFERROR(TP_DATA[[#This Row],[Top '[m']]]-TP_DATA[[#This Row],[Bottom '[m']]], "")</f>
        <v/>
      </c>
      <c r="CB189" s="114">
        <v>78</v>
      </c>
      <c r="CC189" s="115">
        <v>37.343000000000004</v>
      </c>
      <c r="CD189" s="115">
        <v>35.43</v>
      </c>
      <c r="CE189" s="115">
        <v>7.4740000000000002</v>
      </c>
      <c r="CF189" s="115">
        <v>7.476</v>
      </c>
      <c r="CG189" s="116">
        <v>44.1</v>
      </c>
      <c r="CH189" s="122">
        <f>IFERROR(TOWER_DATA[[#This Row],[Top '[m']]]-TOWER_DATA[[#This Row],[Bottom '[m']]], "")</f>
        <v>1.9130000000000038</v>
      </c>
    </row>
    <row r="190" spans="11:86" ht="18" customHeight="1" x14ac:dyDescent="0.3">
      <c r="K190" s="53" t="str">
        <f>IFERROR(MP_DATA[[#This Row],[Top '[m']]]-MP_DATA[[#This Row],[Bottom '[m']]], "")</f>
        <v/>
      </c>
      <c r="AV190" s="53" t="str">
        <f>IFERROR(TP_DATA[[#This Row],[Top '[m']]]-TP_DATA[[#This Row],[Bottom '[m']]], "")</f>
        <v/>
      </c>
      <c r="CB190" s="114">
        <v>79</v>
      </c>
      <c r="CC190" s="115">
        <v>35.43</v>
      </c>
      <c r="CD190" s="115">
        <v>33.231999999999999</v>
      </c>
      <c r="CE190" s="115">
        <v>7.476</v>
      </c>
      <c r="CF190" s="115">
        <v>7.476</v>
      </c>
      <c r="CG190" s="116">
        <v>45.6</v>
      </c>
      <c r="CH190" s="122">
        <f>IFERROR(TOWER_DATA[[#This Row],[Top '[m']]]-TOWER_DATA[[#This Row],[Bottom '[m']]], "")</f>
        <v>2.1980000000000004</v>
      </c>
    </row>
    <row r="191" spans="11:86" ht="18" customHeight="1" x14ac:dyDescent="0.3">
      <c r="K191" s="53" t="str">
        <f>IFERROR(MP_DATA[[#This Row],[Top '[m']]]-MP_DATA[[#This Row],[Bottom '[m']]], "")</f>
        <v/>
      </c>
      <c r="AV191" s="53" t="str">
        <f>IFERROR(TP_DATA[[#This Row],[Top '[m']]]-TP_DATA[[#This Row],[Bottom '[m']]], "")</f>
        <v/>
      </c>
      <c r="CB191" s="114">
        <v>80</v>
      </c>
      <c r="CC191" s="115">
        <v>33.231999999999999</v>
      </c>
      <c r="CD191" s="115">
        <v>32.5</v>
      </c>
      <c r="CE191" s="115">
        <v>7.476</v>
      </c>
      <c r="CF191" s="115">
        <v>7.4770000000000003</v>
      </c>
      <c r="CG191" s="116">
        <v>45.6</v>
      </c>
      <c r="CH191" s="122">
        <f>IFERROR(TOWER_DATA[[#This Row],[Top '[m']]]-TOWER_DATA[[#This Row],[Bottom '[m']]], "")</f>
        <v>0.73199999999999932</v>
      </c>
    </row>
    <row r="192" spans="11:86" ht="18" customHeight="1" x14ac:dyDescent="0.3">
      <c r="K192" s="53" t="str">
        <f>IFERROR(MP_DATA[[#This Row],[Top '[m']]]-MP_DATA[[#This Row],[Bottom '[m']]], "")</f>
        <v/>
      </c>
      <c r="AV192" s="53"/>
      <c r="CB192" s="114">
        <v>81</v>
      </c>
      <c r="CC192" s="115">
        <v>32.5</v>
      </c>
      <c r="CD192" s="115">
        <v>30.9</v>
      </c>
      <c r="CE192" s="115">
        <v>7.4770000000000003</v>
      </c>
      <c r="CF192" s="115">
        <v>7.4770000000000003</v>
      </c>
      <c r="CG192" s="116">
        <v>47.1</v>
      </c>
      <c r="CH192" s="122">
        <f>IFERROR(TOWER_DATA[[#This Row],[Top '[m']]]-TOWER_DATA[[#This Row],[Bottom '[m']]], "")</f>
        <v>1.6000000000000014</v>
      </c>
    </row>
    <row r="193" spans="11:86" ht="18" customHeight="1" x14ac:dyDescent="0.3">
      <c r="K193" s="53" t="str">
        <f>IFERROR(MP_DATA[[#This Row],[Top '[m']]]-MP_DATA[[#This Row],[Bottom '[m']]], "")</f>
        <v/>
      </c>
      <c r="CB193" s="114">
        <v>82</v>
      </c>
      <c r="CC193" s="115">
        <v>30.9</v>
      </c>
      <c r="CD193" s="115">
        <v>29.569999999999997</v>
      </c>
      <c r="CE193" s="115">
        <v>7.4770000000000003</v>
      </c>
      <c r="CF193" s="115">
        <v>7.4790000000000001</v>
      </c>
      <c r="CG193" s="116">
        <v>47.1</v>
      </c>
      <c r="CH193" s="122">
        <f>IFERROR(TOWER_DATA[[#This Row],[Top '[m']]]-TOWER_DATA[[#This Row],[Bottom '[m']]], "")</f>
        <v>1.3300000000000018</v>
      </c>
    </row>
    <row r="194" spans="11:86" ht="18" customHeight="1" x14ac:dyDescent="0.3">
      <c r="K194" s="53" t="str">
        <f>IFERROR(MP_DATA[[#This Row],[Top '[m']]]-MP_DATA[[#This Row],[Bottom '[m']]], "")</f>
        <v/>
      </c>
      <c r="CB194" s="114">
        <v>83</v>
      </c>
      <c r="CC194" s="115">
        <v>29.569999999999997</v>
      </c>
      <c r="CD194" s="115">
        <v>29.120999999999999</v>
      </c>
      <c r="CE194" s="115">
        <v>7.4790000000000001</v>
      </c>
      <c r="CF194" s="115">
        <v>7.4790000000000001</v>
      </c>
      <c r="CG194" s="116">
        <v>49</v>
      </c>
      <c r="CH194" s="122">
        <f>IFERROR(TOWER_DATA[[#This Row],[Top '[m']]]-TOWER_DATA[[#This Row],[Bottom '[m']]], "")</f>
        <v>0.44899999999999807</v>
      </c>
    </row>
    <row r="195" spans="11:86" ht="18" customHeight="1" x14ac:dyDescent="0.3">
      <c r="K195" s="53" t="str">
        <f>IFERROR(MP_DATA[[#This Row],[Top '[m']]]-MP_DATA[[#This Row],[Bottom '[m']]], "")</f>
        <v/>
      </c>
      <c r="CB195" s="114">
        <v>84</v>
      </c>
      <c r="CC195" s="115">
        <v>29.120999999999999</v>
      </c>
      <c r="CD195" s="115">
        <v>26.639999999999997</v>
      </c>
      <c r="CE195" s="115">
        <v>7.4790000000000001</v>
      </c>
      <c r="CF195" s="115">
        <v>7.5</v>
      </c>
      <c r="CG195" s="116">
        <v>49</v>
      </c>
      <c r="CH195" s="122">
        <f>IFERROR(TOWER_DATA[[#This Row],[Top '[m']]]-TOWER_DATA[[#This Row],[Bottom '[m']]], "")</f>
        <v>2.4810000000000016</v>
      </c>
    </row>
    <row r="196" spans="11:86" ht="18" customHeight="1" x14ac:dyDescent="0.3">
      <c r="K196" s="53" t="str">
        <f>IFERROR(MP_DATA[[#This Row],[Top '[m']]]-MP_DATA[[#This Row],[Bottom '[m']]], "")</f>
        <v/>
      </c>
      <c r="CB196" s="114">
        <v>85</v>
      </c>
      <c r="CC196" s="115">
        <v>26.639999999999997</v>
      </c>
      <c r="CD196" s="115">
        <v>25.05</v>
      </c>
      <c r="CE196" s="115">
        <v>7.5</v>
      </c>
      <c r="CF196" s="115">
        <v>7.5</v>
      </c>
      <c r="CG196" s="116">
        <v>70</v>
      </c>
      <c r="CH196" s="122">
        <f>IFERROR(TOWER_DATA[[#This Row],[Top '[m']]]-TOWER_DATA[[#This Row],[Bottom '[m']]], "")</f>
        <v>1.5899999999999963</v>
      </c>
    </row>
    <row r="197" spans="11:86" ht="18" customHeight="1" x14ac:dyDescent="0.3">
      <c r="K197" s="53" t="str">
        <f>IFERROR(MP_DATA[[#This Row],[Top '[m']]]-MP_DATA[[#This Row],[Bottom '[m']]], "")</f>
        <v/>
      </c>
      <c r="CB197" s="114">
        <v>86</v>
      </c>
      <c r="CC197" s="115">
        <v>25.05</v>
      </c>
      <c r="CD197" s="115">
        <v>25.010999999999999</v>
      </c>
      <c r="CE197" s="115">
        <v>7.5</v>
      </c>
      <c r="CF197" s="115">
        <v>7.5</v>
      </c>
      <c r="CG197" s="116">
        <v>70</v>
      </c>
      <c r="CH197" s="122">
        <f>IFERROR(TOWER_DATA[[#This Row],[Top '[m']]]-TOWER_DATA[[#This Row],[Bottom '[m']]], "")</f>
        <v>3.9000000000001478E-2</v>
      </c>
    </row>
    <row r="198" spans="11:86" ht="18" customHeight="1" x14ac:dyDescent="0.3">
      <c r="K198" s="53"/>
      <c r="CB198" s="114">
        <v>87</v>
      </c>
      <c r="CC198" s="115">
        <v>25.010999999999999</v>
      </c>
      <c r="CD198" s="115">
        <v>22.119999999999997</v>
      </c>
      <c r="CE198" s="115">
        <v>7.5</v>
      </c>
      <c r="CF198" s="115">
        <v>7.5</v>
      </c>
      <c r="CG198" s="116">
        <v>70</v>
      </c>
      <c r="CH198" s="122">
        <f>IFERROR(TOWER_DATA[[#This Row],[Top '[m']]]-TOWER_DATA[[#This Row],[Bottom '[m']]], "")</f>
        <v>2.8910000000000018</v>
      </c>
    </row>
    <row r="199" spans="11:86" ht="18" customHeight="1" x14ac:dyDescent="0.3">
      <c r="CB199" s="114">
        <v>88</v>
      </c>
      <c r="CC199" s="115">
        <v>22.119999999999997</v>
      </c>
      <c r="CD199" s="115">
        <v>21.139999999999997</v>
      </c>
      <c r="CE199" s="115">
        <v>7.5</v>
      </c>
      <c r="CF199" s="115">
        <v>7.5</v>
      </c>
      <c r="CG199" s="116">
        <v>70</v>
      </c>
      <c r="CH199" s="122">
        <f>IFERROR(TOWER_DATA[[#This Row],[Top '[m']]]-TOWER_DATA[[#This Row],[Bottom '[m']]], "")</f>
        <v>0.98000000000000043</v>
      </c>
    </row>
    <row r="200" spans="11:86" ht="18" customHeight="1" x14ac:dyDescent="0.3">
      <c r="CB200" s="114">
        <v>89</v>
      </c>
      <c r="CC200" s="115">
        <v>21.139999999999997</v>
      </c>
      <c r="CD200" s="115">
        <v>21.08</v>
      </c>
      <c r="CE200" s="115">
        <v>7.5</v>
      </c>
      <c r="CF200" s="115">
        <v>7.5</v>
      </c>
      <c r="CG200" s="116">
        <v>70</v>
      </c>
      <c r="CH200" s="122">
        <f>IFERROR(TOWER_DATA[[#This Row],[Top '[m']]]-TOWER_DATA[[#This Row],[Bottom '[m']]], "")</f>
        <v>5.9999999999998721E-2</v>
      </c>
    </row>
    <row r="201" spans="11:86" ht="18" customHeight="1" x14ac:dyDescent="0.3">
      <c r="CB201" s="114">
        <v>90</v>
      </c>
      <c r="CC201" s="115">
        <v>21.08</v>
      </c>
      <c r="CD201" s="115">
        <v>20.9</v>
      </c>
      <c r="CE201" s="115">
        <v>7.5</v>
      </c>
      <c r="CF201" s="115">
        <v>7.5</v>
      </c>
      <c r="CG201" s="116">
        <v>70</v>
      </c>
      <c r="CH201" s="122">
        <f>IFERROR(TOWER_DATA[[#This Row],[Top '[m']]]-TOWER_DATA[[#This Row],[Bottom '[m']]], "")</f>
        <v>0.17999999999999972</v>
      </c>
    </row>
    <row r="202" spans="11:86" ht="18" customHeight="1" x14ac:dyDescent="0.3">
      <c r="CH202" s="122" t="str">
        <f>IFERROR(TOWER_DATA[[#This Row],[Top '[m']]]-TOWER_DATA[[#This Row],[Bottom '[m']]], "")</f>
        <v/>
      </c>
    </row>
    <row r="203" spans="11:86" ht="18" customHeight="1" x14ac:dyDescent="0.3">
      <c r="CH203" s="122" t="str">
        <f>IFERROR(TOWER_DATA[[#This Row],[Top '[m']]]-TOWER_DATA[[#This Row],[Bottom '[m']]], "")</f>
        <v/>
      </c>
    </row>
    <row r="204" spans="11:86" ht="18" customHeight="1" x14ac:dyDescent="0.3">
      <c r="CH204" s="122" t="str">
        <f>IFERROR(TOWER_DATA[[#This Row],[Top '[m']]]-TOWER_DATA[[#This Row],[Bottom '[m']]], "")</f>
        <v/>
      </c>
    </row>
    <row r="205" spans="11:86" ht="18" customHeight="1" x14ac:dyDescent="0.3">
      <c r="CH205" s="122" t="str">
        <f>IFERROR(TOWER_DATA[[#This Row],[Top '[m']]]-TOWER_DATA[[#This Row],[Bottom '[m']]], "")</f>
        <v/>
      </c>
    </row>
    <row r="206" spans="11:86" ht="18" customHeight="1" x14ac:dyDescent="0.3">
      <c r="CH206" s="122" t="str">
        <f>IFERROR(TOWER_DATA[[#This Row],[Top '[m']]]-TOWER_DATA[[#This Row],[Bottom '[m']]], "")</f>
        <v/>
      </c>
    </row>
    <row r="207" spans="11:86" ht="18" customHeight="1" x14ac:dyDescent="0.3">
      <c r="CH207" s="122" t="str">
        <f>IFERROR(TOWER_DATA[[#This Row],[Top '[m']]]-TOWER_DATA[[#This Row],[Bottom '[m']]], "")</f>
        <v/>
      </c>
    </row>
    <row r="208" spans="11:86" ht="18" customHeight="1" x14ac:dyDescent="0.3">
      <c r="CH208" s="122" t="str">
        <f>IFERROR(TOWER_DATA[[#This Row],[Top '[m']]]-TOWER_DATA[[#This Row],[Bottom '[m']]], "")</f>
        <v/>
      </c>
    </row>
    <row r="209" spans="86:86" ht="18" customHeight="1" x14ac:dyDescent="0.3">
      <c r="CH209" s="122" t="str">
        <f>IFERROR(TOWER_DATA[[#This Row],[Top '[m']]]-TOWER_DATA[[#This Row],[Bottom '[m']]], "")</f>
        <v/>
      </c>
    </row>
    <row r="210" spans="86:86" ht="18" customHeight="1" x14ac:dyDescent="0.3">
      <c r="CH210" s="122" t="str">
        <f>IFERROR(TOWER_DATA[[#This Row],[Top '[m']]]-TOWER_DATA[[#This Row],[Bottom '[m']]], "")</f>
        <v/>
      </c>
    </row>
    <row r="211" spans="86:86" ht="18" customHeight="1" x14ac:dyDescent="0.3">
      <c r="CH211" s="122" t="str">
        <f>IFERROR(TOWER_DATA[[#This Row],[Top '[m']]]-TOWER_DATA[[#This Row],[Bottom '[m']]], "")</f>
        <v/>
      </c>
    </row>
    <row r="212" spans="86:86" ht="18" customHeight="1" x14ac:dyDescent="0.3">
      <c r="CH212" s="122" t="str">
        <f>IFERROR(TOWER_DATA[[#This Row],[Top '[m']]]-TOWER_DATA[[#This Row],[Bottom '[m']]], "")</f>
        <v/>
      </c>
    </row>
    <row r="213" spans="86:86" ht="18" customHeight="1" x14ac:dyDescent="0.3">
      <c r="CH213" s="122" t="str">
        <f>IFERROR(TOWER_DATA[[#This Row],[Top '[m']]]-TOWER_DATA[[#This Row],[Bottom '[m']]], "")</f>
        <v/>
      </c>
    </row>
    <row r="214" spans="86:86" ht="18" customHeight="1" x14ac:dyDescent="0.3">
      <c r="CH214" s="122" t="str">
        <f>IFERROR(TOWER_DATA[[#This Row],[Top '[m']]]-TOWER_DATA[[#This Row],[Bottom '[m']]], "")</f>
        <v/>
      </c>
    </row>
    <row r="215" spans="86:86" ht="18" customHeight="1" x14ac:dyDescent="0.3">
      <c r="CH215" s="122" t="str">
        <f>IFERROR(TOWER_DATA[[#This Row],[Top '[m']]]-TOWER_DATA[[#This Row],[Bottom '[m']]], "")</f>
        <v/>
      </c>
    </row>
    <row r="216" spans="86:86" ht="18" customHeight="1" x14ac:dyDescent="0.3">
      <c r="CH216" s="122" t="str">
        <f>IFERROR(TOWER_DATA[[#This Row],[Top '[m']]]-TOWER_DATA[[#This Row],[Bottom '[m']]], "")</f>
        <v/>
      </c>
    </row>
    <row r="217" spans="86:86" ht="18" customHeight="1" x14ac:dyDescent="0.3">
      <c r="CH217" s="122" t="str">
        <f>IFERROR(TOWER_DATA[[#This Row],[Top '[m']]]-TOWER_DATA[[#This Row],[Bottom '[m']]], "")</f>
        <v/>
      </c>
    </row>
    <row r="218" spans="86:86" ht="18" customHeight="1" x14ac:dyDescent="0.3">
      <c r="CH218" s="122" t="str">
        <f>IFERROR(TOWER_DATA[[#This Row],[Top '[m']]]-TOWER_DATA[[#This Row],[Bottom '[m']]], "")</f>
        <v/>
      </c>
    </row>
    <row r="219" spans="86:86" ht="18" customHeight="1" x14ac:dyDescent="0.3">
      <c r="CH219" s="122" t="str">
        <f>IFERROR(TOWER_DATA[[#This Row],[Top '[m']]]-TOWER_DATA[[#This Row],[Bottom '[m']]], "")</f>
        <v/>
      </c>
    </row>
    <row r="220" spans="86:86" ht="18" customHeight="1" x14ac:dyDescent="0.3">
      <c r="CH220" s="122" t="str">
        <f>IFERROR(TOWER_DATA[[#This Row],[Top '[m']]]-TOWER_DATA[[#This Row],[Bottom '[m']]], "")</f>
        <v/>
      </c>
    </row>
    <row r="221" spans="86:86" ht="18" customHeight="1" x14ac:dyDescent="0.3">
      <c r="CH221" s="122" t="str">
        <f>IFERROR(TOWER_DATA[[#This Row],[Top '[m']]]-TOWER_DATA[[#This Row],[Bottom '[m']]], "")</f>
        <v/>
      </c>
    </row>
    <row r="222" spans="86:86" ht="18" customHeight="1" x14ac:dyDescent="0.3">
      <c r="CH222" s="122" t="str">
        <f>IFERROR(TOWER_DATA[[#This Row],[Top '[m']]]-TOWER_DATA[[#This Row],[Bottom '[m']]], "")</f>
        <v/>
      </c>
    </row>
    <row r="223" spans="86:86" ht="18" customHeight="1" x14ac:dyDescent="0.3">
      <c r="CH223" s="122" t="str">
        <f>IFERROR(TOWER_DATA[[#This Row],[Top '[m']]]-TOWER_DATA[[#This Row],[Bottom '[m']]], "")</f>
        <v/>
      </c>
    </row>
    <row r="224" spans="86:86" ht="18" customHeight="1" x14ac:dyDescent="0.3">
      <c r="CH224" s="122" t="str">
        <f>IFERROR(TOWER_DATA[[#This Row],[Top '[m']]]-TOWER_DATA[[#This Row],[Bottom '[m']]], "")</f>
        <v/>
      </c>
    </row>
    <row r="225" spans="86:86" ht="18" customHeight="1" x14ac:dyDescent="0.3">
      <c r="CH225" s="122" t="str">
        <f>IFERROR(TOWER_DATA[[#This Row],[Top '[m']]]-TOWER_DATA[[#This Row],[Bottom '[m']]], "")</f>
        <v/>
      </c>
    </row>
    <row r="226" spans="86:86" ht="18" customHeight="1" x14ac:dyDescent="0.3">
      <c r="CH226" s="122" t="str">
        <f>IFERROR(TOWER_DATA[[#This Row],[Top '[m']]]-TOWER_DATA[[#This Row],[Bottom '[m']]], "")</f>
        <v/>
      </c>
    </row>
    <row r="227" spans="86:86" ht="18" customHeight="1" x14ac:dyDescent="0.3">
      <c r="CH227" s="122" t="str">
        <f>IFERROR(TOWER_DATA[[#This Row],[Top '[m']]]-TOWER_DATA[[#This Row],[Bottom '[m']]], "")</f>
        <v/>
      </c>
    </row>
    <row r="228" spans="86:86" ht="18" customHeight="1" x14ac:dyDescent="0.3">
      <c r="CH228" s="122" t="str">
        <f>IFERROR(TOWER_DATA[[#This Row],[Top '[m']]]-TOWER_DATA[[#This Row],[Bottom '[m']]], "")</f>
        <v/>
      </c>
    </row>
    <row r="229" spans="86:86" ht="18" customHeight="1" x14ac:dyDescent="0.3">
      <c r="CH229" s="122" t="str">
        <f>IFERROR(TOWER_DATA[[#This Row],[Top '[m']]]-TOWER_DATA[[#This Row],[Bottom '[m']]], "")</f>
        <v/>
      </c>
    </row>
    <row r="230" spans="86:86" ht="18" customHeight="1" x14ac:dyDescent="0.3">
      <c r="CH230" s="122" t="str">
        <f>IFERROR(TOWER_DATA[[#This Row],[Top '[m']]]-TOWER_DATA[[#This Row],[Bottom '[m']]], "")</f>
        <v/>
      </c>
    </row>
    <row r="231" spans="86:86" ht="18" customHeight="1" x14ac:dyDescent="0.3">
      <c r="CH231" s="122" t="str">
        <f>IFERROR(TOWER_DATA[[#This Row],[Top '[m']]]-TOWER_DATA[[#This Row],[Bottom '[m']]], "")</f>
        <v/>
      </c>
    </row>
    <row r="232" spans="86:86" ht="18" customHeight="1" x14ac:dyDescent="0.3">
      <c r="CH232" s="122" t="str">
        <f>IFERROR(TOWER_DATA[[#This Row],[Top '[m']]]-TOWER_DATA[[#This Row],[Bottom '[m']]], "")</f>
        <v/>
      </c>
    </row>
    <row r="233" spans="86:86" ht="18" customHeight="1" x14ac:dyDescent="0.3">
      <c r="CH233" s="122" t="str">
        <f>IFERROR(TOWER_DATA[[#This Row],[Top '[m']]]-TOWER_DATA[[#This Row],[Bottom '[m']]], "")</f>
        <v/>
      </c>
    </row>
    <row r="234" spans="86:86" ht="18" customHeight="1" x14ac:dyDescent="0.3">
      <c r="CH234" s="122" t="str">
        <f>IFERROR(TOWER_DATA[[#This Row],[Top '[m']]]-TOWER_DATA[[#This Row],[Bottom '[m']]], "")</f>
        <v/>
      </c>
    </row>
    <row r="235" spans="86:86" ht="18" customHeight="1" x14ac:dyDescent="0.3">
      <c r="CH235" s="122" t="str">
        <f>IFERROR(TOWER_DATA[[#This Row],[Top '[m']]]-TOWER_DATA[[#This Row],[Bottom '[m']]], "")</f>
        <v/>
      </c>
    </row>
    <row r="236" spans="86:86" ht="18" customHeight="1" x14ac:dyDescent="0.3">
      <c r="CH236" s="122" t="str">
        <f>IFERROR(TOWER_DATA[[#This Row],[Top '[m']]]-TOWER_DATA[[#This Row],[Bottom '[m']]], "")</f>
        <v/>
      </c>
    </row>
    <row r="237" spans="86:86" ht="18" customHeight="1" x14ac:dyDescent="0.3">
      <c r="CH237" s="122" t="str">
        <f>IFERROR(TOWER_DATA[[#This Row],[Top '[m']]]-TOWER_DATA[[#This Row],[Bottom '[m']]], "")</f>
        <v/>
      </c>
    </row>
    <row r="238" spans="86:86" ht="18" customHeight="1" x14ac:dyDescent="0.3">
      <c r="CH238" s="122" t="str">
        <f>IFERROR(TOWER_DATA[[#This Row],[Top '[m']]]-TOWER_DATA[[#This Row],[Bottom '[m']]], "")</f>
        <v/>
      </c>
    </row>
    <row r="239" spans="86:86" ht="18" customHeight="1" x14ac:dyDescent="0.3">
      <c r="CH239" s="122" t="str">
        <f>IFERROR(TOWER_DATA[[#This Row],[Top '[m']]]-TOWER_DATA[[#This Row],[Bottom '[m']]], "")</f>
        <v/>
      </c>
    </row>
    <row r="240" spans="86:86" ht="18" customHeight="1" x14ac:dyDescent="0.3">
      <c r="CH240" s="122" t="str">
        <f>IFERROR(TOWER_DATA[[#This Row],[Top '[m']]]-TOWER_DATA[[#This Row],[Bottom '[m']]], "")</f>
        <v/>
      </c>
    </row>
    <row r="241" spans="86:86" ht="18" customHeight="1" x14ac:dyDescent="0.3">
      <c r="CH241" s="122" t="str">
        <f>IFERROR(TOWER_DATA[[#This Row],[Top '[m']]]-TOWER_DATA[[#This Row],[Bottom '[m']]], "")</f>
        <v/>
      </c>
    </row>
    <row r="242" spans="86:86" ht="18" customHeight="1" x14ac:dyDescent="0.3">
      <c r="CH242" s="122" t="str">
        <f>IFERROR(TOWER_DATA[[#This Row],[Top '[m']]]-TOWER_DATA[[#This Row],[Bottom '[m']]], "")</f>
        <v/>
      </c>
    </row>
    <row r="243" spans="86:86" ht="18" customHeight="1" x14ac:dyDescent="0.3">
      <c r="CH243" s="122" t="str">
        <f>IFERROR(TOWER_DATA[[#This Row],[Top '[m']]]-TOWER_DATA[[#This Row],[Bottom '[m']]], "")</f>
        <v/>
      </c>
    </row>
    <row r="244" spans="86:86" ht="18" customHeight="1" x14ac:dyDescent="0.3">
      <c r="CH244" s="122" t="str">
        <f>IFERROR(TOWER_DATA[[#This Row],[Top '[m']]]-TOWER_DATA[[#This Row],[Bottom '[m']]], "")</f>
        <v/>
      </c>
    </row>
    <row r="245" spans="86:86" ht="18" customHeight="1" x14ac:dyDescent="0.3">
      <c r="CH245" s="122" t="str">
        <f>IFERROR(TOWER_DATA[[#This Row],[Top '[m']]]-TOWER_DATA[[#This Row],[Bottom '[m']]], "")</f>
        <v/>
      </c>
    </row>
    <row r="246" spans="86:86" ht="18" customHeight="1" x14ac:dyDescent="0.3">
      <c r="CH246" s="122" t="str">
        <f>IFERROR(TOWER_DATA[[#This Row],[Top '[m']]]-TOWER_DATA[[#This Row],[Bottom '[m']]], "")</f>
        <v/>
      </c>
    </row>
    <row r="247" spans="86:86" ht="18" customHeight="1" x14ac:dyDescent="0.3">
      <c r="CH247" s="122" t="str">
        <f>IFERROR(TOWER_DATA[[#This Row],[Top '[m']]]-TOWER_DATA[[#This Row],[Bottom '[m']]], "")</f>
        <v/>
      </c>
    </row>
    <row r="248" spans="86:86" ht="18" customHeight="1" x14ac:dyDescent="0.3">
      <c r="CH248" s="122" t="str">
        <f>IFERROR(TOWER_DATA[[#This Row],[Top '[m']]]-TOWER_DATA[[#This Row],[Bottom '[m']]], "")</f>
        <v/>
      </c>
    </row>
    <row r="249" spans="86:86" ht="18" customHeight="1" x14ac:dyDescent="0.3">
      <c r="CH249" s="122" t="str">
        <f>IFERROR(TOWER_DATA[[#This Row],[Top '[m']]]-TOWER_DATA[[#This Row],[Bottom '[m']]], "")</f>
        <v/>
      </c>
    </row>
    <row r="250" spans="86:86" ht="18" customHeight="1" x14ac:dyDescent="0.3">
      <c r="CH250" s="122" t="str">
        <f>IFERROR(TOWER_DATA[[#This Row],[Top '[m']]]-TOWER_DATA[[#This Row],[Bottom '[m']]], "")</f>
        <v/>
      </c>
    </row>
    <row r="251" spans="86:86" ht="18" customHeight="1" x14ac:dyDescent="0.3">
      <c r="CH251" s="122" t="str">
        <f>IFERROR(TOWER_DATA[[#This Row],[Top '[m']]]-TOWER_DATA[[#This Row],[Bottom '[m']]], "")</f>
        <v/>
      </c>
    </row>
    <row r="252" spans="86:86" ht="18" customHeight="1" x14ac:dyDescent="0.3">
      <c r="CH252" s="122" t="str">
        <f>IFERROR(TOWER_DATA[[#This Row],[Top '[m']]]-TOWER_DATA[[#This Row],[Bottom '[m']]], "")</f>
        <v/>
      </c>
    </row>
    <row r="253" spans="86:86" ht="18" customHeight="1" x14ac:dyDescent="0.3">
      <c r="CH253" s="122" t="str">
        <f>IFERROR(TOWER_DATA[[#This Row],[Top '[m']]]-TOWER_DATA[[#This Row],[Bottom '[m']]], "")</f>
        <v/>
      </c>
    </row>
    <row r="254" spans="86:86" ht="18" customHeight="1" x14ac:dyDescent="0.3">
      <c r="CH254" s="122" t="str">
        <f>IFERROR(TOWER_DATA[[#This Row],[Top '[m']]]-TOWER_DATA[[#This Row],[Bottom '[m']]], "")</f>
        <v/>
      </c>
    </row>
    <row r="255" spans="86:86" ht="18" customHeight="1" x14ac:dyDescent="0.3">
      <c r="CH255" s="122" t="str">
        <f>IFERROR(TOWER_DATA[[#This Row],[Top '[m']]]-TOWER_DATA[[#This Row],[Bottom '[m']]], "")</f>
        <v/>
      </c>
    </row>
    <row r="256" spans="86:86" ht="18" customHeight="1" x14ac:dyDescent="0.3">
      <c r="CH256" s="122" t="str">
        <f>IFERROR(TOWER_DATA[[#This Row],[Top '[m']]]-TOWER_DATA[[#This Row],[Bottom '[m']]], "")</f>
        <v/>
      </c>
    </row>
    <row r="257" spans="86:86" ht="18" customHeight="1" x14ac:dyDescent="0.3">
      <c r="CH257" s="122" t="str">
        <f>IFERROR(TOWER_DATA[[#This Row],[Top '[m']]]-TOWER_DATA[[#This Row],[Bottom '[m']]], "")</f>
        <v/>
      </c>
    </row>
    <row r="258" spans="86:86" ht="18" customHeight="1" x14ac:dyDescent="0.3">
      <c r="CH258" s="122" t="str">
        <f>IFERROR(TOWER_DATA[[#This Row],[Top '[m']]]-TOWER_DATA[[#This Row],[Bottom '[m']]], "")</f>
        <v/>
      </c>
    </row>
    <row r="259" spans="86:86" ht="18" customHeight="1" x14ac:dyDescent="0.3">
      <c r="CH259" s="122" t="str">
        <f>IFERROR(TOWER_DATA[[#This Row],[Top '[m']]]-TOWER_DATA[[#This Row],[Bottom '[m']]], "")</f>
        <v/>
      </c>
    </row>
    <row r="260" spans="86:86" ht="18" customHeight="1" x14ac:dyDescent="0.3">
      <c r="CH260" s="122" t="str">
        <f>IFERROR(TOWER_DATA[[#This Row],[Top '[m']]]-TOWER_DATA[[#This Row],[Bottom '[m']]], "")</f>
        <v/>
      </c>
    </row>
    <row r="261" spans="86:86" ht="18" customHeight="1" x14ac:dyDescent="0.3">
      <c r="CH261" s="122" t="str">
        <f>IFERROR(TOWER_DATA[[#This Row],[Top '[m']]]-TOWER_DATA[[#This Row],[Bottom '[m']]], "")</f>
        <v/>
      </c>
    </row>
    <row r="262" spans="86:86" ht="18" customHeight="1" x14ac:dyDescent="0.3">
      <c r="CH262" s="122" t="str">
        <f>IFERROR(TOWER_DATA[[#This Row],[Top '[m']]]-TOWER_DATA[[#This Row],[Bottom '[m']]], "")</f>
        <v/>
      </c>
    </row>
    <row r="263" spans="86:86" ht="18" customHeight="1" x14ac:dyDescent="0.3">
      <c r="CH263" s="122" t="str">
        <f>IFERROR(TOWER_DATA[[#This Row],[Top '[m']]]-TOWER_DATA[[#This Row],[Bottom '[m']]], "")</f>
        <v/>
      </c>
    </row>
    <row r="264" spans="86:86" ht="18" customHeight="1" x14ac:dyDescent="0.3">
      <c r="CH264" s="122" t="str">
        <f>IFERROR(TOWER_DATA[[#This Row],[Top '[m']]]-TOWER_DATA[[#This Row],[Bottom '[m']]], "")</f>
        <v/>
      </c>
    </row>
    <row r="265" spans="86:86" ht="18" customHeight="1" x14ac:dyDescent="0.3">
      <c r="CH265" s="122" t="str">
        <f>IFERROR(TOWER_DATA[[#This Row],[Top '[m']]]-TOWER_DATA[[#This Row],[Bottom '[m']]], "")</f>
        <v/>
      </c>
    </row>
    <row r="266" spans="86:86" ht="18" customHeight="1" x14ac:dyDescent="0.3">
      <c r="CH266" s="122" t="str">
        <f>IFERROR(TOWER_DATA[[#This Row],[Top '[m']]]-TOWER_DATA[[#This Row],[Bottom '[m']]], "")</f>
        <v/>
      </c>
    </row>
    <row r="267" spans="86:86" ht="18" customHeight="1" x14ac:dyDescent="0.3">
      <c r="CH267" s="122" t="str">
        <f>IFERROR(TOWER_DATA[[#This Row],[Top '[m']]]-TOWER_DATA[[#This Row],[Bottom '[m']]], "")</f>
        <v/>
      </c>
    </row>
    <row r="268" spans="86:86" ht="18" customHeight="1" x14ac:dyDescent="0.3">
      <c r="CH268" s="122" t="str">
        <f>IFERROR(TOWER_DATA[[#This Row],[Top '[m']]]-TOWER_DATA[[#This Row],[Bottom '[m']]], "")</f>
        <v/>
      </c>
    </row>
    <row r="269" spans="86:86" ht="18" customHeight="1" x14ac:dyDescent="0.3">
      <c r="CH269" s="122" t="str">
        <f>IFERROR(TOWER_DATA[[#This Row],[Top '[m']]]-TOWER_DATA[[#This Row],[Bottom '[m']]], "")</f>
        <v/>
      </c>
    </row>
    <row r="270" spans="86:86" ht="18" customHeight="1" x14ac:dyDescent="0.3">
      <c r="CH270" s="122" t="str">
        <f>IFERROR(TOWER_DATA[[#This Row],[Top '[m']]]-TOWER_DATA[[#This Row],[Bottom '[m']]], "")</f>
        <v/>
      </c>
    </row>
    <row r="271" spans="86:86" ht="18" customHeight="1" x14ac:dyDescent="0.3">
      <c r="CH271" s="122" t="str">
        <f>IFERROR(TOWER_DATA[[#This Row],[Top '[m']]]-TOWER_DATA[[#This Row],[Bottom '[m']]], "")</f>
        <v/>
      </c>
    </row>
    <row r="272" spans="86:86" ht="18" customHeight="1" x14ac:dyDescent="0.3">
      <c r="CH272" s="122" t="str">
        <f>IFERROR(TOWER_DATA[[#This Row],[Top '[m']]]-TOWER_DATA[[#This Row],[Bottom '[m']]], "")</f>
        <v/>
      </c>
    </row>
    <row r="273" spans="86:86" ht="18" customHeight="1" x14ac:dyDescent="0.3">
      <c r="CH273" s="122" t="str">
        <f>IFERROR(TOWER_DATA[[#This Row],[Top '[m']]]-TOWER_DATA[[#This Row],[Bottom '[m']]], "")</f>
        <v/>
      </c>
    </row>
    <row r="274" spans="86:86" ht="18" customHeight="1" x14ac:dyDescent="0.3">
      <c r="CH274" s="122" t="str">
        <f>IFERROR(TOWER_DATA[[#This Row],[Top '[m']]]-TOWER_DATA[[#This Row],[Bottom '[m']]], "")</f>
        <v/>
      </c>
    </row>
    <row r="275" spans="86:86" ht="18" customHeight="1" x14ac:dyDescent="0.3">
      <c r="CH275" s="122" t="str">
        <f>IFERROR(TOWER_DATA[[#This Row],[Top '[m']]]-TOWER_DATA[[#This Row],[Bottom '[m']]], "")</f>
        <v/>
      </c>
    </row>
    <row r="276" spans="86:86" ht="18" customHeight="1" x14ac:dyDescent="0.3">
      <c r="CH276" s="122" t="str">
        <f>IFERROR(TOWER_DATA[[#This Row],[Top '[m']]]-TOWER_DATA[[#This Row],[Bottom '[m']]], "")</f>
        <v/>
      </c>
    </row>
    <row r="277" spans="86:86" ht="18" customHeight="1" x14ac:dyDescent="0.3">
      <c r="CH277" s="122" t="str">
        <f>IFERROR(TOWER_DATA[[#This Row],[Top '[m']]]-TOWER_DATA[[#This Row],[Bottom '[m']]], "")</f>
        <v/>
      </c>
    </row>
    <row r="278" spans="86:86" ht="18" customHeight="1" x14ac:dyDescent="0.3">
      <c r="CH278" s="122" t="str">
        <f>IFERROR(TOWER_DATA[[#This Row],[Top '[m']]]-TOWER_DATA[[#This Row],[Bottom '[m']]], "")</f>
        <v/>
      </c>
    </row>
    <row r="279" spans="86:86" ht="18" customHeight="1" x14ac:dyDescent="0.3">
      <c r="CH279" s="122" t="str">
        <f>IFERROR(TOWER_DATA[[#This Row],[Top '[m']]]-TOWER_DATA[[#This Row],[Bottom '[m']]], "")</f>
        <v/>
      </c>
    </row>
    <row r="280" spans="86:86" ht="18" customHeight="1" x14ac:dyDescent="0.3">
      <c r="CH280" s="122" t="str">
        <f>IFERROR(TOWER_DATA[[#This Row],[Top '[m']]]-TOWER_DATA[[#This Row],[Bottom '[m']]], "")</f>
        <v/>
      </c>
    </row>
    <row r="281" spans="86:86" ht="18" customHeight="1" x14ac:dyDescent="0.3">
      <c r="CH281" s="122" t="str">
        <f>IFERROR(TOWER_DATA[[#This Row],[Top '[m']]]-TOWER_DATA[[#This Row],[Bottom '[m']]], "")</f>
        <v/>
      </c>
    </row>
    <row r="282" spans="86:86" ht="18" customHeight="1" x14ac:dyDescent="0.3">
      <c r="CH282" s="122" t="str">
        <f>IFERROR(TOWER_DATA[[#This Row],[Top '[m']]]-TOWER_DATA[[#This Row],[Bottom '[m']]], "")</f>
        <v/>
      </c>
    </row>
    <row r="283" spans="86:86" ht="18" customHeight="1" x14ac:dyDescent="0.3">
      <c r="CH283" s="122" t="str">
        <f>IFERROR(TOWER_DATA[[#This Row],[Top '[m']]]-TOWER_DATA[[#This Row],[Bottom '[m']]], "")</f>
        <v/>
      </c>
    </row>
    <row r="284" spans="86:86" ht="18" customHeight="1" x14ac:dyDescent="0.3">
      <c r="CH284" s="122" t="str">
        <f>IFERROR(TOWER_DATA[[#This Row],[Top '[m']]]-TOWER_DATA[[#This Row],[Bottom '[m']]], "")</f>
        <v/>
      </c>
    </row>
    <row r="285" spans="86:86" ht="18" customHeight="1" x14ac:dyDescent="0.3">
      <c r="CH285" s="122" t="str">
        <f>IFERROR(TOWER_DATA[[#This Row],[Top '[m']]]-TOWER_DATA[[#This Row],[Bottom '[m']]], "")</f>
        <v/>
      </c>
    </row>
    <row r="286" spans="86:86" ht="18" customHeight="1" x14ac:dyDescent="0.3">
      <c r="CH286" s="122" t="str">
        <f>IFERROR(TOWER_DATA[[#This Row],[Top '[m']]]-TOWER_DATA[[#This Row],[Bottom '[m']]], "")</f>
        <v/>
      </c>
    </row>
    <row r="287" spans="86:86" ht="18" customHeight="1" x14ac:dyDescent="0.3">
      <c r="CH287" s="122" t="str">
        <f>IFERROR(TOWER_DATA[[#This Row],[Top '[m']]]-TOWER_DATA[[#This Row],[Bottom '[m']]], "")</f>
        <v/>
      </c>
    </row>
    <row r="288" spans="86:86" ht="18" customHeight="1" x14ac:dyDescent="0.3">
      <c r="CH288" s="122" t="str">
        <f>IFERROR(TOWER_DATA[[#This Row],[Top '[m']]]-TOWER_DATA[[#This Row],[Bottom '[m']]], "")</f>
        <v/>
      </c>
    </row>
    <row r="289" spans="86:86" ht="18" customHeight="1" x14ac:dyDescent="0.3">
      <c r="CH289" s="122" t="str">
        <f>IFERROR(TOWER_DATA[[#This Row],[Top '[m']]]-TOWER_DATA[[#This Row],[Bottom '[m']]], "")</f>
        <v/>
      </c>
    </row>
    <row r="290" spans="86:86" ht="18" customHeight="1" x14ac:dyDescent="0.3">
      <c r="CH290" s="122" t="str">
        <f>IFERROR(TOWER_DATA[[#This Row],[Top '[m']]]-TOWER_DATA[[#This Row],[Bottom '[m']]], "")</f>
        <v/>
      </c>
    </row>
    <row r="291" spans="86:86" ht="18" customHeight="1" x14ac:dyDescent="0.3">
      <c r="CH291" s="122" t="str">
        <f>IFERROR(TOWER_DATA[[#This Row],[Top '[m']]]-TOWER_DATA[[#This Row],[Bottom '[m']]], "")</f>
        <v/>
      </c>
    </row>
    <row r="292" spans="86:86" ht="18" customHeight="1" x14ac:dyDescent="0.3">
      <c r="CH292" s="122" t="str">
        <f>IFERROR(TOWER_DATA[[#This Row],[Top '[m']]]-TOWER_DATA[[#This Row],[Bottom '[m']]], "")</f>
        <v/>
      </c>
    </row>
    <row r="293" spans="86:86" ht="18" customHeight="1" x14ac:dyDescent="0.3">
      <c r="CH293" s="122" t="str">
        <f>IFERROR(TOWER_DATA[[#This Row],[Top '[m']]]-TOWER_DATA[[#This Row],[Bottom '[m']]], "")</f>
        <v/>
      </c>
    </row>
    <row r="294" spans="86:86" ht="18" customHeight="1" x14ac:dyDescent="0.3">
      <c r="CH294" s="122" t="str">
        <f>IFERROR(TOWER_DATA[[#This Row],[Top '[m']]]-TOWER_DATA[[#This Row],[Bottom '[m']]], "")</f>
        <v/>
      </c>
    </row>
    <row r="295" spans="86:86" ht="18" customHeight="1" x14ac:dyDescent="0.3">
      <c r="CH295" s="122" t="str">
        <f>IFERROR(TOWER_DATA[[#This Row],[Top '[m']]]-TOWER_DATA[[#This Row],[Bottom '[m']]], "")</f>
        <v/>
      </c>
    </row>
    <row r="296" spans="86:86" ht="18" customHeight="1" x14ac:dyDescent="0.3">
      <c r="CH296" s="122" t="str">
        <f>IFERROR(TOWER_DATA[[#This Row],[Top '[m']]]-TOWER_DATA[[#This Row],[Bottom '[m']]], "")</f>
        <v/>
      </c>
    </row>
    <row r="297" spans="86:86" ht="18" customHeight="1" x14ac:dyDescent="0.3">
      <c r="CH297" s="122" t="str">
        <f>IFERROR(TOWER_DATA[[#This Row],[Top '[m']]]-TOWER_DATA[[#This Row],[Bottom '[m']]], "")</f>
        <v/>
      </c>
    </row>
    <row r="298" spans="86:86" ht="18" customHeight="1" x14ac:dyDescent="0.3">
      <c r="CH298" s="122" t="str">
        <f>IFERROR(TOWER_DATA[[#This Row],[Top '[m']]]-TOWER_DATA[[#This Row],[Bottom '[m']]], "")</f>
        <v/>
      </c>
    </row>
    <row r="299" spans="86:86" ht="18" customHeight="1" x14ac:dyDescent="0.3">
      <c r="CH299" s="122" t="str">
        <f>IFERROR(TOWER_DATA[[#This Row],[Top '[m']]]-TOWER_DATA[[#This Row],[Bottom '[m']]], "")</f>
        <v/>
      </c>
    </row>
    <row r="300" spans="86:86" ht="18" customHeight="1" x14ac:dyDescent="0.3">
      <c r="CH300" s="122" t="str">
        <f>IFERROR(TOWER_DATA[[#This Row],[Top '[m']]]-TOWER_DATA[[#This Row],[Bottom '[m']]], "")</f>
        <v/>
      </c>
    </row>
    <row r="301" spans="86:86" ht="18" customHeight="1" x14ac:dyDescent="0.3">
      <c r="CH301" s="122" t="str">
        <f>IFERROR(TOWER_DATA[[#This Row],[Top '[m']]]-TOWER_DATA[[#This Row],[Bottom '[m']]], "")</f>
        <v/>
      </c>
    </row>
    <row r="302" spans="86:86" ht="18" customHeight="1" x14ac:dyDescent="0.3">
      <c r="CH302" s="122" t="str">
        <f>IFERROR(TOWER_DATA[[#This Row],[Top '[m']]]-TOWER_DATA[[#This Row],[Bottom '[m']]], "")</f>
        <v/>
      </c>
    </row>
    <row r="303" spans="86:86" ht="18" customHeight="1" x14ac:dyDescent="0.3">
      <c r="CH303" s="122" t="str">
        <f>IFERROR(TOWER_DATA[[#This Row],[Top '[m']]]-TOWER_DATA[[#This Row],[Bottom '[m']]], "")</f>
        <v/>
      </c>
    </row>
    <row r="304" spans="86:86" ht="18" customHeight="1" x14ac:dyDescent="0.3">
      <c r="CH304" s="122" t="str">
        <f>IFERROR(TOWER_DATA[[#This Row],[Top '[m']]]-TOWER_DATA[[#This Row],[Bottom '[m']]], "")</f>
        <v/>
      </c>
    </row>
    <row r="305" spans="86:86" ht="18" customHeight="1" x14ac:dyDescent="0.3">
      <c r="CH305" s="122" t="str">
        <f>IFERROR(TOWER_DATA[[#This Row],[Top '[m']]]-TOWER_DATA[[#This Row],[Bottom '[m']]], "")</f>
        <v/>
      </c>
    </row>
    <row r="306" spans="86:86" ht="18" customHeight="1" x14ac:dyDescent="0.3">
      <c r="CH306" s="122" t="str">
        <f>IFERROR(TOWER_DATA[[#This Row],[Top '[m']]]-TOWER_DATA[[#This Row],[Bottom '[m']]], "")</f>
        <v/>
      </c>
    </row>
    <row r="307" spans="86:86" ht="18" customHeight="1" x14ac:dyDescent="0.3">
      <c r="CH307" s="122" t="str">
        <f>IFERROR(TOWER_DATA[[#This Row],[Top '[m']]]-TOWER_DATA[[#This Row],[Bottom '[m']]], "")</f>
        <v/>
      </c>
    </row>
    <row r="308" spans="86:86" ht="18" customHeight="1" x14ac:dyDescent="0.3">
      <c r="CH308" s="122" t="str">
        <f>IFERROR(TOWER_DATA[[#This Row],[Top '[m']]]-TOWER_DATA[[#This Row],[Bottom '[m']]], "")</f>
        <v/>
      </c>
    </row>
    <row r="309" spans="86:86" ht="18" customHeight="1" x14ac:dyDescent="0.3">
      <c r="CH309" s="122" t="str">
        <f>IFERROR(TOWER_DATA[[#This Row],[Top '[m']]]-TOWER_DATA[[#This Row],[Bottom '[m']]], "")</f>
        <v/>
      </c>
    </row>
    <row r="310" spans="86:86" ht="18" customHeight="1" x14ac:dyDescent="0.3">
      <c r="CH310" s="122" t="str">
        <f>IFERROR(TOWER_DATA[[#This Row],[Top '[m']]]-TOWER_DATA[[#This Row],[Bottom '[m']]], "")</f>
        <v/>
      </c>
    </row>
    <row r="311" spans="86:86" ht="18" customHeight="1" x14ac:dyDescent="0.3">
      <c r="CH311" s="122" t="str">
        <f>IFERROR(TOWER_DATA[[#This Row],[Top '[m']]]-TOWER_DATA[[#This Row],[Bottom '[m']]], "")</f>
        <v/>
      </c>
    </row>
    <row r="312" spans="86:86" ht="18" customHeight="1" x14ac:dyDescent="0.3">
      <c r="CH312" s="122" t="str">
        <f>IFERROR(TOWER_DATA[[#This Row],[Top '[m']]]-TOWER_DATA[[#This Row],[Bottom '[m']]], "")</f>
        <v/>
      </c>
    </row>
    <row r="313" spans="86:86" ht="18" customHeight="1" x14ac:dyDescent="0.3">
      <c r="CH313" s="122" t="str">
        <f>IFERROR(TOWER_DATA[[#This Row],[Top '[m']]]-TOWER_DATA[[#This Row],[Bottom '[m']]], "")</f>
        <v/>
      </c>
    </row>
    <row r="314" spans="86:86" ht="18" customHeight="1" x14ac:dyDescent="0.3">
      <c r="CH314" s="122" t="str">
        <f>IFERROR(TOWER_DATA[[#This Row],[Top '[m']]]-TOWER_DATA[[#This Row],[Bottom '[m']]], "")</f>
        <v/>
      </c>
    </row>
    <row r="315" spans="86:86" ht="18" customHeight="1" x14ac:dyDescent="0.3">
      <c r="CH315" s="122" t="str">
        <f>IFERROR(TOWER_DATA[[#This Row],[Top '[m']]]-TOWER_DATA[[#This Row],[Bottom '[m']]], "")</f>
        <v/>
      </c>
    </row>
    <row r="316" spans="86:86" ht="18" customHeight="1" x14ac:dyDescent="0.3">
      <c r="CH316" s="122" t="str">
        <f>IFERROR(TOWER_DATA[[#This Row],[Top '[m']]]-TOWER_DATA[[#This Row],[Bottom '[m']]], "")</f>
        <v/>
      </c>
    </row>
    <row r="317" spans="86:86" ht="18" customHeight="1" x14ac:dyDescent="0.3">
      <c r="CH317" s="122" t="str">
        <f>IFERROR(TOWER_DATA[[#This Row],[Top '[m']]]-TOWER_DATA[[#This Row],[Bottom '[m']]], "")</f>
        <v/>
      </c>
    </row>
    <row r="318" spans="86:86" ht="18" customHeight="1" x14ac:dyDescent="0.3">
      <c r="CH318" s="122" t="str">
        <f>IFERROR(TOWER_DATA[[#This Row],[Top '[m']]]-TOWER_DATA[[#This Row],[Bottom '[m']]], "")</f>
        <v/>
      </c>
    </row>
    <row r="319" spans="86:86" ht="18" customHeight="1" x14ac:dyDescent="0.3">
      <c r="CH319" s="122" t="str">
        <f>IFERROR(TOWER_DATA[[#This Row],[Top '[m']]]-TOWER_DATA[[#This Row],[Bottom '[m']]], "")</f>
        <v/>
      </c>
    </row>
    <row r="320" spans="86:86" ht="18" customHeight="1" x14ac:dyDescent="0.3">
      <c r="CH320" s="122" t="str">
        <f>IFERROR(TOWER_DATA[[#This Row],[Top '[m']]]-TOWER_DATA[[#This Row],[Bottom '[m']]], "")</f>
        <v/>
      </c>
    </row>
    <row r="321" spans="86:86" ht="18" customHeight="1" x14ac:dyDescent="0.3">
      <c r="CH321" s="122" t="str">
        <f>IFERROR(TOWER_DATA[[#This Row],[Top '[m']]]-TOWER_DATA[[#This Row],[Bottom '[m']]], "")</f>
        <v/>
      </c>
    </row>
    <row r="322" spans="86:86" ht="18" customHeight="1" x14ac:dyDescent="0.3">
      <c r="CH322" s="122" t="str">
        <f>IFERROR(TOWER_DATA[[#This Row],[Top '[m']]]-TOWER_DATA[[#This Row],[Bottom '[m']]], "")</f>
        <v/>
      </c>
    </row>
    <row r="323" spans="86:86" ht="18" customHeight="1" x14ac:dyDescent="0.3">
      <c r="CH323" s="122" t="str">
        <f>IFERROR(TOWER_DATA[[#This Row],[Top '[m']]]-TOWER_DATA[[#This Row],[Bottom '[m']]], "")</f>
        <v/>
      </c>
    </row>
    <row r="324" spans="86:86" ht="18" customHeight="1" x14ac:dyDescent="0.3">
      <c r="CH324" s="122" t="str">
        <f>IFERROR(TOWER_DATA[[#This Row],[Top '[m']]]-TOWER_DATA[[#This Row],[Bottom '[m']]], "")</f>
        <v/>
      </c>
    </row>
    <row r="325" spans="86:86" ht="18" customHeight="1" x14ac:dyDescent="0.3">
      <c r="CH325" s="122" t="str">
        <f>IFERROR(TOWER_DATA[[#This Row],[Top '[m']]]-TOWER_DATA[[#This Row],[Bottom '[m']]], "")</f>
        <v/>
      </c>
    </row>
    <row r="326" spans="86:86" ht="18" customHeight="1" x14ac:dyDescent="0.3">
      <c r="CH326" s="122" t="str">
        <f>IFERROR(TOWER_DATA[[#This Row],[Top '[m']]]-TOWER_DATA[[#This Row],[Bottom '[m']]], "")</f>
        <v/>
      </c>
    </row>
    <row r="327" spans="86:86" ht="18" customHeight="1" x14ac:dyDescent="0.3">
      <c r="CH327" s="122" t="str">
        <f>IFERROR(TOWER_DATA[[#This Row],[Top '[m']]]-TOWER_DATA[[#This Row],[Bottom '[m']]], "")</f>
        <v/>
      </c>
    </row>
    <row r="328" spans="86:86" ht="18" customHeight="1" x14ac:dyDescent="0.3">
      <c r="CH328" s="122" t="str">
        <f>IFERROR(TOWER_DATA[[#This Row],[Top '[m']]]-TOWER_DATA[[#This Row],[Bottom '[m']]], "")</f>
        <v/>
      </c>
    </row>
    <row r="329" spans="86:86" ht="18" customHeight="1" x14ac:dyDescent="0.3">
      <c r="CH329" s="122" t="str">
        <f>IFERROR(TOWER_DATA[[#This Row],[Top '[m']]]-TOWER_DATA[[#This Row],[Bottom '[m']]], "")</f>
        <v/>
      </c>
    </row>
    <row r="330" spans="86:86" ht="18" customHeight="1" x14ac:dyDescent="0.3">
      <c r="CH330" s="122" t="str">
        <f>IFERROR(TOWER_DATA[[#This Row],[Top '[m']]]-TOWER_DATA[[#This Row],[Bottom '[m']]], "")</f>
        <v/>
      </c>
    </row>
    <row r="331" spans="86:86" ht="18" customHeight="1" x14ac:dyDescent="0.3">
      <c r="CH331" s="122" t="str">
        <f>IFERROR(TOWER_DATA[[#This Row],[Top '[m']]]-TOWER_DATA[[#This Row],[Bottom '[m']]], "")</f>
        <v/>
      </c>
    </row>
    <row r="332" spans="86:86" ht="18" customHeight="1" x14ac:dyDescent="0.3">
      <c r="CH332" s="122" t="str">
        <f>IFERROR(TOWER_DATA[[#This Row],[Top '[m']]]-TOWER_DATA[[#This Row],[Bottom '[m']]], "")</f>
        <v/>
      </c>
    </row>
    <row r="333" spans="86:86" ht="18" customHeight="1" x14ac:dyDescent="0.3">
      <c r="CH333" s="122" t="str">
        <f>IFERROR(TOWER_DATA[[#This Row],[Top '[m']]]-TOWER_DATA[[#This Row],[Bottom '[m']]], "")</f>
        <v/>
      </c>
    </row>
    <row r="334" spans="86:86" ht="18" customHeight="1" x14ac:dyDescent="0.3">
      <c r="CH334" s="122" t="str">
        <f>IFERROR(TOWER_DATA[[#This Row],[Top '[m']]]-TOWER_DATA[[#This Row],[Bottom '[m']]], "")</f>
        <v/>
      </c>
    </row>
    <row r="335" spans="86:86" ht="18" customHeight="1" x14ac:dyDescent="0.3">
      <c r="CH335" s="122" t="str">
        <f>IFERROR(TOWER_DATA[[#This Row],[Top '[m']]]-TOWER_DATA[[#This Row],[Bottom '[m']]], "")</f>
        <v/>
      </c>
    </row>
    <row r="336" spans="86:86" ht="18" customHeight="1" x14ac:dyDescent="0.3">
      <c r="CH336" s="122" t="str">
        <f>IFERROR(TOWER_DATA[[#This Row],[Top '[m']]]-TOWER_DATA[[#This Row],[Bottom '[m']]], "")</f>
        <v/>
      </c>
    </row>
    <row r="337" spans="86:86" ht="18" customHeight="1" x14ac:dyDescent="0.3">
      <c r="CH337" s="122" t="str">
        <f>IFERROR(TOWER_DATA[[#This Row],[Top '[m']]]-TOWER_DATA[[#This Row],[Bottom '[m']]], "")</f>
        <v/>
      </c>
    </row>
    <row r="338" spans="86:86" ht="18" customHeight="1" x14ac:dyDescent="0.3">
      <c r="CH338" s="122" t="str">
        <f>IFERROR(TOWER_DATA[[#This Row],[Top '[m']]]-TOWER_DATA[[#This Row],[Bottom '[m']]], "")</f>
        <v/>
      </c>
    </row>
    <row r="339" spans="86:86" ht="18" customHeight="1" x14ac:dyDescent="0.3">
      <c r="CH339" s="122" t="str">
        <f>IFERROR(TOWER_DATA[[#This Row],[Top '[m']]]-TOWER_DATA[[#This Row],[Bottom '[m']]], "")</f>
        <v/>
      </c>
    </row>
    <row r="340" spans="86:86" ht="18" customHeight="1" x14ac:dyDescent="0.3">
      <c r="CH340" s="122" t="str">
        <f>IFERROR(TOWER_DATA[[#This Row],[Top '[m']]]-TOWER_DATA[[#This Row],[Bottom '[m']]], "")</f>
        <v/>
      </c>
    </row>
    <row r="341" spans="86:86" ht="18" customHeight="1" x14ac:dyDescent="0.3">
      <c r="CH341" s="122" t="str">
        <f>IFERROR(TOWER_DATA[[#This Row],[Top '[m']]]-TOWER_DATA[[#This Row],[Bottom '[m']]], "")</f>
        <v/>
      </c>
    </row>
    <row r="342" spans="86:86" ht="18" customHeight="1" x14ac:dyDescent="0.3">
      <c r="CH342" s="122" t="str">
        <f>IFERROR(TOWER_DATA[[#This Row],[Top '[m']]]-TOWER_DATA[[#This Row],[Bottom '[m']]], "")</f>
        <v/>
      </c>
    </row>
    <row r="343" spans="86:86" ht="18" customHeight="1" x14ac:dyDescent="0.3">
      <c r="CH343" s="122" t="str">
        <f>IFERROR(TOWER_DATA[[#This Row],[Top '[m']]]-TOWER_DATA[[#This Row],[Bottom '[m']]], "")</f>
        <v/>
      </c>
    </row>
    <row r="344" spans="86:86" ht="18" customHeight="1" x14ac:dyDescent="0.3">
      <c r="CH344" s="122" t="str">
        <f>IFERROR(TOWER_DATA[[#This Row],[Top '[m']]]-TOWER_DATA[[#This Row],[Bottom '[m']]], "")</f>
        <v/>
      </c>
    </row>
    <row r="345" spans="86:86" ht="18" customHeight="1" x14ac:dyDescent="0.3">
      <c r="CH345" s="122" t="str">
        <f>IFERROR(TOWER_DATA[[#This Row],[Top '[m']]]-TOWER_DATA[[#This Row],[Bottom '[m']]], "")</f>
        <v/>
      </c>
    </row>
    <row r="346" spans="86:86" ht="18" customHeight="1" x14ac:dyDescent="0.3">
      <c r="CH346" s="122" t="str">
        <f>IFERROR(TOWER_DATA[[#This Row],[Top '[m']]]-TOWER_DATA[[#This Row],[Bottom '[m']]], "")</f>
        <v/>
      </c>
    </row>
    <row r="347" spans="86:86" ht="18" customHeight="1" x14ac:dyDescent="0.3">
      <c r="CH347" s="122" t="str">
        <f>IFERROR(TOWER_DATA[[#This Row],[Top '[m']]]-TOWER_DATA[[#This Row],[Bottom '[m']]], "")</f>
        <v/>
      </c>
    </row>
    <row r="348" spans="86:86" ht="18" customHeight="1" x14ac:dyDescent="0.3">
      <c r="CH348" s="122" t="str">
        <f>IFERROR(TOWER_DATA[[#This Row],[Top '[m']]]-TOWER_DATA[[#This Row],[Bottom '[m']]], "")</f>
        <v/>
      </c>
    </row>
    <row r="349" spans="86:86" ht="18" customHeight="1" x14ac:dyDescent="0.3">
      <c r="CH349" s="122" t="str">
        <f>IFERROR(TOWER_DATA[[#This Row],[Top '[m']]]-TOWER_DATA[[#This Row],[Bottom '[m']]], "")</f>
        <v/>
      </c>
    </row>
    <row r="350" spans="86:86" ht="18" customHeight="1" x14ac:dyDescent="0.3">
      <c r="CH350" s="122" t="str">
        <f>IFERROR(TOWER_DATA[[#This Row],[Top '[m']]]-TOWER_DATA[[#This Row],[Bottom '[m']]], "")</f>
        <v/>
      </c>
    </row>
    <row r="351" spans="86:86" ht="18" customHeight="1" x14ac:dyDescent="0.3">
      <c r="CH351" s="122" t="str">
        <f>IFERROR(TOWER_DATA[[#This Row],[Top '[m']]]-TOWER_DATA[[#This Row],[Bottom '[m']]], "")</f>
        <v/>
      </c>
    </row>
    <row r="352" spans="86:86" ht="18" customHeight="1" x14ac:dyDescent="0.3">
      <c r="CH352" s="122" t="str">
        <f>IFERROR(TOWER_DATA[[#This Row],[Top '[m']]]-TOWER_DATA[[#This Row],[Bottom '[m']]], "")</f>
        <v/>
      </c>
    </row>
    <row r="353" spans="86:86" ht="18" customHeight="1" x14ac:dyDescent="0.3">
      <c r="CH353" s="122" t="str">
        <f>IFERROR(TOWER_DATA[[#This Row],[Top '[m']]]-TOWER_DATA[[#This Row],[Bottom '[m']]], "")</f>
        <v/>
      </c>
    </row>
    <row r="354" spans="86:86" ht="18" customHeight="1" x14ac:dyDescent="0.3">
      <c r="CH354" s="122" t="str">
        <f>IFERROR(TOWER_DATA[[#This Row],[Top '[m']]]-TOWER_DATA[[#This Row],[Bottom '[m']]], "")</f>
        <v/>
      </c>
    </row>
    <row r="355" spans="86:86" ht="18" customHeight="1" x14ac:dyDescent="0.3">
      <c r="CH355" s="122" t="str">
        <f>IFERROR(TOWER_DATA[[#This Row],[Top '[m']]]-TOWER_DATA[[#This Row],[Bottom '[m']]], "")</f>
        <v/>
      </c>
    </row>
    <row r="356" spans="86:86" ht="18" customHeight="1" x14ac:dyDescent="0.3">
      <c r="CH356" s="122" t="str">
        <f>IFERROR(TOWER_DATA[[#This Row],[Top '[m']]]-TOWER_DATA[[#This Row],[Bottom '[m']]], "")</f>
        <v/>
      </c>
    </row>
    <row r="357" spans="86:86" ht="18" customHeight="1" x14ac:dyDescent="0.3">
      <c r="CH357" s="122" t="str">
        <f>IFERROR(TOWER_DATA[[#This Row],[Top '[m']]]-TOWER_DATA[[#This Row],[Bottom '[m']]], "")</f>
        <v/>
      </c>
    </row>
    <row r="358" spans="86:86" ht="18" customHeight="1" x14ac:dyDescent="0.3">
      <c r="CH358" s="122" t="str">
        <f>IFERROR(TOWER_DATA[[#This Row],[Top '[m']]]-TOWER_DATA[[#This Row],[Bottom '[m']]], "")</f>
        <v/>
      </c>
    </row>
    <row r="359" spans="86:86" ht="18" customHeight="1" x14ac:dyDescent="0.3">
      <c r="CH359" s="122" t="str">
        <f>IFERROR(TOWER_DATA[[#This Row],[Top '[m']]]-TOWER_DATA[[#This Row],[Bottom '[m']]], "")</f>
        <v/>
      </c>
    </row>
    <row r="360" spans="86:86" ht="18" customHeight="1" x14ac:dyDescent="0.3">
      <c r="CH360" s="122" t="str">
        <f>IFERROR(TOWER_DATA[[#This Row],[Top '[m']]]-TOWER_DATA[[#This Row],[Bottom '[m']]], "")</f>
        <v/>
      </c>
    </row>
    <row r="361" spans="86:86" ht="18" customHeight="1" x14ac:dyDescent="0.3">
      <c r="CH361" s="122" t="str">
        <f>IFERROR(TOWER_DATA[[#This Row],[Top '[m']]]-TOWER_DATA[[#This Row],[Bottom '[m']]], "")</f>
        <v/>
      </c>
    </row>
    <row r="362" spans="86:86" ht="18" customHeight="1" x14ac:dyDescent="0.3">
      <c r="CH362" s="122" t="str">
        <f>IFERROR(TOWER_DATA[[#This Row],[Top '[m']]]-TOWER_DATA[[#This Row],[Bottom '[m']]], "")</f>
        <v/>
      </c>
    </row>
    <row r="363" spans="86:86" ht="18" customHeight="1" x14ac:dyDescent="0.3">
      <c r="CH363" s="122" t="str">
        <f>IFERROR(TOWER_DATA[[#This Row],[Top '[m']]]-TOWER_DATA[[#This Row],[Bottom '[m']]], "")</f>
        <v/>
      </c>
    </row>
    <row r="364" spans="86:86" ht="18" customHeight="1" x14ac:dyDescent="0.3">
      <c r="CH364" s="122" t="str">
        <f>IFERROR(TOWER_DATA[[#This Row],[Top '[m']]]-TOWER_DATA[[#This Row],[Bottom '[m']]], "")</f>
        <v/>
      </c>
    </row>
    <row r="365" spans="86:86" ht="18" customHeight="1" x14ac:dyDescent="0.3">
      <c r="CH365" s="122" t="str">
        <f>IFERROR(TOWER_DATA[[#This Row],[Top '[m']]]-TOWER_DATA[[#This Row],[Bottom '[m']]], "")</f>
        <v/>
      </c>
    </row>
    <row r="366" spans="86:86" ht="18" customHeight="1" x14ac:dyDescent="0.3">
      <c r="CH366" s="122" t="str">
        <f>IFERROR(TOWER_DATA[[#This Row],[Top '[m']]]-TOWER_DATA[[#This Row],[Bottom '[m']]], "")</f>
        <v/>
      </c>
    </row>
    <row r="367" spans="86:86" ht="18" customHeight="1" x14ac:dyDescent="0.3">
      <c r="CH367" s="122" t="str">
        <f>IFERROR(TOWER_DATA[[#This Row],[Top '[m']]]-TOWER_DATA[[#This Row],[Bottom '[m']]], "")</f>
        <v/>
      </c>
    </row>
    <row r="368" spans="86:86" ht="18" customHeight="1" x14ac:dyDescent="0.3">
      <c r="CH368" s="122" t="str">
        <f>IFERROR(TOWER_DATA[[#This Row],[Top '[m']]]-TOWER_DATA[[#This Row],[Bottom '[m']]], "")</f>
        <v/>
      </c>
    </row>
    <row r="369" spans="86:86" ht="18" customHeight="1" x14ac:dyDescent="0.3">
      <c r="CH369" s="122" t="str">
        <f>IFERROR(TOWER_DATA[[#This Row],[Top '[m']]]-TOWER_DATA[[#This Row],[Bottom '[m']]], "")</f>
        <v/>
      </c>
    </row>
    <row r="370" spans="86:86" ht="18" customHeight="1" x14ac:dyDescent="0.3">
      <c r="CH370" s="122" t="str">
        <f>IFERROR(TOWER_DATA[[#This Row],[Top '[m']]]-TOWER_DATA[[#This Row],[Bottom '[m']]], "")</f>
        <v/>
      </c>
    </row>
    <row r="371" spans="86:86" ht="18" customHeight="1" x14ac:dyDescent="0.3">
      <c r="CH371" s="122" t="str">
        <f>IFERROR(TOWER_DATA[[#This Row],[Top '[m']]]-TOWER_DATA[[#This Row],[Bottom '[m']]], "")</f>
        <v/>
      </c>
    </row>
    <row r="372" spans="86:86" ht="18" customHeight="1" x14ac:dyDescent="0.3">
      <c r="CH372" s="122" t="str">
        <f>IFERROR(TOWER_DATA[[#This Row],[Top '[m']]]-TOWER_DATA[[#This Row],[Bottom '[m']]], "")</f>
        <v/>
      </c>
    </row>
    <row r="373" spans="86:86" ht="18" customHeight="1" x14ac:dyDescent="0.3">
      <c r="CH373" s="122" t="str">
        <f>IFERROR(TOWER_DATA[[#This Row],[Top '[m']]]-TOWER_DATA[[#This Row],[Bottom '[m']]], "")</f>
        <v/>
      </c>
    </row>
    <row r="374" spans="86:86" ht="18" customHeight="1" x14ac:dyDescent="0.3">
      <c r="CH374" s="122" t="str">
        <f>IFERROR(TOWER_DATA[[#This Row],[Top '[m']]]-TOWER_DATA[[#This Row],[Bottom '[m']]], "")</f>
        <v/>
      </c>
    </row>
    <row r="375" spans="86:86" ht="18" customHeight="1" x14ac:dyDescent="0.3">
      <c r="CH375" s="122" t="str">
        <f>IFERROR(TOWER_DATA[[#This Row],[Top '[m']]]-TOWER_DATA[[#This Row],[Bottom '[m']]], "")</f>
        <v/>
      </c>
    </row>
    <row r="376" spans="86:86" ht="18" customHeight="1" x14ac:dyDescent="0.3">
      <c r="CH376" s="122" t="str">
        <f>IFERROR(TOWER_DATA[[#This Row],[Top '[m']]]-TOWER_DATA[[#This Row],[Bottom '[m']]], "")</f>
        <v/>
      </c>
    </row>
    <row r="377" spans="86:86" ht="18" customHeight="1" x14ac:dyDescent="0.3">
      <c r="CH377" s="122" t="str">
        <f>IFERROR(TOWER_DATA[[#This Row],[Top '[m']]]-TOWER_DATA[[#This Row],[Bottom '[m']]], "")</f>
        <v/>
      </c>
    </row>
    <row r="378" spans="86:86" ht="18" customHeight="1" x14ac:dyDescent="0.3">
      <c r="CH378" s="122" t="str">
        <f>IFERROR(TOWER_DATA[[#This Row],[Top '[m']]]-TOWER_DATA[[#This Row],[Bottom '[m']]], "")</f>
        <v/>
      </c>
    </row>
    <row r="379" spans="86:86" ht="18" customHeight="1" x14ac:dyDescent="0.3">
      <c r="CH379" s="122" t="str">
        <f>IFERROR(TOWER_DATA[[#This Row],[Top '[m']]]-TOWER_DATA[[#This Row],[Bottom '[m']]], "")</f>
        <v/>
      </c>
    </row>
    <row r="380" spans="86:86" ht="18" customHeight="1" x14ac:dyDescent="0.3">
      <c r="CH380" s="122" t="str">
        <f>IFERROR(TOWER_DATA[[#This Row],[Top '[m']]]-TOWER_DATA[[#This Row],[Bottom '[m']]], "")</f>
        <v/>
      </c>
    </row>
    <row r="381" spans="86:86" ht="18" customHeight="1" x14ac:dyDescent="0.3">
      <c r="CH381" s="122" t="str">
        <f>IFERROR(TOWER_DATA[[#This Row],[Top '[m']]]-TOWER_DATA[[#This Row],[Bottom '[m']]], "")</f>
        <v/>
      </c>
    </row>
    <row r="382" spans="86:86" ht="18" customHeight="1" x14ac:dyDescent="0.3">
      <c r="CH382" s="122" t="str">
        <f>IFERROR(TOWER_DATA[[#This Row],[Top '[m']]]-TOWER_DATA[[#This Row],[Bottom '[m']]], "")</f>
        <v/>
      </c>
    </row>
    <row r="383" spans="86:86" ht="18" customHeight="1" x14ac:dyDescent="0.3">
      <c r="CH383" s="122" t="str">
        <f>IFERROR(TOWER_DATA[[#This Row],[Top '[m']]]-TOWER_DATA[[#This Row],[Bottom '[m']]], "")</f>
        <v/>
      </c>
    </row>
    <row r="384" spans="86:86" ht="18" customHeight="1" x14ac:dyDescent="0.3">
      <c r="CH384" s="122" t="str">
        <f>IFERROR(TOWER_DATA[[#This Row],[Top '[m']]]-TOWER_DATA[[#This Row],[Bottom '[m']]], "")</f>
        <v/>
      </c>
    </row>
    <row r="385" spans="86:86" ht="18" customHeight="1" x14ac:dyDescent="0.3">
      <c r="CH385" s="122" t="str">
        <f>IFERROR(TOWER_DATA[[#This Row],[Top '[m']]]-TOWER_DATA[[#This Row],[Bottom '[m']]], "")</f>
        <v/>
      </c>
    </row>
    <row r="386" spans="86:86" ht="18" customHeight="1" x14ac:dyDescent="0.3">
      <c r="CH386" s="122" t="str">
        <f>IFERROR(TOWER_DATA[[#This Row],[Top '[m']]]-TOWER_DATA[[#This Row],[Bottom '[m']]], "")</f>
        <v/>
      </c>
    </row>
    <row r="387" spans="86:86" ht="18" customHeight="1" x14ac:dyDescent="0.3">
      <c r="CH387" s="122" t="str">
        <f>IFERROR(TOWER_DATA[[#This Row],[Top '[m']]]-TOWER_DATA[[#This Row],[Bottom '[m']]], "")</f>
        <v/>
      </c>
    </row>
    <row r="388" spans="86:86" ht="18" customHeight="1" x14ac:dyDescent="0.3">
      <c r="CH388" s="122" t="str">
        <f>IFERROR(TOWER_DATA[[#This Row],[Top '[m']]]-TOWER_DATA[[#This Row],[Bottom '[m']]], "")</f>
        <v/>
      </c>
    </row>
    <row r="389" spans="86:86" ht="18" customHeight="1" x14ac:dyDescent="0.3">
      <c r="CH389" s="122" t="str">
        <f>IFERROR(TOWER_DATA[[#This Row],[Top '[m']]]-TOWER_DATA[[#This Row],[Bottom '[m']]], "")</f>
        <v/>
      </c>
    </row>
    <row r="390" spans="86:86" ht="18" customHeight="1" x14ac:dyDescent="0.3">
      <c r="CH390" s="122" t="str">
        <f>IFERROR(TOWER_DATA[[#This Row],[Top '[m']]]-TOWER_DATA[[#This Row],[Bottom '[m']]], "")</f>
        <v/>
      </c>
    </row>
    <row r="391" spans="86:86" ht="18" customHeight="1" x14ac:dyDescent="0.3">
      <c r="CH391" s="122" t="str">
        <f>IFERROR(TOWER_DATA[[#This Row],[Top '[m']]]-TOWER_DATA[[#This Row],[Bottom '[m']]], "")</f>
        <v/>
      </c>
    </row>
    <row r="392" spans="86:86" ht="18" customHeight="1" x14ac:dyDescent="0.3">
      <c r="CH392" s="122" t="str">
        <f>IFERROR(TOWER_DATA[[#This Row],[Top '[m']]]-TOWER_DATA[[#This Row],[Bottom '[m']]], "")</f>
        <v/>
      </c>
    </row>
    <row r="393" spans="86:86" ht="18" customHeight="1" x14ac:dyDescent="0.3">
      <c r="CH393" s="122" t="str">
        <f>IFERROR(TOWER_DATA[[#This Row],[Top '[m']]]-TOWER_DATA[[#This Row],[Bottom '[m']]], "")</f>
        <v/>
      </c>
    </row>
    <row r="394" spans="86:86" ht="18" customHeight="1" x14ac:dyDescent="0.3">
      <c r="CH394" s="122" t="str">
        <f>IFERROR(TOWER_DATA[[#This Row],[Top '[m']]]-TOWER_DATA[[#This Row],[Bottom '[m']]], "")</f>
        <v/>
      </c>
    </row>
    <row r="395" spans="86:86" ht="18" customHeight="1" x14ac:dyDescent="0.3">
      <c r="CH395" s="122" t="str">
        <f>IFERROR(TOWER_DATA[[#This Row],[Top '[m']]]-TOWER_DATA[[#This Row],[Bottom '[m']]], "")</f>
        <v/>
      </c>
    </row>
    <row r="396" spans="86:86" ht="18" customHeight="1" x14ac:dyDescent="0.3">
      <c r="CH396" s="122" t="str">
        <f>IFERROR(TOWER_DATA[[#This Row],[Top '[m']]]-TOWER_DATA[[#This Row],[Bottom '[m']]], "")</f>
        <v/>
      </c>
    </row>
    <row r="397" spans="86:86" ht="18" customHeight="1" x14ac:dyDescent="0.3">
      <c r="CH397" s="122" t="str">
        <f>IFERROR(TOWER_DATA[[#This Row],[Top '[m']]]-TOWER_DATA[[#This Row],[Bottom '[m']]], "")</f>
        <v/>
      </c>
    </row>
    <row r="398" spans="86:86" ht="18" customHeight="1" x14ac:dyDescent="0.3">
      <c r="CH398" s="122" t="str">
        <f>IFERROR(TOWER_DATA[[#This Row],[Top '[m']]]-TOWER_DATA[[#This Row],[Bottom '[m']]], "")</f>
        <v/>
      </c>
    </row>
    <row r="399" spans="86:86" ht="18" customHeight="1" x14ac:dyDescent="0.3">
      <c r="CH399" s="122" t="str">
        <f>IFERROR(TOWER_DATA[[#This Row],[Top '[m']]]-TOWER_DATA[[#This Row],[Bottom '[m']]], "")</f>
        <v/>
      </c>
    </row>
    <row r="400" spans="86:86" ht="18" customHeight="1" x14ac:dyDescent="0.3">
      <c r="CH400" s="122" t="str">
        <f>IFERROR(TOWER_DATA[[#This Row],[Top '[m']]]-TOWER_DATA[[#This Row],[Bottom '[m']]], "")</f>
        <v/>
      </c>
    </row>
    <row r="401" spans="86:86" ht="18" customHeight="1" x14ac:dyDescent="0.3">
      <c r="CH401" s="122" t="str">
        <f>IFERROR(TOWER_DATA[[#This Row],[Top '[m']]]-TOWER_DATA[[#This Row],[Bottom '[m']]], "")</f>
        <v/>
      </c>
    </row>
    <row r="402" spans="86:86" ht="18" customHeight="1" x14ac:dyDescent="0.3">
      <c r="CH402" s="122" t="str">
        <f>IFERROR(TOWER_DATA[[#This Row],[Top '[m']]]-TOWER_DATA[[#This Row],[Bottom '[m']]], "")</f>
        <v/>
      </c>
    </row>
    <row r="403" spans="86:86" ht="18" customHeight="1" x14ac:dyDescent="0.3">
      <c r="CH403" s="122" t="str">
        <f>IFERROR(TOWER_DATA[[#This Row],[Top '[m']]]-TOWER_DATA[[#This Row],[Bottom '[m']]], "")</f>
        <v/>
      </c>
    </row>
    <row r="404" spans="86:86" ht="18" customHeight="1" x14ac:dyDescent="0.3">
      <c r="CH404" s="122" t="str">
        <f>IFERROR(TOWER_DATA[[#This Row],[Top '[m']]]-TOWER_DATA[[#This Row],[Bottom '[m']]], "")</f>
        <v/>
      </c>
    </row>
    <row r="405" spans="86:86" ht="18" customHeight="1" x14ac:dyDescent="0.3">
      <c r="CH405" s="122" t="str">
        <f>IFERROR(TOWER_DATA[[#This Row],[Top '[m']]]-TOWER_DATA[[#This Row],[Bottom '[m']]], "")</f>
        <v/>
      </c>
    </row>
    <row r="406" spans="86:86" ht="18" customHeight="1" x14ac:dyDescent="0.3">
      <c r="CH406" s="122" t="str">
        <f>IFERROR(TOWER_DATA[[#This Row],[Top '[m']]]-TOWER_DATA[[#This Row],[Bottom '[m']]], "")</f>
        <v/>
      </c>
    </row>
    <row r="407" spans="86:86" ht="18" customHeight="1" x14ac:dyDescent="0.3">
      <c r="CH407" s="122" t="str">
        <f>IFERROR(TOWER_DATA[[#This Row],[Top '[m']]]-TOWER_DATA[[#This Row],[Bottom '[m']]], "")</f>
        <v/>
      </c>
    </row>
    <row r="408" spans="86:86" ht="18" customHeight="1" x14ac:dyDescent="0.3">
      <c r="CH408" s="122" t="str">
        <f>IFERROR(TOWER_DATA[[#This Row],[Top '[m']]]-TOWER_DATA[[#This Row],[Bottom '[m']]], "")</f>
        <v/>
      </c>
    </row>
    <row r="409" spans="86:86" ht="18" customHeight="1" x14ac:dyDescent="0.3">
      <c r="CH409" s="122" t="str">
        <f>IFERROR(TOWER_DATA[[#This Row],[Top '[m']]]-TOWER_DATA[[#This Row],[Bottom '[m']]], "")</f>
        <v/>
      </c>
    </row>
    <row r="410" spans="86:86" ht="18" customHeight="1" x14ac:dyDescent="0.3">
      <c r="CH410" s="122" t="str">
        <f>IFERROR(TOWER_DATA[[#This Row],[Top '[m']]]-TOWER_DATA[[#This Row],[Bottom '[m']]], "")</f>
        <v/>
      </c>
    </row>
    <row r="411" spans="86:86" ht="18" customHeight="1" x14ac:dyDescent="0.3">
      <c r="CH411" s="122" t="str">
        <f>IFERROR(TOWER_DATA[[#This Row],[Top '[m']]]-TOWER_DATA[[#This Row],[Bottom '[m']]], "")</f>
        <v/>
      </c>
    </row>
    <row r="412" spans="86:86" ht="18" customHeight="1" x14ac:dyDescent="0.3">
      <c r="CH412" s="122" t="str">
        <f>IFERROR(TOWER_DATA[[#This Row],[Top '[m']]]-TOWER_DATA[[#This Row],[Bottom '[m']]], "")</f>
        <v/>
      </c>
    </row>
    <row r="413" spans="86:86" ht="18" customHeight="1" x14ac:dyDescent="0.3">
      <c r="CH413" s="122" t="str">
        <f>IFERROR(TOWER_DATA[[#This Row],[Top '[m']]]-TOWER_DATA[[#This Row],[Bottom '[m']]], "")</f>
        <v/>
      </c>
    </row>
    <row r="414" spans="86:86" ht="18" customHeight="1" x14ac:dyDescent="0.3">
      <c r="CH414" s="122" t="str">
        <f>IFERROR(TOWER_DATA[[#This Row],[Top '[m']]]-TOWER_DATA[[#This Row],[Bottom '[m']]], "")</f>
        <v/>
      </c>
    </row>
    <row r="415" spans="86:86" ht="18" customHeight="1" x14ac:dyDescent="0.3">
      <c r="CH415" s="122" t="str">
        <f>IFERROR(TOWER_DATA[[#This Row],[Top '[m']]]-TOWER_DATA[[#This Row],[Bottom '[m']]], "")</f>
        <v/>
      </c>
    </row>
    <row r="416" spans="86:86" ht="18" customHeight="1" x14ac:dyDescent="0.3">
      <c r="CH416" s="122" t="str">
        <f>IFERROR(TOWER_DATA[[#This Row],[Top '[m']]]-TOWER_DATA[[#This Row],[Bottom '[m']]], "")</f>
        <v/>
      </c>
    </row>
    <row r="417" spans="86:86" ht="18" customHeight="1" x14ac:dyDescent="0.3">
      <c r="CH417" s="122" t="str">
        <f>IFERROR(TOWER_DATA[[#This Row],[Top '[m']]]-TOWER_DATA[[#This Row],[Bottom '[m']]], "")</f>
        <v/>
      </c>
    </row>
    <row r="418" spans="86:86" ht="18" customHeight="1" x14ac:dyDescent="0.3">
      <c r="CH418" s="122" t="str">
        <f>IFERROR(TOWER_DATA[[#This Row],[Top '[m']]]-TOWER_DATA[[#This Row],[Bottom '[m']]], "")</f>
        <v/>
      </c>
    </row>
    <row r="419" spans="86:86" ht="18" customHeight="1" x14ac:dyDescent="0.3">
      <c r="CH419" s="122" t="str">
        <f>IFERROR(TOWER_DATA[[#This Row],[Top '[m']]]-TOWER_DATA[[#This Row],[Bottom '[m']]], "")</f>
        <v/>
      </c>
    </row>
    <row r="420" spans="86:86" ht="18" customHeight="1" x14ac:dyDescent="0.3">
      <c r="CH420" s="122" t="str">
        <f>IFERROR(TOWER_DATA[[#This Row],[Top '[m']]]-TOWER_DATA[[#This Row],[Bottom '[m']]], "")</f>
        <v/>
      </c>
    </row>
    <row r="421" spans="86:86" ht="18" customHeight="1" x14ac:dyDescent="0.3">
      <c r="CH421" s="122" t="str">
        <f>IFERROR(TOWER_DATA[[#This Row],[Top '[m']]]-TOWER_DATA[[#This Row],[Bottom '[m']]], "")</f>
        <v/>
      </c>
    </row>
    <row r="422" spans="86:86" ht="18" customHeight="1" x14ac:dyDescent="0.3">
      <c r="CH422" s="122" t="str">
        <f>IFERROR(TOWER_DATA[[#This Row],[Top '[m']]]-TOWER_DATA[[#This Row],[Bottom '[m']]], "")</f>
        <v/>
      </c>
    </row>
    <row r="423" spans="86:86" ht="18" customHeight="1" x14ac:dyDescent="0.3">
      <c r="CH423" s="122" t="str">
        <f>IFERROR(TOWER_DATA[[#This Row],[Top '[m']]]-TOWER_DATA[[#This Row],[Bottom '[m']]], "")</f>
        <v/>
      </c>
    </row>
    <row r="424" spans="86:86" ht="18" customHeight="1" x14ac:dyDescent="0.3">
      <c r="CH424" s="122" t="str">
        <f>IFERROR(TOWER_DATA[[#This Row],[Top '[m']]]-TOWER_DATA[[#This Row],[Bottom '[m']]], "")</f>
        <v/>
      </c>
    </row>
    <row r="425" spans="86:86" ht="18" customHeight="1" x14ac:dyDescent="0.3">
      <c r="CH425" s="122" t="str">
        <f>IFERROR(TOWER_DATA[[#This Row],[Top '[m']]]-TOWER_DATA[[#This Row],[Bottom '[m']]], "")</f>
        <v/>
      </c>
    </row>
    <row r="426" spans="86:86" ht="18" customHeight="1" x14ac:dyDescent="0.3">
      <c r="CH426" s="122" t="str">
        <f>IFERROR(TOWER_DATA[[#This Row],[Top '[m']]]-TOWER_DATA[[#This Row],[Bottom '[m']]], "")</f>
        <v/>
      </c>
    </row>
    <row r="427" spans="86:86" ht="18" customHeight="1" x14ac:dyDescent="0.3">
      <c r="CH427" s="122" t="str">
        <f>IFERROR(TOWER_DATA[[#This Row],[Top '[m']]]-TOWER_DATA[[#This Row],[Bottom '[m']]], "")</f>
        <v/>
      </c>
    </row>
    <row r="428" spans="86:86" ht="18" customHeight="1" x14ac:dyDescent="0.3">
      <c r="CH428" s="122" t="str">
        <f>IFERROR(TOWER_DATA[[#This Row],[Top '[m']]]-TOWER_DATA[[#This Row],[Bottom '[m']]], "")</f>
        <v/>
      </c>
    </row>
    <row r="429" spans="86:86" ht="18" customHeight="1" x14ac:dyDescent="0.3">
      <c r="CH429" s="122" t="str">
        <f>IFERROR(TOWER_DATA[[#This Row],[Top '[m']]]-TOWER_DATA[[#This Row],[Bottom '[m']]], "")</f>
        <v/>
      </c>
    </row>
    <row r="430" spans="86:86" ht="18" customHeight="1" x14ac:dyDescent="0.3">
      <c r="CH430" s="122" t="str">
        <f>IFERROR(TOWER_DATA[[#This Row],[Top '[m']]]-TOWER_DATA[[#This Row],[Bottom '[m']]], "")</f>
        <v/>
      </c>
    </row>
    <row r="431" spans="86:86" ht="18" customHeight="1" x14ac:dyDescent="0.3">
      <c r="CH431" s="122" t="str">
        <f>IFERROR(TOWER_DATA[[#This Row],[Top '[m']]]-TOWER_DATA[[#This Row],[Bottom '[m']]], "")</f>
        <v/>
      </c>
    </row>
    <row r="432" spans="86:86" ht="18" customHeight="1" x14ac:dyDescent="0.3">
      <c r="CH432" s="122" t="str">
        <f>IFERROR(TOWER_DATA[[#This Row],[Top '[m']]]-TOWER_DATA[[#This Row],[Bottom '[m']]], "")</f>
        <v/>
      </c>
    </row>
    <row r="433" spans="86:86" ht="18" customHeight="1" x14ac:dyDescent="0.3">
      <c r="CH433" s="122" t="str">
        <f>IFERROR(TOWER_DATA[[#This Row],[Top '[m']]]-TOWER_DATA[[#This Row],[Bottom '[m']]], "")</f>
        <v/>
      </c>
    </row>
    <row r="434" spans="86:86" ht="18" customHeight="1" x14ac:dyDescent="0.3">
      <c r="CH434" s="122" t="str">
        <f>IFERROR(TOWER_DATA[[#This Row],[Top '[m']]]-TOWER_DATA[[#This Row],[Bottom '[m']]], "")</f>
        <v/>
      </c>
    </row>
    <row r="435" spans="86:86" ht="18" customHeight="1" x14ac:dyDescent="0.3">
      <c r="CH435" s="122" t="str">
        <f>IFERROR(TOWER_DATA[[#This Row],[Top '[m']]]-TOWER_DATA[[#This Row],[Bottom '[m']]], "")</f>
        <v/>
      </c>
    </row>
    <row r="436" spans="86:86" ht="18" customHeight="1" x14ac:dyDescent="0.3">
      <c r="CH436" s="122" t="str">
        <f>IFERROR(TOWER_DATA[[#This Row],[Top '[m']]]-TOWER_DATA[[#This Row],[Bottom '[m']]], "")</f>
        <v/>
      </c>
    </row>
    <row r="437" spans="86:86" ht="18" customHeight="1" x14ac:dyDescent="0.3">
      <c r="CH437" s="122" t="str">
        <f>IFERROR(TOWER_DATA[[#This Row],[Top '[m']]]-TOWER_DATA[[#This Row],[Bottom '[m']]], "")</f>
        <v/>
      </c>
    </row>
    <row r="438" spans="86:86" ht="18" customHeight="1" x14ac:dyDescent="0.3">
      <c r="CH438" s="122" t="str">
        <f>IFERROR(TOWER_DATA[[#This Row],[Top '[m']]]-TOWER_DATA[[#This Row],[Bottom '[m']]], "")</f>
        <v/>
      </c>
    </row>
    <row r="439" spans="86:86" ht="18" customHeight="1" x14ac:dyDescent="0.3">
      <c r="CH439" s="122" t="str">
        <f>IFERROR(TOWER_DATA[[#This Row],[Top '[m']]]-TOWER_DATA[[#This Row],[Bottom '[m']]], "")</f>
        <v/>
      </c>
    </row>
    <row r="440" spans="86:86" ht="18" customHeight="1" x14ac:dyDescent="0.3">
      <c r="CH440" s="122" t="str">
        <f>IFERROR(TOWER_DATA[[#This Row],[Top '[m']]]-TOWER_DATA[[#This Row],[Bottom '[m']]], "")</f>
        <v/>
      </c>
    </row>
    <row r="441" spans="86:86" ht="18" customHeight="1" x14ac:dyDescent="0.3">
      <c r="CH441" s="122" t="str">
        <f>IFERROR(TOWER_DATA[[#This Row],[Top '[m']]]-TOWER_DATA[[#This Row],[Bottom '[m']]], "")</f>
        <v/>
      </c>
    </row>
    <row r="442" spans="86:86" ht="18" customHeight="1" x14ac:dyDescent="0.3">
      <c r="CH442" s="122" t="str">
        <f>IFERROR(TOWER_DATA[[#This Row],[Top '[m']]]-TOWER_DATA[[#This Row],[Bottom '[m']]], "")</f>
        <v/>
      </c>
    </row>
    <row r="443" spans="86:86" ht="18" customHeight="1" x14ac:dyDescent="0.3">
      <c r="CH443" s="122" t="str">
        <f>IFERROR(TOWER_DATA[[#This Row],[Top '[m']]]-TOWER_DATA[[#This Row],[Bottom '[m']]], "")</f>
        <v/>
      </c>
    </row>
    <row r="444" spans="86:86" ht="18" customHeight="1" x14ac:dyDescent="0.3">
      <c r="CH444" s="122" t="str">
        <f>IFERROR(TOWER_DATA[[#This Row],[Top '[m']]]-TOWER_DATA[[#This Row],[Bottom '[m']]], "")</f>
        <v/>
      </c>
    </row>
    <row r="445" spans="86:86" ht="18" customHeight="1" x14ac:dyDescent="0.3">
      <c r="CH445" s="122" t="str">
        <f>IFERROR(TOWER_DATA[[#This Row],[Top '[m']]]-TOWER_DATA[[#This Row],[Bottom '[m']]], "")</f>
        <v/>
      </c>
    </row>
    <row r="446" spans="86:86" ht="18" customHeight="1" x14ac:dyDescent="0.3">
      <c r="CH446" s="122" t="str">
        <f>IFERROR(TOWER_DATA[[#This Row],[Top '[m']]]-TOWER_DATA[[#This Row],[Bottom '[m']]], "")</f>
        <v/>
      </c>
    </row>
    <row r="447" spans="86:86" ht="18" customHeight="1" x14ac:dyDescent="0.3">
      <c r="CH447" s="122" t="str">
        <f>IFERROR(TOWER_DATA[[#This Row],[Top '[m']]]-TOWER_DATA[[#This Row],[Bottom '[m']]], "")</f>
        <v/>
      </c>
    </row>
    <row r="448" spans="86:86" ht="18" customHeight="1" x14ac:dyDescent="0.3">
      <c r="CH448" s="122" t="str">
        <f>IFERROR(TOWER_DATA[[#This Row],[Top '[m']]]-TOWER_DATA[[#This Row],[Bottom '[m']]], "")</f>
        <v/>
      </c>
    </row>
    <row r="449" spans="86:86" ht="18" customHeight="1" x14ac:dyDescent="0.3">
      <c r="CH449" s="122" t="str">
        <f>IFERROR(TOWER_DATA[[#This Row],[Top '[m']]]-TOWER_DATA[[#This Row],[Bottom '[m']]], "")</f>
        <v/>
      </c>
    </row>
    <row r="450" spans="86:86" ht="18" customHeight="1" x14ac:dyDescent="0.3">
      <c r="CH450" s="122" t="str">
        <f>IFERROR(TOWER_DATA[[#This Row],[Top '[m']]]-TOWER_DATA[[#This Row],[Bottom '[m']]], "")</f>
        <v/>
      </c>
    </row>
    <row r="451" spans="86:86" ht="18" customHeight="1" x14ac:dyDescent="0.3">
      <c r="CH451" s="122" t="str">
        <f>IFERROR(TOWER_DATA[[#This Row],[Top '[m']]]-TOWER_DATA[[#This Row],[Bottom '[m']]], "")</f>
        <v/>
      </c>
    </row>
    <row r="452" spans="86:86" ht="18" customHeight="1" x14ac:dyDescent="0.3">
      <c r="CH452" s="122" t="str">
        <f>IFERROR(TOWER_DATA[[#This Row],[Top '[m']]]-TOWER_DATA[[#This Row],[Bottom '[m']]], "")</f>
        <v/>
      </c>
    </row>
    <row r="453" spans="86:86" ht="18" customHeight="1" x14ac:dyDescent="0.3">
      <c r="CH453" s="122" t="str">
        <f>IFERROR(TOWER_DATA[[#This Row],[Top '[m']]]-TOWER_DATA[[#This Row],[Bottom '[m']]], "")</f>
        <v/>
      </c>
    </row>
    <row r="454" spans="86:86" ht="18" customHeight="1" x14ac:dyDescent="0.3">
      <c r="CH454" s="122" t="str">
        <f>IFERROR(TOWER_DATA[[#This Row],[Top '[m']]]-TOWER_DATA[[#This Row],[Bottom '[m']]], "")</f>
        <v/>
      </c>
    </row>
    <row r="455" spans="86:86" ht="18" customHeight="1" x14ac:dyDescent="0.3">
      <c r="CH455" s="122" t="str">
        <f>IFERROR(TOWER_DATA[[#This Row],[Top '[m']]]-TOWER_DATA[[#This Row],[Bottom '[m']]], "")</f>
        <v/>
      </c>
    </row>
    <row r="456" spans="86:86" ht="18" customHeight="1" x14ac:dyDescent="0.3">
      <c r="CH456" s="122" t="str">
        <f>IFERROR(TOWER_DATA[[#This Row],[Top '[m']]]-TOWER_DATA[[#This Row],[Bottom '[m']]], "")</f>
        <v/>
      </c>
    </row>
    <row r="457" spans="86:86" ht="18" customHeight="1" x14ac:dyDescent="0.3">
      <c r="CH457" s="122" t="str">
        <f>IFERROR(TOWER_DATA[[#This Row],[Top '[m']]]-TOWER_DATA[[#This Row],[Bottom '[m']]], "")</f>
        <v/>
      </c>
    </row>
    <row r="458" spans="86:86" ht="18" customHeight="1" x14ac:dyDescent="0.3">
      <c r="CH458" s="122" t="str">
        <f>IFERROR(TOWER_DATA[[#This Row],[Top '[m']]]-TOWER_DATA[[#This Row],[Bottom '[m']]], "")</f>
        <v/>
      </c>
    </row>
    <row r="459" spans="86:86" ht="18" customHeight="1" x14ac:dyDescent="0.3">
      <c r="CH459" s="122" t="str">
        <f>IFERROR(TOWER_DATA[[#This Row],[Top '[m']]]-TOWER_DATA[[#This Row],[Bottom '[m']]], "")</f>
        <v/>
      </c>
    </row>
    <row r="460" spans="86:86" ht="18" customHeight="1" x14ac:dyDescent="0.3">
      <c r="CH460" s="122" t="str">
        <f>IFERROR(TOWER_DATA[[#This Row],[Top '[m']]]-TOWER_DATA[[#This Row],[Bottom '[m']]], "")</f>
        <v/>
      </c>
    </row>
    <row r="461" spans="86:86" ht="18" customHeight="1" x14ac:dyDescent="0.3">
      <c r="CH461" s="122" t="str">
        <f>IFERROR(TOWER_DATA[[#This Row],[Top '[m']]]-TOWER_DATA[[#This Row],[Bottom '[m']]], "")</f>
        <v/>
      </c>
    </row>
    <row r="462" spans="86:86" ht="18" customHeight="1" x14ac:dyDescent="0.3">
      <c r="CH462" s="122" t="str">
        <f>IFERROR(TOWER_DATA[[#This Row],[Top '[m']]]-TOWER_DATA[[#This Row],[Bottom '[m']]], "")</f>
        <v/>
      </c>
    </row>
    <row r="463" spans="86:86" ht="18" customHeight="1" x14ac:dyDescent="0.3">
      <c r="CH463" s="122" t="str">
        <f>IFERROR(TOWER_DATA[[#This Row],[Top '[m']]]-TOWER_DATA[[#This Row],[Bottom '[m']]], "")</f>
        <v/>
      </c>
    </row>
    <row r="464" spans="86:86" ht="18" customHeight="1" x14ac:dyDescent="0.3">
      <c r="CH464" s="122" t="str">
        <f>IFERROR(TOWER_DATA[[#This Row],[Top '[m']]]-TOWER_DATA[[#This Row],[Bottom '[m']]], "")</f>
        <v/>
      </c>
    </row>
    <row r="465" spans="86:86" ht="18" customHeight="1" x14ac:dyDescent="0.3">
      <c r="CH465" s="122" t="str">
        <f>IFERROR(TOWER_DATA[[#This Row],[Top '[m']]]-TOWER_DATA[[#This Row],[Bottom '[m']]], "")</f>
        <v/>
      </c>
    </row>
    <row r="466" spans="86:86" ht="18" customHeight="1" x14ac:dyDescent="0.3">
      <c r="CH466" s="122" t="str">
        <f>IFERROR(TOWER_DATA[[#This Row],[Top '[m']]]-TOWER_DATA[[#This Row],[Bottom '[m']]], "")</f>
        <v/>
      </c>
    </row>
    <row r="467" spans="86:86" ht="18" customHeight="1" x14ac:dyDescent="0.3">
      <c r="CH467" s="122" t="str">
        <f>IFERROR(TOWER_DATA[[#This Row],[Top '[m']]]-TOWER_DATA[[#This Row],[Bottom '[m']]], "")</f>
        <v/>
      </c>
    </row>
    <row r="468" spans="86:86" ht="18" customHeight="1" x14ac:dyDescent="0.3">
      <c r="CH468" s="122" t="str">
        <f>IFERROR(TOWER_DATA[[#This Row],[Top '[m']]]-TOWER_DATA[[#This Row],[Bottom '[m']]], "")</f>
        <v/>
      </c>
    </row>
    <row r="469" spans="86:86" ht="18" customHeight="1" x14ac:dyDescent="0.3">
      <c r="CH469" s="122" t="str">
        <f>IFERROR(TOWER_DATA[[#This Row],[Top '[m']]]-TOWER_DATA[[#This Row],[Bottom '[m']]], "")</f>
        <v/>
      </c>
    </row>
    <row r="470" spans="86:86" ht="18" customHeight="1" x14ac:dyDescent="0.3">
      <c r="CH470" s="122" t="str">
        <f>IFERROR(TOWER_DATA[[#This Row],[Top '[m']]]-TOWER_DATA[[#This Row],[Bottom '[m']]], "")</f>
        <v/>
      </c>
    </row>
    <row r="471" spans="86:86" ht="18" customHeight="1" x14ac:dyDescent="0.3">
      <c r="CH471" s="122" t="str">
        <f>IFERROR(TOWER_DATA[[#This Row],[Top '[m']]]-TOWER_DATA[[#This Row],[Bottom '[m']]], "")</f>
        <v/>
      </c>
    </row>
    <row r="472" spans="86:86" ht="18" customHeight="1" x14ac:dyDescent="0.3">
      <c r="CH472" s="122" t="str">
        <f>IFERROR(TOWER_DATA[[#This Row],[Top '[m']]]-TOWER_DATA[[#This Row],[Bottom '[m']]], "")</f>
        <v/>
      </c>
    </row>
    <row r="473" spans="86:86" ht="18" customHeight="1" x14ac:dyDescent="0.3">
      <c r="CH473" s="122" t="str">
        <f>IFERROR(TOWER_DATA[[#This Row],[Top '[m']]]-TOWER_DATA[[#This Row],[Bottom '[m']]], "")</f>
        <v/>
      </c>
    </row>
    <row r="474" spans="86:86" ht="18" customHeight="1" x14ac:dyDescent="0.3">
      <c r="CH474" s="122" t="str">
        <f>IFERROR(TOWER_DATA[[#This Row],[Top '[m']]]-TOWER_DATA[[#This Row],[Bottom '[m']]], "")</f>
        <v/>
      </c>
    </row>
    <row r="475" spans="86:86" ht="18" customHeight="1" x14ac:dyDescent="0.3">
      <c r="CH475" s="122" t="str">
        <f>IFERROR(TOWER_DATA[[#This Row],[Top '[m']]]-TOWER_DATA[[#This Row],[Bottom '[m']]], "")</f>
        <v/>
      </c>
    </row>
    <row r="476" spans="86:86" ht="18" customHeight="1" x14ac:dyDescent="0.3">
      <c r="CH476" s="122" t="str">
        <f>IFERROR(TOWER_DATA[[#This Row],[Top '[m']]]-TOWER_DATA[[#This Row],[Bottom '[m']]], "")</f>
        <v/>
      </c>
    </row>
    <row r="477" spans="86:86" ht="18" customHeight="1" x14ac:dyDescent="0.3">
      <c r="CH477" s="122" t="str">
        <f>IFERROR(TOWER_DATA[[#This Row],[Top '[m']]]-TOWER_DATA[[#This Row],[Bottom '[m']]], "")</f>
        <v/>
      </c>
    </row>
    <row r="478" spans="86:86" ht="18" customHeight="1" x14ac:dyDescent="0.3">
      <c r="CH478" s="122" t="str">
        <f>IFERROR(TOWER_DATA[[#This Row],[Top '[m']]]-TOWER_DATA[[#This Row],[Bottom '[m']]], "")</f>
        <v/>
      </c>
    </row>
    <row r="479" spans="86:86" ht="18" customHeight="1" x14ac:dyDescent="0.3">
      <c r="CH479" s="122" t="str">
        <f>IFERROR(TOWER_DATA[[#This Row],[Top '[m']]]-TOWER_DATA[[#This Row],[Bottom '[m']]], "")</f>
        <v/>
      </c>
    </row>
    <row r="480" spans="86:86" ht="18" customHeight="1" x14ac:dyDescent="0.3">
      <c r="CH480" s="122" t="str">
        <f>IFERROR(TOWER_DATA[[#This Row],[Top '[m']]]-TOWER_DATA[[#This Row],[Bottom '[m']]], "")</f>
        <v/>
      </c>
    </row>
    <row r="481" spans="86:86" ht="18" customHeight="1" x14ac:dyDescent="0.3">
      <c r="CH481" s="122" t="str">
        <f>IFERROR(TOWER_DATA[[#This Row],[Top '[m']]]-TOWER_DATA[[#This Row],[Bottom '[m']]], "")</f>
        <v/>
      </c>
    </row>
    <row r="482" spans="86:86" ht="18" customHeight="1" x14ac:dyDescent="0.3">
      <c r="CH482" s="122" t="str">
        <f>IFERROR(TOWER_DATA[[#This Row],[Top '[m']]]-TOWER_DATA[[#This Row],[Bottom '[m']]], "")</f>
        <v/>
      </c>
    </row>
    <row r="483" spans="86:86" ht="18" customHeight="1" x14ac:dyDescent="0.3">
      <c r="CH483" s="122" t="str">
        <f>IFERROR(TOWER_DATA[[#This Row],[Top '[m']]]-TOWER_DATA[[#This Row],[Bottom '[m']]], "")</f>
        <v/>
      </c>
    </row>
    <row r="484" spans="86:86" ht="18" customHeight="1" x14ac:dyDescent="0.3">
      <c r="CH484" s="122" t="str">
        <f>IFERROR(TOWER_DATA[[#This Row],[Top '[m']]]-TOWER_DATA[[#This Row],[Bottom '[m']]], "")</f>
        <v/>
      </c>
    </row>
    <row r="485" spans="86:86" ht="18" customHeight="1" x14ac:dyDescent="0.3">
      <c r="CH485" s="122" t="str">
        <f>IFERROR(TOWER_DATA[[#This Row],[Top '[m']]]-TOWER_DATA[[#This Row],[Bottom '[m']]], "")</f>
        <v/>
      </c>
    </row>
    <row r="486" spans="86:86" ht="18" customHeight="1" x14ac:dyDescent="0.3">
      <c r="CH486" s="122" t="str">
        <f>IFERROR(TOWER_DATA[[#This Row],[Top '[m']]]-TOWER_DATA[[#This Row],[Bottom '[m']]], "")</f>
        <v/>
      </c>
    </row>
    <row r="487" spans="86:86" ht="18" customHeight="1" x14ac:dyDescent="0.3">
      <c r="CH487" s="122" t="str">
        <f>IFERROR(TOWER_DATA[[#This Row],[Top '[m']]]-TOWER_DATA[[#This Row],[Bottom '[m']]], "")</f>
        <v/>
      </c>
    </row>
    <row r="488" spans="86:86" ht="18" customHeight="1" x14ac:dyDescent="0.3">
      <c r="CH488" s="122" t="str">
        <f>IFERROR(TOWER_DATA[[#This Row],[Top '[m']]]-TOWER_DATA[[#This Row],[Bottom '[m']]], "")</f>
        <v/>
      </c>
    </row>
    <row r="489" spans="86:86" ht="18" customHeight="1" x14ac:dyDescent="0.3">
      <c r="CH489" s="122" t="str">
        <f>IFERROR(TOWER_DATA[[#This Row],[Top '[m']]]-TOWER_DATA[[#This Row],[Bottom '[m']]], "")</f>
        <v/>
      </c>
    </row>
    <row r="490" spans="86:86" ht="18" customHeight="1" x14ac:dyDescent="0.3">
      <c r="CH490" s="122" t="str">
        <f>IFERROR(TOWER_DATA[[#This Row],[Top '[m']]]-TOWER_DATA[[#This Row],[Bottom '[m']]], "")</f>
        <v/>
      </c>
    </row>
    <row r="491" spans="86:86" ht="18" customHeight="1" x14ac:dyDescent="0.3">
      <c r="CH491" s="122" t="str">
        <f>IFERROR(TOWER_DATA[[#This Row],[Top '[m']]]-TOWER_DATA[[#This Row],[Bottom '[m']]], "")</f>
        <v/>
      </c>
    </row>
    <row r="492" spans="86:86" ht="18" customHeight="1" x14ac:dyDescent="0.3">
      <c r="CH492" s="122" t="str">
        <f>IFERROR(TOWER_DATA[[#This Row],[Top '[m']]]-TOWER_DATA[[#This Row],[Bottom '[m']]], "")</f>
        <v/>
      </c>
    </row>
    <row r="493" spans="86:86" ht="18" customHeight="1" x14ac:dyDescent="0.3">
      <c r="CH493" s="122" t="str">
        <f>IFERROR(TOWER_DATA[[#This Row],[Top '[m']]]-TOWER_DATA[[#This Row],[Bottom '[m']]], "")</f>
        <v/>
      </c>
    </row>
    <row r="494" spans="86:86" ht="18" customHeight="1" x14ac:dyDescent="0.3">
      <c r="CH494" s="122" t="str">
        <f>IFERROR(TOWER_DATA[[#This Row],[Top '[m']]]-TOWER_DATA[[#This Row],[Bottom '[m']]], "")</f>
        <v/>
      </c>
    </row>
    <row r="495" spans="86:86" ht="18" customHeight="1" x14ac:dyDescent="0.3">
      <c r="CH495" s="122" t="str">
        <f>IFERROR(TOWER_DATA[[#This Row],[Top '[m']]]-TOWER_DATA[[#This Row],[Bottom '[m']]], "")</f>
        <v/>
      </c>
    </row>
    <row r="496" spans="86:86" ht="18" customHeight="1" x14ac:dyDescent="0.3">
      <c r="CH496" s="122" t="str">
        <f>IFERROR(TOWER_DATA[[#This Row],[Top '[m']]]-TOWER_DATA[[#This Row],[Bottom '[m']]], "")</f>
        <v/>
      </c>
    </row>
    <row r="497" spans="86:86" ht="18" customHeight="1" x14ac:dyDescent="0.3">
      <c r="CH497" s="122" t="str">
        <f>IFERROR(TOWER_DATA[[#This Row],[Top '[m']]]-TOWER_DATA[[#This Row],[Bottom '[m']]], "")</f>
        <v/>
      </c>
    </row>
    <row r="498" spans="86:86" ht="18" customHeight="1" x14ac:dyDescent="0.3">
      <c r="CH498" s="122" t="str">
        <f>IFERROR(TOWER_DATA[[#This Row],[Top '[m']]]-TOWER_DATA[[#This Row],[Bottom '[m']]], "")</f>
        <v/>
      </c>
    </row>
    <row r="499" spans="86:86" ht="18" customHeight="1" x14ac:dyDescent="0.3">
      <c r="CH499" s="122" t="str">
        <f>IFERROR(TOWER_DATA[[#This Row],[Top '[m']]]-TOWER_DATA[[#This Row],[Bottom '[m']]], "")</f>
        <v/>
      </c>
    </row>
    <row r="500" spans="86:86" ht="18" customHeight="1" x14ac:dyDescent="0.3">
      <c r="CH500" s="122" t="str">
        <f>IFERROR(TOWER_DATA[[#This Row],[Top '[m']]]-TOWER_DATA[[#This Row],[Bottom '[m']]], "")</f>
        <v/>
      </c>
    </row>
    <row r="501" spans="86:86" ht="18" customHeight="1" x14ac:dyDescent="0.3">
      <c r="CH501" s="122" t="str">
        <f>IFERROR(TOWER_DATA[[#This Row],[Top '[m']]]-TOWER_DATA[[#This Row],[Bottom '[m']]], "")</f>
        <v/>
      </c>
    </row>
    <row r="502" spans="86:86" ht="18" customHeight="1" x14ac:dyDescent="0.3">
      <c r="CH502" s="122" t="str">
        <f>IFERROR(TOWER_DATA[[#This Row],[Top '[m']]]-TOWER_DATA[[#This Row],[Bottom '[m']]], "")</f>
        <v/>
      </c>
    </row>
    <row r="503" spans="86:86" ht="18" customHeight="1" x14ac:dyDescent="0.3">
      <c r="CH503" s="122" t="str">
        <f>IFERROR(TOWER_DATA[[#This Row],[Top '[m']]]-TOWER_DATA[[#This Row],[Bottom '[m']]], "")</f>
        <v/>
      </c>
    </row>
    <row r="504" spans="86:86" ht="18" customHeight="1" x14ac:dyDescent="0.3">
      <c r="CH504" s="122" t="str">
        <f>IFERROR(TOWER_DATA[[#This Row],[Top '[m']]]-TOWER_DATA[[#This Row],[Bottom '[m']]], "")</f>
        <v/>
      </c>
    </row>
    <row r="505" spans="86:86" ht="18" customHeight="1" x14ac:dyDescent="0.3">
      <c r="CH505" s="122" t="str">
        <f>IFERROR(TOWER_DATA[[#This Row],[Top '[m']]]-TOWER_DATA[[#This Row],[Bottom '[m']]], "")</f>
        <v/>
      </c>
    </row>
    <row r="506" spans="86:86" ht="18" customHeight="1" x14ac:dyDescent="0.3">
      <c r="CH506" s="122" t="str">
        <f>IFERROR(TOWER_DATA[[#This Row],[Top '[m']]]-TOWER_DATA[[#This Row],[Bottom '[m']]], "")</f>
        <v/>
      </c>
    </row>
    <row r="507" spans="86:86" ht="18" customHeight="1" x14ac:dyDescent="0.3">
      <c r="CH507" s="122" t="str">
        <f>IFERROR(TOWER_DATA[[#This Row],[Top '[m']]]-TOWER_DATA[[#This Row],[Bottom '[m']]], "")</f>
        <v/>
      </c>
    </row>
    <row r="508" spans="86:86" ht="18" customHeight="1" x14ac:dyDescent="0.3">
      <c r="CH508" s="122" t="str">
        <f>IFERROR(TOWER_DATA[[#This Row],[Top '[m']]]-TOWER_DATA[[#This Row],[Bottom '[m']]], "")</f>
        <v/>
      </c>
    </row>
    <row r="509" spans="86:86" ht="18" customHeight="1" x14ac:dyDescent="0.3">
      <c r="CH509" s="122" t="str">
        <f>IFERROR(TOWER_DATA[[#This Row],[Top '[m']]]-TOWER_DATA[[#This Row],[Bottom '[m']]], "")</f>
        <v/>
      </c>
    </row>
    <row r="510" spans="86:86" ht="18" customHeight="1" x14ac:dyDescent="0.3">
      <c r="CH510" s="122" t="str">
        <f>IFERROR(TOWER_DATA[[#This Row],[Top '[m']]]-TOWER_DATA[[#This Row],[Bottom '[m']]], "")</f>
        <v/>
      </c>
    </row>
    <row r="511" spans="86:86" ht="18" customHeight="1" x14ac:dyDescent="0.3">
      <c r="CH511" s="122" t="str">
        <f>IFERROR(TOWER_DATA[[#This Row],[Top '[m']]]-TOWER_DATA[[#This Row],[Bottom '[m']]], "")</f>
        <v/>
      </c>
    </row>
    <row r="512" spans="86:86" ht="18" customHeight="1" x14ac:dyDescent="0.3">
      <c r="CH512" s="122" t="str">
        <f>IFERROR(TOWER_DATA[[#This Row],[Top '[m']]]-TOWER_DATA[[#This Row],[Bottom '[m']]], "")</f>
        <v/>
      </c>
    </row>
    <row r="513" spans="86:86" ht="18" customHeight="1" x14ac:dyDescent="0.3">
      <c r="CH513" s="122" t="str">
        <f>IFERROR(TOWER_DATA[[#This Row],[Top '[m']]]-TOWER_DATA[[#This Row],[Bottom '[m']]], "")</f>
        <v/>
      </c>
    </row>
    <row r="514" spans="86:86" ht="18" customHeight="1" x14ac:dyDescent="0.3">
      <c r="CH514" s="122" t="str">
        <f>IFERROR(TOWER_DATA[[#This Row],[Top '[m']]]-TOWER_DATA[[#This Row],[Bottom '[m']]], "")</f>
        <v/>
      </c>
    </row>
    <row r="515" spans="86:86" ht="18" customHeight="1" x14ac:dyDescent="0.3">
      <c r="CH515" s="122" t="str">
        <f>IFERROR(TOWER_DATA[[#This Row],[Top '[m']]]-TOWER_DATA[[#This Row],[Bottom '[m']]], "")</f>
        <v/>
      </c>
    </row>
    <row r="516" spans="86:86" ht="18" customHeight="1" x14ac:dyDescent="0.3">
      <c r="CH516" s="122" t="str">
        <f>IFERROR(TOWER_DATA[[#This Row],[Top '[m']]]-TOWER_DATA[[#This Row],[Bottom '[m']]], "")</f>
        <v/>
      </c>
    </row>
    <row r="517" spans="86:86" ht="18" customHeight="1" x14ac:dyDescent="0.3">
      <c r="CH517" s="122" t="str">
        <f>IFERROR(TOWER_DATA[[#This Row],[Top '[m']]]-TOWER_DATA[[#This Row],[Bottom '[m']]], "")</f>
        <v/>
      </c>
    </row>
    <row r="518" spans="86:86" ht="18" customHeight="1" x14ac:dyDescent="0.3">
      <c r="CH518" s="122" t="str">
        <f>IFERROR(TOWER_DATA[[#This Row],[Top '[m']]]-TOWER_DATA[[#This Row],[Bottom '[m']]], "")</f>
        <v/>
      </c>
    </row>
    <row r="519" spans="86:86" ht="18" customHeight="1" x14ac:dyDescent="0.3">
      <c r="CH519" s="122" t="str">
        <f>IFERROR(TOWER_DATA[[#This Row],[Top '[m']]]-TOWER_DATA[[#This Row],[Bottom '[m']]], "")</f>
        <v/>
      </c>
    </row>
    <row r="520" spans="86:86" ht="18" customHeight="1" x14ac:dyDescent="0.3">
      <c r="CH520" s="122" t="str">
        <f>IFERROR(TOWER_DATA[[#This Row],[Top '[m']]]-TOWER_DATA[[#This Row],[Bottom '[m']]], "")</f>
        <v/>
      </c>
    </row>
    <row r="521" spans="86:86" ht="18" customHeight="1" x14ac:dyDescent="0.3">
      <c r="CH521" s="122" t="str">
        <f>IFERROR(TOWER_DATA[[#This Row],[Top '[m']]]-TOWER_DATA[[#This Row],[Bottom '[m']]], "")</f>
        <v/>
      </c>
    </row>
    <row r="522" spans="86:86" ht="18" customHeight="1" x14ac:dyDescent="0.3">
      <c r="CH522" s="122" t="str">
        <f>IFERROR(TOWER_DATA[[#This Row],[Top '[m']]]-TOWER_DATA[[#This Row],[Bottom '[m']]], "")</f>
        <v/>
      </c>
    </row>
    <row r="523" spans="86:86" ht="18" customHeight="1" x14ac:dyDescent="0.3">
      <c r="CH523" s="122" t="str">
        <f>IFERROR(TOWER_DATA[[#This Row],[Top '[m']]]-TOWER_DATA[[#This Row],[Bottom '[m']]], "")</f>
        <v/>
      </c>
    </row>
    <row r="524" spans="86:86" ht="18" customHeight="1" x14ac:dyDescent="0.3">
      <c r="CH524" s="122" t="str">
        <f>IFERROR(TOWER_DATA[[#This Row],[Top '[m']]]-TOWER_DATA[[#This Row],[Bottom '[m']]], "")</f>
        <v/>
      </c>
    </row>
    <row r="525" spans="86:86" ht="18" customHeight="1" x14ac:dyDescent="0.3">
      <c r="CH525" s="122" t="str">
        <f>IFERROR(TOWER_DATA[[#This Row],[Top '[m']]]-TOWER_DATA[[#This Row],[Bottom '[m']]], "")</f>
        <v/>
      </c>
    </row>
    <row r="526" spans="86:86" ht="18" customHeight="1" x14ac:dyDescent="0.3">
      <c r="CH526" s="122" t="str">
        <f>IFERROR(TOWER_DATA[[#This Row],[Top '[m']]]-TOWER_DATA[[#This Row],[Bottom '[m']]], "")</f>
        <v/>
      </c>
    </row>
    <row r="527" spans="86:86" ht="18" customHeight="1" x14ac:dyDescent="0.3">
      <c r="CH527" s="122" t="str">
        <f>IFERROR(TOWER_DATA[[#This Row],[Top '[m']]]-TOWER_DATA[[#This Row],[Bottom '[m']]], "")</f>
        <v/>
      </c>
    </row>
    <row r="528" spans="86:86" ht="18" customHeight="1" x14ac:dyDescent="0.3">
      <c r="CH528" s="122" t="str">
        <f>IFERROR(TOWER_DATA[[#This Row],[Top '[m']]]-TOWER_DATA[[#This Row],[Bottom '[m']]], "")</f>
        <v/>
      </c>
    </row>
    <row r="529" spans="86:86" ht="18" customHeight="1" x14ac:dyDescent="0.3">
      <c r="CH529" s="122" t="str">
        <f>IFERROR(TOWER_DATA[[#This Row],[Top '[m']]]-TOWER_DATA[[#This Row],[Bottom '[m']]], "")</f>
        <v/>
      </c>
    </row>
    <row r="530" spans="86:86" ht="18" customHeight="1" x14ac:dyDescent="0.3">
      <c r="CH530" s="122" t="str">
        <f>IFERROR(TOWER_DATA[[#This Row],[Top '[m']]]-TOWER_DATA[[#This Row],[Bottom '[m']]], "")</f>
        <v/>
      </c>
    </row>
    <row r="531" spans="86:86" ht="18" customHeight="1" x14ac:dyDescent="0.3">
      <c r="CH531" s="122" t="str">
        <f>IFERROR(TOWER_DATA[[#This Row],[Top '[m']]]-TOWER_DATA[[#This Row],[Bottom '[m']]], "")</f>
        <v/>
      </c>
    </row>
    <row r="532" spans="86:86" ht="18" customHeight="1" x14ac:dyDescent="0.3">
      <c r="CH532" s="122" t="str">
        <f>IFERROR(TOWER_DATA[[#This Row],[Top '[m']]]-TOWER_DATA[[#This Row],[Bottom '[m']]], "")</f>
        <v/>
      </c>
    </row>
    <row r="533" spans="86:86" ht="18" customHeight="1" x14ac:dyDescent="0.3">
      <c r="CH533" s="122" t="str">
        <f>IFERROR(TOWER_DATA[[#This Row],[Top '[m']]]-TOWER_DATA[[#This Row],[Bottom '[m']]], "")</f>
        <v/>
      </c>
    </row>
    <row r="534" spans="86:86" ht="18" customHeight="1" x14ac:dyDescent="0.3">
      <c r="CH534" s="122" t="str">
        <f>IFERROR(TOWER_DATA[[#This Row],[Top '[m']]]-TOWER_DATA[[#This Row],[Bottom '[m']]], "")</f>
        <v/>
      </c>
    </row>
    <row r="535" spans="86:86" ht="18" customHeight="1" x14ac:dyDescent="0.3">
      <c r="CH535" s="122" t="str">
        <f>IFERROR(TOWER_DATA[[#This Row],[Top '[m']]]-TOWER_DATA[[#This Row],[Bottom '[m']]], "")</f>
        <v/>
      </c>
    </row>
    <row r="536" spans="86:86" ht="18" customHeight="1" x14ac:dyDescent="0.3">
      <c r="CH536" s="122" t="str">
        <f>IFERROR(TOWER_DATA[[#This Row],[Top '[m']]]-TOWER_DATA[[#This Row],[Bottom '[m']]], "")</f>
        <v/>
      </c>
    </row>
    <row r="537" spans="86:86" ht="18" customHeight="1" x14ac:dyDescent="0.3">
      <c r="CH537" s="122" t="str">
        <f>IFERROR(TOWER_DATA[[#This Row],[Top '[m']]]-TOWER_DATA[[#This Row],[Bottom '[m']]], "")</f>
        <v/>
      </c>
    </row>
    <row r="538" spans="86:86" ht="18" customHeight="1" x14ac:dyDescent="0.3">
      <c r="CH538" s="122" t="str">
        <f>IFERROR(TOWER_DATA[[#This Row],[Top '[m']]]-TOWER_DATA[[#This Row],[Bottom '[m']]], "")</f>
        <v/>
      </c>
    </row>
    <row r="539" spans="86:86" ht="18" customHeight="1" x14ac:dyDescent="0.3">
      <c r="CH539" s="122" t="str">
        <f>IFERROR(TOWER_DATA[[#This Row],[Top '[m']]]-TOWER_DATA[[#This Row],[Bottom '[m']]], "")</f>
        <v/>
      </c>
    </row>
    <row r="540" spans="86:86" ht="18" customHeight="1" x14ac:dyDescent="0.3">
      <c r="CH540" s="122" t="str">
        <f>IFERROR(TOWER_DATA[[#This Row],[Top '[m']]]-TOWER_DATA[[#This Row],[Bottom '[m']]], "")</f>
        <v/>
      </c>
    </row>
    <row r="541" spans="86:86" ht="18" customHeight="1" x14ac:dyDescent="0.3">
      <c r="CH541" s="122" t="str">
        <f>IFERROR(TOWER_DATA[[#This Row],[Top '[m']]]-TOWER_DATA[[#This Row],[Bottom '[m']]], "")</f>
        <v/>
      </c>
    </row>
    <row r="542" spans="86:86" ht="18" customHeight="1" x14ac:dyDescent="0.3">
      <c r="CH542" s="122" t="str">
        <f>IFERROR(TOWER_DATA[[#This Row],[Top '[m']]]-TOWER_DATA[[#This Row],[Bottom '[m']]], "")</f>
        <v/>
      </c>
    </row>
    <row r="543" spans="86:86" ht="18" customHeight="1" x14ac:dyDescent="0.3">
      <c r="CH543" s="122" t="str">
        <f>IFERROR(TOWER_DATA[[#This Row],[Top '[m']]]-TOWER_DATA[[#This Row],[Bottom '[m']]], "")</f>
        <v/>
      </c>
    </row>
    <row r="544" spans="86:86" ht="18" customHeight="1" x14ac:dyDescent="0.3">
      <c r="CH544" s="122" t="str">
        <f>IFERROR(TOWER_DATA[[#This Row],[Top '[m']]]-TOWER_DATA[[#This Row],[Bottom '[m']]], "")</f>
        <v/>
      </c>
    </row>
    <row r="545" spans="86:86" ht="18" customHeight="1" x14ac:dyDescent="0.3">
      <c r="CH545" s="122" t="str">
        <f>IFERROR(TOWER_DATA[[#This Row],[Top '[m']]]-TOWER_DATA[[#This Row],[Bottom '[m']]], "")</f>
        <v/>
      </c>
    </row>
    <row r="546" spans="86:86" ht="18" customHeight="1" x14ac:dyDescent="0.3">
      <c r="CH546" s="122" t="str">
        <f>IFERROR(TOWER_DATA[[#This Row],[Top '[m']]]-TOWER_DATA[[#This Row],[Bottom '[m']]], "")</f>
        <v/>
      </c>
    </row>
    <row r="547" spans="86:86" ht="18" customHeight="1" x14ac:dyDescent="0.3">
      <c r="CH547" s="122" t="str">
        <f>IFERROR(TOWER_DATA[[#This Row],[Top '[m']]]-TOWER_DATA[[#This Row],[Bottom '[m']]], "")</f>
        <v/>
      </c>
    </row>
    <row r="548" spans="86:86" ht="18" customHeight="1" x14ac:dyDescent="0.3">
      <c r="CH548" s="122" t="str">
        <f>IFERROR(TOWER_DATA[[#This Row],[Top '[m']]]-TOWER_DATA[[#This Row],[Bottom '[m']]], "")</f>
        <v/>
      </c>
    </row>
    <row r="549" spans="86:86" ht="18" customHeight="1" x14ac:dyDescent="0.3">
      <c r="CH549" s="122" t="str">
        <f>IFERROR(TOWER_DATA[[#This Row],[Top '[m']]]-TOWER_DATA[[#This Row],[Bottom '[m']]], "")</f>
        <v/>
      </c>
    </row>
    <row r="550" spans="86:86" ht="18" customHeight="1" x14ac:dyDescent="0.3">
      <c r="CH550" s="122" t="str">
        <f>IFERROR(TOWER_DATA[[#This Row],[Top '[m']]]-TOWER_DATA[[#This Row],[Bottom '[m']]], "")</f>
        <v/>
      </c>
    </row>
    <row r="551" spans="86:86" ht="18" customHeight="1" x14ac:dyDescent="0.3">
      <c r="CH551" s="122" t="str">
        <f>IFERROR(TOWER_DATA[[#This Row],[Top '[m']]]-TOWER_DATA[[#This Row],[Bottom '[m']]], "")</f>
        <v/>
      </c>
    </row>
    <row r="552" spans="86:86" ht="18" customHeight="1" x14ac:dyDescent="0.3">
      <c r="CH552" s="122" t="str">
        <f>IFERROR(TOWER_DATA[[#This Row],[Top '[m']]]-TOWER_DATA[[#This Row],[Bottom '[m']]], "")</f>
        <v/>
      </c>
    </row>
    <row r="553" spans="86:86" ht="18" customHeight="1" x14ac:dyDescent="0.3">
      <c r="CH553" s="122" t="str">
        <f>IFERROR(TOWER_DATA[[#This Row],[Top '[m']]]-TOWER_DATA[[#This Row],[Bottom '[m']]], "")</f>
        <v/>
      </c>
    </row>
    <row r="554" spans="86:86" ht="18" customHeight="1" x14ac:dyDescent="0.3">
      <c r="CH554" s="122" t="str">
        <f>IFERROR(TOWER_DATA[[#This Row],[Top '[m']]]-TOWER_DATA[[#This Row],[Bottom '[m']]], "")</f>
        <v/>
      </c>
    </row>
    <row r="555" spans="86:86" ht="18" customHeight="1" x14ac:dyDescent="0.3">
      <c r="CH555" s="122" t="str">
        <f>IFERROR(TOWER_DATA[[#This Row],[Top '[m']]]-TOWER_DATA[[#This Row],[Bottom '[m']]], "")</f>
        <v/>
      </c>
    </row>
    <row r="556" spans="86:86" ht="18" customHeight="1" x14ac:dyDescent="0.3">
      <c r="CH556" s="122" t="str">
        <f>IFERROR(TOWER_DATA[[#This Row],[Top '[m']]]-TOWER_DATA[[#This Row],[Bottom '[m']]], "")</f>
        <v/>
      </c>
    </row>
    <row r="557" spans="86:86" ht="18" customHeight="1" x14ac:dyDescent="0.3">
      <c r="CH557" s="122" t="str">
        <f>IFERROR(TOWER_DATA[[#This Row],[Top '[m']]]-TOWER_DATA[[#This Row],[Bottom '[m']]], "")</f>
        <v/>
      </c>
    </row>
    <row r="558" spans="86:86" ht="18" customHeight="1" x14ac:dyDescent="0.3">
      <c r="CH558" s="122" t="str">
        <f>IFERROR(TOWER_DATA[[#This Row],[Top '[m']]]-TOWER_DATA[[#This Row],[Bottom '[m']]], "")</f>
        <v/>
      </c>
    </row>
    <row r="559" spans="86:86" ht="18" customHeight="1" x14ac:dyDescent="0.3">
      <c r="CH559" s="122" t="str">
        <f>IFERROR(TOWER_DATA[[#This Row],[Top '[m']]]-TOWER_DATA[[#This Row],[Bottom '[m']]], "")</f>
        <v/>
      </c>
    </row>
    <row r="560" spans="86:86" ht="18" customHeight="1" x14ac:dyDescent="0.3">
      <c r="CH560" s="122" t="str">
        <f>IFERROR(TOWER_DATA[[#This Row],[Top '[m']]]-TOWER_DATA[[#This Row],[Bottom '[m']]], "")</f>
        <v/>
      </c>
    </row>
    <row r="561" spans="86:86" ht="18" customHeight="1" x14ac:dyDescent="0.3">
      <c r="CH561" s="122" t="str">
        <f>IFERROR(TOWER_DATA[[#This Row],[Top '[m']]]-TOWER_DATA[[#This Row],[Bottom '[m']]], "")</f>
        <v/>
      </c>
    </row>
    <row r="562" spans="86:86" ht="18" customHeight="1" x14ac:dyDescent="0.3">
      <c r="CH562" s="122" t="str">
        <f>IFERROR(TOWER_DATA[[#This Row],[Top '[m']]]-TOWER_DATA[[#This Row],[Bottom '[m']]], "")</f>
        <v/>
      </c>
    </row>
    <row r="563" spans="86:86" ht="18" customHeight="1" x14ac:dyDescent="0.3">
      <c r="CH563" s="122" t="str">
        <f>IFERROR(TOWER_DATA[[#This Row],[Top '[m']]]-TOWER_DATA[[#This Row],[Bottom '[m']]], "")</f>
        <v/>
      </c>
    </row>
    <row r="564" spans="86:86" ht="18" customHeight="1" x14ac:dyDescent="0.3">
      <c r="CH564" s="122" t="str">
        <f>IFERROR(TOWER_DATA[[#This Row],[Top '[m']]]-TOWER_DATA[[#This Row],[Bottom '[m']]], "")</f>
        <v/>
      </c>
    </row>
    <row r="565" spans="86:86" ht="18" customHeight="1" x14ac:dyDescent="0.3">
      <c r="CH565" s="122" t="str">
        <f>IFERROR(TOWER_DATA[[#This Row],[Top '[m']]]-TOWER_DATA[[#This Row],[Bottom '[m']]], "")</f>
        <v/>
      </c>
    </row>
    <row r="566" spans="86:86" ht="18" customHeight="1" x14ac:dyDescent="0.3">
      <c r="CH566" s="122" t="str">
        <f>IFERROR(TOWER_DATA[[#This Row],[Top '[m']]]-TOWER_DATA[[#This Row],[Bottom '[m']]], "")</f>
        <v/>
      </c>
    </row>
    <row r="567" spans="86:86" ht="18" customHeight="1" x14ac:dyDescent="0.3">
      <c r="CH567" s="122" t="str">
        <f>IFERROR(TOWER_DATA[[#This Row],[Top '[m']]]-TOWER_DATA[[#This Row],[Bottom '[m']]], "")</f>
        <v/>
      </c>
    </row>
    <row r="568" spans="86:86" ht="18" customHeight="1" x14ac:dyDescent="0.3">
      <c r="CH568" s="122" t="str">
        <f>IFERROR(TOWER_DATA[[#This Row],[Top '[m']]]-TOWER_DATA[[#This Row],[Bottom '[m']]], "")</f>
        <v/>
      </c>
    </row>
    <row r="569" spans="86:86" ht="18" customHeight="1" x14ac:dyDescent="0.3">
      <c r="CH569" s="122" t="str">
        <f>IFERROR(TOWER_DATA[[#This Row],[Top '[m']]]-TOWER_DATA[[#This Row],[Bottom '[m']]], "")</f>
        <v/>
      </c>
    </row>
    <row r="570" spans="86:86" ht="18" customHeight="1" x14ac:dyDescent="0.3">
      <c r="CH570" s="122" t="str">
        <f>IFERROR(TOWER_DATA[[#This Row],[Top '[m']]]-TOWER_DATA[[#This Row],[Bottom '[m']]], "")</f>
        <v/>
      </c>
    </row>
    <row r="571" spans="86:86" ht="18" customHeight="1" x14ac:dyDescent="0.3">
      <c r="CH571" s="122" t="str">
        <f>IFERROR(TOWER_DATA[[#This Row],[Top '[m']]]-TOWER_DATA[[#This Row],[Bottom '[m']]], "")</f>
        <v/>
      </c>
    </row>
    <row r="572" spans="86:86" ht="18" customHeight="1" x14ac:dyDescent="0.3">
      <c r="CH572" s="122" t="str">
        <f>IFERROR(TOWER_DATA[[#This Row],[Top '[m']]]-TOWER_DATA[[#This Row],[Bottom '[m']]], "")</f>
        <v/>
      </c>
    </row>
    <row r="573" spans="86:86" ht="18" customHeight="1" x14ac:dyDescent="0.3">
      <c r="CH573" s="122" t="str">
        <f>IFERROR(TOWER_DATA[[#This Row],[Top '[m']]]-TOWER_DATA[[#This Row],[Bottom '[m']]], "")</f>
        <v/>
      </c>
    </row>
    <row r="574" spans="86:86" ht="18" customHeight="1" x14ac:dyDescent="0.3">
      <c r="CH574" s="122" t="str">
        <f>IFERROR(TOWER_DATA[[#This Row],[Top '[m']]]-TOWER_DATA[[#This Row],[Bottom '[m']]], "")</f>
        <v/>
      </c>
    </row>
    <row r="575" spans="86:86" ht="18" customHeight="1" x14ac:dyDescent="0.3">
      <c r="CH575" s="122" t="str">
        <f>IFERROR(TOWER_DATA[[#This Row],[Top '[m']]]-TOWER_DATA[[#This Row],[Bottom '[m']]], "")</f>
        <v/>
      </c>
    </row>
    <row r="576" spans="86:86" ht="18" customHeight="1" x14ac:dyDescent="0.3">
      <c r="CH576" s="122" t="str">
        <f>IFERROR(TOWER_DATA[[#This Row],[Top '[m']]]-TOWER_DATA[[#This Row],[Bottom '[m']]], "")</f>
        <v/>
      </c>
    </row>
    <row r="577" spans="86:86" ht="18" customHeight="1" x14ac:dyDescent="0.3">
      <c r="CH577" s="122" t="str">
        <f>IFERROR(TOWER_DATA[[#This Row],[Top '[m']]]-TOWER_DATA[[#This Row],[Bottom '[m']]], "")</f>
        <v/>
      </c>
    </row>
    <row r="578" spans="86:86" ht="18" customHeight="1" x14ac:dyDescent="0.3">
      <c r="CH578" s="122" t="str">
        <f>IFERROR(TOWER_DATA[[#This Row],[Top '[m']]]-TOWER_DATA[[#This Row],[Bottom '[m']]], "")</f>
        <v/>
      </c>
    </row>
    <row r="579" spans="86:86" ht="18" customHeight="1" x14ac:dyDescent="0.3">
      <c r="CH579" s="122" t="str">
        <f>IFERROR(TOWER_DATA[[#This Row],[Top '[m']]]-TOWER_DATA[[#This Row],[Bottom '[m']]], "")</f>
        <v/>
      </c>
    </row>
    <row r="580" spans="86:86" ht="18" customHeight="1" x14ac:dyDescent="0.3">
      <c r="CH580" s="122" t="str">
        <f>IFERROR(TOWER_DATA[[#This Row],[Top '[m']]]-TOWER_DATA[[#This Row],[Bottom '[m']]], "")</f>
        <v/>
      </c>
    </row>
    <row r="581" spans="86:86" ht="18" customHeight="1" x14ac:dyDescent="0.3">
      <c r="CH581" s="122" t="str">
        <f>IFERROR(TOWER_DATA[[#This Row],[Top '[m']]]-TOWER_DATA[[#This Row],[Bottom '[m']]], "")</f>
        <v/>
      </c>
    </row>
    <row r="582" spans="86:86" ht="18" customHeight="1" x14ac:dyDescent="0.3">
      <c r="CH582" s="122" t="str">
        <f>IFERROR(TOWER_DATA[[#This Row],[Top '[m']]]-TOWER_DATA[[#This Row],[Bottom '[m']]], "")</f>
        <v/>
      </c>
    </row>
    <row r="583" spans="86:86" ht="18" customHeight="1" x14ac:dyDescent="0.3">
      <c r="CH583" s="122" t="str">
        <f>IFERROR(TOWER_DATA[[#This Row],[Top '[m']]]-TOWER_DATA[[#This Row],[Bottom '[m']]], "")</f>
        <v/>
      </c>
    </row>
    <row r="584" spans="86:86" ht="18" customHeight="1" x14ac:dyDescent="0.3">
      <c r="CH584" s="122" t="str">
        <f>IFERROR(TOWER_DATA[[#This Row],[Top '[m']]]-TOWER_DATA[[#This Row],[Bottom '[m']]], "")</f>
        <v/>
      </c>
    </row>
    <row r="585" spans="86:86" ht="18" customHeight="1" x14ac:dyDescent="0.3">
      <c r="CH585" s="122" t="str">
        <f>IFERROR(TOWER_DATA[[#This Row],[Top '[m']]]-TOWER_DATA[[#This Row],[Bottom '[m']]], "")</f>
        <v/>
      </c>
    </row>
    <row r="586" spans="86:86" ht="18" customHeight="1" x14ac:dyDescent="0.3">
      <c r="CH586" s="122" t="str">
        <f>IFERROR(TOWER_DATA[[#This Row],[Top '[m']]]-TOWER_DATA[[#This Row],[Bottom '[m']]], "")</f>
        <v/>
      </c>
    </row>
    <row r="587" spans="86:86" ht="18" customHeight="1" x14ac:dyDescent="0.3">
      <c r="CH587" s="122" t="str">
        <f>IFERROR(TOWER_DATA[[#This Row],[Top '[m']]]-TOWER_DATA[[#This Row],[Bottom '[m']]], "")</f>
        <v/>
      </c>
    </row>
    <row r="588" spans="86:86" ht="18" customHeight="1" x14ac:dyDescent="0.3">
      <c r="CH588" s="122" t="str">
        <f>IFERROR(TOWER_DATA[[#This Row],[Top '[m']]]-TOWER_DATA[[#This Row],[Bottom '[m']]], "")</f>
        <v/>
      </c>
    </row>
    <row r="589" spans="86:86" ht="18" customHeight="1" x14ac:dyDescent="0.3">
      <c r="CH589" s="122" t="str">
        <f>IFERROR(TOWER_DATA[[#This Row],[Top '[m']]]-TOWER_DATA[[#This Row],[Bottom '[m']]], "")</f>
        <v/>
      </c>
    </row>
    <row r="590" spans="86:86" ht="18" customHeight="1" x14ac:dyDescent="0.3">
      <c r="CH590" s="122" t="str">
        <f>IFERROR(TOWER_DATA[[#This Row],[Top '[m']]]-TOWER_DATA[[#This Row],[Bottom '[m']]], "")</f>
        <v/>
      </c>
    </row>
    <row r="591" spans="86:86" ht="18" customHeight="1" x14ac:dyDescent="0.3">
      <c r="CH591" s="122" t="str">
        <f>IFERROR(TOWER_DATA[[#This Row],[Top '[m']]]-TOWER_DATA[[#This Row],[Bottom '[m']]], "")</f>
        <v/>
      </c>
    </row>
    <row r="592" spans="86:86" ht="18" customHeight="1" x14ac:dyDescent="0.3">
      <c r="CH592" s="122" t="str">
        <f>IFERROR(TOWER_DATA[[#This Row],[Top '[m']]]-TOWER_DATA[[#This Row],[Bottom '[m']]], "")</f>
        <v/>
      </c>
    </row>
    <row r="593" spans="86:86" ht="18" customHeight="1" x14ac:dyDescent="0.3">
      <c r="CH593" s="122" t="str">
        <f>IFERROR(TOWER_DATA[[#This Row],[Top '[m']]]-TOWER_DATA[[#This Row],[Bottom '[m']]], "")</f>
        <v/>
      </c>
    </row>
    <row r="594" spans="86:86" ht="18" customHeight="1" x14ac:dyDescent="0.3">
      <c r="CH594" s="122" t="str">
        <f>IFERROR(TOWER_DATA[[#This Row],[Top '[m']]]-TOWER_DATA[[#This Row],[Bottom '[m']]], "")</f>
        <v/>
      </c>
    </row>
    <row r="595" spans="86:86" ht="18" customHeight="1" x14ac:dyDescent="0.3">
      <c r="CH595" s="122" t="str">
        <f>IFERROR(TOWER_DATA[[#This Row],[Top '[m']]]-TOWER_DATA[[#This Row],[Bottom '[m']]], "")</f>
        <v/>
      </c>
    </row>
    <row r="596" spans="86:86" ht="18" customHeight="1" x14ac:dyDescent="0.3">
      <c r="CH596" s="122" t="str">
        <f>IFERROR(TOWER_DATA[[#This Row],[Top '[m']]]-TOWER_DATA[[#This Row],[Bottom '[m']]], "")</f>
        <v/>
      </c>
    </row>
    <row r="597" spans="86:86" ht="18" customHeight="1" x14ac:dyDescent="0.3">
      <c r="CH597" s="122" t="str">
        <f>IFERROR(TOWER_DATA[[#This Row],[Top '[m']]]-TOWER_DATA[[#This Row],[Bottom '[m']]], "")</f>
        <v/>
      </c>
    </row>
    <row r="598" spans="86:86" ht="18" customHeight="1" x14ac:dyDescent="0.3">
      <c r="CH598" s="122" t="str">
        <f>IFERROR(TOWER_DATA[[#This Row],[Top '[m']]]-TOWER_DATA[[#This Row],[Bottom '[m']]], "")</f>
        <v/>
      </c>
    </row>
    <row r="599" spans="86:86" ht="18" customHeight="1" x14ac:dyDescent="0.3">
      <c r="CH599" s="122" t="str">
        <f>IFERROR(TOWER_DATA[[#This Row],[Top '[m']]]-TOWER_DATA[[#This Row],[Bottom '[m']]], "")</f>
        <v/>
      </c>
    </row>
    <row r="600" spans="86:86" ht="18" customHeight="1" x14ac:dyDescent="0.3">
      <c r="CH600" s="122" t="str">
        <f>IFERROR(TOWER_DATA[[#This Row],[Top '[m']]]-TOWER_DATA[[#This Row],[Bottom '[m']]], "")</f>
        <v/>
      </c>
    </row>
    <row r="601" spans="86:86" ht="18" customHeight="1" x14ac:dyDescent="0.3">
      <c r="CH601" s="122" t="str">
        <f>IFERROR(TOWER_DATA[[#This Row],[Top '[m']]]-TOWER_DATA[[#This Row],[Bottom '[m']]], "")</f>
        <v/>
      </c>
    </row>
    <row r="602" spans="86:86" ht="18" customHeight="1" x14ac:dyDescent="0.3">
      <c r="CH602" s="122" t="str">
        <f>IFERROR(TOWER_DATA[[#This Row],[Top '[m']]]-TOWER_DATA[[#This Row],[Bottom '[m']]], "")</f>
        <v/>
      </c>
    </row>
    <row r="603" spans="86:86" ht="18" customHeight="1" x14ac:dyDescent="0.3">
      <c r="CH603" s="122" t="str">
        <f>IFERROR(TOWER_DATA[[#This Row],[Top '[m']]]-TOWER_DATA[[#This Row],[Bottom '[m']]], "")</f>
        <v/>
      </c>
    </row>
    <row r="604" spans="86:86" ht="18" customHeight="1" x14ac:dyDescent="0.3">
      <c r="CH604" s="122" t="str">
        <f>IFERROR(TOWER_DATA[[#This Row],[Top '[m']]]-TOWER_DATA[[#This Row],[Bottom '[m']]], "")</f>
        <v/>
      </c>
    </row>
    <row r="605" spans="86:86" ht="18" customHeight="1" x14ac:dyDescent="0.3">
      <c r="CH605" s="122" t="str">
        <f>IFERROR(TOWER_DATA[[#This Row],[Top '[m']]]-TOWER_DATA[[#This Row],[Bottom '[m']]], "")</f>
        <v/>
      </c>
    </row>
    <row r="606" spans="86:86" ht="18" customHeight="1" x14ac:dyDescent="0.3">
      <c r="CH606" s="122" t="str">
        <f>IFERROR(TOWER_DATA[[#This Row],[Top '[m']]]-TOWER_DATA[[#This Row],[Bottom '[m']]], "")</f>
        <v/>
      </c>
    </row>
    <row r="607" spans="86:86" ht="18" customHeight="1" x14ac:dyDescent="0.3">
      <c r="CH607" s="122" t="str">
        <f>IFERROR(TOWER_DATA[[#This Row],[Top '[m']]]-TOWER_DATA[[#This Row],[Bottom '[m']]], "")</f>
        <v/>
      </c>
    </row>
    <row r="608" spans="86:86" ht="18" customHeight="1" x14ac:dyDescent="0.3">
      <c r="CH608" s="122" t="str">
        <f>IFERROR(TOWER_DATA[[#This Row],[Top '[m']]]-TOWER_DATA[[#This Row],[Bottom '[m']]], "")</f>
        <v/>
      </c>
    </row>
    <row r="609" spans="86:86" ht="18" customHeight="1" x14ac:dyDescent="0.3">
      <c r="CH609" s="122" t="str">
        <f>IFERROR(TOWER_DATA[[#This Row],[Top '[m']]]-TOWER_DATA[[#This Row],[Bottom '[m']]], "")</f>
        <v/>
      </c>
    </row>
    <row r="610" spans="86:86" ht="18" customHeight="1" x14ac:dyDescent="0.3">
      <c r="CH610" s="122" t="str">
        <f>IFERROR(TOWER_DATA[[#This Row],[Top '[m']]]-TOWER_DATA[[#This Row],[Bottom '[m']]], "")</f>
        <v/>
      </c>
    </row>
    <row r="611" spans="86:86" ht="18" customHeight="1" x14ac:dyDescent="0.3">
      <c r="CH611" s="122" t="str">
        <f>IFERROR(TOWER_DATA[[#This Row],[Top '[m']]]-TOWER_DATA[[#This Row],[Bottom '[m']]], "")</f>
        <v/>
      </c>
    </row>
    <row r="612" spans="86:86" ht="18" customHeight="1" x14ac:dyDescent="0.3">
      <c r="CH612" s="122" t="str">
        <f>IFERROR(TOWER_DATA[[#This Row],[Top '[m']]]-TOWER_DATA[[#This Row],[Bottom '[m']]], "")</f>
        <v/>
      </c>
    </row>
    <row r="613" spans="86:86" ht="18" customHeight="1" x14ac:dyDescent="0.3">
      <c r="CH613" s="122" t="str">
        <f>IFERROR(TOWER_DATA[[#This Row],[Top '[m']]]-TOWER_DATA[[#This Row],[Bottom '[m']]], "")</f>
        <v/>
      </c>
    </row>
    <row r="614" spans="86:86" ht="18" customHeight="1" x14ac:dyDescent="0.3">
      <c r="CH614" s="122" t="str">
        <f>IFERROR(TOWER_DATA[[#This Row],[Top '[m']]]-TOWER_DATA[[#This Row],[Bottom '[m']]], "")</f>
        <v/>
      </c>
    </row>
    <row r="615" spans="86:86" ht="18" customHeight="1" x14ac:dyDescent="0.3">
      <c r="CH615" s="122" t="str">
        <f>IFERROR(TOWER_DATA[[#This Row],[Top '[m']]]-TOWER_DATA[[#This Row],[Bottom '[m']]], "")</f>
        <v/>
      </c>
    </row>
    <row r="616" spans="86:86" ht="18" customHeight="1" x14ac:dyDescent="0.3">
      <c r="CH616" s="122" t="str">
        <f>IFERROR(TOWER_DATA[[#This Row],[Top '[m']]]-TOWER_DATA[[#This Row],[Bottom '[m']]], "")</f>
        <v/>
      </c>
    </row>
    <row r="617" spans="86:86" ht="18" customHeight="1" x14ac:dyDescent="0.3">
      <c r="CH617" s="122" t="str">
        <f>IFERROR(TOWER_DATA[[#This Row],[Top '[m']]]-TOWER_DATA[[#This Row],[Bottom '[m']]], "")</f>
        <v/>
      </c>
    </row>
    <row r="618" spans="86:86" ht="18" customHeight="1" x14ac:dyDescent="0.3">
      <c r="CH618" s="122" t="str">
        <f>IFERROR(TOWER_DATA[[#This Row],[Top '[m']]]-TOWER_DATA[[#This Row],[Bottom '[m']]], "")</f>
        <v/>
      </c>
    </row>
    <row r="619" spans="86:86" ht="18" customHeight="1" x14ac:dyDescent="0.3">
      <c r="CH619" s="122" t="str">
        <f>IFERROR(TOWER_DATA[[#This Row],[Top '[m']]]-TOWER_DATA[[#This Row],[Bottom '[m']]], "")</f>
        <v/>
      </c>
    </row>
    <row r="620" spans="86:86" ht="18" customHeight="1" x14ac:dyDescent="0.3">
      <c r="CH620" s="122" t="str">
        <f>IFERROR(TOWER_DATA[[#This Row],[Top '[m']]]-TOWER_DATA[[#This Row],[Bottom '[m']]], "")</f>
        <v/>
      </c>
    </row>
    <row r="621" spans="86:86" ht="18" customHeight="1" x14ac:dyDescent="0.3">
      <c r="CH621" s="122" t="str">
        <f>IFERROR(TOWER_DATA[[#This Row],[Top '[m']]]-TOWER_DATA[[#This Row],[Bottom '[m']]], "")</f>
        <v/>
      </c>
    </row>
    <row r="622" spans="86:86" ht="18" customHeight="1" x14ac:dyDescent="0.3">
      <c r="CH622" s="122" t="str">
        <f>IFERROR(TOWER_DATA[[#This Row],[Top '[m']]]-TOWER_DATA[[#This Row],[Bottom '[m']]], "")</f>
        <v/>
      </c>
    </row>
    <row r="623" spans="86:86" ht="18" customHeight="1" x14ac:dyDescent="0.3">
      <c r="CH623" s="122" t="str">
        <f>IFERROR(TOWER_DATA[[#This Row],[Top '[m']]]-TOWER_DATA[[#This Row],[Bottom '[m']]], "")</f>
        <v/>
      </c>
    </row>
    <row r="624" spans="86:86" ht="18" customHeight="1" x14ac:dyDescent="0.3">
      <c r="CH624" s="122" t="str">
        <f>IFERROR(TOWER_DATA[[#This Row],[Top '[m']]]-TOWER_DATA[[#This Row],[Bottom '[m']]], "")</f>
        <v/>
      </c>
    </row>
    <row r="625" spans="86:86" ht="18" customHeight="1" x14ac:dyDescent="0.3">
      <c r="CH625" s="122" t="str">
        <f>IFERROR(TOWER_DATA[[#This Row],[Top '[m']]]-TOWER_DATA[[#This Row],[Bottom '[m']]], "")</f>
        <v/>
      </c>
    </row>
    <row r="626" spans="86:86" ht="18" customHeight="1" x14ac:dyDescent="0.3">
      <c r="CH626" s="122" t="str">
        <f>IFERROR(TOWER_DATA[[#This Row],[Top '[m']]]-TOWER_DATA[[#This Row],[Bottom '[m']]], "")</f>
        <v/>
      </c>
    </row>
    <row r="627" spans="86:86" ht="18" customHeight="1" x14ac:dyDescent="0.3">
      <c r="CH627" s="122" t="str">
        <f>IFERROR(TOWER_DATA[[#This Row],[Top '[m']]]-TOWER_DATA[[#This Row],[Bottom '[m']]], "")</f>
        <v/>
      </c>
    </row>
    <row r="628" spans="86:86" ht="18" customHeight="1" x14ac:dyDescent="0.3">
      <c r="CH628" s="122" t="str">
        <f>IFERROR(TOWER_DATA[[#This Row],[Top '[m']]]-TOWER_DATA[[#This Row],[Bottom '[m']]], "")</f>
        <v/>
      </c>
    </row>
    <row r="629" spans="86:86" ht="18" customHeight="1" x14ac:dyDescent="0.3">
      <c r="CH629" s="122" t="str">
        <f>IFERROR(TOWER_DATA[[#This Row],[Top '[m']]]-TOWER_DATA[[#This Row],[Bottom '[m']]], "")</f>
        <v/>
      </c>
    </row>
    <row r="630" spans="86:86" ht="18" customHeight="1" x14ac:dyDescent="0.3">
      <c r="CH630" s="122" t="str">
        <f>IFERROR(TOWER_DATA[[#This Row],[Top '[m']]]-TOWER_DATA[[#This Row],[Bottom '[m']]], "")</f>
        <v/>
      </c>
    </row>
    <row r="631" spans="86:86" ht="18" customHeight="1" x14ac:dyDescent="0.3">
      <c r="CH631" s="122" t="str">
        <f>IFERROR(TOWER_DATA[[#This Row],[Top '[m']]]-TOWER_DATA[[#This Row],[Bottom '[m']]], "")</f>
        <v/>
      </c>
    </row>
    <row r="632" spans="86:86" ht="18" customHeight="1" x14ac:dyDescent="0.3">
      <c r="CH632" s="122" t="str">
        <f>IFERROR(TOWER_DATA[[#This Row],[Top '[m']]]-TOWER_DATA[[#This Row],[Bottom '[m']]], "")</f>
        <v/>
      </c>
    </row>
    <row r="633" spans="86:86" ht="18" customHeight="1" x14ac:dyDescent="0.3">
      <c r="CH633" s="122" t="str">
        <f>IFERROR(TOWER_DATA[[#This Row],[Top '[m']]]-TOWER_DATA[[#This Row],[Bottom '[m']]], "")</f>
        <v/>
      </c>
    </row>
    <row r="634" spans="86:86" ht="18" customHeight="1" x14ac:dyDescent="0.3">
      <c r="CH634" s="122" t="str">
        <f>IFERROR(TOWER_DATA[[#This Row],[Top '[m']]]-TOWER_DATA[[#This Row],[Bottom '[m']]], "")</f>
        <v/>
      </c>
    </row>
    <row r="635" spans="86:86" ht="18" customHeight="1" x14ac:dyDescent="0.3">
      <c r="CH635" s="122" t="str">
        <f>IFERROR(TOWER_DATA[[#This Row],[Top '[m']]]-TOWER_DATA[[#This Row],[Bottom '[m']]], "")</f>
        <v/>
      </c>
    </row>
    <row r="636" spans="86:86" ht="18" customHeight="1" x14ac:dyDescent="0.3">
      <c r="CH636" s="122" t="str">
        <f>IFERROR(TOWER_DATA[[#This Row],[Top '[m']]]-TOWER_DATA[[#This Row],[Bottom '[m']]], "")</f>
        <v/>
      </c>
    </row>
    <row r="637" spans="86:86" ht="18" customHeight="1" x14ac:dyDescent="0.3">
      <c r="CH637" s="122" t="str">
        <f>IFERROR(TOWER_DATA[[#This Row],[Top '[m']]]-TOWER_DATA[[#This Row],[Bottom '[m']]], "")</f>
        <v/>
      </c>
    </row>
    <row r="638" spans="86:86" ht="18" customHeight="1" x14ac:dyDescent="0.3">
      <c r="CH638" s="122" t="str">
        <f>IFERROR(TOWER_DATA[[#This Row],[Top '[m']]]-TOWER_DATA[[#This Row],[Bottom '[m']]], "")</f>
        <v/>
      </c>
    </row>
    <row r="639" spans="86:86" ht="18" customHeight="1" x14ac:dyDescent="0.3">
      <c r="CH639" s="122" t="str">
        <f>IFERROR(TOWER_DATA[[#This Row],[Top '[m']]]-TOWER_DATA[[#This Row],[Bottom '[m']]], "")</f>
        <v/>
      </c>
    </row>
    <row r="640" spans="86:86" ht="18" customHeight="1" x14ac:dyDescent="0.3">
      <c r="CH640" s="122" t="str">
        <f>IFERROR(TOWER_DATA[[#This Row],[Top '[m']]]-TOWER_DATA[[#This Row],[Bottom '[m']]], "")</f>
        <v/>
      </c>
    </row>
    <row r="641" spans="86:86" ht="18" customHeight="1" x14ac:dyDescent="0.3">
      <c r="CH641" s="122" t="str">
        <f>IFERROR(TOWER_DATA[[#This Row],[Top '[m']]]-TOWER_DATA[[#This Row],[Bottom '[m']]], "")</f>
        <v/>
      </c>
    </row>
    <row r="642" spans="86:86" ht="18" customHeight="1" x14ac:dyDescent="0.3">
      <c r="CH642" s="122" t="str">
        <f>IFERROR(TOWER_DATA[[#This Row],[Top '[m']]]-TOWER_DATA[[#This Row],[Bottom '[m']]], "")</f>
        <v/>
      </c>
    </row>
    <row r="643" spans="86:86" ht="18" customHeight="1" x14ac:dyDescent="0.3">
      <c r="CH643" s="122" t="str">
        <f>IFERROR(TOWER_DATA[[#This Row],[Top '[m']]]-TOWER_DATA[[#This Row],[Bottom '[m']]], "")</f>
        <v/>
      </c>
    </row>
    <row r="644" spans="86:86" ht="18" customHeight="1" x14ac:dyDescent="0.3">
      <c r="CH644" s="122" t="str">
        <f>IFERROR(TOWER_DATA[[#This Row],[Top '[m']]]-TOWER_DATA[[#This Row],[Bottom '[m']]], "")</f>
        <v/>
      </c>
    </row>
    <row r="645" spans="86:86" ht="18" customHeight="1" x14ac:dyDescent="0.3">
      <c r="CH645" s="122" t="str">
        <f>IFERROR(TOWER_DATA[[#This Row],[Top '[m']]]-TOWER_DATA[[#This Row],[Bottom '[m']]], "")</f>
        <v/>
      </c>
    </row>
    <row r="646" spans="86:86" ht="18" customHeight="1" x14ac:dyDescent="0.3">
      <c r="CH646" s="122" t="str">
        <f>IFERROR(TOWER_DATA[[#This Row],[Top '[m']]]-TOWER_DATA[[#This Row],[Bottom '[m']]], "")</f>
        <v/>
      </c>
    </row>
    <row r="647" spans="86:86" ht="18" customHeight="1" x14ac:dyDescent="0.3">
      <c r="CH647" s="122" t="str">
        <f>IFERROR(TOWER_DATA[[#This Row],[Top '[m']]]-TOWER_DATA[[#This Row],[Bottom '[m']]], "")</f>
        <v/>
      </c>
    </row>
    <row r="648" spans="86:86" ht="18" customHeight="1" x14ac:dyDescent="0.3">
      <c r="CH648" s="122" t="str">
        <f>IFERROR(TOWER_DATA[[#This Row],[Top '[m']]]-TOWER_DATA[[#This Row],[Bottom '[m']]], "")</f>
        <v/>
      </c>
    </row>
    <row r="649" spans="86:86" ht="18" customHeight="1" x14ac:dyDescent="0.3">
      <c r="CH649" s="122" t="str">
        <f>IFERROR(TOWER_DATA[[#This Row],[Top '[m']]]-TOWER_DATA[[#This Row],[Bottom '[m']]], "")</f>
        <v/>
      </c>
    </row>
    <row r="650" spans="86:86" ht="18" customHeight="1" x14ac:dyDescent="0.3">
      <c r="CH650" s="122" t="str">
        <f>IFERROR(TOWER_DATA[[#This Row],[Top '[m']]]-TOWER_DATA[[#This Row],[Bottom '[m']]], "")</f>
        <v/>
      </c>
    </row>
    <row r="651" spans="86:86" ht="18" customHeight="1" x14ac:dyDescent="0.3">
      <c r="CH651" s="122" t="str">
        <f>IFERROR(TOWER_DATA[[#This Row],[Top '[m']]]-TOWER_DATA[[#This Row],[Bottom '[m']]], "")</f>
        <v/>
      </c>
    </row>
    <row r="652" spans="86:86" ht="18" customHeight="1" x14ac:dyDescent="0.3">
      <c r="CH652" s="122" t="str">
        <f>IFERROR(TOWER_DATA[[#This Row],[Top '[m']]]-TOWER_DATA[[#This Row],[Bottom '[m']]], "")</f>
        <v/>
      </c>
    </row>
    <row r="653" spans="86:86" ht="18" customHeight="1" x14ac:dyDescent="0.3">
      <c r="CH653" s="122" t="str">
        <f>IFERROR(TOWER_DATA[[#This Row],[Top '[m']]]-TOWER_DATA[[#This Row],[Bottom '[m']]], "")</f>
        <v/>
      </c>
    </row>
    <row r="654" spans="86:86" ht="18" customHeight="1" x14ac:dyDescent="0.3">
      <c r="CH654" s="122" t="str">
        <f>IFERROR(TOWER_DATA[[#This Row],[Top '[m']]]-TOWER_DATA[[#This Row],[Bottom '[m']]], "")</f>
        <v/>
      </c>
    </row>
    <row r="655" spans="86:86" ht="18" customHeight="1" x14ac:dyDescent="0.3">
      <c r="CH655" s="122" t="str">
        <f>IFERROR(TOWER_DATA[[#This Row],[Top '[m']]]-TOWER_DATA[[#This Row],[Bottom '[m']]], "")</f>
        <v/>
      </c>
    </row>
    <row r="656" spans="86:86" ht="18" customHeight="1" x14ac:dyDescent="0.3">
      <c r="CH656" s="122" t="str">
        <f>IFERROR(TOWER_DATA[[#This Row],[Top '[m']]]-TOWER_DATA[[#This Row],[Bottom '[m']]], "")</f>
        <v/>
      </c>
    </row>
    <row r="657" spans="86:86" ht="18" customHeight="1" x14ac:dyDescent="0.3">
      <c r="CH657" s="122" t="str">
        <f>IFERROR(TOWER_DATA[[#This Row],[Top '[m']]]-TOWER_DATA[[#This Row],[Bottom '[m']]], "")</f>
        <v/>
      </c>
    </row>
    <row r="658" spans="86:86" ht="18" customHeight="1" x14ac:dyDescent="0.3">
      <c r="CH658" s="122" t="str">
        <f>IFERROR(TOWER_DATA[[#This Row],[Top '[m']]]-TOWER_DATA[[#This Row],[Bottom '[m']]], "")</f>
        <v/>
      </c>
    </row>
    <row r="659" spans="86:86" ht="18" customHeight="1" x14ac:dyDescent="0.3">
      <c r="CH659" s="122" t="str">
        <f>IFERROR(TOWER_DATA[[#This Row],[Top '[m']]]-TOWER_DATA[[#This Row],[Bottom '[m']]], "")</f>
        <v/>
      </c>
    </row>
    <row r="660" spans="86:86" ht="18" customHeight="1" x14ac:dyDescent="0.3">
      <c r="CH660" s="122" t="str">
        <f>IFERROR(TOWER_DATA[[#This Row],[Top '[m']]]-TOWER_DATA[[#This Row],[Bottom '[m']]], "")</f>
        <v/>
      </c>
    </row>
    <row r="661" spans="86:86" ht="18" customHeight="1" x14ac:dyDescent="0.3">
      <c r="CH661" s="122" t="str">
        <f>IFERROR(TOWER_DATA[[#This Row],[Top '[m']]]-TOWER_DATA[[#This Row],[Bottom '[m']]], "")</f>
        <v/>
      </c>
    </row>
    <row r="662" spans="86:86" ht="18" customHeight="1" x14ac:dyDescent="0.3">
      <c r="CH662" s="122" t="str">
        <f>IFERROR(TOWER_DATA[[#This Row],[Top '[m']]]-TOWER_DATA[[#This Row],[Bottom '[m']]], "")</f>
        <v/>
      </c>
    </row>
    <row r="663" spans="86:86" ht="18" customHeight="1" x14ac:dyDescent="0.3">
      <c r="CH663" s="122" t="str">
        <f>IFERROR(TOWER_DATA[[#This Row],[Top '[m']]]-TOWER_DATA[[#This Row],[Bottom '[m']]], "")</f>
        <v/>
      </c>
    </row>
    <row r="664" spans="86:86" ht="18" customHeight="1" x14ac:dyDescent="0.3">
      <c r="CH664" s="122" t="str">
        <f>IFERROR(TOWER_DATA[[#This Row],[Top '[m']]]-TOWER_DATA[[#This Row],[Bottom '[m']]], "")</f>
        <v/>
      </c>
    </row>
    <row r="665" spans="86:86" ht="18" customHeight="1" x14ac:dyDescent="0.3">
      <c r="CH665" s="122" t="str">
        <f>IFERROR(TOWER_DATA[[#This Row],[Top '[m']]]-TOWER_DATA[[#This Row],[Bottom '[m']]], "")</f>
        <v/>
      </c>
    </row>
    <row r="666" spans="86:86" ht="18" customHeight="1" x14ac:dyDescent="0.3">
      <c r="CH666" s="122" t="str">
        <f>IFERROR(TOWER_DATA[[#This Row],[Top '[m']]]-TOWER_DATA[[#This Row],[Bottom '[m']]], "")</f>
        <v/>
      </c>
    </row>
    <row r="667" spans="86:86" ht="18" customHeight="1" x14ac:dyDescent="0.3">
      <c r="CH667" s="122" t="str">
        <f>IFERROR(TOWER_DATA[[#This Row],[Top '[m']]]-TOWER_DATA[[#This Row],[Bottom '[m']]], "")</f>
        <v/>
      </c>
    </row>
    <row r="668" spans="86:86" ht="18" customHeight="1" x14ac:dyDescent="0.3">
      <c r="CH668" s="122" t="str">
        <f>IFERROR(TOWER_DATA[[#This Row],[Top '[m']]]-TOWER_DATA[[#This Row],[Bottom '[m']]], "")</f>
        <v/>
      </c>
    </row>
    <row r="669" spans="86:86" ht="18" customHeight="1" x14ac:dyDescent="0.3">
      <c r="CH669" s="122" t="str">
        <f>IFERROR(TOWER_DATA[[#This Row],[Top '[m']]]-TOWER_DATA[[#This Row],[Bottom '[m']]], "")</f>
        <v/>
      </c>
    </row>
    <row r="670" spans="86:86" ht="18" customHeight="1" x14ac:dyDescent="0.3">
      <c r="CH670" s="122" t="str">
        <f>IFERROR(TOWER_DATA[[#This Row],[Top '[m']]]-TOWER_DATA[[#This Row],[Bottom '[m']]], "")</f>
        <v/>
      </c>
    </row>
    <row r="671" spans="86:86" ht="18" customHeight="1" x14ac:dyDescent="0.3">
      <c r="CH671" s="122" t="str">
        <f>IFERROR(TOWER_DATA[[#This Row],[Top '[m']]]-TOWER_DATA[[#This Row],[Bottom '[m']]], "")</f>
        <v/>
      </c>
    </row>
    <row r="672" spans="86:86" ht="18" customHeight="1" x14ac:dyDescent="0.3">
      <c r="CH672" s="122" t="str">
        <f>IFERROR(TOWER_DATA[[#This Row],[Top '[m']]]-TOWER_DATA[[#This Row],[Bottom '[m']]], "")</f>
        <v/>
      </c>
    </row>
    <row r="673" spans="86:86" ht="18" customHeight="1" x14ac:dyDescent="0.3">
      <c r="CH673" s="122" t="str">
        <f>IFERROR(TOWER_DATA[[#This Row],[Top '[m']]]-TOWER_DATA[[#This Row],[Bottom '[m']]], "")</f>
        <v/>
      </c>
    </row>
    <row r="674" spans="86:86" ht="18" customHeight="1" x14ac:dyDescent="0.3">
      <c r="CH674" s="122" t="str">
        <f>IFERROR(TOWER_DATA[[#This Row],[Top '[m']]]-TOWER_DATA[[#This Row],[Bottom '[m']]], "")</f>
        <v/>
      </c>
    </row>
    <row r="675" spans="86:86" ht="18" customHeight="1" x14ac:dyDescent="0.3">
      <c r="CH675" s="122" t="str">
        <f>IFERROR(TOWER_DATA[[#This Row],[Top '[m']]]-TOWER_DATA[[#This Row],[Bottom '[m']]], "")</f>
        <v/>
      </c>
    </row>
    <row r="676" spans="86:86" ht="18" customHeight="1" x14ac:dyDescent="0.3">
      <c r="CH676" s="122" t="str">
        <f>IFERROR(TOWER_DATA[[#This Row],[Top '[m']]]-TOWER_DATA[[#This Row],[Bottom '[m']]], "")</f>
        <v/>
      </c>
    </row>
    <row r="677" spans="86:86" ht="18" customHeight="1" x14ac:dyDescent="0.3">
      <c r="CH677" s="122" t="str">
        <f>IFERROR(TOWER_DATA[[#This Row],[Top '[m']]]-TOWER_DATA[[#This Row],[Bottom '[m']]], "")</f>
        <v/>
      </c>
    </row>
    <row r="678" spans="86:86" ht="18" customHeight="1" x14ac:dyDescent="0.3">
      <c r="CH678" s="122" t="str">
        <f>IFERROR(TOWER_DATA[[#This Row],[Top '[m']]]-TOWER_DATA[[#This Row],[Bottom '[m']]], "")</f>
        <v/>
      </c>
    </row>
    <row r="679" spans="86:86" ht="18" customHeight="1" x14ac:dyDescent="0.3">
      <c r="CH679" s="122" t="str">
        <f>IFERROR(TOWER_DATA[[#This Row],[Top '[m']]]-TOWER_DATA[[#This Row],[Bottom '[m']]], "")</f>
        <v/>
      </c>
    </row>
    <row r="680" spans="86:86" ht="18" customHeight="1" x14ac:dyDescent="0.3">
      <c r="CH680" s="122" t="str">
        <f>IFERROR(TOWER_DATA[[#This Row],[Top '[m']]]-TOWER_DATA[[#This Row],[Bottom '[m']]], "")</f>
        <v/>
      </c>
    </row>
    <row r="681" spans="86:86" ht="18" customHeight="1" x14ac:dyDescent="0.3">
      <c r="CH681" s="122" t="str">
        <f>IFERROR(TOWER_DATA[[#This Row],[Top '[m']]]-TOWER_DATA[[#This Row],[Bottom '[m']]], "")</f>
        <v/>
      </c>
    </row>
    <row r="682" spans="86:86" ht="18" customHeight="1" x14ac:dyDescent="0.3">
      <c r="CH682" s="122" t="str">
        <f>IFERROR(TOWER_DATA[[#This Row],[Top '[m']]]-TOWER_DATA[[#This Row],[Bottom '[m']]], "")</f>
        <v/>
      </c>
    </row>
    <row r="683" spans="86:86" ht="18" customHeight="1" x14ac:dyDescent="0.3">
      <c r="CH683" s="122" t="str">
        <f>IFERROR(TOWER_DATA[[#This Row],[Top '[m']]]-TOWER_DATA[[#This Row],[Bottom '[m']]], "")</f>
        <v/>
      </c>
    </row>
    <row r="684" spans="86:86" ht="18" customHeight="1" x14ac:dyDescent="0.3">
      <c r="CH684" s="122" t="str">
        <f>IFERROR(TOWER_DATA[[#This Row],[Top '[m']]]-TOWER_DATA[[#This Row],[Bottom '[m']]], "")</f>
        <v/>
      </c>
    </row>
    <row r="685" spans="86:86" ht="18" customHeight="1" x14ac:dyDescent="0.3">
      <c r="CH685" s="122" t="str">
        <f>IFERROR(TOWER_DATA[[#This Row],[Top '[m']]]-TOWER_DATA[[#This Row],[Bottom '[m']]], "")</f>
        <v/>
      </c>
    </row>
    <row r="686" spans="86:86" ht="18" customHeight="1" x14ac:dyDescent="0.3">
      <c r="CH686" s="122" t="str">
        <f>IFERROR(TOWER_DATA[[#This Row],[Top '[m']]]-TOWER_DATA[[#This Row],[Bottom '[m']]], "")</f>
        <v/>
      </c>
    </row>
    <row r="687" spans="86:86" ht="18" customHeight="1" x14ac:dyDescent="0.3">
      <c r="CH687" s="122" t="str">
        <f>IFERROR(TOWER_DATA[[#This Row],[Top '[m']]]-TOWER_DATA[[#This Row],[Bottom '[m']]], "")</f>
        <v/>
      </c>
    </row>
    <row r="688" spans="86:86" ht="18" customHeight="1" x14ac:dyDescent="0.3">
      <c r="CH688" s="122" t="str">
        <f>IFERROR(TOWER_DATA[[#This Row],[Top '[m']]]-TOWER_DATA[[#This Row],[Bottom '[m']]], "")</f>
        <v/>
      </c>
    </row>
    <row r="689" spans="86:86" ht="18" customHeight="1" x14ac:dyDescent="0.3">
      <c r="CH689" s="122" t="str">
        <f>IFERROR(TOWER_DATA[[#This Row],[Top '[m']]]-TOWER_DATA[[#This Row],[Bottom '[m']]], "")</f>
        <v/>
      </c>
    </row>
    <row r="690" spans="86:86" ht="18" customHeight="1" x14ac:dyDescent="0.3">
      <c r="CH690" s="122" t="str">
        <f>IFERROR(TOWER_DATA[[#This Row],[Top '[m']]]-TOWER_DATA[[#This Row],[Bottom '[m']]], "")</f>
        <v/>
      </c>
    </row>
    <row r="691" spans="86:86" ht="18" customHeight="1" x14ac:dyDescent="0.3">
      <c r="CH691" s="122" t="str">
        <f>IFERROR(TOWER_DATA[[#This Row],[Top '[m']]]-TOWER_DATA[[#This Row],[Bottom '[m']]], "")</f>
        <v/>
      </c>
    </row>
    <row r="692" spans="86:86" ht="18" customHeight="1" x14ac:dyDescent="0.3">
      <c r="CH692" s="122" t="str">
        <f>IFERROR(TOWER_DATA[[#This Row],[Top '[m']]]-TOWER_DATA[[#This Row],[Bottom '[m']]], "")</f>
        <v/>
      </c>
    </row>
    <row r="693" spans="86:86" ht="18" customHeight="1" x14ac:dyDescent="0.3">
      <c r="CH693" s="122" t="str">
        <f>IFERROR(TOWER_DATA[[#This Row],[Top '[m']]]-TOWER_DATA[[#This Row],[Bottom '[m']]], "")</f>
        <v/>
      </c>
    </row>
    <row r="694" spans="86:86" ht="18" customHeight="1" x14ac:dyDescent="0.3">
      <c r="CH694" s="122" t="str">
        <f>IFERROR(TOWER_DATA[[#This Row],[Top '[m']]]-TOWER_DATA[[#This Row],[Bottom '[m']]], "")</f>
        <v/>
      </c>
    </row>
    <row r="695" spans="86:86" ht="18" customHeight="1" x14ac:dyDescent="0.3">
      <c r="CH695" s="122" t="str">
        <f>IFERROR(TOWER_DATA[[#This Row],[Top '[m']]]-TOWER_DATA[[#This Row],[Bottom '[m']]], "")</f>
        <v/>
      </c>
    </row>
    <row r="696" spans="86:86" ht="18" customHeight="1" x14ac:dyDescent="0.3">
      <c r="CH696" s="122" t="str">
        <f>IFERROR(TOWER_DATA[[#This Row],[Top '[m']]]-TOWER_DATA[[#This Row],[Bottom '[m']]], "")</f>
        <v/>
      </c>
    </row>
    <row r="697" spans="86:86" ht="18" customHeight="1" x14ac:dyDescent="0.3">
      <c r="CH697" s="122" t="str">
        <f>IFERROR(TOWER_DATA[[#This Row],[Top '[m']]]-TOWER_DATA[[#This Row],[Bottom '[m']]], "")</f>
        <v/>
      </c>
    </row>
    <row r="698" spans="86:86" ht="18" customHeight="1" x14ac:dyDescent="0.3">
      <c r="CH698" s="122" t="str">
        <f>IFERROR(TOWER_DATA[[#This Row],[Top '[m']]]-TOWER_DATA[[#This Row],[Bottom '[m']]], "")</f>
        <v/>
      </c>
    </row>
    <row r="699" spans="86:86" ht="18" customHeight="1" x14ac:dyDescent="0.3">
      <c r="CH699" s="122" t="str">
        <f>IFERROR(TOWER_DATA[[#This Row],[Top '[m']]]-TOWER_DATA[[#This Row],[Bottom '[m']]], "")</f>
        <v/>
      </c>
    </row>
    <row r="700" spans="86:86" ht="18" customHeight="1" x14ac:dyDescent="0.3">
      <c r="CH700" s="122" t="str">
        <f>IFERROR(TOWER_DATA[[#This Row],[Top '[m']]]-TOWER_DATA[[#This Row],[Bottom '[m']]], "")</f>
        <v/>
      </c>
    </row>
    <row r="701" spans="86:86" ht="18" customHeight="1" x14ac:dyDescent="0.3">
      <c r="CH701" s="122" t="str">
        <f>IFERROR(TOWER_DATA[[#This Row],[Top '[m']]]-TOWER_DATA[[#This Row],[Bottom '[m']]], "")</f>
        <v/>
      </c>
    </row>
    <row r="702" spans="86:86" ht="18" customHeight="1" x14ac:dyDescent="0.3">
      <c r="CH702" s="122" t="str">
        <f>IFERROR(TOWER_DATA[[#This Row],[Top '[m']]]-TOWER_DATA[[#This Row],[Bottom '[m']]], "")</f>
        <v/>
      </c>
    </row>
    <row r="703" spans="86:86" ht="18" customHeight="1" x14ac:dyDescent="0.3">
      <c r="CH703" s="122" t="str">
        <f>IFERROR(TOWER_DATA[[#This Row],[Top '[m']]]-TOWER_DATA[[#This Row],[Bottom '[m']]], "")</f>
        <v/>
      </c>
    </row>
    <row r="704" spans="86:86" ht="18" customHeight="1" x14ac:dyDescent="0.3">
      <c r="CH704" s="122" t="str">
        <f>IFERROR(TOWER_DATA[[#This Row],[Top '[m']]]-TOWER_DATA[[#This Row],[Bottom '[m']]], "")</f>
        <v/>
      </c>
    </row>
    <row r="705" spans="86:86" ht="18" customHeight="1" x14ac:dyDescent="0.3">
      <c r="CH705" s="122" t="str">
        <f>IFERROR(TOWER_DATA[[#This Row],[Top '[m']]]-TOWER_DATA[[#This Row],[Bottom '[m']]], "")</f>
        <v/>
      </c>
    </row>
    <row r="706" spans="86:86" ht="18" customHeight="1" x14ac:dyDescent="0.3">
      <c r="CH706" s="122" t="str">
        <f>IFERROR(TOWER_DATA[[#This Row],[Top '[m']]]-TOWER_DATA[[#This Row],[Bottom '[m']]], "")</f>
        <v/>
      </c>
    </row>
    <row r="707" spans="86:86" ht="18" customHeight="1" x14ac:dyDescent="0.3">
      <c r="CH707" s="122" t="str">
        <f>IFERROR(TOWER_DATA[[#This Row],[Top '[m']]]-TOWER_DATA[[#This Row],[Bottom '[m']]], "")</f>
        <v/>
      </c>
    </row>
    <row r="708" spans="86:86" ht="18" customHeight="1" x14ac:dyDescent="0.3">
      <c r="CH708" s="122" t="str">
        <f>IFERROR(TOWER_DATA[[#This Row],[Top '[m']]]-TOWER_DATA[[#This Row],[Bottom '[m']]], "")</f>
        <v/>
      </c>
    </row>
    <row r="709" spans="86:86" ht="18" customHeight="1" x14ac:dyDescent="0.3">
      <c r="CH709" s="122" t="str">
        <f>IFERROR(TOWER_DATA[[#This Row],[Top '[m']]]-TOWER_DATA[[#This Row],[Bottom '[m']]], "")</f>
        <v/>
      </c>
    </row>
    <row r="710" spans="86:86" ht="18" customHeight="1" x14ac:dyDescent="0.3">
      <c r="CH710" s="122" t="str">
        <f>IFERROR(TOWER_DATA[[#This Row],[Top '[m']]]-TOWER_DATA[[#This Row],[Bottom '[m']]], "")</f>
        <v/>
      </c>
    </row>
    <row r="711" spans="86:86" ht="18" customHeight="1" x14ac:dyDescent="0.3">
      <c r="CH711" s="122" t="str">
        <f>IFERROR(TOWER_DATA[[#This Row],[Top '[m']]]-TOWER_DATA[[#This Row],[Bottom '[m']]], "")</f>
        <v/>
      </c>
    </row>
    <row r="712" spans="86:86" ht="18" customHeight="1" x14ac:dyDescent="0.3">
      <c r="CH712" s="122" t="str">
        <f>IFERROR(TOWER_DATA[[#This Row],[Top '[m']]]-TOWER_DATA[[#This Row],[Bottom '[m']]], "")</f>
        <v/>
      </c>
    </row>
    <row r="713" spans="86:86" ht="18" customHeight="1" x14ac:dyDescent="0.3">
      <c r="CH713" s="122" t="str">
        <f>IFERROR(TOWER_DATA[[#This Row],[Top '[m']]]-TOWER_DATA[[#This Row],[Bottom '[m']]], "")</f>
        <v/>
      </c>
    </row>
    <row r="714" spans="86:86" ht="18" customHeight="1" x14ac:dyDescent="0.3">
      <c r="CH714" s="122" t="str">
        <f>IFERROR(TOWER_DATA[[#This Row],[Top '[m']]]-TOWER_DATA[[#This Row],[Bottom '[m']]], "")</f>
        <v/>
      </c>
    </row>
    <row r="715" spans="86:86" ht="18" customHeight="1" x14ac:dyDescent="0.3">
      <c r="CH715" s="122" t="str">
        <f>IFERROR(TOWER_DATA[[#This Row],[Top '[m']]]-TOWER_DATA[[#This Row],[Bottom '[m']]], "")</f>
        <v/>
      </c>
    </row>
    <row r="716" spans="86:86" ht="18" customHeight="1" x14ac:dyDescent="0.3">
      <c r="CH716" s="122" t="str">
        <f>IFERROR(TOWER_DATA[[#This Row],[Top '[m']]]-TOWER_DATA[[#This Row],[Bottom '[m']]], "")</f>
        <v/>
      </c>
    </row>
    <row r="717" spans="86:86" ht="18" customHeight="1" x14ac:dyDescent="0.3">
      <c r="CH717" s="122" t="str">
        <f>IFERROR(TOWER_DATA[[#This Row],[Top '[m']]]-TOWER_DATA[[#This Row],[Bottom '[m']]], "")</f>
        <v/>
      </c>
    </row>
    <row r="718" spans="86:86" ht="18" customHeight="1" x14ac:dyDescent="0.3">
      <c r="CH718" s="122" t="str">
        <f>IFERROR(TOWER_DATA[[#This Row],[Top '[m']]]-TOWER_DATA[[#This Row],[Bottom '[m']]], "")</f>
        <v/>
      </c>
    </row>
    <row r="719" spans="86:86" ht="18" customHeight="1" x14ac:dyDescent="0.3">
      <c r="CH719" s="122" t="str">
        <f>IFERROR(TOWER_DATA[[#This Row],[Top '[m']]]-TOWER_DATA[[#This Row],[Bottom '[m']]], "")</f>
        <v/>
      </c>
    </row>
    <row r="720" spans="86:86" ht="18" customHeight="1" x14ac:dyDescent="0.3">
      <c r="CH720" s="122" t="str">
        <f>IFERROR(TOWER_DATA[[#This Row],[Top '[m']]]-TOWER_DATA[[#This Row],[Bottom '[m']]], "")</f>
        <v/>
      </c>
    </row>
    <row r="721" spans="86:86" ht="18" customHeight="1" x14ac:dyDescent="0.3">
      <c r="CH721" s="122" t="str">
        <f>IFERROR(TOWER_DATA[[#This Row],[Top '[m']]]-TOWER_DATA[[#This Row],[Bottom '[m']]], "")</f>
        <v/>
      </c>
    </row>
    <row r="722" spans="86:86" ht="18" customHeight="1" x14ac:dyDescent="0.3">
      <c r="CH722" s="122" t="str">
        <f>IFERROR(TOWER_DATA[[#This Row],[Top '[m']]]-TOWER_DATA[[#This Row],[Bottom '[m']]], "")</f>
        <v/>
      </c>
    </row>
    <row r="723" spans="86:86" ht="18" customHeight="1" x14ac:dyDescent="0.3">
      <c r="CH723" s="122" t="str">
        <f>IFERROR(TOWER_DATA[[#This Row],[Top '[m']]]-TOWER_DATA[[#This Row],[Bottom '[m']]], "")</f>
        <v/>
      </c>
    </row>
    <row r="724" spans="86:86" ht="18" customHeight="1" x14ac:dyDescent="0.3">
      <c r="CH724" s="122" t="str">
        <f>IFERROR(TOWER_DATA[[#This Row],[Top '[m']]]-TOWER_DATA[[#This Row],[Bottom '[m']]], "")</f>
        <v/>
      </c>
    </row>
    <row r="725" spans="86:86" ht="18" customHeight="1" x14ac:dyDescent="0.3">
      <c r="CH725" s="122" t="str">
        <f>IFERROR(TOWER_DATA[[#This Row],[Top '[m']]]-TOWER_DATA[[#This Row],[Bottom '[m']]], "")</f>
        <v/>
      </c>
    </row>
    <row r="726" spans="86:86" ht="18" customHeight="1" x14ac:dyDescent="0.3">
      <c r="CH726" s="122" t="str">
        <f>IFERROR(TOWER_DATA[[#This Row],[Top '[m']]]-TOWER_DATA[[#This Row],[Bottom '[m']]], "")</f>
        <v/>
      </c>
    </row>
    <row r="727" spans="86:86" ht="18" customHeight="1" x14ac:dyDescent="0.3">
      <c r="CH727" s="122" t="str">
        <f>IFERROR(TOWER_DATA[[#This Row],[Top '[m']]]-TOWER_DATA[[#This Row],[Bottom '[m']]], "")</f>
        <v/>
      </c>
    </row>
    <row r="728" spans="86:86" ht="18" customHeight="1" x14ac:dyDescent="0.3">
      <c r="CH728" s="122" t="str">
        <f>IFERROR(TOWER_DATA[[#This Row],[Top '[m']]]-TOWER_DATA[[#This Row],[Bottom '[m']]], "")</f>
        <v/>
      </c>
    </row>
    <row r="729" spans="86:86" ht="18" customHeight="1" x14ac:dyDescent="0.3">
      <c r="CH729" s="122" t="str">
        <f>IFERROR(TOWER_DATA[[#This Row],[Top '[m']]]-TOWER_DATA[[#This Row],[Bottom '[m']]], "")</f>
        <v/>
      </c>
    </row>
    <row r="730" spans="86:86" ht="18" customHeight="1" x14ac:dyDescent="0.3">
      <c r="CH730" s="122" t="str">
        <f>IFERROR(TOWER_DATA[[#This Row],[Top '[m']]]-TOWER_DATA[[#This Row],[Bottom '[m']]], "")</f>
        <v/>
      </c>
    </row>
    <row r="731" spans="86:86" ht="18" customHeight="1" x14ac:dyDescent="0.3">
      <c r="CH731" s="122" t="str">
        <f>IFERROR(TOWER_DATA[[#This Row],[Top '[m']]]-TOWER_DATA[[#This Row],[Bottom '[m']]], "")</f>
        <v/>
      </c>
    </row>
    <row r="732" spans="86:86" ht="18" customHeight="1" x14ac:dyDescent="0.3">
      <c r="CH732" s="122" t="str">
        <f>IFERROR(TOWER_DATA[[#This Row],[Top '[m']]]-TOWER_DATA[[#This Row],[Bottom '[m']]], "")</f>
        <v/>
      </c>
    </row>
    <row r="733" spans="86:86" ht="18" customHeight="1" x14ac:dyDescent="0.3">
      <c r="CH733" s="122" t="str">
        <f>IFERROR(TOWER_DATA[[#This Row],[Top '[m']]]-TOWER_DATA[[#This Row],[Bottom '[m']]], "")</f>
        <v/>
      </c>
    </row>
    <row r="734" spans="86:86" ht="18" customHeight="1" x14ac:dyDescent="0.3">
      <c r="CH734" s="122" t="str">
        <f>IFERROR(TOWER_DATA[[#This Row],[Top '[m']]]-TOWER_DATA[[#This Row],[Bottom '[m']]], "")</f>
        <v/>
      </c>
    </row>
    <row r="735" spans="86:86" ht="18" customHeight="1" x14ac:dyDescent="0.3">
      <c r="CH735" s="122" t="str">
        <f>IFERROR(TOWER_DATA[[#This Row],[Top '[m']]]-TOWER_DATA[[#This Row],[Bottom '[m']]], "")</f>
        <v/>
      </c>
    </row>
    <row r="736" spans="86:86" ht="18" customHeight="1" x14ac:dyDescent="0.3">
      <c r="CH736" s="122" t="str">
        <f>IFERROR(TOWER_DATA[[#This Row],[Top '[m']]]-TOWER_DATA[[#This Row],[Bottom '[m']]], "")</f>
        <v/>
      </c>
    </row>
    <row r="737" spans="86:86" ht="18" customHeight="1" x14ac:dyDescent="0.3">
      <c r="CH737" s="122" t="str">
        <f>IFERROR(TOWER_DATA[[#This Row],[Top '[m']]]-TOWER_DATA[[#This Row],[Bottom '[m']]], "")</f>
        <v/>
      </c>
    </row>
    <row r="738" spans="86:86" ht="18" customHeight="1" x14ac:dyDescent="0.3">
      <c r="CH738" s="122" t="str">
        <f>IFERROR(TOWER_DATA[[#This Row],[Top '[m']]]-TOWER_DATA[[#This Row],[Bottom '[m']]], "")</f>
        <v/>
      </c>
    </row>
    <row r="739" spans="86:86" ht="18" customHeight="1" x14ac:dyDescent="0.3">
      <c r="CH739" s="122" t="str">
        <f>IFERROR(TOWER_DATA[[#This Row],[Top '[m']]]-TOWER_DATA[[#This Row],[Bottom '[m']]], "")</f>
        <v/>
      </c>
    </row>
    <row r="740" spans="86:86" ht="18" customHeight="1" x14ac:dyDescent="0.3">
      <c r="CH740" s="122" t="str">
        <f>IFERROR(TOWER_DATA[[#This Row],[Top '[m']]]-TOWER_DATA[[#This Row],[Bottom '[m']]], "")</f>
        <v/>
      </c>
    </row>
    <row r="741" spans="86:86" ht="18" customHeight="1" x14ac:dyDescent="0.3">
      <c r="CH741" s="122" t="str">
        <f>IFERROR(TOWER_DATA[[#This Row],[Top '[m']]]-TOWER_DATA[[#This Row],[Bottom '[m']]], "")</f>
        <v/>
      </c>
    </row>
    <row r="742" spans="86:86" ht="18" customHeight="1" x14ac:dyDescent="0.3">
      <c r="CH742" s="122" t="str">
        <f>IFERROR(TOWER_DATA[[#This Row],[Top '[m']]]-TOWER_DATA[[#This Row],[Bottom '[m']]], "")</f>
        <v/>
      </c>
    </row>
    <row r="743" spans="86:86" ht="18" customHeight="1" x14ac:dyDescent="0.3">
      <c r="CH743" s="122" t="str">
        <f>IFERROR(TOWER_DATA[[#This Row],[Top '[m']]]-TOWER_DATA[[#This Row],[Bottom '[m']]], "")</f>
        <v/>
      </c>
    </row>
    <row r="744" spans="86:86" ht="18" customHeight="1" x14ac:dyDescent="0.3">
      <c r="CH744" s="122" t="str">
        <f>IFERROR(TOWER_DATA[[#This Row],[Top '[m']]]-TOWER_DATA[[#This Row],[Bottom '[m']]], "")</f>
        <v/>
      </c>
    </row>
    <row r="745" spans="86:86" ht="18" customHeight="1" x14ac:dyDescent="0.3">
      <c r="CH745" s="122" t="str">
        <f>IFERROR(TOWER_DATA[[#This Row],[Top '[m']]]-TOWER_DATA[[#This Row],[Bottom '[m']]], "")</f>
        <v/>
      </c>
    </row>
    <row r="746" spans="86:86" ht="18" customHeight="1" x14ac:dyDescent="0.3">
      <c r="CH746" s="122" t="str">
        <f>IFERROR(TOWER_DATA[[#This Row],[Top '[m']]]-TOWER_DATA[[#This Row],[Bottom '[m']]], "")</f>
        <v/>
      </c>
    </row>
    <row r="747" spans="86:86" ht="18" customHeight="1" x14ac:dyDescent="0.3">
      <c r="CH747" s="122" t="str">
        <f>IFERROR(TOWER_DATA[[#This Row],[Top '[m']]]-TOWER_DATA[[#This Row],[Bottom '[m']]], "")</f>
        <v/>
      </c>
    </row>
    <row r="748" spans="86:86" ht="18" customHeight="1" x14ac:dyDescent="0.3">
      <c r="CH748" s="122" t="str">
        <f>IFERROR(TOWER_DATA[[#This Row],[Top '[m']]]-TOWER_DATA[[#This Row],[Bottom '[m']]], "")</f>
        <v/>
      </c>
    </row>
    <row r="749" spans="86:86" ht="18" customHeight="1" x14ac:dyDescent="0.3">
      <c r="CH749" s="122" t="str">
        <f>IFERROR(TOWER_DATA[[#This Row],[Top '[m']]]-TOWER_DATA[[#This Row],[Bottom '[m']]], "")</f>
        <v/>
      </c>
    </row>
    <row r="750" spans="86:86" ht="18" customHeight="1" x14ac:dyDescent="0.3">
      <c r="CH750" s="122" t="str">
        <f>IFERROR(TOWER_DATA[[#This Row],[Top '[m']]]-TOWER_DATA[[#This Row],[Bottom '[m']]], "")</f>
        <v/>
      </c>
    </row>
    <row r="751" spans="86:86" ht="18" customHeight="1" x14ac:dyDescent="0.3">
      <c r="CH751" s="122" t="str">
        <f>IFERROR(TOWER_DATA[[#This Row],[Top '[m']]]-TOWER_DATA[[#This Row],[Bottom '[m']]], "")</f>
        <v/>
      </c>
    </row>
    <row r="752" spans="86:86" ht="18" customHeight="1" x14ac:dyDescent="0.3">
      <c r="CH752" s="122" t="str">
        <f>IFERROR(TOWER_DATA[[#This Row],[Top '[m']]]-TOWER_DATA[[#This Row],[Bottom '[m']]], "")</f>
        <v/>
      </c>
    </row>
    <row r="753" spans="86:86" ht="18" customHeight="1" x14ac:dyDescent="0.3">
      <c r="CH753" s="122" t="str">
        <f>IFERROR(TOWER_DATA[[#This Row],[Top '[m']]]-TOWER_DATA[[#This Row],[Bottom '[m']]], "")</f>
        <v/>
      </c>
    </row>
    <row r="754" spans="86:86" ht="18" customHeight="1" x14ac:dyDescent="0.3">
      <c r="CH754" s="122" t="str">
        <f>IFERROR(TOWER_DATA[[#This Row],[Top '[m']]]-TOWER_DATA[[#This Row],[Bottom '[m']]], "")</f>
        <v/>
      </c>
    </row>
    <row r="755" spans="86:86" ht="18" customHeight="1" x14ac:dyDescent="0.3">
      <c r="CH755" s="122" t="str">
        <f>IFERROR(TOWER_DATA[[#This Row],[Top '[m']]]-TOWER_DATA[[#This Row],[Bottom '[m']]], "")</f>
        <v/>
      </c>
    </row>
    <row r="756" spans="86:86" ht="18" customHeight="1" x14ac:dyDescent="0.3">
      <c r="CH756" s="122" t="str">
        <f>IFERROR(TOWER_DATA[[#This Row],[Top '[m']]]-TOWER_DATA[[#This Row],[Bottom '[m']]], "")</f>
        <v/>
      </c>
    </row>
    <row r="757" spans="86:86" ht="18" customHeight="1" x14ac:dyDescent="0.3">
      <c r="CH757" s="122" t="str">
        <f>IFERROR(TOWER_DATA[[#This Row],[Top '[m']]]-TOWER_DATA[[#This Row],[Bottom '[m']]], "")</f>
        <v/>
      </c>
    </row>
    <row r="758" spans="86:86" ht="18" customHeight="1" x14ac:dyDescent="0.3">
      <c r="CH758" s="122" t="str">
        <f>IFERROR(TOWER_DATA[[#This Row],[Top '[m']]]-TOWER_DATA[[#This Row],[Bottom '[m']]], "")</f>
        <v/>
      </c>
    </row>
    <row r="759" spans="86:86" ht="18" customHeight="1" x14ac:dyDescent="0.3">
      <c r="CH759" s="122" t="str">
        <f>IFERROR(TOWER_DATA[[#This Row],[Top '[m']]]-TOWER_DATA[[#This Row],[Bottom '[m']]], "")</f>
        <v/>
      </c>
    </row>
    <row r="760" spans="86:86" ht="18" customHeight="1" x14ac:dyDescent="0.3">
      <c r="CH760" s="122" t="str">
        <f>IFERROR(TOWER_DATA[[#This Row],[Top '[m']]]-TOWER_DATA[[#This Row],[Bottom '[m']]], "")</f>
        <v/>
      </c>
    </row>
    <row r="761" spans="86:86" ht="18" customHeight="1" x14ac:dyDescent="0.3">
      <c r="CH761" s="122" t="str">
        <f>IFERROR(TOWER_DATA[[#This Row],[Top '[m']]]-TOWER_DATA[[#This Row],[Bottom '[m']]], "")</f>
        <v/>
      </c>
    </row>
    <row r="762" spans="86:86" ht="18" customHeight="1" x14ac:dyDescent="0.3">
      <c r="CH762" s="122" t="str">
        <f>IFERROR(TOWER_DATA[[#This Row],[Top '[m']]]-TOWER_DATA[[#This Row],[Bottom '[m']]], "")</f>
        <v/>
      </c>
    </row>
    <row r="763" spans="86:86" ht="18" customHeight="1" x14ac:dyDescent="0.3">
      <c r="CH763" s="122" t="str">
        <f>IFERROR(TOWER_DATA[[#This Row],[Top '[m']]]-TOWER_DATA[[#This Row],[Bottom '[m']]], "")</f>
        <v/>
      </c>
    </row>
    <row r="764" spans="86:86" ht="18" customHeight="1" x14ac:dyDescent="0.3">
      <c r="CH764" s="122" t="str">
        <f>IFERROR(TOWER_DATA[[#This Row],[Top '[m']]]-TOWER_DATA[[#This Row],[Bottom '[m']]], "")</f>
        <v/>
      </c>
    </row>
    <row r="765" spans="86:86" ht="18" customHeight="1" x14ac:dyDescent="0.3">
      <c r="CH765" s="122" t="str">
        <f>IFERROR(TOWER_DATA[[#This Row],[Top '[m']]]-TOWER_DATA[[#This Row],[Bottom '[m']]], "")</f>
        <v/>
      </c>
    </row>
    <row r="766" spans="86:86" ht="18" customHeight="1" x14ac:dyDescent="0.3">
      <c r="CH766" s="122" t="str">
        <f>IFERROR(TOWER_DATA[[#This Row],[Top '[m']]]-TOWER_DATA[[#This Row],[Bottom '[m']]], "")</f>
        <v/>
      </c>
    </row>
    <row r="767" spans="86:86" ht="18" customHeight="1" x14ac:dyDescent="0.3">
      <c r="CH767" s="122" t="str">
        <f>IFERROR(TOWER_DATA[[#This Row],[Top '[m']]]-TOWER_DATA[[#This Row],[Bottom '[m']]], "")</f>
        <v/>
      </c>
    </row>
    <row r="768" spans="86:86" ht="18" customHeight="1" x14ac:dyDescent="0.3">
      <c r="CH768" s="122" t="str">
        <f>IFERROR(TOWER_DATA[[#This Row],[Top '[m']]]-TOWER_DATA[[#This Row],[Bottom '[m']]], "")</f>
        <v/>
      </c>
    </row>
    <row r="769" spans="86:86" ht="18" customHeight="1" x14ac:dyDescent="0.3">
      <c r="CH769" s="122" t="str">
        <f>IFERROR(TOWER_DATA[[#This Row],[Top '[m']]]-TOWER_DATA[[#This Row],[Bottom '[m']]], "")</f>
        <v/>
      </c>
    </row>
    <row r="770" spans="86:86" ht="18" customHeight="1" x14ac:dyDescent="0.3">
      <c r="CH770" s="122" t="str">
        <f>IFERROR(TOWER_DATA[[#This Row],[Top '[m']]]-TOWER_DATA[[#This Row],[Bottom '[m']]], "")</f>
        <v/>
      </c>
    </row>
    <row r="771" spans="86:86" ht="18" customHeight="1" x14ac:dyDescent="0.3">
      <c r="CH771" s="122" t="str">
        <f>IFERROR(TOWER_DATA[[#This Row],[Top '[m']]]-TOWER_DATA[[#This Row],[Bottom '[m']]], "")</f>
        <v/>
      </c>
    </row>
    <row r="772" spans="86:86" ht="18" customHeight="1" x14ac:dyDescent="0.3">
      <c r="CH772" s="122" t="str">
        <f>IFERROR(TOWER_DATA[[#This Row],[Top '[m']]]-TOWER_DATA[[#This Row],[Bottom '[m']]], "")</f>
        <v/>
      </c>
    </row>
    <row r="773" spans="86:86" ht="18" customHeight="1" x14ac:dyDescent="0.3">
      <c r="CH773" s="122" t="str">
        <f>IFERROR(TOWER_DATA[[#This Row],[Top '[m']]]-TOWER_DATA[[#This Row],[Bottom '[m']]], "")</f>
        <v/>
      </c>
    </row>
    <row r="774" spans="86:86" ht="18" customHeight="1" x14ac:dyDescent="0.3">
      <c r="CH774" s="122" t="str">
        <f>IFERROR(TOWER_DATA[[#This Row],[Top '[m']]]-TOWER_DATA[[#This Row],[Bottom '[m']]], "")</f>
        <v/>
      </c>
    </row>
    <row r="775" spans="86:86" ht="18" customHeight="1" x14ac:dyDescent="0.3">
      <c r="CH775" s="122" t="str">
        <f>IFERROR(TOWER_DATA[[#This Row],[Top '[m']]]-TOWER_DATA[[#This Row],[Bottom '[m']]], "")</f>
        <v/>
      </c>
    </row>
    <row r="776" spans="86:86" ht="18" customHeight="1" x14ac:dyDescent="0.3">
      <c r="CH776" s="122" t="str">
        <f>IFERROR(TOWER_DATA[[#This Row],[Top '[m']]]-TOWER_DATA[[#This Row],[Bottom '[m']]], "")</f>
        <v/>
      </c>
    </row>
    <row r="777" spans="86:86" ht="18" customHeight="1" x14ac:dyDescent="0.3">
      <c r="CH777" s="122" t="str">
        <f>IFERROR(TOWER_DATA[[#This Row],[Top '[m']]]-TOWER_DATA[[#This Row],[Bottom '[m']]], "")</f>
        <v/>
      </c>
    </row>
    <row r="778" spans="86:86" ht="18" customHeight="1" x14ac:dyDescent="0.3">
      <c r="CH778" s="122" t="str">
        <f>IFERROR(TOWER_DATA[[#This Row],[Top '[m']]]-TOWER_DATA[[#This Row],[Bottom '[m']]], "")</f>
        <v/>
      </c>
    </row>
    <row r="779" spans="86:86" ht="18" customHeight="1" x14ac:dyDescent="0.3">
      <c r="CH779" s="122" t="str">
        <f>IFERROR(TOWER_DATA[[#This Row],[Top '[m']]]-TOWER_DATA[[#This Row],[Bottom '[m']]], "")</f>
        <v/>
      </c>
    </row>
    <row r="780" spans="86:86" ht="18" customHeight="1" x14ac:dyDescent="0.3">
      <c r="CH780" s="122" t="str">
        <f>IFERROR(TOWER_DATA[[#This Row],[Top '[m']]]-TOWER_DATA[[#This Row],[Bottom '[m']]], "")</f>
        <v/>
      </c>
    </row>
    <row r="781" spans="86:86" ht="18" customHeight="1" x14ac:dyDescent="0.3">
      <c r="CH781" s="122" t="str">
        <f>IFERROR(TOWER_DATA[[#This Row],[Top '[m']]]-TOWER_DATA[[#This Row],[Bottom '[m']]], "")</f>
        <v/>
      </c>
    </row>
    <row r="782" spans="86:86" ht="18" customHeight="1" x14ac:dyDescent="0.3">
      <c r="CH782" s="122" t="str">
        <f>IFERROR(TOWER_DATA[[#This Row],[Top '[m']]]-TOWER_DATA[[#This Row],[Bottom '[m']]], "")</f>
        <v/>
      </c>
    </row>
    <row r="783" spans="86:86" ht="18" customHeight="1" x14ac:dyDescent="0.3">
      <c r="CH783" s="122" t="str">
        <f>IFERROR(TOWER_DATA[[#This Row],[Top '[m']]]-TOWER_DATA[[#This Row],[Bottom '[m']]], "")</f>
        <v/>
      </c>
    </row>
    <row r="784" spans="86:86" ht="18" customHeight="1" x14ac:dyDescent="0.3">
      <c r="CH784" s="122" t="str">
        <f>IFERROR(TOWER_DATA[[#This Row],[Top '[m']]]-TOWER_DATA[[#This Row],[Bottom '[m']]], "")</f>
        <v/>
      </c>
    </row>
    <row r="785" spans="86:86" ht="18" customHeight="1" x14ac:dyDescent="0.3">
      <c r="CH785" s="122" t="str">
        <f>IFERROR(TOWER_DATA[[#This Row],[Top '[m']]]-TOWER_DATA[[#This Row],[Bottom '[m']]], "")</f>
        <v/>
      </c>
    </row>
    <row r="786" spans="86:86" ht="18" customHeight="1" x14ac:dyDescent="0.3">
      <c r="CH786" s="122" t="str">
        <f>IFERROR(TOWER_DATA[[#This Row],[Top '[m']]]-TOWER_DATA[[#This Row],[Bottom '[m']]], "")</f>
        <v/>
      </c>
    </row>
    <row r="787" spans="86:86" ht="18" customHeight="1" x14ac:dyDescent="0.3">
      <c r="CH787" s="122" t="str">
        <f>IFERROR(TOWER_DATA[[#This Row],[Top '[m']]]-TOWER_DATA[[#This Row],[Bottom '[m']]], "")</f>
        <v/>
      </c>
    </row>
    <row r="788" spans="86:86" ht="18" customHeight="1" x14ac:dyDescent="0.3">
      <c r="CH788" s="122" t="str">
        <f>IFERROR(TOWER_DATA[[#This Row],[Top '[m']]]-TOWER_DATA[[#This Row],[Bottom '[m']]], "")</f>
        <v/>
      </c>
    </row>
    <row r="789" spans="86:86" ht="18" customHeight="1" x14ac:dyDescent="0.3">
      <c r="CH789" s="122" t="str">
        <f>IFERROR(TOWER_DATA[[#This Row],[Top '[m']]]-TOWER_DATA[[#This Row],[Bottom '[m']]], "")</f>
        <v/>
      </c>
    </row>
    <row r="790" spans="86:86" ht="18" customHeight="1" x14ac:dyDescent="0.3">
      <c r="CH790" s="122" t="str">
        <f>IFERROR(TOWER_DATA[[#This Row],[Top '[m']]]-TOWER_DATA[[#This Row],[Bottom '[m']]], "")</f>
        <v/>
      </c>
    </row>
    <row r="791" spans="86:86" ht="18" customHeight="1" x14ac:dyDescent="0.3">
      <c r="CH791" s="122" t="str">
        <f>IFERROR(TOWER_DATA[[#This Row],[Top '[m']]]-TOWER_DATA[[#This Row],[Bottom '[m']]], "")</f>
        <v/>
      </c>
    </row>
    <row r="792" spans="86:86" ht="18" customHeight="1" x14ac:dyDescent="0.3">
      <c r="CH792" s="122" t="str">
        <f>IFERROR(TOWER_DATA[[#This Row],[Top '[m']]]-TOWER_DATA[[#This Row],[Bottom '[m']]], "")</f>
        <v/>
      </c>
    </row>
    <row r="793" spans="86:86" ht="18" customHeight="1" x14ac:dyDescent="0.3">
      <c r="CH793" s="122" t="str">
        <f>IFERROR(TOWER_DATA[[#This Row],[Top '[m']]]-TOWER_DATA[[#This Row],[Bottom '[m']]], "")</f>
        <v/>
      </c>
    </row>
    <row r="794" spans="86:86" ht="18" customHeight="1" x14ac:dyDescent="0.3">
      <c r="CH794" s="122" t="str">
        <f>IFERROR(TOWER_DATA[[#This Row],[Top '[m']]]-TOWER_DATA[[#This Row],[Bottom '[m']]], "")</f>
        <v/>
      </c>
    </row>
    <row r="795" spans="86:86" ht="18" customHeight="1" x14ac:dyDescent="0.3">
      <c r="CH795" s="122" t="str">
        <f>IFERROR(TOWER_DATA[[#This Row],[Top '[m']]]-TOWER_DATA[[#This Row],[Bottom '[m']]], "")</f>
        <v/>
      </c>
    </row>
    <row r="796" spans="86:86" ht="18" customHeight="1" x14ac:dyDescent="0.3">
      <c r="CH796" s="122" t="str">
        <f>IFERROR(TOWER_DATA[[#This Row],[Top '[m']]]-TOWER_DATA[[#This Row],[Bottom '[m']]], "")</f>
        <v/>
      </c>
    </row>
    <row r="797" spans="86:86" ht="18" customHeight="1" x14ac:dyDescent="0.3">
      <c r="CH797" s="122" t="str">
        <f>IFERROR(TOWER_DATA[[#This Row],[Top '[m']]]-TOWER_DATA[[#This Row],[Bottom '[m']]], "")</f>
        <v/>
      </c>
    </row>
    <row r="798" spans="86:86" ht="18" customHeight="1" x14ac:dyDescent="0.3">
      <c r="CH798" s="122" t="str">
        <f>IFERROR(TOWER_DATA[[#This Row],[Top '[m']]]-TOWER_DATA[[#This Row],[Bottom '[m']]], "")</f>
        <v/>
      </c>
    </row>
    <row r="799" spans="86:86" ht="18" customHeight="1" x14ac:dyDescent="0.3">
      <c r="CH799" s="122" t="str">
        <f>IFERROR(TOWER_DATA[[#This Row],[Top '[m']]]-TOWER_DATA[[#This Row],[Bottom '[m']]], "")</f>
        <v/>
      </c>
    </row>
    <row r="800" spans="86:86" ht="18" customHeight="1" x14ac:dyDescent="0.3">
      <c r="CH800" s="122" t="str">
        <f>IFERROR(TOWER_DATA[[#This Row],[Top '[m']]]-TOWER_DATA[[#This Row],[Bottom '[m']]], "")</f>
        <v/>
      </c>
    </row>
    <row r="801" spans="86:86" ht="18" customHeight="1" x14ac:dyDescent="0.3">
      <c r="CH801" s="122" t="str">
        <f>IFERROR(TOWER_DATA[[#This Row],[Top '[m']]]-TOWER_DATA[[#This Row],[Bottom '[m']]], "")</f>
        <v/>
      </c>
    </row>
    <row r="802" spans="86:86" ht="18" customHeight="1" x14ac:dyDescent="0.3">
      <c r="CH802" s="122" t="str">
        <f>IFERROR(TOWER_DATA[[#This Row],[Top '[m']]]-TOWER_DATA[[#This Row],[Bottom '[m']]], "")</f>
        <v/>
      </c>
    </row>
    <row r="803" spans="86:86" ht="18" customHeight="1" x14ac:dyDescent="0.3">
      <c r="CH803" s="122" t="str">
        <f>IFERROR(TOWER_DATA[[#This Row],[Top '[m']]]-TOWER_DATA[[#This Row],[Bottom '[m']]], "")</f>
        <v/>
      </c>
    </row>
    <row r="804" spans="86:86" ht="18" customHeight="1" x14ac:dyDescent="0.3">
      <c r="CH804" s="122" t="str">
        <f>IFERROR(TOWER_DATA[[#This Row],[Top '[m']]]-TOWER_DATA[[#This Row],[Bottom '[m']]], "")</f>
        <v/>
      </c>
    </row>
    <row r="805" spans="86:86" ht="18" customHeight="1" x14ac:dyDescent="0.3">
      <c r="CH805" s="122" t="str">
        <f>IFERROR(TOWER_DATA[[#This Row],[Top '[m']]]-TOWER_DATA[[#This Row],[Bottom '[m']]], "")</f>
        <v/>
      </c>
    </row>
    <row r="806" spans="86:86" ht="18" customHeight="1" x14ac:dyDescent="0.3">
      <c r="CH806" s="122" t="str">
        <f>IFERROR(TOWER_DATA[[#This Row],[Top '[m']]]-TOWER_DATA[[#This Row],[Bottom '[m']]], "")</f>
        <v/>
      </c>
    </row>
    <row r="807" spans="86:86" ht="18" customHeight="1" x14ac:dyDescent="0.3">
      <c r="CH807" s="122" t="str">
        <f>IFERROR(TOWER_DATA[[#This Row],[Top '[m']]]-TOWER_DATA[[#This Row],[Bottom '[m']]], "")</f>
        <v/>
      </c>
    </row>
    <row r="808" spans="86:86" ht="18" customHeight="1" x14ac:dyDescent="0.3">
      <c r="CH808" s="122" t="str">
        <f>IFERROR(TOWER_DATA[[#This Row],[Top '[m']]]-TOWER_DATA[[#This Row],[Bottom '[m']]], "")</f>
        <v/>
      </c>
    </row>
    <row r="809" spans="86:86" ht="18" customHeight="1" x14ac:dyDescent="0.3">
      <c r="CH809" s="122" t="str">
        <f>IFERROR(TOWER_DATA[[#This Row],[Top '[m']]]-TOWER_DATA[[#This Row],[Bottom '[m']]], "")</f>
        <v/>
      </c>
    </row>
    <row r="810" spans="86:86" ht="18" customHeight="1" x14ac:dyDescent="0.3">
      <c r="CH810" s="122" t="str">
        <f>IFERROR(TOWER_DATA[[#This Row],[Top '[m']]]-TOWER_DATA[[#This Row],[Bottom '[m']]], "")</f>
        <v/>
      </c>
    </row>
    <row r="811" spans="86:86" ht="18" customHeight="1" x14ac:dyDescent="0.3">
      <c r="CH811" s="122" t="str">
        <f>IFERROR(TOWER_DATA[[#This Row],[Top '[m']]]-TOWER_DATA[[#This Row],[Bottom '[m']]], "")</f>
        <v/>
      </c>
    </row>
    <row r="812" spans="86:86" ht="18" customHeight="1" x14ac:dyDescent="0.3">
      <c r="CH812" s="122" t="str">
        <f>IFERROR(TOWER_DATA[[#This Row],[Top '[m']]]-TOWER_DATA[[#This Row],[Bottom '[m']]], "")</f>
        <v/>
      </c>
    </row>
    <row r="813" spans="86:86" ht="18" customHeight="1" x14ac:dyDescent="0.3">
      <c r="CH813" s="122" t="str">
        <f>IFERROR(TOWER_DATA[[#This Row],[Top '[m']]]-TOWER_DATA[[#This Row],[Bottom '[m']]], "")</f>
        <v/>
      </c>
    </row>
    <row r="814" spans="86:86" ht="18" customHeight="1" x14ac:dyDescent="0.3">
      <c r="CH814" s="122" t="str">
        <f>IFERROR(TOWER_DATA[[#This Row],[Top '[m']]]-TOWER_DATA[[#This Row],[Bottom '[m']]], "")</f>
        <v/>
      </c>
    </row>
    <row r="815" spans="86:86" ht="18" customHeight="1" x14ac:dyDescent="0.3">
      <c r="CH815" s="122" t="str">
        <f>IFERROR(TOWER_DATA[[#This Row],[Top '[m']]]-TOWER_DATA[[#This Row],[Bottom '[m']]], "")</f>
        <v/>
      </c>
    </row>
    <row r="816" spans="86:86" ht="18" customHeight="1" x14ac:dyDescent="0.3">
      <c r="CH816" s="122" t="str">
        <f>IFERROR(TOWER_DATA[[#This Row],[Top '[m']]]-TOWER_DATA[[#This Row],[Bottom '[m']]], "")</f>
        <v/>
      </c>
    </row>
    <row r="817" spans="86:86" ht="18" customHeight="1" x14ac:dyDescent="0.3">
      <c r="CH817" s="122" t="str">
        <f>IFERROR(TOWER_DATA[[#This Row],[Top '[m']]]-TOWER_DATA[[#This Row],[Bottom '[m']]], "")</f>
        <v/>
      </c>
    </row>
    <row r="818" spans="86:86" ht="18" customHeight="1" x14ac:dyDescent="0.3">
      <c r="CH818" s="122" t="str">
        <f>IFERROR(TOWER_DATA[[#This Row],[Top '[m']]]-TOWER_DATA[[#This Row],[Bottom '[m']]], "")</f>
        <v/>
      </c>
    </row>
    <row r="819" spans="86:86" ht="18" customHeight="1" x14ac:dyDescent="0.3">
      <c r="CH819" s="122" t="str">
        <f>IFERROR(TOWER_DATA[[#This Row],[Top '[m']]]-TOWER_DATA[[#This Row],[Bottom '[m']]], "")</f>
        <v/>
      </c>
    </row>
    <row r="820" spans="86:86" ht="18" customHeight="1" x14ac:dyDescent="0.3">
      <c r="CH820" s="122" t="str">
        <f>IFERROR(TOWER_DATA[[#This Row],[Top '[m']]]-TOWER_DATA[[#This Row],[Bottom '[m']]], "")</f>
        <v/>
      </c>
    </row>
    <row r="821" spans="86:86" ht="18" customHeight="1" x14ac:dyDescent="0.3">
      <c r="CH821" s="122" t="str">
        <f>IFERROR(TOWER_DATA[[#This Row],[Top '[m']]]-TOWER_DATA[[#This Row],[Bottom '[m']]], "")</f>
        <v/>
      </c>
    </row>
    <row r="822" spans="86:86" ht="18" customHeight="1" x14ac:dyDescent="0.3">
      <c r="CH822" s="122" t="str">
        <f>IFERROR(TOWER_DATA[[#This Row],[Top '[m']]]-TOWER_DATA[[#This Row],[Bottom '[m']]], "")</f>
        <v/>
      </c>
    </row>
    <row r="823" spans="86:86" ht="18" customHeight="1" x14ac:dyDescent="0.3">
      <c r="CH823" s="122" t="str">
        <f>IFERROR(TOWER_DATA[[#This Row],[Top '[m']]]-TOWER_DATA[[#This Row],[Bottom '[m']]], "")</f>
        <v/>
      </c>
    </row>
    <row r="824" spans="86:86" ht="18" customHeight="1" x14ac:dyDescent="0.3">
      <c r="CH824" s="122" t="str">
        <f>IFERROR(TOWER_DATA[[#This Row],[Top '[m']]]-TOWER_DATA[[#This Row],[Bottom '[m']]], "")</f>
        <v/>
      </c>
    </row>
    <row r="825" spans="86:86" ht="18" customHeight="1" x14ac:dyDescent="0.3">
      <c r="CH825" s="122" t="str">
        <f>IFERROR(TOWER_DATA[[#This Row],[Top '[m']]]-TOWER_DATA[[#This Row],[Bottom '[m']]], "")</f>
        <v/>
      </c>
    </row>
    <row r="826" spans="86:86" ht="18" customHeight="1" x14ac:dyDescent="0.3">
      <c r="CH826" s="122" t="str">
        <f>IFERROR(TOWER_DATA[[#This Row],[Top '[m']]]-TOWER_DATA[[#This Row],[Bottom '[m']]], "")</f>
        <v/>
      </c>
    </row>
    <row r="827" spans="86:86" ht="18" customHeight="1" x14ac:dyDescent="0.3">
      <c r="CH827" s="122" t="str">
        <f>IFERROR(TOWER_DATA[[#This Row],[Top '[m']]]-TOWER_DATA[[#This Row],[Bottom '[m']]], "")</f>
        <v/>
      </c>
    </row>
    <row r="828" spans="86:86" ht="18" customHeight="1" x14ac:dyDescent="0.3">
      <c r="CH828" s="122" t="str">
        <f>IFERROR(TOWER_DATA[[#This Row],[Top '[m']]]-TOWER_DATA[[#This Row],[Bottom '[m']]], "")</f>
        <v/>
      </c>
    </row>
    <row r="829" spans="86:86" ht="18" customHeight="1" x14ac:dyDescent="0.3">
      <c r="CH829" s="122" t="str">
        <f>IFERROR(TOWER_DATA[[#This Row],[Top '[m']]]-TOWER_DATA[[#This Row],[Bottom '[m']]], "")</f>
        <v/>
      </c>
    </row>
    <row r="830" spans="86:86" ht="18" customHeight="1" x14ac:dyDescent="0.3">
      <c r="CH830" s="122" t="str">
        <f>IFERROR(TOWER_DATA[[#This Row],[Top '[m']]]-TOWER_DATA[[#This Row],[Bottom '[m']]], "")</f>
        <v/>
      </c>
    </row>
    <row r="831" spans="86:86" ht="18" customHeight="1" x14ac:dyDescent="0.3">
      <c r="CH831" s="122" t="str">
        <f>IFERROR(TOWER_DATA[[#This Row],[Top '[m']]]-TOWER_DATA[[#This Row],[Bottom '[m']]], "")</f>
        <v/>
      </c>
    </row>
    <row r="832" spans="86:86" ht="18" customHeight="1" x14ac:dyDescent="0.3">
      <c r="CH832" s="122" t="str">
        <f>IFERROR(TOWER_DATA[[#This Row],[Top '[m']]]-TOWER_DATA[[#This Row],[Bottom '[m']]], "")</f>
        <v/>
      </c>
    </row>
    <row r="833" spans="86:86" ht="18" customHeight="1" x14ac:dyDescent="0.3">
      <c r="CH833" s="122" t="str">
        <f>IFERROR(TOWER_DATA[[#This Row],[Top '[m']]]-TOWER_DATA[[#This Row],[Bottom '[m']]], "")</f>
        <v/>
      </c>
    </row>
    <row r="834" spans="86:86" ht="18" customHeight="1" x14ac:dyDescent="0.3">
      <c r="CH834" s="122" t="str">
        <f>IFERROR(TOWER_DATA[[#This Row],[Top '[m']]]-TOWER_DATA[[#This Row],[Bottom '[m']]], "")</f>
        <v/>
      </c>
    </row>
    <row r="835" spans="86:86" ht="18" customHeight="1" x14ac:dyDescent="0.3">
      <c r="CH835" s="122" t="str">
        <f>IFERROR(TOWER_DATA[[#This Row],[Top '[m']]]-TOWER_DATA[[#This Row],[Bottom '[m']]], "")</f>
        <v/>
      </c>
    </row>
    <row r="836" spans="86:86" ht="18" customHeight="1" x14ac:dyDescent="0.3">
      <c r="CH836" s="122" t="str">
        <f>IFERROR(TOWER_DATA[[#This Row],[Top '[m']]]-TOWER_DATA[[#This Row],[Bottom '[m']]], "")</f>
        <v/>
      </c>
    </row>
    <row r="837" spans="86:86" ht="18" customHeight="1" x14ac:dyDescent="0.3">
      <c r="CH837" s="122" t="str">
        <f>IFERROR(TOWER_DATA[[#This Row],[Top '[m']]]-TOWER_DATA[[#This Row],[Bottom '[m']]], "")</f>
        <v/>
      </c>
    </row>
    <row r="838" spans="86:86" ht="18" customHeight="1" x14ac:dyDescent="0.3">
      <c r="CH838" s="122" t="str">
        <f>IFERROR(TOWER_DATA[[#This Row],[Top '[m']]]-TOWER_DATA[[#This Row],[Bottom '[m']]], "")</f>
        <v/>
      </c>
    </row>
    <row r="839" spans="86:86" ht="18" customHeight="1" x14ac:dyDescent="0.3">
      <c r="CH839" s="122" t="str">
        <f>IFERROR(TOWER_DATA[[#This Row],[Top '[m']]]-TOWER_DATA[[#This Row],[Bottom '[m']]], "")</f>
        <v/>
      </c>
    </row>
    <row r="840" spans="86:86" ht="18" customHeight="1" x14ac:dyDescent="0.3">
      <c r="CH840" s="122" t="str">
        <f>IFERROR(TOWER_DATA[[#This Row],[Top '[m']]]-TOWER_DATA[[#This Row],[Bottom '[m']]], "")</f>
        <v/>
      </c>
    </row>
    <row r="841" spans="86:86" ht="18" customHeight="1" x14ac:dyDescent="0.3">
      <c r="CH841" s="122" t="str">
        <f>IFERROR(TOWER_DATA[[#This Row],[Top '[m']]]-TOWER_DATA[[#This Row],[Bottom '[m']]], "")</f>
        <v/>
      </c>
    </row>
    <row r="842" spans="86:86" ht="18" customHeight="1" x14ac:dyDescent="0.3">
      <c r="CH842" s="122" t="str">
        <f>IFERROR(TOWER_DATA[[#This Row],[Top '[m']]]-TOWER_DATA[[#This Row],[Bottom '[m']]], "")</f>
        <v/>
      </c>
    </row>
    <row r="843" spans="86:86" ht="18" customHeight="1" x14ac:dyDescent="0.3">
      <c r="CH843" s="122" t="str">
        <f>IFERROR(TOWER_DATA[[#This Row],[Top '[m']]]-TOWER_DATA[[#This Row],[Bottom '[m']]], "")</f>
        <v/>
      </c>
    </row>
    <row r="844" spans="86:86" ht="18" customHeight="1" x14ac:dyDescent="0.3">
      <c r="CH844" s="122" t="str">
        <f>IFERROR(TOWER_DATA[[#This Row],[Top '[m']]]-TOWER_DATA[[#This Row],[Bottom '[m']]], "")</f>
        <v/>
      </c>
    </row>
    <row r="845" spans="86:86" ht="18" customHeight="1" x14ac:dyDescent="0.3">
      <c r="CH845" s="122" t="str">
        <f>IFERROR(TOWER_DATA[[#This Row],[Top '[m']]]-TOWER_DATA[[#This Row],[Bottom '[m']]], "")</f>
        <v/>
      </c>
    </row>
    <row r="846" spans="86:86" ht="18" customHeight="1" x14ac:dyDescent="0.3">
      <c r="CH846" s="122" t="str">
        <f>IFERROR(TOWER_DATA[[#This Row],[Top '[m']]]-TOWER_DATA[[#This Row],[Bottom '[m']]], "")</f>
        <v/>
      </c>
    </row>
    <row r="847" spans="86:86" ht="18" customHeight="1" x14ac:dyDescent="0.3">
      <c r="CH847" s="122" t="str">
        <f>IFERROR(TOWER_DATA[[#This Row],[Top '[m']]]-TOWER_DATA[[#This Row],[Bottom '[m']]], "")</f>
        <v/>
      </c>
    </row>
    <row r="848" spans="86:86" ht="18" customHeight="1" x14ac:dyDescent="0.3">
      <c r="CH848" s="122" t="str">
        <f>IFERROR(TOWER_DATA[[#This Row],[Top '[m']]]-TOWER_DATA[[#This Row],[Bottom '[m']]], "")</f>
        <v/>
      </c>
    </row>
    <row r="849" spans="86:86" ht="18" customHeight="1" x14ac:dyDescent="0.3">
      <c r="CH849" s="122" t="str">
        <f>IFERROR(TOWER_DATA[[#This Row],[Top '[m']]]-TOWER_DATA[[#This Row],[Bottom '[m']]], "")</f>
        <v/>
      </c>
    </row>
    <row r="850" spans="86:86" ht="18" customHeight="1" x14ac:dyDescent="0.3">
      <c r="CH850" s="122" t="str">
        <f>IFERROR(TOWER_DATA[[#This Row],[Top '[m']]]-TOWER_DATA[[#This Row],[Bottom '[m']]], "")</f>
        <v/>
      </c>
    </row>
    <row r="851" spans="86:86" ht="18" customHeight="1" x14ac:dyDescent="0.3">
      <c r="CH851" s="122" t="str">
        <f>IFERROR(TOWER_DATA[[#This Row],[Top '[m']]]-TOWER_DATA[[#This Row],[Bottom '[m']]], "")</f>
        <v/>
      </c>
    </row>
    <row r="852" spans="86:86" ht="18" customHeight="1" x14ac:dyDescent="0.3">
      <c r="CH852" s="122" t="str">
        <f>IFERROR(TOWER_DATA[[#This Row],[Top '[m']]]-TOWER_DATA[[#This Row],[Bottom '[m']]], "")</f>
        <v/>
      </c>
    </row>
    <row r="853" spans="86:86" ht="18" customHeight="1" x14ac:dyDescent="0.3">
      <c r="CH853" s="122" t="str">
        <f>IFERROR(TOWER_DATA[[#This Row],[Top '[m']]]-TOWER_DATA[[#This Row],[Bottom '[m']]], "")</f>
        <v/>
      </c>
    </row>
    <row r="854" spans="86:86" ht="18" customHeight="1" x14ac:dyDescent="0.3">
      <c r="CH854" s="122" t="str">
        <f>IFERROR(TOWER_DATA[[#This Row],[Top '[m']]]-TOWER_DATA[[#This Row],[Bottom '[m']]], "")</f>
        <v/>
      </c>
    </row>
    <row r="855" spans="86:86" ht="18" customHeight="1" x14ac:dyDescent="0.3">
      <c r="CH855" s="122" t="str">
        <f>IFERROR(TOWER_DATA[[#This Row],[Top '[m']]]-TOWER_DATA[[#This Row],[Bottom '[m']]], "")</f>
        <v/>
      </c>
    </row>
    <row r="856" spans="86:86" ht="18" customHeight="1" x14ac:dyDescent="0.3">
      <c r="CH856" s="122" t="str">
        <f>IFERROR(TOWER_DATA[[#This Row],[Top '[m']]]-TOWER_DATA[[#This Row],[Bottom '[m']]], "")</f>
        <v/>
      </c>
    </row>
    <row r="857" spans="86:86" ht="18" customHeight="1" x14ac:dyDescent="0.3">
      <c r="CH857" s="122" t="str">
        <f>IFERROR(TOWER_DATA[[#This Row],[Top '[m']]]-TOWER_DATA[[#This Row],[Bottom '[m']]], "")</f>
        <v/>
      </c>
    </row>
    <row r="858" spans="86:86" ht="18" customHeight="1" x14ac:dyDescent="0.3">
      <c r="CH858" s="122" t="str">
        <f>IFERROR(TOWER_DATA[[#This Row],[Top '[m']]]-TOWER_DATA[[#This Row],[Bottom '[m']]], "")</f>
        <v/>
      </c>
    </row>
    <row r="859" spans="86:86" ht="18" customHeight="1" x14ac:dyDescent="0.3">
      <c r="CH859" s="122" t="str">
        <f>IFERROR(TOWER_DATA[[#This Row],[Top '[m']]]-TOWER_DATA[[#This Row],[Bottom '[m']]], "")</f>
        <v/>
      </c>
    </row>
    <row r="860" spans="86:86" ht="18" customHeight="1" x14ac:dyDescent="0.3">
      <c r="CH860" s="122" t="str">
        <f>IFERROR(TOWER_DATA[[#This Row],[Top '[m']]]-TOWER_DATA[[#This Row],[Bottom '[m']]], "")</f>
        <v/>
      </c>
    </row>
    <row r="861" spans="86:86" ht="18" customHeight="1" x14ac:dyDescent="0.3">
      <c r="CH861" s="122" t="str">
        <f>IFERROR(TOWER_DATA[[#This Row],[Top '[m']]]-TOWER_DATA[[#This Row],[Bottom '[m']]], "")</f>
        <v/>
      </c>
    </row>
    <row r="862" spans="86:86" ht="18" customHeight="1" x14ac:dyDescent="0.3">
      <c r="CH862" s="122" t="str">
        <f>IFERROR(TOWER_DATA[[#This Row],[Top '[m']]]-TOWER_DATA[[#This Row],[Bottom '[m']]], "")</f>
        <v/>
      </c>
    </row>
    <row r="863" spans="86:86" ht="18" customHeight="1" x14ac:dyDescent="0.3">
      <c r="CH863" s="122" t="str">
        <f>IFERROR(TOWER_DATA[[#This Row],[Top '[m']]]-TOWER_DATA[[#This Row],[Bottom '[m']]], "")</f>
        <v/>
      </c>
    </row>
    <row r="864" spans="86:86" ht="18" customHeight="1" x14ac:dyDescent="0.3">
      <c r="CH864" s="122" t="str">
        <f>IFERROR(TOWER_DATA[[#This Row],[Top '[m']]]-TOWER_DATA[[#This Row],[Bottom '[m']]], "")</f>
        <v/>
      </c>
    </row>
    <row r="865" spans="86:86" ht="18" customHeight="1" x14ac:dyDescent="0.3">
      <c r="CH865" s="122" t="str">
        <f>IFERROR(TOWER_DATA[[#This Row],[Top '[m']]]-TOWER_DATA[[#This Row],[Bottom '[m']]], "")</f>
        <v/>
      </c>
    </row>
    <row r="866" spans="86:86" ht="18" customHeight="1" x14ac:dyDescent="0.3">
      <c r="CH866" s="122" t="str">
        <f>IFERROR(TOWER_DATA[[#This Row],[Top '[m']]]-TOWER_DATA[[#This Row],[Bottom '[m']]], "")</f>
        <v/>
      </c>
    </row>
    <row r="867" spans="86:86" ht="18" customHeight="1" x14ac:dyDescent="0.3">
      <c r="CH867" s="122" t="str">
        <f>IFERROR(TOWER_DATA[[#This Row],[Top '[m']]]-TOWER_DATA[[#This Row],[Bottom '[m']]], "")</f>
        <v/>
      </c>
    </row>
    <row r="868" spans="86:86" ht="18" customHeight="1" x14ac:dyDescent="0.3">
      <c r="CH868" s="122" t="str">
        <f>IFERROR(TOWER_DATA[[#This Row],[Top '[m']]]-TOWER_DATA[[#This Row],[Bottom '[m']]], "")</f>
        <v/>
      </c>
    </row>
    <row r="869" spans="86:86" ht="18" customHeight="1" x14ac:dyDescent="0.3">
      <c r="CH869" s="122" t="str">
        <f>IFERROR(TOWER_DATA[[#This Row],[Top '[m']]]-TOWER_DATA[[#This Row],[Bottom '[m']]], "")</f>
        <v/>
      </c>
    </row>
    <row r="870" spans="86:86" ht="18" customHeight="1" x14ac:dyDescent="0.3">
      <c r="CH870" s="122" t="str">
        <f>IFERROR(TOWER_DATA[[#This Row],[Top '[m']]]-TOWER_DATA[[#This Row],[Bottom '[m']]], "")</f>
        <v/>
      </c>
    </row>
    <row r="871" spans="86:86" ht="18" customHeight="1" x14ac:dyDescent="0.3">
      <c r="CH871" s="122" t="str">
        <f>IFERROR(TOWER_DATA[[#This Row],[Top '[m']]]-TOWER_DATA[[#This Row],[Bottom '[m']]], "")</f>
        <v/>
      </c>
    </row>
    <row r="872" spans="86:86" ht="18" customHeight="1" x14ac:dyDescent="0.3">
      <c r="CH872" s="122" t="str">
        <f>IFERROR(TOWER_DATA[[#This Row],[Top '[m']]]-TOWER_DATA[[#This Row],[Bottom '[m']]], "")</f>
        <v/>
      </c>
    </row>
    <row r="873" spans="86:86" ht="18" customHeight="1" x14ac:dyDescent="0.3">
      <c r="CH873" s="122" t="str">
        <f>IFERROR(TOWER_DATA[[#This Row],[Top '[m']]]-TOWER_DATA[[#This Row],[Bottom '[m']]], "")</f>
        <v/>
      </c>
    </row>
    <row r="874" spans="86:86" ht="18" customHeight="1" x14ac:dyDescent="0.3">
      <c r="CH874" s="122" t="str">
        <f>IFERROR(TOWER_DATA[[#This Row],[Top '[m']]]-TOWER_DATA[[#This Row],[Bottom '[m']]], "")</f>
        <v/>
      </c>
    </row>
    <row r="875" spans="86:86" ht="18" customHeight="1" x14ac:dyDescent="0.3">
      <c r="CH875" s="122" t="str">
        <f>IFERROR(TOWER_DATA[[#This Row],[Top '[m']]]-TOWER_DATA[[#This Row],[Bottom '[m']]], "")</f>
        <v/>
      </c>
    </row>
    <row r="876" spans="86:86" ht="18" customHeight="1" x14ac:dyDescent="0.3">
      <c r="CH876" s="122" t="str">
        <f>IFERROR(TOWER_DATA[[#This Row],[Top '[m']]]-TOWER_DATA[[#This Row],[Bottom '[m']]], "")</f>
        <v/>
      </c>
    </row>
    <row r="877" spans="86:86" ht="18" customHeight="1" x14ac:dyDescent="0.3">
      <c r="CH877" s="122" t="str">
        <f>IFERROR(TOWER_DATA[[#This Row],[Top '[m']]]-TOWER_DATA[[#This Row],[Bottom '[m']]], "")</f>
        <v/>
      </c>
    </row>
    <row r="878" spans="86:86" ht="18" customHeight="1" x14ac:dyDescent="0.3">
      <c r="CH878" s="122" t="str">
        <f>IFERROR(TOWER_DATA[[#This Row],[Top '[m']]]-TOWER_DATA[[#This Row],[Bottom '[m']]], "")</f>
        <v/>
      </c>
    </row>
    <row r="879" spans="86:86" ht="18" customHeight="1" x14ac:dyDescent="0.3">
      <c r="CH879" s="122" t="str">
        <f>IFERROR(TOWER_DATA[[#This Row],[Top '[m']]]-TOWER_DATA[[#This Row],[Bottom '[m']]], "")</f>
        <v/>
      </c>
    </row>
    <row r="880" spans="86:86" ht="18" customHeight="1" x14ac:dyDescent="0.3">
      <c r="CH880" s="122" t="str">
        <f>IFERROR(TOWER_DATA[[#This Row],[Top '[m']]]-TOWER_DATA[[#This Row],[Bottom '[m']]], "")</f>
        <v/>
      </c>
    </row>
    <row r="881" spans="86:86" ht="18" customHeight="1" x14ac:dyDescent="0.3">
      <c r="CH881" s="122" t="str">
        <f>IFERROR(TOWER_DATA[[#This Row],[Top '[m']]]-TOWER_DATA[[#This Row],[Bottom '[m']]], "")</f>
        <v/>
      </c>
    </row>
    <row r="882" spans="86:86" ht="18" customHeight="1" x14ac:dyDescent="0.3">
      <c r="CH882" s="122" t="str">
        <f>IFERROR(TOWER_DATA[[#This Row],[Top '[m']]]-TOWER_DATA[[#This Row],[Bottom '[m']]], "")</f>
        <v/>
      </c>
    </row>
    <row r="883" spans="86:86" ht="18" customHeight="1" x14ac:dyDescent="0.3">
      <c r="CH883" s="122" t="str">
        <f>IFERROR(TOWER_DATA[[#This Row],[Top '[m']]]-TOWER_DATA[[#This Row],[Bottom '[m']]], "")</f>
        <v/>
      </c>
    </row>
    <row r="884" spans="86:86" ht="18" customHeight="1" x14ac:dyDescent="0.3">
      <c r="CH884" s="122" t="str">
        <f>IFERROR(TOWER_DATA[[#This Row],[Top '[m']]]-TOWER_DATA[[#This Row],[Bottom '[m']]], "")</f>
        <v/>
      </c>
    </row>
    <row r="885" spans="86:86" ht="18" customHeight="1" x14ac:dyDescent="0.3">
      <c r="CH885" s="122" t="str">
        <f>IFERROR(TOWER_DATA[[#This Row],[Top '[m']]]-TOWER_DATA[[#This Row],[Bottom '[m']]], "")</f>
        <v/>
      </c>
    </row>
    <row r="886" spans="86:86" ht="18" customHeight="1" x14ac:dyDescent="0.3">
      <c r="CH886" s="122" t="str">
        <f>IFERROR(TOWER_DATA[[#This Row],[Top '[m']]]-TOWER_DATA[[#This Row],[Bottom '[m']]], "")</f>
        <v/>
      </c>
    </row>
    <row r="887" spans="86:86" ht="18" customHeight="1" x14ac:dyDescent="0.3">
      <c r="CH887" s="122" t="str">
        <f>IFERROR(TOWER_DATA[[#This Row],[Top '[m']]]-TOWER_DATA[[#This Row],[Bottom '[m']]], "")</f>
        <v/>
      </c>
    </row>
    <row r="888" spans="86:86" ht="18" customHeight="1" x14ac:dyDescent="0.3">
      <c r="CH888" s="122" t="str">
        <f>IFERROR(TOWER_DATA[[#This Row],[Top '[m']]]-TOWER_DATA[[#This Row],[Bottom '[m']]], "")</f>
        <v/>
      </c>
    </row>
    <row r="889" spans="86:86" ht="18" customHeight="1" x14ac:dyDescent="0.3">
      <c r="CH889" s="122" t="str">
        <f>IFERROR(TOWER_DATA[[#This Row],[Top '[m']]]-TOWER_DATA[[#This Row],[Bottom '[m']]], "")</f>
        <v/>
      </c>
    </row>
  </sheetData>
  <protectedRanges>
    <protectedRange sqref="DX12:DY12 EB12:ED12 DR14:DT14 DN14:DO14" name="Bereich1_1"/>
    <protectedRange sqref="F112:G133 F81:G83 AQ112:AR133 AQ81:AR83 CC112:CD133 CC81:CD83" name="Eingaben2"/>
    <protectedRange sqref="H81:J83 AS81:AU83 CE81:CG83" name="Eingaben2_2"/>
    <protectedRange sqref="H112:J133 AS112:AU133 CE112:CG133" name="Eingaben2_4"/>
  </protectedRanges>
  <dataConsolidate/>
  <phoneticPr fontId="10" type="noConversion"/>
  <conditionalFormatting sqref="E2010">
    <cfRule type="expression" dxfId="39" priority="41">
      <formula>E2009&lt;&gt;_xludf.INDIRECT("B" &amp; _xludf.ROW() + 200)</formula>
    </cfRule>
  </conditionalFormatting>
  <conditionalFormatting sqref="L137 O114:O137 L138:O161 E135:J220 DN87:DT174">
    <cfRule type="expression" dxfId="38" priority="43">
      <formula>#REF!&lt;&gt;_xludf.INDIRECT(_xludf.ADDRESS(_xludf.ROW()-200,_xludf.COLUMN()))</formula>
    </cfRule>
  </conditionalFormatting>
  <conditionalFormatting sqref="G222">
    <cfRule type="expression" dxfId="37" priority="48">
      <formula>#REF!&lt;&gt;_xludf.INDIRECT(_xludf.ADDRESS(_xludf.ROW()-200,_xludf.COLUMN()))</formula>
    </cfRule>
  </conditionalFormatting>
  <conditionalFormatting sqref="E221:E225">
    <cfRule type="expression" dxfId="36" priority="66">
      <formula>#REF!&lt;&gt;_xludf.INDIRECT(_xludf.ADDRESS(_xludf.ROW()-200,_xludf.COLUMN()))</formula>
    </cfRule>
  </conditionalFormatting>
  <conditionalFormatting sqref="DU134:DV137">
    <cfRule type="expression" dxfId="35" priority="29">
      <formula>#REF!&lt;&gt;_xludf.INDIRECT(_xludf.ADDRESS(_xludf.ROW()-200,_xludf.COLUMN()))</formula>
    </cfRule>
  </conditionalFormatting>
  <conditionalFormatting sqref="O167:O181">
    <cfRule type="expression" dxfId="34" priority="72">
      <formula>O22&lt;&gt;_xludf.INDIRECT(_xludf.ADDRESS(_xludf.ROW()-200,_xludf.COLUMN()))</formula>
    </cfRule>
  </conditionalFormatting>
  <conditionalFormatting sqref="N184 O182:O184">
    <cfRule type="expression" dxfId="33" priority="123">
      <formula>#REF!&lt;&gt;_xludf.INDIRECT(_xludf.ADDRESS(_xludf.ROW()-200,_xludf.COLUMN()))</formula>
    </cfRule>
  </conditionalFormatting>
  <conditionalFormatting sqref="N167:N183">
    <cfRule type="expression" dxfId="32" priority="168">
      <formula>N117&lt;&gt;_xludf.INDIRECT(_xludf.ADDRESS(_xludf.ROW()-200,_xludf.COLUMN()))</formula>
    </cfRule>
  </conditionalFormatting>
  <conditionalFormatting sqref="L167:M184">
    <cfRule type="expression" dxfId="31" priority="169">
      <formula>L116&lt;&gt;_xludf.INDIRECT(_xludf.ADDRESS(_xludf.ROW()-200,_xludf.COLUMN()))</formula>
    </cfRule>
  </conditionalFormatting>
  <conditionalFormatting sqref="J236">
    <cfRule type="expression" dxfId="30" priority="172">
      <formula>K125&lt;&gt;_xludf.INDIRECT(_xludf.ADDRESS(_xludf.ROW()-200,_xludf.COLUMN()))</formula>
    </cfRule>
  </conditionalFormatting>
  <conditionalFormatting sqref="L162:O166">
    <cfRule type="expression" dxfId="29" priority="173">
      <formula>K111&lt;&gt;_xludf.INDIRECT(_xludf.ADDRESS(_xludf.ROW()-200,_xludf.COLUMN()))</formula>
    </cfRule>
  </conditionalFormatting>
  <conditionalFormatting sqref="H222">
    <cfRule type="expression" dxfId="28" priority="174">
      <formula>F112&lt;&gt;_xludf.INDIRECT(_xludf.ADDRESS(_xludf.ROW()-200,_xludf.COLUMN()))</formula>
    </cfRule>
  </conditionalFormatting>
  <conditionalFormatting sqref="J226:J235 E226:I243 J237:J243">
    <cfRule type="expression" dxfId="27" priority="175">
      <formula>E116&lt;&gt;_xludf.INDIRECT(_xludf.ADDRESS(_xludf.ROW()-200,_xludf.COLUMN()))</formula>
    </cfRule>
  </conditionalFormatting>
  <conditionalFormatting sqref="F222:F225 G223:H225 F221:J221 I222:J225">
    <cfRule type="expression" dxfId="26" priority="178">
      <formula>E111&lt;&gt;_xludf.INDIRECT(_xludf.ADDRESS(_xludf.ROW()-200,_xludf.COLUMN()))</formula>
    </cfRule>
  </conditionalFormatting>
  <conditionalFormatting sqref="AP2010">
    <cfRule type="expression" dxfId="25" priority="15">
      <formula>AP2009&lt;&gt;_xludf.INDIRECT("B" &amp; _xludf.ROW() + 200)</formula>
    </cfRule>
  </conditionalFormatting>
  <conditionalFormatting sqref="AW137 AZ114:AZ137 AW138:AZ161 AP135:AU220">
    <cfRule type="expression" dxfId="24" priority="16">
      <formula>#REF!&lt;&gt;_xludf.INDIRECT(_xludf.ADDRESS(_xludf.ROW()-200,_xludf.COLUMN()))</formula>
    </cfRule>
  </conditionalFormatting>
  <conditionalFormatting sqref="AR222">
    <cfRule type="expression" dxfId="23" priority="18">
      <formula>#REF!&lt;&gt;_xludf.INDIRECT(_xludf.ADDRESS(_xludf.ROW()-200,_xludf.COLUMN()))</formula>
    </cfRule>
  </conditionalFormatting>
  <conditionalFormatting sqref="AP221:AP225">
    <cfRule type="expression" dxfId="22" priority="19">
      <formula>#REF!&lt;&gt;_xludf.INDIRECT(_xludf.ADDRESS(_xludf.ROW()-200,_xludf.COLUMN()))</formula>
    </cfRule>
  </conditionalFormatting>
  <conditionalFormatting sqref="AZ167:AZ181">
    <cfRule type="expression" dxfId="21" priority="20">
      <formula>AZ22&lt;&gt;_xludf.INDIRECT(_xludf.ADDRESS(_xludf.ROW()-200,_xludf.COLUMN()))</formula>
    </cfRule>
  </conditionalFormatting>
  <conditionalFormatting sqref="AY184 AZ182:AZ184">
    <cfRule type="expression" dxfId="20" priority="21">
      <formula>#REF!&lt;&gt;_xludf.INDIRECT(_xludf.ADDRESS(_xludf.ROW()-200,_xludf.COLUMN()))</formula>
    </cfRule>
  </conditionalFormatting>
  <conditionalFormatting sqref="AY167:AY183">
    <cfRule type="expression" dxfId="19" priority="22">
      <formula>AY117&lt;&gt;_xludf.INDIRECT(_xludf.ADDRESS(_xludf.ROW()-200,_xludf.COLUMN()))</formula>
    </cfRule>
  </conditionalFormatting>
  <conditionalFormatting sqref="AW167:AX184">
    <cfRule type="expression" dxfId="18" priority="23">
      <formula>AW116&lt;&gt;_xludf.INDIRECT(_xludf.ADDRESS(_xludf.ROW()-200,_xludf.COLUMN()))</formula>
    </cfRule>
  </conditionalFormatting>
  <conditionalFormatting sqref="AU236">
    <cfRule type="expression" dxfId="17" priority="24">
      <formula>AV125&lt;&gt;_xludf.INDIRECT(_xludf.ADDRESS(_xludf.ROW()-200,_xludf.COLUMN()))</formula>
    </cfRule>
  </conditionalFormatting>
  <conditionalFormatting sqref="AW162:AZ166">
    <cfRule type="expression" dxfId="16" priority="25">
      <formula>AV111&lt;&gt;_xludf.INDIRECT(_xludf.ADDRESS(_xludf.ROW()-200,_xludf.COLUMN()))</formula>
    </cfRule>
  </conditionalFormatting>
  <conditionalFormatting sqref="AS222">
    <cfRule type="expression" dxfId="15" priority="26">
      <formula>AQ112&lt;&gt;_xludf.INDIRECT(_xludf.ADDRESS(_xludf.ROW()-200,_xludf.COLUMN()))</formula>
    </cfRule>
  </conditionalFormatting>
  <conditionalFormatting sqref="AU226:AU235 AP226:AT243 AU237:AU243">
    <cfRule type="expression" dxfId="14" priority="27">
      <formula>AP116&lt;&gt;_xludf.INDIRECT(_xludf.ADDRESS(_xludf.ROW()-200,_xludf.COLUMN()))</formula>
    </cfRule>
  </conditionalFormatting>
  <conditionalFormatting sqref="AQ222:AQ225 AR223:AS225 AQ221:AU221 AT222:AU225">
    <cfRule type="expression" dxfId="13" priority="28">
      <formula>AP111&lt;&gt;_xludf.INDIRECT(_xludf.ADDRESS(_xludf.ROW()-200,_xludf.COLUMN()))</formula>
    </cfRule>
  </conditionalFormatting>
  <conditionalFormatting sqref="CB2010">
    <cfRule type="expression" dxfId="12" priority="1">
      <formula>CB2009&lt;&gt;_xludf.INDIRECT("B" &amp; _xludf.ROW() + 200)</formula>
    </cfRule>
  </conditionalFormatting>
  <conditionalFormatting sqref="CI137 CL114:CL137 CI138:CL161 CB135:CG220">
    <cfRule type="expression" dxfId="11" priority="2">
      <formula>#REF!&lt;&gt;_xludf.INDIRECT(_xludf.ADDRESS(_xludf.ROW()-200,_xludf.COLUMN()))</formula>
    </cfRule>
  </conditionalFormatting>
  <conditionalFormatting sqref="CD222">
    <cfRule type="expression" dxfId="10" priority="4">
      <formula>#REF!&lt;&gt;_xludf.INDIRECT(_xludf.ADDRESS(_xludf.ROW()-200,_xludf.COLUMN()))</formula>
    </cfRule>
  </conditionalFormatting>
  <conditionalFormatting sqref="CB221:CB225">
    <cfRule type="expression" dxfId="9" priority="5">
      <formula>#REF!&lt;&gt;_xludf.INDIRECT(_xludf.ADDRESS(_xludf.ROW()-200,_xludf.COLUMN()))</formula>
    </cfRule>
  </conditionalFormatting>
  <conditionalFormatting sqref="CL167:CL181">
    <cfRule type="expression" dxfId="8" priority="6">
      <formula>CL22&lt;&gt;_xludf.INDIRECT(_xludf.ADDRESS(_xludf.ROW()-200,_xludf.COLUMN()))</formula>
    </cfRule>
  </conditionalFormatting>
  <conditionalFormatting sqref="CK184 CL182:CL184">
    <cfRule type="expression" dxfId="7" priority="7">
      <formula>#REF!&lt;&gt;_xludf.INDIRECT(_xludf.ADDRESS(_xludf.ROW()-200,_xludf.COLUMN()))</formula>
    </cfRule>
  </conditionalFormatting>
  <conditionalFormatting sqref="CK167:CK183">
    <cfRule type="expression" dxfId="6" priority="8">
      <formula>CK117&lt;&gt;_xludf.INDIRECT(_xludf.ADDRESS(_xludf.ROW()-200,_xludf.COLUMN()))</formula>
    </cfRule>
  </conditionalFormatting>
  <conditionalFormatting sqref="CI167:CJ184">
    <cfRule type="expression" dxfId="5" priority="9">
      <formula>CI116&lt;&gt;_xludf.INDIRECT(_xludf.ADDRESS(_xludf.ROW()-200,_xludf.COLUMN()))</formula>
    </cfRule>
  </conditionalFormatting>
  <conditionalFormatting sqref="CG236">
    <cfRule type="expression" dxfId="4" priority="10">
      <formula>CH125&lt;&gt;_xludf.INDIRECT(_xludf.ADDRESS(_xludf.ROW()-200,_xludf.COLUMN()))</formula>
    </cfRule>
  </conditionalFormatting>
  <conditionalFormatting sqref="CI162:CL166">
    <cfRule type="expression" dxfId="3" priority="11">
      <formula>CH111&lt;&gt;_xludf.INDIRECT(_xludf.ADDRESS(_xludf.ROW()-200,_xludf.COLUMN()))</formula>
    </cfRule>
  </conditionalFormatting>
  <conditionalFormatting sqref="CE222">
    <cfRule type="expression" dxfId="2" priority="12">
      <formula>CC112&lt;&gt;_xludf.INDIRECT(_xludf.ADDRESS(_xludf.ROW()-200,_xludf.COLUMN()))</formula>
    </cfRule>
  </conditionalFormatting>
  <conditionalFormatting sqref="CG226:CG235 CB226:CF243 CG237:CG243">
    <cfRule type="expression" dxfId="1" priority="13">
      <formula>CB116&lt;&gt;_xludf.INDIRECT(_xludf.ADDRESS(_xludf.ROW()-200,_xludf.COLUMN()))</formula>
    </cfRule>
  </conditionalFormatting>
  <conditionalFormatting sqref="CC222:CC225 CD223:CE225 CC221:CG221 CF222:CG225">
    <cfRule type="expression" dxfId="0" priority="14">
      <formula>CB111&lt;&gt;_xludf.INDIRECT(_xludf.ADDRESS(_xludf.ROW()-200,_xludf.COLUMN()))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83820</xdr:colOff>
                    <xdr:row>0</xdr:row>
                    <xdr:rowOff>99060</xdr:rowOff>
                  </from>
                  <to>
                    <xdr:col>3</xdr:col>
                    <xdr:colOff>1470660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2">
              <controlPr defaultSize="0" autoLine="0" autoPict="0" macro="[0]!load_MP_Data">
                <anchor moveWithCells="1">
                  <from>
                    <xdr:col>5</xdr:col>
                    <xdr:colOff>30480</xdr:colOff>
                    <xdr:row>6</xdr:row>
                    <xdr:rowOff>38100</xdr:rowOff>
                  </from>
                  <to>
                    <xdr:col>7</xdr:col>
                    <xdr:colOff>1668780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4</xdr:col>
                    <xdr:colOff>45720</xdr:colOff>
                    <xdr:row>4</xdr:row>
                    <xdr:rowOff>22860</xdr:rowOff>
                  </from>
                  <to>
                    <xdr:col>4</xdr:col>
                    <xdr:colOff>3337560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30480</xdr:colOff>
                    <xdr:row>20</xdr:row>
                    <xdr:rowOff>160020</xdr:rowOff>
                  </from>
                  <to>
                    <xdr:col>8</xdr:col>
                    <xdr:colOff>1447800</xdr:colOff>
                    <xdr:row>23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8</xdr:col>
                    <xdr:colOff>1470660</xdr:colOff>
                    <xdr:row>20</xdr:row>
                    <xdr:rowOff>160020</xdr:rowOff>
                  </from>
                  <to>
                    <xdr:col>10</xdr:col>
                    <xdr:colOff>1417320</xdr:colOff>
                    <xdr:row>23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60960</xdr:colOff>
                    <xdr:row>17</xdr:row>
                    <xdr:rowOff>30480</xdr:rowOff>
                  </from>
                  <to>
                    <xdr:col>1</xdr:col>
                    <xdr:colOff>1630680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0" name="Button 27">
              <controlPr defaultSize="0" print="0" autoFill="0" autoPict="0" macro="[0]!load_TOWER_DB">
                <anchor moveWithCells="1" sizeWithCells="1">
                  <from>
                    <xdr:col>63</xdr:col>
                    <xdr:colOff>38100</xdr:colOff>
                    <xdr:row>5</xdr:row>
                    <xdr:rowOff>38100</xdr:rowOff>
                  </from>
                  <to>
                    <xdr:col>63</xdr:col>
                    <xdr:colOff>792480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1" name="Button 31">
              <controlPr defaultSize="0" print="0" autoFill="0" autoPict="0" macro="[0]!reload_MP_DB">
                <anchor moveWithCells="1" sizeWithCells="1">
                  <from>
                    <xdr:col>4</xdr:col>
                    <xdr:colOff>30480</xdr:colOff>
                    <xdr:row>6</xdr:row>
                    <xdr:rowOff>7620</xdr:rowOff>
                  </from>
                  <to>
                    <xdr:col>4</xdr:col>
                    <xdr:colOff>3322320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2" name="Button 33">
              <controlPr defaultSize="0" print="0" autoFill="0" autoPict="0" macro="[0]!reload_TOWER_DB">
                <anchor moveWithCells="1" sizeWithCells="1">
                  <from>
                    <xdr:col>63</xdr:col>
                    <xdr:colOff>822960</xdr:colOff>
                    <xdr:row>5</xdr:row>
                    <xdr:rowOff>22860</xdr:rowOff>
                  </from>
                  <to>
                    <xdr:col>64</xdr:col>
                    <xdr:colOff>7620</xdr:colOff>
                    <xdr:row>5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3" name="Import_MP_use_TP">
              <controlPr defaultSize="0" autoFill="0" autoLine="0" autoPict="0">
                <anchor moveWithCells="1">
                  <from>
                    <xdr:col>0</xdr:col>
                    <xdr:colOff>1607820</xdr:colOff>
                    <xdr:row>19</xdr:row>
                    <xdr:rowOff>99060</xdr:rowOff>
                  </from>
                  <to>
                    <xdr:col>1</xdr:col>
                    <xdr:colOff>807720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4" name="Import_MP_use_MP">
              <controlPr defaultSize="0" autoFill="0" autoLine="0" autoPict="0">
                <anchor moveWithCells="1">
                  <from>
                    <xdr:col>0</xdr:col>
                    <xdr:colOff>99060</xdr:colOff>
                    <xdr:row>19</xdr:row>
                    <xdr:rowOff>114300</xdr:rowOff>
                  </from>
                  <to>
                    <xdr:col>0</xdr:col>
                    <xdr:colOff>990600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5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30480</xdr:colOff>
                    <xdr:row>21</xdr:row>
                    <xdr:rowOff>22860</xdr:rowOff>
                  </from>
                  <to>
                    <xdr:col>4</xdr:col>
                    <xdr:colOff>3314700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16" name="Button 40">
              <controlPr defaultSize="0" print="0" autoFill="0" autoPict="0" macro="[0]!load_RNA_DB">
                <anchor moveWithCells="1" sizeWithCells="1">
                  <from>
                    <xdr:col>117</xdr:col>
                    <xdr:colOff>38100</xdr:colOff>
                    <xdr:row>5</xdr:row>
                    <xdr:rowOff>38100</xdr:rowOff>
                  </from>
                  <to>
                    <xdr:col>117</xdr:col>
                    <xdr:colOff>792480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7" name="Button 41">
              <controlPr defaultSize="0" print="0" autoFill="0" autoPict="0" macro="[0]!save_RNA_Data">
                <anchor moveWithCells="1" sizeWithCells="1">
                  <from>
                    <xdr:col>117</xdr:col>
                    <xdr:colOff>22860</xdr:colOff>
                    <xdr:row>9</xdr:row>
                    <xdr:rowOff>22860</xdr:rowOff>
                  </from>
                  <to>
                    <xdr:col>119</xdr:col>
                    <xdr:colOff>723900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18" name="Button 43">
              <controlPr defaultSize="0" print="0" autoFill="0" autoPict="0" macro="[0]!reload_RNA_DB">
                <anchor moveWithCells="1" sizeWithCells="1">
                  <from>
                    <xdr:col>117</xdr:col>
                    <xdr:colOff>822960</xdr:colOff>
                    <xdr:row>5</xdr:row>
                    <xdr:rowOff>22860</xdr:rowOff>
                  </from>
                  <to>
                    <xdr:col>118</xdr:col>
                    <xdr:colOff>7620</xdr:colOff>
                    <xdr:row>5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9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45720</xdr:colOff>
                    <xdr:row>17</xdr:row>
                    <xdr:rowOff>30480</xdr:rowOff>
                  </from>
                  <to>
                    <xdr:col>3</xdr:col>
                    <xdr:colOff>1493520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20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121920</xdr:colOff>
                    <xdr:row>2</xdr:row>
                    <xdr:rowOff>106680</xdr:rowOff>
                  </from>
                  <to>
                    <xdr:col>1</xdr:col>
                    <xdr:colOff>1630680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21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114300</xdr:colOff>
                    <xdr:row>5</xdr:row>
                    <xdr:rowOff>22860</xdr:rowOff>
                  </from>
                  <to>
                    <xdr:col>1</xdr:col>
                    <xdr:colOff>1607820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22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121920</xdr:colOff>
                    <xdr:row>7</xdr:row>
                    <xdr:rowOff>220980</xdr:rowOff>
                  </from>
                  <to>
                    <xdr:col>1</xdr:col>
                    <xdr:colOff>1607820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23" name="Import_GeomConv_useMP">
              <controlPr defaultSize="0" autoFill="0" autoLine="0" autoPict="0">
                <anchor moveWithCells="1">
                  <from>
                    <xdr:col>2</xdr:col>
                    <xdr:colOff>7620</xdr:colOff>
                    <xdr:row>19</xdr:row>
                    <xdr:rowOff>106680</xdr:rowOff>
                  </from>
                  <to>
                    <xdr:col>2</xdr:col>
                    <xdr:colOff>914400</xdr:colOff>
                    <xdr:row>21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4" name="Import_GeomConv_useTP">
              <controlPr defaultSize="0" autoFill="0" autoLine="0" autoPict="0">
                <anchor moveWithCells="1">
                  <from>
                    <xdr:col>2</xdr:col>
                    <xdr:colOff>1112520</xdr:colOff>
                    <xdr:row>19</xdr:row>
                    <xdr:rowOff>83820</xdr:rowOff>
                  </from>
                  <to>
                    <xdr:col>3</xdr:col>
                    <xdr:colOff>533400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5" name="Import_GeomConv_useTOWER">
              <controlPr defaultSize="0" autoFill="0" autoLine="0" autoPict="0">
                <anchor moveWithCells="1">
                  <from>
                    <xdr:col>3</xdr:col>
                    <xdr:colOff>678180</xdr:colOff>
                    <xdr:row>19</xdr:row>
                    <xdr:rowOff>76200</xdr:rowOff>
                  </from>
                  <to>
                    <xdr:col>3</xdr:col>
                    <xdr:colOff>1516380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6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144780</xdr:colOff>
                    <xdr:row>10</xdr:row>
                    <xdr:rowOff>213360</xdr:rowOff>
                  </from>
                  <to>
                    <xdr:col>1</xdr:col>
                    <xdr:colOff>1623060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27" name="Dropdown_TP_Structures">
              <controlPr defaultSize="0" autoLine="0" autoPict="0" macro="[0]!load_TP_Data">
                <anchor moveWithCells="1">
                  <from>
                    <xdr:col>62</xdr:col>
                    <xdr:colOff>0</xdr:colOff>
                    <xdr:row>7</xdr:row>
                    <xdr:rowOff>22860</xdr:rowOff>
                  </from>
                  <to>
                    <xdr:col>145</xdr:col>
                    <xdr:colOff>1402080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28" name="Dropdown_TOWER_Structures">
              <controlPr defaultSize="0" autoLine="0" autoPict="0" macro="[0]!load_TOWER_Data">
                <anchor moveWithCells="1">
                  <from>
                    <xdr:col>63</xdr:col>
                    <xdr:colOff>22860</xdr:colOff>
                    <xdr:row>7</xdr:row>
                    <xdr:rowOff>22860</xdr:rowOff>
                  </from>
                  <to>
                    <xdr:col>145</xdr:col>
                    <xdr:colOff>1447800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9" name="Button 61">
              <controlPr defaultSize="0" print="0" autoFill="0" autoPict="0" macro="[0]!plot_MP">
                <anchor moveWithCells="1" sizeWithCells="1">
                  <from>
                    <xdr:col>11</xdr:col>
                    <xdr:colOff>152400</xdr:colOff>
                    <xdr:row>1</xdr:row>
                    <xdr:rowOff>7620</xdr:rowOff>
                  </from>
                  <to>
                    <xdr:col>11</xdr:col>
                    <xdr:colOff>1371600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30" name="Dropdown_TP_Structures2">
              <controlPr defaultSize="0" autoLine="0" autoPict="0" macro="[0]!load_TP_Data">
                <anchor moveWithCells="1">
                  <from>
                    <xdr:col>41</xdr:col>
                    <xdr:colOff>3383280</xdr:colOff>
                    <xdr:row>6</xdr:row>
                    <xdr:rowOff>38100</xdr:rowOff>
                  </from>
                  <to>
                    <xdr:col>146</xdr:col>
                    <xdr:colOff>1508760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31" name="Button 63">
              <controlPr defaultSize="0" print="0" autoFill="0" autoPict="0" macro="[0]!load_TP_DB">
                <anchor moveWithCells="1" sizeWithCells="1">
                  <from>
                    <xdr:col>41</xdr:col>
                    <xdr:colOff>45720</xdr:colOff>
                    <xdr:row>4</xdr:row>
                    <xdr:rowOff>22860</xdr:rowOff>
                  </from>
                  <to>
                    <xdr:col>41</xdr:col>
                    <xdr:colOff>3337560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32" name="Button 64">
              <controlPr defaultSize="0" print="0" autoFill="0" autoPict="0" macro="[0]!save_TP_Data">
                <anchor moveWithCells="1" sizeWithCells="1">
                  <from>
                    <xdr:col>44</xdr:col>
                    <xdr:colOff>30480</xdr:colOff>
                    <xdr:row>20</xdr:row>
                    <xdr:rowOff>160020</xdr:rowOff>
                  </from>
                  <to>
                    <xdr:col>45</xdr:col>
                    <xdr:colOff>1447800</xdr:colOff>
                    <xdr:row>23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33" name="Button 65">
              <controlPr defaultSize="0" print="0" autoFill="0" autoPict="0" macro="[0]!delete_TP_Data">
                <anchor moveWithCells="1" sizeWithCells="1">
                  <from>
                    <xdr:col>45</xdr:col>
                    <xdr:colOff>1470660</xdr:colOff>
                    <xdr:row>20</xdr:row>
                    <xdr:rowOff>160020</xdr:rowOff>
                  </from>
                  <to>
                    <xdr:col>47</xdr:col>
                    <xdr:colOff>1417320</xdr:colOff>
                    <xdr:row>23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34" name="Button 66">
              <controlPr defaultSize="0" print="0" autoFill="0" autoPict="0" macro="[0]!reload_TP_DB">
                <anchor moveWithCells="1" sizeWithCells="1">
                  <from>
                    <xdr:col>41</xdr:col>
                    <xdr:colOff>30480</xdr:colOff>
                    <xdr:row>6</xdr:row>
                    <xdr:rowOff>7620</xdr:rowOff>
                  </from>
                  <to>
                    <xdr:col>41</xdr:col>
                    <xdr:colOff>3322320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35" name="Button 67">
              <controlPr defaultSize="0" print="0" autoFill="0" autoPict="0" macro="[0]!move_structure_TP">
                <anchor moveWithCells="1" sizeWithCells="1">
                  <from>
                    <xdr:col>41</xdr:col>
                    <xdr:colOff>30480</xdr:colOff>
                    <xdr:row>21</xdr:row>
                    <xdr:rowOff>22860</xdr:rowOff>
                  </from>
                  <to>
                    <xdr:col>41</xdr:col>
                    <xdr:colOff>3314700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36" name="Button 68">
              <controlPr defaultSize="0" print="0" autoFill="0" autoPict="0" macro="[0]!plot_TP">
                <anchor moveWithCells="1" sizeWithCells="1">
                  <from>
                    <xdr:col>48</xdr:col>
                    <xdr:colOff>152400</xdr:colOff>
                    <xdr:row>1</xdr:row>
                    <xdr:rowOff>7620</xdr:rowOff>
                  </from>
                  <to>
                    <xdr:col>48</xdr:col>
                    <xdr:colOff>1371600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37" name="Button 70">
              <controlPr defaultSize="0" print="0" autoFill="0" autoPict="0" macro="[0]!load_TOWER_DB">
                <anchor moveWithCells="1" sizeWithCells="1">
                  <from>
                    <xdr:col>101</xdr:col>
                    <xdr:colOff>38100</xdr:colOff>
                    <xdr:row>5</xdr:row>
                    <xdr:rowOff>38100</xdr:rowOff>
                  </from>
                  <to>
                    <xdr:col>101</xdr:col>
                    <xdr:colOff>792480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38" name="Button 71">
              <controlPr defaultSize="0" print="0" autoFill="0" autoPict="0" macro="[0]!reload_TOWER_DB">
                <anchor moveWithCells="1" sizeWithCells="1">
                  <from>
                    <xdr:col>101</xdr:col>
                    <xdr:colOff>822960</xdr:colOff>
                    <xdr:row>5</xdr:row>
                    <xdr:rowOff>22860</xdr:rowOff>
                  </from>
                  <to>
                    <xdr:col>102</xdr:col>
                    <xdr:colOff>7620</xdr:colOff>
                    <xdr:row>5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39" name="Drop Down 72">
              <controlPr defaultSize="0" autoLine="0" autoPict="0" macro="[0]!load_TP_Data">
                <anchor moveWithCells="1">
                  <from>
                    <xdr:col>100</xdr:col>
                    <xdr:colOff>0</xdr:colOff>
                    <xdr:row>7</xdr:row>
                    <xdr:rowOff>22860</xdr:rowOff>
                  </from>
                  <to>
                    <xdr:col>145</xdr:col>
                    <xdr:colOff>1447800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40" name="Drop Down 73">
              <controlPr defaultSize="0" autoLine="0" autoPict="0" macro="[0]!load_TOWER_Data">
                <anchor moveWithCells="1">
                  <from>
                    <xdr:col>101</xdr:col>
                    <xdr:colOff>22860</xdr:colOff>
                    <xdr:row>7</xdr:row>
                    <xdr:rowOff>22860</xdr:rowOff>
                  </from>
                  <to>
                    <xdr:col>145</xdr:col>
                    <xdr:colOff>1493520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41" name="Button 76">
              <controlPr defaultSize="0" print="0" autoFill="0" autoPict="0" macro="[0]!save_TP_Data">
                <anchor moveWithCells="1" sizeWithCells="1">
                  <from>
                    <xdr:col>82</xdr:col>
                    <xdr:colOff>30480</xdr:colOff>
                    <xdr:row>20</xdr:row>
                    <xdr:rowOff>160020</xdr:rowOff>
                  </from>
                  <to>
                    <xdr:col>83</xdr:col>
                    <xdr:colOff>1447800</xdr:colOff>
                    <xdr:row>23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42" name="Button 77">
              <controlPr defaultSize="0" print="0" autoFill="0" autoPict="0" macro="[0]!delete_TP_Data">
                <anchor moveWithCells="1" sizeWithCells="1">
                  <from>
                    <xdr:col>83</xdr:col>
                    <xdr:colOff>1470660</xdr:colOff>
                    <xdr:row>20</xdr:row>
                    <xdr:rowOff>160020</xdr:rowOff>
                  </from>
                  <to>
                    <xdr:col>85</xdr:col>
                    <xdr:colOff>1417320</xdr:colOff>
                    <xdr:row>23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43" name="Button 79">
              <controlPr defaultSize="0" print="0" autoFill="0" autoPict="0" macro="[0]!move_structure_TOWER">
                <anchor moveWithCells="1" sizeWithCells="1">
                  <from>
                    <xdr:col>79</xdr:col>
                    <xdr:colOff>30480</xdr:colOff>
                    <xdr:row>21</xdr:row>
                    <xdr:rowOff>22860</xdr:rowOff>
                  </from>
                  <to>
                    <xdr:col>79</xdr:col>
                    <xdr:colOff>3314700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44" name="Button 80">
              <controlPr defaultSize="0" print="0" autoFill="0" autoPict="0" macro="[0]!plot_TOWER">
                <anchor moveWithCells="1" sizeWithCells="1">
                  <from>
                    <xdr:col>86</xdr:col>
                    <xdr:colOff>152400</xdr:colOff>
                    <xdr:row>1</xdr:row>
                    <xdr:rowOff>7620</xdr:rowOff>
                  </from>
                  <to>
                    <xdr:col>86</xdr:col>
                    <xdr:colOff>1371600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45" name="Dropdown_TOWER_Structures2">
              <controlPr defaultSize="0" autoLine="0" autoPict="0" macro="[0]!load_TOWER_Data">
                <anchor moveWithCells="1">
                  <from>
                    <xdr:col>79</xdr:col>
                    <xdr:colOff>3383280</xdr:colOff>
                    <xdr:row>6</xdr:row>
                    <xdr:rowOff>38100</xdr:rowOff>
                  </from>
                  <to>
                    <xdr:col>147</xdr:col>
                    <xdr:colOff>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46" name="Button 75">
              <controlPr defaultSize="0" print="0" autoFill="0" autoPict="0" macro="[0]!load_TOWER_DB">
                <anchor moveWithCells="1" sizeWithCells="1">
                  <from>
                    <xdr:col>79</xdr:col>
                    <xdr:colOff>45720</xdr:colOff>
                    <xdr:row>4</xdr:row>
                    <xdr:rowOff>22860</xdr:rowOff>
                  </from>
                  <to>
                    <xdr:col>79</xdr:col>
                    <xdr:colOff>3337560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47" name="Button 78">
              <controlPr defaultSize="0" print="0" autoFill="0" autoPict="0" macro="[0]!reload_TOWER_DB">
                <anchor moveWithCells="1" sizeWithCells="1">
                  <from>
                    <xdr:col>79</xdr:col>
                    <xdr:colOff>30480</xdr:colOff>
                    <xdr:row>6</xdr:row>
                    <xdr:rowOff>7620</xdr:rowOff>
                  </from>
                  <to>
                    <xdr:col>79</xdr:col>
                    <xdr:colOff>3322320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48" name="Dropdown_RNA_Structures2">
              <controlPr defaultSize="0" autoLine="0" autoPict="0">
                <anchor moveWithCells="1">
                  <from>
                    <xdr:col>117</xdr:col>
                    <xdr:colOff>3383280</xdr:colOff>
                    <xdr:row>6</xdr:row>
                    <xdr:rowOff>38100</xdr:rowOff>
                  </from>
                  <to>
                    <xdr:col>146</xdr:col>
                    <xdr:colOff>1493520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49" name="Button 85">
              <controlPr defaultSize="0" print="0" autoFill="0" autoPict="0" macro="[0]!load_RNA_DB">
                <anchor moveWithCells="1" sizeWithCells="1">
                  <from>
                    <xdr:col>117</xdr:col>
                    <xdr:colOff>45720</xdr:colOff>
                    <xdr:row>4</xdr:row>
                    <xdr:rowOff>22860</xdr:rowOff>
                  </from>
                  <to>
                    <xdr:col>117</xdr:col>
                    <xdr:colOff>3337560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50" name="Button 86">
              <controlPr defaultSize="0" print="0" autoFill="0" autoPict="0" macro="[0]!reload_RNA_DB">
                <anchor moveWithCells="1" sizeWithCells="1">
                  <from>
                    <xdr:col>117</xdr:col>
                    <xdr:colOff>30480</xdr:colOff>
                    <xdr:row>6</xdr:row>
                    <xdr:rowOff>7620</xdr:rowOff>
                  </from>
                  <to>
                    <xdr:col>117</xdr:col>
                    <xdr:colOff>3322320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51" name="Button 87">
              <controlPr defaultSize="0" print="0" autoFill="0" autoPict="0" macro="[0]!plot_Assambly">
                <anchor moveWithCells="1" sizeWithCells="1">
                  <from>
                    <xdr:col>0</xdr:col>
                    <xdr:colOff>106680</xdr:colOff>
                    <xdr:row>108</xdr:row>
                    <xdr:rowOff>45720</xdr:rowOff>
                  </from>
                  <to>
                    <xdr:col>3</xdr:col>
                    <xdr:colOff>1440180</xdr:colOff>
                    <xdr:row>111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6"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A2:BE455"/>
  <sheetViews>
    <sheetView showGridLines="0" topLeftCell="C1" zoomScale="70" zoomScaleNormal="70" workbookViewId="0">
      <selection activeCell="AF42" sqref="AF42"/>
    </sheetView>
  </sheetViews>
  <sheetFormatPr baseColWidth="10" defaultColWidth="14.44140625" defaultRowHeight="14.4" x14ac:dyDescent="0.3"/>
  <cols>
    <col min="1" max="1" width="26.109375" style="131" customWidth="1"/>
    <col min="2" max="2" width="27.6640625" style="132" customWidth="1"/>
    <col min="3" max="3" width="24.33203125" style="132" customWidth="1"/>
    <col min="4" max="4" width="23.5546875" style="133" customWidth="1"/>
    <col min="5" max="5" width="16.6640625" style="51" hidden="1" customWidth="1"/>
    <col min="6" max="6" width="14.44140625" style="51" hidden="1" customWidth="1"/>
    <col min="7" max="7" width="19.6640625" style="51" hidden="1" customWidth="1"/>
    <col min="8" max="8" width="17.44140625" style="51" hidden="1" customWidth="1"/>
    <col min="9" max="9" width="17.33203125" style="51" hidden="1" customWidth="1"/>
    <col min="10" max="10" width="21.6640625" style="51" hidden="1" customWidth="1"/>
    <col min="11" max="11" width="22.33203125" style="51" hidden="1" customWidth="1"/>
    <col min="12" max="12" width="13.44140625" style="51" hidden="1" customWidth="1"/>
    <col min="13" max="16" width="14.44140625" style="51" hidden="1" customWidth="1"/>
    <col min="17" max="17" width="22.109375" style="51" hidden="1" customWidth="1"/>
    <col min="18" max="18" width="18.6640625" style="55" hidden="1" customWidth="1"/>
    <col min="19" max="19" width="23.88671875" style="55" hidden="1" customWidth="1"/>
    <col min="20" max="20" width="14.88671875" style="55" hidden="1" customWidth="1"/>
    <col min="21" max="21" width="20.44140625" style="55" hidden="1" customWidth="1"/>
    <col min="22" max="22" width="16.6640625" style="55" hidden="1" customWidth="1"/>
    <col min="23" max="23" width="23" style="55" hidden="1" customWidth="1"/>
    <col min="24" max="24" width="21.88671875" style="55" hidden="1" customWidth="1"/>
    <col min="25" max="25" width="34" style="55" hidden="1" customWidth="1"/>
    <col min="26" max="26" width="34.44140625" style="55" hidden="1" customWidth="1"/>
    <col min="27" max="27" width="32.44140625" style="55" hidden="1" customWidth="1"/>
    <col min="28" max="28" width="15.33203125" style="55" hidden="1" customWidth="1"/>
    <col min="29" max="29" width="28.6640625" style="51" customWidth="1"/>
    <col min="30" max="30" width="21.109375" style="51" customWidth="1"/>
    <col min="31" max="31" width="29.109375" style="51" customWidth="1"/>
    <col min="32" max="32" width="27.6640625" style="51" customWidth="1"/>
    <col min="33" max="33" width="51.6640625" style="51" customWidth="1"/>
    <col min="34" max="34" width="54.5546875" style="51" customWidth="1"/>
    <col min="35" max="35" width="43" style="51" customWidth="1"/>
    <col min="36" max="36" width="38" customWidth="1"/>
    <col min="37" max="37" width="18.44140625" customWidth="1"/>
    <col min="38" max="38" width="14.44140625" customWidth="1"/>
    <col min="39" max="39" width="22.6640625" hidden="1" customWidth="1"/>
    <col min="40" max="40" width="14.44140625" hidden="1" customWidth="1"/>
    <col min="41" max="41" width="20.44140625" hidden="1" customWidth="1"/>
    <col min="42" max="44" width="14.44140625" hidden="1" customWidth="1"/>
    <col min="45" max="46" width="14.44140625" style="51" hidden="1" customWidth="1"/>
    <col min="47" max="47" width="20.44140625" style="51" hidden="1" customWidth="1"/>
    <col min="48" max="48" width="26.6640625" style="51" hidden="1" customWidth="1"/>
    <col min="49" max="49" width="17.44140625" style="51" hidden="1" customWidth="1"/>
    <col min="50" max="57" width="14.44140625" style="51" hidden="1" customWidth="1"/>
    <col min="58" max="16384" width="14.44140625" style="51"/>
  </cols>
  <sheetData>
    <row r="2" spans="1:48" ht="33" customHeight="1" x14ac:dyDescent="0.6">
      <c r="E2" s="56" t="s">
        <v>92</v>
      </c>
      <c r="H2" s="55"/>
      <c r="I2" s="55"/>
      <c r="J2" s="55"/>
      <c r="K2" s="55"/>
      <c r="P2" s="55"/>
      <c r="Q2" s="55"/>
      <c r="R2" s="56" t="s">
        <v>93</v>
      </c>
      <c r="AC2" s="56" t="s">
        <v>281</v>
      </c>
      <c r="AJ2" s="51"/>
      <c r="AK2" s="51"/>
      <c r="AL2" s="51"/>
      <c r="AM2" s="51"/>
      <c r="AN2" s="51"/>
      <c r="AO2" s="51"/>
      <c r="AP2" s="51"/>
      <c r="AQ2" s="51"/>
      <c r="AR2" s="51"/>
    </row>
    <row r="3" spans="1:48" x14ac:dyDescent="0.3">
      <c r="A3" s="51" t="s">
        <v>27</v>
      </c>
      <c r="B3" s="51" t="s">
        <v>99</v>
      </c>
      <c r="C3" s="51" t="s">
        <v>100</v>
      </c>
      <c r="H3" s="55"/>
      <c r="P3" s="55"/>
      <c r="Q3" s="55"/>
      <c r="S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8" ht="15" customHeight="1" x14ac:dyDescent="0.3">
      <c r="A4" s="51" t="s">
        <v>114</v>
      </c>
      <c r="B4" s="51"/>
      <c r="C4" s="51" t="s">
        <v>77</v>
      </c>
      <c r="O4" s="55"/>
      <c r="P4" s="55"/>
      <c r="Q4" s="55"/>
      <c r="S4" s="51"/>
      <c r="AJ4" s="51"/>
      <c r="AK4" s="51"/>
      <c r="AL4" s="51"/>
      <c r="AM4" s="51"/>
      <c r="AN4" s="51"/>
      <c r="AO4" s="51"/>
      <c r="AP4" s="51"/>
      <c r="AQ4" s="51"/>
      <c r="AR4" s="51"/>
    </row>
    <row r="5" spans="1:48" ht="15" customHeight="1" x14ac:dyDescent="0.3">
      <c r="A5" s="51" t="s">
        <v>113</v>
      </c>
      <c r="B5" s="51" t="s">
        <v>49</v>
      </c>
      <c r="C5" s="51" t="s">
        <v>77</v>
      </c>
      <c r="P5" s="55"/>
      <c r="Q5" s="55"/>
      <c r="S5" s="51"/>
      <c r="AC5" s="127" t="s">
        <v>109</v>
      </c>
      <c r="AJ5" s="51"/>
      <c r="AK5" s="51"/>
      <c r="AL5" s="51"/>
      <c r="AM5" s="51"/>
      <c r="AN5" s="51"/>
      <c r="AO5" s="51"/>
      <c r="AP5" s="51"/>
      <c r="AQ5" s="51"/>
      <c r="AR5" s="51"/>
    </row>
    <row r="6" spans="1:48" x14ac:dyDescent="0.3">
      <c r="A6" s="51" t="s">
        <v>198</v>
      </c>
      <c r="B6" s="51">
        <v>0</v>
      </c>
      <c r="C6" s="51" t="s">
        <v>115</v>
      </c>
      <c r="E6" s="51" t="s">
        <v>1</v>
      </c>
      <c r="F6" s="51" t="s">
        <v>85</v>
      </c>
      <c r="G6" s="51" t="s">
        <v>82</v>
      </c>
      <c r="H6" s="51" t="s">
        <v>90</v>
      </c>
      <c r="I6" s="51" t="s">
        <v>89</v>
      </c>
      <c r="J6" s="51" t="s">
        <v>78</v>
      </c>
      <c r="K6" s="51" t="s">
        <v>79</v>
      </c>
      <c r="L6" s="51" t="s">
        <v>80</v>
      </c>
      <c r="M6" s="146" t="s">
        <v>84</v>
      </c>
      <c r="N6" s="146" t="s">
        <v>279</v>
      </c>
      <c r="O6" s="146" t="s">
        <v>254</v>
      </c>
      <c r="P6" s="146" t="s">
        <v>255</v>
      </c>
      <c r="Q6" s="55"/>
      <c r="R6" s="51" t="s">
        <v>85</v>
      </c>
      <c r="S6" s="51" t="s">
        <v>241</v>
      </c>
      <c r="T6" s="51" t="s">
        <v>90</v>
      </c>
      <c r="U6" s="51" t="s">
        <v>89</v>
      </c>
      <c r="V6" s="51" t="s">
        <v>86</v>
      </c>
      <c r="W6" s="51" t="s">
        <v>221</v>
      </c>
      <c r="X6" s="51" t="s">
        <v>222</v>
      </c>
      <c r="Y6" s="51" t="s">
        <v>223</v>
      </c>
      <c r="Z6" s="51" t="s">
        <v>225</v>
      </c>
      <c r="AA6" s="51" t="s">
        <v>224</v>
      </c>
      <c r="AC6" s="51" t="s">
        <v>73</v>
      </c>
      <c r="AD6" s="51" t="s">
        <v>122</v>
      </c>
      <c r="AE6" s="51" t="s">
        <v>123</v>
      </c>
      <c r="AF6" s="51" t="s">
        <v>200</v>
      </c>
      <c r="AG6" s="51" t="s">
        <v>209</v>
      </c>
      <c r="AH6" s="51" t="s">
        <v>210</v>
      </c>
      <c r="AI6" s="51" t="s">
        <v>219</v>
      </c>
      <c r="AJ6" s="51" t="s">
        <v>218</v>
      </c>
      <c r="AK6" s="51" t="s">
        <v>19</v>
      </c>
      <c r="AL6" s="51"/>
      <c r="AM6" s="51"/>
      <c r="AN6" s="51"/>
      <c r="AO6" s="51"/>
      <c r="AP6" s="51"/>
      <c r="AQ6" s="51"/>
      <c r="AR6" s="51"/>
    </row>
    <row r="7" spans="1:48" ht="15" customHeight="1" x14ac:dyDescent="0.3">
      <c r="A7" s="51" t="s">
        <v>116</v>
      </c>
      <c r="B7" s="51">
        <v>-43.5</v>
      </c>
      <c r="C7" s="51" t="s">
        <v>115</v>
      </c>
      <c r="E7" s="51">
        <v>1</v>
      </c>
      <c r="F7" s="51" t="s">
        <v>71</v>
      </c>
      <c r="G7" s="51">
        <v>1</v>
      </c>
      <c r="H7" s="51">
        <v>140.49999999999997</v>
      </c>
      <c r="I7" s="51">
        <v>140.32499999999996</v>
      </c>
      <c r="J7" s="51">
        <v>5.6159999999999997</v>
      </c>
      <c r="K7" s="51">
        <v>5.6159999999999997</v>
      </c>
      <c r="L7" s="51">
        <v>42</v>
      </c>
      <c r="M7" s="54">
        <f t="shared" ref="M7:M38" si="0">IF(7850/1000*(1/3)*PI()*ABS(H7-I7)*((J7/2)^2+(J7/2)*(K7/2)+(K7/2)^2-(J7/2-L7/1000)^2-(J7/2-L7/1000)*(K7/2-L7/1000)-(K7/2-L7/1000)^2)=0,"",7850/1000*(1/3)*PI()*ABS(H7-I7)*((J7/2)^2+(J7/2)*(K7/2)+(K7/2)^2-(J7/2-L7/1000)^2-(J7/2-L7/1000)*(K7/2-L7/1000)-(K7/2-L7/1000)^2))</f>
        <v>1.0103546228354485</v>
      </c>
      <c r="N7" s="53">
        <f>IFERROR(IF(OR(ISBLANK(WHOLE_STRUCTURE[[#This Row],[Top '[m']]]), ISBLANK(WHOLE_STRUCTURE[[#This Row],[Bottom '[m']]])), "", WHOLE_STRUCTURE[[#This Row],[Top '[m']]] - WHOLE_STRUCTURE[[#This Row],[Bottom '[m']]]),"")</f>
        <v>0.17500000000001137</v>
      </c>
      <c r="O7" s="54">
        <f>IFERROR(-(WHOLE_STRUCTURE[[#This Row],[D, bottom '[m']]]-WHOLE_STRUCTURE[[#This Row],[D, top '[m']]])/(WHOLE_STRUCTURE[[#This Row],[Bottom '[m']]]-WHOLE_STRUCTURE[[#This Row],[Top '[m']]]),"")</f>
        <v>0</v>
      </c>
      <c r="P7" s="52">
        <f>IFERROR((WHOLE_STRUCTURE[[#This Row],[D, bottom '[m']]]+WHOLE_STRUCTURE[[#This Row],[D, top '[m']]])/(2*WHOLE_STRUCTURE[[#This Row],[t '[mm']]]/1000),"")</f>
        <v>133.71428571428569</v>
      </c>
      <c r="Q7" s="55"/>
      <c r="R7" s="51" t="s">
        <v>83</v>
      </c>
      <c r="S7" s="51" t="s">
        <v>289</v>
      </c>
      <c r="T7" s="51">
        <v>20.900000000000002</v>
      </c>
      <c r="U7" s="51">
        <v>20.900000000000002</v>
      </c>
      <c r="V7" s="51">
        <v>28000</v>
      </c>
      <c r="W7" s="51"/>
      <c r="X7" s="51"/>
      <c r="Y7" s="51"/>
      <c r="Z7" s="51"/>
      <c r="AA7" s="51"/>
      <c r="AC7" s="51" t="s">
        <v>131</v>
      </c>
      <c r="AD7" s="51">
        <v>8</v>
      </c>
      <c r="AE7" s="51">
        <v>164</v>
      </c>
      <c r="AF7" s="51">
        <v>450972</v>
      </c>
      <c r="AG7" s="51">
        <v>72350120</v>
      </c>
      <c r="AH7" s="51">
        <v>72350120</v>
      </c>
      <c r="AI7" s="51">
        <v>2.29</v>
      </c>
      <c r="AJ7" s="51">
        <v>2.29</v>
      </c>
      <c r="AK7" s="51" t="s">
        <v>138</v>
      </c>
      <c r="AL7" s="51"/>
      <c r="AM7" s="51"/>
      <c r="AN7" s="51"/>
      <c r="AO7" s="51"/>
      <c r="AP7" s="51"/>
      <c r="AQ7" s="51"/>
      <c r="AR7" s="51"/>
      <c r="AV7" s="51" t="s">
        <v>230</v>
      </c>
    </row>
    <row r="8" spans="1:48" ht="15" customHeight="1" thickBot="1" x14ac:dyDescent="0.35">
      <c r="A8" s="142"/>
      <c r="B8" s="142"/>
      <c r="C8" s="142"/>
      <c r="E8" s="51">
        <v>2</v>
      </c>
      <c r="F8" s="51" t="s">
        <v>71</v>
      </c>
      <c r="G8" s="51">
        <v>2</v>
      </c>
      <c r="H8" s="51">
        <v>140.32499999999996</v>
      </c>
      <c r="I8" s="51">
        <v>140.27499999999998</v>
      </c>
      <c r="J8" s="51">
        <v>5.6159999999999997</v>
      </c>
      <c r="K8" s="51">
        <v>5.609</v>
      </c>
      <c r="L8" s="51">
        <v>42</v>
      </c>
      <c r="M8" s="54">
        <f t="shared" si="0"/>
        <v>0.28849148733930929</v>
      </c>
      <c r="N8" s="53">
        <f>IFERROR(IF(OR(ISBLANK(WHOLE_STRUCTURE[[#This Row],[Top '[m']]]), ISBLANK(WHOLE_STRUCTURE[[#This Row],[Bottom '[m']]])), "", WHOLE_STRUCTURE[[#This Row],[Top '[m']]] - WHOLE_STRUCTURE[[#This Row],[Bottom '[m']]]),"")</f>
        <v>4.9999999999982947E-2</v>
      </c>
      <c r="O8" s="54">
        <f>IFERROR(-(WHOLE_STRUCTURE[[#This Row],[D, bottom '[m']]]-WHOLE_STRUCTURE[[#This Row],[D, top '[m']]])/(WHOLE_STRUCTURE[[#This Row],[Bottom '[m']]]-WHOLE_STRUCTURE[[#This Row],[Top '[m']]]),"")</f>
        <v>-0.1400000000000412</v>
      </c>
      <c r="P8" s="52">
        <f>IFERROR((WHOLE_STRUCTURE[[#This Row],[D, bottom '[m']]]+WHOLE_STRUCTURE[[#This Row],[D, top '[m']]])/(2*WHOLE_STRUCTURE[[#This Row],[t '[mm']]]/1000),"")</f>
        <v>133.63095238095238</v>
      </c>
      <c r="Q8" s="55"/>
      <c r="R8" s="51" t="s">
        <v>83</v>
      </c>
      <c r="S8" s="51" t="s">
        <v>284</v>
      </c>
      <c r="T8" s="51">
        <v>20.100000000000001</v>
      </c>
      <c r="U8" s="51">
        <v>20.100000000000001</v>
      </c>
      <c r="V8" s="51">
        <v>20000</v>
      </c>
      <c r="W8" s="51"/>
      <c r="X8" s="51"/>
      <c r="Y8" s="51"/>
      <c r="Z8" s="51"/>
      <c r="AA8" s="51"/>
      <c r="AJ8" s="51"/>
      <c r="AK8" s="51"/>
      <c r="AL8" s="51"/>
      <c r="AM8" s="51"/>
      <c r="AN8" s="51"/>
      <c r="AO8" s="51"/>
      <c r="AP8" s="51"/>
      <c r="AQ8" s="51"/>
      <c r="AR8" s="51"/>
    </row>
    <row r="9" spans="1:48" ht="15" customHeight="1" thickBot="1" x14ac:dyDescent="0.35">
      <c r="A9" s="143" t="s">
        <v>189</v>
      </c>
      <c r="B9" s="144">
        <f xml:space="preserve"> INDEX(WHOLE_STRUCTURE[Top '[m']], 1) + INDEX(RNA[Vertical Offset TT to HH '[m']],1)</f>
        <v>142.78999999999996</v>
      </c>
      <c r="C9" s="145" t="s">
        <v>115</v>
      </c>
      <c r="E9" s="51">
        <v>3</v>
      </c>
      <c r="F9" s="51" t="s">
        <v>71</v>
      </c>
      <c r="G9" s="51">
        <v>3</v>
      </c>
      <c r="H9" s="51">
        <v>140.27499999999998</v>
      </c>
      <c r="I9" s="51">
        <v>138.62499999999997</v>
      </c>
      <c r="J9" s="51">
        <v>5.609</v>
      </c>
      <c r="K9" s="51">
        <v>5.9039999999999999</v>
      </c>
      <c r="L9" s="51">
        <v>35</v>
      </c>
      <c r="M9" s="54">
        <f t="shared" si="0"/>
        <v>8.1485703675329084</v>
      </c>
      <c r="N9" s="53">
        <f>IFERROR(IF(OR(ISBLANK(WHOLE_STRUCTURE[[#This Row],[Top '[m']]]), ISBLANK(WHOLE_STRUCTURE[[#This Row],[Bottom '[m']]])), "", WHOLE_STRUCTURE[[#This Row],[Top '[m']]] - WHOLE_STRUCTURE[[#This Row],[Bottom '[m']]]),"")</f>
        <v>1.6500000000000057</v>
      </c>
      <c r="O9" s="54">
        <f>IFERROR(-(WHOLE_STRUCTURE[[#This Row],[D, bottom '[m']]]-WHOLE_STRUCTURE[[#This Row],[D, top '[m']]])/(WHOLE_STRUCTURE[[#This Row],[Bottom '[m']]]-WHOLE_STRUCTURE[[#This Row],[Top '[m']]]),"")</f>
        <v>0.17878787878787814</v>
      </c>
      <c r="P9" s="52">
        <f>IFERROR((WHOLE_STRUCTURE[[#This Row],[D, bottom '[m']]]+WHOLE_STRUCTURE[[#This Row],[D, top '[m']]])/(2*WHOLE_STRUCTURE[[#This Row],[t '[mm']]]/1000),"")</f>
        <v>164.47142857142856</v>
      </c>
      <c r="Q9" s="55"/>
      <c r="R9" s="51" t="s">
        <v>83</v>
      </c>
      <c r="S9" s="51" t="s">
        <v>285</v>
      </c>
      <c r="T9" s="51">
        <v>19.5</v>
      </c>
      <c r="U9" s="51">
        <v>19.5</v>
      </c>
      <c r="V9" s="51">
        <v>5000</v>
      </c>
      <c r="W9" s="51"/>
      <c r="X9" s="51"/>
      <c r="Y9" s="51"/>
      <c r="Z9" s="51"/>
      <c r="AA9" s="51"/>
      <c r="AJ9" s="51"/>
      <c r="AK9" s="51"/>
      <c r="AL9" s="51"/>
      <c r="AM9" s="51"/>
      <c r="AN9" s="51"/>
      <c r="AO9" s="51"/>
      <c r="AP9" s="51"/>
      <c r="AQ9" s="51"/>
      <c r="AR9" s="51"/>
    </row>
    <row r="10" spans="1:48" ht="15" customHeight="1" x14ac:dyDescent="0.3">
      <c r="E10" s="51">
        <v>4</v>
      </c>
      <c r="F10" s="51" t="s">
        <v>71</v>
      </c>
      <c r="G10" s="51">
        <v>4</v>
      </c>
      <c r="H10" s="51">
        <v>138.62499999999997</v>
      </c>
      <c r="I10" s="51">
        <v>136.97499999999997</v>
      </c>
      <c r="J10" s="51">
        <v>5.9039999999999999</v>
      </c>
      <c r="K10" s="51">
        <v>6.258</v>
      </c>
      <c r="L10" s="51">
        <v>40</v>
      </c>
      <c r="M10" s="54">
        <f t="shared" si="0"/>
        <v>9.8326889482561182</v>
      </c>
      <c r="N10" s="53">
        <f>IFERROR(IF(OR(ISBLANK(WHOLE_STRUCTURE[[#This Row],[Top '[m']]]), ISBLANK(WHOLE_STRUCTURE[[#This Row],[Bottom '[m']]])), "", WHOLE_STRUCTURE[[#This Row],[Top '[m']]] - WHOLE_STRUCTURE[[#This Row],[Bottom '[m']]]),"")</f>
        <v>1.6500000000000057</v>
      </c>
      <c r="O10" s="54">
        <f>IFERROR(-(WHOLE_STRUCTURE[[#This Row],[D, bottom '[m']]]-WHOLE_STRUCTURE[[#This Row],[D, top '[m']]])/(WHOLE_STRUCTURE[[#This Row],[Bottom '[m']]]-WHOLE_STRUCTURE[[#This Row],[Top '[m']]]),"")</f>
        <v>0.21454545454545387</v>
      </c>
      <c r="P10" s="52">
        <f>IFERROR((WHOLE_STRUCTURE[[#This Row],[D, bottom '[m']]]+WHOLE_STRUCTURE[[#This Row],[D, top '[m']]])/(2*WHOLE_STRUCTURE[[#This Row],[t '[mm']]]/1000),"")</f>
        <v>152.02499999999998</v>
      </c>
      <c r="Q10"/>
      <c r="R10" s="51" t="s">
        <v>83</v>
      </c>
      <c r="S10" s="51" t="s">
        <v>286</v>
      </c>
      <c r="T10" s="51">
        <v>14</v>
      </c>
      <c r="U10" s="51">
        <v>14</v>
      </c>
      <c r="V10" s="51">
        <v>5000</v>
      </c>
      <c r="W10" s="51"/>
      <c r="X10" s="51"/>
      <c r="Y10" s="51"/>
      <c r="Z10" s="51"/>
      <c r="AA10" s="51"/>
      <c r="AC10" s="130" t="s">
        <v>88</v>
      </c>
      <c r="AJ10" s="51"/>
      <c r="AK10" s="51"/>
      <c r="AL10" s="51"/>
      <c r="AM10" s="51"/>
      <c r="AN10" s="51"/>
      <c r="AO10" s="51"/>
      <c r="AP10" s="51"/>
      <c r="AQ10" s="51"/>
      <c r="AR10" s="51"/>
    </row>
    <row r="11" spans="1:48" ht="16.95" customHeight="1" x14ac:dyDescent="0.3">
      <c r="E11" s="51">
        <v>5</v>
      </c>
      <c r="F11" s="51" t="s">
        <v>71</v>
      </c>
      <c r="G11" s="51">
        <v>5</v>
      </c>
      <c r="H11" s="51">
        <v>136.97499999999997</v>
      </c>
      <c r="I11" s="51">
        <v>136.38899999999998</v>
      </c>
      <c r="J11" s="51">
        <v>6.258</v>
      </c>
      <c r="K11" s="51">
        <v>6.258</v>
      </c>
      <c r="L11" s="51">
        <v>58</v>
      </c>
      <c r="M11" s="54">
        <f t="shared" si="0"/>
        <v>5.1968098755337806</v>
      </c>
      <c r="N11" s="53">
        <f>IFERROR(IF(OR(ISBLANK(WHOLE_STRUCTURE[[#This Row],[Top '[m']]]), ISBLANK(WHOLE_STRUCTURE[[#This Row],[Bottom '[m']]])), "", WHOLE_STRUCTURE[[#This Row],[Top '[m']]] - WHOLE_STRUCTURE[[#This Row],[Bottom '[m']]]),"")</f>
        <v>0.58599999999998431</v>
      </c>
      <c r="O11" s="54">
        <f>IFERROR(-(WHOLE_STRUCTURE[[#This Row],[D, bottom '[m']]]-WHOLE_STRUCTURE[[#This Row],[D, top '[m']]])/(WHOLE_STRUCTURE[[#This Row],[Bottom '[m']]]-WHOLE_STRUCTURE[[#This Row],[Top '[m']]]),"")</f>
        <v>0</v>
      </c>
      <c r="P11" s="52">
        <f>IFERROR((WHOLE_STRUCTURE[[#This Row],[D, bottom '[m']]]+WHOLE_STRUCTURE[[#This Row],[D, top '[m']]])/(2*WHOLE_STRUCTURE[[#This Row],[t '[mm']]]/1000),"")</f>
        <v>107.89655172413792</v>
      </c>
      <c r="R11" s="51" t="s">
        <v>83</v>
      </c>
      <c r="S11" s="51" t="s">
        <v>287</v>
      </c>
      <c r="T11" s="51">
        <v>11</v>
      </c>
      <c r="U11" s="51">
        <v>11</v>
      </c>
      <c r="V11" s="51">
        <v>1</v>
      </c>
      <c r="W11" s="51"/>
      <c r="X11" s="51"/>
      <c r="Y11" s="51"/>
      <c r="Z11" s="51"/>
      <c r="AA11" s="51"/>
      <c r="AC11" s="51" t="s">
        <v>85</v>
      </c>
      <c r="AD11" s="51" t="s">
        <v>91</v>
      </c>
      <c r="AE11" s="51" t="s">
        <v>111</v>
      </c>
      <c r="AF11" s="51" t="s">
        <v>19</v>
      </c>
      <c r="AJ11" s="51"/>
      <c r="AK11" s="51"/>
      <c r="AL11" s="51"/>
      <c r="AM11" s="51"/>
      <c r="AN11" s="51"/>
      <c r="AO11" s="51"/>
      <c r="AP11" s="51"/>
      <c r="AQ11" s="51"/>
      <c r="AR11" s="51"/>
    </row>
    <row r="12" spans="1:48" x14ac:dyDescent="0.3">
      <c r="E12" s="51">
        <v>6</v>
      </c>
      <c r="F12" s="51" t="s">
        <v>71</v>
      </c>
      <c r="G12" s="51">
        <v>6</v>
      </c>
      <c r="H12" s="51">
        <v>136.38899999999998</v>
      </c>
      <c r="I12" s="51">
        <v>135.29999999999998</v>
      </c>
      <c r="J12" s="51">
        <v>6.258</v>
      </c>
      <c r="K12" s="51">
        <v>6.258</v>
      </c>
      <c r="L12" s="51">
        <v>58</v>
      </c>
      <c r="M12" s="54">
        <f t="shared" si="0"/>
        <v>9.6575528233044903</v>
      </c>
      <c r="N12" s="53">
        <f>IFERROR(IF(OR(ISBLANK(WHOLE_STRUCTURE[[#This Row],[Top '[m']]]), ISBLANK(WHOLE_STRUCTURE[[#This Row],[Bottom '[m']]])), "", WHOLE_STRUCTURE[[#This Row],[Top '[m']]] - WHOLE_STRUCTURE[[#This Row],[Bottom '[m']]]),"")</f>
        <v>1.0889999999999986</v>
      </c>
      <c r="O12" s="54">
        <f>IFERROR(-(WHOLE_STRUCTURE[[#This Row],[D, bottom '[m']]]-WHOLE_STRUCTURE[[#This Row],[D, top '[m']]])/(WHOLE_STRUCTURE[[#This Row],[Bottom '[m']]]-WHOLE_STRUCTURE[[#This Row],[Top '[m']]]),"")</f>
        <v>0</v>
      </c>
      <c r="P12" s="52">
        <f>IFERROR((WHOLE_STRUCTURE[[#This Row],[D, bottom '[m']]]+WHOLE_STRUCTURE[[#This Row],[D, top '[m']]])/(2*WHOLE_STRUCTURE[[#This Row],[t '[mm']]]/1000),"")</f>
        <v>107.89655172413792</v>
      </c>
      <c r="R12" s="51" t="s">
        <v>83</v>
      </c>
      <c r="S12" s="51" t="s">
        <v>288</v>
      </c>
      <c r="T12" s="51">
        <v>6.1</v>
      </c>
      <c r="U12" s="51">
        <v>6.1</v>
      </c>
      <c r="V12" s="51">
        <v>200</v>
      </c>
      <c r="W12" s="51"/>
      <c r="X12" s="51"/>
      <c r="Y12" s="51"/>
      <c r="Z12" s="51"/>
      <c r="AA12" s="51"/>
      <c r="AJ12" s="51"/>
      <c r="AK12" s="51"/>
      <c r="AL12" s="51"/>
      <c r="AM12" s="51"/>
      <c r="AN12" s="51"/>
      <c r="AO12" s="51"/>
      <c r="AP12" s="51"/>
      <c r="AQ12" s="51"/>
      <c r="AR12" s="51"/>
    </row>
    <row r="13" spans="1:48" x14ac:dyDescent="0.3">
      <c r="E13" s="51">
        <v>7</v>
      </c>
      <c r="F13" s="51" t="s">
        <v>71</v>
      </c>
      <c r="G13" s="51">
        <v>7</v>
      </c>
      <c r="H13" s="51">
        <v>135.29999999999998</v>
      </c>
      <c r="I13" s="51">
        <v>133.47499999999997</v>
      </c>
      <c r="J13" s="51">
        <v>6.258</v>
      </c>
      <c r="K13" s="51">
        <v>6.2229999999999999</v>
      </c>
      <c r="L13" s="51">
        <v>58</v>
      </c>
      <c r="M13" s="54">
        <f t="shared" si="0"/>
        <v>16.138921784175626</v>
      </c>
      <c r="N13" s="53">
        <f>IFERROR(IF(OR(ISBLANK(WHOLE_STRUCTURE[[#This Row],[Top '[m']]]), ISBLANK(WHOLE_STRUCTURE[[#This Row],[Bottom '[m']]])), "", WHOLE_STRUCTURE[[#This Row],[Top '[m']]] - WHOLE_STRUCTURE[[#This Row],[Bottom '[m']]]),"")</f>
        <v>1.8250000000000171</v>
      </c>
      <c r="O13" s="54">
        <f>IFERROR(-(WHOLE_STRUCTURE[[#This Row],[D, bottom '[m']]]-WHOLE_STRUCTURE[[#This Row],[D, top '[m']]])/(WHOLE_STRUCTURE[[#This Row],[Bottom '[m']]]-WHOLE_STRUCTURE[[#This Row],[Top '[m']]]),"")</f>
        <v>-1.9178082191780719E-2</v>
      </c>
      <c r="P13" s="52">
        <f>IFERROR((WHOLE_STRUCTURE[[#This Row],[D, bottom '[m']]]+WHOLE_STRUCTURE[[#This Row],[D, top '[m']]])/(2*WHOLE_STRUCTURE[[#This Row],[t '[mm']]]/1000),"")</f>
        <v>107.59482758620689</v>
      </c>
      <c r="R13" s="51" t="s">
        <v>69</v>
      </c>
      <c r="S13" s="51" t="s">
        <v>283</v>
      </c>
      <c r="T13" s="51">
        <v>5.6</v>
      </c>
      <c r="U13" s="51">
        <v>5.6</v>
      </c>
      <c r="V13" s="51">
        <v>60000</v>
      </c>
      <c r="W13" s="51"/>
      <c r="X13" s="51"/>
      <c r="Y13" s="51"/>
      <c r="Z13" s="51"/>
      <c r="AA13" s="51"/>
      <c r="AJ13" s="51"/>
      <c r="AK13" s="51"/>
      <c r="AL13" s="51"/>
      <c r="AM13" s="51"/>
      <c r="AN13" s="51"/>
      <c r="AO13" s="51"/>
      <c r="AP13" s="51"/>
      <c r="AQ13" s="51"/>
      <c r="AR13" s="51"/>
    </row>
    <row r="14" spans="1:48" x14ac:dyDescent="0.3">
      <c r="E14" s="51">
        <v>8</v>
      </c>
      <c r="F14" s="51" t="s">
        <v>71</v>
      </c>
      <c r="G14" s="51">
        <v>8</v>
      </c>
      <c r="H14" s="51">
        <v>133.47499999999997</v>
      </c>
      <c r="I14" s="51">
        <v>131.23999999999998</v>
      </c>
      <c r="J14" s="51">
        <v>6.2229999999999999</v>
      </c>
      <c r="K14" s="51">
        <v>6.2229999999999999</v>
      </c>
      <c r="L14" s="51">
        <v>23</v>
      </c>
      <c r="M14" s="54">
        <f t="shared" si="0"/>
        <v>7.8598920693133492</v>
      </c>
      <c r="N14" s="53">
        <f>IFERROR(IF(OR(ISBLANK(WHOLE_STRUCTURE[[#This Row],[Top '[m']]]), ISBLANK(WHOLE_STRUCTURE[[#This Row],[Bottom '[m']]])), "", WHOLE_STRUCTURE[[#This Row],[Top '[m']]] - WHOLE_STRUCTURE[[#This Row],[Bottom '[m']]]),"")</f>
        <v>2.2349999999999852</v>
      </c>
      <c r="O14" s="54">
        <f>IFERROR(-(WHOLE_STRUCTURE[[#This Row],[D, bottom '[m']]]-WHOLE_STRUCTURE[[#This Row],[D, top '[m']]])/(WHOLE_STRUCTURE[[#This Row],[Bottom '[m']]]-WHOLE_STRUCTURE[[#This Row],[Top '[m']]]),"")</f>
        <v>0</v>
      </c>
      <c r="P14" s="52">
        <f>IFERROR((WHOLE_STRUCTURE[[#This Row],[D, bottom '[m']]]+WHOLE_STRUCTURE[[#This Row],[D, top '[m']]])/(2*WHOLE_STRUCTURE[[#This Row],[t '[mm']]]/1000),"")</f>
        <v>270.56521739130437</v>
      </c>
      <c r="R14" s="51" t="s">
        <v>83</v>
      </c>
      <c r="S14" s="51" t="s">
        <v>283</v>
      </c>
      <c r="T14" s="51">
        <v>5.6</v>
      </c>
      <c r="U14" s="51">
        <v>5.6</v>
      </c>
      <c r="V14" s="51">
        <v>60000</v>
      </c>
      <c r="W14" s="51"/>
      <c r="X14" s="51"/>
      <c r="Y14" s="51"/>
      <c r="Z14" s="51"/>
      <c r="AA14" s="51"/>
      <c r="AJ14" s="51"/>
      <c r="AK14" s="51"/>
      <c r="AL14" s="51"/>
      <c r="AM14" s="51"/>
      <c r="AN14" s="51"/>
      <c r="AO14" s="51"/>
      <c r="AP14" s="51"/>
      <c r="AQ14" s="51"/>
      <c r="AR14" s="51"/>
    </row>
    <row r="15" spans="1:48" x14ac:dyDescent="0.3">
      <c r="E15" s="51">
        <v>9</v>
      </c>
      <c r="F15" s="51" t="s">
        <v>71</v>
      </c>
      <c r="G15" s="51">
        <v>9</v>
      </c>
      <c r="H15" s="51">
        <v>131.23999999999998</v>
      </c>
      <c r="I15" s="51">
        <v>130.89999999999998</v>
      </c>
      <c r="J15" s="51">
        <v>6.2229999999999999</v>
      </c>
      <c r="K15" s="51">
        <v>6.2229999999999999</v>
      </c>
      <c r="L15" s="51">
        <v>23</v>
      </c>
      <c r="M15" s="54">
        <f t="shared" si="0"/>
        <v>1.1956882790007084</v>
      </c>
      <c r="N15" s="53">
        <f>IFERROR(IF(OR(ISBLANK(WHOLE_STRUCTURE[[#This Row],[Top '[m']]]), ISBLANK(WHOLE_STRUCTURE[[#This Row],[Bottom '[m']]])), "", WHOLE_STRUCTURE[[#This Row],[Top '[m']]] - WHOLE_STRUCTURE[[#This Row],[Bottom '[m']]]),"")</f>
        <v>0.34000000000000341</v>
      </c>
      <c r="O15" s="54">
        <f>IFERROR(-(WHOLE_STRUCTURE[[#This Row],[D, bottom '[m']]]-WHOLE_STRUCTURE[[#This Row],[D, top '[m']]])/(WHOLE_STRUCTURE[[#This Row],[Bottom '[m']]]-WHOLE_STRUCTURE[[#This Row],[Top '[m']]]),"")</f>
        <v>0</v>
      </c>
      <c r="P15" s="52">
        <f>IFERROR((WHOLE_STRUCTURE[[#This Row],[D, bottom '[m']]]+WHOLE_STRUCTURE[[#This Row],[D, top '[m']]])/(2*WHOLE_STRUCTURE[[#This Row],[t '[mm']]]/1000),"")</f>
        <v>270.56521739130437</v>
      </c>
      <c r="R15" s="51" t="s">
        <v>69</v>
      </c>
      <c r="S15" s="51" t="s">
        <v>87</v>
      </c>
      <c r="T15" s="51">
        <v>4.2</v>
      </c>
      <c r="U15" s="51">
        <v>4.2</v>
      </c>
      <c r="V15" s="51">
        <v>9000</v>
      </c>
      <c r="W15" s="51"/>
      <c r="X15" s="51"/>
      <c r="Y15" s="51"/>
      <c r="Z15" s="51"/>
      <c r="AA15" s="51"/>
      <c r="AC15" s="51" t="s">
        <v>85</v>
      </c>
      <c r="AD15" s="51" t="s">
        <v>90</v>
      </c>
      <c r="AE15" s="51" t="s">
        <v>89</v>
      </c>
      <c r="AF15" s="51" t="s">
        <v>78</v>
      </c>
      <c r="AG15" s="51" t="s">
        <v>79</v>
      </c>
      <c r="AH15" s="51" t="s">
        <v>80</v>
      </c>
      <c r="AJ15" s="51"/>
      <c r="AK15" s="51"/>
      <c r="AL15" s="51"/>
      <c r="AM15" s="51"/>
      <c r="AN15" s="51"/>
      <c r="AO15" s="51"/>
      <c r="AP15" s="51"/>
      <c r="AQ15" s="51"/>
      <c r="AR15" s="51"/>
    </row>
    <row r="16" spans="1:48" x14ac:dyDescent="0.3">
      <c r="E16" s="51">
        <v>10</v>
      </c>
      <c r="F16" s="51" t="s">
        <v>71</v>
      </c>
      <c r="G16" s="51">
        <v>10</v>
      </c>
      <c r="H16" s="51">
        <v>130.89999999999998</v>
      </c>
      <c r="I16" s="51">
        <v>128.48999999999998</v>
      </c>
      <c r="J16" s="51">
        <v>6.2229999999999999</v>
      </c>
      <c r="K16" s="51">
        <v>6.2229999999999999</v>
      </c>
      <c r="L16" s="51">
        <v>23</v>
      </c>
      <c r="M16" s="54">
        <f t="shared" si="0"/>
        <v>8.475319859975512</v>
      </c>
      <c r="N16" s="53">
        <f>IFERROR(IF(OR(ISBLANK(WHOLE_STRUCTURE[[#This Row],[Top '[m']]]), ISBLANK(WHOLE_STRUCTURE[[#This Row],[Bottom '[m']]])), "", WHOLE_STRUCTURE[[#This Row],[Top '[m']]] - WHOLE_STRUCTURE[[#This Row],[Bottom '[m']]]),"")</f>
        <v>2.4099999999999966</v>
      </c>
      <c r="O16" s="54">
        <f>IFERROR(-(WHOLE_STRUCTURE[[#This Row],[D, bottom '[m']]]-WHOLE_STRUCTURE[[#This Row],[D, top '[m']]])/(WHOLE_STRUCTURE[[#This Row],[Bottom '[m']]]-WHOLE_STRUCTURE[[#This Row],[Top '[m']]]),"")</f>
        <v>0</v>
      </c>
      <c r="P16" s="52">
        <f>IFERROR((WHOLE_STRUCTURE[[#This Row],[D, bottom '[m']]]+WHOLE_STRUCTURE[[#This Row],[D, top '[m']]])/(2*WHOLE_STRUCTURE[[#This Row],[t '[mm']]]/1000),"")</f>
        <v>270.56521739130437</v>
      </c>
      <c r="R16" s="51" t="s">
        <v>69</v>
      </c>
      <c r="S16" s="51" t="s">
        <v>88</v>
      </c>
      <c r="T16" s="51">
        <v>2</v>
      </c>
      <c r="U16" s="51">
        <v>2</v>
      </c>
      <c r="V16" s="51">
        <v>80000</v>
      </c>
      <c r="W16" s="51"/>
      <c r="X16" s="51"/>
      <c r="Y16" s="51"/>
      <c r="Z16" s="51"/>
      <c r="AA16" s="51"/>
      <c r="AJ16" s="51"/>
      <c r="AK16" s="51"/>
      <c r="AL16" s="51"/>
      <c r="AM16" s="51"/>
      <c r="AN16" s="51"/>
      <c r="AO16" s="51"/>
      <c r="AP16" s="51"/>
      <c r="AQ16" s="51"/>
      <c r="AR16" s="51"/>
    </row>
    <row r="17" spans="1:52" x14ac:dyDescent="0.3">
      <c r="E17" s="51">
        <v>11</v>
      </c>
      <c r="F17" s="51" t="s">
        <v>71</v>
      </c>
      <c r="G17" s="51">
        <v>11</v>
      </c>
      <c r="H17" s="51">
        <v>128.48999999999998</v>
      </c>
      <c r="I17" s="51">
        <v>125.74000000000001</v>
      </c>
      <c r="J17" s="51">
        <v>6.2229999999999999</v>
      </c>
      <c r="K17" s="51">
        <v>6.2229999999999999</v>
      </c>
      <c r="L17" s="51">
        <v>23</v>
      </c>
      <c r="M17" s="54">
        <f t="shared" si="0"/>
        <v>9.6710081389761218</v>
      </c>
      <c r="N17" s="53">
        <f>IFERROR(IF(OR(ISBLANK(WHOLE_STRUCTURE[[#This Row],[Top '[m']]]), ISBLANK(WHOLE_STRUCTURE[[#This Row],[Bottom '[m']]])), "", WHOLE_STRUCTURE[[#This Row],[Top '[m']]] - WHOLE_STRUCTURE[[#This Row],[Bottom '[m']]]),"")</f>
        <v>2.7499999999999716</v>
      </c>
      <c r="O17" s="54">
        <f>IFERROR(-(WHOLE_STRUCTURE[[#This Row],[D, bottom '[m']]]-WHOLE_STRUCTURE[[#This Row],[D, top '[m']]])/(WHOLE_STRUCTURE[[#This Row],[Bottom '[m']]]-WHOLE_STRUCTURE[[#This Row],[Top '[m']]]),"")</f>
        <v>0</v>
      </c>
      <c r="P17" s="52">
        <f>IFERROR((WHOLE_STRUCTURE[[#This Row],[D, bottom '[m']]]+WHOLE_STRUCTURE[[#This Row],[D, top '[m']]])/(2*WHOLE_STRUCTURE[[#This Row],[t '[mm']]]/1000),"")</f>
        <v>270.56521739130437</v>
      </c>
      <c r="R17" s="51"/>
      <c r="S17" s="51"/>
      <c r="T17" s="51"/>
      <c r="U17" s="51"/>
      <c r="V17" s="51"/>
      <c r="W17" s="51"/>
      <c r="X17" s="51"/>
      <c r="Y17" s="51"/>
      <c r="Z17" s="51"/>
      <c r="AA17" s="51"/>
      <c r="AJ17" s="51"/>
      <c r="AK17" s="51"/>
      <c r="AL17" s="51"/>
      <c r="AM17" s="51"/>
      <c r="AN17" s="51"/>
      <c r="AO17" s="51"/>
      <c r="AP17" s="51"/>
      <c r="AQ17" s="51"/>
      <c r="AR17" s="51"/>
      <c r="AZ17" s="51" t="str">
        <f>IF(ISBLANK(BA17),"",AD31)</f>
        <v/>
      </c>
    </row>
    <row r="18" spans="1:52" x14ac:dyDescent="0.3">
      <c r="E18" s="51">
        <v>12</v>
      </c>
      <c r="F18" s="51" t="s">
        <v>71</v>
      </c>
      <c r="G18" s="51">
        <v>12</v>
      </c>
      <c r="H18" s="51">
        <v>125.74000000000001</v>
      </c>
      <c r="I18" s="51">
        <v>123.667</v>
      </c>
      <c r="J18" s="51">
        <v>6.2229999999999999</v>
      </c>
      <c r="K18" s="51">
        <v>6.2229999999999999</v>
      </c>
      <c r="L18" s="51">
        <v>23</v>
      </c>
      <c r="M18" s="54">
        <f t="shared" si="0"/>
        <v>7.2901817716719197</v>
      </c>
      <c r="N18" s="53">
        <f>IFERROR(IF(OR(ISBLANK(WHOLE_STRUCTURE[[#This Row],[Top '[m']]]), ISBLANK(WHOLE_STRUCTURE[[#This Row],[Bottom '[m']]])), "", WHOLE_STRUCTURE[[#This Row],[Top '[m']]] - WHOLE_STRUCTURE[[#This Row],[Bottom '[m']]]),"")</f>
        <v>2.0730000000000075</v>
      </c>
      <c r="O18" s="54">
        <f>IFERROR(-(WHOLE_STRUCTURE[[#This Row],[D, bottom '[m']]]-WHOLE_STRUCTURE[[#This Row],[D, top '[m']]])/(WHOLE_STRUCTURE[[#This Row],[Bottom '[m']]]-WHOLE_STRUCTURE[[#This Row],[Top '[m']]]),"")</f>
        <v>0</v>
      </c>
      <c r="P18" s="52">
        <f>IFERROR((WHOLE_STRUCTURE[[#This Row],[D, bottom '[m']]]+WHOLE_STRUCTURE[[#This Row],[D, top '[m']]])/(2*WHOLE_STRUCTURE[[#This Row],[t '[mm']]]/1000),"")</f>
        <v>270.56521739130437</v>
      </c>
      <c r="R18" s="51"/>
      <c r="S18" s="51"/>
      <c r="T18" s="51"/>
      <c r="U18" s="51"/>
      <c r="V18" s="51"/>
      <c r="W18" s="51"/>
      <c r="X18" s="51"/>
      <c r="Y18" s="51"/>
      <c r="Z18" s="51"/>
      <c r="AA18" s="51"/>
      <c r="AJ18" s="51"/>
      <c r="AK18" s="51"/>
      <c r="AL18" s="51"/>
      <c r="AM18" s="51"/>
      <c r="AN18" s="51"/>
      <c r="AO18" s="51"/>
      <c r="AP18" s="51"/>
      <c r="AQ18" s="51"/>
      <c r="AR18" s="51"/>
    </row>
    <row r="19" spans="1:52" x14ac:dyDescent="0.3">
      <c r="E19" s="51">
        <v>13</v>
      </c>
      <c r="F19" s="51" t="s">
        <v>71</v>
      </c>
      <c r="G19" s="51">
        <v>13</v>
      </c>
      <c r="H19" s="51">
        <v>123.667</v>
      </c>
      <c r="I19" s="51">
        <v>122.81</v>
      </c>
      <c r="J19" s="51">
        <v>6.2229999999999999</v>
      </c>
      <c r="K19" s="51">
        <v>6.2229999999999999</v>
      </c>
      <c r="L19" s="51">
        <v>23</v>
      </c>
      <c r="M19" s="54">
        <f t="shared" si="0"/>
        <v>3.0138378091282236</v>
      </c>
      <c r="N19" s="53">
        <f>IFERROR(IF(OR(ISBLANK(WHOLE_STRUCTURE[[#This Row],[Top '[m']]]), ISBLANK(WHOLE_STRUCTURE[[#This Row],[Bottom '[m']]])), "", WHOLE_STRUCTURE[[#This Row],[Top '[m']]] - WHOLE_STRUCTURE[[#This Row],[Bottom '[m']]]),"")</f>
        <v>0.85699999999999932</v>
      </c>
      <c r="O19" s="54">
        <f>IFERROR(-(WHOLE_STRUCTURE[[#This Row],[D, bottom '[m']]]-WHOLE_STRUCTURE[[#This Row],[D, top '[m']]])/(WHOLE_STRUCTURE[[#This Row],[Bottom '[m']]]-WHOLE_STRUCTURE[[#This Row],[Top '[m']]]),"")</f>
        <v>0</v>
      </c>
      <c r="P19" s="52">
        <f>IFERROR((WHOLE_STRUCTURE[[#This Row],[D, bottom '[m']]]+WHOLE_STRUCTURE[[#This Row],[D, top '[m']]])/(2*WHOLE_STRUCTURE[[#This Row],[t '[mm']]]/1000),"")</f>
        <v>270.56521739130437</v>
      </c>
      <c r="R19" s="51"/>
      <c r="S19" s="51"/>
      <c r="T19" s="51"/>
      <c r="U19" s="51"/>
      <c r="V19" s="51"/>
      <c r="W19" s="51"/>
      <c r="X19" s="51"/>
      <c r="Y19" s="51"/>
      <c r="Z19" s="51"/>
      <c r="AA19" s="51"/>
      <c r="AJ19" s="51"/>
      <c r="AK19" s="51"/>
      <c r="AL19" s="51"/>
      <c r="AM19" s="51"/>
      <c r="AN19" s="51"/>
      <c r="AO19" s="51"/>
      <c r="AP19" s="51"/>
      <c r="AQ19" s="51"/>
      <c r="AR19" s="51"/>
    </row>
    <row r="20" spans="1:52" ht="15.6" x14ac:dyDescent="0.3">
      <c r="E20" s="51">
        <v>14</v>
      </c>
      <c r="F20" s="51" t="s">
        <v>71</v>
      </c>
      <c r="G20" s="51">
        <v>14</v>
      </c>
      <c r="H20" s="51">
        <v>122.81</v>
      </c>
      <c r="I20" s="51">
        <v>120.9</v>
      </c>
      <c r="J20" s="51">
        <v>6.2229999999999999</v>
      </c>
      <c r="K20" s="51">
        <v>6.2229999999999999</v>
      </c>
      <c r="L20" s="51">
        <v>23</v>
      </c>
      <c r="M20" s="54">
        <f t="shared" si="0"/>
        <v>6.7169547437980182</v>
      </c>
      <c r="N20" s="53">
        <f>IFERROR(IF(OR(ISBLANK(WHOLE_STRUCTURE[[#This Row],[Top '[m']]]), ISBLANK(WHOLE_STRUCTURE[[#This Row],[Bottom '[m']]])), "", WHOLE_STRUCTURE[[#This Row],[Top '[m']]] - WHOLE_STRUCTURE[[#This Row],[Bottom '[m']]]),"")</f>
        <v>1.9099999999999966</v>
      </c>
      <c r="O20" s="54">
        <f>IFERROR(-(WHOLE_STRUCTURE[[#This Row],[D, bottom '[m']]]-WHOLE_STRUCTURE[[#This Row],[D, top '[m']]])/(WHOLE_STRUCTURE[[#This Row],[Bottom '[m']]]-WHOLE_STRUCTURE[[#This Row],[Top '[m']]]),"")</f>
        <v>0</v>
      </c>
      <c r="P20" s="52">
        <f>IFERROR((WHOLE_STRUCTURE[[#This Row],[D, bottom '[m']]]+WHOLE_STRUCTURE[[#This Row],[D, top '[m']]])/(2*WHOLE_STRUCTURE[[#This Row],[t '[mm']]]/1000),"")</f>
        <v>270.56521739130437</v>
      </c>
      <c r="R20" s="51"/>
      <c r="S20" s="51"/>
      <c r="T20" s="51"/>
      <c r="U20" s="51"/>
      <c r="V20" s="51"/>
      <c r="W20" s="51"/>
      <c r="X20" s="51"/>
      <c r="Y20" s="51"/>
      <c r="Z20" s="51"/>
      <c r="AA20" s="51"/>
      <c r="AC20" s="127" t="s">
        <v>20</v>
      </c>
      <c r="AJ20" s="51"/>
      <c r="AK20" s="51"/>
      <c r="AL20" s="51"/>
      <c r="AM20" s="51"/>
      <c r="AN20" s="51"/>
      <c r="AO20" s="51"/>
      <c r="AP20" s="51"/>
      <c r="AQ20" s="51"/>
      <c r="AR20" s="51"/>
    </row>
    <row r="21" spans="1:52" x14ac:dyDescent="0.3">
      <c r="E21" s="51">
        <v>15</v>
      </c>
      <c r="F21" s="51" t="s">
        <v>71</v>
      </c>
      <c r="G21" s="51">
        <v>15</v>
      </c>
      <c r="H21" s="51">
        <v>120.9</v>
      </c>
      <c r="I21" s="51">
        <v>119.88000000000001</v>
      </c>
      <c r="J21" s="51">
        <v>6.2229999999999999</v>
      </c>
      <c r="K21" s="51">
        <v>6.2229999999999999</v>
      </c>
      <c r="L21" s="51">
        <v>23</v>
      </c>
      <c r="M21" s="54">
        <f t="shared" si="0"/>
        <v>3.587064837002075</v>
      </c>
      <c r="N21" s="53">
        <f>IFERROR(IF(OR(ISBLANK(WHOLE_STRUCTURE[[#This Row],[Top '[m']]]), ISBLANK(WHOLE_STRUCTURE[[#This Row],[Bottom '[m']]])), "", WHOLE_STRUCTURE[[#This Row],[Top '[m']]] - WHOLE_STRUCTURE[[#This Row],[Bottom '[m']]]),"")</f>
        <v>1.019999999999996</v>
      </c>
      <c r="O21" s="54">
        <f>IFERROR(-(WHOLE_STRUCTURE[[#This Row],[D, bottom '[m']]]-WHOLE_STRUCTURE[[#This Row],[D, top '[m']]])/(WHOLE_STRUCTURE[[#This Row],[Bottom '[m']]]-WHOLE_STRUCTURE[[#This Row],[Top '[m']]]),"")</f>
        <v>0</v>
      </c>
      <c r="P21" s="52">
        <f>IFERROR((WHOLE_STRUCTURE[[#This Row],[D, bottom '[m']]]+WHOLE_STRUCTURE[[#This Row],[D, top '[m']]])/(2*WHOLE_STRUCTURE[[#This Row],[t '[mm']]]/1000),"")</f>
        <v>270.56521739130437</v>
      </c>
      <c r="R21" s="51"/>
      <c r="S21" s="51"/>
      <c r="T21" s="51"/>
      <c r="U21" s="51"/>
      <c r="V21" s="51"/>
      <c r="W21" s="51"/>
      <c r="X21" s="51"/>
      <c r="Y21" s="51"/>
      <c r="Z21" s="51"/>
      <c r="AA21" s="51"/>
      <c r="AC21" s="51" t="s">
        <v>89</v>
      </c>
      <c r="AD21" s="51" t="s">
        <v>90</v>
      </c>
      <c r="AE21" s="51" t="s">
        <v>95</v>
      </c>
      <c r="AF21" s="51" t="s">
        <v>229</v>
      </c>
      <c r="AG21" s="51" t="s">
        <v>228</v>
      </c>
      <c r="AJ21" s="51"/>
      <c r="AK21" s="51"/>
      <c r="AL21" s="51"/>
      <c r="AM21" s="51"/>
      <c r="AN21" s="51"/>
      <c r="AO21" s="51"/>
      <c r="AP21" s="51"/>
      <c r="AQ21" s="51"/>
      <c r="AR21" s="51"/>
    </row>
    <row r="22" spans="1:52" x14ac:dyDescent="0.3">
      <c r="E22" s="51">
        <v>16</v>
      </c>
      <c r="F22" s="51" t="s">
        <v>71</v>
      </c>
      <c r="G22" s="51">
        <v>16</v>
      </c>
      <c r="H22" s="51">
        <v>119.88000000000001</v>
      </c>
      <c r="I22" s="51">
        <v>116.95</v>
      </c>
      <c r="J22" s="51">
        <v>6.2229999999999999</v>
      </c>
      <c r="K22" s="51">
        <v>6.2229999999999999</v>
      </c>
      <c r="L22" s="51">
        <v>23</v>
      </c>
      <c r="M22" s="54">
        <f t="shared" si="0"/>
        <v>10.304019580800142</v>
      </c>
      <c r="N22" s="53">
        <f>IFERROR(IF(OR(ISBLANK(WHOLE_STRUCTURE[[#This Row],[Top '[m']]]), ISBLANK(WHOLE_STRUCTURE[[#This Row],[Bottom '[m']]])), "", WHOLE_STRUCTURE[[#This Row],[Top '[m']]] - WHOLE_STRUCTURE[[#This Row],[Bottom '[m']]]),"")</f>
        <v>2.9300000000000068</v>
      </c>
      <c r="O22" s="54">
        <f>IFERROR(-(WHOLE_STRUCTURE[[#This Row],[D, bottom '[m']]]-WHOLE_STRUCTURE[[#This Row],[D, top '[m']]])/(WHOLE_STRUCTURE[[#This Row],[Bottom '[m']]]-WHOLE_STRUCTURE[[#This Row],[Top '[m']]]),"")</f>
        <v>0</v>
      </c>
      <c r="P22" s="52">
        <f>IFERROR((WHOLE_STRUCTURE[[#This Row],[D, bottom '[m']]]+WHOLE_STRUCTURE[[#This Row],[D, top '[m']]])/(2*WHOLE_STRUCTURE[[#This Row],[t '[mm']]]/1000),"")</f>
        <v>270.56521739130437</v>
      </c>
      <c r="R22" s="51"/>
      <c r="S22" s="51"/>
      <c r="T22" s="51"/>
      <c r="U22" s="51"/>
      <c r="V22" s="51"/>
      <c r="W22" s="51"/>
      <c r="X22" s="51"/>
      <c r="Y22" s="51"/>
      <c r="Z22" s="51"/>
      <c r="AA22" s="51"/>
      <c r="AC22" s="51">
        <v>3.1</v>
      </c>
      <c r="AD22" s="157">
        <v>140.49999999999997</v>
      </c>
      <c r="AE22" s="51">
        <v>0</v>
      </c>
      <c r="AF22" s="51">
        <v>1325</v>
      </c>
      <c r="AG22" s="51">
        <v>0.5</v>
      </c>
      <c r="AJ22" s="51"/>
      <c r="AK22" s="51"/>
      <c r="AL22" s="51"/>
      <c r="AM22" s="51"/>
      <c r="AN22" s="51"/>
      <c r="AO22" s="51"/>
      <c r="AP22" s="51"/>
      <c r="AQ22" s="51"/>
      <c r="AR22" s="51"/>
    </row>
    <row r="23" spans="1:52" ht="16.5" customHeight="1" x14ac:dyDescent="0.3">
      <c r="E23" s="51">
        <v>17</v>
      </c>
      <c r="F23" s="51" t="s">
        <v>71</v>
      </c>
      <c r="G23" s="51">
        <v>17</v>
      </c>
      <c r="H23" s="51">
        <v>116.95</v>
      </c>
      <c r="I23" s="51">
        <v>115.44600000000001</v>
      </c>
      <c r="J23" s="51">
        <v>6.2229999999999999</v>
      </c>
      <c r="K23" s="51">
        <v>6.2229999999999999</v>
      </c>
      <c r="L23" s="51">
        <v>23</v>
      </c>
      <c r="M23" s="54">
        <f t="shared" si="0"/>
        <v>5.2891622694618716</v>
      </c>
      <c r="N23" s="53">
        <f>IFERROR(IF(OR(ISBLANK(WHOLE_STRUCTURE[[#This Row],[Top '[m']]]), ISBLANK(WHOLE_STRUCTURE[[#This Row],[Bottom '[m']]])), "", WHOLE_STRUCTURE[[#This Row],[Top '[m']]] - WHOLE_STRUCTURE[[#This Row],[Bottom '[m']]]),"")</f>
        <v>1.5039999999999907</v>
      </c>
      <c r="O23" s="54">
        <f>IFERROR(-(WHOLE_STRUCTURE[[#This Row],[D, bottom '[m']]]-WHOLE_STRUCTURE[[#This Row],[D, top '[m']]])/(WHOLE_STRUCTURE[[#This Row],[Bottom '[m']]]-WHOLE_STRUCTURE[[#This Row],[Top '[m']]]),"")</f>
        <v>0</v>
      </c>
      <c r="P23" s="52">
        <f>IFERROR((WHOLE_STRUCTURE[[#This Row],[D, bottom '[m']]]+WHOLE_STRUCTURE[[#This Row],[D, top '[m']]])/(2*WHOLE_STRUCTURE[[#This Row],[t '[mm']]]/1000),"")</f>
        <v>270.56521739130437</v>
      </c>
      <c r="R23" s="51"/>
      <c r="S23" s="51"/>
      <c r="T23" s="51"/>
      <c r="U23" s="51"/>
      <c r="V23" s="51"/>
      <c r="W23" s="51"/>
      <c r="X23" s="51"/>
      <c r="Y23" s="51"/>
      <c r="Z23" s="51"/>
      <c r="AA23" s="51"/>
      <c r="AC23" s="51">
        <v>-8.9</v>
      </c>
      <c r="AD23" s="158">
        <v>3.1</v>
      </c>
      <c r="AE23" s="51">
        <v>150</v>
      </c>
      <c r="AF23" s="51">
        <v>1325</v>
      </c>
      <c r="AG23" s="51">
        <v>0.5</v>
      </c>
      <c r="AJ23" s="51"/>
      <c r="AK23" s="51"/>
      <c r="AL23" s="51"/>
      <c r="AM23" s="51"/>
      <c r="AN23" s="51"/>
      <c r="AO23" s="51"/>
      <c r="AP23" s="51"/>
      <c r="AQ23" s="51"/>
      <c r="AR23" s="51"/>
    </row>
    <row r="24" spans="1:52" x14ac:dyDescent="0.3">
      <c r="E24" s="51">
        <v>18</v>
      </c>
      <c r="F24" s="51" t="s">
        <v>71</v>
      </c>
      <c r="G24" s="51">
        <v>18</v>
      </c>
      <c r="H24" s="51">
        <v>115.44600000000001</v>
      </c>
      <c r="I24" s="51">
        <v>114.02000000000001</v>
      </c>
      <c r="J24" s="51">
        <v>6.2229999999999999</v>
      </c>
      <c r="K24" s="51">
        <v>6.2240000000000002</v>
      </c>
      <c r="L24" s="51">
        <v>23</v>
      </c>
      <c r="M24" s="54">
        <f t="shared" si="0"/>
        <v>5.0152617353149624</v>
      </c>
      <c r="N24" s="53">
        <f>IFERROR(IF(OR(ISBLANK(WHOLE_STRUCTURE[[#This Row],[Top '[m']]]), ISBLANK(WHOLE_STRUCTURE[[#This Row],[Bottom '[m']]])), "", WHOLE_STRUCTURE[[#This Row],[Top '[m']]] - WHOLE_STRUCTURE[[#This Row],[Bottom '[m']]]),"")</f>
        <v>1.4260000000000019</v>
      </c>
      <c r="O24" s="54">
        <f>IFERROR(-(WHOLE_STRUCTURE[[#This Row],[D, bottom '[m']]]-WHOLE_STRUCTURE[[#This Row],[D, top '[m']]])/(WHOLE_STRUCTURE[[#This Row],[Bottom '[m']]]-WHOLE_STRUCTURE[[#This Row],[Top '[m']]]),"")</f>
        <v>7.0126227208999476E-4</v>
      </c>
      <c r="P24" s="52">
        <f>IFERROR((WHOLE_STRUCTURE[[#This Row],[D, bottom '[m']]]+WHOLE_STRUCTURE[[#This Row],[D, top '[m']]])/(2*WHOLE_STRUCTURE[[#This Row],[t '[mm']]]/1000),"")</f>
        <v>270.58695652173913</v>
      </c>
      <c r="R24" s="51"/>
      <c r="S24" s="51"/>
      <c r="T24" s="51"/>
      <c r="U24" s="51"/>
      <c r="V24" s="51"/>
      <c r="W24" s="51"/>
      <c r="X24" s="51"/>
      <c r="Y24" s="51"/>
      <c r="Z24" s="51"/>
      <c r="AA24" s="51"/>
      <c r="AC24" s="51">
        <v>-38.9</v>
      </c>
      <c r="AD24" s="157">
        <v>-8.9</v>
      </c>
      <c r="AE24" s="51">
        <v>100</v>
      </c>
      <c r="AF24" s="51">
        <v>1325</v>
      </c>
      <c r="AG24" s="51">
        <v>0.5</v>
      </c>
      <c r="AJ24" s="51"/>
      <c r="AK24" s="51"/>
      <c r="AL24" s="51"/>
      <c r="AM24" s="51"/>
      <c r="AN24" s="51"/>
      <c r="AO24" s="51"/>
      <c r="AP24" s="51"/>
      <c r="AQ24" s="51"/>
      <c r="AR24" s="51"/>
    </row>
    <row r="25" spans="1:52" x14ac:dyDescent="0.3">
      <c r="E25" s="51">
        <v>19</v>
      </c>
      <c r="F25" s="51" t="s">
        <v>71</v>
      </c>
      <c r="G25" s="51">
        <v>19</v>
      </c>
      <c r="H25" s="51">
        <v>114.02000000000001</v>
      </c>
      <c r="I25" s="51">
        <v>111.09</v>
      </c>
      <c r="J25" s="51">
        <v>6.2240000000000002</v>
      </c>
      <c r="K25" s="51">
        <v>6.2249999999999996</v>
      </c>
      <c r="L25" s="51">
        <v>24</v>
      </c>
      <c r="M25" s="54">
        <f t="shared" si="0"/>
        <v>10.752887530560983</v>
      </c>
      <c r="N25" s="53">
        <f>IFERROR(IF(OR(ISBLANK(WHOLE_STRUCTURE[[#This Row],[Top '[m']]]), ISBLANK(WHOLE_STRUCTURE[[#This Row],[Bottom '[m']]])), "", WHOLE_STRUCTURE[[#This Row],[Top '[m']]] - WHOLE_STRUCTURE[[#This Row],[Bottom '[m']]]),"")</f>
        <v>2.9300000000000068</v>
      </c>
      <c r="O25" s="54">
        <f>IFERROR(-(WHOLE_STRUCTURE[[#This Row],[D, bottom '[m']]]-WHOLE_STRUCTURE[[#This Row],[D, top '[m']]])/(WHOLE_STRUCTURE[[#This Row],[Bottom '[m']]]-WHOLE_STRUCTURE[[#This Row],[Top '[m']]]),"")</f>
        <v>3.412969283274551E-4</v>
      </c>
      <c r="P25" s="52">
        <f>IFERROR((WHOLE_STRUCTURE[[#This Row],[D, bottom '[m']]]+WHOLE_STRUCTURE[[#This Row],[D, top '[m']]])/(2*WHOLE_STRUCTURE[[#This Row],[t '[mm']]]/1000),"")</f>
        <v>259.35416666666669</v>
      </c>
      <c r="R25" s="51"/>
      <c r="S25" s="51"/>
      <c r="T25" s="51"/>
      <c r="U25" s="51"/>
      <c r="V25" s="51"/>
      <c r="W25" s="51"/>
      <c r="X25" s="51"/>
      <c r="Y25" s="51"/>
      <c r="Z25" s="51"/>
      <c r="AA25" s="51"/>
      <c r="AC25" s="51">
        <v>-43.5</v>
      </c>
      <c r="AD25" s="159">
        <v>-38.9</v>
      </c>
      <c r="AE25" s="51">
        <v>50</v>
      </c>
      <c r="AF25" s="51">
        <v>1325</v>
      </c>
      <c r="AG25" s="51">
        <v>0.5</v>
      </c>
      <c r="AJ25" s="51"/>
      <c r="AK25" s="51"/>
      <c r="AL25" s="51"/>
      <c r="AM25" s="51"/>
      <c r="AN25" s="51"/>
      <c r="AO25" s="51"/>
      <c r="AP25" s="51"/>
      <c r="AQ25" s="51"/>
      <c r="AR25" s="51"/>
    </row>
    <row r="26" spans="1:52" x14ac:dyDescent="0.3">
      <c r="E26" s="51">
        <v>20</v>
      </c>
      <c r="F26" s="51" t="s">
        <v>71</v>
      </c>
      <c r="G26" s="51">
        <v>20</v>
      </c>
      <c r="H26" s="51">
        <v>111.09</v>
      </c>
      <c r="I26" s="51">
        <v>110.9</v>
      </c>
      <c r="J26" s="51">
        <v>6.2249999999999996</v>
      </c>
      <c r="K26" s="51">
        <v>6.2249999999999996</v>
      </c>
      <c r="L26" s="51">
        <v>25</v>
      </c>
      <c r="M26" s="54">
        <f t="shared" si="0"/>
        <v>0.72628124363851332</v>
      </c>
      <c r="N26" s="53">
        <f>IFERROR(IF(OR(ISBLANK(WHOLE_STRUCTURE[[#This Row],[Top '[m']]]), ISBLANK(WHOLE_STRUCTURE[[#This Row],[Bottom '[m']]])), "", WHOLE_STRUCTURE[[#This Row],[Top '[m']]] - WHOLE_STRUCTURE[[#This Row],[Bottom '[m']]]),"")</f>
        <v>0.18999999999999773</v>
      </c>
      <c r="O26" s="54">
        <f>IFERROR(-(WHOLE_STRUCTURE[[#This Row],[D, bottom '[m']]]-WHOLE_STRUCTURE[[#This Row],[D, top '[m']]])/(WHOLE_STRUCTURE[[#This Row],[Bottom '[m']]]-WHOLE_STRUCTURE[[#This Row],[Top '[m']]]),"")</f>
        <v>0</v>
      </c>
      <c r="P26" s="52">
        <f>IFERROR((WHOLE_STRUCTURE[[#This Row],[D, bottom '[m']]]+WHOLE_STRUCTURE[[#This Row],[D, top '[m']]])/(2*WHOLE_STRUCTURE[[#This Row],[t '[mm']]]/1000),"")</f>
        <v>248.99999999999997</v>
      </c>
      <c r="R26" s="51"/>
      <c r="S26" s="51"/>
      <c r="T26" s="51"/>
      <c r="U26" s="51"/>
      <c r="V26" s="51"/>
      <c r="W26" s="51"/>
      <c r="X26" s="51"/>
      <c r="Y26" s="51"/>
      <c r="Z26" s="51"/>
      <c r="AA26" s="51"/>
      <c r="AJ26" s="51"/>
      <c r="AK26" s="51"/>
      <c r="AL26" s="51"/>
      <c r="AM26" s="51"/>
      <c r="AN26" s="51"/>
      <c r="AO26" s="51"/>
      <c r="AP26" s="51"/>
      <c r="AQ26" s="51"/>
      <c r="AR26" s="51"/>
    </row>
    <row r="27" spans="1:52" x14ac:dyDescent="0.3">
      <c r="E27" s="51">
        <v>21</v>
      </c>
      <c r="F27" s="51" t="s">
        <v>71</v>
      </c>
      <c r="G27" s="51">
        <v>21</v>
      </c>
      <c r="H27" s="51">
        <v>110.9</v>
      </c>
      <c r="I27" s="51">
        <v>108.16000000000001</v>
      </c>
      <c r="J27" s="51">
        <v>6.2249999999999996</v>
      </c>
      <c r="K27" s="51">
        <v>6.226</v>
      </c>
      <c r="L27" s="51">
        <v>25</v>
      </c>
      <c r="M27" s="54">
        <f t="shared" si="0"/>
        <v>10.474584696294533</v>
      </c>
      <c r="N27" s="53">
        <f>IFERROR(IF(OR(ISBLANK(WHOLE_STRUCTURE[[#This Row],[Top '[m']]]), ISBLANK(WHOLE_STRUCTURE[[#This Row],[Bottom '[m']]])), "", WHOLE_STRUCTURE[[#This Row],[Top '[m']]] - WHOLE_STRUCTURE[[#This Row],[Bottom '[m']]]),"")</f>
        <v>2.7399999999999949</v>
      </c>
      <c r="O27" s="54">
        <f>IFERROR(-(WHOLE_STRUCTURE[[#This Row],[D, bottom '[m']]]-WHOLE_STRUCTURE[[#This Row],[D, top '[m']]])/(WHOLE_STRUCTURE[[#This Row],[Bottom '[m']]]-WHOLE_STRUCTURE[[#This Row],[Top '[m']]]),"")</f>
        <v>3.6496350364975758E-4</v>
      </c>
      <c r="P27" s="52">
        <f>IFERROR((WHOLE_STRUCTURE[[#This Row],[D, bottom '[m']]]+WHOLE_STRUCTURE[[#This Row],[D, top '[m']]])/(2*WHOLE_STRUCTURE[[#This Row],[t '[mm']]]/1000),"")</f>
        <v>249.02</v>
      </c>
      <c r="R27" s="51"/>
      <c r="S27" s="51"/>
      <c r="T27" s="51"/>
      <c r="U27" s="51"/>
      <c r="V27" s="51"/>
      <c r="W27" s="51"/>
      <c r="X27" s="51"/>
      <c r="Y27" s="51"/>
      <c r="Z27" s="51"/>
      <c r="AA27" s="51"/>
      <c r="AJ27" s="51"/>
      <c r="AK27" s="51"/>
      <c r="AL27" s="51"/>
      <c r="AM27" s="51"/>
      <c r="AN27" s="51"/>
      <c r="AO27" s="51"/>
      <c r="AP27" s="51"/>
      <c r="AQ27" s="51"/>
      <c r="AR27" s="51"/>
    </row>
    <row r="28" spans="1:52" ht="15.6" customHeight="1" x14ac:dyDescent="0.4">
      <c r="A28" s="134" t="s">
        <v>282</v>
      </c>
      <c r="E28" s="51">
        <v>22</v>
      </c>
      <c r="F28" s="51" t="s">
        <v>71</v>
      </c>
      <c r="G28" s="51">
        <v>22</v>
      </c>
      <c r="H28" s="51">
        <v>108.16000000000001</v>
      </c>
      <c r="I28" s="51">
        <v>107.224</v>
      </c>
      <c r="J28" s="51">
        <v>6.226</v>
      </c>
      <c r="K28" s="51">
        <v>6.226</v>
      </c>
      <c r="L28" s="51">
        <v>26</v>
      </c>
      <c r="M28" s="54">
        <f t="shared" si="0"/>
        <v>3.7210063884604585</v>
      </c>
      <c r="N28" s="53">
        <f>IFERROR(IF(OR(ISBLANK(WHOLE_STRUCTURE[[#This Row],[Top '[m']]]), ISBLANK(WHOLE_STRUCTURE[[#This Row],[Bottom '[m']]])), "", WHOLE_STRUCTURE[[#This Row],[Top '[m']]] - WHOLE_STRUCTURE[[#This Row],[Bottom '[m']]]),"")</f>
        <v>0.93600000000000705</v>
      </c>
      <c r="O28" s="54">
        <f>IFERROR(-(WHOLE_STRUCTURE[[#This Row],[D, bottom '[m']]]-WHOLE_STRUCTURE[[#This Row],[D, top '[m']]])/(WHOLE_STRUCTURE[[#This Row],[Bottom '[m']]]-WHOLE_STRUCTURE[[#This Row],[Top '[m']]]),"")</f>
        <v>0</v>
      </c>
      <c r="P28" s="52">
        <f>IFERROR((WHOLE_STRUCTURE[[#This Row],[D, bottom '[m']]]+WHOLE_STRUCTURE[[#This Row],[D, top '[m']]])/(2*WHOLE_STRUCTURE[[#This Row],[t '[mm']]]/1000),"")</f>
        <v>239.46153846153848</v>
      </c>
      <c r="R28" s="51"/>
      <c r="S28" s="51"/>
      <c r="T28" s="51"/>
      <c r="U28" s="51"/>
      <c r="V28" s="51"/>
      <c r="W28" s="51"/>
      <c r="X28" s="51"/>
      <c r="Y28" s="51"/>
      <c r="Z28" s="51"/>
      <c r="AA28" s="51"/>
      <c r="AC28" s="127" t="s">
        <v>94</v>
      </c>
      <c r="AJ28" s="51"/>
      <c r="AK28" s="51"/>
      <c r="AL28" s="51"/>
      <c r="AM28" s="51"/>
      <c r="AN28" s="51"/>
      <c r="AO28" s="51"/>
      <c r="AP28" s="51"/>
      <c r="AQ28" s="51"/>
      <c r="AR28" s="51"/>
    </row>
    <row r="29" spans="1:52" x14ac:dyDescent="0.3">
      <c r="A29" s="128" t="s">
        <v>121</v>
      </c>
      <c r="B29" s="51" t="s">
        <v>99</v>
      </c>
      <c r="C29" s="51" t="s">
        <v>100</v>
      </c>
      <c r="E29" s="51">
        <v>23</v>
      </c>
      <c r="F29" s="51" t="s">
        <v>71</v>
      </c>
      <c r="G29" s="51">
        <v>23</v>
      </c>
      <c r="H29" s="51">
        <v>107.224</v>
      </c>
      <c r="I29" s="51">
        <v>105.23</v>
      </c>
      <c r="J29" s="51">
        <v>6.226</v>
      </c>
      <c r="K29" s="51">
        <v>6.226</v>
      </c>
      <c r="L29" s="51">
        <v>26</v>
      </c>
      <c r="M29" s="54">
        <f t="shared" si="0"/>
        <v>7.9270157463569424</v>
      </c>
      <c r="N29" s="53">
        <f>IFERROR(IF(OR(ISBLANK(WHOLE_STRUCTURE[[#This Row],[Top '[m']]]), ISBLANK(WHOLE_STRUCTURE[[#This Row],[Bottom '[m']]])), "", WHOLE_STRUCTURE[[#This Row],[Top '[m']]] - WHOLE_STRUCTURE[[#This Row],[Bottom '[m']]]),"")</f>
        <v>1.9939999999999998</v>
      </c>
      <c r="O29" s="54">
        <f>IFERROR(-(WHOLE_STRUCTURE[[#This Row],[D, bottom '[m']]]-WHOLE_STRUCTURE[[#This Row],[D, top '[m']]])/(WHOLE_STRUCTURE[[#This Row],[Bottom '[m']]]-WHOLE_STRUCTURE[[#This Row],[Top '[m']]]),"")</f>
        <v>0</v>
      </c>
      <c r="P29" s="52">
        <f>IFERROR((WHOLE_STRUCTURE[[#This Row],[D, bottom '[m']]]+WHOLE_STRUCTURE[[#This Row],[D, top '[m']]])/(2*WHOLE_STRUCTURE[[#This Row],[t '[mm']]]/1000),"")</f>
        <v>239.46153846153848</v>
      </c>
      <c r="R29" s="51"/>
      <c r="S29" s="51"/>
      <c r="T29" s="51"/>
      <c r="U29" s="51"/>
      <c r="V29" s="51"/>
      <c r="W29" s="51"/>
      <c r="X29" s="51"/>
      <c r="Y29" s="51"/>
      <c r="Z29" s="51"/>
      <c r="AA29" s="51"/>
      <c r="AC29" s="51" t="s">
        <v>89</v>
      </c>
      <c r="AD29" s="51" t="s">
        <v>90</v>
      </c>
      <c r="AE29" s="51" t="s">
        <v>17</v>
      </c>
      <c r="AF29" s="51" t="s">
        <v>18</v>
      </c>
      <c r="AJ29" s="51"/>
      <c r="AK29" s="51"/>
      <c r="AL29" s="51"/>
      <c r="AM29" s="51"/>
      <c r="AN29" s="51"/>
      <c r="AO29" s="51"/>
      <c r="AP29" s="51"/>
      <c r="AQ29" s="51"/>
      <c r="AR29" s="51"/>
    </row>
    <row r="30" spans="1:52" x14ac:dyDescent="0.3">
      <c r="A30" s="57" t="s">
        <v>71</v>
      </c>
      <c r="B30" s="129">
        <f>SUMIF(WHOLE_STRUCTURE[Affiliation], "TOWER", M6:M2252)</f>
        <v>691.70737506686044</v>
      </c>
      <c r="C30" s="51" t="s">
        <v>6</v>
      </c>
      <c r="E30" s="51">
        <v>24</v>
      </c>
      <c r="F30" s="51" t="s">
        <v>71</v>
      </c>
      <c r="G30" s="51">
        <v>24</v>
      </c>
      <c r="H30" s="51">
        <v>105.23</v>
      </c>
      <c r="I30" s="51">
        <v>102.30000000000001</v>
      </c>
      <c r="J30" s="51">
        <v>6.226</v>
      </c>
      <c r="K30" s="51">
        <v>6.2279999999999998</v>
      </c>
      <c r="L30" s="51">
        <v>26</v>
      </c>
      <c r="M30" s="54">
        <f t="shared" si="0"/>
        <v>11.64990084806473</v>
      </c>
      <c r="N30" s="53">
        <f>IFERROR(IF(OR(ISBLANK(WHOLE_STRUCTURE[[#This Row],[Top '[m']]]), ISBLANK(WHOLE_STRUCTURE[[#This Row],[Bottom '[m']]])), "", WHOLE_STRUCTURE[[#This Row],[Top '[m']]] - WHOLE_STRUCTURE[[#This Row],[Bottom '[m']]]),"")</f>
        <v>2.9299999999999926</v>
      </c>
      <c r="O30" s="54">
        <f>IFERROR(-(WHOLE_STRUCTURE[[#This Row],[D, bottom '[m']]]-WHOLE_STRUCTURE[[#This Row],[D, top '[m']]])/(WHOLE_STRUCTURE[[#This Row],[Bottom '[m']]]-WHOLE_STRUCTURE[[#This Row],[Top '[m']]]),"")</f>
        <v>6.825938566552166E-4</v>
      </c>
      <c r="P30" s="52">
        <f>IFERROR((WHOLE_STRUCTURE[[#This Row],[D, bottom '[m']]]+WHOLE_STRUCTURE[[#This Row],[D, top '[m']]])/(2*WHOLE_STRUCTURE[[#This Row],[t '[mm']]]/1000),"")</f>
        <v>239.50000000000003</v>
      </c>
      <c r="R30" s="51"/>
      <c r="S30" s="51"/>
      <c r="T30" s="51"/>
      <c r="U30" s="51"/>
      <c r="V30" s="51"/>
      <c r="W30" s="51"/>
      <c r="X30" s="51"/>
      <c r="Y30" s="51"/>
      <c r="Z30" s="51"/>
      <c r="AA30" s="51"/>
      <c r="AC30" s="51">
        <v>20</v>
      </c>
      <c r="AD30" s="51">
        <v>6.5</v>
      </c>
      <c r="AE30" s="51">
        <v>0.9</v>
      </c>
      <c r="AF30" s="51">
        <v>2</v>
      </c>
      <c r="AJ30" s="51"/>
      <c r="AK30" s="51"/>
      <c r="AL30" s="51"/>
      <c r="AM30" s="51"/>
      <c r="AN30" s="51"/>
      <c r="AO30" s="51"/>
      <c r="AP30" s="51"/>
      <c r="AQ30" s="51"/>
      <c r="AR30" s="51"/>
    </row>
    <row r="31" spans="1:52" x14ac:dyDescent="0.3">
      <c r="A31" s="57" t="s">
        <v>83</v>
      </c>
      <c r="B31" s="129">
        <f>SUMIF(WHOLE_STRUCTURE[Affiliation], "TP", M6:M2252)</f>
        <v>186.6207794303341</v>
      </c>
      <c r="C31" s="51" t="s">
        <v>6</v>
      </c>
      <c r="E31" s="51">
        <v>25</v>
      </c>
      <c r="F31" s="51" t="s">
        <v>71</v>
      </c>
      <c r="G31" s="51">
        <v>25</v>
      </c>
      <c r="H31" s="51">
        <v>102.30000000000001</v>
      </c>
      <c r="I31" s="51">
        <v>102.26</v>
      </c>
      <c r="J31" s="51">
        <v>6.2279999999999998</v>
      </c>
      <c r="K31" s="51">
        <v>6.2279999999999998</v>
      </c>
      <c r="L31" s="51">
        <v>28</v>
      </c>
      <c r="M31" s="54">
        <f t="shared" si="0"/>
        <v>0.17124947218426703</v>
      </c>
      <c r="N31" s="53">
        <f>IFERROR(IF(OR(ISBLANK(WHOLE_STRUCTURE[[#This Row],[Top '[m']]]), ISBLANK(WHOLE_STRUCTURE[[#This Row],[Bottom '[m']]])), "", WHOLE_STRUCTURE[[#This Row],[Top '[m']]] - WHOLE_STRUCTURE[[#This Row],[Bottom '[m']]]),"")</f>
        <v>4.0000000000006253E-2</v>
      </c>
      <c r="O31" s="54">
        <f>IFERROR(-(WHOLE_STRUCTURE[[#This Row],[D, bottom '[m']]]-WHOLE_STRUCTURE[[#This Row],[D, top '[m']]])/(WHOLE_STRUCTURE[[#This Row],[Bottom '[m']]]-WHOLE_STRUCTURE[[#This Row],[Top '[m']]]),"")</f>
        <v>0</v>
      </c>
      <c r="P31" s="52">
        <f>IFERROR((WHOLE_STRUCTURE[[#This Row],[D, bottom '[m']]]+WHOLE_STRUCTURE[[#This Row],[D, top '[m']]])/(2*WHOLE_STRUCTURE[[#This Row],[t '[mm']]]/1000),"")</f>
        <v>222.42857142857142</v>
      </c>
      <c r="R31" s="51"/>
      <c r="S31" s="51"/>
      <c r="T31" s="51"/>
      <c r="U31" s="51"/>
      <c r="V31" s="51"/>
      <c r="W31" s="51"/>
      <c r="X31" s="51"/>
      <c r="Y31" s="51"/>
      <c r="Z31" s="51"/>
      <c r="AA31" s="51"/>
      <c r="AC31" s="51">
        <f>IF(ISBLANK(AD31),"",AD30)</f>
        <v>6.5</v>
      </c>
      <c r="AD31" s="51">
        <v>-22</v>
      </c>
      <c r="AE31" s="51">
        <v>0.9</v>
      </c>
      <c r="AF31" s="51">
        <v>2</v>
      </c>
      <c r="AJ31" s="51"/>
      <c r="AK31" s="51"/>
      <c r="AL31" s="51"/>
      <c r="AM31" s="51"/>
      <c r="AN31" s="51"/>
      <c r="AO31" s="51"/>
      <c r="AP31" s="51"/>
      <c r="AQ31" s="51"/>
      <c r="AR31" s="51"/>
    </row>
    <row r="32" spans="1:52" x14ac:dyDescent="0.3">
      <c r="A32" s="57" t="s">
        <v>69</v>
      </c>
      <c r="B32" s="129">
        <f>SUMIF(WHOLE_STRUCTURE[Affiliation], "MP", M6:M2252)</f>
        <v>1732.2296836474418</v>
      </c>
      <c r="C32" s="51" t="s">
        <v>6</v>
      </c>
      <c r="E32" s="51">
        <v>26</v>
      </c>
      <c r="F32" s="51" t="s">
        <v>71</v>
      </c>
      <c r="G32" s="51">
        <v>26</v>
      </c>
      <c r="H32" s="51">
        <v>102.26</v>
      </c>
      <c r="I32" s="51">
        <v>102.10000000000001</v>
      </c>
      <c r="J32" s="51">
        <v>6.2279999999999998</v>
      </c>
      <c r="K32" s="51">
        <v>6.2279999999999998</v>
      </c>
      <c r="L32" s="51">
        <v>28</v>
      </c>
      <c r="M32" s="54">
        <f t="shared" si="0"/>
        <v>0.68499788873694645</v>
      </c>
      <c r="N32" s="53">
        <f>IFERROR(IF(OR(ISBLANK(WHOLE_STRUCTURE[[#This Row],[Top '[m']]]), ISBLANK(WHOLE_STRUCTURE[[#This Row],[Bottom '[m']]])), "", WHOLE_STRUCTURE[[#This Row],[Top '[m']]] - WHOLE_STRUCTURE[[#This Row],[Bottom '[m']]]),"")</f>
        <v>0.15999999999999659</v>
      </c>
      <c r="O32" s="54">
        <f>IFERROR(-(WHOLE_STRUCTURE[[#This Row],[D, bottom '[m']]]-WHOLE_STRUCTURE[[#This Row],[D, top '[m']]])/(WHOLE_STRUCTURE[[#This Row],[Bottom '[m']]]-WHOLE_STRUCTURE[[#This Row],[Top '[m']]]),"")</f>
        <v>0</v>
      </c>
      <c r="P32" s="52">
        <f>IFERROR((WHOLE_STRUCTURE[[#This Row],[D, bottom '[m']]]+WHOLE_STRUCTURE[[#This Row],[D, top '[m']]])/(2*WHOLE_STRUCTURE[[#This Row],[t '[mm']]]/1000),"")</f>
        <v>222.42857142857142</v>
      </c>
      <c r="R32" s="51"/>
      <c r="S32" s="51"/>
      <c r="T32" s="51"/>
      <c r="U32" s="51"/>
      <c r="V32" s="51"/>
      <c r="W32" s="51"/>
      <c r="X32" s="51"/>
      <c r="Y32" s="51"/>
      <c r="Z32" s="51"/>
      <c r="AA32" s="51"/>
      <c r="AJ32" s="51"/>
      <c r="AK32" s="51"/>
      <c r="AL32" s="51"/>
      <c r="AM32" s="51"/>
      <c r="AN32" s="51"/>
      <c r="AO32" s="51"/>
      <c r="AP32" s="51"/>
      <c r="AQ32" s="51"/>
      <c r="AR32" s="51"/>
    </row>
    <row r="33" spans="1:44" x14ac:dyDescent="0.3">
      <c r="A33" s="57" t="s">
        <v>109</v>
      </c>
      <c r="B33" s="129" cm="1">
        <f t="array" ref="B33">RNA[Power '[MW']]</f>
        <v>8</v>
      </c>
      <c r="C33" s="51" t="s">
        <v>6</v>
      </c>
      <c r="E33" s="51">
        <v>27</v>
      </c>
      <c r="F33" s="51" t="s">
        <v>71</v>
      </c>
      <c r="G33" s="51">
        <v>27</v>
      </c>
      <c r="H33" s="51">
        <v>102.10000000000001</v>
      </c>
      <c r="I33" s="51">
        <v>101.94000000000001</v>
      </c>
      <c r="J33" s="51">
        <v>6.2279999999999998</v>
      </c>
      <c r="K33" s="51">
        <v>6.2279999999999998</v>
      </c>
      <c r="L33" s="51">
        <v>28</v>
      </c>
      <c r="M33" s="54">
        <f t="shared" si="0"/>
        <v>0.68499788873694645</v>
      </c>
      <c r="N33" s="53">
        <f>IFERROR(IF(OR(ISBLANK(WHOLE_STRUCTURE[[#This Row],[Top '[m']]]), ISBLANK(WHOLE_STRUCTURE[[#This Row],[Bottom '[m']]])), "", WHOLE_STRUCTURE[[#This Row],[Top '[m']]] - WHOLE_STRUCTURE[[#This Row],[Bottom '[m']]]),"")</f>
        <v>0.15999999999999659</v>
      </c>
      <c r="O33" s="54">
        <f>IFERROR(-(WHOLE_STRUCTURE[[#This Row],[D, bottom '[m']]]-WHOLE_STRUCTURE[[#This Row],[D, top '[m']]])/(WHOLE_STRUCTURE[[#This Row],[Bottom '[m']]]-WHOLE_STRUCTURE[[#This Row],[Top '[m']]]),"")</f>
        <v>0</v>
      </c>
      <c r="P33" s="52">
        <f>IFERROR((WHOLE_STRUCTURE[[#This Row],[D, bottom '[m']]]+WHOLE_STRUCTURE[[#This Row],[D, top '[m']]])/(2*WHOLE_STRUCTURE[[#This Row],[t '[mm']]]/1000),"")</f>
        <v>222.42857142857142</v>
      </c>
      <c r="R33" s="51"/>
      <c r="S33" s="51"/>
      <c r="T33" s="51"/>
      <c r="U33" s="51"/>
      <c r="V33" s="51"/>
      <c r="W33" s="51"/>
      <c r="X33" s="51"/>
      <c r="Y33" s="51"/>
      <c r="Z33" s="51"/>
      <c r="AA33" s="51"/>
      <c r="AJ33" s="51"/>
      <c r="AK33" s="51"/>
      <c r="AL33" s="51"/>
      <c r="AM33" s="51"/>
      <c r="AN33" s="51"/>
      <c r="AO33" s="51"/>
      <c r="AP33" s="51"/>
      <c r="AQ33" s="51"/>
      <c r="AR33" s="51"/>
    </row>
    <row r="34" spans="1:44" ht="14.4" customHeight="1" x14ac:dyDescent="0.3">
      <c r="A34" s="57" t="s">
        <v>112</v>
      </c>
      <c r="B34" s="129">
        <f>SUM(T6:T1048576)</f>
        <v>108.99999999999999</v>
      </c>
      <c r="C34" s="51" t="s">
        <v>6</v>
      </c>
      <c r="E34" s="51">
        <v>28</v>
      </c>
      <c r="F34" s="51" t="s">
        <v>71</v>
      </c>
      <c r="G34" s="51">
        <v>28</v>
      </c>
      <c r="H34" s="51">
        <v>101.94000000000001</v>
      </c>
      <c r="I34" s="51">
        <v>101.9</v>
      </c>
      <c r="J34" s="51">
        <v>6.2279999999999998</v>
      </c>
      <c r="K34" s="51">
        <v>6.23</v>
      </c>
      <c r="L34" s="51">
        <v>28</v>
      </c>
      <c r="M34" s="54">
        <f t="shared" si="0"/>
        <v>0.1712770930668801</v>
      </c>
      <c r="N34" s="53">
        <f>IFERROR(IF(OR(ISBLANK(WHOLE_STRUCTURE[[#This Row],[Top '[m']]]), ISBLANK(WHOLE_STRUCTURE[[#This Row],[Bottom '[m']]])), "", WHOLE_STRUCTURE[[#This Row],[Top '[m']]] - WHOLE_STRUCTURE[[#This Row],[Bottom '[m']]]),"")</f>
        <v>4.0000000000006253E-2</v>
      </c>
      <c r="O34" s="54">
        <f>IFERROR(-(WHOLE_STRUCTURE[[#This Row],[D, bottom '[m']]]-WHOLE_STRUCTURE[[#This Row],[D, top '[m']]])/(WHOLE_STRUCTURE[[#This Row],[Bottom '[m']]]-WHOLE_STRUCTURE[[#This Row],[Top '[m']]]),"")</f>
        <v>5.0000000000008885E-2</v>
      </c>
      <c r="P34" s="52">
        <f>IFERROR((WHOLE_STRUCTURE[[#This Row],[D, bottom '[m']]]+WHOLE_STRUCTURE[[#This Row],[D, top '[m']]])/(2*WHOLE_STRUCTURE[[#This Row],[t '[mm']]]/1000),"")</f>
        <v>222.46428571428572</v>
      </c>
      <c r="R34" s="51"/>
      <c r="S34" s="51"/>
      <c r="T34" s="51"/>
      <c r="U34" s="51"/>
      <c r="V34" s="51"/>
      <c r="W34" s="51"/>
      <c r="X34" s="51"/>
      <c r="Y34" s="51"/>
      <c r="Z34" s="51"/>
      <c r="AA34" s="51"/>
      <c r="AJ34" s="51"/>
      <c r="AK34" s="51"/>
      <c r="AL34" s="51"/>
      <c r="AM34" s="51"/>
      <c r="AN34" s="51"/>
      <c r="AO34" s="51"/>
      <c r="AP34" s="51"/>
      <c r="AQ34" s="51"/>
      <c r="AR34" s="51"/>
    </row>
    <row r="35" spans="1:44" x14ac:dyDescent="0.3">
      <c r="A35" s="57" t="s">
        <v>120</v>
      </c>
      <c r="B35" s="129">
        <f>SUM(B30:B34)</f>
        <v>2727.5578381446362</v>
      </c>
      <c r="C35" s="51" t="s">
        <v>6</v>
      </c>
      <c r="E35" s="51">
        <v>29</v>
      </c>
      <c r="F35" s="51" t="s">
        <v>71</v>
      </c>
      <c r="G35" s="51">
        <v>29</v>
      </c>
      <c r="H35" s="51">
        <v>101.9</v>
      </c>
      <c r="I35" s="51">
        <v>100.9</v>
      </c>
      <c r="J35" s="51">
        <v>6.23</v>
      </c>
      <c r="K35" s="51">
        <v>6.2530000000000001</v>
      </c>
      <c r="L35" s="51">
        <v>30.099999999999998</v>
      </c>
      <c r="M35" s="54">
        <f t="shared" si="0"/>
        <v>4.610791912861246</v>
      </c>
      <c r="N35" s="53">
        <f>IFERROR(IF(OR(ISBLANK(WHOLE_STRUCTURE[[#This Row],[Top '[m']]]), ISBLANK(WHOLE_STRUCTURE[[#This Row],[Bottom '[m']]])), "", WHOLE_STRUCTURE[[#This Row],[Top '[m']]] - WHOLE_STRUCTURE[[#This Row],[Bottom '[m']]]),"")</f>
        <v>1</v>
      </c>
      <c r="O35" s="54">
        <f>IFERROR(-(WHOLE_STRUCTURE[[#This Row],[D, bottom '[m']]]-WHOLE_STRUCTURE[[#This Row],[D, top '[m']]])/(WHOLE_STRUCTURE[[#This Row],[Bottom '[m']]]-WHOLE_STRUCTURE[[#This Row],[Top '[m']]]),"")</f>
        <v>2.2999999999999687E-2</v>
      </c>
      <c r="P35" s="52">
        <f>IFERROR((WHOLE_STRUCTURE[[#This Row],[D, bottom '[m']]]+WHOLE_STRUCTURE[[#This Row],[D, top '[m']]])/(2*WHOLE_STRUCTURE[[#This Row],[t '[mm']]]/1000),"")</f>
        <v>207.358803986711</v>
      </c>
      <c r="R35" s="51"/>
      <c r="S35" s="51"/>
      <c r="T35" s="51"/>
      <c r="U35" s="51"/>
      <c r="V35" s="51"/>
      <c r="W35" s="51"/>
      <c r="X35" s="51"/>
      <c r="Y35" s="51"/>
      <c r="Z35" s="51"/>
      <c r="AA35" s="51"/>
      <c r="AJ35" s="51"/>
      <c r="AK35" s="51"/>
      <c r="AL35" s="51"/>
      <c r="AM35" s="51"/>
      <c r="AN35" s="51"/>
      <c r="AO35" s="51"/>
      <c r="AP35" s="51"/>
      <c r="AQ35" s="51"/>
      <c r="AR35" s="51"/>
    </row>
    <row r="36" spans="1:44" x14ac:dyDescent="0.3">
      <c r="E36" s="51">
        <v>30</v>
      </c>
      <c r="F36" s="51" t="s">
        <v>71</v>
      </c>
      <c r="G36" s="51">
        <v>30</v>
      </c>
      <c r="H36" s="51">
        <v>100.9</v>
      </c>
      <c r="I36" s="51">
        <v>99.172000000000011</v>
      </c>
      <c r="J36" s="51">
        <v>6.2530000000000001</v>
      </c>
      <c r="K36" s="51">
        <v>6.2889999999999997</v>
      </c>
      <c r="L36" s="51">
        <v>30.099999999999998</v>
      </c>
      <c r="M36" s="54">
        <f t="shared" si="0"/>
        <v>8.0052884821827153</v>
      </c>
      <c r="N36" s="53">
        <f>IFERROR(IF(OR(ISBLANK(WHOLE_STRUCTURE[[#This Row],[Top '[m']]]), ISBLANK(WHOLE_STRUCTURE[[#This Row],[Bottom '[m']]])), "", WHOLE_STRUCTURE[[#This Row],[Top '[m']]] - WHOLE_STRUCTURE[[#This Row],[Bottom '[m']]]),"")</f>
        <v>1.7279999999999944</v>
      </c>
      <c r="O36" s="54">
        <f>IFERROR(-(WHOLE_STRUCTURE[[#This Row],[D, bottom '[m']]]-WHOLE_STRUCTURE[[#This Row],[D, top '[m']]])/(WHOLE_STRUCTURE[[#This Row],[Bottom '[m']]]-WHOLE_STRUCTURE[[#This Row],[Top '[m']]]),"")</f>
        <v>2.0833333333333162E-2</v>
      </c>
      <c r="P36" s="52">
        <f>IFERROR((WHOLE_STRUCTURE[[#This Row],[D, bottom '[m']]]+WHOLE_STRUCTURE[[#This Row],[D, top '[m']]])/(2*WHOLE_STRUCTURE[[#This Row],[t '[mm']]]/1000),"")</f>
        <v>208.3388704318937</v>
      </c>
      <c r="R36" s="51"/>
      <c r="S36" s="51"/>
      <c r="T36" s="51"/>
      <c r="U36" s="51"/>
      <c r="V36" s="51"/>
      <c r="W36" s="51"/>
      <c r="X36" s="51"/>
      <c r="Y36" s="51"/>
      <c r="Z36" s="51"/>
      <c r="AA36" s="51"/>
      <c r="AJ36" s="51"/>
      <c r="AK36" s="51"/>
      <c r="AL36" s="51"/>
      <c r="AM36" s="51"/>
      <c r="AN36" s="51"/>
      <c r="AO36" s="51"/>
      <c r="AP36" s="51"/>
      <c r="AQ36" s="51"/>
      <c r="AR36" s="51"/>
    </row>
    <row r="37" spans="1:44" x14ac:dyDescent="0.3">
      <c r="E37" s="51">
        <v>31</v>
      </c>
      <c r="F37" s="51" t="s">
        <v>71</v>
      </c>
      <c r="G37" s="51">
        <v>31</v>
      </c>
      <c r="H37" s="51">
        <v>99.172000000000011</v>
      </c>
      <c r="I37" s="51">
        <v>99.003</v>
      </c>
      <c r="J37" s="51">
        <v>6.2889999999999997</v>
      </c>
      <c r="K37" s="51">
        <v>6.2919999999999998</v>
      </c>
      <c r="L37" s="51">
        <v>26.5</v>
      </c>
      <c r="M37" s="54">
        <f t="shared" si="0"/>
        <v>0.69183711520936486</v>
      </c>
      <c r="N37" s="53">
        <f>IFERROR(IF(OR(ISBLANK(WHOLE_STRUCTURE[[#This Row],[Top '[m']]]), ISBLANK(WHOLE_STRUCTURE[[#This Row],[Bottom '[m']]])), "", WHOLE_STRUCTURE[[#This Row],[Top '[m']]] - WHOLE_STRUCTURE[[#This Row],[Bottom '[m']]]),"")</f>
        <v>0.16900000000001114</v>
      </c>
      <c r="O37" s="54">
        <f>IFERROR(-(WHOLE_STRUCTURE[[#This Row],[D, bottom '[m']]]-WHOLE_STRUCTURE[[#This Row],[D, top '[m']]])/(WHOLE_STRUCTURE[[#This Row],[Bottom '[m']]]-WHOLE_STRUCTURE[[#This Row],[Top '[m']]]),"")</f>
        <v>1.7751479289940329E-2</v>
      </c>
      <c r="P37" s="52">
        <f>IFERROR((WHOLE_STRUCTURE[[#This Row],[D, bottom '[m']]]+WHOLE_STRUCTURE[[#This Row],[D, top '[m']]])/(2*WHOLE_STRUCTURE[[#This Row],[t '[mm']]]/1000),"")</f>
        <v>237.37735849056602</v>
      </c>
      <c r="R37" s="51"/>
      <c r="S37" s="51"/>
      <c r="T37" s="51"/>
      <c r="U37" s="51"/>
      <c r="V37" s="51"/>
      <c r="W37" s="51"/>
      <c r="X37" s="51"/>
      <c r="Y37" s="51"/>
      <c r="Z37" s="51"/>
      <c r="AA37" s="51"/>
    </row>
    <row r="38" spans="1:44" x14ac:dyDescent="0.3">
      <c r="E38" s="51">
        <v>32</v>
      </c>
      <c r="F38" s="51" t="s">
        <v>71</v>
      </c>
      <c r="G38" s="51">
        <v>32</v>
      </c>
      <c r="H38" s="51">
        <v>99.003</v>
      </c>
      <c r="I38" s="51">
        <v>96.45</v>
      </c>
      <c r="J38" s="51">
        <v>6.2919999999999998</v>
      </c>
      <c r="K38" s="51">
        <v>6.351</v>
      </c>
      <c r="L38" s="51">
        <v>26.5</v>
      </c>
      <c r="M38" s="54">
        <f t="shared" si="0"/>
        <v>10.502965831367973</v>
      </c>
      <c r="N38" s="53">
        <f>IFERROR(IF(OR(ISBLANK(WHOLE_STRUCTURE[[#This Row],[Top '[m']]]), ISBLANK(WHOLE_STRUCTURE[[#This Row],[Bottom '[m']]])), "", WHOLE_STRUCTURE[[#This Row],[Top '[m']]] - WHOLE_STRUCTURE[[#This Row],[Bottom '[m']]]),"")</f>
        <v>2.5529999999999973</v>
      </c>
      <c r="O38" s="54">
        <f>IFERROR(-(WHOLE_STRUCTURE[[#This Row],[D, bottom '[m']]]-WHOLE_STRUCTURE[[#This Row],[D, top '[m']]])/(WHOLE_STRUCTURE[[#This Row],[Bottom '[m']]]-WHOLE_STRUCTURE[[#This Row],[Top '[m']]]),"")</f>
        <v>2.3110066588327545E-2</v>
      </c>
      <c r="P38" s="52">
        <f>IFERROR((WHOLE_STRUCTURE[[#This Row],[D, bottom '[m']]]+WHOLE_STRUCTURE[[#This Row],[D, top '[m']]])/(2*WHOLE_STRUCTURE[[#This Row],[t '[mm']]]/1000),"")</f>
        <v>238.54716981132077</v>
      </c>
      <c r="R38" s="51"/>
      <c r="S38" s="51"/>
      <c r="T38" s="51"/>
      <c r="U38" s="51"/>
      <c r="V38" s="51"/>
      <c r="W38" s="51"/>
      <c r="X38" s="51"/>
      <c r="Y38" s="51"/>
      <c r="Z38" s="51"/>
      <c r="AA38" s="51"/>
    </row>
    <row r="39" spans="1:44" x14ac:dyDescent="0.3">
      <c r="E39" s="51">
        <v>33</v>
      </c>
      <c r="F39" s="51" t="s">
        <v>71</v>
      </c>
      <c r="G39" s="51">
        <v>33</v>
      </c>
      <c r="H39" s="51">
        <v>96.45</v>
      </c>
      <c r="I39" s="51">
        <v>94.89200000000001</v>
      </c>
      <c r="J39" s="51">
        <v>6.351</v>
      </c>
      <c r="K39" s="51">
        <v>6.3869999999999996</v>
      </c>
      <c r="L39" s="51">
        <v>28</v>
      </c>
      <c r="M39" s="54">
        <f t="shared" ref="M39:M70" si="1">IF(7850/1000*(1/3)*PI()*ABS(H39-I39)*((J39/2)^2+(J39/2)*(K39/2)+(K39/2)^2-(J39/2-L39/1000)^2-(J39/2-L39/1000)*(K39/2-L39/1000)-(K39/2-L39/1000)^2)=0,"",7850/1000*(1/3)*PI()*ABS(H39-I39)*((J39/2)^2+(J39/2)*(K39/2)+(K39/2)^2-(J39/2-L39/1000)^2-(J39/2-L39/1000)*(K39/2-L39/1000)-(K39/2-L39/1000)^2))</f>
        <v>6.8218594478281238</v>
      </c>
      <c r="N39" s="53">
        <f>IFERROR(IF(OR(ISBLANK(WHOLE_STRUCTURE[[#This Row],[Top '[m']]]), ISBLANK(WHOLE_STRUCTURE[[#This Row],[Bottom '[m']]])), "", WHOLE_STRUCTURE[[#This Row],[Top '[m']]] - WHOLE_STRUCTURE[[#This Row],[Bottom '[m']]]),"")</f>
        <v>1.5579999999999927</v>
      </c>
      <c r="O39" s="54">
        <f>IFERROR(-(WHOLE_STRUCTURE[[#This Row],[D, bottom '[m']]]-WHOLE_STRUCTURE[[#This Row],[D, top '[m']]])/(WHOLE_STRUCTURE[[#This Row],[Bottom '[m']]]-WHOLE_STRUCTURE[[#This Row],[Top '[m']]]),"")</f>
        <v>2.3106546854942078E-2</v>
      </c>
      <c r="P39" s="52">
        <f>IFERROR((WHOLE_STRUCTURE[[#This Row],[D, bottom '[m']]]+WHOLE_STRUCTURE[[#This Row],[D, top '[m']]])/(2*WHOLE_STRUCTURE[[#This Row],[t '[mm']]]/1000),"")</f>
        <v>227.46428571428569</v>
      </c>
      <c r="R39" s="51"/>
      <c r="S39" s="51"/>
      <c r="T39" s="51"/>
      <c r="U39" s="51"/>
      <c r="V39" s="51"/>
      <c r="W39" s="51"/>
      <c r="X39" s="51"/>
      <c r="Y39" s="51"/>
      <c r="Z39" s="51"/>
      <c r="AA39" s="51"/>
    </row>
    <row r="40" spans="1:44" x14ac:dyDescent="0.3">
      <c r="E40" s="51">
        <v>34</v>
      </c>
      <c r="F40" s="51" t="s">
        <v>71</v>
      </c>
      <c r="G40" s="51">
        <v>34</v>
      </c>
      <c r="H40" s="51">
        <v>94.89200000000001</v>
      </c>
      <c r="I40" s="51">
        <v>93.728000000000009</v>
      </c>
      <c r="J40" s="51">
        <v>6.3869999999999996</v>
      </c>
      <c r="K40" s="51">
        <v>6.4139999999999997</v>
      </c>
      <c r="L40" s="51">
        <v>28</v>
      </c>
      <c r="M40" s="54">
        <f t="shared" si="1"/>
        <v>5.1220095660448148</v>
      </c>
      <c r="N40" s="53">
        <f>IFERROR(IF(OR(ISBLANK(WHOLE_STRUCTURE[[#This Row],[Top '[m']]]), ISBLANK(WHOLE_STRUCTURE[[#This Row],[Bottom '[m']]])), "", WHOLE_STRUCTURE[[#This Row],[Top '[m']]] - WHOLE_STRUCTURE[[#This Row],[Bottom '[m']]]),"")</f>
        <v>1.1640000000000015</v>
      </c>
      <c r="O40" s="54">
        <f>IFERROR(-(WHOLE_STRUCTURE[[#This Row],[D, bottom '[m']]]-WHOLE_STRUCTURE[[#This Row],[D, top '[m']]])/(WHOLE_STRUCTURE[[#This Row],[Bottom '[m']]]-WHOLE_STRUCTURE[[#This Row],[Top '[m']]]),"")</f>
        <v>2.3195876288659881E-2</v>
      </c>
      <c r="P40" s="52">
        <f>IFERROR((WHOLE_STRUCTURE[[#This Row],[D, bottom '[m']]]+WHOLE_STRUCTURE[[#This Row],[D, top '[m']]])/(2*WHOLE_STRUCTURE[[#This Row],[t '[mm']]]/1000),"")</f>
        <v>228.58928571428569</v>
      </c>
      <c r="R40" s="51"/>
      <c r="S40" s="51"/>
      <c r="T40" s="51"/>
      <c r="U40" s="51"/>
      <c r="V40" s="51"/>
      <c r="W40" s="51"/>
      <c r="X40" s="51"/>
      <c r="Y40" s="51"/>
      <c r="Z40" s="51"/>
      <c r="AA40" s="51"/>
    </row>
    <row r="41" spans="1:44" x14ac:dyDescent="0.3">
      <c r="E41" s="51">
        <v>35</v>
      </c>
      <c r="F41" s="51" t="s">
        <v>71</v>
      </c>
      <c r="G41" s="51">
        <v>35</v>
      </c>
      <c r="H41" s="51">
        <v>93.728000000000009</v>
      </c>
      <c r="I41" s="51">
        <v>91.006</v>
      </c>
      <c r="J41" s="51">
        <v>6.4139999999999997</v>
      </c>
      <c r="K41" s="51">
        <v>6.4749999999999996</v>
      </c>
      <c r="L41" s="51">
        <v>28.6</v>
      </c>
      <c r="M41" s="54">
        <f t="shared" si="1"/>
        <v>12.317746718159135</v>
      </c>
      <c r="N41" s="53">
        <f>IFERROR(IF(OR(ISBLANK(WHOLE_STRUCTURE[[#This Row],[Top '[m']]]), ISBLANK(WHOLE_STRUCTURE[[#This Row],[Bottom '[m']]])), "", WHOLE_STRUCTURE[[#This Row],[Top '[m']]] - WHOLE_STRUCTURE[[#This Row],[Bottom '[m']]]),"")</f>
        <v>2.7220000000000084</v>
      </c>
      <c r="O41" s="54">
        <f>IFERROR(-(WHOLE_STRUCTURE[[#This Row],[D, bottom '[m']]]-WHOLE_STRUCTURE[[#This Row],[D, top '[m']]])/(WHOLE_STRUCTURE[[#This Row],[Bottom '[m']]]-WHOLE_STRUCTURE[[#This Row],[Top '[m']]]),"")</f>
        <v>2.2409992652461335E-2</v>
      </c>
      <c r="P41" s="52">
        <f>IFERROR((WHOLE_STRUCTURE[[#This Row],[D, bottom '[m']]]+WHOLE_STRUCTURE[[#This Row],[D, top '[m']]])/(2*WHOLE_STRUCTURE[[#This Row],[t '[mm']]]/1000),"")</f>
        <v>225.33216783216781</v>
      </c>
      <c r="R41" s="51"/>
      <c r="S41" s="51"/>
      <c r="T41" s="51"/>
      <c r="U41" s="51"/>
      <c r="V41" s="51"/>
      <c r="W41" s="51"/>
      <c r="X41" s="51"/>
      <c r="Y41" s="51"/>
      <c r="Z41" s="51"/>
      <c r="AA41" s="51"/>
    </row>
    <row r="42" spans="1:44" x14ac:dyDescent="0.3">
      <c r="E42" s="51">
        <v>36</v>
      </c>
      <c r="F42" s="51" t="s">
        <v>71</v>
      </c>
      <c r="G42" s="51">
        <v>36</v>
      </c>
      <c r="H42" s="51">
        <v>91.006</v>
      </c>
      <c r="I42" s="51">
        <v>90.9</v>
      </c>
      <c r="J42" s="51">
        <v>6.4749999999999996</v>
      </c>
      <c r="K42" s="51">
        <v>6.4779999999999998</v>
      </c>
      <c r="L42" s="51">
        <v>29.4</v>
      </c>
      <c r="M42" s="54">
        <f t="shared" si="1"/>
        <v>0.49549255301145406</v>
      </c>
      <c r="N42" s="53">
        <f>IFERROR(IF(OR(ISBLANK(WHOLE_STRUCTURE[[#This Row],[Top '[m']]]), ISBLANK(WHOLE_STRUCTURE[[#This Row],[Bottom '[m']]])), "", WHOLE_STRUCTURE[[#This Row],[Top '[m']]] - WHOLE_STRUCTURE[[#This Row],[Bottom '[m']]]),"")</f>
        <v>0.10599999999999454</v>
      </c>
      <c r="O42" s="54">
        <f>IFERROR(-(WHOLE_STRUCTURE[[#This Row],[D, bottom '[m']]]-WHOLE_STRUCTURE[[#This Row],[D, top '[m']]])/(WHOLE_STRUCTURE[[#This Row],[Bottom '[m']]]-WHOLE_STRUCTURE[[#This Row],[Top '[m']]]),"")</f>
        <v>2.830188679245536E-2</v>
      </c>
      <c r="P42" s="52">
        <f>IFERROR((WHOLE_STRUCTURE[[#This Row],[D, bottom '[m']]]+WHOLE_STRUCTURE[[#This Row],[D, top '[m']]])/(2*WHOLE_STRUCTURE[[#This Row],[t '[mm']]]/1000),"")</f>
        <v>220.28911564625849</v>
      </c>
      <c r="R42" s="51"/>
      <c r="S42" s="51"/>
      <c r="T42" s="51"/>
      <c r="U42" s="51"/>
      <c r="V42" s="51"/>
      <c r="W42" s="51"/>
      <c r="X42" s="51"/>
      <c r="Y42" s="51"/>
      <c r="Z42" s="51"/>
      <c r="AA42" s="51"/>
    </row>
    <row r="43" spans="1:44" x14ac:dyDescent="0.3">
      <c r="E43" s="51">
        <v>37</v>
      </c>
      <c r="F43" s="51" t="s">
        <v>71</v>
      </c>
      <c r="G43" s="51">
        <v>37</v>
      </c>
      <c r="H43" s="51">
        <v>90.9</v>
      </c>
      <c r="I43" s="51">
        <v>88.284000000000006</v>
      </c>
      <c r="J43" s="51">
        <v>6.4779999999999998</v>
      </c>
      <c r="K43" s="51">
        <v>6.5380000000000003</v>
      </c>
      <c r="L43" s="51">
        <v>29.4</v>
      </c>
      <c r="M43" s="54">
        <f t="shared" si="1"/>
        <v>12.288129120958363</v>
      </c>
      <c r="N43" s="53">
        <f>IFERROR(IF(OR(ISBLANK(WHOLE_STRUCTURE[[#This Row],[Top '[m']]]), ISBLANK(WHOLE_STRUCTURE[[#This Row],[Bottom '[m']]])), "", WHOLE_STRUCTURE[[#This Row],[Top '[m']]] - WHOLE_STRUCTURE[[#This Row],[Bottom '[m']]]),"")</f>
        <v>2.6159999999999997</v>
      </c>
      <c r="O43" s="54">
        <f>IFERROR(-(WHOLE_STRUCTURE[[#This Row],[D, bottom '[m']]]-WHOLE_STRUCTURE[[#This Row],[D, top '[m']]])/(WHOLE_STRUCTURE[[#This Row],[Bottom '[m']]]-WHOLE_STRUCTURE[[#This Row],[Top '[m']]]),"")</f>
        <v>2.2935779816513954E-2</v>
      </c>
      <c r="P43" s="52">
        <f>IFERROR((WHOLE_STRUCTURE[[#This Row],[D, bottom '[m']]]+WHOLE_STRUCTURE[[#This Row],[D, top '[m']]])/(2*WHOLE_STRUCTURE[[#This Row],[t '[mm']]]/1000),"")</f>
        <v>221.36054421768708</v>
      </c>
      <c r="R43" s="51"/>
      <c r="S43" s="51"/>
      <c r="T43" s="51"/>
      <c r="U43" s="51"/>
      <c r="V43" s="51"/>
      <c r="W43" s="51"/>
      <c r="X43" s="51"/>
      <c r="Y43" s="51"/>
      <c r="Z43" s="51"/>
      <c r="AA43" s="51"/>
    </row>
    <row r="44" spans="1:44" x14ac:dyDescent="0.3">
      <c r="E44" s="51">
        <v>38</v>
      </c>
      <c r="F44" s="51" t="s">
        <v>71</v>
      </c>
      <c r="G44" s="51">
        <v>38</v>
      </c>
      <c r="H44" s="51">
        <v>88.284000000000006</v>
      </c>
      <c r="I44" s="51">
        <v>86.671000000000006</v>
      </c>
      <c r="J44" s="51">
        <v>6.5380000000000003</v>
      </c>
      <c r="K44" s="51">
        <v>6.5739999999999998</v>
      </c>
      <c r="L44" s="51">
        <v>29.5</v>
      </c>
      <c r="M44" s="54">
        <f t="shared" si="1"/>
        <v>7.6587211107854793</v>
      </c>
      <c r="N44" s="53">
        <f>IFERROR(IF(OR(ISBLANK(WHOLE_STRUCTURE[[#This Row],[Top '[m']]]), ISBLANK(WHOLE_STRUCTURE[[#This Row],[Bottom '[m']]])), "", WHOLE_STRUCTURE[[#This Row],[Top '[m']]] - WHOLE_STRUCTURE[[#This Row],[Bottom '[m']]]),"")</f>
        <v>1.6129999999999995</v>
      </c>
      <c r="O44" s="54">
        <f>IFERROR(-(WHOLE_STRUCTURE[[#This Row],[D, bottom '[m']]]-WHOLE_STRUCTURE[[#This Row],[D, top '[m']]])/(WHOLE_STRUCTURE[[#This Row],[Bottom '[m']]]-WHOLE_STRUCTURE[[#This Row],[Top '[m']]]),"")</f>
        <v>2.2318660880346931E-2</v>
      </c>
      <c r="P44" s="52">
        <f>IFERROR((WHOLE_STRUCTURE[[#This Row],[D, bottom '[m']]]+WHOLE_STRUCTURE[[#This Row],[D, top '[m']]])/(2*WHOLE_STRUCTURE[[#This Row],[t '[mm']]]/1000),"")</f>
        <v>222.23728813559325</v>
      </c>
      <c r="R44" s="51"/>
      <c r="S44" s="51"/>
      <c r="T44" s="51"/>
      <c r="U44" s="51"/>
      <c r="V44" s="51"/>
      <c r="W44" s="51"/>
      <c r="X44" s="51"/>
      <c r="Y44" s="51"/>
      <c r="Z44" s="51"/>
      <c r="AA44" s="51"/>
    </row>
    <row r="45" spans="1:44" x14ac:dyDescent="0.3">
      <c r="E45" s="51">
        <v>39</v>
      </c>
      <c r="F45" s="51" t="s">
        <v>71</v>
      </c>
      <c r="G45" s="51">
        <v>39</v>
      </c>
      <c r="H45" s="51">
        <v>86.671000000000006</v>
      </c>
      <c r="I45" s="51">
        <v>85.562000000000012</v>
      </c>
      <c r="J45" s="51">
        <v>6.5739999999999998</v>
      </c>
      <c r="K45" s="51">
        <v>6.601</v>
      </c>
      <c r="L45" s="51">
        <v>29.5</v>
      </c>
      <c r="M45" s="54">
        <f t="shared" si="1"/>
        <v>5.2910821427568031</v>
      </c>
      <c r="N45" s="53">
        <f>IFERROR(IF(OR(ISBLANK(WHOLE_STRUCTURE[[#This Row],[Top '[m']]]), ISBLANK(WHOLE_STRUCTURE[[#This Row],[Bottom '[m']]])), "", WHOLE_STRUCTURE[[#This Row],[Top '[m']]] - WHOLE_STRUCTURE[[#This Row],[Bottom '[m']]]),"")</f>
        <v>1.1089999999999947</v>
      </c>
      <c r="O45" s="54">
        <f>IFERROR(-(WHOLE_STRUCTURE[[#This Row],[D, bottom '[m']]]-WHOLE_STRUCTURE[[#This Row],[D, top '[m']]])/(WHOLE_STRUCTURE[[#This Row],[Bottom '[m']]]-WHOLE_STRUCTURE[[#This Row],[Top '[m']]]),"")</f>
        <v>2.4346257889991223E-2</v>
      </c>
      <c r="P45" s="52">
        <f>IFERROR((WHOLE_STRUCTURE[[#This Row],[D, bottom '[m']]]+WHOLE_STRUCTURE[[#This Row],[D, top '[m']]])/(2*WHOLE_STRUCTURE[[#This Row],[t '[mm']]]/1000),"")</f>
        <v>223.30508474576274</v>
      </c>
      <c r="R45" s="51"/>
      <c r="S45" s="51"/>
      <c r="T45" s="51"/>
      <c r="U45" s="51"/>
      <c r="V45" s="51"/>
      <c r="W45" s="51"/>
      <c r="X45" s="51"/>
      <c r="Y45" s="51"/>
      <c r="Z45" s="51"/>
      <c r="AA45" s="51"/>
    </row>
    <row r="46" spans="1:44" x14ac:dyDescent="0.3">
      <c r="E46" s="51">
        <v>40</v>
      </c>
      <c r="F46" s="51" t="s">
        <v>71</v>
      </c>
      <c r="G46" s="51">
        <v>40</v>
      </c>
      <c r="H46" s="51">
        <v>85.562000000000012</v>
      </c>
      <c r="I46" s="51">
        <v>82.84</v>
      </c>
      <c r="J46" s="51">
        <v>6.601</v>
      </c>
      <c r="K46" s="51">
        <v>6.6619999999999999</v>
      </c>
      <c r="L46" s="51">
        <v>31.5</v>
      </c>
      <c r="M46" s="54">
        <f t="shared" si="1"/>
        <v>13.956037882640588</v>
      </c>
      <c r="N46" s="53">
        <f>IFERROR(IF(OR(ISBLANK(WHOLE_STRUCTURE[[#This Row],[Top '[m']]]), ISBLANK(WHOLE_STRUCTURE[[#This Row],[Bottom '[m']]])), "", WHOLE_STRUCTURE[[#This Row],[Top '[m']]] - WHOLE_STRUCTURE[[#This Row],[Bottom '[m']]]),"")</f>
        <v>2.7220000000000084</v>
      </c>
      <c r="O46" s="54">
        <f>IFERROR(-(WHOLE_STRUCTURE[[#This Row],[D, bottom '[m']]]-WHOLE_STRUCTURE[[#This Row],[D, top '[m']]])/(WHOLE_STRUCTURE[[#This Row],[Bottom '[m']]]-WHOLE_STRUCTURE[[#This Row],[Top '[m']]]),"")</f>
        <v>2.2409992652461335E-2</v>
      </c>
      <c r="P46" s="52">
        <f>IFERROR((WHOLE_STRUCTURE[[#This Row],[D, bottom '[m']]]+WHOLE_STRUCTURE[[#This Row],[D, top '[m']]])/(2*WHOLE_STRUCTURE[[#This Row],[t '[mm']]]/1000),"")</f>
        <v>210.52380952380952</v>
      </c>
      <c r="R46" s="51"/>
      <c r="S46" s="51"/>
      <c r="T46" s="51"/>
      <c r="U46" s="51"/>
      <c r="V46" s="51"/>
      <c r="W46" s="51"/>
      <c r="X46" s="51"/>
      <c r="Y46" s="51"/>
      <c r="Z46" s="51"/>
      <c r="AA46" s="51"/>
    </row>
    <row r="47" spans="1:44" x14ac:dyDescent="0.3">
      <c r="E47" s="51">
        <v>41</v>
      </c>
      <c r="F47" s="51" t="s">
        <v>71</v>
      </c>
      <c r="G47" s="51">
        <v>41</v>
      </c>
      <c r="H47" s="51">
        <v>82.84</v>
      </c>
      <c r="I47" s="51">
        <v>82.56</v>
      </c>
      <c r="J47" s="51">
        <v>6.6619999999999999</v>
      </c>
      <c r="K47" s="51">
        <v>6.6689999999999996</v>
      </c>
      <c r="L47" s="51">
        <v>31.2</v>
      </c>
      <c r="M47" s="54">
        <f t="shared" si="1"/>
        <v>1.4293127277149946</v>
      </c>
      <c r="N47" s="53">
        <f>IFERROR(IF(OR(ISBLANK(WHOLE_STRUCTURE[[#This Row],[Top '[m']]]), ISBLANK(WHOLE_STRUCTURE[[#This Row],[Bottom '[m']]])), "", WHOLE_STRUCTURE[[#This Row],[Top '[m']]] - WHOLE_STRUCTURE[[#This Row],[Bottom '[m']]]),"")</f>
        <v>0.28000000000000114</v>
      </c>
      <c r="O47" s="54">
        <f>IFERROR(-(WHOLE_STRUCTURE[[#This Row],[D, bottom '[m']]]-WHOLE_STRUCTURE[[#This Row],[D, top '[m']]])/(WHOLE_STRUCTURE[[#This Row],[Bottom '[m']]]-WHOLE_STRUCTURE[[#This Row],[Top '[m']]]),"")</f>
        <v>2.4999999999998732E-2</v>
      </c>
      <c r="P47" s="52">
        <f>IFERROR((WHOLE_STRUCTURE[[#This Row],[D, bottom '[m']]]+WHOLE_STRUCTURE[[#This Row],[D, top '[m']]])/(2*WHOLE_STRUCTURE[[#This Row],[t '[mm']]]/1000),"")</f>
        <v>213.63782051282053</v>
      </c>
      <c r="R47" s="51"/>
      <c r="S47" s="51"/>
      <c r="T47" s="51"/>
      <c r="U47" s="51"/>
      <c r="V47" s="51"/>
      <c r="W47" s="51"/>
      <c r="X47" s="51"/>
      <c r="Y47" s="51"/>
      <c r="Z47" s="51"/>
      <c r="AA47" s="51"/>
    </row>
    <row r="48" spans="1:44" x14ac:dyDescent="0.3">
      <c r="E48" s="51">
        <v>42</v>
      </c>
      <c r="F48" s="51" t="s">
        <v>71</v>
      </c>
      <c r="G48" s="51">
        <v>42</v>
      </c>
      <c r="H48" s="51">
        <v>82.56</v>
      </c>
      <c r="I48" s="51">
        <v>80.900000000000006</v>
      </c>
      <c r="J48" s="51">
        <v>6.6689999999999996</v>
      </c>
      <c r="K48" s="51">
        <v>6.7060000000000004</v>
      </c>
      <c r="L48" s="51">
        <v>31.2</v>
      </c>
      <c r="M48" s="54">
        <f t="shared" si="1"/>
        <v>8.5018825076561395</v>
      </c>
      <c r="N48" s="53">
        <f>IFERROR(IF(OR(ISBLANK(WHOLE_STRUCTURE[[#This Row],[Top '[m']]]), ISBLANK(WHOLE_STRUCTURE[[#This Row],[Bottom '[m']]])), "", WHOLE_STRUCTURE[[#This Row],[Top '[m']]] - WHOLE_STRUCTURE[[#This Row],[Bottom '[m']]]),"")</f>
        <v>1.6599999999999966</v>
      </c>
      <c r="O48" s="54">
        <f>IFERROR(-(WHOLE_STRUCTURE[[#This Row],[D, bottom '[m']]]-WHOLE_STRUCTURE[[#This Row],[D, top '[m']]])/(WHOLE_STRUCTURE[[#This Row],[Bottom '[m']]]-WHOLE_STRUCTURE[[#This Row],[Top '[m']]]),"")</f>
        <v>2.2289156626506559E-2</v>
      </c>
      <c r="P48" s="52">
        <f>IFERROR((WHOLE_STRUCTURE[[#This Row],[D, bottom '[m']]]+WHOLE_STRUCTURE[[#This Row],[D, top '[m']]])/(2*WHOLE_STRUCTURE[[#This Row],[t '[mm']]]/1000),"")</f>
        <v>214.34294871794873</v>
      </c>
      <c r="R48" s="51"/>
      <c r="S48" s="51"/>
      <c r="T48" s="51"/>
      <c r="U48" s="51"/>
      <c r="V48" s="51"/>
      <c r="W48" s="51"/>
      <c r="X48" s="51"/>
      <c r="Y48" s="51"/>
      <c r="Z48" s="51"/>
      <c r="AA48" s="51"/>
    </row>
    <row r="49" spans="5:27" x14ac:dyDescent="0.3">
      <c r="E49" s="51">
        <v>43</v>
      </c>
      <c r="F49" s="51" t="s">
        <v>71</v>
      </c>
      <c r="G49" s="51">
        <v>43</v>
      </c>
      <c r="H49" s="51">
        <v>80.900000000000006</v>
      </c>
      <c r="I49" s="51">
        <v>80.118000000000009</v>
      </c>
      <c r="J49" s="51">
        <v>6.7060000000000004</v>
      </c>
      <c r="K49" s="51">
        <v>6.7240000000000002</v>
      </c>
      <c r="L49" s="51">
        <v>31.2</v>
      </c>
      <c r="M49" s="54">
        <f t="shared" si="1"/>
        <v>4.0216504702994413</v>
      </c>
      <c r="N49" s="53">
        <f>IFERROR(IF(OR(ISBLANK(WHOLE_STRUCTURE[[#This Row],[Top '[m']]]), ISBLANK(WHOLE_STRUCTURE[[#This Row],[Bottom '[m']]])), "", WHOLE_STRUCTURE[[#This Row],[Top '[m']]] - WHOLE_STRUCTURE[[#This Row],[Bottom '[m']]]),"")</f>
        <v>0.78199999999999648</v>
      </c>
      <c r="O49" s="54">
        <f>IFERROR(-(WHOLE_STRUCTURE[[#This Row],[D, bottom '[m']]]-WHOLE_STRUCTURE[[#This Row],[D, top '[m']]])/(WHOLE_STRUCTURE[[#This Row],[Bottom '[m']]]-WHOLE_STRUCTURE[[#This Row],[Top '[m']]]),"")</f>
        <v>2.3017902813299074E-2</v>
      </c>
      <c r="P49" s="52">
        <f>IFERROR((WHOLE_STRUCTURE[[#This Row],[D, bottom '[m']]]+WHOLE_STRUCTURE[[#This Row],[D, top '[m']]])/(2*WHOLE_STRUCTURE[[#This Row],[t '[mm']]]/1000),"")</f>
        <v>215.22435897435898</v>
      </c>
      <c r="R49" s="51"/>
      <c r="S49" s="51"/>
      <c r="T49" s="51"/>
      <c r="U49" s="51"/>
      <c r="V49" s="51"/>
      <c r="W49" s="51"/>
      <c r="X49" s="51"/>
      <c r="Y49" s="51"/>
      <c r="Z49" s="51"/>
      <c r="AA49" s="51"/>
    </row>
    <row r="50" spans="5:27" x14ac:dyDescent="0.3">
      <c r="E50" s="51">
        <v>44</v>
      </c>
      <c r="F50" s="51" t="s">
        <v>71</v>
      </c>
      <c r="G50" s="51">
        <v>44</v>
      </c>
      <c r="H50" s="51">
        <v>80.118000000000009</v>
      </c>
      <c r="I50" s="51">
        <v>78.45</v>
      </c>
      <c r="J50" s="51">
        <v>6.7240000000000002</v>
      </c>
      <c r="K50" s="51">
        <v>6.7619999999999996</v>
      </c>
      <c r="L50" s="51">
        <v>31.7</v>
      </c>
      <c r="M50" s="54">
        <f t="shared" si="1"/>
        <v>8.751479715240583</v>
      </c>
      <c r="N50" s="53">
        <f>IFERROR(IF(OR(ISBLANK(WHOLE_STRUCTURE[[#This Row],[Top '[m']]]), ISBLANK(WHOLE_STRUCTURE[[#This Row],[Bottom '[m']]])), "", WHOLE_STRUCTURE[[#This Row],[Top '[m']]] - WHOLE_STRUCTURE[[#This Row],[Bottom '[m']]]),"")</f>
        <v>1.6680000000000064</v>
      </c>
      <c r="O50" s="54">
        <f>IFERROR(-(WHOLE_STRUCTURE[[#This Row],[D, bottom '[m']]]-WHOLE_STRUCTURE[[#This Row],[D, top '[m']]])/(WHOLE_STRUCTURE[[#This Row],[Bottom '[m']]]-WHOLE_STRUCTURE[[#This Row],[Top '[m']]]),"")</f>
        <v>2.2781774580335264E-2</v>
      </c>
      <c r="P50" s="52">
        <f>IFERROR((WHOLE_STRUCTURE[[#This Row],[D, bottom '[m']]]+WHOLE_STRUCTURE[[#This Row],[D, top '[m']]])/(2*WHOLE_STRUCTURE[[#This Row],[t '[mm']]]/1000),"")</f>
        <v>212.71293375394325</v>
      </c>
      <c r="R50" s="51"/>
      <c r="S50" s="51"/>
      <c r="T50" s="51"/>
      <c r="U50" s="51"/>
      <c r="V50" s="51"/>
      <c r="W50" s="51"/>
      <c r="X50" s="51"/>
      <c r="Y50" s="51"/>
      <c r="Z50" s="51"/>
      <c r="AA50" s="51"/>
    </row>
    <row r="51" spans="5:27" x14ac:dyDescent="0.3">
      <c r="E51" s="51">
        <v>45</v>
      </c>
      <c r="F51" s="51" t="s">
        <v>71</v>
      </c>
      <c r="G51" s="51">
        <v>45</v>
      </c>
      <c r="H51" s="51">
        <v>78.45</v>
      </c>
      <c r="I51" s="51">
        <v>77.396000000000001</v>
      </c>
      <c r="J51" s="51">
        <v>6.7619999999999996</v>
      </c>
      <c r="K51" s="51">
        <v>6.7859999999999996</v>
      </c>
      <c r="L51" s="51">
        <v>31.7</v>
      </c>
      <c r="M51" s="54">
        <f t="shared" si="1"/>
        <v>5.5555553031988758</v>
      </c>
      <c r="N51" s="53">
        <f>IFERROR(IF(OR(ISBLANK(WHOLE_STRUCTURE[[#This Row],[Top '[m']]]), ISBLANK(WHOLE_STRUCTURE[[#This Row],[Bottom '[m']]])), "", WHOLE_STRUCTURE[[#This Row],[Top '[m']]] - WHOLE_STRUCTURE[[#This Row],[Bottom '[m']]]),"")</f>
        <v>1.054000000000002</v>
      </c>
      <c r="O51" s="54">
        <f>IFERROR(-(WHOLE_STRUCTURE[[#This Row],[D, bottom '[m']]]-WHOLE_STRUCTURE[[#This Row],[D, top '[m']]])/(WHOLE_STRUCTURE[[#This Row],[Bottom '[m']]]-WHOLE_STRUCTURE[[#This Row],[Top '[m']]]),"")</f>
        <v>2.277039848197341E-2</v>
      </c>
      <c r="P51" s="52">
        <f>IFERROR((WHOLE_STRUCTURE[[#This Row],[D, bottom '[m']]]+WHOLE_STRUCTURE[[#This Row],[D, top '[m']]])/(2*WHOLE_STRUCTURE[[#This Row],[t '[mm']]]/1000),"")</f>
        <v>213.69085173501574</v>
      </c>
      <c r="R51" s="51"/>
      <c r="S51" s="51"/>
      <c r="T51" s="51"/>
      <c r="U51" s="51"/>
      <c r="V51" s="51"/>
      <c r="W51" s="51"/>
      <c r="X51" s="51"/>
      <c r="Y51" s="51"/>
      <c r="Z51" s="51"/>
      <c r="AA51" s="51"/>
    </row>
    <row r="52" spans="5:27" x14ac:dyDescent="0.3">
      <c r="E52" s="51">
        <v>46</v>
      </c>
      <c r="F52" s="51" t="s">
        <v>71</v>
      </c>
      <c r="G52" s="51">
        <v>46</v>
      </c>
      <c r="H52" s="51">
        <v>77.396000000000001</v>
      </c>
      <c r="I52" s="51">
        <v>74.674000000000007</v>
      </c>
      <c r="J52" s="51">
        <v>6.7859999999999996</v>
      </c>
      <c r="K52" s="51">
        <v>6.8479999999999999</v>
      </c>
      <c r="L52" s="51">
        <v>32.200000000000003</v>
      </c>
      <c r="M52" s="54">
        <f t="shared" si="1"/>
        <v>14.665624875429092</v>
      </c>
      <c r="N52" s="53">
        <f>IFERROR(IF(OR(ISBLANK(WHOLE_STRUCTURE[[#This Row],[Top '[m']]]), ISBLANK(WHOLE_STRUCTURE[[#This Row],[Bottom '[m']]])), "", WHOLE_STRUCTURE[[#This Row],[Top '[m']]] - WHOLE_STRUCTURE[[#This Row],[Bottom '[m']]]),"")</f>
        <v>2.7219999999999942</v>
      </c>
      <c r="O52" s="54">
        <f>IFERROR(-(WHOLE_STRUCTURE[[#This Row],[D, bottom '[m']]]-WHOLE_STRUCTURE[[#This Row],[D, top '[m']]])/(WHOLE_STRUCTURE[[#This Row],[Bottom '[m']]]-WHOLE_STRUCTURE[[#This Row],[Top '[m']]]),"")</f>
        <v>2.2777369581190452E-2</v>
      </c>
      <c r="P52" s="52">
        <f>IFERROR((WHOLE_STRUCTURE[[#This Row],[D, bottom '[m']]]+WHOLE_STRUCTURE[[#This Row],[D, top '[m']]])/(2*WHOLE_STRUCTURE[[#This Row],[t '[mm']]]/1000),"")</f>
        <v>211.70807453416151</v>
      </c>
      <c r="R52" s="51"/>
      <c r="S52" s="51"/>
      <c r="T52" s="51"/>
      <c r="U52" s="51"/>
      <c r="V52" s="51"/>
      <c r="W52" s="51"/>
      <c r="X52" s="51"/>
      <c r="Y52" s="51"/>
      <c r="Z52" s="51"/>
      <c r="AA52" s="51"/>
    </row>
    <row r="53" spans="5:27" x14ac:dyDescent="0.3">
      <c r="E53" s="51">
        <v>47</v>
      </c>
      <c r="F53" s="51" t="s">
        <v>71</v>
      </c>
      <c r="G53" s="51">
        <v>47</v>
      </c>
      <c r="H53" s="51">
        <v>74.674000000000007</v>
      </c>
      <c r="I53" s="51">
        <v>71.951999999999998</v>
      </c>
      <c r="J53" s="51">
        <v>6.8479999999999999</v>
      </c>
      <c r="K53" s="51">
        <v>6.9109999999999996</v>
      </c>
      <c r="L53" s="51">
        <v>32.5</v>
      </c>
      <c r="M53" s="54">
        <f t="shared" si="1"/>
        <v>14.937961615821818</v>
      </c>
      <c r="N53" s="53">
        <f>IFERROR(IF(OR(ISBLANK(WHOLE_STRUCTURE[[#This Row],[Top '[m']]]), ISBLANK(WHOLE_STRUCTURE[[#This Row],[Bottom '[m']]])), "", WHOLE_STRUCTURE[[#This Row],[Top '[m']]] - WHOLE_STRUCTURE[[#This Row],[Bottom '[m']]]),"")</f>
        <v>2.7220000000000084</v>
      </c>
      <c r="O53" s="54">
        <f>IFERROR(-(WHOLE_STRUCTURE[[#This Row],[D, bottom '[m']]]-WHOLE_STRUCTURE[[#This Row],[D, top '[m']]])/(WHOLE_STRUCTURE[[#This Row],[Bottom '[m']]]-WHOLE_STRUCTURE[[#This Row],[Top '[m']]]),"")</f>
        <v>2.3144746509919004E-2</v>
      </c>
      <c r="P53" s="52">
        <f>IFERROR((WHOLE_STRUCTURE[[#This Row],[D, bottom '[m']]]+WHOLE_STRUCTURE[[#This Row],[D, top '[m']]])/(2*WHOLE_STRUCTURE[[#This Row],[t '[mm']]]/1000),"")</f>
        <v>211.67692307692309</v>
      </c>
      <c r="R53" s="51"/>
      <c r="S53" s="51"/>
      <c r="T53" s="51"/>
      <c r="U53" s="51"/>
      <c r="V53" s="51"/>
      <c r="W53" s="51"/>
      <c r="X53" s="51"/>
      <c r="Y53" s="51"/>
      <c r="Z53" s="51"/>
      <c r="AA53" s="51"/>
    </row>
    <row r="54" spans="5:27" x14ac:dyDescent="0.3">
      <c r="E54" s="51">
        <v>48</v>
      </c>
      <c r="F54" s="51" t="s">
        <v>71</v>
      </c>
      <c r="G54" s="51">
        <v>48</v>
      </c>
      <c r="H54" s="51">
        <v>71.951999999999998</v>
      </c>
      <c r="I54" s="51">
        <v>70.900000000000006</v>
      </c>
      <c r="J54" s="51">
        <v>6.9109999999999996</v>
      </c>
      <c r="K54" s="51">
        <v>6.9340000000000002</v>
      </c>
      <c r="L54" s="51">
        <v>33.5</v>
      </c>
      <c r="M54" s="54">
        <f t="shared" si="1"/>
        <v>5.9873722621344063</v>
      </c>
      <c r="N54" s="53">
        <f>IFERROR(IF(OR(ISBLANK(WHOLE_STRUCTURE[[#This Row],[Top '[m']]]), ISBLANK(WHOLE_STRUCTURE[[#This Row],[Bottom '[m']]])), "", WHOLE_STRUCTURE[[#This Row],[Top '[m']]] - WHOLE_STRUCTURE[[#This Row],[Bottom '[m']]]),"")</f>
        <v>1.0519999999999925</v>
      </c>
      <c r="O54" s="54">
        <f>IFERROR(-(WHOLE_STRUCTURE[[#This Row],[D, bottom '[m']]]-WHOLE_STRUCTURE[[#This Row],[D, top '[m']]])/(WHOLE_STRUCTURE[[#This Row],[Bottom '[m']]]-WHOLE_STRUCTURE[[#This Row],[Top '[m']]]),"")</f>
        <v>2.1863117870723137E-2</v>
      </c>
      <c r="P54" s="52">
        <f>IFERROR((WHOLE_STRUCTURE[[#This Row],[D, bottom '[m']]]+WHOLE_STRUCTURE[[#This Row],[D, top '[m']]])/(2*WHOLE_STRUCTURE[[#This Row],[t '[mm']]]/1000),"")</f>
        <v>206.64179104477608</v>
      </c>
      <c r="R54" s="51"/>
      <c r="S54" s="51"/>
      <c r="T54" s="51"/>
      <c r="U54" s="51"/>
      <c r="V54" s="51"/>
      <c r="W54" s="51"/>
      <c r="X54" s="51"/>
      <c r="Y54" s="51"/>
      <c r="Z54" s="51"/>
      <c r="AA54" s="51"/>
    </row>
    <row r="55" spans="5:27" x14ac:dyDescent="0.3">
      <c r="E55" s="51">
        <v>49</v>
      </c>
      <c r="F55" s="51" t="s">
        <v>71</v>
      </c>
      <c r="G55" s="51">
        <v>49</v>
      </c>
      <c r="H55" s="51">
        <v>70.900000000000006</v>
      </c>
      <c r="I55" s="51">
        <v>69.225000000000009</v>
      </c>
      <c r="J55" s="51">
        <v>6.9340000000000002</v>
      </c>
      <c r="K55" s="51">
        <v>6.9720000000000004</v>
      </c>
      <c r="L55" s="51">
        <v>33.5</v>
      </c>
      <c r="M55" s="54">
        <f t="shared" si="1"/>
        <v>9.5753324534747843</v>
      </c>
      <c r="N55" s="53">
        <f>IFERROR(IF(OR(ISBLANK(WHOLE_STRUCTURE[[#This Row],[Top '[m']]]), ISBLANK(WHOLE_STRUCTURE[[#This Row],[Bottom '[m']]])), "", WHOLE_STRUCTURE[[#This Row],[Top '[m']]] - WHOLE_STRUCTURE[[#This Row],[Bottom '[m']]]),"")</f>
        <v>1.6749999999999972</v>
      </c>
      <c r="O55" s="54">
        <f>IFERROR(-(WHOLE_STRUCTURE[[#This Row],[D, bottom '[m']]]-WHOLE_STRUCTURE[[#This Row],[D, top '[m']]])/(WHOLE_STRUCTURE[[#This Row],[Bottom '[m']]]-WHOLE_STRUCTURE[[#This Row],[Top '[m']]]),"")</f>
        <v>2.2686567164179296E-2</v>
      </c>
      <c r="P55" s="52">
        <f>IFERROR((WHOLE_STRUCTURE[[#This Row],[D, bottom '[m']]]+WHOLE_STRUCTURE[[#This Row],[D, top '[m']]])/(2*WHOLE_STRUCTURE[[#This Row],[t '[mm']]]/1000),"")</f>
        <v>207.55223880597015</v>
      </c>
      <c r="R55" s="51"/>
      <c r="S55" s="51"/>
      <c r="T55" s="51"/>
      <c r="U55" s="51"/>
      <c r="V55" s="51"/>
      <c r="W55" s="51"/>
      <c r="X55" s="51"/>
      <c r="Y55" s="51"/>
      <c r="Z55" s="51"/>
      <c r="AA55" s="51"/>
    </row>
    <row r="56" spans="5:27" x14ac:dyDescent="0.3">
      <c r="E56" s="51">
        <v>50</v>
      </c>
      <c r="F56" s="51" t="s">
        <v>71</v>
      </c>
      <c r="G56" s="51">
        <v>50</v>
      </c>
      <c r="H56" s="51">
        <v>69.225000000000009</v>
      </c>
      <c r="I56" s="51">
        <v>66.490000000000009</v>
      </c>
      <c r="J56" s="51">
        <v>6.9720000000000004</v>
      </c>
      <c r="K56" s="51">
        <v>7.0380000000000003</v>
      </c>
      <c r="L56" s="51">
        <v>34</v>
      </c>
      <c r="M56" s="54">
        <f t="shared" si="1"/>
        <v>15.986406792159258</v>
      </c>
      <c r="N56" s="53">
        <f>IFERROR(IF(OR(ISBLANK(WHOLE_STRUCTURE[[#This Row],[Top '[m']]]), ISBLANK(WHOLE_STRUCTURE[[#This Row],[Bottom '[m']]])), "", WHOLE_STRUCTURE[[#This Row],[Top '[m']]] - WHOLE_STRUCTURE[[#This Row],[Bottom '[m']]]),"")</f>
        <v>2.7349999999999994</v>
      </c>
      <c r="O56" s="54">
        <f>IFERROR(-(WHOLE_STRUCTURE[[#This Row],[D, bottom '[m']]]-WHOLE_STRUCTURE[[#This Row],[D, top '[m']]])/(WHOLE_STRUCTURE[[#This Row],[Bottom '[m']]]-WHOLE_STRUCTURE[[#This Row],[Top '[m']]]),"")</f>
        <v>2.4131627056672707E-2</v>
      </c>
      <c r="P56" s="52">
        <f>IFERROR((WHOLE_STRUCTURE[[#This Row],[D, bottom '[m']]]+WHOLE_STRUCTURE[[#This Row],[D, top '[m']]])/(2*WHOLE_STRUCTURE[[#This Row],[t '[mm']]]/1000),"")</f>
        <v>206.02941176470588</v>
      </c>
      <c r="R56" s="51"/>
      <c r="S56" s="51"/>
      <c r="T56" s="51"/>
      <c r="U56" s="51"/>
      <c r="V56" s="51"/>
      <c r="W56" s="51"/>
      <c r="X56" s="51"/>
      <c r="Y56" s="51"/>
      <c r="Z56" s="51"/>
      <c r="AA56" s="51"/>
    </row>
    <row r="57" spans="5:27" x14ac:dyDescent="0.3">
      <c r="E57" s="51">
        <v>51</v>
      </c>
      <c r="F57" s="51" t="s">
        <v>71</v>
      </c>
      <c r="G57" s="51">
        <v>51</v>
      </c>
      <c r="H57" s="51">
        <v>66.490000000000009</v>
      </c>
      <c r="I57" s="51">
        <v>66.445000000000007</v>
      </c>
      <c r="J57" s="51">
        <v>7.0380000000000003</v>
      </c>
      <c r="K57" s="51">
        <v>7.0380000000000003</v>
      </c>
      <c r="L57" s="51">
        <v>38</v>
      </c>
      <c r="M57" s="54">
        <f t="shared" si="1"/>
        <v>0.29519818289824729</v>
      </c>
      <c r="N57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O57" s="54">
        <f>IFERROR(-(WHOLE_STRUCTURE[[#This Row],[D, bottom '[m']]]-WHOLE_STRUCTURE[[#This Row],[D, top '[m']]])/(WHOLE_STRUCTURE[[#This Row],[Bottom '[m']]]-WHOLE_STRUCTURE[[#This Row],[Top '[m']]]),"")</f>
        <v>0</v>
      </c>
      <c r="P57" s="54">
        <f>IFERROR((WHOLE_STRUCTURE[[#This Row],[D, bottom '[m']]]+WHOLE_STRUCTURE[[#This Row],[D, top '[m']]])/(2*WHOLE_STRUCTURE[[#This Row],[t '[mm']]]/1000),"")</f>
        <v>185.21052631578948</v>
      </c>
      <c r="R57" s="51"/>
      <c r="S57" s="51"/>
      <c r="T57" s="51"/>
      <c r="U57" s="51"/>
      <c r="V57" s="51"/>
      <c r="W57" s="51"/>
      <c r="X57" s="51"/>
      <c r="Y57" s="51"/>
      <c r="Z57" s="51"/>
      <c r="AA57" s="51"/>
    </row>
    <row r="58" spans="5:27" x14ac:dyDescent="0.3">
      <c r="E58" s="51">
        <v>52</v>
      </c>
      <c r="F58" s="51" t="s">
        <v>71</v>
      </c>
      <c r="G58" s="51">
        <v>52</v>
      </c>
      <c r="H58" s="51">
        <v>66.445000000000007</v>
      </c>
      <c r="I58" s="51">
        <v>66.260000000000005</v>
      </c>
      <c r="J58" s="51">
        <v>7.0380000000000003</v>
      </c>
      <c r="K58" s="51">
        <v>7.0380000000000003</v>
      </c>
      <c r="L58" s="51">
        <v>38</v>
      </c>
      <c r="M58" s="54">
        <f t="shared" si="1"/>
        <v>1.2135925296927634</v>
      </c>
      <c r="N58" s="53">
        <f>IFERROR(IF(OR(ISBLANK(WHOLE_STRUCTURE[[#This Row],[Top '[m']]]), ISBLANK(WHOLE_STRUCTURE[[#This Row],[Bottom '[m']]])), "", WHOLE_STRUCTURE[[#This Row],[Top '[m']]] - WHOLE_STRUCTURE[[#This Row],[Bottom '[m']]]),"")</f>
        <v>0.18500000000000227</v>
      </c>
      <c r="O58" s="54">
        <f>IFERROR(-(WHOLE_STRUCTURE[[#This Row],[D, bottom '[m']]]-WHOLE_STRUCTURE[[#This Row],[D, top '[m']]])/(WHOLE_STRUCTURE[[#This Row],[Bottom '[m']]]-WHOLE_STRUCTURE[[#This Row],[Top '[m']]]),"")</f>
        <v>0</v>
      </c>
      <c r="P58" s="54">
        <f>IFERROR((WHOLE_STRUCTURE[[#This Row],[D, bottom '[m']]]+WHOLE_STRUCTURE[[#This Row],[D, top '[m']]])/(2*WHOLE_STRUCTURE[[#This Row],[t '[mm']]]/1000),"")</f>
        <v>185.21052631578948</v>
      </c>
      <c r="R58" s="51"/>
      <c r="S58" s="51"/>
      <c r="T58" s="51"/>
      <c r="U58" s="51"/>
      <c r="V58" s="51"/>
      <c r="W58" s="51"/>
      <c r="X58" s="51"/>
      <c r="Y58" s="51"/>
      <c r="Z58" s="51"/>
      <c r="AA58" s="51"/>
    </row>
    <row r="59" spans="5:27" x14ac:dyDescent="0.3">
      <c r="E59" s="51">
        <v>53</v>
      </c>
      <c r="F59" s="51" t="s">
        <v>71</v>
      </c>
      <c r="G59" s="51">
        <v>53</v>
      </c>
      <c r="H59" s="51">
        <v>66.260000000000005</v>
      </c>
      <c r="I59" s="51">
        <v>66.075000000000003</v>
      </c>
      <c r="J59" s="51">
        <v>7.0380000000000003</v>
      </c>
      <c r="K59" s="51">
        <v>7.0380000000000003</v>
      </c>
      <c r="L59" s="51">
        <v>38</v>
      </c>
      <c r="M59" s="54">
        <f t="shared" si="1"/>
        <v>1.2135925296927634</v>
      </c>
      <c r="N59" s="53">
        <f>IFERROR(IF(OR(ISBLANK(WHOLE_STRUCTURE[[#This Row],[Top '[m']]]), ISBLANK(WHOLE_STRUCTURE[[#This Row],[Bottom '[m']]])), "", WHOLE_STRUCTURE[[#This Row],[Top '[m']]] - WHOLE_STRUCTURE[[#This Row],[Bottom '[m']]]),"")</f>
        <v>0.18500000000000227</v>
      </c>
      <c r="O59" s="54">
        <f>IFERROR(-(WHOLE_STRUCTURE[[#This Row],[D, bottom '[m']]]-WHOLE_STRUCTURE[[#This Row],[D, top '[m']]])/(WHOLE_STRUCTURE[[#This Row],[Bottom '[m']]]-WHOLE_STRUCTURE[[#This Row],[Top '[m']]]),"")</f>
        <v>0</v>
      </c>
      <c r="P59" s="54">
        <f>IFERROR((WHOLE_STRUCTURE[[#This Row],[D, bottom '[m']]]+WHOLE_STRUCTURE[[#This Row],[D, top '[m']]])/(2*WHOLE_STRUCTURE[[#This Row],[t '[mm']]]/1000),"")</f>
        <v>185.21052631578948</v>
      </c>
      <c r="R59" s="51"/>
      <c r="S59" s="51"/>
      <c r="T59" s="51"/>
      <c r="U59" s="51"/>
      <c r="V59" s="51"/>
      <c r="W59" s="51"/>
      <c r="X59" s="51"/>
      <c r="Y59" s="51"/>
      <c r="Z59" s="51"/>
      <c r="AA59" s="51"/>
    </row>
    <row r="60" spans="5:27" x14ac:dyDescent="0.3">
      <c r="E60" s="51">
        <v>54</v>
      </c>
      <c r="F60" s="51" t="s">
        <v>71</v>
      </c>
      <c r="G60" s="51">
        <v>54</v>
      </c>
      <c r="H60" s="51">
        <v>66.075000000000003</v>
      </c>
      <c r="I60" s="51">
        <v>66.03</v>
      </c>
      <c r="J60" s="51">
        <v>7.0380000000000003</v>
      </c>
      <c r="K60" s="51">
        <v>7.032</v>
      </c>
      <c r="L60" s="51">
        <v>38</v>
      </c>
      <c r="M60" s="54">
        <f t="shared" si="1"/>
        <v>0.29507166939129226</v>
      </c>
      <c r="N60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O60" s="54">
        <f>IFERROR(-(WHOLE_STRUCTURE[[#This Row],[D, bottom '[m']]]-WHOLE_STRUCTURE[[#This Row],[D, top '[m']]])/(WHOLE_STRUCTURE[[#This Row],[Bottom '[m']]]-WHOLE_STRUCTURE[[#This Row],[Top '[m']]]),"")</f>
        <v>-0.13333333333333333</v>
      </c>
      <c r="P60" s="54">
        <f>IFERROR((WHOLE_STRUCTURE[[#This Row],[D, bottom '[m']]]+WHOLE_STRUCTURE[[#This Row],[D, top '[m']]])/(2*WHOLE_STRUCTURE[[#This Row],[t '[mm']]]/1000),"")</f>
        <v>185.13157894736844</v>
      </c>
      <c r="R60" s="51"/>
      <c r="S60" s="51"/>
      <c r="T60" s="51"/>
      <c r="U60" s="51"/>
      <c r="V60" s="51"/>
      <c r="W60" s="51"/>
      <c r="X60" s="51"/>
      <c r="Y60" s="51"/>
      <c r="Z60" s="51"/>
      <c r="AA60" s="51"/>
    </row>
    <row r="61" spans="5:27" x14ac:dyDescent="0.3">
      <c r="E61" s="51">
        <v>55</v>
      </c>
      <c r="F61" s="51" t="s">
        <v>71</v>
      </c>
      <c r="G61" s="51">
        <v>55</v>
      </c>
      <c r="H61" s="51">
        <v>66.03</v>
      </c>
      <c r="I61" s="51">
        <v>63.308000000000007</v>
      </c>
      <c r="J61" s="51">
        <v>7.032</v>
      </c>
      <c r="K61" s="51">
        <v>7.0759999999999996</v>
      </c>
      <c r="L61" s="51">
        <v>32</v>
      </c>
      <c r="M61" s="54">
        <f t="shared" si="1"/>
        <v>15.0840670340591</v>
      </c>
      <c r="N61" s="53">
        <f>IFERROR(IF(OR(ISBLANK(WHOLE_STRUCTURE[[#This Row],[Top '[m']]]), ISBLANK(WHOLE_STRUCTURE[[#This Row],[Bottom '[m']]])), "", WHOLE_STRUCTURE[[#This Row],[Top '[m']]] - WHOLE_STRUCTURE[[#This Row],[Bottom '[m']]]),"")</f>
        <v>2.7219999999999942</v>
      </c>
      <c r="O61" s="54">
        <f>IFERROR(-(WHOLE_STRUCTURE[[#This Row],[D, bottom '[m']]]-WHOLE_STRUCTURE[[#This Row],[D, top '[m']]])/(WHOLE_STRUCTURE[[#This Row],[Bottom '[m']]]-WHOLE_STRUCTURE[[#This Row],[Top '[m']]]),"")</f>
        <v>1.6164584864070422E-2</v>
      </c>
      <c r="P61" s="54">
        <f>IFERROR((WHOLE_STRUCTURE[[#This Row],[D, bottom '[m']]]+WHOLE_STRUCTURE[[#This Row],[D, top '[m']]])/(2*WHOLE_STRUCTURE[[#This Row],[t '[mm']]]/1000),"")</f>
        <v>220.4375</v>
      </c>
      <c r="R61" s="51"/>
      <c r="S61" s="51"/>
      <c r="T61" s="51"/>
      <c r="U61" s="51"/>
      <c r="V61" s="51"/>
      <c r="W61" s="51"/>
      <c r="X61" s="51"/>
      <c r="Y61" s="51"/>
      <c r="Z61" s="51"/>
      <c r="AA61" s="51"/>
    </row>
    <row r="62" spans="5:27" x14ac:dyDescent="0.3">
      <c r="E62" s="51">
        <v>56</v>
      </c>
      <c r="F62" s="51" t="s">
        <v>71</v>
      </c>
      <c r="G62" s="51">
        <v>56</v>
      </c>
      <c r="H62" s="51">
        <v>63.308000000000007</v>
      </c>
      <c r="I62" s="51">
        <v>62.007000000000005</v>
      </c>
      <c r="J62" s="51">
        <v>7.0759999999999996</v>
      </c>
      <c r="K62" s="51">
        <v>7.0970000000000004</v>
      </c>
      <c r="L62" s="51">
        <v>33</v>
      </c>
      <c r="M62" s="54">
        <f t="shared" si="1"/>
        <v>7.4681913438982228</v>
      </c>
      <c r="N62" s="53">
        <f>IFERROR(IF(OR(ISBLANK(WHOLE_STRUCTURE[[#This Row],[Top '[m']]]), ISBLANK(WHOLE_STRUCTURE[[#This Row],[Bottom '[m']]])), "", WHOLE_STRUCTURE[[#This Row],[Top '[m']]] - WHOLE_STRUCTURE[[#This Row],[Bottom '[m']]]),"")</f>
        <v>1.3010000000000019</v>
      </c>
      <c r="O62" s="54">
        <f>IFERROR(-(WHOLE_STRUCTURE[[#This Row],[D, bottom '[m']]]-WHOLE_STRUCTURE[[#This Row],[D, top '[m']]])/(WHOLE_STRUCTURE[[#This Row],[Bottom '[m']]]-WHOLE_STRUCTURE[[#This Row],[Top '[m']]]),"")</f>
        <v>1.6141429669485598E-2</v>
      </c>
      <c r="P62" s="54">
        <f>IFERROR((WHOLE_STRUCTURE[[#This Row],[D, bottom '[m']]]+WHOLE_STRUCTURE[[#This Row],[D, top '[m']]])/(2*WHOLE_STRUCTURE[[#This Row],[t '[mm']]]/1000),"")</f>
        <v>214.74242424242422</v>
      </c>
      <c r="R62" s="51"/>
      <c r="S62" s="51"/>
      <c r="T62" s="51"/>
      <c r="U62" s="51"/>
      <c r="V62" s="51"/>
      <c r="W62" s="51"/>
      <c r="X62" s="51"/>
      <c r="Y62" s="51"/>
      <c r="Z62" s="51"/>
      <c r="AA62" s="51"/>
    </row>
    <row r="63" spans="5:27" x14ac:dyDescent="0.3">
      <c r="E63" s="51">
        <v>57</v>
      </c>
      <c r="F63" s="51" t="s">
        <v>71</v>
      </c>
      <c r="G63" s="51">
        <v>57</v>
      </c>
      <c r="H63" s="51">
        <v>62.007000000000005</v>
      </c>
      <c r="I63" s="51">
        <v>60.900000000000006</v>
      </c>
      <c r="J63" s="51">
        <v>7.0970000000000004</v>
      </c>
      <c r="K63" s="51">
        <v>7.1139999999999999</v>
      </c>
      <c r="L63" s="51">
        <v>33</v>
      </c>
      <c r="M63" s="54">
        <f t="shared" si="1"/>
        <v>6.3716813187634509</v>
      </c>
      <c r="N63" s="53">
        <f>IFERROR(IF(OR(ISBLANK(WHOLE_STRUCTURE[[#This Row],[Top '[m']]]), ISBLANK(WHOLE_STRUCTURE[[#This Row],[Bottom '[m']]])), "", WHOLE_STRUCTURE[[#This Row],[Top '[m']]] - WHOLE_STRUCTURE[[#This Row],[Bottom '[m']]]),"")</f>
        <v>1.1069999999999993</v>
      </c>
      <c r="O63" s="54">
        <f>IFERROR(-(WHOLE_STRUCTURE[[#This Row],[D, bottom '[m']]]-WHOLE_STRUCTURE[[#This Row],[D, top '[m']]])/(WHOLE_STRUCTURE[[#This Row],[Bottom '[m']]]-WHOLE_STRUCTURE[[#This Row],[Top '[m']]]),"")</f>
        <v>1.5356820234868536E-2</v>
      </c>
      <c r="P63" s="54">
        <f>IFERROR((WHOLE_STRUCTURE[[#This Row],[D, bottom '[m']]]+WHOLE_STRUCTURE[[#This Row],[D, top '[m']]])/(2*WHOLE_STRUCTURE[[#This Row],[t '[mm']]]/1000),"")</f>
        <v>215.31818181818181</v>
      </c>
      <c r="R63" s="51"/>
      <c r="S63" s="51"/>
      <c r="T63" s="51"/>
      <c r="U63" s="51"/>
      <c r="V63" s="51"/>
      <c r="W63" s="51"/>
      <c r="X63" s="51"/>
      <c r="Y63" s="51"/>
      <c r="Z63" s="51"/>
      <c r="AA63" s="51"/>
    </row>
    <row r="64" spans="5:27" x14ac:dyDescent="0.3">
      <c r="E64" s="51">
        <v>58</v>
      </c>
      <c r="F64" s="51" t="s">
        <v>71</v>
      </c>
      <c r="G64" s="51">
        <v>58</v>
      </c>
      <c r="H64" s="51">
        <v>60.900000000000006</v>
      </c>
      <c r="I64" s="51">
        <v>60.59</v>
      </c>
      <c r="J64" s="51">
        <v>7.1139999999999999</v>
      </c>
      <c r="K64" s="51">
        <v>7.1189999999999998</v>
      </c>
      <c r="L64" s="51">
        <v>33</v>
      </c>
      <c r="M64" s="54">
        <f t="shared" si="1"/>
        <v>1.7870761604983658</v>
      </c>
      <c r="N64" s="53">
        <f>IFERROR(IF(OR(ISBLANK(WHOLE_STRUCTURE[[#This Row],[Top '[m']]]), ISBLANK(WHOLE_STRUCTURE[[#This Row],[Bottom '[m']]])), "", WHOLE_STRUCTURE[[#This Row],[Top '[m']]] - WHOLE_STRUCTURE[[#This Row],[Bottom '[m']]]),"")</f>
        <v>0.31000000000000227</v>
      </c>
      <c r="O64" s="54">
        <f>IFERROR(-(WHOLE_STRUCTURE[[#This Row],[D, bottom '[m']]]-WHOLE_STRUCTURE[[#This Row],[D, top '[m']]])/(WHOLE_STRUCTURE[[#This Row],[Bottom '[m']]]-WHOLE_STRUCTURE[[#This Row],[Top '[m']]]),"")</f>
        <v>1.6129032258064054E-2</v>
      </c>
      <c r="P64" s="54">
        <f>IFERROR((WHOLE_STRUCTURE[[#This Row],[D, bottom '[m']]]+WHOLE_STRUCTURE[[#This Row],[D, top '[m']]])/(2*WHOLE_STRUCTURE[[#This Row],[t '[mm']]]/1000),"")</f>
        <v>215.65151515151516</v>
      </c>
      <c r="R64" s="51"/>
      <c r="S64" s="51"/>
      <c r="T64" s="51"/>
      <c r="U64" s="51"/>
      <c r="V64" s="51"/>
      <c r="W64" s="51"/>
      <c r="X64" s="51"/>
      <c r="Y64" s="51"/>
      <c r="Z64" s="51"/>
      <c r="AA64" s="51"/>
    </row>
    <row r="65" spans="5:27" x14ac:dyDescent="0.3">
      <c r="E65" s="51">
        <v>59</v>
      </c>
      <c r="F65" s="51" t="s">
        <v>71</v>
      </c>
      <c r="G65" s="51">
        <v>59</v>
      </c>
      <c r="H65" s="51">
        <v>60.59</v>
      </c>
      <c r="I65" s="51">
        <v>57.896000000000001</v>
      </c>
      <c r="J65" s="51">
        <v>7.1189999999999998</v>
      </c>
      <c r="K65" s="51">
        <v>7.1619999999999999</v>
      </c>
      <c r="L65" s="51">
        <v>33</v>
      </c>
      <c r="M65" s="54">
        <f t="shared" si="1"/>
        <v>15.582887276036354</v>
      </c>
      <c r="N65" s="53">
        <f>IFERROR(IF(OR(ISBLANK(WHOLE_STRUCTURE[[#This Row],[Top '[m']]]), ISBLANK(WHOLE_STRUCTURE[[#This Row],[Bottom '[m']]])), "", WHOLE_STRUCTURE[[#This Row],[Top '[m']]] - WHOLE_STRUCTURE[[#This Row],[Bottom '[m']]]),"")</f>
        <v>2.6940000000000026</v>
      </c>
      <c r="O65" s="54">
        <f>IFERROR(-(WHOLE_STRUCTURE[[#This Row],[D, bottom '[m']]]-WHOLE_STRUCTURE[[#This Row],[D, top '[m']]])/(WHOLE_STRUCTURE[[#This Row],[Bottom '[m']]]-WHOLE_STRUCTURE[[#This Row],[Top '[m']]]),"")</f>
        <v>1.5961395694135155E-2</v>
      </c>
      <c r="P65" s="54">
        <f>IFERROR((WHOLE_STRUCTURE[[#This Row],[D, bottom '[m']]]+WHOLE_STRUCTURE[[#This Row],[D, top '[m']]])/(2*WHOLE_STRUCTURE[[#This Row],[t '[mm']]]/1000),"")</f>
        <v>216.37878787878785</v>
      </c>
      <c r="R65" s="51"/>
      <c r="S65" s="51"/>
      <c r="T65" s="51"/>
      <c r="U65" s="51"/>
      <c r="V65" s="51"/>
      <c r="W65" s="51"/>
      <c r="X65" s="51"/>
      <c r="Y65" s="51"/>
      <c r="Z65" s="51"/>
      <c r="AA65" s="51"/>
    </row>
    <row r="66" spans="5:27" x14ac:dyDescent="0.3">
      <c r="E66" s="51">
        <v>60</v>
      </c>
      <c r="F66" s="51" t="s">
        <v>71</v>
      </c>
      <c r="G66" s="51">
        <v>60</v>
      </c>
      <c r="H66" s="51">
        <v>57.896000000000001</v>
      </c>
      <c r="I66" s="51">
        <v>57.872</v>
      </c>
      <c r="J66" s="51">
        <v>7.1619999999999999</v>
      </c>
      <c r="K66" s="51">
        <v>7.1630000000000003</v>
      </c>
      <c r="L66" s="51">
        <v>33</v>
      </c>
      <c r="M66" s="54">
        <f t="shared" si="1"/>
        <v>0.13925275124633829</v>
      </c>
      <c r="N66" s="53">
        <f>IFERROR(IF(OR(ISBLANK(WHOLE_STRUCTURE[[#This Row],[Top '[m']]]), ISBLANK(WHOLE_STRUCTURE[[#This Row],[Bottom '[m']]])), "", WHOLE_STRUCTURE[[#This Row],[Top '[m']]] - WHOLE_STRUCTURE[[#This Row],[Bottom '[m']]]),"")</f>
        <v>2.4000000000000909E-2</v>
      </c>
      <c r="O66" s="54">
        <f>IFERROR(-(WHOLE_STRUCTURE[[#This Row],[D, bottom '[m']]]-WHOLE_STRUCTURE[[#This Row],[D, top '[m']]])/(WHOLE_STRUCTURE[[#This Row],[Bottom '[m']]]-WHOLE_STRUCTURE[[#This Row],[Top '[m']]]),"")</f>
        <v>4.1666666666679002E-2</v>
      </c>
      <c r="P66" s="54">
        <f>IFERROR((WHOLE_STRUCTURE[[#This Row],[D, bottom '[m']]]+WHOLE_STRUCTURE[[#This Row],[D, top '[m']]])/(2*WHOLE_STRUCTURE[[#This Row],[t '[mm']]]/1000),"")</f>
        <v>217.04545454545453</v>
      </c>
      <c r="R66" s="51"/>
      <c r="S66" s="51"/>
      <c r="T66" s="51"/>
      <c r="U66" s="51"/>
      <c r="V66" s="51"/>
      <c r="W66" s="51"/>
      <c r="X66" s="51"/>
      <c r="Y66" s="51"/>
      <c r="Z66" s="51"/>
      <c r="AA66" s="51"/>
    </row>
    <row r="67" spans="5:27" x14ac:dyDescent="0.3">
      <c r="E67" s="51">
        <v>61</v>
      </c>
      <c r="F67" s="51" t="s">
        <v>71</v>
      </c>
      <c r="G67" s="51">
        <v>61</v>
      </c>
      <c r="H67" s="51">
        <v>57.872</v>
      </c>
      <c r="I67" s="51">
        <v>55.153999999999996</v>
      </c>
      <c r="J67" s="51">
        <v>7.1630000000000003</v>
      </c>
      <c r="K67" s="51">
        <v>7.21</v>
      </c>
      <c r="L67" s="51">
        <v>34</v>
      </c>
      <c r="M67" s="54">
        <f t="shared" si="1"/>
        <v>16.300681633570363</v>
      </c>
      <c r="N67" s="53">
        <f>IFERROR(IF(OR(ISBLANK(WHOLE_STRUCTURE[[#This Row],[Top '[m']]]), ISBLANK(WHOLE_STRUCTURE[[#This Row],[Bottom '[m']]])), "", WHOLE_STRUCTURE[[#This Row],[Top '[m']]] - WHOLE_STRUCTURE[[#This Row],[Bottom '[m']]]),"")</f>
        <v>2.7180000000000035</v>
      </c>
      <c r="O67" s="54">
        <f>IFERROR(-(WHOLE_STRUCTURE[[#This Row],[D, bottom '[m']]]-WHOLE_STRUCTURE[[#This Row],[D, top '[m']]])/(WHOLE_STRUCTURE[[#This Row],[Bottom '[m']]]-WHOLE_STRUCTURE[[#This Row],[Top '[m']]]),"")</f>
        <v>1.7292126563649615E-2</v>
      </c>
      <c r="P67" s="54">
        <f>IFERROR((WHOLE_STRUCTURE[[#This Row],[D, bottom '[m']]]+WHOLE_STRUCTURE[[#This Row],[D, top '[m']]])/(2*WHOLE_STRUCTURE[[#This Row],[t '[mm']]]/1000),"")</f>
        <v>211.36764705882354</v>
      </c>
      <c r="R67" s="51"/>
      <c r="S67" s="51"/>
      <c r="T67" s="51"/>
      <c r="U67" s="51"/>
      <c r="V67" s="51"/>
      <c r="W67" s="51"/>
      <c r="X67" s="51"/>
      <c r="Y67" s="51"/>
      <c r="Z67" s="51"/>
      <c r="AA67" s="51"/>
    </row>
    <row r="68" spans="5:27" x14ac:dyDescent="0.3">
      <c r="E68" s="51">
        <v>62</v>
      </c>
      <c r="F68" s="51" t="s">
        <v>71</v>
      </c>
      <c r="G68" s="51">
        <v>62</v>
      </c>
      <c r="H68" s="51">
        <v>55.153999999999996</v>
      </c>
      <c r="I68" s="51">
        <v>53.786000000000001</v>
      </c>
      <c r="J68" s="51">
        <v>7.21</v>
      </c>
      <c r="K68" s="51">
        <v>7.2309999999999999</v>
      </c>
      <c r="L68" s="51">
        <v>38.199999999999996</v>
      </c>
      <c r="M68" s="54">
        <f t="shared" si="1"/>
        <v>9.2561957628509823</v>
      </c>
      <c r="N68" s="53">
        <f>IFERROR(IF(OR(ISBLANK(WHOLE_STRUCTURE[[#This Row],[Top '[m']]]), ISBLANK(WHOLE_STRUCTURE[[#This Row],[Bottom '[m']]])), "", WHOLE_STRUCTURE[[#This Row],[Top '[m']]] - WHOLE_STRUCTURE[[#This Row],[Bottom '[m']]]),"")</f>
        <v>1.367999999999995</v>
      </c>
      <c r="O68" s="54">
        <f>IFERROR(-(WHOLE_STRUCTURE[[#This Row],[D, bottom '[m']]]-WHOLE_STRUCTURE[[#This Row],[D, top '[m']]])/(WHOLE_STRUCTURE[[#This Row],[Bottom '[m']]]-WHOLE_STRUCTURE[[#This Row],[Top '[m']]]),"")</f>
        <v>1.5350877192982445E-2</v>
      </c>
      <c r="P68" s="54">
        <f>IFERROR((WHOLE_STRUCTURE[[#This Row],[D, bottom '[m']]]+WHOLE_STRUCTURE[[#This Row],[D, top '[m']]])/(2*WHOLE_STRUCTURE[[#This Row],[t '[mm']]]/1000),"")</f>
        <v>189.01832460732984</v>
      </c>
      <c r="R68" s="51"/>
      <c r="S68" s="51"/>
      <c r="T68" s="51"/>
      <c r="U68" s="51"/>
      <c r="V68" s="51"/>
      <c r="W68" s="51"/>
      <c r="X68" s="51"/>
      <c r="Y68" s="51"/>
      <c r="Z68" s="51"/>
      <c r="AA68" s="51"/>
    </row>
    <row r="69" spans="5:27" x14ac:dyDescent="0.3">
      <c r="E69" s="51">
        <v>63</v>
      </c>
      <c r="F69" s="51" t="s">
        <v>71</v>
      </c>
      <c r="G69" s="51">
        <v>63</v>
      </c>
      <c r="H69" s="51">
        <v>53.786000000000001</v>
      </c>
      <c r="I69" s="51">
        <v>52.436000000000007</v>
      </c>
      <c r="J69" s="51">
        <v>7.2309999999999999</v>
      </c>
      <c r="K69" s="51">
        <v>7.2519999999999998</v>
      </c>
      <c r="L69" s="51">
        <v>38.199999999999996</v>
      </c>
      <c r="M69" s="54">
        <f t="shared" si="1"/>
        <v>9.1611113805187827</v>
      </c>
      <c r="N69" s="53">
        <f>IFERROR(IF(OR(ISBLANK(WHOLE_STRUCTURE[[#This Row],[Top '[m']]]), ISBLANK(WHOLE_STRUCTURE[[#This Row],[Bottom '[m']]])), "", WHOLE_STRUCTURE[[#This Row],[Top '[m']]] - WHOLE_STRUCTURE[[#This Row],[Bottom '[m']]]),"")</f>
        <v>1.3499999999999943</v>
      </c>
      <c r="O69" s="54">
        <f>IFERROR(-(WHOLE_STRUCTURE[[#This Row],[D, bottom '[m']]]-WHOLE_STRUCTURE[[#This Row],[D, top '[m']]])/(WHOLE_STRUCTURE[[#This Row],[Bottom '[m']]]-WHOLE_STRUCTURE[[#This Row],[Top '[m']]]),"")</f>
        <v>1.5555555555555553E-2</v>
      </c>
      <c r="P69" s="54">
        <f>IFERROR((WHOLE_STRUCTURE[[#This Row],[D, bottom '[m']]]+WHOLE_STRUCTURE[[#This Row],[D, top '[m']]])/(2*WHOLE_STRUCTURE[[#This Row],[t '[mm']]]/1000),"")</f>
        <v>189.56806282722516</v>
      </c>
      <c r="R69" s="51"/>
      <c r="S69" s="51"/>
      <c r="T69" s="51"/>
      <c r="U69" s="51"/>
      <c r="V69" s="51"/>
      <c r="W69" s="51"/>
      <c r="X69" s="51"/>
      <c r="Y69" s="51"/>
      <c r="Z69" s="51"/>
      <c r="AA69" s="51"/>
    </row>
    <row r="70" spans="5:27" x14ac:dyDescent="0.3">
      <c r="E70" s="51">
        <v>64</v>
      </c>
      <c r="F70" s="51" t="s">
        <v>71</v>
      </c>
      <c r="G70" s="51">
        <v>64</v>
      </c>
      <c r="H70" s="51">
        <v>52.436000000000007</v>
      </c>
      <c r="I70" s="51">
        <v>50.900000000000006</v>
      </c>
      <c r="J70" s="51">
        <v>7.2519999999999998</v>
      </c>
      <c r="K70" s="51">
        <v>7.2770000000000001</v>
      </c>
      <c r="L70" s="51">
        <v>38.199999999999996</v>
      </c>
      <c r="M70" s="54">
        <f t="shared" si="1"/>
        <v>10.456590375877102</v>
      </c>
      <c r="N70" s="53">
        <f>IFERROR(IF(OR(ISBLANK(WHOLE_STRUCTURE[[#This Row],[Top '[m']]]), ISBLANK(WHOLE_STRUCTURE[[#This Row],[Bottom '[m']]])), "", WHOLE_STRUCTURE[[#This Row],[Top '[m']]] - WHOLE_STRUCTURE[[#This Row],[Bottom '[m']]]),"")</f>
        <v>1.5360000000000014</v>
      </c>
      <c r="O70" s="54">
        <f>IFERROR(-(WHOLE_STRUCTURE[[#This Row],[D, bottom '[m']]]-WHOLE_STRUCTURE[[#This Row],[D, top '[m']]])/(WHOLE_STRUCTURE[[#This Row],[Bottom '[m']]]-WHOLE_STRUCTURE[[#This Row],[Top '[m']]]),"")</f>
        <v>1.6276041666666883E-2</v>
      </c>
      <c r="P70" s="54">
        <f>IFERROR((WHOLE_STRUCTURE[[#This Row],[D, bottom '[m']]]+WHOLE_STRUCTURE[[#This Row],[D, top '[m']]])/(2*WHOLE_STRUCTURE[[#This Row],[t '[mm']]]/1000),"")</f>
        <v>190.17015706806285</v>
      </c>
      <c r="R70" s="51"/>
      <c r="S70" s="51"/>
      <c r="T70" s="51"/>
      <c r="U70" s="51"/>
      <c r="V70" s="51"/>
      <c r="W70" s="51"/>
      <c r="X70" s="51"/>
      <c r="Y70" s="51"/>
      <c r="Z70" s="51"/>
      <c r="AA70" s="51"/>
    </row>
    <row r="71" spans="5:27" x14ac:dyDescent="0.3">
      <c r="E71" s="51">
        <v>65</v>
      </c>
      <c r="F71" s="51" t="s">
        <v>71</v>
      </c>
      <c r="G71" s="51">
        <v>65</v>
      </c>
      <c r="H71" s="51">
        <v>50.900000000000006</v>
      </c>
      <c r="I71" s="51">
        <v>49.718000000000004</v>
      </c>
      <c r="J71" s="51">
        <v>7.2770000000000001</v>
      </c>
      <c r="K71" s="51">
        <v>7.2919999999999998</v>
      </c>
      <c r="L71" s="51">
        <v>38.199999999999996</v>
      </c>
      <c r="M71" s="54">
        <f t="shared" ref="M71:M102" si="2">IF(7850/1000*(1/3)*PI()*ABS(H71-I71)*((J71/2)^2+(J71/2)*(K71/2)+(K71/2)^2-(J71/2-L71/1000)^2-(J71/2-L71/1000)*(K71/2-L71/1000)-(K71/2-L71/1000)^2)=0,"",7850/1000*(1/3)*PI()*ABS(H71-I71)*((J71/2)^2+(J71/2)*(K71/2)+(K71/2)^2-(J71/2-L71/1000)^2-(J71/2-L71/1000)*(K71/2-L71/1000)-(K71/2-L71/1000)^2))</f>
        <v>8.0689435830434757</v>
      </c>
      <c r="N71" s="53">
        <f>IFERROR(IF(OR(ISBLANK(WHOLE_STRUCTURE[[#This Row],[Top '[m']]]), ISBLANK(WHOLE_STRUCTURE[[#This Row],[Bottom '[m']]])), "", WHOLE_STRUCTURE[[#This Row],[Top '[m']]] - WHOLE_STRUCTURE[[#This Row],[Bottom '[m']]]),"")</f>
        <v>1.1820000000000022</v>
      </c>
      <c r="O71" s="54">
        <f>IFERROR(-(WHOLE_STRUCTURE[[#This Row],[D, bottom '[m']]]-WHOLE_STRUCTURE[[#This Row],[D, top '[m']]])/(WHOLE_STRUCTURE[[#This Row],[Bottom '[m']]]-WHOLE_STRUCTURE[[#This Row],[Top '[m']]]),"")</f>
        <v>1.2690355329948945E-2</v>
      </c>
      <c r="P71" s="54">
        <f>IFERROR((WHOLE_STRUCTURE[[#This Row],[D, bottom '[m']]]+WHOLE_STRUCTURE[[#This Row],[D, top '[m']]])/(2*WHOLE_STRUCTURE[[#This Row],[t '[mm']]]/1000),"")</f>
        <v>190.69371727748691</v>
      </c>
      <c r="R71" s="51"/>
      <c r="S71" s="51"/>
      <c r="T71" s="51"/>
      <c r="U71" s="51"/>
      <c r="V71" s="51"/>
      <c r="W71" s="51"/>
      <c r="X71" s="51"/>
      <c r="Y71" s="51"/>
      <c r="Z71" s="51"/>
      <c r="AA71" s="51"/>
    </row>
    <row r="72" spans="5:27" x14ac:dyDescent="0.3">
      <c r="E72" s="51">
        <v>66</v>
      </c>
      <c r="F72" s="51" t="s">
        <v>71</v>
      </c>
      <c r="G72" s="51">
        <v>66</v>
      </c>
      <c r="H72" s="51">
        <v>49.718000000000004</v>
      </c>
      <c r="I72" s="51">
        <v>49.674999999999997</v>
      </c>
      <c r="J72" s="51">
        <v>7.2919999999999998</v>
      </c>
      <c r="K72" s="51">
        <v>7.2919999999999998</v>
      </c>
      <c r="L72" s="51">
        <v>34.5</v>
      </c>
      <c r="M72" s="54">
        <f t="shared" si="2"/>
        <v>0.26551809567018186</v>
      </c>
      <c r="N72" s="53">
        <f>IFERROR(IF(OR(ISBLANK(WHOLE_STRUCTURE[[#This Row],[Top '[m']]]), ISBLANK(WHOLE_STRUCTURE[[#This Row],[Bottom '[m']]])), "", WHOLE_STRUCTURE[[#This Row],[Top '[m']]] - WHOLE_STRUCTURE[[#This Row],[Bottom '[m']]]),"")</f>
        <v>4.3000000000006366E-2</v>
      </c>
      <c r="O72" s="54">
        <f>IFERROR(-(WHOLE_STRUCTURE[[#This Row],[D, bottom '[m']]]-WHOLE_STRUCTURE[[#This Row],[D, top '[m']]])/(WHOLE_STRUCTURE[[#This Row],[Bottom '[m']]]-WHOLE_STRUCTURE[[#This Row],[Top '[m']]]),"")</f>
        <v>0</v>
      </c>
      <c r="P72" s="54">
        <f>IFERROR((WHOLE_STRUCTURE[[#This Row],[D, bottom '[m']]]+WHOLE_STRUCTURE[[#This Row],[D, top '[m']]])/(2*WHOLE_STRUCTURE[[#This Row],[t '[mm']]]/1000),"")</f>
        <v>211.36231884057969</v>
      </c>
      <c r="R72" s="51"/>
      <c r="S72" s="51"/>
      <c r="T72" s="51"/>
      <c r="U72" s="51"/>
      <c r="V72" s="51"/>
      <c r="W72" s="51"/>
      <c r="X72" s="51"/>
      <c r="Y72" s="51"/>
      <c r="Z72" s="51"/>
      <c r="AA72" s="51"/>
    </row>
    <row r="73" spans="5:27" x14ac:dyDescent="0.3">
      <c r="E73" s="51">
        <v>67</v>
      </c>
      <c r="F73" s="51" t="s">
        <v>71</v>
      </c>
      <c r="G73" s="51">
        <v>67</v>
      </c>
      <c r="H73" s="51">
        <v>49.674999999999997</v>
      </c>
      <c r="I73" s="51">
        <v>47</v>
      </c>
      <c r="J73" s="51">
        <v>7.2919999999999998</v>
      </c>
      <c r="K73" s="51">
        <v>7.335</v>
      </c>
      <c r="L73" s="51">
        <v>34.5</v>
      </c>
      <c r="M73" s="54">
        <f t="shared" si="2"/>
        <v>16.566628376977938</v>
      </c>
      <c r="N73" s="53">
        <f>IFERROR(IF(OR(ISBLANK(WHOLE_STRUCTURE[[#This Row],[Top '[m']]]), ISBLANK(WHOLE_STRUCTURE[[#This Row],[Bottom '[m']]])), "", WHOLE_STRUCTURE[[#This Row],[Top '[m']]] - WHOLE_STRUCTURE[[#This Row],[Bottom '[m']]]),"")</f>
        <v>2.6749999999999972</v>
      </c>
      <c r="O73" s="54">
        <f>IFERROR(-(WHOLE_STRUCTURE[[#This Row],[D, bottom '[m']]]-WHOLE_STRUCTURE[[#This Row],[D, top '[m']]])/(WHOLE_STRUCTURE[[#This Row],[Bottom '[m']]]-WHOLE_STRUCTURE[[#This Row],[Top '[m']]]),"")</f>
        <v>1.6074766355140258E-2</v>
      </c>
      <c r="P73" s="54">
        <f>IFERROR((WHOLE_STRUCTURE[[#This Row],[D, bottom '[m']]]+WHOLE_STRUCTURE[[#This Row],[D, top '[m']]])/(2*WHOLE_STRUCTURE[[#This Row],[t '[mm']]]/1000),"")</f>
        <v>211.98550724637678</v>
      </c>
      <c r="R73" s="51"/>
      <c r="S73" s="51"/>
      <c r="T73" s="51"/>
      <c r="U73" s="51"/>
      <c r="V73" s="51"/>
      <c r="W73" s="51"/>
      <c r="X73" s="51"/>
      <c r="Y73" s="51"/>
      <c r="Z73" s="51"/>
      <c r="AA73" s="51"/>
    </row>
    <row r="74" spans="5:27" x14ac:dyDescent="0.3">
      <c r="E74" s="51">
        <v>68</v>
      </c>
      <c r="F74" s="51" t="s">
        <v>71</v>
      </c>
      <c r="G74" s="51">
        <v>68</v>
      </c>
      <c r="H74" s="51">
        <v>47</v>
      </c>
      <c r="I74" s="51">
        <v>45.564000000000007</v>
      </c>
      <c r="J74" s="51">
        <v>7.335</v>
      </c>
      <c r="K74" s="51">
        <v>7.3579999999999997</v>
      </c>
      <c r="L74" s="51">
        <v>35</v>
      </c>
      <c r="M74" s="54">
        <f t="shared" si="2"/>
        <v>9.0625099838538912</v>
      </c>
      <c r="N74" s="53">
        <f>IFERROR(IF(OR(ISBLANK(WHOLE_STRUCTURE[[#This Row],[Top '[m']]]), ISBLANK(WHOLE_STRUCTURE[[#This Row],[Bottom '[m']]])), "", WHOLE_STRUCTURE[[#This Row],[Top '[m']]] - WHOLE_STRUCTURE[[#This Row],[Bottom '[m']]]),"")</f>
        <v>1.4359999999999928</v>
      </c>
      <c r="O74" s="54">
        <f>IFERROR(-(WHOLE_STRUCTURE[[#This Row],[D, bottom '[m']]]-WHOLE_STRUCTURE[[#This Row],[D, top '[m']]])/(WHOLE_STRUCTURE[[#This Row],[Bottom '[m']]]-WHOLE_STRUCTURE[[#This Row],[Top '[m']]]),"")</f>
        <v>1.6016713091921868E-2</v>
      </c>
      <c r="P74" s="54">
        <f>IFERROR((WHOLE_STRUCTURE[[#This Row],[D, bottom '[m']]]+WHOLE_STRUCTURE[[#This Row],[D, top '[m']]])/(2*WHOLE_STRUCTURE[[#This Row],[t '[mm']]]/1000),"")</f>
        <v>209.89999999999998</v>
      </c>
      <c r="R74" s="51"/>
      <c r="S74" s="51"/>
      <c r="T74" s="51"/>
      <c r="U74" s="51"/>
      <c r="V74" s="51"/>
      <c r="W74" s="51"/>
      <c r="X74" s="51"/>
      <c r="Y74" s="51"/>
      <c r="Z74" s="51"/>
      <c r="AA74" s="51"/>
    </row>
    <row r="75" spans="5:27" x14ac:dyDescent="0.3">
      <c r="E75" s="51">
        <v>69</v>
      </c>
      <c r="F75" s="51" t="s">
        <v>71</v>
      </c>
      <c r="G75" s="51">
        <v>69</v>
      </c>
      <c r="H75" s="51">
        <v>45.564000000000007</v>
      </c>
      <c r="I75" s="51">
        <v>44.282000000000004</v>
      </c>
      <c r="J75" s="51">
        <v>7.3579999999999997</v>
      </c>
      <c r="K75" s="51">
        <v>7.3789999999999996</v>
      </c>
      <c r="L75" s="51">
        <v>35</v>
      </c>
      <c r="M75" s="54">
        <f t="shared" si="2"/>
        <v>8.1149695638373931</v>
      </c>
      <c r="N75" s="53">
        <f>IFERROR(IF(OR(ISBLANK(WHOLE_STRUCTURE[[#This Row],[Top '[m']]]), ISBLANK(WHOLE_STRUCTURE[[#This Row],[Bottom '[m']]])), "", WHOLE_STRUCTURE[[#This Row],[Top '[m']]] - WHOLE_STRUCTURE[[#This Row],[Bottom '[m']]]),"")</f>
        <v>1.2820000000000036</v>
      </c>
      <c r="O75" s="54">
        <f>IFERROR(-(WHOLE_STRUCTURE[[#This Row],[D, bottom '[m']]]-WHOLE_STRUCTURE[[#This Row],[D, top '[m']]])/(WHOLE_STRUCTURE[[#This Row],[Bottom '[m']]]-WHOLE_STRUCTURE[[#This Row],[Top '[m']]]),"")</f>
        <v>1.6380655226208931E-2</v>
      </c>
      <c r="P75" s="54">
        <f>IFERROR((WHOLE_STRUCTURE[[#This Row],[D, bottom '[m']]]+WHOLE_STRUCTURE[[#This Row],[D, top '[m']]])/(2*WHOLE_STRUCTURE[[#This Row],[t '[mm']]]/1000),"")</f>
        <v>210.52857142857138</v>
      </c>
      <c r="R75" s="51"/>
      <c r="S75" s="51"/>
      <c r="T75" s="51"/>
      <c r="U75" s="51"/>
      <c r="V75" s="51"/>
      <c r="W75" s="51"/>
      <c r="X75" s="51"/>
      <c r="Y75" s="51"/>
      <c r="Z75" s="51"/>
      <c r="AA75" s="51"/>
    </row>
    <row r="76" spans="5:27" x14ac:dyDescent="0.3">
      <c r="E76" s="51">
        <v>70</v>
      </c>
      <c r="F76" s="51" t="s">
        <v>71</v>
      </c>
      <c r="G76" s="51">
        <v>70</v>
      </c>
      <c r="H76" s="51">
        <v>44.282000000000004</v>
      </c>
      <c r="I76" s="51">
        <v>41.561000000000007</v>
      </c>
      <c r="J76" s="51">
        <v>7.3789999999999996</v>
      </c>
      <c r="K76" s="51">
        <v>7.4249999999999998</v>
      </c>
      <c r="L76" s="51">
        <v>35.799999999999997</v>
      </c>
      <c r="M76" s="54">
        <f t="shared" si="2"/>
        <v>17.695979401197722</v>
      </c>
      <c r="N76" s="53">
        <f>IFERROR(IF(OR(ISBLANK(WHOLE_STRUCTURE[[#This Row],[Top '[m']]]), ISBLANK(WHOLE_STRUCTURE[[#This Row],[Bottom '[m']]])), "", WHOLE_STRUCTURE[[#This Row],[Top '[m']]] - WHOLE_STRUCTURE[[#This Row],[Bottom '[m']]]),"")</f>
        <v>2.7209999999999965</v>
      </c>
      <c r="O76" s="54">
        <f>IFERROR(-(WHOLE_STRUCTURE[[#This Row],[D, bottom '[m']]]-WHOLE_STRUCTURE[[#This Row],[D, top '[m']]])/(WHOLE_STRUCTURE[[#This Row],[Bottom '[m']]]-WHOLE_STRUCTURE[[#This Row],[Top '[m']]]),"")</f>
        <v>1.6905549430356603E-2</v>
      </c>
      <c r="P76" s="54">
        <f>IFERROR((WHOLE_STRUCTURE[[#This Row],[D, bottom '[m']]]+WHOLE_STRUCTURE[[#This Row],[D, top '[m']]])/(2*WHOLE_STRUCTURE[[#This Row],[t '[mm']]]/1000),"")</f>
        <v>206.75977653631284</v>
      </c>
      <c r="R76" s="51"/>
      <c r="S76" s="51"/>
      <c r="T76" s="51"/>
      <c r="U76" s="51"/>
      <c r="V76" s="51"/>
      <c r="W76" s="51"/>
      <c r="X76" s="51"/>
      <c r="Y76" s="51"/>
      <c r="Z76" s="51"/>
      <c r="AA76" s="51"/>
    </row>
    <row r="77" spans="5:27" x14ac:dyDescent="0.3">
      <c r="E77" s="51">
        <v>71</v>
      </c>
      <c r="F77" s="51" t="s">
        <v>71</v>
      </c>
      <c r="G77" s="51">
        <v>71</v>
      </c>
      <c r="H77" s="51">
        <v>41.561000000000007</v>
      </c>
      <c r="I77" s="51">
        <v>40.900000000000006</v>
      </c>
      <c r="J77" s="51">
        <v>7.4249999999999998</v>
      </c>
      <c r="K77" s="51">
        <v>7.4349999999999996</v>
      </c>
      <c r="L77" s="51">
        <v>39</v>
      </c>
      <c r="M77" s="54">
        <f t="shared" si="2"/>
        <v>4.6988198876939959</v>
      </c>
      <c r="N77" s="53">
        <f>IFERROR(IF(OR(ISBLANK(WHOLE_STRUCTURE[[#This Row],[Top '[m']]]), ISBLANK(WHOLE_STRUCTURE[[#This Row],[Bottom '[m']]])), "", WHOLE_STRUCTURE[[#This Row],[Top '[m']]] - WHOLE_STRUCTURE[[#This Row],[Bottom '[m']]]),"")</f>
        <v>0.66100000000000136</v>
      </c>
      <c r="O77" s="54">
        <f>IFERROR(-(WHOLE_STRUCTURE[[#This Row],[D, bottom '[m']]]-WHOLE_STRUCTURE[[#This Row],[D, top '[m']]])/(WHOLE_STRUCTURE[[#This Row],[Bottom '[m']]]-WHOLE_STRUCTURE[[#This Row],[Top '[m']]]),"")</f>
        <v>1.5128593040846848E-2</v>
      </c>
      <c r="P77" s="54">
        <f>IFERROR((WHOLE_STRUCTURE[[#This Row],[D, bottom '[m']]]+WHOLE_STRUCTURE[[#This Row],[D, top '[m']]])/(2*WHOLE_STRUCTURE[[#This Row],[t '[mm']]]/1000),"")</f>
        <v>190.5128205128205</v>
      </c>
      <c r="R77" s="51"/>
      <c r="S77" s="51"/>
      <c r="T77" s="51"/>
      <c r="U77" s="51"/>
      <c r="V77" s="51"/>
      <c r="W77" s="51"/>
      <c r="X77" s="51"/>
      <c r="Y77" s="51"/>
      <c r="Z77" s="51"/>
      <c r="AA77" s="51"/>
    </row>
    <row r="78" spans="5:27" x14ac:dyDescent="0.3">
      <c r="E78" s="51">
        <v>72</v>
      </c>
      <c r="F78" s="51" t="s">
        <v>71</v>
      </c>
      <c r="G78" s="51">
        <v>72</v>
      </c>
      <c r="H78" s="51">
        <v>40.900000000000006</v>
      </c>
      <c r="I78" s="51">
        <v>38.775000000000006</v>
      </c>
      <c r="J78" s="51">
        <v>7.4349999999999996</v>
      </c>
      <c r="K78" s="51">
        <v>7.476</v>
      </c>
      <c r="L78" s="51">
        <v>39</v>
      </c>
      <c r="M78" s="54">
        <f t="shared" si="2"/>
        <v>15.158005904941108</v>
      </c>
      <c r="N78" s="53">
        <f>IFERROR(IF(OR(ISBLANK(WHOLE_STRUCTURE[[#This Row],[Top '[m']]]), ISBLANK(WHOLE_STRUCTURE[[#This Row],[Bottom '[m']]])), "", WHOLE_STRUCTURE[[#This Row],[Top '[m']]] - WHOLE_STRUCTURE[[#This Row],[Bottom '[m']]]),"")</f>
        <v>2.125</v>
      </c>
      <c r="O78" s="54">
        <f>IFERROR(-(WHOLE_STRUCTURE[[#This Row],[D, bottom '[m']]]-WHOLE_STRUCTURE[[#This Row],[D, top '[m']]])/(WHOLE_STRUCTURE[[#This Row],[Bottom '[m']]]-WHOLE_STRUCTURE[[#This Row],[Top '[m']]]),"")</f>
        <v>1.9294117647058996E-2</v>
      </c>
      <c r="P78" s="54">
        <f>IFERROR((WHOLE_STRUCTURE[[#This Row],[D, bottom '[m']]]+WHOLE_STRUCTURE[[#This Row],[D, top '[m']]])/(2*WHOLE_STRUCTURE[[#This Row],[t '[mm']]]/1000),"")</f>
        <v>191.16666666666666</v>
      </c>
      <c r="R78" s="51"/>
      <c r="S78" s="51"/>
      <c r="T78" s="51"/>
      <c r="U78" s="51"/>
      <c r="V78" s="51"/>
      <c r="W78" s="51"/>
      <c r="X78" s="51"/>
      <c r="Y78" s="51"/>
      <c r="Z78" s="51"/>
      <c r="AA78" s="51"/>
    </row>
    <row r="79" spans="5:27" x14ac:dyDescent="0.3">
      <c r="E79" s="51">
        <v>73</v>
      </c>
      <c r="F79" s="51" t="s">
        <v>71</v>
      </c>
      <c r="G79" s="51">
        <v>73</v>
      </c>
      <c r="H79" s="51">
        <v>38.775000000000006</v>
      </c>
      <c r="I79" s="51">
        <v>38.725000000000001</v>
      </c>
      <c r="J79" s="51">
        <v>7.476</v>
      </c>
      <c r="K79" s="51">
        <v>7.476</v>
      </c>
      <c r="L79" s="51">
        <v>46</v>
      </c>
      <c r="M79" s="54">
        <f t="shared" si="2"/>
        <v>0.42144041332902277</v>
      </c>
      <c r="N79" s="53">
        <f>IFERROR(IF(OR(ISBLANK(WHOLE_STRUCTURE[[#This Row],[Top '[m']]]), ISBLANK(WHOLE_STRUCTURE[[#This Row],[Bottom '[m']]])), "", WHOLE_STRUCTURE[[#This Row],[Top '[m']]] - WHOLE_STRUCTURE[[#This Row],[Bottom '[m']]]),"")</f>
        <v>5.0000000000004263E-2</v>
      </c>
      <c r="O79" s="54">
        <f>IFERROR(-(WHOLE_STRUCTURE[[#This Row],[D, bottom '[m']]]-WHOLE_STRUCTURE[[#This Row],[D, top '[m']]])/(WHOLE_STRUCTURE[[#This Row],[Bottom '[m']]]-WHOLE_STRUCTURE[[#This Row],[Top '[m']]]),"")</f>
        <v>0</v>
      </c>
      <c r="P79" s="54">
        <f>IFERROR((WHOLE_STRUCTURE[[#This Row],[D, bottom '[m']]]+WHOLE_STRUCTURE[[#This Row],[D, top '[m']]])/(2*WHOLE_STRUCTURE[[#This Row],[t '[mm']]]/1000),"")</f>
        <v>162.52173913043478</v>
      </c>
      <c r="R79" s="51"/>
      <c r="S79" s="51"/>
      <c r="T79" s="51"/>
      <c r="U79" s="51"/>
      <c r="V79" s="51"/>
      <c r="W79" s="51"/>
      <c r="X79" s="51"/>
      <c r="Y79" s="51"/>
      <c r="Z79" s="51"/>
      <c r="AA79" s="51"/>
    </row>
    <row r="80" spans="5:27" x14ac:dyDescent="0.3">
      <c r="E80" s="51">
        <v>74</v>
      </c>
      <c r="F80" s="51" t="s">
        <v>71</v>
      </c>
      <c r="G80" s="51">
        <v>74</v>
      </c>
      <c r="H80" s="51">
        <v>38.725000000000001</v>
      </c>
      <c r="I80" s="51">
        <v>38.540000000000006</v>
      </c>
      <c r="J80" s="51">
        <v>7.476</v>
      </c>
      <c r="K80" s="51">
        <v>7.476</v>
      </c>
      <c r="L80" s="51">
        <v>46</v>
      </c>
      <c r="M80" s="54">
        <f t="shared" si="2"/>
        <v>1.5593295293172105</v>
      </c>
      <c r="N80" s="53">
        <f>IFERROR(IF(OR(ISBLANK(WHOLE_STRUCTURE[[#This Row],[Top '[m']]]), ISBLANK(WHOLE_STRUCTURE[[#This Row],[Bottom '[m']]])), "", WHOLE_STRUCTURE[[#This Row],[Top '[m']]] - WHOLE_STRUCTURE[[#This Row],[Bottom '[m']]]),"")</f>
        <v>0.18499999999999517</v>
      </c>
      <c r="O80" s="54">
        <f>IFERROR(-(WHOLE_STRUCTURE[[#This Row],[D, bottom '[m']]]-WHOLE_STRUCTURE[[#This Row],[D, top '[m']]])/(WHOLE_STRUCTURE[[#This Row],[Bottom '[m']]]-WHOLE_STRUCTURE[[#This Row],[Top '[m']]]),"")</f>
        <v>0</v>
      </c>
      <c r="P80" s="54">
        <f>IFERROR((WHOLE_STRUCTURE[[#This Row],[D, bottom '[m']]]+WHOLE_STRUCTURE[[#This Row],[D, top '[m']]])/(2*WHOLE_STRUCTURE[[#This Row],[t '[mm']]]/1000),"")</f>
        <v>162.52173913043478</v>
      </c>
      <c r="R80" s="51"/>
      <c r="S80" s="51"/>
      <c r="T80" s="51"/>
      <c r="U80" s="51"/>
      <c r="V80" s="51"/>
      <c r="W80" s="51"/>
      <c r="X80" s="51"/>
      <c r="Y80" s="51"/>
      <c r="Z80" s="51"/>
      <c r="AA80" s="51"/>
    </row>
    <row r="81" spans="5:27" x14ac:dyDescent="0.3">
      <c r="E81" s="51">
        <v>75</v>
      </c>
      <c r="F81" s="51" t="s">
        <v>71</v>
      </c>
      <c r="G81" s="51">
        <v>75</v>
      </c>
      <c r="H81" s="51">
        <v>38.540000000000006</v>
      </c>
      <c r="I81" s="51">
        <v>38.355000000000004</v>
      </c>
      <c r="J81" s="51">
        <v>7.476</v>
      </c>
      <c r="K81" s="51">
        <v>7.476</v>
      </c>
      <c r="L81" s="51">
        <v>46</v>
      </c>
      <c r="M81" s="54">
        <f t="shared" si="2"/>
        <v>1.5593295293172704</v>
      </c>
      <c r="N81" s="53">
        <f>IFERROR(IF(OR(ISBLANK(WHOLE_STRUCTURE[[#This Row],[Top '[m']]]), ISBLANK(WHOLE_STRUCTURE[[#This Row],[Bottom '[m']]])), "", WHOLE_STRUCTURE[[#This Row],[Top '[m']]] - WHOLE_STRUCTURE[[#This Row],[Bottom '[m']]]),"")</f>
        <v>0.18500000000000227</v>
      </c>
      <c r="O81" s="54">
        <f>IFERROR(-(WHOLE_STRUCTURE[[#This Row],[D, bottom '[m']]]-WHOLE_STRUCTURE[[#This Row],[D, top '[m']]])/(WHOLE_STRUCTURE[[#This Row],[Bottom '[m']]]-WHOLE_STRUCTURE[[#This Row],[Top '[m']]]),"")</f>
        <v>0</v>
      </c>
      <c r="P81" s="54">
        <f>IFERROR((WHOLE_STRUCTURE[[#This Row],[D, bottom '[m']]]+WHOLE_STRUCTURE[[#This Row],[D, top '[m']]])/(2*WHOLE_STRUCTURE[[#This Row],[t '[mm']]]/1000),"")</f>
        <v>162.52173913043478</v>
      </c>
      <c r="V81" s="51"/>
      <c r="W81" s="51"/>
      <c r="X81" s="51"/>
      <c r="Y81" s="51"/>
      <c r="Z81" s="51"/>
      <c r="AA81" s="51"/>
    </row>
    <row r="82" spans="5:27" x14ac:dyDescent="0.3">
      <c r="E82" s="51">
        <v>76</v>
      </c>
      <c r="F82" s="51" t="s">
        <v>71</v>
      </c>
      <c r="G82" s="51">
        <v>76</v>
      </c>
      <c r="H82" s="51">
        <v>38.355000000000004</v>
      </c>
      <c r="I82" s="51">
        <v>38.305000000000007</v>
      </c>
      <c r="J82" s="51">
        <v>7.476</v>
      </c>
      <c r="K82" s="51">
        <v>7.4740000000000002</v>
      </c>
      <c r="L82" s="51">
        <v>46</v>
      </c>
      <c r="M82" s="54">
        <f t="shared" si="2"/>
        <v>0.42138369187360242</v>
      </c>
      <c r="N82" s="53">
        <f>IFERROR(IF(OR(ISBLANK(WHOLE_STRUCTURE[[#This Row],[Top '[m']]]), ISBLANK(WHOLE_STRUCTURE[[#This Row],[Bottom '[m']]])), "", WHOLE_STRUCTURE[[#This Row],[Top '[m']]] - WHOLE_STRUCTURE[[#This Row],[Bottom '[m']]]),"")</f>
        <v>4.9999999999997158E-2</v>
      </c>
      <c r="O82" s="54">
        <f>IFERROR(-(WHOLE_STRUCTURE[[#This Row],[D, bottom '[m']]]-WHOLE_STRUCTURE[[#This Row],[D, top '[m']]])/(WHOLE_STRUCTURE[[#This Row],[Bottom '[m']]]-WHOLE_STRUCTURE[[#This Row],[Top '[m']]]),"")</f>
        <v>-3.9999999999997871E-2</v>
      </c>
      <c r="P82" s="54">
        <f>IFERROR((WHOLE_STRUCTURE[[#This Row],[D, bottom '[m']]]+WHOLE_STRUCTURE[[#This Row],[D, top '[m']]])/(2*WHOLE_STRUCTURE[[#This Row],[t '[mm']]]/1000),"")</f>
        <v>162.5</v>
      </c>
      <c r="V82" s="51"/>
      <c r="W82" s="51"/>
      <c r="X82" s="51"/>
      <c r="Y82" s="51"/>
      <c r="Z82" s="51"/>
      <c r="AA82" s="51"/>
    </row>
    <row r="83" spans="5:27" x14ac:dyDescent="0.3">
      <c r="E83" s="51">
        <v>77</v>
      </c>
      <c r="F83" s="51" t="s">
        <v>71</v>
      </c>
      <c r="G83" s="51">
        <v>77</v>
      </c>
      <c r="H83" s="51">
        <v>38.305000000000007</v>
      </c>
      <c r="I83" s="51">
        <v>37.343000000000004</v>
      </c>
      <c r="J83" s="51">
        <v>7.4740000000000002</v>
      </c>
      <c r="K83" s="51">
        <v>7.4740000000000002</v>
      </c>
      <c r="L83" s="51">
        <v>44.1</v>
      </c>
      <c r="M83" s="54">
        <f t="shared" si="2"/>
        <v>7.7734920638760601</v>
      </c>
      <c r="N83" s="53">
        <f>IFERROR(IF(OR(ISBLANK(WHOLE_STRUCTURE[[#This Row],[Top '[m']]]), ISBLANK(WHOLE_STRUCTURE[[#This Row],[Bottom '[m']]])), "", WHOLE_STRUCTURE[[#This Row],[Top '[m']]] - WHOLE_STRUCTURE[[#This Row],[Bottom '[m']]]),"")</f>
        <v>0.9620000000000033</v>
      </c>
      <c r="O83" s="54">
        <f>IFERROR(-(WHOLE_STRUCTURE[[#This Row],[D, bottom '[m']]]-WHOLE_STRUCTURE[[#This Row],[D, top '[m']]])/(WHOLE_STRUCTURE[[#This Row],[Bottom '[m']]]-WHOLE_STRUCTURE[[#This Row],[Top '[m']]]),"")</f>
        <v>0</v>
      </c>
      <c r="P83" s="54">
        <f>IFERROR((WHOLE_STRUCTURE[[#This Row],[D, bottom '[m']]]+WHOLE_STRUCTURE[[#This Row],[D, top '[m']]])/(2*WHOLE_STRUCTURE[[#This Row],[t '[mm']]]/1000),"")</f>
        <v>169.47845804988663</v>
      </c>
      <c r="V83" s="51"/>
      <c r="W83" s="51"/>
      <c r="X83" s="51"/>
      <c r="Y83" s="51"/>
      <c r="Z83" s="51"/>
      <c r="AA83" s="51"/>
    </row>
    <row r="84" spans="5:27" x14ac:dyDescent="0.3">
      <c r="E84" s="51">
        <v>78</v>
      </c>
      <c r="F84" s="51" t="s">
        <v>71</v>
      </c>
      <c r="G84" s="51">
        <v>78</v>
      </c>
      <c r="H84" s="51">
        <v>37.343000000000004</v>
      </c>
      <c r="I84" s="51">
        <v>35.43</v>
      </c>
      <c r="J84" s="51">
        <v>7.4740000000000002</v>
      </c>
      <c r="K84" s="51">
        <v>7.476</v>
      </c>
      <c r="L84" s="51">
        <v>44.1</v>
      </c>
      <c r="M84" s="54">
        <f t="shared" si="2"/>
        <v>15.460178569581235</v>
      </c>
      <c r="N84" s="53">
        <f>IFERROR(IF(OR(ISBLANK(WHOLE_STRUCTURE[[#This Row],[Top '[m']]]), ISBLANK(WHOLE_STRUCTURE[[#This Row],[Bottom '[m']]])), "", WHOLE_STRUCTURE[[#This Row],[Top '[m']]] - WHOLE_STRUCTURE[[#This Row],[Bottom '[m']]]),"")</f>
        <v>1.9130000000000038</v>
      </c>
      <c r="O84" s="54">
        <f>IFERROR(-(WHOLE_STRUCTURE[[#This Row],[D, bottom '[m']]]-WHOLE_STRUCTURE[[#This Row],[D, top '[m']]])/(WHOLE_STRUCTURE[[#This Row],[Bottom '[m']]]-WHOLE_STRUCTURE[[#This Row],[Top '[m']]]),"")</f>
        <v>1.0454783063250266E-3</v>
      </c>
      <c r="P84" s="54">
        <f>IFERROR((WHOLE_STRUCTURE[[#This Row],[D, bottom '[m']]]+WHOLE_STRUCTURE[[#This Row],[D, top '[m']]])/(2*WHOLE_STRUCTURE[[#This Row],[t '[mm']]]/1000),"")</f>
        <v>169.50113378684807</v>
      </c>
      <c r="V84" s="51"/>
      <c r="W84" s="51"/>
      <c r="X84" s="51"/>
      <c r="Y84" s="51"/>
      <c r="Z84" s="51"/>
      <c r="AA84" s="51"/>
    </row>
    <row r="85" spans="5:27" x14ac:dyDescent="0.3">
      <c r="E85" s="51">
        <v>79</v>
      </c>
      <c r="F85" s="51" t="s">
        <v>71</v>
      </c>
      <c r="G85" s="51">
        <v>79</v>
      </c>
      <c r="H85" s="51">
        <v>35.43</v>
      </c>
      <c r="I85" s="51">
        <v>33.231999999999999</v>
      </c>
      <c r="J85" s="51">
        <v>7.476</v>
      </c>
      <c r="K85" s="51">
        <v>7.476</v>
      </c>
      <c r="L85" s="51">
        <v>45.6</v>
      </c>
      <c r="M85" s="54">
        <f t="shared" si="2"/>
        <v>18.36640910818716</v>
      </c>
      <c r="N85" s="53">
        <f>IFERROR(IF(OR(ISBLANK(WHOLE_STRUCTURE[[#This Row],[Top '[m']]]), ISBLANK(WHOLE_STRUCTURE[[#This Row],[Bottom '[m']]])), "", WHOLE_STRUCTURE[[#This Row],[Top '[m']]] - WHOLE_STRUCTURE[[#This Row],[Bottom '[m']]]),"")</f>
        <v>2.1980000000000004</v>
      </c>
      <c r="O85" s="54">
        <f>IFERROR(-(WHOLE_STRUCTURE[[#This Row],[D, bottom '[m']]]-WHOLE_STRUCTURE[[#This Row],[D, top '[m']]])/(WHOLE_STRUCTURE[[#This Row],[Bottom '[m']]]-WHOLE_STRUCTURE[[#This Row],[Top '[m']]]),"")</f>
        <v>0</v>
      </c>
      <c r="P85" s="54">
        <f>IFERROR((WHOLE_STRUCTURE[[#This Row],[D, bottom '[m']]]+WHOLE_STRUCTURE[[#This Row],[D, top '[m']]])/(2*WHOLE_STRUCTURE[[#This Row],[t '[mm']]]/1000),"")</f>
        <v>163.94736842105263</v>
      </c>
      <c r="V85" s="51"/>
      <c r="W85" s="51"/>
      <c r="X85" s="51"/>
      <c r="Y85" s="51"/>
      <c r="Z85" s="51"/>
      <c r="AA85" s="51"/>
    </row>
    <row r="86" spans="5:27" x14ac:dyDescent="0.3">
      <c r="E86" s="51">
        <v>80</v>
      </c>
      <c r="F86" s="51" t="s">
        <v>71</v>
      </c>
      <c r="G86" s="51">
        <v>80</v>
      </c>
      <c r="H86" s="51">
        <v>33.231999999999999</v>
      </c>
      <c r="I86" s="51">
        <v>32.5</v>
      </c>
      <c r="J86" s="51">
        <v>7.476</v>
      </c>
      <c r="K86" s="51">
        <v>7.4770000000000003</v>
      </c>
      <c r="L86" s="51">
        <v>45.6</v>
      </c>
      <c r="M86" s="54">
        <f t="shared" si="2"/>
        <v>6.1169773172667181</v>
      </c>
      <c r="N86" s="53">
        <f>IFERROR(IF(OR(ISBLANK(WHOLE_STRUCTURE[[#This Row],[Top '[m']]]), ISBLANK(WHOLE_STRUCTURE[[#This Row],[Bottom '[m']]])), "", WHOLE_STRUCTURE[[#This Row],[Top '[m']]] - WHOLE_STRUCTURE[[#This Row],[Bottom '[m']]]),"")</f>
        <v>0.73199999999999932</v>
      </c>
      <c r="O86" s="54">
        <f>IFERROR(-(WHOLE_STRUCTURE[[#This Row],[D, bottom '[m']]]-WHOLE_STRUCTURE[[#This Row],[D, top '[m']]])/(WHOLE_STRUCTURE[[#This Row],[Bottom '[m']]]-WHOLE_STRUCTURE[[#This Row],[Top '[m']]]),"")</f>
        <v>1.3661202185796925E-3</v>
      </c>
      <c r="P86" s="54">
        <f>IFERROR((WHOLE_STRUCTURE[[#This Row],[D, bottom '[m']]]+WHOLE_STRUCTURE[[#This Row],[D, top '[m']]])/(2*WHOLE_STRUCTURE[[#This Row],[t '[mm']]]/1000),"")</f>
        <v>163.95833333333331</v>
      </c>
      <c r="V86" s="51"/>
      <c r="W86" s="51"/>
      <c r="X86" s="51"/>
      <c r="Y86" s="51"/>
      <c r="Z86" s="51"/>
      <c r="AA86" s="51"/>
    </row>
    <row r="87" spans="5:27" x14ac:dyDescent="0.3">
      <c r="E87" s="51">
        <v>81</v>
      </c>
      <c r="F87" s="51" t="s">
        <v>71</v>
      </c>
      <c r="G87" s="51">
        <v>81</v>
      </c>
      <c r="H87" s="51">
        <v>32.5</v>
      </c>
      <c r="I87" s="51">
        <v>30.9</v>
      </c>
      <c r="J87" s="51">
        <v>7.4770000000000003</v>
      </c>
      <c r="K87" s="51">
        <v>7.4770000000000003</v>
      </c>
      <c r="L87" s="51">
        <v>47.1</v>
      </c>
      <c r="M87" s="54">
        <f t="shared" si="2"/>
        <v>13.808400911123877</v>
      </c>
      <c r="N87" s="53">
        <f>IFERROR(IF(OR(ISBLANK(WHOLE_STRUCTURE[[#This Row],[Top '[m']]]), ISBLANK(WHOLE_STRUCTURE[[#This Row],[Bottom '[m']]])), "", WHOLE_STRUCTURE[[#This Row],[Top '[m']]] - WHOLE_STRUCTURE[[#This Row],[Bottom '[m']]]),"")</f>
        <v>1.6000000000000014</v>
      </c>
      <c r="O87" s="54">
        <f>IFERROR(-(WHOLE_STRUCTURE[[#This Row],[D, bottom '[m']]]-WHOLE_STRUCTURE[[#This Row],[D, top '[m']]])/(WHOLE_STRUCTURE[[#This Row],[Bottom '[m']]]-WHOLE_STRUCTURE[[#This Row],[Top '[m']]]),"")</f>
        <v>0</v>
      </c>
      <c r="P87" s="54">
        <f>IFERROR((WHOLE_STRUCTURE[[#This Row],[D, bottom '[m']]]+WHOLE_STRUCTURE[[#This Row],[D, top '[m']]])/(2*WHOLE_STRUCTURE[[#This Row],[t '[mm']]]/1000),"")</f>
        <v>158.74734607218684</v>
      </c>
      <c r="V87" s="51"/>
      <c r="W87" s="51"/>
      <c r="X87" s="51"/>
      <c r="Y87" s="51"/>
      <c r="Z87" s="51"/>
      <c r="AA87" s="51"/>
    </row>
    <row r="88" spans="5:27" x14ac:dyDescent="0.3">
      <c r="E88" s="51">
        <v>82</v>
      </c>
      <c r="F88" s="51" t="s">
        <v>71</v>
      </c>
      <c r="G88" s="51">
        <v>82</v>
      </c>
      <c r="H88" s="51">
        <v>30.9</v>
      </c>
      <c r="I88" s="51">
        <v>29.569999999999997</v>
      </c>
      <c r="J88" s="51">
        <v>7.4770000000000003</v>
      </c>
      <c r="K88" s="51">
        <v>7.4790000000000001</v>
      </c>
      <c r="L88" s="51">
        <v>47.1</v>
      </c>
      <c r="M88" s="54">
        <f t="shared" si="2"/>
        <v>11.47977812786228</v>
      </c>
      <c r="N88" s="53">
        <f>IFERROR(IF(OR(ISBLANK(WHOLE_STRUCTURE[[#This Row],[Top '[m']]]), ISBLANK(WHOLE_STRUCTURE[[#This Row],[Bottom '[m']]])), "", WHOLE_STRUCTURE[[#This Row],[Top '[m']]] - WHOLE_STRUCTURE[[#This Row],[Bottom '[m']]]),"")</f>
        <v>1.3300000000000018</v>
      </c>
      <c r="O88" s="54">
        <f>IFERROR(-(WHOLE_STRUCTURE[[#This Row],[D, bottom '[m']]]-WHOLE_STRUCTURE[[#This Row],[D, top '[m']]])/(WHOLE_STRUCTURE[[#This Row],[Bottom '[m']]]-WHOLE_STRUCTURE[[#This Row],[Top '[m']]]),"")</f>
        <v>1.5037593984960729E-3</v>
      </c>
      <c r="P88" s="54">
        <f>IFERROR((WHOLE_STRUCTURE[[#This Row],[D, bottom '[m']]]+WHOLE_STRUCTURE[[#This Row],[D, top '[m']]])/(2*WHOLE_STRUCTURE[[#This Row],[t '[mm']]]/1000),"")</f>
        <v>158.76857749469212</v>
      </c>
      <c r="V88" s="51"/>
      <c r="W88" s="51"/>
      <c r="X88" s="51"/>
      <c r="Y88" s="51"/>
      <c r="Z88" s="51"/>
      <c r="AA88" s="51"/>
    </row>
    <row r="89" spans="5:27" x14ac:dyDescent="0.3">
      <c r="E89" s="51">
        <v>83</v>
      </c>
      <c r="F89" s="51" t="s">
        <v>71</v>
      </c>
      <c r="G89" s="51">
        <v>83</v>
      </c>
      <c r="H89" s="51">
        <v>29.569999999999997</v>
      </c>
      <c r="I89" s="51">
        <v>29.120999999999999</v>
      </c>
      <c r="J89" s="51">
        <v>7.4790000000000001</v>
      </c>
      <c r="K89" s="51">
        <v>7.4790000000000001</v>
      </c>
      <c r="L89" s="51">
        <v>49</v>
      </c>
      <c r="M89" s="54">
        <f t="shared" si="2"/>
        <v>4.0313524059352366</v>
      </c>
      <c r="N89" s="53">
        <f>IFERROR(IF(OR(ISBLANK(WHOLE_STRUCTURE[[#This Row],[Top '[m']]]), ISBLANK(WHOLE_STRUCTURE[[#This Row],[Bottom '[m']]])), "", WHOLE_STRUCTURE[[#This Row],[Top '[m']]] - WHOLE_STRUCTURE[[#This Row],[Bottom '[m']]]),"")</f>
        <v>0.44899999999999807</v>
      </c>
      <c r="O89" s="54">
        <f>IFERROR(-(WHOLE_STRUCTURE[[#This Row],[D, bottom '[m']]]-WHOLE_STRUCTURE[[#This Row],[D, top '[m']]])/(WHOLE_STRUCTURE[[#This Row],[Bottom '[m']]]-WHOLE_STRUCTURE[[#This Row],[Top '[m']]]),"")</f>
        <v>0</v>
      </c>
      <c r="P89" s="54">
        <f>IFERROR((WHOLE_STRUCTURE[[#This Row],[D, bottom '[m']]]+WHOLE_STRUCTURE[[#This Row],[D, top '[m']]])/(2*WHOLE_STRUCTURE[[#This Row],[t '[mm']]]/1000),"")</f>
        <v>152.63265306122449</v>
      </c>
      <c r="V89" s="51"/>
      <c r="W89" s="51"/>
      <c r="X89" s="51"/>
      <c r="Y89" s="51"/>
      <c r="Z89" s="51"/>
      <c r="AA89" s="51"/>
    </row>
    <row r="90" spans="5:27" x14ac:dyDescent="0.3">
      <c r="E90" s="51">
        <v>84</v>
      </c>
      <c r="F90" s="51" t="s">
        <v>71</v>
      </c>
      <c r="G90" s="51">
        <v>84</v>
      </c>
      <c r="H90" s="51">
        <v>29.120999999999999</v>
      </c>
      <c r="I90" s="51">
        <v>26.639999999999997</v>
      </c>
      <c r="J90" s="51">
        <v>7.4790000000000001</v>
      </c>
      <c r="K90" s="51">
        <v>7.5</v>
      </c>
      <c r="L90" s="51">
        <v>49</v>
      </c>
      <c r="M90" s="54">
        <f t="shared" si="2"/>
        <v>22.307170912766217</v>
      </c>
      <c r="N90" s="53">
        <f>IFERROR(IF(OR(ISBLANK(WHOLE_STRUCTURE[[#This Row],[Top '[m']]]), ISBLANK(WHOLE_STRUCTURE[[#This Row],[Bottom '[m']]])), "", WHOLE_STRUCTURE[[#This Row],[Top '[m']]] - WHOLE_STRUCTURE[[#This Row],[Bottom '[m']]]),"")</f>
        <v>2.4810000000000016</v>
      </c>
      <c r="O90" s="54">
        <f>IFERROR(-(WHOLE_STRUCTURE[[#This Row],[D, bottom '[m']]]-WHOLE_STRUCTURE[[#This Row],[D, top '[m']]])/(WHOLE_STRUCTURE[[#This Row],[Bottom '[m']]]-WHOLE_STRUCTURE[[#This Row],[Top '[m']]]),"")</f>
        <v>8.4643288996371999E-3</v>
      </c>
      <c r="P90" s="54">
        <f>IFERROR((WHOLE_STRUCTURE[[#This Row],[D, bottom '[m']]]+WHOLE_STRUCTURE[[#This Row],[D, top '[m']]])/(2*WHOLE_STRUCTURE[[#This Row],[t '[mm']]]/1000),"")</f>
        <v>152.84693877551018</v>
      </c>
      <c r="V90" s="51"/>
      <c r="W90" s="51"/>
      <c r="X90" s="51"/>
      <c r="Y90" s="51"/>
      <c r="Z90" s="51"/>
      <c r="AA90" s="51"/>
    </row>
    <row r="91" spans="5:27" x14ac:dyDescent="0.3">
      <c r="E91" s="51">
        <v>85</v>
      </c>
      <c r="F91" s="51" t="s">
        <v>71</v>
      </c>
      <c r="G91" s="51">
        <v>85</v>
      </c>
      <c r="H91" s="51">
        <v>26.639999999999997</v>
      </c>
      <c r="I91" s="51">
        <v>25.05</v>
      </c>
      <c r="J91" s="51">
        <v>7.5</v>
      </c>
      <c r="K91" s="51">
        <v>7.5</v>
      </c>
      <c r="L91" s="51">
        <v>70</v>
      </c>
      <c r="M91" s="54">
        <f t="shared" si="2"/>
        <v>20.394051305876623</v>
      </c>
      <c r="N91" s="53">
        <f>IFERROR(IF(OR(ISBLANK(WHOLE_STRUCTURE[[#This Row],[Top '[m']]]), ISBLANK(WHOLE_STRUCTURE[[#This Row],[Bottom '[m']]])), "", WHOLE_STRUCTURE[[#This Row],[Top '[m']]] - WHOLE_STRUCTURE[[#This Row],[Bottom '[m']]]),"")</f>
        <v>1.5899999999999963</v>
      </c>
      <c r="O91" s="54">
        <f>IFERROR(-(WHOLE_STRUCTURE[[#This Row],[D, bottom '[m']]]-WHOLE_STRUCTURE[[#This Row],[D, top '[m']]])/(WHOLE_STRUCTURE[[#This Row],[Bottom '[m']]]-WHOLE_STRUCTURE[[#This Row],[Top '[m']]]),"")</f>
        <v>0</v>
      </c>
      <c r="P91" s="54">
        <f>IFERROR((WHOLE_STRUCTURE[[#This Row],[D, bottom '[m']]]+WHOLE_STRUCTURE[[#This Row],[D, top '[m']]])/(2*WHOLE_STRUCTURE[[#This Row],[t '[mm']]]/1000),"")</f>
        <v>107.14285714285714</v>
      </c>
      <c r="V91" s="51"/>
      <c r="W91" s="51"/>
      <c r="X91" s="51"/>
      <c r="Y91" s="51"/>
      <c r="Z91" s="51"/>
      <c r="AA91" s="51"/>
    </row>
    <row r="92" spans="5:27" x14ac:dyDescent="0.3">
      <c r="E92" s="51">
        <v>86</v>
      </c>
      <c r="F92" s="51" t="s">
        <v>71</v>
      </c>
      <c r="G92" s="51">
        <v>86</v>
      </c>
      <c r="H92" s="51">
        <v>25.05</v>
      </c>
      <c r="I92" s="51">
        <v>25.010999999999999</v>
      </c>
      <c r="J92" s="51">
        <v>7.5</v>
      </c>
      <c r="K92" s="51">
        <v>7.5</v>
      </c>
      <c r="L92" s="51">
        <v>70</v>
      </c>
      <c r="M92" s="54">
        <f t="shared" si="2"/>
        <v>0.50023144712529577</v>
      </c>
      <c r="N92" s="53">
        <f>IFERROR(IF(OR(ISBLANK(WHOLE_STRUCTURE[[#This Row],[Top '[m']]]), ISBLANK(WHOLE_STRUCTURE[[#This Row],[Bottom '[m']]])), "", WHOLE_STRUCTURE[[#This Row],[Top '[m']]] - WHOLE_STRUCTURE[[#This Row],[Bottom '[m']]]),"")</f>
        <v>3.9000000000001478E-2</v>
      </c>
      <c r="O92" s="54">
        <f>IFERROR(-(WHOLE_STRUCTURE[[#This Row],[D, bottom '[m']]]-WHOLE_STRUCTURE[[#This Row],[D, top '[m']]])/(WHOLE_STRUCTURE[[#This Row],[Bottom '[m']]]-WHOLE_STRUCTURE[[#This Row],[Top '[m']]]),"")</f>
        <v>0</v>
      </c>
      <c r="P92" s="54">
        <f>IFERROR((WHOLE_STRUCTURE[[#This Row],[D, bottom '[m']]]+WHOLE_STRUCTURE[[#This Row],[D, top '[m']]])/(2*WHOLE_STRUCTURE[[#This Row],[t '[mm']]]/1000),"")</f>
        <v>107.14285714285714</v>
      </c>
      <c r="V92" s="51"/>
      <c r="W92" s="51"/>
      <c r="X92" s="51"/>
      <c r="Y92" s="51"/>
      <c r="Z92" s="51"/>
      <c r="AA92" s="51"/>
    </row>
    <row r="93" spans="5:27" x14ac:dyDescent="0.3">
      <c r="E93" s="51">
        <v>87</v>
      </c>
      <c r="F93" s="51" t="s">
        <v>71</v>
      </c>
      <c r="G93" s="51">
        <v>87</v>
      </c>
      <c r="H93" s="51">
        <v>25.010999999999999</v>
      </c>
      <c r="I93" s="51">
        <v>22.119999999999997</v>
      </c>
      <c r="J93" s="51">
        <v>7.5</v>
      </c>
      <c r="K93" s="51">
        <v>7.5</v>
      </c>
      <c r="L93" s="51">
        <v>70</v>
      </c>
      <c r="M93" s="54">
        <f t="shared" si="2"/>
        <v>37.081259324081437</v>
      </c>
      <c r="N93" s="53">
        <f>IFERROR(IF(OR(ISBLANK(WHOLE_STRUCTURE[[#This Row],[Top '[m']]]), ISBLANK(WHOLE_STRUCTURE[[#This Row],[Bottom '[m']]])), "", WHOLE_STRUCTURE[[#This Row],[Top '[m']]] - WHOLE_STRUCTURE[[#This Row],[Bottom '[m']]]),"")</f>
        <v>2.8910000000000018</v>
      </c>
      <c r="O93" s="54">
        <f>IFERROR(-(WHOLE_STRUCTURE[[#This Row],[D, bottom '[m']]]-WHOLE_STRUCTURE[[#This Row],[D, top '[m']]])/(WHOLE_STRUCTURE[[#This Row],[Bottom '[m']]]-WHOLE_STRUCTURE[[#This Row],[Top '[m']]]),"")</f>
        <v>0</v>
      </c>
      <c r="P93" s="54">
        <f>IFERROR((WHOLE_STRUCTURE[[#This Row],[D, bottom '[m']]]+WHOLE_STRUCTURE[[#This Row],[D, top '[m']]])/(2*WHOLE_STRUCTURE[[#This Row],[t '[mm']]]/1000),"")</f>
        <v>107.14285714285714</v>
      </c>
      <c r="V93" s="51"/>
      <c r="W93" s="51"/>
      <c r="X93" s="51"/>
      <c r="Y93" s="51"/>
      <c r="Z93" s="51"/>
      <c r="AA93" s="51"/>
    </row>
    <row r="94" spans="5:27" x14ac:dyDescent="0.3">
      <c r="E94" s="51">
        <v>88</v>
      </c>
      <c r="F94" s="51" t="s">
        <v>71</v>
      </c>
      <c r="G94" s="51">
        <v>88</v>
      </c>
      <c r="H94" s="51">
        <v>22.119999999999997</v>
      </c>
      <c r="I94" s="51">
        <v>21.139999999999997</v>
      </c>
      <c r="J94" s="51">
        <v>7.5</v>
      </c>
      <c r="K94" s="51">
        <v>7.5</v>
      </c>
      <c r="L94" s="51">
        <v>70</v>
      </c>
      <c r="M94" s="54">
        <f t="shared" si="2"/>
        <v>12.569918414942858</v>
      </c>
      <c r="N94" s="53">
        <f>IFERROR(IF(OR(ISBLANK(WHOLE_STRUCTURE[[#This Row],[Top '[m']]]), ISBLANK(WHOLE_STRUCTURE[[#This Row],[Bottom '[m']]])), "", WHOLE_STRUCTURE[[#This Row],[Top '[m']]] - WHOLE_STRUCTURE[[#This Row],[Bottom '[m']]]),"")</f>
        <v>0.98000000000000043</v>
      </c>
      <c r="O94" s="54">
        <f>IFERROR(-(WHOLE_STRUCTURE[[#This Row],[D, bottom '[m']]]-WHOLE_STRUCTURE[[#This Row],[D, top '[m']]])/(WHOLE_STRUCTURE[[#This Row],[Bottom '[m']]]-WHOLE_STRUCTURE[[#This Row],[Top '[m']]]),"")</f>
        <v>0</v>
      </c>
      <c r="P94" s="54">
        <f>IFERROR((WHOLE_STRUCTURE[[#This Row],[D, bottom '[m']]]+WHOLE_STRUCTURE[[#This Row],[D, top '[m']]])/(2*WHOLE_STRUCTURE[[#This Row],[t '[mm']]]/1000),"")</f>
        <v>107.14285714285714</v>
      </c>
      <c r="V94" s="51"/>
      <c r="W94" s="51"/>
      <c r="X94" s="51"/>
      <c r="Y94" s="51"/>
      <c r="Z94" s="51"/>
      <c r="AA94" s="51"/>
    </row>
    <row r="95" spans="5:27" x14ac:dyDescent="0.3">
      <c r="E95" s="51">
        <v>89</v>
      </c>
      <c r="F95" s="51" t="s">
        <v>71</v>
      </c>
      <c r="G95" s="51">
        <v>89</v>
      </c>
      <c r="H95" s="51">
        <v>21.139999999999997</v>
      </c>
      <c r="I95" s="51">
        <v>21.08</v>
      </c>
      <c r="J95" s="51">
        <v>7.5</v>
      </c>
      <c r="K95" s="51">
        <v>7.5</v>
      </c>
      <c r="L95" s="51">
        <v>70</v>
      </c>
      <c r="M95" s="54">
        <f t="shared" si="2"/>
        <v>0.76958684173117875</v>
      </c>
      <c r="N95" s="53">
        <f>IFERROR(IF(OR(ISBLANK(WHOLE_STRUCTURE[[#This Row],[Top '[m']]]), ISBLANK(WHOLE_STRUCTURE[[#This Row],[Bottom '[m']]])), "", WHOLE_STRUCTURE[[#This Row],[Top '[m']]] - WHOLE_STRUCTURE[[#This Row],[Bottom '[m']]]),"")</f>
        <v>5.9999999999998721E-2</v>
      </c>
      <c r="O95" s="54">
        <f>IFERROR(-(WHOLE_STRUCTURE[[#This Row],[D, bottom '[m']]]-WHOLE_STRUCTURE[[#This Row],[D, top '[m']]])/(WHOLE_STRUCTURE[[#This Row],[Bottom '[m']]]-WHOLE_STRUCTURE[[#This Row],[Top '[m']]]),"")</f>
        <v>0</v>
      </c>
      <c r="P95" s="54">
        <f>IFERROR((WHOLE_STRUCTURE[[#This Row],[D, bottom '[m']]]+WHOLE_STRUCTURE[[#This Row],[D, top '[m']]])/(2*WHOLE_STRUCTURE[[#This Row],[t '[mm']]]/1000),"")</f>
        <v>107.14285714285714</v>
      </c>
      <c r="V95" s="51"/>
      <c r="W95" s="51"/>
      <c r="X95" s="51"/>
      <c r="Y95" s="51"/>
      <c r="Z95" s="51"/>
      <c r="AA95" s="51"/>
    </row>
    <row r="96" spans="5:27" x14ac:dyDescent="0.3">
      <c r="E96" s="51">
        <v>90</v>
      </c>
      <c r="F96" s="51" t="s">
        <v>71</v>
      </c>
      <c r="G96" s="51">
        <v>90</v>
      </c>
      <c r="H96" s="51">
        <v>21.08</v>
      </c>
      <c r="I96" s="51">
        <v>20.9</v>
      </c>
      <c r="J96" s="51">
        <v>7.5</v>
      </c>
      <c r="K96" s="51">
        <v>7.5</v>
      </c>
      <c r="L96" s="51">
        <v>70</v>
      </c>
      <c r="M96" s="54">
        <f t="shared" si="2"/>
        <v>2.3087605251935819</v>
      </c>
      <c r="N96" s="53">
        <f>IFERROR(IF(OR(ISBLANK(WHOLE_STRUCTURE[[#This Row],[Top '[m']]]), ISBLANK(WHOLE_STRUCTURE[[#This Row],[Bottom '[m']]])), "", WHOLE_STRUCTURE[[#This Row],[Top '[m']]] - WHOLE_STRUCTURE[[#This Row],[Bottom '[m']]]),"")</f>
        <v>0.17999999999999972</v>
      </c>
      <c r="O96" s="54">
        <f>IFERROR(-(WHOLE_STRUCTURE[[#This Row],[D, bottom '[m']]]-WHOLE_STRUCTURE[[#This Row],[D, top '[m']]])/(WHOLE_STRUCTURE[[#This Row],[Bottom '[m']]]-WHOLE_STRUCTURE[[#This Row],[Top '[m']]]),"")</f>
        <v>0</v>
      </c>
      <c r="P96" s="54">
        <f>IFERROR((WHOLE_STRUCTURE[[#This Row],[D, bottom '[m']]]+WHOLE_STRUCTURE[[#This Row],[D, top '[m']]])/(2*WHOLE_STRUCTURE[[#This Row],[t '[mm']]]/1000),"")</f>
        <v>107.14285714285714</v>
      </c>
      <c r="V96" s="51"/>
      <c r="W96" s="51"/>
      <c r="X96" s="51"/>
      <c r="Y96" s="51"/>
      <c r="Z96" s="51"/>
      <c r="AA96" s="51"/>
    </row>
    <row r="97" spans="5:27" x14ac:dyDescent="0.3">
      <c r="E97" s="51">
        <v>91</v>
      </c>
      <c r="F97" s="51" t="s">
        <v>83</v>
      </c>
      <c r="G97" s="51">
        <v>1</v>
      </c>
      <c r="H97" s="51">
        <v>20.9</v>
      </c>
      <c r="I97" s="51">
        <v>17.5</v>
      </c>
      <c r="J97" s="51">
        <v>7.5</v>
      </c>
      <c r="K97" s="51">
        <v>7.5</v>
      </c>
      <c r="L97" s="51">
        <v>86</v>
      </c>
      <c r="M97" s="54">
        <f t="shared" si="2"/>
        <v>53.462526608972695</v>
      </c>
      <c r="N97" s="53">
        <f>IFERROR(IF(OR(ISBLANK(WHOLE_STRUCTURE[[#This Row],[Top '[m']]]), ISBLANK(WHOLE_STRUCTURE[[#This Row],[Bottom '[m']]])), "", WHOLE_STRUCTURE[[#This Row],[Top '[m']]] - WHOLE_STRUCTURE[[#This Row],[Bottom '[m']]]),"")</f>
        <v>3.3999999999999986</v>
      </c>
      <c r="O97" s="54">
        <f>IFERROR(-(WHOLE_STRUCTURE[[#This Row],[D, bottom '[m']]]-WHOLE_STRUCTURE[[#This Row],[D, top '[m']]])/(WHOLE_STRUCTURE[[#This Row],[Bottom '[m']]]-WHOLE_STRUCTURE[[#This Row],[Top '[m']]]),"")</f>
        <v>0</v>
      </c>
      <c r="P97" s="54">
        <f>IFERROR((WHOLE_STRUCTURE[[#This Row],[D, bottom '[m']]]+WHOLE_STRUCTURE[[#This Row],[D, top '[m']]])/(2*WHOLE_STRUCTURE[[#This Row],[t '[mm']]]/1000),"")</f>
        <v>87.209302325581405</v>
      </c>
      <c r="V97" s="51"/>
      <c r="W97" s="51"/>
      <c r="X97" s="51"/>
      <c r="Y97" s="51"/>
      <c r="Z97" s="51"/>
      <c r="AA97" s="51"/>
    </row>
    <row r="98" spans="5:27" x14ac:dyDescent="0.3">
      <c r="E98" s="51">
        <v>92</v>
      </c>
      <c r="F98" s="51" t="s">
        <v>83</v>
      </c>
      <c r="G98" s="51">
        <v>2</v>
      </c>
      <c r="H98" s="51">
        <v>17.5</v>
      </c>
      <c r="I98" s="51">
        <v>13.5</v>
      </c>
      <c r="J98" s="51">
        <v>7.5</v>
      </c>
      <c r="K98" s="51">
        <v>7.5</v>
      </c>
      <c r="L98" s="51">
        <v>86</v>
      </c>
      <c r="M98" s="54">
        <f t="shared" si="2"/>
        <v>62.897090128203196</v>
      </c>
      <c r="N98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98" s="54">
        <f>IFERROR(-(WHOLE_STRUCTURE[[#This Row],[D, bottom '[m']]]-WHOLE_STRUCTURE[[#This Row],[D, top '[m']]])/(WHOLE_STRUCTURE[[#This Row],[Bottom '[m']]]-WHOLE_STRUCTURE[[#This Row],[Top '[m']]]),"")</f>
        <v>0</v>
      </c>
      <c r="P98" s="54">
        <f>IFERROR((WHOLE_STRUCTURE[[#This Row],[D, bottom '[m']]]+WHOLE_STRUCTURE[[#This Row],[D, top '[m']]])/(2*WHOLE_STRUCTURE[[#This Row],[t '[mm']]]/1000),"")</f>
        <v>87.209302325581405</v>
      </c>
      <c r="V98" s="51"/>
      <c r="W98" s="51"/>
      <c r="X98" s="51"/>
      <c r="Y98" s="51"/>
      <c r="Z98" s="51"/>
      <c r="AA98" s="51"/>
    </row>
    <row r="99" spans="5:27" x14ac:dyDescent="0.3">
      <c r="E99" s="51">
        <v>93</v>
      </c>
      <c r="F99" s="51" t="s">
        <v>83</v>
      </c>
      <c r="G99" s="51">
        <v>3</v>
      </c>
      <c r="H99" s="51">
        <v>13.5</v>
      </c>
      <c r="I99" s="51">
        <v>9.5</v>
      </c>
      <c r="J99" s="51">
        <v>7.5</v>
      </c>
      <c r="K99" s="51">
        <v>7.5</v>
      </c>
      <c r="L99" s="51">
        <v>93</v>
      </c>
      <c r="M99" s="54">
        <f t="shared" si="2"/>
        <v>67.952402167964607</v>
      </c>
      <c r="N99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99" s="54">
        <f>IFERROR(-(WHOLE_STRUCTURE[[#This Row],[D, bottom '[m']]]-WHOLE_STRUCTURE[[#This Row],[D, top '[m']]])/(WHOLE_STRUCTURE[[#This Row],[Bottom '[m']]]-WHOLE_STRUCTURE[[#This Row],[Top '[m']]]),"")</f>
        <v>0</v>
      </c>
      <c r="P99" s="54">
        <f>IFERROR((WHOLE_STRUCTURE[[#This Row],[D, bottom '[m']]]+WHOLE_STRUCTURE[[#This Row],[D, top '[m']]])/(2*WHOLE_STRUCTURE[[#This Row],[t '[mm']]]/1000),"")</f>
        <v>80.645161290322577</v>
      </c>
      <c r="V99" s="51"/>
      <c r="W99" s="51"/>
      <c r="X99" s="51"/>
      <c r="Y99" s="51"/>
      <c r="Z99" s="51"/>
      <c r="AA99" s="51"/>
    </row>
    <row r="100" spans="5:27" x14ac:dyDescent="0.3">
      <c r="E100" s="51">
        <v>94</v>
      </c>
      <c r="F100" s="51" t="s">
        <v>83</v>
      </c>
      <c r="G100" s="51">
        <v>4</v>
      </c>
      <c r="H100" s="51">
        <v>9.5</v>
      </c>
      <c r="I100" s="51">
        <v>5.6</v>
      </c>
      <c r="J100" s="51">
        <v>7.5</v>
      </c>
      <c r="K100" s="51">
        <v>7.5</v>
      </c>
      <c r="L100" s="51">
        <v>100</v>
      </c>
      <c r="M100" s="54">
        <f t="shared" si="2"/>
        <v>71.173095726342197</v>
      </c>
      <c r="N100" s="53">
        <f>IFERROR(IF(OR(ISBLANK(WHOLE_STRUCTURE[[#This Row],[Top '[m']]]), ISBLANK(WHOLE_STRUCTURE[[#This Row],[Bottom '[m']]])), "", WHOLE_STRUCTURE[[#This Row],[Top '[m']]] - WHOLE_STRUCTURE[[#This Row],[Bottom '[m']]]),"")</f>
        <v>3.9000000000000004</v>
      </c>
      <c r="O100" s="54">
        <f>IFERROR(-(WHOLE_STRUCTURE[[#This Row],[D, bottom '[m']]]-WHOLE_STRUCTURE[[#This Row],[D, top '[m']]])/(WHOLE_STRUCTURE[[#This Row],[Bottom '[m']]]-WHOLE_STRUCTURE[[#This Row],[Top '[m']]]),"")</f>
        <v>0</v>
      </c>
      <c r="P100" s="54">
        <f>IFERROR((WHOLE_STRUCTURE[[#This Row],[D, bottom '[m']]]+WHOLE_STRUCTURE[[#This Row],[D, top '[m']]])/(2*WHOLE_STRUCTURE[[#This Row],[t '[mm']]]/1000),"")</f>
        <v>75</v>
      </c>
      <c r="V100" s="51"/>
      <c r="W100" s="51"/>
      <c r="X100" s="51"/>
      <c r="Y100" s="51"/>
      <c r="Z100" s="51"/>
      <c r="AA100" s="51"/>
    </row>
    <row r="101" spans="5:27" x14ac:dyDescent="0.3">
      <c r="E101" s="51">
        <v>95</v>
      </c>
      <c r="F101" s="51" t="s">
        <v>69</v>
      </c>
      <c r="G101" s="51">
        <v>1</v>
      </c>
      <c r="H101" s="51">
        <v>5.6</v>
      </c>
      <c r="I101" s="51">
        <v>1.6</v>
      </c>
      <c r="J101" s="51">
        <v>7.5</v>
      </c>
      <c r="K101" s="51">
        <v>7.5</v>
      </c>
      <c r="L101" s="51">
        <v>108</v>
      </c>
      <c r="M101" s="54">
        <f t="shared" si="2"/>
        <v>78.752660498662593</v>
      </c>
      <c r="N101" s="53">
        <f>IFERROR(IF(OR(ISBLANK(WHOLE_STRUCTURE[[#This Row],[Top '[m']]]), ISBLANK(WHOLE_STRUCTURE[[#This Row],[Bottom '[m']]])), "", WHOLE_STRUCTURE[[#This Row],[Top '[m']]] - WHOLE_STRUCTURE[[#This Row],[Bottom '[m']]]),"")</f>
        <v>3.9999999999999996</v>
      </c>
      <c r="O101" s="54">
        <f>IFERROR(-(WHOLE_STRUCTURE[[#This Row],[D, bottom '[m']]]-WHOLE_STRUCTURE[[#This Row],[D, top '[m']]])/(WHOLE_STRUCTURE[[#This Row],[Bottom '[m']]]-WHOLE_STRUCTURE[[#This Row],[Top '[m']]]),"")</f>
        <v>0</v>
      </c>
      <c r="P101" s="54">
        <f>IFERROR((WHOLE_STRUCTURE[[#This Row],[D, bottom '[m']]]+WHOLE_STRUCTURE[[#This Row],[D, top '[m']]])/(2*WHOLE_STRUCTURE[[#This Row],[t '[mm']]]/1000),"")</f>
        <v>69.444444444444443</v>
      </c>
      <c r="V101" s="51"/>
      <c r="W101" s="51"/>
      <c r="X101" s="51"/>
      <c r="Y101" s="51"/>
      <c r="Z101" s="51"/>
      <c r="AA101" s="51"/>
    </row>
    <row r="102" spans="5:27" x14ac:dyDescent="0.3">
      <c r="E102" s="51">
        <v>96</v>
      </c>
      <c r="F102" s="51" t="s">
        <v>69</v>
      </c>
      <c r="G102" s="51">
        <v>2</v>
      </c>
      <c r="H102" s="51">
        <v>1.6</v>
      </c>
      <c r="I102" s="51">
        <v>-2.2999999999999998</v>
      </c>
      <c r="J102" s="51">
        <v>7.5</v>
      </c>
      <c r="K102" s="51">
        <v>7.5</v>
      </c>
      <c r="L102" s="51">
        <v>100</v>
      </c>
      <c r="M102" s="54">
        <f t="shared" si="2"/>
        <v>71.173095726342183</v>
      </c>
      <c r="N102" s="53">
        <f>IFERROR(IF(OR(ISBLANK(WHOLE_STRUCTURE[[#This Row],[Top '[m']]]), ISBLANK(WHOLE_STRUCTURE[[#This Row],[Bottom '[m']]])), "", WHOLE_STRUCTURE[[#This Row],[Top '[m']]] - WHOLE_STRUCTURE[[#This Row],[Bottom '[m']]]),"")</f>
        <v>3.9</v>
      </c>
      <c r="O102" s="54">
        <f>IFERROR(-(WHOLE_STRUCTURE[[#This Row],[D, bottom '[m']]]-WHOLE_STRUCTURE[[#This Row],[D, top '[m']]])/(WHOLE_STRUCTURE[[#This Row],[Bottom '[m']]]-WHOLE_STRUCTURE[[#This Row],[Top '[m']]]),"")</f>
        <v>0</v>
      </c>
      <c r="P102" s="54">
        <f>IFERROR((WHOLE_STRUCTURE[[#This Row],[D, bottom '[m']]]+WHOLE_STRUCTURE[[#This Row],[D, top '[m']]])/(2*WHOLE_STRUCTURE[[#This Row],[t '[mm']]]/1000),"")</f>
        <v>75</v>
      </c>
      <c r="V102" s="51"/>
      <c r="W102" s="51"/>
      <c r="X102" s="51"/>
      <c r="Y102" s="51"/>
      <c r="Z102" s="51"/>
      <c r="AA102" s="51"/>
    </row>
    <row r="103" spans="5:27" x14ac:dyDescent="0.3">
      <c r="E103" s="51">
        <v>97</v>
      </c>
      <c r="F103" s="51" t="s">
        <v>69</v>
      </c>
      <c r="G103" s="51">
        <v>3</v>
      </c>
      <c r="H103" s="51">
        <v>-2.2999999999999998</v>
      </c>
      <c r="I103" s="51">
        <v>-6.2</v>
      </c>
      <c r="J103" s="51">
        <v>7.5</v>
      </c>
      <c r="K103" s="51">
        <v>7.5</v>
      </c>
      <c r="L103" s="51">
        <v>98</v>
      </c>
      <c r="M103" s="54">
        <f t="shared" ref="M103:M113" si="3">IF(7850/1000*(1/3)*PI()*ABS(H103-I103)*((J103/2)^2+(J103/2)*(K103/2)+(K103/2)^2-(J103/2-L103/1000)^2-(J103/2-L103/1000)*(K103/2-L103/1000)-(K103/2-L103/1000)^2)=0,"",7850/1000*(1/3)*PI()*ABS(H103-I103)*((J103/2)^2+(J103/2)*(K103/2)+(K103/2)^2-(J103/2-L103/1000)^2-(J103/2-L103/1000)*(K103/2-L103/1000)-(K103/2-L103/1000)^2))</f>
        <v>69.768485064196611</v>
      </c>
      <c r="N103" s="53">
        <f>IFERROR(IF(OR(ISBLANK(WHOLE_STRUCTURE[[#This Row],[Top '[m']]]), ISBLANK(WHOLE_STRUCTURE[[#This Row],[Bottom '[m']]])), "", WHOLE_STRUCTURE[[#This Row],[Top '[m']]] - WHOLE_STRUCTURE[[#This Row],[Bottom '[m']]]),"")</f>
        <v>3.9000000000000004</v>
      </c>
      <c r="O103" s="54">
        <f>IFERROR(-(WHOLE_STRUCTURE[[#This Row],[D, bottom '[m']]]-WHOLE_STRUCTURE[[#This Row],[D, top '[m']]])/(WHOLE_STRUCTURE[[#This Row],[Bottom '[m']]]-WHOLE_STRUCTURE[[#This Row],[Top '[m']]]),"")</f>
        <v>0</v>
      </c>
      <c r="P103" s="54">
        <f>IFERROR((WHOLE_STRUCTURE[[#This Row],[D, bottom '[m']]]+WHOLE_STRUCTURE[[#This Row],[D, top '[m']]])/(2*WHOLE_STRUCTURE[[#This Row],[t '[mm']]]/1000),"")</f>
        <v>76.530612244897952</v>
      </c>
      <c r="V103" s="51"/>
      <c r="W103" s="51"/>
      <c r="X103" s="51"/>
      <c r="Y103" s="51"/>
      <c r="Z103" s="51"/>
      <c r="AA103" s="51"/>
    </row>
    <row r="104" spans="5:27" x14ac:dyDescent="0.3">
      <c r="E104" s="51">
        <v>98</v>
      </c>
      <c r="F104" s="51" t="s">
        <v>69</v>
      </c>
      <c r="G104" s="51">
        <v>4</v>
      </c>
      <c r="H104" s="51">
        <v>-6.2</v>
      </c>
      <c r="I104" s="51">
        <v>-10.1</v>
      </c>
      <c r="J104" s="51">
        <v>7.5</v>
      </c>
      <c r="K104" s="51">
        <v>7.8282999999999996</v>
      </c>
      <c r="L104" s="51">
        <v>98</v>
      </c>
      <c r="M104" s="54">
        <f t="shared" si="3"/>
        <v>71.315701603414155</v>
      </c>
      <c r="N104" s="53">
        <f>IFERROR(IF(OR(ISBLANK(WHOLE_STRUCTURE[[#This Row],[Top '[m']]]), ISBLANK(WHOLE_STRUCTURE[[#This Row],[Bottom '[m']]])), "", WHOLE_STRUCTURE[[#This Row],[Top '[m']]] - WHOLE_STRUCTURE[[#This Row],[Bottom '[m']]]),"")</f>
        <v>3.8999999999999995</v>
      </c>
      <c r="O104" s="54">
        <f>IFERROR(-(WHOLE_STRUCTURE[[#This Row],[D, bottom '[m']]]-WHOLE_STRUCTURE[[#This Row],[D, top '[m']]])/(WHOLE_STRUCTURE[[#This Row],[Bottom '[m']]]-WHOLE_STRUCTURE[[#This Row],[Top '[m']]]),"")</f>
        <v>8.4179487179487089E-2</v>
      </c>
      <c r="P104" s="54">
        <f>IFERROR((WHOLE_STRUCTURE[[#This Row],[D, bottom '[m']]]+WHOLE_STRUCTURE[[#This Row],[D, top '[m']]])/(2*WHOLE_STRUCTURE[[#This Row],[t '[mm']]]/1000),"")</f>
        <v>78.205612244897949</v>
      </c>
      <c r="V104" s="51"/>
      <c r="W104" s="51"/>
      <c r="X104" s="51"/>
      <c r="Y104" s="51"/>
      <c r="Z104" s="51"/>
      <c r="AA104" s="51"/>
    </row>
    <row r="105" spans="5:27" x14ac:dyDescent="0.3">
      <c r="E105" s="51">
        <v>99</v>
      </c>
      <c r="F105" s="51" t="s">
        <v>69</v>
      </c>
      <c r="G105" s="51">
        <v>5</v>
      </c>
      <c r="H105" s="51">
        <v>-10.1</v>
      </c>
      <c r="I105" s="51">
        <v>-14</v>
      </c>
      <c r="J105" s="51">
        <v>7.8282999999999996</v>
      </c>
      <c r="K105" s="51">
        <v>8.1565999999999992</v>
      </c>
      <c r="L105" s="51">
        <v>104</v>
      </c>
      <c r="M105" s="54">
        <f t="shared" si="3"/>
        <v>78.905840981319429</v>
      </c>
      <c r="N105" s="53">
        <f>IFERROR(IF(OR(ISBLANK(WHOLE_STRUCTURE[[#This Row],[Top '[m']]]), ISBLANK(WHOLE_STRUCTURE[[#This Row],[Bottom '[m']]])), "", WHOLE_STRUCTURE[[#This Row],[Top '[m']]] - WHOLE_STRUCTURE[[#This Row],[Bottom '[m']]]),"")</f>
        <v>3.9000000000000004</v>
      </c>
      <c r="O105" s="54">
        <f>IFERROR(-(WHOLE_STRUCTURE[[#This Row],[D, bottom '[m']]]-WHOLE_STRUCTURE[[#This Row],[D, top '[m']]])/(WHOLE_STRUCTURE[[#This Row],[Bottom '[m']]]-WHOLE_STRUCTURE[[#This Row],[Top '[m']]]),"")</f>
        <v>8.4179487179487061E-2</v>
      </c>
      <c r="P105" s="54">
        <f>IFERROR((WHOLE_STRUCTURE[[#This Row],[D, bottom '[m']]]+WHOLE_STRUCTURE[[#This Row],[D, top '[m']]])/(2*WHOLE_STRUCTURE[[#This Row],[t '[mm']]]/1000),"")</f>
        <v>76.850480769230771</v>
      </c>
      <c r="V105" s="51"/>
      <c r="W105" s="51"/>
      <c r="X105" s="51"/>
      <c r="Y105" s="51"/>
      <c r="Z105" s="51"/>
      <c r="AA105" s="51"/>
    </row>
    <row r="106" spans="5:27" x14ac:dyDescent="0.3">
      <c r="E106" s="51">
        <v>100</v>
      </c>
      <c r="F106" s="51" t="s">
        <v>69</v>
      </c>
      <c r="G106" s="51">
        <v>6</v>
      </c>
      <c r="H106" s="51">
        <v>-14</v>
      </c>
      <c r="I106" s="51">
        <v>-17.899999999999999</v>
      </c>
      <c r="J106" s="51">
        <v>8.1565999999999992</v>
      </c>
      <c r="K106" s="51">
        <v>8.4847999999999999</v>
      </c>
      <c r="L106" s="51">
        <v>98</v>
      </c>
      <c r="M106" s="54">
        <f t="shared" si="3"/>
        <v>77.504096478974631</v>
      </c>
      <c r="N106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O106" s="54">
        <f>IFERROR(-(WHOLE_STRUCTURE[[#This Row],[D, bottom '[m']]]-WHOLE_STRUCTURE[[#This Row],[D, top '[m']]])/(WHOLE_STRUCTURE[[#This Row],[Bottom '[m']]]-WHOLE_STRUCTURE[[#This Row],[Top '[m']]]),"")</f>
        <v>8.4153846153846371E-2</v>
      </c>
      <c r="P106" s="54">
        <f>IFERROR((WHOLE_STRUCTURE[[#This Row],[D, bottom '[m']]]+WHOLE_STRUCTURE[[#This Row],[D, top '[m']]])/(2*WHOLE_STRUCTURE[[#This Row],[t '[mm']]]/1000),"")</f>
        <v>84.905102040816303</v>
      </c>
      <c r="V106" s="51"/>
      <c r="W106" s="51"/>
      <c r="X106" s="51"/>
      <c r="Y106" s="51"/>
      <c r="Z106" s="51"/>
      <c r="AA106" s="51"/>
    </row>
    <row r="107" spans="5:27" x14ac:dyDescent="0.3">
      <c r="E107" s="51">
        <v>101</v>
      </c>
      <c r="F107" s="51" t="s">
        <v>69</v>
      </c>
      <c r="G107" s="51">
        <v>7</v>
      </c>
      <c r="H107" s="51">
        <v>-17.899999999999999</v>
      </c>
      <c r="I107" s="51">
        <v>-21.8</v>
      </c>
      <c r="J107" s="51">
        <v>8.4847999999999999</v>
      </c>
      <c r="K107" s="51">
        <v>8.8131000000000004</v>
      </c>
      <c r="L107" s="51">
        <v>94</v>
      </c>
      <c r="M107" s="54">
        <f t="shared" si="3"/>
        <v>77.34450523878759</v>
      </c>
      <c r="N107" s="53">
        <f>IFERROR(IF(OR(ISBLANK(WHOLE_STRUCTURE[[#This Row],[Top '[m']]]), ISBLANK(WHOLE_STRUCTURE[[#This Row],[Bottom '[m']]])), "", WHOLE_STRUCTURE[[#This Row],[Top '[m']]] - WHOLE_STRUCTURE[[#This Row],[Bottom '[m']]]),"")</f>
        <v>3.9000000000000021</v>
      </c>
      <c r="O107" s="54">
        <f>IFERROR(-(WHOLE_STRUCTURE[[#This Row],[D, bottom '[m']]]-WHOLE_STRUCTURE[[#This Row],[D, top '[m']]])/(WHOLE_STRUCTURE[[#This Row],[Bottom '[m']]]-WHOLE_STRUCTURE[[#This Row],[Top '[m']]]),"")</f>
        <v>8.4179487179487256E-2</v>
      </c>
      <c r="P107" s="54">
        <f>IFERROR((WHOLE_STRUCTURE[[#This Row],[D, bottom '[m']]]+WHOLE_STRUCTURE[[#This Row],[D, top '[m']]])/(2*WHOLE_STRUCTURE[[#This Row],[t '[mm']]]/1000),"")</f>
        <v>92.010106382978719</v>
      </c>
      <c r="V107" s="51"/>
      <c r="W107" s="51"/>
      <c r="X107" s="51"/>
      <c r="Y107" s="51"/>
      <c r="Z107" s="51"/>
      <c r="AA107" s="51"/>
    </row>
    <row r="108" spans="5:27" x14ac:dyDescent="0.3">
      <c r="E108" s="51">
        <v>102</v>
      </c>
      <c r="F108" s="51" t="s">
        <v>69</v>
      </c>
      <c r="G108" s="51">
        <v>8</v>
      </c>
      <c r="H108" s="51">
        <v>-21.8</v>
      </c>
      <c r="I108" s="51">
        <v>-25.7</v>
      </c>
      <c r="J108" s="51">
        <v>8.8131000000000004</v>
      </c>
      <c r="K108" s="51">
        <v>9.1414000000000009</v>
      </c>
      <c r="L108" s="51">
        <v>92</v>
      </c>
      <c r="M108" s="54">
        <f t="shared" si="3"/>
        <v>78.621552553821701</v>
      </c>
      <c r="N108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O108" s="54">
        <f>IFERROR(-(WHOLE_STRUCTURE[[#This Row],[D, bottom '[m']]]-WHOLE_STRUCTURE[[#This Row],[D, top '[m']]])/(WHOLE_STRUCTURE[[#This Row],[Bottom '[m']]]-WHOLE_STRUCTURE[[#This Row],[Top '[m']]]),"")</f>
        <v>8.4179487179487339E-2</v>
      </c>
      <c r="P108" s="54">
        <f>IFERROR((WHOLE_STRUCTURE[[#This Row],[D, bottom '[m']]]+WHOLE_STRUCTURE[[#This Row],[D, top '[m']]])/(2*WHOLE_STRUCTURE[[#This Row],[t '[mm']]]/1000),"")</f>
        <v>97.578804347826107</v>
      </c>
      <c r="V108" s="51"/>
      <c r="W108" s="51"/>
      <c r="X108" s="51"/>
      <c r="Y108" s="51"/>
      <c r="Z108" s="51"/>
      <c r="AA108" s="51"/>
    </row>
    <row r="109" spans="5:27" x14ac:dyDescent="0.3">
      <c r="E109" s="51">
        <v>103</v>
      </c>
      <c r="F109" s="51" t="s">
        <v>69</v>
      </c>
      <c r="G109" s="51">
        <v>9</v>
      </c>
      <c r="H109" s="51">
        <v>-25.7</v>
      </c>
      <c r="I109" s="51">
        <v>-29.6</v>
      </c>
      <c r="J109" s="51">
        <v>9.1414000000000009</v>
      </c>
      <c r="K109" s="51">
        <v>9.4696999999999996</v>
      </c>
      <c r="L109" s="51">
        <v>90</v>
      </c>
      <c r="M109" s="54">
        <f t="shared" si="3"/>
        <v>79.771527039027319</v>
      </c>
      <c r="N109" s="53">
        <f>IFERROR(IF(OR(ISBLANK(WHOLE_STRUCTURE[[#This Row],[Top '[m']]]), ISBLANK(WHOLE_STRUCTURE[[#This Row],[Bottom '[m']]])), "", WHOLE_STRUCTURE[[#This Row],[Top '[m']]] - WHOLE_STRUCTURE[[#This Row],[Bottom '[m']]]),"")</f>
        <v>3.9000000000000021</v>
      </c>
      <c r="O109" s="54">
        <f>IFERROR(-(WHOLE_STRUCTURE[[#This Row],[D, bottom '[m']]]-WHOLE_STRUCTURE[[#This Row],[D, top '[m']]])/(WHOLE_STRUCTURE[[#This Row],[Bottom '[m']]]-WHOLE_STRUCTURE[[#This Row],[Top '[m']]]),"")</f>
        <v>8.4179487179486798E-2</v>
      </c>
      <c r="P109" s="54">
        <f>IFERROR((WHOLE_STRUCTURE[[#This Row],[D, bottom '[m']]]+WHOLE_STRUCTURE[[#This Row],[D, top '[m']]])/(2*WHOLE_STRUCTURE[[#This Row],[t '[mm']]]/1000),"")</f>
        <v>103.39500000000001</v>
      </c>
      <c r="V109" s="51"/>
      <c r="W109" s="51"/>
      <c r="X109" s="51"/>
      <c r="Y109" s="51"/>
      <c r="Z109" s="51"/>
      <c r="AA109" s="51"/>
    </row>
    <row r="110" spans="5:27" x14ac:dyDescent="0.3">
      <c r="E110" s="51">
        <v>104</v>
      </c>
      <c r="F110" s="51" t="s">
        <v>69</v>
      </c>
      <c r="G110" s="51">
        <v>10</v>
      </c>
      <c r="H110" s="51">
        <v>-29.6</v>
      </c>
      <c r="I110" s="51">
        <v>-33.5</v>
      </c>
      <c r="J110" s="51">
        <v>9.4696999999999996</v>
      </c>
      <c r="K110" s="51">
        <v>9.8000000000000007</v>
      </c>
      <c r="L110" s="51">
        <v>90</v>
      </c>
      <c r="M110" s="54">
        <f t="shared" si="3"/>
        <v>82.622009522867344</v>
      </c>
      <c r="N110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O110" s="54">
        <f>IFERROR(-(WHOLE_STRUCTURE[[#This Row],[D, bottom '[m']]]-WHOLE_STRUCTURE[[#This Row],[D, top '[m']]])/(WHOLE_STRUCTURE[[#This Row],[Bottom '[m']]]-WHOLE_STRUCTURE[[#This Row],[Top '[m']]]),"")</f>
        <v>8.4692307692308011E-2</v>
      </c>
      <c r="P110" s="54">
        <f>IFERROR((WHOLE_STRUCTURE[[#This Row],[D, bottom '[m']]]+WHOLE_STRUCTURE[[#This Row],[D, top '[m']]])/(2*WHOLE_STRUCTURE[[#This Row],[t '[mm']]]/1000),"")</f>
        <v>107.05388888888889</v>
      </c>
      <c r="V110" s="51"/>
      <c r="W110" s="51"/>
      <c r="X110" s="51"/>
      <c r="Y110" s="51"/>
      <c r="Z110" s="51"/>
      <c r="AA110" s="51"/>
    </row>
    <row r="111" spans="5:27" x14ac:dyDescent="0.3">
      <c r="E111" s="51">
        <v>105</v>
      </c>
      <c r="F111" s="51" t="s">
        <v>69</v>
      </c>
      <c r="G111" s="51">
        <v>11</v>
      </c>
      <c r="H111" s="51">
        <v>-33.5</v>
      </c>
      <c r="I111" s="51">
        <v>-36.799999999999997</v>
      </c>
      <c r="J111" s="51">
        <v>9.8000000000000007</v>
      </c>
      <c r="K111" s="51">
        <v>9.8000000000000007</v>
      </c>
      <c r="L111" s="51">
        <v>90</v>
      </c>
      <c r="M111" s="54">
        <f t="shared" si="3"/>
        <v>71.120566726377618</v>
      </c>
      <c r="N111" s="53">
        <f>IFERROR(IF(OR(ISBLANK(WHOLE_STRUCTURE[[#This Row],[Top '[m']]]), ISBLANK(WHOLE_STRUCTURE[[#This Row],[Bottom '[m']]])), "", WHOLE_STRUCTURE[[#This Row],[Top '[m']]] - WHOLE_STRUCTURE[[#This Row],[Bottom '[m']]]),"")</f>
        <v>3.2999999999999972</v>
      </c>
      <c r="O111" s="54">
        <f>IFERROR(-(WHOLE_STRUCTURE[[#This Row],[D, bottom '[m']]]-WHOLE_STRUCTURE[[#This Row],[D, top '[m']]])/(WHOLE_STRUCTURE[[#This Row],[Bottom '[m']]]-WHOLE_STRUCTURE[[#This Row],[Top '[m']]]),"")</f>
        <v>0</v>
      </c>
      <c r="P111" s="54">
        <f>IFERROR((WHOLE_STRUCTURE[[#This Row],[D, bottom '[m']]]+WHOLE_STRUCTURE[[#This Row],[D, top '[m']]])/(2*WHOLE_STRUCTURE[[#This Row],[t '[mm']]]/1000),"")</f>
        <v>108.8888888888889</v>
      </c>
      <c r="V111" s="51"/>
      <c r="W111" s="51"/>
      <c r="X111" s="51"/>
      <c r="Y111" s="51"/>
      <c r="Z111" s="51"/>
      <c r="AA111" s="51"/>
    </row>
    <row r="112" spans="5:27" x14ac:dyDescent="0.3">
      <c r="E112" s="51">
        <v>106</v>
      </c>
      <c r="F112" s="51" t="s">
        <v>69</v>
      </c>
      <c r="G112" s="51">
        <v>12</v>
      </c>
      <c r="H112" s="51">
        <v>-36.799999999999997</v>
      </c>
      <c r="I112" s="51">
        <v>-40.200000000000003</v>
      </c>
      <c r="J112" s="51">
        <v>9.8000000000000007</v>
      </c>
      <c r="K112" s="51">
        <v>9.8000000000000007</v>
      </c>
      <c r="L112" s="51">
        <v>98</v>
      </c>
      <c r="M112" s="54">
        <f t="shared" si="3"/>
        <v>79.723396418003802</v>
      </c>
      <c r="N112" s="53">
        <f>IFERROR(IF(OR(ISBLANK(WHOLE_STRUCTURE[[#This Row],[Top '[m']]]), ISBLANK(WHOLE_STRUCTURE[[#This Row],[Bottom '[m']]])), "", WHOLE_STRUCTURE[[#This Row],[Top '[m']]] - WHOLE_STRUCTURE[[#This Row],[Bottom '[m']]]),"")</f>
        <v>3.4000000000000057</v>
      </c>
      <c r="O112" s="54">
        <f>IFERROR(-(WHOLE_STRUCTURE[[#This Row],[D, bottom '[m']]]-WHOLE_STRUCTURE[[#This Row],[D, top '[m']]])/(WHOLE_STRUCTURE[[#This Row],[Bottom '[m']]]-WHOLE_STRUCTURE[[#This Row],[Top '[m']]]),"")</f>
        <v>0</v>
      </c>
      <c r="P112" s="54">
        <f>IFERROR((WHOLE_STRUCTURE[[#This Row],[D, bottom '[m']]]+WHOLE_STRUCTURE[[#This Row],[D, top '[m']]])/(2*WHOLE_STRUCTURE[[#This Row],[t '[mm']]]/1000),"")</f>
        <v>100</v>
      </c>
      <c r="V112" s="51"/>
      <c r="W112" s="51"/>
      <c r="X112" s="51"/>
      <c r="Y112" s="51"/>
      <c r="Z112" s="51"/>
      <c r="AA112" s="51"/>
    </row>
    <row r="113" spans="5:27" x14ac:dyDescent="0.3">
      <c r="E113" s="51">
        <v>107</v>
      </c>
      <c r="F113" s="51" t="s">
        <v>69</v>
      </c>
      <c r="G113" s="51">
        <v>13</v>
      </c>
      <c r="H113" s="51">
        <v>-40.200000000000003</v>
      </c>
      <c r="I113" s="51">
        <v>-43.8</v>
      </c>
      <c r="J113" s="51">
        <v>9.8000000000000007</v>
      </c>
      <c r="K113" s="51">
        <v>9.8000000000000007</v>
      </c>
      <c r="L113" s="51">
        <v>88</v>
      </c>
      <c r="M113" s="54">
        <f t="shared" si="3"/>
        <v>75.87756336934649</v>
      </c>
      <c r="N113" s="53">
        <f>IFERROR(IF(OR(ISBLANK(WHOLE_STRUCTURE[[#This Row],[Top '[m']]]), ISBLANK(WHOLE_STRUCTURE[[#This Row],[Bottom '[m']]])), "", WHOLE_STRUCTURE[[#This Row],[Top '[m']]] - WHOLE_STRUCTURE[[#This Row],[Bottom '[m']]]),"")</f>
        <v>3.5999999999999943</v>
      </c>
      <c r="O113" s="54">
        <f>IFERROR(-(WHOLE_STRUCTURE[[#This Row],[D, bottom '[m']]]-WHOLE_STRUCTURE[[#This Row],[D, top '[m']]])/(WHOLE_STRUCTURE[[#This Row],[Bottom '[m']]]-WHOLE_STRUCTURE[[#This Row],[Top '[m']]]),"")</f>
        <v>0</v>
      </c>
      <c r="P113" s="54">
        <f>IFERROR((WHOLE_STRUCTURE[[#This Row],[D, bottom '[m']]]+WHOLE_STRUCTURE[[#This Row],[D, top '[m']]])/(2*WHOLE_STRUCTURE[[#This Row],[t '[mm']]]/1000),"")</f>
        <v>111.36363636363637</v>
      </c>
      <c r="V113" s="51"/>
      <c r="W113" s="51"/>
      <c r="X113" s="51"/>
      <c r="Y113" s="51"/>
      <c r="Z113" s="51"/>
      <c r="AA113" s="51"/>
    </row>
    <row r="114" spans="5:27" x14ac:dyDescent="0.3">
      <c r="E114" s="51">
        <v>108</v>
      </c>
      <c r="F114" s="51" t="s">
        <v>69</v>
      </c>
      <c r="G114" s="51">
        <v>14</v>
      </c>
      <c r="H114" s="51">
        <v>-43.8</v>
      </c>
      <c r="I114" s="51">
        <v>-47.8</v>
      </c>
      <c r="J114" s="51">
        <v>9.8000000000000007</v>
      </c>
      <c r="K114" s="51">
        <v>9.8000000000000007</v>
      </c>
      <c r="L114" s="51">
        <v>88</v>
      </c>
      <c r="M114" s="54">
        <f t="shared" ref="M114:M123" si="4">IF(7850/1000*(1/3)*PI()*ABS(H114-I114)*((J114/2)^2+(J114/2)*(K114/2)+(K114/2)^2-(J114/2-L114/1000)^2-(J114/2-L114/1000)*(K114/2-L114/1000)-(K114/2-L114/1000)^2)=0,"",7850/1000*(1/3)*PI()*ABS(H114-I114)*((J114/2)^2+(J114/2)*(K114/2)+(K114/2)^2-(J114/2-L114/1000)^2-(J114/2-L114/1000)*(K114/2-L114/1000)-(K114/2-L114/1000)^2))</f>
        <v>84.308403743718472</v>
      </c>
      <c r="N114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114" s="54">
        <f>IFERROR(-(WHOLE_STRUCTURE[[#This Row],[D, bottom '[m']]]-WHOLE_STRUCTURE[[#This Row],[D, top '[m']]])/(WHOLE_STRUCTURE[[#This Row],[Bottom '[m']]]-WHOLE_STRUCTURE[[#This Row],[Top '[m']]]),"")</f>
        <v>0</v>
      </c>
      <c r="P114" s="54">
        <f>IFERROR((WHOLE_STRUCTURE[[#This Row],[D, bottom '[m']]]+WHOLE_STRUCTURE[[#This Row],[D, top '[m']]])/(2*WHOLE_STRUCTURE[[#This Row],[t '[mm']]]/1000),"")</f>
        <v>111.36363636363637</v>
      </c>
      <c r="V114" s="51"/>
      <c r="W114" s="51"/>
      <c r="X114" s="51"/>
      <c r="Y114" s="51"/>
      <c r="Z114" s="51"/>
      <c r="AA114" s="51"/>
    </row>
    <row r="115" spans="5:27" x14ac:dyDescent="0.3">
      <c r="E115" s="51">
        <v>109</v>
      </c>
      <c r="F115" s="51" t="s">
        <v>69</v>
      </c>
      <c r="G115" s="51">
        <v>15</v>
      </c>
      <c r="H115" s="51">
        <v>-47.8</v>
      </c>
      <c r="I115" s="51">
        <v>-51.8</v>
      </c>
      <c r="J115" s="51">
        <v>9.8000000000000007</v>
      </c>
      <c r="K115" s="51">
        <v>9.8000000000000007</v>
      </c>
      <c r="L115" s="51">
        <v>88</v>
      </c>
      <c r="M115" s="54">
        <f t="shared" si="4"/>
        <v>84.308403743718472</v>
      </c>
      <c r="N115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115" s="54">
        <f>IFERROR(-(WHOLE_STRUCTURE[[#This Row],[D, bottom '[m']]]-WHOLE_STRUCTURE[[#This Row],[D, top '[m']]])/(WHOLE_STRUCTURE[[#This Row],[Bottom '[m']]]-WHOLE_STRUCTURE[[#This Row],[Top '[m']]]),"")</f>
        <v>0</v>
      </c>
      <c r="P115" s="54">
        <f>IFERROR((WHOLE_STRUCTURE[[#This Row],[D, bottom '[m']]]+WHOLE_STRUCTURE[[#This Row],[D, top '[m']]])/(2*WHOLE_STRUCTURE[[#This Row],[t '[mm']]]/1000),"")</f>
        <v>111.36363636363637</v>
      </c>
      <c r="V115" s="51"/>
      <c r="W115" s="51"/>
      <c r="X115" s="51"/>
      <c r="Y115" s="51"/>
      <c r="Z115" s="51"/>
      <c r="AA115" s="51"/>
    </row>
    <row r="116" spans="5:27" x14ac:dyDescent="0.3">
      <c r="E116" s="51">
        <v>110</v>
      </c>
      <c r="F116" s="51" t="s">
        <v>69</v>
      </c>
      <c r="G116" s="51">
        <v>16</v>
      </c>
      <c r="H116" s="51">
        <v>-51.8</v>
      </c>
      <c r="I116" s="51">
        <v>-55.8</v>
      </c>
      <c r="J116" s="51">
        <v>9.8000000000000007</v>
      </c>
      <c r="K116" s="51">
        <v>9.8000000000000007</v>
      </c>
      <c r="L116" s="51">
        <v>81</v>
      </c>
      <c r="M116" s="54">
        <f t="shared" si="4"/>
        <v>77.657985733209031</v>
      </c>
      <c r="N116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116" s="54">
        <f>IFERROR(-(WHOLE_STRUCTURE[[#This Row],[D, bottom '[m']]]-WHOLE_STRUCTURE[[#This Row],[D, top '[m']]])/(WHOLE_STRUCTURE[[#This Row],[Bottom '[m']]]-WHOLE_STRUCTURE[[#This Row],[Top '[m']]]),"")</f>
        <v>0</v>
      </c>
      <c r="P116" s="54">
        <f>IFERROR((WHOLE_STRUCTURE[[#This Row],[D, bottom '[m']]]+WHOLE_STRUCTURE[[#This Row],[D, top '[m']]])/(2*WHOLE_STRUCTURE[[#This Row],[t '[mm']]]/1000),"")</f>
        <v>120.98765432098766</v>
      </c>
      <c r="V116" s="51"/>
      <c r="W116" s="51"/>
      <c r="X116" s="51"/>
      <c r="Y116" s="51"/>
      <c r="Z116" s="51"/>
      <c r="AA116" s="51"/>
    </row>
    <row r="117" spans="5:27" x14ac:dyDescent="0.3">
      <c r="E117" s="51">
        <v>111</v>
      </c>
      <c r="F117" s="51" t="s">
        <v>69</v>
      </c>
      <c r="G117" s="51">
        <v>17</v>
      </c>
      <c r="H117" s="51">
        <v>-55.8</v>
      </c>
      <c r="I117" s="51">
        <v>-59.8</v>
      </c>
      <c r="J117" s="51">
        <v>9.8000000000000007</v>
      </c>
      <c r="K117" s="51">
        <v>9.8000000000000007</v>
      </c>
      <c r="L117" s="51">
        <v>81</v>
      </c>
      <c r="M117" s="54">
        <f t="shared" si="4"/>
        <v>77.657985733209031</v>
      </c>
      <c r="N117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117" s="54">
        <f>IFERROR(-(WHOLE_STRUCTURE[[#This Row],[D, bottom '[m']]]-WHOLE_STRUCTURE[[#This Row],[D, top '[m']]])/(WHOLE_STRUCTURE[[#This Row],[Bottom '[m']]]-WHOLE_STRUCTURE[[#This Row],[Top '[m']]]),"")</f>
        <v>0</v>
      </c>
      <c r="P117" s="54">
        <f>IFERROR((WHOLE_STRUCTURE[[#This Row],[D, bottom '[m']]]+WHOLE_STRUCTURE[[#This Row],[D, top '[m']]])/(2*WHOLE_STRUCTURE[[#This Row],[t '[mm']]]/1000),"")</f>
        <v>120.98765432098766</v>
      </c>
      <c r="V117" s="51"/>
      <c r="W117" s="51"/>
      <c r="X117" s="51"/>
      <c r="Y117" s="51"/>
      <c r="Z117" s="51"/>
      <c r="AA117" s="51"/>
    </row>
    <row r="118" spans="5:27" x14ac:dyDescent="0.3">
      <c r="E118" s="51">
        <v>112</v>
      </c>
      <c r="F118" s="51" t="s">
        <v>69</v>
      </c>
      <c r="G118" s="51">
        <v>18</v>
      </c>
      <c r="H118" s="51">
        <v>-59.8</v>
      </c>
      <c r="I118" s="51">
        <v>-63.8</v>
      </c>
      <c r="J118" s="51">
        <v>9.8000000000000007</v>
      </c>
      <c r="K118" s="51">
        <v>9.8000000000000007</v>
      </c>
      <c r="L118" s="51">
        <v>81</v>
      </c>
      <c r="M118" s="54">
        <f t="shared" si="4"/>
        <v>77.657985733209031</v>
      </c>
      <c r="N118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118" s="54">
        <f>IFERROR(-(WHOLE_STRUCTURE[[#This Row],[D, bottom '[m']]]-WHOLE_STRUCTURE[[#This Row],[D, top '[m']]])/(WHOLE_STRUCTURE[[#This Row],[Bottom '[m']]]-WHOLE_STRUCTURE[[#This Row],[Top '[m']]]),"")</f>
        <v>0</v>
      </c>
      <c r="P118" s="54">
        <f>IFERROR((WHOLE_STRUCTURE[[#This Row],[D, bottom '[m']]]+WHOLE_STRUCTURE[[#This Row],[D, top '[m']]])/(2*WHOLE_STRUCTURE[[#This Row],[t '[mm']]]/1000),"")</f>
        <v>120.98765432098766</v>
      </c>
      <c r="V118" s="51"/>
      <c r="W118" s="51"/>
      <c r="X118" s="51"/>
      <c r="Y118" s="51"/>
      <c r="Z118" s="51"/>
      <c r="AA118" s="51"/>
    </row>
    <row r="119" spans="5:27" x14ac:dyDescent="0.3">
      <c r="E119" s="51">
        <v>113</v>
      </c>
      <c r="F119" s="51" t="s">
        <v>69</v>
      </c>
      <c r="G119" s="51">
        <v>19</v>
      </c>
      <c r="H119" s="51">
        <v>-63.8</v>
      </c>
      <c r="I119" s="51">
        <v>-67.599999999999994</v>
      </c>
      <c r="J119" s="51">
        <v>9.8000000000000007</v>
      </c>
      <c r="K119" s="51">
        <v>9.8000000000000007</v>
      </c>
      <c r="L119" s="51">
        <v>81</v>
      </c>
      <c r="M119" s="54">
        <f t="shared" si="4"/>
        <v>73.775086446548514</v>
      </c>
      <c r="N119" s="53">
        <f>IFERROR(IF(OR(ISBLANK(WHOLE_STRUCTURE[[#This Row],[Top '[m']]]), ISBLANK(WHOLE_STRUCTURE[[#This Row],[Bottom '[m']]])), "", WHOLE_STRUCTURE[[#This Row],[Top '[m']]] - WHOLE_STRUCTURE[[#This Row],[Bottom '[m']]]),"")</f>
        <v>3.7999999999999972</v>
      </c>
      <c r="O119" s="54">
        <f>IFERROR(-(WHOLE_STRUCTURE[[#This Row],[D, bottom '[m']]]-WHOLE_STRUCTURE[[#This Row],[D, top '[m']]])/(WHOLE_STRUCTURE[[#This Row],[Bottom '[m']]]-WHOLE_STRUCTURE[[#This Row],[Top '[m']]]),"")</f>
        <v>0</v>
      </c>
      <c r="P119" s="54">
        <f>IFERROR((WHOLE_STRUCTURE[[#This Row],[D, bottom '[m']]]+WHOLE_STRUCTURE[[#This Row],[D, top '[m']]])/(2*WHOLE_STRUCTURE[[#This Row],[t '[mm']]]/1000),"")</f>
        <v>120.98765432098766</v>
      </c>
      <c r="V119" s="51"/>
      <c r="W119" s="51"/>
      <c r="X119" s="51"/>
      <c r="Y119" s="51"/>
      <c r="Z119" s="51"/>
      <c r="AA119" s="51"/>
    </row>
    <row r="120" spans="5:27" x14ac:dyDescent="0.3">
      <c r="E120" s="51">
        <v>114</v>
      </c>
      <c r="F120" s="51" t="s">
        <v>69</v>
      </c>
      <c r="G120" s="51">
        <v>20</v>
      </c>
      <c r="H120" s="51">
        <v>-67.599999999999994</v>
      </c>
      <c r="I120" s="51">
        <v>-70.7</v>
      </c>
      <c r="J120" s="51">
        <v>9.8000000000000007</v>
      </c>
      <c r="K120" s="51">
        <v>9.8000000000000007</v>
      </c>
      <c r="L120" s="51">
        <v>81</v>
      </c>
      <c r="M120" s="54">
        <f t="shared" si="4"/>
        <v>60.184938943237157</v>
      </c>
      <c r="N120" s="53">
        <f>IFERROR(IF(OR(ISBLANK(WHOLE_STRUCTURE[[#This Row],[Top '[m']]]), ISBLANK(WHOLE_STRUCTURE[[#This Row],[Bottom '[m']]])), "", WHOLE_STRUCTURE[[#This Row],[Top '[m']]] - WHOLE_STRUCTURE[[#This Row],[Bottom '[m']]]),"")</f>
        <v>3.1000000000000085</v>
      </c>
      <c r="O120" s="54">
        <f>IFERROR(-(WHOLE_STRUCTURE[[#This Row],[D, bottom '[m']]]-WHOLE_STRUCTURE[[#This Row],[D, top '[m']]])/(WHOLE_STRUCTURE[[#This Row],[Bottom '[m']]]-WHOLE_STRUCTURE[[#This Row],[Top '[m']]]),"")</f>
        <v>0</v>
      </c>
      <c r="P120" s="54">
        <f>IFERROR((WHOLE_STRUCTURE[[#This Row],[D, bottom '[m']]]+WHOLE_STRUCTURE[[#This Row],[D, top '[m']]])/(2*WHOLE_STRUCTURE[[#This Row],[t '[mm']]]/1000),"")</f>
        <v>120.98765432098766</v>
      </c>
      <c r="V120" s="51"/>
      <c r="W120" s="51"/>
      <c r="X120" s="51"/>
      <c r="Y120" s="51"/>
      <c r="Z120" s="51"/>
      <c r="AA120" s="51"/>
    </row>
    <row r="121" spans="5:27" x14ac:dyDescent="0.3">
      <c r="E121" s="51">
        <v>115</v>
      </c>
      <c r="F121" s="51" t="s">
        <v>69</v>
      </c>
      <c r="G121" s="51">
        <v>21</v>
      </c>
      <c r="H121" s="51">
        <v>-70.7</v>
      </c>
      <c r="I121" s="51">
        <v>-73.7</v>
      </c>
      <c r="J121" s="51">
        <v>9.8000000000000007</v>
      </c>
      <c r="K121" s="51">
        <v>9.8000000000000007</v>
      </c>
      <c r="L121" s="51">
        <v>87</v>
      </c>
      <c r="M121" s="54">
        <f t="shared" si="4"/>
        <v>62.519201927990139</v>
      </c>
      <c r="N121" s="53">
        <f>IFERROR(IF(OR(ISBLANK(WHOLE_STRUCTURE[[#This Row],[Top '[m']]]), ISBLANK(WHOLE_STRUCTURE[[#This Row],[Bottom '[m']]])), "", WHOLE_STRUCTURE[[#This Row],[Top '[m']]] - WHOLE_STRUCTURE[[#This Row],[Bottom '[m']]]),"")</f>
        <v>3</v>
      </c>
      <c r="O121" s="54">
        <f>IFERROR(-(WHOLE_STRUCTURE[[#This Row],[D, bottom '[m']]]-WHOLE_STRUCTURE[[#This Row],[D, top '[m']]])/(WHOLE_STRUCTURE[[#This Row],[Bottom '[m']]]-WHOLE_STRUCTURE[[#This Row],[Top '[m']]]),"")</f>
        <v>0</v>
      </c>
      <c r="P121" s="54">
        <f>IFERROR((WHOLE_STRUCTURE[[#This Row],[D, bottom '[m']]]+WHOLE_STRUCTURE[[#This Row],[D, top '[m']]])/(2*WHOLE_STRUCTURE[[#This Row],[t '[mm']]]/1000),"")</f>
        <v>112.64367816091955</v>
      </c>
      <c r="V121" s="51"/>
      <c r="W121" s="51"/>
      <c r="X121" s="51"/>
      <c r="Y121" s="51"/>
      <c r="Z121" s="51"/>
      <c r="AA121" s="51"/>
    </row>
    <row r="122" spans="5:27" x14ac:dyDescent="0.3">
      <c r="E122" s="51">
        <v>116</v>
      </c>
      <c r="F122" s="51" t="s">
        <v>69</v>
      </c>
      <c r="G122" s="51">
        <v>22</v>
      </c>
      <c r="H122" s="51">
        <v>-73.7</v>
      </c>
      <c r="I122" s="51">
        <v>-76.8</v>
      </c>
      <c r="J122" s="51">
        <v>9.8000000000000007</v>
      </c>
      <c r="K122" s="51">
        <v>9.8000000000000007</v>
      </c>
      <c r="L122" s="51">
        <v>95</v>
      </c>
      <c r="M122" s="54">
        <f t="shared" si="4"/>
        <v>70.485594695118522</v>
      </c>
      <c r="N122" s="53">
        <f>IFERROR(IF(OR(ISBLANK(WHOLE_STRUCTURE[[#This Row],[Top '[m']]]), ISBLANK(WHOLE_STRUCTURE[[#This Row],[Bottom '[m']]])), "", WHOLE_STRUCTURE[[#This Row],[Top '[m']]] - WHOLE_STRUCTURE[[#This Row],[Bottom '[m']]]),"")</f>
        <v>3.0999999999999943</v>
      </c>
      <c r="O122" s="54">
        <f>IFERROR(-(WHOLE_STRUCTURE[[#This Row],[D, bottom '[m']]]-WHOLE_STRUCTURE[[#This Row],[D, top '[m']]])/(WHOLE_STRUCTURE[[#This Row],[Bottom '[m']]]-WHOLE_STRUCTURE[[#This Row],[Top '[m']]]),"")</f>
        <v>0</v>
      </c>
      <c r="P122" s="54">
        <f>IFERROR((WHOLE_STRUCTURE[[#This Row],[D, bottom '[m']]]+WHOLE_STRUCTURE[[#This Row],[D, top '[m']]])/(2*WHOLE_STRUCTURE[[#This Row],[t '[mm']]]/1000),"")</f>
        <v>103.15789473684211</v>
      </c>
      <c r="V122" s="51"/>
      <c r="W122" s="51"/>
      <c r="X122" s="51"/>
      <c r="Y122" s="51"/>
      <c r="Z122" s="51"/>
      <c r="AA122" s="51"/>
    </row>
    <row r="123" spans="5:27" x14ac:dyDescent="0.3">
      <c r="E123" s="51">
        <v>117</v>
      </c>
      <c r="F123" s="51" t="s">
        <v>69</v>
      </c>
      <c r="G123" s="51">
        <v>23</v>
      </c>
      <c r="H123" s="51">
        <v>-76.8</v>
      </c>
      <c r="I123" s="51">
        <v>-79.8</v>
      </c>
      <c r="J123" s="51">
        <v>9.8000000000000007</v>
      </c>
      <c r="K123" s="51">
        <v>9.8000000000000007</v>
      </c>
      <c r="L123" s="51">
        <v>105</v>
      </c>
      <c r="M123" s="54">
        <f t="shared" si="4"/>
        <v>75.314378505222052</v>
      </c>
      <c r="N123" s="53">
        <f>IFERROR(IF(OR(ISBLANK(WHOLE_STRUCTURE[[#This Row],[Top '[m']]]), ISBLANK(WHOLE_STRUCTURE[[#This Row],[Bottom '[m']]])), "", WHOLE_STRUCTURE[[#This Row],[Top '[m']]] - WHOLE_STRUCTURE[[#This Row],[Bottom '[m']]]),"")</f>
        <v>3</v>
      </c>
      <c r="O123" s="54">
        <f>IFERROR(-(WHOLE_STRUCTURE[[#This Row],[D, bottom '[m']]]-WHOLE_STRUCTURE[[#This Row],[D, top '[m']]])/(WHOLE_STRUCTURE[[#This Row],[Bottom '[m']]]-WHOLE_STRUCTURE[[#This Row],[Top '[m']]]),"")</f>
        <v>0</v>
      </c>
      <c r="P123" s="54">
        <f>IFERROR((WHOLE_STRUCTURE[[#This Row],[D, bottom '[m']]]+WHOLE_STRUCTURE[[#This Row],[D, top '[m']]])/(2*WHOLE_STRUCTURE[[#This Row],[t '[mm']]]/1000),"")</f>
        <v>93.333333333333343</v>
      </c>
      <c r="V123" s="51"/>
      <c r="W123" s="51"/>
      <c r="X123" s="51"/>
      <c r="Y123" s="51"/>
      <c r="Z123" s="51"/>
      <c r="AA123" s="51"/>
    </row>
    <row r="124" spans="5:27" x14ac:dyDescent="0.3">
      <c r="V124" s="51"/>
      <c r="W124" s="51"/>
      <c r="X124" s="51"/>
      <c r="Y124" s="51"/>
      <c r="Z124" s="51"/>
      <c r="AA124" s="51"/>
    </row>
    <row r="125" spans="5:27" x14ac:dyDescent="0.3">
      <c r="V125" s="51"/>
      <c r="W125" s="51"/>
      <c r="X125" s="51"/>
      <c r="Y125" s="51"/>
      <c r="Z125" s="51"/>
      <c r="AA125" s="51"/>
    </row>
    <row r="126" spans="5:27" x14ac:dyDescent="0.3">
      <c r="V126" s="51"/>
      <c r="W126" s="51"/>
      <c r="X126" s="51"/>
      <c r="Y126" s="51"/>
      <c r="Z126" s="51"/>
      <c r="AA126" s="51"/>
    </row>
    <row r="127" spans="5:27" x14ac:dyDescent="0.3">
      <c r="V127" s="51"/>
      <c r="W127" s="51"/>
      <c r="X127" s="51"/>
      <c r="Y127" s="51"/>
      <c r="Z127" s="51"/>
      <c r="AA127" s="51"/>
    </row>
    <row r="128" spans="5:27" x14ac:dyDescent="0.3">
      <c r="V128" s="51"/>
      <c r="W128" s="51"/>
      <c r="X128" s="51"/>
      <c r="Y128" s="51"/>
      <c r="Z128" s="51"/>
      <c r="AA128" s="51"/>
    </row>
    <row r="129" spans="13:27" x14ac:dyDescent="0.3">
      <c r="V129" s="51"/>
      <c r="W129" s="51"/>
      <c r="X129" s="51"/>
      <c r="Y129" s="51"/>
      <c r="Z129" s="51"/>
      <c r="AA129" s="51"/>
    </row>
    <row r="130" spans="13:27" x14ac:dyDescent="0.3">
      <c r="V130" s="51"/>
      <c r="W130" s="51"/>
      <c r="X130" s="51"/>
      <c r="Y130" s="51"/>
      <c r="Z130" s="51"/>
      <c r="AA130" s="51"/>
    </row>
    <row r="131" spans="13:27" x14ac:dyDescent="0.3">
      <c r="V131" s="51"/>
      <c r="W131" s="51"/>
      <c r="X131" s="51"/>
      <c r="Y131" s="51"/>
      <c r="Z131" s="51"/>
      <c r="AA131" s="51"/>
    </row>
    <row r="132" spans="13:27" x14ac:dyDescent="0.3">
      <c r="M132" s="54" t="str">
        <f>IF(7850/1000*(1/3)*PI()*ABS(H132-I132)*((J132/2)^2+(J132/2)*(K132/2)+(K132/2)^2-(J132/2-L132/1000)^2-(J132/2-L132/1000)*(K132/2-L132/1000)-(K132/2-L132/1000)^2)=0,"",7850/1000*(1/3)*PI()*ABS(H132-I132)*((J132/2)^2+(J132/2)*(K132/2)+(K132/2)^2-(J132/2-L132/1000)^2-(J132/2-L132/1000)*(K132/2-L132/1000)-(K132/2-L132/1000)^2))</f>
        <v/>
      </c>
      <c r="N1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2" s="54" t="str">
        <f>IFERROR(-(WHOLE_STRUCTURE[[#This Row],[D, bottom '[m']]]-WHOLE_STRUCTURE[[#This Row],[D, top '[m']]])/(WHOLE_STRUCTURE[[#This Row],[Bottom '[m']]]-WHOLE_STRUCTURE[[#This Row],[Top '[m']]]),"")</f>
        <v/>
      </c>
      <c r="P132" s="54" t="str">
        <f>IFERROR((WHOLE_STRUCTURE[[#This Row],[D, bottom '[m']]]+WHOLE_STRUCTURE[[#This Row],[D, top '[m']]])/(2*WHOLE_STRUCTURE[[#This Row],[t '[mm']]]/1000),"")</f>
        <v/>
      </c>
      <c r="V132" s="51"/>
      <c r="W132" s="51"/>
      <c r="X132" s="51"/>
      <c r="Y132" s="51"/>
      <c r="Z132" s="51"/>
      <c r="AA132" s="51"/>
    </row>
    <row r="133" spans="13:27" x14ac:dyDescent="0.3">
      <c r="M133" s="54" t="str">
        <f t="shared" ref="M133:M196" si="5">IF(7850/1000*(1/3)*PI()*ABS(H133-I133)*((J133/2)^2+(J133/2)*(K133/2)+(K133/2)^2-(J133/2-L133/1000)^2-(J133/2-L133/1000)*(K133/2-L133/1000)-(K133/2-L133/1000)^2)=0,"",7850/1000*(1/3)*PI()*ABS(H133-I133)*((J133/2)^2+(J133/2)*(K133/2)+(K133/2)^2-(J133/2-L133/1000)^2-(J133/2-L133/1000)*(K133/2-L133/1000)-(K133/2-L133/1000)^2))</f>
        <v/>
      </c>
      <c r="N1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3" s="54" t="str">
        <f>IFERROR(-(WHOLE_STRUCTURE[[#This Row],[D, bottom '[m']]]-WHOLE_STRUCTURE[[#This Row],[D, top '[m']]])/(WHOLE_STRUCTURE[[#This Row],[Bottom '[m']]]-WHOLE_STRUCTURE[[#This Row],[Top '[m']]]),"")</f>
        <v/>
      </c>
      <c r="P133" s="54" t="str">
        <f>IFERROR((WHOLE_STRUCTURE[[#This Row],[D, bottom '[m']]]+WHOLE_STRUCTURE[[#This Row],[D, top '[m']]])/(2*WHOLE_STRUCTURE[[#This Row],[t '[mm']]]/1000),"")</f>
        <v/>
      </c>
      <c r="V133" s="51"/>
      <c r="W133" s="51"/>
      <c r="X133" s="51"/>
      <c r="Y133" s="51"/>
      <c r="Z133" s="51"/>
      <c r="AA133" s="51"/>
    </row>
    <row r="134" spans="13:27" x14ac:dyDescent="0.3">
      <c r="M134" s="54" t="str">
        <f t="shared" si="5"/>
        <v/>
      </c>
      <c r="N1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4" s="54" t="str">
        <f>IFERROR(-(WHOLE_STRUCTURE[[#This Row],[D, bottom '[m']]]-WHOLE_STRUCTURE[[#This Row],[D, top '[m']]])/(WHOLE_STRUCTURE[[#This Row],[Bottom '[m']]]-WHOLE_STRUCTURE[[#This Row],[Top '[m']]]),"")</f>
        <v/>
      </c>
      <c r="P134" s="54" t="str">
        <f>IFERROR((WHOLE_STRUCTURE[[#This Row],[D, bottom '[m']]]+WHOLE_STRUCTURE[[#This Row],[D, top '[m']]])/(2*WHOLE_STRUCTURE[[#This Row],[t '[mm']]]/1000),"")</f>
        <v/>
      </c>
      <c r="V134" s="51"/>
      <c r="W134" s="51"/>
      <c r="X134" s="51"/>
      <c r="Y134" s="51"/>
      <c r="Z134" s="51"/>
      <c r="AA134" s="51"/>
    </row>
    <row r="135" spans="13:27" x14ac:dyDescent="0.3">
      <c r="M135" s="54" t="str">
        <f t="shared" si="5"/>
        <v/>
      </c>
      <c r="N1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5" s="54" t="str">
        <f>IFERROR(-(WHOLE_STRUCTURE[[#This Row],[D, bottom '[m']]]-WHOLE_STRUCTURE[[#This Row],[D, top '[m']]])/(WHOLE_STRUCTURE[[#This Row],[Bottom '[m']]]-WHOLE_STRUCTURE[[#This Row],[Top '[m']]]),"")</f>
        <v/>
      </c>
      <c r="P135" s="54" t="str">
        <f>IFERROR((WHOLE_STRUCTURE[[#This Row],[D, bottom '[m']]]+WHOLE_STRUCTURE[[#This Row],[D, top '[m']]])/(2*WHOLE_STRUCTURE[[#This Row],[t '[mm']]]/1000),"")</f>
        <v/>
      </c>
      <c r="V135" s="51"/>
      <c r="W135" s="51"/>
      <c r="X135" s="51"/>
      <c r="Y135" s="51"/>
      <c r="Z135" s="51"/>
      <c r="AA135" s="51"/>
    </row>
    <row r="136" spans="13:27" x14ac:dyDescent="0.3">
      <c r="M136" s="54" t="str">
        <f t="shared" si="5"/>
        <v/>
      </c>
      <c r="N1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6" s="54" t="str">
        <f>IFERROR(-(WHOLE_STRUCTURE[[#This Row],[D, bottom '[m']]]-WHOLE_STRUCTURE[[#This Row],[D, top '[m']]])/(WHOLE_STRUCTURE[[#This Row],[Bottom '[m']]]-WHOLE_STRUCTURE[[#This Row],[Top '[m']]]),"")</f>
        <v/>
      </c>
      <c r="P136" s="54" t="str">
        <f>IFERROR((WHOLE_STRUCTURE[[#This Row],[D, bottom '[m']]]+WHOLE_STRUCTURE[[#This Row],[D, top '[m']]])/(2*WHOLE_STRUCTURE[[#This Row],[t '[mm']]]/1000),"")</f>
        <v/>
      </c>
    </row>
    <row r="137" spans="13:27" x14ac:dyDescent="0.3">
      <c r="M137" s="54" t="str">
        <f t="shared" si="5"/>
        <v/>
      </c>
      <c r="N1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7" s="54" t="str">
        <f>IFERROR(-(WHOLE_STRUCTURE[[#This Row],[D, bottom '[m']]]-WHOLE_STRUCTURE[[#This Row],[D, top '[m']]])/(WHOLE_STRUCTURE[[#This Row],[Bottom '[m']]]-WHOLE_STRUCTURE[[#This Row],[Top '[m']]]),"")</f>
        <v/>
      </c>
      <c r="P137" s="54" t="str">
        <f>IFERROR((WHOLE_STRUCTURE[[#This Row],[D, bottom '[m']]]+WHOLE_STRUCTURE[[#This Row],[D, top '[m']]])/(2*WHOLE_STRUCTURE[[#This Row],[t '[mm']]]/1000),"")</f>
        <v/>
      </c>
    </row>
    <row r="138" spans="13:27" x14ac:dyDescent="0.3">
      <c r="M138" s="54" t="str">
        <f t="shared" si="5"/>
        <v/>
      </c>
      <c r="N1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8" s="54" t="str">
        <f>IFERROR(-(WHOLE_STRUCTURE[[#This Row],[D, bottom '[m']]]-WHOLE_STRUCTURE[[#This Row],[D, top '[m']]])/(WHOLE_STRUCTURE[[#This Row],[Bottom '[m']]]-WHOLE_STRUCTURE[[#This Row],[Top '[m']]]),"")</f>
        <v/>
      </c>
      <c r="P138" s="54" t="str">
        <f>IFERROR((WHOLE_STRUCTURE[[#This Row],[D, bottom '[m']]]+WHOLE_STRUCTURE[[#This Row],[D, top '[m']]])/(2*WHOLE_STRUCTURE[[#This Row],[t '[mm']]]/1000),"")</f>
        <v/>
      </c>
    </row>
    <row r="139" spans="13:27" x14ac:dyDescent="0.3">
      <c r="M139" s="54" t="str">
        <f t="shared" si="5"/>
        <v/>
      </c>
      <c r="N1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9" s="54" t="str">
        <f>IFERROR(-(WHOLE_STRUCTURE[[#This Row],[D, bottom '[m']]]-WHOLE_STRUCTURE[[#This Row],[D, top '[m']]])/(WHOLE_STRUCTURE[[#This Row],[Bottom '[m']]]-WHOLE_STRUCTURE[[#This Row],[Top '[m']]]),"")</f>
        <v/>
      </c>
      <c r="P139" s="54" t="str">
        <f>IFERROR((WHOLE_STRUCTURE[[#This Row],[D, bottom '[m']]]+WHOLE_STRUCTURE[[#This Row],[D, top '[m']]])/(2*WHOLE_STRUCTURE[[#This Row],[t '[mm']]]/1000),"")</f>
        <v/>
      </c>
    </row>
    <row r="140" spans="13:27" x14ac:dyDescent="0.3">
      <c r="M140" s="54" t="str">
        <f t="shared" si="5"/>
        <v/>
      </c>
      <c r="N1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0" s="54" t="str">
        <f>IFERROR(-(WHOLE_STRUCTURE[[#This Row],[D, bottom '[m']]]-WHOLE_STRUCTURE[[#This Row],[D, top '[m']]])/(WHOLE_STRUCTURE[[#This Row],[Bottom '[m']]]-WHOLE_STRUCTURE[[#This Row],[Top '[m']]]),"")</f>
        <v/>
      </c>
      <c r="P140" s="54" t="str">
        <f>IFERROR((WHOLE_STRUCTURE[[#This Row],[D, bottom '[m']]]+WHOLE_STRUCTURE[[#This Row],[D, top '[m']]])/(2*WHOLE_STRUCTURE[[#This Row],[t '[mm']]]/1000),"")</f>
        <v/>
      </c>
    </row>
    <row r="141" spans="13:27" x14ac:dyDescent="0.3">
      <c r="M141" s="54" t="str">
        <f t="shared" si="5"/>
        <v/>
      </c>
      <c r="N1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1" s="54" t="str">
        <f>IFERROR(-(WHOLE_STRUCTURE[[#This Row],[D, bottom '[m']]]-WHOLE_STRUCTURE[[#This Row],[D, top '[m']]])/(WHOLE_STRUCTURE[[#This Row],[Bottom '[m']]]-WHOLE_STRUCTURE[[#This Row],[Top '[m']]]),"")</f>
        <v/>
      </c>
      <c r="P141" s="54" t="str">
        <f>IFERROR((WHOLE_STRUCTURE[[#This Row],[D, bottom '[m']]]+WHOLE_STRUCTURE[[#This Row],[D, top '[m']]])/(2*WHOLE_STRUCTURE[[#This Row],[t '[mm']]]/1000),"")</f>
        <v/>
      </c>
    </row>
    <row r="142" spans="13:27" x14ac:dyDescent="0.3">
      <c r="M142" s="54" t="str">
        <f t="shared" si="5"/>
        <v/>
      </c>
      <c r="N1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2" s="54" t="str">
        <f>IFERROR(-(WHOLE_STRUCTURE[[#This Row],[D, bottom '[m']]]-WHOLE_STRUCTURE[[#This Row],[D, top '[m']]])/(WHOLE_STRUCTURE[[#This Row],[Bottom '[m']]]-WHOLE_STRUCTURE[[#This Row],[Top '[m']]]),"")</f>
        <v/>
      </c>
      <c r="P142" s="54" t="str">
        <f>IFERROR((WHOLE_STRUCTURE[[#This Row],[D, bottom '[m']]]+WHOLE_STRUCTURE[[#This Row],[D, top '[m']]])/(2*WHOLE_STRUCTURE[[#This Row],[t '[mm']]]/1000),"")</f>
        <v/>
      </c>
    </row>
    <row r="143" spans="13:27" x14ac:dyDescent="0.3">
      <c r="M143" s="54" t="str">
        <f t="shared" si="5"/>
        <v/>
      </c>
      <c r="N1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3" s="54" t="str">
        <f>IFERROR(-(WHOLE_STRUCTURE[[#This Row],[D, bottom '[m']]]-WHOLE_STRUCTURE[[#This Row],[D, top '[m']]])/(WHOLE_STRUCTURE[[#This Row],[Bottom '[m']]]-WHOLE_STRUCTURE[[#This Row],[Top '[m']]]),"")</f>
        <v/>
      </c>
      <c r="P143" s="54" t="str">
        <f>IFERROR((WHOLE_STRUCTURE[[#This Row],[D, bottom '[m']]]+WHOLE_STRUCTURE[[#This Row],[D, top '[m']]])/(2*WHOLE_STRUCTURE[[#This Row],[t '[mm']]]/1000),"")</f>
        <v/>
      </c>
    </row>
    <row r="144" spans="13:27" x14ac:dyDescent="0.3">
      <c r="M144" s="54" t="str">
        <f t="shared" si="5"/>
        <v/>
      </c>
      <c r="N1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4" s="54" t="str">
        <f>IFERROR(-(WHOLE_STRUCTURE[[#This Row],[D, bottom '[m']]]-WHOLE_STRUCTURE[[#This Row],[D, top '[m']]])/(WHOLE_STRUCTURE[[#This Row],[Bottom '[m']]]-WHOLE_STRUCTURE[[#This Row],[Top '[m']]]),"")</f>
        <v/>
      </c>
      <c r="P144" s="54" t="str">
        <f>IFERROR((WHOLE_STRUCTURE[[#This Row],[D, bottom '[m']]]+WHOLE_STRUCTURE[[#This Row],[D, top '[m']]])/(2*WHOLE_STRUCTURE[[#This Row],[t '[mm']]]/1000),"")</f>
        <v/>
      </c>
    </row>
    <row r="145" spans="13:16" x14ac:dyDescent="0.3">
      <c r="M145" s="54" t="str">
        <f t="shared" si="5"/>
        <v/>
      </c>
      <c r="N1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5" s="54" t="str">
        <f>IFERROR(-(WHOLE_STRUCTURE[[#This Row],[D, bottom '[m']]]-WHOLE_STRUCTURE[[#This Row],[D, top '[m']]])/(WHOLE_STRUCTURE[[#This Row],[Bottom '[m']]]-WHOLE_STRUCTURE[[#This Row],[Top '[m']]]),"")</f>
        <v/>
      </c>
      <c r="P145" s="54" t="str">
        <f>IFERROR((WHOLE_STRUCTURE[[#This Row],[D, bottom '[m']]]+WHOLE_STRUCTURE[[#This Row],[D, top '[m']]])/(2*WHOLE_STRUCTURE[[#This Row],[t '[mm']]]/1000),"")</f>
        <v/>
      </c>
    </row>
    <row r="146" spans="13:16" x14ac:dyDescent="0.3">
      <c r="M146" s="54" t="str">
        <f t="shared" si="5"/>
        <v/>
      </c>
      <c r="N1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6" s="54" t="str">
        <f>IFERROR(-(WHOLE_STRUCTURE[[#This Row],[D, bottom '[m']]]-WHOLE_STRUCTURE[[#This Row],[D, top '[m']]])/(WHOLE_STRUCTURE[[#This Row],[Bottom '[m']]]-WHOLE_STRUCTURE[[#This Row],[Top '[m']]]),"")</f>
        <v/>
      </c>
      <c r="P146" s="54" t="str">
        <f>IFERROR((WHOLE_STRUCTURE[[#This Row],[D, bottom '[m']]]+WHOLE_STRUCTURE[[#This Row],[D, top '[m']]])/(2*WHOLE_STRUCTURE[[#This Row],[t '[mm']]]/1000),"")</f>
        <v/>
      </c>
    </row>
    <row r="147" spans="13:16" x14ac:dyDescent="0.3">
      <c r="M147" s="54" t="str">
        <f t="shared" si="5"/>
        <v/>
      </c>
      <c r="N1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7" s="54" t="str">
        <f>IFERROR(-(WHOLE_STRUCTURE[[#This Row],[D, bottom '[m']]]-WHOLE_STRUCTURE[[#This Row],[D, top '[m']]])/(WHOLE_STRUCTURE[[#This Row],[Bottom '[m']]]-WHOLE_STRUCTURE[[#This Row],[Top '[m']]]),"")</f>
        <v/>
      </c>
      <c r="P147" s="54" t="str">
        <f>IFERROR((WHOLE_STRUCTURE[[#This Row],[D, bottom '[m']]]+WHOLE_STRUCTURE[[#This Row],[D, top '[m']]])/(2*WHOLE_STRUCTURE[[#This Row],[t '[mm']]]/1000),"")</f>
        <v/>
      </c>
    </row>
    <row r="148" spans="13:16" x14ac:dyDescent="0.3">
      <c r="M148" s="54" t="str">
        <f t="shared" si="5"/>
        <v/>
      </c>
      <c r="N1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8" s="54" t="str">
        <f>IFERROR(-(WHOLE_STRUCTURE[[#This Row],[D, bottom '[m']]]-WHOLE_STRUCTURE[[#This Row],[D, top '[m']]])/(WHOLE_STRUCTURE[[#This Row],[Bottom '[m']]]-WHOLE_STRUCTURE[[#This Row],[Top '[m']]]),"")</f>
        <v/>
      </c>
      <c r="P148" s="54" t="str">
        <f>IFERROR((WHOLE_STRUCTURE[[#This Row],[D, bottom '[m']]]+WHOLE_STRUCTURE[[#This Row],[D, top '[m']]])/(2*WHOLE_STRUCTURE[[#This Row],[t '[mm']]]/1000),"")</f>
        <v/>
      </c>
    </row>
    <row r="149" spans="13:16" x14ac:dyDescent="0.3">
      <c r="M149" s="54" t="str">
        <f t="shared" si="5"/>
        <v/>
      </c>
      <c r="N1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9" s="54" t="str">
        <f>IFERROR(-(WHOLE_STRUCTURE[[#This Row],[D, bottom '[m']]]-WHOLE_STRUCTURE[[#This Row],[D, top '[m']]])/(WHOLE_STRUCTURE[[#This Row],[Bottom '[m']]]-WHOLE_STRUCTURE[[#This Row],[Top '[m']]]),"")</f>
        <v/>
      </c>
      <c r="P149" s="54" t="str">
        <f>IFERROR((WHOLE_STRUCTURE[[#This Row],[D, bottom '[m']]]+WHOLE_STRUCTURE[[#This Row],[D, top '[m']]])/(2*WHOLE_STRUCTURE[[#This Row],[t '[mm']]]/1000),"")</f>
        <v/>
      </c>
    </row>
    <row r="150" spans="13:16" x14ac:dyDescent="0.3">
      <c r="M150" s="54" t="str">
        <f t="shared" si="5"/>
        <v/>
      </c>
      <c r="N1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0" s="54" t="str">
        <f>IFERROR(-(WHOLE_STRUCTURE[[#This Row],[D, bottom '[m']]]-WHOLE_STRUCTURE[[#This Row],[D, top '[m']]])/(WHOLE_STRUCTURE[[#This Row],[Bottom '[m']]]-WHOLE_STRUCTURE[[#This Row],[Top '[m']]]),"")</f>
        <v/>
      </c>
      <c r="P150" s="54" t="str">
        <f>IFERROR((WHOLE_STRUCTURE[[#This Row],[D, bottom '[m']]]+WHOLE_STRUCTURE[[#This Row],[D, top '[m']]])/(2*WHOLE_STRUCTURE[[#This Row],[t '[mm']]]/1000),"")</f>
        <v/>
      </c>
    </row>
    <row r="151" spans="13:16" x14ac:dyDescent="0.3">
      <c r="M151" s="54" t="str">
        <f t="shared" si="5"/>
        <v/>
      </c>
      <c r="N1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1" s="54" t="str">
        <f>IFERROR(-(WHOLE_STRUCTURE[[#This Row],[D, bottom '[m']]]-WHOLE_STRUCTURE[[#This Row],[D, top '[m']]])/(WHOLE_STRUCTURE[[#This Row],[Bottom '[m']]]-WHOLE_STRUCTURE[[#This Row],[Top '[m']]]),"")</f>
        <v/>
      </c>
      <c r="P151" s="54" t="str">
        <f>IFERROR((WHOLE_STRUCTURE[[#This Row],[D, bottom '[m']]]+WHOLE_STRUCTURE[[#This Row],[D, top '[m']]])/(2*WHOLE_STRUCTURE[[#This Row],[t '[mm']]]/1000),"")</f>
        <v/>
      </c>
    </row>
    <row r="152" spans="13:16" x14ac:dyDescent="0.3">
      <c r="M152" s="54" t="str">
        <f t="shared" si="5"/>
        <v/>
      </c>
      <c r="N1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2" s="54" t="str">
        <f>IFERROR(-(WHOLE_STRUCTURE[[#This Row],[D, bottom '[m']]]-WHOLE_STRUCTURE[[#This Row],[D, top '[m']]])/(WHOLE_STRUCTURE[[#This Row],[Bottom '[m']]]-WHOLE_STRUCTURE[[#This Row],[Top '[m']]]),"")</f>
        <v/>
      </c>
      <c r="P152" s="54" t="str">
        <f>IFERROR((WHOLE_STRUCTURE[[#This Row],[D, bottom '[m']]]+WHOLE_STRUCTURE[[#This Row],[D, top '[m']]])/(2*WHOLE_STRUCTURE[[#This Row],[t '[mm']]]/1000),"")</f>
        <v/>
      </c>
    </row>
    <row r="153" spans="13:16" x14ac:dyDescent="0.3">
      <c r="M153" s="54" t="str">
        <f t="shared" si="5"/>
        <v/>
      </c>
      <c r="N1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3" s="54" t="str">
        <f>IFERROR(-(WHOLE_STRUCTURE[[#This Row],[D, bottom '[m']]]-WHOLE_STRUCTURE[[#This Row],[D, top '[m']]])/(WHOLE_STRUCTURE[[#This Row],[Bottom '[m']]]-WHOLE_STRUCTURE[[#This Row],[Top '[m']]]),"")</f>
        <v/>
      </c>
      <c r="P153" s="54" t="str">
        <f>IFERROR((WHOLE_STRUCTURE[[#This Row],[D, bottom '[m']]]+WHOLE_STRUCTURE[[#This Row],[D, top '[m']]])/(2*WHOLE_STRUCTURE[[#This Row],[t '[mm']]]/1000),"")</f>
        <v/>
      </c>
    </row>
    <row r="154" spans="13:16" x14ac:dyDescent="0.3">
      <c r="M154" s="54" t="str">
        <f t="shared" si="5"/>
        <v/>
      </c>
      <c r="N1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4" s="54" t="str">
        <f>IFERROR(-(WHOLE_STRUCTURE[[#This Row],[D, bottom '[m']]]-WHOLE_STRUCTURE[[#This Row],[D, top '[m']]])/(WHOLE_STRUCTURE[[#This Row],[Bottom '[m']]]-WHOLE_STRUCTURE[[#This Row],[Top '[m']]]),"")</f>
        <v/>
      </c>
      <c r="P154" s="54" t="str">
        <f>IFERROR((WHOLE_STRUCTURE[[#This Row],[D, bottom '[m']]]+WHOLE_STRUCTURE[[#This Row],[D, top '[m']]])/(2*WHOLE_STRUCTURE[[#This Row],[t '[mm']]]/1000),"")</f>
        <v/>
      </c>
    </row>
    <row r="155" spans="13:16" x14ac:dyDescent="0.3">
      <c r="M155" s="54" t="str">
        <f t="shared" si="5"/>
        <v/>
      </c>
      <c r="N1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5" s="54" t="str">
        <f>IFERROR(-(WHOLE_STRUCTURE[[#This Row],[D, bottom '[m']]]-WHOLE_STRUCTURE[[#This Row],[D, top '[m']]])/(WHOLE_STRUCTURE[[#This Row],[Bottom '[m']]]-WHOLE_STRUCTURE[[#This Row],[Top '[m']]]),"")</f>
        <v/>
      </c>
      <c r="P155" s="54" t="str">
        <f>IFERROR((WHOLE_STRUCTURE[[#This Row],[D, bottom '[m']]]+WHOLE_STRUCTURE[[#This Row],[D, top '[m']]])/(2*WHOLE_STRUCTURE[[#This Row],[t '[mm']]]/1000),"")</f>
        <v/>
      </c>
    </row>
    <row r="156" spans="13:16" x14ac:dyDescent="0.3">
      <c r="M156" s="54" t="str">
        <f t="shared" si="5"/>
        <v/>
      </c>
      <c r="N1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6" s="54" t="str">
        <f>IFERROR(-(WHOLE_STRUCTURE[[#This Row],[D, bottom '[m']]]-WHOLE_STRUCTURE[[#This Row],[D, top '[m']]])/(WHOLE_STRUCTURE[[#This Row],[Bottom '[m']]]-WHOLE_STRUCTURE[[#This Row],[Top '[m']]]),"")</f>
        <v/>
      </c>
      <c r="P156" s="54" t="str">
        <f>IFERROR((WHOLE_STRUCTURE[[#This Row],[D, bottom '[m']]]+WHOLE_STRUCTURE[[#This Row],[D, top '[m']]])/(2*WHOLE_STRUCTURE[[#This Row],[t '[mm']]]/1000),"")</f>
        <v/>
      </c>
    </row>
    <row r="157" spans="13:16" x14ac:dyDescent="0.3">
      <c r="M157" s="54" t="str">
        <f t="shared" si="5"/>
        <v/>
      </c>
      <c r="N1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7" s="54" t="str">
        <f>IFERROR(-(WHOLE_STRUCTURE[[#This Row],[D, bottom '[m']]]-WHOLE_STRUCTURE[[#This Row],[D, top '[m']]])/(WHOLE_STRUCTURE[[#This Row],[Bottom '[m']]]-WHOLE_STRUCTURE[[#This Row],[Top '[m']]]),"")</f>
        <v/>
      </c>
      <c r="P157" s="54" t="str">
        <f>IFERROR((WHOLE_STRUCTURE[[#This Row],[D, bottom '[m']]]+WHOLE_STRUCTURE[[#This Row],[D, top '[m']]])/(2*WHOLE_STRUCTURE[[#This Row],[t '[mm']]]/1000),"")</f>
        <v/>
      </c>
    </row>
    <row r="158" spans="13:16" x14ac:dyDescent="0.3">
      <c r="M158" s="54" t="str">
        <f t="shared" si="5"/>
        <v/>
      </c>
      <c r="N1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8" s="54" t="str">
        <f>IFERROR(-(WHOLE_STRUCTURE[[#This Row],[D, bottom '[m']]]-WHOLE_STRUCTURE[[#This Row],[D, top '[m']]])/(WHOLE_STRUCTURE[[#This Row],[Bottom '[m']]]-WHOLE_STRUCTURE[[#This Row],[Top '[m']]]),"")</f>
        <v/>
      </c>
      <c r="P158" s="54" t="str">
        <f>IFERROR((WHOLE_STRUCTURE[[#This Row],[D, bottom '[m']]]+WHOLE_STRUCTURE[[#This Row],[D, top '[m']]])/(2*WHOLE_STRUCTURE[[#This Row],[t '[mm']]]/1000),"")</f>
        <v/>
      </c>
    </row>
    <row r="159" spans="13:16" x14ac:dyDescent="0.3">
      <c r="M159" s="54" t="str">
        <f t="shared" si="5"/>
        <v/>
      </c>
      <c r="N1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9" s="54" t="str">
        <f>IFERROR(-(WHOLE_STRUCTURE[[#This Row],[D, bottom '[m']]]-WHOLE_STRUCTURE[[#This Row],[D, top '[m']]])/(WHOLE_STRUCTURE[[#This Row],[Bottom '[m']]]-WHOLE_STRUCTURE[[#This Row],[Top '[m']]]),"")</f>
        <v/>
      </c>
      <c r="P159" s="54" t="str">
        <f>IFERROR((WHOLE_STRUCTURE[[#This Row],[D, bottom '[m']]]+WHOLE_STRUCTURE[[#This Row],[D, top '[m']]])/(2*WHOLE_STRUCTURE[[#This Row],[t '[mm']]]/1000),"")</f>
        <v/>
      </c>
    </row>
    <row r="160" spans="13:16" x14ac:dyDescent="0.3">
      <c r="M160" s="54" t="str">
        <f t="shared" si="5"/>
        <v/>
      </c>
      <c r="N1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0" s="54" t="str">
        <f>IFERROR(-(WHOLE_STRUCTURE[[#This Row],[D, bottom '[m']]]-WHOLE_STRUCTURE[[#This Row],[D, top '[m']]])/(WHOLE_STRUCTURE[[#This Row],[Bottom '[m']]]-WHOLE_STRUCTURE[[#This Row],[Top '[m']]]),"")</f>
        <v/>
      </c>
      <c r="P160" s="54" t="str">
        <f>IFERROR((WHOLE_STRUCTURE[[#This Row],[D, bottom '[m']]]+WHOLE_STRUCTURE[[#This Row],[D, top '[m']]])/(2*WHOLE_STRUCTURE[[#This Row],[t '[mm']]]/1000),"")</f>
        <v/>
      </c>
    </row>
    <row r="161" spans="13:16" x14ac:dyDescent="0.3">
      <c r="M161" s="54" t="str">
        <f t="shared" si="5"/>
        <v/>
      </c>
      <c r="N1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1" s="54" t="str">
        <f>IFERROR(-(WHOLE_STRUCTURE[[#This Row],[D, bottom '[m']]]-WHOLE_STRUCTURE[[#This Row],[D, top '[m']]])/(WHOLE_STRUCTURE[[#This Row],[Bottom '[m']]]-WHOLE_STRUCTURE[[#This Row],[Top '[m']]]),"")</f>
        <v/>
      </c>
      <c r="P161" s="54" t="str">
        <f>IFERROR((WHOLE_STRUCTURE[[#This Row],[D, bottom '[m']]]+WHOLE_STRUCTURE[[#This Row],[D, top '[m']]])/(2*WHOLE_STRUCTURE[[#This Row],[t '[mm']]]/1000),"")</f>
        <v/>
      </c>
    </row>
    <row r="162" spans="13:16" x14ac:dyDescent="0.3">
      <c r="M162" s="54" t="str">
        <f t="shared" si="5"/>
        <v/>
      </c>
      <c r="N1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2" s="54" t="str">
        <f>IFERROR(-(WHOLE_STRUCTURE[[#This Row],[D, bottom '[m']]]-WHOLE_STRUCTURE[[#This Row],[D, top '[m']]])/(WHOLE_STRUCTURE[[#This Row],[Bottom '[m']]]-WHOLE_STRUCTURE[[#This Row],[Top '[m']]]),"")</f>
        <v/>
      </c>
      <c r="P162" s="54" t="str">
        <f>IFERROR((WHOLE_STRUCTURE[[#This Row],[D, bottom '[m']]]+WHOLE_STRUCTURE[[#This Row],[D, top '[m']]])/(2*WHOLE_STRUCTURE[[#This Row],[t '[mm']]]/1000),"")</f>
        <v/>
      </c>
    </row>
    <row r="163" spans="13:16" x14ac:dyDescent="0.3">
      <c r="M163" s="54" t="str">
        <f t="shared" si="5"/>
        <v/>
      </c>
      <c r="N1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3" s="54" t="str">
        <f>IFERROR(-(WHOLE_STRUCTURE[[#This Row],[D, bottom '[m']]]-WHOLE_STRUCTURE[[#This Row],[D, top '[m']]])/(WHOLE_STRUCTURE[[#This Row],[Bottom '[m']]]-WHOLE_STRUCTURE[[#This Row],[Top '[m']]]),"")</f>
        <v/>
      </c>
      <c r="P163" s="54" t="str">
        <f>IFERROR((WHOLE_STRUCTURE[[#This Row],[D, bottom '[m']]]+WHOLE_STRUCTURE[[#This Row],[D, top '[m']]])/(2*WHOLE_STRUCTURE[[#This Row],[t '[mm']]]/1000),"")</f>
        <v/>
      </c>
    </row>
    <row r="164" spans="13:16" x14ac:dyDescent="0.3">
      <c r="M164" s="54" t="str">
        <f t="shared" si="5"/>
        <v/>
      </c>
      <c r="N1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4" s="54" t="str">
        <f>IFERROR(-(WHOLE_STRUCTURE[[#This Row],[D, bottom '[m']]]-WHOLE_STRUCTURE[[#This Row],[D, top '[m']]])/(WHOLE_STRUCTURE[[#This Row],[Bottom '[m']]]-WHOLE_STRUCTURE[[#This Row],[Top '[m']]]),"")</f>
        <v/>
      </c>
      <c r="P164" s="54" t="str">
        <f>IFERROR((WHOLE_STRUCTURE[[#This Row],[D, bottom '[m']]]+WHOLE_STRUCTURE[[#This Row],[D, top '[m']]])/(2*WHOLE_STRUCTURE[[#This Row],[t '[mm']]]/1000),"")</f>
        <v/>
      </c>
    </row>
    <row r="165" spans="13:16" x14ac:dyDescent="0.3">
      <c r="M165" s="54" t="str">
        <f t="shared" si="5"/>
        <v/>
      </c>
      <c r="N1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5" s="54" t="str">
        <f>IFERROR(-(WHOLE_STRUCTURE[[#This Row],[D, bottom '[m']]]-WHOLE_STRUCTURE[[#This Row],[D, top '[m']]])/(WHOLE_STRUCTURE[[#This Row],[Bottom '[m']]]-WHOLE_STRUCTURE[[#This Row],[Top '[m']]]),"")</f>
        <v/>
      </c>
      <c r="P165" s="54" t="str">
        <f>IFERROR((WHOLE_STRUCTURE[[#This Row],[D, bottom '[m']]]+WHOLE_STRUCTURE[[#This Row],[D, top '[m']]])/(2*WHOLE_STRUCTURE[[#This Row],[t '[mm']]]/1000),"")</f>
        <v/>
      </c>
    </row>
    <row r="166" spans="13:16" x14ac:dyDescent="0.3">
      <c r="M166" s="54" t="str">
        <f t="shared" si="5"/>
        <v/>
      </c>
      <c r="N1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6" s="54" t="str">
        <f>IFERROR(-(WHOLE_STRUCTURE[[#This Row],[D, bottom '[m']]]-WHOLE_STRUCTURE[[#This Row],[D, top '[m']]])/(WHOLE_STRUCTURE[[#This Row],[Bottom '[m']]]-WHOLE_STRUCTURE[[#This Row],[Top '[m']]]),"")</f>
        <v/>
      </c>
      <c r="P166" s="54" t="str">
        <f>IFERROR((WHOLE_STRUCTURE[[#This Row],[D, bottom '[m']]]+WHOLE_STRUCTURE[[#This Row],[D, top '[m']]])/(2*WHOLE_STRUCTURE[[#This Row],[t '[mm']]]/1000),"")</f>
        <v/>
      </c>
    </row>
    <row r="167" spans="13:16" x14ac:dyDescent="0.3">
      <c r="M167" s="54" t="str">
        <f t="shared" si="5"/>
        <v/>
      </c>
      <c r="N1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7" s="54" t="str">
        <f>IFERROR(-(WHOLE_STRUCTURE[[#This Row],[D, bottom '[m']]]-WHOLE_STRUCTURE[[#This Row],[D, top '[m']]])/(WHOLE_STRUCTURE[[#This Row],[Bottom '[m']]]-WHOLE_STRUCTURE[[#This Row],[Top '[m']]]),"")</f>
        <v/>
      </c>
      <c r="P167" s="54" t="str">
        <f>IFERROR((WHOLE_STRUCTURE[[#This Row],[D, bottom '[m']]]+WHOLE_STRUCTURE[[#This Row],[D, top '[m']]])/(2*WHOLE_STRUCTURE[[#This Row],[t '[mm']]]/1000),"")</f>
        <v/>
      </c>
    </row>
    <row r="168" spans="13:16" x14ac:dyDescent="0.3">
      <c r="M168" s="54" t="str">
        <f t="shared" si="5"/>
        <v/>
      </c>
      <c r="N1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8" s="54" t="str">
        <f>IFERROR(-(WHOLE_STRUCTURE[[#This Row],[D, bottom '[m']]]-WHOLE_STRUCTURE[[#This Row],[D, top '[m']]])/(WHOLE_STRUCTURE[[#This Row],[Bottom '[m']]]-WHOLE_STRUCTURE[[#This Row],[Top '[m']]]),"")</f>
        <v/>
      </c>
      <c r="P168" s="54" t="str">
        <f>IFERROR((WHOLE_STRUCTURE[[#This Row],[D, bottom '[m']]]+WHOLE_STRUCTURE[[#This Row],[D, top '[m']]])/(2*WHOLE_STRUCTURE[[#This Row],[t '[mm']]]/1000),"")</f>
        <v/>
      </c>
    </row>
    <row r="169" spans="13:16" x14ac:dyDescent="0.3">
      <c r="M169" s="54" t="str">
        <f t="shared" si="5"/>
        <v/>
      </c>
      <c r="N1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9" s="54" t="str">
        <f>IFERROR(-(WHOLE_STRUCTURE[[#This Row],[D, bottom '[m']]]-WHOLE_STRUCTURE[[#This Row],[D, top '[m']]])/(WHOLE_STRUCTURE[[#This Row],[Bottom '[m']]]-WHOLE_STRUCTURE[[#This Row],[Top '[m']]]),"")</f>
        <v/>
      </c>
      <c r="P169" s="54" t="str">
        <f>IFERROR((WHOLE_STRUCTURE[[#This Row],[D, bottom '[m']]]+WHOLE_STRUCTURE[[#This Row],[D, top '[m']]])/(2*WHOLE_STRUCTURE[[#This Row],[t '[mm']]]/1000),"")</f>
        <v/>
      </c>
    </row>
    <row r="170" spans="13:16" x14ac:dyDescent="0.3">
      <c r="M170" s="54" t="str">
        <f t="shared" si="5"/>
        <v/>
      </c>
      <c r="N1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0" s="54" t="str">
        <f>IFERROR(-(WHOLE_STRUCTURE[[#This Row],[D, bottom '[m']]]-WHOLE_STRUCTURE[[#This Row],[D, top '[m']]])/(WHOLE_STRUCTURE[[#This Row],[Bottom '[m']]]-WHOLE_STRUCTURE[[#This Row],[Top '[m']]]),"")</f>
        <v/>
      </c>
      <c r="P170" s="54" t="str">
        <f>IFERROR((WHOLE_STRUCTURE[[#This Row],[D, bottom '[m']]]+WHOLE_STRUCTURE[[#This Row],[D, top '[m']]])/(2*WHOLE_STRUCTURE[[#This Row],[t '[mm']]]/1000),"")</f>
        <v/>
      </c>
    </row>
    <row r="171" spans="13:16" x14ac:dyDescent="0.3">
      <c r="M171" s="54" t="str">
        <f t="shared" si="5"/>
        <v/>
      </c>
      <c r="N1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1" s="54" t="str">
        <f>IFERROR(-(WHOLE_STRUCTURE[[#This Row],[D, bottom '[m']]]-WHOLE_STRUCTURE[[#This Row],[D, top '[m']]])/(WHOLE_STRUCTURE[[#This Row],[Bottom '[m']]]-WHOLE_STRUCTURE[[#This Row],[Top '[m']]]),"")</f>
        <v/>
      </c>
      <c r="P171" s="54" t="str">
        <f>IFERROR((WHOLE_STRUCTURE[[#This Row],[D, bottom '[m']]]+WHOLE_STRUCTURE[[#This Row],[D, top '[m']]])/(2*WHOLE_STRUCTURE[[#This Row],[t '[mm']]]/1000),"")</f>
        <v/>
      </c>
    </row>
    <row r="172" spans="13:16" x14ac:dyDescent="0.3">
      <c r="M172" s="54" t="str">
        <f t="shared" si="5"/>
        <v/>
      </c>
      <c r="N1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2" s="54" t="str">
        <f>IFERROR(-(WHOLE_STRUCTURE[[#This Row],[D, bottom '[m']]]-WHOLE_STRUCTURE[[#This Row],[D, top '[m']]])/(WHOLE_STRUCTURE[[#This Row],[Bottom '[m']]]-WHOLE_STRUCTURE[[#This Row],[Top '[m']]]),"")</f>
        <v/>
      </c>
      <c r="P172" s="54" t="str">
        <f>IFERROR((WHOLE_STRUCTURE[[#This Row],[D, bottom '[m']]]+WHOLE_STRUCTURE[[#This Row],[D, top '[m']]])/(2*WHOLE_STRUCTURE[[#This Row],[t '[mm']]]/1000),"")</f>
        <v/>
      </c>
    </row>
    <row r="173" spans="13:16" x14ac:dyDescent="0.3">
      <c r="M173" s="54" t="str">
        <f t="shared" si="5"/>
        <v/>
      </c>
      <c r="N1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3" s="54" t="str">
        <f>IFERROR(-(WHOLE_STRUCTURE[[#This Row],[D, bottom '[m']]]-WHOLE_STRUCTURE[[#This Row],[D, top '[m']]])/(WHOLE_STRUCTURE[[#This Row],[Bottom '[m']]]-WHOLE_STRUCTURE[[#This Row],[Top '[m']]]),"")</f>
        <v/>
      </c>
      <c r="P173" s="54" t="str">
        <f>IFERROR((WHOLE_STRUCTURE[[#This Row],[D, bottom '[m']]]+WHOLE_STRUCTURE[[#This Row],[D, top '[m']]])/(2*WHOLE_STRUCTURE[[#This Row],[t '[mm']]]/1000),"")</f>
        <v/>
      </c>
    </row>
    <row r="174" spans="13:16" x14ac:dyDescent="0.3">
      <c r="M174" s="54" t="str">
        <f t="shared" si="5"/>
        <v/>
      </c>
      <c r="N1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4" s="54" t="str">
        <f>IFERROR(-(WHOLE_STRUCTURE[[#This Row],[D, bottom '[m']]]-WHOLE_STRUCTURE[[#This Row],[D, top '[m']]])/(WHOLE_STRUCTURE[[#This Row],[Bottom '[m']]]-WHOLE_STRUCTURE[[#This Row],[Top '[m']]]),"")</f>
        <v/>
      </c>
      <c r="P174" s="54" t="str">
        <f>IFERROR((WHOLE_STRUCTURE[[#This Row],[D, bottom '[m']]]+WHOLE_STRUCTURE[[#This Row],[D, top '[m']]])/(2*WHOLE_STRUCTURE[[#This Row],[t '[mm']]]/1000),"")</f>
        <v/>
      </c>
    </row>
    <row r="175" spans="13:16" x14ac:dyDescent="0.3">
      <c r="M175" s="54" t="str">
        <f t="shared" si="5"/>
        <v/>
      </c>
      <c r="N1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5" s="54" t="str">
        <f>IFERROR(-(WHOLE_STRUCTURE[[#This Row],[D, bottom '[m']]]-WHOLE_STRUCTURE[[#This Row],[D, top '[m']]])/(WHOLE_STRUCTURE[[#This Row],[Bottom '[m']]]-WHOLE_STRUCTURE[[#This Row],[Top '[m']]]),"")</f>
        <v/>
      </c>
      <c r="P175" s="54" t="str">
        <f>IFERROR((WHOLE_STRUCTURE[[#This Row],[D, bottom '[m']]]+WHOLE_STRUCTURE[[#This Row],[D, top '[m']]])/(2*WHOLE_STRUCTURE[[#This Row],[t '[mm']]]/1000),"")</f>
        <v/>
      </c>
    </row>
    <row r="176" spans="13:16" x14ac:dyDescent="0.3">
      <c r="M176" s="54" t="str">
        <f t="shared" si="5"/>
        <v/>
      </c>
      <c r="N1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6" s="54" t="str">
        <f>IFERROR(-(WHOLE_STRUCTURE[[#This Row],[D, bottom '[m']]]-WHOLE_STRUCTURE[[#This Row],[D, top '[m']]])/(WHOLE_STRUCTURE[[#This Row],[Bottom '[m']]]-WHOLE_STRUCTURE[[#This Row],[Top '[m']]]),"")</f>
        <v/>
      </c>
      <c r="P176" s="54" t="str">
        <f>IFERROR((WHOLE_STRUCTURE[[#This Row],[D, bottom '[m']]]+WHOLE_STRUCTURE[[#This Row],[D, top '[m']]])/(2*WHOLE_STRUCTURE[[#This Row],[t '[mm']]]/1000),"")</f>
        <v/>
      </c>
    </row>
    <row r="177" spans="13:16" x14ac:dyDescent="0.3">
      <c r="M177" s="54" t="str">
        <f t="shared" si="5"/>
        <v/>
      </c>
      <c r="N1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7" s="54" t="str">
        <f>IFERROR(-(WHOLE_STRUCTURE[[#This Row],[D, bottom '[m']]]-WHOLE_STRUCTURE[[#This Row],[D, top '[m']]])/(WHOLE_STRUCTURE[[#This Row],[Bottom '[m']]]-WHOLE_STRUCTURE[[#This Row],[Top '[m']]]),"")</f>
        <v/>
      </c>
      <c r="P177" s="54" t="str">
        <f>IFERROR((WHOLE_STRUCTURE[[#This Row],[D, bottom '[m']]]+WHOLE_STRUCTURE[[#This Row],[D, top '[m']]])/(2*WHOLE_STRUCTURE[[#This Row],[t '[mm']]]/1000),"")</f>
        <v/>
      </c>
    </row>
    <row r="178" spans="13:16" x14ac:dyDescent="0.3">
      <c r="M178" s="54" t="str">
        <f t="shared" si="5"/>
        <v/>
      </c>
      <c r="N1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8" s="54" t="str">
        <f>IFERROR(-(WHOLE_STRUCTURE[[#This Row],[D, bottom '[m']]]-WHOLE_STRUCTURE[[#This Row],[D, top '[m']]])/(WHOLE_STRUCTURE[[#This Row],[Bottom '[m']]]-WHOLE_STRUCTURE[[#This Row],[Top '[m']]]),"")</f>
        <v/>
      </c>
      <c r="P178" s="54" t="str">
        <f>IFERROR((WHOLE_STRUCTURE[[#This Row],[D, bottom '[m']]]+WHOLE_STRUCTURE[[#This Row],[D, top '[m']]])/(2*WHOLE_STRUCTURE[[#This Row],[t '[mm']]]/1000),"")</f>
        <v/>
      </c>
    </row>
    <row r="179" spans="13:16" x14ac:dyDescent="0.3">
      <c r="M179" s="54" t="str">
        <f t="shared" si="5"/>
        <v/>
      </c>
      <c r="N1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9" s="54" t="str">
        <f>IFERROR(-(WHOLE_STRUCTURE[[#This Row],[D, bottom '[m']]]-WHOLE_STRUCTURE[[#This Row],[D, top '[m']]])/(WHOLE_STRUCTURE[[#This Row],[Bottom '[m']]]-WHOLE_STRUCTURE[[#This Row],[Top '[m']]]),"")</f>
        <v/>
      </c>
      <c r="P179" s="54" t="str">
        <f>IFERROR((WHOLE_STRUCTURE[[#This Row],[D, bottom '[m']]]+WHOLE_STRUCTURE[[#This Row],[D, top '[m']]])/(2*WHOLE_STRUCTURE[[#This Row],[t '[mm']]]/1000),"")</f>
        <v/>
      </c>
    </row>
    <row r="180" spans="13:16" x14ac:dyDescent="0.3">
      <c r="M180" s="54" t="str">
        <f t="shared" si="5"/>
        <v/>
      </c>
      <c r="N1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0" s="54" t="str">
        <f>IFERROR(-(WHOLE_STRUCTURE[[#This Row],[D, bottom '[m']]]-WHOLE_STRUCTURE[[#This Row],[D, top '[m']]])/(WHOLE_STRUCTURE[[#This Row],[Bottom '[m']]]-WHOLE_STRUCTURE[[#This Row],[Top '[m']]]),"")</f>
        <v/>
      </c>
      <c r="P180" s="54" t="str">
        <f>IFERROR((WHOLE_STRUCTURE[[#This Row],[D, bottom '[m']]]+WHOLE_STRUCTURE[[#This Row],[D, top '[m']]])/(2*WHOLE_STRUCTURE[[#This Row],[t '[mm']]]/1000),"")</f>
        <v/>
      </c>
    </row>
    <row r="181" spans="13:16" x14ac:dyDescent="0.3">
      <c r="M181" s="54" t="str">
        <f t="shared" si="5"/>
        <v/>
      </c>
      <c r="N1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1" s="54" t="str">
        <f>IFERROR(-(WHOLE_STRUCTURE[[#This Row],[D, bottom '[m']]]-WHOLE_STRUCTURE[[#This Row],[D, top '[m']]])/(WHOLE_STRUCTURE[[#This Row],[Bottom '[m']]]-WHOLE_STRUCTURE[[#This Row],[Top '[m']]]),"")</f>
        <v/>
      </c>
      <c r="P181" s="54" t="str">
        <f>IFERROR((WHOLE_STRUCTURE[[#This Row],[D, bottom '[m']]]+WHOLE_STRUCTURE[[#This Row],[D, top '[m']]])/(2*WHOLE_STRUCTURE[[#This Row],[t '[mm']]]/1000),"")</f>
        <v/>
      </c>
    </row>
    <row r="182" spans="13:16" x14ac:dyDescent="0.3">
      <c r="M182" s="54" t="str">
        <f t="shared" si="5"/>
        <v/>
      </c>
      <c r="N1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2" s="54" t="str">
        <f>IFERROR(-(WHOLE_STRUCTURE[[#This Row],[D, bottom '[m']]]-WHOLE_STRUCTURE[[#This Row],[D, top '[m']]])/(WHOLE_STRUCTURE[[#This Row],[Bottom '[m']]]-WHOLE_STRUCTURE[[#This Row],[Top '[m']]]),"")</f>
        <v/>
      </c>
      <c r="P182" s="54" t="str">
        <f>IFERROR((WHOLE_STRUCTURE[[#This Row],[D, bottom '[m']]]+WHOLE_STRUCTURE[[#This Row],[D, top '[m']]])/(2*WHOLE_STRUCTURE[[#This Row],[t '[mm']]]/1000),"")</f>
        <v/>
      </c>
    </row>
    <row r="183" spans="13:16" x14ac:dyDescent="0.3">
      <c r="M183" s="54" t="str">
        <f t="shared" si="5"/>
        <v/>
      </c>
      <c r="N1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3" s="54" t="str">
        <f>IFERROR(-(WHOLE_STRUCTURE[[#This Row],[D, bottom '[m']]]-WHOLE_STRUCTURE[[#This Row],[D, top '[m']]])/(WHOLE_STRUCTURE[[#This Row],[Bottom '[m']]]-WHOLE_STRUCTURE[[#This Row],[Top '[m']]]),"")</f>
        <v/>
      </c>
      <c r="P183" s="54" t="str">
        <f>IFERROR((WHOLE_STRUCTURE[[#This Row],[D, bottom '[m']]]+WHOLE_STRUCTURE[[#This Row],[D, top '[m']]])/(2*WHOLE_STRUCTURE[[#This Row],[t '[mm']]]/1000),"")</f>
        <v/>
      </c>
    </row>
    <row r="184" spans="13:16" x14ac:dyDescent="0.3">
      <c r="M184" s="54" t="str">
        <f t="shared" si="5"/>
        <v/>
      </c>
      <c r="N1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4" s="54" t="str">
        <f>IFERROR(-(WHOLE_STRUCTURE[[#This Row],[D, bottom '[m']]]-WHOLE_STRUCTURE[[#This Row],[D, top '[m']]])/(WHOLE_STRUCTURE[[#This Row],[Bottom '[m']]]-WHOLE_STRUCTURE[[#This Row],[Top '[m']]]),"")</f>
        <v/>
      </c>
      <c r="P184" s="54" t="str">
        <f>IFERROR((WHOLE_STRUCTURE[[#This Row],[D, bottom '[m']]]+WHOLE_STRUCTURE[[#This Row],[D, top '[m']]])/(2*WHOLE_STRUCTURE[[#This Row],[t '[mm']]]/1000),"")</f>
        <v/>
      </c>
    </row>
    <row r="185" spans="13:16" x14ac:dyDescent="0.3">
      <c r="M185" s="54" t="str">
        <f t="shared" si="5"/>
        <v/>
      </c>
      <c r="N1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5" s="54" t="str">
        <f>IFERROR(-(WHOLE_STRUCTURE[[#This Row],[D, bottom '[m']]]-WHOLE_STRUCTURE[[#This Row],[D, top '[m']]])/(WHOLE_STRUCTURE[[#This Row],[Bottom '[m']]]-WHOLE_STRUCTURE[[#This Row],[Top '[m']]]),"")</f>
        <v/>
      </c>
      <c r="P185" s="54" t="str">
        <f>IFERROR((WHOLE_STRUCTURE[[#This Row],[D, bottom '[m']]]+WHOLE_STRUCTURE[[#This Row],[D, top '[m']]])/(2*WHOLE_STRUCTURE[[#This Row],[t '[mm']]]/1000),"")</f>
        <v/>
      </c>
    </row>
    <row r="186" spans="13:16" x14ac:dyDescent="0.3">
      <c r="M186" s="54" t="str">
        <f t="shared" si="5"/>
        <v/>
      </c>
      <c r="N1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6" s="54" t="str">
        <f>IFERROR(-(WHOLE_STRUCTURE[[#This Row],[D, bottom '[m']]]-WHOLE_STRUCTURE[[#This Row],[D, top '[m']]])/(WHOLE_STRUCTURE[[#This Row],[Bottom '[m']]]-WHOLE_STRUCTURE[[#This Row],[Top '[m']]]),"")</f>
        <v/>
      </c>
      <c r="P186" s="54" t="str">
        <f>IFERROR((WHOLE_STRUCTURE[[#This Row],[D, bottom '[m']]]+WHOLE_STRUCTURE[[#This Row],[D, top '[m']]])/(2*WHOLE_STRUCTURE[[#This Row],[t '[mm']]]/1000),"")</f>
        <v/>
      </c>
    </row>
    <row r="187" spans="13:16" x14ac:dyDescent="0.3">
      <c r="M187" s="54" t="str">
        <f t="shared" si="5"/>
        <v/>
      </c>
      <c r="N1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7" s="54" t="str">
        <f>IFERROR(-(WHOLE_STRUCTURE[[#This Row],[D, bottom '[m']]]-WHOLE_STRUCTURE[[#This Row],[D, top '[m']]])/(WHOLE_STRUCTURE[[#This Row],[Bottom '[m']]]-WHOLE_STRUCTURE[[#This Row],[Top '[m']]]),"")</f>
        <v/>
      </c>
      <c r="P187" s="54" t="str">
        <f>IFERROR((WHOLE_STRUCTURE[[#This Row],[D, bottom '[m']]]+WHOLE_STRUCTURE[[#This Row],[D, top '[m']]])/(2*WHOLE_STRUCTURE[[#This Row],[t '[mm']]]/1000),"")</f>
        <v/>
      </c>
    </row>
    <row r="188" spans="13:16" x14ac:dyDescent="0.3">
      <c r="M188" s="54" t="str">
        <f t="shared" si="5"/>
        <v/>
      </c>
      <c r="N1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8" s="54" t="str">
        <f>IFERROR(-(WHOLE_STRUCTURE[[#This Row],[D, bottom '[m']]]-WHOLE_STRUCTURE[[#This Row],[D, top '[m']]])/(WHOLE_STRUCTURE[[#This Row],[Bottom '[m']]]-WHOLE_STRUCTURE[[#This Row],[Top '[m']]]),"")</f>
        <v/>
      </c>
      <c r="P188" s="54" t="str">
        <f>IFERROR((WHOLE_STRUCTURE[[#This Row],[D, bottom '[m']]]+WHOLE_STRUCTURE[[#This Row],[D, top '[m']]])/(2*WHOLE_STRUCTURE[[#This Row],[t '[mm']]]/1000),"")</f>
        <v/>
      </c>
    </row>
    <row r="189" spans="13:16" x14ac:dyDescent="0.3">
      <c r="M189" s="54" t="str">
        <f t="shared" si="5"/>
        <v/>
      </c>
      <c r="N1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9" s="54" t="str">
        <f>IFERROR(-(WHOLE_STRUCTURE[[#This Row],[D, bottom '[m']]]-WHOLE_STRUCTURE[[#This Row],[D, top '[m']]])/(WHOLE_STRUCTURE[[#This Row],[Bottom '[m']]]-WHOLE_STRUCTURE[[#This Row],[Top '[m']]]),"")</f>
        <v/>
      </c>
      <c r="P189" s="54" t="str">
        <f>IFERROR((WHOLE_STRUCTURE[[#This Row],[D, bottom '[m']]]+WHOLE_STRUCTURE[[#This Row],[D, top '[m']]])/(2*WHOLE_STRUCTURE[[#This Row],[t '[mm']]]/1000),"")</f>
        <v/>
      </c>
    </row>
    <row r="190" spans="13:16" x14ac:dyDescent="0.3">
      <c r="M190" s="54" t="str">
        <f t="shared" si="5"/>
        <v/>
      </c>
      <c r="N1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0" s="54" t="str">
        <f>IFERROR(-(WHOLE_STRUCTURE[[#This Row],[D, bottom '[m']]]-WHOLE_STRUCTURE[[#This Row],[D, top '[m']]])/(WHOLE_STRUCTURE[[#This Row],[Bottom '[m']]]-WHOLE_STRUCTURE[[#This Row],[Top '[m']]]),"")</f>
        <v/>
      </c>
      <c r="P190" s="54" t="str">
        <f>IFERROR((WHOLE_STRUCTURE[[#This Row],[D, bottom '[m']]]+WHOLE_STRUCTURE[[#This Row],[D, top '[m']]])/(2*WHOLE_STRUCTURE[[#This Row],[t '[mm']]]/1000),"")</f>
        <v/>
      </c>
    </row>
    <row r="191" spans="13:16" x14ac:dyDescent="0.3">
      <c r="M191" s="54" t="str">
        <f t="shared" si="5"/>
        <v/>
      </c>
      <c r="N1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1" s="54" t="str">
        <f>IFERROR(-(WHOLE_STRUCTURE[[#This Row],[D, bottom '[m']]]-WHOLE_STRUCTURE[[#This Row],[D, top '[m']]])/(WHOLE_STRUCTURE[[#This Row],[Bottom '[m']]]-WHOLE_STRUCTURE[[#This Row],[Top '[m']]]),"")</f>
        <v/>
      </c>
      <c r="P191" s="54" t="str">
        <f>IFERROR((WHOLE_STRUCTURE[[#This Row],[D, bottom '[m']]]+WHOLE_STRUCTURE[[#This Row],[D, top '[m']]])/(2*WHOLE_STRUCTURE[[#This Row],[t '[mm']]]/1000),"")</f>
        <v/>
      </c>
    </row>
    <row r="192" spans="13:16" x14ac:dyDescent="0.3">
      <c r="M192" s="54" t="str">
        <f t="shared" si="5"/>
        <v/>
      </c>
      <c r="N1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2" s="54" t="str">
        <f>IFERROR(-(WHOLE_STRUCTURE[[#This Row],[D, bottom '[m']]]-WHOLE_STRUCTURE[[#This Row],[D, top '[m']]])/(WHOLE_STRUCTURE[[#This Row],[Bottom '[m']]]-WHOLE_STRUCTURE[[#This Row],[Top '[m']]]),"")</f>
        <v/>
      </c>
      <c r="P192" s="54" t="str">
        <f>IFERROR((WHOLE_STRUCTURE[[#This Row],[D, bottom '[m']]]+WHOLE_STRUCTURE[[#This Row],[D, top '[m']]])/(2*WHOLE_STRUCTURE[[#This Row],[t '[mm']]]/1000),"")</f>
        <v/>
      </c>
    </row>
    <row r="193" spans="13:16" x14ac:dyDescent="0.3">
      <c r="M193" s="54" t="str">
        <f t="shared" si="5"/>
        <v/>
      </c>
      <c r="N1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3" s="54" t="str">
        <f>IFERROR(-(WHOLE_STRUCTURE[[#This Row],[D, bottom '[m']]]-WHOLE_STRUCTURE[[#This Row],[D, top '[m']]])/(WHOLE_STRUCTURE[[#This Row],[Bottom '[m']]]-WHOLE_STRUCTURE[[#This Row],[Top '[m']]]),"")</f>
        <v/>
      </c>
      <c r="P193" s="54" t="str">
        <f>IFERROR((WHOLE_STRUCTURE[[#This Row],[D, bottom '[m']]]+WHOLE_STRUCTURE[[#This Row],[D, top '[m']]])/(2*WHOLE_STRUCTURE[[#This Row],[t '[mm']]]/1000),"")</f>
        <v/>
      </c>
    </row>
    <row r="194" spans="13:16" x14ac:dyDescent="0.3">
      <c r="M194" s="54" t="str">
        <f t="shared" si="5"/>
        <v/>
      </c>
      <c r="N1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4" s="54" t="str">
        <f>IFERROR(-(WHOLE_STRUCTURE[[#This Row],[D, bottom '[m']]]-WHOLE_STRUCTURE[[#This Row],[D, top '[m']]])/(WHOLE_STRUCTURE[[#This Row],[Bottom '[m']]]-WHOLE_STRUCTURE[[#This Row],[Top '[m']]]),"")</f>
        <v/>
      </c>
      <c r="P194" s="54" t="str">
        <f>IFERROR((WHOLE_STRUCTURE[[#This Row],[D, bottom '[m']]]+WHOLE_STRUCTURE[[#This Row],[D, top '[m']]])/(2*WHOLE_STRUCTURE[[#This Row],[t '[mm']]]/1000),"")</f>
        <v/>
      </c>
    </row>
    <row r="195" spans="13:16" x14ac:dyDescent="0.3">
      <c r="M195" s="54" t="str">
        <f t="shared" si="5"/>
        <v/>
      </c>
      <c r="N1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5" s="54" t="str">
        <f>IFERROR(-(WHOLE_STRUCTURE[[#This Row],[D, bottom '[m']]]-WHOLE_STRUCTURE[[#This Row],[D, top '[m']]])/(WHOLE_STRUCTURE[[#This Row],[Bottom '[m']]]-WHOLE_STRUCTURE[[#This Row],[Top '[m']]]),"")</f>
        <v/>
      </c>
      <c r="P195" s="54" t="str">
        <f>IFERROR((WHOLE_STRUCTURE[[#This Row],[D, bottom '[m']]]+WHOLE_STRUCTURE[[#This Row],[D, top '[m']]])/(2*WHOLE_STRUCTURE[[#This Row],[t '[mm']]]/1000),"")</f>
        <v/>
      </c>
    </row>
    <row r="196" spans="13:16" x14ac:dyDescent="0.3">
      <c r="M196" s="54" t="str">
        <f t="shared" si="5"/>
        <v/>
      </c>
      <c r="N1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6" s="54" t="str">
        <f>IFERROR(-(WHOLE_STRUCTURE[[#This Row],[D, bottom '[m']]]-WHOLE_STRUCTURE[[#This Row],[D, top '[m']]])/(WHOLE_STRUCTURE[[#This Row],[Bottom '[m']]]-WHOLE_STRUCTURE[[#This Row],[Top '[m']]]),"")</f>
        <v/>
      </c>
      <c r="P196" s="54" t="str">
        <f>IFERROR((WHOLE_STRUCTURE[[#This Row],[D, bottom '[m']]]+WHOLE_STRUCTURE[[#This Row],[D, top '[m']]])/(2*WHOLE_STRUCTURE[[#This Row],[t '[mm']]]/1000),"")</f>
        <v/>
      </c>
    </row>
    <row r="197" spans="13:16" x14ac:dyDescent="0.3">
      <c r="M197" s="54" t="str">
        <f t="shared" ref="M197:M260" si="6">IF(7850/1000*(1/3)*PI()*ABS(H197-I197)*((J197/2)^2+(J197/2)*(K197/2)+(K197/2)^2-(J197/2-L197/1000)^2-(J197/2-L197/1000)*(K197/2-L197/1000)-(K197/2-L197/1000)^2)=0,"",7850/1000*(1/3)*PI()*ABS(H197-I197)*((J197/2)^2+(J197/2)*(K197/2)+(K197/2)^2-(J197/2-L197/1000)^2-(J197/2-L197/1000)*(K197/2-L197/1000)-(K197/2-L197/1000)^2))</f>
        <v/>
      </c>
      <c r="N1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7" s="54" t="str">
        <f>IFERROR(-(WHOLE_STRUCTURE[[#This Row],[D, bottom '[m']]]-WHOLE_STRUCTURE[[#This Row],[D, top '[m']]])/(WHOLE_STRUCTURE[[#This Row],[Bottom '[m']]]-WHOLE_STRUCTURE[[#This Row],[Top '[m']]]),"")</f>
        <v/>
      </c>
      <c r="P197" s="54" t="str">
        <f>IFERROR((WHOLE_STRUCTURE[[#This Row],[D, bottom '[m']]]+WHOLE_STRUCTURE[[#This Row],[D, top '[m']]])/(2*WHOLE_STRUCTURE[[#This Row],[t '[mm']]]/1000),"")</f>
        <v/>
      </c>
    </row>
    <row r="198" spans="13:16" x14ac:dyDescent="0.3">
      <c r="M198" s="54" t="str">
        <f t="shared" si="6"/>
        <v/>
      </c>
      <c r="N1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8" s="54" t="str">
        <f>IFERROR(-(WHOLE_STRUCTURE[[#This Row],[D, bottom '[m']]]-WHOLE_STRUCTURE[[#This Row],[D, top '[m']]])/(WHOLE_STRUCTURE[[#This Row],[Bottom '[m']]]-WHOLE_STRUCTURE[[#This Row],[Top '[m']]]),"")</f>
        <v/>
      </c>
      <c r="P198" s="54" t="str">
        <f>IFERROR((WHOLE_STRUCTURE[[#This Row],[D, bottom '[m']]]+WHOLE_STRUCTURE[[#This Row],[D, top '[m']]])/(2*WHOLE_STRUCTURE[[#This Row],[t '[mm']]]/1000),"")</f>
        <v/>
      </c>
    </row>
    <row r="199" spans="13:16" x14ac:dyDescent="0.3">
      <c r="M199" s="54" t="str">
        <f t="shared" si="6"/>
        <v/>
      </c>
      <c r="N1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9" s="54" t="str">
        <f>IFERROR(-(WHOLE_STRUCTURE[[#This Row],[D, bottom '[m']]]-WHOLE_STRUCTURE[[#This Row],[D, top '[m']]])/(WHOLE_STRUCTURE[[#This Row],[Bottom '[m']]]-WHOLE_STRUCTURE[[#This Row],[Top '[m']]]),"")</f>
        <v/>
      </c>
      <c r="P199" s="54" t="str">
        <f>IFERROR((WHOLE_STRUCTURE[[#This Row],[D, bottom '[m']]]+WHOLE_STRUCTURE[[#This Row],[D, top '[m']]])/(2*WHOLE_STRUCTURE[[#This Row],[t '[mm']]]/1000),"")</f>
        <v/>
      </c>
    </row>
    <row r="200" spans="13:16" x14ac:dyDescent="0.3">
      <c r="M200" s="54" t="str">
        <f t="shared" si="6"/>
        <v/>
      </c>
      <c r="N2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0" s="54" t="str">
        <f>IFERROR(-(WHOLE_STRUCTURE[[#This Row],[D, bottom '[m']]]-WHOLE_STRUCTURE[[#This Row],[D, top '[m']]])/(WHOLE_STRUCTURE[[#This Row],[Bottom '[m']]]-WHOLE_STRUCTURE[[#This Row],[Top '[m']]]),"")</f>
        <v/>
      </c>
      <c r="P200" s="54" t="str">
        <f>IFERROR((WHOLE_STRUCTURE[[#This Row],[D, bottom '[m']]]+WHOLE_STRUCTURE[[#This Row],[D, top '[m']]])/(2*WHOLE_STRUCTURE[[#This Row],[t '[mm']]]/1000),"")</f>
        <v/>
      </c>
    </row>
    <row r="201" spans="13:16" x14ac:dyDescent="0.3">
      <c r="M201" s="54" t="str">
        <f t="shared" si="6"/>
        <v/>
      </c>
      <c r="N2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1" s="54" t="str">
        <f>IFERROR(-(WHOLE_STRUCTURE[[#This Row],[D, bottom '[m']]]-WHOLE_STRUCTURE[[#This Row],[D, top '[m']]])/(WHOLE_STRUCTURE[[#This Row],[Bottom '[m']]]-WHOLE_STRUCTURE[[#This Row],[Top '[m']]]),"")</f>
        <v/>
      </c>
      <c r="P201" s="54" t="str">
        <f>IFERROR((WHOLE_STRUCTURE[[#This Row],[D, bottom '[m']]]+WHOLE_STRUCTURE[[#This Row],[D, top '[m']]])/(2*WHOLE_STRUCTURE[[#This Row],[t '[mm']]]/1000),"")</f>
        <v/>
      </c>
    </row>
    <row r="202" spans="13:16" x14ac:dyDescent="0.3">
      <c r="M202" s="54" t="str">
        <f t="shared" si="6"/>
        <v/>
      </c>
      <c r="N2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2" s="54" t="str">
        <f>IFERROR(-(WHOLE_STRUCTURE[[#This Row],[D, bottom '[m']]]-WHOLE_STRUCTURE[[#This Row],[D, top '[m']]])/(WHOLE_STRUCTURE[[#This Row],[Bottom '[m']]]-WHOLE_STRUCTURE[[#This Row],[Top '[m']]]),"")</f>
        <v/>
      </c>
      <c r="P202" s="54" t="str">
        <f>IFERROR((WHOLE_STRUCTURE[[#This Row],[D, bottom '[m']]]+WHOLE_STRUCTURE[[#This Row],[D, top '[m']]])/(2*WHOLE_STRUCTURE[[#This Row],[t '[mm']]]/1000),"")</f>
        <v/>
      </c>
    </row>
    <row r="203" spans="13:16" x14ac:dyDescent="0.3">
      <c r="M203" s="54" t="str">
        <f t="shared" si="6"/>
        <v/>
      </c>
      <c r="N2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3" s="54" t="str">
        <f>IFERROR(-(WHOLE_STRUCTURE[[#This Row],[D, bottom '[m']]]-WHOLE_STRUCTURE[[#This Row],[D, top '[m']]])/(WHOLE_STRUCTURE[[#This Row],[Bottom '[m']]]-WHOLE_STRUCTURE[[#This Row],[Top '[m']]]),"")</f>
        <v/>
      </c>
      <c r="P203" s="54" t="str">
        <f>IFERROR((WHOLE_STRUCTURE[[#This Row],[D, bottom '[m']]]+WHOLE_STRUCTURE[[#This Row],[D, top '[m']]])/(2*WHOLE_STRUCTURE[[#This Row],[t '[mm']]]/1000),"")</f>
        <v/>
      </c>
    </row>
    <row r="204" spans="13:16" x14ac:dyDescent="0.3">
      <c r="M204" s="54" t="str">
        <f t="shared" si="6"/>
        <v/>
      </c>
      <c r="N2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4" s="54" t="str">
        <f>IFERROR(-(WHOLE_STRUCTURE[[#This Row],[D, bottom '[m']]]-WHOLE_STRUCTURE[[#This Row],[D, top '[m']]])/(WHOLE_STRUCTURE[[#This Row],[Bottom '[m']]]-WHOLE_STRUCTURE[[#This Row],[Top '[m']]]),"")</f>
        <v/>
      </c>
      <c r="P204" s="54" t="str">
        <f>IFERROR((WHOLE_STRUCTURE[[#This Row],[D, bottom '[m']]]+WHOLE_STRUCTURE[[#This Row],[D, top '[m']]])/(2*WHOLE_STRUCTURE[[#This Row],[t '[mm']]]/1000),"")</f>
        <v/>
      </c>
    </row>
    <row r="205" spans="13:16" x14ac:dyDescent="0.3">
      <c r="M205" s="54" t="str">
        <f t="shared" si="6"/>
        <v/>
      </c>
      <c r="N2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5" s="54" t="str">
        <f>IFERROR(-(WHOLE_STRUCTURE[[#This Row],[D, bottom '[m']]]-WHOLE_STRUCTURE[[#This Row],[D, top '[m']]])/(WHOLE_STRUCTURE[[#This Row],[Bottom '[m']]]-WHOLE_STRUCTURE[[#This Row],[Top '[m']]]),"")</f>
        <v/>
      </c>
      <c r="P205" s="54" t="str">
        <f>IFERROR((WHOLE_STRUCTURE[[#This Row],[D, bottom '[m']]]+WHOLE_STRUCTURE[[#This Row],[D, top '[m']]])/(2*WHOLE_STRUCTURE[[#This Row],[t '[mm']]]/1000),"")</f>
        <v/>
      </c>
    </row>
    <row r="206" spans="13:16" x14ac:dyDescent="0.3">
      <c r="M206" s="54" t="str">
        <f t="shared" si="6"/>
        <v/>
      </c>
      <c r="N2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6" s="54" t="str">
        <f>IFERROR(-(WHOLE_STRUCTURE[[#This Row],[D, bottom '[m']]]-WHOLE_STRUCTURE[[#This Row],[D, top '[m']]])/(WHOLE_STRUCTURE[[#This Row],[Bottom '[m']]]-WHOLE_STRUCTURE[[#This Row],[Top '[m']]]),"")</f>
        <v/>
      </c>
      <c r="P206" s="54" t="str">
        <f>IFERROR((WHOLE_STRUCTURE[[#This Row],[D, bottom '[m']]]+WHOLE_STRUCTURE[[#This Row],[D, top '[m']]])/(2*WHOLE_STRUCTURE[[#This Row],[t '[mm']]]/1000),"")</f>
        <v/>
      </c>
    </row>
    <row r="207" spans="13:16" x14ac:dyDescent="0.3">
      <c r="M207" s="54" t="str">
        <f t="shared" si="6"/>
        <v/>
      </c>
      <c r="N2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7" s="54" t="str">
        <f>IFERROR(-(WHOLE_STRUCTURE[[#This Row],[D, bottom '[m']]]-WHOLE_STRUCTURE[[#This Row],[D, top '[m']]])/(WHOLE_STRUCTURE[[#This Row],[Bottom '[m']]]-WHOLE_STRUCTURE[[#This Row],[Top '[m']]]),"")</f>
        <v/>
      </c>
      <c r="P207" s="54" t="str">
        <f>IFERROR((WHOLE_STRUCTURE[[#This Row],[D, bottom '[m']]]+WHOLE_STRUCTURE[[#This Row],[D, top '[m']]])/(2*WHOLE_STRUCTURE[[#This Row],[t '[mm']]]/1000),"")</f>
        <v/>
      </c>
    </row>
    <row r="208" spans="13:16" x14ac:dyDescent="0.3">
      <c r="M208" s="54" t="str">
        <f t="shared" si="6"/>
        <v/>
      </c>
      <c r="N2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8" s="54" t="str">
        <f>IFERROR(-(WHOLE_STRUCTURE[[#This Row],[D, bottom '[m']]]-WHOLE_STRUCTURE[[#This Row],[D, top '[m']]])/(WHOLE_STRUCTURE[[#This Row],[Bottom '[m']]]-WHOLE_STRUCTURE[[#This Row],[Top '[m']]]),"")</f>
        <v/>
      </c>
      <c r="P208" s="54" t="str">
        <f>IFERROR((WHOLE_STRUCTURE[[#This Row],[D, bottom '[m']]]+WHOLE_STRUCTURE[[#This Row],[D, top '[m']]])/(2*WHOLE_STRUCTURE[[#This Row],[t '[mm']]]/1000),"")</f>
        <v/>
      </c>
    </row>
    <row r="209" spans="13:16" x14ac:dyDescent="0.3">
      <c r="M209" s="54" t="str">
        <f t="shared" si="6"/>
        <v/>
      </c>
      <c r="N2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9" s="54" t="str">
        <f>IFERROR(-(WHOLE_STRUCTURE[[#This Row],[D, bottom '[m']]]-WHOLE_STRUCTURE[[#This Row],[D, top '[m']]])/(WHOLE_STRUCTURE[[#This Row],[Bottom '[m']]]-WHOLE_STRUCTURE[[#This Row],[Top '[m']]]),"")</f>
        <v/>
      </c>
      <c r="P209" s="54" t="str">
        <f>IFERROR((WHOLE_STRUCTURE[[#This Row],[D, bottom '[m']]]+WHOLE_STRUCTURE[[#This Row],[D, top '[m']]])/(2*WHOLE_STRUCTURE[[#This Row],[t '[mm']]]/1000),"")</f>
        <v/>
      </c>
    </row>
    <row r="210" spans="13:16" x14ac:dyDescent="0.3">
      <c r="M210" s="54" t="str">
        <f t="shared" si="6"/>
        <v/>
      </c>
      <c r="N2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0" s="54" t="str">
        <f>IFERROR(-(WHOLE_STRUCTURE[[#This Row],[D, bottom '[m']]]-WHOLE_STRUCTURE[[#This Row],[D, top '[m']]])/(WHOLE_STRUCTURE[[#This Row],[Bottom '[m']]]-WHOLE_STRUCTURE[[#This Row],[Top '[m']]]),"")</f>
        <v/>
      </c>
      <c r="P210" s="54" t="str">
        <f>IFERROR((WHOLE_STRUCTURE[[#This Row],[D, bottom '[m']]]+WHOLE_STRUCTURE[[#This Row],[D, top '[m']]])/(2*WHOLE_STRUCTURE[[#This Row],[t '[mm']]]/1000),"")</f>
        <v/>
      </c>
    </row>
    <row r="211" spans="13:16" x14ac:dyDescent="0.3">
      <c r="M211" s="54" t="str">
        <f t="shared" si="6"/>
        <v/>
      </c>
      <c r="N2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1" s="54" t="str">
        <f>IFERROR(-(WHOLE_STRUCTURE[[#This Row],[D, bottom '[m']]]-WHOLE_STRUCTURE[[#This Row],[D, top '[m']]])/(WHOLE_STRUCTURE[[#This Row],[Bottom '[m']]]-WHOLE_STRUCTURE[[#This Row],[Top '[m']]]),"")</f>
        <v/>
      </c>
      <c r="P211" s="54" t="str">
        <f>IFERROR((WHOLE_STRUCTURE[[#This Row],[D, bottom '[m']]]+WHOLE_STRUCTURE[[#This Row],[D, top '[m']]])/(2*WHOLE_STRUCTURE[[#This Row],[t '[mm']]]/1000),"")</f>
        <v/>
      </c>
    </row>
    <row r="212" spans="13:16" x14ac:dyDescent="0.3">
      <c r="M212" s="54" t="str">
        <f t="shared" si="6"/>
        <v/>
      </c>
      <c r="N2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2" s="54" t="str">
        <f>IFERROR(-(WHOLE_STRUCTURE[[#This Row],[D, bottom '[m']]]-WHOLE_STRUCTURE[[#This Row],[D, top '[m']]])/(WHOLE_STRUCTURE[[#This Row],[Bottom '[m']]]-WHOLE_STRUCTURE[[#This Row],[Top '[m']]]),"")</f>
        <v/>
      </c>
      <c r="P212" s="54" t="str">
        <f>IFERROR((WHOLE_STRUCTURE[[#This Row],[D, bottom '[m']]]+WHOLE_STRUCTURE[[#This Row],[D, top '[m']]])/(2*WHOLE_STRUCTURE[[#This Row],[t '[mm']]]/1000),"")</f>
        <v/>
      </c>
    </row>
    <row r="213" spans="13:16" x14ac:dyDescent="0.3">
      <c r="M213" s="54" t="str">
        <f t="shared" si="6"/>
        <v/>
      </c>
      <c r="N2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3" s="54" t="str">
        <f>IFERROR(-(WHOLE_STRUCTURE[[#This Row],[D, bottom '[m']]]-WHOLE_STRUCTURE[[#This Row],[D, top '[m']]])/(WHOLE_STRUCTURE[[#This Row],[Bottom '[m']]]-WHOLE_STRUCTURE[[#This Row],[Top '[m']]]),"")</f>
        <v/>
      </c>
      <c r="P213" s="54" t="str">
        <f>IFERROR((WHOLE_STRUCTURE[[#This Row],[D, bottom '[m']]]+WHOLE_STRUCTURE[[#This Row],[D, top '[m']]])/(2*WHOLE_STRUCTURE[[#This Row],[t '[mm']]]/1000),"")</f>
        <v/>
      </c>
    </row>
    <row r="214" spans="13:16" x14ac:dyDescent="0.3">
      <c r="M214" s="54" t="str">
        <f t="shared" si="6"/>
        <v/>
      </c>
      <c r="N2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4" s="54" t="str">
        <f>IFERROR(-(WHOLE_STRUCTURE[[#This Row],[D, bottom '[m']]]-WHOLE_STRUCTURE[[#This Row],[D, top '[m']]])/(WHOLE_STRUCTURE[[#This Row],[Bottom '[m']]]-WHOLE_STRUCTURE[[#This Row],[Top '[m']]]),"")</f>
        <v/>
      </c>
      <c r="P214" s="54" t="str">
        <f>IFERROR((WHOLE_STRUCTURE[[#This Row],[D, bottom '[m']]]+WHOLE_STRUCTURE[[#This Row],[D, top '[m']]])/(2*WHOLE_STRUCTURE[[#This Row],[t '[mm']]]/1000),"")</f>
        <v/>
      </c>
    </row>
    <row r="215" spans="13:16" x14ac:dyDescent="0.3">
      <c r="M215" s="54" t="str">
        <f t="shared" si="6"/>
        <v/>
      </c>
      <c r="N2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5" s="54" t="str">
        <f>IFERROR(-(WHOLE_STRUCTURE[[#This Row],[D, bottom '[m']]]-WHOLE_STRUCTURE[[#This Row],[D, top '[m']]])/(WHOLE_STRUCTURE[[#This Row],[Bottom '[m']]]-WHOLE_STRUCTURE[[#This Row],[Top '[m']]]),"")</f>
        <v/>
      </c>
      <c r="P215" s="54" t="str">
        <f>IFERROR((WHOLE_STRUCTURE[[#This Row],[D, bottom '[m']]]+WHOLE_STRUCTURE[[#This Row],[D, top '[m']]])/(2*WHOLE_STRUCTURE[[#This Row],[t '[mm']]]/1000),"")</f>
        <v/>
      </c>
    </row>
    <row r="216" spans="13:16" x14ac:dyDescent="0.3">
      <c r="M216" s="54" t="str">
        <f t="shared" si="6"/>
        <v/>
      </c>
      <c r="N2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6" s="54" t="str">
        <f>IFERROR(-(WHOLE_STRUCTURE[[#This Row],[D, bottom '[m']]]-WHOLE_STRUCTURE[[#This Row],[D, top '[m']]])/(WHOLE_STRUCTURE[[#This Row],[Bottom '[m']]]-WHOLE_STRUCTURE[[#This Row],[Top '[m']]]),"")</f>
        <v/>
      </c>
      <c r="P216" s="54" t="str">
        <f>IFERROR((WHOLE_STRUCTURE[[#This Row],[D, bottom '[m']]]+WHOLE_STRUCTURE[[#This Row],[D, top '[m']]])/(2*WHOLE_STRUCTURE[[#This Row],[t '[mm']]]/1000),"")</f>
        <v/>
      </c>
    </row>
    <row r="217" spans="13:16" x14ac:dyDescent="0.3">
      <c r="M217" s="54" t="str">
        <f t="shared" si="6"/>
        <v/>
      </c>
      <c r="N2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7" s="54" t="str">
        <f>IFERROR(-(WHOLE_STRUCTURE[[#This Row],[D, bottom '[m']]]-WHOLE_STRUCTURE[[#This Row],[D, top '[m']]])/(WHOLE_STRUCTURE[[#This Row],[Bottom '[m']]]-WHOLE_STRUCTURE[[#This Row],[Top '[m']]]),"")</f>
        <v/>
      </c>
      <c r="P217" s="54" t="str">
        <f>IFERROR((WHOLE_STRUCTURE[[#This Row],[D, bottom '[m']]]+WHOLE_STRUCTURE[[#This Row],[D, top '[m']]])/(2*WHOLE_STRUCTURE[[#This Row],[t '[mm']]]/1000),"")</f>
        <v/>
      </c>
    </row>
    <row r="218" spans="13:16" x14ac:dyDescent="0.3">
      <c r="M218" s="54" t="str">
        <f t="shared" si="6"/>
        <v/>
      </c>
      <c r="N2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8" s="54" t="str">
        <f>IFERROR(-(WHOLE_STRUCTURE[[#This Row],[D, bottom '[m']]]-WHOLE_STRUCTURE[[#This Row],[D, top '[m']]])/(WHOLE_STRUCTURE[[#This Row],[Bottom '[m']]]-WHOLE_STRUCTURE[[#This Row],[Top '[m']]]),"")</f>
        <v/>
      </c>
      <c r="P218" s="54" t="str">
        <f>IFERROR((WHOLE_STRUCTURE[[#This Row],[D, bottom '[m']]]+WHOLE_STRUCTURE[[#This Row],[D, top '[m']]])/(2*WHOLE_STRUCTURE[[#This Row],[t '[mm']]]/1000),"")</f>
        <v/>
      </c>
    </row>
    <row r="219" spans="13:16" x14ac:dyDescent="0.3">
      <c r="M219" s="54" t="str">
        <f t="shared" si="6"/>
        <v/>
      </c>
      <c r="N2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9" s="54" t="str">
        <f>IFERROR(-(WHOLE_STRUCTURE[[#This Row],[D, bottom '[m']]]-WHOLE_STRUCTURE[[#This Row],[D, top '[m']]])/(WHOLE_STRUCTURE[[#This Row],[Bottom '[m']]]-WHOLE_STRUCTURE[[#This Row],[Top '[m']]]),"")</f>
        <v/>
      </c>
      <c r="P219" s="54" t="str">
        <f>IFERROR((WHOLE_STRUCTURE[[#This Row],[D, bottom '[m']]]+WHOLE_STRUCTURE[[#This Row],[D, top '[m']]])/(2*WHOLE_STRUCTURE[[#This Row],[t '[mm']]]/1000),"")</f>
        <v/>
      </c>
    </row>
    <row r="220" spans="13:16" x14ac:dyDescent="0.3">
      <c r="M220" s="54" t="str">
        <f t="shared" si="6"/>
        <v/>
      </c>
      <c r="N2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0" s="54" t="str">
        <f>IFERROR(-(WHOLE_STRUCTURE[[#This Row],[D, bottom '[m']]]-WHOLE_STRUCTURE[[#This Row],[D, top '[m']]])/(WHOLE_STRUCTURE[[#This Row],[Bottom '[m']]]-WHOLE_STRUCTURE[[#This Row],[Top '[m']]]),"")</f>
        <v/>
      </c>
      <c r="P220" s="54" t="str">
        <f>IFERROR((WHOLE_STRUCTURE[[#This Row],[D, bottom '[m']]]+WHOLE_STRUCTURE[[#This Row],[D, top '[m']]])/(2*WHOLE_STRUCTURE[[#This Row],[t '[mm']]]/1000),"")</f>
        <v/>
      </c>
    </row>
    <row r="221" spans="13:16" x14ac:dyDescent="0.3">
      <c r="M221" s="54" t="str">
        <f t="shared" si="6"/>
        <v/>
      </c>
      <c r="N2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1" s="54" t="str">
        <f>IFERROR(-(WHOLE_STRUCTURE[[#This Row],[D, bottom '[m']]]-WHOLE_STRUCTURE[[#This Row],[D, top '[m']]])/(WHOLE_STRUCTURE[[#This Row],[Bottom '[m']]]-WHOLE_STRUCTURE[[#This Row],[Top '[m']]]),"")</f>
        <v/>
      </c>
      <c r="P221" s="54" t="str">
        <f>IFERROR((WHOLE_STRUCTURE[[#This Row],[D, bottom '[m']]]+WHOLE_STRUCTURE[[#This Row],[D, top '[m']]])/(2*WHOLE_STRUCTURE[[#This Row],[t '[mm']]]/1000),"")</f>
        <v/>
      </c>
    </row>
    <row r="222" spans="13:16" x14ac:dyDescent="0.3">
      <c r="M222" s="54" t="str">
        <f t="shared" si="6"/>
        <v/>
      </c>
      <c r="N2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2" s="54" t="str">
        <f>IFERROR(-(WHOLE_STRUCTURE[[#This Row],[D, bottom '[m']]]-WHOLE_STRUCTURE[[#This Row],[D, top '[m']]])/(WHOLE_STRUCTURE[[#This Row],[Bottom '[m']]]-WHOLE_STRUCTURE[[#This Row],[Top '[m']]]),"")</f>
        <v/>
      </c>
      <c r="P222" s="54" t="str">
        <f>IFERROR((WHOLE_STRUCTURE[[#This Row],[D, bottom '[m']]]+WHOLE_STRUCTURE[[#This Row],[D, top '[m']]])/(2*WHOLE_STRUCTURE[[#This Row],[t '[mm']]]/1000),"")</f>
        <v/>
      </c>
    </row>
    <row r="223" spans="13:16" x14ac:dyDescent="0.3">
      <c r="M223" s="54" t="str">
        <f t="shared" si="6"/>
        <v/>
      </c>
      <c r="N2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3" s="54" t="str">
        <f>IFERROR(-(WHOLE_STRUCTURE[[#This Row],[D, bottom '[m']]]-WHOLE_STRUCTURE[[#This Row],[D, top '[m']]])/(WHOLE_STRUCTURE[[#This Row],[Bottom '[m']]]-WHOLE_STRUCTURE[[#This Row],[Top '[m']]]),"")</f>
        <v/>
      </c>
      <c r="P223" s="54" t="str">
        <f>IFERROR((WHOLE_STRUCTURE[[#This Row],[D, bottom '[m']]]+WHOLE_STRUCTURE[[#This Row],[D, top '[m']]])/(2*WHOLE_STRUCTURE[[#This Row],[t '[mm']]]/1000),"")</f>
        <v/>
      </c>
    </row>
    <row r="224" spans="13:16" x14ac:dyDescent="0.3">
      <c r="M224" s="54" t="str">
        <f t="shared" si="6"/>
        <v/>
      </c>
      <c r="N2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4" s="54" t="str">
        <f>IFERROR(-(WHOLE_STRUCTURE[[#This Row],[D, bottom '[m']]]-WHOLE_STRUCTURE[[#This Row],[D, top '[m']]])/(WHOLE_STRUCTURE[[#This Row],[Bottom '[m']]]-WHOLE_STRUCTURE[[#This Row],[Top '[m']]]),"")</f>
        <v/>
      </c>
      <c r="P224" s="54" t="str">
        <f>IFERROR((WHOLE_STRUCTURE[[#This Row],[D, bottom '[m']]]+WHOLE_STRUCTURE[[#This Row],[D, top '[m']]])/(2*WHOLE_STRUCTURE[[#This Row],[t '[mm']]]/1000),"")</f>
        <v/>
      </c>
    </row>
    <row r="225" spans="13:16" x14ac:dyDescent="0.3">
      <c r="M225" s="54" t="str">
        <f t="shared" si="6"/>
        <v/>
      </c>
      <c r="N2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5" s="54" t="str">
        <f>IFERROR(-(WHOLE_STRUCTURE[[#This Row],[D, bottom '[m']]]-WHOLE_STRUCTURE[[#This Row],[D, top '[m']]])/(WHOLE_STRUCTURE[[#This Row],[Bottom '[m']]]-WHOLE_STRUCTURE[[#This Row],[Top '[m']]]),"")</f>
        <v/>
      </c>
      <c r="P225" s="54" t="str">
        <f>IFERROR((WHOLE_STRUCTURE[[#This Row],[D, bottom '[m']]]+WHOLE_STRUCTURE[[#This Row],[D, top '[m']]])/(2*WHOLE_STRUCTURE[[#This Row],[t '[mm']]]/1000),"")</f>
        <v/>
      </c>
    </row>
    <row r="226" spans="13:16" x14ac:dyDescent="0.3">
      <c r="M226" s="54" t="str">
        <f t="shared" si="6"/>
        <v/>
      </c>
      <c r="N2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6" s="54" t="str">
        <f>IFERROR(-(WHOLE_STRUCTURE[[#This Row],[D, bottom '[m']]]-WHOLE_STRUCTURE[[#This Row],[D, top '[m']]])/(WHOLE_STRUCTURE[[#This Row],[Bottom '[m']]]-WHOLE_STRUCTURE[[#This Row],[Top '[m']]]),"")</f>
        <v/>
      </c>
      <c r="P226" s="54" t="str">
        <f>IFERROR((WHOLE_STRUCTURE[[#This Row],[D, bottom '[m']]]+WHOLE_STRUCTURE[[#This Row],[D, top '[m']]])/(2*WHOLE_STRUCTURE[[#This Row],[t '[mm']]]/1000),"")</f>
        <v/>
      </c>
    </row>
    <row r="227" spans="13:16" x14ac:dyDescent="0.3">
      <c r="M227" s="54" t="str">
        <f t="shared" si="6"/>
        <v/>
      </c>
      <c r="N2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7" s="54" t="str">
        <f>IFERROR(-(WHOLE_STRUCTURE[[#This Row],[D, bottom '[m']]]-WHOLE_STRUCTURE[[#This Row],[D, top '[m']]])/(WHOLE_STRUCTURE[[#This Row],[Bottom '[m']]]-WHOLE_STRUCTURE[[#This Row],[Top '[m']]]),"")</f>
        <v/>
      </c>
      <c r="P227" s="54" t="str">
        <f>IFERROR((WHOLE_STRUCTURE[[#This Row],[D, bottom '[m']]]+WHOLE_STRUCTURE[[#This Row],[D, top '[m']]])/(2*WHOLE_STRUCTURE[[#This Row],[t '[mm']]]/1000),"")</f>
        <v/>
      </c>
    </row>
    <row r="228" spans="13:16" x14ac:dyDescent="0.3">
      <c r="M228" s="54" t="str">
        <f t="shared" si="6"/>
        <v/>
      </c>
      <c r="N2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8" s="54" t="str">
        <f>IFERROR(-(WHOLE_STRUCTURE[[#This Row],[D, bottom '[m']]]-WHOLE_STRUCTURE[[#This Row],[D, top '[m']]])/(WHOLE_STRUCTURE[[#This Row],[Bottom '[m']]]-WHOLE_STRUCTURE[[#This Row],[Top '[m']]]),"")</f>
        <v/>
      </c>
      <c r="P228" s="54" t="str">
        <f>IFERROR((WHOLE_STRUCTURE[[#This Row],[D, bottom '[m']]]+WHOLE_STRUCTURE[[#This Row],[D, top '[m']]])/(2*WHOLE_STRUCTURE[[#This Row],[t '[mm']]]/1000),"")</f>
        <v/>
      </c>
    </row>
    <row r="229" spans="13:16" x14ac:dyDescent="0.3">
      <c r="M229" s="54" t="str">
        <f t="shared" si="6"/>
        <v/>
      </c>
      <c r="N2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9" s="54" t="str">
        <f>IFERROR(-(WHOLE_STRUCTURE[[#This Row],[D, bottom '[m']]]-WHOLE_STRUCTURE[[#This Row],[D, top '[m']]])/(WHOLE_STRUCTURE[[#This Row],[Bottom '[m']]]-WHOLE_STRUCTURE[[#This Row],[Top '[m']]]),"")</f>
        <v/>
      </c>
      <c r="P229" s="54" t="str">
        <f>IFERROR((WHOLE_STRUCTURE[[#This Row],[D, bottom '[m']]]+WHOLE_STRUCTURE[[#This Row],[D, top '[m']]])/(2*WHOLE_STRUCTURE[[#This Row],[t '[mm']]]/1000),"")</f>
        <v/>
      </c>
    </row>
    <row r="230" spans="13:16" x14ac:dyDescent="0.3">
      <c r="M230" s="54" t="str">
        <f t="shared" si="6"/>
        <v/>
      </c>
      <c r="N2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0" s="54" t="str">
        <f>IFERROR(-(WHOLE_STRUCTURE[[#This Row],[D, bottom '[m']]]-WHOLE_STRUCTURE[[#This Row],[D, top '[m']]])/(WHOLE_STRUCTURE[[#This Row],[Bottom '[m']]]-WHOLE_STRUCTURE[[#This Row],[Top '[m']]]),"")</f>
        <v/>
      </c>
      <c r="P230" s="54" t="str">
        <f>IFERROR((WHOLE_STRUCTURE[[#This Row],[D, bottom '[m']]]+WHOLE_STRUCTURE[[#This Row],[D, top '[m']]])/(2*WHOLE_STRUCTURE[[#This Row],[t '[mm']]]/1000),"")</f>
        <v/>
      </c>
    </row>
    <row r="231" spans="13:16" x14ac:dyDescent="0.3">
      <c r="M231" s="54" t="str">
        <f t="shared" si="6"/>
        <v/>
      </c>
      <c r="N2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1" s="54" t="str">
        <f>IFERROR(-(WHOLE_STRUCTURE[[#This Row],[D, bottom '[m']]]-WHOLE_STRUCTURE[[#This Row],[D, top '[m']]])/(WHOLE_STRUCTURE[[#This Row],[Bottom '[m']]]-WHOLE_STRUCTURE[[#This Row],[Top '[m']]]),"")</f>
        <v/>
      </c>
      <c r="P231" s="54" t="str">
        <f>IFERROR((WHOLE_STRUCTURE[[#This Row],[D, bottom '[m']]]+WHOLE_STRUCTURE[[#This Row],[D, top '[m']]])/(2*WHOLE_STRUCTURE[[#This Row],[t '[mm']]]/1000),"")</f>
        <v/>
      </c>
    </row>
    <row r="232" spans="13:16" x14ac:dyDescent="0.3">
      <c r="M232" s="54" t="str">
        <f t="shared" si="6"/>
        <v/>
      </c>
      <c r="N2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2" s="54" t="str">
        <f>IFERROR(-(WHOLE_STRUCTURE[[#This Row],[D, bottom '[m']]]-WHOLE_STRUCTURE[[#This Row],[D, top '[m']]])/(WHOLE_STRUCTURE[[#This Row],[Bottom '[m']]]-WHOLE_STRUCTURE[[#This Row],[Top '[m']]]),"")</f>
        <v/>
      </c>
      <c r="P232" s="54" t="str">
        <f>IFERROR((WHOLE_STRUCTURE[[#This Row],[D, bottom '[m']]]+WHOLE_STRUCTURE[[#This Row],[D, top '[m']]])/(2*WHOLE_STRUCTURE[[#This Row],[t '[mm']]]/1000),"")</f>
        <v/>
      </c>
    </row>
    <row r="233" spans="13:16" x14ac:dyDescent="0.3">
      <c r="M233" s="54" t="str">
        <f t="shared" si="6"/>
        <v/>
      </c>
      <c r="N2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3" s="54" t="str">
        <f>IFERROR(-(WHOLE_STRUCTURE[[#This Row],[D, bottom '[m']]]-WHOLE_STRUCTURE[[#This Row],[D, top '[m']]])/(WHOLE_STRUCTURE[[#This Row],[Bottom '[m']]]-WHOLE_STRUCTURE[[#This Row],[Top '[m']]]),"")</f>
        <v/>
      </c>
      <c r="P233" s="54" t="str">
        <f>IFERROR((WHOLE_STRUCTURE[[#This Row],[D, bottom '[m']]]+WHOLE_STRUCTURE[[#This Row],[D, top '[m']]])/(2*WHOLE_STRUCTURE[[#This Row],[t '[mm']]]/1000),"")</f>
        <v/>
      </c>
    </row>
    <row r="234" spans="13:16" x14ac:dyDescent="0.3">
      <c r="M234" s="54" t="str">
        <f t="shared" si="6"/>
        <v/>
      </c>
      <c r="N2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4" s="54" t="str">
        <f>IFERROR(-(WHOLE_STRUCTURE[[#This Row],[D, bottom '[m']]]-WHOLE_STRUCTURE[[#This Row],[D, top '[m']]])/(WHOLE_STRUCTURE[[#This Row],[Bottom '[m']]]-WHOLE_STRUCTURE[[#This Row],[Top '[m']]]),"")</f>
        <v/>
      </c>
      <c r="P234" s="54" t="str">
        <f>IFERROR((WHOLE_STRUCTURE[[#This Row],[D, bottom '[m']]]+WHOLE_STRUCTURE[[#This Row],[D, top '[m']]])/(2*WHOLE_STRUCTURE[[#This Row],[t '[mm']]]/1000),"")</f>
        <v/>
      </c>
    </row>
    <row r="235" spans="13:16" x14ac:dyDescent="0.3">
      <c r="M235" s="54" t="str">
        <f t="shared" si="6"/>
        <v/>
      </c>
      <c r="N2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5" s="54" t="str">
        <f>IFERROR(-(WHOLE_STRUCTURE[[#This Row],[D, bottom '[m']]]-WHOLE_STRUCTURE[[#This Row],[D, top '[m']]])/(WHOLE_STRUCTURE[[#This Row],[Bottom '[m']]]-WHOLE_STRUCTURE[[#This Row],[Top '[m']]]),"")</f>
        <v/>
      </c>
      <c r="P235" s="54" t="str">
        <f>IFERROR((WHOLE_STRUCTURE[[#This Row],[D, bottom '[m']]]+WHOLE_STRUCTURE[[#This Row],[D, top '[m']]])/(2*WHOLE_STRUCTURE[[#This Row],[t '[mm']]]/1000),"")</f>
        <v/>
      </c>
    </row>
    <row r="236" spans="13:16" x14ac:dyDescent="0.3">
      <c r="M236" s="54" t="str">
        <f t="shared" si="6"/>
        <v/>
      </c>
      <c r="N2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6" s="54" t="str">
        <f>IFERROR(-(WHOLE_STRUCTURE[[#This Row],[D, bottom '[m']]]-WHOLE_STRUCTURE[[#This Row],[D, top '[m']]])/(WHOLE_STRUCTURE[[#This Row],[Bottom '[m']]]-WHOLE_STRUCTURE[[#This Row],[Top '[m']]]),"")</f>
        <v/>
      </c>
      <c r="P236" s="54" t="str">
        <f>IFERROR((WHOLE_STRUCTURE[[#This Row],[D, bottom '[m']]]+WHOLE_STRUCTURE[[#This Row],[D, top '[m']]])/(2*WHOLE_STRUCTURE[[#This Row],[t '[mm']]]/1000),"")</f>
        <v/>
      </c>
    </row>
    <row r="237" spans="13:16" x14ac:dyDescent="0.3">
      <c r="M237" s="54" t="str">
        <f t="shared" si="6"/>
        <v/>
      </c>
      <c r="N2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7" s="54" t="str">
        <f>IFERROR(-(WHOLE_STRUCTURE[[#This Row],[D, bottom '[m']]]-WHOLE_STRUCTURE[[#This Row],[D, top '[m']]])/(WHOLE_STRUCTURE[[#This Row],[Bottom '[m']]]-WHOLE_STRUCTURE[[#This Row],[Top '[m']]]),"")</f>
        <v/>
      </c>
      <c r="P237" s="54" t="str">
        <f>IFERROR((WHOLE_STRUCTURE[[#This Row],[D, bottom '[m']]]+WHOLE_STRUCTURE[[#This Row],[D, top '[m']]])/(2*WHOLE_STRUCTURE[[#This Row],[t '[mm']]]/1000),"")</f>
        <v/>
      </c>
    </row>
    <row r="238" spans="13:16" x14ac:dyDescent="0.3">
      <c r="M238" s="54" t="str">
        <f t="shared" si="6"/>
        <v/>
      </c>
      <c r="N2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8" s="54" t="str">
        <f>IFERROR(-(WHOLE_STRUCTURE[[#This Row],[D, bottom '[m']]]-WHOLE_STRUCTURE[[#This Row],[D, top '[m']]])/(WHOLE_STRUCTURE[[#This Row],[Bottom '[m']]]-WHOLE_STRUCTURE[[#This Row],[Top '[m']]]),"")</f>
        <v/>
      </c>
      <c r="P238" s="54" t="str">
        <f>IFERROR((WHOLE_STRUCTURE[[#This Row],[D, bottom '[m']]]+WHOLE_STRUCTURE[[#This Row],[D, top '[m']]])/(2*WHOLE_STRUCTURE[[#This Row],[t '[mm']]]/1000),"")</f>
        <v/>
      </c>
    </row>
    <row r="239" spans="13:16" x14ac:dyDescent="0.3">
      <c r="M239" s="54" t="str">
        <f t="shared" si="6"/>
        <v/>
      </c>
      <c r="N2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9" s="54" t="str">
        <f>IFERROR(-(WHOLE_STRUCTURE[[#This Row],[D, bottom '[m']]]-WHOLE_STRUCTURE[[#This Row],[D, top '[m']]])/(WHOLE_STRUCTURE[[#This Row],[Bottom '[m']]]-WHOLE_STRUCTURE[[#This Row],[Top '[m']]]),"")</f>
        <v/>
      </c>
      <c r="P239" s="54" t="str">
        <f>IFERROR((WHOLE_STRUCTURE[[#This Row],[D, bottom '[m']]]+WHOLE_STRUCTURE[[#This Row],[D, top '[m']]])/(2*WHOLE_STRUCTURE[[#This Row],[t '[mm']]]/1000),"")</f>
        <v/>
      </c>
    </row>
    <row r="240" spans="13:16" x14ac:dyDescent="0.3">
      <c r="M240" s="54" t="str">
        <f t="shared" si="6"/>
        <v/>
      </c>
      <c r="N2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0" s="54" t="str">
        <f>IFERROR(-(WHOLE_STRUCTURE[[#This Row],[D, bottom '[m']]]-WHOLE_STRUCTURE[[#This Row],[D, top '[m']]])/(WHOLE_STRUCTURE[[#This Row],[Bottom '[m']]]-WHOLE_STRUCTURE[[#This Row],[Top '[m']]]),"")</f>
        <v/>
      </c>
      <c r="P240" s="54" t="str">
        <f>IFERROR((WHOLE_STRUCTURE[[#This Row],[D, bottom '[m']]]+WHOLE_STRUCTURE[[#This Row],[D, top '[m']]])/(2*WHOLE_STRUCTURE[[#This Row],[t '[mm']]]/1000),"")</f>
        <v/>
      </c>
    </row>
    <row r="241" spans="13:16" x14ac:dyDescent="0.3">
      <c r="M241" s="54" t="str">
        <f t="shared" si="6"/>
        <v/>
      </c>
      <c r="N2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1" s="54" t="str">
        <f>IFERROR(-(WHOLE_STRUCTURE[[#This Row],[D, bottom '[m']]]-WHOLE_STRUCTURE[[#This Row],[D, top '[m']]])/(WHOLE_STRUCTURE[[#This Row],[Bottom '[m']]]-WHOLE_STRUCTURE[[#This Row],[Top '[m']]]),"")</f>
        <v/>
      </c>
      <c r="P241" s="54" t="str">
        <f>IFERROR((WHOLE_STRUCTURE[[#This Row],[D, bottom '[m']]]+WHOLE_STRUCTURE[[#This Row],[D, top '[m']]])/(2*WHOLE_STRUCTURE[[#This Row],[t '[mm']]]/1000),"")</f>
        <v/>
      </c>
    </row>
    <row r="242" spans="13:16" x14ac:dyDescent="0.3">
      <c r="M242" s="54" t="str">
        <f t="shared" si="6"/>
        <v/>
      </c>
      <c r="N2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2" s="54" t="str">
        <f>IFERROR(-(WHOLE_STRUCTURE[[#This Row],[D, bottom '[m']]]-WHOLE_STRUCTURE[[#This Row],[D, top '[m']]])/(WHOLE_STRUCTURE[[#This Row],[Bottom '[m']]]-WHOLE_STRUCTURE[[#This Row],[Top '[m']]]),"")</f>
        <v/>
      </c>
      <c r="P242" s="54" t="str">
        <f>IFERROR((WHOLE_STRUCTURE[[#This Row],[D, bottom '[m']]]+WHOLE_STRUCTURE[[#This Row],[D, top '[m']]])/(2*WHOLE_STRUCTURE[[#This Row],[t '[mm']]]/1000),"")</f>
        <v/>
      </c>
    </row>
    <row r="243" spans="13:16" x14ac:dyDescent="0.3">
      <c r="M243" s="54" t="str">
        <f t="shared" si="6"/>
        <v/>
      </c>
      <c r="N2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3" s="54" t="str">
        <f>IFERROR(-(WHOLE_STRUCTURE[[#This Row],[D, bottom '[m']]]-WHOLE_STRUCTURE[[#This Row],[D, top '[m']]])/(WHOLE_STRUCTURE[[#This Row],[Bottom '[m']]]-WHOLE_STRUCTURE[[#This Row],[Top '[m']]]),"")</f>
        <v/>
      </c>
      <c r="P243" s="54" t="str">
        <f>IFERROR((WHOLE_STRUCTURE[[#This Row],[D, bottom '[m']]]+WHOLE_STRUCTURE[[#This Row],[D, top '[m']]])/(2*WHOLE_STRUCTURE[[#This Row],[t '[mm']]]/1000),"")</f>
        <v/>
      </c>
    </row>
    <row r="244" spans="13:16" x14ac:dyDescent="0.3">
      <c r="M244" s="54" t="str">
        <f t="shared" si="6"/>
        <v/>
      </c>
      <c r="N2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4" s="54" t="str">
        <f>IFERROR(-(WHOLE_STRUCTURE[[#This Row],[D, bottom '[m']]]-WHOLE_STRUCTURE[[#This Row],[D, top '[m']]])/(WHOLE_STRUCTURE[[#This Row],[Bottom '[m']]]-WHOLE_STRUCTURE[[#This Row],[Top '[m']]]),"")</f>
        <v/>
      </c>
      <c r="P244" s="54" t="str">
        <f>IFERROR((WHOLE_STRUCTURE[[#This Row],[D, bottom '[m']]]+WHOLE_STRUCTURE[[#This Row],[D, top '[m']]])/(2*WHOLE_STRUCTURE[[#This Row],[t '[mm']]]/1000),"")</f>
        <v/>
      </c>
    </row>
    <row r="245" spans="13:16" x14ac:dyDescent="0.3">
      <c r="M245" s="54" t="str">
        <f t="shared" si="6"/>
        <v/>
      </c>
      <c r="N2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5" s="54" t="str">
        <f>IFERROR(-(WHOLE_STRUCTURE[[#This Row],[D, bottom '[m']]]-WHOLE_STRUCTURE[[#This Row],[D, top '[m']]])/(WHOLE_STRUCTURE[[#This Row],[Bottom '[m']]]-WHOLE_STRUCTURE[[#This Row],[Top '[m']]]),"")</f>
        <v/>
      </c>
      <c r="P245" s="54" t="str">
        <f>IFERROR((WHOLE_STRUCTURE[[#This Row],[D, bottom '[m']]]+WHOLE_STRUCTURE[[#This Row],[D, top '[m']]])/(2*WHOLE_STRUCTURE[[#This Row],[t '[mm']]]/1000),"")</f>
        <v/>
      </c>
    </row>
    <row r="246" spans="13:16" x14ac:dyDescent="0.3">
      <c r="M246" s="54" t="str">
        <f t="shared" si="6"/>
        <v/>
      </c>
      <c r="N2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6" s="54" t="str">
        <f>IFERROR(-(WHOLE_STRUCTURE[[#This Row],[D, bottom '[m']]]-WHOLE_STRUCTURE[[#This Row],[D, top '[m']]])/(WHOLE_STRUCTURE[[#This Row],[Bottom '[m']]]-WHOLE_STRUCTURE[[#This Row],[Top '[m']]]),"")</f>
        <v/>
      </c>
      <c r="P246" s="54" t="str">
        <f>IFERROR((WHOLE_STRUCTURE[[#This Row],[D, bottom '[m']]]+WHOLE_STRUCTURE[[#This Row],[D, top '[m']]])/(2*WHOLE_STRUCTURE[[#This Row],[t '[mm']]]/1000),"")</f>
        <v/>
      </c>
    </row>
    <row r="247" spans="13:16" x14ac:dyDescent="0.3">
      <c r="M247" s="54" t="str">
        <f t="shared" si="6"/>
        <v/>
      </c>
      <c r="N2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7" s="54" t="str">
        <f>IFERROR(-(WHOLE_STRUCTURE[[#This Row],[D, bottom '[m']]]-WHOLE_STRUCTURE[[#This Row],[D, top '[m']]])/(WHOLE_STRUCTURE[[#This Row],[Bottom '[m']]]-WHOLE_STRUCTURE[[#This Row],[Top '[m']]]),"")</f>
        <v/>
      </c>
      <c r="P247" s="54" t="str">
        <f>IFERROR((WHOLE_STRUCTURE[[#This Row],[D, bottom '[m']]]+WHOLE_STRUCTURE[[#This Row],[D, top '[m']]])/(2*WHOLE_STRUCTURE[[#This Row],[t '[mm']]]/1000),"")</f>
        <v/>
      </c>
    </row>
    <row r="248" spans="13:16" x14ac:dyDescent="0.3">
      <c r="M248" s="54" t="str">
        <f t="shared" si="6"/>
        <v/>
      </c>
      <c r="N2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8" s="54" t="str">
        <f>IFERROR(-(WHOLE_STRUCTURE[[#This Row],[D, bottom '[m']]]-WHOLE_STRUCTURE[[#This Row],[D, top '[m']]])/(WHOLE_STRUCTURE[[#This Row],[Bottom '[m']]]-WHOLE_STRUCTURE[[#This Row],[Top '[m']]]),"")</f>
        <v/>
      </c>
      <c r="P248" s="54" t="str">
        <f>IFERROR((WHOLE_STRUCTURE[[#This Row],[D, bottom '[m']]]+WHOLE_STRUCTURE[[#This Row],[D, top '[m']]])/(2*WHOLE_STRUCTURE[[#This Row],[t '[mm']]]/1000),"")</f>
        <v/>
      </c>
    </row>
    <row r="249" spans="13:16" x14ac:dyDescent="0.3">
      <c r="M249" s="54" t="str">
        <f t="shared" si="6"/>
        <v/>
      </c>
      <c r="N2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9" s="54" t="str">
        <f>IFERROR(-(WHOLE_STRUCTURE[[#This Row],[D, bottom '[m']]]-WHOLE_STRUCTURE[[#This Row],[D, top '[m']]])/(WHOLE_STRUCTURE[[#This Row],[Bottom '[m']]]-WHOLE_STRUCTURE[[#This Row],[Top '[m']]]),"")</f>
        <v/>
      </c>
      <c r="P249" s="54" t="str">
        <f>IFERROR((WHOLE_STRUCTURE[[#This Row],[D, bottom '[m']]]+WHOLE_STRUCTURE[[#This Row],[D, top '[m']]])/(2*WHOLE_STRUCTURE[[#This Row],[t '[mm']]]/1000),"")</f>
        <v/>
      </c>
    </row>
    <row r="250" spans="13:16" x14ac:dyDescent="0.3">
      <c r="M250" s="54" t="str">
        <f t="shared" si="6"/>
        <v/>
      </c>
      <c r="N2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0" s="54" t="str">
        <f>IFERROR(-(WHOLE_STRUCTURE[[#This Row],[D, bottom '[m']]]-WHOLE_STRUCTURE[[#This Row],[D, top '[m']]])/(WHOLE_STRUCTURE[[#This Row],[Bottom '[m']]]-WHOLE_STRUCTURE[[#This Row],[Top '[m']]]),"")</f>
        <v/>
      </c>
      <c r="P250" s="54" t="str">
        <f>IFERROR((WHOLE_STRUCTURE[[#This Row],[D, bottom '[m']]]+WHOLE_STRUCTURE[[#This Row],[D, top '[m']]])/(2*WHOLE_STRUCTURE[[#This Row],[t '[mm']]]/1000),"")</f>
        <v/>
      </c>
    </row>
    <row r="251" spans="13:16" x14ac:dyDescent="0.3">
      <c r="M251" s="54" t="str">
        <f t="shared" si="6"/>
        <v/>
      </c>
      <c r="N2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1" s="54" t="str">
        <f>IFERROR(-(WHOLE_STRUCTURE[[#This Row],[D, bottom '[m']]]-WHOLE_STRUCTURE[[#This Row],[D, top '[m']]])/(WHOLE_STRUCTURE[[#This Row],[Bottom '[m']]]-WHOLE_STRUCTURE[[#This Row],[Top '[m']]]),"")</f>
        <v/>
      </c>
      <c r="P251" s="54" t="str">
        <f>IFERROR((WHOLE_STRUCTURE[[#This Row],[D, bottom '[m']]]+WHOLE_STRUCTURE[[#This Row],[D, top '[m']]])/(2*WHOLE_STRUCTURE[[#This Row],[t '[mm']]]/1000),"")</f>
        <v/>
      </c>
    </row>
    <row r="252" spans="13:16" x14ac:dyDescent="0.3">
      <c r="M252" s="54" t="str">
        <f t="shared" si="6"/>
        <v/>
      </c>
      <c r="N2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2" s="54" t="str">
        <f>IFERROR(-(WHOLE_STRUCTURE[[#This Row],[D, bottom '[m']]]-WHOLE_STRUCTURE[[#This Row],[D, top '[m']]])/(WHOLE_STRUCTURE[[#This Row],[Bottom '[m']]]-WHOLE_STRUCTURE[[#This Row],[Top '[m']]]),"")</f>
        <v/>
      </c>
      <c r="P252" s="54" t="str">
        <f>IFERROR((WHOLE_STRUCTURE[[#This Row],[D, bottom '[m']]]+WHOLE_STRUCTURE[[#This Row],[D, top '[m']]])/(2*WHOLE_STRUCTURE[[#This Row],[t '[mm']]]/1000),"")</f>
        <v/>
      </c>
    </row>
    <row r="253" spans="13:16" x14ac:dyDescent="0.3">
      <c r="M253" s="54" t="str">
        <f t="shared" si="6"/>
        <v/>
      </c>
      <c r="N2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3" s="54" t="str">
        <f>IFERROR(-(WHOLE_STRUCTURE[[#This Row],[D, bottom '[m']]]-WHOLE_STRUCTURE[[#This Row],[D, top '[m']]])/(WHOLE_STRUCTURE[[#This Row],[Bottom '[m']]]-WHOLE_STRUCTURE[[#This Row],[Top '[m']]]),"")</f>
        <v/>
      </c>
      <c r="P253" s="54" t="str">
        <f>IFERROR((WHOLE_STRUCTURE[[#This Row],[D, bottom '[m']]]+WHOLE_STRUCTURE[[#This Row],[D, top '[m']]])/(2*WHOLE_STRUCTURE[[#This Row],[t '[mm']]]/1000),"")</f>
        <v/>
      </c>
    </row>
    <row r="254" spans="13:16" x14ac:dyDescent="0.3">
      <c r="M254" s="54" t="str">
        <f t="shared" si="6"/>
        <v/>
      </c>
      <c r="N2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4" s="54" t="str">
        <f>IFERROR(-(WHOLE_STRUCTURE[[#This Row],[D, bottom '[m']]]-WHOLE_STRUCTURE[[#This Row],[D, top '[m']]])/(WHOLE_STRUCTURE[[#This Row],[Bottom '[m']]]-WHOLE_STRUCTURE[[#This Row],[Top '[m']]]),"")</f>
        <v/>
      </c>
      <c r="P254" s="54" t="str">
        <f>IFERROR((WHOLE_STRUCTURE[[#This Row],[D, bottom '[m']]]+WHOLE_STRUCTURE[[#This Row],[D, top '[m']]])/(2*WHOLE_STRUCTURE[[#This Row],[t '[mm']]]/1000),"")</f>
        <v/>
      </c>
    </row>
    <row r="255" spans="13:16" x14ac:dyDescent="0.3">
      <c r="M255" s="54" t="str">
        <f t="shared" si="6"/>
        <v/>
      </c>
      <c r="N2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5" s="54" t="str">
        <f>IFERROR(-(WHOLE_STRUCTURE[[#This Row],[D, bottom '[m']]]-WHOLE_STRUCTURE[[#This Row],[D, top '[m']]])/(WHOLE_STRUCTURE[[#This Row],[Bottom '[m']]]-WHOLE_STRUCTURE[[#This Row],[Top '[m']]]),"")</f>
        <v/>
      </c>
      <c r="P255" s="54" t="str">
        <f>IFERROR((WHOLE_STRUCTURE[[#This Row],[D, bottom '[m']]]+WHOLE_STRUCTURE[[#This Row],[D, top '[m']]])/(2*WHOLE_STRUCTURE[[#This Row],[t '[mm']]]/1000),"")</f>
        <v/>
      </c>
    </row>
    <row r="256" spans="13:16" x14ac:dyDescent="0.3">
      <c r="M256" s="54" t="str">
        <f t="shared" si="6"/>
        <v/>
      </c>
      <c r="N2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6" s="54" t="str">
        <f>IFERROR(-(WHOLE_STRUCTURE[[#This Row],[D, bottom '[m']]]-WHOLE_STRUCTURE[[#This Row],[D, top '[m']]])/(WHOLE_STRUCTURE[[#This Row],[Bottom '[m']]]-WHOLE_STRUCTURE[[#This Row],[Top '[m']]]),"")</f>
        <v/>
      </c>
      <c r="P256" s="54" t="str">
        <f>IFERROR((WHOLE_STRUCTURE[[#This Row],[D, bottom '[m']]]+WHOLE_STRUCTURE[[#This Row],[D, top '[m']]])/(2*WHOLE_STRUCTURE[[#This Row],[t '[mm']]]/1000),"")</f>
        <v/>
      </c>
    </row>
    <row r="257" spans="13:16" x14ac:dyDescent="0.3">
      <c r="M257" s="54" t="str">
        <f t="shared" si="6"/>
        <v/>
      </c>
      <c r="N2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7" s="54" t="str">
        <f>IFERROR(-(WHOLE_STRUCTURE[[#This Row],[D, bottom '[m']]]-WHOLE_STRUCTURE[[#This Row],[D, top '[m']]])/(WHOLE_STRUCTURE[[#This Row],[Bottom '[m']]]-WHOLE_STRUCTURE[[#This Row],[Top '[m']]]),"")</f>
        <v/>
      </c>
      <c r="P257" s="54" t="str">
        <f>IFERROR((WHOLE_STRUCTURE[[#This Row],[D, bottom '[m']]]+WHOLE_STRUCTURE[[#This Row],[D, top '[m']]])/(2*WHOLE_STRUCTURE[[#This Row],[t '[mm']]]/1000),"")</f>
        <v/>
      </c>
    </row>
    <row r="258" spans="13:16" x14ac:dyDescent="0.3">
      <c r="M258" s="54" t="str">
        <f t="shared" si="6"/>
        <v/>
      </c>
      <c r="N2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8" s="54" t="str">
        <f>IFERROR(-(WHOLE_STRUCTURE[[#This Row],[D, bottom '[m']]]-WHOLE_STRUCTURE[[#This Row],[D, top '[m']]])/(WHOLE_STRUCTURE[[#This Row],[Bottom '[m']]]-WHOLE_STRUCTURE[[#This Row],[Top '[m']]]),"")</f>
        <v/>
      </c>
      <c r="P258" s="54" t="str">
        <f>IFERROR((WHOLE_STRUCTURE[[#This Row],[D, bottom '[m']]]+WHOLE_STRUCTURE[[#This Row],[D, top '[m']]])/(2*WHOLE_STRUCTURE[[#This Row],[t '[mm']]]/1000),"")</f>
        <v/>
      </c>
    </row>
    <row r="259" spans="13:16" x14ac:dyDescent="0.3">
      <c r="M259" s="54" t="str">
        <f t="shared" si="6"/>
        <v/>
      </c>
      <c r="N2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9" s="54" t="str">
        <f>IFERROR(-(WHOLE_STRUCTURE[[#This Row],[D, bottom '[m']]]-WHOLE_STRUCTURE[[#This Row],[D, top '[m']]])/(WHOLE_STRUCTURE[[#This Row],[Bottom '[m']]]-WHOLE_STRUCTURE[[#This Row],[Top '[m']]]),"")</f>
        <v/>
      </c>
      <c r="P259" s="54" t="str">
        <f>IFERROR((WHOLE_STRUCTURE[[#This Row],[D, bottom '[m']]]+WHOLE_STRUCTURE[[#This Row],[D, top '[m']]])/(2*WHOLE_STRUCTURE[[#This Row],[t '[mm']]]/1000),"")</f>
        <v/>
      </c>
    </row>
    <row r="260" spans="13:16" x14ac:dyDescent="0.3">
      <c r="M260" s="54" t="str">
        <f t="shared" si="6"/>
        <v/>
      </c>
      <c r="N2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0" s="54" t="str">
        <f>IFERROR(-(WHOLE_STRUCTURE[[#This Row],[D, bottom '[m']]]-WHOLE_STRUCTURE[[#This Row],[D, top '[m']]])/(WHOLE_STRUCTURE[[#This Row],[Bottom '[m']]]-WHOLE_STRUCTURE[[#This Row],[Top '[m']]]),"")</f>
        <v/>
      </c>
      <c r="P260" s="54" t="str">
        <f>IFERROR((WHOLE_STRUCTURE[[#This Row],[D, bottom '[m']]]+WHOLE_STRUCTURE[[#This Row],[D, top '[m']]])/(2*WHOLE_STRUCTURE[[#This Row],[t '[mm']]]/1000),"")</f>
        <v/>
      </c>
    </row>
    <row r="261" spans="13:16" x14ac:dyDescent="0.3">
      <c r="M261" s="54" t="str">
        <f t="shared" ref="M261:M324" si="7">IF(7850/1000*(1/3)*PI()*ABS(H261-I261)*((J261/2)^2+(J261/2)*(K261/2)+(K261/2)^2-(J261/2-L261/1000)^2-(J261/2-L261/1000)*(K261/2-L261/1000)-(K261/2-L261/1000)^2)=0,"",7850/1000*(1/3)*PI()*ABS(H261-I261)*((J261/2)^2+(J261/2)*(K261/2)+(K261/2)^2-(J261/2-L261/1000)^2-(J261/2-L261/1000)*(K261/2-L261/1000)-(K261/2-L261/1000)^2))</f>
        <v/>
      </c>
      <c r="N2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1" s="54" t="str">
        <f>IFERROR(-(WHOLE_STRUCTURE[[#This Row],[D, bottom '[m']]]-WHOLE_STRUCTURE[[#This Row],[D, top '[m']]])/(WHOLE_STRUCTURE[[#This Row],[Bottom '[m']]]-WHOLE_STRUCTURE[[#This Row],[Top '[m']]]),"")</f>
        <v/>
      </c>
      <c r="P261" s="54" t="str">
        <f>IFERROR((WHOLE_STRUCTURE[[#This Row],[D, bottom '[m']]]+WHOLE_STRUCTURE[[#This Row],[D, top '[m']]])/(2*WHOLE_STRUCTURE[[#This Row],[t '[mm']]]/1000),"")</f>
        <v/>
      </c>
    </row>
    <row r="262" spans="13:16" x14ac:dyDescent="0.3">
      <c r="M262" s="54" t="str">
        <f t="shared" si="7"/>
        <v/>
      </c>
      <c r="N2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2" s="54" t="str">
        <f>IFERROR(-(WHOLE_STRUCTURE[[#This Row],[D, bottom '[m']]]-WHOLE_STRUCTURE[[#This Row],[D, top '[m']]])/(WHOLE_STRUCTURE[[#This Row],[Bottom '[m']]]-WHOLE_STRUCTURE[[#This Row],[Top '[m']]]),"")</f>
        <v/>
      </c>
      <c r="P262" s="54" t="str">
        <f>IFERROR((WHOLE_STRUCTURE[[#This Row],[D, bottom '[m']]]+WHOLE_STRUCTURE[[#This Row],[D, top '[m']]])/(2*WHOLE_STRUCTURE[[#This Row],[t '[mm']]]/1000),"")</f>
        <v/>
      </c>
    </row>
    <row r="263" spans="13:16" x14ac:dyDescent="0.3">
      <c r="M263" s="54" t="str">
        <f t="shared" si="7"/>
        <v/>
      </c>
      <c r="N2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3" s="54" t="str">
        <f>IFERROR(-(WHOLE_STRUCTURE[[#This Row],[D, bottom '[m']]]-WHOLE_STRUCTURE[[#This Row],[D, top '[m']]])/(WHOLE_STRUCTURE[[#This Row],[Bottom '[m']]]-WHOLE_STRUCTURE[[#This Row],[Top '[m']]]),"")</f>
        <v/>
      </c>
      <c r="P263" s="54" t="str">
        <f>IFERROR((WHOLE_STRUCTURE[[#This Row],[D, bottom '[m']]]+WHOLE_STRUCTURE[[#This Row],[D, top '[m']]])/(2*WHOLE_STRUCTURE[[#This Row],[t '[mm']]]/1000),"")</f>
        <v/>
      </c>
    </row>
    <row r="264" spans="13:16" x14ac:dyDescent="0.3">
      <c r="M264" s="54" t="str">
        <f t="shared" si="7"/>
        <v/>
      </c>
      <c r="N2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4" s="54" t="str">
        <f>IFERROR(-(WHOLE_STRUCTURE[[#This Row],[D, bottom '[m']]]-WHOLE_STRUCTURE[[#This Row],[D, top '[m']]])/(WHOLE_STRUCTURE[[#This Row],[Bottom '[m']]]-WHOLE_STRUCTURE[[#This Row],[Top '[m']]]),"")</f>
        <v/>
      </c>
      <c r="P264" s="54" t="str">
        <f>IFERROR((WHOLE_STRUCTURE[[#This Row],[D, bottom '[m']]]+WHOLE_STRUCTURE[[#This Row],[D, top '[m']]])/(2*WHOLE_STRUCTURE[[#This Row],[t '[mm']]]/1000),"")</f>
        <v/>
      </c>
    </row>
    <row r="265" spans="13:16" x14ac:dyDescent="0.3">
      <c r="M265" s="54" t="str">
        <f t="shared" si="7"/>
        <v/>
      </c>
      <c r="N2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5" s="54" t="str">
        <f>IFERROR(-(WHOLE_STRUCTURE[[#This Row],[D, bottom '[m']]]-WHOLE_STRUCTURE[[#This Row],[D, top '[m']]])/(WHOLE_STRUCTURE[[#This Row],[Bottom '[m']]]-WHOLE_STRUCTURE[[#This Row],[Top '[m']]]),"")</f>
        <v/>
      </c>
      <c r="P265" s="54" t="str">
        <f>IFERROR((WHOLE_STRUCTURE[[#This Row],[D, bottom '[m']]]+WHOLE_STRUCTURE[[#This Row],[D, top '[m']]])/(2*WHOLE_STRUCTURE[[#This Row],[t '[mm']]]/1000),"")</f>
        <v/>
      </c>
    </row>
    <row r="266" spans="13:16" x14ac:dyDescent="0.3">
      <c r="M266" s="54" t="str">
        <f t="shared" si="7"/>
        <v/>
      </c>
      <c r="N2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6" s="54" t="str">
        <f>IFERROR(-(WHOLE_STRUCTURE[[#This Row],[D, bottom '[m']]]-WHOLE_STRUCTURE[[#This Row],[D, top '[m']]])/(WHOLE_STRUCTURE[[#This Row],[Bottom '[m']]]-WHOLE_STRUCTURE[[#This Row],[Top '[m']]]),"")</f>
        <v/>
      </c>
      <c r="P266" s="54" t="str">
        <f>IFERROR((WHOLE_STRUCTURE[[#This Row],[D, bottom '[m']]]+WHOLE_STRUCTURE[[#This Row],[D, top '[m']]])/(2*WHOLE_STRUCTURE[[#This Row],[t '[mm']]]/1000),"")</f>
        <v/>
      </c>
    </row>
    <row r="267" spans="13:16" x14ac:dyDescent="0.3">
      <c r="M267" s="54" t="str">
        <f t="shared" si="7"/>
        <v/>
      </c>
      <c r="N2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7" s="54" t="str">
        <f>IFERROR(-(WHOLE_STRUCTURE[[#This Row],[D, bottom '[m']]]-WHOLE_STRUCTURE[[#This Row],[D, top '[m']]])/(WHOLE_STRUCTURE[[#This Row],[Bottom '[m']]]-WHOLE_STRUCTURE[[#This Row],[Top '[m']]]),"")</f>
        <v/>
      </c>
      <c r="P267" s="54" t="str">
        <f>IFERROR((WHOLE_STRUCTURE[[#This Row],[D, bottom '[m']]]+WHOLE_STRUCTURE[[#This Row],[D, top '[m']]])/(2*WHOLE_STRUCTURE[[#This Row],[t '[mm']]]/1000),"")</f>
        <v/>
      </c>
    </row>
    <row r="268" spans="13:16" x14ac:dyDescent="0.3">
      <c r="M268" s="54" t="str">
        <f t="shared" si="7"/>
        <v/>
      </c>
      <c r="N2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8" s="54" t="str">
        <f>IFERROR(-(WHOLE_STRUCTURE[[#This Row],[D, bottom '[m']]]-WHOLE_STRUCTURE[[#This Row],[D, top '[m']]])/(WHOLE_STRUCTURE[[#This Row],[Bottom '[m']]]-WHOLE_STRUCTURE[[#This Row],[Top '[m']]]),"")</f>
        <v/>
      </c>
      <c r="P268" s="54" t="str">
        <f>IFERROR((WHOLE_STRUCTURE[[#This Row],[D, bottom '[m']]]+WHOLE_STRUCTURE[[#This Row],[D, top '[m']]])/(2*WHOLE_STRUCTURE[[#This Row],[t '[mm']]]/1000),"")</f>
        <v/>
      </c>
    </row>
    <row r="269" spans="13:16" x14ac:dyDescent="0.3">
      <c r="M269" s="54" t="str">
        <f t="shared" si="7"/>
        <v/>
      </c>
      <c r="N2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9" s="54" t="str">
        <f>IFERROR(-(WHOLE_STRUCTURE[[#This Row],[D, bottom '[m']]]-WHOLE_STRUCTURE[[#This Row],[D, top '[m']]])/(WHOLE_STRUCTURE[[#This Row],[Bottom '[m']]]-WHOLE_STRUCTURE[[#This Row],[Top '[m']]]),"")</f>
        <v/>
      </c>
      <c r="P269" s="54" t="str">
        <f>IFERROR((WHOLE_STRUCTURE[[#This Row],[D, bottom '[m']]]+WHOLE_STRUCTURE[[#This Row],[D, top '[m']]])/(2*WHOLE_STRUCTURE[[#This Row],[t '[mm']]]/1000),"")</f>
        <v/>
      </c>
    </row>
    <row r="270" spans="13:16" x14ac:dyDescent="0.3">
      <c r="M270" s="54" t="str">
        <f t="shared" si="7"/>
        <v/>
      </c>
      <c r="N2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0" s="54" t="str">
        <f>IFERROR(-(WHOLE_STRUCTURE[[#This Row],[D, bottom '[m']]]-WHOLE_STRUCTURE[[#This Row],[D, top '[m']]])/(WHOLE_STRUCTURE[[#This Row],[Bottom '[m']]]-WHOLE_STRUCTURE[[#This Row],[Top '[m']]]),"")</f>
        <v/>
      </c>
      <c r="P270" s="54" t="str">
        <f>IFERROR((WHOLE_STRUCTURE[[#This Row],[D, bottom '[m']]]+WHOLE_STRUCTURE[[#This Row],[D, top '[m']]])/(2*WHOLE_STRUCTURE[[#This Row],[t '[mm']]]/1000),"")</f>
        <v/>
      </c>
    </row>
    <row r="271" spans="13:16" x14ac:dyDescent="0.3">
      <c r="M271" s="54" t="str">
        <f t="shared" si="7"/>
        <v/>
      </c>
      <c r="N2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1" s="54" t="str">
        <f>IFERROR(-(WHOLE_STRUCTURE[[#This Row],[D, bottom '[m']]]-WHOLE_STRUCTURE[[#This Row],[D, top '[m']]])/(WHOLE_STRUCTURE[[#This Row],[Bottom '[m']]]-WHOLE_STRUCTURE[[#This Row],[Top '[m']]]),"")</f>
        <v/>
      </c>
      <c r="P271" s="54" t="str">
        <f>IFERROR((WHOLE_STRUCTURE[[#This Row],[D, bottom '[m']]]+WHOLE_STRUCTURE[[#This Row],[D, top '[m']]])/(2*WHOLE_STRUCTURE[[#This Row],[t '[mm']]]/1000),"")</f>
        <v/>
      </c>
    </row>
    <row r="272" spans="13:16" x14ac:dyDescent="0.3">
      <c r="M272" s="54" t="str">
        <f t="shared" si="7"/>
        <v/>
      </c>
      <c r="N2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2" s="54" t="str">
        <f>IFERROR(-(WHOLE_STRUCTURE[[#This Row],[D, bottom '[m']]]-WHOLE_STRUCTURE[[#This Row],[D, top '[m']]])/(WHOLE_STRUCTURE[[#This Row],[Bottom '[m']]]-WHOLE_STRUCTURE[[#This Row],[Top '[m']]]),"")</f>
        <v/>
      </c>
      <c r="P272" s="54" t="str">
        <f>IFERROR((WHOLE_STRUCTURE[[#This Row],[D, bottom '[m']]]+WHOLE_STRUCTURE[[#This Row],[D, top '[m']]])/(2*WHOLE_STRUCTURE[[#This Row],[t '[mm']]]/1000),"")</f>
        <v/>
      </c>
    </row>
    <row r="273" spans="13:16" x14ac:dyDescent="0.3">
      <c r="M273" s="54" t="str">
        <f t="shared" si="7"/>
        <v/>
      </c>
      <c r="N2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3" s="54" t="str">
        <f>IFERROR(-(WHOLE_STRUCTURE[[#This Row],[D, bottom '[m']]]-WHOLE_STRUCTURE[[#This Row],[D, top '[m']]])/(WHOLE_STRUCTURE[[#This Row],[Bottom '[m']]]-WHOLE_STRUCTURE[[#This Row],[Top '[m']]]),"")</f>
        <v/>
      </c>
      <c r="P273" s="54" t="str">
        <f>IFERROR((WHOLE_STRUCTURE[[#This Row],[D, bottom '[m']]]+WHOLE_STRUCTURE[[#This Row],[D, top '[m']]])/(2*WHOLE_STRUCTURE[[#This Row],[t '[mm']]]/1000),"")</f>
        <v/>
      </c>
    </row>
    <row r="274" spans="13:16" x14ac:dyDescent="0.3">
      <c r="M274" s="54" t="str">
        <f t="shared" si="7"/>
        <v/>
      </c>
      <c r="N2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4" s="54" t="str">
        <f>IFERROR(-(WHOLE_STRUCTURE[[#This Row],[D, bottom '[m']]]-WHOLE_STRUCTURE[[#This Row],[D, top '[m']]])/(WHOLE_STRUCTURE[[#This Row],[Bottom '[m']]]-WHOLE_STRUCTURE[[#This Row],[Top '[m']]]),"")</f>
        <v/>
      </c>
      <c r="P274" s="54" t="str">
        <f>IFERROR((WHOLE_STRUCTURE[[#This Row],[D, bottom '[m']]]+WHOLE_STRUCTURE[[#This Row],[D, top '[m']]])/(2*WHOLE_STRUCTURE[[#This Row],[t '[mm']]]/1000),"")</f>
        <v/>
      </c>
    </row>
    <row r="275" spans="13:16" x14ac:dyDescent="0.3">
      <c r="M275" s="54" t="str">
        <f t="shared" si="7"/>
        <v/>
      </c>
      <c r="N2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5" s="54" t="str">
        <f>IFERROR(-(WHOLE_STRUCTURE[[#This Row],[D, bottom '[m']]]-WHOLE_STRUCTURE[[#This Row],[D, top '[m']]])/(WHOLE_STRUCTURE[[#This Row],[Bottom '[m']]]-WHOLE_STRUCTURE[[#This Row],[Top '[m']]]),"")</f>
        <v/>
      </c>
      <c r="P275" s="54" t="str">
        <f>IFERROR((WHOLE_STRUCTURE[[#This Row],[D, bottom '[m']]]+WHOLE_STRUCTURE[[#This Row],[D, top '[m']]])/(2*WHOLE_STRUCTURE[[#This Row],[t '[mm']]]/1000),"")</f>
        <v/>
      </c>
    </row>
    <row r="276" spans="13:16" x14ac:dyDescent="0.3">
      <c r="M276" s="54" t="str">
        <f t="shared" si="7"/>
        <v/>
      </c>
      <c r="N2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6" s="54" t="str">
        <f>IFERROR(-(WHOLE_STRUCTURE[[#This Row],[D, bottom '[m']]]-WHOLE_STRUCTURE[[#This Row],[D, top '[m']]])/(WHOLE_STRUCTURE[[#This Row],[Bottom '[m']]]-WHOLE_STRUCTURE[[#This Row],[Top '[m']]]),"")</f>
        <v/>
      </c>
      <c r="P276" s="54" t="str">
        <f>IFERROR((WHOLE_STRUCTURE[[#This Row],[D, bottom '[m']]]+WHOLE_STRUCTURE[[#This Row],[D, top '[m']]])/(2*WHOLE_STRUCTURE[[#This Row],[t '[mm']]]/1000),"")</f>
        <v/>
      </c>
    </row>
    <row r="277" spans="13:16" x14ac:dyDescent="0.3">
      <c r="M277" s="54" t="str">
        <f t="shared" si="7"/>
        <v/>
      </c>
      <c r="N2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7" s="54" t="str">
        <f>IFERROR(-(WHOLE_STRUCTURE[[#This Row],[D, bottom '[m']]]-WHOLE_STRUCTURE[[#This Row],[D, top '[m']]])/(WHOLE_STRUCTURE[[#This Row],[Bottom '[m']]]-WHOLE_STRUCTURE[[#This Row],[Top '[m']]]),"")</f>
        <v/>
      </c>
      <c r="P277" s="54" t="str">
        <f>IFERROR((WHOLE_STRUCTURE[[#This Row],[D, bottom '[m']]]+WHOLE_STRUCTURE[[#This Row],[D, top '[m']]])/(2*WHOLE_STRUCTURE[[#This Row],[t '[mm']]]/1000),"")</f>
        <v/>
      </c>
    </row>
    <row r="278" spans="13:16" x14ac:dyDescent="0.3">
      <c r="M278" s="54" t="str">
        <f t="shared" si="7"/>
        <v/>
      </c>
      <c r="N2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8" s="54" t="str">
        <f>IFERROR(-(WHOLE_STRUCTURE[[#This Row],[D, bottom '[m']]]-WHOLE_STRUCTURE[[#This Row],[D, top '[m']]])/(WHOLE_STRUCTURE[[#This Row],[Bottom '[m']]]-WHOLE_STRUCTURE[[#This Row],[Top '[m']]]),"")</f>
        <v/>
      </c>
      <c r="P278" s="54" t="str">
        <f>IFERROR((WHOLE_STRUCTURE[[#This Row],[D, bottom '[m']]]+WHOLE_STRUCTURE[[#This Row],[D, top '[m']]])/(2*WHOLE_STRUCTURE[[#This Row],[t '[mm']]]/1000),"")</f>
        <v/>
      </c>
    </row>
    <row r="279" spans="13:16" x14ac:dyDescent="0.3">
      <c r="M279" s="54" t="str">
        <f t="shared" si="7"/>
        <v/>
      </c>
      <c r="N2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9" s="54" t="str">
        <f>IFERROR(-(WHOLE_STRUCTURE[[#This Row],[D, bottom '[m']]]-WHOLE_STRUCTURE[[#This Row],[D, top '[m']]])/(WHOLE_STRUCTURE[[#This Row],[Bottom '[m']]]-WHOLE_STRUCTURE[[#This Row],[Top '[m']]]),"")</f>
        <v/>
      </c>
      <c r="P279" s="54" t="str">
        <f>IFERROR((WHOLE_STRUCTURE[[#This Row],[D, bottom '[m']]]+WHOLE_STRUCTURE[[#This Row],[D, top '[m']]])/(2*WHOLE_STRUCTURE[[#This Row],[t '[mm']]]/1000),"")</f>
        <v/>
      </c>
    </row>
    <row r="280" spans="13:16" x14ac:dyDescent="0.3">
      <c r="M280" s="54" t="str">
        <f t="shared" si="7"/>
        <v/>
      </c>
      <c r="N2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0" s="54" t="str">
        <f>IFERROR(-(WHOLE_STRUCTURE[[#This Row],[D, bottom '[m']]]-WHOLE_STRUCTURE[[#This Row],[D, top '[m']]])/(WHOLE_STRUCTURE[[#This Row],[Bottom '[m']]]-WHOLE_STRUCTURE[[#This Row],[Top '[m']]]),"")</f>
        <v/>
      </c>
      <c r="P280" s="54" t="str">
        <f>IFERROR((WHOLE_STRUCTURE[[#This Row],[D, bottom '[m']]]+WHOLE_STRUCTURE[[#This Row],[D, top '[m']]])/(2*WHOLE_STRUCTURE[[#This Row],[t '[mm']]]/1000),"")</f>
        <v/>
      </c>
    </row>
    <row r="281" spans="13:16" x14ac:dyDescent="0.3">
      <c r="M281" s="54" t="str">
        <f t="shared" si="7"/>
        <v/>
      </c>
      <c r="N2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1" s="54" t="str">
        <f>IFERROR(-(WHOLE_STRUCTURE[[#This Row],[D, bottom '[m']]]-WHOLE_STRUCTURE[[#This Row],[D, top '[m']]])/(WHOLE_STRUCTURE[[#This Row],[Bottom '[m']]]-WHOLE_STRUCTURE[[#This Row],[Top '[m']]]),"")</f>
        <v/>
      </c>
      <c r="P281" s="54" t="str">
        <f>IFERROR((WHOLE_STRUCTURE[[#This Row],[D, bottom '[m']]]+WHOLE_STRUCTURE[[#This Row],[D, top '[m']]])/(2*WHOLE_STRUCTURE[[#This Row],[t '[mm']]]/1000),"")</f>
        <v/>
      </c>
    </row>
    <row r="282" spans="13:16" x14ac:dyDescent="0.3">
      <c r="M282" s="54" t="str">
        <f t="shared" si="7"/>
        <v/>
      </c>
      <c r="N2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2" s="54" t="str">
        <f>IFERROR(-(WHOLE_STRUCTURE[[#This Row],[D, bottom '[m']]]-WHOLE_STRUCTURE[[#This Row],[D, top '[m']]])/(WHOLE_STRUCTURE[[#This Row],[Bottom '[m']]]-WHOLE_STRUCTURE[[#This Row],[Top '[m']]]),"")</f>
        <v/>
      </c>
      <c r="P282" s="54" t="str">
        <f>IFERROR((WHOLE_STRUCTURE[[#This Row],[D, bottom '[m']]]+WHOLE_STRUCTURE[[#This Row],[D, top '[m']]])/(2*WHOLE_STRUCTURE[[#This Row],[t '[mm']]]/1000),"")</f>
        <v/>
      </c>
    </row>
    <row r="283" spans="13:16" x14ac:dyDescent="0.3">
      <c r="M283" s="54" t="str">
        <f t="shared" si="7"/>
        <v/>
      </c>
      <c r="N2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3" s="54" t="str">
        <f>IFERROR(-(WHOLE_STRUCTURE[[#This Row],[D, bottom '[m']]]-WHOLE_STRUCTURE[[#This Row],[D, top '[m']]])/(WHOLE_STRUCTURE[[#This Row],[Bottom '[m']]]-WHOLE_STRUCTURE[[#This Row],[Top '[m']]]),"")</f>
        <v/>
      </c>
      <c r="P283" s="54" t="str">
        <f>IFERROR((WHOLE_STRUCTURE[[#This Row],[D, bottom '[m']]]+WHOLE_STRUCTURE[[#This Row],[D, top '[m']]])/(2*WHOLE_STRUCTURE[[#This Row],[t '[mm']]]/1000),"")</f>
        <v/>
      </c>
    </row>
    <row r="284" spans="13:16" x14ac:dyDescent="0.3">
      <c r="M284" s="54" t="str">
        <f t="shared" si="7"/>
        <v/>
      </c>
      <c r="N2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4" s="54" t="str">
        <f>IFERROR(-(WHOLE_STRUCTURE[[#This Row],[D, bottom '[m']]]-WHOLE_STRUCTURE[[#This Row],[D, top '[m']]])/(WHOLE_STRUCTURE[[#This Row],[Bottom '[m']]]-WHOLE_STRUCTURE[[#This Row],[Top '[m']]]),"")</f>
        <v/>
      </c>
      <c r="P284" s="54" t="str">
        <f>IFERROR((WHOLE_STRUCTURE[[#This Row],[D, bottom '[m']]]+WHOLE_STRUCTURE[[#This Row],[D, top '[m']]])/(2*WHOLE_STRUCTURE[[#This Row],[t '[mm']]]/1000),"")</f>
        <v/>
      </c>
    </row>
    <row r="285" spans="13:16" x14ac:dyDescent="0.3">
      <c r="M285" s="54" t="str">
        <f t="shared" si="7"/>
        <v/>
      </c>
      <c r="N2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5" s="54" t="str">
        <f>IFERROR(-(WHOLE_STRUCTURE[[#This Row],[D, bottom '[m']]]-WHOLE_STRUCTURE[[#This Row],[D, top '[m']]])/(WHOLE_STRUCTURE[[#This Row],[Bottom '[m']]]-WHOLE_STRUCTURE[[#This Row],[Top '[m']]]),"")</f>
        <v/>
      </c>
      <c r="P285" s="54" t="str">
        <f>IFERROR((WHOLE_STRUCTURE[[#This Row],[D, bottom '[m']]]+WHOLE_STRUCTURE[[#This Row],[D, top '[m']]])/(2*WHOLE_STRUCTURE[[#This Row],[t '[mm']]]/1000),"")</f>
        <v/>
      </c>
    </row>
    <row r="286" spans="13:16" x14ac:dyDescent="0.3">
      <c r="M286" s="54" t="str">
        <f t="shared" si="7"/>
        <v/>
      </c>
      <c r="N2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6" s="54" t="str">
        <f>IFERROR(-(WHOLE_STRUCTURE[[#This Row],[D, bottom '[m']]]-WHOLE_STRUCTURE[[#This Row],[D, top '[m']]])/(WHOLE_STRUCTURE[[#This Row],[Bottom '[m']]]-WHOLE_STRUCTURE[[#This Row],[Top '[m']]]),"")</f>
        <v/>
      </c>
      <c r="P286" s="54" t="str">
        <f>IFERROR((WHOLE_STRUCTURE[[#This Row],[D, bottom '[m']]]+WHOLE_STRUCTURE[[#This Row],[D, top '[m']]])/(2*WHOLE_STRUCTURE[[#This Row],[t '[mm']]]/1000),"")</f>
        <v/>
      </c>
    </row>
    <row r="287" spans="13:16" x14ac:dyDescent="0.3">
      <c r="M287" s="54" t="str">
        <f t="shared" si="7"/>
        <v/>
      </c>
      <c r="N2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7" s="54" t="str">
        <f>IFERROR(-(WHOLE_STRUCTURE[[#This Row],[D, bottom '[m']]]-WHOLE_STRUCTURE[[#This Row],[D, top '[m']]])/(WHOLE_STRUCTURE[[#This Row],[Bottom '[m']]]-WHOLE_STRUCTURE[[#This Row],[Top '[m']]]),"")</f>
        <v/>
      </c>
      <c r="P287" s="54" t="str">
        <f>IFERROR((WHOLE_STRUCTURE[[#This Row],[D, bottom '[m']]]+WHOLE_STRUCTURE[[#This Row],[D, top '[m']]])/(2*WHOLE_STRUCTURE[[#This Row],[t '[mm']]]/1000),"")</f>
        <v/>
      </c>
    </row>
    <row r="288" spans="13:16" x14ac:dyDescent="0.3">
      <c r="M288" s="54" t="str">
        <f t="shared" si="7"/>
        <v/>
      </c>
      <c r="N2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8" s="54" t="str">
        <f>IFERROR(-(WHOLE_STRUCTURE[[#This Row],[D, bottom '[m']]]-WHOLE_STRUCTURE[[#This Row],[D, top '[m']]])/(WHOLE_STRUCTURE[[#This Row],[Bottom '[m']]]-WHOLE_STRUCTURE[[#This Row],[Top '[m']]]),"")</f>
        <v/>
      </c>
      <c r="P288" s="54" t="str">
        <f>IFERROR((WHOLE_STRUCTURE[[#This Row],[D, bottom '[m']]]+WHOLE_STRUCTURE[[#This Row],[D, top '[m']]])/(2*WHOLE_STRUCTURE[[#This Row],[t '[mm']]]/1000),"")</f>
        <v/>
      </c>
    </row>
    <row r="289" spans="13:16" x14ac:dyDescent="0.3">
      <c r="M289" s="54" t="str">
        <f t="shared" si="7"/>
        <v/>
      </c>
      <c r="N2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9" s="54" t="str">
        <f>IFERROR(-(WHOLE_STRUCTURE[[#This Row],[D, bottom '[m']]]-WHOLE_STRUCTURE[[#This Row],[D, top '[m']]])/(WHOLE_STRUCTURE[[#This Row],[Bottom '[m']]]-WHOLE_STRUCTURE[[#This Row],[Top '[m']]]),"")</f>
        <v/>
      </c>
      <c r="P289" s="54" t="str">
        <f>IFERROR((WHOLE_STRUCTURE[[#This Row],[D, bottom '[m']]]+WHOLE_STRUCTURE[[#This Row],[D, top '[m']]])/(2*WHOLE_STRUCTURE[[#This Row],[t '[mm']]]/1000),"")</f>
        <v/>
      </c>
    </row>
    <row r="290" spans="13:16" x14ac:dyDescent="0.3">
      <c r="M290" s="54" t="str">
        <f t="shared" si="7"/>
        <v/>
      </c>
      <c r="N2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0" s="54" t="str">
        <f>IFERROR(-(WHOLE_STRUCTURE[[#This Row],[D, bottom '[m']]]-WHOLE_STRUCTURE[[#This Row],[D, top '[m']]])/(WHOLE_STRUCTURE[[#This Row],[Bottom '[m']]]-WHOLE_STRUCTURE[[#This Row],[Top '[m']]]),"")</f>
        <v/>
      </c>
      <c r="P290" s="54" t="str">
        <f>IFERROR((WHOLE_STRUCTURE[[#This Row],[D, bottom '[m']]]+WHOLE_STRUCTURE[[#This Row],[D, top '[m']]])/(2*WHOLE_STRUCTURE[[#This Row],[t '[mm']]]/1000),"")</f>
        <v/>
      </c>
    </row>
    <row r="291" spans="13:16" x14ac:dyDescent="0.3">
      <c r="M291" s="54" t="str">
        <f t="shared" si="7"/>
        <v/>
      </c>
      <c r="N2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1" s="54" t="str">
        <f>IFERROR(-(WHOLE_STRUCTURE[[#This Row],[D, bottom '[m']]]-WHOLE_STRUCTURE[[#This Row],[D, top '[m']]])/(WHOLE_STRUCTURE[[#This Row],[Bottom '[m']]]-WHOLE_STRUCTURE[[#This Row],[Top '[m']]]),"")</f>
        <v/>
      </c>
      <c r="P291" s="54" t="str">
        <f>IFERROR((WHOLE_STRUCTURE[[#This Row],[D, bottom '[m']]]+WHOLE_STRUCTURE[[#This Row],[D, top '[m']]])/(2*WHOLE_STRUCTURE[[#This Row],[t '[mm']]]/1000),"")</f>
        <v/>
      </c>
    </row>
    <row r="292" spans="13:16" x14ac:dyDescent="0.3">
      <c r="M292" s="54" t="str">
        <f t="shared" si="7"/>
        <v/>
      </c>
      <c r="N2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2" s="54" t="str">
        <f>IFERROR(-(WHOLE_STRUCTURE[[#This Row],[D, bottom '[m']]]-WHOLE_STRUCTURE[[#This Row],[D, top '[m']]])/(WHOLE_STRUCTURE[[#This Row],[Bottom '[m']]]-WHOLE_STRUCTURE[[#This Row],[Top '[m']]]),"")</f>
        <v/>
      </c>
      <c r="P292" s="54" t="str">
        <f>IFERROR((WHOLE_STRUCTURE[[#This Row],[D, bottom '[m']]]+WHOLE_STRUCTURE[[#This Row],[D, top '[m']]])/(2*WHOLE_STRUCTURE[[#This Row],[t '[mm']]]/1000),"")</f>
        <v/>
      </c>
    </row>
    <row r="293" spans="13:16" x14ac:dyDescent="0.3">
      <c r="M293" s="54" t="str">
        <f t="shared" si="7"/>
        <v/>
      </c>
      <c r="N2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3" s="54" t="str">
        <f>IFERROR(-(WHOLE_STRUCTURE[[#This Row],[D, bottom '[m']]]-WHOLE_STRUCTURE[[#This Row],[D, top '[m']]])/(WHOLE_STRUCTURE[[#This Row],[Bottom '[m']]]-WHOLE_STRUCTURE[[#This Row],[Top '[m']]]),"")</f>
        <v/>
      </c>
      <c r="P293" s="54" t="str">
        <f>IFERROR((WHOLE_STRUCTURE[[#This Row],[D, bottom '[m']]]+WHOLE_STRUCTURE[[#This Row],[D, top '[m']]])/(2*WHOLE_STRUCTURE[[#This Row],[t '[mm']]]/1000),"")</f>
        <v/>
      </c>
    </row>
    <row r="294" spans="13:16" x14ac:dyDescent="0.3">
      <c r="M294" s="54" t="str">
        <f t="shared" si="7"/>
        <v/>
      </c>
      <c r="N2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4" s="54" t="str">
        <f>IFERROR(-(WHOLE_STRUCTURE[[#This Row],[D, bottom '[m']]]-WHOLE_STRUCTURE[[#This Row],[D, top '[m']]])/(WHOLE_STRUCTURE[[#This Row],[Bottom '[m']]]-WHOLE_STRUCTURE[[#This Row],[Top '[m']]]),"")</f>
        <v/>
      </c>
      <c r="P294" s="54" t="str">
        <f>IFERROR((WHOLE_STRUCTURE[[#This Row],[D, bottom '[m']]]+WHOLE_STRUCTURE[[#This Row],[D, top '[m']]])/(2*WHOLE_STRUCTURE[[#This Row],[t '[mm']]]/1000),"")</f>
        <v/>
      </c>
    </row>
    <row r="295" spans="13:16" x14ac:dyDescent="0.3">
      <c r="M295" s="54" t="str">
        <f t="shared" si="7"/>
        <v/>
      </c>
      <c r="N2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5" s="54" t="str">
        <f>IFERROR(-(WHOLE_STRUCTURE[[#This Row],[D, bottom '[m']]]-WHOLE_STRUCTURE[[#This Row],[D, top '[m']]])/(WHOLE_STRUCTURE[[#This Row],[Bottom '[m']]]-WHOLE_STRUCTURE[[#This Row],[Top '[m']]]),"")</f>
        <v/>
      </c>
      <c r="P295" s="54" t="str">
        <f>IFERROR((WHOLE_STRUCTURE[[#This Row],[D, bottom '[m']]]+WHOLE_STRUCTURE[[#This Row],[D, top '[m']]])/(2*WHOLE_STRUCTURE[[#This Row],[t '[mm']]]/1000),"")</f>
        <v/>
      </c>
    </row>
    <row r="296" spans="13:16" x14ac:dyDescent="0.3">
      <c r="M296" s="54" t="str">
        <f t="shared" si="7"/>
        <v/>
      </c>
      <c r="N2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6" s="54" t="str">
        <f>IFERROR(-(WHOLE_STRUCTURE[[#This Row],[D, bottom '[m']]]-WHOLE_STRUCTURE[[#This Row],[D, top '[m']]])/(WHOLE_STRUCTURE[[#This Row],[Bottom '[m']]]-WHOLE_STRUCTURE[[#This Row],[Top '[m']]]),"")</f>
        <v/>
      </c>
      <c r="P296" s="54" t="str">
        <f>IFERROR((WHOLE_STRUCTURE[[#This Row],[D, bottom '[m']]]+WHOLE_STRUCTURE[[#This Row],[D, top '[m']]])/(2*WHOLE_STRUCTURE[[#This Row],[t '[mm']]]/1000),"")</f>
        <v/>
      </c>
    </row>
    <row r="297" spans="13:16" x14ac:dyDescent="0.3">
      <c r="M297" s="54" t="str">
        <f t="shared" si="7"/>
        <v/>
      </c>
      <c r="N2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7" s="54" t="str">
        <f>IFERROR(-(WHOLE_STRUCTURE[[#This Row],[D, bottom '[m']]]-WHOLE_STRUCTURE[[#This Row],[D, top '[m']]])/(WHOLE_STRUCTURE[[#This Row],[Bottom '[m']]]-WHOLE_STRUCTURE[[#This Row],[Top '[m']]]),"")</f>
        <v/>
      </c>
      <c r="P297" s="54" t="str">
        <f>IFERROR((WHOLE_STRUCTURE[[#This Row],[D, bottom '[m']]]+WHOLE_STRUCTURE[[#This Row],[D, top '[m']]])/(2*WHOLE_STRUCTURE[[#This Row],[t '[mm']]]/1000),"")</f>
        <v/>
      </c>
    </row>
    <row r="298" spans="13:16" x14ac:dyDescent="0.3">
      <c r="M298" s="54" t="str">
        <f t="shared" si="7"/>
        <v/>
      </c>
      <c r="N2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8" s="54" t="str">
        <f>IFERROR(-(WHOLE_STRUCTURE[[#This Row],[D, bottom '[m']]]-WHOLE_STRUCTURE[[#This Row],[D, top '[m']]])/(WHOLE_STRUCTURE[[#This Row],[Bottom '[m']]]-WHOLE_STRUCTURE[[#This Row],[Top '[m']]]),"")</f>
        <v/>
      </c>
      <c r="P298" s="54" t="str">
        <f>IFERROR((WHOLE_STRUCTURE[[#This Row],[D, bottom '[m']]]+WHOLE_STRUCTURE[[#This Row],[D, top '[m']]])/(2*WHOLE_STRUCTURE[[#This Row],[t '[mm']]]/1000),"")</f>
        <v/>
      </c>
    </row>
    <row r="299" spans="13:16" x14ac:dyDescent="0.3">
      <c r="M299" s="54" t="str">
        <f t="shared" si="7"/>
        <v/>
      </c>
      <c r="N2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9" s="54" t="str">
        <f>IFERROR(-(WHOLE_STRUCTURE[[#This Row],[D, bottom '[m']]]-WHOLE_STRUCTURE[[#This Row],[D, top '[m']]])/(WHOLE_STRUCTURE[[#This Row],[Bottom '[m']]]-WHOLE_STRUCTURE[[#This Row],[Top '[m']]]),"")</f>
        <v/>
      </c>
      <c r="P299" s="54" t="str">
        <f>IFERROR((WHOLE_STRUCTURE[[#This Row],[D, bottom '[m']]]+WHOLE_STRUCTURE[[#This Row],[D, top '[m']]])/(2*WHOLE_STRUCTURE[[#This Row],[t '[mm']]]/1000),"")</f>
        <v/>
      </c>
    </row>
    <row r="300" spans="13:16" x14ac:dyDescent="0.3">
      <c r="M300" s="54" t="str">
        <f t="shared" si="7"/>
        <v/>
      </c>
      <c r="N3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0" s="54" t="str">
        <f>IFERROR(-(WHOLE_STRUCTURE[[#This Row],[D, bottom '[m']]]-WHOLE_STRUCTURE[[#This Row],[D, top '[m']]])/(WHOLE_STRUCTURE[[#This Row],[Bottom '[m']]]-WHOLE_STRUCTURE[[#This Row],[Top '[m']]]),"")</f>
        <v/>
      </c>
      <c r="P300" s="54" t="str">
        <f>IFERROR((WHOLE_STRUCTURE[[#This Row],[D, bottom '[m']]]+WHOLE_STRUCTURE[[#This Row],[D, top '[m']]])/(2*WHOLE_STRUCTURE[[#This Row],[t '[mm']]]/1000),"")</f>
        <v/>
      </c>
    </row>
    <row r="301" spans="13:16" x14ac:dyDescent="0.3">
      <c r="M301" s="54" t="str">
        <f t="shared" si="7"/>
        <v/>
      </c>
      <c r="N3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1" s="54" t="str">
        <f>IFERROR(-(WHOLE_STRUCTURE[[#This Row],[D, bottom '[m']]]-WHOLE_STRUCTURE[[#This Row],[D, top '[m']]])/(WHOLE_STRUCTURE[[#This Row],[Bottom '[m']]]-WHOLE_STRUCTURE[[#This Row],[Top '[m']]]),"")</f>
        <v/>
      </c>
      <c r="P301" s="54" t="str">
        <f>IFERROR((WHOLE_STRUCTURE[[#This Row],[D, bottom '[m']]]+WHOLE_STRUCTURE[[#This Row],[D, top '[m']]])/(2*WHOLE_STRUCTURE[[#This Row],[t '[mm']]]/1000),"")</f>
        <v/>
      </c>
    </row>
    <row r="302" spans="13:16" x14ac:dyDescent="0.3">
      <c r="M302" s="54" t="str">
        <f t="shared" si="7"/>
        <v/>
      </c>
      <c r="N3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2" s="54" t="str">
        <f>IFERROR(-(WHOLE_STRUCTURE[[#This Row],[D, bottom '[m']]]-WHOLE_STRUCTURE[[#This Row],[D, top '[m']]])/(WHOLE_STRUCTURE[[#This Row],[Bottom '[m']]]-WHOLE_STRUCTURE[[#This Row],[Top '[m']]]),"")</f>
        <v/>
      </c>
      <c r="P302" s="54" t="str">
        <f>IFERROR((WHOLE_STRUCTURE[[#This Row],[D, bottom '[m']]]+WHOLE_STRUCTURE[[#This Row],[D, top '[m']]])/(2*WHOLE_STRUCTURE[[#This Row],[t '[mm']]]/1000),"")</f>
        <v/>
      </c>
    </row>
    <row r="303" spans="13:16" x14ac:dyDescent="0.3">
      <c r="M303" s="54" t="str">
        <f t="shared" si="7"/>
        <v/>
      </c>
      <c r="N3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3" s="54" t="str">
        <f>IFERROR(-(WHOLE_STRUCTURE[[#This Row],[D, bottom '[m']]]-WHOLE_STRUCTURE[[#This Row],[D, top '[m']]])/(WHOLE_STRUCTURE[[#This Row],[Bottom '[m']]]-WHOLE_STRUCTURE[[#This Row],[Top '[m']]]),"")</f>
        <v/>
      </c>
      <c r="P303" s="54" t="str">
        <f>IFERROR((WHOLE_STRUCTURE[[#This Row],[D, bottom '[m']]]+WHOLE_STRUCTURE[[#This Row],[D, top '[m']]])/(2*WHOLE_STRUCTURE[[#This Row],[t '[mm']]]/1000),"")</f>
        <v/>
      </c>
    </row>
    <row r="304" spans="13:16" x14ac:dyDescent="0.3">
      <c r="M304" s="54" t="str">
        <f t="shared" si="7"/>
        <v/>
      </c>
      <c r="N3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4" s="54" t="str">
        <f>IFERROR(-(WHOLE_STRUCTURE[[#This Row],[D, bottom '[m']]]-WHOLE_STRUCTURE[[#This Row],[D, top '[m']]])/(WHOLE_STRUCTURE[[#This Row],[Bottom '[m']]]-WHOLE_STRUCTURE[[#This Row],[Top '[m']]]),"")</f>
        <v/>
      </c>
      <c r="P304" s="54" t="str">
        <f>IFERROR((WHOLE_STRUCTURE[[#This Row],[D, bottom '[m']]]+WHOLE_STRUCTURE[[#This Row],[D, top '[m']]])/(2*WHOLE_STRUCTURE[[#This Row],[t '[mm']]]/1000),"")</f>
        <v/>
      </c>
    </row>
    <row r="305" spans="13:16" x14ac:dyDescent="0.3">
      <c r="M305" s="54" t="str">
        <f t="shared" si="7"/>
        <v/>
      </c>
      <c r="N3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5" s="54" t="str">
        <f>IFERROR(-(WHOLE_STRUCTURE[[#This Row],[D, bottom '[m']]]-WHOLE_STRUCTURE[[#This Row],[D, top '[m']]])/(WHOLE_STRUCTURE[[#This Row],[Bottom '[m']]]-WHOLE_STRUCTURE[[#This Row],[Top '[m']]]),"")</f>
        <v/>
      </c>
      <c r="P305" s="54" t="str">
        <f>IFERROR((WHOLE_STRUCTURE[[#This Row],[D, bottom '[m']]]+WHOLE_STRUCTURE[[#This Row],[D, top '[m']]])/(2*WHOLE_STRUCTURE[[#This Row],[t '[mm']]]/1000),"")</f>
        <v/>
      </c>
    </row>
    <row r="306" spans="13:16" x14ac:dyDescent="0.3">
      <c r="M306" s="54" t="str">
        <f t="shared" si="7"/>
        <v/>
      </c>
      <c r="N3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6" s="54" t="str">
        <f>IFERROR(-(WHOLE_STRUCTURE[[#This Row],[D, bottom '[m']]]-WHOLE_STRUCTURE[[#This Row],[D, top '[m']]])/(WHOLE_STRUCTURE[[#This Row],[Bottom '[m']]]-WHOLE_STRUCTURE[[#This Row],[Top '[m']]]),"")</f>
        <v/>
      </c>
      <c r="P306" s="54" t="str">
        <f>IFERROR((WHOLE_STRUCTURE[[#This Row],[D, bottom '[m']]]+WHOLE_STRUCTURE[[#This Row],[D, top '[m']]])/(2*WHOLE_STRUCTURE[[#This Row],[t '[mm']]]/1000),"")</f>
        <v/>
      </c>
    </row>
    <row r="307" spans="13:16" x14ac:dyDescent="0.3">
      <c r="M307" s="54" t="str">
        <f t="shared" si="7"/>
        <v/>
      </c>
      <c r="N3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7" s="54" t="str">
        <f>IFERROR(-(WHOLE_STRUCTURE[[#This Row],[D, bottom '[m']]]-WHOLE_STRUCTURE[[#This Row],[D, top '[m']]])/(WHOLE_STRUCTURE[[#This Row],[Bottom '[m']]]-WHOLE_STRUCTURE[[#This Row],[Top '[m']]]),"")</f>
        <v/>
      </c>
      <c r="P307" s="54" t="str">
        <f>IFERROR((WHOLE_STRUCTURE[[#This Row],[D, bottom '[m']]]+WHOLE_STRUCTURE[[#This Row],[D, top '[m']]])/(2*WHOLE_STRUCTURE[[#This Row],[t '[mm']]]/1000),"")</f>
        <v/>
      </c>
    </row>
    <row r="308" spans="13:16" x14ac:dyDescent="0.3">
      <c r="M308" s="54" t="str">
        <f t="shared" si="7"/>
        <v/>
      </c>
      <c r="N3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8" s="54" t="str">
        <f>IFERROR(-(WHOLE_STRUCTURE[[#This Row],[D, bottom '[m']]]-WHOLE_STRUCTURE[[#This Row],[D, top '[m']]])/(WHOLE_STRUCTURE[[#This Row],[Bottom '[m']]]-WHOLE_STRUCTURE[[#This Row],[Top '[m']]]),"")</f>
        <v/>
      </c>
      <c r="P308" s="54" t="str">
        <f>IFERROR((WHOLE_STRUCTURE[[#This Row],[D, bottom '[m']]]+WHOLE_STRUCTURE[[#This Row],[D, top '[m']]])/(2*WHOLE_STRUCTURE[[#This Row],[t '[mm']]]/1000),"")</f>
        <v/>
      </c>
    </row>
    <row r="309" spans="13:16" x14ac:dyDescent="0.3">
      <c r="M309" s="54" t="str">
        <f t="shared" si="7"/>
        <v/>
      </c>
      <c r="N3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9" s="54" t="str">
        <f>IFERROR(-(WHOLE_STRUCTURE[[#This Row],[D, bottom '[m']]]-WHOLE_STRUCTURE[[#This Row],[D, top '[m']]])/(WHOLE_STRUCTURE[[#This Row],[Bottom '[m']]]-WHOLE_STRUCTURE[[#This Row],[Top '[m']]]),"")</f>
        <v/>
      </c>
      <c r="P309" s="54" t="str">
        <f>IFERROR((WHOLE_STRUCTURE[[#This Row],[D, bottom '[m']]]+WHOLE_STRUCTURE[[#This Row],[D, top '[m']]])/(2*WHOLE_STRUCTURE[[#This Row],[t '[mm']]]/1000),"")</f>
        <v/>
      </c>
    </row>
    <row r="310" spans="13:16" x14ac:dyDescent="0.3">
      <c r="M310" s="54" t="str">
        <f t="shared" si="7"/>
        <v/>
      </c>
      <c r="N3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0" s="54" t="str">
        <f>IFERROR(-(WHOLE_STRUCTURE[[#This Row],[D, bottom '[m']]]-WHOLE_STRUCTURE[[#This Row],[D, top '[m']]])/(WHOLE_STRUCTURE[[#This Row],[Bottom '[m']]]-WHOLE_STRUCTURE[[#This Row],[Top '[m']]]),"")</f>
        <v/>
      </c>
      <c r="P310" s="54" t="str">
        <f>IFERROR((WHOLE_STRUCTURE[[#This Row],[D, bottom '[m']]]+WHOLE_STRUCTURE[[#This Row],[D, top '[m']]])/(2*WHOLE_STRUCTURE[[#This Row],[t '[mm']]]/1000),"")</f>
        <v/>
      </c>
    </row>
    <row r="311" spans="13:16" x14ac:dyDescent="0.3">
      <c r="M311" s="54" t="str">
        <f t="shared" si="7"/>
        <v/>
      </c>
      <c r="N3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1" s="54" t="str">
        <f>IFERROR(-(WHOLE_STRUCTURE[[#This Row],[D, bottom '[m']]]-WHOLE_STRUCTURE[[#This Row],[D, top '[m']]])/(WHOLE_STRUCTURE[[#This Row],[Bottom '[m']]]-WHOLE_STRUCTURE[[#This Row],[Top '[m']]]),"")</f>
        <v/>
      </c>
      <c r="P311" s="54" t="str">
        <f>IFERROR((WHOLE_STRUCTURE[[#This Row],[D, bottom '[m']]]+WHOLE_STRUCTURE[[#This Row],[D, top '[m']]])/(2*WHOLE_STRUCTURE[[#This Row],[t '[mm']]]/1000),"")</f>
        <v/>
      </c>
    </row>
    <row r="312" spans="13:16" x14ac:dyDescent="0.3">
      <c r="M312" s="54" t="str">
        <f t="shared" si="7"/>
        <v/>
      </c>
      <c r="N3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2" s="54" t="str">
        <f>IFERROR(-(WHOLE_STRUCTURE[[#This Row],[D, bottom '[m']]]-WHOLE_STRUCTURE[[#This Row],[D, top '[m']]])/(WHOLE_STRUCTURE[[#This Row],[Bottom '[m']]]-WHOLE_STRUCTURE[[#This Row],[Top '[m']]]),"")</f>
        <v/>
      </c>
      <c r="P312" s="54" t="str">
        <f>IFERROR((WHOLE_STRUCTURE[[#This Row],[D, bottom '[m']]]+WHOLE_STRUCTURE[[#This Row],[D, top '[m']]])/(2*WHOLE_STRUCTURE[[#This Row],[t '[mm']]]/1000),"")</f>
        <v/>
      </c>
    </row>
    <row r="313" spans="13:16" x14ac:dyDescent="0.3">
      <c r="M313" s="54" t="str">
        <f t="shared" si="7"/>
        <v/>
      </c>
      <c r="N3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3" s="54" t="str">
        <f>IFERROR(-(WHOLE_STRUCTURE[[#This Row],[D, bottom '[m']]]-WHOLE_STRUCTURE[[#This Row],[D, top '[m']]])/(WHOLE_STRUCTURE[[#This Row],[Bottom '[m']]]-WHOLE_STRUCTURE[[#This Row],[Top '[m']]]),"")</f>
        <v/>
      </c>
      <c r="P313" s="54" t="str">
        <f>IFERROR((WHOLE_STRUCTURE[[#This Row],[D, bottom '[m']]]+WHOLE_STRUCTURE[[#This Row],[D, top '[m']]])/(2*WHOLE_STRUCTURE[[#This Row],[t '[mm']]]/1000),"")</f>
        <v/>
      </c>
    </row>
    <row r="314" spans="13:16" x14ac:dyDescent="0.3">
      <c r="M314" s="54" t="str">
        <f t="shared" si="7"/>
        <v/>
      </c>
      <c r="N3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4" s="54" t="str">
        <f>IFERROR(-(WHOLE_STRUCTURE[[#This Row],[D, bottom '[m']]]-WHOLE_STRUCTURE[[#This Row],[D, top '[m']]])/(WHOLE_STRUCTURE[[#This Row],[Bottom '[m']]]-WHOLE_STRUCTURE[[#This Row],[Top '[m']]]),"")</f>
        <v/>
      </c>
      <c r="P314" s="54" t="str">
        <f>IFERROR((WHOLE_STRUCTURE[[#This Row],[D, bottom '[m']]]+WHOLE_STRUCTURE[[#This Row],[D, top '[m']]])/(2*WHOLE_STRUCTURE[[#This Row],[t '[mm']]]/1000),"")</f>
        <v/>
      </c>
    </row>
    <row r="315" spans="13:16" x14ac:dyDescent="0.3">
      <c r="M315" s="54" t="str">
        <f t="shared" si="7"/>
        <v/>
      </c>
      <c r="N3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5" s="54" t="str">
        <f>IFERROR(-(WHOLE_STRUCTURE[[#This Row],[D, bottom '[m']]]-WHOLE_STRUCTURE[[#This Row],[D, top '[m']]])/(WHOLE_STRUCTURE[[#This Row],[Bottom '[m']]]-WHOLE_STRUCTURE[[#This Row],[Top '[m']]]),"")</f>
        <v/>
      </c>
      <c r="P315" s="54" t="str">
        <f>IFERROR((WHOLE_STRUCTURE[[#This Row],[D, bottom '[m']]]+WHOLE_STRUCTURE[[#This Row],[D, top '[m']]])/(2*WHOLE_STRUCTURE[[#This Row],[t '[mm']]]/1000),"")</f>
        <v/>
      </c>
    </row>
    <row r="316" spans="13:16" x14ac:dyDescent="0.3">
      <c r="M316" s="54" t="str">
        <f t="shared" si="7"/>
        <v/>
      </c>
      <c r="N3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6" s="54" t="str">
        <f>IFERROR(-(WHOLE_STRUCTURE[[#This Row],[D, bottom '[m']]]-WHOLE_STRUCTURE[[#This Row],[D, top '[m']]])/(WHOLE_STRUCTURE[[#This Row],[Bottom '[m']]]-WHOLE_STRUCTURE[[#This Row],[Top '[m']]]),"")</f>
        <v/>
      </c>
      <c r="P316" s="54" t="str">
        <f>IFERROR((WHOLE_STRUCTURE[[#This Row],[D, bottom '[m']]]+WHOLE_STRUCTURE[[#This Row],[D, top '[m']]])/(2*WHOLE_STRUCTURE[[#This Row],[t '[mm']]]/1000),"")</f>
        <v/>
      </c>
    </row>
    <row r="317" spans="13:16" x14ac:dyDescent="0.3">
      <c r="M317" s="54" t="str">
        <f t="shared" si="7"/>
        <v/>
      </c>
      <c r="N3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7" s="54" t="str">
        <f>IFERROR(-(WHOLE_STRUCTURE[[#This Row],[D, bottom '[m']]]-WHOLE_STRUCTURE[[#This Row],[D, top '[m']]])/(WHOLE_STRUCTURE[[#This Row],[Bottom '[m']]]-WHOLE_STRUCTURE[[#This Row],[Top '[m']]]),"")</f>
        <v/>
      </c>
      <c r="P317" s="54" t="str">
        <f>IFERROR((WHOLE_STRUCTURE[[#This Row],[D, bottom '[m']]]+WHOLE_STRUCTURE[[#This Row],[D, top '[m']]])/(2*WHOLE_STRUCTURE[[#This Row],[t '[mm']]]/1000),"")</f>
        <v/>
      </c>
    </row>
    <row r="318" spans="13:16" x14ac:dyDescent="0.3">
      <c r="M318" s="54" t="str">
        <f t="shared" si="7"/>
        <v/>
      </c>
      <c r="N3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8" s="54" t="str">
        <f>IFERROR(-(WHOLE_STRUCTURE[[#This Row],[D, bottom '[m']]]-WHOLE_STRUCTURE[[#This Row],[D, top '[m']]])/(WHOLE_STRUCTURE[[#This Row],[Bottom '[m']]]-WHOLE_STRUCTURE[[#This Row],[Top '[m']]]),"")</f>
        <v/>
      </c>
      <c r="P318" s="54" t="str">
        <f>IFERROR((WHOLE_STRUCTURE[[#This Row],[D, bottom '[m']]]+WHOLE_STRUCTURE[[#This Row],[D, top '[m']]])/(2*WHOLE_STRUCTURE[[#This Row],[t '[mm']]]/1000),"")</f>
        <v/>
      </c>
    </row>
    <row r="319" spans="13:16" x14ac:dyDescent="0.3">
      <c r="M319" s="54" t="str">
        <f t="shared" si="7"/>
        <v/>
      </c>
      <c r="N3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9" s="54" t="str">
        <f>IFERROR(-(WHOLE_STRUCTURE[[#This Row],[D, bottom '[m']]]-WHOLE_STRUCTURE[[#This Row],[D, top '[m']]])/(WHOLE_STRUCTURE[[#This Row],[Bottom '[m']]]-WHOLE_STRUCTURE[[#This Row],[Top '[m']]]),"")</f>
        <v/>
      </c>
      <c r="P319" s="54" t="str">
        <f>IFERROR((WHOLE_STRUCTURE[[#This Row],[D, bottom '[m']]]+WHOLE_STRUCTURE[[#This Row],[D, top '[m']]])/(2*WHOLE_STRUCTURE[[#This Row],[t '[mm']]]/1000),"")</f>
        <v/>
      </c>
    </row>
    <row r="320" spans="13:16" x14ac:dyDescent="0.3">
      <c r="M320" s="54" t="str">
        <f t="shared" si="7"/>
        <v/>
      </c>
      <c r="N3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0" s="54" t="str">
        <f>IFERROR(-(WHOLE_STRUCTURE[[#This Row],[D, bottom '[m']]]-WHOLE_STRUCTURE[[#This Row],[D, top '[m']]])/(WHOLE_STRUCTURE[[#This Row],[Bottom '[m']]]-WHOLE_STRUCTURE[[#This Row],[Top '[m']]]),"")</f>
        <v/>
      </c>
      <c r="P320" s="54" t="str">
        <f>IFERROR((WHOLE_STRUCTURE[[#This Row],[D, bottom '[m']]]+WHOLE_STRUCTURE[[#This Row],[D, top '[m']]])/(2*WHOLE_STRUCTURE[[#This Row],[t '[mm']]]/1000),"")</f>
        <v/>
      </c>
    </row>
    <row r="321" spans="13:16" x14ac:dyDescent="0.3">
      <c r="M321" s="54" t="str">
        <f t="shared" si="7"/>
        <v/>
      </c>
      <c r="N3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1" s="54" t="str">
        <f>IFERROR(-(WHOLE_STRUCTURE[[#This Row],[D, bottom '[m']]]-WHOLE_STRUCTURE[[#This Row],[D, top '[m']]])/(WHOLE_STRUCTURE[[#This Row],[Bottom '[m']]]-WHOLE_STRUCTURE[[#This Row],[Top '[m']]]),"")</f>
        <v/>
      </c>
      <c r="P321" s="54" t="str">
        <f>IFERROR((WHOLE_STRUCTURE[[#This Row],[D, bottom '[m']]]+WHOLE_STRUCTURE[[#This Row],[D, top '[m']]])/(2*WHOLE_STRUCTURE[[#This Row],[t '[mm']]]/1000),"")</f>
        <v/>
      </c>
    </row>
    <row r="322" spans="13:16" x14ac:dyDescent="0.3">
      <c r="M322" s="54" t="str">
        <f t="shared" si="7"/>
        <v/>
      </c>
      <c r="N3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2" s="54" t="str">
        <f>IFERROR(-(WHOLE_STRUCTURE[[#This Row],[D, bottom '[m']]]-WHOLE_STRUCTURE[[#This Row],[D, top '[m']]])/(WHOLE_STRUCTURE[[#This Row],[Bottom '[m']]]-WHOLE_STRUCTURE[[#This Row],[Top '[m']]]),"")</f>
        <v/>
      </c>
      <c r="P322" s="54" t="str">
        <f>IFERROR((WHOLE_STRUCTURE[[#This Row],[D, bottom '[m']]]+WHOLE_STRUCTURE[[#This Row],[D, top '[m']]])/(2*WHOLE_STRUCTURE[[#This Row],[t '[mm']]]/1000),"")</f>
        <v/>
      </c>
    </row>
    <row r="323" spans="13:16" x14ac:dyDescent="0.3">
      <c r="M323" s="54" t="str">
        <f t="shared" si="7"/>
        <v/>
      </c>
      <c r="N3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3" s="54" t="str">
        <f>IFERROR(-(WHOLE_STRUCTURE[[#This Row],[D, bottom '[m']]]-WHOLE_STRUCTURE[[#This Row],[D, top '[m']]])/(WHOLE_STRUCTURE[[#This Row],[Bottom '[m']]]-WHOLE_STRUCTURE[[#This Row],[Top '[m']]]),"")</f>
        <v/>
      </c>
      <c r="P323" s="54" t="str">
        <f>IFERROR((WHOLE_STRUCTURE[[#This Row],[D, bottom '[m']]]+WHOLE_STRUCTURE[[#This Row],[D, top '[m']]])/(2*WHOLE_STRUCTURE[[#This Row],[t '[mm']]]/1000),"")</f>
        <v/>
      </c>
    </row>
    <row r="324" spans="13:16" x14ac:dyDescent="0.3">
      <c r="M324" s="54" t="str">
        <f t="shared" si="7"/>
        <v/>
      </c>
      <c r="N3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4" s="54" t="str">
        <f>IFERROR(-(WHOLE_STRUCTURE[[#This Row],[D, bottom '[m']]]-WHOLE_STRUCTURE[[#This Row],[D, top '[m']]])/(WHOLE_STRUCTURE[[#This Row],[Bottom '[m']]]-WHOLE_STRUCTURE[[#This Row],[Top '[m']]]),"")</f>
        <v/>
      </c>
      <c r="P324" s="54" t="str">
        <f>IFERROR((WHOLE_STRUCTURE[[#This Row],[D, bottom '[m']]]+WHOLE_STRUCTURE[[#This Row],[D, top '[m']]])/(2*WHOLE_STRUCTURE[[#This Row],[t '[mm']]]/1000),"")</f>
        <v/>
      </c>
    </row>
    <row r="325" spans="13:16" x14ac:dyDescent="0.3">
      <c r="M325" s="54" t="str">
        <f t="shared" ref="M325:M388" si="8">IF(7850/1000*(1/3)*PI()*ABS(H325-I325)*((J325/2)^2+(J325/2)*(K325/2)+(K325/2)^2-(J325/2-L325/1000)^2-(J325/2-L325/1000)*(K325/2-L325/1000)-(K325/2-L325/1000)^2)=0,"",7850/1000*(1/3)*PI()*ABS(H325-I325)*((J325/2)^2+(J325/2)*(K325/2)+(K325/2)^2-(J325/2-L325/1000)^2-(J325/2-L325/1000)*(K325/2-L325/1000)-(K325/2-L325/1000)^2))</f>
        <v/>
      </c>
      <c r="N3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5" s="54" t="str">
        <f>IFERROR(-(WHOLE_STRUCTURE[[#This Row],[D, bottom '[m']]]-WHOLE_STRUCTURE[[#This Row],[D, top '[m']]])/(WHOLE_STRUCTURE[[#This Row],[Bottom '[m']]]-WHOLE_STRUCTURE[[#This Row],[Top '[m']]]),"")</f>
        <v/>
      </c>
      <c r="P325" s="54" t="str">
        <f>IFERROR((WHOLE_STRUCTURE[[#This Row],[D, bottom '[m']]]+WHOLE_STRUCTURE[[#This Row],[D, top '[m']]])/(2*WHOLE_STRUCTURE[[#This Row],[t '[mm']]]/1000),"")</f>
        <v/>
      </c>
    </row>
    <row r="326" spans="13:16" x14ac:dyDescent="0.3">
      <c r="M326" s="54" t="str">
        <f t="shared" si="8"/>
        <v/>
      </c>
      <c r="N3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6" s="54" t="str">
        <f>IFERROR(-(WHOLE_STRUCTURE[[#This Row],[D, bottom '[m']]]-WHOLE_STRUCTURE[[#This Row],[D, top '[m']]])/(WHOLE_STRUCTURE[[#This Row],[Bottom '[m']]]-WHOLE_STRUCTURE[[#This Row],[Top '[m']]]),"")</f>
        <v/>
      </c>
      <c r="P326" s="54" t="str">
        <f>IFERROR((WHOLE_STRUCTURE[[#This Row],[D, bottom '[m']]]+WHOLE_STRUCTURE[[#This Row],[D, top '[m']]])/(2*WHOLE_STRUCTURE[[#This Row],[t '[mm']]]/1000),"")</f>
        <v/>
      </c>
    </row>
    <row r="327" spans="13:16" x14ac:dyDescent="0.3">
      <c r="M327" s="54" t="str">
        <f t="shared" si="8"/>
        <v/>
      </c>
      <c r="N3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7" s="54" t="str">
        <f>IFERROR(-(WHOLE_STRUCTURE[[#This Row],[D, bottom '[m']]]-WHOLE_STRUCTURE[[#This Row],[D, top '[m']]])/(WHOLE_STRUCTURE[[#This Row],[Bottom '[m']]]-WHOLE_STRUCTURE[[#This Row],[Top '[m']]]),"")</f>
        <v/>
      </c>
      <c r="P327" s="54" t="str">
        <f>IFERROR((WHOLE_STRUCTURE[[#This Row],[D, bottom '[m']]]+WHOLE_STRUCTURE[[#This Row],[D, top '[m']]])/(2*WHOLE_STRUCTURE[[#This Row],[t '[mm']]]/1000),"")</f>
        <v/>
      </c>
    </row>
    <row r="328" spans="13:16" x14ac:dyDescent="0.3">
      <c r="M328" s="54" t="str">
        <f t="shared" si="8"/>
        <v/>
      </c>
      <c r="N3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8" s="54" t="str">
        <f>IFERROR(-(WHOLE_STRUCTURE[[#This Row],[D, bottom '[m']]]-WHOLE_STRUCTURE[[#This Row],[D, top '[m']]])/(WHOLE_STRUCTURE[[#This Row],[Bottom '[m']]]-WHOLE_STRUCTURE[[#This Row],[Top '[m']]]),"")</f>
        <v/>
      </c>
      <c r="P328" s="54" t="str">
        <f>IFERROR((WHOLE_STRUCTURE[[#This Row],[D, bottom '[m']]]+WHOLE_STRUCTURE[[#This Row],[D, top '[m']]])/(2*WHOLE_STRUCTURE[[#This Row],[t '[mm']]]/1000),"")</f>
        <v/>
      </c>
    </row>
    <row r="329" spans="13:16" x14ac:dyDescent="0.3">
      <c r="M329" s="54" t="str">
        <f t="shared" si="8"/>
        <v/>
      </c>
      <c r="N3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9" s="54" t="str">
        <f>IFERROR(-(WHOLE_STRUCTURE[[#This Row],[D, bottom '[m']]]-WHOLE_STRUCTURE[[#This Row],[D, top '[m']]])/(WHOLE_STRUCTURE[[#This Row],[Bottom '[m']]]-WHOLE_STRUCTURE[[#This Row],[Top '[m']]]),"")</f>
        <v/>
      </c>
      <c r="P329" s="54" t="str">
        <f>IFERROR((WHOLE_STRUCTURE[[#This Row],[D, bottom '[m']]]+WHOLE_STRUCTURE[[#This Row],[D, top '[m']]])/(2*WHOLE_STRUCTURE[[#This Row],[t '[mm']]]/1000),"")</f>
        <v/>
      </c>
    </row>
    <row r="330" spans="13:16" x14ac:dyDescent="0.3">
      <c r="M330" s="54" t="str">
        <f t="shared" si="8"/>
        <v/>
      </c>
      <c r="N3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0" s="54" t="str">
        <f>IFERROR(-(WHOLE_STRUCTURE[[#This Row],[D, bottom '[m']]]-WHOLE_STRUCTURE[[#This Row],[D, top '[m']]])/(WHOLE_STRUCTURE[[#This Row],[Bottom '[m']]]-WHOLE_STRUCTURE[[#This Row],[Top '[m']]]),"")</f>
        <v/>
      </c>
      <c r="P330" s="54" t="str">
        <f>IFERROR((WHOLE_STRUCTURE[[#This Row],[D, bottom '[m']]]+WHOLE_STRUCTURE[[#This Row],[D, top '[m']]])/(2*WHOLE_STRUCTURE[[#This Row],[t '[mm']]]/1000),"")</f>
        <v/>
      </c>
    </row>
    <row r="331" spans="13:16" x14ac:dyDescent="0.3">
      <c r="M331" s="54" t="str">
        <f t="shared" si="8"/>
        <v/>
      </c>
      <c r="N3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1" s="54" t="str">
        <f>IFERROR(-(WHOLE_STRUCTURE[[#This Row],[D, bottom '[m']]]-WHOLE_STRUCTURE[[#This Row],[D, top '[m']]])/(WHOLE_STRUCTURE[[#This Row],[Bottom '[m']]]-WHOLE_STRUCTURE[[#This Row],[Top '[m']]]),"")</f>
        <v/>
      </c>
      <c r="P331" s="54" t="str">
        <f>IFERROR((WHOLE_STRUCTURE[[#This Row],[D, bottom '[m']]]+WHOLE_STRUCTURE[[#This Row],[D, top '[m']]])/(2*WHOLE_STRUCTURE[[#This Row],[t '[mm']]]/1000),"")</f>
        <v/>
      </c>
    </row>
    <row r="332" spans="13:16" x14ac:dyDescent="0.3">
      <c r="M332" s="54" t="str">
        <f t="shared" si="8"/>
        <v/>
      </c>
      <c r="N3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2" s="54" t="str">
        <f>IFERROR(-(WHOLE_STRUCTURE[[#This Row],[D, bottom '[m']]]-WHOLE_STRUCTURE[[#This Row],[D, top '[m']]])/(WHOLE_STRUCTURE[[#This Row],[Bottom '[m']]]-WHOLE_STRUCTURE[[#This Row],[Top '[m']]]),"")</f>
        <v/>
      </c>
      <c r="P332" s="54" t="str">
        <f>IFERROR((WHOLE_STRUCTURE[[#This Row],[D, bottom '[m']]]+WHOLE_STRUCTURE[[#This Row],[D, top '[m']]])/(2*WHOLE_STRUCTURE[[#This Row],[t '[mm']]]/1000),"")</f>
        <v/>
      </c>
    </row>
    <row r="333" spans="13:16" x14ac:dyDescent="0.3">
      <c r="M333" s="54" t="str">
        <f t="shared" si="8"/>
        <v/>
      </c>
      <c r="N3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3" s="54" t="str">
        <f>IFERROR(-(WHOLE_STRUCTURE[[#This Row],[D, bottom '[m']]]-WHOLE_STRUCTURE[[#This Row],[D, top '[m']]])/(WHOLE_STRUCTURE[[#This Row],[Bottom '[m']]]-WHOLE_STRUCTURE[[#This Row],[Top '[m']]]),"")</f>
        <v/>
      </c>
      <c r="P333" s="54" t="str">
        <f>IFERROR((WHOLE_STRUCTURE[[#This Row],[D, bottom '[m']]]+WHOLE_STRUCTURE[[#This Row],[D, top '[m']]])/(2*WHOLE_STRUCTURE[[#This Row],[t '[mm']]]/1000),"")</f>
        <v/>
      </c>
    </row>
    <row r="334" spans="13:16" x14ac:dyDescent="0.3">
      <c r="M334" s="54" t="str">
        <f t="shared" si="8"/>
        <v/>
      </c>
      <c r="N3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4" s="54" t="str">
        <f>IFERROR(-(WHOLE_STRUCTURE[[#This Row],[D, bottom '[m']]]-WHOLE_STRUCTURE[[#This Row],[D, top '[m']]])/(WHOLE_STRUCTURE[[#This Row],[Bottom '[m']]]-WHOLE_STRUCTURE[[#This Row],[Top '[m']]]),"")</f>
        <v/>
      </c>
      <c r="P334" s="54" t="str">
        <f>IFERROR((WHOLE_STRUCTURE[[#This Row],[D, bottom '[m']]]+WHOLE_STRUCTURE[[#This Row],[D, top '[m']]])/(2*WHOLE_STRUCTURE[[#This Row],[t '[mm']]]/1000),"")</f>
        <v/>
      </c>
    </row>
    <row r="335" spans="13:16" x14ac:dyDescent="0.3">
      <c r="M335" s="54" t="str">
        <f t="shared" si="8"/>
        <v/>
      </c>
      <c r="N3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5" s="54" t="str">
        <f>IFERROR(-(WHOLE_STRUCTURE[[#This Row],[D, bottom '[m']]]-WHOLE_STRUCTURE[[#This Row],[D, top '[m']]])/(WHOLE_STRUCTURE[[#This Row],[Bottom '[m']]]-WHOLE_STRUCTURE[[#This Row],[Top '[m']]]),"")</f>
        <v/>
      </c>
      <c r="P335" s="54" t="str">
        <f>IFERROR((WHOLE_STRUCTURE[[#This Row],[D, bottom '[m']]]+WHOLE_STRUCTURE[[#This Row],[D, top '[m']]])/(2*WHOLE_STRUCTURE[[#This Row],[t '[mm']]]/1000),"")</f>
        <v/>
      </c>
    </row>
    <row r="336" spans="13:16" x14ac:dyDescent="0.3">
      <c r="M336" s="54" t="str">
        <f t="shared" si="8"/>
        <v/>
      </c>
      <c r="N3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6" s="54" t="str">
        <f>IFERROR(-(WHOLE_STRUCTURE[[#This Row],[D, bottom '[m']]]-WHOLE_STRUCTURE[[#This Row],[D, top '[m']]])/(WHOLE_STRUCTURE[[#This Row],[Bottom '[m']]]-WHOLE_STRUCTURE[[#This Row],[Top '[m']]]),"")</f>
        <v/>
      </c>
      <c r="P336" s="54" t="str">
        <f>IFERROR((WHOLE_STRUCTURE[[#This Row],[D, bottom '[m']]]+WHOLE_STRUCTURE[[#This Row],[D, top '[m']]])/(2*WHOLE_STRUCTURE[[#This Row],[t '[mm']]]/1000),"")</f>
        <v/>
      </c>
    </row>
    <row r="337" spans="13:16" x14ac:dyDescent="0.3">
      <c r="M337" s="54" t="str">
        <f t="shared" si="8"/>
        <v/>
      </c>
      <c r="N3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7" s="54" t="str">
        <f>IFERROR(-(WHOLE_STRUCTURE[[#This Row],[D, bottom '[m']]]-WHOLE_STRUCTURE[[#This Row],[D, top '[m']]])/(WHOLE_STRUCTURE[[#This Row],[Bottom '[m']]]-WHOLE_STRUCTURE[[#This Row],[Top '[m']]]),"")</f>
        <v/>
      </c>
      <c r="P337" s="54" t="str">
        <f>IFERROR((WHOLE_STRUCTURE[[#This Row],[D, bottom '[m']]]+WHOLE_STRUCTURE[[#This Row],[D, top '[m']]])/(2*WHOLE_STRUCTURE[[#This Row],[t '[mm']]]/1000),"")</f>
        <v/>
      </c>
    </row>
    <row r="338" spans="13:16" x14ac:dyDescent="0.3">
      <c r="M338" s="54" t="str">
        <f t="shared" si="8"/>
        <v/>
      </c>
      <c r="N3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8" s="54" t="str">
        <f>IFERROR(-(WHOLE_STRUCTURE[[#This Row],[D, bottom '[m']]]-WHOLE_STRUCTURE[[#This Row],[D, top '[m']]])/(WHOLE_STRUCTURE[[#This Row],[Bottom '[m']]]-WHOLE_STRUCTURE[[#This Row],[Top '[m']]]),"")</f>
        <v/>
      </c>
      <c r="P338" s="54" t="str">
        <f>IFERROR((WHOLE_STRUCTURE[[#This Row],[D, bottom '[m']]]+WHOLE_STRUCTURE[[#This Row],[D, top '[m']]])/(2*WHOLE_STRUCTURE[[#This Row],[t '[mm']]]/1000),"")</f>
        <v/>
      </c>
    </row>
    <row r="339" spans="13:16" x14ac:dyDescent="0.3">
      <c r="M339" s="54" t="str">
        <f t="shared" si="8"/>
        <v/>
      </c>
      <c r="N3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9" s="54" t="str">
        <f>IFERROR(-(WHOLE_STRUCTURE[[#This Row],[D, bottom '[m']]]-WHOLE_STRUCTURE[[#This Row],[D, top '[m']]])/(WHOLE_STRUCTURE[[#This Row],[Bottom '[m']]]-WHOLE_STRUCTURE[[#This Row],[Top '[m']]]),"")</f>
        <v/>
      </c>
      <c r="P339" s="54" t="str">
        <f>IFERROR((WHOLE_STRUCTURE[[#This Row],[D, bottom '[m']]]+WHOLE_STRUCTURE[[#This Row],[D, top '[m']]])/(2*WHOLE_STRUCTURE[[#This Row],[t '[mm']]]/1000),"")</f>
        <v/>
      </c>
    </row>
    <row r="340" spans="13:16" x14ac:dyDescent="0.3">
      <c r="M340" s="54" t="str">
        <f t="shared" si="8"/>
        <v/>
      </c>
      <c r="N3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0" s="54" t="str">
        <f>IFERROR(-(WHOLE_STRUCTURE[[#This Row],[D, bottom '[m']]]-WHOLE_STRUCTURE[[#This Row],[D, top '[m']]])/(WHOLE_STRUCTURE[[#This Row],[Bottom '[m']]]-WHOLE_STRUCTURE[[#This Row],[Top '[m']]]),"")</f>
        <v/>
      </c>
      <c r="P340" s="54" t="str">
        <f>IFERROR((WHOLE_STRUCTURE[[#This Row],[D, bottom '[m']]]+WHOLE_STRUCTURE[[#This Row],[D, top '[m']]])/(2*WHOLE_STRUCTURE[[#This Row],[t '[mm']]]/1000),"")</f>
        <v/>
      </c>
    </row>
    <row r="341" spans="13:16" x14ac:dyDescent="0.3">
      <c r="M341" s="54" t="str">
        <f t="shared" si="8"/>
        <v/>
      </c>
      <c r="N3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1" s="54" t="str">
        <f>IFERROR(-(WHOLE_STRUCTURE[[#This Row],[D, bottom '[m']]]-WHOLE_STRUCTURE[[#This Row],[D, top '[m']]])/(WHOLE_STRUCTURE[[#This Row],[Bottom '[m']]]-WHOLE_STRUCTURE[[#This Row],[Top '[m']]]),"")</f>
        <v/>
      </c>
      <c r="P341" s="54" t="str">
        <f>IFERROR((WHOLE_STRUCTURE[[#This Row],[D, bottom '[m']]]+WHOLE_STRUCTURE[[#This Row],[D, top '[m']]])/(2*WHOLE_STRUCTURE[[#This Row],[t '[mm']]]/1000),"")</f>
        <v/>
      </c>
    </row>
    <row r="342" spans="13:16" x14ac:dyDescent="0.3">
      <c r="M342" s="54" t="str">
        <f t="shared" si="8"/>
        <v/>
      </c>
      <c r="N3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2" s="54" t="str">
        <f>IFERROR(-(WHOLE_STRUCTURE[[#This Row],[D, bottom '[m']]]-WHOLE_STRUCTURE[[#This Row],[D, top '[m']]])/(WHOLE_STRUCTURE[[#This Row],[Bottom '[m']]]-WHOLE_STRUCTURE[[#This Row],[Top '[m']]]),"")</f>
        <v/>
      </c>
      <c r="P342" s="54" t="str">
        <f>IFERROR((WHOLE_STRUCTURE[[#This Row],[D, bottom '[m']]]+WHOLE_STRUCTURE[[#This Row],[D, top '[m']]])/(2*WHOLE_STRUCTURE[[#This Row],[t '[mm']]]/1000),"")</f>
        <v/>
      </c>
    </row>
    <row r="343" spans="13:16" x14ac:dyDescent="0.3">
      <c r="M343" s="54" t="str">
        <f t="shared" si="8"/>
        <v/>
      </c>
      <c r="N3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3" s="54" t="str">
        <f>IFERROR(-(WHOLE_STRUCTURE[[#This Row],[D, bottom '[m']]]-WHOLE_STRUCTURE[[#This Row],[D, top '[m']]])/(WHOLE_STRUCTURE[[#This Row],[Bottom '[m']]]-WHOLE_STRUCTURE[[#This Row],[Top '[m']]]),"")</f>
        <v/>
      </c>
      <c r="P343" s="54" t="str">
        <f>IFERROR((WHOLE_STRUCTURE[[#This Row],[D, bottom '[m']]]+WHOLE_STRUCTURE[[#This Row],[D, top '[m']]])/(2*WHOLE_STRUCTURE[[#This Row],[t '[mm']]]/1000),"")</f>
        <v/>
      </c>
    </row>
    <row r="344" spans="13:16" x14ac:dyDescent="0.3">
      <c r="M344" s="54" t="str">
        <f t="shared" si="8"/>
        <v/>
      </c>
      <c r="N3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4" s="54" t="str">
        <f>IFERROR(-(WHOLE_STRUCTURE[[#This Row],[D, bottom '[m']]]-WHOLE_STRUCTURE[[#This Row],[D, top '[m']]])/(WHOLE_STRUCTURE[[#This Row],[Bottom '[m']]]-WHOLE_STRUCTURE[[#This Row],[Top '[m']]]),"")</f>
        <v/>
      </c>
      <c r="P344" s="54" t="str">
        <f>IFERROR((WHOLE_STRUCTURE[[#This Row],[D, bottom '[m']]]+WHOLE_STRUCTURE[[#This Row],[D, top '[m']]])/(2*WHOLE_STRUCTURE[[#This Row],[t '[mm']]]/1000),"")</f>
        <v/>
      </c>
    </row>
    <row r="345" spans="13:16" x14ac:dyDescent="0.3">
      <c r="M345" s="54" t="str">
        <f t="shared" si="8"/>
        <v/>
      </c>
      <c r="N3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5" s="54" t="str">
        <f>IFERROR(-(WHOLE_STRUCTURE[[#This Row],[D, bottom '[m']]]-WHOLE_STRUCTURE[[#This Row],[D, top '[m']]])/(WHOLE_STRUCTURE[[#This Row],[Bottom '[m']]]-WHOLE_STRUCTURE[[#This Row],[Top '[m']]]),"")</f>
        <v/>
      </c>
      <c r="P345" s="54" t="str">
        <f>IFERROR((WHOLE_STRUCTURE[[#This Row],[D, bottom '[m']]]+WHOLE_STRUCTURE[[#This Row],[D, top '[m']]])/(2*WHOLE_STRUCTURE[[#This Row],[t '[mm']]]/1000),"")</f>
        <v/>
      </c>
    </row>
    <row r="346" spans="13:16" x14ac:dyDescent="0.3">
      <c r="M346" s="54" t="str">
        <f t="shared" si="8"/>
        <v/>
      </c>
      <c r="N3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6" s="54" t="str">
        <f>IFERROR(-(WHOLE_STRUCTURE[[#This Row],[D, bottom '[m']]]-WHOLE_STRUCTURE[[#This Row],[D, top '[m']]])/(WHOLE_STRUCTURE[[#This Row],[Bottom '[m']]]-WHOLE_STRUCTURE[[#This Row],[Top '[m']]]),"")</f>
        <v/>
      </c>
      <c r="P346" s="54" t="str">
        <f>IFERROR((WHOLE_STRUCTURE[[#This Row],[D, bottom '[m']]]+WHOLE_STRUCTURE[[#This Row],[D, top '[m']]])/(2*WHOLE_STRUCTURE[[#This Row],[t '[mm']]]/1000),"")</f>
        <v/>
      </c>
    </row>
    <row r="347" spans="13:16" x14ac:dyDescent="0.3">
      <c r="M347" s="54" t="str">
        <f t="shared" si="8"/>
        <v/>
      </c>
      <c r="N3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7" s="54" t="str">
        <f>IFERROR(-(WHOLE_STRUCTURE[[#This Row],[D, bottom '[m']]]-WHOLE_STRUCTURE[[#This Row],[D, top '[m']]])/(WHOLE_STRUCTURE[[#This Row],[Bottom '[m']]]-WHOLE_STRUCTURE[[#This Row],[Top '[m']]]),"")</f>
        <v/>
      </c>
      <c r="P347" s="54" t="str">
        <f>IFERROR((WHOLE_STRUCTURE[[#This Row],[D, bottom '[m']]]+WHOLE_STRUCTURE[[#This Row],[D, top '[m']]])/(2*WHOLE_STRUCTURE[[#This Row],[t '[mm']]]/1000),"")</f>
        <v/>
      </c>
    </row>
    <row r="348" spans="13:16" x14ac:dyDescent="0.3">
      <c r="M348" s="54" t="str">
        <f t="shared" si="8"/>
        <v/>
      </c>
      <c r="N3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8" s="54" t="str">
        <f>IFERROR(-(WHOLE_STRUCTURE[[#This Row],[D, bottom '[m']]]-WHOLE_STRUCTURE[[#This Row],[D, top '[m']]])/(WHOLE_STRUCTURE[[#This Row],[Bottom '[m']]]-WHOLE_STRUCTURE[[#This Row],[Top '[m']]]),"")</f>
        <v/>
      </c>
      <c r="P348" s="54" t="str">
        <f>IFERROR((WHOLE_STRUCTURE[[#This Row],[D, bottom '[m']]]+WHOLE_STRUCTURE[[#This Row],[D, top '[m']]])/(2*WHOLE_STRUCTURE[[#This Row],[t '[mm']]]/1000),"")</f>
        <v/>
      </c>
    </row>
    <row r="349" spans="13:16" x14ac:dyDescent="0.3">
      <c r="M349" s="54" t="str">
        <f t="shared" si="8"/>
        <v/>
      </c>
      <c r="N3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9" s="54" t="str">
        <f>IFERROR(-(WHOLE_STRUCTURE[[#This Row],[D, bottom '[m']]]-WHOLE_STRUCTURE[[#This Row],[D, top '[m']]])/(WHOLE_STRUCTURE[[#This Row],[Bottom '[m']]]-WHOLE_STRUCTURE[[#This Row],[Top '[m']]]),"")</f>
        <v/>
      </c>
      <c r="P349" s="54" t="str">
        <f>IFERROR((WHOLE_STRUCTURE[[#This Row],[D, bottom '[m']]]+WHOLE_STRUCTURE[[#This Row],[D, top '[m']]])/(2*WHOLE_STRUCTURE[[#This Row],[t '[mm']]]/1000),"")</f>
        <v/>
      </c>
    </row>
    <row r="350" spans="13:16" x14ac:dyDescent="0.3">
      <c r="M350" s="54" t="str">
        <f t="shared" si="8"/>
        <v/>
      </c>
      <c r="N3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0" s="54" t="str">
        <f>IFERROR(-(WHOLE_STRUCTURE[[#This Row],[D, bottom '[m']]]-WHOLE_STRUCTURE[[#This Row],[D, top '[m']]])/(WHOLE_STRUCTURE[[#This Row],[Bottom '[m']]]-WHOLE_STRUCTURE[[#This Row],[Top '[m']]]),"")</f>
        <v/>
      </c>
      <c r="P350" s="54" t="str">
        <f>IFERROR((WHOLE_STRUCTURE[[#This Row],[D, bottom '[m']]]+WHOLE_STRUCTURE[[#This Row],[D, top '[m']]])/(2*WHOLE_STRUCTURE[[#This Row],[t '[mm']]]/1000),"")</f>
        <v/>
      </c>
    </row>
    <row r="351" spans="13:16" x14ac:dyDescent="0.3">
      <c r="M351" s="54" t="str">
        <f t="shared" si="8"/>
        <v/>
      </c>
      <c r="N3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1" s="54" t="str">
        <f>IFERROR(-(WHOLE_STRUCTURE[[#This Row],[D, bottom '[m']]]-WHOLE_STRUCTURE[[#This Row],[D, top '[m']]])/(WHOLE_STRUCTURE[[#This Row],[Bottom '[m']]]-WHOLE_STRUCTURE[[#This Row],[Top '[m']]]),"")</f>
        <v/>
      </c>
      <c r="P351" s="54" t="str">
        <f>IFERROR((WHOLE_STRUCTURE[[#This Row],[D, bottom '[m']]]+WHOLE_STRUCTURE[[#This Row],[D, top '[m']]])/(2*WHOLE_STRUCTURE[[#This Row],[t '[mm']]]/1000),"")</f>
        <v/>
      </c>
    </row>
    <row r="352" spans="13:16" x14ac:dyDescent="0.3">
      <c r="M352" s="54" t="str">
        <f t="shared" si="8"/>
        <v/>
      </c>
      <c r="N3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2" s="54" t="str">
        <f>IFERROR(-(WHOLE_STRUCTURE[[#This Row],[D, bottom '[m']]]-WHOLE_STRUCTURE[[#This Row],[D, top '[m']]])/(WHOLE_STRUCTURE[[#This Row],[Bottom '[m']]]-WHOLE_STRUCTURE[[#This Row],[Top '[m']]]),"")</f>
        <v/>
      </c>
      <c r="P352" s="54" t="str">
        <f>IFERROR((WHOLE_STRUCTURE[[#This Row],[D, bottom '[m']]]+WHOLE_STRUCTURE[[#This Row],[D, top '[m']]])/(2*WHOLE_STRUCTURE[[#This Row],[t '[mm']]]/1000),"")</f>
        <v/>
      </c>
    </row>
    <row r="353" spans="13:16" x14ac:dyDescent="0.3">
      <c r="M353" s="54" t="str">
        <f t="shared" si="8"/>
        <v/>
      </c>
      <c r="N3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3" s="54" t="str">
        <f>IFERROR(-(WHOLE_STRUCTURE[[#This Row],[D, bottom '[m']]]-WHOLE_STRUCTURE[[#This Row],[D, top '[m']]])/(WHOLE_STRUCTURE[[#This Row],[Bottom '[m']]]-WHOLE_STRUCTURE[[#This Row],[Top '[m']]]),"")</f>
        <v/>
      </c>
      <c r="P353" s="54" t="str">
        <f>IFERROR((WHOLE_STRUCTURE[[#This Row],[D, bottom '[m']]]+WHOLE_STRUCTURE[[#This Row],[D, top '[m']]])/(2*WHOLE_STRUCTURE[[#This Row],[t '[mm']]]/1000),"")</f>
        <v/>
      </c>
    </row>
    <row r="354" spans="13:16" x14ac:dyDescent="0.3">
      <c r="M354" s="54" t="str">
        <f t="shared" si="8"/>
        <v/>
      </c>
      <c r="N3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4" s="54" t="str">
        <f>IFERROR(-(WHOLE_STRUCTURE[[#This Row],[D, bottom '[m']]]-WHOLE_STRUCTURE[[#This Row],[D, top '[m']]])/(WHOLE_STRUCTURE[[#This Row],[Bottom '[m']]]-WHOLE_STRUCTURE[[#This Row],[Top '[m']]]),"")</f>
        <v/>
      </c>
      <c r="P354" s="54" t="str">
        <f>IFERROR((WHOLE_STRUCTURE[[#This Row],[D, bottom '[m']]]+WHOLE_STRUCTURE[[#This Row],[D, top '[m']]])/(2*WHOLE_STRUCTURE[[#This Row],[t '[mm']]]/1000),"")</f>
        <v/>
      </c>
    </row>
    <row r="355" spans="13:16" x14ac:dyDescent="0.3">
      <c r="M355" s="54" t="str">
        <f t="shared" si="8"/>
        <v/>
      </c>
      <c r="N3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5" s="54" t="str">
        <f>IFERROR(-(WHOLE_STRUCTURE[[#This Row],[D, bottom '[m']]]-WHOLE_STRUCTURE[[#This Row],[D, top '[m']]])/(WHOLE_STRUCTURE[[#This Row],[Bottom '[m']]]-WHOLE_STRUCTURE[[#This Row],[Top '[m']]]),"")</f>
        <v/>
      </c>
      <c r="P355" s="54" t="str">
        <f>IFERROR((WHOLE_STRUCTURE[[#This Row],[D, bottom '[m']]]+WHOLE_STRUCTURE[[#This Row],[D, top '[m']]])/(2*WHOLE_STRUCTURE[[#This Row],[t '[mm']]]/1000),"")</f>
        <v/>
      </c>
    </row>
    <row r="356" spans="13:16" x14ac:dyDescent="0.3">
      <c r="M356" s="54" t="str">
        <f t="shared" si="8"/>
        <v/>
      </c>
      <c r="N3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6" s="54" t="str">
        <f>IFERROR(-(WHOLE_STRUCTURE[[#This Row],[D, bottom '[m']]]-WHOLE_STRUCTURE[[#This Row],[D, top '[m']]])/(WHOLE_STRUCTURE[[#This Row],[Bottom '[m']]]-WHOLE_STRUCTURE[[#This Row],[Top '[m']]]),"")</f>
        <v/>
      </c>
      <c r="P356" s="54" t="str">
        <f>IFERROR((WHOLE_STRUCTURE[[#This Row],[D, bottom '[m']]]+WHOLE_STRUCTURE[[#This Row],[D, top '[m']]])/(2*WHOLE_STRUCTURE[[#This Row],[t '[mm']]]/1000),"")</f>
        <v/>
      </c>
    </row>
    <row r="357" spans="13:16" x14ac:dyDescent="0.3">
      <c r="M357" s="54" t="str">
        <f t="shared" si="8"/>
        <v/>
      </c>
      <c r="N3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7" s="54" t="str">
        <f>IFERROR(-(WHOLE_STRUCTURE[[#This Row],[D, bottom '[m']]]-WHOLE_STRUCTURE[[#This Row],[D, top '[m']]])/(WHOLE_STRUCTURE[[#This Row],[Bottom '[m']]]-WHOLE_STRUCTURE[[#This Row],[Top '[m']]]),"")</f>
        <v/>
      </c>
      <c r="P357" s="54" t="str">
        <f>IFERROR((WHOLE_STRUCTURE[[#This Row],[D, bottom '[m']]]+WHOLE_STRUCTURE[[#This Row],[D, top '[m']]])/(2*WHOLE_STRUCTURE[[#This Row],[t '[mm']]]/1000),"")</f>
        <v/>
      </c>
    </row>
    <row r="358" spans="13:16" x14ac:dyDescent="0.3">
      <c r="M358" s="54" t="str">
        <f t="shared" si="8"/>
        <v/>
      </c>
      <c r="N3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8" s="54" t="str">
        <f>IFERROR(-(WHOLE_STRUCTURE[[#This Row],[D, bottom '[m']]]-WHOLE_STRUCTURE[[#This Row],[D, top '[m']]])/(WHOLE_STRUCTURE[[#This Row],[Bottom '[m']]]-WHOLE_STRUCTURE[[#This Row],[Top '[m']]]),"")</f>
        <v/>
      </c>
      <c r="P358" s="54" t="str">
        <f>IFERROR((WHOLE_STRUCTURE[[#This Row],[D, bottom '[m']]]+WHOLE_STRUCTURE[[#This Row],[D, top '[m']]])/(2*WHOLE_STRUCTURE[[#This Row],[t '[mm']]]/1000),"")</f>
        <v/>
      </c>
    </row>
    <row r="359" spans="13:16" x14ac:dyDescent="0.3">
      <c r="M359" s="54" t="str">
        <f t="shared" si="8"/>
        <v/>
      </c>
      <c r="N3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9" s="54" t="str">
        <f>IFERROR(-(WHOLE_STRUCTURE[[#This Row],[D, bottom '[m']]]-WHOLE_STRUCTURE[[#This Row],[D, top '[m']]])/(WHOLE_STRUCTURE[[#This Row],[Bottom '[m']]]-WHOLE_STRUCTURE[[#This Row],[Top '[m']]]),"")</f>
        <v/>
      </c>
      <c r="P359" s="54" t="str">
        <f>IFERROR((WHOLE_STRUCTURE[[#This Row],[D, bottom '[m']]]+WHOLE_STRUCTURE[[#This Row],[D, top '[m']]])/(2*WHOLE_STRUCTURE[[#This Row],[t '[mm']]]/1000),"")</f>
        <v/>
      </c>
    </row>
    <row r="360" spans="13:16" x14ac:dyDescent="0.3">
      <c r="M360" s="54" t="str">
        <f t="shared" si="8"/>
        <v/>
      </c>
      <c r="N3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0" s="54" t="str">
        <f>IFERROR(-(WHOLE_STRUCTURE[[#This Row],[D, bottom '[m']]]-WHOLE_STRUCTURE[[#This Row],[D, top '[m']]])/(WHOLE_STRUCTURE[[#This Row],[Bottom '[m']]]-WHOLE_STRUCTURE[[#This Row],[Top '[m']]]),"")</f>
        <v/>
      </c>
      <c r="P360" s="54" t="str">
        <f>IFERROR((WHOLE_STRUCTURE[[#This Row],[D, bottom '[m']]]+WHOLE_STRUCTURE[[#This Row],[D, top '[m']]])/(2*WHOLE_STRUCTURE[[#This Row],[t '[mm']]]/1000),"")</f>
        <v/>
      </c>
    </row>
    <row r="361" spans="13:16" x14ac:dyDescent="0.3">
      <c r="M361" s="54" t="str">
        <f t="shared" si="8"/>
        <v/>
      </c>
      <c r="N3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1" s="54" t="str">
        <f>IFERROR(-(WHOLE_STRUCTURE[[#This Row],[D, bottom '[m']]]-WHOLE_STRUCTURE[[#This Row],[D, top '[m']]])/(WHOLE_STRUCTURE[[#This Row],[Bottom '[m']]]-WHOLE_STRUCTURE[[#This Row],[Top '[m']]]),"")</f>
        <v/>
      </c>
      <c r="P361" s="54" t="str">
        <f>IFERROR((WHOLE_STRUCTURE[[#This Row],[D, bottom '[m']]]+WHOLE_STRUCTURE[[#This Row],[D, top '[m']]])/(2*WHOLE_STRUCTURE[[#This Row],[t '[mm']]]/1000),"")</f>
        <v/>
      </c>
    </row>
    <row r="362" spans="13:16" x14ac:dyDescent="0.3">
      <c r="M362" s="54" t="str">
        <f t="shared" si="8"/>
        <v/>
      </c>
      <c r="N3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2" s="54" t="str">
        <f>IFERROR(-(WHOLE_STRUCTURE[[#This Row],[D, bottom '[m']]]-WHOLE_STRUCTURE[[#This Row],[D, top '[m']]])/(WHOLE_STRUCTURE[[#This Row],[Bottom '[m']]]-WHOLE_STRUCTURE[[#This Row],[Top '[m']]]),"")</f>
        <v/>
      </c>
      <c r="P362" s="54" t="str">
        <f>IFERROR((WHOLE_STRUCTURE[[#This Row],[D, bottom '[m']]]+WHOLE_STRUCTURE[[#This Row],[D, top '[m']]])/(2*WHOLE_STRUCTURE[[#This Row],[t '[mm']]]/1000),"")</f>
        <v/>
      </c>
    </row>
    <row r="363" spans="13:16" x14ac:dyDescent="0.3">
      <c r="M363" s="54" t="str">
        <f t="shared" si="8"/>
        <v/>
      </c>
      <c r="N3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3" s="54" t="str">
        <f>IFERROR(-(WHOLE_STRUCTURE[[#This Row],[D, bottom '[m']]]-WHOLE_STRUCTURE[[#This Row],[D, top '[m']]])/(WHOLE_STRUCTURE[[#This Row],[Bottom '[m']]]-WHOLE_STRUCTURE[[#This Row],[Top '[m']]]),"")</f>
        <v/>
      </c>
      <c r="P363" s="54" t="str">
        <f>IFERROR((WHOLE_STRUCTURE[[#This Row],[D, bottom '[m']]]+WHOLE_STRUCTURE[[#This Row],[D, top '[m']]])/(2*WHOLE_STRUCTURE[[#This Row],[t '[mm']]]/1000),"")</f>
        <v/>
      </c>
    </row>
    <row r="364" spans="13:16" x14ac:dyDescent="0.3">
      <c r="M364" s="54" t="str">
        <f t="shared" si="8"/>
        <v/>
      </c>
      <c r="N3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4" s="54" t="str">
        <f>IFERROR(-(WHOLE_STRUCTURE[[#This Row],[D, bottom '[m']]]-WHOLE_STRUCTURE[[#This Row],[D, top '[m']]])/(WHOLE_STRUCTURE[[#This Row],[Bottom '[m']]]-WHOLE_STRUCTURE[[#This Row],[Top '[m']]]),"")</f>
        <v/>
      </c>
      <c r="P364" s="54" t="str">
        <f>IFERROR((WHOLE_STRUCTURE[[#This Row],[D, bottom '[m']]]+WHOLE_STRUCTURE[[#This Row],[D, top '[m']]])/(2*WHOLE_STRUCTURE[[#This Row],[t '[mm']]]/1000),"")</f>
        <v/>
      </c>
    </row>
    <row r="365" spans="13:16" x14ac:dyDescent="0.3">
      <c r="M365" s="54" t="str">
        <f t="shared" si="8"/>
        <v/>
      </c>
      <c r="N3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5" s="54" t="str">
        <f>IFERROR(-(WHOLE_STRUCTURE[[#This Row],[D, bottom '[m']]]-WHOLE_STRUCTURE[[#This Row],[D, top '[m']]])/(WHOLE_STRUCTURE[[#This Row],[Bottom '[m']]]-WHOLE_STRUCTURE[[#This Row],[Top '[m']]]),"")</f>
        <v/>
      </c>
      <c r="P365" s="54" t="str">
        <f>IFERROR((WHOLE_STRUCTURE[[#This Row],[D, bottom '[m']]]+WHOLE_STRUCTURE[[#This Row],[D, top '[m']]])/(2*WHOLE_STRUCTURE[[#This Row],[t '[mm']]]/1000),"")</f>
        <v/>
      </c>
    </row>
    <row r="366" spans="13:16" x14ac:dyDescent="0.3">
      <c r="M366" s="54" t="str">
        <f t="shared" si="8"/>
        <v/>
      </c>
      <c r="N3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6" s="54" t="str">
        <f>IFERROR(-(WHOLE_STRUCTURE[[#This Row],[D, bottom '[m']]]-WHOLE_STRUCTURE[[#This Row],[D, top '[m']]])/(WHOLE_STRUCTURE[[#This Row],[Bottom '[m']]]-WHOLE_STRUCTURE[[#This Row],[Top '[m']]]),"")</f>
        <v/>
      </c>
      <c r="P366" s="54" t="str">
        <f>IFERROR((WHOLE_STRUCTURE[[#This Row],[D, bottom '[m']]]+WHOLE_STRUCTURE[[#This Row],[D, top '[m']]])/(2*WHOLE_STRUCTURE[[#This Row],[t '[mm']]]/1000),"")</f>
        <v/>
      </c>
    </row>
    <row r="367" spans="13:16" x14ac:dyDescent="0.3">
      <c r="M367" s="54" t="str">
        <f t="shared" si="8"/>
        <v/>
      </c>
      <c r="N3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7" s="54" t="str">
        <f>IFERROR(-(WHOLE_STRUCTURE[[#This Row],[D, bottom '[m']]]-WHOLE_STRUCTURE[[#This Row],[D, top '[m']]])/(WHOLE_STRUCTURE[[#This Row],[Bottom '[m']]]-WHOLE_STRUCTURE[[#This Row],[Top '[m']]]),"")</f>
        <v/>
      </c>
      <c r="P367" s="54" t="str">
        <f>IFERROR((WHOLE_STRUCTURE[[#This Row],[D, bottom '[m']]]+WHOLE_STRUCTURE[[#This Row],[D, top '[m']]])/(2*WHOLE_STRUCTURE[[#This Row],[t '[mm']]]/1000),"")</f>
        <v/>
      </c>
    </row>
    <row r="368" spans="13:16" x14ac:dyDescent="0.3">
      <c r="M368" s="54" t="str">
        <f t="shared" si="8"/>
        <v/>
      </c>
      <c r="N3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8" s="54" t="str">
        <f>IFERROR(-(WHOLE_STRUCTURE[[#This Row],[D, bottom '[m']]]-WHOLE_STRUCTURE[[#This Row],[D, top '[m']]])/(WHOLE_STRUCTURE[[#This Row],[Bottom '[m']]]-WHOLE_STRUCTURE[[#This Row],[Top '[m']]]),"")</f>
        <v/>
      </c>
      <c r="P368" s="54" t="str">
        <f>IFERROR((WHOLE_STRUCTURE[[#This Row],[D, bottom '[m']]]+WHOLE_STRUCTURE[[#This Row],[D, top '[m']]])/(2*WHOLE_STRUCTURE[[#This Row],[t '[mm']]]/1000),"")</f>
        <v/>
      </c>
    </row>
    <row r="369" spans="13:16" x14ac:dyDescent="0.3">
      <c r="M369" s="54" t="str">
        <f t="shared" si="8"/>
        <v/>
      </c>
      <c r="N3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9" s="54" t="str">
        <f>IFERROR(-(WHOLE_STRUCTURE[[#This Row],[D, bottom '[m']]]-WHOLE_STRUCTURE[[#This Row],[D, top '[m']]])/(WHOLE_STRUCTURE[[#This Row],[Bottom '[m']]]-WHOLE_STRUCTURE[[#This Row],[Top '[m']]]),"")</f>
        <v/>
      </c>
      <c r="P369" s="54" t="str">
        <f>IFERROR((WHOLE_STRUCTURE[[#This Row],[D, bottom '[m']]]+WHOLE_STRUCTURE[[#This Row],[D, top '[m']]])/(2*WHOLE_STRUCTURE[[#This Row],[t '[mm']]]/1000),"")</f>
        <v/>
      </c>
    </row>
    <row r="370" spans="13:16" x14ac:dyDescent="0.3">
      <c r="M370" s="54" t="str">
        <f t="shared" si="8"/>
        <v/>
      </c>
      <c r="N3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0" s="54" t="str">
        <f>IFERROR(-(WHOLE_STRUCTURE[[#This Row],[D, bottom '[m']]]-WHOLE_STRUCTURE[[#This Row],[D, top '[m']]])/(WHOLE_STRUCTURE[[#This Row],[Bottom '[m']]]-WHOLE_STRUCTURE[[#This Row],[Top '[m']]]),"")</f>
        <v/>
      </c>
      <c r="P370" s="54" t="str">
        <f>IFERROR((WHOLE_STRUCTURE[[#This Row],[D, bottom '[m']]]+WHOLE_STRUCTURE[[#This Row],[D, top '[m']]])/(2*WHOLE_STRUCTURE[[#This Row],[t '[mm']]]/1000),"")</f>
        <v/>
      </c>
    </row>
    <row r="371" spans="13:16" x14ac:dyDescent="0.3">
      <c r="M371" s="54" t="str">
        <f t="shared" si="8"/>
        <v/>
      </c>
      <c r="N3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1" s="54" t="str">
        <f>IFERROR(-(WHOLE_STRUCTURE[[#This Row],[D, bottom '[m']]]-WHOLE_STRUCTURE[[#This Row],[D, top '[m']]])/(WHOLE_STRUCTURE[[#This Row],[Bottom '[m']]]-WHOLE_STRUCTURE[[#This Row],[Top '[m']]]),"")</f>
        <v/>
      </c>
      <c r="P371" s="54" t="str">
        <f>IFERROR((WHOLE_STRUCTURE[[#This Row],[D, bottom '[m']]]+WHOLE_STRUCTURE[[#This Row],[D, top '[m']]])/(2*WHOLE_STRUCTURE[[#This Row],[t '[mm']]]/1000),"")</f>
        <v/>
      </c>
    </row>
    <row r="372" spans="13:16" x14ac:dyDescent="0.3">
      <c r="M372" s="54" t="str">
        <f t="shared" si="8"/>
        <v/>
      </c>
      <c r="N3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2" s="54" t="str">
        <f>IFERROR(-(WHOLE_STRUCTURE[[#This Row],[D, bottom '[m']]]-WHOLE_STRUCTURE[[#This Row],[D, top '[m']]])/(WHOLE_STRUCTURE[[#This Row],[Bottom '[m']]]-WHOLE_STRUCTURE[[#This Row],[Top '[m']]]),"")</f>
        <v/>
      </c>
      <c r="P372" s="54" t="str">
        <f>IFERROR((WHOLE_STRUCTURE[[#This Row],[D, bottom '[m']]]+WHOLE_STRUCTURE[[#This Row],[D, top '[m']]])/(2*WHOLE_STRUCTURE[[#This Row],[t '[mm']]]/1000),"")</f>
        <v/>
      </c>
    </row>
    <row r="373" spans="13:16" x14ac:dyDescent="0.3">
      <c r="M373" s="54" t="str">
        <f t="shared" si="8"/>
        <v/>
      </c>
      <c r="N3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3" s="54" t="str">
        <f>IFERROR(-(WHOLE_STRUCTURE[[#This Row],[D, bottom '[m']]]-WHOLE_STRUCTURE[[#This Row],[D, top '[m']]])/(WHOLE_STRUCTURE[[#This Row],[Bottom '[m']]]-WHOLE_STRUCTURE[[#This Row],[Top '[m']]]),"")</f>
        <v/>
      </c>
      <c r="P373" s="54" t="str">
        <f>IFERROR((WHOLE_STRUCTURE[[#This Row],[D, bottom '[m']]]+WHOLE_STRUCTURE[[#This Row],[D, top '[m']]])/(2*WHOLE_STRUCTURE[[#This Row],[t '[mm']]]/1000),"")</f>
        <v/>
      </c>
    </row>
    <row r="374" spans="13:16" x14ac:dyDescent="0.3">
      <c r="M374" s="54" t="str">
        <f t="shared" si="8"/>
        <v/>
      </c>
      <c r="N3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4" s="54" t="str">
        <f>IFERROR(-(WHOLE_STRUCTURE[[#This Row],[D, bottom '[m']]]-WHOLE_STRUCTURE[[#This Row],[D, top '[m']]])/(WHOLE_STRUCTURE[[#This Row],[Bottom '[m']]]-WHOLE_STRUCTURE[[#This Row],[Top '[m']]]),"")</f>
        <v/>
      </c>
      <c r="P374" s="54" t="str">
        <f>IFERROR((WHOLE_STRUCTURE[[#This Row],[D, bottom '[m']]]+WHOLE_STRUCTURE[[#This Row],[D, top '[m']]])/(2*WHOLE_STRUCTURE[[#This Row],[t '[mm']]]/1000),"")</f>
        <v/>
      </c>
    </row>
    <row r="375" spans="13:16" x14ac:dyDescent="0.3">
      <c r="M375" s="54" t="str">
        <f t="shared" si="8"/>
        <v/>
      </c>
      <c r="N3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5" s="54" t="str">
        <f>IFERROR(-(WHOLE_STRUCTURE[[#This Row],[D, bottom '[m']]]-WHOLE_STRUCTURE[[#This Row],[D, top '[m']]])/(WHOLE_STRUCTURE[[#This Row],[Bottom '[m']]]-WHOLE_STRUCTURE[[#This Row],[Top '[m']]]),"")</f>
        <v/>
      </c>
      <c r="P375" s="54" t="str">
        <f>IFERROR((WHOLE_STRUCTURE[[#This Row],[D, bottom '[m']]]+WHOLE_STRUCTURE[[#This Row],[D, top '[m']]])/(2*WHOLE_STRUCTURE[[#This Row],[t '[mm']]]/1000),"")</f>
        <v/>
      </c>
    </row>
    <row r="376" spans="13:16" x14ac:dyDescent="0.3">
      <c r="M376" s="54" t="str">
        <f t="shared" si="8"/>
        <v/>
      </c>
      <c r="N3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6" s="54" t="str">
        <f>IFERROR(-(WHOLE_STRUCTURE[[#This Row],[D, bottom '[m']]]-WHOLE_STRUCTURE[[#This Row],[D, top '[m']]])/(WHOLE_STRUCTURE[[#This Row],[Bottom '[m']]]-WHOLE_STRUCTURE[[#This Row],[Top '[m']]]),"")</f>
        <v/>
      </c>
      <c r="P376" s="54" t="str">
        <f>IFERROR((WHOLE_STRUCTURE[[#This Row],[D, bottom '[m']]]+WHOLE_STRUCTURE[[#This Row],[D, top '[m']]])/(2*WHOLE_STRUCTURE[[#This Row],[t '[mm']]]/1000),"")</f>
        <v/>
      </c>
    </row>
    <row r="377" spans="13:16" x14ac:dyDescent="0.3">
      <c r="M377" s="54" t="str">
        <f t="shared" si="8"/>
        <v/>
      </c>
      <c r="N3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7" s="54" t="str">
        <f>IFERROR(-(WHOLE_STRUCTURE[[#This Row],[D, bottom '[m']]]-WHOLE_STRUCTURE[[#This Row],[D, top '[m']]])/(WHOLE_STRUCTURE[[#This Row],[Bottom '[m']]]-WHOLE_STRUCTURE[[#This Row],[Top '[m']]]),"")</f>
        <v/>
      </c>
      <c r="P377" s="54" t="str">
        <f>IFERROR((WHOLE_STRUCTURE[[#This Row],[D, bottom '[m']]]+WHOLE_STRUCTURE[[#This Row],[D, top '[m']]])/(2*WHOLE_STRUCTURE[[#This Row],[t '[mm']]]/1000),"")</f>
        <v/>
      </c>
    </row>
    <row r="378" spans="13:16" x14ac:dyDescent="0.3">
      <c r="M378" s="54" t="str">
        <f t="shared" si="8"/>
        <v/>
      </c>
      <c r="N3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8" s="54" t="str">
        <f>IFERROR(-(WHOLE_STRUCTURE[[#This Row],[D, bottom '[m']]]-WHOLE_STRUCTURE[[#This Row],[D, top '[m']]])/(WHOLE_STRUCTURE[[#This Row],[Bottom '[m']]]-WHOLE_STRUCTURE[[#This Row],[Top '[m']]]),"")</f>
        <v/>
      </c>
      <c r="P378" s="54" t="str">
        <f>IFERROR((WHOLE_STRUCTURE[[#This Row],[D, bottom '[m']]]+WHOLE_STRUCTURE[[#This Row],[D, top '[m']]])/(2*WHOLE_STRUCTURE[[#This Row],[t '[mm']]]/1000),"")</f>
        <v/>
      </c>
    </row>
    <row r="379" spans="13:16" x14ac:dyDescent="0.3">
      <c r="M379" s="54" t="str">
        <f t="shared" si="8"/>
        <v/>
      </c>
      <c r="N3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9" s="54" t="str">
        <f>IFERROR(-(WHOLE_STRUCTURE[[#This Row],[D, bottom '[m']]]-WHOLE_STRUCTURE[[#This Row],[D, top '[m']]])/(WHOLE_STRUCTURE[[#This Row],[Bottom '[m']]]-WHOLE_STRUCTURE[[#This Row],[Top '[m']]]),"")</f>
        <v/>
      </c>
      <c r="P379" s="54" t="str">
        <f>IFERROR((WHOLE_STRUCTURE[[#This Row],[D, bottom '[m']]]+WHOLE_STRUCTURE[[#This Row],[D, top '[m']]])/(2*WHOLE_STRUCTURE[[#This Row],[t '[mm']]]/1000),"")</f>
        <v/>
      </c>
    </row>
    <row r="380" spans="13:16" x14ac:dyDescent="0.3">
      <c r="M380" s="54" t="str">
        <f t="shared" si="8"/>
        <v/>
      </c>
      <c r="N3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0" s="54" t="str">
        <f>IFERROR(-(WHOLE_STRUCTURE[[#This Row],[D, bottom '[m']]]-WHOLE_STRUCTURE[[#This Row],[D, top '[m']]])/(WHOLE_STRUCTURE[[#This Row],[Bottom '[m']]]-WHOLE_STRUCTURE[[#This Row],[Top '[m']]]),"")</f>
        <v/>
      </c>
      <c r="P380" s="54" t="str">
        <f>IFERROR((WHOLE_STRUCTURE[[#This Row],[D, bottom '[m']]]+WHOLE_STRUCTURE[[#This Row],[D, top '[m']]])/(2*WHOLE_STRUCTURE[[#This Row],[t '[mm']]]/1000),"")</f>
        <v/>
      </c>
    </row>
    <row r="381" spans="13:16" x14ac:dyDescent="0.3">
      <c r="M381" s="54" t="str">
        <f t="shared" si="8"/>
        <v/>
      </c>
      <c r="N3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1" s="54" t="str">
        <f>IFERROR(-(WHOLE_STRUCTURE[[#This Row],[D, bottom '[m']]]-WHOLE_STRUCTURE[[#This Row],[D, top '[m']]])/(WHOLE_STRUCTURE[[#This Row],[Bottom '[m']]]-WHOLE_STRUCTURE[[#This Row],[Top '[m']]]),"")</f>
        <v/>
      </c>
      <c r="P381" s="54" t="str">
        <f>IFERROR((WHOLE_STRUCTURE[[#This Row],[D, bottom '[m']]]+WHOLE_STRUCTURE[[#This Row],[D, top '[m']]])/(2*WHOLE_STRUCTURE[[#This Row],[t '[mm']]]/1000),"")</f>
        <v/>
      </c>
    </row>
    <row r="382" spans="13:16" x14ac:dyDescent="0.3">
      <c r="M382" s="54" t="str">
        <f t="shared" si="8"/>
        <v/>
      </c>
      <c r="N3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2" s="54" t="str">
        <f>IFERROR(-(WHOLE_STRUCTURE[[#This Row],[D, bottom '[m']]]-WHOLE_STRUCTURE[[#This Row],[D, top '[m']]])/(WHOLE_STRUCTURE[[#This Row],[Bottom '[m']]]-WHOLE_STRUCTURE[[#This Row],[Top '[m']]]),"")</f>
        <v/>
      </c>
      <c r="P382" s="54" t="str">
        <f>IFERROR((WHOLE_STRUCTURE[[#This Row],[D, bottom '[m']]]+WHOLE_STRUCTURE[[#This Row],[D, top '[m']]])/(2*WHOLE_STRUCTURE[[#This Row],[t '[mm']]]/1000),"")</f>
        <v/>
      </c>
    </row>
    <row r="383" spans="13:16" x14ac:dyDescent="0.3">
      <c r="M383" s="54" t="str">
        <f t="shared" si="8"/>
        <v/>
      </c>
      <c r="N3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3" s="54" t="str">
        <f>IFERROR(-(WHOLE_STRUCTURE[[#This Row],[D, bottom '[m']]]-WHOLE_STRUCTURE[[#This Row],[D, top '[m']]])/(WHOLE_STRUCTURE[[#This Row],[Bottom '[m']]]-WHOLE_STRUCTURE[[#This Row],[Top '[m']]]),"")</f>
        <v/>
      </c>
      <c r="P383" s="54" t="str">
        <f>IFERROR((WHOLE_STRUCTURE[[#This Row],[D, bottom '[m']]]+WHOLE_STRUCTURE[[#This Row],[D, top '[m']]])/(2*WHOLE_STRUCTURE[[#This Row],[t '[mm']]]/1000),"")</f>
        <v/>
      </c>
    </row>
    <row r="384" spans="13:16" x14ac:dyDescent="0.3">
      <c r="M384" s="54" t="str">
        <f t="shared" si="8"/>
        <v/>
      </c>
      <c r="N3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4" s="54" t="str">
        <f>IFERROR(-(WHOLE_STRUCTURE[[#This Row],[D, bottom '[m']]]-WHOLE_STRUCTURE[[#This Row],[D, top '[m']]])/(WHOLE_STRUCTURE[[#This Row],[Bottom '[m']]]-WHOLE_STRUCTURE[[#This Row],[Top '[m']]]),"")</f>
        <v/>
      </c>
      <c r="P384" s="54" t="str">
        <f>IFERROR((WHOLE_STRUCTURE[[#This Row],[D, bottom '[m']]]+WHOLE_STRUCTURE[[#This Row],[D, top '[m']]])/(2*WHOLE_STRUCTURE[[#This Row],[t '[mm']]]/1000),"")</f>
        <v/>
      </c>
    </row>
    <row r="385" spans="13:16" x14ac:dyDescent="0.3">
      <c r="M385" s="54" t="str">
        <f t="shared" si="8"/>
        <v/>
      </c>
      <c r="N3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5" s="54" t="str">
        <f>IFERROR(-(WHOLE_STRUCTURE[[#This Row],[D, bottom '[m']]]-WHOLE_STRUCTURE[[#This Row],[D, top '[m']]])/(WHOLE_STRUCTURE[[#This Row],[Bottom '[m']]]-WHOLE_STRUCTURE[[#This Row],[Top '[m']]]),"")</f>
        <v/>
      </c>
      <c r="P385" s="54" t="str">
        <f>IFERROR((WHOLE_STRUCTURE[[#This Row],[D, bottom '[m']]]+WHOLE_STRUCTURE[[#This Row],[D, top '[m']]])/(2*WHOLE_STRUCTURE[[#This Row],[t '[mm']]]/1000),"")</f>
        <v/>
      </c>
    </row>
    <row r="386" spans="13:16" x14ac:dyDescent="0.3">
      <c r="M386" s="54" t="str">
        <f t="shared" si="8"/>
        <v/>
      </c>
      <c r="N3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6" s="54" t="str">
        <f>IFERROR(-(WHOLE_STRUCTURE[[#This Row],[D, bottom '[m']]]-WHOLE_STRUCTURE[[#This Row],[D, top '[m']]])/(WHOLE_STRUCTURE[[#This Row],[Bottom '[m']]]-WHOLE_STRUCTURE[[#This Row],[Top '[m']]]),"")</f>
        <v/>
      </c>
      <c r="P386" s="54" t="str">
        <f>IFERROR((WHOLE_STRUCTURE[[#This Row],[D, bottom '[m']]]+WHOLE_STRUCTURE[[#This Row],[D, top '[m']]])/(2*WHOLE_STRUCTURE[[#This Row],[t '[mm']]]/1000),"")</f>
        <v/>
      </c>
    </row>
    <row r="387" spans="13:16" x14ac:dyDescent="0.3">
      <c r="M387" s="54" t="str">
        <f t="shared" si="8"/>
        <v/>
      </c>
      <c r="N3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7" s="54" t="str">
        <f>IFERROR(-(WHOLE_STRUCTURE[[#This Row],[D, bottom '[m']]]-WHOLE_STRUCTURE[[#This Row],[D, top '[m']]])/(WHOLE_STRUCTURE[[#This Row],[Bottom '[m']]]-WHOLE_STRUCTURE[[#This Row],[Top '[m']]]),"")</f>
        <v/>
      </c>
      <c r="P387" s="54" t="str">
        <f>IFERROR((WHOLE_STRUCTURE[[#This Row],[D, bottom '[m']]]+WHOLE_STRUCTURE[[#This Row],[D, top '[m']]])/(2*WHOLE_STRUCTURE[[#This Row],[t '[mm']]]/1000),"")</f>
        <v/>
      </c>
    </row>
    <row r="388" spans="13:16" x14ac:dyDescent="0.3">
      <c r="M388" s="54" t="str">
        <f t="shared" si="8"/>
        <v/>
      </c>
      <c r="N3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8" s="54" t="str">
        <f>IFERROR(-(WHOLE_STRUCTURE[[#This Row],[D, bottom '[m']]]-WHOLE_STRUCTURE[[#This Row],[D, top '[m']]])/(WHOLE_STRUCTURE[[#This Row],[Bottom '[m']]]-WHOLE_STRUCTURE[[#This Row],[Top '[m']]]),"")</f>
        <v/>
      </c>
      <c r="P388" s="54" t="str">
        <f>IFERROR((WHOLE_STRUCTURE[[#This Row],[D, bottom '[m']]]+WHOLE_STRUCTURE[[#This Row],[D, top '[m']]])/(2*WHOLE_STRUCTURE[[#This Row],[t '[mm']]]/1000),"")</f>
        <v/>
      </c>
    </row>
    <row r="389" spans="13:16" x14ac:dyDescent="0.3">
      <c r="M389" s="54" t="str">
        <f t="shared" ref="M389:M452" si="9">IF(7850/1000*(1/3)*PI()*ABS(H389-I389)*((J389/2)^2+(J389/2)*(K389/2)+(K389/2)^2-(J389/2-L389/1000)^2-(J389/2-L389/1000)*(K389/2-L389/1000)-(K389/2-L389/1000)^2)=0,"",7850/1000*(1/3)*PI()*ABS(H389-I389)*((J389/2)^2+(J389/2)*(K389/2)+(K389/2)^2-(J389/2-L389/1000)^2-(J389/2-L389/1000)*(K389/2-L389/1000)-(K389/2-L389/1000)^2))</f>
        <v/>
      </c>
      <c r="N3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9" s="54" t="str">
        <f>IFERROR(-(WHOLE_STRUCTURE[[#This Row],[D, bottom '[m']]]-WHOLE_STRUCTURE[[#This Row],[D, top '[m']]])/(WHOLE_STRUCTURE[[#This Row],[Bottom '[m']]]-WHOLE_STRUCTURE[[#This Row],[Top '[m']]]),"")</f>
        <v/>
      </c>
      <c r="P389" s="54" t="str">
        <f>IFERROR((WHOLE_STRUCTURE[[#This Row],[D, bottom '[m']]]+WHOLE_STRUCTURE[[#This Row],[D, top '[m']]])/(2*WHOLE_STRUCTURE[[#This Row],[t '[mm']]]/1000),"")</f>
        <v/>
      </c>
    </row>
    <row r="390" spans="13:16" x14ac:dyDescent="0.3">
      <c r="M390" s="54" t="str">
        <f t="shared" si="9"/>
        <v/>
      </c>
      <c r="N3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0" s="54" t="str">
        <f>IFERROR(-(WHOLE_STRUCTURE[[#This Row],[D, bottom '[m']]]-WHOLE_STRUCTURE[[#This Row],[D, top '[m']]])/(WHOLE_STRUCTURE[[#This Row],[Bottom '[m']]]-WHOLE_STRUCTURE[[#This Row],[Top '[m']]]),"")</f>
        <v/>
      </c>
      <c r="P390" s="54" t="str">
        <f>IFERROR((WHOLE_STRUCTURE[[#This Row],[D, bottom '[m']]]+WHOLE_STRUCTURE[[#This Row],[D, top '[m']]])/(2*WHOLE_STRUCTURE[[#This Row],[t '[mm']]]/1000),"")</f>
        <v/>
      </c>
    </row>
    <row r="391" spans="13:16" x14ac:dyDescent="0.3">
      <c r="M391" s="54" t="str">
        <f t="shared" si="9"/>
        <v/>
      </c>
      <c r="N3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1" s="54" t="str">
        <f>IFERROR(-(WHOLE_STRUCTURE[[#This Row],[D, bottom '[m']]]-WHOLE_STRUCTURE[[#This Row],[D, top '[m']]])/(WHOLE_STRUCTURE[[#This Row],[Bottom '[m']]]-WHOLE_STRUCTURE[[#This Row],[Top '[m']]]),"")</f>
        <v/>
      </c>
      <c r="P391" s="54" t="str">
        <f>IFERROR((WHOLE_STRUCTURE[[#This Row],[D, bottom '[m']]]+WHOLE_STRUCTURE[[#This Row],[D, top '[m']]])/(2*WHOLE_STRUCTURE[[#This Row],[t '[mm']]]/1000),"")</f>
        <v/>
      </c>
    </row>
    <row r="392" spans="13:16" x14ac:dyDescent="0.3">
      <c r="M392" s="54" t="str">
        <f t="shared" si="9"/>
        <v/>
      </c>
      <c r="N3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2" s="54" t="str">
        <f>IFERROR(-(WHOLE_STRUCTURE[[#This Row],[D, bottom '[m']]]-WHOLE_STRUCTURE[[#This Row],[D, top '[m']]])/(WHOLE_STRUCTURE[[#This Row],[Bottom '[m']]]-WHOLE_STRUCTURE[[#This Row],[Top '[m']]]),"")</f>
        <v/>
      </c>
      <c r="P392" s="54" t="str">
        <f>IFERROR((WHOLE_STRUCTURE[[#This Row],[D, bottom '[m']]]+WHOLE_STRUCTURE[[#This Row],[D, top '[m']]])/(2*WHOLE_STRUCTURE[[#This Row],[t '[mm']]]/1000),"")</f>
        <v/>
      </c>
    </row>
    <row r="393" spans="13:16" x14ac:dyDescent="0.3">
      <c r="M393" s="54" t="str">
        <f t="shared" si="9"/>
        <v/>
      </c>
      <c r="N3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3" s="54" t="str">
        <f>IFERROR(-(WHOLE_STRUCTURE[[#This Row],[D, bottom '[m']]]-WHOLE_STRUCTURE[[#This Row],[D, top '[m']]])/(WHOLE_STRUCTURE[[#This Row],[Bottom '[m']]]-WHOLE_STRUCTURE[[#This Row],[Top '[m']]]),"")</f>
        <v/>
      </c>
      <c r="P393" s="54" t="str">
        <f>IFERROR((WHOLE_STRUCTURE[[#This Row],[D, bottom '[m']]]+WHOLE_STRUCTURE[[#This Row],[D, top '[m']]])/(2*WHOLE_STRUCTURE[[#This Row],[t '[mm']]]/1000),"")</f>
        <v/>
      </c>
    </row>
    <row r="394" spans="13:16" x14ac:dyDescent="0.3">
      <c r="M394" s="54" t="str">
        <f t="shared" si="9"/>
        <v/>
      </c>
      <c r="N3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4" s="54" t="str">
        <f>IFERROR(-(WHOLE_STRUCTURE[[#This Row],[D, bottom '[m']]]-WHOLE_STRUCTURE[[#This Row],[D, top '[m']]])/(WHOLE_STRUCTURE[[#This Row],[Bottom '[m']]]-WHOLE_STRUCTURE[[#This Row],[Top '[m']]]),"")</f>
        <v/>
      </c>
      <c r="P394" s="54" t="str">
        <f>IFERROR((WHOLE_STRUCTURE[[#This Row],[D, bottom '[m']]]+WHOLE_STRUCTURE[[#This Row],[D, top '[m']]])/(2*WHOLE_STRUCTURE[[#This Row],[t '[mm']]]/1000),"")</f>
        <v/>
      </c>
    </row>
    <row r="395" spans="13:16" x14ac:dyDescent="0.3">
      <c r="M395" s="54" t="str">
        <f t="shared" si="9"/>
        <v/>
      </c>
      <c r="N3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5" s="54" t="str">
        <f>IFERROR(-(WHOLE_STRUCTURE[[#This Row],[D, bottom '[m']]]-WHOLE_STRUCTURE[[#This Row],[D, top '[m']]])/(WHOLE_STRUCTURE[[#This Row],[Bottom '[m']]]-WHOLE_STRUCTURE[[#This Row],[Top '[m']]]),"")</f>
        <v/>
      </c>
      <c r="P395" s="54" t="str">
        <f>IFERROR((WHOLE_STRUCTURE[[#This Row],[D, bottom '[m']]]+WHOLE_STRUCTURE[[#This Row],[D, top '[m']]])/(2*WHOLE_STRUCTURE[[#This Row],[t '[mm']]]/1000),"")</f>
        <v/>
      </c>
    </row>
    <row r="396" spans="13:16" x14ac:dyDescent="0.3">
      <c r="M396" s="54" t="str">
        <f t="shared" si="9"/>
        <v/>
      </c>
      <c r="N3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6" s="54" t="str">
        <f>IFERROR(-(WHOLE_STRUCTURE[[#This Row],[D, bottom '[m']]]-WHOLE_STRUCTURE[[#This Row],[D, top '[m']]])/(WHOLE_STRUCTURE[[#This Row],[Bottom '[m']]]-WHOLE_STRUCTURE[[#This Row],[Top '[m']]]),"")</f>
        <v/>
      </c>
      <c r="P396" s="54" t="str">
        <f>IFERROR((WHOLE_STRUCTURE[[#This Row],[D, bottom '[m']]]+WHOLE_STRUCTURE[[#This Row],[D, top '[m']]])/(2*WHOLE_STRUCTURE[[#This Row],[t '[mm']]]/1000),"")</f>
        <v/>
      </c>
    </row>
    <row r="397" spans="13:16" x14ac:dyDescent="0.3">
      <c r="M397" s="54" t="str">
        <f t="shared" si="9"/>
        <v/>
      </c>
      <c r="N3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7" s="54" t="str">
        <f>IFERROR(-(WHOLE_STRUCTURE[[#This Row],[D, bottom '[m']]]-WHOLE_STRUCTURE[[#This Row],[D, top '[m']]])/(WHOLE_STRUCTURE[[#This Row],[Bottom '[m']]]-WHOLE_STRUCTURE[[#This Row],[Top '[m']]]),"")</f>
        <v/>
      </c>
      <c r="P397" s="54" t="str">
        <f>IFERROR((WHOLE_STRUCTURE[[#This Row],[D, bottom '[m']]]+WHOLE_STRUCTURE[[#This Row],[D, top '[m']]])/(2*WHOLE_STRUCTURE[[#This Row],[t '[mm']]]/1000),"")</f>
        <v/>
      </c>
    </row>
    <row r="398" spans="13:16" x14ac:dyDescent="0.3">
      <c r="M398" s="54" t="str">
        <f t="shared" si="9"/>
        <v/>
      </c>
      <c r="N3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8" s="54" t="str">
        <f>IFERROR(-(WHOLE_STRUCTURE[[#This Row],[D, bottom '[m']]]-WHOLE_STRUCTURE[[#This Row],[D, top '[m']]])/(WHOLE_STRUCTURE[[#This Row],[Bottom '[m']]]-WHOLE_STRUCTURE[[#This Row],[Top '[m']]]),"")</f>
        <v/>
      </c>
      <c r="P398" s="54" t="str">
        <f>IFERROR((WHOLE_STRUCTURE[[#This Row],[D, bottom '[m']]]+WHOLE_STRUCTURE[[#This Row],[D, top '[m']]])/(2*WHOLE_STRUCTURE[[#This Row],[t '[mm']]]/1000),"")</f>
        <v/>
      </c>
    </row>
    <row r="399" spans="13:16" x14ac:dyDescent="0.3">
      <c r="M399" s="54" t="str">
        <f t="shared" si="9"/>
        <v/>
      </c>
      <c r="N3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9" s="54" t="str">
        <f>IFERROR(-(WHOLE_STRUCTURE[[#This Row],[D, bottom '[m']]]-WHOLE_STRUCTURE[[#This Row],[D, top '[m']]])/(WHOLE_STRUCTURE[[#This Row],[Bottom '[m']]]-WHOLE_STRUCTURE[[#This Row],[Top '[m']]]),"")</f>
        <v/>
      </c>
      <c r="P399" s="54" t="str">
        <f>IFERROR((WHOLE_STRUCTURE[[#This Row],[D, bottom '[m']]]+WHOLE_STRUCTURE[[#This Row],[D, top '[m']]])/(2*WHOLE_STRUCTURE[[#This Row],[t '[mm']]]/1000),"")</f>
        <v/>
      </c>
    </row>
    <row r="400" spans="13:16" x14ac:dyDescent="0.3">
      <c r="M400" s="54" t="str">
        <f t="shared" si="9"/>
        <v/>
      </c>
      <c r="N4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0" s="54" t="str">
        <f>IFERROR(-(WHOLE_STRUCTURE[[#This Row],[D, bottom '[m']]]-WHOLE_STRUCTURE[[#This Row],[D, top '[m']]])/(WHOLE_STRUCTURE[[#This Row],[Bottom '[m']]]-WHOLE_STRUCTURE[[#This Row],[Top '[m']]]),"")</f>
        <v/>
      </c>
      <c r="P400" s="54" t="str">
        <f>IFERROR((WHOLE_STRUCTURE[[#This Row],[D, bottom '[m']]]+WHOLE_STRUCTURE[[#This Row],[D, top '[m']]])/(2*WHOLE_STRUCTURE[[#This Row],[t '[mm']]]/1000),"")</f>
        <v/>
      </c>
    </row>
    <row r="401" spans="13:16" x14ac:dyDescent="0.3">
      <c r="M401" s="54" t="str">
        <f t="shared" si="9"/>
        <v/>
      </c>
      <c r="N4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1" s="54" t="str">
        <f>IFERROR(-(WHOLE_STRUCTURE[[#This Row],[D, bottom '[m']]]-WHOLE_STRUCTURE[[#This Row],[D, top '[m']]])/(WHOLE_STRUCTURE[[#This Row],[Bottom '[m']]]-WHOLE_STRUCTURE[[#This Row],[Top '[m']]]),"")</f>
        <v/>
      </c>
      <c r="P401" s="54" t="str">
        <f>IFERROR((WHOLE_STRUCTURE[[#This Row],[D, bottom '[m']]]+WHOLE_STRUCTURE[[#This Row],[D, top '[m']]])/(2*WHOLE_STRUCTURE[[#This Row],[t '[mm']]]/1000),"")</f>
        <v/>
      </c>
    </row>
    <row r="402" spans="13:16" x14ac:dyDescent="0.3">
      <c r="M402" s="54" t="str">
        <f t="shared" si="9"/>
        <v/>
      </c>
      <c r="N4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2" s="54" t="str">
        <f>IFERROR(-(WHOLE_STRUCTURE[[#This Row],[D, bottom '[m']]]-WHOLE_STRUCTURE[[#This Row],[D, top '[m']]])/(WHOLE_STRUCTURE[[#This Row],[Bottom '[m']]]-WHOLE_STRUCTURE[[#This Row],[Top '[m']]]),"")</f>
        <v/>
      </c>
      <c r="P402" s="54" t="str">
        <f>IFERROR((WHOLE_STRUCTURE[[#This Row],[D, bottom '[m']]]+WHOLE_STRUCTURE[[#This Row],[D, top '[m']]])/(2*WHOLE_STRUCTURE[[#This Row],[t '[mm']]]/1000),"")</f>
        <v/>
      </c>
    </row>
    <row r="403" spans="13:16" x14ac:dyDescent="0.3">
      <c r="M403" s="54" t="str">
        <f t="shared" si="9"/>
        <v/>
      </c>
      <c r="N4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3" s="54" t="str">
        <f>IFERROR(-(WHOLE_STRUCTURE[[#This Row],[D, bottom '[m']]]-WHOLE_STRUCTURE[[#This Row],[D, top '[m']]])/(WHOLE_STRUCTURE[[#This Row],[Bottom '[m']]]-WHOLE_STRUCTURE[[#This Row],[Top '[m']]]),"")</f>
        <v/>
      </c>
      <c r="P403" s="54" t="str">
        <f>IFERROR((WHOLE_STRUCTURE[[#This Row],[D, bottom '[m']]]+WHOLE_STRUCTURE[[#This Row],[D, top '[m']]])/(2*WHOLE_STRUCTURE[[#This Row],[t '[mm']]]/1000),"")</f>
        <v/>
      </c>
    </row>
    <row r="404" spans="13:16" x14ac:dyDescent="0.3">
      <c r="M404" s="54" t="str">
        <f t="shared" si="9"/>
        <v/>
      </c>
      <c r="N4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4" s="54" t="str">
        <f>IFERROR(-(WHOLE_STRUCTURE[[#This Row],[D, bottom '[m']]]-WHOLE_STRUCTURE[[#This Row],[D, top '[m']]])/(WHOLE_STRUCTURE[[#This Row],[Bottom '[m']]]-WHOLE_STRUCTURE[[#This Row],[Top '[m']]]),"")</f>
        <v/>
      </c>
      <c r="P404" s="54" t="str">
        <f>IFERROR((WHOLE_STRUCTURE[[#This Row],[D, bottom '[m']]]+WHOLE_STRUCTURE[[#This Row],[D, top '[m']]])/(2*WHOLE_STRUCTURE[[#This Row],[t '[mm']]]/1000),"")</f>
        <v/>
      </c>
    </row>
    <row r="405" spans="13:16" x14ac:dyDescent="0.3">
      <c r="M405" s="54" t="str">
        <f t="shared" si="9"/>
        <v/>
      </c>
      <c r="N4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5" s="54" t="str">
        <f>IFERROR(-(WHOLE_STRUCTURE[[#This Row],[D, bottom '[m']]]-WHOLE_STRUCTURE[[#This Row],[D, top '[m']]])/(WHOLE_STRUCTURE[[#This Row],[Bottom '[m']]]-WHOLE_STRUCTURE[[#This Row],[Top '[m']]]),"")</f>
        <v/>
      </c>
      <c r="P405" s="54" t="str">
        <f>IFERROR((WHOLE_STRUCTURE[[#This Row],[D, bottom '[m']]]+WHOLE_STRUCTURE[[#This Row],[D, top '[m']]])/(2*WHOLE_STRUCTURE[[#This Row],[t '[mm']]]/1000),"")</f>
        <v/>
      </c>
    </row>
    <row r="406" spans="13:16" x14ac:dyDescent="0.3">
      <c r="M406" s="54" t="str">
        <f t="shared" si="9"/>
        <v/>
      </c>
      <c r="N4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6" s="54" t="str">
        <f>IFERROR(-(WHOLE_STRUCTURE[[#This Row],[D, bottom '[m']]]-WHOLE_STRUCTURE[[#This Row],[D, top '[m']]])/(WHOLE_STRUCTURE[[#This Row],[Bottom '[m']]]-WHOLE_STRUCTURE[[#This Row],[Top '[m']]]),"")</f>
        <v/>
      </c>
      <c r="P406" s="54" t="str">
        <f>IFERROR((WHOLE_STRUCTURE[[#This Row],[D, bottom '[m']]]+WHOLE_STRUCTURE[[#This Row],[D, top '[m']]])/(2*WHOLE_STRUCTURE[[#This Row],[t '[mm']]]/1000),"")</f>
        <v/>
      </c>
    </row>
    <row r="407" spans="13:16" x14ac:dyDescent="0.3">
      <c r="M407" s="54" t="str">
        <f t="shared" si="9"/>
        <v/>
      </c>
      <c r="N4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7" s="54" t="str">
        <f>IFERROR(-(WHOLE_STRUCTURE[[#This Row],[D, bottom '[m']]]-WHOLE_STRUCTURE[[#This Row],[D, top '[m']]])/(WHOLE_STRUCTURE[[#This Row],[Bottom '[m']]]-WHOLE_STRUCTURE[[#This Row],[Top '[m']]]),"")</f>
        <v/>
      </c>
      <c r="P407" s="54" t="str">
        <f>IFERROR((WHOLE_STRUCTURE[[#This Row],[D, bottom '[m']]]+WHOLE_STRUCTURE[[#This Row],[D, top '[m']]])/(2*WHOLE_STRUCTURE[[#This Row],[t '[mm']]]/1000),"")</f>
        <v/>
      </c>
    </row>
    <row r="408" spans="13:16" x14ac:dyDescent="0.3">
      <c r="M408" s="54" t="str">
        <f t="shared" si="9"/>
        <v/>
      </c>
      <c r="N4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8" s="54" t="str">
        <f>IFERROR(-(WHOLE_STRUCTURE[[#This Row],[D, bottom '[m']]]-WHOLE_STRUCTURE[[#This Row],[D, top '[m']]])/(WHOLE_STRUCTURE[[#This Row],[Bottom '[m']]]-WHOLE_STRUCTURE[[#This Row],[Top '[m']]]),"")</f>
        <v/>
      </c>
      <c r="P408" s="54" t="str">
        <f>IFERROR((WHOLE_STRUCTURE[[#This Row],[D, bottom '[m']]]+WHOLE_STRUCTURE[[#This Row],[D, top '[m']]])/(2*WHOLE_STRUCTURE[[#This Row],[t '[mm']]]/1000),"")</f>
        <v/>
      </c>
    </row>
    <row r="409" spans="13:16" x14ac:dyDescent="0.3">
      <c r="M409" s="54" t="str">
        <f t="shared" si="9"/>
        <v/>
      </c>
      <c r="N4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9" s="54" t="str">
        <f>IFERROR(-(WHOLE_STRUCTURE[[#This Row],[D, bottom '[m']]]-WHOLE_STRUCTURE[[#This Row],[D, top '[m']]])/(WHOLE_STRUCTURE[[#This Row],[Bottom '[m']]]-WHOLE_STRUCTURE[[#This Row],[Top '[m']]]),"")</f>
        <v/>
      </c>
      <c r="P409" s="54" t="str">
        <f>IFERROR((WHOLE_STRUCTURE[[#This Row],[D, bottom '[m']]]+WHOLE_STRUCTURE[[#This Row],[D, top '[m']]])/(2*WHOLE_STRUCTURE[[#This Row],[t '[mm']]]/1000),"")</f>
        <v/>
      </c>
    </row>
    <row r="410" spans="13:16" x14ac:dyDescent="0.3">
      <c r="M410" s="54" t="str">
        <f t="shared" si="9"/>
        <v/>
      </c>
      <c r="N4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0" s="54" t="str">
        <f>IFERROR(-(WHOLE_STRUCTURE[[#This Row],[D, bottom '[m']]]-WHOLE_STRUCTURE[[#This Row],[D, top '[m']]])/(WHOLE_STRUCTURE[[#This Row],[Bottom '[m']]]-WHOLE_STRUCTURE[[#This Row],[Top '[m']]]),"")</f>
        <v/>
      </c>
      <c r="P410" s="54" t="str">
        <f>IFERROR((WHOLE_STRUCTURE[[#This Row],[D, bottom '[m']]]+WHOLE_STRUCTURE[[#This Row],[D, top '[m']]])/(2*WHOLE_STRUCTURE[[#This Row],[t '[mm']]]/1000),"")</f>
        <v/>
      </c>
    </row>
    <row r="411" spans="13:16" x14ac:dyDescent="0.3">
      <c r="M411" s="54" t="str">
        <f t="shared" si="9"/>
        <v/>
      </c>
      <c r="N4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1" s="54" t="str">
        <f>IFERROR(-(WHOLE_STRUCTURE[[#This Row],[D, bottom '[m']]]-WHOLE_STRUCTURE[[#This Row],[D, top '[m']]])/(WHOLE_STRUCTURE[[#This Row],[Bottom '[m']]]-WHOLE_STRUCTURE[[#This Row],[Top '[m']]]),"")</f>
        <v/>
      </c>
      <c r="P411" s="54" t="str">
        <f>IFERROR((WHOLE_STRUCTURE[[#This Row],[D, bottom '[m']]]+WHOLE_STRUCTURE[[#This Row],[D, top '[m']]])/(2*WHOLE_STRUCTURE[[#This Row],[t '[mm']]]/1000),"")</f>
        <v/>
      </c>
    </row>
    <row r="412" spans="13:16" x14ac:dyDescent="0.3">
      <c r="M412" s="54" t="str">
        <f t="shared" si="9"/>
        <v/>
      </c>
      <c r="N4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2" s="54" t="str">
        <f>IFERROR(-(WHOLE_STRUCTURE[[#This Row],[D, bottom '[m']]]-WHOLE_STRUCTURE[[#This Row],[D, top '[m']]])/(WHOLE_STRUCTURE[[#This Row],[Bottom '[m']]]-WHOLE_STRUCTURE[[#This Row],[Top '[m']]]),"")</f>
        <v/>
      </c>
      <c r="P412" s="54" t="str">
        <f>IFERROR((WHOLE_STRUCTURE[[#This Row],[D, bottom '[m']]]+WHOLE_STRUCTURE[[#This Row],[D, top '[m']]])/(2*WHOLE_STRUCTURE[[#This Row],[t '[mm']]]/1000),"")</f>
        <v/>
      </c>
    </row>
    <row r="413" spans="13:16" x14ac:dyDescent="0.3">
      <c r="M413" s="54" t="str">
        <f t="shared" si="9"/>
        <v/>
      </c>
      <c r="N4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3" s="54" t="str">
        <f>IFERROR(-(WHOLE_STRUCTURE[[#This Row],[D, bottom '[m']]]-WHOLE_STRUCTURE[[#This Row],[D, top '[m']]])/(WHOLE_STRUCTURE[[#This Row],[Bottom '[m']]]-WHOLE_STRUCTURE[[#This Row],[Top '[m']]]),"")</f>
        <v/>
      </c>
      <c r="P413" s="54" t="str">
        <f>IFERROR((WHOLE_STRUCTURE[[#This Row],[D, bottom '[m']]]+WHOLE_STRUCTURE[[#This Row],[D, top '[m']]])/(2*WHOLE_STRUCTURE[[#This Row],[t '[mm']]]/1000),"")</f>
        <v/>
      </c>
    </row>
    <row r="414" spans="13:16" x14ac:dyDescent="0.3">
      <c r="M414" s="54" t="str">
        <f t="shared" si="9"/>
        <v/>
      </c>
      <c r="N4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4" s="54" t="str">
        <f>IFERROR(-(WHOLE_STRUCTURE[[#This Row],[D, bottom '[m']]]-WHOLE_STRUCTURE[[#This Row],[D, top '[m']]])/(WHOLE_STRUCTURE[[#This Row],[Bottom '[m']]]-WHOLE_STRUCTURE[[#This Row],[Top '[m']]]),"")</f>
        <v/>
      </c>
      <c r="P414" s="54" t="str">
        <f>IFERROR((WHOLE_STRUCTURE[[#This Row],[D, bottom '[m']]]+WHOLE_STRUCTURE[[#This Row],[D, top '[m']]])/(2*WHOLE_STRUCTURE[[#This Row],[t '[mm']]]/1000),"")</f>
        <v/>
      </c>
    </row>
    <row r="415" spans="13:16" x14ac:dyDescent="0.3">
      <c r="M415" s="54" t="str">
        <f t="shared" si="9"/>
        <v/>
      </c>
      <c r="N4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5" s="54" t="str">
        <f>IFERROR(-(WHOLE_STRUCTURE[[#This Row],[D, bottom '[m']]]-WHOLE_STRUCTURE[[#This Row],[D, top '[m']]])/(WHOLE_STRUCTURE[[#This Row],[Bottom '[m']]]-WHOLE_STRUCTURE[[#This Row],[Top '[m']]]),"")</f>
        <v/>
      </c>
      <c r="P415" s="54" t="str">
        <f>IFERROR((WHOLE_STRUCTURE[[#This Row],[D, bottom '[m']]]+WHOLE_STRUCTURE[[#This Row],[D, top '[m']]])/(2*WHOLE_STRUCTURE[[#This Row],[t '[mm']]]/1000),"")</f>
        <v/>
      </c>
    </row>
    <row r="416" spans="13:16" x14ac:dyDescent="0.3">
      <c r="M416" s="54" t="str">
        <f t="shared" si="9"/>
        <v/>
      </c>
      <c r="N4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6" s="54" t="str">
        <f>IFERROR(-(WHOLE_STRUCTURE[[#This Row],[D, bottom '[m']]]-WHOLE_STRUCTURE[[#This Row],[D, top '[m']]])/(WHOLE_STRUCTURE[[#This Row],[Bottom '[m']]]-WHOLE_STRUCTURE[[#This Row],[Top '[m']]]),"")</f>
        <v/>
      </c>
      <c r="P416" s="54" t="str">
        <f>IFERROR((WHOLE_STRUCTURE[[#This Row],[D, bottom '[m']]]+WHOLE_STRUCTURE[[#This Row],[D, top '[m']]])/(2*WHOLE_STRUCTURE[[#This Row],[t '[mm']]]/1000),"")</f>
        <v/>
      </c>
    </row>
    <row r="417" spans="13:16" x14ac:dyDescent="0.3">
      <c r="M417" s="54" t="str">
        <f t="shared" si="9"/>
        <v/>
      </c>
      <c r="N4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7" s="54" t="str">
        <f>IFERROR(-(WHOLE_STRUCTURE[[#This Row],[D, bottom '[m']]]-WHOLE_STRUCTURE[[#This Row],[D, top '[m']]])/(WHOLE_STRUCTURE[[#This Row],[Bottom '[m']]]-WHOLE_STRUCTURE[[#This Row],[Top '[m']]]),"")</f>
        <v/>
      </c>
      <c r="P417" s="54" t="str">
        <f>IFERROR((WHOLE_STRUCTURE[[#This Row],[D, bottom '[m']]]+WHOLE_STRUCTURE[[#This Row],[D, top '[m']]])/(2*WHOLE_STRUCTURE[[#This Row],[t '[mm']]]/1000),"")</f>
        <v/>
      </c>
    </row>
    <row r="418" spans="13:16" x14ac:dyDescent="0.3">
      <c r="M418" s="54" t="str">
        <f t="shared" si="9"/>
        <v/>
      </c>
      <c r="N4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8" s="54" t="str">
        <f>IFERROR(-(WHOLE_STRUCTURE[[#This Row],[D, bottom '[m']]]-WHOLE_STRUCTURE[[#This Row],[D, top '[m']]])/(WHOLE_STRUCTURE[[#This Row],[Bottom '[m']]]-WHOLE_STRUCTURE[[#This Row],[Top '[m']]]),"")</f>
        <v/>
      </c>
      <c r="P418" s="54" t="str">
        <f>IFERROR((WHOLE_STRUCTURE[[#This Row],[D, bottom '[m']]]+WHOLE_STRUCTURE[[#This Row],[D, top '[m']]])/(2*WHOLE_STRUCTURE[[#This Row],[t '[mm']]]/1000),"")</f>
        <v/>
      </c>
    </row>
    <row r="419" spans="13:16" x14ac:dyDescent="0.3">
      <c r="M419" s="54" t="str">
        <f t="shared" si="9"/>
        <v/>
      </c>
      <c r="N4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9" s="54" t="str">
        <f>IFERROR(-(WHOLE_STRUCTURE[[#This Row],[D, bottom '[m']]]-WHOLE_STRUCTURE[[#This Row],[D, top '[m']]])/(WHOLE_STRUCTURE[[#This Row],[Bottom '[m']]]-WHOLE_STRUCTURE[[#This Row],[Top '[m']]]),"")</f>
        <v/>
      </c>
      <c r="P419" s="54" t="str">
        <f>IFERROR((WHOLE_STRUCTURE[[#This Row],[D, bottom '[m']]]+WHOLE_STRUCTURE[[#This Row],[D, top '[m']]])/(2*WHOLE_STRUCTURE[[#This Row],[t '[mm']]]/1000),"")</f>
        <v/>
      </c>
    </row>
    <row r="420" spans="13:16" x14ac:dyDescent="0.3">
      <c r="M420" s="54" t="str">
        <f t="shared" si="9"/>
        <v/>
      </c>
      <c r="N4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0" s="54" t="str">
        <f>IFERROR(-(WHOLE_STRUCTURE[[#This Row],[D, bottom '[m']]]-WHOLE_STRUCTURE[[#This Row],[D, top '[m']]])/(WHOLE_STRUCTURE[[#This Row],[Bottom '[m']]]-WHOLE_STRUCTURE[[#This Row],[Top '[m']]]),"")</f>
        <v/>
      </c>
      <c r="P420" s="54" t="str">
        <f>IFERROR((WHOLE_STRUCTURE[[#This Row],[D, bottom '[m']]]+WHOLE_STRUCTURE[[#This Row],[D, top '[m']]])/(2*WHOLE_STRUCTURE[[#This Row],[t '[mm']]]/1000),"")</f>
        <v/>
      </c>
    </row>
    <row r="421" spans="13:16" x14ac:dyDescent="0.3">
      <c r="M421" s="54" t="str">
        <f t="shared" si="9"/>
        <v/>
      </c>
      <c r="N4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1" s="54" t="str">
        <f>IFERROR(-(WHOLE_STRUCTURE[[#This Row],[D, bottom '[m']]]-WHOLE_STRUCTURE[[#This Row],[D, top '[m']]])/(WHOLE_STRUCTURE[[#This Row],[Bottom '[m']]]-WHOLE_STRUCTURE[[#This Row],[Top '[m']]]),"")</f>
        <v/>
      </c>
      <c r="P421" s="54" t="str">
        <f>IFERROR((WHOLE_STRUCTURE[[#This Row],[D, bottom '[m']]]+WHOLE_STRUCTURE[[#This Row],[D, top '[m']]])/(2*WHOLE_STRUCTURE[[#This Row],[t '[mm']]]/1000),"")</f>
        <v/>
      </c>
    </row>
    <row r="422" spans="13:16" x14ac:dyDescent="0.3">
      <c r="M422" s="54" t="str">
        <f t="shared" si="9"/>
        <v/>
      </c>
      <c r="N4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2" s="54" t="str">
        <f>IFERROR(-(WHOLE_STRUCTURE[[#This Row],[D, bottom '[m']]]-WHOLE_STRUCTURE[[#This Row],[D, top '[m']]])/(WHOLE_STRUCTURE[[#This Row],[Bottom '[m']]]-WHOLE_STRUCTURE[[#This Row],[Top '[m']]]),"")</f>
        <v/>
      </c>
      <c r="P422" s="54" t="str">
        <f>IFERROR((WHOLE_STRUCTURE[[#This Row],[D, bottom '[m']]]+WHOLE_STRUCTURE[[#This Row],[D, top '[m']]])/(2*WHOLE_STRUCTURE[[#This Row],[t '[mm']]]/1000),"")</f>
        <v/>
      </c>
    </row>
    <row r="423" spans="13:16" x14ac:dyDescent="0.3">
      <c r="M423" s="54" t="str">
        <f t="shared" si="9"/>
        <v/>
      </c>
      <c r="N4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3" s="54" t="str">
        <f>IFERROR(-(WHOLE_STRUCTURE[[#This Row],[D, bottom '[m']]]-WHOLE_STRUCTURE[[#This Row],[D, top '[m']]])/(WHOLE_STRUCTURE[[#This Row],[Bottom '[m']]]-WHOLE_STRUCTURE[[#This Row],[Top '[m']]]),"")</f>
        <v/>
      </c>
      <c r="P423" s="54" t="str">
        <f>IFERROR((WHOLE_STRUCTURE[[#This Row],[D, bottom '[m']]]+WHOLE_STRUCTURE[[#This Row],[D, top '[m']]])/(2*WHOLE_STRUCTURE[[#This Row],[t '[mm']]]/1000),"")</f>
        <v/>
      </c>
    </row>
    <row r="424" spans="13:16" x14ac:dyDescent="0.3">
      <c r="M424" s="54" t="str">
        <f t="shared" si="9"/>
        <v/>
      </c>
      <c r="N4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4" s="54" t="str">
        <f>IFERROR(-(WHOLE_STRUCTURE[[#This Row],[D, bottom '[m']]]-WHOLE_STRUCTURE[[#This Row],[D, top '[m']]])/(WHOLE_STRUCTURE[[#This Row],[Bottom '[m']]]-WHOLE_STRUCTURE[[#This Row],[Top '[m']]]),"")</f>
        <v/>
      </c>
      <c r="P424" s="54" t="str">
        <f>IFERROR((WHOLE_STRUCTURE[[#This Row],[D, bottom '[m']]]+WHOLE_STRUCTURE[[#This Row],[D, top '[m']]])/(2*WHOLE_STRUCTURE[[#This Row],[t '[mm']]]/1000),"")</f>
        <v/>
      </c>
    </row>
    <row r="425" spans="13:16" x14ac:dyDescent="0.3">
      <c r="M425" s="54" t="str">
        <f t="shared" si="9"/>
        <v/>
      </c>
      <c r="N4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5" s="54" t="str">
        <f>IFERROR(-(WHOLE_STRUCTURE[[#This Row],[D, bottom '[m']]]-WHOLE_STRUCTURE[[#This Row],[D, top '[m']]])/(WHOLE_STRUCTURE[[#This Row],[Bottom '[m']]]-WHOLE_STRUCTURE[[#This Row],[Top '[m']]]),"")</f>
        <v/>
      </c>
      <c r="P425" s="54" t="str">
        <f>IFERROR((WHOLE_STRUCTURE[[#This Row],[D, bottom '[m']]]+WHOLE_STRUCTURE[[#This Row],[D, top '[m']]])/(2*WHOLE_STRUCTURE[[#This Row],[t '[mm']]]/1000),"")</f>
        <v/>
      </c>
    </row>
    <row r="426" spans="13:16" x14ac:dyDescent="0.3">
      <c r="M426" s="54" t="str">
        <f t="shared" si="9"/>
        <v/>
      </c>
      <c r="N4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6" s="54" t="str">
        <f>IFERROR(-(WHOLE_STRUCTURE[[#This Row],[D, bottom '[m']]]-WHOLE_STRUCTURE[[#This Row],[D, top '[m']]])/(WHOLE_STRUCTURE[[#This Row],[Bottom '[m']]]-WHOLE_STRUCTURE[[#This Row],[Top '[m']]]),"")</f>
        <v/>
      </c>
      <c r="P426" s="54" t="str">
        <f>IFERROR((WHOLE_STRUCTURE[[#This Row],[D, bottom '[m']]]+WHOLE_STRUCTURE[[#This Row],[D, top '[m']]])/(2*WHOLE_STRUCTURE[[#This Row],[t '[mm']]]/1000),"")</f>
        <v/>
      </c>
    </row>
    <row r="427" spans="13:16" x14ac:dyDescent="0.3">
      <c r="M427" s="54" t="str">
        <f t="shared" si="9"/>
        <v/>
      </c>
      <c r="N4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7" s="54" t="str">
        <f>IFERROR(-(WHOLE_STRUCTURE[[#This Row],[D, bottom '[m']]]-WHOLE_STRUCTURE[[#This Row],[D, top '[m']]])/(WHOLE_STRUCTURE[[#This Row],[Bottom '[m']]]-WHOLE_STRUCTURE[[#This Row],[Top '[m']]]),"")</f>
        <v/>
      </c>
      <c r="P427" s="54" t="str">
        <f>IFERROR((WHOLE_STRUCTURE[[#This Row],[D, bottom '[m']]]+WHOLE_STRUCTURE[[#This Row],[D, top '[m']]])/(2*WHOLE_STRUCTURE[[#This Row],[t '[mm']]]/1000),"")</f>
        <v/>
      </c>
    </row>
    <row r="428" spans="13:16" x14ac:dyDescent="0.3">
      <c r="M428" s="54" t="str">
        <f t="shared" si="9"/>
        <v/>
      </c>
      <c r="N4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8" s="54" t="str">
        <f>IFERROR(-(WHOLE_STRUCTURE[[#This Row],[D, bottom '[m']]]-WHOLE_STRUCTURE[[#This Row],[D, top '[m']]])/(WHOLE_STRUCTURE[[#This Row],[Bottom '[m']]]-WHOLE_STRUCTURE[[#This Row],[Top '[m']]]),"")</f>
        <v/>
      </c>
      <c r="P428" s="54" t="str">
        <f>IFERROR((WHOLE_STRUCTURE[[#This Row],[D, bottom '[m']]]+WHOLE_STRUCTURE[[#This Row],[D, top '[m']]])/(2*WHOLE_STRUCTURE[[#This Row],[t '[mm']]]/1000),"")</f>
        <v/>
      </c>
    </row>
    <row r="429" spans="13:16" x14ac:dyDescent="0.3">
      <c r="M429" s="54" t="str">
        <f t="shared" si="9"/>
        <v/>
      </c>
      <c r="N4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9" s="54" t="str">
        <f>IFERROR(-(WHOLE_STRUCTURE[[#This Row],[D, bottom '[m']]]-WHOLE_STRUCTURE[[#This Row],[D, top '[m']]])/(WHOLE_STRUCTURE[[#This Row],[Bottom '[m']]]-WHOLE_STRUCTURE[[#This Row],[Top '[m']]]),"")</f>
        <v/>
      </c>
      <c r="P429" s="54" t="str">
        <f>IFERROR((WHOLE_STRUCTURE[[#This Row],[D, bottom '[m']]]+WHOLE_STRUCTURE[[#This Row],[D, top '[m']]])/(2*WHOLE_STRUCTURE[[#This Row],[t '[mm']]]/1000),"")</f>
        <v/>
      </c>
    </row>
    <row r="430" spans="13:16" x14ac:dyDescent="0.3">
      <c r="M430" s="54" t="str">
        <f t="shared" si="9"/>
        <v/>
      </c>
      <c r="N4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0" s="54" t="str">
        <f>IFERROR(-(WHOLE_STRUCTURE[[#This Row],[D, bottom '[m']]]-WHOLE_STRUCTURE[[#This Row],[D, top '[m']]])/(WHOLE_STRUCTURE[[#This Row],[Bottom '[m']]]-WHOLE_STRUCTURE[[#This Row],[Top '[m']]]),"")</f>
        <v/>
      </c>
      <c r="P430" s="54" t="str">
        <f>IFERROR((WHOLE_STRUCTURE[[#This Row],[D, bottom '[m']]]+WHOLE_STRUCTURE[[#This Row],[D, top '[m']]])/(2*WHOLE_STRUCTURE[[#This Row],[t '[mm']]]/1000),"")</f>
        <v/>
      </c>
    </row>
    <row r="431" spans="13:16" x14ac:dyDescent="0.3">
      <c r="M431" s="54" t="str">
        <f t="shared" si="9"/>
        <v/>
      </c>
      <c r="N4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1" s="54" t="str">
        <f>IFERROR(-(WHOLE_STRUCTURE[[#This Row],[D, bottom '[m']]]-WHOLE_STRUCTURE[[#This Row],[D, top '[m']]])/(WHOLE_STRUCTURE[[#This Row],[Bottom '[m']]]-WHOLE_STRUCTURE[[#This Row],[Top '[m']]]),"")</f>
        <v/>
      </c>
      <c r="P431" s="54" t="str">
        <f>IFERROR((WHOLE_STRUCTURE[[#This Row],[D, bottom '[m']]]+WHOLE_STRUCTURE[[#This Row],[D, top '[m']]])/(2*WHOLE_STRUCTURE[[#This Row],[t '[mm']]]/1000),"")</f>
        <v/>
      </c>
    </row>
    <row r="432" spans="13:16" x14ac:dyDescent="0.3">
      <c r="M432" s="54" t="str">
        <f t="shared" si="9"/>
        <v/>
      </c>
      <c r="N4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2" s="54" t="str">
        <f>IFERROR(-(WHOLE_STRUCTURE[[#This Row],[D, bottom '[m']]]-WHOLE_STRUCTURE[[#This Row],[D, top '[m']]])/(WHOLE_STRUCTURE[[#This Row],[Bottom '[m']]]-WHOLE_STRUCTURE[[#This Row],[Top '[m']]]),"")</f>
        <v/>
      </c>
      <c r="P432" s="54" t="str">
        <f>IFERROR((WHOLE_STRUCTURE[[#This Row],[D, bottom '[m']]]+WHOLE_STRUCTURE[[#This Row],[D, top '[m']]])/(2*WHOLE_STRUCTURE[[#This Row],[t '[mm']]]/1000),"")</f>
        <v/>
      </c>
    </row>
    <row r="433" spans="13:16" x14ac:dyDescent="0.3">
      <c r="M433" s="54" t="str">
        <f t="shared" si="9"/>
        <v/>
      </c>
      <c r="N4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3" s="54" t="str">
        <f>IFERROR(-(WHOLE_STRUCTURE[[#This Row],[D, bottom '[m']]]-WHOLE_STRUCTURE[[#This Row],[D, top '[m']]])/(WHOLE_STRUCTURE[[#This Row],[Bottom '[m']]]-WHOLE_STRUCTURE[[#This Row],[Top '[m']]]),"")</f>
        <v/>
      </c>
      <c r="P433" s="54" t="str">
        <f>IFERROR((WHOLE_STRUCTURE[[#This Row],[D, bottom '[m']]]+WHOLE_STRUCTURE[[#This Row],[D, top '[m']]])/(2*WHOLE_STRUCTURE[[#This Row],[t '[mm']]]/1000),"")</f>
        <v/>
      </c>
    </row>
    <row r="434" spans="13:16" x14ac:dyDescent="0.3">
      <c r="M434" s="54" t="str">
        <f t="shared" si="9"/>
        <v/>
      </c>
      <c r="N4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4" s="54" t="str">
        <f>IFERROR(-(WHOLE_STRUCTURE[[#This Row],[D, bottom '[m']]]-WHOLE_STRUCTURE[[#This Row],[D, top '[m']]])/(WHOLE_STRUCTURE[[#This Row],[Bottom '[m']]]-WHOLE_STRUCTURE[[#This Row],[Top '[m']]]),"")</f>
        <v/>
      </c>
      <c r="P434" s="54" t="str">
        <f>IFERROR((WHOLE_STRUCTURE[[#This Row],[D, bottom '[m']]]+WHOLE_STRUCTURE[[#This Row],[D, top '[m']]])/(2*WHOLE_STRUCTURE[[#This Row],[t '[mm']]]/1000),"")</f>
        <v/>
      </c>
    </row>
    <row r="435" spans="13:16" x14ac:dyDescent="0.3">
      <c r="M435" s="54" t="str">
        <f t="shared" si="9"/>
        <v/>
      </c>
      <c r="N4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5" s="54" t="str">
        <f>IFERROR(-(WHOLE_STRUCTURE[[#This Row],[D, bottom '[m']]]-WHOLE_STRUCTURE[[#This Row],[D, top '[m']]])/(WHOLE_STRUCTURE[[#This Row],[Bottom '[m']]]-WHOLE_STRUCTURE[[#This Row],[Top '[m']]]),"")</f>
        <v/>
      </c>
      <c r="P435" s="54" t="str">
        <f>IFERROR((WHOLE_STRUCTURE[[#This Row],[D, bottom '[m']]]+WHOLE_STRUCTURE[[#This Row],[D, top '[m']]])/(2*WHOLE_STRUCTURE[[#This Row],[t '[mm']]]/1000),"")</f>
        <v/>
      </c>
    </row>
    <row r="436" spans="13:16" x14ac:dyDescent="0.3">
      <c r="M436" s="54" t="str">
        <f t="shared" si="9"/>
        <v/>
      </c>
      <c r="N4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6" s="54" t="str">
        <f>IFERROR(-(WHOLE_STRUCTURE[[#This Row],[D, bottom '[m']]]-WHOLE_STRUCTURE[[#This Row],[D, top '[m']]])/(WHOLE_STRUCTURE[[#This Row],[Bottom '[m']]]-WHOLE_STRUCTURE[[#This Row],[Top '[m']]]),"")</f>
        <v/>
      </c>
      <c r="P436" s="54" t="str">
        <f>IFERROR((WHOLE_STRUCTURE[[#This Row],[D, bottom '[m']]]+WHOLE_STRUCTURE[[#This Row],[D, top '[m']]])/(2*WHOLE_STRUCTURE[[#This Row],[t '[mm']]]/1000),"")</f>
        <v/>
      </c>
    </row>
    <row r="437" spans="13:16" x14ac:dyDescent="0.3">
      <c r="M437" s="54" t="str">
        <f t="shared" si="9"/>
        <v/>
      </c>
      <c r="N4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7" s="54" t="str">
        <f>IFERROR(-(WHOLE_STRUCTURE[[#This Row],[D, bottom '[m']]]-WHOLE_STRUCTURE[[#This Row],[D, top '[m']]])/(WHOLE_STRUCTURE[[#This Row],[Bottom '[m']]]-WHOLE_STRUCTURE[[#This Row],[Top '[m']]]),"")</f>
        <v/>
      </c>
      <c r="P437" s="54" t="str">
        <f>IFERROR((WHOLE_STRUCTURE[[#This Row],[D, bottom '[m']]]+WHOLE_STRUCTURE[[#This Row],[D, top '[m']]])/(2*WHOLE_STRUCTURE[[#This Row],[t '[mm']]]/1000),"")</f>
        <v/>
      </c>
    </row>
    <row r="438" spans="13:16" x14ac:dyDescent="0.3">
      <c r="M438" s="54" t="str">
        <f t="shared" si="9"/>
        <v/>
      </c>
      <c r="N4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8" s="54" t="str">
        <f>IFERROR(-(WHOLE_STRUCTURE[[#This Row],[D, bottom '[m']]]-WHOLE_STRUCTURE[[#This Row],[D, top '[m']]])/(WHOLE_STRUCTURE[[#This Row],[Bottom '[m']]]-WHOLE_STRUCTURE[[#This Row],[Top '[m']]]),"")</f>
        <v/>
      </c>
      <c r="P438" s="54" t="str">
        <f>IFERROR((WHOLE_STRUCTURE[[#This Row],[D, bottom '[m']]]+WHOLE_STRUCTURE[[#This Row],[D, top '[m']]])/(2*WHOLE_STRUCTURE[[#This Row],[t '[mm']]]/1000),"")</f>
        <v/>
      </c>
    </row>
    <row r="439" spans="13:16" x14ac:dyDescent="0.3">
      <c r="M439" s="54" t="str">
        <f t="shared" si="9"/>
        <v/>
      </c>
      <c r="N4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9" s="54" t="str">
        <f>IFERROR(-(WHOLE_STRUCTURE[[#This Row],[D, bottom '[m']]]-WHOLE_STRUCTURE[[#This Row],[D, top '[m']]])/(WHOLE_STRUCTURE[[#This Row],[Bottom '[m']]]-WHOLE_STRUCTURE[[#This Row],[Top '[m']]]),"")</f>
        <v/>
      </c>
      <c r="P439" s="54" t="str">
        <f>IFERROR((WHOLE_STRUCTURE[[#This Row],[D, bottom '[m']]]+WHOLE_STRUCTURE[[#This Row],[D, top '[m']]])/(2*WHOLE_STRUCTURE[[#This Row],[t '[mm']]]/1000),"")</f>
        <v/>
      </c>
    </row>
    <row r="440" spans="13:16" x14ac:dyDescent="0.3">
      <c r="M440" s="54" t="str">
        <f t="shared" si="9"/>
        <v/>
      </c>
      <c r="N4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0" s="54" t="str">
        <f>IFERROR(-(WHOLE_STRUCTURE[[#This Row],[D, bottom '[m']]]-WHOLE_STRUCTURE[[#This Row],[D, top '[m']]])/(WHOLE_STRUCTURE[[#This Row],[Bottom '[m']]]-WHOLE_STRUCTURE[[#This Row],[Top '[m']]]),"")</f>
        <v/>
      </c>
      <c r="P440" s="54" t="str">
        <f>IFERROR((WHOLE_STRUCTURE[[#This Row],[D, bottom '[m']]]+WHOLE_STRUCTURE[[#This Row],[D, top '[m']]])/(2*WHOLE_STRUCTURE[[#This Row],[t '[mm']]]/1000),"")</f>
        <v/>
      </c>
    </row>
    <row r="441" spans="13:16" x14ac:dyDescent="0.3">
      <c r="M441" s="54" t="str">
        <f t="shared" si="9"/>
        <v/>
      </c>
      <c r="N4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1" s="54" t="str">
        <f>IFERROR(-(WHOLE_STRUCTURE[[#This Row],[D, bottom '[m']]]-WHOLE_STRUCTURE[[#This Row],[D, top '[m']]])/(WHOLE_STRUCTURE[[#This Row],[Bottom '[m']]]-WHOLE_STRUCTURE[[#This Row],[Top '[m']]]),"")</f>
        <v/>
      </c>
      <c r="P441" s="54" t="str">
        <f>IFERROR((WHOLE_STRUCTURE[[#This Row],[D, bottom '[m']]]+WHOLE_STRUCTURE[[#This Row],[D, top '[m']]])/(2*WHOLE_STRUCTURE[[#This Row],[t '[mm']]]/1000),"")</f>
        <v/>
      </c>
    </row>
    <row r="442" spans="13:16" x14ac:dyDescent="0.3">
      <c r="M442" s="54" t="str">
        <f t="shared" si="9"/>
        <v/>
      </c>
      <c r="N4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2" s="54" t="str">
        <f>IFERROR(-(WHOLE_STRUCTURE[[#This Row],[D, bottom '[m']]]-WHOLE_STRUCTURE[[#This Row],[D, top '[m']]])/(WHOLE_STRUCTURE[[#This Row],[Bottom '[m']]]-WHOLE_STRUCTURE[[#This Row],[Top '[m']]]),"")</f>
        <v/>
      </c>
      <c r="P442" s="54" t="str">
        <f>IFERROR((WHOLE_STRUCTURE[[#This Row],[D, bottom '[m']]]+WHOLE_STRUCTURE[[#This Row],[D, top '[m']]])/(2*WHOLE_STRUCTURE[[#This Row],[t '[mm']]]/1000),"")</f>
        <v/>
      </c>
    </row>
    <row r="443" spans="13:16" x14ac:dyDescent="0.3">
      <c r="M443" s="54" t="str">
        <f t="shared" si="9"/>
        <v/>
      </c>
      <c r="N4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3" s="54" t="str">
        <f>IFERROR(-(WHOLE_STRUCTURE[[#This Row],[D, bottom '[m']]]-WHOLE_STRUCTURE[[#This Row],[D, top '[m']]])/(WHOLE_STRUCTURE[[#This Row],[Bottom '[m']]]-WHOLE_STRUCTURE[[#This Row],[Top '[m']]]),"")</f>
        <v/>
      </c>
      <c r="P443" s="54" t="str">
        <f>IFERROR((WHOLE_STRUCTURE[[#This Row],[D, bottom '[m']]]+WHOLE_STRUCTURE[[#This Row],[D, top '[m']]])/(2*WHOLE_STRUCTURE[[#This Row],[t '[mm']]]/1000),"")</f>
        <v/>
      </c>
    </row>
    <row r="444" spans="13:16" x14ac:dyDescent="0.3">
      <c r="M444" s="54" t="str">
        <f t="shared" si="9"/>
        <v/>
      </c>
      <c r="N4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4" s="54" t="str">
        <f>IFERROR(-(WHOLE_STRUCTURE[[#This Row],[D, bottom '[m']]]-WHOLE_STRUCTURE[[#This Row],[D, top '[m']]])/(WHOLE_STRUCTURE[[#This Row],[Bottom '[m']]]-WHOLE_STRUCTURE[[#This Row],[Top '[m']]]),"")</f>
        <v/>
      </c>
      <c r="P444" s="54" t="str">
        <f>IFERROR((WHOLE_STRUCTURE[[#This Row],[D, bottom '[m']]]+WHOLE_STRUCTURE[[#This Row],[D, top '[m']]])/(2*WHOLE_STRUCTURE[[#This Row],[t '[mm']]]/1000),"")</f>
        <v/>
      </c>
    </row>
    <row r="445" spans="13:16" x14ac:dyDescent="0.3">
      <c r="M445" s="54" t="str">
        <f t="shared" si="9"/>
        <v/>
      </c>
      <c r="N4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5" s="54" t="str">
        <f>IFERROR(-(WHOLE_STRUCTURE[[#This Row],[D, bottom '[m']]]-WHOLE_STRUCTURE[[#This Row],[D, top '[m']]])/(WHOLE_STRUCTURE[[#This Row],[Bottom '[m']]]-WHOLE_STRUCTURE[[#This Row],[Top '[m']]]),"")</f>
        <v/>
      </c>
      <c r="P445" s="54" t="str">
        <f>IFERROR((WHOLE_STRUCTURE[[#This Row],[D, bottom '[m']]]+WHOLE_STRUCTURE[[#This Row],[D, top '[m']]])/(2*WHOLE_STRUCTURE[[#This Row],[t '[mm']]]/1000),"")</f>
        <v/>
      </c>
    </row>
    <row r="446" spans="13:16" x14ac:dyDescent="0.3">
      <c r="M446" s="54" t="str">
        <f t="shared" si="9"/>
        <v/>
      </c>
      <c r="N4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6" s="54" t="str">
        <f>IFERROR(-(WHOLE_STRUCTURE[[#This Row],[D, bottom '[m']]]-WHOLE_STRUCTURE[[#This Row],[D, top '[m']]])/(WHOLE_STRUCTURE[[#This Row],[Bottom '[m']]]-WHOLE_STRUCTURE[[#This Row],[Top '[m']]]),"")</f>
        <v/>
      </c>
      <c r="P446" s="54" t="str">
        <f>IFERROR((WHOLE_STRUCTURE[[#This Row],[D, bottom '[m']]]+WHOLE_STRUCTURE[[#This Row],[D, top '[m']]])/(2*WHOLE_STRUCTURE[[#This Row],[t '[mm']]]/1000),"")</f>
        <v/>
      </c>
    </row>
    <row r="447" spans="13:16" x14ac:dyDescent="0.3">
      <c r="M447" s="54" t="str">
        <f t="shared" si="9"/>
        <v/>
      </c>
      <c r="N4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7" s="54" t="str">
        <f>IFERROR(-(WHOLE_STRUCTURE[[#This Row],[D, bottom '[m']]]-WHOLE_STRUCTURE[[#This Row],[D, top '[m']]])/(WHOLE_STRUCTURE[[#This Row],[Bottom '[m']]]-WHOLE_STRUCTURE[[#This Row],[Top '[m']]]),"")</f>
        <v/>
      </c>
      <c r="P447" s="54" t="str">
        <f>IFERROR((WHOLE_STRUCTURE[[#This Row],[D, bottom '[m']]]+WHOLE_STRUCTURE[[#This Row],[D, top '[m']]])/(2*WHOLE_STRUCTURE[[#This Row],[t '[mm']]]/1000),"")</f>
        <v/>
      </c>
    </row>
    <row r="448" spans="13:16" x14ac:dyDescent="0.3">
      <c r="M448" s="54" t="str">
        <f t="shared" si="9"/>
        <v/>
      </c>
      <c r="N4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8" s="54" t="str">
        <f>IFERROR(-(WHOLE_STRUCTURE[[#This Row],[D, bottom '[m']]]-WHOLE_STRUCTURE[[#This Row],[D, top '[m']]])/(WHOLE_STRUCTURE[[#This Row],[Bottom '[m']]]-WHOLE_STRUCTURE[[#This Row],[Top '[m']]]),"")</f>
        <v/>
      </c>
      <c r="P448" s="54" t="str">
        <f>IFERROR((WHOLE_STRUCTURE[[#This Row],[D, bottom '[m']]]+WHOLE_STRUCTURE[[#This Row],[D, top '[m']]])/(2*WHOLE_STRUCTURE[[#This Row],[t '[mm']]]/1000),"")</f>
        <v/>
      </c>
    </row>
    <row r="449" spans="13:16" x14ac:dyDescent="0.3">
      <c r="M449" s="54" t="str">
        <f t="shared" si="9"/>
        <v/>
      </c>
      <c r="N4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9" s="54" t="str">
        <f>IFERROR(-(WHOLE_STRUCTURE[[#This Row],[D, bottom '[m']]]-WHOLE_STRUCTURE[[#This Row],[D, top '[m']]])/(WHOLE_STRUCTURE[[#This Row],[Bottom '[m']]]-WHOLE_STRUCTURE[[#This Row],[Top '[m']]]),"")</f>
        <v/>
      </c>
      <c r="P449" s="54" t="str">
        <f>IFERROR((WHOLE_STRUCTURE[[#This Row],[D, bottom '[m']]]+WHOLE_STRUCTURE[[#This Row],[D, top '[m']]])/(2*WHOLE_STRUCTURE[[#This Row],[t '[mm']]]/1000),"")</f>
        <v/>
      </c>
    </row>
    <row r="450" spans="13:16" x14ac:dyDescent="0.3">
      <c r="M450" s="54" t="str">
        <f t="shared" si="9"/>
        <v/>
      </c>
      <c r="N4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50" s="54" t="str">
        <f>IFERROR(-(WHOLE_STRUCTURE[[#This Row],[D, bottom '[m']]]-WHOLE_STRUCTURE[[#This Row],[D, top '[m']]])/(WHOLE_STRUCTURE[[#This Row],[Bottom '[m']]]-WHOLE_STRUCTURE[[#This Row],[Top '[m']]]),"")</f>
        <v/>
      </c>
      <c r="P450" s="54" t="str">
        <f>IFERROR((WHOLE_STRUCTURE[[#This Row],[D, bottom '[m']]]+WHOLE_STRUCTURE[[#This Row],[D, top '[m']]])/(2*WHOLE_STRUCTURE[[#This Row],[t '[mm']]]/1000),"")</f>
        <v/>
      </c>
    </row>
    <row r="451" spans="13:16" x14ac:dyDescent="0.3">
      <c r="M451" s="54" t="str">
        <f t="shared" si="9"/>
        <v/>
      </c>
      <c r="N4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51" s="54" t="str">
        <f>IFERROR(-(WHOLE_STRUCTURE[[#This Row],[D, bottom '[m']]]-WHOLE_STRUCTURE[[#This Row],[D, top '[m']]])/(WHOLE_STRUCTURE[[#This Row],[Bottom '[m']]]-WHOLE_STRUCTURE[[#This Row],[Top '[m']]]),"")</f>
        <v/>
      </c>
      <c r="P451" s="54" t="str">
        <f>IFERROR((WHOLE_STRUCTURE[[#This Row],[D, bottom '[m']]]+WHOLE_STRUCTURE[[#This Row],[D, top '[m']]])/(2*WHOLE_STRUCTURE[[#This Row],[t '[mm']]]/1000),"")</f>
        <v/>
      </c>
    </row>
    <row r="452" spans="13:16" x14ac:dyDescent="0.3">
      <c r="M452" s="54" t="str">
        <f t="shared" si="9"/>
        <v/>
      </c>
      <c r="N4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52" s="54" t="str">
        <f>IFERROR(-(WHOLE_STRUCTURE[[#This Row],[D, bottom '[m']]]-WHOLE_STRUCTURE[[#This Row],[D, top '[m']]])/(WHOLE_STRUCTURE[[#This Row],[Bottom '[m']]]-WHOLE_STRUCTURE[[#This Row],[Top '[m']]]),"")</f>
        <v/>
      </c>
      <c r="P452" s="54" t="str">
        <f>IFERROR((WHOLE_STRUCTURE[[#This Row],[D, bottom '[m']]]+WHOLE_STRUCTURE[[#This Row],[D, top '[m']]])/(2*WHOLE_STRUCTURE[[#This Row],[t '[mm']]]/1000),"")</f>
        <v/>
      </c>
    </row>
    <row r="453" spans="13:16" x14ac:dyDescent="0.3">
      <c r="M453" s="54" t="str">
        <f t="shared" ref="M453:M454" si="10">IF(7850/1000*(1/3)*PI()*ABS(H453-I453)*((J453/2)^2+(J453/2)*(K453/2)+(K453/2)^2-(J453/2-L453/1000)^2-(J453/2-L453/1000)*(K453/2-L453/1000)-(K453/2-L453/1000)^2)=0,"",7850/1000*(1/3)*PI()*ABS(H453-I453)*((J453/2)^2+(J453/2)*(K453/2)+(K453/2)^2-(J453/2-L453/1000)^2-(J453/2-L453/1000)*(K453/2-L453/1000)-(K453/2-L453/1000)^2))</f>
        <v/>
      </c>
      <c r="N4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53" s="54" t="str">
        <f>IFERROR(-(WHOLE_STRUCTURE[[#This Row],[D, bottom '[m']]]-WHOLE_STRUCTURE[[#This Row],[D, top '[m']]])/(WHOLE_STRUCTURE[[#This Row],[Bottom '[m']]]-WHOLE_STRUCTURE[[#This Row],[Top '[m']]]),"")</f>
        <v/>
      </c>
      <c r="P453" s="54" t="str">
        <f>IFERROR((WHOLE_STRUCTURE[[#This Row],[D, bottom '[m']]]+WHOLE_STRUCTURE[[#This Row],[D, top '[m']]])/(2*WHOLE_STRUCTURE[[#This Row],[t '[mm']]]/1000),"")</f>
        <v/>
      </c>
    </row>
    <row r="454" spans="13:16" x14ac:dyDescent="0.3">
      <c r="M454" s="54" t="str">
        <f t="shared" si="10"/>
        <v/>
      </c>
      <c r="N4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54" s="54" t="str">
        <f>IFERROR(-(WHOLE_STRUCTURE[[#This Row],[D, bottom '[m']]]-WHOLE_STRUCTURE[[#This Row],[D, top '[m']]])/(WHOLE_STRUCTURE[[#This Row],[Bottom '[m']]]-WHOLE_STRUCTURE[[#This Row],[Top '[m']]]),"")</f>
        <v/>
      </c>
      <c r="P454" s="54" t="str">
        <f>IFERROR((WHOLE_STRUCTURE[[#This Row],[D, bottom '[m']]]+WHOLE_STRUCTURE[[#This Row],[D, top '[m']]])/(2*WHOLE_STRUCTURE[[#This Row],[t '[mm']]]/1000),"")</f>
        <v/>
      </c>
    </row>
    <row r="455" spans="13:16" x14ac:dyDescent="0.3">
      <c r="N455" s="53" t="str">
        <f>IFERROR(IF(OR(ISBLANK(WHOLE_STRUCTURE[[#This Row],[Top '[m']]]), ISBLANK(WHOLE_STRUCTURE[[#This Row],[Bottom '[m']]])), "", WHOLE_STRUCTURE[[#This Row],[Top '[m']]] - WHOLE_STRUCTURE[[#This Row],[Bottom '[m']]]),"")</f>
        <v/>
      </c>
    </row>
  </sheetData>
  <protectedRanges>
    <protectedRange sqref="AY27:BA30" name="Bereich1_1"/>
  </protectedRanges>
  <phoneticPr fontId="10" type="noConversion"/>
  <dataValidations disablePrompts="1" count="1">
    <dataValidation type="list" allowBlank="1" showInputMessage="1" showErrorMessage="1" sqref="O4" xr:uid="{E92DA31F-A847-4B55-AB93-5ACCFB45CDD5}">
      <formula1>$T$18:$T$27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abelle4.show_GEOMETRY_section">
                <anchor moveWithCells="1" sizeWithCells="1">
                  <from>
                    <xdr:col>0</xdr:col>
                    <xdr:colOff>68580</xdr:colOff>
                    <xdr:row>10</xdr:row>
                    <xdr:rowOff>121920</xdr:rowOff>
                  </from>
                  <to>
                    <xdr:col>1</xdr:col>
                    <xdr:colOff>1775460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abelle4.show_ADDED_MASSES_section">
                <anchor moveWithCells="1" sizeWithCells="1">
                  <from>
                    <xdr:col>0</xdr:col>
                    <xdr:colOff>60960</xdr:colOff>
                    <xdr:row>15</xdr:row>
                    <xdr:rowOff>30480</xdr:rowOff>
                  </from>
                  <to>
                    <xdr:col>1</xdr:col>
                    <xdr:colOff>1775460</xdr:colOff>
                    <xdr:row>19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abelle4.show_MISC_section">
                <anchor moveWithCells="1" sizeWithCells="1">
                  <from>
                    <xdr:col>0</xdr:col>
                    <xdr:colOff>0</xdr:colOff>
                    <xdr:row>19</xdr:row>
                    <xdr:rowOff>160020</xdr:rowOff>
                  </from>
                  <to>
                    <xdr:col>1</xdr:col>
                    <xdr:colOff>1752600</xdr:colOff>
                    <xdr:row>24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9"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A2:DA241"/>
  <sheetViews>
    <sheetView showGridLines="0" tabSelected="1" topLeftCell="BH1" zoomScale="70" zoomScaleNormal="70" workbookViewId="0">
      <selection activeCell="BN5" sqref="BN5"/>
    </sheetView>
  </sheetViews>
  <sheetFormatPr baseColWidth="10" defaultRowHeight="14.4" x14ac:dyDescent="0.3"/>
  <cols>
    <col min="1" max="1" width="15.33203125" style="72" customWidth="1"/>
    <col min="2" max="2" width="15.33203125" style="60" customWidth="1"/>
    <col min="3" max="3" width="13.33203125" style="60" customWidth="1"/>
    <col min="4" max="4" width="11.5546875" style="135"/>
    <col min="5" max="5" width="34" hidden="1" customWidth="1"/>
    <col min="6" max="6" width="43" hidden="1" customWidth="1"/>
    <col min="7" max="7" width="14.109375" style="51" hidden="1" customWidth="1"/>
    <col min="8" max="8" width="19.33203125" style="51" hidden="1" customWidth="1"/>
    <col min="9" max="9" width="20.5546875" style="51" hidden="1" customWidth="1"/>
    <col min="10" max="11" width="11.5546875" hidden="1" customWidth="1"/>
    <col min="12" max="12" width="0" hidden="1" customWidth="1"/>
    <col min="13" max="13" width="68.88671875" hidden="1" customWidth="1"/>
    <col min="14" max="14" width="17" hidden="1" customWidth="1"/>
    <col min="15" max="15" width="46.44140625" hidden="1" customWidth="1"/>
    <col min="16" max="16" width="14.6640625" hidden="1" customWidth="1"/>
    <col min="17" max="17" width="16.109375" hidden="1" customWidth="1"/>
    <col min="18" max="18" width="15.6640625" hidden="1" customWidth="1"/>
    <col min="19" max="19" width="18.109375" hidden="1" customWidth="1"/>
    <col min="20" max="20" width="21.33203125" hidden="1" customWidth="1"/>
    <col min="21" max="21" width="28" hidden="1" customWidth="1"/>
    <col min="22" max="22" width="30.5546875" hidden="1" customWidth="1"/>
    <col min="23" max="23" width="29.109375" hidden="1" customWidth="1"/>
    <col min="24" max="24" width="11.5546875" hidden="1" customWidth="1"/>
    <col min="25" max="57" width="0" hidden="1" customWidth="1"/>
    <col min="58" max="58" width="42.5546875" customWidth="1"/>
    <col min="59" max="59" width="12.21875" customWidth="1"/>
    <col min="60" max="60" width="12.33203125" customWidth="1"/>
    <col min="61" max="61" width="11.5546875" customWidth="1"/>
    <col min="62" max="62" width="16" customWidth="1"/>
    <col min="63" max="63" width="11.5546875" customWidth="1"/>
    <col min="64" max="64" width="50.109375" customWidth="1"/>
    <col min="65" max="66" width="11.5546875" customWidth="1"/>
    <col min="67" max="67" width="11.6640625" customWidth="1"/>
    <col min="68" max="68" width="12.6640625" customWidth="1"/>
    <col min="69" max="69" width="11.5546875" customWidth="1"/>
    <col min="70" max="70" width="14.5546875" customWidth="1"/>
    <col min="71" max="71" width="20.88671875" customWidth="1"/>
    <col min="72" max="73" width="11.5546875" customWidth="1"/>
    <col min="74" max="74" width="20.44140625" customWidth="1"/>
    <col min="75" max="75" width="18.88671875" customWidth="1"/>
    <col min="76" max="76" width="12.5546875" customWidth="1"/>
    <col min="77" max="78" width="11.5546875" customWidth="1"/>
    <col min="79" max="79" width="14.44140625" customWidth="1"/>
    <col min="80" max="80" width="12.109375" customWidth="1"/>
    <col min="81" max="105" width="11.5546875" customWidth="1"/>
  </cols>
  <sheetData>
    <row r="2" spans="5:76" ht="31.2" x14ac:dyDescent="0.6">
      <c r="E2" s="56" t="s">
        <v>56</v>
      </c>
      <c r="F2" s="56"/>
      <c r="M2" s="56" t="s">
        <v>220</v>
      </c>
      <c r="N2" s="56"/>
      <c r="BF2" s="147" t="s">
        <v>534</v>
      </c>
    </row>
    <row r="5" spans="5:76" ht="18" customHeight="1" x14ac:dyDescent="0.3"/>
    <row r="6" spans="5:76" x14ac:dyDescent="0.3">
      <c r="E6" t="s">
        <v>278</v>
      </c>
      <c r="M6" t="s">
        <v>238</v>
      </c>
    </row>
    <row r="8" spans="5:76" x14ac:dyDescent="0.3">
      <c r="E8" s="59" t="s">
        <v>139</v>
      </c>
      <c r="M8" t="s">
        <v>226</v>
      </c>
      <c r="N8" t="s">
        <v>85</v>
      </c>
      <c r="O8" t="s">
        <v>241</v>
      </c>
      <c r="P8" t="s">
        <v>90</v>
      </c>
      <c r="Q8" t="s">
        <v>89</v>
      </c>
      <c r="R8" t="s">
        <v>86</v>
      </c>
      <c r="S8" t="s">
        <v>221</v>
      </c>
      <c r="T8" t="s">
        <v>222</v>
      </c>
      <c r="U8" t="s">
        <v>223</v>
      </c>
      <c r="V8" t="s">
        <v>225</v>
      </c>
      <c r="W8" t="s">
        <v>224</v>
      </c>
      <c r="BF8" t="s">
        <v>27</v>
      </c>
      <c r="BG8" t="s">
        <v>99</v>
      </c>
      <c r="BH8" t="s">
        <v>19</v>
      </c>
      <c r="BO8" t="s">
        <v>291</v>
      </c>
      <c r="BP8" t="s">
        <v>290</v>
      </c>
      <c r="BQ8" t="s">
        <v>292</v>
      </c>
      <c r="BR8" t="s">
        <v>293</v>
      </c>
    </row>
    <row r="9" spans="5:76" x14ac:dyDescent="0.3">
      <c r="E9" t="s">
        <v>27</v>
      </c>
      <c r="F9" t="s">
        <v>19</v>
      </c>
      <c r="G9" s="51" t="s">
        <v>100</v>
      </c>
      <c r="H9" s="51" t="s">
        <v>99</v>
      </c>
      <c r="M9" s="51" t="s">
        <v>227</v>
      </c>
      <c r="N9" s="51" t="s">
        <v>83</v>
      </c>
      <c r="O9" s="51" t="s">
        <v>289</v>
      </c>
      <c r="P9" s="51">
        <v>20.900000000000002</v>
      </c>
      <c r="Q9" s="51">
        <v>20.900000000000002</v>
      </c>
      <c r="R9" s="51">
        <v>28000</v>
      </c>
      <c r="S9" s="51"/>
      <c r="T9" s="51"/>
      <c r="U9" s="51"/>
      <c r="V9" s="51"/>
      <c r="W9" s="51"/>
      <c r="BF9" t="s">
        <v>533</v>
      </c>
      <c r="BG9">
        <v>0.1</v>
      </c>
      <c r="BO9" t="s">
        <v>295</v>
      </c>
      <c r="BP9">
        <v>7850</v>
      </c>
      <c r="BQ9">
        <v>210000000</v>
      </c>
      <c r="BR9">
        <v>81000000000</v>
      </c>
    </row>
    <row r="10" spans="5:76" x14ac:dyDescent="0.3">
      <c r="E10" t="s">
        <v>96</v>
      </c>
      <c r="F10" t="s">
        <v>108</v>
      </c>
      <c r="G10" s="51" t="s">
        <v>77</v>
      </c>
      <c r="H10" s="51" t="s">
        <v>97</v>
      </c>
      <c r="M10" s="51" t="s">
        <v>227</v>
      </c>
      <c r="N10" s="51" t="s">
        <v>83</v>
      </c>
      <c r="O10" s="51" t="s">
        <v>284</v>
      </c>
      <c r="P10" s="51">
        <v>20.100000000000001</v>
      </c>
      <c r="Q10" s="51">
        <v>20.100000000000001</v>
      </c>
      <c r="R10" s="51">
        <v>20000</v>
      </c>
      <c r="S10" s="51"/>
      <c r="T10" s="51"/>
      <c r="U10" s="51"/>
      <c r="V10" s="51"/>
      <c r="W10" s="51"/>
      <c r="BF10" s="51"/>
    </row>
    <row r="11" spans="5:76" x14ac:dyDescent="0.3">
      <c r="E11" t="s">
        <v>98</v>
      </c>
      <c r="G11" s="51" t="s">
        <v>101</v>
      </c>
      <c r="H11" s="51">
        <v>210000000</v>
      </c>
      <c r="M11" s="51" t="s">
        <v>227</v>
      </c>
      <c r="N11" s="51" t="s">
        <v>83</v>
      </c>
      <c r="O11" s="51" t="s">
        <v>285</v>
      </c>
      <c r="P11" s="51">
        <v>19.5</v>
      </c>
      <c r="Q11" s="51">
        <v>19.5</v>
      </c>
      <c r="R11" s="51">
        <v>5000</v>
      </c>
      <c r="S11" s="51"/>
      <c r="T11" s="51"/>
      <c r="U11" s="51"/>
      <c r="V11" s="51"/>
      <c r="W11" s="51"/>
    </row>
    <row r="12" spans="5:76" x14ac:dyDescent="0.3">
      <c r="E12" t="s">
        <v>203</v>
      </c>
      <c r="G12" s="51" t="s">
        <v>102</v>
      </c>
      <c r="H12" s="51">
        <v>7850</v>
      </c>
      <c r="M12" s="51" t="s">
        <v>227</v>
      </c>
      <c r="N12" s="51" t="s">
        <v>83</v>
      </c>
      <c r="O12" s="51" t="s">
        <v>286</v>
      </c>
      <c r="P12" s="51">
        <v>14</v>
      </c>
      <c r="Q12" s="51">
        <v>14</v>
      </c>
      <c r="R12" s="51">
        <v>5000</v>
      </c>
      <c r="S12" s="51"/>
      <c r="T12" s="51"/>
      <c r="U12" s="51"/>
      <c r="V12" s="51"/>
      <c r="W12" s="51"/>
    </row>
    <row r="13" spans="5:76" x14ac:dyDescent="0.3">
      <c r="E13" t="s">
        <v>103</v>
      </c>
      <c r="F13" t="s">
        <v>125</v>
      </c>
      <c r="G13" s="51" t="s">
        <v>104</v>
      </c>
      <c r="H13" s="51">
        <v>1</v>
      </c>
      <c r="M13" s="51" t="s">
        <v>227</v>
      </c>
      <c r="N13" s="51" t="s">
        <v>83</v>
      </c>
      <c r="O13" s="51" t="s">
        <v>287</v>
      </c>
      <c r="P13" s="51">
        <v>11</v>
      </c>
      <c r="Q13" s="51">
        <v>11</v>
      </c>
      <c r="R13" s="51">
        <v>1</v>
      </c>
      <c r="S13" s="51"/>
      <c r="T13" s="51"/>
      <c r="U13" s="51"/>
      <c r="V13" s="51"/>
      <c r="W13" s="51"/>
      <c r="BF13" t="s">
        <v>523</v>
      </c>
      <c r="BG13" t="s">
        <v>91</v>
      </c>
      <c r="BH13" t="s">
        <v>524</v>
      </c>
      <c r="BI13" t="s">
        <v>535</v>
      </c>
      <c r="BJ13" t="s">
        <v>525</v>
      </c>
      <c r="BK13" t="s">
        <v>543</v>
      </c>
      <c r="BL13" s="55" t="s">
        <v>19</v>
      </c>
      <c r="BO13" t="s">
        <v>85</v>
      </c>
      <c r="BP13" t="s">
        <v>526</v>
      </c>
      <c r="BQ13" t="s">
        <v>523</v>
      </c>
      <c r="BR13" t="s">
        <v>221</v>
      </c>
      <c r="BS13" t="s">
        <v>527</v>
      </c>
      <c r="BT13" t="s">
        <v>528</v>
      </c>
      <c r="BU13" t="s">
        <v>529</v>
      </c>
      <c r="BV13" t="s">
        <v>530</v>
      </c>
      <c r="BW13" t="s">
        <v>531</v>
      </c>
      <c r="BX13" t="s">
        <v>532</v>
      </c>
    </row>
    <row r="14" spans="5:76" x14ac:dyDescent="0.3">
      <c r="E14" t="s">
        <v>105</v>
      </c>
      <c r="F14" t="s">
        <v>124</v>
      </c>
      <c r="G14" s="51" t="s">
        <v>106</v>
      </c>
      <c r="H14" s="51">
        <v>5</v>
      </c>
      <c r="M14" s="51" t="s">
        <v>227</v>
      </c>
      <c r="N14" s="51" t="s">
        <v>83</v>
      </c>
      <c r="O14" s="51" t="s">
        <v>288</v>
      </c>
      <c r="P14" s="51">
        <v>6.1</v>
      </c>
      <c r="Q14" s="51">
        <v>6.1</v>
      </c>
      <c r="R14" s="51">
        <v>200</v>
      </c>
      <c r="S14" s="51"/>
      <c r="T14" s="51"/>
      <c r="U14" s="51"/>
      <c r="V14" s="51"/>
      <c r="W14" s="51"/>
      <c r="BF14" s="51">
        <v>1</v>
      </c>
      <c r="BG14" s="55">
        <v>140.49999999999997</v>
      </c>
      <c r="BH14" s="51">
        <v>0</v>
      </c>
      <c r="BI14" s="51">
        <v>0</v>
      </c>
      <c r="BJ14" s="51">
        <v>0</v>
      </c>
      <c r="BK14" s="51" t="b">
        <v>0</v>
      </c>
      <c r="BL14" s="55"/>
      <c r="BO14" t="s">
        <v>71</v>
      </c>
      <c r="BP14" t="s">
        <v>294</v>
      </c>
      <c r="BQ14">
        <v>1</v>
      </c>
      <c r="BR14">
        <v>5.6159999999999997</v>
      </c>
      <c r="BS14">
        <v>42</v>
      </c>
      <c r="BT14">
        <v>0.9</v>
      </c>
      <c r="BU14">
        <v>2</v>
      </c>
      <c r="BV14">
        <v>0</v>
      </c>
      <c r="BW14">
        <v>7850</v>
      </c>
      <c r="BX14" t="s">
        <v>295</v>
      </c>
    </row>
    <row r="15" spans="5:76" x14ac:dyDescent="0.3">
      <c r="E15" t="s">
        <v>107</v>
      </c>
      <c r="F15" t="s">
        <v>125</v>
      </c>
      <c r="G15" s="51" t="s">
        <v>104</v>
      </c>
      <c r="H15" s="51">
        <v>1</v>
      </c>
      <c r="M15" s="51" t="s">
        <v>227</v>
      </c>
      <c r="N15" s="51" t="s">
        <v>69</v>
      </c>
      <c r="O15" s="51" t="s">
        <v>283</v>
      </c>
      <c r="P15" s="51">
        <v>5.6</v>
      </c>
      <c r="Q15" s="51">
        <v>5.6</v>
      </c>
      <c r="R15" s="51">
        <v>60000</v>
      </c>
      <c r="S15" s="51"/>
      <c r="T15" s="51"/>
      <c r="U15" s="51"/>
      <c r="V15" s="51"/>
      <c r="W15" s="51"/>
      <c r="BF15" s="51">
        <v>2</v>
      </c>
      <c r="BG15" s="55">
        <v>140.32499999999996</v>
      </c>
      <c r="BH15" s="51">
        <v>0</v>
      </c>
      <c r="BI15" s="51">
        <v>0</v>
      </c>
      <c r="BJ15" s="51">
        <v>0</v>
      </c>
      <c r="BK15" s="51" t="b">
        <v>0</v>
      </c>
      <c r="BL15" s="55"/>
      <c r="BO15" t="s">
        <v>71</v>
      </c>
      <c r="BP15" t="s">
        <v>296</v>
      </c>
      <c r="BQ15">
        <v>2</v>
      </c>
      <c r="BR15">
        <v>5.6159999999999997</v>
      </c>
      <c r="BS15">
        <v>42</v>
      </c>
      <c r="BT15">
        <v>0.9</v>
      </c>
      <c r="BU15">
        <v>2</v>
      </c>
      <c r="BV15">
        <v>0</v>
      </c>
      <c r="BW15">
        <v>7850</v>
      </c>
      <c r="BX15" t="s">
        <v>295</v>
      </c>
    </row>
    <row r="16" spans="5:76" x14ac:dyDescent="0.3">
      <c r="E16" t="s">
        <v>119</v>
      </c>
      <c r="G16" s="51" t="s">
        <v>115</v>
      </c>
      <c r="H16" s="51">
        <v>0.1</v>
      </c>
      <c r="M16" s="51" t="s">
        <v>227</v>
      </c>
      <c r="N16" s="51" t="s">
        <v>83</v>
      </c>
      <c r="O16" s="51" t="s">
        <v>283</v>
      </c>
      <c r="P16" s="51">
        <v>5.6</v>
      </c>
      <c r="Q16" s="51">
        <v>5.6</v>
      </c>
      <c r="R16" s="51">
        <v>60000</v>
      </c>
      <c r="S16" s="51"/>
      <c r="T16" s="51"/>
      <c r="U16" s="51"/>
      <c r="V16" s="51"/>
      <c r="W16" s="51"/>
      <c r="BF16" s="51">
        <v>3</v>
      </c>
      <c r="BG16" s="55">
        <v>140.27499999999998</v>
      </c>
      <c r="BH16" s="51">
        <v>0</v>
      </c>
      <c r="BI16" s="51">
        <v>0</v>
      </c>
      <c r="BJ16" s="51">
        <v>0</v>
      </c>
      <c r="BK16" s="51" t="b">
        <v>0</v>
      </c>
      <c r="BL16" s="55"/>
      <c r="BO16" t="s">
        <v>71</v>
      </c>
      <c r="BP16" t="s">
        <v>297</v>
      </c>
      <c r="BQ16">
        <v>2</v>
      </c>
      <c r="BR16">
        <v>5.6159999999999997</v>
      </c>
      <c r="BS16">
        <v>42</v>
      </c>
      <c r="BT16">
        <v>0.9</v>
      </c>
      <c r="BU16">
        <v>2</v>
      </c>
      <c r="BV16">
        <v>0</v>
      </c>
      <c r="BW16">
        <v>7850</v>
      </c>
      <c r="BX16" t="s">
        <v>295</v>
      </c>
    </row>
    <row r="17" spans="5:76" x14ac:dyDescent="0.3">
      <c r="M17" s="51" t="s">
        <v>227</v>
      </c>
      <c r="N17" s="51" t="s">
        <v>69</v>
      </c>
      <c r="O17" s="51" t="s">
        <v>87</v>
      </c>
      <c r="P17" s="51">
        <v>4.2</v>
      </c>
      <c r="Q17" s="51">
        <v>4.2</v>
      </c>
      <c r="R17" s="51">
        <v>9000</v>
      </c>
      <c r="S17" s="51"/>
      <c r="T17" s="51"/>
      <c r="U17" s="51"/>
      <c r="V17" s="51"/>
      <c r="W17" s="51"/>
      <c r="BF17" s="51">
        <v>4</v>
      </c>
      <c r="BG17" s="55">
        <v>138.62499999999997</v>
      </c>
      <c r="BH17" s="51">
        <v>0</v>
      </c>
      <c r="BI17" s="51">
        <v>0</v>
      </c>
      <c r="BJ17" s="51">
        <v>0</v>
      </c>
      <c r="BK17" s="51" t="b">
        <v>0</v>
      </c>
      <c r="BL17" s="55"/>
      <c r="BO17" t="s">
        <v>71</v>
      </c>
      <c r="BP17" t="s">
        <v>298</v>
      </c>
      <c r="BQ17">
        <v>3</v>
      </c>
      <c r="BR17">
        <v>5.609</v>
      </c>
      <c r="BS17">
        <v>42</v>
      </c>
      <c r="BT17">
        <v>0.9</v>
      </c>
      <c r="BU17">
        <v>2</v>
      </c>
      <c r="BV17">
        <v>0</v>
      </c>
      <c r="BW17">
        <v>7850</v>
      </c>
      <c r="BX17" t="s">
        <v>295</v>
      </c>
    </row>
    <row r="18" spans="5:76" x14ac:dyDescent="0.3">
      <c r="E18" t="s">
        <v>176</v>
      </c>
      <c r="I18" s="51" t="s">
        <v>177</v>
      </c>
      <c r="M18" s="51" t="s">
        <v>227</v>
      </c>
      <c r="N18" s="51" t="s">
        <v>69</v>
      </c>
      <c r="O18" s="51" t="s">
        <v>88</v>
      </c>
      <c r="P18" s="51">
        <v>2</v>
      </c>
      <c r="Q18" s="51">
        <v>2</v>
      </c>
      <c r="R18" s="51">
        <v>80000</v>
      </c>
      <c r="S18" s="51"/>
      <c r="T18" s="51"/>
      <c r="U18" s="51"/>
      <c r="V18" s="51"/>
      <c r="W18" s="51"/>
      <c r="BF18" s="51">
        <v>5</v>
      </c>
      <c r="BG18" s="55">
        <v>136.97499999999997</v>
      </c>
      <c r="BH18" s="51">
        <v>0</v>
      </c>
      <c r="BI18" s="51">
        <v>0</v>
      </c>
      <c r="BJ18" s="51">
        <v>0</v>
      </c>
      <c r="BK18" s="51" t="b">
        <v>0</v>
      </c>
      <c r="BL18" s="55"/>
      <c r="BO18" t="s">
        <v>71</v>
      </c>
      <c r="BP18" t="s">
        <v>299</v>
      </c>
      <c r="BQ18">
        <v>3</v>
      </c>
      <c r="BR18">
        <v>5.609</v>
      </c>
      <c r="BS18">
        <v>35</v>
      </c>
      <c r="BT18">
        <v>0.9</v>
      </c>
      <c r="BU18">
        <v>2</v>
      </c>
      <c r="BV18">
        <v>0</v>
      </c>
      <c r="BW18">
        <v>7850</v>
      </c>
      <c r="BX18" t="s">
        <v>295</v>
      </c>
    </row>
    <row r="19" spans="5:76" x14ac:dyDescent="0.3"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BF19" s="51">
        <v>6</v>
      </c>
      <c r="BG19" s="55">
        <v>136.38899999999998</v>
      </c>
      <c r="BH19" s="51">
        <v>0</v>
      </c>
      <c r="BI19" s="51">
        <v>0</v>
      </c>
      <c r="BJ19" s="51">
        <v>0</v>
      </c>
      <c r="BK19" s="51" t="b">
        <v>0</v>
      </c>
      <c r="BL19" s="55"/>
      <c r="BO19" t="s">
        <v>71</v>
      </c>
      <c r="BP19" t="s">
        <v>300</v>
      </c>
      <c r="BQ19">
        <v>4</v>
      </c>
      <c r="BR19">
        <v>5.9039999999999999</v>
      </c>
      <c r="BS19">
        <v>35</v>
      </c>
      <c r="BT19">
        <v>0.9</v>
      </c>
      <c r="BU19">
        <v>2</v>
      </c>
      <c r="BV19">
        <v>0</v>
      </c>
      <c r="BW19">
        <v>7850</v>
      </c>
      <c r="BX19" t="s">
        <v>295</v>
      </c>
    </row>
    <row r="20" spans="5:76" x14ac:dyDescent="0.3">
      <c r="E20" s="59" t="s">
        <v>140</v>
      </c>
      <c r="F20" s="59" t="s">
        <v>19</v>
      </c>
      <c r="G20" s="136" t="s">
        <v>207</v>
      </c>
      <c r="H20" s="136" t="s">
        <v>175</v>
      </c>
      <c r="I20" s="136" t="s">
        <v>206</v>
      </c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BF20" s="51">
        <v>7</v>
      </c>
      <c r="BG20" s="55">
        <v>135.29999999999998</v>
      </c>
      <c r="BH20" s="51">
        <v>0</v>
      </c>
      <c r="BI20" s="51">
        <v>0</v>
      </c>
      <c r="BJ20" s="51">
        <v>0</v>
      </c>
      <c r="BK20" s="51" t="b">
        <v>0</v>
      </c>
      <c r="BL20" s="55"/>
      <c r="BO20" t="s">
        <v>71</v>
      </c>
      <c r="BP20" t="s">
        <v>301</v>
      </c>
      <c r="BQ20">
        <v>4</v>
      </c>
      <c r="BR20">
        <v>5.9039999999999999</v>
      </c>
      <c r="BS20">
        <v>40</v>
      </c>
      <c r="BT20">
        <v>0.9</v>
      </c>
      <c r="BU20">
        <v>2</v>
      </c>
      <c r="BV20">
        <v>0</v>
      </c>
      <c r="BW20">
        <v>7850</v>
      </c>
      <c r="BX20" t="s">
        <v>295</v>
      </c>
    </row>
    <row r="21" spans="5:76" x14ac:dyDescent="0.3">
      <c r="E21" t="s">
        <v>178</v>
      </c>
      <c r="F21" t="s">
        <v>194</v>
      </c>
      <c r="G21" s="137" t="s">
        <v>77</v>
      </c>
      <c r="H21" s="137" t="s">
        <v>180</v>
      </c>
      <c r="I21" s="137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BF21" s="51">
        <v>8</v>
      </c>
      <c r="BG21" s="55">
        <v>133.47499999999997</v>
      </c>
      <c r="BH21" s="51">
        <v>0</v>
      </c>
      <c r="BI21" s="51">
        <v>0</v>
      </c>
      <c r="BJ21" s="51">
        <v>0</v>
      </c>
      <c r="BK21" s="51" t="b">
        <v>0</v>
      </c>
      <c r="BL21" s="55"/>
      <c r="BO21" t="s">
        <v>71</v>
      </c>
      <c r="BP21" t="s">
        <v>302</v>
      </c>
      <c r="BQ21">
        <v>5</v>
      </c>
      <c r="BR21">
        <v>6.258</v>
      </c>
      <c r="BS21">
        <v>40</v>
      </c>
      <c r="BT21">
        <v>0.9</v>
      </c>
      <c r="BU21">
        <v>2</v>
      </c>
      <c r="BV21">
        <v>0</v>
      </c>
      <c r="BW21">
        <v>7850</v>
      </c>
      <c r="BX21" t="s">
        <v>295</v>
      </c>
    </row>
    <row r="22" spans="5:76" x14ac:dyDescent="0.3">
      <c r="E22" t="s">
        <v>179</v>
      </c>
      <c r="F22" t="s">
        <v>193</v>
      </c>
      <c r="G22" s="137" t="s">
        <v>77</v>
      </c>
      <c r="H22" s="137" t="s">
        <v>181</v>
      </c>
      <c r="I22" s="137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BF22" s="51">
        <v>9</v>
      </c>
      <c r="BG22" s="55">
        <v>131.23999999999998</v>
      </c>
      <c r="BH22" s="51">
        <v>0</v>
      </c>
      <c r="BI22" s="51">
        <v>0</v>
      </c>
      <c r="BJ22" s="51">
        <v>0</v>
      </c>
      <c r="BK22" s="51" t="b">
        <v>0</v>
      </c>
      <c r="BL22" s="55"/>
      <c r="BO22" t="s">
        <v>71</v>
      </c>
      <c r="BP22" t="s">
        <v>303</v>
      </c>
      <c r="BQ22">
        <v>5</v>
      </c>
      <c r="BR22">
        <v>6.258</v>
      </c>
      <c r="BS22">
        <v>58</v>
      </c>
      <c r="BT22">
        <v>0.9</v>
      </c>
      <c r="BU22">
        <v>2</v>
      </c>
      <c r="BV22">
        <v>0</v>
      </c>
      <c r="BW22">
        <v>7850</v>
      </c>
      <c r="BX22" t="s">
        <v>295</v>
      </c>
    </row>
    <row r="23" spans="5:76" x14ac:dyDescent="0.3">
      <c r="E23" t="s">
        <v>141</v>
      </c>
      <c r="G23" s="137" t="s">
        <v>77</v>
      </c>
      <c r="H23" s="137" t="s">
        <v>182</v>
      </c>
      <c r="I23" s="137"/>
      <c r="BF23" s="51">
        <v>10</v>
      </c>
      <c r="BG23" s="55">
        <v>130.89999999999998</v>
      </c>
      <c r="BH23" s="51">
        <v>0</v>
      </c>
      <c r="BI23" s="51">
        <v>0</v>
      </c>
      <c r="BJ23" s="51">
        <v>0</v>
      </c>
      <c r="BK23" s="51" t="b">
        <v>0</v>
      </c>
      <c r="BL23" s="55"/>
      <c r="BO23" t="s">
        <v>71</v>
      </c>
      <c r="BP23" t="s">
        <v>304</v>
      </c>
      <c r="BQ23">
        <v>6</v>
      </c>
      <c r="BR23">
        <v>6.258</v>
      </c>
      <c r="BS23">
        <v>58</v>
      </c>
      <c r="BT23">
        <v>0.9</v>
      </c>
      <c r="BU23">
        <v>2</v>
      </c>
      <c r="BV23">
        <v>0</v>
      </c>
      <c r="BW23">
        <v>7850</v>
      </c>
      <c r="BX23" t="s">
        <v>295</v>
      </c>
    </row>
    <row r="24" spans="5:76" x14ac:dyDescent="0.3">
      <c r="E24" t="s">
        <v>142</v>
      </c>
      <c r="G24" s="137" t="s">
        <v>77</v>
      </c>
      <c r="H24" s="137" t="s">
        <v>183</v>
      </c>
      <c r="I24" s="137"/>
      <c r="BF24" s="51">
        <v>11</v>
      </c>
      <c r="BG24" s="55">
        <v>128.48999999999998</v>
      </c>
      <c r="BH24" s="51">
        <v>0</v>
      </c>
      <c r="BI24" s="51">
        <v>0</v>
      </c>
      <c r="BJ24" s="51">
        <v>0</v>
      </c>
      <c r="BK24" s="51" t="b">
        <v>0</v>
      </c>
      <c r="BL24" s="55"/>
      <c r="BO24" t="s">
        <v>71</v>
      </c>
      <c r="BP24" t="s">
        <v>305</v>
      </c>
      <c r="BQ24">
        <v>6</v>
      </c>
      <c r="BR24">
        <v>6.258</v>
      </c>
      <c r="BS24">
        <v>58</v>
      </c>
      <c r="BT24">
        <v>0.9</v>
      </c>
      <c r="BU24">
        <v>2</v>
      </c>
      <c r="BV24">
        <v>0</v>
      </c>
      <c r="BW24">
        <v>7850</v>
      </c>
      <c r="BX24" t="s">
        <v>295</v>
      </c>
    </row>
    <row r="25" spans="5:76" x14ac:dyDescent="0.3">
      <c r="E25" t="s">
        <v>143</v>
      </c>
      <c r="G25" s="137" t="s">
        <v>77</v>
      </c>
      <c r="H25" s="137" t="s">
        <v>184</v>
      </c>
      <c r="I25" s="137"/>
      <c r="BF25" s="51">
        <v>12</v>
      </c>
      <c r="BG25" s="55">
        <v>125.74000000000001</v>
      </c>
      <c r="BH25" s="51">
        <v>0</v>
      </c>
      <c r="BI25" s="51">
        <v>0</v>
      </c>
      <c r="BJ25" s="51">
        <v>0</v>
      </c>
      <c r="BK25" s="51" t="b">
        <v>0</v>
      </c>
      <c r="BL25" s="55"/>
      <c r="BO25" t="s">
        <v>71</v>
      </c>
      <c r="BP25" t="s">
        <v>306</v>
      </c>
      <c r="BQ25">
        <v>7</v>
      </c>
      <c r="BR25">
        <v>6.258</v>
      </c>
      <c r="BS25">
        <v>58</v>
      </c>
      <c r="BT25">
        <v>0.9</v>
      </c>
      <c r="BU25">
        <v>2</v>
      </c>
      <c r="BV25">
        <v>0</v>
      </c>
      <c r="BW25">
        <v>7850</v>
      </c>
      <c r="BX25" t="s">
        <v>295</v>
      </c>
    </row>
    <row r="26" spans="5:76" x14ac:dyDescent="0.3">
      <c r="E26" t="s">
        <v>144</v>
      </c>
      <c r="G26" s="137" t="s">
        <v>77</v>
      </c>
      <c r="H26" s="137" t="s">
        <v>185</v>
      </c>
      <c r="I26" s="137"/>
      <c r="BF26" s="51">
        <v>13</v>
      </c>
      <c r="BG26" s="55">
        <v>123.667</v>
      </c>
      <c r="BH26" s="51">
        <v>0</v>
      </c>
      <c r="BI26" s="51">
        <v>0</v>
      </c>
      <c r="BJ26" s="51">
        <v>0</v>
      </c>
      <c r="BK26" s="51" t="b">
        <v>0</v>
      </c>
      <c r="BL26" s="55"/>
      <c r="BO26" t="s">
        <v>71</v>
      </c>
      <c r="BP26" t="s">
        <v>307</v>
      </c>
      <c r="BQ26">
        <v>7</v>
      </c>
      <c r="BR26">
        <v>6.258</v>
      </c>
      <c r="BS26">
        <v>58</v>
      </c>
      <c r="BT26">
        <v>0.9</v>
      </c>
      <c r="BU26">
        <v>2</v>
      </c>
      <c r="BV26">
        <v>0</v>
      </c>
      <c r="BW26">
        <v>7850</v>
      </c>
      <c r="BX26" t="s">
        <v>295</v>
      </c>
    </row>
    <row r="27" spans="5:76" x14ac:dyDescent="0.3">
      <c r="E27" t="s">
        <v>145</v>
      </c>
      <c r="G27" s="137" t="s">
        <v>77</v>
      </c>
      <c r="H27" s="137" t="s">
        <v>186</v>
      </c>
      <c r="I27" s="137"/>
      <c r="BF27" s="51">
        <v>14</v>
      </c>
      <c r="BG27" s="55">
        <v>122.81</v>
      </c>
      <c r="BH27" s="51">
        <v>0</v>
      </c>
      <c r="BI27" s="51">
        <v>0</v>
      </c>
      <c r="BJ27" s="51">
        <v>0</v>
      </c>
      <c r="BK27" s="51" t="b">
        <v>0</v>
      </c>
      <c r="BL27" s="55"/>
      <c r="BO27" t="s">
        <v>71</v>
      </c>
      <c r="BP27" t="s">
        <v>308</v>
      </c>
      <c r="BQ27">
        <v>8</v>
      </c>
      <c r="BR27">
        <v>6.2229999999999999</v>
      </c>
      <c r="BS27">
        <v>58</v>
      </c>
      <c r="BT27">
        <v>0.9</v>
      </c>
      <c r="BU27">
        <v>2</v>
      </c>
      <c r="BV27">
        <v>0</v>
      </c>
      <c r="BW27">
        <v>7850</v>
      </c>
      <c r="BX27" t="s">
        <v>295</v>
      </c>
    </row>
    <row r="28" spans="5:76" x14ac:dyDescent="0.3">
      <c r="E28" t="s">
        <v>146</v>
      </c>
      <c r="G28" s="137" t="s">
        <v>77</v>
      </c>
      <c r="H28" s="137" t="s">
        <v>187</v>
      </c>
      <c r="I28" s="137"/>
      <c r="BF28" s="51">
        <v>15</v>
      </c>
      <c r="BG28" s="55">
        <v>120.9</v>
      </c>
      <c r="BH28" s="51">
        <v>0</v>
      </c>
      <c r="BI28" s="51">
        <v>0</v>
      </c>
      <c r="BJ28" s="51">
        <v>0</v>
      </c>
      <c r="BK28" s="51" t="b">
        <v>0</v>
      </c>
      <c r="BL28" s="55"/>
      <c r="BO28" t="s">
        <v>71</v>
      </c>
      <c r="BP28" t="s">
        <v>309</v>
      </c>
      <c r="BQ28">
        <v>8</v>
      </c>
      <c r="BR28">
        <v>6.2229999999999999</v>
      </c>
      <c r="BS28">
        <v>23</v>
      </c>
      <c r="BT28">
        <v>0.9</v>
      </c>
      <c r="BU28">
        <v>2</v>
      </c>
      <c r="BV28">
        <v>0</v>
      </c>
      <c r="BW28">
        <v>7850</v>
      </c>
      <c r="BX28" t="s">
        <v>295</v>
      </c>
    </row>
    <row r="29" spans="5:76" x14ac:dyDescent="0.3">
      <c r="E29" t="s">
        <v>147</v>
      </c>
      <c r="G29" s="137" t="s">
        <v>77</v>
      </c>
      <c r="H29" s="137">
        <v>501</v>
      </c>
      <c r="I29" s="137"/>
      <c r="BF29" s="51">
        <v>16</v>
      </c>
      <c r="BG29" s="55">
        <v>119.88000000000001</v>
      </c>
      <c r="BH29" s="51">
        <v>0</v>
      </c>
      <c r="BI29" s="51">
        <v>0</v>
      </c>
      <c r="BJ29" s="51">
        <v>0</v>
      </c>
      <c r="BK29" s="51" t="b">
        <v>0</v>
      </c>
      <c r="BL29" s="55"/>
      <c r="BO29" t="s">
        <v>71</v>
      </c>
      <c r="BP29" t="s">
        <v>310</v>
      </c>
      <c r="BQ29">
        <v>9</v>
      </c>
      <c r="BR29">
        <v>6.2229999999999999</v>
      </c>
      <c r="BS29">
        <v>23</v>
      </c>
      <c r="BT29">
        <v>0.9</v>
      </c>
      <c r="BU29">
        <v>2</v>
      </c>
      <c r="BV29">
        <v>0</v>
      </c>
      <c r="BW29">
        <v>7850</v>
      </c>
      <c r="BX29" t="s">
        <v>295</v>
      </c>
    </row>
    <row r="30" spans="5:76" x14ac:dyDescent="0.3">
      <c r="E30" t="s">
        <v>148</v>
      </c>
      <c r="G30" s="51" t="s">
        <v>211</v>
      </c>
      <c r="H30" s="137">
        <v>4630000000</v>
      </c>
      <c r="I30" s="137"/>
      <c r="BF30" s="51">
        <v>17</v>
      </c>
      <c r="BG30" s="55">
        <v>116.95</v>
      </c>
      <c r="BH30" s="51">
        <v>0</v>
      </c>
      <c r="BI30" s="51">
        <v>0</v>
      </c>
      <c r="BJ30" s="51">
        <v>0</v>
      </c>
      <c r="BK30" s="51" t="b">
        <v>0</v>
      </c>
      <c r="BL30" s="55"/>
      <c r="BO30" t="s">
        <v>71</v>
      </c>
      <c r="BP30" t="s">
        <v>311</v>
      </c>
      <c r="BQ30">
        <v>9</v>
      </c>
      <c r="BR30">
        <v>6.2229999999999999</v>
      </c>
      <c r="BS30">
        <v>23</v>
      </c>
      <c r="BT30">
        <v>0.9</v>
      </c>
      <c r="BU30">
        <v>2</v>
      </c>
      <c r="BV30">
        <v>0</v>
      </c>
      <c r="BW30">
        <v>7850</v>
      </c>
      <c r="BX30" t="s">
        <v>295</v>
      </c>
    </row>
    <row r="31" spans="5:76" x14ac:dyDescent="0.3">
      <c r="E31" t="s">
        <v>149</v>
      </c>
      <c r="G31" s="51" t="s">
        <v>211</v>
      </c>
      <c r="H31" s="137">
        <v>900000000000</v>
      </c>
      <c r="I31" s="137"/>
      <c r="BF31" s="51">
        <v>18</v>
      </c>
      <c r="BG31" s="55">
        <v>115.44600000000001</v>
      </c>
      <c r="BH31" s="51">
        <v>0</v>
      </c>
      <c r="BI31" s="51">
        <v>0</v>
      </c>
      <c r="BJ31" s="51">
        <v>0</v>
      </c>
      <c r="BK31" s="51" t="b">
        <v>0</v>
      </c>
      <c r="BL31" s="55"/>
      <c r="BO31" t="s">
        <v>71</v>
      </c>
      <c r="BP31" t="s">
        <v>312</v>
      </c>
      <c r="BQ31">
        <v>10</v>
      </c>
      <c r="BR31">
        <v>6.2229999999999999</v>
      </c>
      <c r="BS31">
        <v>23</v>
      </c>
      <c r="BT31">
        <v>0.9</v>
      </c>
      <c r="BU31">
        <v>2</v>
      </c>
      <c r="BV31">
        <v>0</v>
      </c>
      <c r="BW31">
        <v>7850</v>
      </c>
      <c r="BX31" t="s">
        <v>295</v>
      </c>
    </row>
    <row r="32" spans="5:76" x14ac:dyDescent="0.3">
      <c r="E32" t="s">
        <v>150</v>
      </c>
      <c r="G32" s="51" t="s">
        <v>211</v>
      </c>
      <c r="H32" s="137">
        <v>-46200000000</v>
      </c>
      <c r="I32" s="137"/>
      <c r="BF32" s="51">
        <v>19</v>
      </c>
      <c r="BG32" s="55">
        <v>114.02000000000001</v>
      </c>
      <c r="BH32" s="51">
        <v>0</v>
      </c>
      <c r="BI32" s="51">
        <v>0</v>
      </c>
      <c r="BJ32" s="51">
        <v>0</v>
      </c>
      <c r="BK32" s="51" t="b">
        <v>0</v>
      </c>
      <c r="BL32" s="55"/>
      <c r="BO32" t="s">
        <v>71</v>
      </c>
      <c r="BP32" t="s">
        <v>313</v>
      </c>
      <c r="BQ32">
        <v>10</v>
      </c>
      <c r="BR32">
        <v>6.2229999999999999</v>
      </c>
      <c r="BS32">
        <v>23</v>
      </c>
      <c r="BT32">
        <v>0.9</v>
      </c>
      <c r="BU32">
        <v>2</v>
      </c>
      <c r="BV32">
        <v>0</v>
      </c>
      <c r="BW32">
        <v>7850</v>
      </c>
      <c r="BX32" t="s">
        <v>295</v>
      </c>
    </row>
    <row r="33" spans="5:76" x14ac:dyDescent="0.3">
      <c r="E33" t="s">
        <v>151</v>
      </c>
      <c r="G33" s="51" t="s">
        <v>212</v>
      </c>
      <c r="H33" s="137">
        <v>170000</v>
      </c>
      <c r="I33" s="137"/>
      <c r="BF33" s="51">
        <v>20</v>
      </c>
      <c r="BG33" s="55">
        <v>111.09</v>
      </c>
      <c r="BH33" s="51">
        <v>0</v>
      </c>
      <c r="BI33" s="51">
        <v>0</v>
      </c>
      <c r="BJ33" s="51">
        <v>0</v>
      </c>
      <c r="BK33" s="51" t="b">
        <v>0</v>
      </c>
      <c r="BL33" s="55"/>
      <c r="BO33" t="s">
        <v>71</v>
      </c>
      <c r="BP33" t="s">
        <v>314</v>
      </c>
      <c r="BQ33">
        <v>11</v>
      </c>
      <c r="BR33">
        <v>6.2229999999999999</v>
      </c>
      <c r="BS33">
        <v>23</v>
      </c>
      <c r="BT33">
        <v>0.9</v>
      </c>
      <c r="BU33">
        <v>2</v>
      </c>
      <c r="BV33">
        <v>0</v>
      </c>
      <c r="BW33">
        <v>7850</v>
      </c>
      <c r="BX33" t="s">
        <v>295</v>
      </c>
    </row>
    <row r="34" spans="5:76" x14ac:dyDescent="0.3">
      <c r="E34" t="s">
        <v>152</v>
      </c>
      <c r="G34" s="51" t="s">
        <v>212</v>
      </c>
      <c r="H34" s="137">
        <v>360000000</v>
      </c>
      <c r="I34" s="137"/>
      <c r="BF34" s="51">
        <v>21</v>
      </c>
      <c r="BG34" s="55">
        <v>110.9</v>
      </c>
      <c r="BH34" s="51">
        <v>0</v>
      </c>
      <c r="BI34" s="51">
        <v>0</v>
      </c>
      <c r="BJ34" s="51">
        <v>0</v>
      </c>
      <c r="BK34" s="51" t="b">
        <v>0</v>
      </c>
      <c r="BL34" s="55"/>
      <c r="BO34" t="s">
        <v>71</v>
      </c>
      <c r="BP34" t="s">
        <v>315</v>
      </c>
      <c r="BQ34">
        <v>11</v>
      </c>
      <c r="BR34">
        <v>6.2229999999999999</v>
      </c>
      <c r="BS34">
        <v>23</v>
      </c>
      <c r="BT34">
        <v>0.9</v>
      </c>
      <c r="BU34">
        <v>2</v>
      </c>
      <c r="BV34">
        <v>0</v>
      </c>
      <c r="BW34">
        <v>7850</v>
      </c>
      <c r="BX34" t="s">
        <v>295</v>
      </c>
    </row>
    <row r="35" spans="5:76" x14ac:dyDescent="0.3">
      <c r="E35" t="s">
        <v>153</v>
      </c>
      <c r="G35" s="51" t="s">
        <v>212</v>
      </c>
      <c r="H35" s="137">
        <v>0</v>
      </c>
      <c r="I35" s="137"/>
      <c r="BF35" s="51">
        <v>22</v>
      </c>
      <c r="BG35" s="55">
        <v>108.16000000000001</v>
      </c>
      <c r="BH35" s="51">
        <v>0</v>
      </c>
      <c r="BI35" s="51">
        <v>0</v>
      </c>
      <c r="BJ35" s="51">
        <v>0</v>
      </c>
      <c r="BK35" s="51" t="b">
        <v>0</v>
      </c>
      <c r="BL35" s="55"/>
      <c r="BO35" t="s">
        <v>71</v>
      </c>
      <c r="BP35" t="s">
        <v>316</v>
      </c>
      <c r="BQ35">
        <v>12</v>
      </c>
      <c r="BR35">
        <v>6.2229999999999999</v>
      </c>
      <c r="BS35">
        <v>23</v>
      </c>
      <c r="BT35">
        <v>0.9</v>
      </c>
      <c r="BU35">
        <v>2</v>
      </c>
      <c r="BV35">
        <v>0</v>
      </c>
      <c r="BW35">
        <v>7850</v>
      </c>
      <c r="BX35" t="s">
        <v>295</v>
      </c>
    </row>
    <row r="36" spans="5:76" x14ac:dyDescent="0.3">
      <c r="E36" t="s">
        <v>154</v>
      </c>
      <c r="G36" s="137"/>
      <c r="H36" s="137">
        <v>2</v>
      </c>
      <c r="I36" s="137"/>
      <c r="BF36" s="51">
        <v>23</v>
      </c>
      <c r="BG36" s="55">
        <v>107.224</v>
      </c>
      <c r="BH36" s="51">
        <v>0</v>
      </c>
      <c r="BI36" s="51">
        <v>0</v>
      </c>
      <c r="BJ36" s="51">
        <v>0</v>
      </c>
      <c r="BK36" s="51" t="b">
        <v>0</v>
      </c>
      <c r="BL36" s="55"/>
      <c r="BO36" t="s">
        <v>71</v>
      </c>
      <c r="BP36" t="s">
        <v>317</v>
      </c>
      <c r="BQ36">
        <v>12</v>
      </c>
      <c r="BR36">
        <v>6.2229999999999999</v>
      </c>
      <c r="BS36">
        <v>23</v>
      </c>
      <c r="BT36">
        <v>0.9</v>
      </c>
      <c r="BU36">
        <v>2</v>
      </c>
      <c r="BV36">
        <v>0</v>
      </c>
      <c r="BW36">
        <v>7850</v>
      </c>
      <c r="BX36" t="s">
        <v>295</v>
      </c>
    </row>
    <row r="37" spans="5:76" x14ac:dyDescent="0.3">
      <c r="E37" t="s">
        <v>216</v>
      </c>
      <c r="G37" s="137"/>
      <c r="H37" s="137">
        <v>10</v>
      </c>
      <c r="I37" s="137"/>
      <c r="BF37" s="51">
        <v>24</v>
      </c>
      <c r="BG37" s="55">
        <v>105.23</v>
      </c>
      <c r="BH37" s="51">
        <v>0</v>
      </c>
      <c r="BI37" s="51">
        <v>0</v>
      </c>
      <c r="BJ37" s="51">
        <v>0</v>
      </c>
      <c r="BK37" s="51" t="b">
        <v>0</v>
      </c>
      <c r="BL37" s="55"/>
      <c r="BO37" t="s">
        <v>71</v>
      </c>
      <c r="BP37" t="s">
        <v>318</v>
      </c>
      <c r="BQ37">
        <v>13</v>
      </c>
      <c r="BR37">
        <v>6.2229999999999999</v>
      </c>
      <c r="BS37">
        <v>23</v>
      </c>
      <c r="BT37">
        <v>0.9</v>
      </c>
      <c r="BU37">
        <v>2</v>
      </c>
      <c r="BV37">
        <v>0</v>
      </c>
      <c r="BW37">
        <v>7850</v>
      </c>
      <c r="BX37" t="s">
        <v>295</v>
      </c>
    </row>
    <row r="38" spans="5:76" x14ac:dyDescent="0.3">
      <c r="E38" t="s">
        <v>155</v>
      </c>
      <c r="G38" s="137" t="s">
        <v>212</v>
      </c>
      <c r="H38" s="137">
        <v>1</v>
      </c>
      <c r="I38" s="137"/>
      <c r="BF38" s="51">
        <v>25</v>
      </c>
      <c r="BG38" s="55">
        <v>102.30000000000001</v>
      </c>
      <c r="BH38" s="51">
        <v>0</v>
      </c>
      <c r="BI38" s="51">
        <v>0</v>
      </c>
      <c r="BJ38" s="51">
        <v>0</v>
      </c>
      <c r="BK38" s="51" t="b">
        <v>0</v>
      </c>
      <c r="BL38" s="55"/>
      <c r="BO38" t="s">
        <v>71</v>
      </c>
      <c r="BP38" t="s">
        <v>319</v>
      </c>
      <c r="BQ38">
        <v>13</v>
      </c>
      <c r="BR38">
        <v>6.2229999999999999</v>
      </c>
      <c r="BS38">
        <v>23</v>
      </c>
      <c r="BT38">
        <v>0.9</v>
      </c>
      <c r="BU38">
        <v>2</v>
      </c>
      <c r="BV38">
        <v>0</v>
      </c>
      <c r="BW38">
        <v>7850</v>
      </c>
      <c r="BX38" t="s">
        <v>295</v>
      </c>
    </row>
    <row r="39" spans="5:76" x14ac:dyDescent="0.3">
      <c r="E39" t="s">
        <v>156</v>
      </c>
      <c r="G39" s="137" t="s">
        <v>213</v>
      </c>
      <c r="H39" s="137">
        <v>1027</v>
      </c>
      <c r="I39" s="137"/>
      <c r="BF39" s="51">
        <v>26</v>
      </c>
      <c r="BG39" s="55">
        <v>102.26</v>
      </c>
      <c r="BH39" s="51">
        <v>0</v>
      </c>
      <c r="BI39" s="51">
        <v>0</v>
      </c>
      <c r="BJ39" s="51">
        <v>0</v>
      </c>
      <c r="BK39" s="51" t="b">
        <v>0</v>
      </c>
      <c r="BL39" s="55"/>
      <c r="BO39" t="s">
        <v>71</v>
      </c>
      <c r="BP39" t="s">
        <v>320</v>
      </c>
      <c r="BQ39">
        <v>14</v>
      </c>
      <c r="BR39">
        <v>6.2229999999999999</v>
      </c>
      <c r="BS39">
        <v>23</v>
      </c>
      <c r="BT39">
        <v>0.9</v>
      </c>
      <c r="BU39">
        <v>2</v>
      </c>
      <c r="BV39">
        <v>0</v>
      </c>
      <c r="BW39">
        <v>7850</v>
      </c>
      <c r="BX39" t="s">
        <v>295</v>
      </c>
    </row>
    <row r="40" spans="5:76" x14ac:dyDescent="0.3">
      <c r="E40" t="s">
        <v>196</v>
      </c>
      <c r="F40" t="s">
        <v>192</v>
      </c>
      <c r="G40" s="137" t="s">
        <v>115</v>
      </c>
      <c r="H40" s="137" t="s">
        <v>188</v>
      </c>
      <c r="I40" s="137" t="s">
        <v>204</v>
      </c>
      <c r="BF40" s="51">
        <v>27</v>
      </c>
      <c r="BG40" s="55">
        <v>102.10000000000001</v>
      </c>
      <c r="BH40" s="51">
        <v>0</v>
      </c>
      <c r="BI40" s="51">
        <v>0</v>
      </c>
      <c r="BJ40" s="51">
        <v>0</v>
      </c>
      <c r="BK40" s="51" t="b">
        <v>0</v>
      </c>
      <c r="BL40" s="55"/>
      <c r="BO40" t="s">
        <v>71</v>
      </c>
      <c r="BP40" t="s">
        <v>321</v>
      </c>
      <c r="BQ40">
        <v>14</v>
      </c>
      <c r="BR40">
        <v>6.2229999999999999</v>
      </c>
      <c r="BS40">
        <v>23</v>
      </c>
      <c r="BT40">
        <v>0.9</v>
      </c>
      <c r="BU40">
        <v>2</v>
      </c>
      <c r="BV40">
        <v>0</v>
      </c>
      <c r="BW40">
        <v>7850</v>
      </c>
      <c r="BX40" t="s">
        <v>295</v>
      </c>
    </row>
    <row r="41" spans="5:76" x14ac:dyDescent="0.3">
      <c r="E41" t="s">
        <v>197</v>
      </c>
      <c r="F41" t="s">
        <v>192</v>
      </c>
      <c r="G41" s="137" t="s">
        <v>115</v>
      </c>
      <c r="H41" s="137" t="s">
        <v>188</v>
      </c>
      <c r="I41" s="137"/>
      <c r="BF41" s="51">
        <v>28</v>
      </c>
      <c r="BG41" s="55">
        <v>101.94000000000001</v>
      </c>
      <c r="BH41" s="51">
        <v>0</v>
      </c>
      <c r="BI41" s="51">
        <v>0</v>
      </c>
      <c r="BJ41" s="51">
        <v>0</v>
      </c>
      <c r="BK41" s="51" t="b">
        <v>0</v>
      </c>
      <c r="BL41" s="55"/>
      <c r="BO41" t="s">
        <v>71</v>
      </c>
      <c r="BP41" t="s">
        <v>322</v>
      </c>
      <c r="BQ41">
        <v>15</v>
      </c>
      <c r="BR41">
        <v>6.2229999999999999</v>
      </c>
      <c r="BS41">
        <v>23</v>
      </c>
      <c r="BT41">
        <v>0.9</v>
      </c>
      <c r="BU41">
        <v>2</v>
      </c>
      <c r="BV41">
        <v>0</v>
      </c>
      <c r="BW41">
        <v>7850</v>
      </c>
      <c r="BX41" t="s">
        <v>295</v>
      </c>
    </row>
    <row r="42" spans="5:76" x14ac:dyDescent="0.3">
      <c r="E42" t="s">
        <v>157</v>
      </c>
      <c r="G42" s="137" t="s">
        <v>213</v>
      </c>
      <c r="H42" s="137">
        <v>1325</v>
      </c>
      <c r="I42" s="137"/>
      <c r="BF42" s="51">
        <v>29</v>
      </c>
      <c r="BG42" s="55">
        <v>101.9</v>
      </c>
      <c r="BH42" s="51">
        <v>0</v>
      </c>
      <c r="BI42" s="51">
        <v>0</v>
      </c>
      <c r="BJ42" s="51">
        <v>0</v>
      </c>
      <c r="BK42" s="51" t="b">
        <v>0</v>
      </c>
      <c r="BL42" s="55"/>
      <c r="BO42" t="s">
        <v>71</v>
      </c>
      <c r="BP42" t="s">
        <v>323</v>
      </c>
      <c r="BQ42">
        <v>15</v>
      </c>
      <c r="BR42">
        <v>6.2229999999999999</v>
      </c>
      <c r="BS42">
        <v>23</v>
      </c>
      <c r="BT42">
        <v>0.9</v>
      </c>
      <c r="BU42">
        <v>2</v>
      </c>
      <c r="BV42">
        <v>0</v>
      </c>
      <c r="BW42">
        <v>7850</v>
      </c>
      <c r="BX42" t="s">
        <v>295</v>
      </c>
    </row>
    <row r="43" spans="5:76" x14ac:dyDescent="0.3">
      <c r="E43" t="s">
        <v>158</v>
      </c>
      <c r="G43" s="137"/>
      <c r="H43" s="137">
        <v>2</v>
      </c>
      <c r="I43" s="137"/>
      <c r="BF43" s="51">
        <v>30</v>
      </c>
      <c r="BG43" s="55">
        <v>100.9</v>
      </c>
      <c r="BH43" s="51">
        <v>0</v>
      </c>
      <c r="BI43" s="51">
        <v>0</v>
      </c>
      <c r="BJ43" s="51">
        <v>0</v>
      </c>
      <c r="BK43" s="51" t="b">
        <v>0</v>
      </c>
      <c r="BL43" s="55"/>
      <c r="BO43" t="s">
        <v>71</v>
      </c>
      <c r="BP43" t="s">
        <v>324</v>
      </c>
      <c r="BQ43">
        <v>16</v>
      </c>
      <c r="BR43">
        <v>6.2229999999999999</v>
      </c>
      <c r="BS43">
        <v>23</v>
      </c>
      <c r="BT43">
        <v>0.9</v>
      </c>
      <c r="BU43">
        <v>2</v>
      </c>
      <c r="BV43">
        <v>0</v>
      </c>
      <c r="BW43">
        <v>7850</v>
      </c>
      <c r="BX43" t="s">
        <v>295</v>
      </c>
    </row>
    <row r="44" spans="5:76" x14ac:dyDescent="0.3">
      <c r="E44" t="s">
        <v>159</v>
      </c>
      <c r="G44" s="137"/>
      <c r="H44" s="137">
        <v>300</v>
      </c>
      <c r="I44" s="137"/>
      <c r="BF44" s="51">
        <v>31</v>
      </c>
      <c r="BG44" s="55">
        <v>99.172000000000011</v>
      </c>
      <c r="BH44" s="51">
        <v>0</v>
      </c>
      <c r="BI44" s="51">
        <v>0</v>
      </c>
      <c r="BJ44" s="51">
        <v>0</v>
      </c>
      <c r="BK44" s="51" t="b">
        <v>0</v>
      </c>
      <c r="BL44" s="55"/>
      <c r="BO44" t="s">
        <v>71</v>
      </c>
      <c r="BP44" t="s">
        <v>325</v>
      </c>
      <c r="BQ44">
        <v>16</v>
      </c>
      <c r="BR44">
        <v>6.2229999999999999</v>
      </c>
      <c r="BS44">
        <v>23</v>
      </c>
      <c r="BT44">
        <v>0.9</v>
      </c>
      <c r="BU44">
        <v>2</v>
      </c>
      <c r="BV44">
        <v>0</v>
      </c>
      <c r="BW44">
        <v>7850</v>
      </c>
      <c r="BX44" t="s">
        <v>295</v>
      </c>
    </row>
    <row r="45" spans="5:76" x14ac:dyDescent="0.3">
      <c r="E45" t="s">
        <v>160</v>
      </c>
      <c r="G45" s="137"/>
      <c r="H45" s="137">
        <v>10</v>
      </c>
      <c r="I45" s="137"/>
      <c r="BF45" s="51">
        <v>32</v>
      </c>
      <c r="BG45" s="55">
        <v>99.003</v>
      </c>
      <c r="BH45" s="51">
        <v>0</v>
      </c>
      <c r="BI45" s="51">
        <v>0</v>
      </c>
      <c r="BJ45" s="51">
        <v>0</v>
      </c>
      <c r="BK45" s="51" t="b">
        <v>0</v>
      </c>
      <c r="BL45" s="55"/>
      <c r="BO45" t="s">
        <v>71</v>
      </c>
      <c r="BP45" t="s">
        <v>326</v>
      </c>
      <c r="BQ45">
        <v>17</v>
      </c>
      <c r="BR45">
        <v>6.2229999999999999</v>
      </c>
      <c r="BS45">
        <v>23</v>
      </c>
      <c r="BT45">
        <v>0.9</v>
      </c>
      <c r="BU45">
        <v>2</v>
      </c>
      <c r="BV45">
        <v>0</v>
      </c>
      <c r="BW45">
        <v>7850</v>
      </c>
      <c r="BX45" t="s">
        <v>295</v>
      </c>
    </row>
    <row r="46" spans="5:76" x14ac:dyDescent="0.3">
      <c r="E46" t="s">
        <v>161</v>
      </c>
      <c r="G46" s="137" t="s">
        <v>204</v>
      </c>
      <c r="H46" s="137">
        <v>7.4999999999999997E-3</v>
      </c>
      <c r="I46" s="137"/>
      <c r="BF46" s="51">
        <v>33</v>
      </c>
      <c r="BG46" s="55">
        <v>96.45</v>
      </c>
      <c r="BH46" s="51">
        <v>0</v>
      </c>
      <c r="BI46" s="51">
        <v>0</v>
      </c>
      <c r="BJ46" s="51">
        <v>0</v>
      </c>
      <c r="BK46" s="51" t="b">
        <v>0</v>
      </c>
      <c r="BL46" s="55"/>
      <c r="BO46" t="s">
        <v>71</v>
      </c>
      <c r="BP46" t="s">
        <v>327</v>
      </c>
      <c r="BQ46">
        <v>17</v>
      </c>
      <c r="BR46">
        <v>6.2229999999999999</v>
      </c>
      <c r="BS46">
        <v>23</v>
      </c>
      <c r="BT46">
        <v>0.9</v>
      </c>
      <c r="BU46">
        <v>2</v>
      </c>
      <c r="BV46">
        <v>0</v>
      </c>
      <c r="BW46">
        <v>7850</v>
      </c>
      <c r="BX46" t="s">
        <v>295</v>
      </c>
    </row>
    <row r="47" spans="5:76" x14ac:dyDescent="0.3">
      <c r="E47" t="s">
        <v>162</v>
      </c>
      <c r="G47" s="137" t="s">
        <v>204</v>
      </c>
      <c r="H47" s="137">
        <v>6.4000000000000003E-3</v>
      </c>
      <c r="I47" s="137"/>
      <c r="BF47" s="51">
        <v>34</v>
      </c>
      <c r="BG47" s="55">
        <v>94.89200000000001</v>
      </c>
      <c r="BH47" s="51">
        <v>0</v>
      </c>
      <c r="BI47" s="51">
        <v>0</v>
      </c>
      <c r="BJ47" s="51">
        <v>0</v>
      </c>
      <c r="BK47" s="51" t="b">
        <v>0</v>
      </c>
      <c r="BL47" s="55"/>
      <c r="BO47" t="s">
        <v>71</v>
      </c>
      <c r="BP47" t="s">
        <v>328</v>
      </c>
      <c r="BQ47">
        <v>18</v>
      </c>
      <c r="BR47">
        <v>6.2229999999999999</v>
      </c>
      <c r="BS47">
        <v>23</v>
      </c>
      <c r="BT47">
        <v>0.9</v>
      </c>
      <c r="BU47">
        <v>2</v>
      </c>
      <c r="BV47">
        <v>0</v>
      </c>
      <c r="BW47">
        <v>7850</v>
      </c>
      <c r="BX47" t="s">
        <v>295</v>
      </c>
    </row>
    <row r="48" spans="5:76" x14ac:dyDescent="0.3">
      <c r="E48" t="s">
        <v>163</v>
      </c>
      <c r="G48" s="137" t="s">
        <v>214</v>
      </c>
      <c r="H48" s="137">
        <v>36</v>
      </c>
      <c r="I48" s="137"/>
      <c r="BF48" s="51">
        <v>35</v>
      </c>
      <c r="BG48" s="55">
        <v>93.728000000000009</v>
      </c>
      <c r="BH48" s="51">
        <v>0</v>
      </c>
      <c r="BI48" s="51">
        <v>0</v>
      </c>
      <c r="BJ48" s="51">
        <v>0</v>
      </c>
      <c r="BK48" s="51" t="b">
        <v>0</v>
      </c>
      <c r="BL48" s="55"/>
      <c r="BO48" t="s">
        <v>71</v>
      </c>
      <c r="BP48" t="s">
        <v>329</v>
      </c>
      <c r="BQ48">
        <v>18</v>
      </c>
      <c r="BR48">
        <v>6.2229999999999999</v>
      </c>
      <c r="BS48">
        <v>23</v>
      </c>
      <c r="BT48">
        <v>0.9</v>
      </c>
      <c r="BU48">
        <v>2</v>
      </c>
      <c r="BV48">
        <v>0</v>
      </c>
      <c r="BW48">
        <v>7850</v>
      </c>
      <c r="BX48" t="s">
        <v>295</v>
      </c>
    </row>
    <row r="49" spans="5:76" x14ac:dyDescent="0.3">
      <c r="E49" t="s">
        <v>166</v>
      </c>
      <c r="G49" s="137" t="s">
        <v>204</v>
      </c>
      <c r="H49" s="137">
        <v>5</v>
      </c>
      <c r="I49" s="137" t="s">
        <v>205</v>
      </c>
      <c r="BF49" s="51">
        <v>36</v>
      </c>
      <c r="BG49" s="55">
        <v>91.006</v>
      </c>
      <c r="BH49" s="51">
        <v>0</v>
      </c>
      <c r="BI49" s="51">
        <v>0</v>
      </c>
      <c r="BJ49" s="51">
        <v>0</v>
      </c>
      <c r="BK49" s="51" t="b">
        <v>0</v>
      </c>
      <c r="BL49" s="55"/>
      <c r="BO49" t="s">
        <v>71</v>
      </c>
      <c r="BP49" t="s">
        <v>330</v>
      </c>
      <c r="BQ49">
        <v>19</v>
      </c>
      <c r="BR49">
        <v>6.2240000000000002</v>
      </c>
      <c r="BS49">
        <v>23</v>
      </c>
      <c r="BT49">
        <v>0.9</v>
      </c>
      <c r="BU49">
        <v>2</v>
      </c>
      <c r="BV49">
        <v>0</v>
      </c>
      <c r="BW49">
        <v>7850</v>
      </c>
      <c r="BX49" t="s">
        <v>295</v>
      </c>
    </row>
    <row r="50" spans="5:76" x14ac:dyDescent="0.3">
      <c r="E50" t="s">
        <v>164</v>
      </c>
      <c r="G50" s="137" t="s">
        <v>204</v>
      </c>
      <c r="H50" s="137">
        <v>10000000</v>
      </c>
      <c r="I50" s="137"/>
      <c r="BF50" s="51">
        <v>37</v>
      </c>
      <c r="BG50" s="55">
        <v>90.9</v>
      </c>
      <c r="BH50" s="51">
        <v>0</v>
      </c>
      <c r="BI50" s="51">
        <v>0</v>
      </c>
      <c r="BJ50" s="51">
        <v>0</v>
      </c>
      <c r="BK50" s="51" t="b">
        <v>0</v>
      </c>
      <c r="BL50" s="55"/>
      <c r="BO50" t="s">
        <v>71</v>
      </c>
      <c r="BP50" t="s">
        <v>331</v>
      </c>
      <c r="BQ50">
        <v>19</v>
      </c>
      <c r="BR50">
        <v>6.2240000000000002</v>
      </c>
      <c r="BS50">
        <v>24</v>
      </c>
      <c r="BT50">
        <v>0.9</v>
      </c>
      <c r="BU50">
        <v>2</v>
      </c>
      <c r="BV50">
        <v>0</v>
      </c>
      <c r="BW50">
        <v>7850</v>
      </c>
      <c r="BX50" t="s">
        <v>295</v>
      </c>
    </row>
    <row r="51" spans="5:76" x14ac:dyDescent="0.3">
      <c r="E51" t="s">
        <v>165</v>
      </c>
      <c r="G51" s="137" t="s">
        <v>204</v>
      </c>
      <c r="H51" s="137">
        <v>0.89500000000000002</v>
      </c>
      <c r="I51" s="137"/>
      <c r="BF51" s="51">
        <v>38</v>
      </c>
      <c r="BG51" s="55">
        <v>88.284000000000006</v>
      </c>
      <c r="BH51" s="51">
        <v>0</v>
      </c>
      <c r="BI51" s="51">
        <v>0</v>
      </c>
      <c r="BJ51" s="51">
        <v>0</v>
      </c>
      <c r="BK51" s="51" t="b">
        <v>0</v>
      </c>
      <c r="BL51" s="55"/>
      <c r="BO51" t="s">
        <v>71</v>
      </c>
      <c r="BP51" t="s">
        <v>332</v>
      </c>
      <c r="BQ51">
        <v>20</v>
      </c>
      <c r="BR51">
        <v>6.2249999999999996</v>
      </c>
      <c r="BS51">
        <v>24</v>
      </c>
      <c r="BT51">
        <v>0.9</v>
      </c>
      <c r="BU51">
        <v>2</v>
      </c>
      <c r="BV51">
        <v>0</v>
      </c>
      <c r="BW51">
        <v>7850</v>
      </c>
      <c r="BX51" t="s">
        <v>295</v>
      </c>
    </row>
    <row r="52" spans="5:76" x14ac:dyDescent="0.3">
      <c r="E52" t="s">
        <v>167</v>
      </c>
      <c r="F52" t="s">
        <v>195</v>
      </c>
      <c r="G52" s="137" t="s">
        <v>115</v>
      </c>
      <c r="H52" s="137" t="s">
        <v>188</v>
      </c>
      <c r="I52" s="137"/>
      <c r="BF52" s="51">
        <v>39</v>
      </c>
      <c r="BG52" s="55">
        <v>86.671000000000006</v>
      </c>
      <c r="BH52" s="51">
        <v>0</v>
      </c>
      <c r="BI52" s="51">
        <v>0</v>
      </c>
      <c r="BJ52" s="51">
        <v>0</v>
      </c>
      <c r="BK52" s="51" t="b">
        <v>0</v>
      </c>
      <c r="BL52" s="55"/>
      <c r="BO52" t="s">
        <v>71</v>
      </c>
      <c r="BP52" t="s">
        <v>333</v>
      </c>
      <c r="BQ52">
        <v>20</v>
      </c>
      <c r="BR52">
        <v>6.2249999999999996</v>
      </c>
      <c r="BS52">
        <v>25</v>
      </c>
      <c r="BT52">
        <v>0.9</v>
      </c>
      <c r="BU52">
        <v>2</v>
      </c>
      <c r="BV52">
        <v>0</v>
      </c>
      <c r="BW52">
        <v>7850</v>
      </c>
      <c r="BX52" t="s">
        <v>295</v>
      </c>
    </row>
    <row r="53" spans="5:76" x14ac:dyDescent="0.3">
      <c r="E53" t="s">
        <v>168</v>
      </c>
      <c r="F53" t="s">
        <v>192</v>
      </c>
      <c r="G53" s="137" t="s">
        <v>115</v>
      </c>
      <c r="H53" s="137" t="s">
        <v>190</v>
      </c>
      <c r="I53" s="137">
        <v>140</v>
      </c>
      <c r="BF53" s="51">
        <v>40</v>
      </c>
      <c r="BG53" s="55">
        <v>85.562000000000012</v>
      </c>
      <c r="BH53" s="51">
        <v>0</v>
      </c>
      <c r="BI53" s="51">
        <v>0</v>
      </c>
      <c r="BJ53" s="51">
        <v>0</v>
      </c>
      <c r="BK53" s="51" t="b">
        <v>0</v>
      </c>
      <c r="BL53" s="55"/>
      <c r="BO53" t="s">
        <v>71</v>
      </c>
      <c r="BP53" t="s">
        <v>334</v>
      </c>
      <c r="BQ53">
        <v>21</v>
      </c>
      <c r="BR53">
        <v>6.2249999999999996</v>
      </c>
      <c r="BS53">
        <v>25</v>
      </c>
      <c r="BT53">
        <v>0.9</v>
      </c>
      <c r="BU53">
        <v>2</v>
      </c>
      <c r="BV53">
        <v>0</v>
      </c>
      <c r="BW53">
        <v>7850</v>
      </c>
      <c r="BX53" t="s">
        <v>295</v>
      </c>
    </row>
    <row r="54" spans="5:76" x14ac:dyDescent="0.3">
      <c r="E54" t="s">
        <v>169</v>
      </c>
      <c r="G54" s="137" t="s">
        <v>204</v>
      </c>
      <c r="H54" s="137">
        <v>0.11</v>
      </c>
      <c r="I54" s="137"/>
      <c r="BF54" s="51">
        <v>41</v>
      </c>
      <c r="BG54" s="55">
        <v>82.84</v>
      </c>
      <c r="BH54" s="51">
        <v>0</v>
      </c>
      <c r="BI54" s="51">
        <v>0</v>
      </c>
      <c r="BJ54" s="51">
        <v>0</v>
      </c>
      <c r="BK54" s="51" t="b">
        <v>0</v>
      </c>
      <c r="BL54" s="55"/>
      <c r="BO54" t="s">
        <v>71</v>
      </c>
      <c r="BP54" t="s">
        <v>335</v>
      </c>
      <c r="BQ54">
        <v>21</v>
      </c>
      <c r="BR54">
        <v>6.2249999999999996</v>
      </c>
      <c r="BS54">
        <v>25</v>
      </c>
      <c r="BT54">
        <v>0.9</v>
      </c>
      <c r="BU54">
        <v>2</v>
      </c>
      <c r="BV54">
        <v>0</v>
      </c>
      <c r="BW54">
        <v>7850</v>
      </c>
      <c r="BX54" t="s">
        <v>295</v>
      </c>
    </row>
    <row r="55" spans="5:76" x14ac:dyDescent="0.3">
      <c r="E55" t="s">
        <v>170</v>
      </c>
      <c r="G55" s="137" t="s">
        <v>215</v>
      </c>
      <c r="H55" s="137">
        <v>0</v>
      </c>
      <c r="I55" s="137"/>
      <c r="BF55" s="51">
        <v>42</v>
      </c>
      <c r="BG55" s="55">
        <v>82.56</v>
      </c>
      <c r="BH55" s="51">
        <v>0</v>
      </c>
      <c r="BI55" s="51">
        <v>0</v>
      </c>
      <c r="BJ55" s="51">
        <v>0</v>
      </c>
      <c r="BK55" s="51" t="b">
        <v>0</v>
      </c>
      <c r="BL55" s="55"/>
      <c r="BO55" t="s">
        <v>71</v>
      </c>
      <c r="BP55" t="s">
        <v>336</v>
      </c>
      <c r="BQ55">
        <v>22</v>
      </c>
      <c r="BR55">
        <v>6.226</v>
      </c>
      <c r="BS55">
        <v>25</v>
      </c>
      <c r="BT55">
        <v>0.9</v>
      </c>
      <c r="BU55">
        <v>2</v>
      </c>
      <c r="BV55">
        <v>0</v>
      </c>
      <c r="BW55">
        <v>7850</v>
      </c>
      <c r="BX55" t="s">
        <v>295</v>
      </c>
    </row>
    <row r="56" spans="5:76" x14ac:dyDescent="0.3">
      <c r="E56" t="s">
        <v>171</v>
      </c>
      <c r="G56" s="137" t="s">
        <v>77</v>
      </c>
      <c r="H56" s="137">
        <v>0</v>
      </c>
      <c r="I56" s="137"/>
      <c r="BF56" s="51">
        <v>43</v>
      </c>
      <c r="BG56" s="55">
        <v>80.900000000000006</v>
      </c>
      <c r="BH56" s="51">
        <v>0</v>
      </c>
      <c r="BI56" s="51">
        <v>0</v>
      </c>
      <c r="BJ56" s="51">
        <v>0</v>
      </c>
      <c r="BK56" s="51" t="b">
        <v>0</v>
      </c>
      <c r="BL56" s="55"/>
      <c r="BO56" t="s">
        <v>71</v>
      </c>
      <c r="BP56" t="s">
        <v>337</v>
      </c>
      <c r="BQ56">
        <v>22</v>
      </c>
      <c r="BR56">
        <v>6.226</v>
      </c>
      <c r="BS56">
        <v>26</v>
      </c>
      <c r="BT56">
        <v>0.9</v>
      </c>
      <c r="BU56">
        <v>2</v>
      </c>
      <c r="BV56">
        <v>0</v>
      </c>
      <c r="BW56">
        <v>7850</v>
      </c>
      <c r="BX56" t="s">
        <v>295</v>
      </c>
    </row>
    <row r="57" spans="5:76" x14ac:dyDescent="0.3">
      <c r="E57" t="s">
        <v>172</v>
      </c>
      <c r="G57" s="137" t="s">
        <v>77</v>
      </c>
      <c r="H57" s="137">
        <v>1</v>
      </c>
      <c r="I57" s="137"/>
      <c r="BF57" s="51">
        <v>44</v>
      </c>
      <c r="BG57" s="55">
        <v>80.118000000000009</v>
      </c>
      <c r="BH57" s="51">
        <v>0</v>
      </c>
      <c r="BI57" s="51">
        <v>0</v>
      </c>
      <c r="BJ57" s="51">
        <v>0</v>
      </c>
      <c r="BK57" s="51" t="b">
        <v>0</v>
      </c>
      <c r="BL57" s="55"/>
      <c r="BO57" t="s">
        <v>71</v>
      </c>
      <c r="BP57" t="s">
        <v>338</v>
      </c>
      <c r="BQ57">
        <v>23</v>
      </c>
      <c r="BR57">
        <v>6.226</v>
      </c>
      <c r="BS57">
        <v>26</v>
      </c>
      <c r="BT57">
        <v>0.9</v>
      </c>
      <c r="BU57">
        <v>2</v>
      </c>
      <c r="BV57">
        <v>0</v>
      </c>
      <c r="BW57">
        <v>7850</v>
      </c>
      <c r="BX57" t="s">
        <v>295</v>
      </c>
    </row>
    <row r="58" spans="5:76" x14ac:dyDescent="0.3">
      <c r="E58" t="s">
        <v>173</v>
      </c>
      <c r="G58" s="137" t="s">
        <v>77</v>
      </c>
      <c r="H58" s="137" t="s">
        <v>191</v>
      </c>
      <c r="I58" s="137"/>
      <c r="BF58" s="51">
        <v>45</v>
      </c>
      <c r="BG58" s="55">
        <v>78.45</v>
      </c>
      <c r="BH58" s="51">
        <v>0</v>
      </c>
      <c r="BI58" s="51">
        <v>0</v>
      </c>
      <c r="BJ58" s="51">
        <v>0</v>
      </c>
      <c r="BK58" s="51" t="b">
        <v>0</v>
      </c>
      <c r="BL58" s="55"/>
      <c r="BO58" t="s">
        <v>71</v>
      </c>
      <c r="BP58" t="s">
        <v>339</v>
      </c>
      <c r="BQ58">
        <v>23</v>
      </c>
      <c r="BR58">
        <v>6.226</v>
      </c>
      <c r="BS58">
        <v>26</v>
      </c>
      <c r="BT58">
        <v>0.9</v>
      </c>
      <c r="BU58">
        <v>2</v>
      </c>
      <c r="BV58">
        <v>0</v>
      </c>
      <c r="BW58">
        <v>7850</v>
      </c>
      <c r="BX58" t="s">
        <v>295</v>
      </c>
    </row>
    <row r="59" spans="5:76" x14ac:dyDescent="0.3">
      <c r="E59" t="s">
        <v>174</v>
      </c>
      <c r="F59" t="s">
        <v>208</v>
      </c>
      <c r="G59" s="137"/>
      <c r="H59" s="137" t="s">
        <v>199</v>
      </c>
      <c r="I59" s="137"/>
      <c r="BF59" s="51">
        <v>46</v>
      </c>
      <c r="BG59" s="55">
        <v>77.396000000000001</v>
      </c>
      <c r="BH59" s="51">
        <v>0</v>
      </c>
      <c r="BI59" s="51">
        <v>0</v>
      </c>
      <c r="BJ59" s="51">
        <v>0</v>
      </c>
      <c r="BK59" s="51" t="b">
        <v>0</v>
      </c>
      <c r="BL59" s="55"/>
      <c r="BO59" t="s">
        <v>71</v>
      </c>
      <c r="BP59" t="s">
        <v>340</v>
      </c>
      <c r="BQ59">
        <v>24</v>
      </c>
      <c r="BR59">
        <v>6.226</v>
      </c>
      <c r="BS59">
        <v>26</v>
      </c>
      <c r="BT59">
        <v>0.9</v>
      </c>
      <c r="BU59">
        <v>2</v>
      </c>
      <c r="BV59">
        <v>0</v>
      </c>
      <c r="BW59">
        <v>7850</v>
      </c>
      <c r="BX59" t="s">
        <v>295</v>
      </c>
    </row>
    <row r="60" spans="5:76" x14ac:dyDescent="0.3">
      <c r="BF60" s="51">
        <v>47</v>
      </c>
      <c r="BG60" s="55">
        <v>74.674000000000007</v>
      </c>
      <c r="BH60" s="51">
        <v>0</v>
      </c>
      <c r="BI60" s="51">
        <v>0</v>
      </c>
      <c r="BJ60" s="51">
        <v>0</v>
      </c>
      <c r="BK60" s="51" t="b">
        <v>0</v>
      </c>
      <c r="BL60" s="55"/>
      <c r="BO60" t="s">
        <v>71</v>
      </c>
      <c r="BP60" t="s">
        <v>341</v>
      </c>
      <c r="BQ60">
        <v>24</v>
      </c>
      <c r="BR60">
        <v>6.226</v>
      </c>
      <c r="BS60">
        <v>26</v>
      </c>
      <c r="BT60">
        <v>0.9</v>
      </c>
      <c r="BU60">
        <v>2</v>
      </c>
      <c r="BV60">
        <v>0</v>
      </c>
      <c r="BW60">
        <v>7850</v>
      </c>
      <c r="BX60" t="s">
        <v>295</v>
      </c>
    </row>
    <row r="61" spans="5:76" x14ac:dyDescent="0.3">
      <c r="BF61" s="51">
        <v>48</v>
      </c>
      <c r="BG61" s="55">
        <v>71.951999999999998</v>
      </c>
      <c r="BH61" s="51">
        <v>0</v>
      </c>
      <c r="BI61" s="51">
        <v>0</v>
      </c>
      <c r="BJ61" s="51">
        <v>0</v>
      </c>
      <c r="BK61" s="51" t="b">
        <v>0</v>
      </c>
      <c r="BL61" s="55"/>
      <c r="BO61" t="s">
        <v>71</v>
      </c>
      <c r="BP61" t="s">
        <v>342</v>
      </c>
      <c r="BQ61">
        <v>25</v>
      </c>
      <c r="BR61">
        <v>6.2279999999999998</v>
      </c>
      <c r="BS61">
        <v>26</v>
      </c>
      <c r="BT61">
        <v>0.9</v>
      </c>
      <c r="BU61">
        <v>2</v>
      </c>
      <c r="BV61">
        <v>0</v>
      </c>
      <c r="BW61">
        <v>7850</v>
      </c>
      <c r="BX61" t="s">
        <v>295</v>
      </c>
    </row>
    <row r="62" spans="5:76" x14ac:dyDescent="0.3">
      <c r="BF62" s="51">
        <v>49</v>
      </c>
      <c r="BG62" s="55">
        <v>70.900000000000006</v>
      </c>
      <c r="BH62" s="51">
        <v>0</v>
      </c>
      <c r="BI62" s="51">
        <v>0</v>
      </c>
      <c r="BJ62" s="51">
        <v>0</v>
      </c>
      <c r="BK62" s="51" t="b">
        <v>0</v>
      </c>
      <c r="BL62" s="55"/>
      <c r="BO62" t="s">
        <v>71</v>
      </c>
      <c r="BP62" t="s">
        <v>343</v>
      </c>
      <c r="BQ62">
        <v>25</v>
      </c>
      <c r="BR62">
        <v>6.2279999999999998</v>
      </c>
      <c r="BS62">
        <v>28</v>
      </c>
      <c r="BT62">
        <v>0.9</v>
      </c>
      <c r="BU62">
        <v>2</v>
      </c>
      <c r="BV62">
        <v>0</v>
      </c>
      <c r="BW62">
        <v>7850</v>
      </c>
      <c r="BX62" t="s">
        <v>295</v>
      </c>
    </row>
    <row r="63" spans="5:76" x14ac:dyDescent="0.3">
      <c r="BF63" s="51">
        <v>50</v>
      </c>
      <c r="BG63" s="55">
        <v>69.225000000000009</v>
      </c>
      <c r="BH63" s="51">
        <v>0</v>
      </c>
      <c r="BI63" s="51">
        <v>0</v>
      </c>
      <c r="BJ63" s="51">
        <v>0</v>
      </c>
      <c r="BK63" s="51" t="b">
        <v>0</v>
      </c>
      <c r="BL63" s="55"/>
      <c r="BO63" t="s">
        <v>71</v>
      </c>
      <c r="BP63" t="s">
        <v>344</v>
      </c>
      <c r="BQ63">
        <v>26</v>
      </c>
      <c r="BR63">
        <v>6.2279999999999998</v>
      </c>
      <c r="BS63">
        <v>28</v>
      </c>
      <c r="BT63">
        <v>0.9</v>
      </c>
      <c r="BU63">
        <v>2</v>
      </c>
      <c r="BV63">
        <v>0</v>
      </c>
      <c r="BW63">
        <v>7850</v>
      </c>
      <c r="BX63" t="s">
        <v>295</v>
      </c>
    </row>
    <row r="64" spans="5:76" x14ac:dyDescent="0.3">
      <c r="BF64" s="51">
        <v>51</v>
      </c>
      <c r="BG64" s="55">
        <v>66.490000000000009</v>
      </c>
      <c r="BH64" s="51">
        <v>0</v>
      </c>
      <c r="BI64" s="51">
        <v>0</v>
      </c>
      <c r="BJ64" s="51">
        <v>0</v>
      </c>
      <c r="BK64" s="51" t="b">
        <v>0</v>
      </c>
      <c r="BL64" s="55"/>
      <c r="BO64" t="s">
        <v>71</v>
      </c>
      <c r="BP64" t="s">
        <v>345</v>
      </c>
      <c r="BQ64">
        <v>26</v>
      </c>
      <c r="BR64">
        <v>6.2279999999999998</v>
      </c>
      <c r="BS64">
        <v>28</v>
      </c>
      <c r="BT64">
        <v>0.9</v>
      </c>
      <c r="BU64">
        <v>2</v>
      </c>
      <c r="BV64">
        <v>0</v>
      </c>
      <c r="BW64">
        <v>7850</v>
      </c>
      <c r="BX64" t="s">
        <v>295</v>
      </c>
    </row>
    <row r="65" spans="58:76" x14ac:dyDescent="0.3">
      <c r="BF65" s="51">
        <v>52</v>
      </c>
      <c r="BG65" s="55">
        <v>66.445000000000007</v>
      </c>
      <c r="BH65" s="51">
        <v>0</v>
      </c>
      <c r="BI65" s="51">
        <v>0</v>
      </c>
      <c r="BJ65" s="51">
        <v>0</v>
      </c>
      <c r="BK65" s="51" t="b">
        <v>0</v>
      </c>
      <c r="BL65" s="55"/>
      <c r="BO65" t="s">
        <v>71</v>
      </c>
      <c r="BP65" t="s">
        <v>346</v>
      </c>
      <c r="BQ65">
        <v>27</v>
      </c>
      <c r="BR65">
        <v>6.2279999999999998</v>
      </c>
      <c r="BS65">
        <v>28</v>
      </c>
      <c r="BT65">
        <v>0.9</v>
      </c>
      <c r="BU65">
        <v>2</v>
      </c>
      <c r="BV65">
        <v>0</v>
      </c>
      <c r="BW65">
        <v>7850</v>
      </c>
      <c r="BX65" t="s">
        <v>295</v>
      </c>
    </row>
    <row r="66" spans="58:76" x14ac:dyDescent="0.3">
      <c r="BF66" s="51">
        <v>53</v>
      </c>
      <c r="BG66" s="55">
        <v>66.260000000000005</v>
      </c>
      <c r="BH66" s="51">
        <v>0</v>
      </c>
      <c r="BI66" s="51">
        <v>0</v>
      </c>
      <c r="BJ66" s="51">
        <v>0</v>
      </c>
      <c r="BK66" s="51" t="b">
        <v>0</v>
      </c>
      <c r="BL66" s="55"/>
      <c r="BO66" t="s">
        <v>71</v>
      </c>
      <c r="BP66" t="s">
        <v>347</v>
      </c>
      <c r="BQ66">
        <v>27</v>
      </c>
      <c r="BR66">
        <v>6.2279999999999998</v>
      </c>
      <c r="BS66">
        <v>28</v>
      </c>
      <c r="BT66">
        <v>0.9</v>
      </c>
      <c r="BU66">
        <v>2</v>
      </c>
      <c r="BV66">
        <v>0</v>
      </c>
      <c r="BW66">
        <v>7850</v>
      </c>
      <c r="BX66" t="s">
        <v>295</v>
      </c>
    </row>
    <row r="67" spans="58:76" x14ac:dyDescent="0.3">
      <c r="BF67" s="51">
        <v>54</v>
      </c>
      <c r="BG67" s="55">
        <v>66.075000000000003</v>
      </c>
      <c r="BH67" s="51">
        <v>0</v>
      </c>
      <c r="BI67" s="51">
        <v>0</v>
      </c>
      <c r="BJ67" s="51">
        <v>0</v>
      </c>
      <c r="BK67" s="51" t="b">
        <v>0</v>
      </c>
      <c r="BL67" s="55"/>
      <c r="BO67" t="s">
        <v>71</v>
      </c>
      <c r="BP67" t="s">
        <v>348</v>
      </c>
      <c r="BQ67">
        <v>28</v>
      </c>
      <c r="BR67">
        <v>6.2279999999999998</v>
      </c>
      <c r="BS67">
        <v>28</v>
      </c>
      <c r="BT67">
        <v>0.9</v>
      </c>
      <c r="BU67">
        <v>2</v>
      </c>
      <c r="BV67">
        <v>0</v>
      </c>
      <c r="BW67">
        <v>7850</v>
      </c>
      <c r="BX67" t="s">
        <v>295</v>
      </c>
    </row>
    <row r="68" spans="58:76" x14ac:dyDescent="0.3">
      <c r="BF68" s="51">
        <v>55</v>
      </c>
      <c r="BG68" s="55">
        <v>66.03</v>
      </c>
      <c r="BH68" s="51">
        <v>0</v>
      </c>
      <c r="BI68" s="51">
        <v>0</v>
      </c>
      <c r="BJ68" s="51">
        <v>0</v>
      </c>
      <c r="BK68" s="51" t="b">
        <v>0</v>
      </c>
      <c r="BL68" s="55"/>
      <c r="BO68" t="s">
        <v>71</v>
      </c>
      <c r="BP68" t="s">
        <v>349</v>
      </c>
      <c r="BQ68">
        <v>28</v>
      </c>
      <c r="BR68">
        <v>6.2279999999999998</v>
      </c>
      <c r="BS68">
        <v>28</v>
      </c>
      <c r="BT68">
        <v>0.9</v>
      </c>
      <c r="BU68">
        <v>2</v>
      </c>
      <c r="BV68">
        <v>0</v>
      </c>
      <c r="BW68">
        <v>7850</v>
      </c>
      <c r="BX68" t="s">
        <v>295</v>
      </c>
    </row>
    <row r="69" spans="58:76" x14ac:dyDescent="0.3">
      <c r="BF69" s="51">
        <v>56</v>
      </c>
      <c r="BG69" s="55">
        <v>63.308000000000007</v>
      </c>
      <c r="BH69" s="51">
        <v>0</v>
      </c>
      <c r="BI69" s="51">
        <v>0</v>
      </c>
      <c r="BJ69" s="51">
        <v>0</v>
      </c>
      <c r="BK69" s="51" t="b">
        <v>0</v>
      </c>
      <c r="BL69" s="55"/>
      <c r="BO69" t="s">
        <v>71</v>
      </c>
      <c r="BP69" t="s">
        <v>350</v>
      </c>
      <c r="BQ69">
        <v>29</v>
      </c>
      <c r="BR69">
        <v>6.23</v>
      </c>
      <c r="BS69">
        <v>28</v>
      </c>
      <c r="BT69">
        <v>0.9</v>
      </c>
      <c r="BU69">
        <v>2</v>
      </c>
      <c r="BV69">
        <v>0</v>
      </c>
      <c r="BW69">
        <v>7850</v>
      </c>
      <c r="BX69" t="s">
        <v>295</v>
      </c>
    </row>
    <row r="70" spans="58:76" x14ac:dyDescent="0.3">
      <c r="BF70" s="51">
        <v>57</v>
      </c>
      <c r="BG70" s="55">
        <v>62.007000000000005</v>
      </c>
      <c r="BH70" s="51">
        <v>0</v>
      </c>
      <c r="BI70" s="51">
        <v>0</v>
      </c>
      <c r="BJ70" s="51">
        <v>0</v>
      </c>
      <c r="BK70" s="51" t="b">
        <v>0</v>
      </c>
      <c r="BL70" s="55"/>
      <c r="BO70" t="s">
        <v>71</v>
      </c>
      <c r="BP70" t="s">
        <v>351</v>
      </c>
      <c r="BQ70">
        <v>29</v>
      </c>
      <c r="BR70">
        <v>6.23</v>
      </c>
      <c r="BS70">
        <v>30.099999999999998</v>
      </c>
      <c r="BT70">
        <v>0.9</v>
      </c>
      <c r="BU70">
        <v>2</v>
      </c>
      <c r="BV70">
        <v>0</v>
      </c>
      <c r="BW70">
        <v>7850</v>
      </c>
      <c r="BX70" t="s">
        <v>295</v>
      </c>
    </row>
    <row r="71" spans="58:76" x14ac:dyDescent="0.3">
      <c r="BF71" s="51">
        <v>58</v>
      </c>
      <c r="BG71" s="55">
        <v>60.900000000000006</v>
      </c>
      <c r="BH71" s="51">
        <v>0</v>
      </c>
      <c r="BI71" s="51">
        <v>0</v>
      </c>
      <c r="BJ71" s="51">
        <v>0</v>
      </c>
      <c r="BK71" s="51" t="b">
        <v>0</v>
      </c>
      <c r="BL71" s="55"/>
      <c r="BO71" t="s">
        <v>71</v>
      </c>
      <c r="BP71" t="s">
        <v>352</v>
      </c>
      <c r="BQ71">
        <v>30</v>
      </c>
      <c r="BR71">
        <v>6.2530000000000001</v>
      </c>
      <c r="BS71">
        <v>30.099999999999998</v>
      </c>
      <c r="BT71">
        <v>0.9</v>
      </c>
      <c r="BU71">
        <v>2</v>
      </c>
      <c r="BV71">
        <v>0</v>
      </c>
      <c r="BW71">
        <v>7850</v>
      </c>
      <c r="BX71" t="s">
        <v>295</v>
      </c>
    </row>
    <row r="72" spans="58:76" x14ac:dyDescent="0.3">
      <c r="BF72" s="51">
        <v>59</v>
      </c>
      <c r="BG72" s="55">
        <v>60.59</v>
      </c>
      <c r="BH72" s="51">
        <v>0</v>
      </c>
      <c r="BI72" s="51">
        <v>0</v>
      </c>
      <c r="BJ72" s="51">
        <v>0</v>
      </c>
      <c r="BK72" s="51" t="b">
        <v>0</v>
      </c>
      <c r="BL72" s="55"/>
      <c r="BO72" t="s">
        <v>71</v>
      </c>
      <c r="BP72" t="s">
        <v>353</v>
      </c>
      <c r="BQ72">
        <v>30</v>
      </c>
      <c r="BR72">
        <v>6.2530000000000001</v>
      </c>
      <c r="BS72">
        <v>30.099999999999998</v>
      </c>
      <c r="BT72">
        <v>0.9</v>
      </c>
      <c r="BU72">
        <v>2</v>
      </c>
      <c r="BV72">
        <v>0</v>
      </c>
      <c r="BW72">
        <v>7850</v>
      </c>
      <c r="BX72" t="s">
        <v>295</v>
      </c>
    </row>
    <row r="73" spans="58:76" x14ac:dyDescent="0.3">
      <c r="BF73" s="51">
        <v>60</v>
      </c>
      <c r="BG73" s="55">
        <v>57.896000000000001</v>
      </c>
      <c r="BH73" s="51">
        <v>0</v>
      </c>
      <c r="BI73" s="51">
        <v>0</v>
      </c>
      <c r="BJ73" s="51">
        <v>0</v>
      </c>
      <c r="BK73" s="51" t="b">
        <v>0</v>
      </c>
      <c r="BL73" s="55"/>
      <c r="BO73" t="s">
        <v>71</v>
      </c>
      <c r="BP73" t="s">
        <v>354</v>
      </c>
      <c r="BQ73">
        <v>31</v>
      </c>
      <c r="BR73">
        <v>6.2889999999999997</v>
      </c>
      <c r="BS73">
        <v>30.099999999999998</v>
      </c>
      <c r="BT73">
        <v>0.9</v>
      </c>
      <c r="BU73">
        <v>2</v>
      </c>
      <c r="BV73">
        <v>0</v>
      </c>
      <c r="BW73">
        <v>7850</v>
      </c>
      <c r="BX73" t="s">
        <v>295</v>
      </c>
    </row>
    <row r="74" spans="58:76" x14ac:dyDescent="0.3">
      <c r="BF74" s="51">
        <v>61</v>
      </c>
      <c r="BG74" s="55">
        <v>57.872</v>
      </c>
      <c r="BH74" s="51">
        <v>0</v>
      </c>
      <c r="BI74" s="51">
        <v>0</v>
      </c>
      <c r="BJ74" s="51">
        <v>0</v>
      </c>
      <c r="BK74" s="51" t="b">
        <v>0</v>
      </c>
      <c r="BL74" s="55"/>
      <c r="BO74" t="s">
        <v>71</v>
      </c>
      <c r="BP74" t="s">
        <v>355</v>
      </c>
      <c r="BQ74">
        <v>31</v>
      </c>
      <c r="BR74">
        <v>6.2889999999999997</v>
      </c>
      <c r="BS74">
        <v>26.5</v>
      </c>
      <c r="BT74">
        <v>0.9</v>
      </c>
      <c r="BU74">
        <v>2</v>
      </c>
      <c r="BV74">
        <v>0</v>
      </c>
      <c r="BW74">
        <v>7850</v>
      </c>
      <c r="BX74" t="s">
        <v>295</v>
      </c>
    </row>
    <row r="75" spans="58:76" x14ac:dyDescent="0.3">
      <c r="BF75" s="51">
        <v>62</v>
      </c>
      <c r="BG75" s="55">
        <v>55.153999999999996</v>
      </c>
      <c r="BH75" s="51">
        <v>0</v>
      </c>
      <c r="BI75" s="51">
        <v>0</v>
      </c>
      <c r="BJ75" s="51">
        <v>0</v>
      </c>
      <c r="BK75" s="51" t="b">
        <v>0</v>
      </c>
      <c r="BL75" s="55"/>
      <c r="BO75" t="s">
        <v>71</v>
      </c>
      <c r="BP75" t="s">
        <v>356</v>
      </c>
      <c r="BQ75">
        <v>32</v>
      </c>
      <c r="BR75">
        <v>6.2919999999999998</v>
      </c>
      <c r="BS75">
        <v>26.5</v>
      </c>
      <c r="BT75">
        <v>0.9</v>
      </c>
      <c r="BU75">
        <v>2</v>
      </c>
      <c r="BV75">
        <v>0</v>
      </c>
      <c r="BW75">
        <v>7850</v>
      </c>
      <c r="BX75" t="s">
        <v>295</v>
      </c>
    </row>
    <row r="76" spans="58:76" x14ac:dyDescent="0.3">
      <c r="BF76" s="51">
        <v>63</v>
      </c>
      <c r="BG76" s="55">
        <v>53.786000000000001</v>
      </c>
      <c r="BH76" s="51">
        <v>0</v>
      </c>
      <c r="BI76" s="51">
        <v>0</v>
      </c>
      <c r="BJ76" s="51">
        <v>0</v>
      </c>
      <c r="BK76" s="51" t="b">
        <v>0</v>
      </c>
      <c r="BL76" s="55"/>
      <c r="BO76" t="s">
        <v>71</v>
      </c>
      <c r="BP76" t="s">
        <v>357</v>
      </c>
      <c r="BQ76">
        <v>32</v>
      </c>
      <c r="BR76">
        <v>6.2919999999999998</v>
      </c>
      <c r="BS76">
        <v>26.5</v>
      </c>
      <c r="BT76">
        <v>0.9</v>
      </c>
      <c r="BU76">
        <v>2</v>
      </c>
      <c r="BV76">
        <v>0</v>
      </c>
      <c r="BW76">
        <v>7850</v>
      </c>
      <c r="BX76" t="s">
        <v>295</v>
      </c>
    </row>
    <row r="77" spans="58:76" x14ac:dyDescent="0.3">
      <c r="BF77" s="51">
        <v>64</v>
      </c>
      <c r="BG77" s="55">
        <v>52.436000000000007</v>
      </c>
      <c r="BH77" s="51">
        <v>0</v>
      </c>
      <c r="BI77" s="51">
        <v>0</v>
      </c>
      <c r="BJ77" s="51">
        <v>0</v>
      </c>
      <c r="BK77" s="51" t="b">
        <v>0</v>
      </c>
      <c r="BL77" s="55"/>
      <c r="BO77" t="s">
        <v>71</v>
      </c>
      <c r="BP77" t="s">
        <v>358</v>
      </c>
      <c r="BQ77">
        <v>33</v>
      </c>
      <c r="BR77">
        <v>6.351</v>
      </c>
      <c r="BS77">
        <v>26.5</v>
      </c>
      <c r="BT77">
        <v>0.9</v>
      </c>
      <c r="BU77">
        <v>2</v>
      </c>
      <c r="BV77">
        <v>0</v>
      </c>
      <c r="BW77">
        <v>7850</v>
      </c>
      <c r="BX77" t="s">
        <v>295</v>
      </c>
    </row>
    <row r="78" spans="58:76" x14ac:dyDescent="0.3">
      <c r="BF78" s="51">
        <v>65</v>
      </c>
      <c r="BG78" s="55">
        <v>50.900000000000006</v>
      </c>
      <c r="BH78" s="51">
        <v>0</v>
      </c>
      <c r="BI78" s="51">
        <v>0</v>
      </c>
      <c r="BJ78" s="51">
        <v>0</v>
      </c>
      <c r="BK78" s="51" t="b">
        <v>0</v>
      </c>
      <c r="BL78" s="55"/>
      <c r="BO78" t="s">
        <v>71</v>
      </c>
      <c r="BP78" t="s">
        <v>359</v>
      </c>
      <c r="BQ78">
        <v>33</v>
      </c>
      <c r="BR78">
        <v>6.351</v>
      </c>
      <c r="BS78">
        <v>28</v>
      </c>
      <c r="BT78">
        <v>0.9</v>
      </c>
      <c r="BU78">
        <v>2</v>
      </c>
      <c r="BV78">
        <v>0</v>
      </c>
      <c r="BW78">
        <v>7850</v>
      </c>
      <c r="BX78" t="s">
        <v>295</v>
      </c>
    </row>
    <row r="79" spans="58:76" x14ac:dyDescent="0.3">
      <c r="BF79" s="51">
        <v>66</v>
      </c>
      <c r="BG79" s="55">
        <v>49.718000000000004</v>
      </c>
      <c r="BH79" s="51">
        <v>0</v>
      </c>
      <c r="BI79" s="51">
        <v>0</v>
      </c>
      <c r="BJ79" s="51">
        <v>0</v>
      </c>
      <c r="BK79" s="51" t="b">
        <v>0</v>
      </c>
      <c r="BL79" s="55"/>
      <c r="BO79" t="s">
        <v>71</v>
      </c>
      <c r="BP79" t="s">
        <v>360</v>
      </c>
      <c r="BQ79">
        <v>34</v>
      </c>
      <c r="BR79">
        <v>6.3869999999999996</v>
      </c>
      <c r="BS79">
        <v>28</v>
      </c>
      <c r="BT79">
        <v>0.9</v>
      </c>
      <c r="BU79">
        <v>2</v>
      </c>
      <c r="BV79">
        <v>0</v>
      </c>
      <c r="BW79">
        <v>7850</v>
      </c>
      <c r="BX79" t="s">
        <v>295</v>
      </c>
    </row>
    <row r="80" spans="58:76" x14ac:dyDescent="0.3">
      <c r="BF80" s="51">
        <v>67</v>
      </c>
      <c r="BG80" s="55">
        <v>49.674999999999997</v>
      </c>
      <c r="BH80" s="51">
        <v>0</v>
      </c>
      <c r="BI80" s="51">
        <v>0</v>
      </c>
      <c r="BJ80" s="51">
        <v>0</v>
      </c>
      <c r="BK80" s="51" t="b">
        <v>0</v>
      </c>
      <c r="BL80" s="55"/>
      <c r="BO80" t="s">
        <v>71</v>
      </c>
      <c r="BP80" t="s">
        <v>361</v>
      </c>
      <c r="BQ80">
        <v>34</v>
      </c>
      <c r="BR80">
        <v>6.3869999999999996</v>
      </c>
      <c r="BS80">
        <v>28</v>
      </c>
      <c r="BT80">
        <v>0.9</v>
      </c>
      <c r="BU80">
        <v>2</v>
      </c>
      <c r="BV80">
        <v>0</v>
      </c>
      <c r="BW80">
        <v>7850</v>
      </c>
      <c r="BX80" t="s">
        <v>295</v>
      </c>
    </row>
    <row r="81" spans="58:76" x14ac:dyDescent="0.3">
      <c r="BF81" s="51">
        <v>68</v>
      </c>
      <c r="BG81" s="55">
        <v>47</v>
      </c>
      <c r="BH81" s="51">
        <v>0</v>
      </c>
      <c r="BI81" s="51">
        <v>0</v>
      </c>
      <c r="BJ81" s="51">
        <v>0</v>
      </c>
      <c r="BK81" s="51" t="b">
        <v>0</v>
      </c>
      <c r="BL81" s="55"/>
      <c r="BO81" t="s">
        <v>71</v>
      </c>
      <c r="BP81" t="s">
        <v>362</v>
      </c>
      <c r="BQ81">
        <v>35</v>
      </c>
      <c r="BR81">
        <v>6.4139999999999997</v>
      </c>
      <c r="BS81">
        <v>28</v>
      </c>
      <c r="BT81">
        <v>0.9</v>
      </c>
      <c r="BU81">
        <v>2</v>
      </c>
      <c r="BV81">
        <v>0</v>
      </c>
      <c r="BW81">
        <v>7850</v>
      </c>
      <c r="BX81" t="s">
        <v>295</v>
      </c>
    </row>
    <row r="82" spans="58:76" x14ac:dyDescent="0.3">
      <c r="BF82" s="51">
        <v>69</v>
      </c>
      <c r="BG82" s="55">
        <v>45.564000000000007</v>
      </c>
      <c r="BH82" s="51">
        <v>0</v>
      </c>
      <c r="BI82" s="51">
        <v>0</v>
      </c>
      <c r="BJ82" s="51">
        <v>0</v>
      </c>
      <c r="BK82" s="51" t="b">
        <v>0</v>
      </c>
      <c r="BL82" s="55"/>
      <c r="BO82" t="s">
        <v>71</v>
      </c>
      <c r="BP82" t="s">
        <v>363</v>
      </c>
      <c r="BQ82">
        <v>35</v>
      </c>
      <c r="BR82">
        <v>6.4139999999999997</v>
      </c>
      <c r="BS82">
        <v>28.6</v>
      </c>
      <c r="BT82">
        <v>0.9</v>
      </c>
      <c r="BU82">
        <v>2</v>
      </c>
      <c r="BV82">
        <v>0</v>
      </c>
      <c r="BW82">
        <v>7850</v>
      </c>
      <c r="BX82" t="s">
        <v>295</v>
      </c>
    </row>
    <row r="83" spans="58:76" x14ac:dyDescent="0.3">
      <c r="BF83" s="51">
        <v>70</v>
      </c>
      <c r="BG83" s="55">
        <v>44.282000000000004</v>
      </c>
      <c r="BH83" s="51">
        <v>0</v>
      </c>
      <c r="BI83" s="51">
        <v>0</v>
      </c>
      <c r="BJ83" s="51">
        <v>0</v>
      </c>
      <c r="BK83" s="51" t="b">
        <v>0</v>
      </c>
      <c r="BL83" s="55"/>
      <c r="BO83" t="s">
        <v>71</v>
      </c>
      <c r="BP83" t="s">
        <v>364</v>
      </c>
      <c r="BQ83">
        <v>36</v>
      </c>
      <c r="BR83">
        <v>6.4749999999999996</v>
      </c>
      <c r="BS83">
        <v>28.6</v>
      </c>
      <c r="BT83">
        <v>0.9</v>
      </c>
      <c r="BU83">
        <v>2</v>
      </c>
      <c r="BV83">
        <v>0</v>
      </c>
      <c r="BW83">
        <v>7850</v>
      </c>
      <c r="BX83" t="s">
        <v>295</v>
      </c>
    </row>
    <row r="84" spans="58:76" x14ac:dyDescent="0.3">
      <c r="BF84" s="51">
        <v>71</v>
      </c>
      <c r="BG84" s="55">
        <v>41.561000000000007</v>
      </c>
      <c r="BH84" s="51">
        <v>0</v>
      </c>
      <c r="BI84" s="51">
        <v>0</v>
      </c>
      <c r="BJ84" s="51">
        <v>0</v>
      </c>
      <c r="BK84" s="51" t="b">
        <v>0</v>
      </c>
      <c r="BL84" s="55"/>
      <c r="BO84" t="s">
        <v>71</v>
      </c>
      <c r="BP84" t="s">
        <v>365</v>
      </c>
      <c r="BQ84">
        <v>36</v>
      </c>
      <c r="BR84">
        <v>6.4749999999999996</v>
      </c>
      <c r="BS84">
        <v>29.4</v>
      </c>
      <c r="BT84">
        <v>0.9</v>
      </c>
      <c r="BU84">
        <v>2</v>
      </c>
      <c r="BV84">
        <v>0</v>
      </c>
      <c r="BW84">
        <v>7850</v>
      </c>
      <c r="BX84" t="s">
        <v>295</v>
      </c>
    </row>
    <row r="85" spans="58:76" x14ac:dyDescent="0.3">
      <c r="BF85" s="51">
        <v>72</v>
      </c>
      <c r="BG85" s="55">
        <v>40.900000000000006</v>
      </c>
      <c r="BH85" s="51">
        <v>0</v>
      </c>
      <c r="BI85" s="51">
        <v>0</v>
      </c>
      <c r="BJ85" s="51">
        <v>0</v>
      </c>
      <c r="BK85" s="51" t="b">
        <v>0</v>
      </c>
      <c r="BL85" s="55"/>
      <c r="BO85" t="s">
        <v>71</v>
      </c>
      <c r="BP85" t="s">
        <v>366</v>
      </c>
      <c r="BQ85">
        <v>37</v>
      </c>
      <c r="BR85">
        <v>6.4779999999999998</v>
      </c>
      <c r="BS85">
        <v>29.4</v>
      </c>
      <c r="BT85">
        <v>0.9</v>
      </c>
      <c r="BU85">
        <v>2</v>
      </c>
      <c r="BV85">
        <v>0</v>
      </c>
      <c r="BW85">
        <v>7850</v>
      </c>
      <c r="BX85" t="s">
        <v>295</v>
      </c>
    </row>
    <row r="86" spans="58:76" x14ac:dyDescent="0.3">
      <c r="BF86" s="51">
        <v>73</v>
      </c>
      <c r="BG86" s="55">
        <v>38.775000000000006</v>
      </c>
      <c r="BH86" s="51">
        <v>0</v>
      </c>
      <c r="BI86" s="51">
        <v>0</v>
      </c>
      <c r="BJ86" s="51">
        <v>0</v>
      </c>
      <c r="BK86" s="51" t="b">
        <v>0</v>
      </c>
      <c r="BL86" s="55"/>
      <c r="BO86" t="s">
        <v>71</v>
      </c>
      <c r="BP86" t="s">
        <v>367</v>
      </c>
      <c r="BQ86">
        <v>37</v>
      </c>
      <c r="BR86">
        <v>6.4779999999999998</v>
      </c>
      <c r="BS86">
        <v>29.4</v>
      </c>
      <c r="BT86">
        <v>0.9</v>
      </c>
      <c r="BU86">
        <v>2</v>
      </c>
      <c r="BV86">
        <v>0</v>
      </c>
      <c r="BW86">
        <v>7850</v>
      </c>
      <c r="BX86" t="s">
        <v>295</v>
      </c>
    </row>
    <row r="87" spans="58:76" x14ac:dyDescent="0.3">
      <c r="BF87" s="51">
        <v>74</v>
      </c>
      <c r="BG87" s="55">
        <v>38.725000000000001</v>
      </c>
      <c r="BH87" s="51">
        <v>0</v>
      </c>
      <c r="BI87" s="51">
        <v>0</v>
      </c>
      <c r="BJ87" s="51">
        <v>0</v>
      </c>
      <c r="BK87" s="51" t="b">
        <v>0</v>
      </c>
      <c r="BL87" s="55"/>
      <c r="BO87" t="s">
        <v>71</v>
      </c>
      <c r="BP87" t="s">
        <v>368</v>
      </c>
      <c r="BQ87">
        <v>38</v>
      </c>
      <c r="BR87">
        <v>6.5380000000000003</v>
      </c>
      <c r="BS87">
        <v>29.4</v>
      </c>
      <c r="BT87">
        <v>0.9</v>
      </c>
      <c r="BU87">
        <v>2</v>
      </c>
      <c r="BV87">
        <v>0</v>
      </c>
      <c r="BW87">
        <v>7850</v>
      </c>
      <c r="BX87" t="s">
        <v>295</v>
      </c>
    </row>
    <row r="88" spans="58:76" x14ac:dyDescent="0.3">
      <c r="BF88" s="51">
        <v>75</v>
      </c>
      <c r="BG88" s="55">
        <v>38.540000000000006</v>
      </c>
      <c r="BH88" s="51">
        <v>0</v>
      </c>
      <c r="BI88" s="51">
        <v>0</v>
      </c>
      <c r="BJ88" s="51">
        <v>0</v>
      </c>
      <c r="BK88" s="51" t="b">
        <v>0</v>
      </c>
      <c r="BL88" s="55"/>
      <c r="BO88" t="s">
        <v>71</v>
      </c>
      <c r="BP88" t="s">
        <v>369</v>
      </c>
      <c r="BQ88">
        <v>38</v>
      </c>
      <c r="BR88">
        <v>6.5380000000000003</v>
      </c>
      <c r="BS88">
        <v>29.5</v>
      </c>
      <c r="BT88">
        <v>0.9</v>
      </c>
      <c r="BU88">
        <v>2</v>
      </c>
      <c r="BV88">
        <v>0</v>
      </c>
      <c r="BW88">
        <v>7850</v>
      </c>
      <c r="BX88" t="s">
        <v>295</v>
      </c>
    </row>
    <row r="89" spans="58:76" x14ac:dyDescent="0.3">
      <c r="BF89" s="51">
        <v>76</v>
      </c>
      <c r="BG89" s="55">
        <v>38.355000000000004</v>
      </c>
      <c r="BH89" s="51">
        <v>0</v>
      </c>
      <c r="BI89" s="51">
        <v>0</v>
      </c>
      <c r="BJ89" s="51">
        <v>0</v>
      </c>
      <c r="BK89" s="51" t="b">
        <v>0</v>
      </c>
      <c r="BL89" s="55"/>
      <c r="BO89" t="s">
        <v>71</v>
      </c>
      <c r="BP89" t="s">
        <v>370</v>
      </c>
      <c r="BQ89">
        <v>39</v>
      </c>
      <c r="BR89">
        <v>6.5739999999999998</v>
      </c>
      <c r="BS89">
        <v>29.5</v>
      </c>
      <c r="BT89">
        <v>0.9</v>
      </c>
      <c r="BU89">
        <v>2</v>
      </c>
      <c r="BV89">
        <v>0</v>
      </c>
      <c r="BW89">
        <v>7850</v>
      </c>
      <c r="BX89" t="s">
        <v>295</v>
      </c>
    </row>
    <row r="90" spans="58:76" x14ac:dyDescent="0.3">
      <c r="BF90" s="51">
        <v>77</v>
      </c>
      <c r="BG90" s="55">
        <v>38.305000000000007</v>
      </c>
      <c r="BH90" s="51">
        <v>0</v>
      </c>
      <c r="BI90" s="51">
        <v>0</v>
      </c>
      <c r="BJ90" s="51">
        <v>0</v>
      </c>
      <c r="BK90" s="51" t="b">
        <v>0</v>
      </c>
      <c r="BL90" s="55"/>
      <c r="BO90" t="s">
        <v>71</v>
      </c>
      <c r="BP90" t="s">
        <v>371</v>
      </c>
      <c r="BQ90">
        <v>39</v>
      </c>
      <c r="BR90">
        <v>6.5739999999999998</v>
      </c>
      <c r="BS90">
        <v>29.5</v>
      </c>
      <c r="BT90">
        <v>0.9</v>
      </c>
      <c r="BU90">
        <v>2</v>
      </c>
      <c r="BV90">
        <v>0</v>
      </c>
      <c r="BW90">
        <v>7850</v>
      </c>
      <c r="BX90" t="s">
        <v>295</v>
      </c>
    </row>
    <row r="91" spans="58:76" x14ac:dyDescent="0.3">
      <c r="BF91" s="51">
        <v>78</v>
      </c>
      <c r="BG91" s="55">
        <v>37.343000000000004</v>
      </c>
      <c r="BH91" s="51">
        <v>0</v>
      </c>
      <c r="BI91" s="51">
        <v>0</v>
      </c>
      <c r="BJ91" s="51">
        <v>0</v>
      </c>
      <c r="BK91" s="51" t="b">
        <v>0</v>
      </c>
      <c r="BL91" s="55"/>
      <c r="BO91" t="s">
        <v>71</v>
      </c>
      <c r="BP91" t="s">
        <v>372</v>
      </c>
      <c r="BQ91">
        <v>40</v>
      </c>
      <c r="BR91">
        <v>6.601</v>
      </c>
      <c r="BS91">
        <v>29.5</v>
      </c>
      <c r="BT91">
        <v>0.9</v>
      </c>
      <c r="BU91">
        <v>2</v>
      </c>
      <c r="BV91">
        <v>0</v>
      </c>
      <c r="BW91">
        <v>7850</v>
      </c>
      <c r="BX91" t="s">
        <v>295</v>
      </c>
    </row>
    <row r="92" spans="58:76" x14ac:dyDescent="0.3">
      <c r="BF92" s="51">
        <v>79</v>
      </c>
      <c r="BG92" s="55">
        <v>35.43</v>
      </c>
      <c r="BH92" s="51">
        <v>0</v>
      </c>
      <c r="BI92" s="51">
        <v>0</v>
      </c>
      <c r="BJ92" s="51">
        <v>0</v>
      </c>
      <c r="BK92" s="51" t="b">
        <v>0</v>
      </c>
      <c r="BL92" s="55"/>
      <c r="BO92" t="s">
        <v>71</v>
      </c>
      <c r="BP92" t="s">
        <v>373</v>
      </c>
      <c r="BQ92">
        <v>40</v>
      </c>
      <c r="BR92">
        <v>6.601</v>
      </c>
      <c r="BS92">
        <v>31.5</v>
      </c>
      <c r="BT92">
        <v>0.9</v>
      </c>
      <c r="BU92">
        <v>2</v>
      </c>
      <c r="BV92">
        <v>0</v>
      </c>
      <c r="BW92">
        <v>7850</v>
      </c>
      <c r="BX92" t="s">
        <v>295</v>
      </c>
    </row>
    <row r="93" spans="58:76" x14ac:dyDescent="0.3">
      <c r="BF93" s="51">
        <v>80</v>
      </c>
      <c r="BG93" s="55">
        <v>33.231999999999999</v>
      </c>
      <c r="BH93" s="51">
        <v>0</v>
      </c>
      <c r="BI93" s="51">
        <v>0</v>
      </c>
      <c r="BJ93" s="51">
        <v>0</v>
      </c>
      <c r="BK93" s="51" t="b">
        <v>0</v>
      </c>
      <c r="BL93" s="55"/>
      <c r="BO93" t="s">
        <v>71</v>
      </c>
      <c r="BP93" t="s">
        <v>374</v>
      </c>
      <c r="BQ93">
        <v>41</v>
      </c>
      <c r="BR93">
        <v>6.6619999999999999</v>
      </c>
      <c r="BS93">
        <v>31.5</v>
      </c>
      <c r="BT93">
        <v>0.9</v>
      </c>
      <c r="BU93">
        <v>2</v>
      </c>
      <c r="BV93">
        <v>0</v>
      </c>
      <c r="BW93">
        <v>7850</v>
      </c>
      <c r="BX93" t="s">
        <v>295</v>
      </c>
    </row>
    <row r="94" spans="58:76" x14ac:dyDescent="0.3">
      <c r="BF94" s="51">
        <v>81</v>
      </c>
      <c r="BG94" s="55">
        <v>32.5</v>
      </c>
      <c r="BH94" s="51">
        <v>0</v>
      </c>
      <c r="BI94" s="51">
        <v>0</v>
      </c>
      <c r="BJ94" s="51">
        <v>0</v>
      </c>
      <c r="BK94" s="51" t="b">
        <v>0</v>
      </c>
      <c r="BL94" s="55"/>
      <c r="BO94" t="s">
        <v>71</v>
      </c>
      <c r="BP94" t="s">
        <v>375</v>
      </c>
      <c r="BQ94">
        <v>41</v>
      </c>
      <c r="BR94">
        <v>6.6619999999999999</v>
      </c>
      <c r="BS94">
        <v>31.2</v>
      </c>
      <c r="BT94">
        <v>0.9</v>
      </c>
      <c r="BU94">
        <v>2</v>
      </c>
      <c r="BV94">
        <v>0</v>
      </c>
      <c r="BW94">
        <v>7850</v>
      </c>
      <c r="BX94" t="s">
        <v>295</v>
      </c>
    </row>
    <row r="95" spans="58:76" x14ac:dyDescent="0.3">
      <c r="BF95" s="51">
        <v>82</v>
      </c>
      <c r="BG95" s="55">
        <v>30.9</v>
      </c>
      <c r="BH95" s="51">
        <v>0</v>
      </c>
      <c r="BI95" s="51">
        <v>0</v>
      </c>
      <c r="BJ95" s="51">
        <v>0</v>
      </c>
      <c r="BK95" s="51" t="b">
        <v>0</v>
      </c>
      <c r="BL95" s="55"/>
      <c r="BO95" t="s">
        <v>71</v>
      </c>
      <c r="BP95" t="s">
        <v>376</v>
      </c>
      <c r="BQ95">
        <v>42</v>
      </c>
      <c r="BR95">
        <v>6.6689999999999996</v>
      </c>
      <c r="BS95">
        <v>31.2</v>
      </c>
      <c r="BT95">
        <v>0.9</v>
      </c>
      <c r="BU95">
        <v>2</v>
      </c>
      <c r="BV95">
        <v>0</v>
      </c>
      <c r="BW95">
        <v>7850</v>
      </c>
      <c r="BX95" t="s">
        <v>295</v>
      </c>
    </row>
    <row r="96" spans="58:76" x14ac:dyDescent="0.3">
      <c r="BF96" s="51">
        <v>83</v>
      </c>
      <c r="BG96" s="55">
        <v>29.569999999999997</v>
      </c>
      <c r="BH96" s="51">
        <v>0</v>
      </c>
      <c r="BI96" s="51">
        <v>0</v>
      </c>
      <c r="BJ96" s="51">
        <v>0</v>
      </c>
      <c r="BK96" s="51" t="b">
        <v>0</v>
      </c>
      <c r="BL96" s="55"/>
      <c r="BO96" t="s">
        <v>71</v>
      </c>
      <c r="BP96" t="s">
        <v>377</v>
      </c>
      <c r="BQ96">
        <v>42</v>
      </c>
      <c r="BR96">
        <v>6.6689999999999996</v>
      </c>
      <c r="BS96">
        <v>31.2</v>
      </c>
      <c r="BT96">
        <v>0.9</v>
      </c>
      <c r="BU96">
        <v>2</v>
      </c>
      <c r="BV96">
        <v>0</v>
      </c>
      <c r="BW96">
        <v>7850</v>
      </c>
      <c r="BX96" t="s">
        <v>295</v>
      </c>
    </row>
    <row r="97" spans="58:76" x14ac:dyDescent="0.3">
      <c r="BF97" s="51">
        <v>84</v>
      </c>
      <c r="BG97" s="55">
        <v>29.120999999999999</v>
      </c>
      <c r="BH97" s="51">
        <v>0</v>
      </c>
      <c r="BI97" s="51">
        <v>0</v>
      </c>
      <c r="BJ97" s="51">
        <v>0</v>
      </c>
      <c r="BK97" s="51" t="b">
        <v>0</v>
      </c>
      <c r="BL97" s="55"/>
      <c r="BO97" t="s">
        <v>71</v>
      </c>
      <c r="BP97" t="s">
        <v>378</v>
      </c>
      <c r="BQ97">
        <v>43</v>
      </c>
      <c r="BR97">
        <v>6.7060000000000004</v>
      </c>
      <c r="BS97">
        <v>31.2</v>
      </c>
      <c r="BT97">
        <v>0.9</v>
      </c>
      <c r="BU97">
        <v>2</v>
      </c>
      <c r="BV97">
        <v>0</v>
      </c>
      <c r="BW97">
        <v>7850</v>
      </c>
      <c r="BX97" t="s">
        <v>295</v>
      </c>
    </row>
    <row r="98" spans="58:76" x14ac:dyDescent="0.3">
      <c r="BF98" s="51">
        <v>85</v>
      </c>
      <c r="BG98" s="55">
        <v>26.639999999999997</v>
      </c>
      <c r="BH98" s="51">
        <v>0</v>
      </c>
      <c r="BI98" s="51">
        <v>0</v>
      </c>
      <c r="BJ98" s="51">
        <v>0</v>
      </c>
      <c r="BK98" s="51" t="b">
        <v>0</v>
      </c>
      <c r="BL98" s="55"/>
      <c r="BO98" t="s">
        <v>71</v>
      </c>
      <c r="BP98" t="s">
        <v>379</v>
      </c>
      <c r="BQ98">
        <v>43</v>
      </c>
      <c r="BR98">
        <v>6.7060000000000004</v>
      </c>
      <c r="BS98">
        <v>31.2</v>
      </c>
      <c r="BT98">
        <v>0.9</v>
      </c>
      <c r="BU98">
        <v>2</v>
      </c>
      <c r="BV98">
        <v>0</v>
      </c>
      <c r="BW98">
        <v>7850</v>
      </c>
      <c r="BX98" t="s">
        <v>295</v>
      </c>
    </row>
    <row r="99" spans="58:76" x14ac:dyDescent="0.3">
      <c r="BF99" s="51">
        <v>86</v>
      </c>
      <c r="BG99" s="55">
        <v>25.05</v>
      </c>
      <c r="BH99" s="51">
        <v>0</v>
      </c>
      <c r="BI99" s="51">
        <v>0</v>
      </c>
      <c r="BJ99" s="51">
        <v>0</v>
      </c>
      <c r="BK99" s="51" t="b">
        <v>0</v>
      </c>
      <c r="BL99" s="55"/>
      <c r="BO99" t="s">
        <v>71</v>
      </c>
      <c r="BP99" t="s">
        <v>380</v>
      </c>
      <c r="BQ99">
        <v>44</v>
      </c>
      <c r="BR99">
        <v>6.7240000000000002</v>
      </c>
      <c r="BS99">
        <v>31.2</v>
      </c>
      <c r="BT99">
        <v>0.9</v>
      </c>
      <c r="BU99">
        <v>2</v>
      </c>
      <c r="BV99">
        <v>0</v>
      </c>
      <c r="BW99">
        <v>7850</v>
      </c>
      <c r="BX99" t="s">
        <v>295</v>
      </c>
    </row>
    <row r="100" spans="58:76" x14ac:dyDescent="0.3">
      <c r="BF100" s="51">
        <v>87</v>
      </c>
      <c r="BG100" s="55">
        <v>25.010999999999999</v>
      </c>
      <c r="BH100" s="51">
        <v>0</v>
      </c>
      <c r="BI100" s="51">
        <v>0</v>
      </c>
      <c r="BJ100" s="51">
        <v>0</v>
      </c>
      <c r="BK100" s="51" t="b">
        <v>0</v>
      </c>
      <c r="BL100" s="55"/>
      <c r="BO100" t="s">
        <v>71</v>
      </c>
      <c r="BP100" t="s">
        <v>381</v>
      </c>
      <c r="BQ100">
        <v>44</v>
      </c>
      <c r="BR100">
        <v>6.7240000000000002</v>
      </c>
      <c r="BS100">
        <v>31.7</v>
      </c>
      <c r="BT100">
        <v>0.9</v>
      </c>
      <c r="BU100">
        <v>2</v>
      </c>
      <c r="BV100">
        <v>0</v>
      </c>
      <c r="BW100">
        <v>7850</v>
      </c>
      <c r="BX100" t="s">
        <v>295</v>
      </c>
    </row>
    <row r="101" spans="58:76" x14ac:dyDescent="0.3">
      <c r="BF101" s="51">
        <v>88</v>
      </c>
      <c r="BG101" s="55">
        <v>22.119999999999997</v>
      </c>
      <c r="BH101" s="51">
        <v>0</v>
      </c>
      <c r="BI101" s="51">
        <v>0</v>
      </c>
      <c r="BJ101" s="51">
        <v>0</v>
      </c>
      <c r="BK101" s="51" t="b">
        <v>0</v>
      </c>
      <c r="BL101" s="55"/>
      <c r="BO101" t="s">
        <v>71</v>
      </c>
      <c r="BP101" t="s">
        <v>382</v>
      </c>
      <c r="BQ101">
        <v>45</v>
      </c>
      <c r="BR101">
        <v>6.7619999999999996</v>
      </c>
      <c r="BS101">
        <v>31.7</v>
      </c>
      <c r="BT101">
        <v>0.9</v>
      </c>
      <c r="BU101">
        <v>2</v>
      </c>
      <c r="BV101">
        <v>0</v>
      </c>
      <c r="BW101">
        <v>7850</v>
      </c>
      <c r="BX101" t="s">
        <v>295</v>
      </c>
    </row>
    <row r="102" spans="58:76" x14ac:dyDescent="0.3">
      <c r="BF102" s="51">
        <v>89</v>
      </c>
      <c r="BG102" s="55">
        <v>21.139999999999997</v>
      </c>
      <c r="BH102" s="51">
        <v>0</v>
      </c>
      <c r="BI102" s="51">
        <v>0</v>
      </c>
      <c r="BJ102" s="51">
        <v>0</v>
      </c>
      <c r="BK102" s="51" t="b">
        <v>0</v>
      </c>
      <c r="BL102" s="55"/>
      <c r="BO102" t="s">
        <v>71</v>
      </c>
      <c r="BP102" t="s">
        <v>383</v>
      </c>
      <c r="BQ102">
        <v>45</v>
      </c>
      <c r="BR102">
        <v>6.7619999999999996</v>
      </c>
      <c r="BS102">
        <v>31.7</v>
      </c>
      <c r="BT102">
        <v>0.9</v>
      </c>
      <c r="BU102">
        <v>2</v>
      </c>
      <c r="BV102">
        <v>0</v>
      </c>
      <c r="BW102">
        <v>7850</v>
      </c>
      <c r="BX102" t="s">
        <v>295</v>
      </c>
    </row>
    <row r="103" spans="58:76" x14ac:dyDescent="0.3">
      <c r="BF103" s="51">
        <v>90</v>
      </c>
      <c r="BG103" s="55">
        <v>21.08</v>
      </c>
      <c r="BH103" s="51">
        <v>0</v>
      </c>
      <c r="BI103" s="51">
        <v>0</v>
      </c>
      <c r="BJ103" s="51">
        <v>0</v>
      </c>
      <c r="BK103" s="51" t="b">
        <v>0</v>
      </c>
      <c r="BL103" s="55"/>
      <c r="BO103" t="s">
        <v>71</v>
      </c>
      <c r="BP103" t="s">
        <v>384</v>
      </c>
      <c r="BQ103">
        <v>46</v>
      </c>
      <c r="BR103">
        <v>6.7859999999999996</v>
      </c>
      <c r="BS103">
        <v>31.7</v>
      </c>
      <c r="BT103">
        <v>0.9</v>
      </c>
      <c r="BU103">
        <v>2</v>
      </c>
      <c r="BV103">
        <v>0</v>
      </c>
      <c r="BW103">
        <v>7850</v>
      </c>
      <c r="BX103" t="s">
        <v>295</v>
      </c>
    </row>
    <row r="104" spans="58:76" x14ac:dyDescent="0.3">
      <c r="BF104" s="51">
        <v>91</v>
      </c>
      <c r="BG104" s="55">
        <v>20.9</v>
      </c>
      <c r="BH104" s="51">
        <v>0</v>
      </c>
      <c r="BI104" s="51">
        <v>0</v>
      </c>
      <c r="BJ104" s="51">
        <v>28000</v>
      </c>
      <c r="BK104" s="51" t="b">
        <v>0</v>
      </c>
      <c r="BL104" s="55" t="s">
        <v>544</v>
      </c>
      <c r="BO104" t="s">
        <v>71</v>
      </c>
      <c r="BP104" t="s">
        <v>385</v>
      </c>
      <c r="BQ104">
        <v>46</v>
      </c>
      <c r="BR104">
        <v>6.7859999999999996</v>
      </c>
      <c r="BS104">
        <v>32.200000000000003</v>
      </c>
      <c r="BT104">
        <v>0.9</v>
      </c>
      <c r="BU104">
        <v>2</v>
      </c>
      <c r="BV104">
        <v>0</v>
      </c>
      <c r="BW104">
        <v>7850</v>
      </c>
      <c r="BX104" t="s">
        <v>295</v>
      </c>
    </row>
    <row r="105" spans="58:76" x14ac:dyDescent="0.3">
      <c r="BF105" s="51">
        <v>92</v>
      </c>
      <c r="BG105" s="55">
        <v>20.100000000000001</v>
      </c>
      <c r="BH105" s="51">
        <v>0</v>
      </c>
      <c r="BI105" s="51">
        <v>0</v>
      </c>
      <c r="BJ105" s="51">
        <v>20000</v>
      </c>
      <c r="BK105" s="51" t="b">
        <v>1</v>
      </c>
      <c r="BL105" s="55" t="s">
        <v>536</v>
      </c>
      <c r="BO105" t="s">
        <v>71</v>
      </c>
      <c r="BP105" t="s">
        <v>386</v>
      </c>
      <c r="BQ105">
        <v>47</v>
      </c>
      <c r="BR105">
        <v>6.8479999999999999</v>
      </c>
      <c r="BS105">
        <v>32.200000000000003</v>
      </c>
      <c r="BT105">
        <v>0.9</v>
      </c>
      <c r="BU105">
        <v>2</v>
      </c>
      <c r="BV105">
        <v>0</v>
      </c>
      <c r="BW105">
        <v>7850</v>
      </c>
      <c r="BX105" t="s">
        <v>295</v>
      </c>
    </row>
    <row r="106" spans="58:76" x14ac:dyDescent="0.3">
      <c r="BF106" s="51">
        <v>93</v>
      </c>
      <c r="BG106" s="55">
        <v>19.5</v>
      </c>
      <c r="BH106" s="51">
        <v>0</v>
      </c>
      <c r="BI106" s="51">
        <v>0</v>
      </c>
      <c r="BJ106" s="51">
        <v>5000</v>
      </c>
      <c r="BK106" s="51" t="b">
        <v>1</v>
      </c>
      <c r="BL106" s="55" t="s">
        <v>537</v>
      </c>
      <c r="BO106" t="s">
        <v>71</v>
      </c>
      <c r="BP106" t="s">
        <v>387</v>
      </c>
      <c r="BQ106">
        <v>47</v>
      </c>
      <c r="BR106">
        <v>6.8479999999999999</v>
      </c>
      <c r="BS106">
        <v>32.5</v>
      </c>
      <c r="BT106">
        <v>0.9</v>
      </c>
      <c r="BU106">
        <v>2</v>
      </c>
      <c r="BV106">
        <v>0</v>
      </c>
      <c r="BW106">
        <v>7850</v>
      </c>
      <c r="BX106" t="s">
        <v>295</v>
      </c>
    </row>
    <row r="107" spans="58:76" x14ac:dyDescent="0.3">
      <c r="BF107" s="51">
        <v>94</v>
      </c>
      <c r="BG107" s="55">
        <v>17.5</v>
      </c>
      <c r="BH107" s="51">
        <v>0</v>
      </c>
      <c r="BI107" s="51">
        <v>0</v>
      </c>
      <c r="BJ107" s="51">
        <v>0</v>
      </c>
      <c r="BK107" s="51" t="b">
        <v>0</v>
      </c>
      <c r="BL107" s="55"/>
      <c r="BO107" t="s">
        <v>71</v>
      </c>
      <c r="BP107" t="s">
        <v>388</v>
      </c>
      <c r="BQ107">
        <v>48</v>
      </c>
      <c r="BR107">
        <v>6.9109999999999996</v>
      </c>
      <c r="BS107">
        <v>32.5</v>
      </c>
      <c r="BT107">
        <v>0.9</v>
      </c>
      <c r="BU107">
        <v>2</v>
      </c>
      <c r="BV107">
        <v>0</v>
      </c>
      <c r="BW107">
        <v>7850</v>
      </c>
      <c r="BX107" t="s">
        <v>295</v>
      </c>
    </row>
    <row r="108" spans="58:76" x14ac:dyDescent="0.3">
      <c r="BF108" s="51">
        <v>95</v>
      </c>
      <c r="BG108" s="55">
        <v>14</v>
      </c>
      <c r="BH108" s="51">
        <v>0</v>
      </c>
      <c r="BI108" s="51">
        <v>0</v>
      </c>
      <c r="BJ108" s="51">
        <v>5000</v>
      </c>
      <c r="BK108" s="51" t="b">
        <v>1</v>
      </c>
      <c r="BL108" s="55" t="s">
        <v>538</v>
      </c>
      <c r="BO108" t="s">
        <v>71</v>
      </c>
      <c r="BP108" t="s">
        <v>389</v>
      </c>
      <c r="BQ108">
        <v>48</v>
      </c>
      <c r="BR108">
        <v>6.9109999999999996</v>
      </c>
      <c r="BS108">
        <v>33.5</v>
      </c>
      <c r="BT108">
        <v>0.9</v>
      </c>
      <c r="BU108">
        <v>2</v>
      </c>
      <c r="BV108">
        <v>0</v>
      </c>
      <c r="BW108">
        <v>7850</v>
      </c>
      <c r="BX108" t="s">
        <v>295</v>
      </c>
    </row>
    <row r="109" spans="58:76" x14ac:dyDescent="0.3">
      <c r="BF109" s="51">
        <v>96</v>
      </c>
      <c r="BG109" s="55">
        <v>13.5</v>
      </c>
      <c r="BH109" s="51">
        <v>0</v>
      </c>
      <c r="BI109" s="51">
        <v>0</v>
      </c>
      <c r="BJ109" s="51">
        <v>0</v>
      </c>
      <c r="BK109" s="51" t="b">
        <v>0</v>
      </c>
      <c r="BL109" s="55"/>
      <c r="BO109" t="s">
        <v>71</v>
      </c>
      <c r="BP109" t="s">
        <v>390</v>
      </c>
      <c r="BQ109">
        <v>49</v>
      </c>
      <c r="BR109">
        <v>6.9340000000000002</v>
      </c>
      <c r="BS109">
        <v>33.5</v>
      </c>
      <c r="BT109">
        <v>0.9</v>
      </c>
      <c r="BU109">
        <v>2</v>
      </c>
      <c r="BV109">
        <v>0</v>
      </c>
      <c r="BW109">
        <v>7850</v>
      </c>
      <c r="BX109" t="s">
        <v>295</v>
      </c>
    </row>
    <row r="110" spans="58:76" x14ac:dyDescent="0.3">
      <c r="BF110" s="51">
        <v>97</v>
      </c>
      <c r="BG110" s="55">
        <v>11</v>
      </c>
      <c r="BH110" s="51">
        <v>0</v>
      </c>
      <c r="BI110" s="51">
        <v>0</v>
      </c>
      <c r="BJ110" s="51">
        <v>1</v>
      </c>
      <c r="BK110" s="51" t="b">
        <v>1</v>
      </c>
      <c r="BL110" s="55" t="s">
        <v>539</v>
      </c>
      <c r="BO110" t="s">
        <v>71</v>
      </c>
      <c r="BP110" t="s">
        <v>391</v>
      </c>
      <c r="BQ110">
        <v>49</v>
      </c>
      <c r="BR110">
        <v>6.9340000000000002</v>
      </c>
      <c r="BS110">
        <v>33.5</v>
      </c>
      <c r="BT110">
        <v>0.9</v>
      </c>
      <c r="BU110">
        <v>2</v>
      </c>
      <c r="BV110">
        <v>0</v>
      </c>
      <c r="BW110">
        <v>7850</v>
      </c>
      <c r="BX110" t="s">
        <v>295</v>
      </c>
    </row>
    <row r="111" spans="58:76" x14ac:dyDescent="0.3">
      <c r="BF111" s="51">
        <v>98</v>
      </c>
      <c r="BG111" s="55">
        <v>9.5</v>
      </c>
      <c r="BH111" s="51">
        <v>0</v>
      </c>
      <c r="BI111" s="51">
        <v>0</v>
      </c>
      <c r="BJ111" s="51">
        <v>0</v>
      </c>
      <c r="BK111" s="51" t="b">
        <v>0</v>
      </c>
      <c r="BL111" s="55"/>
      <c r="BO111" t="s">
        <v>71</v>
      </c>
      <c r="BP111" t="s">
        <v>392</v>
      </c>
      <c r="BQ111">
        <v>50</v>
      </c>
      <c r="BR111">
        <v>6.9720000000000004</v>
      </c>
      <c r="BS111">
        <v>33.5</v>
      </c>
      <c r="BT111">
        <v>0.9</v>
      </c>
      <c r="BU111">
        <v>2</v>
      </c>
      <c r="BV111">
        <v>0</v>
      </c>
      <c r="BW111">
        <v>7850</v>
      </c>
      <c r="BX111" t="s">
        <v>295</v>
      </c>
    </row>
    <row r="112" spans="58:76" x14ac:dyDescent="0.3">
      <c r="BF112" s="51">
        <v>99</v>
      </c>
      <c r="BG112" s="55">
        <v>6.1</v>
      </c>
      <c r="BH112" s="51">
        <v>0</v>
      </c>
      <c r="BI112" s="51">
        <v>0</v>
      </c>
      <c r="BJ112" s="51">
        <v>200</v>
      </c>
      <c r="BK112" s="51" t="b">
        <v>1</v>
      </c>
      <c r="BL112" s="55" t="s">
        <v>540</v>
      </c>
      <c r="BO112" t="s">
        <v>71</v>
      </c>
      <c r="BP112" t="s">
        <v>393</v>
      </c>
      <c r="BQ112">
        <v>50</v>
      </c>
      <c r="BR112">
        <v>6.9720000000000004</v>
      </c>
      <c r="BS112">
        <v>34</v>
      </c>
      <c r="BT112">
        <v>0.9</v>
      </c>
      <c r="BU112">
        <v>2</v>
      </c>
      <c r="BV112">
        <v>0</v>
      </c>
      <c r="BW112">
        <v>7850</v>
      </c>
      <c r="BX112" t="s">
        <v>295</v>
      </c>
    </row>
    <row r="113" spans="58:76" x14ac:dyDescent="0.3">
      <c r="BF113" s="51">
        <v>100</v>
      </c>
      <c r="BG113" s="55">
        <v>5.6</v>
      </c>
      <c r="BH113" s="51">
        <v>0</v>
      </c>
      <c r="BI113" s="51">
        <v>0</v>
      </c>
      <c r="BJ113" s="51">
        <v>120000</v>
      </c>
      <c r="BK113" s="51" t="b">
        <v>0</v>
      </c>
      <c r="BL113" s="55" t="s">
        <v>545</v>
      </c>
      <c r="BO113" t="s">
        <v>71</v>
      </c>
      <c r="BP113" t="s">
        <v>394</v>
      </c>
      <c r="BQ113">
        <v>51</v>
      </c>
      <c r="BR113">
        <v>7.0380000000000003</v>
      </c>
      <c r="BS113">
        <v>34</v>
      </c>
      <c r="BT113">
        <v>0.9</v>
      </c>
      <c r="BU113">
        <v>2</v>
      </c>
      <c r="BV113">
        <v>0</v>
      </c>
      <c r="BW113">
        <v>7850</v>
      </c>
      <c r="BX113" t="s">
        <v>295</v>
      </c>
    </row>
    <row r="114" spans="58:76" x14ac:dyDescent="0.3">
      <c r="BF114" s="51">
        <v>101</v>
      </c>
      <c r="BG114" s="55">
        <v>4.2</v>
      </c>
      <c r="BH114" s="51">
        <v>0</v>
      </c>
      <c r="BI114" s="51">
        <v>0</v>
      </c>
      <c r="BJ114" s="51">
        <v>9000</v>
      </c>
      <c r="BK114" s="51" t="b">
        <v>1</v>
      </c>
      <c r="BL114" s="55" t="s">
        <v>541</v>
      </c>
      <c r="BO114" t="s">
        <v>71</v>
      </c>
      <c r="BP114" t="s">
        <v>395</v>
      </c>
      <c r="BQ114">
        <v>51</v>
      </c>
      <c r="BR114">
        <v>7.0380000000000003</v>
      </c>
      <c r="BS114">
        <v>38</v>
      </c>
      <c r="BT114">
        <v>0.9</v>
      </c>
      <c r="BU114">
        <v>2</v>
      </c>
      <c r="BV114">
        <v>0</v>
      </c>
      <c r="BW114">
        <v>7850</v>
      </c>
      <c r="BX114" t="s">
        <v>295</v>
      </c>
    </row>
    <row r="115" spans="58:76" x14ac:dyDescent="0.3">
      <c r="BF115" s="51">
        <v>102</v>
      </c>
      <c r="BG115" s="55">
        <v>2</v>
      </c>
      <c r="BH115" s="51">
        <v>0</v>
      </c>
      <c r="BI115" s="51">
        <v>0</v>
      </c>
      <c r="BJ115" s="51">
        <v>80000</v>
      </c>
      <c r="BK115" s="51" t="b">
        <v>1</v>
      </c>
      <c r="BL115" s="55" t="s">
        <v>542</v>
      </c>
      <c r="BO115" t="s">
        <v>71</v>
      </c>
      <c r="BP115" t="s">
        <v>396</v>
      </c>
      <c r="BQ115">
        <v>52</v>
      </c>
      <c r="BR115">
        <v>7.0380000000000003</v>
      </c>
      <c r="BS115">
        <v>38</v>
      </c>
      <c r="BT115">
        <v>0.9</v>
      </c>
      <c r="BU115">
        <v>2</v>
      </c>
      <c r="BV115">
        <v>0</v>
      </c>
      <c r="BW115">
        <v>7850</v>
      </c>
      <c r="BX115" t="s">
        <v>295</v>
      </c>
    </row>
    <row r="116" spans="58:76" x14ac:dyDescent="0.3">
      <c r="BF116" s="51">
        <v>103</v>
      </c>
      <c r="BG116" s="55">
        <v>1.6</v>
      </c>
      <c r="BH116" s="51">
        <v>0</v>
      </c>
      <c r="BI116" s="51">
        <v>0</v>
      </c>
      <c r="BJ116" s="51">
        <v>0</v>
      </c>
      <c r="BK116" s="51" t="b">
        <v>0</v>
      </c>
      <c r="BL116" s="55"/>
      <c r="BO116" t="s">
        <v>71</v>
      </c>
      <c r="BP116" t="s">
        <v>397</v>
      </c>
      <c r="BQ116">
        <v>52</v>
      </c>
      <c r="BR116">
        <v>7.0380000000000003</v>
      </c>
      <c r="BS116">
        <v>38</v>
      </c>
      <c r="BT116">
        <v>0.9</v>
      </c>
      <c r="BU116">
        <v>2</v>
      </c>
      <c r="BV116">
        <v>0</v>
      </c>
      <c r="BW116">
        <v>7850</v>
      </c>
      <c r="BX116" t="s">
        <v>295</v>
      </c>
    </row>
    <row r="117" spans="58:76" x14ac:dyDescent="0.3">
      <c r="BF117" s="51">
        <v>104</v>
      </c>
      <c r="BG117" s="55">
        <v>-2.2999999999999998</v>
      </c>
      <c r="BH117" s="51">
        <v>0</v>
      </c>
      <c r="BI117" s="51">
        <v>0</v>
      </c>
      <c r="BJ117" s="51">
        <v>0</v>
      </c>
      <c r="BK117" s="51" t="b">
        <v>0</v>
      </c>
      <c r="BL117" s="55"/>
      <c r="BO117" t="s">
        <v>71</v>
      </c>
      <c r="BP117" t="s">
        <v>398</v>
      </c>
      <c r="BQ117">
        <v>53</v>
      </c>
      <c r="BR117">
        <v>7.0380000000000003</v>
      </c>
      <c r="BS117">
        <v>38</v>
      </c>
      <c r="BT117">
        <v>0.9</v>
      </c>
      <c r="BU117">
        <v>2</v>
      </c>
      <c r="BV117">
        <v>0</v>
      </c>
      <c r="BW117">
        <v>7850</v>
      </c>
      <c r="BX117" t="s">
        <v>295</v>
      </c>
    </row>
    <row r="118" spans="58:76" x14ac:dyDescent="0.3">
      <c r="BF118" s="51">
        <v>105</v>
      </c>
      <c r="BG118" s="55">
        <v>-6.2</v>
      </c>
      <c r="BH118" s="51">
        <v>0</v>
      </c>
      <c r="BI118" s="51">
        <v>0</v>
      </c>
      <c r="BJ118" s="51">
        <v>0</v>
      </c>
      <c r="BK118" s="51" t="b">
        <v>0</v>
      </c>
      <c r="BL118" s="55"/>
      <c r="BO118" t="s">
        <v>71</v>
      </c>
      <c r="BP118" t="s">
        <v>399</v>
      </c>
      <c r="BQ118">
        <v>53</v>
      </c>
      <c r="BR118">
        <v>7.0380000000000003</v>
      </c>
      <c r="BS118">
        <v>38</v>
      </c>
      <c r="BT118">
        <v>0.9</v>
      </c>
      <c r="BU118">
        <v>2</v>
      </c>
      <c r="BV118">
        <v>0</v>
      </c>
      <c r="BW118">
        <v>7850</v>
      </c>
      <c r="BX118" t="s">
        <v>295</v>
      </c>
    </row>
    <row r="119" spans="58:76" x14ac:dyDescent="0.3">
      <c r="BF119" s="51">
        <v>106</v>
      </c>
      <c r="BG119" s="55">
        <v>-10.1</v>
      </c>
      <c r="BH119" s="51">
        <v>0</v>
      </c>
      <c r="BI119" s="51">
        <v>0</v>
      </c>
      <c r="BJ119" s="51">
        <v>0</v>
      </c>
      <c r="BK119" s="51" t="b">
        <v>0</v>
      </c>
      <c r="BL119" s="55"/>
      <c r="BO119" t="s">
        <v>71</v>
      </c>
      <c r="BP119" t="s">
        <v>400</v>
      </c>
      <c r="BQ119">
        <v>54</v>
      </c>
      <c r="BR119">
        <v>7.0380000000000003</v>
      </c>
      <c r="BS119">
        <v>38</v>
      </c>
      <c r="BT119">
        <v>0.9</v>
      </c>
      <c r="BU119">
        <v>2</v>
      </c>
      <c r="BV119">
        <v>0</v>
      </c>
      <c r="BW119">
        <v>7850</v>
      </c>
      <c r="BX119" t="s">
        <v>295</v>
      </c>
    </row>
    <row r="120" spans="58:76" x14ac:dyDescent="0.3">
      <c r="BF120" s="51">
        <v>107</v>
      </c>
      <c r="BG120" s="55">
        <v>-14</v>
      </c>
      <c r="BH120" s="51">
        <v>0</v>
      </c>
      <c r="BI120" s="51">
        <v>0</v>
      </c>
      <c r="BJ120" s="51">
        <v>0</v>
      </c>
      <c r="BK120" s="51" t="b">
        <v>0</v>
      </c>
      <c r="BL120" s="55"/>
      <c r="BO120" t="s">
        <v>71</v>
      </c>
      <c r="BP120" t="s">
        <v>401</v>
      </c>
      <c r="BQ120">
        <v>54</v>
      </c>
      <c r="BR120">
        <v>7.0380000000000003</v>
      </c>
      <c r="BS120">
        <v>38</v>
      </c>
      <c r="BT120">
        <v>0.9</v>
      </c>
      <c r="BU120">
        <v>2</v>
      </c>
      <c r="BV120">
        <v>0</v>
      </c>
      <c r="BW120">
        <v>7850</v>
      </c>
      <c r="BX120" t="s">
        <v>295</v>
      </c>
    </row>
    <row r="121" spans="58:76" x14ac:dyDescent="0.3">
      <c r="BF121" s="51">
        <v>108</v>
      </c>
      <c r="BG121" s="55">
        <v>-17.899999999999999</v>
      </c>
      <c r="BH121" s="51">
        <v>0</v>
      </c>
      <c r="BI121" s="51">
        <v>0</v>
      </c>
      <c r="BJ121" s="51">
        <v>0</v>
      </c>
      <c r="BK121" s="51" t="b">
        <v>0</v>
      </c>
      <c r="BL121" s="55"/>
      <c r="BO121" t="s">
        <v>71</v>
      </c>
      <c r="BP121" t="s">
        <v>402</v>
      </c>
      <c r="BQ121">
        <v>55</v>
      </c>
      <c r="BR121">
        <v>7.032</v>
      </c>
      <c r="BS121">
        <v>38</v>
      </c>
      <c r="BT121">
        <v>0.9</v>
      </c>
      <c r="BU121">
        <v>2</v>
      </c>
      <c r="BV121">
        <v>0</v>
      </c>
      <c r="BW121">
        <v>7850</v>
      </c>
      <c r="BX121" t="s">
        <v>295</v>
      </c>
    </row>
    <row r="122" spans="58:76" x14ac:dyDescent="0.3">
      <c r="BF122" s="51">
        <v>109</v>
      </c>
      <c r="BG122" s="55">
        <v>-21.8</v>
      </c>
      <c r="BH122" s="51">
        <v>0</v>
      </c>
      <c r="BI122" s="51">
        <v>0</v>
      </c>
      <c r="BJ122" s="51">
        <v>0</v>
      </c>
      <c r="BK122" s="51" t="b">
        <v>0</v>
      </c>
      <c r="BL122" s="55"/>
      <c r="BO122" t="s">
        <v>71</v>
      </c>
      <c r="BP122" t="s">
        <v>403</v>
      </c>
      <c r="BQ122">
        <v>55</v>
      </c>
      <c r="BR122">
        <v>7.032</v>
      </c>
      <c r="BS122">
        <v>32</v>
      </c>
      <c r="BT122">
        <v>0.9</v>
      </c>
      <c r="BU122">
        <v>2</v>
      </c>
      <c r="BV122">
        <v>0</v>
      </c>
      <c r="BW122">
        <v>7850</v>
      </c>
      <c r="BX122" t="s">
        <v>295</v>
      </c>
    </row>
    <row r="123" spans="58:76" x14ac:dyDescent="0.3">
      <c r="BF123" s="51">
        <v>110</v>
      </c>
      <c r="BG123" s="55">
        <v>-25.7</v>
      </c>
      <c r="BH123" s="51">
        <v>0</v>
      </c>
      <c r="BI123" s="51">
        <v>0</v>
      </c>
      <c r="BJ123" s="51">
        <v>0</v>
      </c>
      <c r="BK123" s="51" t="b">
        <v>0</v>
      </c>
      <c r="BL123" s="55"/>
      <c r="BO123" t="s">
        <v>71</v>
      </c>
      <c r="BP123" t="s">
        <v>404</v>
      </c>
      <c r="BQ123">
        <v>56</v>
      </c>
      <c r="BR123">
        <v>7.0759999999999996</v>
      </c>
      <c r="BS123">
        <v>32</v>
      </c>
      <c r="BT123">
        <v>0.9</v>
      </c>
      <c r="BU123">
        <v>2</v>
      </c>
      <c r="BV123">
        <v>0</v>
      </c>
      <c r="BW123">
        <v>7850</v>
      </c>
      <c r="BX123" t="s">
        <v>295</v>
      </c>
    </row>
    <row r="124" spans="58:76" x14ac:dyDescent="0.3">
      <c r="BF124" s="51">
        <v>111</v>
      </c>
      <c r="BG124" s="55">
        <v>-29.6</v>
      </c>
      <c r="BH124" s="51">
        <v>0</v>
      </c>
      <c r="BI124" s="51">
        <v>0</v>
      </c>
      <c r="BJ124" s="51">
        <v>0</v>
      </c>
      <c r="BK124" s="51" t="b">
        <v>0</v>
      </c>
      <c r="BL124" s="55"/>
      <c r="BO124" t="s">
        <v>71</v>
      </c>
      <c r="BP124" t="s">
        <v>405</v>
      </c>
      <c r="BQ124">
        <v>56</v>
      </c>
      <c r="BR124">
        <v>7.0759999999999996</v>
      </c>
      <c r="BS124">
        <v>33</v>
      </c>
      <c r="BT124">
        <v>0.9</v>
      </c>
      <c r="BU124">
        <v>2</v>
      </c>
      <c r="BV124">
        <v>0</v>
      </c>
      <c r="BW124">
        <v>7850</v>
      </c>
      <c r="BX124" t="s">
        <v>295</v>
      </c>
    </row>
    <row r="125" spans="58:76" x14ac:dyDescent="0.3">
      <c r="BF125" s="51">
        <v>112</v>
      </c>
      <c r="BG125" s="55">
        <v>-33.5</v>
      </c>
      <c r="BH125" s="51">
        <v>0</v>
      </c>
      <c r="BI125" s="51">
        <v>0</v>
      </c>
      <c r="BJ125" s="51">
        <v>0</v>
      </c>
      <c r="BK125" s="51" t="b">
        <v>0</v>
      </c>
      <c r="BL125" s="55"/>
      <c r="BO125" t="s">
        <v>71</v>
      </c>
      <c r="BP125" t="s">
        <v>406</v>
      </c>
      <c r="BQ125">
        <v>57</v>
      </c>
      <c r="BR125">
        <v>7.0970000000000004</v>
      </c>
      <c r="BS125">
        <v>33</v>
      </c>
      <c r="BT125">
        <v>0.9</v>
      </c>
      <c r="BU125">
        <v>2</v>
      </c>
      <c r="BV125">
        <v>0</v>
      </c>
      <c r="BW125">
        <v>7850</v>
      </c>
      <c r="BX125" t="s">
        <v>295</v>
      </c>
    </row>
    <row r="126" spans="58:76" x14ac:dyDescent="0.3">
      <c r="BF126" s="51">
        <v>113</v>
      </c>
      <c r="BG126" s="55">
        <v>-36.799999999999997</v>
      </c>
      <c r="BH126" s="51">
        <v>0</v>
      </c>
      <c r="BI126" s="51">
        <v>0</v>
      </c>
      <c r="BJ126" s="51">
        <v>0</v>
      </c>
      <c r="BK126" s="51" t="b">
        <v>0</v>
      </c>
      <c r="BL126" s="55"/>
      <c r="BO126" t="s">
        <v>71</v>
      </c>
      <c r="BP126" t="s">
        <v>407</v>
      </c>
      <c r="BQ126">
        <v>57</v>
      </c>
      <c r="BR126">
        <v>7.0970000000000004</v>
      </c>
      <c r="BS126">
        <v>33</v>
      </c>
      <c r="BT126">
        <v>0.9</v>
      </c>
      <c r="BU126">
        <v>2</v>
      </c>
      <c r="BV126">
        <v>0</v>
      </c>
      <c r="BW126">
        <v>7850</v>
      </c>
      <c r="BX126" t="s">
        <v>295</v>
      </c>
    </row>
    <row r="127" spans="58:76" x14ac:dyDescent="0.3">
      <c r="BF127" s="51">
        <v>114</v>
      </c>
      <c r="BG127" s="55">
        <v>-40.200000000000003</v>
      </c>
      <c r="BH127" s="51">
        <v>0</v>
      </c>
      <c r="BI127" s="51">
        <v>0</v>
      </c>
      <c r="BJ127" s="51">
        <v>0</v>
      </c>
      <c r="BK127" s="51" t="b">
        <v>0</v>
      </c>
      <c r="BL127" s="55"/>
      <c r="BO127" t="s">
        <v>71</v>
      </c>
      <c r="BP127" t="s">
        <v>408</v>
      </c>
      <c r="BQ127">
        <v>58</v>
      </c>
      <c r="BR127">
        <v>7.1139999999999999</v>
      </c>
      <c r="BS127">
        <v>33</v>
      </c>
      <c r="BT127">
        <v>0.9</v>
      </c>
      <c r="BU127">
        <v>2</v>
      </c>
      <c r="BV127">
        <v>0</v>
      </c>
      <c r="BW127">
        <v>7850</v>
      </c>
      <c r="BX127" t="s">
        <v>295</v>
      </c>
    </row>
    <row r="128" spans="58:76" x14ac:dyDescent="0.3">
      <c r="BF128" s="51">
        <v>115</v>
      </c>
      <c r="BG128" s="55">
        <v>-43.5</v>
      </c>
      <c r="BH128" s="51">
        <v>0</v>
      </c>
      <c r="BI128" s="51">
        <v>0</v>
      </c>
      <c r="BJ128" s="51">
        <v>0</v>
      </c>
      <c r="BK128" s="51" t="b">
        <v>0</v>
      </c>
      <c r="BL128" s="55"/>
      <c r="BO128" t="s">
        <v>71</v>
      </c>
      <c r="BP128" t="s">
        <v>409</v>
      </c>
      <c r="BQ128">
        <v>58</v>
      </c>
      <c r="BR128">
        <v>7.1139999999999999</v>
      </c>
      <c r="BS128">
        <v>33</v>
      </c>
      <c r="BT128">
        <v>0.9</v>
      </c>
      <c r="BU128">
        <v>2</v>
      </c>
      <c r="BV128">
        <v>0</v>
      </c>
      <c r="BW128">
        <v>7850</v>
      </c>
      <c r="BX128" t="s">
        <v>295</v>
      </c>
    </row>
    <row r="129" spans="58:76" x14ac:dyDescent="0.3">
      <c r="BF129" s="51"/>
      <c r="BG129" s="55"/>
      <c r="BH129" s="51"/>
      <c r="BI129" s="51"/>
      <c r="BJ129" s="51"/>
      <c r="BK129" s="51"/>
      <c r="BL129" s="55"/>
      <c r="BO129" t="s">
        <v>71</v>
      </c>
      <c r="BP129" t="s">
        <v>410</v>
      </c>
      <c r="BQ129">
        <v>59</v>
      </c>
      <c r="BR129">
        <v>7.1189999999999998</v>
      </c>
      <c r="BS129">
        <v>33</v>
      </c>
      <c r="BT129">
        <v>0.9</v>
      </c>
      <c r="BU129">
        <v>2</v>
      </c>
      <c r="BV129">
        <v>0</v>
      </c>
      <c r="BW129">
        <v>7850</v>
      </c>
      <c r="BX129" t="s">
        <v>295</v>
      </c>
    </row>
    <row r="130" spans="58:76" x14ac:dyDescent="0.3">
      <c r="BF130" s="51"/>
      <c r="BG130" s="55"/>
      <c r="BH130" s="51"/>
      <c r="BI130" s="51"/>
      <c r="BJ130" s="51"/>
      <c r="BO130" t="s">
        <v>71</v>
      </c>
      <c r="BP130" t="s">
        <v>411</v>
      </c>
      <c r="BQ130">
        <v>59</v>
      </c>
      <c r="BR130">
        <v>7.1189999999999998</v>
      </c>
      <c r="BS130">
        <v>33</v>
      </c>
      <c r="BT130">
        <v>0.9</v>
      </c>
      <c r="BU130">
        <v>2</v>
      </c>
      <c r="BV130">
        <v>0</v>
      </c>
      <c r="BW130">
        <v>7850</v>
      </c>
      <c r="BX130" t="s">
        <v>295</v>
      </c>
    </row>
    <row r="131" spans="58:76" x14ac:dyDescent="0.3">
      <c r="BF131" s="51"/>
      <c r="BG131" s="55"/>
      <c r="BH131" s="51"/>
      <c r="BI131" s="51"/>
      <c r="BJ131" s="51"/>
      <c r="BO131" t="s">
        <v>71</v>
      </c>
      <c r="BP131" t="s">
        <v>412</v>
      </c>
      <c r="BQ131">
        <v>60</v>
      </c>
      <c r="BR131">
        <v>7.1619999999999999</v>
      </c>
      <c r="BS131">
        <v>33</v>
      </c>
      <c r="BT131">
        <v>0.9</v>
      </c>
      <c r="BU131">
        <v>2</v>
      </c>
      <c r="BV131">
        <v>0</v>
      </c>
      <c r="BW131">
        <v>7850</v>
      </c>
      <c r="BX131" t="s">
        <v>295</v>
      </c>
    </row>
    <row r="132" spans="58:76" x14ac:dyDescent="0.3">
      <c r="BO132" t="s">
        <v>71</v>
      </c>
      <c r="BP132" t="s">
        <v>413</v>
      </c>
      <c r="BQ132">
        <v>60</v>
      </c>
      <c r="BR132">
        <v>7.1619999999999999</v>
      </c>
      <c r="BS132">
        <v>33</v>
      </c>
      <c r="BT132">
        <v>0.9</v>
      </c>
      <c r="BU132">
        <v>2</v>
      </c>
      <c r="BV132">
        <v>0</v>
      </c>
      <c r="BW132">
        <v>7850</v>
      </c>
      <c r="BX132" t="s">
        <v>295</v>
      </c>
    </row>
    <row r="133" spans="58:76" x14ac:dyDescent="0.3">
      <c r="BO133" t="s">
        <v>71</v>
      </c>
      <c r="BP133" t="s">
        <v>414</v>
      </c>
      <c r="BQ133">
        <v>61</v>
      </c>
      <c r="BR133">
        <v>7.1630000000000003</v>
      </c>
      <c r="BS133">
        <v>33</v>
      </c>
      <c r="BT133">
        <v>0.9</v>
      </c>
      <c r="BU133">
        <v>2</v>
      </c>
      <c r="BV133">
        <v>0</v>
      </c>
      <c r="BW133">
        <v>7850</v>
      </c>
      <c r="BX133" t="s">
        <v>295</v>
      </c>
    </row>
    <row r="134" spans="58:76" x14ac:dyDescent="0.3">
      <c r="BO134" t="s">
        <v>71</v>
      </c>
      <c r="BP134" t="s">
        <v>415</v>
      </c>
      <c r="BQ134">
        <v>61</v>
      </c>
      <c r="BR134">
        <v>7.1630000000000003</v>
      </c>
      <c r="BS134">
        <v>34</v>
      </c>
      <c r="BT134">
        <v>0.9</v>
      </c>
      <c r="BU134">
        <v>2</v>
      </c>
      <c r="BV134">
        <v>0</v>
      </c>
      <c r="BW134">
        <v>7850</v>
      </c>
      <c r="BX134" t="s">
        <v>295</v>
      </c>
    </row>
    <row r="135" spans="58:76" x14ac:dyDescent="0.3">
      <c r="BO135" t="s">
        <v>71</v>
      </c>
      <c r="BP135" t="s">
        <v>416</v>
      </c>
      <c r="BQ135">
        <v>62</v>
      </c>
      <c r="BR135">
        <v>7.21</v>
      </c>
      <c r="BS135">
        <v>34</v>
      </c>
      <c r="BT135">
        <v>0.9</v>
      </c>
      <c r="BU135">
        <v>2</v>
      </c>
      <c r="BV135">
        <v>0</v>
      </c>
      <c r="BW135">
        <v>7850</v>
      </c>
      <c r="BX135" t="s">
        <v>295</v>
      </c>
    </row>
    <row r="136" spans="58:76" x14ac:dyDescent="0.3">
      <c r="BO136" t="s">
        <v>71</v>
      </c>
      <c r="BP136" t="s">
        <v>417</v>
      </c>
      <c r="BQ136">
        <v>62</v>
      </c>
      <c r="BR136">
        <v>7.21</v>
      </c>
      <c r="BS136">
        <v>38.199999999999996</v>
      </c>
      <c r="BT136">
        <v>0.9</v>
      </c>
      <c r="BU136">
        <v>2</v>
      </c>
      <c r="BV136">
        <v>0</v>
      </c>
      <c r="BW136">
        <v>7850</v>
      </c>
      <c r="BX136" t="s">
        <v>295</v>
      </c>
    </row>
    <row r="137" spans="58:76" x14ac:dyDescent="0.3">
      <c r="BO137" t="s">
        <v>71</v>
      </c>
      <c r="BP137" t="s">
        <v>418</v>
      </c>
      <c r="BQ137">
        <v>63</v>
      </c>
      <c r="BR137">
        <v>7.2309999999999999</v>
      </c>
      <c r="BS137">
        <v>38.199999999999996</v>
      </c>
      <c r="BT137">
        <v>0.9</v>
      </c>
      <c r="BU137">
        <v>2</v>
      </c>
      <c r="BV137">
        <v>0</v>
      </c>
      <c r="BW137">
        <v>7850</v>
      </c>
      <c r="BX137" t="s">
        <v>295</v>
      </c>
    </row>
    <row r="138" spans="58:76" x14ac:dyDescent="0.3">
      <c r="BO138" t="s">
        <v>71</v>
      </c>
      <c r="BP138" t="s">
        <v>419</v>
      </c>
      <c r="BQ138">
        <v>63</v>
      </c>
      <c r="BR138">
        <v>7.2309999999999999</v>
      </c>
      <c r="BS138">
        <v>38.199999999999996</v>
      </c>
      <c r="BT138">
        <v>0.9</v>
      </c>
      <c r="BU138">
        <v>2</v>
      </c>
      <c r="BV138">
        <v>0</v>
      </c>
      <c r="BW138">
        <v>7850</v>
      </c>
      <c r="BX138" t="s">
        <v>295</v>
      </c>
    </row>
    <row r="139" spans="58:76" x14ac:dyDescent="0.3">
      <c r="BO139" t="s">
        <v>71</v>
      </c>
      <c r="BP139" t="s">
        <v>420</v>
      </c>
      <c r="BQ139">
        <v>64</v>
      </c>
      <c r="BR139">
        <v>7.2519999999999998</v>
      </c>
      <c r="BS139">
        <v>38.199999999999996</v>
      </c>
      <c r="BT139">
        <v>0.9</v>
      </c>
      <c r="BU139">
        <v>2</v>
      </c>
      <c r="BV139">
        <v>0</v>
      </c>
      <c r="BW139">
        <v>7850</v>
      </c>
      <c r="BX139" t="s">
        <v>295</v>
      </c>
    </row>
    <row r="140" spans="58:76" x14ac:dyDescent="0.3">
      <c r="BO140" t="s">
        <v>71</v>
      </c>
      <c r="BP140" t="s">
        <v>421</v>
      </c>
      <c r="BQ140">
        <v>64</v>
      </c>
      <c r="BR140">
        <v>7.2519999999999998</v>
      </c>
      <c r="BS140">
        <v>38.199999999999996</v>
      </c>
      <c r="BT140">
        <v>0.9</v>
      </c>
      <c r="BU140">
        <v>2</v>
      </c>
      <c r="BV140">
        <v>0</v>
      </c>
      <c r="BW140">
        <v>7850</v>
      </c>
      <c r="BX140" t="s">
        <v>295</v>
      </c>
    </row>
    <row r="141" spans="58:76" x14ac:dyDescent="0.3">
      <c r="BO141" t="s">
        <v>71</v>
      </c>
      <c r="BP141" t="s">
        <v>422</v>
      </c>
      <c r="BQ141">
        <v>65</v>
      </c>
      <c r="BR141">
        <v>7.2770000000000001</v>
      </c>
      <c r="BS141">
        <v>38.199999999999996</v>
      </c>
      <c r="BT141">
        <v>0.9</v>
      </c>
      <c r="BU141">
        <v>2</v>
      </c>
      <c r="BV141">
        <v>0</v>
      </c>
      <c r="BW141">
        <v>7850</v>
      </c>
      <c r="BX141" t="s">
        <v>295</v>
      </c>
    </row>
    <row r="142" spans="58:76" x14ac:dyDescent="0.3">
      <c r="BO142" t="s">
        <v>71</v>
      </c>
      <c r="BP142" t="s">
        <v>423</v>
      </c>
      <c r="BQ142">
        <v>65</v>
      </c>
      <c r="BR142">
        <v>7.2770000000000001</v>
      </c>
      <c r="BS142">
        <v>38.199999999999996</v>
      </c>
      <c r="BT142">
        <v>0.9</v>
      </c>
      <c r="BU142">
        <v>2</v>
      </c>
      <c r="BV142">
        <v>0</v>
      </c>
      <c r="BW142">
        <v>7850</v>
      </c>
      <c r="BX142" t="s">
        <v>295</v>
      </c>
    </row>
    <row r="143" spans="58:76" x14ac:dyDescent="0.3">
      <c r="BO143" t="s">
        <v>71</v>
      </c>
      <c r="BP143" t="s">
        <v>424</v>
      </c>
      <c r="BQ143">
        <v>66</v>
      </c>
      <c r="BR143">
        <v>7.2919999999999998</v>
      </c>
      <c r="BS143">
        <v>38.199999999999996</v>
      </c>
      <c r="BT143">
        <v>0.9</v>
      </c>
      <c r="BU143">
        <v>2</v>
      </c>
      <c r="BV143">
        <v>0</v>
      </c>
      <c r="BW143">
        <v>7850</v>
      </c>
      <c r="BX143" t="s">
        <v>295</v>
      </c>
    </row>
    <row r="144" spans="58:76" x14ac:dyDescent="0.3">
      <c r="BO144" t="s">
        <v>71</v>
      </c>
      <c r="BP144" t="s">
        <v>425</v>
      </c>
      <c r="BQ144">
        <v>66</v>
      </c>
      <c r="BR144">
        <v>7.2919999999999998</v>
      </c>
      <c r="BS144">
        <v>34.5</v>
      </c>
      <c r="BT144">
        <v>0.9</v>
      </c>
      <c r="BU144">
        <v>2</v>
      </c>
      <c r="BV144">
        <v>0</v>
      </c>
      <c r="BW144">
        <v>7850</v>
      </c>
      <c r="BX144" t="s">
        <v>295</v>
      </c>
    </row>
    <row r="145" spans="67:76" x14ac:dyDescent="0.3">
      <c r="BO145" t="s">
        <v>71</v>
      </c>
      <c r="BP145" t="s">
        <v>426</v>
      </c>
      <c r="BQ145">
        <v>67</v>
      </c>
      <c r="BR145">
        <v>7.2919999999999998</v>
      </c>
      <c r="BS145">
        <v>34.5</v>
      </c>
      <c r="BT145">
        <v>0.9</v>
      </c>
      <c r="BU145">
        <v>2</v>
      </c>
      <c r="BV145">
        <v>0</v>
      </c>
      <c r="BW145">
        <v>7850</v>
      </c>
      <c r="BX145" t="s">
        <v>295</v>
      </c>
    </row>
    <row r="146" spans="67:76" x14ac:dyDescent="0.3">
      <c r="BO146" t="s">
        <v>71</v>
      </c>
      <c r="BP146" t="s">
        <v>427</v>
      </c>
      <c r="BQ146">
        <v>67</v>
      </c>
      <c r="BR146">
        <v>7.2919999999999998</v>
      </c>
      <c r="BS146">
        <v>34.5</v>
      </c>
      <c r="BT146">
        <v>0.9</v>
      </c>
      <c r="BU146">
        <v>2</v>
      </c>
      <c r="BV146">
        <v>0</v>
      </c>
      <c r="BW146">
        <v>7850</v>
      </c>
      <c r="BX146" t="s">
        <v>295</v>
      </c>
    </row>
    <row r="147" spans="67:76" x14ac:dyDescent="0.3">
      <c r="BO147" t="s">
        <v>71</v>
      </c>
      <c r="BP147" t="s">
        <v>428</v>
      </c>
      <c r="BQ147">
        <v>68</v>
      </c>
      <c r="BR147">
        <v>7.335</v>
      </c>
      <c r="BS147">
        <v>34.5</v>
      </c>
      <c r="BT147">
        <v>0.9</v>
      </c>
      <c r="BU147">
        <v>2</v>
      </c>
      <c r="BV147">
        <v>0</v>
      </c>
      <c r="BW147">
        <v>7850</v>
      </c>
      <c r="BX147" t="s">
        <v>295</v>
      </c>
    </row>
    <row r="148" spans="67:76" x14ac:dyDescent="0.3">
      <c r="BO148" t="s">
        <v>71</v>
      </c>
      <c r="BP148" t="s">
        <v>429</v>
      </c>
      <c r="BQ148">
        <v>68</v>
      </c>
      <c r="BR148">
        <v>7.335</v>
      </c>
      <c r="BS148">
        <v>35</v>
      </c>
      <c r="BT148">
        <v>0.9</v>
      </c>
      <c r="BU148">
        <v>2</v>
      </c>
      <c r="BV148">
        <v>0</v>
      </c>
      <c r="BW148">
        <v>7850</v>
      </c>
      <c r="BX148" t="s">
        <v>295</v>
      </c>
    </row>
    <row r="149" spans="67:76" x14ac:dyDescent="0.3">
      <c r="BO149" t="s">
        <v>71</v>
      </c>
      <c r="BP149" t="s">
        <v>430</v>
      </c>
      <c r="BQ149">
        <v>69</v>
      </c>
      <c r="BR149">
        <v>7.3579999999999997</v>
      </c>
      <c r="BS149">
        <v>35</v>
      </c>
      <c r="BT149">
        <v>0.9</v>
      </c>
      <c r="BU149">
        <v>2</v>
      </c>
      <c r="BV149">
        <v>0</v>
      </c>
      <c r="BW149">
        <v>7850</v>
      </c>
      <c r="BX149" t="s">
        <v>295</v>
      </c>
    </row>
    <row r="150" spans="67:76" x14ac:dyDescent="0.3">
      <c r="BO150" t="s">
        <v>71</v>
      </c>
      <c r="BP150" t="s">
        <v>431</v>
      </c>
      <c r="BQ150">
        <v>69</v>
      </c>
      <c r="BR150">
        <v>7.3579999999999997</v>
      </c>
      <c r="BS150">
        <v>35</v>
      </c>
      <c r="BT150">
        <v>0.9</v>
      </c>
      <c r="BU150">
        <v>2</v>
      </c>
      <c r="BV150">
        <v>0</v>
      </c>
      <c r="BW150">
        <v>7850</v>
      </c>
      <c r="BX150" t="s">
        <v>295</v>
      </c>
    </row>
    <row r="151" spans="67:76" x14ac:dyDescent="0.3">
      <c r="BO151" t="s">
        <v>71</v>
      </c>
      <c r="BP151" t="s">
        <v>432</v>
      </c>
      <c r="BQ151">
        <v>70</v>
      </c>
      <c r="BR151">
        <v>7.3789999999999996</v>
      </c>
      <c r="BS151">
        <v>35</v>
      </c>
      <c r="BT151">
        <v>0.9</v>
      </c>
      <c r="BU151">
        <v>2</v>
      </c>
      <c r="BV151">
        <v>0</v>
      </c>
      <c r="BW151">
        <v>7850</v>
      </c>
      <c r="BX151" t="s">
        <v>295</v>
      </c>
    </row>
    <row r="152" spans="67:76" x14ac:dyDescent="0.3">
      <c r="BO152" t="s">
        <v>71</v>
      </c>
      <c r="BP152" t="s">
        <v>433</v>
      </c>
      <c r="BQ152">
        <v>70</v>
      </c>
      <c r="BR152">
        <v>7.3789999999999996</v>
      </c>
      <c r="BS152">
        <v>35.799999999999997</v>
      </c>
      <c r="BT152">
        <v>0.9</v>
      </c>
      <c r="BU152">
        <v>2</v>
      </c>
      <c r="BV152">
        <v>0</v>
      </c>
      <c r="BW152">
        <v>7850</v>
      </c>
      <c r="BX152" t="s">
        <v>295</v>
      </c>
    </row>
    <row r="153" spans="67:76" x14ac:dyDescent="0.3">
      <c r="BO153" t="s">
        <v>71</v>
      </c>
      <c r="BP153" t="s">
        <v>434</v>
      </c>
      <c r="BQ153">
        <v>71</v>
      </c>
      <c r="BR153">
        <v>7.4249999999999998</v>
      </c>
      <c r="BS153">
        <v>35.799999999999997</v>
      </c>
      <c r="BT153">
        <v>0.9</v>
      </c>
      <c r="BU153">
        <v>2</v>
      </c>
      <c r="BV153">
        <v>0</v>
      </c>
      <c r="BW153">
        <v>7850</v>
      </c>
      <c r="BX153" t="s">
        <v>295</v>
      </c>
    </row>
    <row r="154" spans="67:76" x14ac:dyDescent="0.3">
      <c r="BO154" t="s">
        <v>71</v>
      </c>
      <c r="BP154" t="s">
        <v>435</v>
      </c>
      <c r="BQ154">
        <v>71</v>
      </c>
      <c r="BR154">
        <v>7.4249999999999998</v>
      </c>
      <c r="BS154">
        <v>39</v>
      </c>
      <c r="BT154">
        <v>0.9</v>
      </c>
      <c r="BU154">
        <v>2</v>
      </c>
      <c r="BV154">
        <v>0</v>
      </c>
      <c r="BW154">
        <v>7850</v>
      </c>
      <c r="BX154" t="s">
        <v>295</v>
      </c>
    </row>
    <row r="155" spans="67:76" x14ac:dyDescent="0.3">
      <c r="BO155" t="s">
        <v>71</v>
      </c>
      <c r="BP155" t="s">
        <v>436</v>
      </c>
      <c r="BQ155">
        <v>72</v>
      </c>
      <c r="BR155">
        <v>7.4349999999999996</v>
      </c>
      <c r="BS155">
        <v>39</v>
      </c>
      <c r="BT155">
        <v>0.9</v>
      </c>
      <c r="BU155">
        <v>2</v>
      </c>
      <c r="BV155">
        <v>0</v>
      </c>
      <c r="BW155">
        <v>7850</v>
      </c>
      <c r="BX155" t="s">
        <v>295</v>
      </c>
    </row>
    <row r="156" spans="67:76" x14ac:dyDescent="0.3">
      <c r="BO156" t="s">
        <v>71</v>
      </c>
      <c r="BP156" t="s">
        <v>437</v>
      </c>
      <c r="BQ156">
        <v>72</v>
      </c>
      <c r="BR156">
        <v>7.4349999999999996</v>
      </c>
      <c r="BS156">
        <v>39</v>
      </c>
      <c r="BT156">
        <v>0.9</v>
      </c>
      <c r="BU156">
        <v>2</v>
      </c>
      <c r="BV156">
        <v>0</v>
      </c>
      <c r="BW156">
        <v>7850</v>
      </c>
      <c r="BX156" t="s">
        <v>295</v>
      </c>
    </row>
    <row r="157" spans="67:76" x14ac:dyDescent="0.3">
      <c r="BO157" t="s">
        <v>71</v>
      </c>
      <c r="BP157" t="s">
        <v>438</v>
      </c>
      <c r="BQ157">
        <v>73</v>
      </c>
      <c r="BR157">
        <v>7.476</v>
      </c>
      <c r="BS157">
        <v>39</v>
      </c>
      <c r="BT157">
        <v>0.9</v>
      </c>
      <c r="BU157">
        <v>2</v>
      </c>
      <c r="BV157">
        <v>0</v>
      </c>
      <c r="BW157">
        <v>7850</v>
      </c>
      <c r="BX157" t="s">
        <v>295</v>
      </c>
    </row>
    <row r="158" spans="67:76" x14ac:dyDescent="0.3">
      <c r="BO158" t="s">
        <v>71</v>
      </c>
      <c r="BP158" t="s">
        <v>439</v>
      </c>
      <c r="BQ158">
        <v>73</v>
      </c>
      <c r="BR158">
        <v>7.476</v>
      </c>
      <c r="BS158">
        <v>46</v>
      </c>
      <c r="BT158">
        <v>0.9</v>
      </c>
      <c r="BU158">
        <v>2</v>
      </c>
      <c r="BV158">
        <v>0</v>
      </c>
      <c r="BW158">
        <v>7850</v>
      </c>
      <c r="BX158" t="s">
        <v>295</v>
      </c>
    </row>
    <row r="159" spans="67:76" x14ac:dyDescent="0.3">
      <c r="BO159" t="s">
        <v>71</v>
      </c>
      <c r="BP159" t="s">
        <v>440</v>
      </c>
      <c r="BQ159">
        <v>74</v>
      </c>
      <c r="BR159">
        <v>7.476</v>
      </c>
      <c r="BS159">
        <v>46</v>
      </c>
      <c r="BT159">
        <v>0.9</v>
      </c>
      <c r="BU159">
        <v>2</v>
      </c>
      <c r="BV159">
        <v>0</v>
      </c>
      <c r="BW159">
        <v>7850</v>
      </c>
      <c r="BX159" t="s">
        <v>295</v>
      </c>
    </row>
    <row r="160" spans="67:76" x14ac:dyDescent="0.3">
      <c r="BO160" t="s">
        <v>71</v>
      </c>
      <c r="BP160" t="s">
        <v>441</v>
      </c>
      <c r="BQ160">
        <v>74</v>
      </c>
      <c r="BR160">
        <v>7.476</v>
      </c>
      <c r="BS160">
        <v>46</v>
      </c>
      <c r="BT160">
        <v>0.9</v>
      </c>
      <c r="BU160">
        <v>2</v>
      </c>
      <c r="BV160">
        <v>0</v>
      </c>
      <c r="BW160">
        <v>7850</v>
      </c>
      <c r="BX160" t="s">
        <v>295</v>
      </c>
    </row>
    <row r="161" spans="67:76" x14ac:dyDescent="0.3">
      <c r="BO161" t="s">
        <v>71</v>
      </c>
      <c r="BP161" t="s">
        <v>442</v>
      </c>
      <c r="BQ161">
        <v>75</v>
      </c>
      <c r="BR161">
        <v>7.476</v>
      </c>
      <c r="BS161">
        <v>46</v>
      </c>
      <c r="BT161">
        <v>0.9</v>
      </c>
      <c r="BU161">
        <v>2</v>
      </c>
      <c r="BV161">
        <v>0</v>
      </c>
      <c r="BW161">
        <v>7850</v>
      </c>
      <c r="BX161" t="s">
        <v>295</v>
      </c>
    </row>
    <row r="162" spans="67:76" x14ac:dyDescent="0.3">
      <c r="BO162" t="s">
        <v>71</v>
      </c>
      <c r="BP162" t="s">
        <v>443</v>
      </c>
      <c r="BQ162">
        <v>75</v>
      </c>
      <c r="BR162">
        <v>7.476</v>
      </c>
      <c r="BS162">
        <v>46</v>
      </c>
      <c r="BT162">
        <v>0.9</v>
      </c>
      <c r="BU162">
        <v>2</v>
      </c>
      <c r="BV162">
        <v>0</v>
      </c>
      <c r="BW162">
        <v>7850</v>
      </c>
      <c r="BX162" t="s">
        <v>295</v>
      </c>
    </row>
    <row r="163" spans="67:76" x14ac:dyDescent="0.3">
      <c r="BO163" t="s">
        <v>71</v>
      </c>
      <c r="BP163" t="s">
        <v>444</v>
      </c>
      <c r="BQ163">
        <v>76</v>
      </c>
      <c r="BR163">
        <v>7.476</v>
      </c>
      <c r="BS163">
        <v>46</v>
      </c>
      <c r="BT163">
        <v>0.9</v>
      </c>
      <c r="BU163">
        <v>2</v>
      </c>
      <c r="BV163">
        <v>0</v>
      </c>
      <c r="BW163">
        <v>7850</v>
      </c>
      <c r="BX163" t="s">
        <v>295</v>
      </c>
    </row>
    <row r="164" spans="67:76" x14ac:dyDescent="0.3">
      <c r="BO164" t="s">
        <v>71</v>
      </c>
      <c r="BP164" t="s">
        <v>445</v>
      </c>
      <c r="BQ164">
        <v>76</v>
      </c>
      <c r="BR164">
        <v>7.476</v>
      </c>
      <c r="BS164">
        <v>46</v>
      </c>
      <c r="BT164">
        <v>0.9</v>
      </c>
      <c r="BU164">
        <v>2</v>
      </c>
      <c r="BV164">
        <v>0</v>
      </c>
      <c r="BW164">
        <v>7850</v>
      </c>
      <c r="BX164" t="s">
        <v>295</v>
      </c>
    </row>
    <row r="165" spans="67:76" x14ac:dyDescent="0.3">
      <c r="BO165" t="s">
        <v>71</v>
      </c>
      <c r="BP165" t="s">
        <v>446</v>
      </c>
      <c r="BQ165">
        <v>77</v>
      </c>
      <c r="BR165">
        <v>7.4740000000000002</v>
      </c>
      <c r="BS165">
        <v>46</v>
      </c>
      <c r="BT165">
        <v>0.9</v>
      </c>
      <c r="BU165">
        <v>2</v>
      </c>
      <c r="BV165">
        <v>0</v>
      </c>
      <c r="BW165">
        <v>7850</v>
      </c>
      <c r="BX165" t="s">
        <v>295</v>
      </c>
    </row>
    <row r="166" spans="67:76" x14ac:dyDescent="0.3">
      <c r="BO166" t="s">
        <v>71</v>
      </c>
      <c r="BP166" t="s">
        <v>447</v>
      </c>
      <c r="BQ166">
        <v>77</v>
      </c>
      <c r="BR166">
        <v>7.4740000000000002</v>
      </c>
      <c r="BS166">
        <v>44.1</v>
      </c>
      <c r="BT166">
        <v>0.9</v>
      </c>
      <c r="BU166">
        <v>2</v>
      </c>
      <c r="BV166">
        <v>0</v>
      </c>
      <c r="BW166">
        <v>7850</v>
      </c>
      <c r="BX166" t="s">
        <v>295</v>
      </c>
    </row>
    <row r="167" spans="67:76" x14ac:dyDescent="0.3">
      <c r="BO167" t="s">
        <v>71</v>
      </c>
      <c r="BP167" t="s">
        <v>448</v>
      </c>
      <c r="BQ167">
        <v>78</v>
      </c>
      <c r="BR167">
        <v>7.4740000000000002</v>
      </c>
      <c r="BS167">
        <v>44.1</v>
      </c>
      <c r="BT167">
        <v>0.9</v>
      </c>
      <c r="BU167">
        <v>2</v>
      </c>
      <c r="BV167">
        <v>0</v>
      </c>
      <c r="BW167">
        <v>7850</v>
      </c>
      <c r="BX167" t="s">
        <v>295</v>
      </c>
    </row>
    <row r="168" spans="67:76" x14ac:dyDescent="0.3">
      <c r="BO168" t="s">
        <v>71</v>
      </c>
      <c r="BP168" t="s">
        <v>449</v>
      </c>
      <c r="BQ168">
        <v>78</v>
      </c>
      <c r="BR168">
        <v>7.4740000000000002</v>
      </c>
      <c r="BS168">
        <v>44.1</v>
      </c>
      <c r="BT168">
        <v>0.9</v>
      </c>
      <c r="BU168">
        <v>2</v>
      </c>
      <c r="BV168">
        <v>0</v>
      </c>
      <c r="BW168">
        <v>7850</v>
      </c>
      <c r="BX168" t="s">
        <v>295</v>
      </c>
    </row>
    <row r="169" spans="67:76" x14ac:dyDescent="0.3">
      <c r="BO169" t="s">
        <v>71</v>
      </c>
      <c r="BP169" t="s">
        <v>450</v>
      </c>
      <c r="BQ169">
        <v>79</v>
      </c>
      <c r="BR169">
        <v>7.476</v>
      </c>
      <c r="BS169">
        <v>44.1</v>
      </c>
      <c r="BT169">
        <v>0.9</v>
      </c>
      <c r="BU169">
        <v>2</v>
      </c>
      <c r="BV169">
        <v>0</v>
      </c>
      <c r="BW169">
        <v>7850</v>
      </c>
      <c r="BX169" t="s">
        <v>295</v>
      </c>
    </row>
    <row r="170" spans="67:76" x14ac:dyDescent="0.3">
      <c r="BO170" t="s">
        <v>71</v>
      </c>
      <c r="BP170" t="s">
        <v>451</v>
      </c>
      <c r="BQ170">
        <v>79</v>
      </c>
      <c r="BR170">
        <v>7.476</v>
      </c>
      <c r="BS170">
        <v>45.6</v>
      </c>
      <c r="BT170">
        <v>0.9</v>
      </c>
      <c r="BU170">
        <v>2</v>
      </c>
      <c r="BV170">
        <v>0</v>
      </c>
      <c r="BW170">
        <v>7850</v>
      </c>
      <c r="BX170" t="s">
        <v>295</v>
      </c>
    </row>
    <row r="171" spans="67:76" x14ac:dyDescent="0.3">
      <c r="BO171" t="s">
        <v>71</v>
      </c>
      <c r="BP171" t="s">
        <v>452</v>
      </c>
      <c r="BQ171">
        <v>80</v>
      </c>
      <c r="BR171">
        <v>7.476</v>
      </c>
      <c r="BS171">
        <v>45.6</v>
      </c>
      <c r="BT171">
        <v>0.9</v>
      </c>
      <c r="BU171">
        <v>2</v>
      </c>
      <c r="BV171">
        <v>0</v>
      </c>
      <c r="BW171">
        <v>7850</v>
      </c>
      <c r="BX171" t="s">
        <v>295</v>
      </c>
    </row>
    <row r="172" spans="67:76" x14ac:dyDescent="0.3">
      <c r="BO172" t="s">
        <v>71</v>
      </c>
      <c r="BP172" t="s">
        <v>453</v>
      </c>
      <c r="BQ172">
        <v>80</v>
      </c>
      <c r="BR172">
        <v>7.476</v>
      </c>
      <c r="BS172">
        <v>45.6</v>
      </c>
      <c r="BT172">
        <v>0.9</v>
      </c>
      <c r="BU172">
        <v>2</v>
      </c>
      <c r="BV172">
        <v>0</v>
      </c>
      <c r="BW172">
        <v>7850</v>
      </c>
      <c r="BX172" t="s">
        <v>295</v>
      </c>
    </row>
    <row r="173" spans="67:76" x14ac:dyDescent="0.3">
      <c r="BO173" t="s">
        <v>71</v>
      </c>
      <c r="BP173" t="s">
        <v>454</v>
      </c>
      <c r="BQ173">
        <v>81</v>
      </c>
      <c r="BR173">
        <v>7.4770000000000003</v>
      </c>
      <c r="BS173">
        <v>45.6</v>
      </c>
      <c r="BT173">
        <v>0.9</v>
      </c>
      <c r="BU173">
        <v>2</v>
      </c>
      <c r="BV173">
        <v>0</v>
      </c>
      <c r="BW173">
        <v>7850</v>
      </c>
      <c r="BX173" t="s">
        <v>295</v>
      </c>
    </row>
    <row r="174" spans="67:76" x14ac:dyDescent="0.3">
      <c r="BO174" t="s">
        <v>71</v>
      </c>
      <c r="BP174" t="s">
        <v>455</v>
      </c>
      <c r="BQ174">
        <v>81</v>
      </c>
      <c r="BR174">
        <v>7.4770000000000003</v>
      </c>
      <c r="BS174">
        <v>47.1</v>
      </c>
      <c r="BT174">
        <v>0.9</v>
      </c>
      <c r="BU174">
        <v>2</v>
      </c>
      <c r="BV174">
        <v>0</v>
      </c>
      <c r="BW174">
        <v>7850</v>
      </c>
      <c r="BX174" t="s">
        <v>295</v>
      </c>
    </row>
    <row r="175" spans="67:76" x14ac:dyDescent="0.3">
      <c r="BO175" t="s">
        <v>71</v>
      </c>
      <c r="BP175" t="s">
        <v>456</v>
      </c>
      <c r="BQ175">
        <v>82</v>
      </c>
      <c r="BR175">
        <v>7.4770000000000003</v>
      </c>
      <c r="BS175">
        <v>47.1</v>
      </c>
      <c r="BT175">
        <v>0.9</v>
      </c>
      <c r="BU175">
        <v>2</v>
      </c>
      <c r="BV175">
        <v>0</v>
      </c>
      <c r="BW175">
        <v>7850</v>
      </c>
      <c r="BX175" t="s">
        <v>295</v>
      </c>
    </row>
    <row r="176" spans="67:76" x14ac:dyDescent="0.3">
      <c r="BO176" t="s">
        <v>71</v>
      </c>
      <c r="BP176" t="s">
        <v>457</v>
      </c>
      <c r="BQ176">
        <v>82</v>
      </c>
      <c r="BR176">
        <v>7.4770000000000003</v>
      </c>
      <c r="BS176">
        <v>47.1</v>
      </c>
      <c r="BT176">
        <v>0.9</v>
      </c>
      <c r="BU176">
        <v>2</v>
      </c>
      <c r="BV176">
        <v>0</v>
      </c>
      <c r="BW176">
        <v>7850</v>
      </c>
      <c r="BX176" t="s">
        <v>295</v>
      </c>
    </row>
    <row r="177" spans="67:76" x14ac:dyDescent="0.3">
      <c r="BO177" t="s">
        <v>71</v>
      </c>
      <c r="BP177" t="s">
        <v>458</v>
      </c>
      <c r="BQ177">
        <v>83</v>
      </c>
      <c r="BR177">
        <v>7.4790000000000001</v>
      </c>
      <c r="BS177">
        <v>47.1</v>
      </c>
      <c r="BT177">
        <v>0.9</v>
      </c>
      <c r="BU177">
        <v>2</v>
      </c>
      <c r="BV177">
        <v>0</v>
      </c>
      <c r="BW177">
        <v>7850</v>
      </c>
      <c r="BX177" t="s">
        <v>295</v>
      </c>
    </row>
    <row r="178" spans="67:76" x14ac:dyDescent="0.3">
      <c r="BO178" t="s">
        <v>71</v>
      </c>
      <c r="BP178" t="s">
        <v>459</v>
      </c>
      <c r="BQ178">
        <v>83</v>
      </c>
      <c r="BR178">
        <v>7.4790000000000001</v>
      </c>
      <c r="BS178">
        <v>49</v>
      </c>
      <c r="BT178">
        <v>0.9</v>
      </c>
      <c r="BU178">
        <v>2</v>
      </c>
      <c r="BV178">
        <v>0</v>
      </c>
      <c r="BW178">
        <v>7850</v>
      </c>
      <c r="BX178" t="s">
        <v>295</v>
      </c>
    </row>
    <row r="179" spans="67:76" x14ac:dyDescent="0.3">
      <c r="BO179" t="s">
        <v>71</v>
      </c>
      <c r="BP179" t="s">
        <v>460</v>
      </c>
      <c r="BQ179">
        <v>84</v>
      </c>
      <c r="BR179">
        <v>7.4790000000000001</v>
      </c>
      <c r="BS179">
        <v>49</v>
      </c>
      <c r="BT179">
        <v>0.9</v>
      </c>
      <c r="BU179">
        <v>2</v>
      </c>
      <c r="BV179">
        <v>0</v>
      </c>
      <c r="BW179">
        <v>7850</v>
      </c>
      <c r="BX179" t="s">
        <v>295</v>
      </c>
    </row>
    <row r="180" spans="67:76" x14ac:dyDescent="0.3">
      <c r="BO180" t="s">
        <v>71</v>
      </c>
      <c r="BP180" t="s">
        <v>461</v>
      </c>
      <c r="BQ180">
        <v>84</v>
      </c>
      <c r="BR180">
        <v>7.4790000000000001</v>
      </c>
      <c r="BS180">
        <v>49</v>
      </c>
      <c r="BT180">
        <v>0.9</v>
      </c>
      <c r="BU180">
        <v>2</v>
      </c>
      <c r="BV180">
        <v>0</v>
      </c>
      <c r="BW180">
        <v>7850</v>
      </c>
      <c r="BX180" t="s">
        <v>295</v>
      </c>
    </row>
    <row r="181" spans="67:76" x14ac:dyDescent="0.3">
      <c r="BO181" t="s">
        <v>71</v>
      </c>
      <c r="BP181" t="s">
        <v>462</v>
      </c>
      <c r="BQ181">
        <v>85</v>
      </c>
      <c r="BR181">
        <v>7.5</v>
      </c>
      <c r="BS181">
        <v>49</v>
      </c>
      <c r="BT181">
        <v>0.9</v>
      </c>
      <c r="BU181">
        <v>2</v>
      </c>
      <c r="BV181">
        <v>0</v>
      </c>
      <c r="BW181">
        <v>7850</v>
      </c>
      <c r="BX181" t="s">
        <v>295</v>
      </c>
    </row>
    <row r="182" spans="67:76" x14ac:dyDescent="0.3">
      <c r="BO182" t="s">
        <v>71</v>
      </c>
      <c r="BP182" t="s">
        <v>463</v>
      </c>
      <c r="BQ182">
        <v>85</v>
      </c>
      <c r="BR182">
        <v>7.5</v>
      </c>
      <c r="BS182">
        <v>70</v>
      </c>
      <c r="BT182">
        <v>0.9</v>
      </c>
      <c r="BU182">
        <v>2</v>
      </c>
      <c r="BV182">
        <v>0</v>
      </c>
      <c r="BW182">
        <v>7850</v>
      </c>
      <c r="BX182" t="s">
        <v>295</v>
      </c>
    </row>
    <row r="183" spans="67:76" x14ac:dyDescent="0.3">
      <c r="BO183" t="s">
        <v>71</v>
      </c>
      <c r="BP183" t="s">
        <v>464</v>
      </c>
      <c r="BQ183">
        <v>86</v>
      </c>
      <c r="BR183">
        <v>7.5</v>
      </c>
      <c r="BS183">
        <v>70</v>
      </c>
      <c r="BT183">
        <v>0.9</v>
      </c>
      <c r="BU183">
        <v>2</v>
      </c>
      <c r="BV183">
        <v>0</v>
      </c>
      <c r="BW183">
        <v>7850</v>
      </c>
      <c r="BX183" t="s">
        <v>295</v>
      </c>
    </row>
    <row r="184" spans="67:76" x14ac:dyDescent="0.3">
      <c r="BO184" t="s">
        <v>71</v>
      </c>
      <c r="BP184" t="s">
        <v>465</v>
      </c>
      <c r="BQ184">
        <v>86</v>
      </c>
      <c r="BR184">
        <v>7.5</v>
      </c>
      <c r="BS184">
        <v>70</v>
      </c>
      <c r="BT184">
        <v>0.9</v>
      </c>
      <c r="BU184">
        <v>2</v>
      </c>
      <c r="BV184">
        <v>0</v>
      </c>
      <c r="BW184">
        <v>7850</v>
      </c>
      <c r="BX184" t="s">
        <v>295</v>
      </c>
    </row>
    <row r="185" spans="67:76" x14ac:dyDescent="0.3">
      <c r="BO185" t="s">
        <v>71</v>
      </c>
      <c r="BP185" t="s">
        <v>466</v>
      </c>
      <c r="BQ185">
        <v>87</v>
      </c>
      <c r="BR185">
        <v>7.5</v>
      </c>
      <c r="BS185">
        <v>70</v>
      </c>
      <c r="BT185">
        <v>0.9</v>
      </c>
      <c r="BU185">
        <v>2</v>
      </c>
      <c r="BV185">
        <v>0</v>
      </c>
      <c r="BW185">
        <v>7850</v>
      </c>
      <c r="BX185" t="s">
        <v>295</v>
      </c>
    </row>
    <row r="186" spans="67:76" x14ac:dyDescent="0.3">
      <c r="BO186" t="s">
        <v>71</v>
      </c>
      <c r="BP186" t="s">
        <v>467</v>
      </c>
      <c r="BQ186">
        <v>87</v>
      </c>
      <c r="BR186">
        <v>7.5</v>
      </c>
      <c r="BS186">
        <v>70</v>
      </c>
      <c r="BT186">
        <v>0.9</v>
      </c>
      <c r="BU186">
        <v>2</v>
      </c>
      <c r="BV186">
        <v>0</v>
      </c>
      <c r="BW186">
        <v>7850</v>
      </c>
      <c r="BX186" t="s">
        <v>295</v>
      </c>
    </row>
    <row r="187" spans="67:76" x14ac:dyDescent="0.3">
      <c r="BO187" t="s">
        <v>71</v>
      </c>
      <c r="BP187" t="s">
        <v>468</v>
      </c>
      <c r="BQ187">
        <v>88</v>
      </c>
      <c r="BR187">
        <v>7.5</v>
      </c>
      <c r="BS187">
        <v>70</v>
      </c>
      <c r="BT187">
        <v>0.9</v>
      </c>
      <c r="BU187">
        <v>2</v>
      </c>
      <c r="BV187">
        <v>0</v>
      </c>
      <c r="BW187">
        <v>7850</v>
      </c>
      <c r="BX187" t="s">
        <v>295</v>
      </c>
    </row>
    <row r="188" spans="67:76" x14ac:dyDescent="0.3">
      <c r="BO188" t="s">
        <v>71</v>
      </c>
      <c r="BP188" t="s">
        <v>469</v>
      </c>
      <c r="BQ188">
        <v>88</v>
      </c>
      <c r="BR188">
        <v>7.5</v>
      </c>
      <c r="BS188">
        <v>70</v>
      </c>
      <c r="BT188">
        <v>0.9</v>
      </c>
      <c r="BU188">
        <v>2</v>
      </c>
      <c r="BV188">
        <v>0</v>
      </c>
      <c r="BW188">
        <v>7850</v>
      </c>
      <c r="BX188" t="s">
        <v>295</v>
      </c>
    </row>
    <row r="189" spans="67:76" x14ac:dyDescent="0.3">
      <c r="BO189" t="s">
        <v>71</v>
      </c>
      <c r="BP189" t="s">
        <v>470</v>
      </c>
      <c r="BQ189">
        <v>89</v>
      </c>
      <c r="BR189">
        <v>7.5</v>
      </c>
      <c r="BS189">
        <v>70</v>
      </c>
      <c r="BT189">
        <v>0.9</v>
      </c>
      <c r="BU189">
        <v>2</v>
      </c>
      <c r="BV189">
        <v>0</v>
      </c>
      <c r="BW189">
        <v>7850</v>
      </c>
      <c r="BX189" t="s">
        <v>295</v>
      </c>
    </row>
    <row r="190" spans="67:76" x14ac:dyDescent="0.3">
      <c r="BO190" t="s">
        <v>71</v>
      </c>
      <c r="BP190" t="s">
        <v>471</v>
      </c>
      <c r="BQ190">
        <v>89</v>
      </c>
      <c r="BR190">
        <v>7.5</v>
      </c>
      <c r="BS190">
        <v>70</v>
      </c>
      <c r="BT190">
        <v>0.9</v>
      </c>
      <c r="BU190">
        <v>2</v>
      </c>
      <c r="BV190">
        <v>0</v>
      </c>
      <c r="BW190">
        <v>7850</v>
      </c>
      <c r="BX190" t="s">
        <v>295</v>
      </c>
    </row>
    <row r="191" spans="67:76" x14ac:dyDescent="0.3">
      <c r="BO191" t="s">
        <v>71</v>
      </c>
      <c r="BP191" t="s">
        <v>472</v>
      </c>
      <c r="BQ191">
        <v>90</v>
      </c>
      <c r="BR191">
        <v>7.5</v>
      </c>
      <c r="BS191">
        <v>70</v>
      </c>
      <c r="BT191">
        <v>0.9</v>
      </c>
      <c r="BU191">
        <v>2</v>
      </c>
      <c r="BV191">
        <v>0</v>
      </c>
      <c r="BW191">
        <v>7850</v>
      </c>
      <c r="BX191" t="s">
        <v>295</v>
      </c>
    </row>
    <row r="192" spans="67:76" x14ac:dyDescent="0.3">
      <c r="BO192" t="s">
        <v>71</v>
      </c>
      <c r="BP192" t="s">
        <v>473</v>
      </c>
      <c r="BQ192">
        <v>90</v>
      </c>
      <c r="BR192">
        <v>7.5</v>
      </c>
      <c r="BS192">
        <v>70</v>
      </c>
      <c r="BT192">
        <v>0.9</v>
      </c>
      <c r="BU192">
        <v>2</v>
      </c>
      <c r="BV192">
        <v>0</v>
      </c>
      <c r="BW192">
        <v>7850</v>
      </c>
      <c r="BX192" t="s">
        <v>295</v>
      </c>
    </row>
    <row r="193" spans="67:76" x14ac:dyDescent="0.3">
      <c r="BO193" t="s">
        <v>71</v>
      </c>
      <c r="BP193" t="s">
        <v>474</v>
      </c>
      <c r="BQ193">
        <v>91</v>
      </c>
      <c r="BR193">
        <v>7.5</v>
      </c>
      <c r="BS193">
        <v>70</v>
      </c>
      <c r="BT193">
        <v>0.9</v>
      </c>
      <c r="BU193">
        <v>2</v>
      </c>
      <c r="BV193">
        <v>0</v>
      </c>
      <c r="BW193">
        <v>7850</v>
      </c>
      <c r="BX193" t="s">
        <v>295</v>
      </c>
    </row>
    <row r="194" spans="67:76" x14ac:dyDescent="0.3">
      <c r="BO194" t="s">
        <v>83</v>
      </c>
      <c r="BP194" t="s">
        <v>475</v>
      </c>
      <c r="BQ194">
        <v>91</v>
      </c>
      <c r="BR194">
        <v>7.5</v>
      </c>
      <c r="BS194">
        <v>86</v>
      </c>
      <c r="BT194">
        <v>0.9</v>
      </c>
      <c r="BU194">
        <v>2</v>
      </c>
      <c r="BV194">
        <v>0</v>
      </c>
      <c r="BW194">
        <v>7850</v>
      </c>
      <c r="BX194" t="s">
        <v>295</v>
      </c>
    </row>
    <row r="195" spans="67:76" x14ac:dyDescent="0.3">
      <c r="BO195" t="s">
        <v>83</v>
      </c>
      <c r="BP195" t="s">
        <v>476</v>
      </c>
      <c r="BQ195">
        <v>92</v>
      </c>
      <c r="BR195">
        <v>7.5</v>
      </c>
      <c r="BS195">
        <v>86</v>
      </c>
      <c r="BT195">
        <v>0.9</v>
      </c>
      <c r="BU195">
        <v>2</v>
      </c>
      <c r="BV195">
        <v>0</v>
      </c>
      <c r="BW195">
        <v>7850</v>
      </c>
      <c r="BX195" t="s">
        <v>295</v>
      </c>
    </row>
    <row r="196" spans="67:76" x14ac:dyDescent="0.3">
      <c r="BO196" t="s">
        <v>83</v>
      </c>
      <c r="BP196" t="s">
        <v>477</v>
      </c>
      <c r="BQ196">
        <v>92</v>
      </c>
      <c r="BR196">
        <v>7.5</v>
      </c>
      <c r="BS196">
        <v>86</v>
      </c>
      <c r="BT196">
        <v>0.9</v>
      </c>
      <c r="BU196">
        <v>2</v>
      </c>
      <c r="BV196">
        <v>0</v>
      </c>
      <c r="BW196">
        <v>7850</v>
      </c>
      <c r="BX196" t="s">
        <v>295</v>
      </c>
    </row>
    <row r="197" spans="67:76" x14ac:dyDescent="0.3">
      <c r="BO197" t="s">
        <v>83</v>
      </c>
      <c r="BP197" t="s">
        <v>478</v>
      </c>
      <c r="BQ197">
        <v>93</v>
      </c>
      <c r="BR197">
        <v>7.5</v>
      </c>
      <c r="BS197">
        <v>86</v>
      </c>
      <c r="BT197">
        <v>0.9</v>
      </c>
      <c r="BU197">
        <v>2</v>
      </c>
      <c r="BV197">
        <v>0</v>
      </c>
      <c r="BW197">
        <v>7850</v>
      </c>
      <c r="BX197" t="s">
        <v>295</v>
      </c>
    </row>
    <row r="198" spans="67:76" x14ac:dyDescent="0.3">
      <c r="BO198" t="s">
        <v>83</v>
      </c>
      <c r="BP198" t="s">
        <v>479</v>
      </c>
      <c r="BQ198">
        <v>93</v>
      </c>
      <c r="BR198">
        <v>7.5</v>
      </c>
      <c r="BS198">
        <v>86</v>
      </c>
      <c r="BT198">
        <v>0.9</v>
      </c>
      <c r="BU198">
        <v>2</v>
      </c>
      <c r="BV198">
        <v>0</v>
      </c>
      <c r="BW198">
        <v>7850</v>
      </c>
      <c r="BX198" t="s">
        <v>295</v>
      </c>
    </row>
    <row r="199" spans="67:76" x14ac:dyDescent="0.3">
      <c r="BO199" t="s">
        <v>83</v>
      </c>
      <c r="BP199" t="s">
        <v>480</v>
      </c>
      <c r="BQ199">
        <v>94</v>
      </c>
      <c r="BR199">
        <v>7.5</v>
      </c>
      <c r="BS199">
        <v>86</v>
      </c>
      <c r="BT199">
        <v>0.9</v>
      </c>
      <c r="BU199">
        <v>2</v>
      </c>
      <c r="BV199">
        <v>0</v>
      </c>
      <c r="BW199">
        <v>7850</v>
      </c>
      <c r="BX199" t="s">
        <v>295</v>
      </c>
    </row>
    <row r="200" spans="67:76" x14ac:dyDescent="0.3">
      <c r="BO200" t="s">
        <v>83</v>
      </c>
      <c r="BP200" t="s">
        <v>481</v>
      </c>
      <c r="BQ200">
        <v>94</v>
      </c>
      <c r="BR200">
        <v>7.5</v>
      </c>
      <c r="BS200">
        <v>86</v>
      </c>
      <c r="BT200">
        <v>0.9</v>
      </c>
      <c r="BU200">
        <v>2</v>
      </c>
      <c r="BV200">
        <v>0</v>
      </c>
      <c r="BW200">
        <v>7850</v>
      </c>
      <c r="BX200" t="s">
        <v>295</v>
      </c>
    </row>
    <row r="201" spans="67:76" x14ac:dyDescent="0.3">
      <c r="BO201" t="s">
        <v>83</v>
      </c>
      <c r="BP201" t="s">
        <v>482</v>
      </c>
      <c r="BQ201">
        <v>95</v>
      </c>
      <c r="BR201">
        <v>7.5</v>
      </c>
      <c r="BS201">
        <v>86</v>
      </c>
      <c r="BT201">
        <v>0.9</v>
      </c>
      <c r="BU201">
        <v>2</v>
      </c>
      <c r="BV201">
        <v>0</v>
      </c>
      <c r="BW201">
        <v>7850</v>
      </c>
      <c r="BX201" t="s">
        <v>295</v>
      </c>
    </row>
    <row r="202" spans="67:76" x14ac:dyDescent="0.3">
      <c r="BO202" t="s">
        <v>83</v>
      </c>
      <c r="BP202" t="s">
        <v>483</v>
      </c>
      <c r="BQ202">
        <v>95</v>
      </c>
      <c r="BR202">
        <v>7.5</v>
      </c>
      <c r="BS202">
        <v>86</v>
      </c>
      <c r="BT202">
        <v>0.9</v>
      </c>
      <c r="BU202">
        <v>2</v>
      </c>
      <c r="BV202">
        <v>0</v>
      </c>
      <c r="BW202">
        <v>7850</v>
      </c>
      <c r="BX202" t="s">
        <v>295</v>
      </c>
    </row>
    <row r="203" spans="67:76" x14ac:dyDescent="0.3">
      <c r="BO203" t="s">
        <v>83</v>
      </c>
      <c r="BP203" t="s">
        <v>484</v>
      </c>
      <c r="BQ203">
        <v>96</v>
      </c>
      <c r="BR203">
        <v>7.5</v>
      </c>
      <c r="BS203">
        <v>86</v>
      </c>
      <c r="BT203">
        <v>0.9</v>
      </c>
      <c r="BU203">
        <v>2</v>
      </c>
      <c r="BV203">
        <v>0</v>
      </c>
      <c r="BW203">
        <v>7850</v>
      </c>
      <c r="BX203" t="s">
        <v>295</v>
      </c>
    </row>
    <row r="204" spans="67:76" x14ac:dyDescent="0.3">
      <c r="BO204" t="s">
        <v>83</v>
      </c>
      <c r="BP204" t="s">
        <v>485</v>
      </c>
      <c r="BQ204">
        <v>96</v>
      </c>
      <c r="BR204">
        <v>7.5</v>
      </c>
      <c r="BS204">
        <v>93</v>
      </c>
      <c r="BT204">
        <v>0.9</v>
      </c>
      <c r="BU204">
        <v>2</v>
      </c>
      <c r="BV204">
        <v>0</v>
      </c>
      <c r="BW204">
        <v>7850</v>
      </c>
      <c r="BX204" t="s">
        <v>295</v>
      </c>
    </row>
    <row r="205" spans="67:76" x14ac:dyDescent="0.3">
      <c r="BO205" t="s">
        <v>83</v>
      </c>
      <c r="BP205" t="s">
        <v>486</v>
      </c>
      <c r="BQ205">
        <v>97</v>
      </c>
      <c r="BR205">
        <v>7.5</v>
      </c>
      <c r="BS205">
        <v>93</v>
      </c>
      <c r="BT205">
        <v>0.9</v>
      </c>
      <c r="BU205">
        <v>2</v>
      </c>
      <c r="BV205">
        <v>0</v>
      </c>
      <c r="BW205">
        <v>7850</v>
      </c>
      <c r="BX205" t="s">
        <v>295</v>
      </c>
    </row>
    <row r="206" spans="67:76" x14ac:dyDescent="0.3">
      <c r="BO206" t="s">
        <v>83</v>
      </c>
      <c r="BP206" t="s">
        <v>487</v>
      </c>
      <c r="BQ206">
        <v>97</v>
      </c>
      <c r="BR206">
        <v>7.5</v>
      </c>
      <c r="BS206">
        <v>93</v>
      </c>
      <c r="BT206">
        <v>0.9</v>
      </c>
      <c r="BU206">
        <v>2</v>
      </c>
      <c r="BV206">
        <v>0</v>
      </c>
      <c r="BW206">
        <v>7850</v>
      </c>
      <c r="BX206" t="s">
        <v>295</v>
      </c>
    </row>
    <row r="207" spans="67:76" x14ac:dyDescent="0.3">
      <c r="BO207" t="s">
        <v>83</v>
      </c>
      <c r="BP207" t="s">
        <v>488</v>
      </c>
      <c r="BQ207">
        <v>98</v>
      </c>
      <c r="BR207">
        <v>7.5</v>
      </c>
      <c r="BS207">
        <v>93</v>
      </c>
      <c r="BT207">
        <v>0.9</v>
      </c>
      <c r="BU207">
        <v>2</v>
      </c>
      <c r="BV207">
        <v>0</v>
      </c>
      <c r="BW207">
        <v>7850</v>
      </c>
      <c r="BX207" t="s">
        <v>295</v>
      </c>
    </row>
    <row r="208" spans="67:76" x14ac:dyDescent="0.3">
      <c r="BO208" t="s">
        <v>83</v>
      </c>
      <c r="BP208" t="s">
        <v>489</v>
      </c>
      <c r="BQ208">
        <v>98</v>
      </c>
      <c r="BR208">
        <v>7.5</v>
      </c>
      <c r="BS208">
        <v>100</v>
      </c>
      <c r="BT208">
        <v>0.9</v>
      </c>
      <c r="BU208">
        <v>2</v>
      </c>
      <c r="BV208">
        <v>0</v>
      </c>
      <c r="BW208">
        <v>7850</v>
      </c>
      <c r="BX208" t="s">
        <v>295</v>
      </c>
    </row>
    <row r="209" spans="67:76" x14ac:dyDescent="0.3">
      <c r="BO209" t="s">
        <v>83</v>
      </c>
      <c r="BP209" t="s">
        <v>490</v>
      </c>
      <c r="BQ209">
        <v>99</v>
      </c>
      <c r="BR209">
        <v>7.5</v>
      </c>
      <c r="BS209">
        <v>100</v>
      </c>
      <c r="BT209">
        <v>0.9</v>
      </c>
      <c r="BU209">
        <v>2</v>
      </c>
      <c r="BV209">
        <v>0</v>
      </c>
      <c r="BW209">
        <v>7850</v>
      </c>
      <c r="BX209" t="s">
        <v>295</v>
      </c>
    </row>
    <row r="210" spans="67:76" x14ac:dyDescent="0.3">
      <c r="BO210" t="s">
        <v>83</v>
      </c>
      <c r="BP210" t="s">
        <v>491</v>
      </c>
      <c r="BQ210">
        <v>99</v>
      </c>
      <c r="BR210">
        <v>7.5</v>
      </c>
      <c r="BS210">
        <v>100</v>
      </c>
      <c r="BT210">
        <v>0.9</v>
      </c>
      <c r="BU210">
        <v>2</v>
      </c>
      <c r="BV210">
        <v>0</v>
      </c>
      <c r="BW210">
        <v>7850</v>
      </c>
      <c r="BX210" t="s">
        <v>295</v>
      </c>
    </row>
    <row r="211" spans="67:76" x14ac:dyDescent="0.3">
      <c r="BO211" t="s">
        <v>83</v>
      </c>
      <c r="BP211" t="s">
        <v>492</v>
      </c>
      <c r="BQ211">
        <v>100</v>
      </c>
      <c r="BR211">
        <v>7.5</v>
      </c>
      <c r="BS211">
        <v>100</v>
      </c>
      <c r="BT211">
        <v>0.9</v>
      </c>
      <c r="BU211">
        <v>2</v>
      </c>
      <c r="BV211">
        <v>0</v>
      </c>
      <c r="BW211">
        <v>7850</v>
      </c>
      <c r="BX211" t="s">
        <v>295</v>
      </c>
    </row>
    <row r="212" spans="67:76" x14ac:dyDescent="0.3">
      <c r="BO212" t="s">
        <v>69</v>
      </c>
      <c r="BP212" t="s">
        <v>493</v>
      </c>
      <c r="BQ212">
        <v>100</v>
      </c>
      <c r="BR212">
        <v>7.5</v>
      </c>
      <c r="BS212">
        <v>108</v>
      </c>
      <c r="BT212">
        <v>0.9</v>
      </c>
      <c r="BU212">
        <v>2</v>
      </c>
      <c r="BV212">
        <v>0</v>
      </c>
      <c r="BW212">
        <v>7850</v>
      </c>
      <c r="BX212" t="s">
        <v>295</v>
      </c>
    </row>
    <row r="213" spans="67:76" x14ac:dyDescent="0.3">
      <c r="BO213" t="s">
        <v>69</v>
      </c>
      <c r="BP213" t="s">
        <v>494</v>
      </c>
      <c r="BQ213">
        <v>101</v>
      </c>
      <c r="BR213">
        <v>7.5</v>
      </c>
      <c r="BS213">
        <v>108</v>
      </c>
      <c r="BT213">
        <v>0.9</v>
      </c>
      <c r="BU213">
        <v>2</v>
      </c>
      <c r="BV213">
        <v>0</v>
      </c>
      <c r="BW213">
        <v>7850</v>
      </c>
      <c r="BX213" t="s">
        <v>295</v>
      </c>
    </row>
    <row r="214" spans="67:76" x14ac:dyDescent="0.3">
      <c r="BO214" t="s">
        <v>69</v>
      </c>
      <c r="BP214" t="s">
        <v>495</v>
      </c>
      <c r="BQ214">
        <v>101</v>
      </c>
      <c r="BR214">
        <v>7.5</v>
      </c>
      <c r="BS214">
        <v>108</v>
      </c>
      <c r="BT214">
        <v>0.9</v>
      </c>
      <c r="BU214">
        <v>2</v>
      </c>
      <c r="BV214">
        <v>0</v>
      </c>
      <c r="BW214">
        <v>7850</v>
      </c>
      <c r="BX214" t="s">
        <v>295</v>
      </c>
    </row>
    <row r="215" spans="67:76" x14ac:dyDescent="0.3">
      <c r="BO215" t="s">
        <v>69</v>
      </c>
      <c r="BP215" t="s">
        <v>496</v>
      </c>
      <c r="BQ215">
        <v>102</v>
      </c>
      <c r="BR215">
        <v>7.5</v>
      </c>
      <c r="BS215">
        <v>108</v>
      </c>
      <c r="BT215">
        <v>0.9</v>
      </c>
      <c r="BU215">
        <v>2</v>
      </c>
      <c r="BV215">
        <v>150</v>
      </c>
      <c r="BW215">
        <v>7850</v>
      </c>
      <c r="BX215" t="s">
        <v>295</v>
      </c>
    </row>
    <row r="216" spans="67:76" x14ac:dyDescent="0.3">
      <c r="BO216" t="s">
        <v>69</v>
      </c>
      <c r="BP216" t="s">
        <v>497</v>
      </c>
      <c r="BQ216">
        <v>102</v>
      </c>
      <c r="BR216">
        <v>7.5</v>
      </c>
      <c r="BS216">
        <v>108</v>
      </c>
      <c r="BT216">
        <v>0.9</v>
      </c>
      <c r="BU216">
        <v>2</v>
      </c>
      <c r="BV216">
        <v>150</v>
      </c>
      <c r="BW216">
        <v>7850</v>
      </c>
      <c r="BX216" t="s">
        <v>295</v>
      </c>
    </row>
    <row r="217" spans="67:76" x14ac:dyDescent="0.3">
      <c r="BO217" t="s">
        <v>69</v>
      </c>
      <c r="BP217" t="s">
        <v>498</v>
      </c>
      <c r="BQ217">
        <v>103</v>
      </c>
      <c r="BR217">
        <v>7.5</v>
      </c>
      <c r="BS217">
        <v>108</v>
      </c>
      <c r="BT217">
        <v>0.9</v>
      </c>
      <c r="BU217">
        <v>2</v>
      </c>
      <c r="BV217">
        <v>150</v>
      </c>
      <c r="BW217">
        <v>7850</v>
      </c>
      <c r="BX217" t="s">
        <v>295</v>
      </c>
    </row>
    <row r="218" spans="67:76" x14ac:dyDescent="0.3">
      <c r="BO218" t="s">
        <v>69</v>
      </c>
      <c r="BP218" t="s">
        <v>499</v>
      </c>
      <c r="BQ218">
        <v>103</v>
      </c>
      <c r="BR218">
        <v>7.5</v>
      </c>
      <c r="BS218">
        <v>100</v>
      </c>
      <c r="BT218">
        <v>0.9</v>
      </c>
      <c r="BU218">
        <v>2</v>
      </c>
      <c r="BV218">
        <v>150</v>
      </c>
      <c r="BW218">
        <v>7850</v>
      </c>
      <c r="BX218" t="s">
        <v>295</v>
      </c>
    </row>
    <row r="219" spans="67:76" x14ac:dyDescent="0.3">
      <c r="BO219" t="s">
        <v>69</v>
      </c>
      <c r="BP219" t="s">
        <v>500</v>
      </c>
      <c r="BQ219">
        <v>104</v>
      </c>
      <c r="BR219">
        <v>7.5</v>
      </c>
      <c r="BS219">
        <v>100</v>
      </c>
      <c r="BT219">
        <v>0.9</v>
      </c>
      <c r="BU219">
        <v>2</v>
      </c>
      <c r="BV219">
        <v>150</v>
      </c>
      <c r="BW219">
        <v>7850</v>
      </c>
      <c r="BX219" t="s">
        <v>295</v>
      </c>
    </row>
    <row r="220" spans="67:76" x14ac:dyDescent="0.3">
      <c r="BO220" t="s">
        <v>69</v>
      </c>
      <c r="BP220" t="s">
        <v>501</v>
      </c>
      <c r="BQ220">
        <v>104</v>
      </c>
      <c r="BR220">
        <v>7.5</v>
      </c>
      <c r="BS220">
        <v>98</v>
      </c>
      <c r="BT220">
        <v>0.9</v>
      </c>
      <c r="BU220">
        <v>2</v>
      </c>
      <c r="BV220">
        <v>150</v>
      </c>
      <c r="BW220">
        <v>7850</v>
      </c>
      <c r="BX220" t="s">
        <v>295</v>
      </c>
    </row>
    <row r="221" spans="67:76" x14ac:dyDescent="0.3">
      <c r="BO221" t="s">
        <v>69</v>
      </c>
      <c r="BP221" t="s">
        <v>502</v>
      </c>
      <c r="BQ221">
        <v>105</v>
      </c>
      <c r="BR221">
        <v>7.5</v>
      </c>
      <c r="BS221">
        <v>98</v>
      </c>
      <c r="BT221">
        <v>0.9</v>
      </c>
      <c r="BU221">
        <v>2</v>
      </c>
      <c r="BV221">
        <v>150</v>
      </c>
      <c r="BW221">
        <v>7850</v>
      </c>
      <c r="BX221" t="s">
        <v>295</v>
      </c>
    </row>
    <row r="222" spans="67:76" x14ac:dyDescent="0.3">
      <c r="BO222" t="s">
        <v>69</v>
      </c>
      <c r="BP222" t="s">
        <v>503</v>
      </c>
      <c r="BQ222">
        <v>105</v>
      </c>
      <c r="BR222">
        <v>7.5</v>
      </c>
      <c r="BS222">
        <v>98</v>
      </c>
      <c r="BT222">
        <v>0.9</v>
      </c>
      <c r="BU222">
        <v>2</v>
      </c>
      <c r="BV222">
        <v>150</v>
      </c>
      <c r="BW222">
        <v>7850</v>
      </c>
      <c r="BX222" t="s">
        <v>295</v>
      </c>
    </row>
    <row r="223" spans="67:76" x14ac:dyDescent="0.3">
      <c r="BO223" t="s">
        <v>69</v>
      </c>
      <c r="BP223" t="s">
        <v>504</v>
      </c>
      <c r="BQ223">
        <v>106</v>
      </c>
      <c r="BR223">
        <v>7.8282999999999996</v>
      </c>
      <c r="BS223">
        <v>98</v>
      </c>
      <c r="BT223">
        <v>0.9</v>
      </c>
      <c r="BU223">
        <v>2</v>
      </c>
      <c r="BV223">
        <v>100</v>
      </c>
      <c r="BW223">
        <v>7850</v>
      </c>
      <c r="BX223" t="s">
        <v>295</v>
      </c>
    </row>
    <row r="224" spans="67:76" x14ac:dyDescent="0.3">
      <c r="BO224" t="s">
        <v>69</v>
      </c>
      <c r="BP224" t="s">
        <v>505</v>
      </c>
      <c r="BQ224">
        <v>106</v>
      </c>
      <c r="BR224">
        <v>7.8282999999999996</v>
      </c>
      <c r="BS224">
        <v>104</v>
      </c>
      <c r="BT224">
        <v>0.9</v>
      </c>
      <c r="BU224">
        <v>2</v>
      </c>
      <c r="BV224">
        <v>100</v>
      </c>
      <c r="BW224">
        <v>7850</v>
      </c>
      <c r="BX224" t="s">
        <v>295</v>
      </c>
    </row>
    <row r="225" spans="67:76" x14ac:dyDescent="0.3">
      <c r="BO225" t="s">
        <v>69</v>
      </c>
      <c r="BP225" t="s">
        <v>506</v>
      </c>
      <c r="BQ225">
        <v>107</v>
      </c>
      <c r="BR225">
        <v>8.1565999999999992</v>
      </c>
      <c r="BS225">
        <v>104</v>
      </c>
      <c r="BT225">
        <v>0.9</v>
      </c>
      <c r="BU225">
        <v>2</v>
      </c>
      <c r="BV225">
        <v>100</v>
      </c>
      <c r="BW225">
        <v>7850</v>
      </c>
      <c r="BX225" t="s">
        <v>295</v>
      </c>
    </row>
    <row r="226" spans="67:76" x14ac:dyDescent="0.3">
      <c r="BO226" t="s">
        <v>69</v>
      </c>
      <c r="BP226" t="s">
        <v>507</v>
      </c>
      <c r="BQ226">
        <v>107</v>
      </c>
      <c r="BR226">
        <v>8.1565999999999992</v>
      </c>
      <c r="BS226">
        <v>98</v>
      </c>
      <c r="BT226">
        <v>0.9</v>
      </c>
      <c r="BU226">
        <v>2</v>
      </c>
      <c r="BV226">
        <v>100</v>
      </c>
      <c r="BW226">
        <v>7850</v>
      </c>
      <c r="BX226" t="s">
        <v>295</v>
      </c>
    </row>
    <row r="227" spans="67:76" x14ac:dyDescent="0.3">
      <c r="BO227" t="s">
        <v>69</v>
      </c>
      <c r="BP227" t="s">
        <v>508</v>
      </c>
      <c r="BQ227">
        <v>108</v>
      </c>
      <c r="BR227">
        <v>8.4847999999999999</v>
      </c>
      <c r="BS227">
        <v>98</v>
      </c>
      <c r="BT227">
        <v>0.9</v>
      </c>
      <c r="BU227">
        <v>2</v>
      </c>
      <c r="BV227">
        <v>100</v>
      </c>
      <c r="BW227">
        <v>7850</v>
      </c>
      <c r="BX227" t="s">
        <v>295</v>
      </c>
    </row>
    <row r="228" spans="67:76" x14ac:dyDescent="0.3">
      <c r="BO228" t="s">
        <v>69</v>
      </c>
      <c r="BP228" t="s">
        <v>509</v>
      </c>
      <c r="BQ228">
        <v>108</v>
      </c>
      <c r="BR228">
        <v>8.4847999999999999</v>
      </c>
      <c r="BS228">
        <v>94</v>
      </c>
      <c r="BT228">
        <v>0.9</v>
      </c>
      <c r="BU228">
        <v>2</v>
      </c>
      <c r="BV228">
        <v>100</v>
      </c>
      <c r="BW228">
        <v>7850</v>
      </c>
      <c r="BX228" t="s">
        <v>295</v>
      </c>
    </row>
    <row r="229" spans="67:76" x14ac:dyDescent="0.3">
      <c r="BO229" t="s">
        <v>69</v>
      </c>
      <c r="BP229" t="s">
        <v>510</v>
      </c>
      <c r="BQ229">
        <v>109</v>
      </c>
      <c r="BR229">
        <v>8.8131000000000004</v>
      </c>
      <c r="BS229">
        <v>94</v>
      </c>
      <c r="BT229">
        <v>0.9</v>
      </c>
      <c r="BU229">
        <v>2</v>
      </c>
      <c r="BV229">
        <v>100</v>
      </c>
      <c r="BW229">
        <v>7850</v>
      </c>
      <c r="BX229" t="s">
        <v>295</v>
      </c>
    </row>
    <row r="230" spans="67:76" x14ac:dyDescent="0.3">
      <c r="BO230" t="s">
        <v>69</v>
      </c>
      <c r="BP230" t="s">
        <v>511</v>
      </c>
      <c r="BQ230">
        <v>109</v>
      </c>
      <c r="BR230">
        <v>8.8131000000000004</v>
      </c>
      <c r="BS230">
        <v>92</v>
      </c>
      <c r="BT230">
        <v>0.9</v>
      </c>
      <c r="BU230">
        <v>2</v>
      </c>
      <c r="BV230">
        <v>100</v>
      </c>
      <c r="BW230">
        <v>7850</v>
      </c>
      <c r="BX230" t="s">
        <v>295</v>
      </c>
    </row>
    <row r="231" spans="67:76" x14ac:dyDescent="0.3">
      <c r="BO231" t="s">
        <v>69</v>
      </c>
      <c r="BP231" t="s">
        <v>512</v>
      </c>
      <c r="BQ231">
        <v>110</v>
      </c>
      <c r="BR231">
        <v>9.1414000000000009</v>
      </c>
      <c r="BS231">
        <v>92</v>
      </c>
      <c r="BT231">
        <v>0.9</v>
      </c>
      <c r="BU231">
        <v>2</v>
      </c>
      <c r="BV231">
        <v>100</v>
      </c>
      <c r="BW231">
        <v>7850</v>
      </c>
      <c r="BX231" t="s">
        <v>295</v>
      </c>
    </row>
    <row r="232" spans="67:76" x14ac:dyDescent="0.3">
      <c r="BO232" t="s">
        <v>69</v>
      </c>
      <c r="BP232" t="s">
        <v>513</v>
      </c>
      <c r="BQ232">
        <v>110</v>
      </c>
      <c r="BR232">
        <v>9.1414000000000009</v>
      </c>
      <c r="BS232">
        <v>90</v>
      </c>
      <c r="BT232">
        <v>0.9</v>
      </c>
      <c r="BU232">
        <v>2</v>
      </c>
      <c r="BV232">
        <v>100</v>
      </c>
      <c r="BW232">
        <v>7850</v>
      </c>
      <c r="BX232" t="s">
        <v>295</v>
      </c>
    </row>
    <row r="233" spans="67:76" x14ac:dyDescent="0.3">
      <c r="BO233" t="s">
        <v>69</v>
      </c>
      <c r="BP233" t="s">
        <v>514</v>
      </c>
      <c r="BQ233">
        <v>111</v>
      </c>
      <c r="BR233">
        <v>9.4696999999999996</v>
      </c>
      <c r="BS233">
        <v>90</v>
      </c>
      <c r="BT233">
        <v>0.9</v>
      </c>
      <c r="BU233">
        <v>2</v>
      </c>
      <c r="BV233">
        <v>100</v>
      </c>
      <c r="BW233">
        <v>7850</v>
      </c>
      <c r="BX233" t="s">
        <v>295</v>
      </c>
    </row>
    <row r="234" spans="67:76" x14ac:dyDescent="0.3">
      <c r="BO234" t="s">
        <v>69</v>
      </c>
      <c r="BP234" t="s">
        <v>515</v>
      </c>
      <c r="BQ234">
        <v>111</v>
      </c>
      <c r="BR234">
        <v>9.4696999999999996</v>
      </c>
      <c r="BS234">
        <v>90</v>
      </c>
      <c r="BT234">
        <v>0.9</v>
      </c>
      <c r="BU234">
        <v>2</v>
      </c>
      <c r="BV234">
        <v>100</v>
      </c>
      <c r="BW234">
        <v>7850</v>
      </c>
      <c r="BX234" t="s">
        <v>295</v>
      </c>
    </row>
    <row r="235" spans="67:76" x14ac:dyDescent="0.3">
      <c r="BO235" t="s">
        <v>69</v>
      </c>
      <c r="BP235" t="s">
        <v>516</v>
      </c>
      <c r="BQ235">
        <v>112</v>
      </c>
      <c r="BR235">
        <v>9.8000000000000007</v>
      </c>
      <c r="BS235">
        <v>90</v>
      </c>
      <c r="BT235">
        <v>0.9</v>
      </c>
      <c r="BU235">
        <v>2</v>
      </c>
      <c r="BV235">
        <v>100</v>
      </c>
      <c r="BW235">
        <v>7850</v>
      </c>
      <c r="BX235" t="s">
        <v>295</v>
      </c>
    </row>
    <row r="236" spans="67:76" x14ac:dyDescent="0.3">
      <c r="BO236" t="s">
        <v>69</v>
      </c>
      <c r="BP236" t="s">
        <v>517</v>
      </c>
      <c r="BQ236">
        <v>112</v>
      </c>
      <c r="BR236">
        <v>9.8000000000000007</v>
      </c>
      <c r="BS236">
        <v>90</v>
      </c>
      <c r="BT236">
        <v>0.9</v>
      </c>
      <c r="BU236">
        <v>2</v>
      </c>
      <c r="BV236">
        <v>100</v>
      </c>
      <c r="BW236">
        <v>7850</v>
      </c>
      <c r="BX236" t="s">
        <v>295</v>
      </c>
    </row>
    <row r="237" spans="67:76" x14ac:dyDescent="0.3">
      <c r="BO237" t="s">
        <v>69</v>
      </c>
      <c r="BP237" t="s">
        <v>518</v>
      </c>
      <c r="BQ237">
        <v>113</v>
      </c>
      <c r="BR237">
        <v>9.8000000000000007</v>
      </c>
      <c r="BS237">
        <v>90</v>
      </c>
      <c r="BT237">
        <v>0.9</v>
      </c>
      <c r="BU237">
        <v>2</v>
      </c>
      <c r="BV237">
        <v>100</v>
      </c>
      <c r="BW237">
        <v>7850</v>
      </c>
      <c r="BX237" t="s">
        <v>295</v>
      </c>
    </row>
    <row r="238" spans="67:76" x14ac:dyDescent="0.3">
      <c r="BO238" t="s">
        <v>69</v>
      </c>
      <c r="BP238" t="s">
        <v>519</v>
      </c>
      <c r="BQ238">
        <v>113</v>
      </c>
      <c r="BR238">
        <v>9.8000000000000007</v>
      </c>
      <c r="BS238">
        <v>98</v>
      </c>
      <c r="BT238">
        <v>0.9</v>
      </c>
      <c r="BU238">
        <v>2</v>
      </c>
      <c r="BV238">
        <v>100</v>
      </c>
      <c r="BW238">
        <v>7850</v>
      </c>
      <c r="BX238" t="s">
        <v>295</v>
      </c>
    </row>
    <row r="239" spans="67:76" x14ac:dyDescent="0.3">
      <c r="BO239" t="s">
        <v>69</v>
      </c>
      <c r="BP239" t="s">
        <v>520</v>
      </c>
      <c r="BQ239">
        <v>114</v>
      </c>
      <c r="BR239">
        <v>9.8000000000000007</v>
      </c>
      <c r="BS239">
        <v>98</v>
      </c>
      <c r="BT239">
        <v>0.9</v>
      </c>
      <c r="BU239">
        <v>2</v>
      </c>
      <c r="BV239">
        <v>50</v>
      </c>
      <c r="BW239">
        <v>7850</v>
      </c>
      <c r="BX239" t="s">
        <v>295</v>
      </c>
    </row>
    <row r="240" spans="67:76" x14ac:dyDescent="0.3">
      <c r="BO240" t="s">
        <v>69</v>
      </c>
      <c r="BP240" t="s">
        <v>521</v>
      </c>
      <c r="BQ240">
        <v>114</v>
      </c>
      <c r="BR240">
        <v>9.8000000000000007</v>
      </c>
      <c r="BS240">
        <v>88</v>
      </c>
      <c r="BT240">
        <v>0.9</v>
      </c>
      <c r="BU240">
        <v>2</v>
      </c>
      <c r="BV240">
        <v>50</v>
      </c>
      <c r="BW240">
        <v>7850</v>
      </c>
      <c r="BX240" t="s">
        <v>295</v>
      </c>
    </row>
    <row r="241" spans="67:76" x14ac:dyDescent="0.3">
      <c r="BO241" t="s">
        <v>69</v>
      </c>
      <c r="BP241" t="s">
        <v>522</v>
      </c>
      <c r="BQ241">
        <v>115</v>
      </c>
      <c r="BR241">
        <v>9.8000000000000007</v>
      </c>
      <c r="BS241">
        <v>88</v>
      </c>
      <c r="BT241">
        <v>0.9</v>
      </c>
      <c r="BU241">
        <v>2</v>
      </c>
      <c r="BV241">
        <v>0</v>
      </c>
      <c r="BW241">
        <v>7850</v>
      </c>
      <c r="BX241" t="s">
        <v>295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4</xdr:col>
                    <xdr:colOff>30480</xdr:colOff>
                    <xdr:row>3</xdr:row>
                    <xdr:rowOff>144780</xdr:rowOff>
                  </from>
                  <to>
                    <xdr:col>4</xdr:col>
                    <xdr:colOff>1066800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4</xdr:col>
                    <xdr:colOff>1089660</xdr:colOff>
                    <xdr:row>3</xdr:row>
                    <xdr:rowOff>144780</xdr:rowOff>
                  </from>
                  <to>
                    <xdr:col>4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lect_WLGen_out">
                <anchor moveWithCells="1" sizeWithCells="1">
                  <from>
                    <xdr:col>12</xdr:col>
                    <xdr:colOff>22860</xdr:colOff>
                    <xdr:row>3</xdr:row>
                    <xdr:rowOff>160020</xdr:rowOff>
                  </from>
                  <to>
                    <xdr:col>12</xdr:col>
                    <xdr:colOff>1051560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xport_WLGen">
                <anchor moveWithCells="1" sizeWithCells="1">
                  <from>
                    <xdr:col>12</xdr:col>
                    <xdr:colOff>1089660</xdr:colOff>
                    <xdr:row>3</xdr:row>
                    <xdr:rowOff>144780</xdr:rowOff>
                  </from>
                  <to>
                    <xdr:col>12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fill_WLGenMasses">
                <anchor moveWithCells="1" sizeWithCells="1">
                  <from>
                    <xdr:col>12</xdr:col>
                    <xdr:colOff>2156460</xdr:colOff>
                    <xdr:row>3</xdr:row>
                    <xdr:rowOff>175260</xdr:rowOff>
                  </from>
                  <to>
                    <xdr:col>13</xdr:col>
                    <xdr:colOff>1173480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Tabelle3.show_JBOOST_section">
                <anchor moveWithCells="1" sizeWithCells="1">
                  <from>
                    <xdr:col>0</xdr:col>
                    <xdr:colOff>68580</xdr:colOff>
                    <xdr:row>4</xdr:row>
                    <xdr:rowOff>144780</xdr:rowOff>
                  </from>
                  <to>
                    <xdr:col>2</xdr:col>
                    <xdr:colOff>861060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Tabelle3.show_WLGen_section">
                <anchor moveWithCells="1" sizeWithCells="1">
                  <from>
                    <xdr:col>0</xdr:col>
                    <xdr:colOff>38100</xdr:colOff>
                    <xdr:row>9</xdr:row>
                    <xdr:rowOff>38100</xdr:rowOff>
                  </from>
                  <to>
                    <xdr:col>2</xdr:col>
                    <xdr:colOff>883920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Tabelle3.show_Bladed_section">
                <anchor moveWithCells="1" sizeWithCells="1">
                  <from>
                    <xdr:col>0</xdr:col>
                    <xdr:colOff>38100</xdr:colOff>
                    <xdr:row>13</xdr:row>
                    <xdr:rowOff>114300</xdr:rowOff>
                  </from>
                  <to>
                    <xdr:col>2</xdr:col>
                    <xdr:colOff>883920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fill_Bladed_table">
                <anchor moveWithCells="1" sizeWithCells="1">
                  <from>
                    <xdr:col>57</xdr:col>
                    <xdr:colOff>53340</xdr:colOff>
                    <xdr:row>4</xdr:row>
                    <xdr:rowOff>144780</xdr:rowOff>
                  </from>
                  <to>
                    <xdr:col>57</xdr:col>
                    <xdr:colOff>2141220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7"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34" sqref="B34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68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237</v>
      </c>
    </row>
    <row r="13" spans="2:4" ht="17.25" customHeight="1" x14ac:dyDescent="0.3">
      <c r="B13" s="49" t="s">
        <v>59</v>
      </c>
    </row>
    <row r="14" spans="2:4" ht="17.25" customHeight="1" x14ac:dyDescent="0.3">
      <c r="B14" s="49" t="s">
        <v>60</v>
      </c>
    </row>
    <row r="15" spans="2:4" ht="17.25" customHeight="1" x14ac:dyDescent="0.3">
      <c r="B15" s="49" t="s">
        <v>61</v>
      </c>
    </row>
    <row r="16" spans="2:4" ht="17.25" customHeight="1" x14ac:dyDescent="0.3">
      <c r="B16" s="49" t="s">
        <v>62</v>
      </c>
    </row>
    <row r="17" spans="2:2" ht="17.25" customHeight="1" x14ac:dyDescent="0.3">
      <c r="B17" s="49" t="s">
        <v>63</v>
      </c>
    </row>
    <row r="18" spans="2:2" ht="17.25" customHeight="1" x14ac:dyDescent="0.3">
      <c r="B18" s="49" t="s">
        <v>64</v>
      </c>
    </row>
    <row r="19" spans="2:2" ht="17.25" customHeight="1" x14ac:dyDescent="0.3">
      <c r="B19" s="49" t="s">
        <v>65</v>
      </c>
    </row>
    <row r="20" spans="2:2" ht="17.25" customHeight="1" x14ac:dyDescent="0.3">
      <c r="B20" s="49" t="s">
        <v>66</v>
      </c>
    </row>
    <row r="21" spans="2:2" ht="17.25" customHeight="1" x14ac:dyDescent="0.3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32</vt:i4>
      </vt:variant>
    </vt:vector>
  </HeadingPairs>
  <TitlesOfParts>
    <vt:vector size="38" baseType="lpstr">
      <vt:lpstr>GlobalConfig</vt:lpstr>
      <vt:lpstr>CreateStucture</vt:lpstr>
      <vt:lpstr>BuildYourStructure</vt:lpstr>
      <vt:lpstr>StructureOverview</vt:lpstr>
      <vt:lpstr>ExportStructure</vt:lpstr>
      <vt:lpstr>Loop</vt:lpstr>
      <vt:lpstr>Assambly_plot</vt:lpstr>
      <vt:lpstr>Assambly_plot_Overview</vt:lpstr>
      <vt:lpstr>Bladed_Meta</vt:lpstr>
      <vt:lpstr>DISPL_MP</vt:lpstr>
      <vt:lpstr>DISPL_TOWER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Text</vt:lpstr>
      <vt:lpstr>TextBox_Import_MP_path</vt:lpstr>
      <vt:lpstr>TextBox_MP_db_path</vt:lpstr>
      <vt:lpstr>TextBox_RNA_db_path</vt:lpstr>
      <vt:lpstr>TextBox_TOWER_db_path</vt:lpstr>
      <vt:lpstr>TextBox_TOWER_db_path2</vt:lpstr>
      <vt:lpstr>TextBox_TP_db_path</vt:lpstr>
      <vt:lpstr>TOWER_plot</vt:lpstr>
      <vt:lpstr>TP_plot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2025-07-29T13:07:28Z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