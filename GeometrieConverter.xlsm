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4B217FF6-38C4-4CEF-ADC5-DC1B07CA5726}" xr6:coauthVersionLast="47" xr6:coauthVersionMax="47" xr10:uidLastSave="{00000000-0000-0000-0000-000000000000}"/>
  <bookViews>
    <workbookView xWindow="28680" yWindow="-120" windowWidth="29040" windowHeight="15720" activeTab="3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JBOOST_Path">ExportStructure!$B$6</definedName>
    <definedName name="MOVE_STRUCT">BuildYourStructure!$E$15</definedName>
    <definedName name="RNA_META_FULL36">RNA_META_FULL[]</definedName>
    <definedName name="SKIRT_MASS">StructureOverview!$U$13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RNA_db_path">BuildYourStructure!$DA$13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I166" i="5" l="1"/>
  <c r="DG166" i="5"/>
  <c r="DF166" i="5"/>
  <c r="DI165" i="5"/>
  <c r="DG165" i="5"/>
  <c r="DF165" i="5"/>
  <c r="DI164" i="5"/>
  <c r="DG164" i="5"/>
  <c r="DF164" i="5"/>
  <c r="DI163" i="5"/>
  <c r="DG163" i="5"/>
  <c r="DF163" i="5"/>
  <c r="DI162" i="5"/>
  <c r="DH162" i="5"/>
  <c r="DG162" i="5"/>
  <c r="DF162" i="5"/>
  <c r="DI161" i="5"/>
  <c r="DH161" i="5"/>
  <c r="DG161" i="5"/>
  <c r="DF161" i="5"/>
  <c r="DI160" i="5"/>
  <c r="DH160" i="5"/>
  <c r="DG160" i="5"/>
  <c r="DF160" i="5"/>
  <c r="DI159" i="5"/>
  <c r="DH159" i="5"/>
  <c r="DG159" i="5"/>
  <c r="DF159" i="5"/>
  <c r="DI158" i="5"/>
  <c r="DH158" i="5"/>
  <c r="DG158" i="5"/>
  <c r="DF158" i="5"/>
  <c r="DI157" i="5"/>
  <c r="DH157" i="5"/>
  <c r="DG157" i="5"/>
  <c r="DF157" i="5"/>
  <c r="DI156" i="5"/>
  <c r="DH156" i="5"/>
  <c r="DG156" i="5"/>
  <c r="DF156" i="5"/>
  <c r="DI155" i="5"/>
  <c r="DH155" i="5"/>
  <c r="DG155" i="5"/>
  <c r="DF155" i="5"/>
  <c r="DI154" i="5"/>
  <c r="DH154" i="5"/>
  <c r="DG154" i="5"/>
  <c r="DF154" i="5"/>
  <c r="DI153" i="5"/>
  <c r="DH153" i="5"/>
  <c r="DG153" i="5"/>
  <c r="DF153" i="5"/>
  <c r="DI152" i="5"/>
  <c r="DH152" i="5"/>
  <c r="DG152" i="5"/>
  <c r="DF152" i="5"/>
  <c r="DI151" i="5"/>
  <c r="DH151" i="5"/>
  <c r="DG151" i="5"/>
  <c r="DF151" i="5"/>
  <c r="DI150" i="5"/>
  <c r="DH150" i="5"/>
  <c r="DG150" i="5"/>
  <c r="DF150" i="5"/>
  <c r="DI149" i="5"/>
  <c r="DH149" i="5"/>
  <c r="DG149" i="5"/>
  <c r="DF149" i="5"/>
  <c r="DI148" i="5"/>
  <c r="DH148" i="5"/>
  <c r="DG148" i="5"/>
  <c r="DF148" i="5"/>
  <c r="DI147" i="5"/>
  <c r="DH147" i="5"/>
  <c r="DG147" i="5"/>
  <c r="DF147" i="5"/>
  <c r="DI146" i="5"/>
  <c r="DH146" i="5"/>
  <c r="DG146" i="5"/>
  <c r="DF146" i="5"/>
  <c r="DI145" i="5"/>
  <c r="DH145" i="5"/>
  <c r="DG145" i="5"/>
  <c r="DF145" i="5"/>
  <c r="DI144" i="5"/>
  <c r="DH144" i="5"/>
  <c r="DG144" i="5"/>
  <c r="DF144" i="5"/>
  <c r="DI143" i="5"/>
  <c r="DH143" i="5"/>
  <c r="DG143" i="5"/>
  <c r="DF143" i="5"/>
  <c r="DI142" i="5"/>
  <c r="DH142" i="5"/>
  <c r="DG142" i="5"/>
  <c r="DF142" i="5"/>
  <c r="DI141" i="5"/>
  <c r="DH141" i="5"/>
  <c r="DG141" i="5"/>
  <c r="DF141" i="5"/>
  <c r="DI140" i="5"/>
  <c r="DH140" i="5"/>
  <c r="DG140" i="5"/>
  <c r="DF140" i="5"/>
  <c r="DI139" i="5"/>
  <c r="DH139" i="5"/>
  <c r="DG139" i="5"/>
  <c r="DF139" i="5"/>
  <c r="DI138" i="5"/>
  <c r="DH138" i="5"/>
  <c r="DG138" i="5"/>
  <c r="DF138" i="5"/>
  <c r="DI137" i="5"/>
  <c r="DH137" i="5"/>
  <c r="DG137" i="5"/>
  <c r="DF137" i="5"/>
  <c r="DI136" i="5"/>
  <c r="DH136" i="5"/>
  <c r="DG136" i="5"/>
  <c r="DF136" i="5"/>
  <c r="DI135" i="5"/>
  <c r="DH135" i="5"/>
  <c r="DG135" i="5"/>
  <c r="DF135" i="5"/>
  <c r="DI134" i="5"/>
  <c r="DH134" i="5"/>
  <c r="DG134" i="5"/>
  <c r="DF134" i="5"/>
  <c r="DI133" i="5"/>
  <c r="DH133" i="5"/>
  <c r="DG133" i="5"/>
  <c r="DF133" i="5"/>
  <c r="DI132" i="5"/>
  <c r="DH132" i="5"/>
  <c r="DG132" i="5"/>
  <c r="DF132" i="5"/>
  <c r="DI131" i="5"/>
  <c r="DH131" i="5"/>
  <c r="DG131" i="5"/>
  <c r="DF131" i="5"/>
  <c r="DI130" i="5"/>
  <c r="DH130" i="5"/>
  <c r="DG130" i="5"/>
  <c r="DF130" i="5"/>
  <c r="DI129" i="5"/>
  <c r="DH129" i="5"/>
  <c r="DG129" i="5"/>
  <c r="DF129" i="5"/>
  <c r="DI128" i="5"/>
  <c r="DH128" i="5"/>
  <c r="DG128" i="5"/>
  <c r="DF128" i="5"/>
  <c r="DI127" i="5"/>
  <c r="DH127" i="5"/>
  <c r="DG127" i="5"/>
  <c r="DF127" i="5"/>
  <c r="DI126" i="5"/>
  <c r="DH126" i="5"/>
  <c r="DG126" i="5"/>
  <c r="DF126" i="5"/>
  <c r="DI125" i="5"/>
  <c r="DH125" i="5"/>
  <c r="DG125" i="5"/>
  <c r="DF125" i="5"/>
  <c r="DI124" i="5"/>
  <c r="DH124" i="5"/>
  <c r="DG124" i="5"/>
  <c r="DF124" i="5"/>
  <c r="DI123" i="5"/>
  <c r="DH123" i="5"/>
  <c r="DG123" i="5"/>
  <c r="DF123" i="5"/>
  <c r="DI122" i="5"/>
  <c r="DH122" i="5"/>
  <c r="DG122" i="5"/>
  <c r="DF122" i="5"/>
  <c r="DI121" i="5"/>
  <c r="DH121" i="5"/>
  <c r="DG121" i="5"/>
  <c r="DF121" i="5"/>
  <c r="DI120" i="5"/>
  <c r="DH120" i="5"/>
  <c r="DG120" i="5"/>
  <c r="DF120" i="5"/>
  <c r="DI119" i="5"/>
  <c r="DH119" i="5"/>
  <c r="DG119" i="5"/>
  <c r="DF119" i="5"/>
  <c r="DI118" i="5"/>
  <c r="DH118" i="5"/>
  <c r="DG118" i="5"/>
  <c r="DF118" i="5"/>
  <c r="DI117" i="5"/>
  <c r="DH117" i="5"/>
  <c r="DG117" i="5"/>
  <c r="DF117" i="5"/>
  <c r="DI116" i="5"/>
  <c r="DH116" i="5"/>
  <c r="DG116" i="5"/>
  <c r="DF116" i="5"/>
  <c r="DI115" i="5"/>
  <c r="DH115" i="5"/>
  <c r="DG115" i="5"/>
  <c r="DF115" i="5"/>
  <c r="DI114" i="5"/>
  <c r="DH114" i="5"/>
  <c r="DG114" i="5"/>
  <c r="DF114" i="5"/>
  <c r="DI113" i="5"/>
  <c r="DH113" i="5"/>
  <c r="DG113" i="5"/>
  <c r="DF113" i="5"/>
  <c r="DI112" i="5"/>
  <c r="DH112" i="5"/>
  <c r="DG112" i="5"/>
  <c r="DF112" i="5"/>
  <c r="DI111" i="5"/>
  <c r="DH111" i="5"/>
  <c r="DG111" i="5"/>
  <c r="DF111" i="5"/>
  <c r="DI110" i="5"/>
  <c r="DH110" i="5"/>
  <c r="DG110" i="5"/>
  <c r="DF110" i="5"/>
  <c r="DI109" i="5"/>
  <c r="DH109" i="5"/>
  <c r="DG109" i="5"/>
  <c r="DF109" i="5"/>
  <c r="DI108" i="5"/>
  <c r="DH108" i="5"/>
  <c r="DG108" i="5"/>
  <c r="DF108" i="5"/>
  <c r="DI107" i="5"/>
  <c r="DH107" i="5"/>
  <c r="DG107" i="5"/>
  <c r="DF107" i="5"/>
  <c r="DI106" i="5"/>
  <c r="DH106" i="5"/>
  <c r="DG106" i="5"/>
  <c r="DF106" i="5"/>
  <c r="DI105" i="5"/>
  <c r="DH105" i="5"/>
  <c r="DG105" i="5"/>
  <c r="DF105" i="5"/>
  <c r="DI104" i="5"/>
  <c r="DH104" i="5"/>
  <c r="DG104" i="5"/>
  <c r="DF104" i="5"/>
  <c r="DI103" i="5"/>
  <c r="DH103" i="5"/>
  <c r="DG103" i="5"/>
  <c r="DF103" i="5"/>
  <c r="DI102" i="5"/>
  <c r="DH102" i="5"/>
  <c r="DG102" i="5"/>
  <c r="DF102" i="5"/>
  <c r="DI101" i="5"/>
  <c r="DH101" i="5"/>
  <c r="DG101" i="5"/>
  <c r="DF101" i="5"/>
  <c r="DI100" i="5"/>
  <c r="DH100" i="5"/>
  <c r="DG100" i="5"/>
  <c r="DF100" i="5"/>
  <c r="DI99" i="5"/>
  <c r="DH99" i="5"/>
  <c r="DG99" i="5"/>
  <c r="DF99" i="5"/>
  <c r="DI98" i="5"/>
  <c r="DH98" i="5"/>
  <c r="DG98" i="5"/>
  <c r="DF98" i="5"/>
  <c r="DI97" i="5"/>
  <c r="DH97" i="5"/>
  <c r="DG97" i="5"/>
  <c r="DF97" i="5"/>
  <c r="DI96" i="5"/>
  <c r="DH96" i="5"/>
  <c r="DG96" i="5"/>
  <c r="DF96" i="5"/>
  <c r="DI95" i="5"/>
  <c r="DH95" i="5"/>
  <c r="DG95" i="5"/>
  <c r="DF95" i="5"/>
  <c r="DI94" i="5"/>
  <c r="DH94" i="5"/>
  <c r="DG94" i="5"/>
  <c r="DF94" i="5"/>
  <c r="DI93" i="5"/>
  <c r="DH93" i="5"/>
  <c r="DG93" i="5"/>
  <c r="DF93" i="5"/>
  <c r="AK15" i="6" l="1"/>
  <c r="AK14" i="6"/>
  <c r="AG15" i="6"/>
  <c r="AG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<sst xmlns="http://schemas.openxmlformats.org/spreadsheetml/2006/main" count="570" uniqueCount="155">
  <si>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</si>
  <si>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</si>
  <si>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</si>
  <si>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</si>
  <si>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</si>
  <si>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</si>
  <si>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</si>
  <si>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</si>
  <si>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</si>
  <si>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</si>
  <si>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</si>
  <si>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</si>
  <si>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</si>
  <si>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</si>
  <si>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</si>
  <si>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</si>
  <si>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</si>
  <si>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</si>
  <si>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</si>
  <si>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</si>
  <si>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</si>
  <si>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</si>
  <si>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</si>
  <si>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</si>
  <si>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</si>
  <si>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</si>
  <si>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</si>
  <si>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</si>
  <si>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</si>
  <si>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</si>
  <si>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</si>
  <si>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</si>
  <si>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</si>
  <si>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</si>
  <si>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</si>
  <si>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</si>
  <si>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</si>
  <si>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</si>
  <si>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</si>
  <si>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</si>
  <si>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</si>
  <si>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</si>
  <si>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</si>
  <si>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</si>
  <si>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</si>
  <si>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</si>
  <si>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</si>
  <si>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</si>
  <si>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</si>
  <si>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</si>
  <si>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</si>
  <si>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</si>
  <si>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</si>
  <si>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</si>
  <si>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</si>
  <si>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</si>
  <si>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</si>
  <si>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</si>
  <si>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</si>
  <si>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</si>
  <si>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</si>
  <si>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</si>
  <si>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</si>
  <si>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</si>
  <si>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</si>
  <si>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</si>
  <si>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</si>
  <si>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</si>
  <si>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</si>
  <si>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</si>
  <si>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</si>
  <si>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</si>
  <si>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</si>
  <si>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</si>
  <si>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</si>
  <si>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</si>
  <si>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</si>
  <si>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</si>
  <si>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</si>
  <si>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</si>
  <si>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</si>
  <si>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</si>
  <si>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</si>
  <si>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</si>
  <si>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</si>
  <si>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</si>
  <si>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</si>
  <si>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</si>
  <si>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</si>
  <si>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</si>
  <si>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</si>
  <si>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</si>
  <si>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</si>
  <si>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</si>
  <si>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</si>
  <si>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</si>
  <si>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</si>
  <si>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</si>
  <si>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</si>
  <si>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</si>
  <si>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</si>
  <si>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</si>
  <si>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</si>
  <si>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</si>
  <si>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</si>
  <si>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</si>
  <si>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</si>
  <si>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</si>
  <si>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</si>
  <si>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</si>
  <si>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</si>
  <si>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</si>
  <si>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</si>
  <si>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</si>
  <si>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</si>
  <si>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</si>
  <si>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</si>
  <si>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</si>
  <si>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</si>
  <si>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</si>
  <si>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</si>
  <si>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</si>
  <si>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</si>
  <si>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</si>
  <si>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</si>
  <si>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</si>
  <si>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</si>
  <si>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</si>
  <si>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</si>
  <si>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</si>
  <si>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</si>
  <si>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</si>
  <si>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</si>
  <si>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</si>
  <si>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</si>
  <si>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</si>
  <si>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</si>
  <si>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</si>
  <si>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</si>
  <si>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</si>
  <si>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</si>
  <si>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Inertia [kg·m²]</t>
  </si>
  <si>
    <t>Offset TT_COG [m]</t>
  </si>
  <si>
    <t>GE-13.0-210</t>
  </si>
  <si>
    <t>Mass [t]</t>
  </si>
  <si>
    <t>Massentabelle [t]</t>
  </si>
  <si>
    <t>Point masses</t>
  </si>
  <si>
    <t>Height Reference</t>
  </si>
  <si>
    <t xml:space="preserve">Water level </t>
  </si>
  <si>
    <t>Model Name</t>
  </si>
  <si>
    <t>m</t>
  </si>
  <si>
    <t>Seabed level</t>
  </si>
  <si>
    <t>Water Depth [m]</t>
  </si>
  <si>
    <t>Comments</t>
  </si>
  <si>
    <t>Dimensional tolerance for node generating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</si>
</sst>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03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2" fillId="14" borderId="22" xfId="0" applyFont="1" applyFill="1" applyBorder="1" applyAlignment="1">
      <alignment horizontal="center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0" borderId="0" xfId="0" applyFill="1"/>
    <xf numFmtId="2" fontId="0" fillId="0" borderId="0" xfId="0" applyNumberFormat="1" applyFill="1"/>
    <xf numFmtId="0" fontId="0" fillId="0" borderId="11" xfId="0" applyFill="1" applyBorder="1"/>
  </cellXfs>
  <cellStyles count="2">
    <cellStyle name="Standard" xfId="0" builtinId="0"/>
    <cellStyle name="Standard 4" xfId="1" xr:uid="{7C2E7282-4006-4D40-8AAC-8E6944058B8E}"/>
  </cellStyles>
  <dxfs count="308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16</xdr:row>
          <xdr:rowOff>167640</xdr:rowOff>
        </xdr:from>
        <xdr:to>
          <xdr:col>11</xdr:col>
          <xdr:colOff>815340</xdr:colOff>
          <xdr:row>21</xdr:row>
          <xdr:rowOff>129540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371474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274320</xdr:colOff>
          <xdr:row>17</xdr:row>
          <xdr:rowOff>45720</xdr:rowOff>
        </xdr:from>
        <xdr:to>
          <xdr:col>46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390525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335280</xdr:colOff>
          <xdr:row>16</xdr:row>
          <xdr:rowOff>175260</xdr:rowOff>
        </xdr:from>
        <xdr:to>
          <xdr:col>81</xdr:col>
          <xdr:colOff>807720</xdr:colOff>
          <xdr:row>21</xdr:row>
          <xdr:rowOff>129540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866775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38100</xdr:colOff>
          <xdr:row>13</xdr:row>
          <xdr:rowOff>160020</xdr:rowOff>
        </xdr:from>
        <xdr:to>
          <xdr:col>105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38100</xdr:colOff>
          <xdr:row>12</xdr:row>
          <xdr:rowOff>38100</xdr:rowOff>
        </xdr:from>
        <xdr:to>
          <xdr:col>103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228600</xdr:colOff>
          <xdr:row>13</xdr:row>
          <xdr:rowOff>60960</xdr:rowOff>
        </xdr:from>
        <xdr:to>
          <xdr:col>112</xdr:col>
          <xdr:colOff>708660</xdr:colOff>
          <xdr:row>16</xdr:row>
          <xdr:rowOff>160020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220980</xdr:colOff>
          <xdr:row>17</xdr:row>
          <xdr:rowOff>30480</xdr:rowOff>
        </xdr:from>
        <xdr:to>
          <xdr:col>112</xdr:col>
          <xdr:colOff>693420</xdr:colOff>
          <xdr:row>21</xdr:row>
          <xdr:rowOff>167640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822960</xdr:colOff>
          <xdr:row>12</xdr:row>
          <xdr:rowOff>22860</xdr:rowOff>
        </xdr:from>
        <xdr:to>
          <xdr:col>104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1082040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95" dataDxfId="30">
  <autoFilter ref="B18:H19" xr:uid="{51AF5F9E-A6E5-4BA1-83BE-2546351DAE06}"/>
  <tableColumns count="7">
    <tableColumn id="1" xr3:uid="{8004DE55-01A0-4AB5-A007-D379F8ED184F}" name="Identifier" dataDxfId="37"/>
    <tableColumn id="2" xr3:uid="{73AEE22B-B9CF-4401-B31E-64902257C6A9}" name="Project ID" dataDxfId="36"/>
    <tableColumn id="3" xr3:uid="{6CD7BEF9-707B-4F7D-A334-46DB51B6F454}" name="Phase" dataDxfId="35"/>
    <tableColumn id="4" xr3:uid="{5572AB9F-884A-4001-85E7-5E708A2DFC71}" name="Structure ID" dataDxfId="34"/>
    <tableColumn id="5" xr3:uid="{AFCB5F1D-C5C1-4D21-A7C0-310C0D52F9E4}" name="Water Depth [m]" dataDxfId="33"/>
    <tableColumn id="6" xr3:uid="{149EEBB8-62A5-42C4-97FD-484848DB0825}" name="Height Reference" dataDxfId="32"/>
    <tableColumn id="7" xr3:uid="{82ECC3EB-0382-490B-8CE7-963B13E4D1A1}" name="Comments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94" dataDxfId="293">
  <autoFilter ref="B21:H23" xr:uid="{58117B73-5FCA-4002-A528-31B3F83BDE75}"/>
  <tableColumns count="7">
    <tableColumn id="1" xr3:uid="{5C484AAB-AA0F-4FBD-9543-28D80EB7F84D}" name="Identifier" dataDxfId="292"/>
    <tableColumn id="2" xr3:uid="{87603448-795E-499B-8754-D6455D5FF52F}" name="Project ID" dataDxfId="291"/>
    <tableColumn id="3" xr3:uid="{51EA6487-4EF3-43A9-B440-34893EEEEAB2}" name="Phase" dataDxfId="290"/>
    <tableColumn id="4" xr3:uid="{4AC48BB5-6D2E-492F-89B1-5662010991A8}" name="Structure ID" dataDxfId="289"/>
    <tableColumn id="5" xr3:uid="{2AE3ED2D-7CAB-45B8-AA43-6197A5DBB9C2}" name="Water Depth [m]" dataDxfId="288"/>
    <tableColumn id="6" xr3:uid="{BC0E3E2E-DE67-4FD9-94E9-5C112B52D3FD}" name="Height Reference" dataDxfId="287"/>
    <tableColumn id="7" xr3:uid="{16928D7F-3DB7-43BD-BCF5-5C279A3E16F5}" name="Comments" dataDxfId="2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85" dataDxfId="23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9"/>
    <tableColumn id="2" xr3:uid="{01B5124C-F6E1-40D2-9236-F2D6BE941DD3}" name="Top [m]" dataDxfId="28"/>
    <tableColumn id="3" xr3:uid="{0537C90E-D320-4AC4-8392-2A7C45CE31A1}" name="Bottom [m]" dataDxfId="27"/>
    <tableColumn id="4" xr3:uid="{3F0DC3DB-26F8-4D70-A358-70EF5E1596F5}" name="D, top [m]" dataDxfId="26"/>
    <tableColumn id="5" xr3:uid="{25F6B1D8-AC49-468F-BDCD-72AC07BB3CD0}" name="D, bottom [m]" dataDxfId="25"/>
    <tableColumn id="6" xr3:uid="{3ED99EE5-BCA8-4244-A3E5-81C6F22A9AB2}" name="t [mm]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84" dataDxfId="283">
  <autoFilter ref="Q18:W19" xr:uid="{F46B677D-4D25-4464-BE0D-6A1E644518C5}"/>
  <tableColumns count="7">
    <tableColumn id="1" xr3:uid="{ECD0389F-015D-412B-9FF1-D5BEAAD27FC1}" name="Identifier" dataDxfId="282"/>
    <tableColumn id="2" xr3:uid="{90794316-AE1E-4D40-A728-B5B995A9CF65}" name="Project ID" dataDxfId="281"/>
    <tableColumn id="3" xr3:uid="{B8C9242D-AC32-4E57-A861-DB7E615D6A1C}" name="Phase" dataDxfId="280"/>
    <tableColumn id="4" xr3:uid="{1EEB510B-3010-431D-B8C6-870D9180A629}" name="Structure ID" dataDxfId="279"/>
    <tableColumn id="5" xr3:uid="{B6F5C20C-83C1-4B16-B4D3-933D066BB6A0}" name="Water Depth [m]" dataDxfId="278"/>
    <tableColumn id="6" xr3:uid="{26EA3A2D-14E0-4809-9795-74592B4984AD}" name="Height Reference" dataDxfId="277"/>
    <tableColumn id="7" xr3:uid="{9AC62F3C-D12C-40A1-8AF4-F7C9B043F1FB}" name="Comments" dataDxfId="2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275" dataDxfId="274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273"/>
    <tableColumn id="2" xr3:uid="{75FB6F15-9784-4F9D-9947-41C8E7DD1CC9}" name="Project ID" dataDxfId="272"/>
    <tableColumn id="3" xr3:uid="{DF3379D9-9371-4EDE-B715-A6A40C072275}" name="Phase" dataDxfId="271"/>
    <tableColumn id="4" xr3:uid="{B2F66CA1-64D8-49D4-A1DA-28FD14EC75C2}" name="Structure ID" dataDxfId="270"/>
    <tableColumn id="5" xr3:uid="{E0EC4989-22E7-49A3-8DAC-034A87568E19}" name="Water Depth [m]" dataDxfId="269"/>
    <tableColumn id="6" xr3:uid="{9873A46F-D488-4AA7-BC64-C1E65C65D808}" name="Height Reference" dataDxfId="268"/>
    <tableColumn id="7" xr3:uid="{CD60E691-17C5-40B2-9E26-571B6CB0C11D}" name="Comments" dataDxfId="2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266" dataDxfId="265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264"/>
    <tableColumn id="2" xr3:uid="{D0F6ECD2-6414-48B2-9B47-1C3B8BAC860B}" name="Top [m]" dataDxfId="263"/>
    <tableColumn id="3" xr3:uid="{575FC20A-0259-4081-83F8-71040557AEA8}" name="Bottom [m]" dataDxfId="262"/>
    <tableColumn id="4" xr3:uid="{529E5CD0-69F2-4E59-86A7-A3E6F1B39E96}" name="D, top [m]" dataDxfId="261"/>
    <tableColumn id="5" xr3:uid="{7F90AAFA-52D7-47DB-A99D-3E3E0AEE6541}" name="D, bottom [m]" dataDxfId="260"/>
    <tableColumn id="6" xr3:uid="{1B01547B-4485-4B79-8DB3-FCEA1C806B60}" name="t [mm]" dataDxfId="2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58" dataDxfId="19">
  <autoFilter ref="M24:O29" xr:uid="{C2F2D263-B298-4967-B7BA-2043D2636A28}"/>
  <tableColumns count="3">
    <tableColumn id="2" xr3:uid="{365B74CD-D14D-4F75-ABA6-B5CBD126E6F2}" name="Elevation [m]" dataDxfId="22"/>
    <tableColumn id="12" xr3:uid="{3CC0B321-8A95-4AEE-8DFB-77DAE8FAB528}" name="Mass [kg]" dataDxfId="21"/>
    <tableColumn id="3" xr3:uid="{29EF80FE-079C-4A10-9ADB-03D595E35311}" name="commment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257" dataDxfId="256">
  <autoFilter ref="X24:Z29" xr:uid="{4D5B4094-2520-4C0E-83CB-05269AAFC062}"/>
  <tableColumns count="3">
    <tableColumn id="1" xr3:uid="{C2D9CE8B-C220-46E5-BFE0-3791AC870182}" name="Elevation [m]" dataDxfId="255"/>
    <tableColumn id="2" xr3:uid="{1DE92BEA-EA77-4A06-9EE3-C4BCA53FA4BA}" name="Mass [kg]" dataDxfId="254"/>
    <tableColumn id="3" xr3:uid="{6F0C1064-8277-4D7C-890E-7B7872EA90CF}" name="commment" dataDxfId="25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252" dataDxfId="11">
  <autoFilter ref="AJ18:AP19" xr:uid="{0B04AF76-1113-4DD9-A88C-A478EB316C6E}"/>
  <tableColumns count="7">
    <tableColumn id="1" xr3:uid="{58455F34-16BF-4A81-8A57-F2B2E3E28892}" name="Identifier" dataDxfId="18"/>
    <tableColumn id="2" xr3:uid="{BDC511B7-0336-49CC-A0D7-40D96154D38D}" name="Project ID" dataDxfId="17"/>
    <tableColumn id="3" xr3:uid="{2D75BE55-2BF9-456C-AE5A-2A1218318BAA}" name="Phase" dataDxfId="16"/>
    <tableColumn id="4" xr3:uid="{2B0B47A1-6AA2-4D55-8DF5-A88A949DEAB3}" name="Structure ID" dataDxfId="15"/>
    <tableColumn id="5" xr3:uid="{24994B91-D518-4335-8AFB-5B728F5B9A9A}" name="Water Depth [m]" dataDxfId="14"/>
    <tableColumn id="6" xr3:uid="{BC674145-8AD9-4667-B204-310C7780D8BD}" name="Height Reference" dataDxfId="13"/>
    <tableColumn id="7" xr3:uid="{8574AD8B-5882-49EF-B1C0-6AEBD6820423}" name="Comments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251" dataDxfId="250">
  <autoFilter ref="AJ21:AP22" xr:uid="{05DB58A4-E4A6-44E9-9800-F1D5AD7D9AA7}"/>
  <tableColumns count="7">
    <tableColumn id="1" xr3:uid="{2E834674-089F-43C8-8D07-2A374229A7BC}" name="Identifier" dataDxfId="249"/>
    <tableColumn id="2" xr3:uid="{6BEA972F-3506-4C48-AEB4-7F07A56A7185}" name="Project ID" dataDxfId="248"/>
    <tableColumn id="3" xr3:uid="{4E216AD3-8A97-4909-B2FD-78BAAFF0AD26}" name="Phase" dataDxfId="247"/>
    <tableColumn id="4" xr3:uid="{787011D0-F0FA-4EDD-881B-22121DF4902E}" name="Structure ID" dataDxfId="246"/>
    <tableColumn id="5" xr3:uid="{2067DA19-30E8-4DC2-9605-F5989A843C96}" name="Water Depth [m]" dataDxfId="245"/>
    <tableColumn id="6" xr3:uid="{E1008977-49E5-479B-9DB3-40A483860F73}" name="Height Reference" dataDxfId="244"/>
    <tableColumn id="7" xr3:uid="{F3EB13E3-9193-4095-B8C2-92AB811162B8}" name="Comments" dataDxfId="24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242" dataDxfId="4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10"/>
    <tableColumn id="2" xr3:uid="{20DD1485-D982-4D84-8836-A1F004AD90A8}" name="Top [m]" dataDxfId="9"/>
    <tableColumn id="3" xr3:uid="{A05F4E1F-5C83-413A-B9BE-2BBE3AB13A3B}" name="Bottom [m]" dataDxfId="8"/>
    <tableColumn id="4" xr3:uid="{EBAC8D31-17F8-4535-9E03-9B656FFD2B81}" name="D, top [m]" dataDxfId="7"/>
    <tableColumn id="5" xr3:uid="{A4A3D92C-C993-453F-AF5C-E4B75CB27682}" name="D, bottom [m]" dataDxfId="6"/>
    <tableColumn id="6" xr3:uid="{32AD350F-83E6-4938-BC67-33A5C8B767FF}" name="t [mm]" dataDxfId="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241" dataDxfId="240">
  <autoFilter ref="AY18:BE19" xr:uid="{6ED14D31-21E8-495C-899A-C1BE36AC7D57}"/>
  <tableColumns count="7">
    <tableColumn id="1" xr3:uid="{DA9D700C-EEF5-42F6-A311-BAEEF88B1BB7}" name="Identifier" dataDxfId="239"/>
    <tableColumn id="2" xr3:uid="{F3154507-C41A-47B8-8944-C5C95FFA02DB}" name="Project ID" dataDxfId="238"/>
    <tableColumn id="3" xr3:uid="{80771C1F-325D-4BE1-93EC-AEBADAEF8C45}" name="Phase" dataDxfId="237"/>
    <tableColumn id="4" xr3:uid="{58EF9147-D484-4AD2-85BC-FC61A3DF1B06}" name="Structure ID" dataDxfId="236"/>
    <tableColumn id="5" xr3:uid="{08D6C2E1-6DB9-491C-8175-4D57250F03F8}" name="Water Depth [m]" dataDxfId="235"/>
    <tableColumn id="6" xr3:uid="{6D129076-7D09-47E2-9F0F-2301ACE416A2}" name="Height Reference" dataDxfId="234"/>
    <tableColumn id="7" xr3:uid="{F96CE66F-661C-4D0F-869C-6075FFBE1D63}" name="Comments" dataDxfId="2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232" dataDxfId="231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230"/>
    <tableColumn id="2" xr3:uid="{10221FF0-6669-415E-A4C9-1A925A636E0E}" name="Project ID" dataDxfId="229"/>
    <tableColumn id="3" xr3:uid="{51ED7DEE-637C-4EB3-BD51-712CBF1C3A3F}" name="Phase" dataDxfId="228"/>
    <tableColumn id="4" xr3:uid="{1FA8653A-38E1-49B7-812A-65D83A87164E}" name="Structure ID" dataDxfId="227"/>
    <tableColumn id="5" xr3:uid="{6C9EA130-8028-4AEB-8FB2-AF4D80F48270}" name="Water Depth [m]" dataDxfId="226"/>
    <tableColumn id="6" xr3:uid="{83CD3E29-C555-4D73-9F88-767BB7CFEAA2}" name="Height Reference" dataDxfId="225"/>
    <tableColumn id="7" xr3:uid="{E5776344-EC8E-455B-8C7D-2D48B57F6EF9}" name="Comments" dataDxfId="2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223" dataDxfId="222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221"/>
    <tableColumn id="2" xr3:uid="{00F60C63-2770-42C2-B48C-5D66D3C52BC7}" name="Top [m]" dataDxfId="220"/>
    <tableColumn id="3" xr3:uid="{B0C70BDD-2B8F-4EF1-9287-C431F103B9ED}" name="Bottom [m]" dataDxfId="219"/>
    <tableColumn id="4" xr3:uid="{5762D413-3034-4D8C-93B6-FD4630B02B90}" name="D, top [m]" dataDxfId="218"/>
    <tableColumn id="5" xr3:uid="{14D973BE-EA8A-4E59-909A-5E1466E24A50}" name="D, bottom [m]" dataDxfId="217"/>
    <tableColumn id="6" xr3:uid="{7BFD2029-1F5C-43ED-A6F8-296E86962F79}" name="t [mm]" dataDxfId="2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215" dataDxfId="0">
  <autoFilter ref="AU24:AW29" xr:uid="{EF6AB3BF-A5B9-4898-A2AA-B1E2D904FCE0}"/>
  <tableColumns count="3">
    <tableColumn id="1" xr3:uid="{1A53106D-E4B7-4076-A33D-6CE63AD9AC29}" name="Elevation [m]" dataDxfId="3"/>
    <tableColumn id="2" xr3:uid="{9D7DAE9F-A86B-4D74-801F-55226E9F4D94}" name="Mass [kg]" dataDxfId="2"/>
    <tableColumn id="3" xr3:uid="{3FD5DC94-754D-4B55-A30B-0CF2D12CDE7F}" name="commment" dataDxf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214" dataDxfId="213">
  <autoFilter ref="BF24:BH29" xr:uid="{6190E545-CB48-44A3-A5CA-9A97C610D06A}"/>
  <tableColumns count="3">
    <tableColumn id="1" xr3:uid="{1CD0DD89-8DB0-4FF9-B740-5D74EB586B63}" name="Elevation [m]" dataDxfId="212"/>
    <tableColumn id="2" xr3:uid="{229F8007-E6CC-45A8-B672-6374F80B1923}" name="Mass [kg]" dataDxfId="211"/>
    <tableColumn id="3" xr3:uid="{23823EA6-A689-44B2-958B-8A7D00EFF106}" name="commment" dataDxfId="21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209" dataDxfId="208">
  <autoFilter ref="BR18:BX19" xr:uid="{570D3808-2D33-45AA-AE67-BB82CAED07EC}"/>
  <tableColumns count="7">
    <tableColumn id="1" xr3:uid="{CCDDEDAF-7D35-44BE-9711-5BB94A7933B5}" name="Identifier" dataDxfId="207"/>
    <tableColumn id="2" xr3:uid="{A6622A20-5B2E-4695-A263-CDE9418E44CF}" name="Project ID" dataDxfId="206"/>
    <tableColumn id="3" xr3:uid="{352D7C0A-3620-4627-BAFA-7328A9D0D37D}" name="Phase" dataDxfId="205"/>
    <tableColumn id="4" xr3:uid="{B321ED1F-34C0-412F-A702-8500F62ECCC6}" name="Structure ID" dataDxfId="204"/>
    <tableColumn id="5" xr3:uid="{80D47030-3591-4982-92EF-BACC66E1FE86}" name="Water Depth [m]" dataDxfId="203"/>
    <tableColumn id="6" xr3:uid="{EF78C918-5D9E-4AE9-872B-673153622FEA}" name="Height Reference" dataDxfId="202"/>
    <tableColumn id="7" xr3:uid="{170AACDE-B844-4EEC-A0B3-69E2508B4EDA}" name="Comments" dataDxfId="20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200" dataDxfId="199">
  <autoFilter ref="BR21:BX22" xr:uid="{35A6DD8B-1B03-4405-8692-950A70C42223}"/>
  <tableColumns count="7">
    <tableColumn id="1" xr3:uid="{1E986C31-3F41-4D2E-A5B3-1F241849BF8F}" name="Identifier" dataDxfId="198"/>
    <tableColumn id="2" xr3:uid="{BFA6A302-1312-44A9-9D24-00404B96F93D}" name="Project ID" dataDxfId="197"/>
    <tableColumn id="3" xr3:uid="{6FC4FB3D-D4AD-4191-B505-D0037CFE0AE6}" name="Phase" dataDxfId="196"/>
    <tableColumn id="4" xr3:uid="{869514EC-8FC7-48A8-9C17-94321EE95FF7}" name="Structure ID" dataDxfId="195"/>
    <tableColumn id="5" xr3:uid="{863DC3E8-E570-4145-B742-09AB28340D03}" name="Water Depth [m]" dataDxfId="194"/>
    <tableColumn id="6" xr3:uid="{9DF4DE17-029C-4704-967A-33C81C46070E}" name="Height Reference" dataDxfId="193"/>
    <tableColumn id="7" xr3:uid="{769D8177-1D18-4F53-87D2-AB6EDE9D675F}" name="Comments" dataDxfId="19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49" totalsRowShown="0" headerRowDxfId="191" dataDxfId="190">
  <autoFilter ref="BR24:BW49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189"/>
    <tableColumn id="2" xr3:uid="{BC63B096-D7B8-47B5-B5E9-FC896BC9868B}" name="Top [m]" dataDxfId="188"/>
    <tableColumn id="3" xr3:uid="{B9C7376D-FAD6-493B-8287-40DCA419DD50}" name="Bottom [m]" dataDxfId="187"/>
    <tableColumn id="4" xr3:uid="{6DC756E0-08B6-443E-9B2C-8D790BB94B8D}" name="D, top [m]" dataDxfId="186"/>
    <tableColumn id="5" xr3:uid="{BBD13E2B-0AEF-41AA-A565-50855C7E6296}" name="D, bottom [m]" dataDxfId="185"/>
    <tableColumn id="6" xr3:uid="{123F9676-EB92-4044-A35A-E032C3EBF8E7}" name="t [mm]" dataDxfId="1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183" dataDxfId="182">
  <autoFilter ref="CG18:CM19" xr:uid="{BC714A6A-8D53-444B-883B-7E7991C4738D}"/>
  <tableColumns count="7">
    <tableColumn id="1" xr3:uid="{2851D88E-C4FF-4F89-9EC3-EAFBEA54B71F}" name="Identifier" dataDxfId="181"/>
    <tableColumn id="2" xr3:uid="{02792EA3-7910-49BB-A8F1-6C715F3370FC}" name="Project ID" dataDxfId="180"/>
    <tableColumn id="3" xr3:uid="{E61B3620-9AD6-47D6-B636-C8C2AD063634}" name="Phase" dataDxfId="179"/>
    <tableColumn id="4" xr3:uid="{605E5017-0F2F-4443-A933-4E5CD08A4C23}" name="Structure ID" dataDxfId="178"/>
    <tableColumn id="5" xr3:uid="{BDF5F12B-CA8B-48E8-87A7-7D0364DE2FB2}" name="Water Depth [m]" dataDxfId="177"/>
    <tableColumn id="6" xr3:uid="{EE01736A-C2DC-472E-BB17-6D42BEB50FD3}" name="Height Reference" dataDxfId="176"/>
    <tableColumn id="7" xr3:uid="{89F52D24-3700-4E96-A3EE-54C0BD6E6850}" name="Comments" dataDxfId="17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20" totalsRowShown="0" headerRowDxfId="174" dataDxfId="173">
  <autoFilter ref="CR18:CX20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172"/>
    <tableColumn id="2" xr3:uid="{BCD09FD8-ED15-428C-A59B-CFD0BF079641}" name="Project ID" dataDxfId="171"/>
    <tableColumn id="3" xr3:uid="{76AFB3BE-3FC3-4189-A098-6A9EA54A5EC9}" name="Phase" dataDxfId="170"/>
    <tableColumn id="4" xr3:uid="{33378BDF-E99D-44A7-8811-811CD7F1395F}" name="Structure ID" dataDxfId="169"/>
    <tableColumn id="5" xr3:uid="{DE6D6C26-BA61-4AFF-8E06-02AD273B29E8}" name="Water Depth [m]" dataDxfId="168"/>
    <tableColumn id="6" xr3:uid="{B865CAD0-836B-45FC-8185-9945C6562913}" name="Height Reference" dataDxfId="167"/>
    <tableColumn id="7" xr3:uid="{1F656F81-71F7-4B46-A4A6-8B1FC6147EC5}" name="Comments" dataDxfId="16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49" totalsRowShown="0" headerRowDxfId="165" dataDxfId="164">
  <autoFilter ref="CG24:CL49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163"/>
    <tableColumn id="2" xr3:uid="{B6685CB3-8DE6-43F6-B6B6-9EE349AFDB7E}" name="Top [m]" dataDxfId="162"/>
    <tableColumn id="3" xr3:uid="{DF0BDC05-BDC5-4912-B19E-FE92634C630E}" name="Bottom [m]" dataDxfId="161"/>
    <tableColumn id="4" xr3:uid="{FE62A509-C225-4EE7-9E1A-92FB7B34D915}" name="D, top [m]" dataDxfId="160"/>
    <tableColumn id="5" xr3:uid="{40198B9A-CE5F-48D3-B6CF-9F426B6E0187}" name="D, bottom [m]" dataDxfId="159"/>
    <tableColumn id="6" xr3:uid="{9098A7F1-A089-4645-9946-FA698633501A}" name="t [mm]" dataDxfId="15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29" totalsRowShown="0" headerRowDxfId="157" dataDxfId="156">
  <autoFilter ref="CC24:CE29" xr:uid="{E785A247-6678-47FD-8A48-16CD1A0703D0}"/>
  <tableColumns count="3">
    <tableColumn id="1" xr3:uid="{D015FF14-679F-4C4B-AD11-FD169A799F7D}" name="Elevation [m]" dataDxfId="155"/>
    <tableColumn id="2" xr3:uid="{F6B0D10D-7C44-41C3-9301-C37A6304C787}" name="Mass [kg]" dataDxfId="154"/>
    <tableColumn id="3" xr3:uid="{F049C52E-CCD6-4E67-9C8C-52FA82F691D9}" name="commment" dataDxfId="153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29" totalsRowShown="0" headerRowDxfId="152" dataDxfId="151">
  <autoFilter ref="CN24:CP29" xr:uid="{3F664A08-9F40-4B2F-8151-7F221D68F245}"/>
  <tableColumns count="3">
    <tableColumn id="1" xr3:uid="{D4114F81-D70E-4B19-A7AB-C51B4DC07220}" name="Elevation [m]" dataDxfId="150"/>
    <tableColumn id="2" xr3:uid="{55470CA8-68EE-4770-B151-4A1CCF576822}" name="Mass [kg]" dataDxfId="149"/>
    <tableColumn id="3" xr3:uid="{78453B6F-A529-4D07-BA22-75B01F2D871E}" name="commment" dataDxfId="14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021AE7-643F-46A4-ABC8-79DC752F7EA5}" name="RNA_META" displayName="RNA_META" ref="CZ18:DF19" totalsRowShown="0" headerRowDxfId="147" dataDxfId="146">
  <autoFilter ref="CZ18:DF19" xr:uid="{B7021AE7-643F-46A4-ABC8-79DC752F7EA5}"/>
  <tableColumns count="7">
    <tableColumn id="1" xr3:uid="{BA51DF58-2991-4657-BF6B-A5547BC7132D}" name="Identifier" dataDxfId="145"/>
    <tableColumn id="2" xr3:uid="{70B49C88-424E-4FD9-9150-1A11E97420FB}" name="Project ID" dataDxfId="144"/>
    <tableColumn id="3" xr3:uid="{FD3274A3-4C71-4A46-9CE0-69B260EF92C4}" name="Phase" dataDxfId="143"/>
    <tableColumn id="4" xr3:uid="{CDBB73D3-4B92-44A8-9566-7426EA587F93}" name="Structure ID" dataDxfId="142"/>
    <tableColumn id="5" xr3:uid="{6589FD2A-0040-4882-BFAF-8BA1F9758A8E}" name="Water Depth [m]" dataDxfId="141"/>
    <tableColumn id="6" xr3:uid="{6F7D7318-CCD8-40D0-9B54-F9EC99F1FD8F}" name="Height Reference" dataDxfId="140"/>
    <tableColumn id="7" xr3:uid="{A369882E-7CE9-4E07-BB2C-5B9B0B2E4DB0}" name="Comments" dataDxfId="13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538A1AE-019A-40A3-864B-52CDD8DE035B}" name="RNA_META_NEW" displayName="RNA_META_NEW" ref="CZ21:DF22" totalsRowShown="0" headerRowDxfId="138" dataDxfId="137">
  <autoFilter ref="CZ21:DF22" xr:uid="{8538A1AE-019A-40A3-864B-52CDD8DE035B}"/>
  <tableColumns count="7">
    <tableColumn id="1" xr3:uid="{DA94BFC9-0ABD-4C09-A6C8-30951470FCB6}" name="Identifier" dataDxfId="136"/>
    <tableColumn id="2" xr3:uid="{9CC9EFC0-3759-410E-960F-6D5050CBD840}" name="Project ID" dataDxfId="135"/>
    <tableColumn id="3" xr3:uid="{751071F0-9EDF-4AAE-8469-BE050CDE41C7}" name="Phase" dataDxfId="134"/>
    <tableColumn id="4" xr3:uid="{B8DF6AB1-1B60-4120-8175-1FE1FE71A340}" name="Structure ID" dataDxfId="133"/>
    <tableColumn id="5" xr3:uid="{6BC4C6EE-8000-4FCF-8A94-14CC9576D39D}" name="Water Depth [m]" dataDxfId="132"/>
    <tableColumn id="6" xr3:uid="{54185087-4FEE-428B-81D3-730C80C0C039}" name="Height Reference" dataDxfId="131"/>
    <tableColumn id="7" xr3:uid="{2A0D3BB0-2C91-4B02-A986-9CF83D7112F7}" name="Comments" dataDxfId="13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Z24:DD25" totalsRowShown="0" headerRowDxfId="129" dataDxfId="128">
  <autoFilter ref="CZ24:DD25" xr:uid="{FEE1C0E0-398B-48E1-9521-CCB187180413}"/>
  <sortState xmlns:xlrd2="http://schemas.microsoft.com/office/spreadsheetml/2017/richdata2" ref="CZ25:DJ49">
    <sortCondition ref="CZ24:CZ49"/>
  </sortState>
  <tableColumns count="5">
    <tableColumn id="1" xr3:uid="{03A8E757-56E6-48B0-929F-24FBFFC0EAA8}" name="Identifier" dataDxfId="127"/>
    <tableColumn id="2" xr3:uid="{BF4DEE24-7E2F-4B20-9B44-27C601C754F1}" name="Mass [t]" dataDxfId="126"/>
    <tableColumn id="3" xr3:uid="{4CBE937C-DD0F-4596-BD90-BE03828E4CA7}" name="Inertia [kg·m²]" dataDxfId="125"/>
    <tableColumn id="4" xr3:uid="{DE89D440-DA99-4425-B50C-30544DB961F5}" name="Offset TT_COG [m]" dataDxfId="124"/>
    <tableColumn id="5" xr3:uid="{E2FB4084-506E-4EC7-9BC8-8255DFE52EE0}" name="comment" dataDxfId="123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C027F8-D177-47C6-8082-9D64DAD25F17}" name="RNA_META_TRUE" displayName="RNA_META_TRUE" ref="DK18:DQ19" totalsRowShown="0" headerRowDxfId="122" dataDxfId="121">
  <autoFilter ref="DK18:DQ19" xr:uid="{C9C027F8-D177-47C6-8082-9D64DAD25F17}"/>
  <tableColumns count="7">
    <tableColumn id="1" xr3:uid="{ABE67783-25F8-4F62-B653-2B8171186315}" name="Identifier" dataDxfId="120"/>
    <tableColumn id="2" xr3:uid="{148670DA-BFD1-4A85-A51C-10C3249B9E7E}" name="Project ID" dataDxfId="119"/>
    <tableColumn id="3" xr3:uid="{A41A11A7-7989-4671-8E6B-5BF6B7B40A84}" name="Phase" dataDxfId="118"/>
    <tableColumn id="4" xr3:uid="{09E19147-45BB-4914-92E2-B3EB586B27FE}" name="Structure ID" dataDxfId="117"/>
    <tableColumn id="5" xr3:uid="{E8D43F28-B600-4668-A8C7-5186748E6998}" name="Water Depth [m]" dataDxfId="116"/>
    <tableColumn id="6" xr3:uid="{43D2188C-6159-40EB-963D-7C4E503A20F7}" name="Height Reference" dataDxfId="115"/>
    <tableColumn id="7" xr3:uid="{E2AA6927-834E-46EA-9E5F-2C6D63ACBA00}" name="Comments" dataDxfId="11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43F148-929A-4BC4-A24C-AC9143E84790}" name="RNA_META_FULL" displayName="RNA_META_FULL" ref="DS18:DY19" totalsRowShown="0" headerRowDxfId="113" dataDxfId="112">
  <autoFilter ref="DS18:DY19" xr:uid="{5143F148-929A-4BC4-A24C-AC9143E84790}"/>
  <sortState xmlns:xlrd2="http://schemas.microsoft.com/office/spreadsheetml/2017/richdata2" ref="DS19:DW20">
    <sortCondition descending="1" ref="DU18:DU20"/>
  </sortState>
  <tableColumns count="7">
    <tableColumn id="1" xr3:uid="{D029201F-D941-4D86-A3F8-2737864A9F64}" name="Identifier" dataDxfId="111"/>
    <tableColumn id="2" xr3:uid="{A88D0FA3-BA16-4681-BFCD-83D4EF9A0753}" name="Project ID" dataDxfId="110"/>
    <tableColumn id="3" xr3:uid="{E5F05A61-1A64-4290-B169-0EBAB583562B}" name="Phase" dataDxfId="109"/>
    <tableColumn id="4" xr3:uid="{C186514B-FDEF-4EC3-911D-410ED9639722}" name="Structure ID" dataDxfId="108"/>
    <tableColumn id="5" xr3:uid="{C1C1BFD5-88E9-401D-9F98-1689C6D2F603}" name="Water Depth [m]" dataDxfId="107"/>
    <tableColumn id="6" xr3:uid="{E828BF34-83C2-4889-B2AA-EF3AA7ADA155}" name="Height Reference" dataDxfId="106"/>
    <tableColumn id="7" xr3:uid="{26762C86-FF3D-4E18-9A66-829AA0E28E25}" name="Comments" dataDxfId="10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754D819-0A2A-44EA-BBE0-138ECEAE0FD4}" name="RNA_DATA_TRUE" displayName="RNA_DATA_TRUE" ref="DK24:DP92" totalsRowShown="0" headerRowDxfId="104" dataDxfId="103">
  <autoFilter ref="DK24:DP92" xr:uid="{D754D819-0A2A-44EA-BBE0-138ECEAE0FD4}"/>
  <sortState xmlns:xlrd2="http://schemas.microsoft.com/office/spreadsheetml/2017/richdata2" ref="DK25:DU49">
    <sortCondition ref="DK24:DK49"/>
  </sortState>
  <tableColumns count="6">
    <tableColumn id="1" xr3:uid="{BBC71296-2589-42DC-9DD3-1F432FFEBA48}" name="Section" dataDxfId="102"/>
    <tableColumn id="2" xr3:uid="{F9035DA0-9486-498F-91B8-6F189BA50A7B}" name="Top [m]" dataDxfId="101"/>
    <tableColumn id="3" xr3:uid="{748FE9C6-772E-4FDA-AA26-6EFEA3C01239}" name="Bottom [m]" dataDxfId="100"/>
    <tableColumn id="4" xr3:uid="{A64E80E4-3F89-415D-BA09-A93FA326D345}" name="D, top [m]" dataDxfId="99"/>
    <tableColumn id="5" xr3:uid="{C14915BA-564F-4F6A-9D9D-E70A97676983}" name="D, bottom [m]" dataDxfId="98"/>
    <tableColumn id="6" xr3:uid="{58E27CA0-AED8-4A28-99B6-2A9A2E4C0BDF}" name="t [mm]" dataDxfId="9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96" dataDxfId="95">
  <autoFilter ref="B12:I66" xr:uid="{6964430C-2D65-45C4-817F-08653037EDFC}"/>
  <tableColumns count="8">
    <tableColumn id="1" xr3:uid="{1C924510-54DB-4186-8521-598E5FD7BF93}" name="Section" dataDxfId="94"/>
    <tableColumn id="2" xr3:uid="{29F8F207-72DF-4027-A39E-C3D956F79382}" name="Affiliation" dataDxfId="93"/>
    <tableColumn id="3" xr3:uid="{F1A86E12-282B-4FE8-A989-9056549BE251}" name="local Section" dataDxfId="92"/>
    <tableColumn id="4" xr3:uid="{1F0B5480-90D3-4DBF-AAEC-010EB8A46507}" name="Top [m]" dataDxfId="91"/>
    <tableColumn id="5" xr3:uid="{2F9EEEB1-AE18-4058-A215-9A6EAD23E6F0}" name="Bottom [m]" dataDxfId="90"/>
    <tableColumn id="6" xr3:uid="{CAF3E9FD-22BF-4C53-97D3-15DEA70C9DE2}" name="D, top [m]" dataDxfId="89"/>
    <tableColumn id="7" xr3:uid="{EE4449DD-273C-4967-8180-25E33E65F937}" name="D, bottom [m]" dataDxfId="88"/>
    <tableColumn id="8" xr3:uid="{0EE8182A-58FD-432D-A87C-9A474A081C7F}" name="t [mm]" dataDxfId="8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86" dataDxfId="85">
  <autoFilter ref="O12:R27" xr:uid="{99775F4D-8879-4247-BCBB-9E55004F5FE5}"/>
  <tableColumns count="4">
    <tableColumn id="8" xr3:uid="{4222E379-EA2F-436F-A27E-F66347A2B7A2}" name="Affiliation" dataDxfId="84"/>
    <tableColumn id="1" xr3:uid="{00244646-90F3-4DDD-AB6B-0373781AFF60}" name="Elevation [m]" dataDxfId="83"/>
    <tableColumn id="2" xr3:uid="{6305BA78-EC7F-4D5E-A143-DF4E3CB9A56C}" name="Mass [kg]" dataDxfId="82"/>
    <tableColumn id="3" xr3:uid="{156C5A02-52CD-48BE-87D5-E9BF8F935E99}" name="comment" dataDxfId="8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8" totalsRowShown="0" headerRowDxfId="80" dataDxfId="78" headerRowBorderDxfId="79" tableBorderDxfId="77" totalsRowBorderDxfId="76">
  <autoFilter ref="T16:Y18" xr:uid="{A1E86920-59C8-4A34-A4FA-D52D35DC047E}"/>
  <tableColumns count="6">
    <tableColumn id="1" xr3:uid="{D7BA5792-F27A-42AB-84A6-1A5C5073E624}" name="Affiliation" dataDxfId="75"/>
    <tableColumn id="3" xr3:uid="{F299E913-54CD-48A0-BB41-0880A93754FE}" name="Top [m]" dataDxfId="74"/>
    <tableColumn id="4" xr3:uid="{3FE7280C-AE16-43A5-98C5-AC81567063F8}" name="Bottom [m]" dataDxfId="73"/>
    <tableColumn id="5" xr3:uid="{494E1F17-E9F7-4B30-BF2F-0D837AD6C9EB}" name="D, top [m]" dataDxfId="72"/>
    <tableColumn id="6" xr3:uid="{9D18588B-23C1-495C-A81D-3BA5AF2F1DDD}" name="D, bottom [m]" dataDxfId="71"/>
    <tableColumn id="7" xr3:uid="{C3BA2567-9ACF-4834-A3FA-9599A0D98796}" name="t [mm]" dataDxfId="7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68" headerRowBorderDxfId="69" tableBorderDxfId="67">
  <autoFilter ref="T12:W13" xr:uid="{CD52EECF-AB78-4C57-8765-66AA1058C0CF}"/>
  <tableColumns count="4">
    <tableColumn id="1" xr3:uid="{035BC3C9-B7CD-47B5-94D2-F8D64A04FD6C}" name="Affiliation" dataDxfId="66"/>
    <tableColumn id="2" xr3:uid="{9093341A-644E-4005-A4B0-0B05612EE421}" name="Elevation [m]" dataDxfId="65"/>
    <tableColumn id="3" xr3:uid="{71FE16E7-7251-4F14-B28B-4C6055F6AED1}" name="Mass [kg]" dataDxfId="64"/>
    <tableColumn id="4" xr3:uid="{87F4221A-61DF-4C79-A116-8098A7C6FAAE}" name="comment" dataDxfId="6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G12:AI15" totalsRowShown="0" headerRowDxfId="62" dataDxfId="61">
  <autoFilter ref="AG12:AI15" xr:uid="{8D334D84-754D-4685-9A4A-6A66B2E4FFB9}"/>
  <tableColumns count="3">
    <tableColumn id="1" xr3:uid="{DB673771-BB6D-4B68-81A2-B0DFC2758DC6}" name="Bottom [m]" dataDxfId="60">
      <calculatedColumnFormula>IF(ISBLANK(AH13),"",AH12)</calculatedColumnFormula>
    </tableColumn>
    <tableColumn id="2" xr3:uid="{88DBAEFE-0CE9-43B7-BBD5-30E29A54DD0E}" name="Top [m]" dataDxfId="59"/>
    <tableColumn id="3" xr3:uid="{88F4E89D-F5DC-463C-AE91-5C5F8B82A591}" name="Marine Growth [mm]" dataDxfId="5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K12:AN14" totalsRowShown="0" headerRowDxfId="57">
  <autoFilter ref="AK12:AN14" xr:uid="{87B4A03F-1005-4720-8887-A14737394284}"/>
  <tableColumns count="4">
    <tableColumn id="1" xr3:uid="{79B3039B-DCB3-4DB5-9657-9170C1A7D7A1}" name="Bottom [m]" dataDxfId="56"/>
    <tableColumn id="2" xr3:uid="{798BD679-C372-4555-9ABA-DF12AF1BEB7B}" name="Top [m]" dataDxfId="55"/>
    <tableColumn id="3" xr3:uid="{C28B4B73-F57A-4DF1-B531-CD436CEA398C}" name="cd" dataDxfId="54"/>
    <tableColumn id="4" xr3:uid="{B75141CC-AB54-4904-90B7-845CA3D69A1B}" name="cm" dataDxfId="5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E13" totalsRowShown="0" headerRowDxfId="52" dataDxfId="50" headerRowBorderDxfId="51" tableBorderDxfId="49" totalsRowBorderDxfId="48">
  <autoFilter ref="AA12:AE13" xr:uid="{72CE8A2A-6760-4548-BB1E-BCA204D8C1BA}"/>
  <tableColumns count="5">
    <tableColumn id="1" xr3:uid="{46A5A21B-3002-456C-8AD9-5ECB42AC421F}" name="Identifier" dataDxfId="47"/>
    <tableColumn id="2" xr3:uid="{F5B4AC32-29FD-42F7-91EC-62CC42FCE0D7}" name="Mass [t]" dataDxfId="46"/>
    <tableColumn id="3" xr3:uid="{F6A77E93-EA0B-4A7B-91D9-D14361BC8B1A}" name="Inertia [kg·m²]" dataDxfId="45"/>
    <tableColumn id="4" xr3:uid="{324F57B3-0BB2-4A0A-864F-C4E295BA1417}" name="Offset TT_COG [m]" dataDxfId="44"/>
    <tableColumn id="5" xr3:uid="{498958C1-FF10-460A-950F-D28B6D477E67}" name="comment" dataDxfId="4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totalsRowShown="0" dataDxfId="42">
  <autoFilter ref="B2:D6" xr:uid="{C35E7AB2-603F-4F8E-A683-CC2DB9E03260}"/>
  <tableColumns count="3">
    <tableColumn id="1" xr3:uid="{249E4AC0-B025-41CE-B64B-B1C47A8B108A}" name="Parameter" dataDxfId="41"/>
    <tableColumn id="2" xr3:uid="{96957327-E448-409A-A132-2F66C10F1B05}" name="Value" dataDxfId="40"/>
    <tableColumn id="3" xr3:uid="{9BA3C973-0D4E-4458-9364-B9F23256E516}" name="Unit" dataDxfId="3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5" totalsRowShown="0">
  <autoFilter ref="B8:E15" xr:uid="{D00F4F6D-0F31-4182-BC4A-31C745F7BBA9}"/>
  <tableColumns count="4">
    <tableColumn id="1" xr3:uid="{3E7E42D1-2471-409C-AC2F-75B5A8095375}" name="Parameter"/>
    <tableColumn id="2" xr3:uid="{6C705FCB-5D10-4250-9912-E9DAC119643B}" name="Value" dataDxfId="38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0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5.xml"/><Relationship Id="rId42" Type="http://schemas.openxmlformats.org/officeDocument/2006/relationships/table" Target="../tables/table13.xml"/><Relationship Id="rId47" Type="http://schemas.openxmlformats.org/officeDocument/2006/relationships/table" Target="../tables/table18.xml"/><Relationship Id="rId50" Type="http://schemas.openxmlformats.org/officeDocument/2006/relationships/table" Target="../tables/table21.xml"/><Relationship Id="rId55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3.xml"/><Relationship Id="rId37" Type="http://schemas.openxmlformats.org/officeDocument/2006/relationships/table" Target="../tables/table8.xml"/><Relationship Id="rId40" Type="http://schemas.openxmlformats.org/officeDocument/2006/relationships/table" Target="../tables/table11.xml"/><Relationship Id="rId45" Type="http://schemas.openxmlformats.org/officeDocument/2006/relationships/table" Target="../tables/table16.xml"/><Relationship Id="rId53" Type="http://schemas.openxmlformats.org/officeDocument/2006/relationships/table" Target="../tables/table24.xml"/><Relationship Id="rId58" Type="http://schemas.openxmlformats.org/officeDocument/2006/relationships/table" Target="../tables/table29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43" Type="http://schemas.openxmlformats.org/officeDocument/2006/relationships/table" Target="../tables/table14.xml"/><Relationship Id="rId48" Type="http://schemas.openxmlformats.org/officeDocument/2006/relationships/table" Target="../tables/table19.xml"/><Relationship Id="rId56" Type="http://schemas.openxmlformats.org/officeDocument/2006/relationships/table" Target="../tables/table27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4.xml"/><Relationship Id="rId38" Type="http://schemas.openxmlformats.org/officeDocument/2006/relationships/table" Target="../tables/table9.xml"/><Relationship Id="rId46" Type="http://schemas.openxmlformats.org/officeDocument/2006/relationships/table" Target="../tables/table17.xml"/><Relationship Id="rId59" Type="http://schemas.openxmlformats.org/officeDocument/2006/relationships/table" Target="../tables/table3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2.xml"/><Relationship Id="rId54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7.xml"/><Relationship Id="rId49" Type="http://schemas.openxmlformats.org/officeDocument/2006/relationships/table" Target="../tables/table20.xml"/><Relationship Id="rId57" Type="http://schemas.openxmlformats.org/officeDocument/2006/relationships/table" Target="../tables/table28.xml"/><Relationship Id="rId10" Type="http://schemas.openxmlformats.org/officeDocument/2006/relationships/ctrlProp" Target="../ctrlProps/ctrlProp11.xml"/><Relationship Id="rId31" Type="http://schemas.openxmlformats.org/officeDocument/2006/relationships/table" Target="../tables/table2.xml"/><Relationship Id="rId44" Type="http://schemas.openxmlformats.org/officeDocument/2006/relationships/table" Target="../tables/table15.xml"/><Relationship Id="rId52" Type="http://schemas.openxmlformats.org/officeDocument/2006/relationships/table" Target="../tables/table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9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91" t="s">
        <v>42</v>
      </c>
      <c r="C4" s="92"/>
      <c r="D4" s="93"/>
      <c r="E4" s="40"/>
      <c r="F4" s="94" t="s">
        <v>26</v>
      </c>
      <c r="G4" s="95"/>
      <c r="H4" s="95"/>
      <c r="I4" s="96"/>
      <c r="J4" s="40"/>
      <c r="K4" s="97" t="s">
        <v>43</v>
      </c>
      <c r="L4" s="98"/>
      <c r="M4" s="99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DZ168"/>
  <sheetViews>
    <sheetView zoomScaleNormal="100" workbookViewId="0">
      <selection activeCell="F18" sqref="F18"/>
    </sheetView>
  </sheetViews>
  <sheetFormatPr baseColWidth="10" defaultColWidth="11.33203125" defaultRowHeight="14.4" outlineLevelCol="1" x14ac:dyDescent="0.3"/>
  <cols>
    <col min="1" max="1" width="43.33203125" style="71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customWidth="1" outlineLevel="1"/>
    <col min="18" max="18" width="12.6640625" customWidth="1" outlineLevel="1"/>
    <col min="19" max="19" width="11.33203125" customWidth="1" outlineLevel="1"/>
    <col min="20" max="20" width="14.5546875" customWidth="1" outlineLevel="1"/>
    <col min="21" max="26" width="11.33203125" customWidth="1" outlineLevel="1"/>
    <col min="28" max="28" width="28.33203125" customWidth="1"/>
    <col min="31" max="31" width="22" customWidth="1"/>
    <col min="33" max="34" width="15.44140625" customWidth="1"/>
    <col min="35" max="35" width="15.44140625" style="73" customWidth="1"/>
    <col min="36" max="36" width="23.109375" style="71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69" max="69" width="11.33203125" style="73"/>
    <col min="70" max="70" width="23.109375" style="71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  <col min="103" max="103" width="11.33203125" style="73"/>
    <col min="104" max="104" width="23.109375" style="71" customWidth="1"/>
    <col min="105" max="105" width="14.77734375" customWidth="1"/>
    <col min="106" max="106" width="21.21875" customWidth="1"/>
    <col min="107" max="107" width="22.44140625" customWidth="1"/>
    <col min="108" max="108" width="16.6640625" customWidth="1"/>
    <col min="115" max="121" width="11.33203125" hidden="1" customWidth="1" outlineLevel="1"/>
    <col min="122" max="122" width="11.33203125" collapsed="1"/>
    <col min="130" max="130" width="11.33203125" style="73"/>
  </cols>
  <sheetData>
    <row r="5" spans="2:114" x14ac:dyDescent="0.3">
      <c r="E5" s="72"/>
    </row>
    <row r="6" spans="2:114" x14ac:dyDescent="0.3">
      <c r="E6" s="72" t="b">
        <v>1</v>
      </c>
    </row>
    <row r="7" spans="2:114" x14ac:dyDescent="0.3">
      <c r="E7" s="72"/>
    </row>
    <row r="8" spans="2:114" x14ac:dyDescent="0.3">
      <c r="E8" s="72" t="b">
        <v>1</v>
      </c>
    </row>
    <row r="9" spans="2:114" ht="24" customHeight="1" x14ac:dyDescent="0.3"/>
    <row r="11" spans="2:114" ht="18" x14ac:dyDescent="0.35">
      <c r="B11" s="74" t="s">
        <v>70</v>
      </c>
      <c r="P11" t="s">
        <v>76</v>
      </c>
      <c r="AJ11" s="82" t="s">
        <v>95</v>
      </c>
      <c r="AX11" t="s">
        <v>76</v>
      </c>
      <c r="BR11" s="82" t="s">
        <v>79</v>
      </c>
      <c r="CF11" t="s">
        <v>76</v>
      </c>
      <c r="CZ11" s="82" t="s">
        <v>140</v>
      </c>
      <c r="DJ11" t="s">
        <v>76</v>
      </c>
    </row>
    <row r="13" spans="2:114" ht="23.4" customHeight="1" x14ac:dyDescent="0.3">
      <c r="C13" s="75" t="s">
        <v>97</v>
      </c>
      <c r="AK13" s="75" t="s">
        <v>71</v>
      </c>
      <c r="BS13" s="75" t="s">
        <v>96</v>
      </c>
      <c r="DA13" s="75" t="s">
        <v>96</v>
      </c>
    </row>
    <row r="14" spans="2:114" ht="21.6" customHeight="1" thickBot="1" x14ac:dyDescent="0.35"/>
    <row r="15" spans="2:114" ht="21.6" customHeight="1" thickBot="1" x14ac:dyDescent="0.35">
      <c r="D15" s="61" t="s">
        <v>118</v>
      </c>
      <c r="E15" s="62"/>
      <c r="F15" s="64"/>
      <c r="G15" s="62"/>
      <c r="H15" s="63"/>
      <c r="AN15" s="61" t="s">
        <v>118</v>
      </c>
      <c r="AO15" s="62"/>
      <c r="AP15" s="65"/>
      <c r="AQ15" s="62"/>
      <c r="AR15" s="63"/>
    </row>
    <row r="18" spans="1:129" x14ac:dyDescent="0.3">
      <c r="A18" s="76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152</v>
      </c>
      <c r="G18" t="s">
        <v>147</v>
      </c>
      <c r="H18" t="s">
        <v>153</v>
      </c>
      <c r="Q18" t="s">
        <v>81</v>
      </c>
      <c r="R18" t="s">
        <v>82</v>
      </c>
      <c r="S18" t="s">
        <v>80</v>
      </c>
      <c r="T18" t="s">
        <v>83</v>
      </c>
      <c r="U18" t="s">
        <v>152</v>
      </c>
      <c r="V18" t="s">
        <v>147</v>
      </c>
      <c r="W18" t="s">
        <v>153</v>
      </c>
      <c r="AB18" t="s">
        <v>81</v>
      </c>
      <c r="AC18" t="s">
        <v>82</v>
      </c>
      <c r="AD18" t="s">
        <v>80</v>
      </c>
      <c r="AE18" t="s">
        <v>83</v>
      </c>
      <c r="AF18" t="s">
        <v>152</v>
      </c>
      <c r="AG18" t="s">
        <v>147</v>
      </c>
      <c r="AH18" t="s">
        <v>153</v>
      </c>
      <c r="AJ18" s="71" t="s">
        <v>81</v>
      </c>
      <c r="AK18" t="s">
        <v>82</v>
      </c>
      <c r="AL18" t="s">
        <v>80</v>
      </c>
      <c r="AM18" t="s">
        <v>83</v>
      </c>
      <c r="AN18" t="s">
        <v>152</v>
      </c>
      <c r="AO18" t="s">
        <v>147</v>
      </c>
      <c r="AP18" t="s">
        <v>153</v>
      </c>
      <c r="AY18" t="s">
        <v>81</v>
      </c>
      <c r="AZ18" t="s">
        <v>82</v>
      </c>
      <c r="BA18" t="s">
        <v>80</v>
      </c>
      <c r="BB18" t="s">
        <v>83</v>
      </c>
      <c r="BC18" t="s">
        <v>152</v>
      </c>
      <c r="BD18" t="s">
        <v>147</v>
      </c>
      <c r="BE18" t="s">
        <v>153</v>
      </c>
      <c r="BJ18" t="s">
        <v>81</v>
      </c>
      <c r="BK18" t="s">
        <v>82</v>
      </c>
      <c r="BL18" t="s">
        <v>80</v>
      </c>
      <c r="BM18" t="s">
        <v>83</v>
      </c>
      <c r="BN18" t="s">
        <v>152</v>
      </c>
      <c r="BO18" t="s">
        <v>147</v>
      </c>
      <c r="BP18" t="s">
        <v>153</v>
      </c>
      <c r="BR18" s="71" t="s">
        <v>81</v>
      </c>
      <c r="BS18" t="s">
        <v>82</v>
      </c>
      <c r="BT18" t="s">
        <v>80</v>
      </c>
      <c r="BU18" t="s">
        <v>83</v>
      </c>
      <c r="BV18" t="s">
        <v>152</v>
      </c>
      <c r="BW18" t="s">
        <v>147</v>
      </c>
      <c r="BX18" t="s">
        <v>153</v>
      </c>
      <c r="CG18" t="s">
        <v>81</v>
      </c>
      <c r="CH18" t="s">
        <v>82</v>
      </c>
      <c r="CI18" t="s">
        <v>80</v>
      </c>
      <c r="CJ18" t="s">
        <v>83</v>
      </c>
      <c r="CK18" t="s">
        <v>152</v>
      </c>
      <c r="CL18" t="s">
        <v>147</v>
      </c>
      <c r="CM18" t="s">
        <v>153</v>
      </c>
      <c r="CR18" t="s">
        <v>81</v>
      </c>
      <c r="CS18" t="s">
        <v>82</v>
      </c>
      <c r="CT18" t="s">
        <v>80</v>
      </c>
      <c r="CU18" t="s">
        <v>83</v>
      </c>
      <c r="CV18" t="s">
        <v>152</v>
      </c>
      <c r="CW18" t="s">
        <v>147</v>
      </c>
      <c r="CX18" t="s">
        <v>153</v>
      </c>
      <c r="CZ18" s="71" t="s">
        <v>81</v>
      </c>
      <c r="DA18" t="s">
        <v>82</v>
      </c>
      <c r="DB18" t="s">
        <v>80</v>
      </c>
      <c r="DC18" t="s">
        <v>83</v>
      </c>
      <c r="DD18" t="s">
        <v>152</v>
      </c>
      <c r="DE18" t="s">
        <v>147</v>
      </c>
      <c r="DF18" t="s">
        <v>153</v>
      </c>
      <c r="DK18" t="s">
        <v>81</v>
      </c>
      <c r="DL18" t="s">
        <v>82</v>
      </c>
      <c r="DM18" t="s">
        <v>80</v>
      </c>
      <c r="DN18" t="s">
        <v>83</v>
      </c>
      <c r="DO18" t="s">
        <v>152</v>
      </c>
      <c r="DP18" t="s">
        <v>147</v>
      </c>
      <c r="DQ18" t="s">
        <v>153</v>
      </c>
      <c r="DS18" t="s">
        <v>81</v>
      </c>
      <c r="DT18" t="s">
        <v>82</v>
      </c>
      <c r="DU18" t="s">
        <v>80</v>
      </c>
      <c r="DV18" t="s">
        <v>83</v>
      </c>
      <c r="DW18" t="s">
        <v>152</v>
      </c>
      <c r="DX18" t="s">
        <v>147</v>
      </c>
      <c r="DY18" t="s">
        <v>153</v>
      </c>
    </row>
    <row r="19" spans="1:129" x14ac:dyDescent="0.3">
      <c r="A19" s="77" t="s">
        <v>78</v>
      </c>
      <c r="B19" s="100" t="s">
        <v>89</v>
      </c>
      <c r="C19" s="100" t="s">
        <v>90</v>
      </c>
      <c r="D19" s="100" t="s">
        <v>86</v>
      </c>
      <c r="E19" s="100" t="s">
        <v>91</v>
      </c>
      <c r="F19" s="100">
        <v>39.799999999999997</v>
      </c>
      <c r="G19" s="100" t="s">
        <v>49</v>
      </c>
      <c r="H19" s="100" t="s">
        <v>88</v>
      </c>
      <c r="Q19" t="s">
        <v>89</v>
      </c>
      <c r="R19" t="s">
        <v>90</v>
      </c>
      <c r="S19" t="s">
        <v>86</v>
      </c>
      <c r="T19" t="s">
        <v>91</v>
      </c>
      <c r="U19">
        <v>39.799999999999997</v>
      </c>
      <c r="V19" t="s">
        <v>49</v>
      </c>
      <c r="W19" t="s">
        <v>88</v>
      </c>
      <c r="AB19" t="s">
        <v>84</v>
      </c>
      <c r="AC19" t="s">
        <v>85</v>
      </c>
      <c r="AD19" t="s">
        <v>86</v>
      </c>
      <c r="AE19" t="s">
        <v>87</v>
      </c>
      <c r="AF19">
        <v>39.799999999999997</v>
      </c>
      <c r="AG19" t="s">
        <v>115</v>
      </c>
      <c r="AH19" t="s">
        <v>88</v>
      </c>
      <c r="AJ19" s="102" t="s">
        <v>89</v>
      </c>
      <c r="AK19" s="100" t="s">
        <v>90</v>
      </c>
      <c r="AL19" s="100" t="s">
        <v>86</v>
      </c>
      <c r="AM19" s="100" t="s">
        <v>91</v>
      </c>
      <c r="AN19" s="100">
        <v>39.799999999999997</v>
      </c>
      <c r="AO19" s="100" t="s">
        <v>115</v>
      </c>
      <c r="AP19" s="100" t="s">
        <v>88</v>
      </c>
      <c r="AY19" t="s">
        <v>89</v>
      </c>
      <c r="AZ19" t="s">
        <v>90</v>
      </c>
      <c r="BA19" t="s">
        <v>86</v>
      </c>
      <c r="BB19" t="s">
        <v>91</v>
      </c>
      <c r="BC19">
        <v>39.799999999999997</v>
      </c>
      <c r="BD19" t="s">
        <v>115</v>
      </c>
      <c r="BE19" t="s">
        <v>88</v>
      </c>
      <c r="BJ19" t="s">
        <v>84</v>
      </c>
      <c r="BK19" t="s">
        <v>85</v>
      </c>
      <c r="BL19" t="s">
        <v>86</v>
      </c>
      <c r="BM19" t="s">
        <v>87</v>
      </c>
      <c r="BN19">
        <v>39.799999999999997</v>
      </c>
      <c r="BO19" t="s">
        <v>49</v>
      </c>
      <c r="BP19" t="s">
        <v>88</v>
      </c>
      <c r="BR19" s="71" t="s">
        <v>84</v>
      </c>
      <c r="BS19" t="s">
        <v>85</v>
      </c>
      <c r="BT19" t="s">
        <v>86</v>
      </c>
      <c r="BU19" t="s">
        <v>87</v>
      </c>
      <c r="BV19">
        <v>39.799999999999997</v>
      </c>
      <c r="BW19" t="s">
        <v>115</v>
      </c>
      <c r="BX19" t="s">
        <v>88</v>
      </c>
      <c r="CG19" t="s">
        <v>84</v>
      </c>
      <c r="CH19" t="s">
        <v>85</v>
      </c>
      <c r="CI19" t="s">
        <v>86</v>
      </c>
      <c r="CJ19" t="s">
        <v>87</v>
      </c>
      <c r="CK19">
        <v>39.799999999999997</v>
      </c>
      <c r="CL19" t="s">
        <v>115</v>
      </c>
      <c r="CM19" t="s">
        <v>88</v>
      </c>
      <c r="CR19" t="s">
        <v>84</v>
      </c>
      <c r="CS19" t="s">
        <v>85</v>
      </c>
      <c r="CT19" t="s">
        <v>86</v>
      </c>
      <c r="CU19" t="s">
        <v>87</v>
      </c>
      <c r="CV19">
        <v>39.799999999999997</v>
      </c>
      <c r="CW19" t="s">
        <v>115</v>
      </c>
      <c r="CX19" t="s">
        <v>88</v>
      </c>
      <c r="CZ19" s="71" t="s">
        <v>89</v>
      </c>
      <c r="DA19" t="s">
        <v>90</v>
      </c>
      <c r="DB19" t="s">
        <v>86</v>
      </c>
      <c r="DC19" t="s">
        <v>91</v>
      </c>
      <c r="DD19">
        <v>39.799999999999997</v>
      </c>
      <c r="DE19" t="s">
        <v>114</v>
      </c>
      <c r="DF19" t="s">
        <v>88</v>
      </c>
      <c r="DK19" t="s">
        <v>89</v>
      </c>
      <c r="DL19" t="s">
        <v>90</v>
      </c>
      <c r="DM19" t="s">
        <v>86</v>
      </c>
      <c r="DN19" t="s">
        <v>91</v>
      </c>
      <c r="DO19">
        <v>39.799999999999997</v>
      </c>
      <c r="DP19" t="s">
        <v>114</v>
      </c>
      <c r="DS19" t="s">
        <v>89</v>
      </c>
      <c r="DT19" t="s">
        <v>90</v>
      </c>
      <c r="DU19" t="s">
        <v>86</v>
      </c>
      <c r="DV19" t="s">
        <v>91</v>
      </c>
      <c r="DW19">
        <v>39.799999999999997</v>
      </c>
      <c r="DX19" t="s">
        <v>114</v>
      </c>
    </row>
    <row r="20" spans="1:129" x14ac:dyDescent="0.3">
      <c r="A20" s="77"/>
      <c r="Q20" s="78"/>
      <c r="R20" s="78"/>
      <c r="S20" s="78"/>
      <c r="T20" s="78"/>
      <c r="U20" s="78"/>
      <c r="V20" s="78"/>
      <c r="AB20" t="s">
        <v>89</v>
      </c>
      <c r="AC20" t="s">
        <v>90</v>
      </c>
      <c r="AD20" t="s">
        <v>86</v>
      </c>
      <c r="AE20" t="s">
        <v>91</v>
      </c>
      <c r="AF20">
        <v>39.799999999999997</v>
      </c>
      <c r="AG20" t="s">
        <v>49</v>
      </c>
      <c r="AH20" t="s">
        <v>88</v>
      </c>
      <c r="AY20" s="78"/>
      <c r="AZ20" s="78"/>
      <c r="BA20" s="78"/>
      <c r="BB20" s="78"/>
      <c r="BC20" s="78"/>
      <c r="BJ20" t="s">
        <v>89</v>
      </c>
      <c r="BK20" t="s">
        <v>90</v>
      </c>
      <c r="BL20" t="s">
        <v>86</v>
      </c>
      <c r="BM20" t="s">
        <v>91</v>
      </c>
      <c r="BN20">
        <v>39.799999999999997</v>
      </c>
      <c r="BO20" t="s">
        <v>115</v>
      </c>
      <c r="BP20" t="s">
        <v>88</v>
      </c>
      <c r="CG20" s="78"/>
      <c r="CH20" s="78"/>
      <c r="CI20" s="78"/>
      <c r="CJ20" s="78"/>
      <c r="CK20" s="78"/>
      <c r="CR20" t="s">
        <v>89</v>
      </c>
      <c r="CS20" t="s">
        <v>90</v>
      </c>
      <c r="CT20" t="s">
        <v>86</v>
      </c>
      <c r="CU20" t="s">
        <v>91</v>
      </c>
      <c r="CV20">
        <v>39.799999999999997</v>
      </c>
      <c r="CW20" t="s">
        <v>49</v>
      </c>
      <c r="CX20" t="s">
        <v>88</v>
      </c>
      <c r="DK20" s="78"/>
      <c r="DL20" s="78"/>
      <c r="DM20" s="78"/>
      <c r="DN20" s="78"/>
      <c r="DO20" s="78"/>
    </row>
    <row r="21" spans="1:129" x14ac:dyDescent="0.3">
      <c r="A21" s="76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152</v>
      </c>
      <c r="G21" t="s">
        <v>147</v>
      </c>
      <c r="H21" t="s">
        <v>153</v>
      </c>
      <c r="AJ21" s="71" t="s">
        <v>81</v>
      </c>
      <c r="AK21" t="s">
        <v>82</v>
      </c>
      <c r="AL21" t="s">
        <v>80</v>
      </c>
      <c r="AM21" t="s">
        <v>83</v>
      </c>
      <c r="AN21" t="s">
        <v>152</v>
      </c>
      <c r="AO21" t="s">
        <v>147</v>
      </c>
      <c r="AP21" t="s">
        <v>153</v>
      </c>
      <c r="BR21" s="71" t="s">
        <v>81</v>
      </c>
      <c r="BS21" t="s">
        <v>82</v>
      </c>
      <c r="BT21" t="s">
        <v>80</v>
      </c>
      <c r="BU21" t="s">
        <v>83</v>
      </c>
      <c r="BV21" t="s">
        <v>152</v>
      </c>
      <c r="BW21" t="s">
        <v>147</v>
      </c>
      <c r="BX21" t="s">
        <v>153</v>
      </c>
      <c r="CZ21" s="71" t="s">
        <v>81</v>
      </c>
      <c r="DA21" t="s">
        <v>82</v>
      </c>
      <c r="DB21" t="s">
        <v>80</v>
      </c>
      <c r="DC21" t="s">
        <v>83</v>
      </c>
      <c r="DD21" t="s">
        <v>152</v>
      </c>
      <c r="DE21" t="s">
        <v>147</v>
      </c>
      <c r="DF21" t="s">
        <v>153</v>
      </c>
    </row>
    <row r="22" spans="1:129" x14ac:dyDescent="0.3">
      <c r="A22" s="77" t="s">
        <v>74</v>
      </c>
      <c r="Q22" s="79" t="s">
        <v>77</v>
      </c>
      <c r="AY22" s="79" t="s">
        <v>77</v>
      </c>
      <c r="CG22" s="79" t="s">
        <v>77</v>
      </c>
      <c r="DK22" s="79" t="s">
        <v>77</v>
      </c>
    </row>
    <row r="23" spans="1:129" x14ac:dyDescent="0.3">
      <c r="A23" s="77"/>
    </row>
    <row r="24" spans="1:129" x14ac:dyDescent="0.3">
      <c r="A24" s="77" t="s">
        <v>75</v>
      </c>
      <c r="B24" t="s">
        <v>1</v>
      </c>
      <c r="C24" t="s">
        <v>117</v>
      </c>
      <c r="D24" t="s">
        <v>116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119</v>
      </c>
      <c r="N24" t="s">
        <v>104</v>
      </c>
      <c r="O24" t="s">
        <v>103</v>
      </c>
      <c r="Q24" t="s">
        <v>1</v>
      </c>
      <c r="R24" t="s">
        <v>117</v>
      </c>
      <c r="S24" t="s">
        <v>116</v>
      </c>
      <c r="T24" t="s">
        <v>92</v>
      </c>
      <c r="U24" t="s">
        <v>93</v>
      </c>
      <c r="V24" t="s">
        <v>94</v>
      </c>
      <c r="X24" t="s">
        <v>119</v>
      </c>
      <c r="Y24" t="s">
        <v>104</v>
      </c>
      <c r="Z24" t="s">
        <v>103</v>
      </c>
      <c r="AJ24" s="71" t="s">
        <v>1</v>
      </c>
      <c r="AK24" t="s">
        <v>117</v>
      </c>
      <c r="AL24" t="s">
        <v>116</v>
      </c>
      <c r="AM24" t="s">
        <v>92</v>
      </c>
      <c r="AN24" t="s">
        <v>93</v>
      </c>
      <c r="AO24" t="s">
        <v>94</v>
      </c>
      <c r="AP24" t="s">
        <v>9</v>
      </c>
      <c r="AQ24" t="s">
        <v>10</v>
      </c>
      <c r="AR24" t="s">
        <v>11</v>
      </c>
      <c r="AS24" t="s">
        <v>12</v>
      </c>
      <c r="AU24" t="s">
        <v>119</v>
      </c>
      <c r="AV24" t="s">
        <v>104</v>
      </c>
      <c r="AW24" t="s">
        <v>103</v>
      </c>
      <c r="AY24" t="s">
        <v>1</v>
      </c>
      <c r="AZ24" t="s">
        <v>117</v>
      </c>
      <c r="BA24" t="s">
        <v>116</v>
      </c>
      <c r="BB24" t="s">
        <v>92</v>
      </c>
      <c r="BC24" t="s">
        <v>93</v>
      </c>
      <c r="BD24" t="s">
        <v>94</v>
      </c>
      <c r="BF24" t="s">
        <v>119</v>
      </c>
      <c r="BG24" t="s">
        <v>104</v>
      </c>
      <c r="BH24" t="s">
        <v>103</v>
      </c>
      <c r="BR24" s="71" t="s">
        <v>1</v>
      </c>
      <c r="BS24" t="s">
        <v>117</v>
      </c>
      <c r="BT24" t="s">
        <v>116</v>
      </c>
      <c r="BU24" t="s">
        <v>92</v>
      </c>
      <c r="BV24" t="s">
        <v>93</v>
      </c>
      <c r="BW24" t="s">
        <v>94</v>
      </c>
      <c r="BX24" t="s">
        <v>9</v>
      </c>
      <c r="BY24" t="s">
        <v>10</v>
      </c>
      <c r="BZ24" t="s">
        <v>11</v>
      </c>
      <c r="CA24" t="s">
        <v>12</v>
      </c>
      <c r="CC24" t="s">
        <v>119</v>
      </c>
      <c r="CD24" t="s">
        <v>104</v>
      </c>
      <c r="CE24" t="s">
        <v>103</v>
      </c>
      <c r="CG24" t="s">
        <v>1</v>
      </c>
      <c r="CH24" t="s">
        <v>117</v>
      </c>
      <c r="CI24" t="s">
        <v>116</v>
      </c>
      <c r="CJ24" t="s">
        <v>92</v>
      </c>
      <c r="CK24" t="s">
        <v>93</v>
      </c>
      <c r="CL24" t="s">
        <v>94</v>
      </c>
      <c r="CN24" t="s">
        <v>119</v>
      </c>
      <c r="CO24" t="s">
        <v>104</v>
      </c>
      <c r="CP24" t="s">
        <v>103</v>
      </c>
      <c r="CZ24" s="84" t="s">
        <v>81</v>
      </c>
      <c r="DA24" s="84" t="s">
        <v>144</v>
      </c>
      <c r="DB24" s="84" t="s">
        <v>141</v>
      </c>
      <c r="DC24" s="84" t="s">
        <v>142</v>
      </c>
      <c r="DD24" s="84" t="s">
        <v>19</v>
      </c>
      <c r="DK24" t="s">
        <v>1</v>
      </c>
      <c r="DL24" t="s">
        <v>117</v>
      </c>
      <c r="DM24" t="s">
        <v>116</v>
      </c>
      <c r="DN24" t="s">
        <v>92</v>
      </c>
      <c r="DO24" t="s">
        <v>93</v>
      </c>
      <c r="DP24" t="s">
        <v>94</v>
      </c>
    </row>
    <row r="25" spans="1:129" x14ac:dyDescent="0.3">
      <c r="B25" s="100">
        <v>1</v>
      </c>
      <c r="C25" s="101">
        <v>5.8</v>
      </c>
      <c r="D25" s="101">
        <v>2.6</v>
      </c>
      <c r="E25" s="100">
        <v>8</v>
      </c>
      <c r="F25" s="100">
        <v>8</v>
      </c>
      <c r="G25" s="100">
        <v>125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77.683732341641587</v>
      </c>
      <c r="K25" s="80">
        <f>IFERROR((MP_DATA[[#This Row],[D, bottom '[m']]]+MP_DATA[[#This Row],[D, top '[m']]])/(2*MP_DATA[[#This Row],[t '[mm']]]/1000),"")</f>
        <v>64</v>
      </c>
      <c r="M25" s="100">
        <v>5.6</v>
      </c>
      <c r="N25" s="100">
        <v>70000</v>
      </c>
      <c r="O25" s="100" t="s">
        <v>105</v>
      </c>
      <c r="Q25" s="78">
        <v>1</v>
      </c>
      <c r="R25" s="81">
        <v>5.8</v>
      </c>
      <c r="S25" s="81">
        <v>2.6</v>
      </c>
      <c r="T25">
        <v>8</v>
      </c>
      <c r="U25" s="78">
        <v>8</v>
      </c>
      <c r="V25">
        <v>125</v>
      </c>
      <c r="X25">
        <v>5.6</v>
      </c>
      <c r="Y25">
        <v>70000</v>
      </c>
      <c r="Z25" t="s">
        <v>105</v>
      </c>
      <c r="AJ25" s="102">
        <v>1</v>
      </c>
      <c r="AK25" s="100">
        <v>21.47</v>
      </c>
      <c r="AL25" s="100">
        <v>17.5</v>
      </c>
      <c r="AM25" s="100">
        <v>8</v>
      </c>
      <c r="AN25" s="100">
        <v>8</v>
      </c>
      <c r="AO25" s="100">
        <v>117</v>
      </c>
      <c r="AP25" s="80">
        <f>IFERROR(TP_DATA[[#This Row],[Bottom '[m']]]-TP_DATA[[#This Row],[D, top '[m']]], "")</f>
        <v>9.5</v>
      </c>
      <c r="AQ25" s="80">
        <f>IFERROR(-(TP_DATA[[#This Row],[D, bottom '[m']]]-TP_DATA[[#This Row],[D, top '[m']]])/(TP_DATA[[#This Row],[Bottom '[m']]]-TP_DATA[[#This Row],[Top '[m']]]),"")</f>
        <v>0</v>
      </c>
      <c r="AR25" s="80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90.299932258163409</v>
      </c>
      <c r="AS25" s="80">
        <f>IFERROR((TP_DATA[[#This Row],[D, bottom '[m']]]+TP_DATA[[#This Row],[D, top '[m']]])/(2*TP_DATA[[#This Row],[t '[mm']]]/1000),"")</f>
        <v>68.376068376068375</v>
      </c>
      <c r="AU25" s="100">
        <v>21.47</v>
      </c>
      <c r="AV25" s="100">
        <v>30000</v>
      </c>
      <c r="AW25" s="100" t="s">
        <v>110</v>
      </c>
      <c r="AY25" s="78">
        <v>1</v>
      </c>
      <c r="AZ25" s="78">
        <v>21.47</v>
      </c>
      <c r="BA25" s="78">
        <v>17.5</v>
      </c>
      <c r="BB25">
        <v>8</v>
      </c>
      <c r="BC25" s="78">
        <v>8</v>
      </c>
      <c r="BD25">
        <v>117</v>
      </c>
      <c r="BF25">
        <v>21.47</v>
      </c>
      <c r="BG25">
        <v>30000</v>
      </c>
      <c r="BH25" t="s">
        <v>110</v>
      </c>
      <c r="BR25" s="71">
        <v>1</v>
      </c>
      <c r="BS25">
        <v>5.8</v>
      </c>
      <c r="BT25">
        <v>2.6</v>
      </c>
      <c r="BU25">
        <v>8</v>
      </c>
      <c r="BV25">
        <v>8</v>
      </c>
      <c r="BW25">
        <v>115</v>
      </c>
      <c r="BX25" s="80">
        <f>IFERROR(TOWER_DATA[[#This Row],[Bottom '[m']]]-TOWER_DATA[[#This Row],[D, top '[m']]], "")</f>
        <v>-5.4</v>
      </c>
      <c r="BY25" s="80">
        <f>IFERROR(-(TOWER_DATA[[#This Row],[D, bottom '[m']]]-TOWER_DATA[[#This Row],[D, top '[m']]])/(TOWER_DATA[[#This Row],[Bottom '[m']]]-TOWER_DATA[[#This Row],[Top '[m']]]),"")</f>
        <v>0</v>
      </c>
      <c r="BZ25" s="80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71.55978808288738</v>
      </c>
      <c r="CA25" s="80">
        <f>IFERROR((TOWER_DATA[[#This Row],[D, bottom '[m']]]+TOWER_DATA[[#This Row],[D, top '[m']]])/(2*TOWER_DATA[[#This Row],[t '[mm']]]/1000),"")</f>
        <v>69.565217391304344</v>
      </c>
      <c r="CC25" s="83">
        <v>5.6</v>
      </c>
      <c r="CD25" s="83">
        <v>70000</v>
      </c>
      <c r="CE25" s="83" t="s">
        <v>105</v>
      </c>
      <c r="CG25" s="78">
        <v>1</v>
      </c>
      <c r="CH25" s="78">
        <v>5.8</v>
      </c>
      <c r="CI25" s="78">
        <v>2.6</v>
      </c>
      <c r="CJ25">
        <v>8</v>
      </c>
      <c r="CK25" s="78">
        <v>8</v>
      </c>
      <c r="CL25">
        <v>115</v>
      </c>
      <c r="CN25">
        <v>5.6</v>
      </c>
      <c r="CO25">
        <v>70000</v>
      </c>
      <c r="CP25" t="s">
        <v>105</v>
      </c>
      <c r="CZ25" s="58" t="s">
        <v>143</v>
      </c>
      <c r="DA25" s="58">
        <v>777.53</v>
      </c>
      <c r="DB25" s="58">
        <v>197394400</v>
      </c>
      <c r="DC25" s="60">
        <v>3.4</v>
      </c>
      <c r="DD25" s="60"/>
      <c r="DF25" s="80"/>
      <c r="DG25" s="80"/>
      <c r="DH25" s="80"/>
      <c r="DI25" s="80"/>
      <c r="DK25" s="78">
        <v>1</v>
      </c>
      <c r="DL25" s="78">
        <v>139.70000000000002</v>
      </c>
      <c r="DM25" s="78">
        <v>139.62</v>
      </c>
      <c r="DN25">
        <v>5.7039999999999997</v>
      </c>
      <c r="DO25" s="78">
        <v>5.7039999999999997</v>
      </c>
      <c r="DP25">
        <v>30</v>
      </c>
    </row>
    <row r="26" spans="1:129" x14ac:dyDescent="0.3">
      <c r="B26" s="100">
        <v>2</v>
      </c>
      <c r="C26" s="101">
        <v>2.6</v>
      </c>
      <c r="D26" s="101">
        <v>-0.6</v>
      </c>
      <c r="E26" s="100">
        <v>8</v>
      </c>
      <c r="F26" s="100">
        <v>8</v>
      </c>
      <c r="G26" s="100">
        <v>116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72.17289276002974</v>
      </c>
      <c r="K26" s="80">
        <f>IFERROR((MP_DATA[[#This Row],[D, bottom '[m']]]+MP_DATA[[#This Row],[D, top '[m']]])/(2*MP_DATA[[#This Row],[t '[mm']]]/1000),"")</f>
        <v>68.965517241379303</v>
      </c>
      <c r="M26" s="100">
        <v>4.2</v>
      </c>
      <c r="N26" s="100">
        <v>9000</v>
      </c>
      <c r="O26" s="100" t="s">
        <v>106</v>
      </c>
      <c r="Q26" s="78">
        <v>2</v>
      </c>
      <c r="R26" s="81">
        <v>2.6</v>
      </c>
      <c r="S26" s="81">
        <v>-0.6</v>
      </c>
      <c r="T26">
        <v>8</v>
      </c>
      <c r="U26" s="78">
        <v>8</v>
      </c>
      <c r="V26">
        <v>116</v>
      </c>
      <c r="X26">
        <v>4.2</v>
      </c>
      <c r="Y26">
        <v>9000</v>
      </c>
      <c r="Z26" t="s">
        <v>106</v>
      </c>
      <c r="AJ26" s="102">
        <v>2</v>
      </c>
      <c r="AK26" s="100">
        <v>17.5</v>
      </c>
      <c r="AL26" s="100">
        <v>13.5</v>
      </c>
      <c r="AM26" s="100">
        <v>8</v>
      </c>
      <c r="AN26" s="100">
        <v>8</v>
      </c>
      <c r="AO26" s="100">
        <v>117</v>
      </c>
      <c r="AP26" s="80">
        <f>IFERROR(TP_DATA[[#This Row],[Bottom '[m']]]-TP_DATA[[#This Row],[D, top '[m']]], "")</f>
        <v>5.5</v>
      </c>
      <c r="AQ26" s="80">
        <f>IFERROR(-(TP_DATA[[#This Row],[D, bottom '[m']]]-TP_DATA[[#This Row],[D, top '[m']]])/(TP_DATA[[#This Row],[Bottom '[m']]]-TP_DATA[[#This Row],[Top '[m']]]),"")</f>
        <v>0</v>
      </c>
      <c r="AR26" s="80">
        <f t="shared" si="1"/>
        <v>90.982299504446786</v>
      </c>
      <c r="AS26" s="80">
        <f>IFERROR((TP_DATA[[#This Row],[D, bottom '[m']]]+TP_DATA[[#This Row],[D, top '[m']]])/(2*TP_DATA[[#This Row],[t '[mm']]]/1000),"")</f>
        <v>68.376068376068375</v>
      </c>
      <c r="AU26" s="100">
        <v>20.7</v>
      </c>
      <c r="AV26" s="100">
        <v>20000</v>
      </c>
      <c r="AW26" s="100" t="s">
        <v>111</v>
      </c>
      <c r="AY26" s="78">
        <v>2</v>
      </c>
      <c r="AZ26" s="78">
        <v>17.5</v>
      </c>
      <c r="BA26" s="78">
        <v>13.5</v>
      </c>
      <c r="BB26">
        <v>8</v>
      </c>
      <c r="BC26" s="78">
        <v>8</v>
      </c>
      <c r="BD26">
        <v>117</v>
      </c>
      <c r="BF26">
        <v>20.7</v>
      </c>
      <c r="BG26">
        <v>20000</v>
      </c>
      <c r="BH26" t="s">
        <v>111</v>
      </c>
      <c r="BR26" s="71">
        <v>2</v>
      </c>
      <c r="BS26">
        <v>2.6</v>
      </c>
      <c r="BT26">
        <v>-0.6</v>
      </c>
      <c r="BU26">
        <v>8</v>
      </c>
      <c r="BV26">
        <v>8</v>
      </c>
      <c r="BW26">
        <v>115</v>
      </c>
      <c r="BX26" s="80">
        <f>IFERROR(TOWER_DATA[[#This Row],[Bottom '[m']]]-TOWER_DATA[[#This Row],[D, top '[m']]], "")</f>
        <v>-8.6</v>
      </c>
      <c r="BY26" s="80">
        <f>IFERROR(-(TOWER_DATA[[#This Row],[D, bottom '[m']]]-TOWER_DATA[[#This Row],[D, top '[m']]])/(TOWER_DATA[[#This Row],[Bottom '[m']]]-TOWER_DATA[[#This Row],[Top '[m']]]),"")</f>
        <v>0</v>
      </c>
      <c r="BZ26" s="80">
        <f t="shared" si="2"/>
        <v>71.55978808288738</v>
      </c>
      <c r="CA26" s="80">
        <f>IFERROR((TOWER_DATA[[#This Row],[D, bottom '[m']]]+TOWER_DATA[[#This Row],[D, top '[m']]])/(2*TOWER_DATA[[#This Row],[t '[mm']]]/1000),"")</f>
        <v>69.565217391304344</v>
      </c>
      <c r="CC26" s="83">
        <v>4.2</v>
      </c>
      <c r="CD26" s="83">
        <v>9000</v>
      </c>
      <c r="CE26" s="83" t="s">
        <v>106</v>
      </c>
      <c r="CG26" s="78">
        <v>2</v>
      </c>
      <c r="CH26" s="78">
        <v>2.6</v>
      </c>
      <c r="CI26" s="78">
        <v>-0.6</v>
      </c>
      <c r="CJ26">
        <v>8</v>
      </c>
      <c r="CK26" s="78">
        <v>8</v>
      </c>
      <c r="CL26">
        <v>115</v>
      </c>
      <c r="CN26">
        <v>4.2</v>
      </c>
      <c r="CO26">
        <v>9000</v>
      </c>
      <c r="CP26" t="s">
        <v>106</v>
      </c>
      <c r="DF26" s="80"/>
      <c r="DG26" s="80"/>
      <c r="DH26" s="80"/>
      <c r="DI26" s="80"/>
      <c r="DK26" s="78">
        <v>2</v>
      </c>
      <c r="DL26" s="78">
        <v>139.62</v>
      </c>
      <c r="DM26" s="78">
        <v>139.57</v>
      </c>
      <c r="DN26">
        <v>5.7039999999999997</v>
      </c>
      <c r="DO26" s="78">
        <v>5.7</v>
      </c>
      <c r="DP26">
        <v>26</v>
      </c>
    </row>
    <row r="27" spans="1:129" x14ac:dyDescent="0.3">
      <c r="B27" s="100">
        <v>3</v>
      </c>
      <c r="C27" s="101">
        <v>-0.6</v>
      </c>
      <c r="D27" s="101">
        <v>-3.8</v>
      </c>
      <c r="E27" s="100">
        <v>8</v>
      </c>
      <c r="F27" s="100">
        <v>8</v>
      </c>
      <c r="G27" s="100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 s="100">
        <v>0.3</v>
      </c>
      <c r="N27" s="100">
        <v>100000</v>
      </c>
      <c r="O27" s="100" t="s">
        <v>107</v>
      </c>
      <c r="Q27" s="78">
        <v>3</v>
      </c>
      <c r="R27" s="81">
        <v>-0.6</v>
      </c>
      <c r="S27" s="81">
        <v>-3.8</v>
      </c>
      <c r="T27">
        <v>8</v>
      </c>
      <c r="U27" s="78">
        <v>8</v>
      </c>
      <c r="V27">
        <v>125</v>
      </c>
      <c r="X27">
        <v>0.3</v>
      </c>
      <c r="Y27">
        <v>100000</v>
      </c>
      <c r="Z27" t="s">
        <v>107</v>
      </c>
      <c r="AJ27" s="102">
        <v>3</v>
      </c>
      <c r="AK27" s="100">
        <v>13.5</v>
      </c>
      <c r="AL27" s="100">
        <v>9.5</v>
      </c>
      <c r="AM27" s="100">
        <v>8</v>
      </c>
      <c r="AN27" s="100">
        <v>8</v>
      </c>
      <c r="AO27" s="100">
        <v>124</v>
      </c>
      <c r="AP27" s="80">
        <f>IFERROR(TP_DATA[[#This Row],[Bottom '[m']]]-TP_DATA[[#This Row],[D, top '[m']]], "")</f>
        <v>1.5</v>
      </c>
      <c r="AQ27" s="80">
        <f>IFERROR(-(TP_DATA[[#This Row],[D, bottom '[m']]]-TP_DATA[[#This Row],[D, top '[m']]])/(TP_DATA[[#This Row],[Bottom '[m']]]-TP_DATA[[#This Row],[Top '[m']]]),"")</f>
        <v>0</v>
      </c>
      <c r="AR27" s="80">
        <f t="shared" si="1"/>
        <v>96.340060208791698</v>
      </c>
      <c r="AS27" s="80">
        <f>IFERROR((TP_DATA[[#This Row],[D, bottom '[m']]]+TP_DATA[[#This Row],[D, top '[m']]])/(2*TP_DATA[[#This Row],[t '[mm']]]/1000),"")</f>
        <v>64.516129032258064</v>
      </c>
      <c r="AU27" s="100">
        <v>20.100000000000001</v>
      </c>
      <c r="AV27" s="100">
        <v>5000</v>
      </c>
      <c r="AW27" s="100" t="s">
        <v>102</v>
      </c>
      <c r="AY27" s="78">
        <v>3</v>
      </c>
      <c r="AZ27" s="78">
        <v>13.5</v>
      </c>
      <c r="BA27" s="78">
        <v>9.5</v>
      </c>
      <c r="BB27">
        <v>8</v>
      </c>
      <c r="BC27" s="78">
        <v>8</v>
      </c>
      <c r="BD27">
        <v>124</v>
      </c>
      <c r="BF27">
        <v>20.100000000000001</v>
      </c>
      <c r="BG27">
        <v>5000</v>
      </c>
      <c r="BH27" t="s">
        <v>102</v>
      </c>
      <c r="BR27" s="71">
        <v>3</v>
      </c>
      <c r="BS27">
        <v>-0.6</v>
      </c>
      <c r="BT27">
        <v>-3.8</v>
      </c>
      <c r="BU27">
        <v>8</v>
      </c>
      <c r="BV27">
        <v>8</v>
      </c>
      <c r="BW27">
        <v>125</v>
      </c>
      <c r="BX27" s="80">
        <f>IFERROR(TOWER_DATA[[#This Row],[Bottom '[m']]]-TOWER_DATA[[#This Row],[D, top '[m']]], "")</f>
        <v>-11.8</v>
      </c>
      <c r="BY27" s="80">
        <f>IFERROR(-(TOWER_DATA[[#This Row],[D, bottom '[m']]]-TOWER_DATA[[#This Row],[D, top '[m']]])/(TOWER_DATA[[#This Row],[Bottom '[m']]]-TOWER_DATA[[#This Row],[Top '[m']]]),"")</f>
        <v>0</v>
      </c>
      <c r="BZ27" s="80">
        <f t="shared" si="2"/>
        <v>77.683732341641587</v>
      </c>
      <c r="CA27" s="80">
        <f>IFERROR((TOWER_DATA[[#This Row],[D, bottom '[m']]]+TOWER_DATA[[#This Row],[D, top '[m']]])/(2*TOWER_DATA[[#This Row],[t '[mm']]]/1000),"")</f>
        <v>64</v>
      </c>
      <c r="CC27" s="83">
        <v>0.3</v>
      </c>
      <c r="CD27" s="83">
        <v>100000</v>
      </c>
      <c r="CE27" s="83" t="s">
        <v>107</v>
      </c>
      <c r="CG27" s="78">
        <v>3</v>
      </c>
      <c r="CH27" s="78">
        <v>-0.6</v>
      </c>
      <c r="CI27" s="78">
        <v>-3.8</v>
      </c>
      <c r="CJ27">
        <v>8</v>
      </c>
      <c r="CK27" s="78">
        <v>8</v>
      </c>
      <c r="CL27">
        <v>125</v>
      </c>
      <c r="CN27">
        <v>0.3</v>
      </c>
      <c r="CO27">
        <v>100000</v>
      </c>
      <c r="CP27" t="s">
        <v>107</v>
      </c>
      <c r="DF27" s="80"/>
      <c r="DG27" s="80"/>
      <c r="DH27" s="80"/>
      <c r="DI27" s="80"/>
      <c r="DK27" s="78">
        <v>3</v>
      </c>
      <c r="DL27" s="78">
        <v>139.57</v>
      </c>
      <c r="DM27" s="78">
        <v>138.72</v>
      </c>
      <c r="DN27">
        <v>5.7</v>
      </c>
      <c r="DO27" s="78">
        <v>5.7023000000000001</v>
      </c>
      <c r="DP27">
        <v>22.3</v>
      </c>
    </row>
    <row r="28" spans="1:129" x14ac:dyDescent="0.3">
      <c r="B28" s="100">
        <v>4</v>
      </c>
      <c r="C28" s="101">
        <v>-3.8</v>
      </c>
      <c r="D28" s="101">
        <v>-7.3</v>
      </c>
      <c r="E28" s="100">
        <v>8</v>
      </c>
      <c r="F28" s="100">
        <v>8.44</v>
      </c>
      <c r="G28" s="100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 s="100">
        <v>-5</v>
      </c>
      <c r="N28" s="100">
        <v>1</v>
      </c>
      <c r="O28" s="100" t="s">
        <v>108</v>
      </c>
      <c r="Q28" s="78">
        <v>4</v>
      </c>
      <c r="R28" s="81">
        <v>-3.8</v>
      </c>
      <c r="S28" s="81">
        <v>-7.3</v>
      </c>
      <c r="T28">
        <v>8</v>
      </c>
      <c r="U28" s="78">
        <v>8.44</v>
      </c>
      <c r="V28">
        <v>125</v>
      </c>
      <c r="X28">
        <v>-5</v>
      </c>
      <c r="Y28">
        <v>1</v>
      </c>
      <c r="Z28" t="s">
        <v>108</v>
      </c>
      <c r="AJ28" s="102">
        <v>4</v>
      </c>
      <c r="AK28" s="100">
        <v>9.5</v>
      </c>
      <c r="AL28" s="100">
        <v>5.8</v>
      </c>
      <c r="AM28" s="100">
        <v>8</v>
      </c>
      <c r="AN28" s="100">
        <v>8</v>
      </c>
      <c r="AO28" s="100">
        <v>120</v>
      </c>
      <c r="AP28" s="80">
        <f>IFERROR(TP_DATA[[#This Row],[Bottom '[m']]]-TP_DATA[[#This Row],[D, top '[m']]], "")</f>
        <v>-2.2000000000000002</v>
      </c>
      <c r="AQ28" s="80">
        <f>IFERROR(-(TP_DATA[[#This Row],[D, bottom '[m']]]-TP_DATA[[#This Row],[D, top '[m']]])/(TP_DATA[[#This Row],[Bottom '[m']]]-TP_DATA[[#This Row],[Top '[m']]]),"")</f>
        <v>0</v>
      </c>
      <c r="AR28" s="80">
        <f t="shared" si="1"/>
        <v>86.283691434396232</v>
      </c>
      <c r="AS28" s="80">
        <f>IFERROR((TP_DATA[[#This Row],[D, bottom '[m']]]+TP_DATA[[#This Row],[D, top '[m']]])/(2*TP_DATA[[#This Row],[t '[mm']]]/1000),"")</f>
        <v>66.666666666666671</v>
      </c>
      <c r="AU28" s="100">
        <v>14</v>
      </c>
      <c r="AV28" s="100">
        <v>5000</v>
      </c>
      <c r="AW28" s="100" t="s">
        <v>112</v>
      </c>
      <c r="AY28" s="78">
        <v>4</v>
      </c>
      <c r="AZ28" s="78">
        <v>9.5</v>
      </c>
      <c r="BA28" s="78">
        <v>5.8</v>
      </c>
      <c r="BB28">
        <v>8</v>
      </c>
      <c r="BC28" s="78">
        <v>8</v>
      </c>
      <c r="BD28">
        <v>120</v>
      </c>
      <c r="BF28">
        <v>14</v>
      </c>
      <c r="BG28">
        <v>5000</v>
      </c>
      <c r="BH28" t="s">
        <v>112</v>
      </c>
      <c r="BR28" s="71">
        <v>4</v>
      </c>
      <c r="BS28">
        <v>-3.8</v>
      </c>
      <c r="BT28">
        <v>-7.3</v>
      </c>
      <c r="BU28">
        <v>8</v>
      </c>
      <c r="BV28">
        <v>8.44</v>
      </c>
      <c r="BW28">
        <v>125</v>
      </c>
      <c r="BX28" s="80">
        <f>IFERROR(TOWER_DATA[[#This Row],[Bottom '[m']]]-TOWER_DATA[[#This Row],[D, top '[m']]], "")</f>
        <v>-15.3</v>
      </c>
      <c r="BY28" s="80">
        <f>IFERROR(-(TOWER_DATA[[#This Row],[D, bottom '[m']]]-TOWER_DATA[[#This Row],[D, top '[m']]])/(TOWER_DATA[[#This Row],[Bottom '[m']]]-TOWER_DATA[[#This Row],[Top '[m']]]),"")</f>
        <v>0.12571428571428558</v>
      </c>
      <c r="BZ28" s="80">
        <f t="shared" si="2"/>
        <v>87.340251847998317</v>
      </c>
      <c r="CA28" s="80">
        <f>IFERROR((TOWER_DATA[[#This Row],[D, bottom '[m']]]+TOWER_DATA[[#This Row],[D, top '[m']]])/(2*TOWER_DATA[[#This Row],[t '[mm']]]/1000),"")</f>
        <v>65.759999999999991</v>
      </c>
      <c r="CC28" s="83">
        <v>-5</v>
      </c>
      <c r="CD28" s="83">
        <v>1</v>
      </c>
      <c r="CE28" s="83" t="s">
        <v>108</v>
      </c>
      <c r="CG28" s="78">
        <v>4</v>
      </c>
      <c r="CH28" s="78">
        <v>-3.8</v>
      </c>
      <c r="CI28" s="78">
        <v>-7.3</v>
      </c>
      <c r="CJ28">
        <v>8</v>
      </c>
      <c r="CK28" s="78">
        <v>8.44</v>
      </c>
      <c r="CL28">
        <v>125</v>
      </c>
      <c r="CN28">
        <v>-5</v>
      </c>
      <c r="CO28">
        <v>1</v>
      </c>
      <c r="CP28" t="s">
        <v>108</v>
      </c>
      <c r="DF28" s="80"/>
      <c r="DG28" s="80"/>
      <c r="DH28" s="80"/>
      <c r="DI28" s="80"/>
      <c r="DK28" s="78">
        <v>4</v>
      </c>
      <c r="DL28" s="78">
        <v>138.72</v>
      </c>
      <c r="DM28" s="78">
        <v>138.602</v>
      </c>
      <c r="DN28">
        <v>5.7023000000000001</v>
      </c>
      <c r="DO28" s="78">
        <v>5.7051999999999996</v>
      </c>
      <c r="DP28">
        <v>22.3</v>
      </c>
    </row>
    <row r="29" spans="1:129" x14ac:dyDescent="0.3">
      <c r="B29" s="100">
        <v>5</v>
      </c>
      <c r="C29" s="101">
        <v>-7.3</v>
      </c>
      <c r="D29" s="101">
        <v>-10.8</v>
      </c>
      <c r="E29" s="100">
        <v>8.44</v>
      </c>
      <c r="F29" s="100">
        <v>8.8800000000000008</v>
      </c>
      <c r="G29" s="100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 s="100">
        <v>-43.3</v>
      </c>
      <c r="N29" s="100">
        <v>1</v>
      </c>
      <c r="O29" s="100" t="s">
        <v>109</v>
      </c>
      <c r="Q29" s="78">
        <v>5</v>
      </c>
      <c r="R29" s="81">
        <v>-7.3</v>
      </c>
      <c r="S29" s="81">
        <v>-10.8</v>
      </c>
      <c r="T29" s="78">
        <v>8.44</v>
      </c>
      <c r="U29" s="78">
        <v>8.8800000000000008</v>
      </c>
      <c r="V29" s="78">
        <v>106</v>
      </c>
      <c r="X29">
        <v>-43.3</v>
      </c>
      <c r="Y29">
        <v>1</v>
      </c>
      <c r="Z29" t="s">
        <v>109</v>
      </c>
      <c r="AP29" s="80" t="str">
        <f>IFERROR(TP_DATA[[#This Row],[Bottom '[m']]]-TP_DATA[[#This Row],[D, top '[m']]], "")</f>
        <v/>
      </c>
      <c r="AQ29" s="80" t="str">
        <f>IFERROR(-(TP_DATA[[#This Row],[D, bottom '[m']]]-TP_DATA[[#This Row],[D, top '[m']]])/(TP_DATA[[#This Row],[Bottom '[m']]]-TP_DATA[[#This Row],[Top '[m']]]),"")</f>
        <v/>
      </c>
      <c r="AR29" s="80" t="str">
        <f t="shared" si="1"/>
        <v/>
      </c>
      <c r="AS29" s="80" t="str">
        <f>IFERROR((TP_DATA[[#This Row],[D, bottom '[m']]]+TP_DATA[[#This Row],[D, top '[m']]])/(2*TP_DATA[[#This Row],[t '[mm']]]/1000),"")</f>
        <v/>
      </c>
      <c r="AT29" s="80" t="str">
        <f>IFERROR((TP_DATA[[#This Row],[D, bottom '[m']]]+#REF!)/(2*#REF!/1000),"")</f>
        <v/>
      </c>
      <c r="AU29" s="100">
        <v>6.1</v>
      </c>
      <c r="AV29" s="100">
        <v>200</v>
      </c>
      <c r="AW29" s="100" t="s">
        <v>113</v>
      </c>
      <c r="AY29" s="78"/>
      <c r="AZ29" s="78"/>
      <c r="BA29" s="78"/>
      <c r="BB29" s="78"/>
      <c r="BC29" s="78"/>
      <c r="BD29" s="78"/>
      <c r="BF29">
        <v>6.1</v>
      </c>
      <c r="BG29">
        <v>200</v>
      </c>
      <c r="BH29" t="s">
        <v>113</v>
      </c>
      <c r="BR29" s="71">
        <v>5</v>
      </c>
      <c r="BS29">
        <v>-7.3</v>
      </c>
      <c r="BT29">
        <v>-10.8</v>
      </c>
      <c r="BU29">
        <v>8.44</v>
      </c>
      <c r="BV29">
        <v>8.8800000000000008</v>
      </c>
      <c r="BW29">
        <v>106</v>
      </c>
      <c r="BX29" s="80">
        <f>IFERROR(TOWER_DATA[[#This Row],[Bottom '[m']]]-TOWER_DATA[[#This Row],[D, top '[m']]], "")</f>
        <v>-19.240000000000002</v>
      </c>
      <c r="BY29" s="80">
        <f>IFERROR(-(TOWER_DATA[[#This Row],[D, bottom '[m']]]-TOWER_DATA[[#This Row],[D, top '[m']]])/(TOWER_DATA[[#This Row],[Bottom '[m']]]-TOWER_DATA[[#This Row],[Top '[m']]]),"")</f>
        <v>0.12571428571428606</v>
      </c>
      <c r="BZ29" s="80">
        <f t="shared" si="2"/>
        <v>78.26411613749147</v>
      </c>
      <c r="CA29" s="80">
        <f>IFERROR((TOWER_DATA[[#This Row],[D, bottom '[m']]]+TOWER_DATA[[#This Row],[D, top '[m']]])/(2*TOWER_DATA[[#This Row],[t '[mm']]]/1000),"")</f>
        <v>81.698113207547181</v>
      </c>
      <c r="CB29" s="80" t="str">
        <f>IFERROR((TOWER_DATA[[#This Row],[D, bottom '[m']]]+#REF!)/(2*#REF!/1000),"")</f>
        <v/>
      </c>
      <c r="CC29" s="83">
        <v>-43.3</v>
      </c>
      <c r="CD29" s="83">
        <v>1</v>
      </c>
      <c r="CE29" s="83" t="s">
        <v>109</v>
      </c>
      <c r="CG29" s="78">
        <v>5</v>
      </c>
      <c r="CH29" s="78">
        <v>-7.3</v>
      </c>
      <c r="CI29" s="78">
        <v>-10.8</v>
      </c>
      <c r="CJ29" s="78">
        <v>8.44</v>
      </c>
      <c r="CK29" s="78">
        <v>8.8800000000000008</v>
      </c>
      <c r="CL29" s="78">
        <v>106</v>
      </c>
      <c r="CN29">
        <v>-43.3</v>
      </c>
      <c r="CO29">
        <v>1</v>
      </c>
      <c r="CP29" t="s">
        <v>109</v>
      </c>
      <c r="DF29" s="80"/>
      <c r="DG29" s="80"/>
      <c r="DH29" s="80"/>
      <c r="DI29" s="80"/>
      <c r="DK29" s="78">
        <v>5</v>
      </c>
      <c r="DL29" s="78">
        <v>138.602</v>
      </c>
      <c r="DM29" s="78">
        <v>136.524</v>
      </c>
      <c r="DN29" s="78">
        <v>5.7051999999999996</v>
      </c>
      <c r="DO29" s="78">
        <v>5.7557999999999998</v>
      </c>
      <c r="DP29" s="78">
        <v>21.8</v>
      </c>
    </row>
    <row r="30" spans="1:129" x14ac:dyDescent="0.3">
      <c r="B30" s="100">
        <v>6</v>
      </c>
      <c r="C30" s="101">
        <v>-10.8</v>
      </c>
      <c r="D30" s="101">
        <v>-14.3</v>
      </c>
      <c r="E30" s="100">
        <v>8.8800000000000008</v>
      </c>
      <c r="F30" s="100">
        <v>9.31</v>
      </c>
      <c r="G30" s="100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Q30" s="78">
        <v>6</v>
      </c>
      <c r="R30" s="81">
        <v>-10.8</v>
      </c>
      <c r="S30" s="81">
        <v>-14.3</v>
      </c>
      <c r="T30" s="78">
        <v>8.8800000000000008</v>
      </c>
      <c r="U30" s="78">
        <v>9.31</v>
      </c>
      <c r="V30" s="78">
        <v>116</v>
      </c>
      <c r="AP30" s="80" t="str">
        <f>IFERROR(TP_DATA[[#This Row],[Bottom '[m']]]-TP_DATA[[#This Row],[D, top '[m']]], "")</f>
        <v/>
      </c>
      <c r="AQ30" s="80" t="str">
        <f>IFERROR(-(TP_DATA[[#This Row],[D, bottom '[m']]]-TP_DATA[[#This Row],[D, top '[m']]])/(TP_DATA[[#This Row],[Bottom '[m']]]-TP_DATA[[#This Row],[Top '[m']]]),"")</f>
        <v/>
      </c>
      <c r="AR30" s="80" t="str">
        <f t="shared" si="1"/>
        <v/>
      </c>
      <c r="AS30" s="80" t="str">
        <f>IFERROR((TP_DATA[[#This Row],[D, bottom '[m']]]+TP_DATA[[#This Row],[D, top '[m']]])/(2*TP_DATA[[#This Row],[t '[mm']]]/1000),"")</f>
        <v/>
      </c>
      <c r="AT30" s="80" t="str">
        <f>IFERROR((TP_DATA[[#This Row],[D, bottom '[m']]]+#REF!)/(2*#REF!/1000),"")</f>
        <v/>
      </c>
      <c r="AY30" s="78"/>
      <c r="AZ30" s="78"/>
      <c r="BA30" s="78"/>
      <c r="BB30" s="78"/>
      <c r="BC30" s="78"/>
      <c r="BD30" s="78"/>
      <c r="BR30" s="71">
        <v>6</v>
      </c>
      <c r="BS30">
        <v>-10.8</v>
      </c>
      <c r="BT30">
        <v>-14.3</v>
      </c>
      <c r="BU30">
        <v>8.8800000000000008</v>
      </c>
      <c r="BV30">
        <v>9.31</v>
      </c>
      <c r="BW30">
        <v>116</v>
      </c>
      <c r="BX30" s="80">
        <f>IFERROR(TOWER_DATA[[#This Row],[Bottom '[m']]]-TOWER_DATA[[#This Row],[D, top '[m']]], "")</f>
        <v>-23.18</v>
      </c>
      <c r="BY30" s="80">
        <f>IFERROR(-(TOWER_DATA[[#This Row],[D, bottom '[m']]]-TOWER_DATA[[#This Row],[D, top '[m']]])/(TOWER_DATA[[#This Row],[Bottom '[m']]]-TOWER_DATA[[#This Row],[Top '[m']]]),"")</f>
        <v>0.12285714285714278</v>
      </c>
      <c r="BZ30" s="80">
        <f t="shared" si="2"/>
        <v>89.902865547432455</v>
      </c>
      <c r="CA30" s="80">
        <f>IFERROR((TOWER_DATA[[#This Row],[D, bottom '[m']]]+TOWER_DATA[[#This Row],[D, top '[m']]])/(2*TOWER_DATA[[#This Row],[t '[mm']]]/1000),"")</f>
        <v>78.40517241379311</v>
      </c>
      <c r="CB30" s="80" t="str">
        <f>IFERROR((TOWER_DATA[[#This Row],[D, bottom '[m']]]+#REF!)/(2*#REF!/1000),"")</f>
        <v/>
      </c>
      <c r="CC30" s="83"/>
      <c r="CD30" s="83"/>
      <c r="CE30" s="83"/>
      <c r="CG30" s="78">
        <v>6</v>
      </c>
      <c r="CH30" s="78">
        <v>-10.8</v>
      </c>
      <c r="CI30" s="78">
        <v>-14.3</v>
      </c>
      <c r="CJ30" s="78">
        <v>8.8800000000000008</v>
      </c>
      <c r="CK30" s="78">
        <v>9.31</v>
      </c>
      <c r="CL30" s="78">
        <v>116</v>
      </c>
      <c r="DF30" s="80"/>
      <c r="DG30" s="80"/>
      <c r="DH30" s="80"/>
      <c r="DI30" s="80"/>
      <c r="DK30" s="78">
        <v>6</v>
      </c>
      <c r="DL30" s="78">
        <v>136.524</v>
      </c>
      <c r="DM30" s="78">
        <v>135.708</v>
      </c>
      <c r="DN30" s="78">
        <v>5.7557999999999998</v>
      </c>
      <c r="DO30" s="78">
        <v>5.7717999999999998</v>
      </c>
      <c r="DP30" s="78">
        <v>21.8</v>
      </c>
    </row>
    <row r="31" spans="1:129" x14ac:dyDescent="0.3">
      <c r="B31" s="100">
        <v>7</v>
      </c>
      <c r="C31" s="101">
        <v>-14.3</v>
      </c>
      <c r="D31" s="101">
        <v>-17.8</v>
      </c>
      <c r="E31" s="100">
        <v>9.31</v>
      </c>
      <c r="F31" s="100">
        <v>9.75</v>
      </c>
      <c r="G31" s="100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Q31" s="78">
        <v>7</v>
      </c>
      <c r="R31" s="81">
        <v>-14.3</v>
      </c>
      <c r="S31" s="81">
        <v>-17.8</v>
      </c>
      <c r="T31" s="78">
        <v>9.31</v>
      </c>
      <c r="U31" s="78">
        <v>9.75</v>
      </c>
      <c r="V31" s="78">
        <v>103</v>
      </c>
      <c r="AP31" s="80" t="str">
        <f>IFERROR(TP_DATA[[#This Row],[Bottom '[m']]]-TP_DATA[[#This Row],[D, top '[m']]], "")</f>
        <v/>
      </c>
      <c r="AQ31" s="80" t="str">
        <f>IFERROR(-(TP_DATA[[#This Row],[D, bottom '[m']]]-TP_DATA[[#This Row],[D, top '[m']]])/(TP_DATA[[#This Row],[Bottom '[m']]]-TP_DATA[[#This Row],[Top '[m']]]),"")</f>
        <v/>
      </c>
      <c r="AR31" s="80" t="str">
        <f t="shared" si="1"/>
        <v/>
      </c>
      <c r="AS31" s="80" t="str">
        <f>IFERROR((TP_DATA[[#This Row],[D, bottom '[m']]]+TP_DATA[[#This Row],[D, top '[m']]])/(2*TP_DATA[[#This Row],[t '[mm']]]/1000),"")</f>
        <v/>
      </c>
      <c r="AT31" s="80" t="str">
        <f>IFERROR((TP_DATA[[#This Row],[D, bottom '[m']]]+#REF!)/(2*#REF!/1000),"")</f>
        <v/>
      </c>
      <c r="AY31" s="78"/>
      <c r="AZ31" s="78"/>
      <c r="BA31" s="78"/>
      <c r="BB31" s="78"/>
      <c r="BC31" s="78"/>
      <c r="BD31" s="78"/>
      <c r="BR31" s="71">
        <v>7</v>
      </c>
      <c r="BS31">
        <v>-14.3</v>
      </c>
      <c r="BT31">
        <v>-17.8</v>
      </c>
      <c r="BU31">
        <v>9.31</v>
      </c>
      <c r="BV31">
        <v>9.75</v>
      </c>
      <c r="BW31">
        <v>103</v>
      </c>
      <c r="BX31" s="80">
        <f>IFERROR(TOWER_DATA[[#This Row],[Bottom '[m']]]-TOWER_DATA[[#This Row],[D, top '[m']]], "")</f>
        <v>-27.11</v>
      </c>
      <c r="BY31" s="80">
        <f>IFERROR(-(TOWER_DATA[[#This Row],[D, bottom '[m']]]-TOWER_DATA[[#This Row],[D, top '[m']]])/(TOWER_DATA[[#This Row],[Bottom '[m']]]-TOWER_DATA[[#This Row],[Top '[m']]]),"")</f>
        <v>0.12571428571428558</v>
      </c>
      <c r="BZ31" s="80">
        <f t="shared" si="2"/>
        <v>83.810475680910201</v>
      </c>
      <c r="CA31" s="80">
        <f>IFERROR((TOWER_DATA[[#This Row],[D, bottom '[m']]]+TOWER_DATA[[#This Row],[D, top '[m']]])/(2*TOWER_DATA[[#This Row],[t '[mm']]]/1000),"")</f>
        <v>92.524271844660205</v>
      </c>
      <c r="CB31" s="80" t="str">
        <f>IFERROR((TOWER_DATA[[#This Row],[D, bottom '[m']]]+#REF!)/(2*#REF!/1000),"")</f>
        <v/>
      </c>
      <c r="CC31" s="83"/>
      <c r="CD31" s="83"/>
      <c r="CE31" s="83"/>
      <c r="CG31" s="78">
        <v>7</v>
      </c>
      <c r="CH31" s="78">
        <v>-14.3</v>
      </c>
      <c r="CI31" s="78">
        <v>-17.8</v>
      </c>
      <c r="CJ31" s="78">
        <v>9.31</v>
      </c>
      <c r="CK31" s="78">
        <v>9.75</v>
      </c>
      <c r="CL31" s="78">
        <v>103</v>
      </c>
      <c r="DF31" s="80"/>
      <c r="DG31" s="80"/>
      <c r="DH31" s="80"/>
      <c r="DI31" s="80"/>
      <c r="DK31" s="78">
        <v>7</v>
      </c>
      <c r="DL31" s="78">
        <v>135.708</v>
      </c>
      <c r="DM31" s="78">
        <v>133.73699999999999</v>
      </c>
      <c r="DN31" s="78">
        <v>5.7717999999999998</v>
      </c>
      <c r="DO31" s="78">
        <v>5.8105000000000002</v>
      </c>
      <c r="DP31" s="78">
        <v>21.5</v>
      </c>
    </row>
    <row r="32" spans="1:129" x14ac:dyDescent="0.3">
      <c r="B32" s="100">
        <v>8</v>
      </c>
      <c r="C32" s="101">
        <v>-17.8</v>
      </c>
      <c r="D32" s="101">
        <v>-21.3</v>
      </c>
      <c r="E32" s="100">
        <v>9.75</v>
      </c>
      <c r="F32" s="100">
        <v>10.19</v>
      </c>
      <c r="G32" s="100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Q32" s="78">
        <v>8</v>
      </c>
      <c r="R32" s="81">
        <v>-17.8</v>
      </c>
      <c r="S32" s="81">
        <v>-21.3</v>
      </c>
      <c r="T32" s="78">
        <v>9.75</v>
      </c>
      <c r="U32" s="78">
        <v>10.19</v>
      </c>
      <c r="V32" s="78">
        <v>98</v>
      </c>
      <c r="X32" s="78"/>
      <c r="Y32" s="78"/>
      <c r="Z32" s="78"/>
      <c r="AP32" s="80" t="str">
        <f>IFERROR(TP_DATA[[#This Row],[Bottom '[m']]]-TP_DATA[[#This Row],[D, top '[m']]], "")</f>
        <v/>
      </c>
      <c r="AQ32" s="80" t="str">
        <f>IFERROR(-(TP_DATA[[#This Row],[D, bottom '[m']]]-TP_DATA[[#This Row],[D, top '[m']]])/(TP_DATA[[#This Row],[Bottom '[m']]]-TP_DATA[[#This Row],[Top '[m']]]),"")</f>
        <v/>
      </c>
      <c r="AR32" s="80" t="str">
        <f t="shared" si="1"/>
        <v/>
      </c>
      <c r="AS32" s="80" t="str">
        <f>IFERROR((TP_DATA[[#This Row],[D, bottom '[m']]]+TP_DATA[[#This Row],[D, top '[m']]])/(2*TP_DATA[[#This Row],[t '[mm']]]/1000),"")</f>
        <v/>
      </c>
      <c r="AT32" s="80" t="str">
        <f>IFERROR((TP_DATA[[#This Row],[D, bottom '[m']]]+#REF!)/(2*#REF!/1000),"")</f>
        <v/>
      </c>
      <c r="AY32" s="78"/>
      <c r="AZ32" s="78"/>
      <c r="BA32" s="78"/>
      <c r="BB32" s="78"/>
      <c r="BC32" s="78"/>
      <c r="BD32" s="78"/>
      <c r="BF32" s="78"/>
      <c r="BG32" s="78"/>
      <c r="BH32" s="78"/>
      <c r="BR32" s="71">
        <v>8</v>
      </c>
      <c r="BS32">
        <v>-17.8</v>
      </c>
      <c r="BT32">
        <v>-21.3</v>
      </c>
      <c r="BU32">
        <v>9.75</v>
      </c>
      <c r="BV32">
        <v>10.19</v>
      </c>
      <c r="BW32">
        <v>98</v>
      </c>
      <c r="BX32" s="80">
        <f>IFERROR(TOWER_DATA[[#This Row],[Bottom '[m']]]-TOWER_DATA[[#This Row],[D, top '[m']]], "")</f>
        <v>-31.05</v>
      </c>
      <c r="BY32" s="80">
        <f>IFERROR(-(TOWER_DATA[[#This Row],[D, bottom '[m']]]-TOWER_DATA[[#This Row],[D, top '[m']]])/(TOWER_DATA[[#This Row],[Bottom '[m']]]-TOWER_DATA[[#This Row],[Top '[m']]]),"")</f>
        <v>0.12571428571428558</v>
      </c>
      <c r="BZ32" s="80">
        <f t="shared" si="2"/>
        <v>83.506214395905459</v>
      </c>
      <c r="CA32" s="80">
        <f>IFERROR((TOWER_DATA[[#This Row],[D, bottom '[m']]]+TOWER_DATA[[#This Row],[D, top '[m']]])/(2*TOWER_DATA[[#This Row],[t '[mm']]]/1000),"")</f>
        <v>101.73469387755101</v>
      </c>
      <c r="CB32" s="80" t="str">
        <f>IFERROR((TOWER_DATA[[#This Row],[D, bottom '[m']]]+#REF!)/(2*#REF!/1000),"")</f>
        <v/>
      </c>
      <c r="CC32" s="83"/>
      <c r="CD32" s="83"/>
      <c r="CE32" s="83"/>
      <c r="CG32" s="78">
        <v>8</v>
      </c>
      <c r="CH32" s="78">
        <v>-17.8</v>
      </c>
      <c r="CI32" s="78">
        <v>-21.3</v>
      </c>
      <c r="CJ32" s="78">
        <v>9.75</v>
      </c>
      <c r="CK32" s="78">
        <v>10.19</v>
      </c>
      <c r="CL32" s="78">
        <v>98</v>
      </c>
      <c r="CN32" s="78"/>
      <c r="CO32" s="78"/>
      <c r="CP32" s="78"/>
      <c r="DF32" s="80"/>
      <c r="DG32" s="80"/>
      <c r="DH32" s="80"/>
      <c r="DI32" s="80"/>
      <c r="DK32" s="78">
        <v>8</v>
      </c>
      <c r="DL32" s="78">
        <v>133.73699999999999</v>
      </c>
      <c r="DM32" s="78">
        <v>133.71100000000001</v>
      </c>
      <c r="DN32" s="78">
        <v>5.8105000000000002</v>
      </c>
      <c r="DO32" s="78">
        <v>5.8109999999999999</v>
      </c>
      <c r="DP32" s="78">
        <v>21.5</v>
      </c>
    </row>
    <row r="33" spans="2:120" x14ac:dyDescent="0.3">
      <c r="B33" s="100">
        <v>9</v>
      </c>
      <c r="C33" s="101">
        <v>-21.3</v>
      </c>
      <c r="D33" s="101">
        <v>-24.8</v>
      </c>
      <c r="E33" s="100">
        <v>10.19</v>
      </c>
      <c r="F33" s="100">
        <v>10.63</v>
      </c>
      <c r="G33" s="100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Q33" s="78">
        <v>9</v>
      </c>
      <c r="R33" s="81">
        <v>-21.3</v>
      </c>
      <c r="S33" s="81">
        <v>-24.8</v>
      </c>
      <c r="T33" s="78">
        <v>10.19</v>
      </c>
      <c r="U33" s="78">
        <v>10.63</v>
      </c>
      <c r="V33" s="78">
        <v>98</v>
      </c>
      <c r="X33" s="78"/>
      <c r="Y33" s="78"/>
      <c r="Z33" s="78"/>
      <c r="AP33" s="80" t="str">
        <f>IFERROR(TP_DATA[[#This Row],[Bottom '[m']]]-TP_DATA[[#This Row],[D, top '[m']]], "")</f>
        <v/>
      </c>
      <c r="AQ33" s="80" t="str">
        <f>IFERROR(-(TP_DATA[[#This Row],[D, bottom '[m']]]-TP_DATA[[#This Row],[D, top '[m']]])/(TP_DATA[[#This Row],[Bottom '[m']]]-TP_DATA[[#This Row],[Top '[m']]]),"")</f>
        <v/>
      </c>
      <c r="AR33" s="80" t="str">
        <f t="shared" si="1"/>
        <v/>
      </c>
      <c r="AS33" s="80" t="str">
        <f>IFERROR((TP_DATA[[#This Row],[D, bottom '[m']]]+TP_DATA[[#This Row],[D, top '[m']]])/(2*TP_DATA[[#This Row],[t '[mm']]]/1000),"")</f>
        <v/>
      </c>
      <c r="AT33" s="80" t="str">
        <f>IFERROR((TP_DATA[[#This Row],[D, bottom '[m']]]+#REF!)/(2*#REF!/1000),"")</f>
        <v/>
      </c>
      <c r="AY33" s="78"/>
      <c r="AZ33" s="78"/>
      <c r="BA33" s="78"/>
      <c r="BB33" s="78"/>
      <c r="BC33" s="78"/>
      <c r="BD33" s="78"/>
      <c r="BF33" s="78"/>
      <c r="BG33" s="78"/>
      <c r="BH33" s="78"/>
      <c r="BR33" s="71">
        <v>9</v>
      </c>
      <c r="BS33">
        <v>-21.3</v>
      </c>
      <c r="BT33">
        <v>-24.8</v>
      </c>
      <c r="BU33">
        <v>10.19</v>
      </c>
      <c r="BV33">
        <v>10.63</v>
      </c>
      <c r="BW33">
        <v>98</v>
      </c>
      <c r="BX33" s="80">
        <f>IFERROR(TOWER_DATA[[#This Row],[Bottom '[m']]]-TOWER_DATA[[#This Row],[D, top '[m']]], "")</f>
        <v>-34.99</v>
      </c>
      <c r="BY33" s="80">
        <f>IFERROR(-(TOWER_DATA[[#This Row],[D, bottom '[m']]]-TOWER_DATA[[#This Row],[D, top '[m']]])/(TOWER_DATA[[#This Row],[Bottom '[m']]]-TOWER_DATA[[#This Row],[Top '[m']]]),"")</f>
        <v>0.12571428571428608</v>
      </c>
      <c r="BZ33" s="80">
        <f t="shared" si="2"/>
        <v>87.228128327651717</v>
      </c>
      <c r="CA33" s="80">
        <f>IFERROR((TOWER_DATA[[#This Row],[D, bottom '[m']]]+TOWER_DATA[[#This Row],[D, top '[m']]])/(2*TOWER_DATA[[#This Row],[t '[mm']]]/1000),"")</f>
        <v>106.22448979591836</v>
      </c>
      <c r="CB33" s="80" t="str">
        <f>IFERROR((TOWER_DATA[[#This Row],[D, bottom '[m']]]+#REF!)/(2*#REF!/1000),"")</f>
        <v/>
      </c>
      <c r="CC33" s="83"/>
      <c r="CD33" s="83"/>
      <c r="CE33" s="83"/>
      <c r="CG33" s="78">
        <v>9</v>
      </c>
      <c r="CH33" s="78">
        <v>-21.3</v>
      </c>
      <c r="CI33" s="78">
        <v>-24.8</v>
      </c>
      <c r="CJ33" s="78">
        <v>10.19</v>
      </c>
      <c r="CK33" s="78">
        <v>10.63</v>
      </c>
      <c r="CL33" s="78">
        <v>98</v>
      </c>
      <c r="CN33" s="78"/>
      <c r="CO33" s="78"/>
      <c r="CP33" s="78"/>
      <c r="DF33" s="80"/>
      <c r="DG33" s="80"/>
      <c r="DH33" s="80"/>
      <c r="DI33" s="80"/>
      <c r="DK33" s="78">
        <v>9</v>
      </c>
      <c r="DL33" s="78">
        <v>133.71100000000001</v>
      </c>
      <c r="DM33" s="78">
        <v>130.953</v>
      </c>
      <c r="DN33" s="78">
        <v>5.8109999999999999</v>
      </c>
      <c r="DO33" s="78">
        <v>5.8646000000000003</v>
      </c>
      <c r="DP33" s="78">
        <v>21.6</v>
      </c>
    </row>
    <row r="34" spans="2:120" x14ac:dyDescent="0.3">
      <c r="B34" s="100">
        <v>10</v>
      </c>
      <c r="C34" s="101">
        <v>-24.8</v>
      </c>
      <c r="D34" s="101">
        <v>-28.3</v>
      </c>
      <c r="E34" s="100">
        <v>10.63</v>
      </c>
      <c r="F34" s="100">
        <v>11.06</v>
      </c>
      <c r="G34" s="100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Q34" s="78">
        <v>10</v>
      </c>
      <c r="R34" s="81">
        <v>-24.8</v>
      </c>
      <c r="S34" s="81">
        <v>-28.3</v>
      </c>
      <c r="T34" s="78">
        <v>10.63</v>
      </c>
      <c r="U34" s="78">
        <v>11.06</v>
      </c>
      <c r="V34" s="78">
        <v>98</v>
      </c>
      <c r="X34" s="78"/>
      <c r="Y34" s="78"/>
      <c r="Z34" s="78"/>
      <c r="AP34" s="80" t="str">
        <f>IFERROR(TP_DATA[[#This Row],[Bottom '[m']]]-TP_DATA[[#This Row],[D, top '[m']]], "")</f>
        <v/>
      </c>
      <c r="AQ34" s="80" t="str">
        <f>IFERROR(-(TP_DATA[[#This Row],[D, bottom '[m']]]-TP_DATA[[#This Row],[D, top '[m']]])/(TP_DATA[[#This Row],[Bottom '[m']]]-TP_DATA[[#This Row],[Top '[m']]]),"")</f>
        <v/>
      </c>
      <c r="AR34" s="80" t="str">
        <f t="shared" si="1"/>
        <v/>
      </c>
      <c r="AS34" s="80" t="str">
        <f>IFERROR((TP_DATA[[#This Row],[D, bottom '[m']]]+TP_DATA[[#This Row],[D, top '[m']]])/(2*TP_DATA[[#This Row],[t '[mm']]]/1000),"")</f>
        <v/>
      </c>
      <c r="AT34" s="80" t="str">
        <f>IFERROR((TP_DATA[[#This Row],[D, bottom '[m']]]+#REF!)/(2*#REF!/1000),"")</f>
        <v/>
      </c>
      <c r="AY34" s="78"/>
      <c r="AZ34" s="78"/>
      <c r="BA34" s="78"/>
      <c r="BB34" s="78"/>
      <c r="BC34" s="78"/>
      <c r="BD34" s="78"/>
      <c r="BF34" s="78"/>
      <c r="BG34" s="78"/>
      <c r="BH34" s="78"/>
      <c r="BR34" s="71">
        <v>10</v>
      </c>
      <c r="BS34">
        <v>-24.8</v>
      </c>
      <c r="BT34">
        <v>-28.3</v>
      </c>
      <c r="BU34">
        <v>10.63</v>
      </c>
      <c r="BV34">
        <v>11.06</v>
      </c>
      <c r="BW34">
        <v>98</v>
      </c>
      <c r="BX34" s="80">
        <f>IFERROR(TOWER_DATA[[#This Row],[Bottom '[m']]]-TOWER_DATA[[#This Row],[D, top '[m']]], "")</f>
        <v>-38.93</v>
      </c>
      <c r="BY34" s="80">
        <f>IFERROR(-(TOWER_DATA[[#This Row],[D, bottom '[m']]]-TOWER_DATA[[#This Row],[D, top '[m']]])/(TOWER_DATA[[#This Row],[Bottom '[m']]]-TOWER_DATA[[#This Row],[Top '[m']]]),"")</f>
        <v>0.12285714285714278</v>
      </c>
      <c r="BZ34" s="80">
        <f t="shared" si="2"/>
        <v>90.907747782900842</v>
      </c>
      <c r="CA34" s="80">
        <f>IFERROR((TOWER_DATA[[#This Row],[D, bottom '[m']]]+TOWER_DATA[[#This Row],[D, top '[m']]])/(2*TOWER_DATA[[#This Row],[t '[mm']]]/1000),"")</f>
        <v>110.66326530612245</v>
      </c>
      <c r="CB34" s="80" t="str">
        <f>IFERROR((TOWER_DATA[[#This Row],[D, bottom '[m']]]+#REF!)/(2*#REF!/1000),"")</f>
        <v/>
      </c>
      <c r="CC34" s="83"/>
      <c r="CD34" s="83"/>
      <c r="CE34" s="83"/>
      <c r="CG34" s="78">
        <v>10</v>
      </c>
      <c r="CH34" s="78">
        <v>-24.8</v>
      </c>
      <c r="CI34" s="78">
        <v>-28.3</v>
      </c>
      <c r="CJ34" s="78">
        <v>10.63</v>
      </c>
      <c r="CK34" s="78">
        <v>11.06</v>
      </c>
      <c r="CL34" s="78">
        <v>98</v>
      </c>
      <c r="CN34" s="78"/>
      <c r="CO34" s="78"/>
      <c r="CP34" s="78"/>
      <c r="DF34" s="80"/>
      <c r="DG34" s="80"/>
      <c r="DH34" s="80"/>
      <c r="DI34" s="80"/>
      <c r="DK34" s="78">
        <v>10</v>
      </c>
      <c r="DL34" s="78">
        <v>130.953</v>
      </c>
      <c r="DM34" s="78">
        <v>128.16899999999998</v>
      </c>
      <c r="DN34" s="78">
        <v>5.8646000000000003</v>
      </c>
      <c r="DO34" s="78">
        <v>5.9176000000000002</v>
      </c>
      <c r="DP34" s="78">
        <v>19.599999999999998</v>
      </c>
    </row>
    <row r="35" spans="2:120" x14ac:dyDescent="0.3">
      <c r="B35" s="100">
        <v>11</v>
      </c>
      <c r="C35" s="101">
        <v>-28.3</v>
      </c>
      <c r="D35" s="101">
        <v>-31.8</v>
      </c>
      <c r="E35" s="100">
        <v>11.06</v>
      </c>
      <c r="F35" s="100">
        <v>11.5</v>
      </c>
      <c r="G35" s="100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Q35" s="78">
        <v>11</v>
      </c>
      <c r="R35" s="81">
        <v>-28.3</v>
      </c>
      <c r="S35" s="81">
        <v>-31.8</v>
      </c>
      <c r="T35" s="78">
        <v>11.06</v>
      </c>
      <c r="U35" s="78">
        <v>11.5</v>
      </c>
      <c r="V35" s="78">
        <v>98</v>
      </c>
      <c r="AP35" s="80" t="str">
        <f>IFERROR(TP_DATA[[#This Row],[Bottom '[m']]]-TP_DATA[[#This Row],[D, top '[m']]], "")</f>
        <v/>
      </c>
      <c r="AQ35" s="80" t="str">
        <f>IFERROR(-(TP_DATA[[#This Row],[D, bottom '[m']]]-TP_DATA[[#This Row],[D, top '[m']]])/(TP_DATA[[#This Row],[Bottom '[m']]]-TP_DATA[[#This Row],[Top '[m']]]),"")</f>
        <v/>
      </c>
      <c r="AR35" s="80" t="str">
        <f t="shared" si="1"/>
        <v/>
      </c>
      <c r="AS35" s="80" t="str">
        <f>IFERROR((TP_DATA[[#This Row],[D, bottom '[m']]]+TP_DATA[[#This Row],[D, top '[m']]])/(2*TP_DATA[[#This Row],[t '[mm']]]/1000),"")</f>
        <v/>
      </c>
      <c r="AT35" s="80" t="str">
        <f>IFERROR((TP_DATA[[#This Row],[D, bottom '[m']]]+#REF!)/(2*#REF!/1000),"")</f>
        <v/>
      </c>
      <c r="AY35" s="78"/>
      <c r="AZ35" s="78"/>
      <c r="BA35" s="78"/>
      <c r="BB35" s="78"/>
      <c r="BC35" s="78"/>
      <c r="BD35" s="78"/>
      <c r="BR35" s="71">
        <v>11</v>
      </c>
      <c r="BS35">
        <v>-28.3</v>
      </c>
      <c r="BT35">
        <v>-31.8</v>
      </c>
      <c r="BU35">
        <v>11.06</v>
      </c>
      <c r="BV35">
        <v>11.5</v>
      </c>
      <c r="BW35">
        <v>98</v>
      </c>
      <c r="BX35" s="80">
        <f>IFERROR(TOWER_DATA[[#This Row],[Bottom '[m']]]-TOWER_DATA[[#This Row],[D, top '[m']]], "")</f>
        <v>-42.86</v>
      </c>
      <c r="BY35" s="80">
        <f>IFERROR(-(TOWER_DATA[[#This Row],[D, bottom '[m']]]-TOWER_DATA[[#This Row],[D, top '[m']]])/(TOWER_DATA[[#This Row],[Bottom '[m']]]-TOWER_DATA[[#This Row],[Top '[m']]]),"")</f>
        <v>0.12571428571428558</v>
      </c>
      <c r="BZ35" s="80">
        <f t="shared" si="2"/>
        <v>94.587367238149838</v>
      </c>
      <c r="CA35" s="80">
        <f>IFERROR((TOWER_DATA[[#This Row],[D, bottom '[m']]]+TOWER_DATA[[#This Row],[D, top '[m']]])/(2*TOWER_DATA[[#This Row],[t '[mm']]]/1000),"")</f>
        <v>115.10204081632654</v>
      </c>
      <c r="CB35" s="80" t="str">
        <f>IFERROR((TOWER_DATA[[#This Row],[D, bottom '[m']]]+#REF!)/(2*#REF!/1000),"")</f>
        <v/>
      </c>
      <c r="CC35" s="83"/>
      <c r="CD35" s="83"/>
      <c r="CE35" s="83"/>
      <c r="CG35" s="78">
        <v>11</v>
      </c>
      <c r="CH35" s="78">
        <v>-28.3</v>
      </c>
      <c r="CI35" s="78">
        <v>-31.8</v>
      </c>
      <c r="CJ35" s="78">
        <v>11.06</v>
      </c>
      <c r="CK35" s="78">
        <v>11.5</v>
      </c>
      <c r="CL35" s="78">
        <v>98</v>
      </c>
      <c r="DF35" s="80"/>
      <c r="DG35" s="80"/>
      <c r="DH35" s="80"/>
      <c r="DI35" s="80"/>
      <c r="DK35" s="78">
        <v>11</v>
      </c>
      <c r="DL35" s="78">
        <v>128.16899999999998</v>
      </c>
      <c r="DM35" s="78">
        <v>125.386</v>
      </c>
      <c r="DN35" s="78">
        <v>5.9176000000000002</v>
      </c>
      <c r="DO35" s="78">
        <v>5.9721000000000002</v>
      </c>
      <c r="DP35" s="78">
        <v>20.100000000000001</v>
      </c>
    </row>
    <row r="36" spans="2:120" x14ac:dyDescent="0.3">
      <c r="B36" s="100">
        <v>12</v>
      </c>
      <c r="C36" s="101">
        <v>-31.8</v>
      </c>
      <c r="D36" s="101">
        <v>-35.299999999999997</v>
      </c>
      <c r="E36" s="100">
        <v>11.5</v>
      </c>
      <c r="F36" s="100">
        <v>11.5</v>
      </c>
      <c r="G36" s="100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Q36" s="78">
        <v>12</v>
      </c>
      <c r="R36" s="81">
        <v>-31.8</v>
      </c>
      <c r="S36" s="81">
        <v>-35.299999999999997</v>
      </c>
      <c r="T36" s="78">
        <v>11.5</v>
      </c>
      <c r="U36" s="78">
        <v>11.5</v>
      </c>
      <c r="V36" s="78">
        <v>98</v>
      </c>
      <c r="AP36" s="80" t="str">
        <f>IFERROR(TP_DATA[[#This Row],[Bottom '[m']]]-TP_DATA[[#This Row],[D, top '[m']]], "")</f>
        <v/>
      </c>
      <c r="AQ36" s="80" t="str">
        <f>IFERROR(-(TP_DATA[[#This Row],[D, bottom '[m']]]-TP_DATA[[#This Row],[D, top '[m']]])/(TP_DATA[[#This Row],[Bottom '[m']]]-TP_DATA[[#This Row],[Top '[m']]]),"")</f>
        <v/>
      </c>
      <c r="AR36" s="80" t="str">
        <f t="shared" si="1"/>
        <v/>
      </c>
      <c r="AS36" s="80" t="str">
        <f>IFERROR((TP_DATA[[#This Row],[D, bottom '[m']]]+TP_DATA[[#This Row],[D, top '[m']]])/(2*TP_DATA[[#This Row],[t '[mm']]]/1000),"")</f>
        <v/>
      </c>
      <c r="AT36" s="80" t="str">
        <f>IFERROR((TP_DATA[[#This Row],[D, bottom '[m']]]+#REF!)/(2*#REF!/1000),"")</f>
        <v/>
      </c>
      <c r="AY36" s="78"/>
      <c r="AZ36" s="78"/>
      <c r="BA36" s="78"/>
      <c r="BB36" s="78"/>
      <c r="BC36" s="78"/>
      <c r="BD36" s="78"/>
      <c r="BR36" s="71">
        <v>12</v>
      </c>
      <c r="BS36">
        <v>-31.8</v>
      </c>
      <c r="BT36">
        <v>-35.299999999999997</v>
      </c>
      <c r="BU36">
        <v>11.5</v>
      </c>
      <c r="BV36">
        <v>11.5</v>
      </c>
      <c r="BW36">
        <v>98</v>
      </c>
      <c r="BX36" s="80">
        <f>IFERROR(TOWER_DATA[[#This Row],[Bottom '[m']]]-TOWER_DATA[[#This Row],[D, top '[m']]], "")</f>
        <v>-46.8</v>
      </c>
      <c r="BY36" s="80">
        <f>IFERROR(-(TOWER_DATA[[#This Row],[D, bottom '[m']]]-TOWER_DATA[[#This Row],[D, top '[m']]])/(TOWER_DATA[[#This Row],[Bottom '[m']]]-TOWER_DATA[[#This Row],[Top '[m']]]),"")</f>
        <v>0</v>
      </c>
      <c r="BZ36" s="80">
        <f t="shared" si="2"/>
        <v>96.448324204023137</v>
      </c>
      <c r="CA36" s="80">
        <f>IFERROR((TOWER_DATA[[#This Row],[D, bottom '[m']]]+TOWER_DATA[[#This Row],[D, top '[m']]])/(2*TOWER_DATA[[#This Row],[t '[mm']]]/1000),"")</f>
        <v>117.3469387755102</v>
      </c>
      <c r="CB36" s="80" t="str">
        <f>IFERROR((TOWER_DATA[[#This Row],[D, bottom '[m']]]+#REF!)/(2*#REF!/1000),"")</f>
        <v/>
      </c>
      <c r="CC36" s="83"/>
      <c r="CD36" s="83"/>
      <c r="CE36" s="83"/>
      <c r="CG36" s="78">
        <v>12</v>
      </c>
      <c r="CH36" s="78">
        <v>-31.8</v>
      </c>
      <c r="CI36" s="78">
        <v>-35.299999999999997</v>
      </c>
      <c r="CJ36" s="78">
        <v>11.5</v>
      </c>
      <c r="CK36" s="78">
        <v>11.5</v>
      </c>
      <c r="CL36" s="78">
        <v>98</v>
      </c>
      <c r="DF36" s="80"/>
      <c r="DG36" s="80"/>
      <c r="DH36" s="80"/>
      <c r="DI36" s="80"/>
      <c r="DK36" s="78">
        <v>12</v>
      </c>
      <c r="DL36" s="78">
        <v>125.386</v>
      </c>
      <c r="DM36" s="78">
        <v>122.60599999999999</v>
      </c>
      <c r="DN36" s="78">
        <v>5.9721000000000002</v>
      </c>
      <c r="DO36" s="78">
        <v>6.0275999999999996</v>
      </c>
      <c r="DP36" s="78">
        <v>20.6</v>
      </c>
    </row>
    <row r="37" spans="2:120" x14ac:dyDescent="0.3">
      <c r="B37" s="100">
        <v>13</v>
      </c>
      <c r="C37" s="101">
        <v>-35.299999999999997</v>
      </c>
      <c r="D37" s="101">
        <v>-38.6</v>
      </c>
      <c r="E37" s="100">
        <v>11.5</v>
      </c>
      <c r="F37" s="100">
        <v>11.5</v>
      </c>
      <c r="G37" s="100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Q37" s="78">
        <v>13</v>
      </c>
      <c r="R37" s="81">
        <v>-35.299999999999997</v>
      </c>
      <c r="S37" s="81">
        <v>-38.6</v>
      </c>
      <c r="T37" s="78">
        <v>11.5</v>
      </c>
      <c r="U37" s="78">
        <v>11.5</v>
      </c>
      <c r="V37" s="78">
        <v>100</v>
      </c>
      <c r="AP37" s="80" t="str">
        <f>IFERROR(TP_DATA[[#This Row],[Bottom '[m']]]-TP_DATA[[#This Row],[D, top '[m']]], "")</f>
        <v/>
      </c>
      <c r="AQ37" s="80" t="str">
        <f>IFERROR(-(TP_DATA[[#This Row],[D, bottom '[m']]]-TP_DATA[[#This Row],[D, top '[m']]])/(TP_DATA[[#This Row],[Bottom '[m']]]-TP_DATA[[#This Row],[Top '[m']]]),"")</f>
        <v/>
      </c>
      <c r="AR37" s="80" t="str">
        <f t="shared" si="1"/>
        <v/>
      </c>
      <c r="AS37" s="80" t="str">
        <f>IFERROR((TP_DATA[[#This Row],[D, bottom '[m']]]+TP_DATA[[#This Row],[D, top '[m']]])/(2*TP_DATA[[#This Row],[t '[mm']]]/1000),"")</f>
        <v/>
      </c>
      <c r="AT37" s="80" t="str">
        <f>IFERROR((TP_DATA[[#This Row],[D, bottom '[m']]]+#REF!)/(2*#REF!/1000),"")</f>
        <v/>
      </c>
      <c r="AY37" s="78"/>
      <c r="AZ37" s="78"/>
      <c r="BA37" s="78"/>
      <c r="BB37" s="78"/>
      <c r="BC37" s="78"/>
      <c r="BD37" s="78"/>
      <c r="BR37" s="71">
        <v>13</v>
      </c>
      <c r="BS37">
        <v>-35.299999999999997</v>
      </c>
      <c r="BT37">
        <v>-38.6</v>
      </c>
      <c r="BU37">
        <v>11.5</v>
      </c>
      <c r="BV37">
        <v>11.5</v>
      </c>
      <c r="BW37">
        <v>100</v>
      </c>
      <c r="BX37" s="80">
        <f>IFERROR(TOWER_DATA[[#This Row],[Bottom '[m']]]-TOWER_DATA[[#This Row],[D, top '[m']]], "")</f>
        <v>-50.1</v>
      </c>
      <c r="BY37" s="80">
        <f>IFERROR(-(TOWER_DATA[[#This Row],[D, bottom '[m']]]-TOWER_DATA[[#This Row],[D, top '[m']]])/(TOWER_DATA[[#This Row],[Bottom '[m']]]-TOWER_DATA[[#This Row],[Top '[m']]]),"")</f>
        <v>0</v>
      </c>
      <c r="BZ37" s="80">
        <f t="shared" si="2"/>
        <v>92.776571768017746</v>
      </c>
      <c r="CA37" s="80">
        <f>IFERROR((TOWER_DATA[[#This Row],[D, bottom '[m']]]+TOWER_DATA[[#This Row],[D, top '[m']]])/(2*TOWER_DATA[[#This Row],[t '[mm']]]/1000),"")</f>
        <v>115</v>
      </c>
      <c r="CB37" s="80" t="str">
        <f>IFERROR((TOWER_DATA[[#This Row],[D, bottom '[m']]]+#REF!)/(2*#REF!/1000),"")</f>
        <v/>
      </c>
      <c r="CC37" s="83"/>
      <c r="CD37" s="83"/>
      <c r="CE37" s="83"/>
      <c r="CG37" s="78">
        <v>13</v>
      </c>
      <c r="CH37" s="78">
        <v>-35.299999999999997</v>
      </c>
      <c r="CI37" s="78">
        <v>-38.6</v>
      </c>
      <c r="CJ37" s="78">
        <v>11.5</v>
      </c>
      <c r="CK37" s="78">
        <v>11.5</v>
      </c>
      <c r="CL37" s="78">
        <v>100</v>
      </c>
      <c r="DF37" s="80"/>
      <c r="DG37" s="80"/>
      <c r="DH37" s="80"/>
      <c r="DI37" s="80"/>
      <c r="DK37" s="78">
        <v>13</v>
      </c>
      <c r="DL37" s="78">
        <v>122.60599999999999</v>
      </c>
      <c r="DM37" s="78">
        <v>119.82599999999999</v>
      </c>
      <c r="DN37" s="78">
        <v>6.0275999999999996</v>
      </c>
      <c r="DO37" s="78">
        <v>6.0824999999999996</v>
      </c>
      <c r="DP37" s="78">
        <v>21.5</v>
      </c>
    </row>
    <row r="38" spans="2:120" x14ac:dyDescent="0.3">
      <c r="B38" s="100">
        <v>14</v>
      </c>
      <c r="C38" s="101">
        <v>-38.6</v>
      </c>
      <c r="D38" s="101">
        <v>-41.9</v>
      </c>
      <c r="E38" s="100">
        <v>11.5</v>
      </c>
      <c r="F38" s="100">
        <v>11.5</v>
      </c>
      <c r="G38" s="100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Q38" s="78">
        <v>14</v>
      </c>
      <c r="R38" s="81">
        <v>-38.6</v>
      </c>
      <c r="S38" s="81">
        <v>-41.9</v>
      </c>
      <c r="T38" s="78">
        <v>11.5</v>
      </c>
      <c r="U38" s="78">
        <v>11.5</v>
      </c>
      <c r="V38" s="78">
        <v>98</v>
      </c>
      <c r="AP38" s="80" t="str">
        <f>IFERROR(TP_DATA[[#This Row],[Bottom '[m']]]-TP_DATA[[#This Row],[D, top '[m']]], "")</f>
        <v/>
      </c>
      <c r="AQ38" s="80" t="str">
        <f>IFERROR(-(TP_DATA[[#This Row],[D, bottom '[m']]]-TP_DATA[[#This Row],[D, top '[m']]])/(TP_DATA[[#This Row],[Bottom '[m']]]-TP_DATA[[#This Row],[Top '[m']]]),"")</f>
        <v/>
      </c>
      <c r="AR38" s="80" t="str">
        <f t="shared" si="1"/>
        <v/>
      </c>
      <c r="AS38" s="80" t="str">
        <f>IFERROR((TP_DATA[[#This Row],[D, bottom '[m']]]+TP_DATA[[#This Row],[D, top '[m']]])/(2*TP_DATA[[#This Row],[t '[mm']]]/1000),"")</f>
        <v/>
      </c>
      <c r="AT38" s="80" t="str">
        <f>IFERROR((TP_DATA[[#This Row],[D, bottom '[m']]]+#REF!)/(2*#REF!/1000),"")</f>
        <v/>
      </c>
      <c r="AY38" s="78"/>
      <c r="AZ38" s="78"/>
      <c r="BA38" s="78"/>
      <c r="BB38" s="78"/>
      <c r="BC38" s="78"/>
      <c r="BD38" s="78"/>
      <c r="BR38" s="71">
        <v>14</v>
      </c>
      <c r="BS38">
        <v>-38.6</v>
      </c>
      <c r="BT38">
        <v>-41.9</v>
      </c>
      <c r="BU38">
        <v>11.5</v>
      </c>
      <c r="BV38">
        <v>11.5</v>
      </c>
      <c r="BW38">
        <v>98</v>
      </c>
      <c r="BX38" s="80">
        <f>IFERROR(TOWER_DATA[[#This Row],[Bottom '[m']]]-TOWER_DATA[[#This Row],[D, top '[m']]], "")</f>
        <v>-53.4</v>
      </c>
      <c r="BY38" s="80">
        <f>IFERROR(-(TOWER_DATA[[#This Row],[D, bottom '[m']]]-TOWER_DATA[[#This Row],[D, top '[m']]])/(TOWER_DATA[[#This Row],[Bottom '[m']]]-TOWER_DATA[[#This Row],[Top '[m']]]),"")</f>
        <v>0</v>
      </c>
      <c r="BZ38" s="80">
        <f t="shared" si="2"/>
        <v>90.936991392364675</v>
      </c>
      <c r="CA38" s="80">
        <f>IFERROR((TOWER_DATA[[#This Row],[D, bottom '[m']]]+TOWER_DATA[[#This Row],[D, top '[m']]])/(2*TOWER_DATA[[#This Row],[t '[mm']]]/1000),"")</f>
        <v>117.3469387755102</v>
      </c>
      <c r="CB38" s="80" t="str">
        <f>IFERROR((TOWER_DATA[[#This Row],[D, bottom '[m']]]+#REF!)/(2*#REF!/1000),"")</f>
        <v/>
      </c>
      <c r="CC38" s="83"/>
      <c r="CD38" s="83"/>
      <c r="CE38" s="83"/>
      <c r="CG38" s="78">
        <v>14</v>
      </c>
      <c r="CH38" s="78">
        <v>-38.6</v>
      </c>
      <c r="CI38" s="78">
        <v>-41.9</v>
      </c>
      <c r="CJ38" s="78">
        <v>11.5</v>
      </c>
      <c r="CK38" s="78">
        <v>11.5</v>
      </c>
      <c r="CL38" s="78">
        <v>98</v>
      </c>
      <c r="DF38" s="80"/>
      <c r="DG38" s="80"/>
      <c r="DH38" s="80"/>
      <c r="DI38" s="80"/>
      <c r="DK38" s="78">
        <v>14</v>
      </c>
      <c r="DL38" s="78">
        <v>119.82599999999999</v>
      </c>
      <c r="DM38" s="78">
        <v>117.047</v>
      </c>
      <c r="DN38" s="78">
        <v>6.0824999999999996</v>
      </c>
      <c r="DO38" s="78">
        <v>6.1383999999999999</v>
      </c>
      <c r="DP38" s="78">
        <v>22.4</v>
      </c>
    </row>
    <row r="39" spans="2:120" x14ac:dyDescent="0.3">
      <c r="B39" s="100">
        <v>15</v>
      </c>
      <c r="C39" s="101">
        <v>-41.9</v>
      </c>
      <c r="D39" s="101">
        <v>-45.2</v>
      </c>
      <c r="E39" s="100">
        <v>11.5</v>
      </c>
      <c r="F39" s="100">
        <v>11.5</v>
      </c>
      <c r="G39" s="100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Q39" s="78">
        <v>15</v>
      </c>
      <c r="R39" s="81">
        <v>-41.9</v>
      </c>
      <c r="S39" s="81">
        <v>-45.2</v>
      </c>
      <c r="T39" s="78">
        <v>11.5</v>
      </c>
      <c r="U39" s="78">
        <v>11.5</v>
      </c>
      <c r="V39" s="78">
        <v>95</v>
      </c>
      <c r="AP39" s="80" t="str">
        <f>IFERROR(TP_DATA[[#This Row],[Bottom '[m']]]-TP_DATA[[#This Row],[D, top '[m']]], "")</f>
        <v/>
      </c>
      <c r="AQ39" s="80" t="str">
        <f>IFERROR(-(TP_DATA[[#This Row],[D, bottom '[m']]]-TP_DATA[[#This Row],[D, top '[m']]])/(TP_DATA[[#This Row],[Bottom '[m']]]-TP_DATA[[#This Row],[Top '[m']]]),"")</f>
        <v/>
      </c>
      <c r="AR39" s="80" t="str">
        <f t="shared" si="1"/>
        <v/>
      </c>
      <c r="AS39" s="80" t="str">
        <f>IFERROR((TP_DATA[[#This Row],[D, bottom '[m']]]+TP_DATA[[#This Row],[D, top '[m']]])/(2*TP_DATA[[#This Row],[t '[mm']]]/1000),"")</f>
        <v/>
      </c>
      <c r="AT39" s="80" t="str">
        <f>IFERROR((TP_DATA[[#This Row],[D, bottom '[m']]]+#REF!)/(2*#REF!/1000),"")</f>
        <v/>
      </c>
      <c r="AY39" s="78"/>
      <c r="AZ39" s="78"/>
      <c r="BA39" s="78"/>
      <c r="BB39" s="78"/>
      <c r="BC39" s="78"/>
      <c r="BD39" s="78"/>
      <c r="BR39" s="71">
        <v>15</v>
      </c>
      <c r="BS39">
        <v>-41.9</v>
      </c>
      <c r="BT39">
        <v>-45.2</v>
      </c>
      <c r="BU39">
        <v>11.5</v>
      </c>
      <c r="BV39">
        <v>11.5</v>
      </c>
      <c r="BW39">
        <v>95</v>
      </c>
      <c r="BX39" s="80">
        <f>IFERROR(TOWER_DATA[[#This Row],[Bottom '[m']]]-TOWER_DATA[[#This Row],[D, top '[m']]], "")</f>
        <v>-56.7</v>
      </c>
      <c r="BY39" s="80">
        <f>IFERROR(-(TOWER_DATA[[#This Row],[D, bottom '[m']]]-TOWER_DATA[[#This Row],[D, top '[m']]])/(TOWER_DATA[[#This Row],[Bottom '[m']]]-TOWER_DATA[[#This Row],[Top '[m']]]),"")</f>
        <v>0</v>
      </c>
      <c r="BZ39" s="80">
        <f t="shared" si="2"/>
        <v>88.17640008451977</v>
      </c>
      <c r="CA39" s="80">
        <f>IFERROR((TOWER_DATA[[#This Row],[D, bottom '[m']]]+TOWER_DATA[[#This Row],[D, top '[m']]])/(2*TOWER_DATA[[#This Row],[t '[mm']]]/1000),"")</f>
        <v>121.05263157894737</v>
      </c>
      <c r="CB39" s="80" t="str">
        <f>IFERROR((TOWER_DATA[[#This Row],[D, bottom '[m']]]+#REF!)/(2*#REF!/1000),"")</f>
        <v/>
      </c>
      <c r="CC39" s="83"/>
      <c r="CD39" s="83"/>
      <c r="CE39" s="83"/>
      <c r="CG39" s="78">
        <v>15</v>
      </c>
      <c r="CH39" s="78">
        <v>-41.9</v>
      </c>
      <c r="CI39" s="78">
        <v>-45.2</v>
      </c>
      <c r="CJ39" s="78">
        <v>11.5</v>
      </c>
      <c r="CK39" s="78">
        <v>11.5</v>
      </c>
      <c r="CL39" s="78">
        <v>95</v>
      </c>
      <c r="DF39" s="80"/>
      <c r="DG39" s="80"/>
      <c r="DH39" s="80"/>
      <c r="DI39" s="80"/>
      <c r="DK39" s="78">
        <v>15</v>
      </c>
      <c r="DL39" s="78">
        <v>117.047</v>
      </c>
      <c r="DM39" s="78">
        <v>114.271</v>
      </c>
      <c r="DN39" s="78">
        <v>6.1383999999999999</v>
      </c>
      <c r="DO39" s="78">
        <v>6.1931000000000003</v>
      </c>
      <c r="DP39" s="78">
        <v>23.099999999999998</v>
      </c>
    </row>
    <row r="40" spans="2:120" x14ac:dyDescent="0.3">
      <c r="B40" s="100">
        <v>16</v>
      </c>
      <c r="C40" s="101">
        <v>-45.2</v>
      </c>
      <c r="D40" s="101">
        <v>-48.5</v>
      </c>
      <c r="E40" s="100">
        <v>11.5</v>
      </c>
      <c r="F40" s="100">
        <v>11.5</v>
      </c>
      <c r="G40" s="100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Q40" s="78">
        <v>16</v>
      </c>
      <c r="R40" s="81">
        <v>-45.2</v>
      </c>
      <c r="S40" s="81">
        <v>-48.5</v>
      </c>
      <c r="T40" s="78">
        <v>11.5</v>
      </c>
      <c r="U40" s="78">
        <v>11.5</v>
      </c>
      <c r="V40" s="78">
        <v>95</v>
      </c>
      <c r="AP40" s="80" t="str">
        <f>IFERROR(TP_DATA[[#This Row],[Bottom '[m']]]-TP_DATA[[#This Row],[D, top '[m']]], "")</f>
        <v/>
      </c>
      <c r="AQ40" s="80" t="str">
        <f>IFERROR(-(TP_DATA[[#This Row],[D, bottom '[m']]]-TP_DATA[[#This Row],[D, top '[m']]])/(TP_DATA[[#This Row],[Bottom '[m']]]-TP_DATA[[#This Row],[Top '[m']]]),"")</f>
        <v/>
      </c>
      <c r="AR40" s="80" t="str">
        <f t="shared" si="1"/>
        <v/>
      </c>
      <c r="AS40" s="80" t="str">
        <f>IFERROR((TP_DATA[[#This Row],[D, bottom '[m']]]+TP_DATA[[#This Row],[D, top '[m']]])/(2*TP_DATA[[#This Row],[t '[mm']]]/1000),"")</f>
        <v/>
      </c>
      <c r="AT40" s="80" t="str">
        <f>IFERROR((TP_DATA[[#This Row],[D, bottom '[m']]]+#REF!)/(2*#REF!/1000),"")</f>
        <v/>
      </c>
      <c r="AY40" s="78"/>
      <c r="AZ40" s="78"/>
      <c r="BA40" s="78"/>
      <c r="BB40" s="78"/>
      <c r="BC40" s="78"/>
      <c r="BD40" s="78"/>
      <c r="BR40" s="71">
        <v>16</v>
      </c>
      <c r="BS40">
        <v>-45.2</v>
      </c>
      <c r="BT40">
        <v>-48.5</v>
      </c>
      <c r="BU40">
        <v>11.5</v>
      </c>
      <c r="BV40">
        <v>11.5</v>
      </c>
      <c r="BW40">
        <v>95</v>
      </c>
      <c r="BX40" s="80">
        <f>IFERROR(TOWER_DATA[[#This Row],[Bottom '[m']]]-TOWER_DATA[[#This Row],[D, top '[m']]], "")</f>
        <v>-60</v>
      </c>
      <c r="BY40" s="80">
        <f>IFERROR(-(TOWER_DATA[[#This Row],[D, bottom '[m']]]-TOWER_DATA[[#This Row],[D, top '[m']]])/(TOWER_DATA[[#This Row],[Bottom '[m']]]-TOWER_DATA[[#This Row],[Top '[m']]]),"")</f>
        <v>0</v>
      </c>
      <c r="BZ40" s="80">
        <f t="shared" si="2"/>
        <v>88.176400084519571</v>
      </c>
      <c r="CA40" s="80">
        <f>IFERROR((TOWER_DATA[[#This Row],[D, bottom '[m']]]+TOWER_DATA[[#This Row],[D, top '[m']]])/(2*TOWER_DATA[[#This Row],[t '[mm']]]/1000),"")</f>
        <v>121.05263157894737</v>
      </c>
      <c r="CB40" s="80" t="str">
        <f>IFERROR((TOWER_DATA[[#This Row],[D, bottom '[m']]]+#REF!)/(2*#REF!/1000),"")</f>
        <v/>
      </c>
      <c r="CC40" s="83"/>
      <c r="CD40" s="83"/>
      <c r="CE40" s="83"/>
      <c r="CG40" s="78">
        <v>16</v>
      </c>
      <c r="CH40" s="78">
        <v>-45.2</v>
      </c>
      <c r="CI40" s="78">
        <v>-48.5</v>
      </c>
      <c r="CJ40" s="78">
        <v>11.5</v>
      </c>
      <c r="CK40" s="78">
        <v>11.5</v>
      </c>
      <c r="CL40" s="78">
        <v>95</v>
      </c>
      <c r="DF40" s="80"/>
      <c r="DG40" s="80"/>
      <c r="DH40" s="80"/>
      <c r="DI40" s="80"/>
      <c r="DK40" s="78">
        <v>16</v>
      </c>
      <c r="DL40" s="78">
        <v>114.271</v>
      </c>
      <c r="DM40" s="78">
        <v>114.241</v>
      </c>
      <c r="DN40" s="78">
        <v>6.1931000000000003</v>
      </c>
      <c r="DO40" s="78">
        <v>6.1931000000000003</v>
      </c>
      <c r="DP40" s="78">
        <v>23.099999999999998</v>
      </c>
    </row>
    <row r="41" spans="2:120" x14ac:dyDescent="0.3">
      <c r="B41" s="100">
        <v>17</v>
      </c>
      <c r="C41" s="101">
        <v>-48.5</v>
      </c>
      <c r="D41" s="101">
        <v>-51.7</v>
      </c>
      <c r="E41" s="100">
        <v>11.5</v>
      </c>
      <c r="F41" s="100">
        <v>11.5</v>
      </c>
      <c r="G41" s="100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Q41" s="78">
        <v>17</v>
      </c>
      <c r="R41" s="81">
        <v>-48.5</v>
      </c>
      <c r="S41" s="81">
        <v>-51.7</v>
      </c>
      <c r="T41" s="78">
        <v>11.5</v>
      </c>
      <c r="U41" s="78">
        <v>11.5</v>
      </c>
      <c r="V41" s="78">
        <v>95</v>
      </c>
      <c r="AP41" s="80" t="str">
        <f>IFERROR(TP_DATA[[#This Row],[Bottom '[m']]]-TP_DATA[[#This Row],[D, top '[m']]], "")</f>
        <v/>
      </c>
      <c r="AQ41" s="80" t="str">
        <f>IFERROR(-(TP_DATA[[#This Row],[D, bottom '[m']]]-TP_DATA[[#This Row],[D, top '[m']]])/(TP_DATA[[#This Row],[Bottom '[m']]]-TP_DATA[[#This Row],[Top '[m']]]),"")</f>
        <v/>
      </c>
      <c r="AR41" s="80" t="str">
        <f t="shared" si="1"/>
        <v/>
      </c>
      <c r="AS41" s="80" t="str">
        <f>IFERROR((TP_DATA[[#This Row],[D, bottom '[m']]]+TP_DATA[[#This Row],[D, top '[m']]])/(2*TP_DATA[[#This Row],[t '[mm']]]/1000),"")</f>
        <v/>
      </c>
      <c r="AT41" s="80" t="str">
        <f>IFERROR((TP_DATA[[#This Row],[D, bottom '[m']]]+#REF!)/(2*#REF!/1000),"")</f>
        <v/>
      </c>
      <c r="AY41" s="78"/>
      <c r="AZ41" s="78"/>
      <c r="BA41" s="78"/>
      <c r="BB41" s="78"/>
      <c r="BC41" s="78"/>
      <c r="BD41" s="78"/>
      <c r="BR41" s="71">
        <v>17</v>
      </c>
      <c r="BS41">
        <v>-48.5</v>
      </c>
      <c r="BT41">
        <v>-51.7</v>
      </c>
      <c r="BU41">
        <v>11.5</v>
      </c>
      <c r="BV41">
        <v>11.5</v>
      </c>
      <c r="BW41">
        <v>95</v>
      </c>
      <c r="BX41" s="80">
        <f>IFERROR(TOWER_DATA[[#This Row],[Bottom '[m']]]-TOWER_DATA[[#This Row],[D, top '[m']]], "")</f>
        <v>-63.2</v>
      </c>
      <c r="BY41" s="80">
        <f>IFERROR(-(TOWER_DATA[[#This Row],[D, bottom '[m']]]-TOWER_DATA[[#This Row],[D, top '[m']]])/(TOWER_DATA[[#This Row],[Bottom '[m']]]-TOWER_DATA[[#This Row],[Top '[m']]]),"")</f>
        <v>0</v>
      </c>
      <c r="BZ41" s="80">
        <f t="shared" si="2"/>
        <v>85.504387960746399</v>
      </c>
      <c r="CA41" s="80">
        <f>IFERROR((TOWER_DATA[[#This Row],[D, bottom '[m']]]+TOWER_DATA[[#This Row],[D, top '[m']]])/(2*TOWER_DATA[[#This Row],[t '[mm']]]/1000),"")</f>
        <v>121.05263157894737</v>
      </c>
      <c r="CB41" s="80" t="str">
        <f>IFERROR((TOWER_DATA[[#This Row],[D, bottom '[m']]]+#REF!)/(2*#REF!/1000),"")</f>
        <v/>
      </c>
      <c r="CC41" s="83"/>
      <c r="CD41" s="83"/>
      <c r="CE41" s="83"/>
      <c r="CG41" s="78">
        <v>17</v>
      </c>
      <c r="CH41" s="78">
        <v>-48.5</v>
      </c>
      <c r="CI41" s="78">
        <v>-51.7</v>
      </c>
      <c r="CJ41" s="78">
        <v>11.5</v>
      </c>
      <c r="CK41" s="78">
        <v>11.5</v>
      </c>
      <c r="CL41" s="78">
        <v>95</v>
      </c>
      <c r="DF41" s="80"/>
      <c r="DG41" s="80"/>
      <c r="DH41" s="80"/>
      <c r="DI41" s="80"/>
      <c r="DK41" s="78">
        <v>17</v>
      </c>
      <c r="DL41" s="78">
        <v>114.241</v>
      </c>
      <c r="DM41" s="78">
        <v>114.121</v>
      </c>
      <c r="DN41" s="78">
        <v>6.1931000000000003</v>
      </c>
      <c r="DO41" s="78">
        <v>6.1931000000000003</v>
      </c>
      <c r="DP41" s="78">
        <v>23.099999999999998</v>
      </c>
    </row>
    <row r="42" spans="2:120" x14ac:dyDescent="0.3">
      <c r="B42" s="100">
        <v>18</v>
      </c>
      <c r="C42" s="101">
        <v>-51.7</v>
      </c>
      <c r="D42" s="101">
        <v>-55.3</v>
      </c>
      <c r="E42" s="100">
        <v>11.5</v>
      </c>
      <c r="F42" s="100">
        <v>11.5</v>
      </c>
      <c r="G42" s="100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Q42" s="78">
        <v>18</v>
      </c>
      <c r="R42" s="81">
        <v>-51.7</v>
      </c>
      <c r="S42" s="81">
        <v>-55.3</v>
      </c>
      <c r="T42" s="78">
        <v>11.5</v>
      </c>
      <c r="U42" s="78">
        <v>11.5</v>
      </c>
      <c r="V42" s="78">
        <v>93</v>
      </c>
      <c r="AP42" s="80" t="str">
        <f>IFERROR(TP_DATA[[#This Row],[Bottom '[m']]]-TP_DATA[[#This Row],[D, top '[m']]], "")</f>
        <v/>
      </c>
      <c r="AQ42" s="80" t="str">
        <f>IFERROR(-(TP_DATA[[#This Row],[D, bottom '[m']]]-TP_DATA[[#This Row],[D, top '[m']]])/(TP_DATA[[#This Row],[Bottom '[m']]]-TP_DATA[[#This Row],[Top '[m']]]),"")</f>
        <v/>
      </c>
      <c r="AR42" s="80" t="str">
        <f t="shared" si="1"/>
        <v/>
      </c>
      <c r="AS42" s="80" t="str">
        <f>IFERROR((TP_DATA[[#This Row],[D, bottom '[m']]]+TP_DATA[[#This Row],[D, top '[m']]])/(2*TP_DATA[[#This Row],[t '[mm']]]/1000),"")</f>
        <v/>
      </c>
      <c r="AT42" s="80" t="str">
        <f>IFERROR((TP_DATA[[#This Row],[D, bottom '[m']]]+#REF!)/(2*#REF!/1000),"")</f>
        <v/>
      </c>
      <c r="AY42" s="78"/>
      <c r="AZ42" s="78"/>
      <c r="BA42" s="78"/>
      <c r="BB42" s="78"/>
      <c r="BC42" s="78"/>
      <c r="BD42" s="78"/>
      <c r="BR42" s="71">
        <v>18</v>
      </c>
      <c r="BS42">
        <v>-51.7</v>
      </c>
      <c r="BT42">
        <v>-55.3</v>
      </c>
      <c r="BU42">
        <v>11.5</v>
      </c>
      <c r="BV42">
        <v>11.5</v>
      </c>
      <c r="BW42">
        <v>93</v>
      </c>
      <c r="BX42" s="80">
        <f>IFERROR(TOWER_DATA[[#This Row],[Bottom '[m']]]-TOWER_DATA[[#This Row],[D, top '[m']]], "")</f>
        <v>-66.8</v>
      </c>
      <c r="BY42" s="80">
        <f>IFERROR(-(TOWER_DATA[[#This Row],[D, bottom '[m']]]-TOWER_DATA[[#This Row],[D, top '[m']]])/(TOWER_DATA[[#This Row],[Bottom '[m']]]-TOWER_DATA[[#This Row],[Top '[m']]]),"")</f>
        <v>0</v>
      </c>
      <c r="BZ42" s="80">
        <f t="shared" si="2"/>
        <v>94.183845872414466</v>
      </c>
      <c r="CA42" s="80">
        <f>IFERROR((TOWER_DATA[[#This Row],[D, bottom '[m']]]+TOWER_DATA[[#This Row],[D, top '[m']]])/(2*TOWER_DATA[[#This Row],[t '[mm']]]/1000),"")</f>
        <v>123.65591397849462</v>
      </c>
      <c r="CB42" s="80" t="str">
        <f>IFERROR((TOWER_DATA[[#This Row],[D, bottom '[m']]]+#REF!)/(2*#REF!/1000),"")</f>
        <v/>
      </c>
      <c r="CC42" s="83"/>
      <c r="CD42" s="83"/>
      <c r="CE42" s="83"/>
      <c r="CG42" s="78">
        <v>18</v>
      </c>
      <c r="CH42" s="78">
        <v>-51.7</v>
      </c>
      <c r="CI42" s="78">
        <v>-55.3</v>
      </c>
      <c r="CJ42" s="78">
        <v>11.5</v>
      </c>
      <c r="CK42" s="78">
        <v>11.5</v>
      </c>
      <c r="CL42" s="78">
        <v>93</v>
      </c>
      <c r="DF42" s="80"/>
      <c r="DG42" s="80"/>
      <c r="DH42" s="80"/>
      <c r="DI42" s="80"/>
      <c r="DK42" s="78">
        <v>18</v>
      </c>
      <c r="DL42" s="78">
        <v>114.121</v>
      </c>
      <c r="DM42" s="78">
        <v>114.001</v>
      </c>
      <c r="DN42" s="78">
        <v>6.1931000000000003</v>
      </c>
      <c r="DO42" s="78">
        <v>6.1931000000000003</v>
      </c>
      <c r="DP42" s="78">
        <v>23.099999999999998</v>
      </c>
    </row>
    <row r="43" spans="2:120" x14ac:dyDescent="0.3">
      <c r="B43" s="100">
        <v>19</v>
      </c>
      <c r="C43" s="101">
        <v>-55.3</v>
      </c>
      <c r="D43" s="101">
        <v>-59.3</v>
      </c>
      <c r="E43" s="100">
        <v>11.5</v>
      </c>
      <c r="F43" s="100">
        <v>11.5</v>
      </c>
      <c r="G43" s="100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Q43" s="78">
        <v>19</v>
      </c>
      <c r="R43" s="81">
        <v>-55.3</v>
      </c>
      <c r="S43" s="81">
        <v>-59.3</v>
      </c>
      <c r="T43" s="78">
        <v>11.5</v>
      </c>
      <c r="U43" s="78">
        <v>11.5</v>
      </c>
      <c r="V43" s="78">
        <v>93</v>
      </c>
      <c r="AP43" s="80" t="str">
        <f>IFERROR(TP_DATA[[#This Row],[Bottom '[m']]]-TP_DATA[[#This Row],[D, top '[m']]], "")</f>
        <v/>
      </c>
      <c r="AQ43" s="80" t="str">
        <f>IFERROR(-(TP_DATA[[#This Row],[D, bottom '[m']]]-TP_DATA[[#This Row],[D, top '[m']]])/(TP_DATA[[#This Row],[Bottom '[m']]]-TP_DATA[[#This Row],[Top '[m']]]),"")</f>
        <v/>
      </c>
      <c r="AR43" s="80" t="str">
        <f t="shared" si="1"/>
        <v/>
      </c>
      <c r="AS43" s="80" t="str">
        <f>IFERROR((TP_DATA[[#This Row],[D, bottom '[m']]]+TP_DATA[[#This Row],[D, top '[m']]])/(2*TP_DATA[[#This Row],[t '[mm']]]/1000),"")</f>
        <v/>
      </c>
      <c r="AT43" s="80" t="str">
        <f>IFERROR((TP_DATA[[#This Row],[D, bottom '[m']]]+#REF!)/(2*#REF!/1000),"")</f>
        <v/>
      </c>
      <c r="AY43" s="78"/>
      <c r="AZ43" s="78"/>
      <c r="BA43" s="78"/>
      <c r="BB43" s="78"/>
      <c r="BC43" s="78"/>
      <c r="BD43" s="78"/>
      <c r="BR43" s="71">
        <v>19</v>
      </c>
      <c r="BS43">
        <v>-55.3</v>
      </c>
      <c r="BT43">
        <v>-59.3</v>
      </c>
      <c r="BU43">
        <v>11.5</v>
      </c>
      <c r="BV43">
        <v>11.5</v>
      </c>
      <c r="BW43">
        <v>93</v>
      </c>
      <c r="BX43" s="80">
        <f>IFERROR(TOWER_DATA[[#This Row],[Bottom '[m']]]-TOWER_DATA[[#This Row],[D, top '[m']]], "")</f>
        <v>-70.8</v>
      </c>
      <c r="BY43" s="80">
        <f>IFERROR(-(TOWER_DATA[[#This Row],[D, bottom '[m']]]-TOWER_DATA[[#This Row],[D, top '[m']]])/(TOWER_DATA[[#This Row],[Bottom '[m']]]-TOWER_DATA[[#This Row],[Top '[m']]]),"")</f>
        <v>0</v>
      </c>
      <c r="BZ43" s="80">
        <f t="shared" si="2"/>
        <v>104.64871763601624</v>
      </c>
      <c r="CA43" s="80">
        <f>IFERROR((TOWER_DATA[[#This Row],[D, bottom '[m']]]+TOWER_DATA[[#This Row],[D, top '[m']]])/(2*TOWER_DATA[[#This Row],[t '[mm']]]/1000),"")</f>
        <v>123.65591397849462</v>
      </c>
      <c r="CB43" s="80" t="str">
        <f>IFERROR((TOWER_DATA[[#This Row],[D, bottom '[m']]]+#REF!)/(2*#REF!/1000),"")</f>
        <v/>
      </c>
      <c r="CC43" s="83"/>
      <c r="CD43" s="83"/>
      <c r="CE43" s="83"/>
      <c r="CG43" s="78">
        <v>19</v>
      </c>
      <c r="CH43" s="78">
        <v>-55.3</v>
      </c>
      <c r="CI43" s="78">
        <v>-59.3</v>
      </c>
      <c r="CJ43" s="78">
        <v>11.5</v>
      </c>
      <c r="CK43" s="78">
        <v>11.5</v>
      </c>
      <c r="CL43" s="78">
        <v>93</v>
      </c>
      <c r="DF43" s="80"/>
      <c r="DG43" s="80"/>
      <c r="DH43" s="80"/>
      <c r="DI43" s="80"/>
      <c r="DK43" s="78">
        <v>19</v>
      </c>
      <c r="DL43" s="78">
        <v>114.001</v>
      </c>
      <c r="DM43" s="78">
        <v>113.971</v>
      </c>
      <c r="DN43" s="78">
        <v>6.1931000000000003</v>
      </c>
      <c r="DO43" s="78">
        <v>6.1931000000000003</v>
      </c>
      <c r="DP43" s="78">
        <v>23.099999999999998</v>
      </c>
    </row>
    <row r="44" spans="2:120" x14ac:dyDescent="0.3">
      <c r="B44" s="100">
        <v>20</v>
      </c>
      <c r="C44" s="101">
        <v>-59.3</v>
      </c>
      <c r="D44" s="101">
        <v>-63.3</v>
      </c>
      <c r="E44" s="100">
        <v>11.5</v>
      </c>
      <c r="F44" s="100">
        <v>11.5</v>
      </c>
      <c r="G44" s="100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Q44" s="78">
        <v>20</v>
      </c>
      <c r="R44" s="81">
        <v>-59.3</v>
      </c>
      <c r="S44" s="81">
        <v>-63.3</v>
      </c>
      <c r="T44" s="78">
        <v>11.5</v>
      </c>
      <c r="U44" s="78">
        <v>11.5</v>
      </c>
      <c r="V44" s="78">
        <v>93</v>
      </c>
      <c r="AP44" s="80" t="str">
        <f>IFERROR(TP_DATA[[#This Row],[Bottom '[m']]]-TP_DATA[[#This Row],[D, top '[m']]], "")</f>
        <v/>
      </c>
      <c r="AQ44" s="80" t="str">
        <f>IFERROR(-(TP_DATA[[#This Row],[D, bottom '[m']]]-TP_DATA[[#This Row],[D, top '[m']]])/(TP_DATA[[#This Row],[Bottom '[m']]]-TP_DATA[[#This Row],[Top '[m']]]),"")</f>
        <v/>
      </c>
      <c r="AR44" s="80" t="str">
        <f t="shared" si="1"/>
        <v/>
      </c>
      <c r="AS44" s="80" t="str">
        <f>IFERROR((TP_DATA[[#This Row],[D, bottom '[m']]]+TP_DATA[[#This Row],[D, top '[m']]])/(2*TP_DATA[[#This Row],[t '[mm']]]/1000),"")</f>
        <v/>
      </c>
      <c r="AT44" s="80" t="str">
        <f>IFERROR((TP_DATA[[#This Row],[D, bottom '[m']]]+#REF!)/(2*#REF!/1000),"")</f>
        <v/>
      </c>
      <c r="AY44" s="78"/>
      <c r="AZ44" s="78"/>
      <c r="BA44" s="78"/>
      <c r="BB44" s="78"/>
      <c r="BC44" s="78"/>
      <c r="BD44" s="78"/>
      <c r="BR44" s="71">
        <v>20</v>
      </c>
      <c r="BS44">
        <v>-59.3</v>
      </c>
      <c r="BT44">
        <v>-63.3</v>
      </c>
      <c r="BU44">
        <v>11.5</v>
      </c>
      <c r="BV44">
        <v>11.5</v>
      </c>
      <c r="BW44">
        <v>93</v>
      </c>
      <c r="BX44" s="80">
        <f>IFERROR(TOWER_DATA[[#This Row],[Bottom '[m']]]-TOWER_DATA[[#This Row],[D, top '[m']]], "")</f>
        <v>-74.8</v>
      </c>
      <c r="BY44" s="80">
        <f>IFERROR(-(TOWER_DATA[[#This Row],[D, bottom '[m']]]-TOWER_DATA[[#This Row],[D, top '[m']]])/(TOWER_DATA[[#This Row],[Bottom '[m']]]-TOWER_DATA[[#This Row],[Top '[m']]]),"")</f>
        <v>0</v>
      </c>
      <c r="BZ44" s="80">
        <f t="shared" si="2"/>
        <v>104.64871763601624</v>
      </c>
      <c r="CA44" s="80">
        <f>IFERROR((TOWER_DATA[[#This Row],[D, bottom '[m']]]+TOWER_DATA[[#This Row],[D, top '[m']]])/(2*TOWER_DATA[[#This Row],[t '[mm']]]/1000),"")</f>
        <v>123.65591397849462</v>
      </c>
      <c r="CB44" s="80" t="str">
        <f>IFERROR((TOWER_DATA[[#This Row],[D, bottom '[m']]]+#REF!)/(2*#REF!/1000),"")</f>
        <v/>
      </c>
      <c r="CC44" s="83"/>
      <c r="CD44" s="83"/>
      <c r="CE44" s="83"/>
      <c r="CG44" s="78">
        <v>20</v>
      </c>
      <c r="CH44" s="78">
        <v>-59.3</v>
      </c>
      <c r="CI44" s="78">
        <v>-63.3</v>
      </c>
      <c r="CJ44" s="78">
        <v>11.5</v>
      </c>
      <c r="CK44" s="78">
        <v>11.5</v>
      </c>
      <c r="CL44" s="78">
        <v>93</v>
      </c>
      <c r="DF44" s="80"/>
      <c r="DG44" s="80"/>
      <c r="DH44" s="80"/>
      <c r="DI44" s="80"/>
      <c r="DK44" s="78">
        <v>20</v>
      </c>
      <c r="DL44" s="78">
        <v>113.971</v>
      </c>
      <c r="DM44" s="78">
        <v>112.82299999999999</v>
      </c>
      <c r="DN44" s="78">
        <v>6.1931000000000003</v>
      </c>
      <c r="DO44" s="78">
        <v>6.2171000000000003</v>
      </c>
      <c r="DP44" s="78">
        <v>23.099999999999998</v>
      </c>
    </row>
    <row r="45" spans="2:120" x14ac:dyDescent="0.3">
      <c r="B45" s="100">
        <v>21</v>
      </c>
      <c r="C45" s="101">
        <v>-63.3</v>
      </c>
      <c r="D45" s="101">
        <v>-67.3</v>
      </c>
      <c r="E45" s="100">
        <v>11.5</v>
      </c>
      <c r="F45" s="100">
        <v>11.5</v>
      </c>
      <c r="G45" s="100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Q45" s="78">
        <v>21</v>
      </c>
      <c r="R45" s="81">
        <v>-63.3</v>
      </c>
      <c r="S45" s="81">
        <v>-67.3</v>
      </c>
      <c r="T45" s="78">
        <v>11.5</v>
      </c>
      <c r="U45" s="78">
        <v>11.5</v>
      </c>
      <c r="V45" s="78">
        <v>93</v>
      </c>
      <c r="AP45" s="80" t="str">
        <f>IFERROR(TP_DATA[[#This Row],[Bottom '[m']]]-TP_DATA[[#This Row],[D, top '[m']]], "")</f>
        <v/>
      </c>
      <c r="AQ45" s="80" t="str">
        <f>IFERROR(-(TP_DATA[[#This Row],[D, bottom '[m']]]-TP_DATA[[#This Row],[D, top '[m']]])/(TP_DATA[[#This Row],[Bottom '[m']]]-TP_DATA[[#This Row],[Top '[m']]]),"")</f>
        <v/>
      </c>
      <c r="AR45" s="80" t="str">
        <f t="shared" si="1"/>
        <v/>
      </c>
      <c r="AS45" s="80" t="str">
        <f>IFERROR((TP_DATA[[#This Row],[D, bottom '[m']]]+TP_DATA[[#This Row],[D, top '[m']]])/(2*TP_DATA[[#This Row],[t '[mm']]]/1000),"")</f>
        <v/>
      </c>
      <c r="AT45" s="80" t="str">
        <f>IFERROR((TP_DATA[[#This Row],[D, bottom '[m']]]+#REF!)/(2*#REF!/1000),"")</f>
        <v/>
      </c>
      <c r="AY45" s="78"/>
      <c r="AZ45" s="78"/>
      <c r="BA45" s="78"/>
      <c r="BB45" s="78"/>
      <c r="BC45" s="78"/>
      <c r="BD45" s="78"/>
      <c r="BR45" s="71">
        <v>21</v>
      </c>
      <c r="BS45">
        <v>-63.3</v>
      </c>
      <c r="BT45">
        <v>-67.3</v>
      </c>
      <c r="BU45">
        <v>11.5</v>
      </c>
      <c r="BV45">
        <v>11.5</v>
      </c>
      <c r="BW45">
        <v>93</v>
      </c>
      <c r="BX45" s="80">
        <f>IFERROR(TOWER_DATA[[#This Row],[Bottom '[m']]]-TOWER_DATA[[#This Row],[D, top '[m']]], "")</f>
        <v>-78.8</v>
      </c>
      <c r="BY45" s="80">
        <f>IFERROR(-(TOWER_DATA[[#This Row],[D, bottom '[m']]]-TOWER_DATA[[#This Row],[D, top '[m']]])/(TOWER_DATA[[#This Row],[Bottom '[m']]]-TOWER_DATA[[#This Row],[Top '[m']]]),"")</f>
        <v>0</v>
      </c>
      <c r="BZ45" s="80">
        <f t="shared" si="2"/>
        <v>104.64871763601624</v>
      </c>
      <c r="CA45" s="80">
        <f>IFERROR((TOWER_DATA[[#This Row],[D, bottom '[m']]]+TOWER_DATA[[#This Row],[D, top '[m']]])/(2*TOWER_DATA[[#This Row],[t '[mm']]]/1000),"")</f>
        <v>123.65591397849462</v>
      </c>
      <c r="CB45" s="80" t="str">
        <f>IFERROR((TOWER_DATA[[#This Row],[D, bottom '[m']]]+#REF!)/(2*#REF!/1000),"")</f>
        <v/>
      </c>
      <c r="CC45" s="83"/>
      <c r="CD45" s="83"/>
      <c r="CE45" s="83"/>
      <c r="CG45" s="78">
        <v>21</v>
      </c>
      <c r="CH45" s="78">
        <v>-63.3</v>
      </c>
      <c r="CI45" s="78">
        <v>-67.3</v>
      </c>
      <c r="CJ45" s="78">
        <v>11.5</v>
      </c>
      <c r="CK45" s="78">
        <v>11.5</v>
      </c>
      <c r="CL45" s="78">
        <v>93</v>
      </c>
      <c r="DF45" s="80"/>
      <c r="DG45" s="80"/>
      <c r="DH45" s="80"/>
      <c r="DI45" s="80"/>
      <c r="DK45" s="78">
        <v>21</v>
      </c>
      <c r="DL45" s="78">
        <v>112.82299999999999</v>
      </c>
      <c r="DM45" s="78">
        <v>112.614</v>
      </c>
      <c r="DN45" s="78">
        <v>6.2171000000000003</v>
      </c>
      <c r="DO45" s="78">
        <v>6.2214999999999998</v>
      </c>
      <c r="DP45" s="78">
        <v>23.5</v>
      </c>
    </row>
    <row r="46" spans="2:120" x14ac:dyDescent="0.3">
      <c r="B46" s="100">
        <v>22</v>
      </c>
      <c r="C46" s="101">
        <v>-67.3</v>
      </c>
      <c r="D46" s="101">
        <v>-71</v>
      </c>
      <c r="E46" s="100">
        <v>11.5</v>
      </c>
      <c r="F46" s="100">
        <v>11.5</v>
      </c>
      <c r="G46" s="100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Q46" s="78">
        <v>22</v>
      </c>
      <c r="R46" s="81">
        <v>-67.3</v>
      </c>
      <c r="S46" s="81">
        <v>-71</v>
      </c>
      <c r="T46" s="78">
        <v>11.5</v>
      </c>
      <c r="U46" s="78">
        <v>11.5</v>
      </c>
      <c r="V46" s="78">
        <v>96</v>
      </c>
      <c r="AP46" s="80" t="str">
        <f>IFERROR(TP_DATA[[#This Row],[Bottom '[m']]]-TP_DATA[[#This Row],[D, top '[m']]], "")</f>
        <v/>
      </c>
      <c r="AQ46" s="80" t="str">
        <f>IFERROR(-(TP_DATA[[#This Row],[D, bottom '[m']]]-TP_DATA[[#This Row],[D, top '[m']]])/(TP_DATA[[#This Row],[Bottom '[m']]]-TP_DATA[[#This Row],[Top '[m']]]),"")</f>
        <v/>
      </c>
      <c r="AR46" s="80" t="str">
        <f t="shared" si="1"/>
        <v/>
      </c>
      <c r="AS46" s="80" t="str">
        <f>IFERROR((TP_DATA[[#This Row],[D, bottom '[m']]]+TP_DATA[[#This Row],[D, top '[m']]])/(2*TP_DATA[[#This Row],[t '[mm']]]/1000),"")</f>
        <v/>
      </c>
      <c r="AT46" s="80" t="str">
        <f>IFERROR((TP_DATA[[#This Row],[D, bottom '[m']]]+#REF!)/(2*#REF!/1000),"")</f>
        <v/>
      </c>
      <c r="AY46" s="78"/>
      <c r="AZ46" s="78"/>
      <c r="BA46" s="78"/>
      <c r="BB46" s="78"/>
      <c r="BC46" s="78"/>
      <c r="BD46" s="78"/>
      <c r="BR46" s="71">
        <v>22</v>
      </c>
      <c r="BS46">
        <v>-67.3</v>
      </c>
      <c r="BT46">
        <v>-71</v>
      </c>
      <c r="BU46">
        <v>11.5</v>
      </c>
      <c r="BV46">
        <v>11.5</v>
      </c>
      <c r="BW46">
        <v>96</v>
      </c>
      <c r="BX46" s="80">
        <f>IFERROR(TOWER_DATA[[#This Row],[Bottom '[m']]]-TOWER_DATA[[#This Row],[D, top '[m']]], "")</f>
        <v>-82.5</v>
      </c>
      <c r="BY46" s="80">
        <f>IFERROR(-(TOWER_DATA[[#This Row],[D, bottom '[m']]]-TOWER_DATA[[#This Row],[D, top '[m']]])/(TOWER_DATA[[#This Row],[Bottom '[m']]]-TOWER_DATA[[#This Row],[Top '[m']]]),"")</f>
        <v>0</v>
      </c>
      <c r="BZ46" s="80">
        <f t="shared" si="2"/>
        <v>99.896367220087171</v>
      </c>
      <c r="CA46" s="80">
        <f>IFERROR((TOWER_DATA[[#This Row],[D, bottom '[m']]]+TOWER_DATA[[#This Row],[D, top '[m']]])/(2*TOWER_DATA[[#This Row],[t '[mm']]]/1000),"")</f>
        <v>119.79166666666666</v>
      </c>
      <c r="CB46" s="80" t="str">
        <f>IFERROR((TOWER_DATA[[#This Row],[D, bottom '[m']]]+#REF!)/(2*#REF!/1000),"")</f>
        <v/>
      </c>
      <c r="CC46" s="83"/>
      <c r="CD46" s="83"/>
      <c r="CE46" s="83"/>
      <c r="CG46" s="78">
        <v>22</v>
      </c>
      <c r="CH46" s="78">
        <v>-67.3</v>
      </c>
      <c r="CI46" s="78">
        <v>-71</v>
      </c>
      <c r="CJ46" s="78">
        <v>11.5</v>
      </c>
      <c r="CK46" s="78">
        <v>11.5</v>
      </c>
      <c r="CL46" s="78">
        <v>96</v>
      </c>
      <c r="DF46" s="80"/>
      <c r="DG46" s="80"/>
      <c r="DH46" s="80"/>
      <c r="DI46" s="80"/>
      <c r="DK46" s="78">
        <v>22</v>
      </c>
      <c r="DL46" s="78">
        <v>112.614</v>
      </c>
      <c r="DM46" s="78">
        <v>111.191</v>
      </c>
      <c r="DN46" s="78">
        <v>6.2214999999999998</v>
      </c>
      <c r="DO46" s="78">
        <v>6.2492999999999999</v>
      </c>
      <c r="DP46" s="78">
        <v>24.299999999999997</v>
      </c>
    </row>
    <row r="47" spans="2:120" x14ac:dyDescent="0.3">
      <c r="B47" s="100">
        <v>23</v>
      </c>
      <c r="C47" s="101">
        <v>-71</v>
      </c>
      <c r="D47" s="101">
        <v>-74.3</v>
      </c>
      <c r="E47" s="100">
        <v>11.5</v>
      </c>
      <c r="F47" s="100">
        <v>11.5</v>
      </c>
      <c r="G47" s="100">
        <v>100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92.776571768017547</v>
      </c>
      <c r="K47" s="80">
        <f>IFERROR((MP_DATA[[#This Row],[D, bottom '[m']]]+MP_DATA[[#This Row],[D, top '[m']]])/(2*MP_DATA[[#This Row],[t '[mm']]]/1000),"")</f>
        <v>115</v>
      </c>
      <c r="L47" s="80" t="str">
        <f>IFERROR((MP_DATA[[#This Row],[D, bottom '[m']]]+#REF!)/(2*#REF!/1000),"")</f>
        <v/>
      </c>
      <c r="Q47" s="78">
        <v>23</v>
      </c>
      <c r="R47" s="81">
        <v>-71</v>
      </c>
      <c r="S47" s="81">
        <v>-74.3</v>
      </c>
      <c r="T47" s="78">
        <v>11.5</v>
      </c>
      <c r="U47" s="78">
        <v>11.5</v>
      </c>
      <c r="V47" s="78">
        <v>100</v>
      </c>
      <c r="AP47" s="80" t="str">
        <f>IFERROR(TP_DATA[[#This Row],[Bottom '[m']]]-TP_DATA[[#This Row],[D, top '[m']]], "")</f>
        <v/>
      </c>
      <c r="AQ47" s="80" t="str">
        <f>IFERROR(-(TP_DATA[[#This Row],[D, bottom '[m']]]-TP_DATA[[#This Row],[D, top '[m']]])/(TP_DATA[[#This Row],[Bottom '[m']]]-TP_DATA[[#This Row],[Top '[m']]]),"")</f>
        <v/>
      </c>
      <c r="AR47" s="80" t="str">
        <f t="shared" si="1"/>
        <v/>
      </c>
      <c r="AS47" s="80" t="str">
        <f>IFERROR((TP_DATA[[#This Row],[D, bottom '[m']]]+TP_DATA[[#This Row],[D, top '[m']]])/(2*TP_DATA[[#This Row],[t '[mm']]]/1000),"")</f>
        <v/>
      </c>
      <c r="AT47" s="80" t="str">
        <f>IFERROR((TP_DATA[[#This Row],[D, bottom '[m']]]+#REF!)/(2*#REF!/1000),"")</f>
        <v/>
      </c>
      <c r="AY47" s="78"/>
      <c r="AZ47" s="78"/>
      <c r="BA47" s="78"/>
      <c r="BB47" s="78"/>
      <c r="BC47" s="78"/>
      <c r="BD47" s="78"/>
      <c r="BR47" s="71">
        <v>23</v>
      </c>
      <c r="BS47">
        <v>-71</v>
      </c>
      <c r="BT47">
        <v>-74.3</v>
      </c>
      <c r="BU47">
        <v>11.5</v>
      </c>
      <c r="BV47">
        <v>11.5</v>
      </c>
      <c r="BW47">
        <v>96</v>
      </c>
      <c r="BX47" s="80">
        <f>IFERROR(TOWER_DATA[[#This Row],[Bottom '[m']]]-TOWER_DATA[[#This Row],[D, top '[m']]], "")</f>
        <v>-85.8</v>
      </c>
      <c r="BY47" s="80">
        <f>IFERROR(-(TOWER_DATA[[#This Row],[D, bottom '[m']]]-TOWER_DATA[[#This Row],[D, top '[m']]])/(TOWER_DATA[[#This Row],[Bottom '[m']]]-TOWER_DATA[[#This Row],[Top '[m']]]),"")</f>
        <v>0</v>
      </c>
      <c r="BZ47" s="80">
        <f t="shared" si="2"/>
        <v>89.096759953050565</v>
      </c>
      <c r="CA47" s="80">
        <f>IFERROR((TOWER_DATA[[#This Row],[D, bottom '[m']]]+TOWER_DATA[[#This Row],[D, top '[m']]])/(2*TOWER_DATA[[#This Row],[t '[mm']]]/1000),"")</f>
        <v>119.79166666666666</v>
      </c>
      <c r="CB47" s="80" t="str">
        <f>IFERROR((TOWER_DATA[[#This Row],[D, bottom '[m']]]+#REF!)/(2*#REF!/1000),"")</f>
        <v/>
      </c>
      <c r="CC47" s="83"/>
      <c r="CD47" s="83"/>
      <c r="CE47" s="83"/>
      <c r="CG47" s="78">
        <v>23</v>
      </c>
      <c r="CH47" s="78">
        <v>-71</v>
      </c>
      <c r="CI47" s="78">
        <v>-74.3</v>
      </c>
      <c r="CJ47" s="78">
        <v>11.5</v>
      </c>
      <c r="CK47" s="78">
        <v>11.5</v>
      </c>
      <c r="CL47" s="78">
        <v>96</v>
      </c>
      <c r="DF47" s="80"/>
      <c r="DG47" s="80"/>
      <c r="DH47" s="80"/>
      <c r="DI47" s="80"/>
      <c r="DK47" s="78">
        <v>23</v>
      </c>
      <c r="DL47" s="78">
        <v>111.191</v>
      </c>
      <c r="DM47" s="78">
        <v>108.41500000000001</v>
      </c>
      <c r="DN47" s="78">
        <v>6.2492999999999999</v>
      </c>
      <c r="DO47" s="78">
        <v>6.3041999999999998</v>
      </c>
      <c r="DP47" s="78">
        <v>25.2</v>
      </c>
    </row>
    <row r="48" spans="2:120" x14ac:dyDescent="0.3">
      <c r="B48" s="100">
        <v>24</v>
      </c>
      <c r="C48" s="101">
        <v>-74.3</v>
      </c>
      <c r="D48" s="101">
        <v>-77.430000000000007</v>
      </c>
      <c r="E48" s="100">
        <v>11.5</v>
      </c>
      <c r="F48" s="100">
        <v>11.5</v>
      </c>
      <c r="G48" s="100">
        <v>110</v>
      </c>
      <c r="H48" s="80">
        <f>IFERROR(MP_DATA[[#This Row],[Bottom '[m']]]-MP_DATA[[#This Row],[D, top '[m']]], "")</f>
        <v>-88.93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96.71198032544136</v>
      </c>
      <c r="K48" s="80">
        <f>IFERROR((MP_DATA[[#This Row],[D, bottom '[m']]]+MP_DATA[[#This Row],[D, top '[m']]])/(2*MP_DATA[[#This Row],[t '[mm']]]/1000),"")</f>
        <v>104.54545454545455</v>
      </c>
      <c r="L48" s="80" t="str">
        <f>IFERROR((MP_DATA[[#This Row],[D, bottom '[m']]]+#REF!)/(2*#REF!/1000),"")</f>
        <v/>
      </c>
      <c r="Q48" s="78">
        <v>24</v>
      </c>
      <c r="R48" s="81">
        <v>-74.3</v>
      </c>
      <c r="S48" s="81">
        <v>-77.430000000000007</v>
      </c>
      <c r="T48" s="78">
        <v>11.5</v>
      </c>
      <c r="U48" s="78">
        <v>11.5</v>
      </c>
      <c r="V48" s="78">
        <v>110</v>
      </c>
      <c r="AP48" s="80" t="str">
        <f>IFERROR(TP_DATA[[#This Row],[Bottom '[m']]]-TP_DATA[[#This Row],[D, top '[m']]], "")</f>
        <v/>
      </c>
      <c r="AQ48" s="80" t="str">
        <f>IFERROR(-(TP_DATA[[#This Row],[D, bottom '[m']]]-TP_DATA[[#This Row],[D, top '[m']]])/(TP_DATA[[#This Row],[Bottom '[m']]]-TP_DATA[[#This Row],[Top '[m']]]),"")</f>
        <v/>
      </c>
      <c r="AR48" s="80" t="str">
        <f t="shared" si="1"/>
        <v/>
      </c>
      <c r="AS48" s="80" t="str">
        <f>IFERROR((TP_DATA[[#This Row],[D, bottom '[m']]]+TP_DATA[[#This Row],[D, top '[m']]])/(2*TP_DATA[[#This Row],[t '[mm']]]/1000),"")</f>
        <v/>
      </c>
      <c r="AT48" s="80" t="str">
        <f>IFERROR((TP_DATA[[#This Row],[D, bottom '[m']]]+#REF!)/(2*#REF!/1000),"")</f>
        <v/>
      </c>
      <c r="AY48" s="78"/>
      <c r="AZ48" s="78"/>
      <c r="BA48" s="78"/>
      <c r="BB48" s="78"/>
      <c r="BC48" s="78"/>
      <c r="BD48" s="78"/>
      <c r="BR48" s="71">
        <v>24</v>
      </c>
      <c r="BS48">
        <v>-74.3</v>
      </c>
      <c r="BT48">
        <v>-77.44</v>
      </c>
      <c r="BU48">
        <v>11.5</v>
      </c>
      <c r="BV48">
        <v>11.5</v>
      </c>
      <c r="BW48">
        <v>100</v>
      </c>
      <c r="BX48" s="80">
        <f>IFERROR(TOWER_DATA[[#This Row],[Bottom '[m']]]-TOWER_DATA[[#This Row],[D, top '[m']]], "")</f>
        <v>-88.94</v>
      </c>
      <c r="BY48" s="80">
        <f>IFERROR(-(TOWER_DATA[[#This Row],[D, bottom '[m']]]-TOWER_DATA[[#This Row],[D, top '[m']]])/(TOWER_DATA[[#This Row],[Bottom '[m']]]-TOWER_DATA[[#This Row],[Top '[m']]]),"")</f>
        <v>0</v>
      </c>
      <c r="BZ48" s="80">
        <f t="shared" si="2"/>
        <v>88.278313742901631</v>
      </c>
      <c r="CA48" s="80">
        <f>IFERROR((TOWER_DATA[[#This Row],[D, bottom '[m']]]+TOWER_DATA[[#This Row],[D, top '[m']]])/(2*TOWER_DATA[[#This Row],[t '[mm']]]/1000),"")</f>
        <v>115</v>
      </c>
      <c r="CB48" s="80" t="str">
        <f>IFERROR((TOWER_DATA[[#This Row],[D, bottom '[m']]]+#REF!)/(2*#REF!/1000),"")</f>
        <v/>
      </c>
      <c r="CC48" s="83"/>
      <c r="CD48" s="83"/>
      <c r="CE48" s="83"/>
      <c r="CG48" s="78">
        <v>24</v>
      </c>
      <c r="CH48" s="78">
        <v>-74.3</v>
      </c>
      <c r="CI48" s="78">
        <v>-77.44</v>
      </c>
      <c r="CJ48" s="78">
        <v>11.5</v>
      </c>
      <c r="CK48" s="78">
        <v>11.5</v>
      </c>
      <c r="CL48" s="78">
        <v>100</v>
      </c>
      <c r="DF48" s="80"/>
      <c r="DG48" s="80"/>
      <c r="DH48" s="80"/>
      <c r="DI48" s="80"/>
      <c r="DK48" s="78">
        <v>24</v>
      </c>
      <c r="DL48" s="78">
        <v>108.41500000000001</v>
      </c>
      <c r="DM48" s="78">
        <v>105.64</v>
      </c>
      <c r="DN48" s="78">
        <v>6.3041999999999998</v>
      </c>
      <c r="DO48" s="78">
        <v>6.3586</v>
      </c>
      <c r="DP48" s="78">
        <v>25.6</v>
      </c>
    </row>
    <row r="49" spans="2:120" x14ac:dyDescent="0.3">
      <c r="B49" s="100">
        <v>25</v>
      </c>
      <c r="C49" s="101">
        <v>-77.430000000000007</v>
      </c>
      <c r="D49" s="101">
        <v>-80.430000000000007</v>
      </c>
      <c r="E49" s="100">
        <v>11.5</v>
      </c>
      <c r="F49" s="100">
        <v>11.5</v>
      </c>
      <c r="G49" s="100">
        <v>122</v>
      </c>
      <c r="H49" s="80">
        <f>IFERROR(MP_DATA[[#This Row],[Bottom '[m']]]-MP_DATA[[#This Row],[D, top '[m']]], "")</f>
        <v>-91.93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102.6990779077619</v>
      </c>
      <c r="K49" s="80">
        <f>IFERROR((MP_DATA[[#This Row],[D, bottom '[m']]]+MP_DATA[[#This Row],[D, top '[m']]])/(2*MP_DATA[[#This Row],[t '[mm']]]/1000),"")</f>
        <v>94.26229508196721</v>
      </c>
      <c r="L49" s="80" t="str">
        <f>IFERROR((MP_DATA[[#This Row],[D, bottom '[m']]]+#REF!)/(2*#REF!/1000),"")</f>
        <v/>
      </c>
      <c r="Q49" s="78">
        <v>25</v>
      </c>
      <c r="R49" s="81">
        <v>-77.430000000000007</v>
      </c>
      <c r="S49" s="81">
        <v>-80.430000000000007</v>
      </c>
      <c r="T49" s="78">
        <v>11.5</v>
      </c>
      <c r="U49" s="78">
        <v>11.5</v>
      </c>
      <c r="V49" s="78">
        <v>122</v>
      </c>
      <c r="AP49" s="80" t="str">
        <f>IFERROR(TP_DATA[[#This Row],[Bottom '[m']]]-TP_DATA[[#This Row],[D, top '[m']]], "")</f>
        <v/>
      </c>
      <c r="AQ49" s="80" t="str">
        <f>IFERROR(-(TP_DATA[[#This Row],[D, bottom '[m']]]-TP_DATA[[#This Row],[D, top '[m']]])/(TP_DATA[[#This Row],[Bottom '[m']]]-TP_DATA[[#This Row],[Top '[m']]]),"")</f>
        <v/>
      </c>
      <c r="AR49" s="80" t="str">
        <f t="shared" si="1"/>
        <v/>
      </c>
      <c r="AS49" s="80" t="str">
        <f>IFERROR((TP_DATA[[#This Row],[D, bottom '[m']]]+TP_DATA[[#This Row],[D, top '[m']]])/(2*TP_DATA[[#This Row],[t '[mm']]]/1000),"")</f>
        <v/>
      </c>
      <c r="AT49" s="80" t="str">
        <f>IFERROR((TP_DATA[[#This Row],[D, bottom '[m']]]+#REF!)/(2*#REF!/1000),"")</f>
        <v/>
      </c>
      <c r="AY49" s="78"/>
      <c r="AZ49" s="78"/>
      <c r="BA49" s="78"/>
      <c r="BB49" s="78"/>
      <c r="BC49" s="78"/>
      <c r="BD49" s="78"/>
      <c r="BR49" s="71">
        <v>25</v>
      </c>
      <c r="BS49">
        <v>-77.44</v>
      </c>
      <c r="BT49">
        <v>-80.44</v>
      </c>
      <c r="BU49">
        <v>11.5</v>
      </c>
      <c r="BV49">
        <v>11.5</v>
      </c>
      <c r="BW49">
        <v>105</v>
      </c>
      <c r="BX49" s="80">
        <f>IFERROR(TOWER_DATA[[#This Row],[Bottom '[m']]]-TOWER_DATA[[#This Row],[D, top '[m']]], "")</f>
        <v>-91.94</v>
      </c>
      <c r="BY49" s="80">
        <f>IFERROR(-(TOWER_DATA[[#This Row],[D, bottom '[m']]]-TOWER_DATA[[#This Row],[D, top '[m']]])/(TOWER_DATA[[#This Row],[Bottom '[m']]]-TOWER_DATA[[#This Row],[Top '[m']]]),"")</f>
        <v>0</v>
      </c>
      <c r="BZ49" s="80">
        <f t="shared" si="2"/>
        <v>88.520613003301008</v>
      </c>
      <c r="CA49" s="80">
        <f>IFERROR((TOWER_DATA[[#This Row],[D, bottom '[m']]]+TOWER_DATA[[#This Row],[D, top '[m']]])/(2*TOWER_DATA[[#This Row],[t '[mm']]]/1000),"")</f>
        <v>109.52380952380953</v>
      </c>
      <c r="CB49" s="80" t="str">
        <f>IFERROR((TOWER_DATA[[#This Row],[D, bottom '[m']]]+#REF!)/(2*#REF!/1000),"")</f>
        <v/>
      </c>
      <c r="CC49" s="83"/>
      <c r="CD49" s="83"/>
      <c r="CE49" s="83"/>
      <c r="CG49" s="78">
        <v>25</v>
      </c>
      <c r="CH49" s="78">
        <v>-77.44</v>
      </c>
      <c r="CI49" s="78">
        <v>-80.44</v>
      </c>
      <c r="CJ49" s="78">
        <v>11.5</v>
      </c>
      <c r="CK49" s="78">
        <v>11.5</v>
      </c>
      <c r="CL49" s="78">
        <v>105</v>
      </c>
      <c r="DF49" s="80"/>
      <c r="DG49" s="80"/>
      <c r="DH49" s="80"/>
      <c r="DI49" s="80"/>
      <c r="DK49" s="78">
        <v>25</v>
      </c>
      <c r="DL49" s="78">
        <v>105.64</v>
      </c>
      <c r="DM49" s="78">
        <v>102.866</v>
      </c>
      <c r="DN49" s="78">
        <v>6.3586</v>
      </c>
      <c r="DO49" s="78">
        <v>6.4127999999999998</v>
      </c>
      <c r="DP49" s="78">
        <v>25.8</v>
      </c>
    </row>
    <row r="50" spans="2:120" x14ac:dyDescent="0.3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P50" s="80" t="str">
        <f>IFERROR(TP_DATA[[#This Row],[Bottom '[m']]]-TP_DATA[[#This Row],[D, top '[m']]], "")</f>
        <v/>
      </c>
      <c r="AQ50" s="80" t="str">
        <f>IFERROR(-(TP_DATA[[#This Row],[D, bottom '[m']]]-TP_DATA[[#This Row],[D, top '[m']]])/(TP_DATA[[#This Row],[Bottom '[m']]]-TP_DATA[[#This Row],[Top '[m']]]),"")</f>
        <v/>
      </c>
      <c r="AR50" s="80" t="str">
        <f t="shared" si="1"/>
        <v/>
      </c>
      <c r="AS50" s="80" t="str">
        <f>IFERROR((TP_DATA[[#This Row],[D, bottom '[m']]]+TP_DATA[[#This Row],[D, top '[m']]])/(2*TP_DATA[[#This Row],[t '[mm']]]/1000),"")</f>
        <v/>
      </c>
      <c r="AT50" s="80" t="str">
        <f>IFERROR((TP_DATA[[#This Row],[D, bottom '[m']]]+#REF!)/(2*#REF!/1000),"")</f>
        <v/>
      </c>
      <c r="BX50" s="80" t="str">
        <f>IFERROR(TOWER_DATA[[#This Row],[Bottom '[m']]]-TOWER_DATA[[#This Row],[D, top '[m']]], "")</f>
        <v/>
      </c>
      <c r="BY50" s="80" t="str">
        <f>IFERROR(-(TOWER_DATA[[#This Row],[D, bottom '[m']]]-TOWER_DATA[[#This Row],[D, top '[m']]])/(TOWER_DATA[[#This Row],[Bottom '[m']]]-TOWER_DATA[[#This Row],[Top '[m']]]),"")</f>
        <v/>
      </c>
      <c r="BZ50" s="80" t="str">
        <f t="shared" si="2"/>
        <v/>
      </c>
      <c r="CA50" s="80" t="str">
        <f>IFERROR((TOWER_DATA[[#This Row],[D, bottom '[m']]]+TOWER_DATA[[#This Row],[D, top '[m']]])/(2*TOWER_DATA[[#This Row],[t '[mm']]]/1000),"")</f>
        <v/>
      </c>
      <c r="CB50" s="80" t="str">
        <f>IFERROR((TOWER_DATA[[#This Row],[D, bottom '[m']]]+#REF!)/(2*#REF!/1000),"")</f>
        <v/>
      </c>
      <c r="CG50" s="78"/>
      <c r="CH50" s="78"/>
      <c r="CI50" s="78"/>
      <c r="CK50" s="78"/>
      <c r="DF50" s="80"/>
      <c r="DG50" s="80"/>
      <c r="DH50" s="80"/>
      <c r="DI50" s="80"/>
      <c r="DK50" s="78">
        <v>26</v>
      </c>
      <c r="DL50" s="78">
        <v>102.866</v>
      </c>
      <c r="DM50" s="78">
        <v>100.095</v>
      </c>
      <c r="DN50">
        <v>6.4127999999999998</v>
      </c>
      <c r="DO50" s="78">
        <v>6.4669999999999996</v>
      </c>
      <c r="DP50">
        <v>26</v>
      </c>
    </row>
    <row r="51" spans="2:120" x14ac:dyDescent="0.3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P51" s="80" t="str">
        <f>IFERROR(TP_DATA[[#This Row],[Bottom '[m']]]-TP_DATA[[#This Row],[D, top '[m']]], "")</f>
        <v/>
      </c>
      <c r="AQ51" s="80" t="str">
        <f>IFERROR(-(TP_DATA[[#This Row],[D, bottom '[m']]]-TP_DATA[[#This Row],[D, top '[m']]])/(TP_DATA[[#This Row],[Bottom '[m']]]-TP_DATA[[#This Row],[Top '[m']]]),"")</f>
        <v/>
      </c>
      <c r="AR51" s="80" t="str">
        <f t="shared" si="1"/>
        <v/>
      </c>
      <c r="AS51" s="80" t="str">
        <f>IFERROR((TP_DATA[[#This Row],[D, bottom '[m']]]+TP_DATA[[#This Row],[D, top '[m']]])/(2*TP_DATA[[#This Row],[t '[mm']]]/1000),"")</f>
        <v/>
      </c>
      <c r="AT51" s="80" t="str">
        <f>IFERROR((TP_DATA[[#This Row],[D, bottom '[m']]]+#REF!)/(2*#REF!/1000),"")</f>
        <v/>
      </c>
      <c r="BX51" s="80" t="str">
        <f>IFERROR(TOWER_DATA[[#This Row],[Bottom '[m']]]-TOWER_DATA[[#This Row],[D, top '[m']]], "")</f>
        <v/>
      </c>
      <c r="BY51" s="80" t="str">
        <f>IFERROR(-(TOWER_DATA[[#This Row],[D, bottom '[m']]]-TOWER_DATA[[#This Row],[D, top '[m']]])/(TOWER_DATA[[#This Row],[Bottom '[m']]]-TOWER_DATA[[#This Row],[Top '[m']]]),"")</f>
        <v/>
      </c>
      <c r="BZ51" s="80" t="str">
        <f t="shared" si="2"/>
        <v/>
      </c>
      <c r="CA51" s="80" t="str">
        <f>IFERROR((TOWER_DATA[[#This Row],[D, bottom '[m']]]+TOWER_DATA[[#This Row],[D, top '[m']]])/(2*TOWER_DATA[[#This Row],[t '[mm']]]/1000),"")</f>
        <v/>
      </c>
      <c r="CB51" s="80" t="str">
        <f>IFERROR((TOWER_DATA[[#This Row],[D, bottom '[m']]]+#REF!)/(2*#REF!/1000),"")</f>
        <v/>
      </c>
      <c r="CG51" s="78"/>
      <c r="CH51" s="78"/>
      <c r="CI51" s="78"/>
      <c r="CK51" s="78"/>
      <c r="DF51" s="80"/>
      <c r="DG51" s="80"/>
      <c r="DH51" s="80"/>
      <c r="DI51" s="80"/>
      <c r="DK51" s="78">
        <v>27</v>
      </c>
      <c r="DL51" s="78">
        <v>100.095</v>
      </c>
      <c r="DM51" s="78">
        <v>97.323999999999998</v>
      </c>
      <c r="DN51">
        <v>6.4669999999999996</v>
      </c>
      <c r="DO51" s="78">
        <v>6.5206</v>
      </c>
      <c r="DP51">
        <v>26.599999999999998</v>
      </c>
    </row>
    <row r="52" spans="2:120" x14ac:dyDescent="0.3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P52" s="80" t="str">
        <f>IFERROR(TP_DATA[[#This Row],[Bottom '[m']]]-TP_DATA[[#This Row],[D, top '[m']]], "")</f>
        <v/>
      </c>
      <c r="AQ52" s="80" t="str">
        <f>IFERROR(-(TP_DATA[[#This Row],[D, bottom '[m']]]-TP_DATA[[#This Row],[D, top '[m']]])/(TP_DATA[[#This Row],[Bottom '[m']]]-TP_DATA[[#This Row],[Top '[m']]]),"")</f>
        <v/>
      </c>
      <c r="AR52" s="80" t="str">
        <f t="shared" si="1"/>
        <v/>
      </c>
      <c r="AS52" s="80" t="str">
        <f>IFERROR((TP_DATA[[#This Row],[D, bottom '[m']]]+TP_DATA[[#This Row],[D, top '[m']]])/(2*TP_DATA[[#This Row],[t '[mm']]]/1000),"")</f>
        <v/>
      </c>
      <c r="AT52" s="80" t="str">
        <f>IFERROR((TP_DATA[[#This Row],[D, bottom '[m']]]+#REF!)/(2*#REF!/1000),"")</f>
        <v/>
      </c>
      <c r="BX52" s="80" t="str">
        <f>IFERROR(TOWER_DATA[[#This Row],[Bottom '[m']]]-TOWER_DATA[[#This Row],[D, top '[m']]], "")</f>
        <v/>
      </c>
      <c r="BY52" s="80" t="str">
        <f>IFERROR(-(TOWER_DATA[[#This Row],[D, bottom '[m']]]-TOWER_DATA[[#This Row],[D, top '[m']]])/(TOWER_DATA[[#This Row],[Bottom '[m']]]-TOWER_DATA[[#This Row],[Top '[m']]]),"")</f>
        <v/>
      </c>
      <c r="BZ52" s="80" t="str">
        <f t="shared" si="2"/>
        <v/>
      </c>
      <c r="CA52" s="80" t="str">
        <f>IFERROR((TOWER_DATA[[#This Row],[D, bottom '[m']]]+TOWER_DATA[[#This Row],[D, top '[m']]])/(2*TOWER_DATA[[#This Row],[t '[mm']]]/1000),"")</f>
        <v/>
      </c>
      <c r="CB52" s="80" t="str">
        <f>IFERROR((TOWER_DATA[[#This Row],[D, bottom '[m']]]+#REF!)/(2*#REF!/1000),"")</f>
        <v/>
      </c>
      <c r="CG52" s="78"/>
      <c r="CH52" s="78"/>
      <c r="CI52" s="78"/>
      <c r="CK52" s="78"/>
      <c r="DF52" s="80"/>
      <c r="DG52" s="80"/>
      <c r="DH52" s="80"/>
      <c r="DI52" s="80"/>
      <c r="DK52" s="78">
        <v>28</v>
      </c>
      <c r="DL52" s="78">
        <v>97.323999999999998</v>
      </c>
      <c r="DM52" s="78">
        <v>94.554000000000002</v>
      </c>
      <c r="DN52">
        <v>6.5206</v>
      </c>
      <c r="DO52" s="78">
        <v>6.5753000000000004</v>
      </c>
      <c r="DP52">
        <v>27.3</v>
      </c>
    </row>
    <row r="53" spans="2:120" x14ac:dyDescent="0.3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P53" s="80" t="str">
        <f>IFERROR(TP_DATA[[#This Row],[Bottom '[m']]]-TP_DATA[[#This Row],[D, top '[m']]], "")</f>
        <v/>
      </c>
      <c r="AQ53" s="80" t="str">
        <f>IFERROR(-(TP_DATA[[#This Row],[D, bottom '[m']]]-TP_DATA[[#This Row],[D, top '[m']]])/(TP_DATA[[#This Row],[Bottom '[m']]]-TP_DATA[[#This Row],[Top '[m']]]),"")</f>
        <v/>
      </c>
      <c r="AR53" s="80" t="str">
        <f t="shared" si="1"/>
        <v/>
      </c>
      <c r="AS53" s="80" t="str">
        <f>IFERROR((TP_DATA[[#This Row],[D, bottom '[m']]]+TP_DATA[[#This Row],[D, top '[m']]])/(2*TP_DATA[[#This Row],[t '[mm']]]/1000),"")</f>
        <v/>
      </c>
      <c r="AT53" s="80" t="str">
        <f>IFERROR((TP_DATA[[#This Row],[D, bottom '[m']]]+#REF!)/(2*#REF!/1000),"")</f>
        <v/>
      </c>
      <c r="BX53" s="80" t="str">
        <f>IFERROR(TOWER_DATA[[#This Row],[Bottom '[m']]]-TOWER_DATA[[#This Row],[D, top '[m']]], "")</f>
        <v/>
      </c>
      <c r="BY53" s="80" t="str">
        <f>IFERROR(-(TOWER_DATA[[#This Row],[D, bottom '[m']]]-TOWER_DATA[[#This Row],[D, top '[m']]])/(TOWER_DATA[[#This Row],[Bottom '[m']]]-TOWER_DATA[[#This Row],[Top '[m']]]),"")</f>
        <v/>
      </c>
      <c r="BZ53" s="80" t="str">
        <f t="shared" si="2"/>
        <v/>
      </c>
      <c r="CA53" s="80" t="str">
        <f>IFERROR((TOWER_DATA[[#This Row],[D, bottom '[m']]]+TOWER_DATA[[#This Row],[D, top '[m']]])/(2*TOWER_DATA[[#This Row],[t '[mm']]]/1000),"")</f>
        <v/>
      </c>
      <c r="CB53" s="80" t="str">
        <f>IFERROR((TOWER_DATA[[#This Row],[D, bottom '[m']]]+#REF!)/(2*#REF!/1000),"")</f>
        <v/>
      </c>
      <c r="CG53" s="78"/>
      <c r="CH53" s="78"/>
      <c r="CI53" s="78"/>
      <c r="CK53" s="78"/>
      <c r="DF53" s="80"/>
      <c r="DG53" s="80"/>
      <c r="DH53" s="80"/>
      <c r="DI53" s="80"/>
      <c r="DK53" s="78">
        <v>29</v>
      </c>
      <c r="DL53" s="78">
        <v>94.554000000000002</v>
      </c>
      <c r="DM53" s="78">
        <v>91.787000000000006</v>
      </c>
      <c r="DN53">
        <v>6.5753000000000004</v>
      </c>
      <c r="DO53" s="78">
        <v>6.6299000000000001</v>
      </c>
      <c r="DP53">
        <v>27.900000000000002</v>
      </c>
    </row>
    <row r="54" spans="2:120" x14ac:dyDescent="0.3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P54" s="80" t="str">
        <f>IFERROR(TP_DATA[[#This Row],[Bottom '[m']]]-TP_DATA[[#This Row],[D, top '[m']]], "")</f>
        <v/>
      </c>
      <c r="AQ54" s="80" t="str">
        <f>IFERROR(-(TP_DATA[[#This Row],[D, bottom '[m']]]-TP_DATA[[#This Row],[D, top '[m']]])/(TP_DATA[[#This Row],[Bottom '[m']]]-TP_DATA[[#This Row],[Top '[m']]]),"")</f>
        <v/>
      </c>
      <c r="AR54" s="80" t="str">
        <f t="shared" si="1"/>
        <v/>
      </c>
      <c r="AS54" s="80" t="str">
        <f>IFERROR((TP_DATA[[#This Row],[D, bottom '[m']]]+TP_DATA[[#This Row],[D, top '[m']]])/(2*TP_DATA[[#This Row],[t '[mm']]]/1000),"")</f>
        <v/>
      </c>
      <c r="AT54" s="80"/>
      <c r="BX54" s="80" t="str">
        <f>IFERROR(TOWER_DATA[[#This Row],[Bottom '[m']]]-TOWER_DATA[[#This Row],[D, top '[m']]], "")</f>
        <v/>
      </c>
      <c r="BY54" s="80" t="str">
        <f>IFERROR(-(TOWER_DATA[[#This Row],[D, bottom '[m']]]-TOWER_DATA[[#This Row],[D, top '[m']]])/(TOWER_DATA[[#This Row],[Bottom '[m']]]-TOWER_DATA[[#This Row],[Top '[m']]]),"")</f>
        <v/>
      </c>
      <c r="BZ54" s="80" t="str">
        <f t="shared" si="2"/>
        <v/>
      </c>
      <c r="CA54" s="80" t="str">
        <f>IFERROR((TOWER_DATA[[#This Row],[D, bottom '[m']]]+TOWER_DATA[[#This Row],[D, top '[m']]])/(2*TOWER_DATA[[#This Row],[t '[mm']]]/1000),"")</f>
        <v/>
      </c>
      <c r="CB54" s="80"/>
      <c r="CG54" s="78"/>
      <c r="CH54" s="78"/>
      <c r="CI54" s="78"/>
      <c r="CK54" s="78"/>
      <c r="DF54" s="80"/>
      <c r="DG54" s="80"/>
      <c r="DH54" s="80"/>
      <c r="DI54" s="80"/>
      <c r="DK54" s="78">
        <v>30</v>
      </c>
      <c r="DL54" s="78">
        <v>91.787000000000006</v>
      </c>
      <c r="DM54" s="78">
        <v>89.02</v>
      </c>
      <c r="DN54">
        <v>6.6299000000000001</v>
      </c>
      <c r="DO54" s="78">
        <v>6.6836000000000002</v>
      </c>
      <c r="DP54">
        <v>28.6</v>
      </c>
    </row>
    <row r="55" spans="2:120" x14ac:dyDescent="0.3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P55" s="80" t="str">
        <f>IFERROR(TP_DATA[[#This Row],[Bottom '[m']]]-TP_DATA[[#This Row],[D, top '[m']]], "")</f>
        <v/>
      </c>
      <c r="AQ55" s="80" t="str">
        <f>IFERROR(-(TP_DATA[[#This Row],[D, bottom '[m']]]-TP_DATA[[#This Row],[D, top '[m']]])/(TP_DATA[[#This Row],[Bottom '[m']]]-TP_DATA[[#This Row],[Top '[m']]]),"")</f>
        <v/>
      </c>
      <c r="AR55" s="80" t="str">
        <f t="shared" si="1"/>
        <v/>
      </c>
      <c r="AS55" s="80" t="str">
        <f>IFERROR((TP_DATA[[#This Row],[D, bottom '[m']]]+TP_DATA[[#This Row],[D, top '[m']]])/(2*TP_DATA[[#This Row],[t '[mm']]]/1000),"")</f>
        <v/>
      </c>
      <c r="AT55" s="80"/>
      <c r="BX55" s="80" t="str">
        <f>IFERROR(TOWER_DATA[[#This Row],[Bottom '[m']]]-TOWER_DATA[[#This Row],[D, top '[m']]], "")</f>
        <v/>
      </c>
      <c r="BY55" s="80" t="str">
        <f>IFERROR(-(TOWER_DATA[[#This Row],[D, bottom '[m']]]-TOWER_DATA[[#This Row],[D, top '[m']]])/(TOWER_DATA[[#This Row],[Bottom '[m']]]-TOWER_DATA[[#This Row],[Top '[m']]]),"")</f>
        <v/>
      </c>
      <c r="BZ55" s="80" t="str">
        <f t="shared" si="2"/>
        <v/>
      </c>
      <c r="CA55" s="80" t="str">
        <f>IFERROR((TOWER_DATA[[#This Row],[D, bottom '[m']]]+TOWER_DATA[[#This Row],[D, top '[m']]])/(2*TOWER_DATA[[#This Row],[t '[mm']]]/1000),"")</f>
        <v/>
      </c>
      <c r="CB55" s="80"/>
      <c r="CG55" s="78"/>
      <c r="CH55" s="78"/>
      <c r="CI55" s="78"/>
      <c r="CK55" s="78"/>
      <c r="DF55" s="80"/>
      <c r="DG55" s="80"/>
      <c r="DH55" s="80"/>
      <c r="DI55" s="80"/>
      <c r="DK55" s="78">
        <v>31</v>
      </c>
      <c r="DL55" s="78">
        <v>89.02</v>
      </c>
      <c r="DM55" s="78">
        <v>86.254000000000005</v>
      </c>
      <c r="DN55">
        <v>6.6836000000000002</v>
      </c>
      <c r="DO55" s="78">
        <v>6.7382</v>
      </c>
      <c r="DP55">
        <v>29.2</v>
      </c>
    </row>
    <row r="56" spans="2:120" x14ac:dyDescent="0.3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P56" s="80" t="str">
        <f>IFERROR(TP_DATA[[#This Row],[Bottom '[m']]]-TP_DATA[[#This Row],[D, top '[m']]], "")</f>
        <v/>
      </c>
      <c r="AQ56" s="80" t="str">
        <f>IFERROR(-(TP_DATA[[#This Row],[D, bottom '[m']]]-TP_DATA[[#This Row],[D, top '[m']]])/(TP_DATA[[#This Row],[Bottom '[m']]]-TP_DATA[[#This Row],[Top '[m']]]),"")</f>
        <v/>
      </c>
      <c r="AR56" s="80" t="str">
        <f t="shared" si="1"/>
        <v/>
      </c>
      <c r="AS56" s="80" t="str">
        <f>IFERROR((TP_DATA[[#This Row],[D, bottom '[m']]]+TP_DATA[[#This Row],[D, top '[m']]])/(2*TP_DATA[[#This Row],[t '[mm']]]/1000),"")</f>
        <v/>
      </c>
      <c r="AT56" s="80"/>
      <c r="BX56" s="80" t="str">
        <f>IFERROR(TOWER_DATA[[#This Row],[Bottom '[m']]]-TOWER_DATA[[#This Row],[D, top '[m']]], "")</f>
        <v/>
      </c>
      <c r="BY56" s="80" t="str">
        <f>IFERROR(-(TOWER_DATA[[#This Row],[D, bottom '[m']]]-TOWER_DATA[[#This Row],[D, top '[m']]])/(TOWER_DATA[[#This Row],[Bottom '[m']]]-TOWER_DATA[[#This Row],[Top '[m']]]),"")</f>
        <v/>
      </c>
      <c r="BZ56" s="80" t="str">
        <f t="shared" si="2"/>
        <v/>
      </c>
      <c r="CA56" s="80" t="str">
        <f>IFERROR((TOWER_DATA[[#This Row],[D, bottom '[m']]]+TOWER_DATA[[#This Row],[D, top '[m']]])/(2*TOWER_DATA[[#This Row],[t '[mm']]]/1000),"")</f>
        <v/>
      </c>
      <c r="CB56" s="80"/>
      <c r="CG56" s="78"/>
      <c r="CH56" s="78"/>
      <c r="CI56" s="78"/>
      <c r="CK56" s="78"/>
      <c r="DF56" s="80"/>
      <c r="DG56" s="80"/>
      <c r="DH56" s="80"/>
      <c r="DI56" s="80"/>
      <c r="DK56" s="78">
        <v>32</v>
      </c>
      <c r="DL56" s="78">
        <v>86.254000000000005</v>
      </c>
      <c r="DM56" s="78">
        <v>83.49</v>
      </c>
      <c r="DN56">
        <v>6.7382</v>
      </c>
      <c r="DO56" s="78">
        <v>6.7927999999999997</v>
      </c>
      <c r="DP56">
        <v>29.8</v>
      </c>
    </row>
    <row r="57" spans="2:120" x14ac:dyDescent="0.3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P57" s="80" t="str">
        <f>IFERROR(TP_DATA[[#This Row],[Bottom '[m']]]-TP_DATA[[#This Row],[D, top '[m']]], "")</f>
        <v/>
      </c>
      <c r="AQ57" s="80" t="str">
        <f>IFERROR(-(TP_DATA[[#This Row],[D, bottom '[m']]]-TP_DATA[[#This Row],[D, top '[m']]])/(TP_DATA[[#This Row],[Bottom '[m']]]-TP_DATA[[#This Row],[Top '[m']]]),"")</f>
        <v/>
      </c>
      <c r="AR57" s="80" t="str">
        <f t="shared" si="1"/>
        <v/>
      </c>
      <c r="AS57" s="80" t="str">
        <f>IFERROR((TP_DATA[[#This Row],[D, bottom '[m']]]+TP_DATA[[#This Row],[D, top '[m']]])/(2*TP_DATA[[#This Row],[t '[mm']]]/1000),"")</f>
        <v/>
      </c>
      <c r="AT57" s="80"/>
      <c r="BX57" s="80" t="str">
        <f>IFERROR(TOWER_DATA[[#This Row],[Bottom '[m']]]-TOWER_DATA[[#This Row],[D, top '[m']]], "")</f>
        <v/>
      </c>
      <c r="BY57" s="80" t="str">
        <f>IFERROR(-(TOWER_DATA[[#This Row],[D, bottom '[m']]]-TOWER_DATA[[#This Row],[D, top '[m']]])/(TOWER_DATA[[#This Row],[Bottom '[m']]]-TOWER_DATA[[#This Row],[Top '[m']]]),"")</f>
        <v/>
      </c>
      <c r="BZ57" s="80" t="str">
        <f t="shared" si="2"/>
        <v/>
      </c>
      <c r="CA57" s="80" t="str">
        <f>IFERROR((TOWER_DATA[[#This Row],[D, bottom '[m']]]+TOWER_DATA[[#This Row],[D, top '[m']]])/(2*TOWER_DATA[[#This Row],[t '[mm']]]/1000),"")</f>
        <v/>
      </c>
      <c r="CB57" s="80"/>
      <c r="CG57" s="78"/>
      <c r="CH57" s="78"/>
      <c r="CI57" s="78"/>
      <c r="CK57" s="78"/>
      <c r="DF57" s="80"/>
      <c r="DG57" s="80"/>
      <c r="DH57" s="80"/>
      <c r="DI57" s="80"/>
      <c r="DK57" s="78">
        <v>33</v>
      </c>
      <c r="DL57" s="78">
        <v>83.49</v>
      </c>
      <c r="DM57" s="78">
        <v>80.72699999999999</v>
      </c>
      <c r="DN57">
        <v>6.7927999999999997</v>
      </c>
      <c r="DO57" s="78">
        <v>6.8464</v>
      </c>
      <c r="DP57">
        <v>30.4</v>
      </c>
    </row>
    <row r="58" spans="2:120" x14ac:dyDescent="0.3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P58" s="80" t="str">
        <f>IFERROR(TP_DATA[[#This Row],[Bottom '[m']]]-TP_DATA[[#This Row],[D, top '[m']]], "")</f>
        <v/>
      </c>
      <c r="AQ58" s="80" t="str">
        <f>IFERROR(-(TP_DATA[[#This Row],[D, bottom '[m']]]-TP_DATA[[#This Row],[D, top '[m']]])/(TP_DATA[[#This Row],[Bottom '[m']]]-TP_DATA[[#This Row],[Top '[m']]]),"")</f>
        <v/>
      </c>
      <c r="AR58" s="80" t="str">
        <f t="shared" si="1"/>
        <v/>
      </c>
      <c r="AS58" s="80" t="str">
        <f>IFERROR((TP_DATA[[#This Row],[D, bottom '[m']]]+TP_DATA[[#This Row],[D, top '[m']]])/(2*TP_DATA[[#This Row],[t '[mm']]]/1000),"")</f>
        <v/>
      </c>
      <c r="AT58" s="80"/>
      <c r="BX58" s="80" t="str">
        <f>IFERROR(TOWER_DATA[[#This Row],[Bottom '[m']]]-TOWER_DATA[[#This Row],[D, top '[m']]], "")</f>
        <v/>
      </c>
      <c r="BY58" s="80" t="str">
        <f>IFERROR(-(TOWER_DATA[[#This Row],[D, bottom '[m']]]-TOWER_DATA[[#This Row],[D, top '[m']]])/(TOWER_DATA[[#This Row],[Bottom '[m']]]-TOWER_DATA[[#This Row],[Top '[m']]]),"")</f>
        <v/>
      </c>
      <c r="BZ58" s="80" t="str">
        <f t="shared" si="2"/>
        <v/>
      </c>
      <c r="CA58" s="80" t="str">
        <f>IFERROR((TOWER_DATA[[#This Row],[D, bottom '[m']]]+TOWER_DATA[[#This Row],[D, top '[m']]])/(2*TOWER_DATA[[#This Row],[t '[mm']]]/1000),"")</f>
        <v/>
      </c>
      <c r="CB58" s="80"/>
      <c r="CG58" s="78"/>
      <c r="CH58" s="78"/>
      <c r="CI58" s="78"/>
      <c r="CK58" s="78"/>
      <c r="DF58" s="80"/>
      <c r="DG58" s="80"/>
      <c r="DH58" s="80"/>
      <c r="DI58" s="80"/>
      <c r="DK58" s="78">
        <v>34</v>
      </c>
      <c r="DL58" s="78">
        <v>80.72699999999999</v>
      </c>
      <c r="DM58" s="78">
        <v>77.965000000000003</v>
      </c>
      <c r="DN58">
        <v>6.8464</v>
      </c>
      <c r="DO58" s="78">
        <v>6.9020000000000001</v>
      </c>
      <c r="DP58">
        <v>32</v>
      </c>
    </row>
    <row r="59" spans="2:120" x14ac:dyDescent="0.3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P59" s="80" t="str">
        <f>IFERROR(TP_DATA[[#This Row],[Bottom '[m']]]-TP_DATA[[#This Row],[D, top '[m']]], "")</f>
        <v/>
      </c>
      <c r="AQ59" s="80" t="str">
        <f>IFERROR(-(TP_DATA[[#This Row],[D, bottom '[m']]]-TP_DATA[[#This Row],[D, top '[m']]])/(TP_DATA[[#This Row],[Bottom '[m']]]-TP_DATA[[#This Row],[Top '[m']]]),"")</f>
        <v/>
      </c>
      <c r="AR59" s="80" t="str">
        <f t="shared" si="1"/>
        <v/>
      </c>
      <c r="AS59" s="80" t="str">
        <f>IFERROR((TP_DATA[[#This Row],[D, bottom '[m']]]+TP_DATA[[#This Row],[D, top '[m']]])/(2*TP_DATA[[#This Row],[t '[mm']]]/1000),"")</f>
        <v/>
      </c>
      <c r="AT59" s="80"/>
      <c r="BX59" s="80" t="str">
        <f>IFERROR(TOWER_DATA[[#This Row],[Bottom '[m']]]-TOWER_DATA[[#This Row],[D, top '[m']]], "")</f>
        <v/>
      </c>
      <c r="BY59" s="80" t="str">
        <f>IFERROR(-(TOWER_DATA[[#This Row],[D, bottom '[m']]]-TOWER_DATA[[#This Row],[D, top '[m']]])/(TOWER_DATA[[#This Row],[Bottom '[m']]]-TOWER_DATA[[#This Row],[Top '[m']]]),"")</f>
        <v/>
      </c>
      <c r="BZ59" s="80" t="str">
        <f t="shared" si="2"/>
        <v/>
      </c>
      <c r="CA59" s="80" t="str">
        <f>IFERROR((TOWER_DATA[[#This Row],[D, bottom '[m']]]+TOWER_DATA[[#This Row],[D, top '[m']]])/(2*TOWER_DATA[[#This Row],[t '[mm']]]/1000),"")</f>
        <v/>
      </c>
      <c r="CB59" s="80"/>
      <c r="CG59" s="78"/>
      <c r="CH59" s="78"/>
      <c r="CI59" s="78"/>
      <c r="CK59" s="78"/>
      <c r="DF59" s="80"/>
      <c r="DG59" s="80"/>
      <c r="DH59" s="80"/>
      <c r="DI59" s="80"/>
      <c r="DK59" s="78">
        <v>35</v>
      </c>
      <c r="DL59" s="78">
        <v>77.965000000000003</v>
      </c>
      <c r="DM59" s="78">
        <v>77.92</v>
      </c>
      <c r="DN59">
        <v>6.9020000000000001</v>
      </c>
      <c r="DO59" s="78">
        <v>6.9020000000000001</v>
      </c>
      <c r="DP59">
        <v>32</v>
      </c>
    </row>
    <row r="60" spans="2:120" x14ac:dyDescent="0.3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P60" s="80" t="str">
        <f>IFERROR(TP_DATA[[#This Row],[Bottom '[m']]]-TP_DATA[[#This Row],[D, top '[m']]], "")</f>
        <v/>
      </c>
      <c r="AQ60" s="80" t="str">
        <f>IFERROR(-(TP_DATA[[#This Row],[D, bottom '[m']]]-TP_DATA[[#This Row],[D, top '[m']]])/(TP_DATA[[#This Row],[Bottom '[m']]]-TP_DATA[[#This Row],[Top '[m']]]),"")</f>
        <v/>
      </c>
      <c r="AR60" s="80" t="str">
        <f t="shared" si="1"/>
        <v/>
      </c>
      <c r="AS60" s="80" t="str">
        <f>IFERROR((TP_DATA[[#This Row],[D, bottom '[m']]]+TP_DATA[[#This Row],[D, top '[m']]])/(2*TP_DATA[[#This Row],[t '[mm']]]/1000),"")</f>
        <v/>
      </c>
      <c r="AT60" s="80"/>
      <c r="BX60" s="80" t="str">
        <f>IFERROR(TOWER_DATA[[#This Row],[Bottom '[m']]]-TOWER_DATA[[#This Row],[D, top '[m']]], "")</f>
        <v/>
      </c>
      <c r="BY60" s="80" t="str">
        <f>IFERROR(-(TOWER_DATA[[#This Row],[D, bottom '[m']]]-TOWER_DATA[[#This Row],[D, top '[m']]])/(TOWER_DATA[[#This Row],[Bottom '[m']]]-TOWER_DATA[[#This Row],[Top '[m']]]),"")</f>
        <v/>
      </c>
      <c r="BZ60" s="80" t="str">
        <f t="shared" si="2"/>
        <v/>
      </c>
      <c r="CA60" s="80" t="str">
        <f>IFERROR((TOWER_DATA[[#This Row],[D, bottom '[m']]]+TOWER_DATA[[#This Row],[D, top '[m']]])/(2*TOWER_DATA[[#This Row],[t '[mm']]]/1000),"")</f>
        <v/>
      </c>
      <c r="CB60" s="80"/>
      <c r="CG60" s="78"/>
      <c r="CH60" s="78"/>
      <c r="CI60" s="78"/>
      <c r="CK60" s="78"/>
      <c r="DF60" s="80"/>
      <c r="DG60" s="80"/>
      <c r="DH60" s="80"/>
      <c r="DI60" s="80"/>
      <c r="DK60" s="78">
        <v>36</v>
      </c>
      <c r="DL60" s="78">
        <v>77.92</v>
      </c>
      <c r="DM60" s="78">
        <v>77.789999999999992</v>
      </c>
      <c r="DN60">
        <v>6.9020000000000001</v>
      </c>
      <c r="DO60" s="78">
        <v>6.9020000000000001</v>
      </c>
      <c r="DP60">
        <v>32</v>
      </c>
    </row>
    <row r="61" spans="2:120" x14ac:dyDescent="0.3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P61" s="80" t="str">
        <f>IFERROR(TP_DATA[[#This Row],[Bottom '[m']]]-TP_DATA[[#This Row],[D, top '[m']]], "")</f>
        <v/>
      </c>
      <c r="AQ61" s="80" t="str">
        <f>IFERROR(-(TP_DATA[[#This Row],[D, bottom '[m']]]-TP_DATA[[#This Row],[D, top '[m']]])/(TP_DATA[[#This Row],[Bottom '[m']]]-TP_DATA[[#This Row],[Top '[m']]]),"")</f>
        <v/>
      </c>
      <c r="AR61" s="80" t="str">
        <f t="shared" si="1"/>
        <v/>
      </c>
      <c r="AS61" s="80" t="str">
        <f>IFERROR((TP_DATA[[#This Row],[D, bottom '[m']]]+TP_DATA[[#This Row],[D, top '[m']]])/(2*TP_DATA[[#This Row],[t '[mm']]]/1000),"")</f>
        <v/>
      </c>
      <c r="AT61" s="80"/>
      <c r="BX61" s="80" t="str">
        <f>IFERROR(TOWER_DATA[[#This Row],[Bottom '[m']]]-TOWER_DATA[[#This Row],[D, top '[m']]], "")</f>
        <v/>
      </c>
      <c r="BY61" s="80" t="str">
        <f>IFERROR(-(TOWER_DATA[[#This Row],[D, bottom '[m']]]-TOWER_DATA[[#This Row],[D, top '[m']]])/(TOWER_DATA[[#This Row],[Bottom '[m']]]-TOWER_DATA[[#This Row],[Top '[m']]]),"")</f>
        <v/>
      </c>
      <c r="BZ61" s="80" t="str">
        <f t="shared" si="2"/>
        <v/>
      </c>
      <c r="CA61" s="80" t="str">
        <f>IFERROR((TOWER_DATA[[#This Row],[D, bottom '[m']]]+TOWER_DATA[[#This Row],[D, top '[m']]])/(2*TOWER_DATA[[#This Row],[t '[mm']]]/1000),"")</f>
        <v/>
      </c>
      <c r="CB61" s="80"/>
      <c r="CG61" s="78"/>
      <c r="CH61" s="78"/>
      <c r="CI61" s="78"/>
      <c r="CK61" s="78"/>
      <c r="DF61" s="80"/>
      <c r="DG61" s="80"/>
      <c r="DH61" s="80"/>
      <c r="DI61" s="80"/>
      <c r="DK61" s="78">
        <v>37</v>
      </c>
      <c r="DL61" s="78">
        <v>77.789999999999992</v>
      </c>
      <c r="DM61" s="78">
        <v>77.661000000000001</v>
      </c>
      <c r="DN61">
        <v>6.9020000000000001</v>
      </c>
      <c r="DO61" s="78">
        <v>6.9020000000000001</v>
      </c>
      <c r="DP61">
        <v>32</v>
      </c>
    </row>
    <row r="62" spans="2:120" x14ac:dyDescent="0.3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P62" s="80" t="str">
        <f>IFERROR(TP_DATA[[#This Row],[Bottom '[m']]]-TP_DATA[[#This Row],[D, top '[m']]], "")</f>
        <v/>
      </c>
      <c r="AQ62" s="80" t="str">
        <f>IFERROR(-(TP_DATA[[#This Row],[D, bottom '[m']]]-TP_DATA[[#This Row],[D, top '[m']]])/(TP_DATA[[#This Row],[Bottom '[m']]]-TP_DATA[[#This Row],[Top '[m']]]),"")</f>
        <v/>
      </c>
      <c r="AR62" s="80" t="str">
        <f t="shared" si="1"/>
        <v/>
      </c>
      <c r="AS62" s="80" t="str">
        <f>IFERROR((TP_DATA[[#This Row],[D, bottom '[m']]]+TP_DATA[[#This Row],[D, top '[m']]])/(2*TP_DATA[[#This Row],[t '[mm']]]/1000),"")</f>
        <v/>
      </c>
      <c r="AT62" s="80"/>
      <c r="BX62" s="80" t="str">
        <f>IFERROR(TOWER_DATA[[#This Row],[Bottom '[m']]]-TOWER_DATA[[#This Row],[D, top '[m']]], "")</f>
        <v/>
      </c>
      <c r="BY62" s="80" t="str">
        <f>IFERROR(-(TOWER_DATA[[#This Row],[D, bottom '[m']]]-TOWER_DATA[[#This Row],[D, top '[m']]])/(TOWER_DATA[[#This Row],[Bottom '[m']]]-TOWER_DATA[[#This Row],[Top '[m']]]),"")</f>
        <v/>
      </c>
      <c r="BZ62" s="80" t="str">
        <f t="shared" si="2"/>
        <v/>
      </c>
      <c r="CA62" s="80" t="str">
        <f>IFERROR((TOWER_DATA[[#This Row],[D, bottom '[m']]]+TOWER_DATA[[#This Row],[D, top '[m']]])/(2*TOWER_DATA[[#This Row],[t '[mm']]]/1000),"")</f>
        <v/>
      </c>
      <c r="CB62" s="80"/>
      <c r="CG62" s="78"/>
      <c r="CH62" s="78"/>
      <c r="CI62" s="78"/>
      <c r="CK62" s="78"/>
      <c r="DF62" s="80"/>
      <c r="DG62" s="80"/>
      <c r="DH62" s="80"/>
      <c r="DI62" s="80"/>
      <c r="DK62" s="78">
        <v>38</v>
      </c>
      <c r="DL62" s="78">
        <v>77.661000000000001</v>
      </c>
      <c r="DM62" s="78">
        <v>77.616</v>
      </c>
      <c r="DN62">
        <v>6.9020000000000001</v>
      </c>
      <c r="DO62" s="78">
        <v>6.9020000000000001</v>
      </c>
      <c r="DP62">
        <v>32</v>
      </c>
    </row>
    <row r="63" spans="2:120" x14ac:dyDescent="0.3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P63" s="80" t="str">
        <f>IFERROR(TP_DATA[[#This Row],[Bottom '[m']]]-TP_DATA[[#This Row],[D, top '[m']]], "")</f>
        <v/>
      </c>
      <c r="AQ63" s="80" t="str">
        <f>IFERROR(-(TP_DATA[[#This Row],[D, bottom '[m']]]-TP_DATA[[#This Row],[D, top '[m']]])/(TP_DATA[[#This Row],[Bottom '[m']]]-TP_DATA[[#This Row],[Top '[m']]]),"")</f>
        <v/>
      </c>
      <c r="AR63" s="80" t="str">
        <f t="shared" si="1"/>
        <v/>
      </c>
      <c r="AS63" s="80" t="str">
        <f>IFERROR((TP_DATA[[#This Row],[D, bottom '[m']]]+TP_DATA[[#This Row],[D, top '[m']]])/(2*TP_DATA[[#This Row],[t '[mm']]]/1000),"")</f>
        <v/>
      </c>
      <c r="AT63" s="80"/>
      <c r="BX63" s="80" t="str">
        <f>IFERROR(TOWER_DATA[[#This Row],[Bottom '[m']]]-TOWER_DATA[[#This Row],[D, top '[m']]], "")</f>
        <v/>
      </c>
      <c r="BY63" s="80" t="str">
        <f>IFERROR(-(TOWER_DATA[[#This Row],[D, bottom '[m']]]-TOWER_DATA[[#This Row],[D, top '[m']]])/(TOWER_DATA[[#This Row],[Bottom '[m']]]-TOWER_DATA[[#This Row],[Top '[m']]]),"")</f>
        <v/>
      </c>
      <c r="BZ63" s="80" t="str">
        <f t="shared" si="2"/>
        <v/>
      </c>
      <c r="CA63" s="80" t="str">
        <f>IFERROR((TOWER_DATA[[#This Row],[D, bottom '[m']]]+TOWER_DATA[[#This Row],[D, top '[m']]])/(2*TOWER_DATA[[#This Row],[t '[mm']]]/1000),"")</f>
        <v/>
      </c>
      <c r="CB63" s="80"/>
      <c r="CG63" s="78"/>
      <c r="CH63" s="78"/>
      <c r="CI63" s="78"/>
      <c r="CK63" s="78"/>
      <c r="DF63" s="80"/>
      <c r="DG63" s="80"/>
      <c r="DH63" s="80"/>
      <c r="DI63" s="80"/>
      <c r="DK63" s="78">
        <v>39</v>
      </c>
      <c r="DL63" s="78">
        <v>77.616</v>
      </c>
      <c r="DM63" s="78">
        <v>76.492999999999995</v>
      </c>
      <c r="DN63">
        <v>6.9020000000000001</v>
      </c>
      <c r="DO63" s="78">
        <v>6.9241000000000001</v>
      </c>
      <c r="DP63">
        <v>32</v>
      </c>
    </row>
    <row r="64" spans="2:120" x14ac:dyDescent="0.3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P64" s="80" t="str">
        <f>IFERROR(TP_DATA[[#This Row],[Bottom '[m']]]-TP_DATA[[#This Row],[D, top '[m']]], "")</f>
        <v/>
      </c>
      <c r="AQ64" s="80" t="str">
        <f>IFERROR(-(TP_DATA[[#This Row],[D, bottom '[m']]]-TP_DATA[[#This Row],[D, top '[m']]])/(TP_DATA[[#This Row],[Bottom '[m']]]-TP_DATA[[#This Row],[Top '[m']]]),"")</f>
        <v/>
      </c>
      <c r="AR64" s="80" t="str">
        <f t="shared" si="1"/>
        <v/>
      </c>
      <c r="AS64" s="80" t="str">
        <f>IFERROR((TP_DATA[[#This Row],[D, bottom '[m']]]+TP_DATA[[#This Row],[D, top '[m']]])/(2*TP_DATA[[#This Row],[t '[mm']]]/1000),"")</f>
        <v/>
      </c>
      <c r="AT64" s="80"/>
      <c r="BX64" s="80" t="str">
        <f>IFERROR(TOWER_DATA[[#This Row],[Bottom '[m']]]-TOWER_DATA[[#This Row],[D, top '[m']]], "")</f>
        <v/>
      </c>
      <c r="BY64" s="80" t="str">
        <f>IFERROR(-(TOWER_DATA[[#This Row],[D, bottom '[m']]]-TOWER_DATA[[#This Row],[D, top '[m']]])/(TOWER_DATA[[#This Row],[Bottom '[m']]]-TOWER_DATA[[#This Row],[Top '[m']]]),"")</f>
        <v/>
      </c>
      <c r="BZ64" s="80" t="str">
        <f t="shared" si="2"/>
        <v/>
      </c>
      <c r="CA64" s="80" t="str">
        <f>IFERROR((TOWER_DATA[[#This Row],[D, bottom '[m']]]+TOWER_DATA[[#This Row],[D, top '[m']]])/(2*TOWER_DATA[[#This Row],[t '[mm']]]/1000),"")</f>
        <v/>
      </c>
      <c r="CB64" s="80"/>
      <c r="CG64" s="78"/>
      <c r="CH64" s="78"/>
      <c r="CI64" s="78"/>
      <c r="CK64" s="78"/>
      <c r="DF64" s="80"/>
      <c r="DG64" s="80"/>
      <c r="DH64" s="80"/>
      <c r="DI64" s="80"/>
      <c r="DK64" s="78">
        <v>40</v>
      </c>
      <c r="DL64" s="78">
        <v>76.492999999999995</v>
      </c>
      <c r="DM64" s="78">
        <v>75.292999999999992</v>
      </c>
      <c r="DN64">
        <v>6.9241000000000001</v>
      </c>
      <c r="DO64" s="78">
        <v>6.9477000000000002</v>
      </c>
      <c r="DP64">
        <v>31.7</v>
      </c>
    </row>
    <row r="65" spans="8:120" x14ac:dyDescent="0.3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P65" s="80" t="str">
        <f>IFERROR(TP_DATA[[#This Row],[Bottom '[m']]]-TP_DATA[[#This Row],[D, top '[m']]], "")</f>
        <v/>
      </c>
      <c r="AQ65" s="80" t="str">
        <f>IFERROR(-(TP_DATA[[#This Row],[D, bottom '[m']]]-TP_DATA[[#This Row],[D, top '[m']]])/(TP_DATA[[#This Row],[Bottom '[m']]]-TP_DATA[[#This Row],[Top '[m']]]),"")</f>
        <v/>
      </c>
      <c r="AR65" s="80" t="str">
        <f t="shared" si="1"/>
        <v/>
      </c>
      <c r="AS65" s="80" t="str">
        <f>IFERROR((TP_DATA[[#This Row],[D, bottom '[m']]]+TP_DATA[[#This Row],[D, top '[m']]])/(2*TP_DATA[[#This Row],[t '[mm']]]/1000),"")</f>
        <v/>
      </c>
      <c r="AT65" s="80"/>
      <c r="BX65" s="80" t="str">
        <f>IFERROR(TOWER_DATA[[#This Row],[Bottom '[m']]]-TOWER_DATA[[#This Row],[D, top '[m']]], "")</f>
        <v/>
      </c>
      <c r="BY65" s="80" t="str">
        <f>IFERROR(-(TOWER_DATA[[#This Row],[D, bottom '[m']]]-TOWER_DATA[[#This Row],[D, top '[m']]])/(TOWER_DATA[[#This Row],[Bottom '[m']]]-TOWER_DATA[[#This Row],[Top '[m']]]),"")</f>
        <v/>
      </c>
      <c r="BZ65" s="80" t="str">
        <f t="shared" si="2"/>
        <v/>
      </c>
      <c r="CA65" s="80" t="str">
        <f>IFERROR((TOWER_DATA[[#This Row],[D, bottom '[m']]]+TOWER_DATA[[#This Row],[D, top '[m']]])/(2*TOWER_DATA[[#This Row],[t '[mm']]]/1000),"")</f>
        <v/>
      </c>
      <c r="CB65" s="80"/>
      <c r="CG65" s="78"/>
      <c r="CH65" s="78"/>
      <c r="CI65" s="78"/>
      <c r="CK65" s="78"/>
      <c r="DF65" s="80"/>
      <c r="DG65" s="80"/>
      <c r="DH65" s="80"/>
      <c r="DI65" s="80"/>
      <c r="DK65" s="78">
        <v>41</v>
      </c>
      <c r="DL65" s="78">
        <v>75.292999999999992</v>
      </c>
      <c r="DM65" s="78">
        <v>72.531999999999996</v>
      </c>
      <c r="DN65">
        <v>6.9477000000000002</v>
      </c>
      <c r="DO65" s="78">
        <v>7.0012999999999996</v>
      </c>
      <c r="DP65">
        <v>32.300000000000004</v>
      </c>
    </row>
    <row r="66" spans="8:120" x14ac:dyDescent="0.3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P66" s="80" t="str">
        <f>IFERROR(TP_DATA[[#This Row],[Bottom '[m']]]-TP_DATA[[#This Row],[D, top '[m']]], "")</f>
        <v/>
      </c>
      <c r="AQ66" s="80" t="str">
        <f>IFERROR(-(TP_DATA[[#This Row],[D, bottom '[m']]]-TP_DATA[[#This Row],[D, top '[m']]])/(TP_DATA[[#This Row],[Bottom '[m']]]-TP_DATA[[#This Row],[Top '[m']]]),"")</f>
        <v/>
      </c>
      <c r="AR66" s="80" t="str">
        <f t="shared" si="1"/>
        <v/>
      </c>
      <c r="AS66" s="80" t="str">
        <f>IFERROR((TP_DATA[[#This Row],[D, bottom '[m']]]+TP_DATA[[#This Row],[D, top '[m']]])/(2*TP_DATA[[#This Row],[t '[mm']]]/1000),"")</f>
        <v/>
      </c>
      <c r="AT66" s="80" t="str">
        <f>IFERROR((TP_DATA[[#This Row],[D, bottom '[m']]]+#REF!)/(2*#REF!/1000),"")</f>
        <v/>
      </c>
      <c r="BX66" s="80" t="str">
        <f>IFERROR(TOWER_DATA[[#This Row],[Bottom '[m']]]-TOWER_DATA[[#This Row],[D, top '[m']]], "")</f>
        <v/>
      </c>
      <c r="BY66" s="80" t="str">
        <f>IFERROR(-(TOWER_DATA[[#This Row],[D, bottom '[m']]]-TOWER_DATA[[#This Row],[D, top '[m']]])/(TOWER_DATA[[#This Row],[Bottom '[m']]]-TOWER_DATA[[#This Row],[Top '[m']]]),"")</f>
        <v/>
      </c>
      <c r="BZ66" s="80" t="str">
        <f t="shared" si="2"/>
        <v/>
      </c>
      <c r="CA66" s="80" t="str">
        <f>IFERROR((TOWER_DATA[[#This Row],[D, bottom '[m']]]+TOWER_DATA[[#This Row],[D, top '[m']]])/(2*TOWER_DATA[[#This Row],[t '[mm']]]/1000),"")</f>
        <v/>
      </c>
      <c r="CB66" s="80" t="str">
        <f>IFERROR((TOWER_DATA[[#This Row],[D, bottom '[m']]]+#REF!)/(2*#REF!/1000),"")</f>
        <v/>
      </c>
      <c r="CG66" s="78"/>
      <c r="CH66" s="78"/>
      <c r="CI66" s="78"/>
      <c r="CK66" s="78"/>
      <c r="DF66" s="80"/>
      <c r="DG66" s="80"/>
      <c r="DH66" s="80"/>
      <c r="DI66" s="80"/>
      <c r="DK66" s="78">
        <v>42</v>
      </c>
      <c r="DL66" s="78">
        <v>72.531999999999996</v>
      </c>
      <c r="DM66" s="78">
        <v>69.774000000000001</v>
      </c>
      <c r="DN66">
        <v>7.0012999999999996</v>
      </c>
      <c r="DO66" s="78">
        <v>7.0548000000000002</v>
      </c>
      <c r="DP66">
        <v>32.800000000000004</v>
      </c>
    </row>
    <row r="67" spans="8:120" x14ac:dyDescent="0.3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P67" s="80" t="str">
        <f>IFERROR(TP_DATA[[#This Row],[Bottom '[m']]]-TP_DATA[[#This Row],[D, top '[m']]], "")</f>
        <v/>
      </c>
      <c r="AQ67" s="80" t="str">
        <f>IFERROR(-(TP_DATA[[#This Row],[D, bottom '[m']]]-TP_DATA[[#This Row],[D, top '[m']]])/(TP_DATA[[#This Row],[Bottom '[m']]]-TP_DATA[[#This Row],[Top '[m']]]),"")</f>
        <v/>
      </c>
      <c r="AR67" s="80" t="str">
        <f t="shared" si="1"/>
        <v/>
      </c>
      <c r="AS67" s="80" t="str">
        <f>IFERROR((TP_DATA[[#This Row],[D, bottom '[m']]]+TP_DATA[[#This Row],[D, top '[m']]])/(2*TP_DATA[[#This Row],[t '[mm']]]/1000),"")</f>
        <v/>
      </c>
      <c r="AT67" s="80" t="str">
        <f>IFERROR((TP_DATA[[#This Row],[D, bottom '[m']]]+#REF!)/(2*#REF!/1000),"")</f>
        <v/>
      </c>
      <c r="BX67" s="80" t="str">
        <f>IFERROR(TOWER_DATA[[#This Row],[Bottom '[m']]]-TOWER_DATA[[#This Row],[D, top '[m']]], "")</f>
        <v/>
      </c>
      <c r="BY67" s="80" t="str">
        <f>IFERROR(-(TOWER_DATA[[#This Row],[D, bottom '[m']]]-TOWER_DATA[[#This Row],[D, top '[m']]])/(TOWER_DATA[[#This Row],[Bottom '[m']]]-TOWER_DATA[[#This Row],[Top '[m']]]),"")</f>
        <v/>
      </c>
      <c r="BZ67" s="80" t="str">
        <f t="shared" si="2"/>
        <v/>
      </c>
      <c r="CA67" s="80" t="str">
        <f>IFERROR((TOWER_DATA[[#This Row],[D, bottom '[m']]]+TOWER_DATA[[#This Row],[D, top '[m']]])/(2*TOWER_DATA[[#This Row],[t '[mm']]]/1000),"")</f>
        <v/>
      </c>
      <c r="CB67" s="80" t="str">
        <f>IFERROR((TOWER_DATA[[#This Row],[D, bottom '[m']]]+#REF!)/(2*#REF!/1000),"")</f>
        <v/>
      </c>
      <c r="CG67" s="78"/>
      <c r="CH67" s="78"/>
      <c r="CI67" s="78"/>
      <c r="CK67" s="78"/>
      <c r="DF67" s="80"/>
      <c r="DG67" s="80"/>
      <c r="DH67" s="80"/>
      <c r="DI67" s="80"/>
      <c r="DK67" s="78">
        <v>43</v>
      </c>
      <c r="DL67" s="78">
        <v>69.774000000000001</v>
      </c>
      <c r="DM67" s="78">
        <v>67.015999999999991</v>
      </c>
      <c r="DN67">
        <v>7.0548000000000002</v>
      </c>
      <c r="DO67" s="78">
        <v>7.1083999999999996</v>
      </c>
      <c r="DP67">
        <v>33.4</v>
      </c>
    </row>
    <row r="68" spans="8:120" x14ac:dyDescent="0.3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P68" s="80" t="str">
        <f>IFERROR(TP_DATA[[#This Row],[Bottom '[m']]]-TP_DATA[[#This Row],[D, top '[m']]], "")</f>
        <v/>
      </c>
      <c r="AQ68" s="80" t="str">
        <f>IFERROR(-(TP_DATA[[#This Row],[D, bottom '[m']]]-TP_DATA[[#This Row],[D, top '[m']]])/(TP_DATA[[#This Row],[Bottom '[m']]]-TP_DATA[[#This Row],[Top '[m']]]),"")</f>
        <v/>
      </c>
      <c r="AR68" s="80" t="str">
        <f t="shared" si="1"/>
        <v/>
      </c>
      <c r="AS68" s="80" t="str">
        <f>IFERROR((TP_DATA[[#This Row],[D, bottom '[m']]]+TP_DATA[[#This Row],[D, top '[m']]])/(2*TP_DATA[[#This Row],[t '[mm']]]/1000),"")</f>
        <v/>
      </c>
      <c r="AT68" s="80" t="str">
        <f>IFERROR((TP_DATA[[#This Row],[D, bottom '[m']]]+#REF!)/(2*#REF!/1000),"")</f>
        <v/>
      </c>
      <c r="BX68" s="80" t="str">
        <f>IFERROR(TOWER_DATA[[#This Row],[Bottom '[m']]]-TOWER_DATA[[#This Row],[D, top '[m']]], "")</f>
        <v/>
      </c>
      <c r="BY68" s="80" t="str">
        <f>IFERROR(-(TOWER_DATA[[#This Row],[D, bottom '[m']]]-TOWER_DATA[[#This Row],[D, top '[m']]])/(TOWER_DATA[[#This Row],[Bottom '[m']]]-TOWER_DATA[[#This Row],[Top '[m']]]),"")</f>
        <v/>
      </c>
      <c r="BZ68" s="80" t="str">
        <f t="shared" si="2"/>
        <v/>
      </c>
      <c r="CA68" s="80" t="str">
        <f>IFERROR((TOWER_DATA[[#This Row],[D, bottom '[m']]]+TOWER_DATA[[#This Row],[D, top '[m']]])/(2*TOWER_DATA[[#This Row],[t '[mm']]]/1000),"")</f>
        <v/>
      </c>
      <c r="CB68" s="80" t="str">
        <f>IFERROR((TOWER_DATA[[#This Row],[D, bottom '[m']]]+#REF!)/(2*#REF!/1000),"")</f>
        <v/>
      </c>
      <c r="CG68" s="78"/>
      <c r="CH68" s="78"/>
      <c r="CI68" s="78"/>
      <c r="CK68" s="78"/>
      <c r="DF68" s="80"/>
      <c r="DG68" s="80"/>
      <c r="DH68" s="80"/>
      <c r="DI68" s="80"/>
      <c r="DK68" s="78">
        <v>44</v>
      </c>
      <c r="DL68" s="78">
        <v>67.015999999999991</v>
      </c>
      <c r="DM68" s="78">
        <v>64.259</v>
      </c>
      <c r="DN68">
        <v>7.1083999999999996</v>
      </c>
      <c r="DO68" s="78">
        <v>7.1619000000000002</v>
      </c>
      <c r="DP68">
        <v>33.9</v>
      </c>
    </row>
    <row r="69" spans="8:120" x14ac:dyDescent="0.3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P69" s="80" t="str">
        <f>IFERROR(TP_DATA[[#This Row],[Bottom '[m']]]-TP_DATA[[#This Row],[D, top '[m']]], "")</f>
        <v/>
      </c>
      <c r="AQ69" s="80" t="str">
        <f>IFERROR(-(TP_DATA[[#This Row],[D, bottom '[m']]]-TP_DATA[[#This Row],[D, top '[m']]])/(TP_DATA[[#This Row],[Bottom '[m']]]-TP_DATA[[#This Row],[Top '[m']]]),"")</f>
        <v/>
      </c>
      <c r="AR69" s="80" t="str">
        <f t="shared" si="1"/>
        <v/>
      </c>
      <c r="AS69" s="80" t="str">
        <f>IFERROR((TP_DATA[[#This Row],[D, bottom '[m']]]+TP_DATA[[#This Row],[D, top '[m']]])/(2*TP_DATA[[#This Row],[t '[mm']]]/1000),"")</f>
        <v/>
      </c>
      <c r="AT69" s="80" t="str">
        <f>IFERROR((TP_DATA[[#This Row],[D, bottom '[m']]]+#REF!)/(2*#REF!/1000),"")</f>
        <v/>
      </c>
      <c r="BX69" s="80" t="str">
        <f>IFERROR(TOWER_DATA[[#This Row],[Bottom '[m']]]-TOWER_DATA[[#This Row],[D, top '[m']]], "")</f>
        <v/>
      </c>
      <c r="BY69" s="80" t="str">
        <f>IFERROR(-(TOWER_DATA[[#This Row],[D, bottom '[m']]]-TOWER_DATA[[#This Row],[D, top '[m']]])/(TOWER_DATA[[#This Row],[Bottom '[m']]]-TOWER_DATA[[#This Row],[Top '[m']]]),"")</f>
        <v/>
      </c>
      <c r="BZ69" s="80" t="str">
        <f t="shared" si="2"/>
        <v/>
      </c>
      <c r="CA69" s="80" t="str">
        <f>IFERROR((TOWER_DATA[[#This Row],[D, bottom '[m']]]+TOWER_DATA[[#This Row],[D, top '[m']]])/(2*TOWER_DATA[[#This Row],[t '[mm']]]/1000),"")</f>
        <v/>
      </c>
      <c r="CB69" s="80" t="str">
        <f>IFERROR((TOWER_DATA[[#This Row],[D, bottom '[m']]]+#REF!)/(2*#REF!/1000),"")</f>
        <v/>
      </c>
      <c r="CG69" s="78"/>
      <c r="CH69" s="78"/>
      <c r="CI69" s="78"/>
      <c r="CK69" s="78"/>
      <c r="DF69" s="80"/>
      <c r="DG69" s="80"/>
      <c r="DH69" s="80"/>
      <c r="DI69" s="80"/>
      <c r="DK69" s="78">
        <v>45</v>
      </c>
      <c r="DL69" s="78">
        <v>64.259</v>
      </c>
      <c r="DM69" s="78">
        <v>61.503999999999991</v>
      </c>
      <c r="DN69">
        <v>7.1619000000000002</v>
      </c>
      <c r="DO69" s="78">
        <v>7.2164000000000001</v>
      </c>
      <c r="DP69">
        <v>34.4</v>
      </c>
    </row>
    <row r="70" spans="8:120" x14ac:dyDescent="0.3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P70" s="80" t="str">
        <f>IFERROR(TP_DATA[[#This Row],[Bottom '[m']]]-TP_DATA[[#This Row],[D, top '[m']]], "")</f>
        <v/>
      </c>
      <c r="AQ70" s="80" t="str">
        <f>IFERROR(-(TP_DATA[[#This Row],[D, bottom '[m']]]-TP_DATA[[#This Row],[D, top '[m']]])/(TP_DATA[[#This Row],[Bottom '[m']]]-TP_DATA[[#This Row],[Top '[m']]]),"")</f>
        <v/>
      </c>
      <c r="AR70" s="80" t="str">
        <f t="shared" si="1"/>
        <v/>
      </c>
      <c r="AS70" s="80" t="str">
        <f>IFERROR((TP_DATA[[#This Row],[D, bottom '[m']]]+TP_DATA[[#This Row],[D, top '[m']]])/(2*TP_DATA[[#This Row],[t '[mm']]]/1000),"")</f>
        <v/>
      </c>
      <c r="AT70" s="80" t="str">
        <f>IFERROR((TP_DATA[[#This Row],[D, bottom '[m']]]+#REF!)/(2*#REF!/1000),"")</f>
        <v/>
      </c>
      <c r="BX70" s="80" t="str">
        <f>IFERROR(TOWER_DATA[[#This Row],[Bottom '[m']]]-TOWER_DATA[[#This Row],[D, top '[m']]], "")</f>
        <v/>
      </c>
      <c r="BY70" s="80" t="str">
        <f>IFERROR(-(TOWER_DATA[[#This Row],[D, bottom '[m']]]-TOWER_DATA[[#This Row],[D, top '[m']]])/(TOWER_DATA[[#This Row],[Bottom '[m']]]-TOWER_DATA[[#This Row],[Top '[m']]]),"")</f>
        <v/>
      </c>
      <c r="BZ70" s="80" t="str">
        <f t="shared" si="2"/>
        <v/>
      </c>
      <c r="CA70" s="80" t="str">
        <f>IFERROR((TOWER_DATA[[#This Row],[D, bottom '[m']]]+TOWER_DATA[[#This Row],[D, top '[m']]])/(2*TOWER_DATA[[#This Row],[t '[mm']]]/1000),"")</f>
        <v/>
      </c>
      <c r="CB70" s="80" t="str">
        <f>IFERROR((TOWER_DATA[[#This Row],[D, bottom '[m']]]+#REF!)/(2*#REF!/1000),"")</f>
        <v/>
      </c>
      <c r="CG70" s="78"/>
      <c r="CH70" s="78"/>
      <c r="CI70" s="78"/>
      <c r="CK70" s="78"/>
      <c r="DF70" s="80"/>
      <c r="DG70" s="80"/>
      <c r="DH70" s="80"/>
      <c r="DI70" s="80"/>
      <c r="DK70" s="78">
        <v>46</v>
      </c>
      <c r="DL70" s="78">
        <v>61.503999999999991</v>
      </c>
      <c r="DM70" s="78">
        <v>58.75</v>
      </c>
      <c r="DN70">
        <v>7.2164000000000001</v>
      </c>
      <c r="DO70" s="78">
        <v>7.2698999999999998</v>
      </c>
      <c r="DP70">
        <v>34.9</v>
      </c>
    </row>
    <row r="71" spans="8:120" x14ac:dyDescent="0.3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P71" s="80" t="str">
        <f>IFERROR(TP_DATA[[#This Row],[Bottom '[m']]]-TP_DATA[[#This Row],[D, top '[m']]], "")</f>
        <v/>
      </c>
      <c r="AQ71" s="80" t="str">
        <f>IFERROR(-(TP_DATA[[#This Row],[D, bottom '[m']]]-TP_DATA[[#This Row],[D, top '[m']]])/(TP_DATA[[#This Row],[Bottom '[m']]]-TP_DATA[[#This Row],[Top '[m']]]),"")</f>
        <v/>
      </c>
      <c r="AR71" s="80" t="str">
        <f t="shared" si="1"/>
        <v/>
      </c>
      <c r="AS71" s="80" t="str">
        <f>IFERROR((TP_DATA[[#This Row],[D, bottom '[m']]]+TP_DATA[[#This Row],[D, top '[m']]])/(2*TP_DATA[[#This Row],[t '[mm']]]/1000),"")</f>
        <v/>
      </c>
      <c r="AT71" s="80" t="str">
        <f>IFERROR((TP_DATA[[#This Row],[D, bottom '[m']]]+#REF!)/(2*#REF!/1000),"")</f>
        <v/>
      </c>
      <c r="BX71" s="80" t="str">
        <f>IFERROR(TOWER_DATA[[#This Row],[Bottom '[m']]]-TOWER_DATA[[#This Row],[D, top '[m']]], "")</f>
        <v/>
      </c>
      <c r="BY71" s="80" t="str">
        <f>IFERROR(-(TOWER_DATA[[#This Row],[D, bottom '[m']]]-TOWER_DATA[[#This Row],[D, top '[m']]])/(TOWER_DATA[[#This Row],[Bottom '[m']]]-TOWER_DATA[[#This Row],[Top '[m']]]),"")</f>
        <v/>
      </c>
      <c r="BZ71" s="80" t="str">
        <f t="shared" si="2"/>
        <v/>
      </c>
      <c r="CA71" s="80" t="str">
        <f>IFERROR((TOWER_DATA[[#This Row],[D, bottom '[m']]]+TOWER_DATA[[#This Row],[D, top '[m']]])/(2*TOWER_DATA[[#This Row],[t '[mm']]]/1000),"")</f>
        <v/>
      </c>
      <c r="CB71" s="80" t="str">
        <f>IFERROR((TOWER_DATA[[#This Row],[D, bottom '[m']]]+#REF!)/(2*#REF!/1000),"")</f>
        <v/>
      </c>
      <c r="CG71" s="78"/>
      <c r="CH71" s="78"/>
      <c r="CI71" s="78"/>
      <c r="CK71" s="78"/>
      <c r="DF71" s="80"/>
      <c r="DG71" s="80"/>
      <c r="DH71" s="80"/>
      <c r="DI71" s="80"/>
      <c r="DK71" s="78">
        <v>47</v>
      </c>
      <c r="DL71" s="78">
        <v>58.75</v>
      </c>
      <c r="DM71" s="78">
        <v>55.997</v>
      </c>
      <c r="DN71">
        <v>7.2698999999999998</v>
      </c>
      <c r="DO71" s="78">
        <v>7.3234000000000004</v>
      </c>
      <c r="DP71">
        <v>35.4</v>
      </c>
    </row>
    <row r="72" spans="8:120" x14ac:dyDescent="0.3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P72" s="80" t="str">
        <f>IFERROR(TP_DATA[[#This Row],[Bottom '[m']]]-TP_DATA[[#This Row],[D, top '[m']]], "")</f>
        <v/>
      </c>
      <c r="AQ72" s="80" t="str">
        <f>IFERROR(-(TP_DATA[[#This Row],[D, bottom '[m']]]-TP_DATA[[#This Row],[D, top '[m']]])/(TP_DATA[[#This Row],[Bottom '[m']]]-TP_DATA[[#This Row],[Top '[m']]]),"")</f>
        <v/>
      </c>
      <c r="AR72" s="80" t="str">
        <f t="shared" si="1"/>
        <v/>
      </c>
      <c r="AS72" s="80" t="str">
        <f>IFERROR((TP_DATA[[#This Row],[D, bottom '[m']]]+TP_DATA[[#This Row],[D, top '[m']]])/(2*TP_DATA[[#This Row],[t '[mm']]]/1000),"")</f>
        <v/>
      </c>
      <c r="AT72" s="80" t="str">
        <f>IFERROR((TP_DATA[[#This Row],[D, bottom '[m']]]+#REF!)/(2*#REF!/1000),"")</f>
        <v/>
      </c>
      <c r="BX72" s="80" t="str">
        <f>IFERROR(TOWER_DATA[[#This Row],[Bottom '[m']]]-TOWER_DATA[[#This Row],[D, top '[m']]], "")</f>
        <v/>
      </c>
      <c r="BY72" s="80" t="str">
        <f>IFERROR(-(TOWER_DATA[[#This Row],[D, bottom '[m']]]-TOWER_DATA[[#This Row],[D, top '[m']]])/(TOWER_DATA[[#This Row],[Bottom '[m']]]-TOWER_DATA[[#This Row],[Top '[m']]]),"")</f>
        <v/>
      </c>
      <c r="BZ72" s="80" t="str">
        <f t="shared" si="2"/>
        <v/>
      </c>
      <c r="CA72" s="80" t="str">
        <f>IFERROR((TOWER_DATA[[#This Row],[D, bottom '[m']]]+TOWER_DATA[[#This Row],[D, top '[m']]])/(2*TOWER_DATA[[#This Row],[t '[mm']]]/1000),"")</f>
        <v/>
      </c>
      <c r="CB72" s="80" t="str">
        <f>IFERROR((TOWER_DATA[[#This Row],[D, bottom '[m']]]+#REF!)/(2*#REF!/1000),"")</f>
        <v/>
      </c>
      <c r="CG72" s="78"/>
      <c r="CH72" s="78"/>
      <c r="CI72" s="78"/>
      <c r="CK72" s="78"/>
      <c r="DF72" s="80"/>
      <c r="DG72" s="80"/>
      <c r="DH72" s="80"/>
      <c r="DI72" s="80"/>
      <c r="DK72" s="78">
        <v>48</v>
      </c>
      <c r="DL72" s="78">
        <v>55.997</v>
      </c>
      <c r="DM72" s="78">
        <v>53.24499999999999</v>
      </c>
      <c r="DN72">
        <v>7.3234000000000004</v>
      </c>
      <c r="DO72" s="78">
        <v>7.3768000000000002</v>
      </c>
      <c r="DP72">
        <v>35.799999999999997</v>
      </c>
    </row>
    <row r="73" spans="8:120" x14ac:dyDescent="0.3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P73" s="80" t="str">
        <f>IFERROR(TP_DATA[[#This Row],[Bottom '[m']]]-TP_DATA[[#This Row],[D, top '[m']]], "")</f>
        <v/>
      </c>
      <c r="AQ73" s="80" t="str">
        <f>IFERROR(-(TP_DATA[[#This Row],[D, bottom '[m']]]-TP_DATA[[#This Row],[D, top '[m']]])/(TP_DATA[[#This Row],[Bottom '[m']]]-TP_DATA[[#This Row],[Top '[m']]]),"")</f>
        <v/>
      </c>
      <c r="AR73" s="80" t="str">
        <f t="shared" si="1"/>
        <v/>
      </c>
      <c r="AS73" s="80" t="str">
        <f>IFERROR((TP_DATA[[#This Row],[D, bottom '[m']]]+TP_DATA[[#This Row],[D, top '[m']]])/(2*TP_DATA[[#This Row],[t '[mm']]]/1000),"")</f>
        <v/>
      </c>
      <c r="AT73" s="80" t="str">
        <f>IFERROR((TP_DATA[[#This Row],[D, bottom '[m']]]+#REF!)/(2*#REF!/1000),"")</f>
        <v/>
      </c>
      <c r="BX73" s="80" t="str">
        <f>IFERROR(TOWER_DATA[[#This Row],[Bottom '[m']]]-TOWER_DATA[[#This Row],[D, top '[m']]], "")</f>
        <v/>
      </c>
      <c r="BY73" s="80" t="str">
        <f>IFERROR(-(TOWER_DATA[[#This Row],[D, bottom '[m']]]-TOWER_DATA[[#This Row],[D, top '[m']]])/(TOWER_DATA[[#This Row],[Bottom '[m']]]-TOWER_DATA[[#This Row],[Top '[m']]]),"")</f>
        <v/>
      </c>
      <c r="BZ73" s="80" t="str">
        <f t="shared" si="2"/>
        <v/>
      </c>
      <c r="CA73" s="80" t="str">
        <f>IFERROR((TOWER_DATA[[#This Row],[D, bottom '[m']]]+TOWER_DATA[[#This Row],[D, top '[m']]])/(2*TOWER_DATA[[#This Row],[t '[mm']]]/1000),"")</f>
        <v/>
      </c>
      <c r="CB73" s="80" t="str">
        <f>IFERROR((TOWER_DATA[[#This Row],[D, bottom '[m']]]+#REF!)/(2*#REF!/1000),"")</f>
        <v/>
      </c>
      <c r="CG73" s="78"/>
      <c r="CH73" s="78"/>
      <c r="CI73" s="78"/>
      <c r="CK73" s="78"/>
      <c r="DF73" s="80"/>
      <c r="DG73" s="80"/>
      <c r="DH73" s="80"/>
      <c r="DI73" s="80"/>
      <c r="DK73" s="78">
        <v>49</v>
      </c>
      <c r="DL73" s="78">
        <v>53.24499999999999</v>
      </c>
      <c r="DM73" s="78">
        <v>50.494999999999997</v>
      </c>
      <c r="DN73">
        <v>7.3768000000000002</v>
      </c>
      <c r="DO73" s="78">
        <v>7.4303999999999997</v>
      </c>
      <c r="DP73">
        <v>36.4</v>
      </c>
    </row>
    <row r="74" spans="8:120" x14ac:dyDescent="0.3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P74" s="80" t="str">
        <f>IFERROR(TP_DATA[[#This Row],[Bottom '[m']]]-TP_DATA[[#This Row],[D, top '[m']]], "")</f>
        <v/>
      </c>
      <c r="AQ74" s="80" t="str">
        <f>IFERROR(-(TP_DATA[[#This Row],[D, bottom '[m']]]-TP_DATA[[#This Row],[D, top '[m']]])/(TP_DATA[[#This Row],[Bottom '[m']]]-TP_DATA[[#This Row],[Top '[m']]]),"")</f>
        <v/>
      </c>
      <c r="AR74" s="80" t="str">
        <f t="shared" si="1"/>
        <v/>
      </c>
      <c r="AS74" s="80" t="str">
        <f>IFERROR((TP_DATA[[#This Row],[D, bottom '[m']]]+TP_DATA[[#This Row],[D, top '[m']]])/(2*TP_DATA[[#This Row],[t '[mm']]]/1000),"")</f>
        <v/>
      </c>
      <c r="AT74" s="80" t="str">
        <f>IFERROR((TP_DATA[[#This Row],[D, bottom '[m']]]+#REF!)/(2*#REF!/1000),"")</f>
        <v/>
      </c>
      <c r="BX74" s="80" t="str">
        <f>IFERROR(TOWER_DATA[[#This Row],[Bottom '[m']]]-TOWER_DATA[[#This Row],[D, top '[m']]], "")</f>
        <v/>
      </c>
      <c r="BY74" s="80" t="str">
        <f>IFERROR(-(TOWER_DATA[[#This Row],[D, bottom '[m']]]-TOWER_DATA[[#This Row],[D, top '[m']]])/(TOWER_DATA[[#This Row],[Bottom '[m']]]-TOWER_DATA[[#This Row],[Top '[m']]]),"")</f>
        <v/>
      </c>
      <c r="BZ74" s="80" t="str">
        <f t="shared" si="2"/>
        <v/>
      </c>
      <c r="CA74" s="80" t="str">
        <f>IFERROR((TOWER_DATA[[#This Row],[D, bottom '[m']]]+TOWER_DATA[[#This Row],[D, top '[m']]])/(2*TOWER_DATA[[#This Row],[t '[mm']]]/1000),"")</f>
        <v/>
      </c>
      <c r="CB74" s="80" t="str">
        <f>IFERROR((TOWER_DATA[[#This Row],[D, bottom '[m']]]+#REF!)/(2*#REF!/1000),"")</f>
        <v/>
      </c>
      <c r="CG74" s="78"/>
      <c r="CH74" s="78"/>
      <c r="CI74" s="78"/>
      <c r="CK74" s="78"/>
      <c r="DF74" s="80"/>
      <c r="DG74" s="80"/>
      <c r="DH74" s="80"/>
      <c r="DI74" s="80"/>
      <c r="DK74" s="78">
        <v>50</v>
      </c>
      <c r="DL74" s="78">
        <v>50.494999999999997</v>
      </c>
      <c r="DM74" s="78">
        <v>47.745999999999995</v>
      </c>
      <c r="DN74">
        <v>7.4303999999999997</v>
      </c>
      <c r="DO74" s="78">
        <v>7.4749999999999996</v>
      </c>
      <c r="DP74">
        <v>39.5</v>
      </c>
    </row>
    <row r="75" spans="8:120" x14ac:dyDescent="0.3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P75" s="80" t="str">
        <f>IFERROR(TP_DATA[[#This Row],[Bottom '[m']]]-TP_DATA[[#This Row],[D, top '[m']]], "")</f>
        <v/>
      </c>
      <c r="AQ75" s="80" t="str">
        <f>IFERROR(-(TP_DATA[[#This Row],[D, bottom '[m']]]-TP_DATA[[#This Row],[D, top '[m']]])/(TP_DATA[[#This Row],[Bottom '[m']]]-TP_DATA[[#This Row],[Top '[m']]]),"")</f>
        <v/>
      </c>
      <c r="AR75" s="80" t="str">
        <f t="shared" si="1"/>
        <v/>
      </c>
      <c r="AS75" s="80" t="str">
        <f>IFERROR((TP_DATA[[#This Row],[D, bottom '[m']]]+TP_DATA[[#This Row],[D, top '[m']]])/(2*TP_DATA[[#This Row],[t '[mm']]]/1000),"")</f>
        <v/>
      </c>
      <c r="AT75" s="80" t="str">
        <f>IFERROR((TP_DATA[[#This Row],[D, bottom '[m']]]+#REF!)/(2*#REF!/1000),"")</f>
        <v/>
      </c>
      <c r="BX75" s="80" t="str">
        <f>IFERROR(TOWER_DATA[[#This Row],[Bottom '[m']]]-TOWER_DATA[[#This Row],[D, top '[m']]], "")</f>
        <v/>
      </c>
      <c r="BY75" s="80" t="str">
        <f>IFERROR(-(TOWER_DATA[[#This Row],[D, bottom '[m']]]-TOWER_DATA[[#This Row],[D, top '[m']]])/(TOWER_DATA[[#This Row],[Bottom '[m']]]-TOWER_DATA[[#This Row],[Top '[m']]]),"")</f>
        <v/>
      </c>
      <c r="BZ75" s="80" t="str">
        <f t="shared" si="2"/>
        <v/>
      </c>
      <c r="CA75" s="80" t="str">
        <f>IFERROR((TOWER_DATA[[#This Row],[D, bottom '[m']]]+TOWER_DATA[[#This Row],[D, top '[m']]])/(2*TOWER_DATA[[#This Row],[t '[mm']]]/1000),"")</f>
        <v/>
      </c>
      <c r="CB75" s="80" t="str">
        <f>IFERROR((TOWER_DATA[[#This Row],[D, bottom '[m']]]+#REF!)/(2*#REF!/1000),"")</f>
        <v/>
      </c>
      <c r="CG75" s="78"/>
      <c r="CH75" s="78"/>
      <c r="CI75" s="78"/>
      <c r="CK75" s="78"/>
      <c r="DF75" s="80"/>
      <c r="DG75" s="80"/>
      <c r="DH75" s="80"/>
      <c r="DI75" s="80"/>
      <c r="DK75" s="78">
        <v>51</v>
      </c>
      <c r="DL75" s="78">
        <v>47.745999999999995</v>
      </c>
      <c r="DM75" s="78">
        <v>44.997999999999998</v>
      </c>
      <c r="DN75">
        <v>7.4749999999999996</v>
      </c>
      <c r="DO75" s="78">
        <v>7.4749999999999996</v>
      </c>
      <c r="DP75">
        <v>39.5</v>
      </c>
    </row>
    <row r="76" spans="8:120" x14ac:dyDescent="0.3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P76" s="80" t="str">
        <f>IFERROR(TP_DATA[[#This Row],[Bottom '[m']]]-TP_DATA[[#This Row],[D, top '[m']]], "")</f>
        <v/>
      </c>
      <c r="AQ76" s="80" t="str">
        <f>IFERROR(-(TP_DATA[[#This Row],[D, bottom '[m']]]-TP_DATA[[#This Row],[D, top '[m']]])/(TP_DATA[[#This Row],[Bottom '[m']]]-TP_DATA[[#This Row],[Top '[m']]]),"")</f>
        <v/>
      </c>
      <c r="AR76" s="80" t="str">
        <f t="shared" si="1"/>
        <v/>
      </c>
      <c r="AS76" s="80" t="str">
        <f>IFERROR((TP_DATA[[#This Row],[D, bottom '[m']]]+TP_DATA[[#This Row],[D, top '[m']]])/(2*TP_DATA[[#This Row],[t '[mm']]]/1000),"")</f>
        <v/>
      </c>
      <c r="AT76" s="80" t="str">
        <f>IFERROR((TP_DATA[[#This Row],[D, bottom '[m']]]+#REF!)/(2*#REF!/1000),"")</f>
        <v/>
      </c>
      <c r="BX76" s="80" t="str">
        <f>IFERROR(TOWER_DATA[[#This Row],[Bottom '[m']]]-TOWER_DATA[[#This Row],[D, top '[m']]], "")</f>
        <v/>
      </c>
      <c r="BY76" s="80" t="str">
        <f>IFERROR(-(TOWER_DATA[[#This Row],[D, bottom '[m']]]-TOWER_DATA[[#This Row],[D, top '[m']]])/(TOWER_DATA[[#This Row],[Bottom '[m']]]-TOWER_DATA[[#This Row],[Top '[m']]]),"")</f>
        <v/>
      </c>
      <c r="BZ76" s="80" t="str">
        <f t="shared" si="2"/>
        <v/>
      </c>
      <c r="CA76" s="80" t="str">
        <f>IFERROR((TOWER_DATA[[#This Row],[D, bottom '[m']]]+TOWER_DATA[[#This Row],[D, top '[m']]])/(2*TOWER_DATA[[#This Row],[t '[mm']]]/1000),"")</f>
        <v/>
      </c>
      <c r="CB76" s="80" t="str">
        <f>IFERROR((TOWER_DATA[[#This Row],[D, bottom '[m']]]+#REF!)/(2*#REF!/1000),"")</f>
        <v/>
      </c>
      <c r="CG76" s="78"/>
      <c r="CH76" s="78"/>
      <c r="CI76" s="78"/>
      <c r="CK76" s="78"/>
      <c r="DF76" s="80"/>
      <c r="DG76" s="80"/>
      <c r="DH76" s="80"/>
      <c r="DI76" s="80"/>
      <c r="DK76" s="78">
        <v>52</v>
      </c>
      <c r="DL76" s="78">
        <v>44.997999999999998</v>
      </c>
      <c r="DM76" s="78">
        <v>44.952999999999996</v>
      </c>
      <c r="DN76">
        <v>7.4749999999999996</v>
      </c>
      <c r="DO76" s="78">
        <v>7.4749999999999996</v>
      </c>
      <c r="DP76">
        <v>39.5</v>
      </c>
    </row>
    <row r="77" spans="8:120" x14ac:dyDescent="0.3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P77" s="80" t="str">
        <f>IFERROR(TP_DATA[[#This Row],[Bottom '[m']]]-TP_DATA[[#This Row],[D, top '[m']]], "")</f>
        <v/>
      </c>
      <c r="AQ77" s="80" t="str">
        <f>IFERROR(-(TP_DATA[[#This Row],[D, bottom '[m']]]-TP_DATA[[#This Row],[D, top '[m']]])/(TP_DATA[[#This Row],[Bottom '[m']]]-TP_DATA[[#This Row],[Top '[m']]]),"")</f>
        <v/>
      </c>
      <c r="AR77" s="80" t="str">
        <f t="shared" si="1"/>
        <v/>
      </c>
      <c r="AS77" s="80" t="str">
        <f>IFERROR((TP_DATA[[#This Row],[D, bottom '[m']]]+TP_DATA[[#This Row],[D, top '[m']]])/(2*TP_DATA[[#This Row],[t '[mm']]]/1000),"")</f>
        <v/>
      </c>
      <c r="AT77" s="80" t="str">
        <f>IFERROR((TP_DATA[[#This Row],[D, bottom '[m']]]+#REF!)/(2*#REF!/1000),"")</f>
        <v/>
      </c>
      <c r="BX77" s="80" t="str">
        <f>IFERROR(TOWER_DATA[[#This Row],[Bottom '[m']]]-TOWER_DATA[[#This Row],[D, top '[m']]], "")</f>
        <v/>
      </c>
      <c r="BY77" s="80" t="str">
        <f>IFERROR(-(TOWER_DATA[[#This Row],[D, bottom '[m']]]-TOWER_DATA[[#This Row],[D, top '[m']]])/(TOWER_DATA[[#This Row],[Bottom '[m']]]-TOWER_DATA[[#This Row],[Top '[m']]]),"")</f>
        <v/>
      </c>
      <c r="BZ77" s="80" t="str">
        <f t="shared" si="2"/>
        <v/>
      </c>
      <c r="CA77" s="80" t="str">
        <f>IFERROR((TOWER_DATA[[#This Row],[D, bottom '[m']]]+TOWER_DATA[[#This Row],[D, top '[m']]])/(2*TOWER_DATA[[#This Row],[t '[mm']]]/1000),"")</f>
        <v/>
      </c>
      <c r="CB77" s="80" t="str">
        <f>IFERROR((TOWER_DATA[[#This Row],[D, bottom '[m']]]+#REF!)/(2*#REF!/1000),"")</f>
        <v/>
      </c>
      <c r="CG77" s="78"/>
      <c r="CH77" s="78"/>
      <c r="CI77" s="78"/>
      <c r="CK77" s="78"/>
      <c r="DF77" s="80"/>
      <c r="DG77" s="80"/>
      <c r="DH77" s="80"/>
      <c r="DI77" s="80"/>
      <c r="DK77" s="78">
        <v>53</v>
      </c>
      <c r="DL77" s="78">
        <v>44.952999999999996</v>
      </c>
      <c r="DM77" s="78">
        <v>44.812999999999995</v>
      </c>
      <c r="DN77">
        <v>7.4749999999999996</v>
      </c>
      <c r="DO77" s="78">
        <v>7.4749999999999996</v>
      </c>
      <c r="DP77">
        <v>39.5</v>
      </c>
    </row>
    <row r="78" spans="8:120" x14ac:dyDescent="0.3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P78" s="80" t="str">
        <f>IFERROR(TP_DATA[[#This Row],[Bottom '[m']]]-TP_DATA[[#This Row],[D, top '[m']]], "")</f>
        <v/>
      </c>
      <c r="AQ78" s="80" t="str">
        <f>IFERROR(-(TP_DATA[[#This Row],[D, bottom '[m']]]-TP_DATA[[#This Row],[D, top '[m']]])/(TP_DATA[[#This Row],[Bottom '[m']]]-TP_DATA[[#This Row],[Top '[m']]]),"")</f>
        <v/>
      </c>
      <c r="AR78" s="80" t="str">
        <f t="shared" si="1"/>
        <v/>
      </c>
      <c r="AS78" s="80" t="str">
        <f>IFERROR((TP_DATA[[#This Row],[D, bottom '[m']]]+TP_DATA[[#This Row],[D, top '[m']]])/(2*TP_DATA[[#This Row],[t '[mm']]]/1000),"")</f>
        <v/>
      </c>
      <c r="AT78" s="80" t="str">
        <f>IFERROR((TP_DATA[[#This Row],[D, bottom '[m']]]+#REF!)/(2*#REF!/1000),"")</f>
        <v/>
      </c>
      <c r="BX78" s="80" t="str">
        <f>IFERROR(TOWER_DATA[[#This Row],[Bottom '[m']]]-TOWER_DATA[[#This Row],[D, top '[m']]], "")</f>
        <v/>
      </c>
      <c r="BY78" s="80" t="str">
        <f>IFERROR(-(TOWER_DATA[[#This Row],[D, bottom '[m']]]-TOWER_DATA[[#This Row],[D, top '[m']]])/(TOWER_DATA[[#This Row],[Bottom '[m']]]-TOWER_DATA[[#This Row],[Top '[m']]]),"")</f>
        <v/>
      </c>
      <c r="BZ78" s="80" t="str">
        <f t="shared" si="2"/>
        <v/>
      </c>
      <c r="CA78" s="80" t="str">
        <f>IFERROR((TOWER_DATA[[#This Row],[D, bottom '[m']]]+TOWER_DATA[[#This Row],[D, top '[m']]])/(2*TOWER_DATA[[#This Row],[t '[mm']]]/1000),"")</f>
        <v/>
      </c>
      <c r="CB78" s="80" t="str">
        <f>IFERROR((TOWER_DATA[[#This Row],[D, bottom '[m']]]+#REF!)/(2*#REF!/1000),"")</f>
        <v/>
      </c>
      <c r="CG78" s="78"/>
      <c r="CH78" s="78"/>
      <c r="CI78" s="78"/>
      <c r="CK78" s="78"/>
      <c r="DF78" s="80"/>
      <c r="DG78" s="80"/>
      <c r="DH78" s="80"/>
      <c r="DI78" s="80"/>
      <c r="DK78" s="78">
        <v>54</v>
      </c>
      <c r="DL78" s="78">
        <v>44.812999999999995</v>
      </c>
      <c r="DM78" s="78">
        <v>44.673999999999992</v>
      </c>
      <c r="DN78">
        <v>7.4749999999999996</v>
      </c>
      <c r="DO78" s="78">
        <v>7.4749999999999996</v>
      </c>
      <c r="DP78">
        <v>39.5</v>
      </c>
    </row>
    <row r="79" spans="8:120" x14ac:dyDescent="0.3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P79" s="80" t="str">
        <f>IFERROR(TP_DATA[[#This Row],[Bottom '[m']]]-TP_DATA[[#This Row],[D, top '[m']]], "")</f>
        <v/>
      </c>
      <c r="AQ79" s="80" t="str">
        <f>IFERROR(-(TP_DATA[[#This Row],[D, bottom '[m']]]-TP_DATA[[#This Row],[D, top '[m']]])/(TP_DATA[[#This Row],[Bottom '[m']]]-TP_DATA[[#This Row],[Top '[m']]]),"")</f>
        <v/>
      </c>
      <c r="AR79" s="80" t="str">
        <f t="shared" si="1"/>
        <v/>
      </c>
      <c r="AS79" s="80" t="str">
        <f>IFERROR((TP_DATA[[#This Row],[D, bottom '[m']]]+TP_DATA[[#This Row],[D, top '[m']]])/(2*TP_DATA[[#This Row],[t '[mm']]]/1000),"")</f>
        <v/>
      </c>
      <c r="AT79" s="80" t="str">
        <f>IFERROR((TP_DATA[[#This Row],[D, bottom '[m']]]+#REF!)/(2*#REF!/1000),"")</f>
        <v/>
      </c>
      <c r="BX79" s="80" t="str">
        <f>IFERROR(TOWER_DATA[[#This Row],[Bottom '[m']]]-TOWER_DATA[[#This Row],[D, top '[m']]], "")</f>
        <v/>
      </c>
      <c r="BY79" s="80" t="str">
        <f>IFERROR(-(TOWER_DATA[[#This Row],[D, bottom '[m']]]-TOWER_DATA[[#This Row],[D, top '[m']]])/(TOWER_DATA[[#This Row],[Bottom '[m']]]-TOWER_DATA[[#This Row],[Top '[m']]]),"")</f>
        <v/>
      </c>
      <c r="BZ79" s="80" t="str">
        <f t="shared" si="2"/>
        <v/>
      </c>
      <c r="CA79" s="80" t="str">
        <f>IFERROR((TOWER_DATA[[#This Row],[D, bottom '[m']]]+TOWER_DATA[[#This Row],[D, top '[m']]])/(2*TOWER_DATA[[#This Row],[t '[mm']]]/1000),"")</f>
        <v/>
      </c>
      <c r="CB79" s="80" t="str">
        <f>IFERROR((TOWER_DATA[[#This Row],[D, bottom '[m']]]+#REF!)/(2*#REF!/1000),"")</f>
        <v/>
      </c>
      <c r="CG79" s="78"/>
      <c r="CH79" s="78"/>
      <c r="CI79" s="78"/>
      <c r="CK79" s="78"/>
      <c r="DF79" s="80"/>
      <c r="DG79" s="80"/>
      <c r="DH79" s="80"/>
      <c r="DI79" s="80"/>
      <c r="DK79" s="78">
        <v>55</v>
      </c>
      <c r="DL79" s="78">
        <v>44.673999999999992</v>
      </c>
      <c r="DM79" s="78">
        <v>44.628999999999998</v>
      </c>
      <c r="DN79">
        <v>7.4749999999999996</v>
      </c>
      <c r="DO79" s="78">
        <v>7.4749999999999996</v>
      </c>
      <c r="DP79">
        <v>38</v>
      </c>
    </row>
    <row r="80" spans="8:120" x14ac:dyDescent="0.3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P80" s="80" t="str">
        <f>IFERROR(TP_DATA[[#This Row],[Bottom '[m']]]-TP_DATA[[#This Row],[D, top '[m']]], "")</f>
        <v/>
      </c>
      <c r="AQ80" s="80" t="str">
        <f>IFERROR(-(TP_DATA[[#This Row],[D, bottom '[m']]]-TP_DATA[[#This Row],[D, top '[m']]])/(TP_DATA[[#This Row],[Bottom '[m']]]-TP_DATA[[#This Row],[Top '[m']]]),"")</f>
        <v/>
      </c>
      <c r="AR80" s="80" t="str">
        <f t="shared" si="1"/>
        <v/>
      </c>
      <c r="AS80" s="80" t="str">
        <f>IFERROR((TP_DATA[[#This Row],[D, bottom '[m']]]+TP_DATA[[#This Row],[D, top '[m']]])/(2*TP_DATA[[#This Row],[t '[mm']]]/1000),"")</f>
        <v/>
      </c>
      <c r="AT80" s="80" t="str">
        <f>IFERROR((TP_DATA[[#This Row],[D, bottom '[m']]]+#REF!)/(2*#REF!/1000),"")</f>
        <v/>
      </c>
      <c r="BX80" s="80" t="str">
        <f>IFERROR(TOWER_DATA[[#This Row],[Bottom '[m']]]-TOWER_DATA[[#This Row],[D, top '[m']]], "")</f>
        <v/>
      </c>
      <c r="BY80" s="80" t="str">
        <f>IFERROR(-(TOWER_DATA[[#This Row],[D, bottom '[m']]]-TOWER_DATA[[#This Row],[D, top '[m']]])/(TOWER_DATA[[#This Row],[Bottom '[m']]]-TOWER_DATA[[#This Row],[Top '[m']]]),"")</f>
        <v/>
      </c>
      <c r="BZ80" s="80" t="str">
        <f t="shared" si="2"/>
        <v/>
      </c>
      <c r="CA80" s="80" t="str">
        <f>IFERROR((TOWER_DATA[[#This Row],[D, bottom '[m']]]+TOWER_DATA[[#This Row],[D, top '[m']]])/(2*TOWER_DATA[[#This Row],[t '[mm']]]/1000),"")</f>
        <v/>
      </c>
      <c r="CB80" s="80" t="str">
        <f>IFERROR((TOWER_DATA[[#This Row],[D, bottom '[m']]]+#REF!)/(2*#REF!/1000),"")</f>
        <v/>
      </c>
      <c r="CG80" s="78"/>
      <c r="CH80" s="78"/>
      <c r="CI80" s="78"/>
      <c r="CK80" s="78"/>
      <c r="DF80" s="80"/>
      <c r="DG80" s="80"/>
      <c r="DH80" s="80"/>
      <c r="DI80" s="80"/>
      <c r="DK80" s="78">
        <v>56</v>
      </c>
      <c r="DL80" s="78">
        <v>44.628999999999998</v>
      </c>
      <c r="DM80" s="78">
        <v>43.515999999999991</v>
      </c>
      <c r="DN80">
        <v>7.4749999999999996</v>
      </c>
      <c r="DO80" s="78">
        <v>7.4749999999999996</v>
      </c>
      <c r="DP80">
        <v>38</v>
      </c>
    </row>
    <row r="81" spans="8:120" x14ac:dyDescent="0.3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P81" s="80" t="str">
        <f>IFERROR(TP_DATA[[#This Row],[Bottom '[m']]]-TP_DATA[[#This Row],[D, top '[m']]], "")</f>
        <v/>
      </c>
      <c r="AQ81" s="80" t="str">
        <f>IFERROR(-(TP_DATA[[#This Row],[D, bottom '[m']]]-TP_DATA[[#This Row],[D, top '[m']]])/(TP_DATA[[#This Row],[Bottom '[m']]]-TP_DATA[[#This Row],[Top '[m']]]),"")</f>
        <v/>
      </c>
      <c r="AR81" s="80" t="str">
        <f t="shared" si="1"/>
        <v/>
      </c>
      <c r="AS81" s="80" t="str">
        <f>IFERROR((TP_DATA[[#This Row],[D, bottom '[m']]]+TP_DATA[[#This Row],[D, top '[m']]])/(2*TP_DATA[[#This Row],[t '[mm']]]/1000),"")</f>
        <v/>
      </c>
      <c r="AT81" s="80" t="str">
        <f>IFERROR((TP_DATA[[#This Row],[D, bottom '[m']]]+#REF!)/(2*#REF!/1000),"")</f>
        <v/>
      </c>
      <c r="BX81" s="80" t="str">
        <f>IFERROR(TOWER_DATA[[#This Row],[Bottom '[m']]]-TOWER_DATA[[#This Row],[D, top '[m']]], "")</f>
        <v/>
      </c>
      <c r="BY81" s="80" t="str">
        <f>IFERROR(-(TOWER_DATA[[#This Row],[D, bottom '[m']]]-TOWER_DATA[[#This Row],[D, top '[m']]])/(TOWER_DATA[[#This Row],[Bottom '[m']]]-TOWER_DATA[[#This Row],[Top '[m']]]),"")</f>
        <v/>
      </c>
      <c r="BZ81" s="80" t="str">
        <f t="shared" si="2"/>
        <v/>
      </c>
      <c r="CA81" s="80" t="str">
        <f>IFERROR((TOWER_DATA[[#This Row],[D, bottom '[m']]]+TOWER_DATA[[#This Row],[D, top '[m']]])/(2*TOWER_DATA[[#This Row],[t '[mm']]]/1000),"")</f>
        <v/>
      </c>
      <c r="CB81" s="80" t="str">
        <f>IFERROR((TOWER_DATA[[#This Row],[D, bottom '[m']]]+#REF!)/(2*#REF!/1000),"")</f>
        <v/>
      </c>
      <c r="CG81" s="78"/>
      <c r="CH81" s="78"/>
      <c r="CI81" s="78"/>
      <c r="CK81" s="78"/>
      <c r="DF81" s="80"/>
      <c r="DG81" s="80"/>
      <c r="DH81" s="80"/>
      <c r="DI81" s="80"/>
      <c r="DK81" s="78">
        <v>57</v>
      </c>
      <c r="DL81" s="78">
        <v>43.515999999999991</v>
      </c>
      <c r="DM81" s="78">
        <v>41.718999999999994</v>
      </c>
      <c r="DN81">
        <v>7.4749999999999996</v>
      </c>
      <c r="DO81" s="78">
        <v>7.4749999999999996</v>
      </c>
      <c r="DP81">
        <v>38.800000000000004</v>
      </c>
    </row>
    <row r="82" spans="8:120" x14ac:dyDescent="0.3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P82" s="80" t="str">
        <f>IFERROR(TP_DATA[[#This Row],[Bottom '[m']]]-TP_DATA[[#This Row],[D, top '[m']]], "")</f>
        <v/>
      </c>
      <c r="AQ82" s="80" t="str">
        <f>IFERROR(-(TP_DATA[[#This Row],[D, bottom '[m']]]-TP_DATA[[#This Row],[D, top '[m']]])/(TP_DATA[[#This Row],[Bottom '[m']]]-TP_DATA[[#This Row],[Top '[m']]]),"")</f>
        <v/>
      </c>
      <c r="AR82" s="80" t="str">
        <f t="shared" si="1"/>
        <v/>
      </c>
      <c r="AS82" s="80" t="str">
        <f>IFERROR((TP_DATA[[#This Row],[D, bottom '[m']]]+TP_DATA[[#This Row],[D, top '[m']]])/(2*TP_DATA[[#This Row],[t '[mm']]]/1000),"")</f>
        <v/>
      </c>
      <c r="AT82" s="80" t="str">
        <f>IFERROR((TP_DATA[[#This Row],[D, bottom '[m']]]+#REF!)/(2*#REF!/1000),"")</f>
        <v/>
      </c>
      <c r="BX82" s="80" t="str">
        <f>IFERROR(TOWER_DATA[[#This Row],[Bottom '[m']]]-TOWER_DATA[[#This Row],[D, top '[m']]], "")</f>
        <v/>
      </c>
      <c r="BY82" s="80" t="str">
        <f>IFERROR(-(TOWER_DATA[[#This Row],[D, bottom '[m']]]-TOWER_DATA[[#This Row],[D, top '[m']]])/(TOWER_DATA[[#This Row],[Bottom '[m']]]-TOWER_DATA[[#This Row],[Top '[m']]]),"")</f>
        <v/>
      </c>
      <c r="BZ82" s="80" t="str">
        <f t="shared" si="2"/>
        <v/>
      </c>
      <c r="CA82" s="80" t="str">
        <f>IFERROR((TOWER_DATA[[#This Row],[D, bottom '[m']]]+TOWER_DATA[[#This Row],[D, top '[m']]])/(2*TOWER_DATA[[#This Row],[t '[mm']]]/1000),"")</f>
        <v/>
      </c>
      <c r="CB82" s="80" t="str">
        <f>IFERROR((TOWER_DATA[[#This Row],[D, bottom '[m']]]+#REF!)/(2*#REF!/1000),"")</f>
        <v/>
      </c>
      <c r="CG82" s="78"/>
      <c r="CH82" s="78"/>
      <c r="CI82" s="78"/>
      <c r="CK82" s="78"/>
      <c r="DF82" s="80"/>
      <c r="DG82" s="80"/>
      <c r="DH82" s="80"/>
      <c r="DI82" s="80"/>
      <c r="DK82" s="78">
        <v>58</v>
      </c>
      <c r="DL82" s="78">
        <v>41.718999999999994</v>
      </c>
      <c r="DM82" s="78">
        <v>38.795000000000002</v>
      </c>
      <c r="DN82">
        <v>7.4749999999999996</v>
      </c>
      <c r="DO82" s="78">
        <v>7.4749999999999996</v>
      </c>
      <c r="DP82">
        <v>40.4</v>
      </c>
    </row>
    <row r="83" spans="8:120" x14ac:dyDescent="0.3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P83" s="80" t="str">
        <f>IFERROR(TP_DATA[[#This Row],[Bottom '[m']]]-TP_DATA[[#This Row],[D, top '[m']]], "")</f>
        <v/>
      </c>
      <c r="AQ83" s="80" t="str">
        <f>IFERROR(-(TP_DATA[[#This Row],[D, bottom '[m']]]-TP_DATA[[#This Row],[D, top '[m']]])/(TP_DATA[[#This Row],[Bottom '[m']]]-TP_DATA[[#This Row],[Top '[m']]]),"")</f>
        <v/>
      </c>
      <c r="AR83" s="80" t="str">
        <f t="shared" si="1"/>
        <v/>
      </c>
      <c r="AS83" s="80" t="str">
        <f>IFERROR((TP_DATA[[#This Row],[D, bottom '[m']]]+TP_DATA[[#This Row],[D, top '[m']]])/(2*TP_DATA[[#This Row],[t '[mm']]]/1000),"")</f>
        <v/>
      </c>
      <c r="AT83" s="80" t="str">
        <f>IFERROR((TP_DATA[[#This Row],[D, bottom '[m']]]+#REF!)/(2*#REF!/1000),"")</f>
        <v/>
      </c>
      <c r="BX83" s="80" t="str">
        <f>IFERROR(TOWER_DATA[[#This Row],[Bottom '[m']]]-TOWER_DATA[[#This Row],[D, top '[m']]], "")</f>
        <v/>
      </c>
      <c r="BY83" s="80" t="str">
        <f>IFERROR(-(TOWER_DATA[[#This Row],[D, bottom '[m']]]-TOWER_DATA[[#This Row],[D, top '[m']]])/(TOWER_DATA[[#This Row],[Bottom '[m']]]-TOWER_DATA[[#This Row],[Top '[m']]]),"")</f>
        <v/>
      </c>
      <c r="BZ83" s="80" t="str">
        <f t="shared" si="2"/>
        <v/>
      </c>
      <c r="CA83" s="80" t="str">
        <f>IFERROR((TOWER_DATA[[#This Row],[D, bottom '[m']]]+TOWER_DATA[[#This Row],[D, top '[m']]])/(2*TOWER_DATA[[#This Row],[t '[mm']]]/1000),"")</f>
        <v/>
      </c>
      <c r="CB83" s="80" t="str">
        <f>IFERROR((TOWER_DATA[[#This Row],[D, bottom '[m']]]+#REF!)/(2*#REF!/1000),"")</f>
        <v/>
      </c>
      <c r="CG83" s="78"/>
      <c r="CH83" s="78"/>
      <c r="CI83" s="78"/>
      <c r="CK83" s="78"/>
      <c r="DF83" s="80"/>
      <c r="DG83" s="80"/>
      <c r="DH83" s="80"/>
      <c r="DI83" s="80"/>
      <c r="DK83" s="78">
        <v>59</v>
      </c>
      <c r="DL83" s="78">
        <v>38.795000000000002</v>
      </c>
      <c r="DM83" s="78">
        <v>35.870999999999995</v>
      </c>
      <c r="DN83">
        <v>7.4749999999999996</v>
      </c>
      <c r="DO83" s="78">
        <v>7.4749999999999996</v>
      </c>
      <c r="DP83">
        <v>41.2</v>
      </c>
    </row>
    <row r="84" spans="8:120" x14ac:dyDescent="0.3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P84" s="80" t="str">
        <f>IFERROR(TP_DATA[[#This Row],[Bottom '[m']]]-TP_DATA[[#This Row],[D, top '[m']]], "")</f>
        <v/>
      </c>
      <c r="AQ84" s="80" t="str">
        <f>IFERROR(-(TP_DATA[[#This Row],[D, bottom '[m']]]-TP_DATA[[#This Row],[D, top '[m']]])/(TP_DATA[[#This Row],[Bottom '[m']]]-TP_DATA[[#This Row],[Top '[m']]]),"")</f>
        <v/>
      </c>
      <c r="AR84" s="80" t="str">
        <f t="shared" si="1"/>
        <v/>
      </c>
      <c r="AS84" s="80" t="str">
        <f>IFERROR((TP_DATA[[#This Row],[D, bottom '[m']]]+TP_DATA[[#This Row],[D, top '[m']]])/(2*TP_DATA[[#This Row],[t '[mm']]]/1000),"")</f>
        <v/>
      </c>
      <c r="AT84" s="80" t="str">
        <f>IFERROR((TP_DATA[[#This Row],[D, bottom '[m']]]+#REF!)/(2*#REF!/1000),"")</f>
        <v/>
      </c>
      <c r="BX84" s="80" t="str">
        <f>IFERROR(TOWER_DATA[[#This Row],[Bottom '[m']]]-TOWER_DATA[[#This Row],[D, top '[m']]], "")</f>
        <v/>
      </c>
      <c r="BY84" s="80" t="str">
        <f>IFERROR(-(TOWER_DATA[[#This Row],[D, bottom '[m']]]-TOWER_DATA[[#This Row],[D, top '[m']]])/(TOWER_DATA[[#This Row],[Bottom '[m']]]-TOWER_DATA[[#This Row],[Top '[m']]]),"")</f>
        <v/>
      </c>
      <c r="BZ84" s="80" t="str">
        <f t="shared" si="2"/>
        <v/>
      </c>
      <c r="CA84" s="80" t="str">
        <f>IFERROR((TOWER_DATA[[#This Row],[D, bottom '[m']]]+TOWER_DATA[[#This Row],[D, top '[m']]])/(2*TOWER_DATA[[#This Row],[t '[mm']]]/1000),"")</f>
        <v/>
      </c>
      <c r="CB84" s="80" t="str">
        <f>IFERROR((TOWER_DATA[[#This Row],[D, bottom '[m']]]+#REF!)/(2*#REF!/1000),"")</f>
        <v/>
      </c>
      <c r="CG84" s="78"/>
      <c r="CH84" s="78"/>
      <c r="CI84" s="78"/>
      <c r="CK84" s="78"/>
      <c r="DF84" s="80"/>
      <c r="DG84" s="80"/>
      <c r="DH84" s="80"/>
      <c r="DI84" s="80"/>
      <c r="DK84" s="78">
        <v>60</v>
      </c>
      <c r="DL84" s="78">
        <v>35.870999999999995</v>
      </c>
      <c r="DM84" s="78">
        <v>32.945999999999998</v>
      </c>
      <c r="DN84">
        <v>7.4767000000000001</v>
      </c>
      <c r="DO84" s="78">
        <v>7.4749999999999996</v>
      </c>
      <c r="DP84">
        <v>42.1</v>
      </c>
    </row>
    <row r="85" spans="8:120" x14ac:dyDescent="0.3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P85" s="80" t="str">
        <f>IFERROR(TP_DATA[[#This Row],[Bottom '[m']]]-TP_DATA[[#This Row],[D, top '[m']]], "")</f>
        <v/>
      </c>
      <c r="AQ85" s="80" t="str">
        <f>IFERROR(-(TP_DATA[[#This Row],[D, bottom '[m']]]-TP_DATA[[#This Row],[D, top '[m']]])/(TP_DATA[[#This Row],[Bottom '[m']]]-TP_DATA[[#This Row],[Top '[m']]]),"")</f>
        <v/>
      </c>
      <c r="AR85" s="80" t="str">
        <f t="shared" si="1"/>
        <v/>
      </c>
      <c r="AS85" s="80" t="str">
        <f>IFERROR((TP_DATA[[#This Row],[D, bottom '[m']]]+TP_DATA[[#This Row],[D, top '[m']]])/(2*TP_DATA[[#This Row],[t '[mm']]]/1000),"")</f>
        <v/>
      </c>
      <c r="AT85" s="80" t="str">
        <f>IFERROR((TP_DATA[[#This Row],[D, bottom '[m']]]+#REF!)/(2*#REF!/1000),"")</f>
        <v/>
      </c>
      <c r="BX85" s="80" t="str">
        <f>IFERROR(TOWER_DATA[[#This Row],[Bottom '[m']]]-TOWER_DATA[[#This Row],[D, top '[m']]], "")</f>
        <v/>
      </c>
      <c r="BY85" s="80" t="str">
        <f>IFERROR(-(TOWER_DATA[[#This Row],[D, bottom '[m']]]-TOWER_DATA[[#This Row],[D, top '[m']]])/(TOWER_DATA[[#This Row],[Bottom '[m']]]-TOWER_DATA[[#This Row],[Top '[m']]]),"")</f>
        <v/>
      </c>
      <c r="BZ85" s="80" t="str">
        <f t="shared" si="2"/>
        <v/>
      </c>
      <c r="CA85" s="80" t="str">
        <f>IFERROR((TOWER_DATA[[#This Row],[D, bottom '[m']]]+TOWER_DATA[[#This Row],[D, top '[m']]])/(2*TOWER_DATA[[#This Row],[t '[mm']]]/1000),"")</f>
        <v/>
      </c>
      <c r="CB85" s="80" t="str">
        <f>IFERROR((TOWER_DATA[[#This Row],[D, bottom '[m']]]+#REF!)/(2*#REF!/1000),"")</f>
        <v/>
      </c>
      <c r="CG85" s="78"/>
      <c r="CH85" s="78"/>
      <c r="CI85" s="78"/>
      <c r="CK85" s="78"/>
      <c r="DF85" s="80"/>
      <c r="DG85" s="80"/>
      <c r="DH85" s="80"/>
      <c r="DI85" s="80"/>
      <c r="DK85" s="78">
        <v>61</v>
      </c>
      <c r="DL85" s="78">
        <v>32.945999999999998</v>
      </c>
      <c r="DM85" s="78">
        <v>30.022000000000002</v>
      </c>
      <c r="DN85">
        <v>7.4775999999999998</v>
      </c>
      <c r="DO85" s="78">
        <v>7.4749999999999996</v>
      </c>
      <c r="DP85">
        <v>43</v>
      </c>
    </row>
    <row r="86" spans="8:120" x14ac:dyDescent="0.3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P86" s="80" t="str">
        <f>IFERROR(TP_DATA[[#This Row],[Bottom '[m']]]-TP_DATA[[#This Row],[D, top '[m']]], "")</f>
        <v/>
      </c>
      <c r="AQ86" s="80" t="str">
        <f>IFERROR(-(TP_DATA[[#This Row],[D, bottom '[m']]]-TP_DATA[[#This Row],[D, top '[m']]])/(TP_DATA[[#This Row],[Bottom '[m']]]-TP_DATA[[#This Row],[Top '[m']]]),"")</f>
        <v/>
      </c>
      <c r="AR86" s="80" t="str">
        <f t="shared" si="1"/>
        <v/>
      </c>
      <c r="AS86" s="80" t="str">
        <f>IFERROR((TP_DATA[[#This Row],[D, bottom '[m']]]+TP_DATA[[#This Row],[D, top '[m']]])/(2*TP_DATA[[#This Row],[t '[mm']]]/1000),"")</f>
        <v/>
      </c>
      <c r="AT86" s="80" t="str">
        <f>IFERROR((TP_DATA[[#This Row],[D, bottom '[m']]]+#REF!)/(2*#REF!/1000),"")</f>
        <v/>
      </c>
      <c r="BX86" s="80" t="str">
        <f>IFERROR(TOWER_DATA[[#This Row],[Bottom '[m']]]-TOWER_DATA[[#This Row],[D, top '[m']]], "")</f>
        <v/>
      </c>
      <c r="BY86" s="80" t="str">
        <f>IFERROR(-(TOWER_DATA[[#This Row],[D, bottom '[m']]]-TOWER_DATA[[#This Row],[D, top '[m']]])/(TOWER_DATA[[#This Row],[Bottom '[m']]]-TOWER_DATA[[#This Row],[Top '[m']]]),"")</f>
        <v/>
      </c>
      <c r="BZ86" s="80" t="str">
        <f t="shared" si="2"/>
        <v/>
      </c>
      <c r="CA86" s="80" t="str">
        <f>IFERROR((TOWER_DATA[[#This Row],[D, bottom '[m']]]+TOWER_DATA[[#This Row],[D, top '[m']]])/(2*TOWER_DATA[[#This Row],[t '[mm']]]/1000),"")</f>
        <v/>
      </c>
      <c r="CB86" s="80" t="str">
        <f>IFERROR((TOWER_DATA[[#This Row],[D, bottom '[m']]]+#REF!)/(2*#REF!/1000),"")</f>
        <v/>
      </c>
      <c r="CG86" s="78"/>
      <c r="CH86" s="78"/>
      <c r="CI86" s="78"/>
      <c r="CK86" s="78"/>
      <c r="DF86" s="80"/>
      <c r="DG86" s="80"/>
      <c r="DH86" s="80"/>
      <c r="DI86" s="80"/>
      <c r="DK86" s="78">
        <v>62</v>
      </c>
      <c r="DL86" s="78">
        <v>30.022000000000002</v>
      </c>
      <c r="DM86" s="78">
        <v>27.097000000000001</v>
      </c>
      <c r="DN86">
        <v>7.4785000000000004</v>
      </c>
      <c r="DO86" s="78">
        <v>7.5</v>
      </c>
      <c r="DP86">
        <v>64.5</v>
      </c>
    </row>
    <row r="87" spans="8:120" x14ac:dyDescent="0.3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P87" s="80" t="str">
        <f>IFERROR(TP_DATA[[#This Row],[Bottom '[m']]]-TP_DATA[[#This Row],[D, top '[m']]], "")</f>
        <v/>
      </c>
      <c r="AQ87" s="80" t="str">
        <f>IFERROR(-(TP_DATA[[#This Row],[D, bottom '[m']]]-TP_DATA[[#This Row],[D, top '[m']]])/(TP_DATA[[#This Row],[Bottom '[m']]]-TP_DATA[[#This Row],[Top '[m']]]),"")</f>
        <v/>
      </c>
      <c r="AR87" s="80" t="str">
        <f t="shared" si="1"/>
        <v/>
      </c>
      <c r="AS87" s="80" t="str">
        <f>IFERROR((TP_DATA[[#This Row],[D, bottom '[m']]]+TP_DATA[[#This Row],[D, top '[m']]])/(2*TP_DATA[[#This Row],[t '[mm']]]/1000),"")</f>
        <v/>
      </c>
      <c r="AT87" s="80" t="str">
        <f>IFERROR((TP_DATA[[#This Row],[D, bottom '[m']]]+#REF!)/(2*#REF!/1000),"")</f>
        <v/>
      </c>
      <c r="BX87" s="80" t="str">
        <f>IFERROR(TOWER_DATA[[#This Row],[Bottom '[m']]]-TOWER_DATA[[#This Row],[D, top '[m']]], "")</f>
        <v/>
      </c>
      <c r="BY87" s="80" t="str">
        <f>IFERROR(-(TOWER_DATA[[#This Row],[D, bottom '[m']]]-TOWER_DATA[[#This Row],[D, top '[m']]])/(TOWER_DATA[[#This Row],[Bottom '[m']]]-TOWER_DATA[[#This Row],[Top '[m']]]),"")</f>
        <v/>
      </c>
      <c r="BZ87" s="80" t="str">
        <f t="shared" si="2"/>
        <v/>
      </c>
      <c r="CA87" s="80" t="str">
        <f>IFERROR((TOWER_DATA[[#This Row],[D, bottom '[m']]]+TOWER_DATA[[#This Row],[D, top '[m']]])/(2*TOWER_DATA[[#This Row],[t '[mm']]]/1000),"")</f>
        <v/>
      </c>
      <c r="CB87" s="80" t="str">
        <f>IFERROR((TOWER_DATA[[#This Row],[D, bottom '[m']]]+#REF!)/(2*#REF!/1000),"")</f>
        <v/>
      </c>
      <c r="CG87" s="78"/>
      <c r="CH87" s="78"/>
      <c r="CI87" s="78"/>
      <c r="CK87" s="78"/>
      <c r="DF87" s="80"/>
      <c r="DG87" s="80"/>
      <c r="DH87" s="80"/>
      <c r="DI87" s="80"/>
      <c r="DK87" s="78">
        <v>63</v>
      </c>
      <c r="DL87" s="78">
        <v>27.097000000000001</v>
      </c>
      <c r="DM87" s="78">
        <v>25.021000000000001</v>
      </c>
      <c r="DN87">
        <v>7.5</v>
      </c>
      <c r="DO87" s="78">
        <v>7.5</v>
      </c>
      <c r="DP87">
        <v>64.5</v>
      </c>
    </row>
    <row r="88" spans="8:120" x14ac:dyDescent="0.3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P88" s="80" t="str">
        <f>IFERROR(TP_DATA[[#This Row],[Bottom '[m']]]-TP_DATA[[#This Row],[D, top '[m']]], "")</f>
        <v/>
      </c>
      <c r="AQ88" s="80" t="str">
        <f>IFERROR(-(TP_DATA[[#This Row],[D, bottom '[m']]]-TP_DATA[[#This Row],[D, top '[m']]])/(TP_DATA[[#This Row],[Bottom '[m']]]-TP_DATA[[#This Row],[Top '[m']]]),"")</f>
        <v/>
      </c>
      <c r="AR88" s="80" t="str">
        <f t="shared" si="1"/>
        <v/>
      </c>
      <c r="AS88" s="80" t="str">
        <f>IFERROR((TP_DATA[[#This Row],[D, bottom '[m']]]+TP_DATA[[#This Row],[D, top '[m']]])/(2*TP_DATA[[#This Row],[t '[mm']]]/1000),"")</f>
        <v/>
      </c>
      <c r="AT88" s="80" t="str">
        <f>IFERROR((TP_DATA[[#This Row],[D, bottom '[m']]]+#REF!)/(2*#REF!/1000),"")</f>
        <v/>
      </c>
      <c r="BX88" s="80" t="str">
        <f>IFERROR(TOWER_DATA[[#This Row],[Bottom '[m']]]-TOWER_DATA[[#This Row],[D, top '[m']]], "")</f>
        <v/>
      </c>
      <c r="BY88" s="80" t="str">
        <f>IFERROR(-(TOWER_DATA[[#This Row],[D, bottom '[m']]]-TOWER_DATA[[#This Row],[D, top '[m']]])/(TOWER_DATA[[#This Row],[Bottom '[m']]]-TOWER_DATA[[#This Row],[Top '[m']]]),"")</f>
        <v/>
      </c>
      <c r="BZ88" s="80" t="str">
        <f t="shared" si="2"/>
        <v/>
      </c>
      <c r="CA88" s="80" t="str">
        <f>IFERROR((TOWER_DATA[[#This Row],[D, bottom '[m']]]+TOWER_DATA[[#This Row],[D, top '[m']]])/(2*TOWER_DATA[[#This Row],[t '[mm']]]/1000),"")</f>
        <v/>
      </c>
      <c r="CB88" s="80" t="str">
        <f>IFERROR((TOWER_DATA[[#This Row],[D, bottom '[m']]]+#REF!)/(2*#REF!/1000),"")</f>
        <v/>
      </c>
      <c r="CG88" s="78"/>
      <c r="CH88" s="78"/>
      <c r="CI88" s="78"/>
      <c r="CK88" s="78"/>
      <c r="DF88" s="80"/>
      <c r="DG88" s="80"/>
      <c r="DH88" s="80"/>
      <c r="DI88" s="80"/>
      <c r="DK88" s="78">
        <v>64</v>
      </c>
      <c r="DL88" s="78">
        <v>25.021000000000001</v>
      </c>
      <c r="DM88" s="78">
        <v>22.495999999999999</v>
      </c>
      <c r="DN88">
        <v>7.5</v>
      </c>
      <c r="DO88" s="78">
        <v>7.5</v>
      </c>
      <c r="DP88">
        <v>64.5</v>
      </c>
    </row>
    <row r="89" spans="8:120" x14ac:dyDescent="0.3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P89" s="80" t="str">
        <f>IFERROR(TP_DATA[[#This Row],[Bottom '[m']]]-TP_DATA[[#This Row],[D, top '[m']]], "")</f>
        <v/>
      </c>
      <c r="AQ89" s="80" t="str">
        <f>IFERROR(-(TP_DATA[[#This Row],[D, bottom '[m']]]-TP_DATA[[#This Row],[D, top '[m']]])/(TP_DATA[[#This Row],[Bottom '[m']]]-TP_DATA[[#This Row],[Top '[m']]]),"")</f>
        <v/>
      </c>
      <c r="AR89" s="80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80" t="str">
        <f>IFERROR((TP_DATA[[#This Row],[D, bottom '[m']]]+TP_DATA[[#This Row],[D, top '[m']]])/(2*TP_DATA[[#This Row],[t '[mm']]]/1000),"")</f>
        <v/>
      </c>
      <c r="AT89" s="80" t="str">
        <f>IFERROR((TP_DATA[[#This Row],[D, bottom '[m']]]+#REF!)/(2*#REF!/1000),"")</f>
        <v/>
      </c>
      <c r="BX89" s="80" t="str">
        <f>IFERROR(TOWER_DATA[[#This Row],[Bottom '[m']]]-TOWER_DATA[[#This Row],[D, top '[m']]], "")</f>
        <v/>
      </c>
      <c r="BY89" s="80" t="str">
        <f>IFERROR(-(TOWER_DATA[[#This Row],[D, bottom '[m']]]-TOWER_DATA[[#This Row],[D, top '[m']]])/(TOWER_DATA[[#This Row],[Bottom '[m']]]-TOWER_DATA[[#This Row],[Top '[m']]]),"")</f>
        <v/>
      </c>
      <c r="BZ89" s="80" t="str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/>
      </c>
      <c r="CA89" s="80" t="str">
        <f>IFERROR((TOWER_DATA[[#This Row],[D, bottom '[m']]]+TOWER_DATA[[#This Row],[D, top '[m']]])/(2*TOWER_DATA[[#This Row],[t '[mm']]]/1000),"")</f>
        <v/>
      </c>
      <c r="CB89" s="80" t="str">
        <f>IFERROR((TOWER_DATA[[#This Row],[D, bottom '[m']]]+#REF!)/(2*#REF!/1000),"")</f>
        <v/>
      </c>
      <c r="CG89" s="78"/>
      <c r="CH89" s="78"/>
      <c r="CI89" s="78"/>
      <c r="CK89" s="78"/>
      <c r="DF89" s="80"/>
      <c r="DG89" s="80"/>
      <c r="DH89" s="80"/>
      <c r="DI89" s="80"/>
      <c r="DK89" s="78">
        <v>65</v>
      </c>
      <c r="DL89" s="78">
        <v>22.495999999999999</v>
      </c>
      <c r="DM89" s="78">
        <v>22.097000000000001</v>
      </c>
      <c r="DN89">
        <v>7.5</v>
      </c>
      <c r="DO89" s="78">
        <v>7.5</v>
      </c>
      <c r="DP89">
        <v>64.5</v>
      </c>
    </row>
    <row r="90" spans="8:120" x14ac:dyDescent="0.3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P90" s="80" t="str">
        <f>IFERROR(TP_DATA[[#This Row],[Bottom '[m']]]-TP_DATA[[#This Row],[D, top '[m']]], "")</f>
        <v/>
      </c>
      <c r="AQ90" s="80" t="str">
        <f>IFERROR(-(TP_DATA[[#This Row],[D, bottom '[m']]]-TP_DATA[[#This Row],[D, top '[m']]])/(TP_DATA[[#This Row],[Bottom '[m']]]-TP_DATA[[#This Row],[Top '[m']]]),"")</f>
        <v/>
      </c>
      <c r="AR90" s="80" t="str">
        <f t="shared" si="5"/>
        <v/>
      </c>
      <c r="AS90" s="80" t="str">
        <f>IFERROR((TP_DATA[[#This Row],[D, bottom '[m']]]+TP_DATA[[#This Row],[D, top '[m']]])/(2*TP_DATA[[#This Row],[t '[mm']]]/1000),"")</f>
        <v/>
      </c>
      <c r="AT90" s="80" t="str">
        <f>IFERROR((TP_DATA[[#This Row],[D, bottom '[m']]]+#REF!)/(2*#REF!/1000),"")</f>
        <v/>
      </c>
      <c r="BX90" s="80" t="str">
        <f>IFERROR(TOWER_DATA[[#This Row],[Bottom '[m']]]-TOWER_DATA[[#This Row],[D, top '[m']]], "")</f>
        <v/>
      </c>
      <c r="BY90" s="80" t="str">
        <f>IFERROR(-(TOWER_DATA[[#This Row],[D, bottom '[m']]]-TOWER_DATA[[#This Row],[D, top '[m']]])/(TOWER_DATA[[#This Row],[Bottom '[m']]]-TOWER_DATA[[#This Row],[Top '[m']]]),"")</f>
        <v/>
      </c>
      <c r="BZ90" s="80" t="str">
        <f t="shared" si="6"/>
        <v/>
      </c>
      <c r="CA90" s="80" t="str">
        <f>IFERROR((TOWER_DATA[[#This Row],[D, bottom '[m']]]+TOWER_DATA[[#This Row],[D, top '[m']]])/(2*TOWER_DATA[[#This Row],[t '[mm']]]/1000),"")</f>
        <v/>
      </c>
      <c r="CB90" s="80" t="str">
        <f>IFERROR((TOWER_DATA[[#This Row],[D, bottom '[m']]]+#REF!)/(2*#REF!/1000),"")</f>
        <v/>
      </c>
      <c r="CG90" s="78"/>
      <c r="CH90" s="78"/>
      <c r="CI90" s="78"/>
      <c r="CK90" s="78"/>
      <c r="DF90" s="80"/>
      <c r="DG90" s="80"/>
      <c r="DH90" s="80"/>
      <c r="DI90" s="80"/>
      <c r="DK90" s="78">
        <v>66</v>
      </c>
      <c r="DL90" s="78">
        <v>22.097000000000001</v>
      </c>
      <c r="DM90" s="78">
        <v>20.71</v>
      </c>
      <c r="DN90">
        <v>7.5</v>
      </c>
      <c r="DO90" s="78">
        <v>7.5</v>
      </c>
      <c r="DP90">
        <v>64.5</v>
      </c>
    </row>
    <row r="91" spans="8:120" x14ac:dyDescent="0.3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P91" s="80" t="str">
        <f>IFERROR(TP_DATA[[#This Row],[Bottom '[m']]]-TP_DATA[[#This Row],[D, top '[m']]], "")</f>
        <v/>
      </c>
      <c r="AQ91" s="80" t="str">
        <f>IFERROR(-(TP_DATA[[#This Row],[D, bottom '[m']]]-TP_DATA[[#This Row],[D, top '[m']]])/(TP_DATA[[#This Row],[Bottom '[m']]]-TP_DATA[[#This Row],[Top '[m']]]),"")</f>
        <v/>
      </c>
      <c r="AR91" s="80" t="str">
        <f t="shared" si="5"/>
        <v/>
      </c>
      <c r="AS91" s="80" t="str">
        <f>IFERROR((TP_DATA[[#This Row],[D, bottom '[m']]]+TP_DATA[[#This Row],[D, top '[m']]])/(2*TP_DATA[[#This Row],[t '[mm']]]/1000),"")</f>
        <v/>
      </c>
      <c r="AT91" s="80" t="str">
        <f>IFERROR((TP_DATA[[#This Row],[D, bottom '[m']]]+#REF!)/(2*#REF!/1000),"")</f>
        <v/>
      </c>
      <c r="BX91" s="80" t="str">
        <f>IFERROR(TOWER_DATA[[#This Row],[Bottom '[m']]]-TOWER_DATA[[#This Row],[D, top '[m']]], "")</f>
        <v/>
      </c>
      <c r="BY91" s="80" t="str">
        <f>IFERROR(-(TOWER_DATA[[#This Row],[D, bottom '[m']]]-TOWER_DATA[[#This Row],[D, top '[m']]])/(TOWER_DATA[[#This Row],[Bottom '[m']]]-TOWER_DATA[[#This Row],[Top '[m']]]),"")</f>
        <v/>
      </c>
      <c r="BZ91" s="80" t="str">
        <f t="shared" si="6"/>
        <v/>
      </c>
      <c r="CA91" s="80" t="str">
        <f>IFERROR((TOWER_DATA[[#This Row],[D, bottom '[m']]]+TOWER_DATA[[#This Row],[D, top '[m']]])/(2*TOWER_DATA[[#This Row],[t '[mm']]]/1000),"")</f>
        <v/>
      </c>
      <c r="CB91" s="80" t="str">
        <f>IFERROR((TOWER_DATA[[#This Row],[D, bottom '[m']]]+#REF!)/(2*#REF!/1000),"")</f>
        <v/>
      </c>
      <c r="CG91" s="78"/>
      <c r="CH91" s="78"/>
      <c r="CI91" s="78"/>
      <c r="CK91" s="78"/>
      <c r="DF91" s="80"/>
      <c r="DG91" s="80"/>
      <c r="DH91" s="80"/>
      <c r="DI91" s="80"/>
      <c r="DK91" s="78">
        <v>67</v>
      </c>
      <c r="DL91" s="78">
        <v>20.71</v>
      </c>
      <c r="DM91" s="78">
        <v>20.655000000000001</v>
      </c>
      <c r="DN91">
        <v>7.5</v>
      </c>
      <c r="DO91" s="78">
        <v>7.5</v>
      </c>
      <c r="DP91">
        <v>64.5</v>
      </c>
    </row>
    <row r="92" spans="8:120" x14ac:dyDescent="0.3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P92" s="80" t="str">
        <f>IFERROR(TP_DATA[[#This Row],[Bottom '[m']]]-TP_DATA[[#This Row],[D, top '[m']]], "")</f>
        <v/>
      </c>
      <c r="AQ92" s="80" t="str">
        <f>IFERROR(-(TP_DATA[[#This Row],[D, bottom '[m']]]-TP_DATA[[#This Row],[D, top '[m']]])/(TP_DATA[[#This Row],[Bottom '[m']]]-TP_DATA[[#This Row],[Top '[m']]]),"")</f>
        <v/>
      </c>
      <c r="AR92" s="80" t="str">
        <f t="shared" si="5"/>
        <v/>
      </c>
      <c r="AS92" s="80" t="str">
        <f>IFERROR((TP_DATA[[#This Row],[D, bottom '[m']]]+TP_DATA[[#This Row],[D, top '[m']]])/(2*TP_DATA[[#This Row],[t '[mm']]]/1000),"")</f>
        <v/>
      </c>
      <c r="AT92" s="80" t="str">
        <f>IFERROR((TP_DATA[[#This Row],[D, bottom '[m']]]+#REF!)/(2*#REF!/1000),"")</f>
        <v/>
      </c>
      <c r="BX92" s="80" t="str">
        <f>IFERROR(TOWER_DATA[[#This Row],[Bottom '[m']]]-TOWER_DATA[[#This Row],[D, top '[m']]], "")</f>
        <v/>
      </c>
      <c r="BY92" s="80" t="str">
        <f>IFERROR(-(TOWER_DATA[[#This Row],[D, bottom '[m']]]-TOWER_DATA[[#This Row],[D, top '[m']]])/(TOWER_DATA[[#This Row],[Bottom '[m']]]-TOWER_DATA[[#This Row],[Top '[m']]]),"")</f>
        <v/>
      </c>
      <c r="BZ92" s="80" t="str">
        <f t="shared" si="6"/>
        <v/>
      </c>
      <c r="CA92" s="80" t="str">
        <f>IFERROR((TOWER_DATA[[#This Row],[D, bottom '[m']]]+TOWER_DATA[[#This Row],[D, top '[m']]])/(2*TOWER_DATA[[#This Row],[t '[mm']]]/1000),"")</f>
        <v/>
      </c>
      <c r="CB92" s="80" t="str">
        <f>IFERROR((TOWER_DATA[[#This Row],[D, bottom '[m']]]+#REF!)/(2*#REF!/1000),"")</f>
        <v/>
      </c>
      <c r="CG92" s="78"/>
      <c r="CH92" s="78"/>
      <c r="CI92" s="78"/>
      <c r="CK92" s="78"/>
      <c r="DF92" s="80"/>
      <c r="DG92" s="80"/>
      <c r="DH92" s="80"/>
      <c r="DI92" s="80"/>
      <c r="DK92" s="78">
        <v>68</v>
      </c>
      <c r="DL92" s="78">
        <v>20.655000000000001</v>
      </c>
      <c r="DM92" s="78">
        <v>20.5</v>
      </c>
      <c r="DN92">
        <v>7.5</v>
      </c>
      <c r="DO92" s="78">
        <v>7.5</v>
      </c>
      <c r="DP92">
        <v>64.5</v>
      </c>
    </row>
    <row r="93" spans="8:120" x14ac:dyDescent="0.3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P93" s="80" t="str">
        <f>IFERROR(TP_DATA[[#This Row],[Bottom '[m']]]-TP_DATA[[#This Row],[D, top '[m']]], "")</f>
        <v/>
      </c>
      <c r="AQ93" s="80" t="str">
        <f>IFERROR(-(TP_DATA[[#This Row],[D, bottom '[m']]]-TP_DATA[[#This Row],[D, top '[m']]])/(TP_DATA[[#This Row],[Bottom '[m']]]-TP_DATA[[#This Row],[Top '[m']]]),"")</f>
        <v/>
      </c>
      <c r="AR93" s="80" t="str">
        <f t="shared" si="5"/>
        <v/>
      </c>
      <c r="AS93" s="80" t="str">
        <f>IFERROR((TP_DATA[[#This Row],[D, bottom '[m']]]+TP_DATA[[#This Row],[D, top '[m']]])/(2*TP_DATA[[#This Row],[t '[mm']]]/1000),"")</f>
        <v/>
      </c>
      <c r="AT93" s="80" t="str">
        <f>IFERROR((TP_DATA[[#This Row],[D, bottom '[m']]]+#REF!)/(2*#REF!/1000),"")</f>
        <v/>
      </c>
      <c r="BX93" s="80" t="str">
        <f>IFERROR(TOWER_DATA[[#This Row],[Bottom '[m']]]-TOWER_DATA[[#This Row],[D, top '[m']]], "")</f>
        <v/>
      </c>
      <c r="BY93" s="80" t="str">
        <f>IFERROR(-(TOWER_DATA[[#This Row],[D, bottom '[m']]]-TOWER_DATA[[#This Row],[D, top '[m']]])/(TOWER_DATA[[#This Row],[Bottom '[m']]]-TOWER_DATA[[#This Row],[Top '[m']]]),"")</f>
        <v/>
      </c>
      <c r="BZ93" s="80" t="str">
        <f t="shared" si="6"/>
        <v/>
      </c>
      <c r="CA93" s="80" t="str">
        <f>IFERROR((TOWER_DATA[[#This Row],[D, bottom '[m']]]+TOWER_DATA[[#This Row],[D, top '[m']]])/(2*TOWER_DATA[[#This Row],[t '[mm']]]/1000),"")</f>
        <v/>
      </c>
      <c r="CB93" s="80" t="str">
        <f>IFERROR((TOWER_DATA[[#This Row],[D, bottom '[m']]]+#REF!)/(2*#REF!/1000),"")</f>
        <v/>
      </c>
      <c r="DF93" s="80" t="str">
        <f>IFERROR(RNA_DATA[[#This Row],[Inertia '[kg·m²']]]-RNA_DATA[[#This Row],[Offset TT_COG '[m']]], "")</f>
        <v/>
      </c>
      <c r="DG93" s="80" t="str">
        <f>IFERROR(-(RNA_DATA[[#This Row],[comment]]-RNA_DATA[[#This Row],[Offset TT_COG '[m']]])/(RNA_DATA[[#This Row],[Inertia '[kg·m²']]]-RNA_DATA[[#This Row],[Mass '[t']]]),"")</f>
        <v/>
      </c>
      <c r="DH93" s="80" t="str">
        <f t="shared" ref="DH93:DH152" si="7">IF(7850/1000*(1/3)*PI()*ABS(DA93-DB93)*((DC93/2)^2+(DC93/2)*(DD93/2)+(DD93/2)^2-(DC93/2-DE93/1000)^2-(DC93/2-DE93/1000)*(DD93/2-DE93/1000)-(DD93/2-DE93/1000)^2)=0,"",7850/1000*(1/3)*PI()*ABS(DA93-DB93)*((DC93/2)^2+(DC93/2)*(DD93/2)+(DD93/2)^2-(DC93/2-DE93/1000)^2-(DC93/2-DE93/1000)*(DD93/2-DE93/1000)-(DD93/2-DE93/1000)^2))</f>
        <v/>
      </c>
      <c r="DI93" s="80" t="str">
        <f>IFERROR((RNA_DATA[[#This Row],[comment]]+RNA_DATA[[#This Row],[Offset TT_COG '[m']]])/(2*#REF!/1000),"")</f>
        <v/>
      </c>
    </row>
    <row r="94" spans="8:120" x14ac:dyDescent="0.3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P94" s="80" t="str">
        <f>IFERROR(TP_DATA[[#This Row],[Bottom '[m']]]-TP_DATA[[#This Row],[D, top '[m']]], "")</f>
        <v/>
      </c>
      <c r="AQ94" s="80" t="str">
        <f>IFERROR(-(TP_DATA[[#This Row],[D, bottom '[m']]]-TP_DATA[[#This Row],[D, top '[m']]])/(TP_DATA[[#This Row],[Bottom '[m']]]-TP_DATA[[#This Row],[Top '[m']]]),"")</f>
        <v/>
      </c>
      <c r="AR94" s="80" t="str">
        <f t="shared" si="5"/>
        <v/>
      </c>
      <c r="AS94" s="80" t="str">
        <f>IFERROR((TP_DATA[[#This Row],[D, bottom '[m']]]+TP_DATA[[#This Row],[D, top '[m']]])/(2*TP_DATA[[#This Row],[t '[mm']]]/1000),"")</f>
        <v/>
      </c>
      <c r="AT94" s="80" t="str">
        <f>IFERROR((TP_DATA[[#This Row],[D, bottom '[m']]]+#REF!)/(2*#REF!/1000),"")</f>
        <v/>
      </c>
      <c r="BX94" s="80" t="str">
        <f>IFERROR(TOWER_DATA[[#This Row],[Bottom '[m']]]-TOWER_DATA[[#This Row],[D, top '[m']]], "")</f>
        <v/>
      </c>
      <c r="BY94" s="80" t="str">
        <f>IFERROR(-(TOWER_DATA[[#This Row],[D, bottom '[m']]]-TOWER_DATA[[#This Row],[D, top '[m']]])/(TOWER_DATA[[#This Row],[Bottom '[m']]]-TOWER_DATA[[#This Row],[Top '[m']]]),"")</f>
        <v/>
      </c>
      <c r="BZ94" s="80" t="str">
        <f t="shared" si="6"/>
        <v/>
      </c>
      <c r="CA94" s="80" t="str">
        <f>IFERROR((TOWER_DATA[[#This Row],[D, bottom '[m']]]+TOWER_DATA[[#This Row],[D, top '[m']]])/(2*TOWER_DATA[[#This Row],[t '[mm']]]/1000),"")</f>
        <v/>
      </c>
      <c r="CB94" s="80" t="str">
        <f>IFERROR((TOWER_DATA[[#This Row],[D, bottom '[m']]]+#REF!)/(2*#REF!/1000),"")</f>
        <v/>
      </c>
      <c r="DF94" s="80" t="str">
        <f>IFERROR(RNA_DATA[[#This Row],[Inertia '[kg·m²']]]-RNA_DATA[[#This Row],[Offset TT_COG '[m']]], "")</f>
        <v/>
      </c>
      <c r="DG94" s="80" t="str">
        <f>IFERROR(-(RNA_DATA[[#This Row],[comment]]-RNA_DATA[[#This Row],[Offset TT_COG '[m']]])/(RNA_DATA[[#This Row],[Inertia '[kg·m²']]]-RNA_DATA[[#This Row],[Mass '[t']]]),"")</f>
        <v/>
      </c>
      <c r="DH94" s="80" t="str">
        <f t="shared" si="7"/>
        <v/>
      </c>
      <c r="DI94" s="80" t="str">
        <f>IFERROR((RNA_DATA[[#This Row],[comment]]+RNA_DATA[[#This Row],[Offset TT_COG '[m']]])/(2*#REF!/1000),"")</f>
        <v/>
      </c>
    </row>
    <row r="95" spans="8:120" x14ac:dyDescent="0.3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P95" s="80" t="str">
        <f>IFERROR(TP_DATA[[#This Row],[Bottom '[m']]]-TP_DATA[[#This Row],[D, top '[m']]], "")</f>
        <v/>
      </c>
      <c r="AQ95" s="80" t="str">
        <f>IFERROR(-(TP_DATA[[#This Row],[D, bottom '[m']]]-TP_DATA[[#This Row],[D, top '[m']]])/(TP_DATA[[#This Row],[Bottom '[m']]]-TP_DATA[[#This Row],[Top '[m']]]),"")</f>
        <v/>
      </c>
      <c r="AR95" s="80" t="str">
        <f t="shared" si="5"/>
        <v/>
      </c>
      <c r="AS95" s="80" t="str">
        <f>IFERROR((TP_DATA[[#This Row],[D, bottom '[m']]]+TP_DATA[[#This Row],[D, top '[m']]])/(2*TP_DATA[[#This Row],[t '[mm']]]/1000),"")</f>
        <v/>
      </c>
      <c r="AT95" s="80" t="str">
        <f>IFERROR((TP_DATA[[#This Row],[D, bottom '[m']]]+#REF!)/(2*#REF!/1000),"")</f>
        <v/>
      </c>
      <c r="BX95" s="80" t="str">
        <f>IFERROR(TOWER_DATA[[#This Row],[Bottom '[m']]]-TOWER_DATA[[#This Row],[D, top '[m']]], "")</f>
        <v/>
      </c>
      <c r="BY95" s="80" t="str">
        <f>IFERROR(-(TOWER_DATA[[#This Row],[D, bottom '[m']]]-TOWER_DATA[[#This Row],[D, top '[m']]])/(TOWER_DATA[[#This Row],[Bottom '[m']]]-TOWER_DATA[[#This Row],[Top '[m']]]),"")</f>
        <v/>
      </c>
      <c r="BZ95" s="80" t="str">
        <f t="shared" si="6"/>
        <v/>
      </c>
      <c r="CA95" s="80" t="str">
        <f>IFERROR((TOWER_DATA[[#This Row],[D, bottom '[m']]]+TOWER_DATA[[#This Row],[D, top '[m']]])/(2*TOWER_DATA[[#This Row],[t '[mm']]]/1000),"")</f>
        <v/>
      </c>
      <c r="CB95" s="80" t="str">
        <f>IFERROR((TOWER_DATA[[#This Row],[D, bottom '[m']]]+#REF!)/(2*#REF!/1000),"")</f>
        <v/>
      </c>
      <c r="DF95" s="80" t="str">
        <f>IFERROR(RNA_DATA[[#This Row],[Inertia '[kg·m²']]]-RNA_DATA[[#This Row],[Offset TT_COG '[m']]], "")</f>
        <v/>
      </c>
      <c r="DG95" s="80" t="str">
        <f>IFERROR(-(RNA_DATA[[#This Row],[comment]]-RNA_DATA[[#This Row],[Offset TT_COG '[m']]])/(RNA_DATA[[#This Row],[Inertia '[kg·m²']]]-RNA_DATA[[#This Row],[Mass '[t']]]),"")</f>
        <v/>
      </c>
      <c r="DH95" s="80" t="str">
        <f t="shared" si="7"/>
        <v/>
      </c>
      <c r="DI95" s="80" t="str">
        <f>IFERROR((RNA_DATA[[#This Row],[comment]]+RNA_DATA[[#This Row],[Offset TT_COG '[m']]])/(2*#REF!/1000),"")</f>
        <v/>
      </c>
    </row>
    <row r="96" spans="8:120" x14ac:dyDescent="0.3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si="4"/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P96" s="80" t="str">
        <f>IFERROR(TP_DATA[[#This Row],[Bottom '[m']]]-TP_DATA[[#This Row],[D, top '[m']]], "")</f>
        <v/>
      </c>
      <c r="AQ96" s="80" t="str">
        <f>IFERROR(-(TP_DATA[[#This Row],[D, bottom '[m']]]-TP_DATA[[#This Row],[D, top '[m']]])/(TP_DATA[[#This Row],[Bottom '[m']]]-TP_DATA[[#This Row],[Top '[m']]]),"")</f>
        <v/>
      </c>
      <c r="AR96" s="80" t="str">
        <f t="shared" si="5"/>
        <v/>
      </c>
      <c r="AS96" s="80" t="str">
        <f>IFERROR((TP_DATA[[#This Row],[D, bottom '[m']]]+TP_DATA[[#This Row],[D, top '[m']]])/(2*TP_DATA[[#This Row],[t '[mm']]]/1000),"")</f>
        <v/>
      </c>
      <c r="AT96" s="80" t="str">
        <f>IFERROR((TP_DATA[[#This Row],[D, bottom '[m']]]+#REF!)/(2*#REF!/1000),"")</f>
        <v/>
      </c>
      <c r="BX96" s="80" t="str">
        <f>IFERROR(TOWER_DATA[[#This Row],[Bottom '[m']]]-TOWER_DATA[[#This Row],[D, top '[m']]], "")</f>
        <v/>
      </c>
      <c r="BY96" s="80" t="str">
        <f>IFERROR(-(TOWER_DATA[[#This Row],[D, bottom '[m']]]-TOWER_DATA[[#This Row],[D, top '[m']]])/(TOWER_DATA[[#This Row],[Bottom '[m']]]-TOWER_DATA[[#This Row],[Top '[m']]]),"")</f>
        <v/>
      </c>
      <c r="BZ96" s="80" t="str">
        <f t="shared" si="6"/>
        <v/>
      </c>
      <c r="CA96" s="80" t="str">
        <f>IFERROR((TOWER_DATA[[#This Row],[D, bottom '[m']]]+TOWER_DATA[[#This Row],[D, top '[m']]])/(2*TOWER_DATA[[#This Row],[t '[mm']]]/1000),"")</f>
        <v/>
      </c>
      <c r="CB96" s="80" t="str">
        <f>IFERROR((TOWER_DATA[[#This Row],[D, bottom '[m']]]+#REF!)/(2*#REF!/1000),"")</f>
        <v/>
      </c>
      <c r="DF96" s="80" t="str">
        <f>IFERROR(RNA_DATA[[#This Row],[Inertia '[kg·m²']]]-RNA_DATA[[#This Row],[Offset TT_COG '[m']]], "")</f>
        <v/>
      </c>
      <c r="DG96" s="80" t="str">
        <f>IFERROR(-(RNA_DATA[[#This Row],[comment]]-RNA_DATA[[#This Row],[Offset TT_COG '[m']]])/(RNA_DATA[[#This Row],[Inertia '[kg·m²']]]-RNA_DATA[[#This Row],[Mass '[t']]]),"")</f>
        <v/>
      </c>
      <c r="DH96" s="80" t="str">
        <f t="shared" si="7"/>
        <v/>
      </c>
      <c r="DI96" s="80" t="str">
        <f>IFERROR((RNA_DATA[[#This Row],[comment]]+RNA_DATA[[#This Row],[Offset TT_COG '[m']]])/(2*#REF!/1000),"")</f>
        <v/>
      </c>
    </row>
    <row r="97" spans="8:113" x14ac:dyDescent="0.3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4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P97" s="80" t="str">
        <f>IFERROR(TP_DATA[[#This Row],[Bottom '[m']]]-TP_DATA[[#This Row],[D, top '[m']]], "")</f>
        <v/>
      </c>
      <c r="AQ97" s="80" t="str">
        <f>IFERROR(-(TP_DATA[[#This Row],[D, bottom '[m']]]-TP_DATA[[#This Row],[D, top '[m']]])/(TP_DATA[[#This Row],[Bottom '[m']]]-TP_DATA[[#This Row],[Top '[m']]]),"")</f>
        <v/>
      </c>
      <c r="AR97" s="80" t="str">
        <f t="shared" si="5"/>
        <v/>
      </c>
      <c r="AS97" s="80" t="str">
        <f>IFERROR((TP_DATA[[#This Row],[D, bottom '[m']]]+TP_DATA[[#This Row],[D, top '[m']]])/(2*TP_DATA[[#This Row],[t '[mm']]]/1000),"")</f>
        <v/>
      </c>
      <c r="AT97" s="80" t="str">
        <f>IFERROR((TP_DATA[[#This Row],[D, bottom '[m']]]+#REF!)/(2*#REF!/1000),"")</f>
        <v/>
      </c>
      <c r="BX97" s="80" t="str">
        <f>IFERROR(TOWER_DATA[[#This Row],[Bottom '[m']]]-TOWER_DATA[[#This Row],[D, top '[m']]], "")</f>
        <v/>
      </c>
      <c r="BY97" s="80" t="str">
        <f>IFERROR(-(TOWER_DATA[[#This Row],[D, bottom '[m']]]-TOWER_DATA[[#This Row],[D, top '[m']]])/(TOWER_DATA[[#This Row],[Bottom '[m']]]-TOWER_DATA[[#This Row],[Top '[m']]]),"")</f>
        <v/>
      </c>
      <c r="BZ97" s="80" t="str">
        <f t="shared" si="6"/>
        <v/>
      </c>
      <c r="CA97" s="80" t="str">
        <f>IFERROR((TOWER_DATA[[#This Row],[D, bottom '[m']]]+TOWER_DATA[[#This Row],[D, top '[m']]])/(2*TOWER_DATA[[#This Row],[t '[mm']]]/1000),"")</f>
        <v/>
      </c>
      <c r="CB97" s="80" t="str">
        <f>IFERROR((TOWER_DATA[[#This Row],[D, bottom '[m']]]+#REF!)/(2*#REF!/1000),"")</f>
        <v/>
      </c>
      <c r="DF97" s="80" t="str">
        <f>IFERROR(RNA_DATA[[#This Row],[Inertia '[kg·m²']]]-RNA_DATA[[#This Row],[Offset TT_COG '[m']]], "")</f>
        <v/>
      </c>
      <c r="DG97" s="80" t="str">
        <f>IFERROR(-(RNA_DATA[[#This Row],[comment]]-RNA_DATA[[#This Row],[Offset TT_COG '[m']]])/(RNA_DATA[[#This Row],[Inertia '[kg·m²']]]-RNA_DATA[[#This Row],[Mass '[t']]]),"")</f>
        <v/>
      </c>
      <c r="DH97" s="80" t="str">
        <f t="shared" si="7"/>
        <v/>
      </c>
      <c r="DI97" s="80" t="str">
        <f>IFERROR((RNA_DATA[[#This Row],[comment]]+RNA_DATA[[#This Row],[Offset TT_COG '[m']]])/(2*#REF!/1000),"")</f>
        <v/>
      </c>
    </row>
    <row r="98" spans="8:113" x14ac:dyDescent="0.3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si="4"/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P98" s="80" t="str">
        <f>IFERROR(TP_DATA[[#This Row],[Bottom '[m']]]-TP_DATA[[#This Row],[D, top '[m']]], "")</f>
        <v/>
      </c>
      <c r="AQ98" s="80" t="str">
        <f>IFERROR(-(TP_DATA[[#This Row],[D, bottom '[m']]]-TP_DATA[[#This Row],[D, top '[m']]])/(TP_DATA[[#This Row],[Bottom '[m']]]-TP_DATA[[#This Row],[Top '[m']]]),"")</f>
        <v/>
      </c>
      <c r="AR98" s="80" t="str">
        <f t="shared" si="5"/>
        <v/>
      </c>
      <c r="AS98" s="80" t="str">
        <f>IFERROR((TP_DATA[[#This Row],[D, bottom '[m']]]+TP_DATA[[#This Row],[D, top '[m']]])/(2*TP_DATA[[#This Row],[t '[mm']]]/1000),"")</f>
        <v/>
      </c>
      <c r="AT98" s="80" t="str">
        <f>IFERROR((TP_DATA[[#This Row],[D, bottom '[m']]]+#REF!)/(2*#REF!/1000),"")</f>
        <v/>
      </c>
      <c r="BX98" s="80" t="str">
        <f>IFERROR(TOWER_DATA[[#This Row],[Bottom '[m']]]-TOWER_DATA[[#This Row],[D, top '[m']]], "")</f>
        <v/>
      </c>
      <c r="BY98" s="80" t="str">
        <f>IFERROR(-(TOWER_DATA[[#This Row],[D, bottom '[m']]]-TOWER_DATA[[#This Row],[D, top '[m']]])/(TOWER_DATA[[#This Row],[Bottom '[m']]]-TOWER_DATA[[#This Row],[Top '[m']]]),"")</f>
        <v/>
      </c>
      <c r="BZ98" s="80" t="str">
        <f t="shared" si="6"/>
        <v/>
      </c>
      <c r="CA98" s="80" t="str">
        <f>IFERROR((TOWER_DATA[[#This Row],[D, bottom '[m']]]+TOWER_DATA[[#This Row],[D, top '[m']]])/(2*TOWER_DATA[[#This Row],[t '[mm']]]/1000),"")</f>
        <v/>
      </c>
      <c r="CB98" s="80" t="str">
        <f>IFERROR((TOWER_DATA[[#This Row],[D, bottom '[m']]]+#REF!)/(2*#REF!/1000),"")</f>
        <v/>
      </c>
      <c r="DF98" s="80" t="str">
        <f>IFERROR(RNA_DATA[[#This Row],[Inertia '[kg·m²']]]-RNA_DATA[[#This Row],[Offset TT_COG '[m']]], "")</f>
        <v/>
      </c>
      <c r="DG98" s="80" t="str">
        <f>IFERROR(-(RNA_DATA[[#This Row],[comment]]-RNA_DATA[[#This Row],[Offset TT_COG '[m']]])/(RNA_DATA[[#This Row],[Inertia '[kg·m²']]]-RNA_DATA[[#This Row],[Mass '[t']]]),"")</f>
        <v/>
      </c>
      <c r="DH98" s="80" t="str">
        <f t="shared" si="7"/>
        <v/>
      </c>
      <c r="DI98" s="80" t="str">
        <f>IFERROR((RNA_DATA[[#This Row],[comment]]+RNA_DATA[[#This Row],[Offset TT_COG '[m']]])/(2*#REF!/1000),"")</f>
        <v/>
      </c>
    </row>
    <row r="99" spans="8:113" x14ac:dyDescent="0.3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4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P99" s="80" t="str">
        <f>IFERROR(TP_DATA[[#This Row],[Bottom '[m']]]-TP_DATA[[#This Row],[D, top '[m']]], "")</f>
        <v/>
      </c>
      <c r="AQ99" s="80" t="str">
        <f>IFERROR(-(TP_DATA[[#This Row],[D, bottom '[m']]]-TP_DATA[[#This Row],[D, top '[m']]])/(TP_DATA[[#This Row],[Bottom '[m']]]-TP_DATA[[#This Row],[Top '[m']]]),"")</f>
        <v/>
      </c>
      <c r="AR99" s="80" t="str">
        <f t="shared" si="5"/>
        <v/>
      </c>
      <c r="AS99" s="80" t="str">
        <f>IFERROR((TP_DATA[[#This Row],[D, bottom '[m']]]+TP_DATA[[#This Row],[D, top '[m']]])/(2*TP_DATA[[#This Row],[t '[mm']]]/1000),"")</f>
        <v/>
      </c>
      <c r="AT99" s="80" t="str">
        <f>IFERROR((TP_DATA[[#This Row],[D, bottom '[m']]]+#REF!)/(2*#REF!/1000),"")</f>
        <v/>
      </c>
      <c r="BX99" s="80" t="str">
        <f>IFERROR(TOWER_DATA[[#This Row],[Bottom '[m']]]-TOWER_DATA[[#This Row],[D, top '[m']]], "")</f>
        <v/>
      </c>
      <c r="BY99" s="80" t="str">
        <f>IFERROR(-(TOWER_DATA[[#This Row],[D, bottom '[m']]]-TOWER_DATA[[#This Row],[D, top '[m']]])/(TOWER_DATA[[#This Row],[Bottom '[m']]]-TOWER_DATA[[#This Row],[Top '[m']]]),"")</f>
        <v/>
      </c>
      <c r="BZ99" s="80" t="str">
        <f t="shared" si="6"/>
        <v/>
      </c>
      <c r="CA99" s="80" t="str">
        <f>IFERROR((TOWER_DATA[[#This Row],[D, bottom '[m']]]+TOWER_DATA[[#This Row],[D, top '[m']]])/(2*TOWER_DATA[[#This Row],[t '[mm']]]/1000),"")</f>
        <v/>
      </c>
      <c r="CB99" s="80" t="str">
        <f>IFERROR((TOWER_DATA[[#This Row],[D, bottom '[m']]]+#REF!)/(2*#REF!/1000),"")</f>
        <v/>
      </c>
      <c r="DF99" s="80" t="str">
        <f>IFERROR(RNA_DATA[[#This Row],[Inertia '[kg·m²']]]-RNA_DATA[[#This Row],[Offset TT_COG '[m']]], "")</f>
        <v/>
      </c>
      <c r="DG99" s="80" t="str">
        <f>IFERROR(-(RNA_DATA[[#This Row],[comment]]-RNA_DATA[[#This Row],[Offset TT_COG '[m']]])/(RNA_DATA[[#This Row],[Inertia '[kg·m²']]]-RNA_DATA[[#This Row],[Mass '[t']]]),"")</f>
        <v/>
      </c>
      <c r="DH99" s="80" t="str">
        <f t="shared" si="7"/>
        <v/>
      </c>
      <c r="DI99" s="80" t="str">
        <f>IFERROR((RNA_DATA[[#This Row],[comment]]+RNA_DATA[[#This Row],[Offset TT_COG '[m']]])/(2*#REF!/1000),"")</f>
        <v/>
      </c>
    </row>
    <row r="100" spans="8:113" x14ac:dyDescent="0.3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4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P100" s="80" t="str">
        <f>IFERROR(TP_DATA[[#This Row],[Bottom '[m']]]-TP_DATA[[#This Row],[D, top '[m']]], "")</f>
        <v/>
      </c>
      <c r="AQ100" s="80" t="str">
        <f>IFERROR(-(TP_DATA[[#This Row],[D, bottom '[m']]]-TP_DATA[[#This Row],[D, top '[m']]])/(TP_DATA[[#This Row],[Bottom '[m']]]-TP_DATA[[#This Row],[Top '[m']]]),"")</f>
        <v/>
      </c>
      <c r="AR100" s="80" t="str">
        <f t="shared" si="5"/>
        <v/>
      </c>
      <c r="AS100" s="80" t="str">
        <f>IFERROR((TP_DATA[[#This Row],[D, bottom '[m']]]+TP_DATA[[#This Row],[D, top '[m']]])/(2*TP_DATA[[#This Row],[t '[mm']]]/1000),"")</f>
        <v/>
      </c>
      <c r="AT100" s="80" t="str">
        <f>IFERROR((TP_DATA[[#This Row],[D, bottom '[m']]]+#REF!)/(2*#REF!/1000),"")</f>
        <v/>
      </c>
      <c r="BX100" s="80" t="str">
        <f>IFERROR(TOWER_DATA[[#This Row],[Bottom '[m']]]-TOWER_DATA[[#This Row],[D, top '[m']]], "")</f>
        <v/>
      </c>
      <c r="BY100" s="80" t="str">
        <f>IFERROR(-(TOWER_DATA[[#This Row],[D, bottom '[m']]]-TOWER_DATA[[#This Row],[D, top '[m']]])/(TOWER_DATA[[#This Row],[Bottom '[m']]]-TOWER_DATA[[#This Row],[Top '[m']]]),"")</f>
        <v/>
      </c>
      <c r="BZ100" s="80" t="str">
        <f t="shared" si="6"/>
        <v/>
      </c>
      <c r="CA100" s="80" t="str">
        <f>IFERROR((TOWER_DATA[[#This Row],[D, bottom '[m']]]+TOWER_DATA[[#This Row],[D, top '[m']]])/(2*TOWER_DATA[[#This Row],[t '[mm']]]/1000),"")</f>
        <v/>
      </c>
      <c r="CB100" s="80" t="str">
        <f>IFERROR((TOWER_DATA[[#This Row],[D, bottom '[m']]]+#REF!)/(2*#REF!/1000),"")</f>
        <v/>
      </c>
      <c r="DF100" s="80" t="str">
        <f>IFERROR(RNA_DATA[[#This Row],[Inertia '[kg·m²']]]-RNA_DATA[[#This Row],[Offset TT_COG '[m']]], "")</f>
        <v/>
      </c>
      <c r="DG100" s="80" t="str">
        <f>IFERROR(-(RNA_DATA[[#This Row],[comment]]-RNA_DATA[[#This Row],[Offset TT_COG '[m']]])/(RNA_DATA[[#This Row],[Inertia '[kg·m²']]]-RNA_DATA[[#This Row],[Mass '[t']]]),"")</f>
        <v/>
      </c>
      <c r="DH100" s="80" t="str">
        <f t="shared" si="7"/>
        <v/>
      </c>
      <c r="DI100" s="80" t="str">
        <f>IFERROR((RNA_DATA[[#This Row],[comment]]+RNA_DATA[[#This Row],[Offset TT_COG '[m']]])/(2*#REF!/1000),"")</f>
        <v/>
      </c>
    </row>
    <row r="101" spans="8:113" x14ac:dyDescent="0.3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4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P101" s="80" t="str">
        <f>IFERROR(TP_DATA[[#This Row],[Bottom '[m']]]-TP_DATA[[#This Row],[D, top '[m']]], "")</f>
        <v/>
      </c>
      <c r="AQ101" s="80" t="str">
        <f>IFERROR(-(TP_DATA[[#This Row],[D, bottom '[m']]]-TP_DATA[[#This Row],[D, top '[m']]])/(TP_DATA[[#This Row],[Bottom '[m']]]-TP_DATA[[#This Row],[Top '[m']]]),"")</f>
        <v/>
      </c>
      <c r="AR101" s="80" t="str">
        <f t="shared" si="5"/>
        <v/>
      </c>
      <c r="AS101" s="80" t="str">
        <f>IFERROR((TP_DATA[[#This Row],[D, bottom '[m']]]+TP_DATA[[#This Row],[D, top '[m']]])/(2*TP_DATA[[#This Row],[t '[mm']]]/1000),"")</f>
        <v/>
      </c>
      <c r="AT101" s="80" t="str">
        <f>IFERROR((TP_DATA[[#This Row],[D, bottom '[m']]]+#REF!)/(2*#REF!/1000),"")</f>
        <v/>
      </c>
      <c r="BX101" s="80" t="str">
        <f>IFERROR(TOWER_DATA[[#This Row],[Bottom '[m']]]-TOWER_DATA[[#This Row],[D, top '[m']]], "")</f>
        <v/>
      </c>
      <c r="BY101" s="80" t="str">
        <f>IFERROR(-(TOWER_DATA[[#This Row],[D, bottom '[m']]]-TOWER_DATA[[#This Row],[D, top '[m']]])/(TOWER_DATA[[#This Row],[Bottom '[m']]]-TOWER_DATA[[#This Row],[Top '[m']]]),"")</f>
        <v/>
      </c>
      <c r="BZ101" s="80" t="str">
        <f t="shared" si="6"/>
        <v/>
      </c>
      <c r="CA101" s="80" t="str">
        <f>IFERROR((TOWER_DATA[[#This Row],[D, bottom '[m']]]+TOWER_DATA[[#This Row],[D, top '[m']]])/(2*TOWER_DATA[[#This Row],[t '[mm']]]/1000),"")</f>
        <v/>
      </c>
      <c r="CB101" s="80" t="str">
        <f>IFERROR((TOWER_DATA[[#This Row],[D, bottom '[m']]]+#REF!)/(2*#REF!/1000),"")</f>
        <v/>
      </c>
      <c r="DF101" s="80" t="str">
        <f>IFERROR(RNA_DATA[[#This Row],[Inertia '[kg·m²']]]-RNA_DATA[[#This Row],[Offset TT_COG '[m']]], "")</f>
        <v/>
      </c>
      <c r="DG101" s="80" t="str">
        <f>IFERROR(-(RNA_DATA[[#This Row],[comment]]-RNA_DATA[[#This Row],[Offset TT_COG '[m']]])/(RNA_DATA[[#This Row],[Inertia '[kg·m²']]]-RNA_DATA[[#This Row],[Mass '[t']]]),"")</f>
        <v/>
      </c>
      <c r="DH101" s="80" t="str">
        <f t="shared" si="7"/>
        <v/>
      </c>
      <c r="DI101" s="80" t="str">
        <f>IFERROR((RNA_DATA[[#This Row],[comment]]+RNA_DATA[[#This Row],[Offset TT_COG '[m']]])/(2*#REF!/1000),"")</f>
        <v/>
      </c>
    </row>
    <row r="102" spans="8:113" x14ac:dyDescent="0.3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4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P102" s="80" t="str">
        <f>IFERROR(TP_DATA[[#This Row],[Bottom '[m']]]-TP_DATA[[#This Row],[D, top '[m']]], "")</f>
        <v/>
      </c>
      <c r="AQ102" s="80" t="str">
        <f>IFERROR(-(TP_DATA[[#This Row],[D, bottom '[m']]]-TP_DATA[[#This Row],[D, top '[m']]])/(TP_DATA[[#This Row],[Bottom '[m']]]-TP_DATA[[#This Row],[Top '[m']]]),"")</f>
        <v/>
      </c>
      <c r="AR102" s="80" t="str">
        <f t="shared" si="5"/>
        <v/>
      </c>
      <c r="AS102" s="80" t="str">
        <f>IFERROR((TP_DATA[[#This Row],[D, bottom '[m']]]+TP_DATA[[#This Row],[D, top '[m']]])/(2*TP_DATA[[#This Row],[t '[mm']]]/1000),"")</f>
        <v/>
      </c>
      <c r="AT102" s="80" t="str">
        <f>IFERROR((TP_DATA[[#This Row],[D, bottom '[m']]]+#REF!)/(2*#REF!/1000),"")</f>
        <v/>
      </c>
      <c r="BX102" s="80" t="str">
        <f>IFERROR(TOWER_DATA[[#This Row],[Bottom '[m']]]-TOWER_DATA[[#This Row],[D, top '[m']]], "")</f>
        <v/>
      </c>
      <c r="BY102" s="80" t="str">
        <f>IFERROR(-(TOWER_DATA[[#This Row],[D, bottom '[m']]]-TOWER_DATA[[#This Row],[D, top '[m']]])/(TOWER_DATA[[#This Row],[Bottom '[m']]]-TOWER_DATA[[#This Row],[Top '[m']]]),"")</f>
        <v/>
      </c>
      <c r="BZ102" s="80" t="str">
        <f t="shared" si="6"/>
        <v/>
      </c>
      <c r="CA102" s="80" t="str">
        <f>IFERROR((TOWER_DATA[[#This Row],[D, bottom '[m']]]+TOWER_DATA[[#This Row],[D, top '[m']]])/(2*TOWER_DATA[[#This Row],[t '[mm']]]/1000),"")</f>
        <v/>
      </c>
      <c r="CB102" s="80" t="str">
        <f>IFERROR((TOWER_DATA[[#This Row],[D, bottom '[m']]]+#REF!)/(2*#REF!/1000),"")</f>
        <v/>
      </c>
      <c r="DF102" s="80" t="str">
        <f>IFERROR(RNA_DATA[[#This Row],[Inertia '[kg·m²']]]-RNA_DATA[[#This Row],[Offset TT_COG '[m']]], "")</f>
        <v/>
      </c>
      <c r="DG102" s="80" t="str">
        <f>IFERROR(-(RNA_DATA[[#This Row],[comment]]-RNA_DATA[[#This Row],[Offset TT_COG '[m']]])/(RNA_DATA[[#This Row],[Inertia '[kg·m²']]]-RNA_DATA[[#This Row],[Mass '[t']]]),"")</f>
        <v/>
      </c>
      <c r="DH102" s="80" t="str">
        <f t="shared" si="7"/>
        <v/>
      </c>
      <c r="DI102" s="80" t="str">
        <f>IFERROR((RNA_DATA[[#This Row],[comment]]+RNA_DATA[[#This Row],[Offset TT_COG '[m']]])/(2*#REF!/1000),"")</f>
        <v/>
      </c>
    </row>
    <row r="103" spans="8:113" x14ac:dyDescent="0.3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4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P103" s="80" t="str">
        <f>IFERROR(TP_DATA[[#This Row],[Bottom '[m']]]-TP_DATA[[#This Row],[D, top '[m']]], "")</f>
        <v/>
      </c>
      <c r="AQ103" s="80" t="str">
        <f>IFERROR(-(TP_DATA[[#This Row],[D, bottom '[m']]]-TP_DATA[[#This Row],[D, top '[m']]])/(TP_DATA[[#This Row],[Bottom '[m']]]-TP_DATA[[#This Row],[Top '[m']]]),"")</f>
        <v/>
      </c>
      <c r="AR103" s="80" t="str">
        <f t="shared" si="5"/>
        <v/>
      </c>
      <c r="AS103" s="80" t="str">
        <f>IFERROR((TP_DATA[[#This Row],[D, bottom '[m']]]+TP_DATA[[#This Row],[D, top '[m']]])/(2*TP_DATA[[#This Row],[t '[mm']]]/1000),"")</f>
        <v/>
      </c>
      <c r="AT103" s="80" t="str">
        <f>IFERROR((TP_DATA[[#This Row],[D, bottom '[m']]]+#REF!)/(2*#REF!/1000),"")</f>
        <v/>
      </c>
      <c r="BX103" s="80" t="str">
        <f>IFERROR(TOWER_DATA[[#This Row],[Bottom '[m']]]-TOWER_DATA[[#This Row],[D, top '[m']]], "")</f>
        <v/>
      </c>
      <c r="BY103" s="80" t="str">
        <f>IFERROR(-(TOWER_DATA[[#This Row],[D, bottom '[m']]]-TOWER_DATA[[#This Row],[D, top '[m']]])/(TOWER_DATA[[#This Row],[Bottom '[m']]]-TOWER_DATA[[#This Row],[Top '[m']]]),"")</f>
        <v/>
      </c>
      <c r="BZ103" s="80" t="str">
        <f t="shared" si="6"/>
        <v/>
      </c>
      <c r="CA103" s="80" t="str">
        <f>IFERROR((TOWER_DATA[[#This Row],[D, bottom '[m']]]+TOWER_DATA[[#This Row],[D, top '[m']]])/(2*TOWER_DATA[[#This Row],[t '[mm']]]/1000),"")</f>
        <v/>
      </c>
      <c r="CB103" s="80" t="str">
        <f>IFERROR((TOWER_DATA[[#This Row],[D, bottom '[m']]]+#REF!)/(2*#REF!/1000),"")</f>
        <v/>
      </c>
      <c r="DF103" s="80" t="str">
        <f>IFERROR(RNA_DATA[[#This Row],[Inertia '[kg·m²']]]-RNA_DATA[[#This Row],[Offset TT_COG '[m']]], "")</f>
        <v/>
      </c>
      <c r="DG103" s="80" t="str">
        <f>IFERROR(-(RNA_DATA[[#This Row],[comment]]-RNA_DATA[[#This Row],[Offset TT_COG '[m']]])/(RNA_DATA[[#This Row],[Inertia '[kg·m²']]]-RNA_DATA[[#This Row],[Mass '[t']]]),"")</f>
        <v/>
      </c>
      <c r="DH103" s="80" t="str">
        <f t="shared" si="7"/>
        <v/>
      </c>
      <c r="DI103" s="80" t="str">
        <f>IFERROR((RNA_DATA[[#This Row],[comment]]+RNA_DATA[[#This Row],[Offset TT_COG '[m']]])/(2*#REF!/1000),"")</f>
        <v/>
      </c>
    </row>
    <row r="104" spans="8:113" x14ac:dyDescent="0.3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4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P104" s="80" t="str">
        <f>IFERROR(TP_DATA[[#This Row],[Bottom '[m']]]-TP_DATA[[#This Row],[D, top '[m']]], "")</f>
        <v/>
      </c>
      <c r="AQ104" s="80" t="str">
        <f>IFERROR(-(TP_DATA[[#This Row],[D, bottom '[m']]]-TP_DATA[[#This Row],[D, top '[m']]])/(TP_DATA[[#This Row],[Bottom '[m']]]-TP_DATA[[#This Row],[Top '[m']]]),"")</f>
        <v/>
      </c>
      <c r="AR104" s="80" t="str">
        <f t="shared" si="5"/>
        <v/>
      </c>
      <c r="AS104" s="80" t="str">
        <f>IFERROR((TP_DATA[[#This Row],[D, bottom '[m']]]+TP_DATA[[#This Row],[D, top '[m']]])/(2*TP_DATA[[#This Row],[t '[mm']]]/1000),"")</f>
        <v/>
      </c>
      <c r="AT104" s="80" t="str">
        <f>IFERROR((TP_DATA[[#This Row],[D, bottom '[m']]]+#REF!)/(2*#REF!/1000),"")</f>
        <v/>
      </c>
      <c r="BX104" s="80" t="str">
        <f>IFERROR(TOWER_DATA[[#This Row],[Bottom '[m']]]-TOWER_DATA[[#This Row],[D, top '[m']]], "")</f>
        <v/>
      </c>
      <c r="BY104" s="80" t="str">
        <f>IFERROR(-(TOWER_DATA[[#This Row],[D, bottom '[m']]]-TOWER_DATA[[#This Row],[D, top '[m']]])/(TOWER_DATA[[#This Row],[Bottom '[m']]]-TOWER_DATA[[#This Row],[Top '[m']]]),"")</f>
        <v/>
      </c>
      <c r="BZ104" s="80" t="str">
        <f t="shared" si="6"/>
        <v/>
      </c>
      <c r="CA104" s="80" t="str">
        <f>IFERROR((TOWER_DATA[[#This Row],[D, bottom '[m']]]+TOWER_DATA[[#This Row],[D, top '[m']]])/(2*TOWER_DATA[[#This Row],[t '[mm']]]/1000),"")</f>
        <v/>
      </c>
      <c r="CB104" s="80" t="str">
        <f>IFERROR((TOWER_DATA[[#This Row],[D, bottom '[m']]]+#REF!)/(2*#REF!/1000),"")</f>
        <v/>
      </c>
      <c r="DF104" s="80" t="str">
        <f>IFERROR(RNA_DATA[[#This Row],[Inertia '[kg·m²']]]-RNA_DATA[[#This Row],[Offset TT_COG '[m']]], "")</f>
        <v/>
      </c>
      <c r="DG104" s="80" t="str">
        <f>IFERROR(-(RNA_DATA[[#This Row],[comment]]-RNA_DATA[[#This Row],[Offset TT_COG '[m']]])/(RNA_DATA[[#This Row],[Inertia '[kg·m²']]]-RNA_DATA[[#This Row],[Mass '[t']]]),"")</f>
        <v/>
      </c>
      <c r="DH104" s="80" t="str">
        <f t="shared" si="7"/>
        <v/>
      </c>
      <c r="DI104" s="80" t="str">
        <f>IFERROR((RNA_DATA[[#This Row],[comment]]+RNA_DATA[[#This Row],[Offset TT_COG '[m']]])/(2*#REF!/1000),"")</f>
        <v/>
      </c>
    </row>
    <row r="105" spans="8:113" x14ac:dyDescent="0.3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4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P105" s="80" t="str">
        <f>IFERROR(TP_DATA[[#This Row],[Bottom '[m']]]-TP_DATA[[#This Row],[D, top '[m']]], "")</f>
        <v/>
      </c>
      <c r="AQ105" s="80" t="str">
        <f>IFERROR(-(TP_DATA[[#This Row],[D, bottom '[m']]]-TP_DATA[[#This Row],[D, top '[m']]])/(TP_DATA[[#This Row],[Bottom '[m']]]-TP_DATA[[#This Row],[Top '[m']]]),"")</f>
        <v/>
      </c>
      <c r="AR105" s="80" t="str">
        <f t="shared" si="5"/>
        <v/>
      </c>
      <c r="AS105" s="80" t="str">
        <f>IFERROR((TP_DATA[[#This Row],[D, bottom '[m']]]+TP_DATA[[#This Row],[D, top '[m']]])/(2*TP_DATA[[#This Row],[t '[mm']]]/1000),"")</f>
        <v/>
      </c>
      <c r="AT105" s="80" t="str">
        <f>IFERROR((TP_DATA[[#This Row],[D, bottom '[m']]]+#REF!)/(2*#REF!/1000),"")</f>
        <v/>
      </c>
      <c r="BX105" s="80" t="str">
        <f>IFERROR(TOWER_DATA[[#This Row],[Bottom '[m']]]-TOWER_DATA[[#This Row],[D, top '[m']]], "")</f>
        <v/>
      </c>
      <c r="BY105" s="80" t="str">
        <f>IFERROR(-(TOWER_DATA[[#This Row],[D, bottom '[m']]]-TOWER_DATA[[#This Row],[D, top '[m']]])/(TOWER_DATA[[#This Row],[Bottom '[m']]]-TOWER_DATA[[#This Row],[Top '[m']]]),"")</f>
        <v/>
      </c>
      <c r="BZ105" s="80" t="str">
        <f t="shared" si="6"/>
        <v/>
      </c>
      <c r="CA105" s="80" t="str">
        <f>IFERROR((TOWER_DATA[[#This Row],[D, bottom '[m']]]+TOWER_DATA[[#This Row],[D, top '[m']]])/(2*TOWER_DATA[[#This Row],[t '[mm']]]/1000),"")</f>
        <v/>
      </c>
      <c r="CB105" s="80" t="str">
        <f>IFERROR((TOWER_DATA[[#This Row],[D, bottom '[m']]]+#REF!)/(2*#REF!/1000),"")</f>
        <v/>
      </c>
      <c r="DF105" s="80" t="str">
        <f>IFERROR(RNA_DATA[[#This Row],[Inertia '[kg·m²']]]-RNA_DATA[[#This Row],[Offset TT_COG '[m']]], "")</f>
        <v/>
      </c>
      <c r="DG105" s="80" t="str">
        <f>IFERROR(-(RNA_DATA[[#This Row],[comment]]-RNA_DATA[[#This Row],[Offset TT_COG '[m']]])/(RNA_DATA[[#This Row],[Inertia '[kg·m²']]]-RNA_DATA[[#This Row],[Mass '[t']]]),"")</f>
        <v/>
      </c>
      <c r="DH105" s="80" t="str">
        <f t="shared" si="7"/>
        <v/>
      </c>
      <c r="DI105" s="80" t="str">
        <f>IFERROR((RNA_DATA[[#This Row],[comment]]+RNA_DATA[[#This Row],[Offset TT_COG '[m']]])/(2*#REF!/1000),"")</f>
        <v/>
      </c>
    </row>
    <row r="106" spans="8:113" x14ac:dyDescent="0.3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4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P106" s="80" t="str">
        <f>IFERROR(TP_DATA[[#This Row],[Bottom '[m']]]-TP_DATA[[#This Row],[D, top '[m']]], "")</f>
        <v/>
      </c>
      <c r="AQ106" s="80" t="str">
        <f>IFERROR(-(TP_DATA[[#This Row],[D, bottom '[m']]]-TP_DATA[[#This Row],[D, top '[m']]])/(TP_DATA[[#This Row],[Bottom '[m']]]-TP_DATA[[#This Row],[Top '[m']]]),"")</f>
        <v/>
      </c>
      <c r="AR106" s="80" t="str">
        <f t="shared" si="5"/>
        <v/>
      </c>
      <c r="AS106" s="80" t="str">
        <f>IFERROR((TP_DATA[[#This Row],[D, bottom '[m']]]+TP_DATA[[#This Row],[D, top '[m']]])/(2*TP_DATA[[#This Row],[t '[mm']]]/1000),"")</f>
        <v/>
      </c>
      <c r="AT106" s="80" t="str">
        <f>IFERROR((TP_DATA[[#This Row],[D, bottom '[m']]]+#REF!)/(2*#REF!/1000),"")</f>
        <v/>
      </c>
      <c r="BX106" s="80" t="str">
        <f>IFERROR(TOWER_DATA[[#This Row],[Bottom '[m']]]-TOWER_DATA[[#This Row],[D, top '[m']]], "")</f>
        <v/>
      </c>
      <c r="BY106" s="80" t="str">
        <f>IFERROR(-(TOWER_DATA[[#This Row],[D, bottom '[m']]]-TOWER_DATA[[#This Row],[D, top '[m']]])/(TOWER_DATA[[#This Row],[Bottom '[m']]]-TOWER_DATA[[#This Row],[Top '[m']]]),"")</f>
        <v/>
      </c>
      <c r="BZ106" s="80" t="str">
        <f t="shared" si="6"/>
        <v/>
      </c>
      <c r="CA106" s="80" t="str">
        <f>IFERROR((TOWER_DATA[[#This Row],[D, bottom '[m']]]+TOWER_DATA[[#This Row],[D, top '[m']]])/(2*TOWER_DATA[[#This Row],[t '[mm']]]/1000),"")</f>
        <v/>
      </c>
      <c r="CB106" s="80" t="str">
        <f>IFERROR((TOWER_DATA[[#This Row],[D, bottom '[m']]]+#REF!)/(2*#REF!/1000),"")</f>
        <v/>
      </c>
      <c r="DF106" s="80" t="str">
        <f>IFERROR(RNA_DATA[[#This Row],[Inertia '[kg·m²']]]-RNA_DATA[[#This Row],[Offset TT_COG '[m']]], "")</f>
        <v/>
      </c>
      <c r="DG106" s="80" t="str">
        <f>IFERROR(-(RNA_DATA[[#This Row],[comment]]-RNA_DATA[[#This Row],[Offset TT_COG '[m']]])/(RNA_DATA[[#This Row],[Inertia '[kg·m²']]]-RNA_DATA[[#This Row],[Mass '[t']]]),"")</f>
        <v/>
      </c>
      <c r="DH106" s="80" t="str">
        <f t="shared" si="7"/>
        <v/>
      </c>
      <c r="DI106" s="80" t="str">
        <f>IFERROR((RNA_DATA[[#This Row],[comment]]+RNA_DATA[[#This Row],[Offset TT_COG '[m']]])/(2*#REF!/1000),"")</f>
        <v/>
      </c>
    </row>
    <row r="107" spans="8:113" x14ac:dyDescent="0.3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4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P107" s="80" t="str">
        <f>IFERROR(TP_DATA[[#This Row],[Bottom '[m']]]-TP_DATA[[#This Row],[D, top '[m']]], "")</f>
        <v/>
      </c>
      <c r="AQ107" s="80" t="str">
        <f>IFERROR(-(TP_DATA[[#This Row],[D, bottom '[m']]]-TP_DATA[[#This Row],[D, top '[m']]])/(TP_DATA[[#This Row],[Bottom '[m']]]-TP_DATA[[#This Row],[Top '[m']]]),"")</f>
        <v/>
      </c>
      <c r="AR107" s="80" t="str">
        <f t="shared" si="5"/>
        <v/>
      </c>
      <c r="AS107" s="80" t="str">
        <f>IFERROR((TP_DATA[[#This Row],[D, bottom '[m']]]+TP_DATA[[#This Row],[D, top '[m']]])/(2*TP_DATA[[#This Row],[t '[mm']]]/1000),"")</f>
        <v/>
      </c>
      <c r="AT107" s="80" t="str">
        <f>IFERROR((TP_DATA[[#This Row],[D, bottom '[m']]]+#REF!)/(2*#REF!/1000),"")</f>
        <v/>
      </c>
      <c r="BX107" s="80" t="str">
        <f>IFERROR(TOWER_DATA[[#This Row],[Bottom '[m']]]-TOWER_DATA[[#This Row],[D, top '[m']]], "")</f>
        <v/>
      </c>
      <c r="BY107" s="80" t="str">
        <f>IFERROR(-(TOWER_DATA[[#This Row],[D, bottom '[m']]]-TOWER_DATA[[#This Row],[D, top '[m']]])/(TOWER_DATA[[#This Row],[Bottom '[m']]]-TOWER_DATA[[#This Row],[Top '[m']]]),"")</f>
        <v/>
      </c>
      <c r="BZ107" s="80" t="str">
        <f t="shared" si="6"/>
        <v/>
      </c>
      <c r="CA107" s="80" t="str">
        <f>IFERROR((TOWER_DATA[[#This Row],[D, bottom '[m']]]+TOWER_DATA[[#This Row],[D, top '[m']]])/(2*TOWER_DATA[[#This Row],[t '[mm']]]/1000),"")</f>
        <v/>
      </c>
      <c r="CB107" s="80" t="str">
        <f>IFERROR((TOWER_DATA[[#This Row],[D, bottom '[m']]]+#REF!)/(2*#REF!/1000),"")</f>
        <v/>
      </c>
      <c r="DF107" s="80" t="str">
        <f>IFERROR(RNA_DATA[[#This Row],[Inertia '[kg·m²']]]-RNA_DATA[[#This Row],[Offset TT_COG '[m']]], "")</f>
        <v/>
      </c>
      <c r="DG107" s="80" t="str">
        <f>IFERROR(-(RNA_DATA[[#This Row],[comment]]-RNA_DATA[[#This Row],[Offset TT_COG '[m']]])/(RNA_DATA[[#This Row],[Inertia '[kg·m²']]]-RNA_DATA[[#This Row],[Mass '[t']]]),"")</f>
        <v/>
      </c>
      <c r="DH107" s="80" t="str">
        <f t="shared" si="7"/>
        <v/>
      </c>
      <c r="DI107" s="80" t="str">
        <f>IFERROR((RNA_DATA[[#This Row],[comment]]+RNA_DATA[[#This Row],[Offset TT_COG '[m']]])/(2*#REF!/1000),"")</f>
        <v/>
      </c>
    </row>
    <row r="108" spans="8:113" x14ac:dyDescent="0.3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4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P108" s="80" t="str">
        <f>IFERROR(TP_DATA[[#This Row],[Bottom '[m']]]-TP_DATA[[#This Row],[D, top '[m']]], "")</f>
        <v/>
      </c>
      <c r="AQ108" s="80" t="str">
        <f>IFERROR(-(TP_DATA[[#This Row],[D, bottom '[m']]]-TP_DATA[[#This Row],[D, top '[m']]])/(TP_DATA[[#This Row],[Bottom '[m']]]-TP_DATA[[#This Row],[Top '[m']]]),"")</f>
        <v/>
      </c>
      <c r="AR108" s="80" t="str">
        <f t="shared" si="5"/>
        <v/>
      </c>
      <c r="AS108" s="80" t="str">
        <f>IFERROR((TP_DATA[[#This Row],[D, bottom '[m']]]+TP_DATA[[#This Row],[D, top '[m']]])/(2*TP_DATA[[#This Row],[t '[mm']]]/1000),"")</f>
        <v/>
      </c>
      <c r="AT108" s="80" t="str">
        <f>IFERROR((TP_DATA[[#This Row],[D, bottom '[m']]]+#REF!)/(2*#REF!/1000),"")</f>
        <v/>
      </c>
      <c r="BX108" s="80" t="str">
        <f>IFERROR(TOWER_DATA[[#This Row],[Bottom '[m']]]-TOWER_DATA[[#This Row],[D, top '[m']]], "")</f>
        <v/>
      </c>
      <c r="BY108" s="80" t="str">
        <f>IFERROR(-(TOWER_DATA[[#This Row],[D, bottom '[m']]]-TOWER_DATA[[#This Row],[D, top '[m']]])/(TOWER_DATA[[#This Row],[Bottom '[m']]]-TOWER_DATA[[#This Row],[Top '[m']]]),"")</f>
        <v/>
      </c>
      <c r="BZ108" s="80" t="str">
        <f t="shared" si="6"/>
        <v/>
      </c>
      <c r="CA108" s="80" t="str">
        <f>IFERROR((TOWER_DATA[[#This Row],[D, bottom '[m']]]+TOWER_DATA[[#This Row],[D, top '[m']]])/(2*TOWER_DATA[[#This Row],[t '[mm']]]/1000),"")</f>
        <v/>
      </c>
      <c r="CB108" s="80" t="str">
        <f>IFERROR((TOWER_DATA[[#This Row],[D, bottom '[m']]]+#REF!)/(2*#REF!/1000),"")</f>
        <v/>
      </c>
      <c r="DF108" s="80" t="str">
        <f>IFERROR(RNA_DATA[[#This Row],[Inertia '[kg·m²']]]-RNA_DATA[[#This Row],[Offset TT_COG '[m']]], "")</f>
        <v/>
      </c>
      <c r="DG108" s="80" t="str">
        <f>IFERROR(-(RNA_DATA[[#This Row],[comment]]-RNA_DATA[[#This Row],[Offset TT_COG '[m']]])/(RNA_DATA[[#This Row],[Inertia '[kg·m²']]]-RNA_DATA[[#This Row],[Mass '[t']]]),"")</f>
        <v/>
      </c>
      <c r="DH108" s="80" t="str">
        <f t="shared" si="7"/>
        <v/>
      </c>
      <c r="DI108" s="80" t="str">
        <f>IFERROR((RNA_DATA[[#This Row],[comment]]+RNA_DATA[[#This Row],[Offset TT_COG '[m']]])/(2*#REF!/1000),"")</f>
        <v/>
      </c>
    </row>
    <row r="109" spans="8:113" x14ac:dyDescent="0.3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4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P109" s="80" t="str">
        <f>IFERROR(TP_DATA[[#This Row],[Bottom '[m']]]-TP_DATA[[#This Row],[D, top '[m']]], "")</f>
        <v/>
      </c>
      <c r="AQ109" s="80" t="str">
        <f>IFERROR(-(TP_DATA[[#This Row],[D, bottom '[m']]]-TP_DATA[[#This Row],[D, top '[m']]])/(TP_DATA[[#This Row],[Bottom '[m']]]-TP_DATA[[#This Row],[Top '[m']]]),"")</f>
        <v/>
      </c>
      <c r="AR109" s="80" t="str">
        <f t="shared" si="5"/>
        <v/>
      </c>
      <c r="AS109" s="80" t="str">
        <f>IFERROR((TP_DATA[[#This Row],[D, bottom '[m']]]+TP_DATA[[#This Row],[D, top '[m']]])/(2*TP_DATA[[#This Row],[t '[mm']]]/1000),"")</f>
        <v/>
      </c>
      <c r="AT109" s="80" t="str">
        <f>IFERROR((TP_DATA[[#This Row],[D, bottom '[m']]]+#REF!)/(2*#REF!/1000),"")</f>
        <v/>
      </c>
      <c r="BX109" s="80" t="str">
        <f>IFERROR(TOWER_DATA[[#This Row],[Bottom '[m']]]-TOWER_DATA[[#This Row],[D, top '[m']]], "")</f>
        <v/>
      </c>
      <c r="BY109" s="80" t="str">
        <f>IFERROR(-(TOWER_DATA[[#This Row],[D, bottom '[m']]]-TOWER_DATA[[#This Row],[D, top '[m']]])/(TOWER_DATA[[#This Row],[Bottom '[m']]]-TOWER_DATA[[#This Row],[Top '[m']]]),"")</f>
        <v/>
      </c>
      <c r="BZ109" s="80" t="str">
        <f t="shared" si="6"/>
        <v/>
      </c>
      <c r="CA109" s="80" t="str">
        <f>IFERROR((TOWER_DATA[[#This Row],[D, bottom '[m']]]+TOWER_DATA[[#This Row],[D, top '[m']]])/(2*TOWER_DATA[[#This Row],[t '[mm']]]/1000),"")</f>
        <v/>
      </c>
      <c r="CB109" s="80" t="str">
        <f>IFERROR((TOWER_DATA[[#This Row],[D, bottom '[m']]]+#REF!)/(2*#REF!/1000),"")</f>
        <v/>
      </c>
      <c r="DF109" s="80" t="str">
        <f>IFERROR(RNA_DATA[[#This Row],[Inertia '[kg·m²']]]-RNA_DATA[[#This Row],[Offset TT_COG '[m']]], "")</f>
        <v/>
      </c>
      <c r="DG109" s="80" t="str">
        <f>IFERROR(-(RNA_DATA[[#This Row],[comment]]-RNA_DATA[[#This Row],[Offset TT_COG '[m']]])/(RNA_DATA[[#This Row],[Inertia '[kg·m²']]]-RNA_DATA[[#This Row],[Mass '[t']]]),"")</f>
        <v/>
      </c>
      <c r="DH109" s="80" t="str">
        <f t="shared" si="7"/>
        <v/>
      </c>
      <c r="DI109" s="80" t="str">
        <f>IFERROR((RNA_DATA[[#This Row],[comment]]+RNA_DATA[[#This Row],[Offset TT_COG '[m']]])/(2*#REF!/1000),"")</f>
        <v/>
      </c>
    </row>
    <row r="110" spans="8:113" x14ac:dyDescent="0.3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4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P110" s="80" t="str">
        <f>IFERROR(TP_DATA[[#This Row],[Bottom '[m']]]-TP_DATA[[#This Row],[D, top '[m']]], "")</f>
        <v/>
      </c>
      <c r="AQ110" s="80" t="str">
        <f>IFERROR(-(TP_DATA[[#This Row],[D, bottom '[m']]]-TP_DATA[[#This Row],[D, top '[m']]])/(TP_DATA[[#This Row],[Bottom '[m']]]-TP_DATA[[#This Row],[Top '[m']]]),"")</f>
        <v/>
      </c>
      <c r="AR110" s="80" t="str">
        <f t="shared" si="5"/>
        <v/>
      </c>
      <c r="AS110" s="80" t="str">
        <f>IFERROR((TP_DATA[[#This Row],[D, bottom '[m']]]+TP_DATA[[#This Row],[D, top '[m']]])/(2*TP_DATA[[#This Row],[t '[mm']]]/1000),"")</f>
        <v/>
      </c>
      <c r="AT110" s="80" t="str">
        <f>IFERROR((TP_DATA[[#This Row],[D, bottom '[m']]]+#REF!)/(2*#REF!/1000),"")</f>
        <v/>
      </c>
      <c r="BX110" s="80" t="str">
        <f>IFERROR(TOWER_DATA[[#This Row],[Bottom '[m']]]-TOWER_DATA[[#This Row],[D, top '[m']]], "")</f>
        <v/>
      </c>
      <c r="BY110" s="80" t="str">
        <f>IFERROR(-(TOWER_DATA[[#This Row],[D, bottom '[m']]]-TOWER_DATA[[#This Row],[D, top '[m']]])/(TOWER_DATA[[#This Row],[Bottom '[m']]]-TOWER_DATA[[#This Row],[Top '[m']]]),"")</f>
        <v/>
      </c>
      <c r="BZ110" s="80" t="str">
        <f t="shared" si="6"/>
        <v/>
      </c>
      <c r="CA110" s="80" t="str">
        <f>IFERROR((TOWER_DATA[[#This Row],[D, bottom '[m']]]+TOWER_DATA[[#This Row],[D, top '[m']]])/(2*TOWER_DATA[[#This Row],[t '[mm']]]/1000),"")</f>
        <v/>
      </c>
      <c r="CB110" s="80" t="str">
        <f>IFERROR((TOWER_DATA[[#This Row],[D, bottom '[m']]]+#REF!)/(2*#REF!/1000),"")</f>
        <v/>
      </c>
      <c r="DF110" s="80" t="str">
        <f>IFERROR(RNA_DATA[[#This Row],[Inertia '[kg·m²']]]-RNA_DATA[[#This Row],[Offset TT_COG '[m']]], "")</f>
        <v/>
      </c>
      <c r="DG110" s="80" t="str">
        <f>IFERROR(-(RNA_DATA[[#This Row],[comment]]-RNA_DATA[[#This Row],[Offset TT_COG '[m']]])/(RNA_DATA[[#This Row],[Inertia '[kg·m²']]]-RNA_DATA[[#This Row],[Mass '[t']]]),"")</f>
        <v/>
      </c>
      <c r="DH110" s="80" t="str">
        <f t="shared" si="7"/>
        <v/>
      </c>
      <c r="DI110" s="80" t="str">
        <f>IFERROR((RNA_DATA[[#This Row],[comment]]+RNA_DATA[[#This Row],[Offset TT_COG '[m']]])/(2*#REF!/1000),"")</f>
        <v/>
      </c>
    </row>
    <row r="111" spans="8:113" x14ac:dyDescent="0.3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4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P111" s="80" t="str">
        <f>IFERROR(TP_DATA[[#This Row],[Bottom '[m']]]-TP_DATA[[#This Row],[D, top '[m']]], "")</f>
        <v/>
      </c>
      <c r="AQ111" s="80" t="str">
        <f>IFERROR(-(TP_DATA[[#This Row],[D, bottom '[m']]]-TP_DATA[[#This Row],[D, top '[m']]])/(TP_DATA[[#This Row],[Bottom '[m']]]-TP_DATA[[#This Row],[Top '[m']]]),"")</f>
        <v/>
      </c>
      <c r="AR111" s="80" t="str">
        <f t="shared" si="5"/>
        <v/>
      </c>
      <c r="AS111" s="80" t="str">
        <f>IFERROR((TP_DATA[[#This Row],[D, bottom '[m']]]+TP_DATA[[#This Row],[D, top '[m']]])/(2*TP_DATA[[#This Row],[t '[mm']]]/1000),"")</f>
        <v/>
      </c>
      <c r="AT111" s="80" t="str">
        <f>IFERROR((TP_DATA[[#This Row],[D, bottom '[m']]]+#REF!)/(2*#REF!/1000),"")</f>
        <v/>
      </c>
      <c r="BX111" s="80" t="str">
        <f>IFERROR(TOWER_DATA[[#This Row],[Bottom '[m']]]-TOWER_DATA[[#This Row],[D, top '[m']]], "")</f>
        <v/>
      </c>
      <c r="BY111" s="80" t="str">
        <f>IFERROR(-(TOWER_DATA[[#This Row],[D, bottom '[m']]]-TOWER_DATA[[#This Row],[D, top '[m']]])/(TOWER_DATA[[#This Row],[Bottom '[m']]]-TOWER_DATA[[#This Row],[Top '[m']]]),"")</f>
        <v/>
      </c>
      <c r="BZ111" s="80" t="str">
        <f t="shared" si="6"/>
        <v/>
      </c>
      <c r="CA111" s="80" t="str">
        <f>IFERROR((TOWER_DATA[[#This Row],[D, bottom '[m']]]+TOWER_DATA[[#This Row],[D, top '[m']]])/(2*TOWER_DATA[[#This Row],[t '[mm']]]/1000),"")</f>
        <v/>
      </c>
      <c r="CB111" s="80" t="str">
        <f>IFERROR((TOWER_DATA[[#This Row],[D, bottom '[m']]]+#REF!)/(2*#REF!/1000),"")</f>
        <v/>
      </c>
      <c r="DF111" s="80" t="str">
        <f>IFERROR(RNA_DATA[[#This Row],[Inertia '[kg·m²']]]-RNA_DATA[[#This Row],[Offset TT_COG '[m']]], "")</f>
        <v/>
      </c>
      <c r="DG111" s="80" t="str">
        <f>IFERROR(-(RNA_DATA[[#This Row],[comment]]-RNA_DATA[[#This Row],[Offset TT_COG '[m']]])/(RNA_DATA[[#This Row],[Inertia '[kg·m²']]]-RNA_DATA[[#This Row],[Mass '[t']]]),"")</f>
        <v/>
      </c>
      <c r="DH111" s="80" t="str">
        <f t="shared" si="7"/>
        <v/>
      </c>
      <c r="DI111" s="80" t="str">
        <f>IFERROR((RNA_DATA[[#This Row],[comment]]+RNA_DATA[[#This Row],[Offset TT_COG '[m']]])/(2*#REF!/1000),"")</f>
        <v/>
      </c>
    </row>
    <row r="112" spans="8:113" x14ac:dyDescent="0.3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4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P112" s="80" t="str">
        <f>IFERROR(TP_DATA[[#This Row],[Bottom '[m']]]-TP_DATA[[#This Row],[D, top '[m']]], "")</f>
        <v/>
      </c>
      <c r="AQ112" s="80" t="str">
        <f>IFERROR(-(TP_DATA[[#This Row],[D, bottom '[m']]]-TP_DATA[[#This Row],[D, top '[m']]])/(TP_DATA[[#This Row],[Bottom '[m']]]-TP_DATA[[#This Row],[Top '[m']]]),"")</f>
        <v/>
      </c>
      <c r="AR112" s="80" t="str">
        <f t="shared" si="5"/>
        <v/>
      </c>
      <c r="AS112" s="80" t="str">
        <f>IFERROR((TP_DATA[[#This Row],[D, bottom '[m']]]+TP_DATA[[#This Row],[D, top '[m']]])/(2*TP_DATA[[#This Row],[t '[mm']]]/1000),"")</f>
        <v/>
      </c>
      <c r="AT112" s="80" t="str">
        <f>IFERROR((TP_DATA[[#This Row],[D, bottom '[m']]]+#REF!)/(2*#REF!/1000),"")</f>
        <v/>
      </c>
      <c r="BX112" s="80" t="str">
        <f>IFERROR(TOWER_DATA[[#This Row],[Bottom '[m']]]-TOWER_DATA[[#This Row],[D, top '[m']]], "")</f>
        <v/>
      </c>
      <c r="BY112" s="80" t="str">
        <f>IFERROR(-(TOWER_DATA[[#This Row],[D, bottom '[m']]]-TOWER_DATA[[#This Row],[D, top '[m']]])/(TOWER_DATA[[#This Row],[Bottom '[m']]]-TOWER_DATA[[#This Row],[Top '[m']]]),"")</f>
        <v/>
      </c>
      <c r="BZ112" s="80" t="str">
        <f t="shared" si="6"/>
        <v/>
      </c>
      <c r="CA112" s="80" t="str">
        <f>IFERROR((TOWER_DATA[[#This Row],[D, bottom '[m']]]+TOWER_DATA[[#This Row],[D, top '[m']]])/(2*TOWER_DATA[[#This Row],[t '[mm']]]/1000),"")</f>
        <v/>
      </c>
      <c r="CB112" s="80" t="str">
        <f>IFERROR((TOWER_DATA[[#This Row],[D, bottom '[m']]]+#REF!)/(2*#REF!/1000),"")</f>
        <v/>
      </c>
      <c r="DF112" s="80" t="str">
        <f>IFERROR(RNA_DATA[[#This Row],[Inertia '[kg·m²']]]-RNA_DATA[[#This Row],[Offset TT_COG '[m']]], "")</f>
        <v/>
      </c>
      <c r="DG112" s="80" t="str">
        <f>IFERROR(-(RNA_DATA[[#This Row],[comment]]-RNA_DATA[[#This Row],[Offset TT_COG '[m']]])/(RNA_DATA[[#This Row],[Inertia '[kg·m²']]]-RNA_DATA[[#This Row],[Mass '[t']]]),"")</f>
        <v/>
      </c>
      <c r="DH112" s="80" t="str">
        <f t="shared" si="7"/>
        <v/>
      </c>
      <c r="DI112" s="80" t="str">
        <f>IFERROR((RNA_DATA[[#This Row],[comment]]+RNA_DATA[[#This Row],[Offset TT_COG '[m']]])/(2*#REF!/1000),"")</f>
        <v/>
      </c>
    </row>
    <row r="113" spans="8:113" x14ac:dyDescent="0.3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4"/>
        <v/>
      </c>
      <c r="K113" s="80" t="str">
        <f>IFERROR((MP_DATA[[#This Row],[D, bottom '[m']]]+MP_DATA[[#This Row],[D, top '[m']]])/(2*MP_DATA[[#This Row],[t '[mm']]]/1000),"")</f>
        <v/>
      </c>
      <c r="L113" s="80" t="str">
        <f>IFERROR((MP_DATA[[#This Row],[D, bottom '[m']]]+#REF!)/(2*#REF!/1000),"")</f>
        <v/>
      </c>
      <c r="AP113" s="80" t="str">
        <f>IFERROR(TP_DATA[[#This Row],[Bottom '[m']]]-TP_DATA[[#This Row],[D, top '[m']]], "")</f>
        <v/>
      </c>
      <c r="AQ113" s="80" t="str">
        <f>IFERROR(-(TP_DATA[[#This Row],[D, bottom '[m']]]-TP_DATA[[#This Row],[D, top '[m']]])/(TP_DATA[[#This Row],[Bottom '[m']]]-TP_DATA[[#This Row],[Top '[m']]]),"")</f>
        <v/>
      </c>
      <c r="AR113" s="80" t="str">
        <f t="shared" si="5"/>
        <v/>
      </c>
      <c r="AS113" s="80" t="str">
        <f>IFERROR((TP_DATA[[#This Row],[D, bottom '[m']]]+TP_DATA[[#This Row],[D, top '[m']]])/(2*TP_DATA[[#This Row],[t '[mm']]]/1000),"")</f>
        <v/>
      </c>
      <c r="AT113" s="80" t="str">
        <f>IFERROR((TP_DATA[[#This Row],[D, bottom '[m']]]+#REF!)/(2*#REF!/1000),"")</f>
        <v/>
      </c>
      <c r="BX113" s="80" t="str">
        <f>IFERROR(TOWER_DATA[[#This Row],[Bottom '[m']]]-TOWER_DATA[[#This Row],[D, top '[m']]], "")</f>
        <v/>
      </c>
      <c r="BY113" s="80" t="str">
        <f>IFERROR(-(TOWER_DATA[[#This Row],[D, bottom '[m']]]-TOWER_DATA[[#This Row],[D, top '[m']]])/(TOWER_DATA[[#This Row],[Bottom '[m']]]-TOWER_DATA[[#This Row],[Top '[m']]]),"")</f>
        <v/>
      </c>
      <c r="BZ113" s="80" t="str">
        <f t="shared" si="6"/>
        <v/>
      </c>
      <c r="CA113" s="80" t="str">
        <f>IFERROR((TOWER_DATA[[#This Row],[D, bottom '[m']]]+TOWER_DATA[[#This Row],[D, top '[m']]])/(2*TOWER_DATA[[#This Row],[t '[mm']]]/1000),"")</f>
        <v/>
      </c>
      <c r="CB113" s="80" t="str">
        <f>IFERROR((TOWER_DATA[[#This Row],[D, bottom '[m']]]+#REF!)/(2*#REF!/1000),"")</f>
        <v/>
      </c>
      <c r="DF113" s="80" t="str">
        <f>IFERROR(RNA_DATA[[#This Row],[Inertia '[kg·m²']]]-RNA_DATA[[#This Row],[Offset TT_COG '[m']]], "")</f>
        <v/>
      </c>
      <c r="DG113" s="80" t="str">
        <f>IFERROR(-(RNA_DATA[[#This Row],[comment]]-RNA_DATA[[#This Row],[Offset TT_COG '[m']]])/(RNA_DATA[[#This Row],[Inertia '[kg·m²']]]-RNA_DATA[[#This Row],[Mass '[t']]]),"")</f>
        <v/>
      </c>
      <c r="DH113" s="80" t="str">
        <f t="shared" si="7"/>
        <v/>
      </c>
      <c r="DI113" s="80" t="str">
        <f>IFERROR((RNA_DATA[[#This Row],[comment]]+RNA_DATA[[#This Row],[Offset TT_COG '[m']]])/(2*#REF!/1000),"")</f>
        <v/>
      </c>
    </row>
    <row r="114" spans="8:113" x14ac:dyDescent="0.3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4"/>
        <v/>
      </c>
      <c r="K114" s="80" t="str">
        <f>IFERROR((MP_DATA[[#This Row],[D, bottom '[m']]]+MP_DATA[[#This Row],[D, top '[m']]])/(2*MP_DATA[[#This Row],[t '[mm']]]/1000),"")</f>
        <v/>
      </c>
      <c r="L114" s="80" t="str">
        <f>IFERROR((MP_DATA[[#This Row],[D, bottom '[m']]]+#REF!)/(2*#REF!/1000),"")</f>
        <v/>
      </c>
      <c r="AP114" s="80" t="str">
        <f>IFERROR(TP_DATA[[#This Row],[Bottom '[m']]]-TP_DATA[[#This Row],[D, top '[m']]], "")</f>
        <v/>
      </c>
      <c r="AQ114" s="80" t="str">
        <f>IFERROR(-(TP_DATA[[#This Row],[D, bottom '[m']]]-TP_DATA[[#This Row],[D, top '[m']]])/(TP_DATA[[#This Row],[Bottom '[m']]]-TP_DATA[[#This Row],[Top '[m']]]),"")</f>
        <v/>
      </c>
      <c r="AR114" s="80" t="str">
        <f t="shared" si="5"/>
        <v/>
      </c>
      <c r="AS114" s="80" t="str">
        <f>IFERROR((TP_DATA[[#This Row],[D, bottom '[m']]]+TP_DATA[[#This Row],[D, top '[m']]])/(2*TP_DATA[[#This Row],[t '[mm']]]/1000),"")</f>
        <v/>
      </c>
      <c r="AT114" s="80" t="str">
        <f>IFERROR((TP_DATA[[#This Row],[D, bottom '[m']]]+#REF!)/(2*#REF!/1000),"")</f>
        <v/>
      </c>
      <c r="BX114" s="80" t="str">
        <f>IFERROR(TOWER_DATA[[#This Row],[Bottom '[m']]]-TOWER_DATA[[#This Row],[D, top '[m']]], "")</f>
        <v/>
      </c>
      <c r="BY114" s="80" t="str">
        <f>IFERROR(-(TOWER_DATA[[#This Row],[D, bottom '[m']]]-TOWER_DATA[[#This Row],[D, top '[m']]])/(TOWER_DATA[[#This Row],[Bottom '[m']]]-TOWER_DATA[[#This Row],[Top '[m']]]),"")</f>
        <v/>
      </c>
      <c r="BZ114" s="80" t="str">
        <f t="shared" si="6"/>
        <v/>
      </c>
      <c r="CA114" s="80" t="str">
        <f>IFERROR((TOWER_DATA[[#This Row],[D, bottom '[m']]]+TOWER_DATA[[#This Row],[D, top '[m']]])/(2*TOWER_DATA[[#This Row],[t '[mm']]]/1000),"")</f>
        <v/>
      </c>
      <c r="CB114" s="80" t="str">
        <f>IFERROR((TOWER_DATA[[#This Row],[D, bottom '[m']]]+#REF!)/(2*#REF!/1000),"")</f>
        <v/>
      </c>
      <c r="DF114" s="80" t="str">
        <f>IFERROR(RNA_DATA[[#This Row],[Inertia '[kg·m²']]]-RNA_DATA[[#This Row],[Offset TT_COG '[m']]], "")</f>
        <v/>
      </c>
      <c r="DG114" s="80" t="str">
        <f>IFERROR(-(RNA_DATA[[#This Row],[comment]]-RNA_DATA[[#This Row],[Offset TT_COG '[m']]])/(RNA_DATA[[#This Row],[Inertia '[kg·m²']]]-RNA_DATA[[#This Row],[Mass '[t']]]),"")</f>
        <v/>
      </c>
      <c r="DH114" s="80" t="str">
        <f t="shared" si="7"/>
        <v/>
      </c>
      <c r="DI114" s="80" t="str">
        <f>IFERROR((RNA_DATA[[#This Row],[comment]]+RNA_DATA[[#This Row],[Offset TT_COG '[m']]])/(2*#REF!/1000),"")</f>
        <v/>
      </c>
    </row>
    <row r="115" spans="8:113" x14ac:dyDescent="0.3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4"/>
        <v/>
      </c>
      <c r="K115" s="80" t="str">
        <f>IFERROR((MP_DATA[[#This Row],[D, bottom '[m']]]+MP_DATA[[#This Row],[D, top '[m']]])/(2*MP_DATA[[#This Row],[t '[mm']]]/1000),"")</f>
        <v/>
      </c>
      <c r="L115" s="80" t="str">
        <f>IFERROR((MP_DATA[[#This Row],[D, bottom '[m']]]+#REF!)/(2*#REF!/1000),"")</f>
        <v/>
      </c>
      <c r="AP115" s="80" t="str">
        <f>IFERROR(TP_DATA[[#This Row],[Bottom '[m']]]-TP_DATA[[#This Row],[D, top '[m']]], "")</f>
        <v/>
      </c>
      <c r="AQ115" s="80" t="str">
        <f>IFERROR(-(TP_DATA[[#This Row],[D, bottom '[m']]]-TP_DATA[[#This Row],[D, top '[m']]])/(TP_DATA[[#This Row],[Bottom '[m']]]-TP_DATA[[#This Row],[Top '[m']]]),"")</f>
        <v/>
      </c>
      <c r="AR115" s="80" t="str">
        <f t="shared" si="5"/>
        <v/>
      </c>
      <c r="AS115" s="80" t="str">
        <f>IFERROR((TP_DATA[[#This Row],[D, bottom '[m']]]+TP_DATA[[#This Row],[D, top '[m']]])/(2*TP_DATA[[#This Row],[t '[mm']]]/1000),"")</f>
        <v/>
      </c>
      <c r="AT115" s="80" t="str">
        <f>IFERROR((TP_DATA[[#This Row],[D, bottom '[m']]]+#REF!)/(2*#REF!/1000),"")</f>
        <v/>
      </c>
      <c r="BX115" s="80" t="str">
        <f>IFERROR(TOWER_DATA[[#This Row],[Bottom '[m']]]-TOWER_DATA[[#This Row],[D, top '[m']]], "")</f>
        <v/>
      </c>
      <c r="BY115" s="80" t="str">
        <f>IFERROR(-(TOWER_DATA[[#This Row],[D, bottom '[m']]]-TOWER_DATA[[#This Row],[D, top '[m']]])/(TOWER_DATA[[#This Row],[Bottom '[m']]]-TOWER_DATA[[#This Row],[Top '[m']]]),"")</f>
        <v/>
      </c>
      <c r="BZ115" s="80" t="str">
        <f t="shared" si="6"/>
        <v/>
      </c>
      <c r="CA115" s="80" t="str">
        <f>IFERROR((TOWER_DATA[[#This Row],[D, bottom '[m']]]+TOWER_DATA[[#This Row],[D, top '[m']]])/(2*TOWER_DATA[[#This Row],[t '[mm']]]/1000),"")</f>
        <v/>
      </c>
      <c r="CB115" s="80" t="str">
        <f>IFERROR((TOWER_DATA[[#This Row],[D, bottom '[m']]]+#REF!)/(2*#REF!/1000),"")</f>
        <v/>
      </c>
      <c r="DF115" s="80" t="str">
        <f>IFERROR(RNA_DATA[[#This Row],[Inertia '[kg·m²']]]-RNA_DATA[[#This Row],[Offset TT_COG '[m']]], "")</f>
        <v/>
      </c>
      <c r="DG115" s="80" t="str">
        <f>IFERROR(-(RNA_DATA[[#This Row],[comment]]-RNA_DATA[[#This Row],[Offset TT_COG '[m']]])/(RNA_DATA[[#This Row],[Inertia '[kg·m²']]]-RNA_DATA[[#This Row],[Mass '[t']]]),"")</f>
        <v/>
      </c>
      <c r="DH115" s="80" t="str">
        <f t="shared" si="7"/>
        <v/>
      </c>
      <c r="DI115" s="80" t="str">
        <f>IFERROR((RNA_DATA[[#This Row],[comment]]+RNA_DATA[[#This Row],[Offset TT_COG '[m']]])/(2*#REF!/1000),"")</f>
        <v/>
      </c>
    </row>
    <row r="116" spans="8:113" x14ac:dyDescent="0.3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4"/>
        <v/>
      </c>
      <c r="K116" s="80" t="str">
        <f>IFERROR((MP_DATA[[#This Row],[D, bottom '[m']]]+MP_DATA[[#This Row],[D, top '[m']]])/(2*MP_DATA[[#This Row],[t '[mm']]]/1000),"")</f>
        <v/>
      </c>
      <c r="L116" s="80" t="str">
        <f>IFERROR((MP_DATA[[#This Row],[D, bottom '[m']]]+#REF!)/(2*#REF!/1000),"")</f>
        <v/>
      </c>
      <c r="AP116" s="80" t="str">
        <f>IFERROR(TP_DATA[[#This Row],[Bottom '[m']]]-TP_DATA[[#This Row],[D, top '[m']]], "")</f>
        <v/>
      </c>
      <c r="AQ116" s="80" t="str">
        <f>IFERROR(-(TP_DATA[[#This Row],[D, bottom '[m']]]-TP_DATA[[#This Row],[D, top '[m']]])/(TP_DATA[[#This Row],[Bottom '[m']]]-TP_DATA[[#This Row],[Top '[m']]]),"")</f>
        <v/>
      </c>
      <c r="AR116" s="80" t="str">
        <f t="shared" si="5"/>
        <v/>
      </c>
      <c r="AS116" s="80" t="str">
        <f>IFERROR((TP_DATA[[#This Row],[D, bottom '[m']]]+TP_DATA[[#This Row],[D, top '[m']]])/(2*TP_DATA[[#This Row],[t '[mm']]]/1000),"")</f>
        <v/>
      </c>
      <c r="AT116" s="80" t="str">
        <f>IFERROR((TP_DATA[[#This Row],[D, bottom '[m']]]+#REF!)/(2*#REF!/1000),"")</f>
        <v/>
      </c>
      <c r="BX116" s="80" t="str">
        <f>IFERROR(TOWER_DATA[[#This Row],[Bottom '[m']]]-TOWER_DATA[[#This Row],[D, top '[m']]], "")</f>
        <v/>
      </c>
      <c r="BY116" s="80" t="str">
        <f>IFERROR(-(TOWER_DATA[[#This Row],[D, bottom '[m']]]-TOWER_DATA[[#This Row],[D, top '[m']]])/(TOWER_DATA[[#This Row],[Bottom '[m']]]-TOWER_DATA[[#This Row],[Top '[m']]]),"")</f>
        <v/>
      </c>
      <c r="BZ116" s="80" t="str">
        <f t="shared" si="6"/>
        <v/>
      </c>
      <c r="CA116" s="80" t="str">
        <f>IFERROR((TOWER_DATA[[#This Row],[D, bottom '[m']]]+TOWER_DATA[[#This Row],[D, top '[m']]])/(2*TOWER_DATA[[#This Row],[t '[mm']]]/1000),"")</f>
        <v/>
      </c>
      <c r="CB116" s="80" t="str">
        <f>IFERROR((TOWER_DATA[[#This Row],[D, bottom '[m']]]+#REF!)/(2*#REF!/1000),"")</f>
        <v/>
      </c>
      <c r="DF116" s="80" t="str">
        <f>IFERROR(RNA_DATA[[#This Row],[Inertia '[kg·m²']]]-RNA_DATA[[#This Row],[Offset TT_COG '[m']]], "")</f>
        <v/>
      </c>
      <c r="DG116" s="80" t="str">
        <f>IFERROR(-(RNA_DATA[[#This Row],[comment]]-RNA_DATA[[#This Row],[Offset TT_COG '[m']]])/(RNA_DATA[[#This Row],[Inertia '[kg·m²']]]-RNA_DATA[[#This Row],[Mass '[t']]]),"")</f>
        <v/>
      </c>
      <c r="DH116" s="80" t="str">
        <f t="shared" si="7"/>
        <v/>
      </c>
      <c r="DI116" s="80" t="str">
        <f>IFERROR((RNA_DATA[[#This Row],[comment]]+RNA_DATA[[#This Row],[Offset TT_COG '[m']]])/(2*#REF!/1000),"")</f>
        <v/>
      </c>
    </row>
    <row r="117" spans="8:113" x14ac:dyDescent="0.3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4"/>
        <v/>
      </c>
      <c r="K117" s="80" t="str">
        <f>IFERROR((MP_DATA[[#This Row],[D, bottom '[m']]]+MP_DATA[[#This Row],[D, top '[m']]])/(2*MP_DATA[[#This Row],[t '[mm']]]/1000),"")</f>
        <v/>
      </c>
      <c r="L117" s="80" t="str">
        <f>IFERROR((MP_DATA[[#This Row],[D, bottom '[m']]]+#REF!)/(2*#REF!/1000),"")</f>
        <v/>
      </c>
      <c r="AP117" s="80" t="str">
        <f>IFERROR(TP_DATA[[#This Row],[Bottom '[m']]]-TP_DATA[[#This Row],[D, top '[m']]], "")</f>
        <v/>
      </c>
      <c r="AQ117" s="80" t="str">
        <f>IFERROR(-(TP_DATA[[#This Row],[D, bottom '[m']]]-TP_DATA[[#This Row],[D, top '[m']]])/(TP_DATA[[#This Row],[Bottom '[m']]]-TP_DATA[[#This Row],[Top '[m']]]),"")</f>
        <v/>
      </c>
      <c r="AR117" s="80" t="str">
        <f t="shared" si="5"/>
        <v/>
      </c>
      <c r="AS117" s="80" t="str">
        <f>IFERROR((TP_DATA[[#This Row],[D, bottom '[m']]]+TP_DATA[[#This Row],[D, top '[m']]])/(2*TP_DATA[[#This Row],[t '[mm']]]/1000),"")</f>
        <v/>
      </c>
      <c r="AT117" s="80" t="str">
        <f>IFERROR((TP_DATA[[#This Row],[D, bottom '[m']]]+#REF!)/(2*#REF!/1000),"")</f>
        <v/>
      </c>
      <c r="BX117" s="80" t="str">
        <f>IFERROR(TOWER_DATA[[#This Row],[Bottom '[m']]]-TOWER_DATA[[#This Row],[D, top '[m']]], "")</f>
        <v/>
      </c>
      <c r="BY117" s="80" t="str">
        <f>IFERROR(-(TOWER_DATA[[#This Row],[D, bottom '[m']]]-TOWER_DATA[[#This Row],[D, top '[m']]])/(TOWER_DATA[[#This Row],[Bottom '[m']]]-TOWER_DATA[[#This Row],[Top '[m']]]),"")</f>
        <v/>
      </c>
      <c r="BZ117" s="80" t="str">
        <f t="shared" si="6"/>
        <v/>
      </c>
      <c r="CA117" s="80" t="str">
        <f>IFERROR((TOWER_DATA[[#This Row],[D, bottom '[m']]]+TOWER_DATA[[#This Row],[D, top '[m']]])/(2*TOWER_DATA[[#This Row],[t '[mm']]]/1000),"")</f>
        <v/>
      </c>
      <c r="CB117" s="80" t="str">
        <f>IFERROR((TOWER_DATA[[#This Row],[D, bottom '[m']]]+#REF!)/(2*#REF!/1000),"")</f>
        <v/>
      </c>
      <c r="DF117" s="80" t="str">
        <f>IFERROR(RNA_DATA[[#This Row],[Inertia '[kg·m²']]]-RNA_DATA[[#This Row],[Offset TT_COG '[m']]], "")</f>
        <v/>
      </c>
      <c r="DG117" s="80" t="str">
        <f>IFERROR(-(RNA_DATA[[#This Row],[comment]]-RNA_DATA[[#This Row],[Offset TT_COG '[m']]])/(RNA_DATA[[#This Row],[Inertia '[kg·m²']]]-RNA_DATA[[#This Row],[Mass '[t']]]),"")</f>
        <v/>
      </c>
      <c r="DH117" s="80" t="str">
        <f t="shared" si="7"/>
        <v/>
      </c>
      <c r="DI117" s="80" t="str">
        <f>IFERROR((RNA_DATA[[#This Row],[comment]]+RNA_DATA[[#This Row],[Offset TT_COG '[m']]])/(2*#REF!/1000),"")</f>
        <v/>
      </c>
    </row>
    <row r="118" spans="8:113" x14ac:dyDescent="0.3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4"/>
        <v/>
      </c>
      <c r="K118" s="80" t="str">
        <f>IFERROR((MP_DATA[[#This Row],[D, bottom '[m']]]+MP_DATA[[#This Row],[D, top '[m']]])/(2*MP_DATA[[#This Row],[t '[mm']]]/1000),"")</f>
        <v/>
      </c>
      <c r="L118" s="80" t="str">
        <f>IFERROR((MP_DATA[[#This Row],[D, bottom '[m']]]+#REF!)/(2*#REF!/1000),"")</f>
        <v/>
      </c>
      <c r="AP118" s="80" t="str">
        <f>IFERROR(TP_DATA[[#This Row],[Bottom '[m']]]-TP_DATA[[#This Row],[D, top '[m']]], "")</f>
        <v/>
      </c>
      <c r="AQ118" s="80" t="str">
        <f>IFERROR(-(TP_DATA[[#This Row],[D, bottom '[m']]]-TP_DATA[[#This Row],[D, top '[m']]])/(TP_DATA[[#This Row],[Bottom '[m']]]-TP_DATA[[#This Row],[Top '[m']]]),"")</f>
        <v/>
      </c>
      <c r="AR118" s="80" t="str">
        <f t="shared" si="5"/>
        <v/>
      </c>
      <c r="AS118" s="80" t="str">
        <f>IFERROR((TP_DATA[[#This Row],[D, bottom '[m']]]+TP_DATA[[#This Row],[D, top '[m']]])/(2*TP_DATA[[#This Row],[t '[mm']]]/1000),"")</f>
        <v/>
      </c>
      <c r="AT118" s="80" t="str">
        <f>IFERROR((TP_DATA[[#This Row],[D, bottom '[m']]]+#REF!)/(2*#REF!/1000),"")</f>
        <v/>
      </c>
      <c r="BX118" s="80" t="str">
        <f>IFERROR(TOWER_DATA[[#This Row],[Bottom '[m']]]-TOWER_DATA[[#This Row],[D, top '[m']]], "")</f>
        <v/>
      </c>
      <c r="BY118" s="80" t="str">
        <f>IFERROR(-(TOWER_DATA[[#This Row],[D, bottom '[m']]]-TOWER_DATA[[#This Row],[D, top '[m']]])/(TOWER_DATA[[#This Row],[Bottom '[m']]]-TOWER_DATA[[#This Row],[Top '[m']]]),"")</f>
        <v/>
      </c>
      <c r="BZ118" s="80" t="str">
        <f t="shared" si="6"/>
        <v/>
      </c>
      <c r="CA118" s="80" t="str">
        <f>IFERROR((TOWER_DATA[[#This Row],[D, bottom '[m']]]+TOWER_DATA[[#This Row],[D, top '[m']]])/(2*TOWER_DATA[[#This Row],[t '[mm']]]/1000),"")</f>
        <v/>
      </c>
      <c r="CB118" s="80" t="str">
        <f>IFERROR((TOWER_DATA[[#This Row],[D, bottom '[m']]]+#REF!)/(2*#REF!/1000),"")</f>
        <v/>
      </c>
      <c r="DF118" s="80" t="str">
        <f>IFERROR(RNA_DATA[[#This Row],[Inertia '[kg·m²']]]-RNA_DATA[[#This Row],[Offset TT_COG '[m']]], "")</f>
        <v/>
      </c>
      <c r="DG118" s="80" t="str">
        <f>IFERROR(-(RNA_DATA[[#This Row],[comment]]-RNA_DATA[[#This Row],[Offset TT_COG '[m']]])/(RNA_DATA[[#This Row],[Inertia '[kg·m²']]]-RNA_DATA[[#This Row],[Mass '[t']]]),"")</f>
        <v/>
      </c>
      <c r="DH118" s="80" t="str">
        <f t="shared" si="7"/>
        <v/>
      </c>
      <c r="DI118" s="80" t="str">
        <f>IFERROR((RNA_DATA[[#This Row],[comment]]+RNA_DATA[[#This Row],[Offset TT_COG '[m']]])/(2*#REF!/1000),"")</f>
        <v/>
      </c>
    </row>
    <row r="119" spans="8:113" x14ac:dyDescent="0.3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4"/>
        <v/>
      </c>
      <c r="K119" s="80" t="str">
        <f>IFERROR((MP_DATA[[#This Row],[D, bottom '[m']]]+MP_DATA[[#This Row],[D, top '[m']]])/(2*MP_DATA[[#This Row],[t '[mm']]]/1000),"")</f>
        <v/>
      </c>
      <c r="L119" s="80" t="str">
        <f>IFERROR((MP_DATA[[#This Row],[D, bottom '[m']]]+#REF!)/(2*#REF!/1000),"")</f>
        <v/>
      </c>
      <c r="AP119" s="80" t="str">
        <f>IFERROR(TP_DATA[[#This Row],[Bottom '[m']]]-TP_DATA[[#This Row],[D, top '[m']]], "")</f>
        <v/>
      </c>
      <c r="AQ119" s="80" t="str">
        <f>IFERROR(-(TP_DATA[[#This Row],[D, bottom '[m']]]-TP_DATA[[#This Row],[D, top '[m']]])/(TP_DATA[[#This Row],[Bottom '[m']]]-TP_DATA[[#This Row],[Top '[m']]]),"")</f>
        <v/>
      </c>
      <c r="AR119" s="80" t="str">
        <f t="shared" si="5"/>
        <v/>
      </c>
      <c r="AS119" s="80" t="str">
        <f>IFERROR((TP_DATA[[#This Row],[D, bottom '[m']]]+TP_DATA[[#This Row],[D, top '[m']]])/(2*TP_DATA[[#This Row],[t '[mm']]]/1000),"")</f>
        <v/>
      </c>
      <c r="AT119" s="80" t="str">
        <f>IFERROR((TP_DATA[[#This Row],[D, bottom '[m']]]+#REF!)/(2*#REF!/1000),"")</f>
        <v/>
      </c>
      <c r="BX119" s="80" t="str">
        <f>IFERROR(TOWER_DATA[[#This Row],[Bottom '[m']]]-TOWER_DATA[[#This Row],[D, top '[m']]], "")</f>
        <v/>
      </c>
      <c r="BY119" s="80" t="str">
        <f>IFERROR(-(TOWER_DATA[[#This Row],[D, bottom '[m']]]-TOWER_DATA[[#This Row],[D, top '[m']]])/(TOWER_DATA[[#This Row],[Bottom '[m']]]-TOWER_DATA[[#This Row],[Top '[m']]]),"")</f>
        <v/>
      </c>
      <c r="BZ119" s="80" t="str">
        <f t="shared" si="6"/>
        <v/>
      </c>
      <c r="CA119" s="80" t="str">
        <f>IFERROR((TOWER_DATA[[#This Row],[D, bottom '[m']]]+TOWER_DATA[[#This Row],[D, top '[m']]])/(2*TOWER_DATA[[#This Row],[t '[mm']]]/1000),"")</f>
        <v/>
      </c>
      <c r="CB119" s="80" t="str">
        <f>IFERROR((TOWER_DATA[[#This Row],[D, bottom '[m']]]+#REF!)/(2*#REF!/1000),"")</f>
        <v/>
      </c>
      <c r="DF119" s="80" t="str">
        <f>IFERROR(RNA_DATA[[#This Row],[Inertia '[kg·m²']]]-RNA_DATA[[#This Row],[Offset TT_COG '[m']]], "")</f>
        <v/>
      </c>
      <c r="DG119" s="80" t="str">
        <f>IFERROR(-(RNA_DATA[[#This Row],[comment]]-RNA_DATA[[#This Row],[Offset TT_COG '[m']]])/(RNA_DATA[[#This Row],[Inertia '[kg·m²']]]-RNA_DATA[[#This Row],[Mass '[t']]]),"")</f>
        <v/>
      </c>
      <c r="DH119" s="80" t="str">
        <f t="shared" si="7"/>
        <v/>
      </c>
      <c r="DI119" s="80" t="str">
        <f>IFERROR((RNA_DATA[[#This Row],[comment]]+RNA_DATA[[#This Row],[Offset TT_COG '[m']]])/(2*#REF!/1000),"")</f>
        <v/>
      </c>
    </row>
    <row r="120" spans="8:113" x14ac:dyDescent="0.3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4"/>
        <v/>
      </c>
      <c r="K120" s="80" t="str">
        <f>IFERROR((MP_DATA[[#This Row],[D, bottom '[m']]]+MP_DATA[[#This Row],[D, top '[m']]])/(2*MP_DATA[[#This Row],[t '[mm']]]/1000),"")</f>
        <v/>
      </c>
      <c r="L120" s="80" t="str">
        <f>IFERROR((MP_DATA[[#This Row],[D, bottom '[m']]]+#REF!)/(2*#REF!/1000),"")</f>
        <v/>
      </c>
      <c r="AP120" s="80" t="str">
        <f>IFERROR(TP_DATA[[#This Row],[Bottom '[m']]]-TP_DATA[[#This Row],[D, top '[m']]], "")</f>
        <v/>
      </c>
      <c r="AQ120" s="80" t="str">
        <f>IFERROR(-(TP_DATA[[#This Row],[D, bottom '[m']]]-TP_DATA[[#This Row],[D, top '[m']]])/(TP_DATA[[#This Row],[Bottom '[m']]]-TP_DATA[[#This Row],[Top '[m']]]),"")</f>
        <v/>
      </c>
      <c r="AR120" s="80" t="str">
        <f t="shared" si="5"/>
        <v/>
      </c>
      <c r="AS120" s="80" t="str">
        <f>IFERROR((TP_DATA[[#This Row],[D, bottom '[m']]]+TP_DATA[[#This Row],[D, top '[m']]])/(2*TP_DATA[[#This Row],[t '[mm']]]/1000),"")</f>
        <v/>
      </c>
      <c r="AT120" s="80" t="str">
        <f>IFERROR((TP_DATA[[#This Row],[D, bottom '[m']]]+#REF!)/(2*#REF!/1000),"")</f>
        <v/>
      </c>
      <c r="BX120" s="80" t="str">
        <f>IFERROR(TOWER_DATA[[#This Row],[Bottom '[m']]]-TOWER_DATA[[#This Row],[D, top '[m']]], "")</f>
        <v/>
      </c>
      <c r="BY120" s="80" t="str">
        <f>IFERROR(-(TOWER_DATA[[#This Row],[D, bottom '[m']]]-TOWER_DATA[[#This Row],[D, top '[m']]])/(TOWER_DATA[[#This Row],[Bottom '[m']]]-TOWER_DATA[[#This Row],[Top '[m']]]),"")</f>
        <v/>
      </c>
      <c r="BZ120" s="80" t="str">
        <f t="shared" si="6"/>
        <v/>
      </c>
      <c r="CA120" s="80" t="str">
        <f>IFERROR((TOWER_DATA[[#This Row],[D, bottom '[m']]]+TOWER_DATA[[#This Row],[D, top '[m']]])/(2*TOWER_DATA[[#This Row],[t '[mm']]]/1000),"")</f>
        <v/>
      </c>
      <c r="CB120" s="80" t="str">
        <f>IFERROR((TOWER_DATA[[#This Row],[D, bottom '[m']]]+#REF!)/(2*#REF!/1000),"")</f>
        <v/>
      </c>
      <c r="DF120" s="80" t="str">
        <f>IFERROR(RNA_DATA[[#This Row],[Inertia '[kg·m²']]]-RNA_DATA[[#This Row],[Offset TT_COG '[m']]], "")</f>
        <v/>
      </c>
      <c r="DG120" s="80" t="str">
        <f>IFERROR(-(RNA_DATA[[#This Row],[comment]]-RNA_DATA[[#This Row],[Offset TT_COG '[m']]])/(RNA_DATA[[#This Row],[Inertia '[kg·m²']]]-RNA_DATA[[#This Row],[Mass '[t']]]),"")</f>
        <v/>
      </c>
      <c r="DH120" s="80" t="str">
        <f t="shared" si="7"/>
        <v/>
      </c>
      <c r="DI120" s="80" t="str">
        <f>IFERROR((RNA_DATA[[#This Row],[comment]]+RNA_DATA[[#This Row],[Offset TT_COG '[m']]])/(2*#REF!/1000),"")</f>
        <v/>
      </c>
    </row>
    <row r="121" spans="8:113" x14ac:dyDescent="0.3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ref="J121:J153" si="8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80" t="str">
        <f>IFERROR((MP_DATA[[#This Row],[D, bottom '[m']]]+MP_DATA[[#This Row],[D, top '[m']]])/(2*MP_DATA[[#This Row],[t '[mm']]]/1000),"")</f>
        <v/>
      </c>
      <c r="L121" s="80" t="str">
        <f>IFERROR((MP_DATA[[#This Row],[D, bottom '[m']]]+#REF!)/(2*#REF!/1000),"")</f>
        <v/>
      </c>
      <c r="AP121" s="80" t="str">
        <f>IFERROR(TP_DATA[[#This Row],[Bottom '[m']]]-TP_DATA[[#This Row],[D, top '[m']]], "")</f>
        <v/>
      </c>
      <c r="AQ121" s="80" t="str">
        <f>IFERROR(-(TP_DATA[[#This Row],[D, bottom '[m']]]-TP_DATA[[#This Row],[D, top '[m']]])/(TP_DATA[[#This Row],[Bottom '[m']]]-TP_DATA[[#This Row],[Top '[m']]]),"")</f>
        <v/>
      </c>
      <c r="AR121" s="80" t="str">
        <f t="shared" si="5"/>
        <v/>
      </c>
      <c r="AS121" s="80" t="str">
        <f>IFERROR((TP_DATA[[#This Row],[D, bottom '[m']]]+TP_DATA[[#This Row],[D, top '[m']]])/(2*TP_DATA[[#This Row],[t '[mm']]]/1000),"")</f>
        <v/>
      </c>
      <c r="AT121" s="80" t="str">
        <f>IFERROR((TP_DATA[[#This Row],[D, bottom '[m']]]+#REF!)/(2*#REF!/1000),"")</f>
        <v/>
      </c>
      <c r="BX121" s="80" t="str">
        <f>IFERROR(TOWER_DATA[[#This Row],[Bottom '[m']]]-TOWER_DATA[[#This Row],[D, top '[m']]], "")</f>
        <v/>
      </c>
      <c r="BY121" s="80" t="str">
        <f>IFERROR(-(TOWER_DATA[[#This Row],[D, bottom '[m']]]-TOWER_DATA[[#This Row],[D, top '[m']]])/(TOWER_DATA[[#This Row],[Bottom '[m']]]-TOWER_DATA[[#This Row],[Top '[m']]]),"")</f>
        <v/>
      </c>
      <c r="BZ121" s="80" t="str">
        <f t="shared" si="6"/>
        <v/>
      </c>
      <c r="CA121" s="80" t="str">
        <f>IFERROR((TOWER_DATA[[#This Row],[D, bottom '[m']]]+TOWER_DATA[[#This Row],[D, top '[m']]])/(2*TOWER_DATA[[#This Row],[t '[mm']]]/1000),"")</f>
        <v/>
      </c>
      <c r="CB121" s="80" t="str">
        <f>IFERROR((TOWER_DATA[[#This Row],[D, bottom '[m']]]+#REF!)/(2*#REF!/1000),"")</f>
        <v/>
      </c>
      <c r="DF121" s="80" t="str">
        <f>IFERROR(RNA_DATA[[#This Row],[Inertia '[kg·m²']]]-RNA_DATA[[#This Row],[Offset TT_COG '[m']]], "")</f>
        <v/>
      </c>
      <c r="DG121" s="80" t="str">
        <f>IFERROR(-(RNA_DATA[[#This Row],[comment]]-RNA_DATA[[#This Row],[Offset TT_COG '[m']]])/(RNA_DATA[[#This Row],[Inertia '[kg·m²']]]-RNA_DATA[[#This Row],[Mass '[t']]]),"")</f>
        <v/>
      </c>
      <c r="DH121" s="80" t="str">
        <f t="shared" si="7"/>
        <v/>
      </c>
      <c r="DI121" s="80" t="str">
        <f>IFERROR((RNA_DATA[[#This Row],[comment]]+RNA_DATA[[#This Row],[Offset TT_COG '[m']]])/(2*#REF!/1000),"")</f>
        <v/>
      </c>
    </row>
    <row r="122" spans="8:113" x14ac:dyDescent="0.3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8"/>
        <v/>
      </c>
      <c r="K122" s="80" t="str">
        <f>IFERROR((MP_DATA[[#This Row],[D, bottom '[m']]]+MP_DATA[[#This Row],[D, top '[m']]])/(2*MP_DATA[[#This Row],[t '[mm']]]/1000),"")</f>
        <v/>
      </c>
      <c r="L122" s="80" t="str">
        <f>IFERROR((MP_DATA[[#This Row],[D, bottom '[m']]]+#REF!)/(2*#REF!/1000),"")</f>
        <v/>
      </c>
      <c r="AP122" s="80" t="str">
        <f>IFERROR(TP_DATA[[#This Row],[Bottom '[m']]]-TP_DATA[[#This Row],[D, top '[m']]], "")</f>
        <v/>
      </c>
      <c r="AQ122" s="80" t="str">
        <f>IFERROR(-(TP_DATA[[#This Row],[D, bottom '[m']]]-TP_DATA[[#This Row],[D, top '[m']]])/(TP_DATA[[#This Row],[Bottom '[m']]]-TP_DATA[[#This Row],[Top '[m']]]),"")</f>
        <v/>
      </c>
      <c r="AR122" s="80" t="str">
        <f t="shared" si="5"/>
        <v/>
      </c>
      <c r="AS122" s="80" t="str">
        <f>IFERROR((TP_DATA[[#This Row],[D, bottom '[m']]]+TP_DATA[[#This Row],[D, top '[m']]])/(2*TP_DATA[[#This Row],[t '[mm']]]/1000),"")</f>
        <v/>
      </c>
      <c r="AT122" s="80" t="str">
        <f>IFERROR((TP_DATA[[#This Row],[D, bottom '[m']]]+#REF!)/(2*#REF!/1000),"")</f>
        <v/>
      </c>
      <c r="BX122" s="80" t="str">
        <f>IFERROR(TOWER_DATA[[#This Row],[Bottom '[m']]]-TOWER_DATA[[#This Row],[D, top '[m']]], "")</f>
        <v/>
      </c>
      <c r="BY122" s="80" t="str">
        <f>IFERROR(-(TOWER_DATA[[#This Row],[D, bottom '[m']]]-TOWER_DATA[[#This Row],[D, top '[m']]])/(TOWER_DATA[[#This Row],[Bottom '[m']]]-TOWER_DATA[[#This Row],[Top '[m']]]),"")</f>
        <v/>
      </c>
      <c r="BZ122" s="80" t="str">
        <f t="shared" si="6"/>
        <v/>
      </c>
      <c r="CA122" s="80" t="str">
        <f>IFERROR((TOWER_DATA[[#This Row],[D, bottom '[m']]]+TOWER_DATA[[#This Row],[D, top '[m']]])/(2*TOWER_DATA[[#This Row],[t '[mm']]]/1000),"")</f>
        <v/>
      </c>
      <c r="CB122" s="80" t="str">
        <f>IFERROR((TOWER_DATA[[#This Row],[D, bottom '[m']]]+#REF!)/(2*#REF!/1000),"")</f>
        <v/>
      </c>
      <c r="DF122" s="80" t="str">
        <f>IFERROR(RNA_DATA[[#This Row],[Inertia '[kg·m²']]]-RNA_DATA[[#This Row],[Offset TT_COG '[m']]], "")</f>
        <v/>
      </c>
      <c r="DG122" s="80" t="str">
        <f>IFERROR(-(RNA_DATA[[#This Row],[comment]]-RNA_DATA[[#This Row],[Offset TT_COG '[m']]])/(RNA_DATA[[#This Row],[Inertia '[kg·m²']]]-RNA_DATA[[#This Row],[Mass '[t']]]),"")</f>
        <v/>
      </c>
      <c r="DH122" s="80" t="str">
        <f t="shared" si="7"/>
        <v/>
      </c>
      <c r="DI122" s="80" t="str">
        <f>IFERROR((RNA_DATA[[#This Row],[comment]]+RNA_DATA[[#This Row],[Offset TT_COG '[m']]])/(2*#REF!/1000),"")</f>
        <v/>
      </c>
    </row>
    <row r="123" spans="8:113" x14ac:dyDescent="0.3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8"/>
        <v/>
      </c>
      <c r="K123" s="80" t="str">
        <f>IFERROR((MP_DATA[[#This Row],[D, bottom '[m']]]+MP_DATA[[#This Row],[D, top '[m']]])/(2*MP_DATA[[#This Row],[t '[mm']]]/1000),"")</f>
        <v/>
      </c>
      <c r="L123" s="80" t="str">
        <f>IFERROR((MP_DATA[[#This Row],[D, bottom '[m']]]+#REF!)/(2*#REF!/1000),"")</f>
        <v/>
      </c>
      <c r="AP123" s="80" t="str">
        <f>IFERROR(TP_DATA[[#This Row],[Bottom '[m']]]-TP_DATA[[#This Row],[D, top '[m']]], "")</f>
        <v/>
      </c>
      <c r="AQ123" s="80" t="str">
        <f>IFERROR(-(TP_DATA[[#This Row],[D, bottom '[m']]]-TP_DATA[[#This Row],[D, top '[m']]])/(TP_DATA[[#This Row],[Bottom '[m']]]-TP_DATA[[#This Row],[Top '[m']]]),"")</f>
        <v/>
      </c>
      <c r="AR123" s="80" t="str">
        <f t="shared" si="5"/>
        <v/>
      </c>
      <c r="AS123" s="80" t="str">
        <f>IFERROR((TP_DATA[[#This Row],[D, bottom '[m']]]+TP_DATA[[#This Row],[D, top '[m']]])/(2*TP_DATA[[#This Row],[t '[mm']]]/1000),"")</f>
        <v/>
      </c>
      <c r="AT123" s="80" t="str">
        <f>IFERROR((TP_DATA[[#This Row],[D, bottom '[m']]]+#REF!)/(2*#REF!/1000),"")</f>
        <v/>
      </c>
      <c r="BX123" s="80" t="str">
        <f>IFERROR(TOWER_DATA[[#This Row],[Bottom '[m']]]-TOWER_DATA[[#This Row],[D, top '[m']]], "")</f>
        <v/>
      </c>
      <c r="BY123" s="80" t="str">
        <f>IFERROR(-(TOWER_DATA[[#This Row],[D, bottom '[m']]]-TOWER_DATA[[#This Row],[D, top '[m']]])/(TOWER_DATA[[#This Row],[Bottom '[m']]]-TOWER_DATA[[#This Row],[Top '[m']]]),"")</f>
        <v/>
      </c>
      <c r="BZ123" s="80" t="str">
        <f t="shared" si="6"/>
        <v/>
      </c>
      <c r="CA123" s="80" t="str">
        <f>IFERROR((TOWER_DATA[[#This Row],[D, bottom '[m']]]+TOWER_DATA[[#This Row],[D, top '[m']]])/(2*TOWER_DATA[[#This Row],[t '[mm']]]/1000),"")</f>
        <v/>
      </c>
      <c r="CB123" s="80" t="str">
        <f>IFERROR((TOWER_DATA[[#This Row],[D, bottom '[m']]]+#REF!)/(2*#REF!/1000),"")</f>
        <v/>
      </c>
      <c r="DF123" s="80" t="str">
        <f>IFERROR(RNA_DATA[[#This Row],[Inertia '[kg·m²']]]-RNA_DATA[[#This Row],[Offset TT_COG '[m']]], "")</f>
        <v/>
      </c>
      <c r="DG123" s="80" t="str">
        <f>IFERROR(-(RNA_DATA[[#This Row],[comment]]-RNA_DATA[[#This Row],[Offset TT_COG '[m']]])/(RNA_DATA[[#This Row],[Inertia '[kg·m²']]]-RNA_DATA[[#This Row],[Mass '[t']]]),"")</f>
        <v/>
      </c>
      <c r="DH123" s="80" t="str">
        <f t="shared" si="7"/>
        <v/>
      </c>
      <c r="DI123" s="80" t="str">
        <f>IFERROR((RNA_DATA[[#This Row],[comment]]+RNA_DATA[[#This Row],[Offset TT_COG '[m']]])/(2*#REF!/1000),"")</f>
        <v/>
      </c>
    </row>
    <row r="124" spans="8:113" x14ac:dyDescent="0.3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8"/>
        <v/>
      </c>
      <c r="K124" s="80" t="str">
        <f>IFERROR((MP_DATA[[#This Row],[D, bottom '[m']]]+MP_DATA[[#This Row],[D, top '[m']]])/(2*MP_DATA[[#This Row],[t '[mm']]]/1000),"")</f>
        <v/>
      </c>
      <c r="L124" s="80" t="str">
        <f>IFERROR((MP_DATA[[#This Row],[D, bottom '[m']]]+#REF!)/(2*#REF!/1000),"")</f>
        <v/>
      </c>
      <c r="AP124" s="80" t="str">
        <f>IFERROR(TP_DATA[[#This Row],[Bottom '[m']]]-TP_DATA[[#This Row],[D, top '[m']]], "")</f>
        <v/>
      </c>
      <c r="AQ124" s="80" t="str">
        <f>IFERROR(-(TP_DATA[[#This Row],[D, bottom '[m']]]-TP_DATA[[#This Row],[D, top '[m']]])/(TP_DATA[[#This Row],[Bottom '[m']]]-TP_DATA[[#This Row],[Top '[m']]]),"")</f>
        <v/>
      </c>
      <c r="AR124" s="80" t="str">
        <f t="shared" si="5"/>
        <v/>
      </c>
      <c r="AS124" s="80" t="str">
        <f>IFERROR((TP_DATA[[#This Row],[D, bottom '[m']]]+TP_DATA[[#This Row],[D, top '[m']]])/(2*TP_DATA[[#This Row],[t '[mm']]]/1000),"")</f>
        <v/>
      </c>
      <c r="AT124" s="80" t="str">
        <f>IFERROR((TP_DATA[[#This Row],[D, bottom '[m']]]+#REF!)/(2*#REF!/1000),"")</f>
        <v/>
      </c>
      <c r="BX124" s="80" t="str">
        <f>IFERROR(TOWER_DATA[[#This Row],[Bottom '[m']]]-TOWER_DATA[[#This Row],[D, top '[m']]], "")</f>
        <v/>
      </c>
      <c r="BY124" s="80" t="str">
        <f>IFERROR(-(TOWER_DATA[[#This Row],[D, bottom '[m']]]-TOWER_DATA[[#This Row],[D, top '[m']]])/(TOWER_DATA[[#This Row],[Bottom '[m']]]-TOWER_DATA[[#This Row],[Top '[m']]]),"")</f>
        <v/>
      </c>
      <c r="BZ124" s="80" t="str">
        <f t="shared" si="6"/>
        <v/>
      </c>
      <c r="CA124" s="80" t="str">
        <f>IFERROR((TOWER_DATA[[#This Row],[D, bottom '[m']]]+TOWER_DATA[[#This Row],[D, top '[m']]])/(2*TOWER_DATA[[#This Row],[t '[mm']]]/1000),"")</f>
        <v/>
      </c>
      <c r="CB124" s="80" t="str">
        <f>IFERROR((TOWER_DATA[[#This Row],[D, bottom '[m']]]+#REF!)/(2*#REF!/1000),"")</f>
        <v/>
      </c>
      <c r="DF124" s="80" t="str">
        <f>IFERROR(RNA_DATA[[#This Row],[Inertia '[kg·m²']]]-RNA_DATA[[#This Row],[Offset TT_COG '[m']]], "")</f>
        <v/>
      </c>
      <c r="DG124" s="80" t="str">
        <f>IFERROR(-(RNA_DATA[[#This Row],[comment]]-RNA_DATA[[#This Row],[Offset TT_COG '[m']]])/(RNA_DATA[[#This Row],[Inertia '[kg·m²']]]-RNA_DATA[[#This Row],[Mass '[t']]]),"")</f>
        <v/>
      </c>
      <c r="DH124" s="80" t="str">
        <f t="shared" si="7"/>
        <v/>
      </c>
      <c r="DI124" s="80" t="str">
        <f>IFERROR((RNA_DATA[[#This Row],[comment]]+RNA_DATA[[#This Row],[Offset TT_COG '[m']]])/(2*#REF!/1000),"")</f>
        <v/>
      </c>
    </row>
    <row r="125" spans="8:113" x14ac:dyDescent="0.3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8"/>
        <v/>
      </c>
      <c r="K125" s="80" t="str">
        <f>IFERROR((MP_DATA[[#This Row],[D, bottom '[m']]]+MP_DATA[[#This Row],[D, top '[m']]])/(2*MP_DATA[[#This Row],[t '[mm']]]/1000),"")</f>
        <v/>
      </c>
      <c r="L125" s="80" t="str">
        <f>IFERROR((MP_DATA[[#This Row],[D, bottom '[m']]]+#REF!)/(2*#REF!/1000),"")</f>
        <v/>
      </c>
      <c r="AP125" s="80" t="str">
        <f>IFERROR(TP_DATA[[#This Row],[Bottom '[m']]]-TP_DATA[[#This Row],[D, top '[m']]], "")</f>
        <v/>
      </c>
      <c r="AQ125" s="80" t="str">
        <f>IFERROR(-(TP_DATA[[#This Row],[D, bottom '[m']]]-TP_DATA[[#This Row],[D, top '[m']]])/(TP_DATA[[#This Row],[Bottom '[m']]]-TP_DATA[[#This Row],[Top '[m']]]),"")</f>
        <v/>
      </c>
      <c r="AR125" s="80" t="str">
        <f t="shared" si="5"/>
        <v/>
      </c>
      <c r="AS125" s="80" t="str">
        <f>IFERROR((TP_DATA[[#This Row],[D, bottom '[m']]]+TP_DATA[[#This Row],[D, top '[m']]])/(2*TP_DATA[[#This Row],[t '[mm']]]/1000),"")</f>
        <v/>
      </c>
      <c r="AT125" s="80" t="str">
        <f>IFERROR((TP_DATA[[#This Row],[D, bottom '[m']]]+#REF!)/(2*#REF!/1000),"")</f>
        <v/>
      </c>
      <c r="BX125" s="80" t="str">
        <f>IFERROR(TOWER_DATA[[#This Row],[Bottom '[m']]]-TOWER_DATA[[#This Row],[D, top '[m']]], "")</f>
        <v/>
      </c>
      <c r="BY125" s="80" t="str">
        <f>IFERROR(-(TOWER_DATA[[#This Row],[D, bottom '[m']]]-TOWER_DATA[[#This Row],[D, top '[m']]])/(TOWER_DATA[[#This Row],[Bottom '[m']]]-TOWER_DATA[[#This Row],[Top '[m']]]),"")</f>
        <v/>
      </c>
      <c r="BZ125" s="80" t="str">
        <f t="shared" si="6"/>
        <v/>
      </c>
      <c r="CA125" s="80" t="str">
        <f>IFERROR((TOWER_DATA[[#This Row],[D, bottom '[m']]]+TOWER_DATA[[#This Row],[D, top '[m']]])/(2*TOWER_DATA[[#This Row],[t '[mm']]]/1000),"")</f>
        <v/>
      </c>
      <c r="CB125" s="80" t="str">
        <f>IFERROR((TOWER_DATA[[#This Row],[D, bottom '[m']]]+#REF!)/(2*#REF!/1000),"")</f>
        <v/>
      </c>
      <c r="DF125" s="80" t="str">
        <f>IFERROR(RNA_DATA[[#This Row],[Inertia '[kg·m²']]]-RNA_DATA[[#This Row],[Offset TT_COG '[m']]], "")</f>
        <v/>
      </c>
      <c r="DG125" s="80" t="str">
        <f>IFERROR(-(RNA_DATA[[#This Row],[comment]]-RNA_DATA[[#This Row],[Offset TT_COG '[m']]])/(RNA_DATA[[#This Row],[Inertia '[kg·m²']]]-RNA_DATA[[#This Row],[Mass '[t']]]),"")</f>
        <v/>
      </c>
      <c r="DH125" s="80" t="str">
        <f t="shared" si="7"/>
        <v/>
      </c>
      <c r="DI125" s="80" t="str">
        <f>IFERROR((RNA_DATA[[#This Row],[comment]]+RNA_DATA[[#This Row],[Offset TT_COG '[m']]])/(2*#REF!/1000),"")</f>
        <v/>
      </c>
    </row>
    <row r="126" spans="8:113" x14ac:dyDescent="0.3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8"/>
        <v/>
      </c>
      <c r="K126" s="80" t="str">
        <f>IFERROR((MP_DATA[[#This Row],[D, bottom '[m']]]+MP_DATA[[#This Row],[D, top '[m']]])/(2*MP_DATA[[#This Row],[t '[mm']]]/1000),"")</f>
        <v/>
      </c>
      <c r="L126" s="80" t="str">
        <f>IFERROR((MP_DATA[[#This Row],[D, bottom '[m']]]+#REF!)/(2*#REF!/1000),"")</f>
        <v/>
      </c>
      <c r="AP126" s="80" t="str">
        <f>IFERROR(TP_DATA[[#This Row],[Bottom '[m']]]-TP_DATA[[#This Row],[D, top '[m']]], "")</f>
        <v/>
      </c>
      <c r="AQ126" s="80" t="str">
        <f>IFERROR(-(TP_DATA[[#This Row],[D, bottom '[m']]]-TP_DATA[[#This Row],[D, top '[m']]])/(TP_DATA[[#This Row],[Bottom '[m']]]-TP_DATA[[#This Row],[Top '[m']]]),"")</f>
        <v/>
      </c>
      <c r="AR126" s="80" t="str">
        <f t="shared" si="5"/>
        <v/>
      </c>
      <c r="AS126" s="80" t="str">
        <f>IFERROR((TP_DATA[[#This Row],[D, bottom '[m']]]+TP_DATA[[#This Row],[D, top '[m']]])/(2*TP_DATA[[#This Row],[t '[mm']]]/1000),"")</f>
        <v/>
      </c>
      <c r="AT126" s="80" t="str">
        <f>IFERROR((TP_DATA[[#This Row],[D, bottom '[m']]]+#REF!)/(2*#REF!/1000),"")</f>
        <v/>
      </c>
      <c r="BX126" s="80" t="str">
        <f>IFERROR(TOWER_DATA[[#This Row],[Bottom '[m']]]-TOWER_DATA[[#This Row],[D, top '[m']]], "")</f>
        <v/>
      </c>
      <c r="BY126" s="80" t="str">
        <f>IFERROR(-(TOWER_DATA[[#This Row],[D, bottom '[m']]]-TOWER_DATA[[#This Row],[D, top '[m']]])/(TOWER_DATA[[#This Row],[Bottom '[m']]]-TOWER_DATA[[#This Row],[Top '[m']]]),"")</f>
        <v/>
      </c>
      <c r="BZ126" s="80" t="str">
        <f t="shared" si="6"/>
        <v/>
      </c>
      <c r="CA126" s="80" t="str">
        <f>IFERROR((TOWER_DATA[[#This Row],[D, bottom '[m']]]+TOWER_DATA[[#This Row],[D, top '[m']]])/(2*TOWER_DATA[[#This Row],[t '[mm']]]/1000),"")</f>
        <v/>
      </c>
      <c r="CB126" s="80" t="str">
        <f>IFERROR((TOWER_DATA[[#This Row],[D, bottom '[m']]]+#REF!)/(2*#REF!/1000),"")</f>
        <v/>
      </c>
      <c r="DF126" s="80" t="str">
        <f>IFERROR(RNA_DATA[[#This Row],[Inertia '[kg·m²']]]-RNA_DATA[[#This Row],[Offset TT_COG '[m']]], "")</f>
        <v/>
      </c>
      <c r="DG126" s="80" t="str">
        <f>IFERROR(-(RNA_DATA[[#This Row],[comment]]-RNA_DATA[[#This Row],[Offset TT_COG '[m']]])/(RNA_DATA[[#This Row],[Inertia '[kg·m²']]]-RNA_DATA[[#This Row],[Mass '[t']]]),"")</f>
        <v/>
      </c>
      <c r="DH126" s="80" t="str">
        <f t="shared" si="7"/>
        <v/>
      </c>
      <c r="DI126" s="80" t="str">
        <f>IFERROR((RNA_DATA[[#This Row],[comment]]+RNA_DATA[[#This Row],[Offset TT_COG '[m']]])/(2*#REF!/1000),"")</f>
        <v/>
      </c>
    </row>
    <row r="127" spans="8:113" x14ac:dyDescent="0.3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8"/>
        <v/>
      </c>
      <c r="K127" s="80" t="str">
        <f>IFERROR((MP_DATA[[#This Row],[D, bottom '[m']]]+MP_DATA[[#This Row],[D, top '[m']]])/(2*MP_DATA[[#This Row],[t '[mm']]]/1000),"")</f>
        <v/>
      </c>
      <c r="L127" s="80" t="str">
        <f>IFERROR((MP_DATA[[#This Row],[D, bottom '[m']]]+#REF!)/(2*#REF!/1000),"")</f>
        <v/>
      </c>
      <c r="AP127" s="80" t="str">
        <f>IFERROR(TP_DATA[[#This Row],[Bottom '[m']]]-TP_DATA[[#This Row],[D, top '[m']]], "")</f>
        <v/>
      </c>
      <c r="AQ127" s="80" t="str">
        <f>IFERROR(-(TP_DATA[[#This Row],[D, bottom '[m']]]-TP_DATA[[#This Row],[D, top '[m']]])/(TP_DATA[[#This Row],[Bottom '[m']]]-TP_DATA[[#This Row],[Top '[m']]]),"")</f>
        <v/>
      </c>
      <c r="AR127" s="80" t="str">
        <f t="shared" si="5"/>
        <v/>
      </c>
      <c r="AS127" s="80" t="str">
        <f>IFERROR((TP_DATA[[#This Row],[D, bottom '[m']]]+TP_DATA[[#This Row],[D, top '[m']]])/(2*TP_DATA[[#This Row],[t '[mm']]]/1000),"")</f>
        <v/>
      </c>
      <c r="AT127" s="80" t="str">
        <f>IFERROR((TP_DATA[[#This Row],[D, bottom '[m']]]+#REF!)/(2*#REF!/1000),"")</f>
        <v/>
      </c>
      <c r="BX127" s="80" t="str">
        <f>IFERROR(TOWER_DATA[[#This Row],[Bottom '[m']]]-TOWER_DATA[[#This Row],[D, top '[m']]], "")</f>
        <v/>
      </c>
      <c r="BY127" s="80" t="str">
        <f>IFERROR(-(TOWER_DATA[[#This Row],[D, bottom '[m']]]-TOWER_DATA[[#This Row],[D, top '[m']]])/(TOWER_DATA[[#This Row],[Bottom '[m']]]-TOWER_DATA[[#This Row],[Top '[m']]]),"")</f>
        <v/>
      </c>
      <c r="BZ127" s="80" t="str">
        <f t="shared" si="6"/>
        <v/>
      </c>
      <c r="CA127" s="80" t="str">
        <f>IFERROR((TOWER_DATA[[#This Row],[D, bottom '[m']]]+TOWER_DATA[[#This Row],[D, top '[m']]])/(2*TOWER_DATA[[#This Row],[t '[mm']]]/1000),"")</f>
        <v/>
      </c>
      <c r="CB127" s="80" t="str">
        <f>IFERROR((TOWER_DATA[[#This Row],[D, bottom '[m']]]+#REF!)/(2*#REF!/1000),"")</f>
        <v/>
      </c>
      <c r="DF127" s="80" t="str">
        <f>IFERROR(RNA_DATA[[#This Row],[Inertia '[kg·m²']]]-RNA_DATA[[#This Row],[Offset TT_COG '[m']]], "")</f>
        <v/>
      </c>
      <c r="DG127" s="80" t="str">
        <f>IFERROR(-(RNA_DATA[[#This Row],[comment]]-RNA_DATA[[#This Row],[Offset TT_COG '[m']]])/(RNA_DATA[[#This Row],[Inertia '[kg·m²']]]-RNA_DATA[[#This Row],[Mass '[t']]]),"")</f>
        <v/>
      </c>
      <c r="DH127" s="80" t="str">
        <f t="shared" si="7"/>
        <v/>
      </c>
      <c r="DI127" s="80" t="str">
        <f>IFERROR((RNA_DATA[[#This Row],[comment]]+RNA_DATA[[#This Row],[Offset TT_COG '[m']]])/(2*#REF!/1000),"")</f>
        <v/>
      </c>
    </row>
    <row r="128" spans="8:113" x14ac:dyDescent="0.3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8"/>
        <v/>
      </c>
      <c r="K128" s="80" t="str">
        <f>IFERROR((MP_DATA[[#This Row],[D, bottom '[m']]]+MP_DATA[[#This Row],[D, top '[m']]])/(2*MP_DATA[[#This Row],[t '[mm']]]/1000),"")</f>
        <v/>
      </c>
      <c r="L128" s="80" t="str">
        <f>IFERROR((MP_DATA[[#This Row],[D, bottom '[m']]]+#REF!)/(2*#REF!/1000),"")</f>
        <v/>
      </c>
      <c r="AP128" s="80" t="str">
        <f>IFERROR(TP_DATA[[#This Row],[Bottom '[m']]]-TP_DATA[[#This Row],[D, top '[m']]], "")</f>
        <v/>
      </c>
      <c r="AQ128" s="80" t="str">
        <f>IFERROR(-(TP_DATA[[#This Row],[D, bottom '[m']]]-TP_DATA[[#This Row],[D, top '[m']]])/(TP_DATA[[#This Row],[Bottom '[m']]]-TP_DATA[[#This Row],[Top '[m']]]),"")</f>
        <v/>
      </c>
      <c r="AR128" s="80" t="str">
        <f t="shared" si="5"/>
        <v/>
      </c>
      <c r="AS128" s="80" t="str">
        <f>IFERROR((TP_DATA[[#This Row],[D, bottom '[m']]]+TP_DATA[[#This Row],[D, top '[m']]])/(2*TP_DATA[[#This Row],[t '[mm']]]/1000),"")</f>
        <v/>
      </c>
      <c r="AT128" s="80" t="str">
        <f>IFERROR((TP_DATA[[#This Row],[D, bottom '[m']]]+#REF!)/(2*#REF!/1000),"")</f>
        <v/>
      </c>
      <c r="BX128" s="80" t="str">
        <f>IFERROR(TOWER_DATA[[#This Row],[Bottom '[m']]]-TOWER_DATA[[#This Row],[D, top '[m']]], "")</f>
        <v/>
      </c>
      <c r="BY128" s="80" t="str">
        <f>IFERROR(-(TOWER_DATA[[#This Row],[D, bottom '[m']]]-TOWER_DATA[[#This Row],[D, top '[m']]])/(TOWER_DATA[[#This Row],[Bottom '[m']]]-TOWER_DATA[[#This Row],[Top '[m']]]),"")</f>
        <v/>
      </c>
      <c r="BZ128" s="80" t="str">
        <f t="shared" si="6"/>
        <v/>
      </c>
      <c r="CA128" s="80" t="str">
        <f>IFERROR((TOWER_DATA[[#This Row],[D, bottom '[m']]]+TOWER_DATA[[#This Row],[D, top '[m']]])/(2*TOWER_DATA[[#This Row],[t '[mm']]]/1000),"")</f>
        <v/>
      </c>
      <c r="CB128" s="80" t="str">
        <f>IFERROR((TOWER_DATA[[#This Row],[D, bottom '[m']]]+#REF!)/(2*#REF!/1000),"")</f>
        <v/>
      </c>
      <c r="DF128" s="80" t="str">
        <f>IFERROR(RNA_DATA[[#This Row],[Inertia '[kg·m²']]]-RNA_DATA[[#This Row],[Offset TT_COG '[m']]], "")</f>
        <v/>
      </c>
      <c r="DG128" s="80" t="str">
        <f>IFERROR(-(RNA_DATA[[#This Row],[comment]]-RNA_DATA[[#This Row],[Offset TT_COG '[m']]])/(RNA_DATA[[#This Row],[Inertia '[kg·m²']]]-RNA_DATA[[#This Row],[Mass '[t']]]),"")</f>
        <v/>
      </c>
      <c r="DH128" s="80" t="str">
        <f t="shared" si="7"/>
        <v/>
      </c>
      <c r="DI128" s="80" t="str">
        <f>IFERROR((RNA_DATA[[#This Row],[comment]]+RNA_DATA[[#This Row],[Offset TT_COG '[m']]])/(2*#REF!/1000),"")</f>
        <v/>
      </c>
    </row>
    <row r="129" spans="8:113" x14ac:dyDescent="0.3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8"/>
        <v/>
      </c>
      <c r="K129" s="80" t="str">
        <f>IFERROR((MP_DATA[[#This Row],[D, bottom '[m']]]+MP_DATA[[#This Row],[D, top '[m']]])/(2*MP_DATA[[#This Row],[t '[mm']]]/1000),"")</f>
        <v/>
      </c>
      <c r="L129" s="80" t="str">
        <f>IFERROR((MP_DATA[[#This Row],[D, bottom '[m']]]+#REF!)/(2*#REF!/1000),"")</f>
        <v/>
      </c>
      <c r="AP129" s="80" t="str">
        <f>IFERROR(TP_DATA[[#This Row],[Bottom '[m']]]-TP_DATA[[#This Row],[D, top '[m']]], "")</f>
        <v/>
      </c>
      <c r="AQ129" s="80" t="str">
        <f>IFERROR(-(TP_DATA[[#This Row],[D, bottom '[m']]]-TP_DATA[[#This Row],[D, top '[m']]])/(TP_DATA[[#This Row],[Bottom '[m']]]-TP_DATA[[#This Row],[Top '[m']]]),"")</f>
        <v/>
      </c>
      <c r="AR129" s="80" t="str">
        <f t="shared" si="5"/>
        <v/>
      </c>
      <c r="AS129" s="80" t="str">
        <f>IFERROR((TP_DATA[[#This Row],[D, bottom '[m']]]+TP_DATA[[#This Row],[D, top '[m']]])/(2*TP_DATA[[#This Row],[t '[mm']]]/1000),"")</f>
        <v/>
      </c>
      <c r="AT129" s="80" t="str">
        <f>IFERROR((TP_DATA[[#This Row],[D, bottom '[m']]]+#REF!)/(2*#REF!/1000),"")</f>
        <v/>
      </c>
      <c r="BX129" s="80" t="str">
        <f>IFERROR(TOWER_DATA[[#This Row],[Bottom '[m']]]-TOWER_DATA[[#This Row],[D, top '[m']]], "")</f>
        <v/>
      </c>
      <c r="BY129" s="80" t="str">
        <f>IFERROR(-(TOWER_DATA[[#This Row],[D, bottom '[m']]]-TOWER_DATA[[#This Row],[D, top '[m']]])/(TOWER_DATA[[#This Row],[Bottom '[m']]]-TOWER_DATA[[#This Row],[Top '[m']]]),"")</f>
        <v/>
      </c>
      <c r="BZ129" s="80" t="str">
        <f t="shared" si="6"/>
        <v/>
      </c>
      <c r="CA129" s="80" t="str">
        <f>IFERROR((TOWER_DATA[[#This Row],[D, bottom '[m']]]+TOWER_DATA[[#This Row],[D, top '[m']]])/(2*TOWER_DATA[[#This Row],[t '[mm']]]/1000),"")</f>
        <v/>
      </c>
      <c r="CB129" s="80" t="str">
        <f>IFERROR((TOWER_DATA[[#This Row],[D, bottom '[m']]]+#REF!)/(2*#REF!/1000),"")</f>
        <v/>
      </c>
      <c r="DF129" s="80" t="str">
        <f>IFERROR(RNA_DATA[[#This Row],[Inertia '[kg·m²']]]-RNA_DATA[[#This Row],[Offset TT_COG '[m']]], "")</f>
        <v/>
      </c>
      <c r="DG129" s="80" t="str">
        <f>IFERROR(-(RNA_DATA[[#This Row],[comment]]-RNA_DATA[[#This Row],[Offset TT_COG '[m']]])/(RNA_DATA[[#This Row],[Inertia '[kg·m²']]]-RNA_DATA[[#This Row],[Mass '[t']]]),"")</f>
        <v/>
      </c>
      <c r="DH129" s="80" t="str">
        <f t="shared" si="7"/>
        <v/>
      </c>
      <c r="DI129" s="80" t="str">
        <f>IFERROR((RNA_DATA[[#This Row],[comment]]+RNA_DATA[[#This Row],[Offset TT_COG '[m']]])/(2*#REF!/1000),"")</f>
        <v/>
      </c>
    </row>
    <row r="130" spans="8:113" x14ac:dyDescent="0.3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8"/>
        <v/>
      </c>
      <c r="K130" s="80" t="str">
        <f>IFERROR((MP_DATA[[#This Row],[D, bottom '[m']]]+MP_DATA[[#This Row],[D, top '[m']]])/(2*MP_DATA[[#This Row],[t '[mm']]]/1000),"")</f>
        <v/>
      </c>
      <c r="L130" s="80" t="str">
        <f>IFERROR((MP_DATA[[#This Row],[D, bottom '[m']]]+#REF!)/(2*#REF!/1000),"")</f>
        <v/>
      </c>
      <c r="AP130" s="80" t="str">
        <f>IFERROR(TP_DATA[[#This Row],[Bottom '[m']]]-TP_DATA[[#This Row],[D, top '[m']]], "")</f>
        <v/>
      </c>
      <c r="AQ130" s="80" t="str">
        <f>IFERROR(-(TP_DATA[[#This Row],[D, bottom '[m']]]-TP_DATA[[#This Row],[D, top '[m']]])/(TP_DATA[[#This Row],[Bottom '[m']]]-TP_DATA[[#This Row],[Top '[m']]]),"")</f>
        <v/>
      </c>
      <c r="AR130" s="80" t="str">
        <f t="shared" si="5"/>
        <v/>
      </c>
      <c r="AS130" s="80" t="str">
        <f>IFERROR((TP_DATA[[#This Row],[D, bottom '[m']]]+TP_DATA[[#This Row],[D, top '[m']]])/(2*TP_DATA[[#This Row],[t '[mm']]]/1000),"")</f>
        <v/>
      </c>
      <c r="AT130" s="80" t="str">
        <f>IFERROR((TP_DATA[[#This Row],[D, bottom '[m']]]+#REF!)/(2*#REF!/1000),"")</f>
        <v/>
      </c>
      <c r="BX130" s="80" t="str">
        <f>IFERROR(TOWER_DATA[[#This Row],[Bottom '[m']]]-TOWER_DATA[[#This Row],[D, top '[m']]], "")</f>
        <v/>
      </c>
      <c r="BY130" s="80" t="str">
        <f>IFERROR(-(TOWER_DATA[[#This Row],[D, bottom '[m']]]-TOWER_DATA[[#This Row],[D, top '[m']]])/(TOWER_DATA[[#This Row],[Bottom '[m']]]-TOWER_DATA[[#This Row],[Top '[m']]]),"")</f>
        <v/>
      </c>
      <c r="BZ130" s="80" t="str">
        <f t="shared" si="6"/>
        <v/>
      </c>
      <c r="CA130" s="80" t="str">
        <f>IFERROR((TOWER_DATA[[#This Row],[D, bottom '[m']]]+TOWER_DATA[[#This Row],[D, top '[m']]])/(2*TOWER_DATA[[#This Row],[t '[mm']]]/1000),"")</f>
        <v/>
      </c>
      <c r="CB130" s="80" t="str">
        <f>IFERROR((TOWER_DATA[[#This Row],[D, bottom '[m']]]+#REF!)/(2*#REF!/1000),"")</f>
        <v/>
      </c>
      <c r="DF130" s="80" t="str">
        <f>IFERROR(RNA_DATA[[#This Row],[Inertia '[kg·m²']]]-RNA_DATA[[#This Row],[Offset TT_COG '[m']]], "")</f>
        <v/>
      </c>
      <c r="DG130" s="80" t="str">
        <f>IFERROR(-(RNA_DATA[[#This Row],[comment]]-RNA_DATA[[#This Row],[Offset TT_COG '[m']]])/(RNA_DATA[[#This Row],[Inertia '[kg·m²']]]-RNA_DATA[[#This Row],[Mass '[t']]]),"")</f>
        <v/>
      </c>
      <c r="DH130" s="80" t="str">
        <f t="shared" si="7"/>
        <v/>
      </c>
      <c r="DI130" s="80" t="str">
        <f>IFERROR((RNA_DATA[[#This Row],[comment]]+RNA_DATA[[#This Row],[Offset TT_COG '[m']]])/(2*#REF!/1000),"")</f>
        <v/>
      </c>
    </row>
    <row r="131" spans="8:113" x14ac:dyDescent="0.3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si="8"/>
        <v/>
      </c>
      <c r="K131" s="80" t="str">
        <f>IFERROR((MP_DATA[[#This Row],[D, bottom '[m']]]+MP_DATA[[#This Row],[D, top '[m']]])/(2*MP_DATA[[#This Row],[t '[mm']]]/1000),"")</f>
        <v/>
      </c>
      <c r="L131" s="80" t="str">
        <f>IFERROR((MP_DATA[[#This Row],[D, bottom '[m']]]+#REF!)/(2*#REF!/1000),"")</f>
        <v/>
      </c>
      <c r="AP131" s="80" t="str">
        <f>IFERROR(TP_DATA[[#This Row],[Bottom '[m']]]-TP_DATA[[#This Row],[D, top '[m']]], "")</f>
        <v/>
      </c>
      <c r="AQ131" s="80" t="str">
        <f>IFERROR(-(TP_DATA[[#This Row],[D, bottom '[m']]]-TP_DATA[[#This Row],[D, top '[m']]])/(TP_DATA[[#This Row],[Bottom '[m']]]-TP_DATA[[#This Row],[Top '[m']]]),"")</f>
        <v/>
      </c>
      <c r="AR131" s="80" t="str">
        <f t="shared" si="5"/>
        <v/>
      </c>
      <c r="AS131" s="80" t="str">
        <f>IFERROR((TP_DATA[[#This Row],[D, bottom '[m']]]+TP_DATA[[#This Row],[D, top '[m']]])/(2*TP_DATA[[#This Row],[t '[mm']]]/1000),"")</f>
        <v/>
      </c>
      <c r="AT131" s="80" t="str">
        <f>IFERROR((TP_DATA[[#This Row],[D, bottom '[m']]]+#REF!)/(2*#REF!/1000),"")</f>
        <v/>
      </c>
      <c r="BX131" s="80" t="str">
        <f>IFERROR(TOWER_DATA[[#This Row],[Bottom '[m']]]-TOWER_DATA[[#This Row],[D, top '[m']]], "")</f>
        <v/>
      </c>
      <c r="BY131" s="80" t="str">
        <f>IFERROR(-(TOWER_DATA[[#This Row],[D, bottom '[m']]]-TOWER_DATA[[#This Row],[D, top '[m']]])/(TOWER_DATA[[#This Row],[Bottom '[m']]]-TOWER_DATA[[#This Row],[Top '[m']]]),"")</f>
        <v/>
      </c>
      <c r="BZ131" s="80" t="str">
        <f t="shared" si="6"/>
        <v/>
      </c>
      <c r="CA131" s="80" t="str">
        <f>IFERROR((TOWER_DATA[[#This Row],[D, bottom '[m']]]+TOWER_DATA[[#This Row],[D, top '[m']]])/(2*TOWER_DATA[[#This Row],[t '[mm']]]/1000),"")</f>
        <v/>
      </c>
      <c r="CB131" s="80" t="str">
        <f>IFERROR((TOWER_DATA[[#This Row],[D, bottom '[m']]]+#REF!)/(2*#REF!/1000),"")</f>
        <v/>
      </c>
      <c r="DF131" s="80" t="str">
        <f>IFERROR(RNA_DATA[[#This Row],[Inertia '[kg·m²']]]-RNA_DATA[[#This Row],[Offset TT_COG '[m']]], "")</f>
        <v/>
      </c>
      <c r="DG131" s="80" t="str">
        <f>IFERROR(-(RNA_DATA[[#This Row],[comment]]-RNA_DATA[[#This Row],[Offset TT_COG '[m']]])/(RNA_DATA[[#This Row],[Inertia '[kg·m²']]]-RNA_DATA[[#This Row],[Mass '[t']]]),"")</f>
        <v/>
      </c>
      <c r="DH131" s="80" t="str">
        <f t="shared" si="7"/>
        <v/>
      </c>
      <c r="DI131" s="80" t="str">
        <f>IFERROR((RNA_DATA[[#This Row],[comment]]+RNA_DATA[[#This Row],[Offset TT_COG '[m']]])/(2*#REF!/1000),"")</f>
        <v/>
      </c>
    </row>
    <row r="132" spans="8:113" x14ac:dyDescent="0.3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8"/>
        <v/>
      </c>
      <c r="K132" s="80" t="str">
        <f>IFERROR((MP_DATA[[#This Row],[D, bottom '[m']]]+MP_DATA[[#This Row],[D, top '[m']]])/(2*MP_DATA[[#This Row],[t '[mm']]]/1000),"")</f>
        <v/>
      </c>
      <c r="L132" s="80" t="str">
        <f>IFERROR((MP_DATA[[#This Row],[D, bottom '[m']]]+#REF!)/(2*#REF!/1000),"")</f>
        <v/>
      </c>
      <c r="AP132" s="80" t="str">
        <f>IFERROR(TP_DATA[[#This Row],[Bottom '[m']]]-TP_DATA[[#This Row],[D, top '[m']]], "")</f>
        <v/>
      </c>
      <c r="AQ132" s="80" t="str">
        <f>IFERROR(-(TP_DATA[[#This Row],[D, bottom '[m']]]-TP_DATA[[#This Row],[D, top '[m']]])/(TP_DATA[[#This Row],[Bottom '[m']]]-TP_DATA[[#This Row],[Top '[m']]]),"")</f>
        <v/>
      </c>
      <c r="AR132" s="80" t="str">
        <f t="shared" si="5"/>
        <v/>
      </c>
      <c r="AS132" s="80" t="str">
        <f>IFERROR((TP_DATA[[#This Row],[D, bottom '[m']]]+TP_DATA[[#This Row],[D, top '[m']]])/(2*TP_DATA[[#This Row],[t '[mm']]]/1000),"")</f>
        <v/>
      </c>
      <c r="AT132" s="80" t="str">
        <f>IFERROR((TP_DATA[[#This Row],[D, bottom '[m']]]+#REF!)/(2*#REF!/1000),"")</f>
        <v/>
      </c>
      <c r="BX132" s="80" t="str">
        <f>IFERROR(TOWER_DATA[[#This Row],[Bottom '[m']]]-TOWER_DATA[[#This Row],[D, top '[m']]], "")</f>
        <v/>
      </c>
      <c r="BY132" s="80" t="str">
        <f>IFERROR(-(TOWER_DATA[[#This Row],[D, bottom '[m']]]-TOWER_DATA[[#This Row],[D, top '[m']]])/(TOWER_DATA[[#This Row],[Bottom '[m']]]-TOWER_DATA[[#This Row],[Top '[m']]]),"")</f>
        <v/>
      </c>
      <c r="BZ132" s="80" t="str">
        <f t="shared" si="6"/>
        <v/>
      </c>
      <c r="CA132" s="80" t="str">
        <f>IFERROR((TOWER_DATA[[#This Row],[D, bottom '[m']]]+TOWER_DATA[[#This Row],[D, top '[m']]])/(2*TOWER_DATA[[#This Row],[t '[mm']]]/1000),"")</f>
        <v/>
      </c>
      <c r="CB132" s="80" t="str">
        <f>IFERROR((TOWER_DATA[[#This Row],[D, bottom '[m']]]+#REF!)/(2*#REF!/1000),"")</f>
        <v/>
      </c>
      <c r="DF132" s="80" t="str">
        <f>IFERROR(RNA_DATA[[#This Row],[Inertia '[kg·m²']]]-RNA_DATA[[#This Row],[Offset TT_COG '[m']]], "")</f>
        <v/>
      </c>
      <c r="DG132" s="80" t="str">
        <f>IFERROR(-(RNA_DATA[[#This Row],[comment]]-RNA_DATA[[#This Row],[Offset TT_COG '[m']]])/(RNA_DATA[[#This Row],[Inertia '[kg·m²']]]-RNA_DATA[[#This Row],[Mass '[t']]]),"")</f>
        <v/>
      </c>
      <c r="DH132" s="80" t="str">
        <f t="shared" si="7"/>
        <v/>
      </c>
      <c r="DI132" s="80" t="str">
        <f>IFERROR((RNA_DATA[[#This Row],[comment]]+RNA_DATA[[#This Row],[Offset TT_COG '[m']]])/(2*#REF!/1000),"")</f>
        <v/>
      </c>
    </row>
    <row r="133" spans="8:113" x14ac:dyDescent="0.3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8"/>
        <v/>
      </c>
      <c r="K133" s="80" t="str">
        <f>IFERROR((MP_DATA[[#This Row],[D, bottom '[m']]]+MP_DATA[[#This Row],[D, top '[m']]])/(2*MP_DATA[[#This Row],[t '[mm']]]/1000),"")</f>
        <v/>
      </c>
      <c r="L133" s="80" t="str">
        <f>IFERROR((MP_DATA[[#This Row],[D, bottom '[m']]]+#REF!)/(2*#REF!/1000),"")</f>
        <v/>
      </c>
      <c r="AP133" s="80" t="str">
        <f>IFERROR(TP_DATA[[#This Row],[Bottom '[m']]]-TP_DATA[[#This Row],[D, top '[m']]], "")</f>
        <v/>
      </c>
      <c r="AQ133" s="80" t="str">
        <f>IFERROR(-(TP_DATA[[#This Row],[D, bottom '[m']]]-TP_DATA[[#This Row],[D, top '[m']]])/(TP_DATA[[#This Row],[Bottom '[m']]]-TP_DATA[[#This Row],[Top '[m']]]),"")</f>
        <v/>
      </c>
      <c r="AR133" s="80" t="str">
        <f t="shared" si="5"/>
        <v/>
      </c>
      <c r="AS133" s="80" t="str">
        <f>IFERROR((TP_DATA[[#This Row],[D, bottom '[m']]]+TP_DATA[[#This Row],[D, top '[m']]])/(2*TP_DATA[[#This Row],[t '[mm']]]/1000),"")</f>
        <v/>
      </c>
      <c r="AT133" s="80" t="str">
        <f>IFERROR((TP_DATA[[#This Row],[D, bottom '[m']]]+#REF!)/(2*#REF!/1000),"")</f>
        <v/>
      </c>
      <c r="BX133" s="80" t="str">
        <f>IFERROR(TOWER_DATA[[#This Row],[Bottom '[m']]]-TOWER_DATA[[#This Row],[D, top '[m']]], "")</f>
        <v/>
      </c>
      <c r="BY133" s="80" t="str">
        <f>IFERROR(-(TOWER_DATA[[#This Row],[D, bottom '[m']]]-TOWER_DATA[[#This Row],[D, top '[m']]])/(TOWER_DATA[[#This Row],[Bottom '[m']]]-TOWER_DATA[[#This Row],[Top '[m']]]),"")</f>
        <v/>
      </c>
      <c r="BZ133" s="80" t="str">
        <f t="shared" si="6"/>
        <v/>
      </c>
      <c r="CA133" s="80" t="str">
        <f>IFERROR((TOWER_DATA[[#This Row],[D, bottom '[m']]]+TOWER_DATA[[#This Row],[D, top '[m']]])/(2*TOWER_DATA[[#This Row],[t '[mm']]]/1000),"")</f>
        <v/>
      </c>
      <c r="CB133" s="80" t="str">
        <f>IFERROR((TOWER_DATA[[#This Row],[D, bottom '[m']]]+#REF!)/(2*#REF!/1000),"")</f>
        <v/>
      </c>
      <c r="DF133" s="80" t="str">
        <f>IFERROR(RNA_DATA[[#This Row],[Inertia '[kg·m²']]]-RNA_DATA[[#This Row],[Offset TT_COG '[m']]], "")</f>
        <v/>
      </c>
      <c r="DG133" s="80" t="str">
        <f>IFERROR(-(RNA_DATA[[#This Row],[comment]]-RNA_DATA[[#This Row],[Offset TT_COG '[m']]])/(RNA_DATA[[#This Row],[Inertia '[kg·m²']]]-RNA_DATA[[#This Row],[Mass '[t']]]),"")</f>
        <v/>
      </c>
      <c r="DH133" s="80" t="str">
        <f t="shared" si="7"/>
        <v/>
      </c>
      <c r="DI133" s="80" t="str">
        <f>IFERROR((RNA_DATA[[#This Row],[comment]]+RNA_DATA[[#This Row],[Offset TT_COG '[m']]])/(2*#REF!/1000),"")</f>
        <v/>
      </c>
    </row>
    <row r="134" spans="8:113" x14ac:dyDescent="0.3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8"/>
        <v/>
      </c>
      <c r="K134" s="80" t="str">
        <f>IFERROR((MP_DATA[[#This Row],[D, bottom '[m']]]+MP_DATA[[#This Row],[D, top '[m']]])/(2*MP_DATA[[#This Row],[t '[mm']]]/1000),"")</f>
        <v/>
      </c>
      <c r="L134" s="80" t="str">
        <f>IFERROR((MP_DATA[[#This Row],[D, bottom '[m']]]+#REF!)/(2*#REF!/1000),"")</f>
        <v/>
      </c>
      <c r="AP134" s="80" t="str">
        <f>IFERROR(TP_DATA[[#This Row],[Bottom '[m']]]-TP_DATA[[#This Row],[D, top '[m']]], "")</f>
        <v/>
      </c>
      <c r="AQ134" s="80" t="str">
        <f>IFERROR(-(TP_DATA[[#This Row],[D, bottom '[m']]]-TP_DATA[[#This Row],[D, top '[m']]])/(TP_DATA[[#This Row],[Bottom '[m']]]-TP_DATA[[#This Row],[Top '[m']]]),"")</f>
        <v/>
      </c>
      <c r="AR134" s="80" t="str">
        <f t="shared" si="5"/>
        <v/>
      </c>
      <c r="AS134" s="80" t="str">
        <f>IFERROR((TP_DATA[[#This Row],[D, bottom '[m']]]+TP_DATA[[#This Row],[D, top '[m']]])/(2*TP_DATA[[#This Row],[t '[mm']]]/1000),"")</f>
        <v/>
      </c>
      <c r="AT134" s="80" t="str">
        <f>IFERROR((TP_DATA[[#This Row],[D, bottom '[m']]]+#REF!)/(2*#REF!/1000),"")</f>
        <v/>
      </c>
      <c r="BX134" s="80" t="str">
        <f>IFERROR(TOWER_DATA[[#This Row],[Bottom '[m']]]-TOWER_DATA[[#This Row],[D, top '[m']]], "")</f>
        <v/>
      </c>
      <c r="BY134" s="80" t="str">
        <f>IFERROR(-(TOWER_DATA[[#This Row],[D, bottom '[m']]]-TOWER_DATA[[#This Row],[D, top '[m']]])/(TOWER_DATA[[#This Row],[Bottom '[m']]]-TOWER_DATA[[#This Row],[Top '[m']]]),"")</f>
        <v/>
      </c>
      <c r="BZ134" s="80" t="str">
        <f t="shared" si="6"/>
        <v/>
      </c>
      <c r="CA134" s="80" t="str">
        <f>IFERROR((TOWER_DATA[[#This Row],[D, bottom '[m']]]+TOWER_DATA[[#This Row],[D, top '[m']]])/(2*TOWER_DATA[[#This Row],[t '[mm']]]/1000),"")</f>
        <v/>
      </c>
      <c r="CB134" s="80" t="str">
        <f>IFERROR((TOWER_DATA[[#This Row],[D, bottom '[m']]]+#REF!)/(2*#REF!/1000),"")</f>
        <v/>
      </c>
      <c r="DF134" s="80" t="str">
        <f>IFERROR(RNA_DATA[[#This Row],[Inertia '[kg·m²']]]-RNA_DATA[[#This Row],[Offset TT_COG '[m']]], "")</f>
        <v/>
      </c>
      <c r="DG134" s="80" t="str">
        <f>IFERROR(-(RNA_DATA[[#This Row],[comment]]-RNA_DATA[[#This Row],[Offset TT_COG '[m']]])/(RNA_DATA[[#This Row],[Inertia '[kg·m²']]]-RNA_DATA[[#This Row],[Mass '[t']]]),"")</f>
        <v/>
      </c>
      <c r="DH134" s="80" t="str">
        <f t="shared" si="7"/>
        <v/>
      </c>
      <c r="DI134" s="80" t="str">
        <f>IFERROR((RNA_DATA[[#This Row],[comment]]+RNA_DATA[[#This Row],[Offset TT_COG '[m']]])/(2*#REF!/1000),"")</f>
        <v/>
      </c>
    </row>
    <row r="135" spans="8:113" x14ac:dyDescent="0.3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8"/>
        <v/>
      </c>
      <c r="K135" s="80" t="str">
        <f>IFERROR((MP_DATA[[#This Row],[D, bottom '[m']]]+MP_DATA[[#This Row],[D, top '[m']]])/(2*MP_DATA[[#This Row],[t '[mm']]]/1000),"")</f>
        <v/>
      </c>
      <c r="L135" s="80" t="str">
        <f>IFERROR((MP_DATA[[#This Row],[D, bottom '[m']]]+#REF!)/(2*#REF!/1000),"")</f>
        <v/>
      </c>
      <c r="AP135" s="80" t="str">
        <f>IFERROR(TP_DATA[[#This Row],[Bottom '[m']]]-TP_DATA[[#This Row],[D, top '[m']]], "")</f>
        <v/>
      </c>
      <c r="AQ135" s="80" t="str">
        <f>IFERROR(-(TP_DATA[[#This Row],[D, bottom '[m']]]-TP_DATA[[#This Row],[D, top '[m']]])/(TP_DATA[[#This Row],[Bottom '[m']]]-TP_DATA[[#This Row],[Top '[m']]]),"")</f>
        <v/>
      </c>
      <c r="AR135" s="80" t="str">
        <f t="shared" si="5"/>
        <v/>
      </c>
      <c r="AS135" s="80" t="str">
        <f>IFERROR((TP_DATA[[#This Row],[D, bottom '[m']]]+TP_DATA[[#This Row],[D, top '[m']]])/(2*TP_DATA[[#This Row],[t '[mm']]]/1000),"")</f>
        <v/>
      </c>
      <c r="AT135" s="80" t="str">
        <f>IFERROR((TP_DATA[[#This Row],[D, bottom '[m']]]+#REF!)/(2*#REF!/1000),"")</f>
        <v/>
      </c>
      <c r="BX135" s="80" t="str">
        <f>IFERROR(TOWER_DATA[[#This Row],[Bottom '[m']]]-TOWER_DATA[[#This Row],[D, top '[m']]], "")</f>
        <v/>
      </c>
      <c r="BY135" s="80" t="str">
        <f>IFERROR(-(TOWER_DATA[[#This Row],[D, bottom '[m']]]-TOWER_DATA[[#This Row],[D, top '[m']]])/(TOWER_DATA[[#This Row],[Bottom '[m']]]-TOWER_DATA[[#This Row],[Top '[m']]]),"")</f>
        <v/>
      </c>
      <c r="BZ135" s="80" t="str">
        <f t="shared" si="6"/>
        <v/>
      </c>
      <c r="CA135" s="80" t="str">
        <f>IFERROR((TOWER_DATA[[#This Row],[D, bottom '[m']]]+TOWER_DATA[[#This Row],[D, top '[m']]])/(2*TOWER_DATA[[#This Row],[t '[mm']]]/1000),"")</f>
        <v/>
      </c>
      <c r="CB135" s="80" t="str">
        <f>IFERROR((TOWER_DATA[[#This Row],[D, bottom '[m']]]+#REF!)/(2*#REF!/1000),"")</f>
        <v/>
      </c>
      <c r="DF135" s="80" t="str">
        <f>IFERROR(RNA_DATA[[#This Row],[Inertia '[kg·m²']]]-RNA_DATA[[#This Row],[Offset TT_COG '[m']]], "")</f>
        <v/>
      </c>
      <c r="DG135" s="80" t="str">
        <f>IFERROR(-(RNA_DATA[[#This Row],[comment]]-RNA_DATA[[#This Row],[Offset TT_COG '[m']]])/(RNA_DATA[[#This Row],[Inertia '[kg·m²']]]-RNA_DATA[[#This Row],[Mass '[t']]]),"")</f>
        <v/>
      </c>
      <c r="DH135" s="80" t="str">
        <f t="shared" si="7"/>
        <v/>
      </c>
      <c r="DI135" s="80" t="str">
        <f>IFERROR((RNA_DATA[[#This Row],[comment]]+RNA_DATA[[#This Row],[Offset TT_COG '[m']]])/(2*#REF!/1000),"")</f>
        <v/>
      </c>
    </row>
    <row r="136" spans="8:113" x14ac:dyDescent="0.3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8"/>
        <v/>
      </c>
      <c r="K136" s="80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80" t="str">
        <f>IFERROR(TP_DATA[[#This Row],[Bottom '[m']]]-TP_DATA[[#This Row],[D, top '[m']]], "")</f>
        <v/>
      </c>
      <c r="AQ136" s="80" t="str">
        <f>IFERROR(-(TP_DATA[[#This Row],[D, bottom '[m']]]-TP_DATA[[#This Row],[D, top '[m']]])/(TP_DATA[[#This Row],[Bottom '[m']]]-TP_DATA[[#This Row],[Top '[m']]]),"")</f>
        <v/>
      </c>
      <c r="AR136" s="80" t="str">
        <f t="shared" si="5"/>
        <v/>
      </c>
      <c r="AS136" s="80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80" t="str">
        <f>IFERROR(TOWER_DATA[[#This Row],[Bottom '[m']]]-TOWER_DATA[[#This Row],[D, top '[m']]], "")</f>
        <v/>
      </c>
      <c r="BY136" s="80" t="str">
        <f>IFERROR(-(TOWER_DATA[[#This Row],[D, bottom '[m']]]-TOWER_DATA[[#This Row],[D, top '[m']]])/(TOWER_DATA[[#This Row],[Bottom '[m']]]-TOWER_DATA[[#This Row],[Top '[m']]]),"")</f>
        <v/>
      </c>
      <c r="BZ136" s="80" t="str">
        <f t="shared" si="6"/>
        <v/>
      </c>
      <c r="CA136" s="80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  <c r="DF136" s="80" t="str">
        <f>IFERROR(RNA_DATA[[#This Row],[Inertia '[kg·m²']]]-RNA_DATA[[#This Row],[Offset TT_COG '[m']]], "")</f>
        <v/>
      </c>
      <c r="DG136" s="80" t="str">
        <f>IFERROR(-(RNA_DATA[[#This Row],[comment]]-RNA_DATA[[#This Row],[Offset TT_COG '[m']]])/(RNA_DATA[[#This Row],[Inertia '[kg·m²']]]-RNA_DATA[[#This Row],[Mass '[t']]]),"")</f>
        <v/>
      </c>
      <c r="DH136" s="80" t="str">
        <f t="shared" si="7"/>
        <v/>
      </c>
      <c r="DI136" s="80" t="str">
        <f>IFERROR((RNA_DATA[[#This Row],[comment]]+RNA_DATA[[#This Row],[Offset TT_COG '[m']]])/(2*#REF!/1000),"")</f>
        <v/>
      </c>
    </row>
    <row r="137" spans="8:113" x14ac:dyDescent="0.3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8"/>
        <v/>
      </c>
      <c r="K137" s="80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80" t="str">
        <f>IFERROR(TP_DATA[[#This Row],[Bottom '[m']]]-TP_DATA[[#This Row],[D, top '[m']]], "")</f>
        <v/>
      </c>
      <c r="AQ137" s="80" t="str">
        <f>IFERROR(-(TP_DATA[[#This Row],[D, bottom '[m']]]-TP_DATA[[#This Row],[D, top '[m']]])/(TP_DATA[[#This Row],[Bottom '[m']]]-TP_DATA[[#This Row],[Top '[m']]]),"")</f>
        <v/>
      </c>
      <c r="AR137" s="80" t="str">
        <f t="shared" si="5"/>
        <v/>
      </c>
      <c r="AS137" s="80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80" t="str">
        <f>IFERROR(TOWER_DATA[[#This Row],[Bottom '[m']]]-TOWER_DATA[[#This Row],[D, top '[m']]], "")</f>
        <v/>
      </c>
      <c r="BY137" s="80" t="str">
        <f>IFERROR(-(TOWER_DATA[[#This Row],[D, bottom '[m']]]-TOWER_DATA[[#This Row],[D, top '[m']]])/(TOWER_DATA[[#This Row],[Bottom '[m']]]-TOWER_DATA[[#This Row],[Top '[m']]]),"")</f>
        <v/>
      </c>
      <c r="BZ137" s="80" t="str">
        <f t="shared" si="6"/>
        <v/>
      </c>
      <c r="CA137" s="80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  <c r="DF137" s="80" t="str">
        <f>IFERROR(RNA_DATA[[#This Row],[Inertia '[kg·m²']]]-RNA_DATA[[#This Row],[Offset TT_COG '[m']]], "")</f>
        <v/>
      </c>
      <c r="DG137" s="80" t="str">
        <f>IFERROR(-(RNA_DATA[[#This Row],[comment]]-RNA_DATA[[#This Row],[Offset TT_COG '[m']]])/(RNA_DATA[[#This Row],[Inertia '[kg·m²']]]-RNA_DATA[[#This Row],[Mass '[t']]]),"")</f>
        <v/>
      </c>
      <c r="DH137" s="80" t="str">
        <f t="shared" si="7"/>
        <v/>
      </c>
      <c r="DI137" s="80" t="str">
        <f>IFERROR((RNA_DATA[[#This Row],[comment]]+RNA_DATA[[#This Row],[Offset TT_COG '[m']]])/(2*#REF!/1000),"")</f>
        <v/>
      </c>
    </row>
    <row r="138" spans="8:113" x14ac:dyDescent="0.3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J138" s="80" t="str">
        <f t="shared" si="8"/>
        <v/>
      </c>
      <c r="K138" s="80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80" t="str">
        <f>IFERROR(TP_DATA[[#This Row],[Bottom '[m']]]-TP_DATA[[#This Row],[D, top '[m']]], "")</f>
        <v/>
      </c>
      <c r="AQ138" s="80" t="str">
        <f>IFERROR(-(TP_DATA[[#This Row],[D, bottom '[m']]]-TP_DATA[[#This Row],[D, top '[m']]])/(TP_DATA[[#This Row],[Bottom '[m']]]-TP_DATA[[#This Row],[Top '[m']]]),"")</f>
        <v/>
      </c>
      <c r="AR138" s="80" t="str">
        <f t="shared" si="5"/>
        <v/>
      </c>
      <c r="AS138" s="80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80" t="str">
        <f>IFERROR(TOWER_DATA[[#This Row],[Bottom '[m']]]-TOWER_DATA[[#This Row],[D, top '[m']]], "")</f>
        <v/>
      </c>
      <c r="BY138" s="80" t="str">
        <f>IFERROR(-(TOWER_DATA[[#This Row],[D, bottom '[m']]]-TOWER_DATA[[#This Row],[D, top '[m']]])/(TOWER_DATA[[#This Row],[Bottom '[m']]]-TOWER_DATA[[#This Row],[Top '[m']]]),"")</f>
        <v/>
      </c>
      <c r="BZ138" s="80" t="str">
        <f t="shared" si="6"/>
        <v/>
      </c>
      <c r="CA138" s="80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  <c r="DF138" s="80" t="str">
        <f>IFERROR(RNA_DATA[[#This Row],[Inertia '[kg·m²']]]-RNA_DATA[[#This Row],[Offset TT_COG '[m']]], "")</f>
        <v/>
      </c>
      <c r="DG138" s="80" t="str">
        <f>IFERROR(-(RNA_DATA[[#This Row],[comment]]-RNA_DATA[[#This Row],[Offset TT_COG '[m']]])/(RNA_DATA[[#This Row],[Inertia '[kg·m²']]]-RNA_DATA[[#This Row],[Mass '[t']]]),"")</f>
        <v/>
      </c>
      <c r="DH138" s="80" t="str">
        <f t="shared" si="7"/>
        <v/>
      </c>
      <c r="DI138" s="80" t="str">
        <f>IFERROR((RNA_DATA[[#This Row],[comment]]+RNA_DATA[[#This Row],[Offset TT_COG '[m']]])/(2*#REF!/1000),"")</f>
        <v/>
      </c>
    </row>
    <row r="139" spans="8:113" x14ac:dyDescent="0.3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J139" s="80" t="str">
        <f t="shared" si="8"/>
        <v/>
      </c>
      <c r="K139" s="80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80" t="str">
        <f>IFERROR(TP_DATA[[#This Row],[Bottom '[m']]]-TP_DATA[[#This Row],[D, top '[m']]], "")</f>
        <v/>
      </c>
      <c r="AQ139" s="80" t="str">
        <f>IFERROR(-(TP_DATA[[#This Row],[D, bottom '[m']]]-TP_DATA[[#This Row],[D, top '[m']]])/(TP_DATA[[#This Row],[Bottom '[m']]]-TP_DATA[[#This Row],[Top '[m']]]),"")</f>
        <v/>
      </c>
      <c r="AR139" s="80" t="str">
        <f t="shared" si="5"/>
        <v/>
      </c>
      <c r="AS139" s="80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80" t="str">
        <f>IFERROR(TOWER_DATA[[#This Row],[Bottom '[m']]]-TOWER_DATA[[#This Row],[D, top '[m']]], "")</f>
        <v/>
      </c>
      <c r="BY139" s="80" t="str">
        <f>IFERROR(-(TOWER_DATA[[#This Row],[D, bottom '[m']]]-TOWER_DATA[[#This Row],[D, top '[m']]])/(TOWER_DATA[[#This Row],[Bottom '[m']]]-TOWER_DATA[[#This Row],[Top '[m']]]),"")</f>
        <v/>
      </c>
      <c r="BZ139" s="80" t="str">
        <f t="shared" si="6"/>
        <v/>
      </c>
      <c r="CA139" s="80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  <c r="DF139" s="80" t="str">
        <f>IFERROR(RNA_DATA[[#This Row],[Inertia '[kg·m²']]]-RNA_DATA[[#This Row],[Offset TT_COG '[m']]], "")</f>
        <v/>
      </c>
      <c r="DG139" s="80" t="str">
        <f>IFERROR(-(RNA_DATA[[#This Row],[comment]]-RNA_DATA[[#This Row],[Offset TT_COG '[m']]])/(RNA_DATA[[#This Row],[Inertia '[kg·m²']]]-RNA_DATA[[#This Row],[Mass '[t']]]),"")</f>
        <v/>
      </c>
      <c r="DH139" s="80" t="str">
        <f t="shared" si="7"/>
        <v/>
      </c>
      <c r="DI139" s="80" t="str">
        <f>IFERROR((RNA_DATA[[#This Row],[comment]]+RNA_DATA[[#This Row],[Offset TT_COG '[m']]])/(2*#REF!/1000),"")</f>
        <v/>
      </c>
    </row>
    <row r="140" spans="8:113" x14ac:dyDescent="0.3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J140" s="80" t="str">
        <f t="shared" si="8"/>
        <v/>
      </c>
      <c r="K140" s="80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80" t="str">
        <f>IFERROR(TP_DATA[[#This Row],[Bottom '[m']]]-TP_DATA[[#This Row],[D, top '[m']]], "")</f>
        <v/>
      </c>
      <c r="AQ140" s="80" t="str">
        <f>IFERROR(-(TP_DATA[[#This Row],[D, bottom '[m']]]-TP_DATA[[#This Row],[D, top '[m']]])/(TP_DATA[[#This Row],[Bottom '[m']]]-TP_DATA[[#This Row],[Top '[m']]]),"")</f>
        <v/>
      </c>
      <c r="AR140" s="80" t="str">
        <f t="shared" si="5"/>
        <v/>
      </c>
      <c r="AS140" s="80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80" t="str">
        <f>IFERROR(TOWER_DATA[[#This Row],[Bottom '[m']]]-TOWER_DATA[[#This Row],[D, top '[m']]], "")</f>
        <v/>
      </c>
      <c r="BY140" s="80" t="str">
        <f>IFERROR(-(TOWER_DATA[[#This Row],[D, bottom '[m']]]-TOWER_DATA[[#This Row],[D, top '[m']]])/(TOWER_DATA[[#This Row],[Bottom '[m']]]-TOWER_DATA[[#This Row],[Top '[m']]]),"")</f>
        <v/>
      </c>
      <c r="BZ140" s="80" t="str">
        <f t="shared" si="6"/>
        <v/>
      </c>
      <c r="CA140" s="80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  <c r="DF140" s="80" t="str">
        <f>IFERROR(RNA_DATA[[#This Row],[Inertia '[kg·m²']]]-RNA_DATA[[#This Row],[Offset TT_COG '[m']]], "")</f>
        <v/>
      </c>
      <c r="DG140" s="80" t="str">
        <f>IFERROR(-(RNA_DATA[[#This Row],[comment]]-RNA_DATA[[#This Row],[Offset TT_COG '[m']]])/(RNA_DATA[[#This Row],[Inertia '[kg·m²']]]-RNA_DATA[[#This Row],[Mass '[t']]]),"")</f>
        <v/>
      </c>
      <c r="DH140" s="80" t="str">
        <f t="shared" si="7"/>
        <v/>
      </c>
      <c r="DI140" s="80" t="str">
        <f>IFERROR((RNA_DATA[[#This Row],[comment]]+RNA_DATA[[#This Row],[Offset TT_COG '[m']]])/(2*#REF!/1000),"")</f>
        <v/>
      </c>
    </row>
    <row r="141" spans="8:113" x14ac:dyDescent="0.3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J141" s="80" t="str">
        <f t="shared" si="8"/>
        <v/>
      </c>
      <c r="K141" s="80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80" t="str">
        <f>IFERROR(TP_DATA[[#This Row],[Bottom '[m']]]-TP_DATA[[#This Row],[D, top '[m']]], "")</f>
        <v/>
      </c>
      <c r="AQ141" s="80" t="str">
        <f>IFERROR(-(TP_DATA[[#This Row],[D, bottom '[m']]]-TP_DATA[[#This Row],[D, top '[m']]])/(TP_DATA[[#This Row],[Bottom '[m']]]-TP_DATA[[#This Row],[Top '[m']]]),"")</f>
        <v/>
      </c>
      <c r="AR141" s="80" t="str">
        <f t="shared" si="5"/>
        <v/>
      </c>
      <c r="AS141" s="80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80" t="str">
        <f>IFERROR(TOWER_DATA[[#This Row],[Bottom '[m']]]-TOWER_DATA[[#This Row],[D, top '[m']]], "")</f>
        <v/>
      </c>
      <c r="BY141" s="80" t="str">
        <f>IFERROR(-(TOWER_DATA[[#This Row],[D, bottom '[m']]]-TOWER_DATA[[#This Row],[D, top '[m']]])/(TOWER_DATA[[#This Row],[Bottom '[m']]]-TOWER_DATA[[#This Row],[Top '[m']]]),"")</f>
        <v/>
      </c>
      <c r="BZ141" s="80" t="str">
        <f t="shared" si="6"/>
        <v/>
      </c>
      <c r="CA141" s="80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  <c r="DF141" s="80" t="str">
        <f>IFERROR(RNA_DATA[[#This Row],[Inertia '[kg·m²']]]-RNA_DATA[[#This Row],[Offset TT_COG '[m']]], "")</f>
        <v/>
      </c>
      <c r="DG141" s="80" t="str">
        <f>IFERROR(-(RNA_DATA[[#This Row],[comment]]-RNA_DATA[[#This Row],[Offset TT_COG '[m']]])/(RNA_DATA[[#This Row],[Inertia '[kg·m²']]]-RNA_DATA[[#This Row],[Mass '[t']]]),"")</f>
        <v/>
      </c>
      <c r="DH141" s="80" t="str">
        <f t="shared" si="7"/>
        <v/>
      </c>
      <c r="DI141" s="80" t="str">
        <f>IFERROR((RNA_DATA[[#This Row],[comment]]+RNA_DATA[[#This Row],[Offset TT_COG '[m']]])/(2*#REF!/1000),"")</f>
        <v/>
      </c>
    </row>
    <row r="142" spans="8:113" x14ac:dyDescent="0.3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J142" s="80" t="str">
        <f t="shared" si="8"/>
        <v/>
      </c>
      <c r="K142" s="80" t="str">
        <f>IFERROR((MP_DATA[[#This Row],[D, bottom '[m']]]+MP_DATA[[#This Row],[D, top '[m']]])/(2*MP_DATA[[#This Row],[t '[mm']]]/1000),"")</f>
        <v/>
      </c>
      <c r="AP142" s="80" t="str">
        <f>IFERROR(TP_DATA[[#This Row],[Bottom '[m']]]-TP_DATA[[#This Row],[D, top '[m']]], "")</f>
        <v/>
      </c>
      <c r="AQ142" s="80" t="str">
        <f>IFERROR(-(TP_DATA[[#This Row],[D, bottom '[m']]]-TP_DATA[[#This Row],[D, top '[m']]])/(TP_DATA[[#This Row],[Bottom '[m']]]-TP_DATA[[#This Row],[Top '[m']]]),"")</f>
        <v/>
      </c>
      <c r="AR142" s="80" t="str">
        <f t="shared" si="5"/>
        <v/>
      </c>
      <c r="AS142" s="80" t="str">
        <f>IFERROR((TP_DATA[[#This Row],[D, bottom '[m']]]+TP_DATA[[#This Row],[D, top '[m']]])/(2*TP_DATA[[#This Row],[t '[mm']]]/1000),"")</f>
        <v/>
      </c>
      <c r="BX142" s="80" t="str">
        <f>IFERROR(TOWER_DATA[[#This Row],[Bottom '[m']]]-TOWER_DATA[[#This Row],[D, top '[m']]], "")</f>
        <v/>
      </c>
      <c r="BY142" s="80" t="str">
        <f>IFERROR(-(TOWER_DATA[[#This Row],[D, bottom '[m']]]-TOWER_DATA[[#This Row],[D, top '[m']]])/(TOWER_DATA[[#This Row],[Bottom '[m']]]-TOWER_DATA[[#This Row],[Top '[m']]]),"")</f>
        <v/>
      </c>
      <c r="BZ142" s="80" t="str">
        <f t="shared" si="6"/>
        <v/>
      </c>
      <c r="CA142" s="80" t="str">
        <f>IFERROR((TOWER_DATA[[#This Row],[D, bottom '[m']]]+TOWER_DATA[[#This Row],[D, top '[m']]])/(2*TOWER_DATA[[#This Row],[t '[mm']]]/1000),"")</f>
        <v/>
      </c>
      <c r="DF142" s="80" t="str">
        <f>IFERROR(RNA_DATA[[#This Row],[Inertia '[kg·m²']]]-RNA_DATA[[#This Row],[Offset TT_COG '[m']]], "")</f>
        <v/>
      </c>
      <c r="DG142" s="80" t="str">
        <f>IFERROR(-(RNA_DATA[[#This Row],[comment]]-RNA_DATA[[#This Row],[Offset TT_COG '[m']]])/(RNA_DATA[[#This Row],[Inertia '[kg·m²']]]-RNA_DATA[[#This Row],[Mass '[t']]]),"")</f>
        <v/>
      </c>
      <c r="DH142" s="80" t="str">
        <f t="shared" si="7"/>
        <v/>
      </c>
      <c r="DI142" s="80" t="str">
        <f>IFERROR((RNA_DATA[[#This Row],[comment]]+RNA_DATA[[#This Row],[Offset TT_COG '[m']]])/(2*#REF!/1000),"")</f>
        <v/>
      </c>
    </row>
    <row r="143" spans="8:113" x14ac:dyDescent="0.3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J143" s="80" t="str">
        <f t="shared" si="8"/>
        <v/>
      </c>
      <c r="K143" s="80" t="str">
        <f>IFERROR((MP_DATA[[#This Row],[D, bottom '[m']]]+MP_DATA[[#This Row],[D, top '[m']]])/(2*MP_DATA[[#This Row],[t '[mm']]]/1000),"")</f>
        <v/>
      </c>
      <c r="AP143" s="80" t="str">
        <f>IFERROR(TP_DATA[[#This Row],[Bottom '[m']]]-TP_DATA[[#This Row],[D, top '[m']]], "")</f>
        <v/>
      </c>
      <c r="AQ143" s="80" t="str">
        <f>IFERROR(-(TP_DATA[[#This Row],[D, bottom '[m']]]-TP_DATA[[#This Row],[D, top '[m']]])/(TP_DATA[[#This Row],[Bottom '[m']]]-TP_DATA[[#This Row],[Top '[m']]]),"")</f>
        <v/>
      </c>
      <c r="AR143" s="80" t="str">
        <f t="shared" si="5"/>
        <v/>
      </c>
      <c r="AS143" s="80" t="str">
        <f>IFERROR((TP_DATA[[#This Row],[D, bottom '[m']]]+TP_DATA[[#This Row],[D, top '[m']]])/(2*TP_DATA[[#This Row],[t '[mm']]]/1000),"")</f>
        <v/>
      </c>
      <c r="BX143" s="80" t="str">
        <f>IFERROR(TOWER_DATA[[#This Row],[Bottom '[m']]]-TOWER_DATA[[#This Row],[D, top '[m']]], "")</f>
        <v/>
      </c>
      <c r="BY143" s="80" t="str">
        <f>IFERROR(-(TOWER_DATA[[#This Row],[D, bottom '[m']]]-TOWER_DATA[[#This Row],[D, top '[m']]])/(TOWER_DATA[[#This Row],[Bottom '[m']]]-TOWER_DATA[[#This Row],[Top '[m']]]),"")</f>
        <v/>
      </c>
      <c r="BZ143" s="80" t="str">
        <f t="shared" si="6"/>
        <v/>
      </c>
      <c r="CA143" s="80" t="str">
        <f>IFERROR((TOWER_DATA[[#This Row],[D, bottom '[m']]]+TOWER_DATA[[#This Row],[D, top '[m']]])/(2*TOWER_DATA[[#This Row],[t '[mm']]]/1000),"")</f>
        <v/>
      </c>
      <c r="DF143" s="80" t="str">
        <f>IFERROR(RNA_DATA[[#This Row],[Inertia '[kg·m²']]]-RNA_DATA[[#This Row],[Offset TT_COG '[m']]], "")</f>
        <v/>
      </c>
      <c r="DG143" s="80" t="str">
        <f>IFERROR(-(RNA_DATA[[#This Row],[comment]]-RNA_DATA[[#This Row],[Offset TT_COG '[m']]])/(RNA_DATA[[#This Row],[Inertia '[kg·m²']]]-RNA_DATA[[#This Row],[Mass '[t']]]),"")</f>
        <v/>
      </c>
      <c r="DH143" s="80" t="str">
        <f t="shared" si="7"/>
        <v/>
      </c>
      <c r="DI143" s="80" t="str">
        <f>IFERROR((RNA_DATA[[#This Row],[comment]]+RNA_DATA[[#This Row],[Offset TT_COG '[m']]])/(2*#REF!/1000),"")</f>
        <v/>
      </c>
    </row>
    <row r="144" spans="8:113" x14ac:dyDescent="0.3">
      <c r="H144" s="80" t="str">
        <f>IFERROR(MP_DATA[[#This Row],[Bottom '[m']]]-MP_DATA[[#This Row],[D, top '[m']]], "")</f>
        <v/>
      </c>
      <c r="I144" s="80" t="str">
        <f>IFERROR(-(MP_DATA[[#This Row],[D, bottom '[m']]]-MP_DATA[[#This Row],[D, top '[m']]])/(MP_DATA[[#This Row],[Bottom '[m']]]-MP_DATA[[#This Row],[Top '[m']]]),"")</f>
        <v/>
      </c>
      <c r="J144" s="80" t="str">
        <f t="shared" si="8"/>
        <v/>
      </c>
      <c r="K144" s="80" t="str">
        <f>IFERROR((MP_DATA[[#This Row],[D, bottom '[m']]]+MP_DATA[[#This Row],[D, top '[m']]])/(2*MP_DATA[[#This Row],[t '[mm']]]/1000),"")</f>
        <v/>
      </c>
      <c r="AP144" s="80" t="str">
        <f>IFERROR(TP_DATA[[#This Row],[Bottom '[m']]]-TP_DATA[[#This Row],[D, top '[m']]], "")</f>
        <v/>
      </c>
      <c r="AQ144" s="80" t="str">
        <f>IFERROR(-(TP_DATA[[#This Row],[D, bottom '[m']]]-TP_DATA[[#This Row],[D, top '[m']]])/(TP_DATA[[#This Row],[Bottom '[m']]]-TP_DATA[[#This Row],[Top '[m']]]),"")</f>
        <v/>
      </c>
      <c r="AR144" s="80" t="str">
        <f t="shared" si="5"/>
        <v/>
      </c>
      <c r="AS144" s="80" t="str">
        <f>IFERROR((TP_DATA[[#This Row],[D, bottom '[m']]]+TP_DATA[[#This Row],[D, top '[m']]])/(2*TP_DATA[[#This Row],[t '[mm']]]/1000),"")</f>
        <v/>
      </c>
      <c r="BX144" s="80" t="str">
        <f>IFERROR(TOWER_DATA[[#This Row],[Bottom '[m']]]-TOWER_DATA[[#This Row],[D, top '[m']]], "")</f>
        <v/>
      </c>
      <c r="BY144" s="80" t="str">
        <f>IFERROR(-(TOWER_DATA[[#This Row],[D, bottom '[m']]]-TOWER_DATA[[#This Row],[D, top '[m']]])/(TOWER_DATA[[#This Row],[Bottom '[m']]]-TOWER_DATA[[#This Row],[Top '[m']]]),"")</f>
        <v/>
      </c>
      <c r="BZ144" s="80" t="str">
        <f t="shared" si="6"/>
        <v/>
      </c>
      <c r="CA144" s="80" t="str">
        <f>IFERROR((TOWER_DATA[[#This Row],[D, bottom '[m']]]+TOWER_DATA[[#This Row],[D, top '[m']]])/(2*TOWER_DATA[[#This Row],[t '[mm']]]/1000),"")</f>
        <v/>
      </c>
      <c r="DF144" s="80" t="str">
        <f>IFERROR(RNA_DATA[[#This Row],[Inertia '[kg·m²']]]-RNA_DATA[[#This Row],[Offset TT_COG '[m']]], "")</f>
        <v/>
      </c>
      <c r="DG144" s="80" t="str">
        <f>IFERROR(-(RNA_DATA[[#This Row],[comment]]-RNA_DATA[[#This Row],[Offset TT_COG '[m']]])/(RNA_DATA[[#This Row],[Inertia '[kg·m²']]]-RNA_DATA[[#This Row],[Mass '[t']]]),"")</f>
        <v/>
      </c>
      <c r="DH144" s="80" t="str">
        <f t="shared" si="7"/>
        <v/>
      </c>
      <c r="DI144" s="80" t="str">
        <f>IFERROR((RNA_DATA[[#This Row],[comment]]+RNA_DATA[[#This Row],[Offset TT_COG '[m']]])/(2*#REF!/1000),"")</f>
        <v/>
      </c>
    </row>
    <row r="145" spans="8:113" x14ac:dyDescent="0.3">
      <c r="H145" s="80" t="str">
        <f>IFERROR(MP_DATA[[#This Row],[Bottom '[m']]]-MP_DATA[[#This Row],[D, top '[m']]], "")</f>
        <v/>
      </c>
      <c r="I145" s="80" t="str">
        <f>IFERROR(-(MP_DATA[[#This Row],[D, bottom '[m']]]-MP_DATA[[#This Row],[D, top '[m']]])/(MP_DATA[[#This Row],[Bottom '[m']]]-MP_DATA[[#This Row],[Top '[m']]]),"")</f>
        <v/>
      </c>
      <c r="J145" s="80" t="str">
        <f t="shared" si="8"/>
        <v/>
      </c>
      <c r="K145" s="80" t="str">
        <f>IFERROR((MP_DATA[[#This Row],[D, bottom '[m']]]+MP_DATA[[#This Row],[D, top '[m']]])/(2*MP_DATA[[#This Row],[t '[mm']]]/1000),"")</f>
        <v/>
      </c>
      <c r="AP145" s="80" t="str">
        <f>IFERROR(TP_DATA[[#This Row],[Bottom '[m']]]-TP_DATA[[#This Row],[D, top '[m']]], "")</f>
        <v/>
      </c>
      <c r="AQ145" s="80" t="str">
        <f>IFERROR(-(TP_DATA[[#This Row],[D, bottom '[m']]]-TP_DATA[[#This Row],[D, top '[m']]])/(TP_DATA[[#This Row],[Bottom '[m']]]-TP_DATA[[#This Row],[Top '[m']]]),"")</f>
        <v/>
      </c>
      <c r="AR145" s="80" t="str">
        <f t="shared" si="5"/>
        <v/>
      </c>
      <c r="AS145" s="80" t="str">
        <f>IFERROR((TP_DATA[[#This Row],[D, bottom '[m']]]+TP_DATA[[#This Row],[D, top '[m']]])/(2*TP_DATA[[#This Row],[t '[mm']]]/1000),"")</f>
        <v/>
      </c>
      <c r="BX145" s="80" t="str">
        <f>IFERROR(TOWER_DATA[[#This Row],[Bottom '[m']]]-TOWER_DATA[[#This Row],[D, top '[m']]], "")</f>
        <v/>
      </c>
      <c r="BY145" s="80" t="str">
        <f>IFERROR(-(TOWER_DATA[[#This Row],[D, bottom '[m']]]-TOWER_DATA[[#This Row],[D, top '[m']]])/(TOWER_DATA[[#This Row],[Bottom '[m']]]-TOWER_DATA[[#This Row],[Top '[m']]]),"")</f>
        <v/>
      </c>
      <c r="BZ145" s="80" t="str">
        <f t="shared" si="6"/>
        <v/>
      </c>
      <c r="CA145" s="80" t="str">
        <f>IFERROR((TOWER_DATA[[#This Row],[D, bottom '[m']]]+TOWER_DATA[[#This Row],[D, top '[m']]])/(2*TOWER_DATA[[#This Row],[t '[mm']]]/1000),"")</f>
        <v/>
      </c>
      <c r="DF145" s="80" t="str">
        <f>IFERROR(RNA_DATA[[#This Row],[Inertia '[kg·m²']]]-RNA_DATA[[#This Row],[Offset TT_COG '[m']]], "")</f>
        <v/>
      </c>
      <c r="DG145" s="80" t="str">
        <f>IFERROR(-(RNA_DATA[[#This Row],[comment]]-RNA_DATA[[#This Row],[Offset TT_COG '[m']]])/(RNA_DATA[[#This Row],[Inertia '[kg·m²']]]-RNA_DATA[[#This Row],[Mass '[t']]]),"")</f>
        <v/>
      </c>
      <c r="DH145" s="80" t="str">
        <f t="shared" si="7"/>
        <v/>
      </c>
      <c r="DI145" s="80" t="str">
        <f>IFERROR((RNA_DATA[[#This Row],[comment]]+RNA_DATA[[#This Row],[Offset TT_COG '[m']]])/(2*#REF!/1000),"")</f>
        <v/>
      </c>
    </row>
    <row r="146" spans="8:113" x14ac:dyDescent="0.3">
      <c r="H146" s="80" t="str">
        <f>IFERROR(MP_DATA[[#This Row],[Bottom '[m']]]-MP_DATA[[#This Row],[D, top '[m']]], "")</f>
        <v/>
      </c>
      <c r="I146" s="80" t="str">
        <f>IFERROR(-(MP_DATA[[#This Row],[D, bottom '[m']]]-MP_DATA[[#This Row],[D, top '[m']]])/(MP_DATA[[#This Row],[Bottom '[m']]]-MP_DATA[[#This Row],[Top '[m']]]),"")</f>
        <v/>
      </c>
      <c r="J146" s="80" t="str">
        <f t="shared" si="8"/>
        <v/>
      </c>
      <c r="K146" s="80" t="str">
        <f>IFERROR((MP_DATA[[#This Row],[D, bottom '[m']]]+MP_DATA[[#This Row],[D, top '[m']]])/(2*MP_DATA[[#This Row],[t '[mm']]]/1000),"")</f>
        <v/>
      </c>
      <c r="AP146" s="80" t="str">
        <f>IFERROR(TP_DATA[[#This Row],[Bottom '[m']]]-TP_DATA[[#This Row],[D, top '[m']]], "")</f>
        <v/>
      </c>
      <c r="AQ146" s="80" t="str">
        <f>IFERROR(-(TP_DATA[[#This Row],[D, bottom '[m']]]-TP_DATA[[#This Row],[D, top '[m']]])/(TP_DATA[[#This Row],[Bottom '[m']]]-TP_DATA[[#This Row],[Top '[m']]]),"")</f>
        <v/>
      </c>
      <c r="AR146" s="80" t="str">
        <f t="shared" si="5"/>
        <v/>
      </c>
      <c r="AS146" s="80" t="str">
        <f>IFERROR((TP_DATA[[#This Row],[D, bottom '[m']]]+TP_DATA[[#This Row],[D, top '[m']]])/(2*TP_DATA[[#This Row],[t '[mm']]]/1000),"")</f>
        <v/>
      </c>
      <c r="BX146" s="80" t="str">
        <f>IFERROR(TOWER_DATA[[#This Row],[Bottom '[m']]]-TOWER_DATA[[#This Row],[D, top '[m']]], "")</f>
        <v/>
      </c>
      <c r="BY146" s="80" t="str">
        <f>IFERROR(-(TOWER_DATA[[#This Row],[D, bottom '[m']]]-TOWER_DATA[[#This Row],[D, top '[m']]])/(TOWER_DATA[[#This Row],[Bottom '[m']]]-TOWER_DATA[[#This Row],[Top '[m']]]),"")</f>
        <v/>
      </c>
      <c r="BZ146" s="80" t="str">
        <f t="shared" si="6"/>
        <v/>
      </c>
      <c r="CA146" s="80" t="str">
        <f>IFERROR((TOWER_DATA[[#This Row],[D, bottom '[m']]]+TOWER_DATA[[#This Row],[D, top '[m']]])/(2*TOWER_DATA[[#This Row],[t '[mm']]]/1000),"")</f>
        <v/>
      </c>
      <c r="DF146" s="80" t="str">
        <f>IFERROR(RNA_DATA[[#This Row],[Inertia '[kg·m²']]]-RNA_DATA[[#This Row],[Offset TT_COG '[m']]], "")</f>
        <v/>
      </c>
      <c r="DG146" s="80" t="str">
        <f>IFERROR(-(RNA_DATA[[#This Row],[comment]]-RNA_DATA[[#This Row],[Offset TT_COG '[m']]])/(RNA_DATA[[#This Row],[Inertia '[kg·m²']]]-RNA_DATA[[#This Row],[Mass '[t']]]),"")</f>
        <v/>
      </c>
      <c r="DH146" s="80" t="str">
        <f t="shared" si="7"/>
        <v/>
      </c>
      <c r="DI146" s="80" t="str">
        <f>IFERROR((RNA_DATA[[#This Row],[comment]]+RNA_DATA[[#This Row],[Offset TT_COG '[m']]])/(2*#REF!/1000),"")</f>
        <v/>
      </c>
    </row>
    <row r="147" spans="8:113" x14ac:dyDescent="0.3">
      <c r="H147" s="80" t="str">
        <f>IFERROR(MP_DATA[[#This Row],[Bottom '[m']]]-MP_DATA[[#This Row],[D, top '[m']]], "")</f>
        <v/>
      </c>
      <c r="I147" s="80" t="str">
        <f>IFERROR(-(MP_DATA[[#This Row],[D, bottom '[m']]]-MP_DATA[[#This Row],[D, top '[m']]])/(MP_DATA[[#This Row],[Bottom '[m']]]-MP_DATA[[#This Row],[Top '[m']]]),"")</f>
        <v/>
      </c>
      <c r="J147" s="80" t="str">
        <f t="shared" si="8"/>
        <v/>
      </c>
      <c r="K147" s="80" t="str">
        <f>IFERROR((MP_DATA[[#This Row],[D, bottom '[m']]]+MP_DATA[[#This Row],[D, top '[m']]])/(2*MP_DATA[[#This Row],[t '[mm']]]/1000),"")</f>
        <v/>
      </c>
      <c r="AP147" s="80" t="str">
        <f>IFERROR(TP_DATA[[#This Row],[Bottom '[m']]]-TP_DATA[[#This Row],[D, top '[m']]], "")</f>
        <v/>
      </c>
      <c r="AQ147" s="80" t="str">
        <f>IFERROR(-(TP_DATA[[#This Row],[D, bottom '[m']]]-TP_DATA[[#This Row],[D, top '[m']]])/(TP_DATA[[#This Row],[Bottom '[m']]]-TP_DATA[[#This Row],[Top '[m']]]),"")</f>
        <v/>
      </c>
      <c r="AR147" s="80" t="str">
        <f t="shared" si="5"/>
        <v/>
      </c>
      <c r="AS147" s="80" t="str">
        <f>IFERROR((TP_DATA[[#This Row],[D, bottom '[m']]]+TP_DATA[[#This Row],[D, top '[m']]])/(2*TP_DATA[[#This Row],[t '[mm']]]/1000),"")</f>
        <v/>
      </c>
      <c r="BX147" s="80" t="str">
        <f>IFERROR(TOWER_DATA[[#This Row],[Bottom '[m']]]-TOWER_DATA[[#This Row],[D, top '[m']]], "")</f>
        <v/>
      </c>
      <c r="BY147" s="80" t="str">
        <f>IFERROR(-(TOWER_DATA[[#This Row],[D, bottom '[m']]]-TOWER_DATA[[#This Row],[D, top '[m']]])/(TOWER_DATA[[#This Row],[Bottom '[m']]]-TOWER_DATA[[#This Row],[Top '[m']]]),"")</f>
        <v/>
      </c>
      <c r="BZ147" s="80" t="str">
        <f t="shared" si="6"/>
        <v/>
      </c>
      <c r="CA147" s="80" t="str">
        <f>IFERROR((TOWER_DATA[[#This Row],[D, bottom '[m']]]+TOWER_DATA[[#This Row],[D, top '[m']]])/(2*TOWER_DATA[[#This Row],[t '[mm']]]/1000),"")</f>
        <v/>
      </c>
      <c r="DF147" s="80" t="str">
        <f>IFERROR(RNA_DATA[[#This Row],[Inertia '[kg·m²']]]-RNA_DATA[[#This Row],[Offset TT_COG '[m']]], "")</f>
        <v/>
      </c>
      <c r="DG147" s="80" t="str">
        <f>IFERROR(-(RNA_DATA[[#This Row],[comment]]-RNA_DATA[[#This Row],[Offset TT_COG '[m']]])/(RNA_DATA[[#This Row],[Inertia '[kg·m²']]]-RNA_DATA[[#This Row],[Mass '[t']]]),"")</f>
        <v/>
      </c>
      <c r="DH147" s="80" t="str">
        <f t="shared" si="7"/>
        <v/>
      </c>
      <c r="DI147" s="80" t="str">
        <f>IFERROR((RNA_DATA[[#This Row],[comment]]+RNA_DATA[[#This Row],[Offset TT_COG '[m']]])/(2*#REF!/1000),"")</f>
        <v/>
      </c>
    </row>
    <row r="148" spans="8:113" x14ac:dyDescent="0.3">
      <c r="H148" s="80" t="str">
        <f>IFERROR(MP_DATA[[#This Row],[Bottom '[m']]]-MP_DATA[[#This Row],[D, top '[m']]], "")</f>
        <v/>
      </c>
      <c r="I148" s="80" t="str">
        <f>IFERROR(-(MP_DATA[[#This Row],[D, bottom '[m']]]-MP_DATA[[#This Row],[D, top '[m']]])/(MP_DATA[[#This Row],[Bottom '[m']]]-MP_DATA[[#This Row],[Top '[m']]]),"")</f>
        <v/>
      </c>
      <c r="J148" s="80" t="str">
        <f t="shared" si="8"/>
        <v/>
      </c>
      <c r="K148" s="80" t="str">
        <f>IFERROR((MP_DATA[[#This Row],[D, bottom '[m']]]+MP_DATA[[#This Row],[D, top '[m']]])/(2*MP_DATA[[#This Row],[t '[mm']]]/1000),"")</f>
        <v/>
      </c>
      <c r="AP148" s="80" t="str">
        <f>IFERROR(TP_DATA[[#This Row],[Bottom '[m']]]-TP_DATA[[#This Row],[D, top '[m']]], "")</f>
        <v/>
      </c>
      <c r="AQ148" s="80" t="str">
        <f>IFERROR(-(TP_DATA[[#This Row],[D, bottom '[m']]]-TP_DATA[[#This Row],[D, top '[m']]])/(TP_DATA[[#This Row],[Bottom '[m']]]-TP_DATA[[#This Row],[Top '[m']]]),"")</f>
        <v/>
      </c>
      <c r="AR148" s="80" t="str">
        <f t="shared" si="5"/>
        <v/>
      </c>
      <c r="AS148" s="80" t="str">
        <f>IFERROR((TP_DATA[[#This Row],[D, bottom '[m']]]+TP_DATA[[#This Row],[D, top '[m']]])/(2*TP_DATA[[#This Row],[t '[mm']]]/1000),"")</f>
        <v/>
      </c>
      <c r="BX148" s="80" t="str">
        <f>IFERROR(TOWER_DATA[[#This Row],[Bottom '[m']]]-TOWER_DATA[[#This Row],[D, top '[m']]], "")</f>
        <v/>
      </c>
      <c r="BY148" s="80" t="str">
        <f>IFERROR(-(TOWER_DATA[[#This Row],[D, bottom '[m']]]-TOWER_DATA[[#This Row],[D, top '[m']]])/(TOWER_DATA[[#This Row],[Bottom '[m']]]-TOWER_DATA[[#This Row],[Top '[m']]]),"")</f>
        <v/>
      </c>
      <c r="BZ148" s="80" t="str">
        <f t="shared" si="6"/>
        <v/>
      </c>
      <c r="CA148" s="80" t="str">
        <f>IFERROR((TOWER_DATA[[#This Row],[D, bottom '[m']]]+TOWER_DATA[[#This Row],[D, top '[m']]])/(2*TOWER_DATA[[#This Row],[t '[mm']]]/1000),"")</f>
        <v/>
      </c>
      <c r="DF148" s="80" t="str">
        <f>IFERROR(RNA_DATA[[#This Row],[Inertia '[kg·m²']]]-RNA_DATA[[#This Row],[Offset TT_COG '[m']]], "")</f>
        <v/>
      </c>
      <c r="DG148" s="80" t="str">
        <f>IFERROR(-(RNA_DATA[[#This Row],[comment]]-RNA_DATA[[#This Row],[Offset TT_COG '[m']]])/(RNA_DATA[[#This Row],[Inertia '[kg·m²']]]-RNA_DATA[[#This Row],[Mass '[t']]]),"")</f>
        <v/>
      </c>
      <c r="DH148" s="80" t="str">
        <f t="shared" si="7"/>
        <v/>
      </c>
      <c r="DI148" s="80" t="str">
        <f>IFERROR((RNA_DATA[[#This Row],[comment]]+RNA_DATA[[#This Row],[Offset TT_COG '[m']]])/(2*#REF!/1000),"")</f>
        <v/>
      </c>
    </row>
    <row r="149" spans="8:113" x14ac:dyDescent="0.3">
      <c r="H149" s="80" t="str">
        <f>IFERROR(MP_DATA[[#This Row],[Bottom '[m']]]-MP_DATA[[#This Row],[D, top '[m']]], "")</f>
        <v/>
      </c>
      <c r="I149" s="80" t="str">
        <f>IFERROR(-(MP_DATA[[#This Row],[D, bottom '[m']]]-MP_DATA[[#This Row],[D, top '[m']]])/(MP_DATA[[#This Row],[Bottom '[m']]]-MP_DATA[[#This Row],[Top '[m']]]),"")</f>
        <v/>
      </c>
      <c r="J149" s="80" t="str">
        <f t="shared" si="8"/>
        <v/>
      </c>
      <c r="K149" s="80" t="str">
        <f>IFERROR((MP_DATA[[#This Row],[D, bottom '[m']]]+MP_DATA[[#This Row],[D, top '[m']]])/(2*MP_DATA[[#This Row],[t '[mm']]]/1000),"")</f>
        <v/>
      </c>
      <c r="AP149" s="80" t="str">
        <f>IFERROR(TP_DATA[[#This Row],[Bottom '[m']]]-TP_DATA[[#This Row],[D, top '[m']]], "")</f>
        <v/>
      </c>
      <c r="AQ149" s="80" t="str">
        <f>IFERROR(-(TP_DATA[[#This Row],[D, bottom '[m']]]-TP_DATA[[#This Row],[D, top '[m']]])/(TP_DATA[[#This Row],[Bottom '[m']]]-TP_DATA[[#This Row],[Top '[m']]]),"")</f>
        <v/>
      </c>
      <c r="AR149" s="80" t="str">
        <f t="shared" si="5"/>
        <v/>
      </c>
      <c r="AS149" s="80" t="str">
        <f>IFERROR((TP_DATA[[#This Row],[D, bottom '[m']]]+TP_DATA[[#This Row],[D, top '[m']]])/(2*TP_DATA[[#This Row],[t '[mm']]]/1000),"")</f>
        <v/>
      </c>
      <c r="BX149" s="80" t="str">
        <f>IFERROR(TOWER_DATA[[#This Row],[Bottom '[m']]]-TOWER_DATA[[#This Row],[D, top '[m']]], "")</f>
        <v/>
      </c>
      <c r="BY149" s="80" t="str">
        <f>IFERROR(-(TOWER_DATA[[#This Row],[D, bottom '[m']]]-TOWER_DATA[[#This Row],[D, top '[m']]])/(TOWER_DATA[[#This Row],[Bottom '[m']]]-TOWER_DATA[[#This Row],[Top '[m']]]),"")</f>
        <v/>
      </c>
      <c r="BZ149" s="80" t="str">
        <f t="shared" si="6"/>
        <v/>
      </c>
      <c r="CA149" s="80" t="str">
        <f>IFERROR((TOWER_DATA[[#This Row],[D, bottom '[m']]]+TOWER_DATA[[#This Row],[D, top '[m']]])/(2*TOWER_DATA[[#This Row],[t '[mm']]]/1000),"")</f>
        <v/>
      </c>
      <c r="DF149" s="80" t="str">
        <f>IFERROR(RNA_DATA[[#This Row],[Inertia '[kg·m²']]]-RNA_DATA[[#This Row],[Offset TT_COG '[m']]], "")</f>
        <v/>
      </c>
      <c r="DG149" s="80" t="str">
        <f>IFERROR(-(RNA_DATA[[#This Row],[comment]]-RNA_DATA[[#This Row],[Offset TT_COG '[m']]])/(RNA_DATA[[#This Row],[Inertia '[kg·m²']]]-RNA_DATA[[#This Row],[Mass '[t']]]),"")</f>
        <v/>
      </c>
      <c r="DH149" s="80" t="str">
        <f t="shared" si="7"/>
        <v/>
      </c>
      <c r="DI149" s="80" t="str">
        <f>IFERROR((RNA_DATA[[#This Row],[comment]]+RNA_DATA[[#This Row],[Offset TT_COG '[m']]])/(2*#REF!/1000),"")</f>
        <v/>
      </c>
    </row>
    <row r="150" spans="8:113" x14ac:dyDescent="0.3">
      <c r="H150" s="80" t="str">
        <f>IFERROR(MP_DATA[[#This Row],[Bottom '[m']]]-MP_DATA[[#This Row],[D, top '[m']]], "")</f>
        <v/>
      </c>
      <c r="I150" s="80" t="str">
        <f>IFERROR(-(MP_DATA[[#This Row],[D, bottom '[m']]]-MP_DATA[[#This Row],[D, top '[m']]])/(MP_DATA[[#This Row],[Bottom '[m']]]-MP_DATA[[#This Row],[Top '[m']]]),"")</f>
        <v/>
      </c>
      <c r="J150" s="80" t="str">
        <f t="shared" si="8"/>
        <v/>
      </c>
      <c r="K150" s="80" t="str">
        <f>IFERROR((MP_DATA[[#This Row],[D, bottom '[m']]]+MP_DATA[[#This Row],[D, top '[m']]])/(2*MP_DATA[[#This Row],[t '[mm']]]/1000),"")</f>
        <v/>
      </c>
      <c r="AP150" s="80" t="str">
        <f>IFERROR(TP_DATA[[#This Row],[Bottom '[m']]]-TP_DATA[[#This Row],[D, top '[m']]], "")</f>
        <v/>
      </c>
      <c r="AQ150" s="80" t="str">
        <f>IFERROR(-(TP_DATA[[#This Row],[D, bottom '[m']]]-TP_DATA[[#This Row],[D, top '[m']]])/(TP_DATA[[#This Row],[Bottom '[m']]]-TP_DATA[[#This Row],[Top '[m']]]),"")</f>
        <v/>
      </c>
      <c r="AR150" s="80" t="str">
        <f t="shared" si="5"/>
        <v/>
      </c>
      <c r="AS150" s="80" t="str">
        <f>IFERROR((TP_DATA[[#This Row],[D, bottom '[m']]]+TP_DATA[[#This Row],[D, top '[m']]])/(2*TP_DATA[[#This Row],[t '[mm']]]/1000),"")</f>
        <v/>
      </c>
      <c r="BX150" s="80" t="str">
        <f>IFERROR(TOWER_DATA[[#This Row],[Bottom '[m']]]-TOWER_DATA[[#This Row],[D, top '[m']]], "")</f>
        <v/>
      </c>
      <c r="BY150" s="80" t="str">
        <f>IFERROR(-(TOWER_DATA[[#This Row],[D, bottom '[m']]]-TOWER_DATA[[#This Row],[D, top '[m']]])/(TOWER_DATA[[#This Row],[Bottom '[m']]]-TOWER_DATA[[#This Row],[Top '[m']]]),"")</f>
        <v/>
      </c>
      <c r="BZ150" s="80" t="str">
        <f t="shared" si="6"/>
        <v/>
      </c>
      <c r="CA150" s="80" t="str">
        <f>IFERROR((TOWER_DATA[[#This Row],[D, bottom '[m']]]+TOWER_DATA[[#This Row],[D, top '[m']]])/(2*TOWER_DATA[[#This Row],[t '[mm']]]/1000),"")</f>
        <v/>
      </c>
      <c r="DF150" s="80" t="str">
        <f>IFERROR(RNA_DATA[[#This Row],[Inertia '[kg·m²']]]-RNA_DATA[[#This Row],[Offset TT_COG '[m']]], "")</f>
        <v/>
      </c>
      <c r="DG150" s="80" t="str">
        <f>IFERROR(-(RNA_DATA[[#This Row],[comment]]-RNA_DATA[[#This Row],[Offset TT_COG '[m']]])/(RNA_DATA[[#This Row],[Inertia '[kg·m²']]]-RNA_DATA[[#This Row],[Mass '[t']]]),"")</f>
        <v/>
      </c>
      <c r="DH150" s="80" t="str">
        <f t="shared" si="7"/>
        <v/>
      </c>
      <c r="DI150" s="80" t="str">
        <f>IFERROR((RNA_DATA[[#This Row],[comment]]+RNA_DATA[[#This Row],[Offset TT_COG '[m']]])/(2*#REF!/1000),"")</f>
        <v/>
      </c>
    </row>
    <row r="151" spans="8:113" x14ac:dyDescent="0.3">
      <c r="H151" s="80" t="str">
        <f>IFERROR(MP_DATA[[#This Row],[Bottom '[m']]]-MP_DATA[[#This Row],[D, top '[m']]], "")</f>
        <v/>
      </c>
      <c r="I151" s="80" t="str">
        <f>IFERROR(-(MP_DATA[[#This Row],[D, bottom '[m']]]-MP_DATA[[#This Row],[D, top '[m']]])/(MP_DATA[[#This Row],[Bottom '[m']]]-MP_DATA[[#This Row],[Top '[m']]]),"")</f>
        <v/>
      </c>
      <c r="J151" s="80" t="str">
        <f t="shared" si="8"/>
        <v/>
      </c>
      <c r="K151" s="80" t="str">
        <f>IFERROR((MP_DATA[[#This Row],[D, bottom '[m']]]+MP_DATA[[#This Row],[D, top '[m']]])/(2*MP_DATA[[#This Row],[t '[mm']]]/1000),"")</f>
        <v/>
      </c>
      <c r="AP151" s="80" t="str">
        <f>IFERROR(TP_DATA[[#This Row],[Bottom '[m']]]-TP_DATA[[#This Row],[D, top '[m']]], "")</f>
        <v/>
      </c>
      <c r="AQ151" s="80" t="str">
        <f>IFERROR(-(TP_DATA[[#This Row],[D, bottom '[m']]]-TP_DATA[[#This Row],[D, top '[m']]])/(TP_DATA[[#This Row],[Bottom '[m']]]-TP_DATA[[#This Row],[Top '[m']]]),"")</f>
        <v/>
      </c>
      <c r="AR151" s="80" t="str">
        <f t="shared" si="5"/>
        <v/>
      </c>
      <c r="AS151" s="80" t="str">
        <f>IFERROR((TP_DATA[[#This Row],[D, bottom '[m']]]+TP_DATA[[#This Row],[D, top '[m']]])/(2*TP_DATA[[#This Row],[t '[mm']]]/1000),"")</f>
        <v/>
      </c>
      <c r="BX151" s="80" t="str">
        <f>IFERROR(TOWER_DATA[[#This Row],[Bottom '[m']]]-TOWER_DATA[[#This Row],[D, top '[m']]], "")</f>
        <v/>
      </c>
      <c r="BY151" s="80" t="str">
        <f>IFERROR(-(TOWER_DATA[[#This Row],[D, bottom '[m']]]-TOWER_DATA[[#This Row],[D, top '[m']]])/(TOWER_DATA[[#This Row],[Bottom '[m']]]-TOWER_DATA[[#This Row],[Top '[m']]]),"")</f>
        <v/>
      </c>
      <c r="BZ151" s="80" t="str">
        <f t="shared" si="6"/>
        <v/>
      </c>
      <c r="CA151" s="80" t="str">
        <f>IFERROR((TOWER_DATA[[#This Row],[D, bottom '[m']]]+TOWER_DATA[[#This Row],[D, top '[m']]])/(2*TOWER_DATA[[#This Row],[t '[mm']]]/1000),"")</f>
        <v/>
      </c>
      <c r="DF151" s="80" t="str">
        <f>IFERROR(RNA_DATA[[#This Row],[Inertia '[kg·m²']]]-RNA_DATA[[#This Row],[Offset TT_COG '[m']]], "")</f>
        <v/>
      </c>
      <c r="DG151" s="80" t="str">
        <f>IFERROR(-(RNA_DATA[[#This Row],[comment]]-RNA_DATA[[#This Row],[Offset TT_COG '[m']]])/(RNA_DATA[[#This Row],[Inertia '[kg·m²']]]-RNA_DATA[[#This Row],[Mass '[t']]]),"")</f>
        <v/>
      </c>
      <c r="DH151" s="80" t="str">
        <f t="shared" si="7"/>
        <v/>
      </c>
      <c r="DI151" s="80" t="str">
        <f>IFERROR((RNA_DATA[[#This Row],[comment]]+RNA_DATA[[#This Row],[Offset TT_COG '[m']]])/(2*#REF!/1000),"")</f>
        <v/>
      </c>
    </row>
    <row r="152" spans="8:113" x14ac:dyDescent="0.3">
      <c r="H152" s="80" t="str">
        <f>IFERROR(MP_DATA[[#This Row],[Bottom '[m']]]-MP_DATA[[#This Row],[D, top '[m']]], "")</f>
        <v/>
      </c>
      <c r="I152" s="80" t="str">
        <f>IFERROR(-(MP_DATA[[#This Row],[D, bottom '[m']]]-MP_DATA[[#This Row],[D, top '[m']]])/(MP_DATA[[#This Row],[Bottom '[m']]]-MP_DATA[[#This Row],[Top '[m']]]),"")</f>
        <v/>
      </c>
      <c r="J152" s="80" t="str">
        <f t="shared" si="8"/>
        <v/>
      </c>
      <c r="K152" s="80" t="str">
        <f>IFERROR((MP_DATA[[#This Row],[D, bottom '[m']]]+MP_DATA[[#This Row],[D, top '[m']]])/(2*MP_DATA[[#This Row],[t '[mm']]]/1000),"")</f>
        <v/>
      </c>
      <c r="AP152" s="80" t="str">
        <f>IFERROR(TP_DATA[[#This Row],[Bottom '[m']]]-TP_DATA[[#This Row],[D, top '[m']]], "")</f>
        <v/>
      </c>
      <c r="AQ152" s="80" t="str">
        <f>IFERROR(-(TP_DATA[[#This Row],[D, bottom '[m']]]-TP_DATA[[#This Row],[D, top '[m']]])/(TP_DATA[[#This Row],[Bottom '[m']]]-TP_DATA[[#This Row],[Top '[m']]]),"")</f>
        <v/>
      </c>
      <c r="AR152" s="80" t="str">
        <f t="shared" si="5"/>
        <v/>
      </c>
      <c r="AS152" s="80" t="str">
        <f>IFERROR((TP_DATA[[#This Row],[D, bottom '[m']]]+TP_DATA[[#This Row],[D, top '[m']]])/(2*TP_DATA[[#This Row],[t '[mm']]]/1000),"")</f>
        <v/>
      </c>
      <c r="BX152" s="80" t="str">
        <f>IFERROR(TOWER_DATA[[#This Row],[Bottom '[m']]]-TOWER_DATA[[#This Row],[D, top '[m']]], "")</f>
        <v/>
      </c>
      <c r="BY152" s="80" t="str">
        <f>IFERROR(-(TOWER_DATA[[#This Row],[D, bottom '[m']]]-TOWER_DATA[[#This Row],[D, top '[m']]])/(TOWER_DATA[[#This Row],[Bottom '[m']]]-TOWER_DATA[[#This Row],[Top '[m']]]),"")</f>
        <v/>
      </c>
      <c r="BZ152" s="80" t="str">
        <f t="shared" si="6"/>
        <v/>
      </c>
      <c r="CA152" s="80" t="str">
        <f>IFERROR((TOWER_DATA[[#This Row],[D, bottom '[m']]]+TOWER_DATA[[#This Row],[D, top '[m']]])/(2*TOWER_DATA[[#This Row],[t '[mm']]]/1000),"")</f>
        <v/>
      </c>
      <c r="DF152" s="80" t="str">
        <f>IFERROR(RNA_DATA[[#This Row],[Inertia '[kg·m²']]]-RNA_DATA[[#This Row],[Offset TT_COG '[m']]], "")</f>
        <v/>
      </c>
      <c r="DG152" s="80" t="str">
        <f>IFERROR(-(RNA_DATA[[#This Row],[comment]]-RNA_DATA[[#This Row],[Offset TT_COG '[m']]])/(RNA_DATA[[#This Row],[Inertia '[kg·m²']]]-RNA_DATA[[#This Row],[Mass '[t']]]),"")</f>
        <v/>
      </c>
      <c r="DH152" s="80" t="str">
        <f t="shared" si="7"/>
        <v/>
      </c>
      <c r="DI152" s="80" t="str">
        <f>IFERROR((RNA_DATA[[#This Row],[comment]]+RNA_DATA[[#This Row],[Offset TT_COG '[m']]])/(2*#REF!/1000),"")</f>
        <v/>
      </c>
    </row>
    <row r="153" spans="8:113" x14ac:dyDescent="0.3">
      <c r="H153" s="80" t="str">
        <f>IFERROR(MP_DATA[[#This Row],[Bottom '[m']]]-MP_DATA[[#This Row],[D, top '[m']]], "")</f>
        <v/>
      </c>
      <c r="I153" s="80" t="str">
        <f>IFERROR(-(MP_DATA[[#This Row],[D, bottom '[m']]]-MP_DATA[[#This Row],[D, top '[m']]])/(MP_DATA[[#This Row],[Bottom '[m']]]-MP_DATA[[#This Row],[Top '[m']]]),"")</f>
        <v/>
      </c>
      <c r="J153" s="80" t="str">
        <f t="shared" si="8"/>
        <v/>
      </c>
      <c r="K153" s="80" t="str">
        <f>IFERROR((MP_DATA[[#This Row],[D, bottom '[m']]]+MP_DATA[[#This Row],[D, top '[m']]])/(2*MP_DATA[[#This Row],[t '[mm']]]/1000),"")</f>
        <v/>
      </c>
      <c r="AP153" s="80" t="str">
        <f>IFERROR(TP_DATA[[#This Row],[Bottom '[m']]]-TP_DATA[[#This Row],[D, top '[m']]], "")</f>
        <v/>
      </c>
      <c r="AQ153" s="80" t="str">
        <f>IFERROR(-(TP_DATA[[#This Row],[D, bottom '[m']]]-TP_DATA[[#This Row],[D, top '[m']]])/(TP_DATA[[#This Row],[Bottom '[m']]]-TP_DATA[[#This Row],[Top '[m']]]),"")</f>
        <v/>
      </c>
      <c r="AR153" s="80" t="str">
        <f t="shared" ref="AR153:AR160" si="9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80" t="str">
        <f>IFERROR((TP_DATA[[#This Row],[D, bottom '[m']]]+TP_DATA[[#This Row],[D, top '[m']]])/(2*TP_DATA[[#This Row],[t '[mm']]]/1000),"")</f>
        <v/>
      </c>
      <c r="BX153" s="80" t="str">
        <f>IFERROR(TOWER_DATA[[#This Row],[Bottom '[m']]]-TOWER_DATA[[#This Row],[D, top '[m']]], "")</f>
        <v/>
      </c>
      <c r="BY153" s="80" t="str">
        <f>IFERROR(-(TOWER_DATA[[#This Row],[D, bottom '[m']]]-TOWER_DATA[[#This Row],[D, top '[m']]])/(TOWER_DATA[[#This Row],[Bottom '[m']]]-TOWER_DATA[[#This Row],[Top '[m']]]),"")</f>
        <v/>
      </c>
      <c r="BZ153" s="80" t="str">
        <f t="shared" ref="BZ153:BZ162" si="10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80" t="str">
        <f>IFERROR((TOWER_DATA[[#This Row],[D, bottom '[m']]]+TOWER_DATA[[#This Row],[D, top '[m']]])/(2*TOWER_DATA[[#This Row],[t '[mm']]]/1000),"")</f>
        <v/>
      </c>
      <c r="DF153" s="80" t="str">
        <f>IFERROR(RNA_DATA[[#This Row],[Inertia '[kg·m²']]]-RNA_DATA[[#This Row],[Offset TT_COG '[m']]], "")</f>
        <v/>
      </c>
      <c r="DG153" s="80" t="str">
        <f>IFERROR(-(RNA_DATA[[#This Row],[comment]]-RNA_DATA[[#This Row],[Offset TT_COG '[m']]])/(RNA_DATA[[#This Row],[Inertia '[kg·m²']]]-RNA_DATA[[#This Row],[Mass '[t']]]),"")</f>
        <v/>
      </c>
      <c r="DH153" s="80" t="str">
        <f t="shared" ref="DH153:DH162" si="11">IF(7850/1000*(1/3)*PI()*ABS(DA153-DB153)*((DC153/2)^2+(DC153/2)*(DD153/2)+(DD153/2)^2-(DC153/2-DE153/1000)^2-(DC153/2-DE153/1000)*(DD153/2-DE153/1000)-(DD153/2-DE153/1000)^2)=0,"",7850/1000*(1/3)*PI()*ABS(DA153-DB153)*((DC153/2)^2+(DC153/2)*(DD153/2)+(DD153/2)^2-(DC153/2-DE153/1000)^2-(DC153/2-DE153/1000)*(DD153/2-DE153/1000)-(DD153/2-DE153/1000)^2))</f>
        <v/>
      </c>
      <c r="DI153" s="80" t="str">
        <f>IFERROR((RNA_DATA[[#This Row],[comment]]+RNA_DATA[[#This Row],[Offset TT_COG '[m']]])/(2*#REF!/1000),"")</f>
        <v/>
      </c>
    </row>
    <row r="154" spans="8:113" x14ac:dyDescent="0.3">
      <c r="H154" s="80" t="str">
        <f>IFERROR(MP_DATA[[#This Row],[Bottom '[m']]]-MP_DATA[[#This Row],[D, top '[m']]], "")</f>
        <v/>
      </c>
      <c r="I154" s="80" t="str">
        <f>IFERROR(-(MP_DATA[[#This Row],[D, bottom '[m']]]-MP_DATA[[#This Row],[D, top '[m']]])/(MP_DATA[[#This Row],[Bottom '[m']]]-MP_DATA[[#This Row],[Top '[m']]]),"")</f>
        <v/>
      </c>
      <c r="J154" s="80" t="str">
        <f t="shared" ref="J154:J160" si="12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80" t="str">
        <f>IFERROR((MP_DATA[[#This Row],[D, bottom '[m']]]+MP_DATA[[#This Row],[D, top '[m']]])/(2*MP_DATA[[#This Row],[t '[mm']]]/1000),"")</f>
        <v/>
      </c>
      <c r="AP154" s="80" t="str">
        <f>IFERROR(TP_DATA[[#This Row],[Bottom '[m']]]-TP_DATA[[#This Row],[D, top '[m']]], "")</f>
        <v/>
      </c>
      <c r="AQ154" s="80" t="str">
        <f>IFERROR(-(TP_DATA[[#This Row],[D, bottom '[m']]]-TP_DATA[[#This Row],[D, top '[m']]])/(TP_DATA[[#This Row],[Bottom '[m']]]-TP_DATA[[#This Row],[Top '[m']]]),"")</f>
        <v/>
      </c>
      <c r="AR154" s="80" t="str">
        <f t="shared" si="9"/>
        <v/>
      </c>
      <c r="AS154" s="80" t="str">
        <f>IFERROR((TP_DATA[[#This Row],[D, bottom '[m']]]+TP_DATA[[#This Row],[D, top '[m']]])/(2*TP_DATA[[#This Row],[t '[mm']]]/1000),"")</f>
        <v/>
      </c>
      <c r="BX154" s="80" t="str">
        <f>IFERROR(TOWER_DATA[[#This Row],[Bottom '[m']]]-TOWER_DATA[[#This Row],[D, top '[m']]], "")</f>
        <v/>
      </c>
      <c r="BY154" s="80" t="str">
        <f>IFERROR(-(TOWER_DATA[[#This Row],[D, bottom '[m']]]-TOWER_DATA[[#This Row],[D, top '[m']]])/(TOWER_DATA[[#This Row],[Bottom '[m']]]-TOWER_DATA[[#This Row],[Top '[m']]]),"")</f>
        <v/>
      </c>
      <c r="BZ154" s="80" t="str">
        <f t="shared" si="10"/>
        <v/>
      </c>
      <c r="CA154" s="80" t="str">
        <f>IFERROR((TOWER_DATA[[#This Row],[D, bottom '[m']]]+TOWER_DATA[[#This Row],[D, top '[m']]])/(2*TOWER_DATA[[#This Row],[t '[mm']]]/1000),"")</f>
        <v/>
      </c>
      <c r="DF154" s="80" t="str">
        <f>IFERROR(RNA_DATA[[#This Row],[Inertia '[kg·m²']]]-RNA_DATA[[#This Row],[Offset TT_COG '[m']]], "")</f>
        <v/>
      </c>
      <c r="DG154" s="80" t="str">
        <f>IFERROR(-(RNA_DATA[[#This Row],[comment]]-RNA_DATA[[#This Row],[Offset TT_COG '[m']]])/(RNA_DATA[[#This Row],[Inertia '[kg·m²']]]-RNA_DATA[[#This Row],[Mass '[t']]]),"")</f>
        <v/>
      </c>
      <c r="DH154" s="80" t="str">
        <f t="shared" si="11"/>
        <v/>
      </c>
      <c r="DI154" s="80" t="str">
        <f>IFERROR((RNA_DATA[[#This Row],[comment]]+RNA_DATA[[#This Row],[Offset TT_COG '[m']]])/(2*#REF!/1000),"")</f>
        <v/>
      </c>
    </row>
    <row r="155" spans="8:113" x14ac:dyDescent="0.3">
      <c r="H155" s="80" t="str">
        <f>IFERROR(MP_DATA[[#This Row],[Bottom '[m']]]-MP_DATA[[#This Row],[D, top '[m']]], "")</f>
        <v/>
      </c>
      <c r="I155" s="80" t="str">
        <f>IFERROR(-(MP_DATA[[#This Row],[D, bottom '[m']]]-MP_DATA[[#This Row],[D, top '[m']]])/(MP_DATA[[#This Row],[Bottom '[m']]]-MP_DATA[[#This Row],[Top '[m']]]),"")</f>
        <v/>
      </c>
      <c r="J155" s="80" t="str">
        <f t="shared" si="12"/>
        <v/>
      </c>
      <c r="K155" s="80" t="str">
        <f>IFERROR((MP_DATA[[#This Row],[D, bottom '[m']]]+MP_DATA[[#This Row],[D, top '[m']]])/(2*MP_DATA[[#This Row],[t '[mm']]]/1000),"")</f>
        <v/>
      </c>
      <c r="AP155" s="80" t="str">
        <f>IFERROR(TP_DATA[[#This Row],[Bottom '[m']]]-TP_DATA[[#This Row],[D, top '[m']]], "")</f>
        <v/>
      </c>
      <c r="AQ155" s="80" t="str">
        <f>IFERROR(-(TP_DATA[[#This Row],[D, bottom '[m']]]-TP_DATA[[#This Row],[D, top '[m']]])/(TP_DATA[[#This Row],[Bottom '[m']]]-TP_DATA[[#This Row],[Top '[m']]]),"")</f>
        <v/>
      </c>
      <c r="AR155" s="80" t="str">
        <f t="shared" si="9"/>
        <v/>
      </c>
      <c r="AS155" s="80" t="str">
        <f>IFERROR((TP_DATA[[#This Row],[D, bottom '[m']]]+TP_DATA[[#This Row],[D, top '[m']]])/(2*TP_DATA[[#This Row],[t '[mm']]]/1000),"")</f>
        <v/>
      </c>
      <c r="BX155" s="80" t="str">
        <f>IFERROR(TOWER_DATA[[#This Row],[Bottom '[m']]]-TOWER_DATA[[#This Row],[D, top '[m']]], "")</f>
        <v/>
      </c>
      <c r="BY155" s="80" t="str">
        <f>IFERROR(-(TOWER_DATA[[#This Row],[D, bottom '[m']]]-TOWER_DATA[[#This Row],[D, top '[m']]])/(TOWER_DATA[[#This Row],[Bottom '[m']]]-TOWER_DATA[[#This Row],[Top '[m']]]),"")</f>
        <v/>
      </c>
      <c r="BZ155" s="80" t="str">
        <f t="shared" si="10"/>
        <v/>
      </c>
      <c r="CA155" s="80" t="str">
        <f>IFERROR((TOWER_DATA[[#This Row],[D, bottom '[m']]]+TOWER_DATA[[#This Row],[D, top '[m']]])/(2*TOWER_DATA[[#This Row],[t '[mm']]]/1000),"")</f>
        <v/>
      </c>
      <c r="DF155" s="80" t="str">
        <f>IFERROR(RNA_DATA[[#This Row],[Inertia '[kg·m²']]]-RNA_DATA[[#This Row],[Offset TT_COG '[m']]], "")</f>
        <v/>
      </c>
      <c r="DG155" s="80" t="str">
        <f>IFERROR(-(RNA_DATA[[#This Row],[comment]]-RNA_DATA[[#This Row],[Offset TT_COG '[m']]])/(RNA_DATA[[#This Row],[Inertia '[kg·m²']]]-RNA_DATA[[#This Row],[Mass '[t']]]),"")</f>
        <v/>
      </c>
      <c r="DH155" s="80" t="str">
        <f t="shared" si="11"/>
        <v/>
      </c>
      <c r="DI155" s="80" t="str">
        <f>IFERROR((RNA_DATA[[#This Row],[comment]]+RNA_DATA[[#This Row],[Offset TT_COG '[m']]])/(2*#REF!/1000),"")</f>
        <v/>
      </c>
    </row>
    <row r="156" spans="8:113" x14ac:dyDescent="0.3">
      <c r="H156" s="80" t="str">
        <f>IFERROR(MP_DATA[[#This Row],[Bottom '[m']]]-MP_DATA[[#This Row],[D, top '[m']]], "")</f>
        <v/>
      </c>
      <c r="I156" s="80" t="str">
        <f>IFERROR(-(MP_DATA[[#This Row],[D, bottom '[m']]]-MP_DATA[[#This Row],[D, top '[m']]])/(MP_DATA[[#This Row],[Bottom '[m']]]-MP_DATA[[#This Row],[Top '[m']]]),"")</f>
        <v/>
      </c>
      <c r="J156" s="80" t="str">
        <f t="shared" si="12"/>
        <v/>
      </c>
      <c r="K156" s="80" t="str">
        <f>IFERROR((MP_DATA[[#This Row],[D, bottom '[m']]]+MP_DATA[[#This Row],[D, top '[m']]])/(2*MP_DATA[[#This Row],[t '[mm']]]/1000),"")</f>
        <v/>
      </c>
      <c r="AP156" s="80" t="str">
        <f>IFERROR(TP_DATA[[#This Row],[Bottom '[m']]]-TP_DATA[[#This Row],[D, top '[m']]], "")</f>
        <v/>
      </c>
      <c r="AQ156" s="80" t="str">
        <f>IFERROR(-(TP_DATA[[#This Row],[D, bottom '[m']]]-TP_DATA[[#This Row],[D, top '[m']]])/(TP_DATA[[#This Row],[Bottom '[m']]]-TP_DATA[[#This Row],[Top '[m']]]),"")</f>
        <v/>
      </c>
      <c r="AR156" s="80" t="str">
        <f t="shared" si="9"/>
        <v/>
      </c>
      <c r="AS156" s="80" t="str">
        <f>IFERROR((TP_DATA[[#This Row],[D, bottom '[m']]]+TP_DATA[[#This Row],[D, top '[m']]])/(2*TP_DATA[[#This Row],[t '[mm']]]/1000),"")</f>
        <v/>
      </c>
      <c r="BX156" s="80" t="str">
        <f>IFERROR(TOWER_DATA[[#This Row],[Bottom '[m']]]-TOWER_DATA[[#This Row],[D, top '[m']]], "")</f>
        <v/>
      </c>
      <c r="BY156" s="80" t="str">
        <f>IFERROR(-(TOWER_DATA[[#This Row],[D, bottom '[m']]]-TOWER_DATA[[#This Row],[D, top '[m']]])/(TOWER_DATA[[#This Row],[Bottom '[m']]]-TOWER_DATA[[#This Row],[Top '[m']]]),"")</f>
        <v/>
      </c>
      <c r="BZ156" s="80" t="str">
        <f t="shared" si="10"/>
        <v/>
      </c>
      <c r="CA156" s="80" t="str">
        <f>IFERROR((TOWER_DATA[[#This Row],[D, bottom '[m']]]+TOWER_DATA[[#This Row],[D, top '[m']]])/(2*TOWER_DATA[[#This Row],[t '[mm']]]/1000),"")</f>
        <v/>
      </c>
      <c r="DF156" s="80" t="str">
        <f>IFERROR(RNA_DATA[[#This Row],[Inertia '[kg·m²']]]-RNA_DATA[[#This Row],[Offset TT_COG '[m']]], "")</f>
        <v/>
      </c>
      <c r="DG156" s="80" t="str">
        <f>IFERROR(-(RNA_DATA[[#This Row],[comment]]-RNA_DATA[[#This Row],[Offset TT_COG '[m']]])/(RNA_DATA[[#This Row],[Inertia '[kg·m²']]]-RNA_DATA[[#This Row],[Mass '[t']]]),"")</f>
        <v/>
      </c>
      <c r="DH156" s="80" t="str">
        <f t="shared" si="11"/>
        <v/>
      </c>
      <c r="DI156" s="80" t="str">
        <f>IFERROR((RNA_DATA[[#This Row],[comment]]+RNA_DATA[[#This Row],[Offset TT_COG '[m']]])/(2*#REF!/1000),"")</f>
        <v/>
      </c>
    </row>
    <row r="157" spans="8:113" x14ac:dyDescent="0.3">
      <c r="H157" s="80" t="str">
        <f>IFERROR(MP_DATA[[#This Row],[Bottom '[m']]]-MP_DATA[[#This Row],[D, top '[m']]], "")</f>
        <v/>
      </c>
      <c r="I157" s="80" t="str">
        <f>IFERROR(-(MP_DATA[[#This Row],[D, bottom '[m']]]-MP_DATA[[#This Row],[D, top '[m']]])/(MP_DATA[[#This Row],[Bottom '[m']]]-MP_DATA[[#This Row],[Top '[m']]]),"")</f>
        <v/>
      </c>
      <c r="J157" s="80" t="str">
        <f t="shared" si="12"/>
        <v/>
      </c>
      <c r="K157" s="80" t="str">
        <f>IFERROR((MP_DATA[[#This Row],[D, bottom '[m']]]+MP_DATA[[#This Row],[D, top '[m']]])/(2*MP_DATA[[#This Row],[t '[mm']]]/1000),"")</f>
        <v/>
      </c>
      <c r="AP157" s="80" t="str">
        <f>IFERROR(TP_DATA[[#This Row],[Bottom '[m']]]-TP_DATA[[#This Row],[D, top '[m']]], "")</f>
        <v/>
      </c>
      <c r="AQ157" s="80" t="str">
        <f>IFERROR(-(TP_DATA[[#This Row],[D, bottom '[m']]]-TP_DATA[[#This Row],[D, top '[m']]])/(TP_DATA[[#This Row],[Bottom '[m']]]-TP_DATA[[#This Row],[Top '[m']]]),"")</f>
        <v/>
      </c>
      <c r="AR157" s="80" t="str">
        <f t="shared" si="9"/>
        <v/>
      </c>
      <c r="AS157" s="80" t="str">
        <f>IFERROR((TP_DATA[[#This Row],[D, bottom '[m']]]+TP_DATA[[#This Row],[D, top '[m']]])/(2*TP_DATA[[#This Row],[t '[mm']]]/1000),"")</f>
        <v/>
      </c>
      <c r="BX157" s="80" t="str">
        <f>IFERROR(TOWER_DATA[[#This Row],[Bottom '[m']]]-TOWER_DATA[[#This Row],[D, top '[m']]], "")</f>
        <v/>
      </c>
      <c r="BY157" s="80" t="str">
        <f>IFERROR(-(TOWER_DATA[[#This Row],[D, bottom '[m']]]-TOWER_DATA[[#This Row],[D, top '[m']]])/(TOWER_DATA[[#This Row],[Bottom '[m']]]-TOWER_DATA[[#This Row],[Top '[m']]]),"")</f>
        <v/>
      </c>
      <c r="BZ157" s="80" t="str">
        <f t="shared" si="10"/>
        <v/>
      </c>
      <c r="CA157" s="80" t="str">
        <f>IFERROR((TOWER_DATA[[#This Row],[D, bottom '[m']]]+TOWER_DATA[[#This Row],[D, top '[m']]])/(2*TOWER_DATA[[#This Row],[t '[mm']]]/1000),"")</f>
        <v/>
      </c>
      <c r="DF157" s="80" t="str">
        <f>IFERROR(RNA_DATA[[#This Row],[Inertia '[kg·m²']]]-RNA_DATA[[#This Row],[Offset TT_COG '[m']]], "")</f>
        <v/>
      </c>
      <c r="DG157" s="80" t="str">
        <f>IFERROR(-(RNA_DATA[[#This Row],[comment]]-RNA_DATA[[#This Row],[Offset TT_COG '[m']]])/(RNA_DATA[[#This Row],[Inertia '[kg·m²']]]-RNA_DATA[[#This Row],[Mass '[t']]]),"")</f>
        <v/>
      </c>
      <c r="DH157" s="80" t="str">
        <f t="shared" si="11"/>
        <v/>
      </c>
      <c r="DI157" s="80" t="str">
        <f>IFERROR((RNA_DATA[[#This Row],[comment]]+RNA_DATA[[#This Row],[Offset TT_COG '[m']]])/(2*#REF!/1000),"")</f>
        <v/>
      </c>
    </row>
    <row r="158" spans="8:113" x14ac:dyDescent="0.3">
      <c r="H158" s="80" t="str">
        <f>IFERROR(MP_DATA[[#This Row],[Bottom '[m']]]-MP_DATA[[#This Row],[D, top '[m']]], "")</f>
        <v/>
      </c>
      <c r="I158" s="80" t="str">
        <f>IFERROR(-(MP_DATA[[#This Row],[D, bottom '[m']]]-MP_DATA[[#This Row],[D, top '[m']]])/(MP_DATA[[#This Row],[Bottom '[m']]]-MP_DATA[[#This Row],[Top '[m']]]),"")</f>
        <v/>
      </c>
      <c r="J158" s="80" t="str">
        <f t="shared" si="12"/>
        <v/>
      </c>
      <c r="K158" s="80" t="str">
        <f>IFERROR((MP_DATA[[#This Row],[D, bottom '[m']]]+MP_DATA[[#This Row],[D, top '[m']]])/(2*MP_DATA[[#This Row],[t '[mm']]]/1000),"")</f>
        <v/>
      </c>
      <c r="AP158" s="80" t="str">
        <f>IFERROR(TP_DATA[[#This Row],[Bottom '[m']]]-TP_DATA[[#This Row],[D, top '[m']]], "")</f>
        <v/>
      </c>
      <c r="AQ158" s="80" t="str">
        <f>IFERROR(-(TP_DATA[[#This Row],[D, bottom '[m']]]-TP_DATA[[#This Row],[D, top '[m']]])/(TP_DATA[[#This Row],[Bottom '[m']]]-TP_DATA[[#This Row],[Top '[m']]]),"")</f>
        <v/>
      </c>
      <c r="AR158" s="80" t="str">
        <f t="shared" si="9"/>
        <v/>
      </c>
      <c r="AS158" s="80" t="str">
        <f>IFERROR((TP_DATA[[#This Row],[D, bottom '[m']]]+TP_DATA[[#This Row],[D, top '[m']]])/(2*TP_DATA[[#This Row],[t '[mm']]]/1000),"")</f>
        <v/>
      </c>
      <c r="BX158" s="80" t="str">
        <f>IFERROR(TOWER_DATA[[#This Row],[Bottom '[m']]]-TOWER_DATA[[#This Row],[D, top '[m']]], "")</f>
        <v/>
      </c>
      <c r="BY158" s="80" t="str">
        <f>IFERROR(-(TOWER_DATA[[#This Row],[D, bottom '[m']]]-TOWER_DATA[[#This Row],[D, top '[m']]])/(TOWER_DATA[[#This Row],[Bottom '[m']]]-TOWER_DATA[[#This Row],[Top '[m']]]),"")</f>
        <v/>
      </c>
      <c r="BZ158" s="80" t="str">
        <f t="shared" si="10"/>
        <v/>
      </c>
      <c r="CA158" s="80" t="str">
        <f>IFERROR((TOWER_DATA[[#This Row],[D, bottom '[m']]]+TOWER_DATA[[#This Row],[D, top '[m']]])/(2*TOWER_DATA[[#This Row],[t '[mm']]]/1000),"")</f>
        <v/>
      </c>
      <c r="DF158" s="80" t="str">
        <f>IFERROR(RNA_DATA[[#This Row],[Inertia '[kg·m²']]]-RNA_DATA[[#This Row],[Offset TT_COG '[m']]], "")</f>
        <v/>
      </c>
      <c r="DG158" s="80" t="str">
        <f>IFERROR(-(RNA_DATA[[#This Row],[comment]]-RNA_DATA[[#This Row],[Offset TT_COG '[m']]])/(RNA_DATA[[#This Row],[Inertia '[kg·m²']]]-RNA_DATA[[#This Row],[Mass '[t']]]),"")</f>
        <v/>
      </c>
      <c r="DH158" s="80" t="str">
        <f t="shared" si="11"/>
        <v/>
      </c>
      <c r="DI158" s="80" t="str">
        <f>IFERROR((RNA_DATA[[#This Row],[comment]]+RNA_DATA[[#This Row],[Offset TT_COG '[m']]])/(2*#REF!/1000),"")</f>
        <v/>
      </c>
    </row>
    <row r="159" spans="8:113" x14ac:dyDescent="0.3">
      <c r="H159" s="80" t="str">
        <f>IFERROR(MP_DATA[[#This Row],[Bottom '[m']]]-MP_DATA[[#This Row],[D, top '[m']]], "")</f>
        <v/>
      </c>
      <c r="I159" s="80" t="str">
        <f>IFERROR(-(MP_DATA[[#This Row],[D, bottom '[m']]]-MP_DATA[[#This Row],[D, top '[m']]])/(MP_DATA[[#This Row],[Bottom '[m']]]-MP_DATA[[#This Row],[Top '[m']]]),"")</f>
        <v/>
      </c>
      <c r="J159" s="80" t="str">
        <f t="shared" si="12"/>
        <v/>
      </c>
      <c r="K159" s="80" t="str">
        <f>IFERROR((MP_DATA[[#This Row],[D, bottom '[m']]]+MP_DATA[[#This Row],[D, top '[m']]])/(2*MP_DATA[[#This Row],[t '[mm']]]/1000),"")</f>
        <v/>
      </c>
      <c r="AP159" s="80" t="str">
        <f>IFERROR(TP_DATA[[#This Row],[Bottom '[m']]]-TP_DATA[[#This Row],[D, top '[m']]], "")</f>
        <v/>
      </c>
      <c r="AQ159" s="80" t="str">
        <f>IFERROR(-(TP_DATA[[#This Row],[D, bottom '[m']]]-TP_DATA[[#This Row],[D, top '[m']]])/(TP_DATA[[#This Row],[Bottom '[m']]]-TP_DATA[[#This Row],[Top '[m']]]),"")</f>
        <v/>
      </c>
      <c r="AR159" s="80" t="str">
        <f t="shared" si="9"/>
        <v/>
      </c>
      <c r="AS159" s="80" t="str">
        <f>IFERROR((TP_DATA[[#This Row],[D, bottom '[m']]]+TP_DATA[[#This Row],[D, top '[m']]])/(2*TP_DATA[[#This Row],[t '[mm']]]/1000),"")</f>
        <v/>
      </c>
      <c r="BX159" s="80" t="str">
        <f>IFERROR(TOWER_DATA[[#This Row],[Bottom '[m']]]-TOWER_DATA[[#This Row],[D, top '[m']]], "")</f>
        <v/>
      </c>
      <c r="BY159" s="80" t="str">
        <f>IFERROR(-(TOWER_DATA[[#This Row],[D, bottom '[m']]]-TOWER_DATA[[#This Row],[D, top '[m']]])/(TOWER_DATA[[#This Row],[Bottom '[m']]]-TOWER_DATA[[#This Row],[Top '[m']]]),"")</f>
        <v/>
      </c>
      <c r="BZ159" s="80" t="str">
        <f t="shared" si="10"/>
        <v/>
      </c>
      <c r="CA159" s="80" t="str">
        <f>IFERROR((TOWER_DATA[[#This Row],[D, bottom '[m']]]+TOWER_DATA[[#This Row],[D, top '[m']]])/(2*TOWER_DATA[[#This Row],[t '[mm']]]/1000),"")</f>
        <v/>
      </c>
      <c r="DF159" s="80" t="str">
        <f>IFERROR(RNA_DATA[[#This Row],[Inertia '[kg·m²']]]-RNA_DATA[[#This Row],[Offset TT_COG '[m']]], "")</f>
        <v/>
      </c>
      <c r="DG159" s="80" t="str">
        <f>IFERROR(-(RNA_DATA[[#This Row],[comment]]-RNA_DATA[[#This Row],[Offset TT_COG '[m']]])/(RNA_DATA[[#This Row],[Inertia '[kg·m²']]]-RNA_DATA[[#This Row],[Mass '[t']]]),"")</f>
        <v/>
      </c>
      <c r="DH159" s="80" t="str">
        <f t="shared" si="11"/>
        <v/>
      </c>
      <c r="DI159" s="80" t="str">
        <f>IFERROR((RNA_DATA[[#This Row],[comment]]+RNA_DATA[[#This Row],[Offset TT_COG '[m']]])/(2*#REF!/1000),"")</f>
        <v/>
      </c>
    </row>
    <row r="160" spans="8:113" x14ac:dyDescent="0.3">
      <c r="H160" s="80" t="str">
        <f>IFERROR(MP_DATA[[#This Row],[Bottom '[m']]]-MP_DATA[[#This Row],[D, top '[m']]], "")</f>
        <v/>
      </c>
      <c r="I160" s="80" t="str">
        <f>IFERROR(-(MP_DATA[[#This Row],[D, bottom '[m']]]-MP_DATA[[#This Row],[D, top '[m']]])/(MP_DATA[[#This Row],[Bottom '[m']]]-MP_DATA[[#This Row],[Top '[m']]]),"")</f>
        <v/>
      </c>
      <c r="J160" s="80" t="str">
        <f t="shared" si="12"/>
        <v/>
      </c>
      <c r="K160" s="80" t="str">
        <f>IFERROR((MP_DATA[[#This Row],[D, bottom '[m']]]+MP_DATA[[#This Row],[D, top '[m']]])/(2*MP_DATA[[#This Row],[t '[mm']]]/1000),"")</f>
        <v/>
      </c>
      <c r="AP160" s="80" t="str">
        <f>IFERROR(TP_DATA[[#This Row],[Bottom '[m']]]-TP_DATA[[#This Row],[D, top '[m']]], "")</f>
        <v/>
      </c>
      <c r="AQ160" s="80" t="str">
        <f>IFERROR(-(TP_DATA[[#This Row],[D, bottom '[m']]]-TP_DATA[[#This Row],[D, top '[m']]])/(TP_DATA[[#This Row],[Bottom '[m']]]-TP_DATA[[#This Row],[Top '[m']]]),"")</f>
        <v/>
      </c>
      <c r="AR160" s="80" t="str">
        <f t="shared" si="9"/>
        <v/>
      </c>
      <c r="AS160" s="80" t="str">
        <f>IFERROR((TP_DATA[[#This Row],[D, bottom '[m']]]+TP_DATA[[#This Row],[D, top '[m']]])/(2*TP_DATA[[#This Row],[t '[mm']]]/1000),"")</f>
        <v/>
      </c>
      <c r="BX160" s="80" t="str">
        <f>IFERROR(TOWER_DATA[[#This Row],[Bottom '[m']]]-TOWER_DATA[[#This Row],[D, top '[m']]], "")</f>
        <v/>
      </c>
      <c r="BY160" s="80" t="str">
        <f>IFERROR(-(TOWER_DATA[[#This Row],[D, bottom '[m']]]-TOWER_DATA[[#This Row],[D, top '[m']]])/(TOWER_DATA[[#This Row],[Bottom '[m']]]-TOWER_DATA[[#This Row],[Top '[m']]]),"")</f>
        <v/>
      </c>
      <c r="BZ160" s="80" t="str">
        <f t="shared" si="10"/>
        <v/>
      </c>
      <c r="CA160" s="80" t="str">
        <f>IFERROR((TOWER_DATA[[#This Row],[D, bottom '[m']]]+TOWER_DATA[[#This Row],[D, top '[m']]])/(2*TOWER_DATA[[#This Row],[t '[mm']]]/1000),"")</f>
        <v/>
      </c>
      <c r="DF160" s="80" t="str">
        <f>IFERROR(RNA_DATA[[#This Row],[Inertia '[kg·m²']]]-RNA_DATA[[#This Row],[Offset TT_COG '[m']]], "")</f>
        <v/>
      </c>
      <c r="DG160" s="80" t="str">
        <f>IFERROR(-(RNA_DATA[[#This Row],[comment]]-RNA_DATA[[#This Row],[Offset TT_COG '[m']]])/(RNA_DATA[[#This Row],[Inertia '[kg·m²']]]-RNA_DATA[[#This Row],[Mass '[t']]]),"")</f>
        <v/>
      </c>
      <c r="DH160" s="80" t="str">
        <f t="shared" si="11"/>
        <v/>
      </c>
      <c r="DI160" s="80" t="str">
        <f>IFERROR((RNA_DATA[[#This Row],[comment]]+RNA_DATA[[#This Row],[Offset TT_COG '[m']]])/(2*#REF!/1000),"")</f>
        <v/>
      </c>
    </row>
    <row r="161" spans="8:113" x14ac:dyDescent="0.3">
      <c r="H161" s="80" t="str">
        <f>IFERROR(MP_DATA[[#This Row],[Bottom '[m']]]-MP_DATA[[#This Row],[D, top '[m']]], "")</f>
        <v/>
      </c>
      <c r="I161" s="80" t="str">
        <f>IFERROR(-(MP_DATA[[#This Row],[D, bottom '[m']]]-MP_DATA[[#This Row],[D, top '[m']]])/(MP_DATA[[#This Row],[Bottom '[m']]]-MP_DATA[[#This Row],[Top '[m']]]),"")</f>
        <v/>
      </c>
      <c r="K161" s="80" t="str">
        <f>IFERROR((MP_DATA[[#This Row],[D, bottom '[m']]]+MP_DATA[[#This Row],[D, top '[m']]])/(2*MP_DATA[[#This Row],[t '[mm']]]/1000),"")</f>
        <v/>
      </c>
      <c r="AP161" s="80" t="str">
        <f>IFERROR(TP_DATA[[#This Row],[Bottom '[m']]]-TP_DATA[[#This Row],[D, top '[m']]], "")</f>
        <v/>
      </c>
      <c r="AQ161" s="80" t="str">
        <f>IFERROR(-(TP_DATA[[#This Row],[D, bottom '[m']]]-TP_DATA[[#This Row],[D, top '[m']]])/(TP_DATA[[#This Row],[Bottom '[m']]]-TP_DATA[[#This Row],[Top '[m']]]),"")</f>
        <v/>
      </c>
      <c r="AS161" s="80" t="str">
        <f>IFERROR((TP_DATA[[#This Row],[D, bottom '[m']]]+TP_DATA[[#This Row],[D, top '[m']]])/(2*TP_DATA[[#This Row],[t '[mm']]]/1000),"")</f>
        <v/>
      </c>
      <c r="BX161" s="80" t="str">
        <f>IFERROR(TOWER_DATA[[#This Row],[Bottom '[m']]]-TOWER_DATA[[#This Row],[D, top '[m']]], "")</f>
        <v/>
      </c>
      <c r="BY161" s="80" t="str">
        <f>IFERROR(-(TOWER_DATA[[#This Row],[D, bottom '[m']]]-TOWER_DATA[[#This Row],[D, top '[m']]])/(TOWER_DATA[[#This Row],[Bottom '[m']]]-TOWER_DATA[[#This Row],[Top '[m']]]),"")</f>
        <v/>
      </c>
      <c r="BZ161" s="80" t="str">
        <f t="shared" si="10"/>
        <v/>
      </c>
      <c r="CA161" s="80" t="str">
        <f>IFERROR((TOWER_DATA[[#This Row],[D, bottom '[m']]]+TOWER_DATA[[#This Row],[D, top '[m']]])/(2*TOWER_DATA[[#This Row],[t '[mm']]]/1000),"")</f>
        <v/>
      </c>
      <c r="DF161" s="80" t="str">
        <f>IFERROR(RNA_DATA[[#This Row],[Inertia '[kg·m²']]]-RNA_DATA[[#This Row],[Offset TT_COG '[m']]], "")</f>
        <v/>
      </c>
      <c r="DG161" s="80" t="str">
        <f>IFERROR(-(RNA_DATA[[#This Row],[comment]]-RNA_DATA[[#This Row],[Offset TT_COG '[m']]])/(RNA_DATA[[#This Row],[Inertia '[kg·m²']]]-RNA_DATA[[#This Row],[Mass '[t']]]),"")</f>
        <v/>
      </c>
      <c r="DH161" s="80" t="str">
        <f t="shared" si="11"/>
        <v/>
      </c>
      <c r="DI161" s="80" t="str">
        <f>IFERROR((RNA_DATA[[#This Row],[comment]]+RNA_DATA[[#This Row],[Offset TT_COG '[m']]])/(2*#REF!/1000),"")</f>
        <v/>
      </c>
    </row>
    <row r="162" spans="8:113" x14ac:dyDescent="0.3">
      <c r="H162" s="80" t="str">
        <f>IFERROR(MP_DATA[[#This Row],[Bottom '[m']]]-MP_DATA[[#This Row],[D, top '[m']]], "")</f>
        <v/>
      </c>
      <c r="I162" s="80" t="str">
        <f>IFERROR(-(MP_DATA[[#This Row],[D, bottom '[m']]]-MP_DATA[[#This Row],[D, top '[m']]])/(MP_DATA[[#This Row],[Bottom '[m']]]-MP_DATA[[#This Row],[Top '[m']]]),"")</f>
        <v/>
      </c>
      <c r="K162" s="80" t="str">
        <f>IFERROR((MP_DATA[[#This Row],[D, bottom '[m']]]+MP_DATA[[#This Row],[D, top '[m']]])/(2*MP_DATA[[#This Row],[t '[mm']]]/1000),"")</f>
        <v/>
      </c>
      <c r="AP162" s="80" t="str">
        <f>IFERROR(TP_DATA[[#This Row],[Bottom '[m']]]-TP_DATA[[#This Row],[D, top '[m']]], "")</f>
        <v/>
      </c>
      <c r="AQ162" s="80" t="str">
        <f>IFERROR(-(TP_DATA[[#This Row],[D, bottom '[m']]]-TP_DATA[[#This Row],[D, top '[m']]])/(TP_DATA[[#This Row],[Bottom '[m']]]-TP_DATA[[#This Row],[Top '[m']]]),"")</f>
        <v/>
      </c>
      <c r="AS162" s="80" t="str">
        <f>IFERROR((TP_DATA[[#This Row],[D, bottom '[m']]]+TP_DATA[[#This Row],[D, top '[m']]])/(2*TP_DATA[[#This Row],[t '[mm']]]/1000),"")</f>
        <v/>
      </c>
      <c r="BX162" s="80" t="str">
        <f>IFERROR(TOWER_DATA[[#This Row],[Bottom '[m']]]-TOWER_DATA[[#This Row],[D, top '[m']]], "")</f>
        <v/>
      </c>
      <c r="BY162" s="80" t="str">
        <f>IFERROR(-(TOWER_DATA[[#This Row],[D, bottom '[m']]]-TOWER_DATA[[#This Row],[D, top '[m']]])/(TOWER_DATA[[#This Row],[Bottom '[m']]]-TOWER_DATA[[#This Row],[Top '[m']]]),"")</f>
        <v/>
      </c>
      <c r="BZ162" s="80" t="str">
        <f t="shared" si="10"/>
        <v/>
      </c>
      <c r="CA162" s="80" t="str">
        <f>IFERROR((TOWER_DATA[[#This Row],[D, bottom '[m']]]+TOWER_DATA[[#This Row],[D, top '[m']]])/(2*TOWER_DATA[[#This Row],[t '[mm']]]/1000),"")</f>
        <v/>
      </c>
      <c r="DF162" s="80" t="str">
        <f>IFERROR(RNA_DATA[[#This Row],[Inertia '[kg·m²']]]-RNA_DATA[[#This Row],[Offset TT_COG '[m']]], "")</f>
        <v/>
      </c>
      <c r="DG162" s="80" t="str">
        <f>IFERROR(-(RNA_DATA[[#This Row],[comment]]-RNA_DATA[[#This Row],[Offset TT_COG '[m']]])/(RNA_DATA[[#This Row],[Inertia '[kg·m²']]]-RNA_DATA[[#This Row],[Mass '[t']]]),"")</f>
        <v/>
      </c>
      <c r="DH162" s="80" t="str">
        <f t="shared" si="11"/>
        <v/>
      </c>
      <c r="DI162" s="80" t="str">
        <f>IFERROR((RNA_DATA[[#This Row],[comment]]+RNA_DATA[[#This Row],[Offset TT_COG '[m']]])/(2*#REF!/1000),"")</f>
        <v/>
      </c>
    </row>
    <row r="163" spans="8:113" x14ac:dyDescent="0.3">
      <c r="H163" s="80" t="str">
        <f>IFERROR(MP_DATA[[#This Row],[Bottom '[m']]]-MP_DATA[[#This Row],[D, top '[m']]], "")</f>
        <v/>
      </c>
      <c r="I163" s="80" t="str">
        <f>IFERROR(-(MP_DATA[[#This Row],[D, bottom '[m']]]-MP_DATA[[#This Row],[D, top '[m']]])/(MP_DATA[[#This Row],[Bottom '[m']]]-MP_DATA[[#This Row],[Top '[m']]]),"")</f>
        <v/>
      </c>
      <c r="K163" s="80" t="str">
        <f>IFERROR((MP_DATA[[#This Row],[D, bottom '[m']]]+MP_DATA[[#This Row],[D, top '[m']]])/(2*MP_DATA[[#This Row],[t '[mm']]]/1000),"")</f>
        <v/>
      </c>
      <c r="AP163" s="80" t="str">
        <f>IFERROR(TP_DATA[[#This Row],[Bottom '[m']]]-TP_DATA[[#This Row],[D, top '[m']]], "")</f>
        <v/>
      </c>
      <c r="AQ163" s="80" t="str">
        <f>IFERROR(-(TP_DATA[[#This Row],[D, bottom '[m']]]-TP_DATA[[#This Row],[D, top '[m']]])/(TP_DATA[[#This Row],[Bottom '[m']]]-TP_DATA[[#This Row],[Top '[m']]]),"")</f>
        <v/>
      </c>
      <c r="AS163" s="80" t="str">
        <f>IFERROR((TP_DATA[[#This Row],[D, bottom '[m']]]+TP_DATA[[#This Row],[D, top '[m']]])/(2*TP_DATA[[#This Row],[t '[mm']]]/1000),"")</f>
        <v/>
      </c>
      <c r="BX163" s="80" t="str">
        <f>IFERROR(TOWER_DATA[[#This Row],[Bottom '[m']]]-TOWER_DATA[[#This Row],[D, top '[m']]], "")</f>
        <v/>
      </c>
      <c r="BY163" s="80" t="str">
        <f>IFERROR(-(TOWER_DATA[[#This Row],[D, bottom '[m']]]-TOWER_DATA[[#This Row],[D, top '[m']]])/(TOWER_DATA[[#This Row],[Bottom '[m']]]-TOWER_DATA[[#This Row],[Top '[m']]]),"")</f>
        <v/>
      </c>
      <c r="CA163" s="80" t="str">
        <f>IFERROR((TOWER_DATA[[#This Row],[D, bottom '[m']]]+TOWER_DATA[[#This Row],[D, top '[m']]])/(2*TOWER_DATA[[#This Row],[t '[mm']]]/1000),"")</f>
        <v/>
      </c>
      <c r="DF163" s="80" t="str">
        <f>IFERROR(RNA_DATA[[#This Row],[Inertia '[kg·m²']]]-RNA_DATA[[#This Row],[Offset TT_COG '[m']]], "")</f>
        <v/>
      </c>
      <c r="DG163" s="80" t="str">
        <f>IFERROR(-(RNA_DATA[[#This Row],[comment]]-RNA_DATA[[#This Row],[Offset TT_COG '[m']]])/(RNA_DATA[[#This Row],[Inertia '[kg·m²']]]-RNA_DATA[[#This Row],[Mass '[t']]]),"")</f>
        <v/>
      </c>
      <c r="DI163" s="80" t="str">
        <f>IFERROR((RNA_DATA[[#This Row],[comment]]+RNA_DATA[[#This Row],[Offset TT_COG '[m']]])/(2*#REF!/1000),"")</f>
        <v/>
      </c>
    </row>
    <row r="164" spans="8:113" x14ac:dyDescent="0.3">
      <c r="H164" s="80" t="str">
        <f>IFERROR(MP_DATA[[#This Row],[Bottom '[m']]]-MP_DATA[[#This Row],[D, top '[m']]], "")</f>
        <v/>
      </c>
      <c r="I164" s="80" t="str">
        <f>IFERROR(-(MP_DATA[[#This Row],[D, bottom '[m']]]-MP_DATA[[#This Row],[D, top '[m']]])/(MP_DATA[[#This Row],[Bottom '[m']]]-MP_DATA[[#This Row],[Top '[m']]]),"")</f>
        <v/>
      </c>
      <c r="K164" s="80" t="str">
        <f>IFERROR((MP_DATA[[#This Row],[D, bottom '[m']]]+MP_DATA[[#This Row],[D, top '[m']]])/(2*MP_DATA[[#This Row],[t '[mm']]]/1000),"")</f>
        <v/>
      </c>
      <c r="AP164" s="80" t="str">
        <f>IFERROR(TP_DATA[[#This Row],[Bottom '[m']]]-TP_DATA[[#This Row],[D, top '[m']]], "")</f>
        <v/>
      </c>
      <c r="AQ164" s="80" t="str">
        <f>IFERROR(-(TP_DATA[[#This Row],[D, bottom '[m']]]-TP_DATA[[#This Row],[D, top '[m']]])/(TP_DATA[[#This Row],[Bottom '[m']]]-TP_DATA[[#This Row],[Top '[m']]]),"")</f>
        <v/>
      </c>
      <c r="AS164" s="80" t="str">
        <f>IFERROR((TP_DATA[[#This Row],[D, bottom '[m']]]+TP_DATA[[#This Row],[D, top '[m']]])/(2*TP_DATA[[#This Row],[t '[mm']]]/1000),"")</f>
        <v/>
      </c>
      <c r="BX164" s="80" t="str">
        <f>IFERROR(TOWER_DATA[[#This Row],[Bottom '[m']]]-TOWER_DATA[[#This Row],[D, top '[m']]], "")</f>
        <v/>
      </c>
      <c r="BY164" s="80" t="str">
        <f>IFERROR(-(TOWER_DATA[[#This Row],[D, bottom '[m']]]-TOWER_DATA[[#This Row],[D, top '[m']]])/(TOWER_DATA[[#This Row],[Bottom '[m']]]-TOWER_DATA[[#This Row],[Top '[m']]]),"")</f>
        <v/>
      </c>
      <c r="CA164" s="80" t="str">
        <f>IFERROR((TOWER_DATA[[#This Row],[D, bottom '[m']]]+TOWER_DATA[[#This Row],[D, top '[m']]])/(2*TOWER_DATA[[#This Row],[t '[mm']]]/1000),"")</f>
        <v/>
      </c>
      <c r="DF164" s="80" t="str">
        <f>IFERROR(RNA_DATA[[#This Row],[Inertia '[kg·m²']]]-RNA_DATA[[#This Row],[Offset TT_COG '[m']]], "")</f>
        <v/>
      </c>
      <c r="DG164" s="80" t="str">
        <f>IFERROR(-(RNA_DATA[[#This Row],[comment]]-RNA_DATA[[#This Row],[Offset TT_COG '[m']]])/(RNA_DATA[[#This Row],[Inertia '[kg·m²']]]-RNA_DATA[[#This Row],[Mass '[t']]]),"")</f>
        <v/>
      </c>
      <c r="DI164" s="80" t="str">
        <f>IFERROR((RNA_DATA[[#This Row],[comment]]+RNA_DATA[[#This Row],[Offset TT_COG '[m']]])/(2*#REF!/1000),"")</f>
        <v/>
      </c>
    </row>
    <row r="165" spans="8:113" x14ac:dyDescent="0.3">
      <c r="H165" s="80" t="str">
        <f>IFERROR(MP_DATA[[#This Row],[Bottom '[m']]]-MP_DATA[[#This Row],[D, top '[m']]], "")</f>
        <v/>
      </c>
      <c r="I165" s="80" t="str">
        <f>IFERROR(-(MP_DATA[[#This Row],[D, bottom '[m']]]-MP_DATA[[#This Row],[D, top '[m']]])/(MP_DATA[[#This Row],[Bottom '[m']]]-MP_DATA[[#This Row],[Top '[m']]]),"")</f>
        <v/>
      </c>
      <c r="K165" s="80" t="str">
        <f>IFERROR((MP_DATA[[#This Row],[D, bottom '[m']]]+MP_DATA[[#This Row],[D, top '[m']]])/(2*MP_DATA[[#This Row],[t '[mm']]]/1000),"")</f>
        <v/>
      </c>
      <c r="AP165" s="80" t="str">
        <f>IFERROR(TP_DATA[[#This Row],[Bottom '[m']]]-TP_DATA[[#This Row],[D, top '[m']]], "")</f>
        <v/>
      </c>
      <c r="AQ165" s="80" t="str">
        <f>IFERROR(-(TP_DATA[[#This Row],[D, bottom '[m']]]-TP_DATA[[#This Row],[D, top '[m']]])/(TP_DATA[[#This Row],[Bottom '[m']]]-TP_DATA[[#This Row],[Top '[m']]]),"")</f>
        <v/>
      </c>
      <c r="AS165" s="80" t="str">
        <f>IFERROR((TP_DATA[[#This Row],[D, bottom '[m']]]+TP_DATA[[#This Row],[D, top '[m']]])/(2*TP_DATA[[#This Row],[t '[mm']]]/1000),"")</f>
        <v/>
      </c>
      <c r="BX165" s="80" t="str">
        <f>IFERROR(TOWER_DATA[[#This Row],[Bottom '[m']]]-TOWER_DATA[[#This Row],[D, top '[m']]], "")</f>
        <v/>
      </c>
      <c r="BY165" s="80" t="str">
        <f>IFERROR(-(TOWER_DATA[[#This Row],[D, bottom '[m']]]-TOWER_DATA[[#This Row],[D, top '[m']]])/(TOWER_DATA[[#This Row],[Bottom '[m']]]-TOWER_DATA[[#This Row],[Top '[m']]]),"")</f>
        <v/>
      </c>
      <c r="CA165" s="80" t="str">
        <f>IFERROR((TOWER_DATA[[#This Row],[D, bottom '[m']]]+TOWER_DATA[[#This Row],[D, top '[m']]])/(2*TOWER_DATA[[#This Row],[t '[mm']]]/1000),"")</f>
        <v/>
      </c>
      <c r="DF165" s="80" t="str">
        <f>IFERROR(RNA_DATA[[#This Row],[Inertia '[kg·m²']]]-RNA_DATA[[#This Row],[Offset TT_COG '[m']]], "")</f>
        <v/>
      </c>
      <c r="DG165" s="80" t="str">
        <f>IFERROR(-(RNA_DATA[[#This Row],[comment]]-RNA_DATA[[#This Row],[Offset TT_COG '[m']]])/(RNA_DATA[[#This Row],[Inertia '[kg·m²']]]-RNA_DATA[[#This Row],[Mass '[t']]]),"")</f>
        <v/>
      </c>
      <c r="DI165" s="80" t="str">
        <f>IFERROR((RNA_DATA[[#This Row],[comment]]+RNA_DATA[[#This Row],[Offset TT_COG '[m']]])/(2*#REF!/1000),"")</f>
        <v/>
      </c>
    </row>
    <row r="166" spans="8:113" x14ac:dyDescent="0.3">
      <c r="H166" s="80" t="str">
        <f>IFERROR(MP_DATA[[#This Row],[Bottom '[m']]]-MP_DATA[[#This Row],[D, top '[m']]], "")</f>
        <v/>
      </c>
      <c r="I166" s="80" t="str">
        <f>IFERROR(-(MP_DATA[[#This Row],[D, bottom '[m']]]-MP_DATA[[#This Row],[D, top '[m']]])/(MP_DATA[[#This Row],[Bottom '[m']]]-MP_DATA[[#This Row],[Top '[m']]]),"")</f>
        <v/>
      </c>
      <c r="K166" s="80" t="str">
        <f>IFERROR((MP_DATA[[#This Row],[D, bottom '[m']]]+MP_DATA[[#This Row],[D, top '[m']]])/(2*MP_DATA[[#This Row],[t '[mm']]]/1000),"")</f>
        <v/>
      </c>
      <c r="AP166" s="80" t="str">
        <f>IFERROR(TP_DATA[[#This Row],[Bottom '[m']]]-TP_DATA[[#This Row],[D, top '[m']]], "")</f>
        <v/>
      </c>
      <c r="AQ166" s="80" t="str">
        <f>IFERROR(-(TP_DATA[[#This Row],[D, bottom '[m']]]-TP_DATA[[#This Row],[D, top '[m']]])/(TP_DATA[[#This Row],[Bottom '[m']]]-TP_DATA[[#This Row],[Top '[m']]]),"")</f>
        <v/>
      </c>
      <c r="AS166" s="80" t="str">
        <f>IFERROR((TP_DATA[[#This Row],[D, bottom '[m']]]+TP_DATA[[#This Row],[D, top '[m']]])/(2*TP_DATA[[#This Row],[t '[mm']]]/1000),"")</f>
        <v/>
      </c>
      <c r="BX166" s="80" t="str">
        <f>IFERROR(TOWER_DATA[[#This Row],[Bottom '[m']]]-TOWER_DATA[[#This Row],[D, top '[m']]], "")</f>
        <v/>
      </c>
      <c r="BY166" s="80" t="str">
        <f>IFERROR(-(TOWER_DATA[[#This Row],[D, bottom '[m']]]-TOWER_DATA[[#This Row],[D, top '[m']]])/(TOWER_DATA[[#This Row],[Bottom '[m']]]-TOWER_DATA[[#This Row],[Top '[m']]]),"")</f>
        <v/>
      </c>
      <c r="CA166" s="80" t="str">
        <f>IFERROR((TOWER_DATA[[#This Row],[D, bottom '[m']]]+TOWER_DATA[[#This Row],[D, top '[m']]])/(2*TOWER_DATA[[#This Row],[t '[mm']]]/1000),"")</f>
        <v/>
      </c>
      <c r="DF166" s="80" t="str">
        <f>IFERROR(RNA_DATA[[#This Row],[Inertia '[kg·m²']]]-RNA_DATA[[#This Row],[Offset TT_COG '[m']]], "")</f>
        <v/>
      </c>
      <c r="DG166" s="80" t="str">
        <f>IFERROR(-(RNA_DATA[[#This Row],[comment]]-RNA_DATA[[#This Row],[Offset TT_COG '[m']]])/(RNA_DATA[[#This Row],[Inertia '[kg·m²']]]-RNA_DATA[[#This Row],[Mass '[t']]]),"")</f>
        <v/>
      </c>
      <c r="DI166" s="80" t="str">
        <f>IFERROR((RNA_DATA[[#This Row],[comment]]+RNA_DATA[[#This Row],[Offset TT_COG '[m']]])/(2*#REF!/1000),"")</f>
        <v/>
      </c>
    </row>
    <row r="167" spans="8:113" x14ac:dyDescent="0.3">
      <c r="H167" s="80" t="str">
        <f>IFERROR(MP_DATA[[#This Row],[Bottom '[m']]]-MP_DATA[[#This Row],[D, top '[m']]], "")</f>
        <v/>
      </c>
      <c r="K167" s="80" t="str">
        <f>IFERROR((MP_DATA[[#This Row],[D, bottom '[m']]]+MP_DATA[[#This Row],[D, top '[m']]])/(2*MP_DATA[[#This Row],[t '[mm']]]/1000),"")</f>
        <v/>
      </c>
      <c r="BI167" s="80"/>
      <c r="BJ167" s="80"/>
      <c r="BK167" s="80"/>
      <c r="BL167" s="80"/>
    </row>
    <row r="168" spans="8:113" x14ac:dyDescent="0.3">
      <c r="BI168" s="80"/>
      <c r="BJ168" s="80"/>
      <c r="BK168" s="80"/>
      <c r="BL168" s="80"/>
    </row>
  </sheetData>
  <protectedRanges>
    <protectedRange sqref="CC25:CE49" name="Bereich1"/>
    <protectedRange sqref="CZ25:DD25" name="Bereich1_1"/>
  </protectedRanges>
  <dataConsolidate/>
  <phoneticPr fontId="10" type="noConversion"/>
  <conditionalFormatting sqref="B1966">
    <cfRule type="expression" dxfId="307" priority="13">
      <formula>B1965&lt;&gt;_xludf.INDIRECT("B" &amp; _xludf.ROW() + 200)</formula>
    </cfRule>
  </conditionalFormatting>
  <conditionalFormatting sqref="B168:L191 B56:G167 I167:J167 J161:J166 L144:L167">
    <cfRule type="expression" dxfId="306" priority="15">
      <formula>#REF!&lt;&gt;_xludf.INDIRECT(_xludf.ADDRESS(_xludf.ROW()-200,_xludf.COLUMN()))</formula>
    </cfRule>
  </conditionalFormatting>
  <conditionalFormatting sqref="H206">
    <cfRule type="expression" dxfId="305" priority="17">
      <formula>#REF!&lt;&gt;_xludf.INDIRECT(_xludf.ADDRESS(_xludf.ROW()-200,_xludf.COLUMN()))</formula>
    </cfRule>
  </conditionalFormatting>
  <conditionalFormatting sqref="D193">
    <cfRule type="expression" dxfId="304" priority="20">
      <formula>#REF!&lt;&gt;_xludf.INDIRECT(_xludf.ADDRESS(_xludf.ROW()-200,_xludf.COLUMN()))</formula>
    </cfRule>
  </conditionalFormatting>
  <conditionalFormatting sqref="G208:G214 H207:H214 G197:G206 B197:F214 H197:H205 I197:L214">
    <cfRule type="expression" dxfId="303" priority="21">
      <formula>B29&lt;&gt;_xludf.INDIRECT(_xludf.ADDRESS(_xludf.ROW()-200,_xludf.COLUMN()))</formula>
    </cfRule>
  </conditionalFormatting>
  <conditionalFormatting sqref="G207">
    <cfRule type="expression" dxfId="302" priority="30">
      <formula>H38&lt;&gt;_xludf.INDIRECT(_xludf.ADDRESS(_xludf.ROW()-200,_xludf.COLUMN()))</formula>
    </cfRule>
  </conditionalFormatting>
  <conditionalFormatting sqref="F193:G196 C193:C196 D194:E196 C192:G192 I192:L196">
    <cfRule type="expression" dxfId="301" priority="31">
      <formula>B24&lt;&gt;_xludf.INDIRECT(_xludf.ADDRESS(_xludf.ROW()-200,_xludf.COLUMN()))</formula>
    </cfRule>
  </conditionalFormatting>
  <conditionalFormatting sqref="B192:B196 H192:H196">
    <cfRule type="expression" dxfId="300" priority="38">
      <formula>#REF!&lt;&gt;_xludf.INDIRECT(_xludf.ADDRESS(_xludf.ROW()-200,_xludf.COLUMN()))</formula>
    </cfRule>
  </conditionalFormatting>
  <conditionalFormatting sqref="E193">
    <cfRule type="expression" dxfId="299" priority="41">
      <formula>C25&lt;&gt;_xludf.INDIRECT(_xludf.ADDRESS(_xludf.ROW()-200,_xludf.COLUMN()))</formula>
    </cfRule>
  </conditionalFormatting>
  <conditionalFormatting sqref="AJ56:AO166 AR161:AR166 AT144:AT166">
    <cfRule type="expression" dxfId="298" priority="3">
      <formula>#REF!&lt;&gt;_xludf.INDIRECT(_xludf.ADDRESS(_xludf.ROW()-200,_xludf.COLUMN()))</formula>
    </cfRule>
  </conditionalFormatting>
  <conditionalFormatting sqref="BR93:BW203 BZ163:BZ166 CB144:CB166">
    <cfRule type="expression" dxfId="297" priority="2">
      <formula>#REF!&lt;&gt;_xludf.INDIRECT(_xludf.ADDRESS(_xludf.ROW()-200,_xludf.COLUMN()))</formula>
    </cfRule>
  </conditionalFormatting>
  <conditionalFormatting sqref="CZ93:DE203 DH163:DH166">
    <cfRule type="expression" dxfId="296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358140</xdr:colOff>
                    <xdr:row>16</xdr:row>
                    <xdr:rowOff>167640</xdr:rowOff>
                  </from>
                  <to>
                    <xdr:col>11</xdr:col>
                    <xdr:colOff>815340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44</xdr:col>
                    <xdr:colOff>274320</xdr:colOff>
                    <xdr:row>17</xdr:row>
                    <xdr:rowOff>45720</xdr:rowOff>
                  </from>
                  <to>
                    <xdr:col>46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79</xdr:col>
                    <xdr:colOff>335280</xdr:colOff>
                    <xdr:row>16</xdr:row>
                    <xdr:rowOff>175260</xdr:rowOff>
                  </from>
                  <to>
                    <xdr:col>81</xdr:col>
                    <xdr:colOff>807720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 macro="[0]!load_TOWER_Data">
                <anchor moveWithCells="1">
                  <from>
                    <xdr:col>103</xdr:col>
                    <xdr:colOff>38100</xdr:colOff>
                    <xdr:row>13</xdr:row>
                    <xdr:rowOff>160020</xdr:rowOff>
                  </from>
                  <to>
                    <xdr:col>105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TOWER_DB">
                <anchor moveWithCells="1" sizeWithCells="1">
                  <from>
                    <xdr:col>103</xdr:col>
                    <xdr:colOff>38100</xdr:colOff>
                    <xdr:row>12</xdr:row>
                    <xdr:rowOff>38100</xdr:rowOff>
                  </from>
                  <to>
                    <xdr:col>103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TOWER_Data">
                <anchor moveWithCells="1" sizeWithCells="1">
                  <from>
                    <xdr:col>110</xdr:col>
                    <xdr:colOff>228600</xdr:colOff>
                    <xdr:row>13</xdr:row>
                    <xdr:rowOff>60960</xdr:rowOff>
                  </from>
                  <to>
                    <xdr:col>112</xdr:col>
                    <xdr:colOff>708660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8" name="Button 42">
              <controlPr defaultSize="0" print="0" autoFill="0" autoPict="0" macro="[0]!delete_TOWER_Data">
                <anchor moveWithCells="1" sizeWithCells="1">
                  <from>
                    <xdr:col>110</xdr:col>
                    <xdr:colOff>220980</xdr:colOff>
                    <xdr:row>17</xdr:row>
                    <xdr:rowOff>30480</xdr:rowOff>
                  </from>
                  <to>
                    <xdr:col>112</xdr:col>
                    <xdr:colOff>693420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9" name="Button 43">
              <controlPr defaultSize="0" print="0" autoFill="0" autoPict="0" macro="[0]!reload_TOWER_DB">
                <anchor moveWithCells="1" sizeWithCells="1">
                  <from>
                    <xdr:col>103</xdr:col>
                    <xdr:colOff>822960</xdr:colOff>
                    <xdr:row>12</xdr:row>
                    <xdr:rowOff>22860</xdr:rowOff>
                  </from>
                  <to>
                    <xdr:col>104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30"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N452"/>
  <sheetViews>
    <sheetView zoomScale="85" zoomScaleNormal="85" workbookViewId="0">
      <selection activeCell="H9" sqref="H9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7773437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30" max="30" width="22.77734375" customWidth="1"/>
    <col min="33" max="34" width="14.44140625" style="51"/>
    <col min="35" max="35" width="20.44140625" style="51" customWidth="1"/>
    <col min="36" max="16384" width="14.44140625" style="51"/>
  </cols>
  <sheetData>
    <row r="2" spans="2:40" ht="15" customHeight="1" x14ac:dyDescent="0.3">
      <c r="B2" s="51" t="s">
        <v>27</v>
      </c>
      <c r="C2" s="51" t="s">
        <v>130</v>
      </c>
      <c r="D2" s="55" t="s">
        <v>131</v>
      </c>
      <c r="E2" s="55"/>
      <c r="F2" s="55"/>
      <c r="G2" s="55"/>
      <c r="H2" s="55"/>
      <c r="I2" s="55" t="s">
        <v>145</v>
      </c>
      <c r="M2" s="55"/>
      <c r="N2" s="55"/>
    </row>
    <row r="3" spans="2:40" x14ac:dyDescent="0.3">
      <c r="B3" s="85" t="s">
        <v>149</v>
      </c>
      <c r="C3" s="87"/>
      <c r="D3" s="90" t="s">
        <v>88</v>
      </c>
      <c r="E3" s="55"/>
      <c r="I3" s="55" t="s">
        <v>79</v>
      </c>
      <c r="J3" s="55"/>
      <c r="M3" s="55"/>
      <c r="N3" s="55"/>
    </row>
    <row r="4" spans="2:40" ht="15" customHeight="1" x14ac:dyDescent="0.3">
      <c r="B4" s="85" t="s">
        <v>147</v>
      </c>
      <c r="C4" s="87"/>
      <c r="D4" s="90" t="s">
        <v>88</v>
      </c>
      <c r="I4" s="55" t="s">
        <v>99</v>
      </c>
      <c r="J4" s="55"/>
      <c r="L4" s="55"/>
      <c r="M4" s="55"/>
      <c r="N4" s="55"/>
    </row>
    <row r="5" spans="2:40" ht="15" customHeight="1" x14ac:dyDescent="0.3">
      <c r="B5" s="86" t="s">
        <v>148</v>
      </c>
      <c r="C5" s="88"/>
      <c r="D5" s="89" t="s">
        <v>150</v>
      </c>
      <c r="I5" s="55" t="s">
        <v>70</v>
      </c>
      <c r="J5" s="55"/>
      <c r="M5" s="55"/>
      <c r="N5" s="55"/>
    </row>
    <row r="6" spans="2:40" x14ac:dyDescent="0.3">
      <c r="B6" s="85" t="s">
        <v>151</v>
      </c>
      <c r="C6" s="87">
        <v>-39.799999999999997</v>
      </c>
      <c r="D6" s="90" t="s">
        <v>150</v>
      </c>
      <c r="I6" s="55" t="s">
        <v>140</v>
      </c>
      <c r="J6" s="55"/>
      <c r="M6" s="55"/>
      <c r="N6" s="55"/>
    </row>
    <row r="7" spans="2:40" ht="15" customHeight="1" x14ac:dyDescent="0.3">
      <c r="I7" s="55" t="s">
        <v>146</v>
      </c>
      <c r="J7" s="55"/>
      <c r="M7" s="55"/>
      <c r="N7" s="55"/>
    </row>
    <row r="8" spans="2:40" ht="15" customHeight="1" x14ac:dyDescent="0.3">
      <c r="B8"/>
      <c r="C8"/>
      <c r="D8"/>
      <c r="E8"/>
      <c r="F8"/>
      <c r="G8"/>
      <c r="H8"/>
      <c r="J8" s="55"/>
      <c r="L8"/>
      <c r="M8"/>
      <c r="N8"/>
      <c r="O8"/>
      <c r="P8"/>
      <c r="Q8"/>
    </row>
    <row r="9" spans="2:40" ht="31.8" customHeight="1" x14ac:dyDescent="0.6">
      <c r="B9" s="68" t="s">
        <v>120</v>
      </c>
      <c r="O9" s="68" t="s">
        <v>121</v>
      </c>
      <c r="T9" s="68" t="s">
        <v>123</v>
      </c>
      <c r="AA9" s="68" t="s">
        <v>140</v>
      </c>
      <c r="AG9" s="68" t="s">
        <v>20</v>
      </c>
      <c r="AK9" s="68" t="s">
        <v>122</v>
      </c>
    </row>
    <row r="12" spans="2:40" x14ac:dyDescent="0.3">
      <c r="B12" s="51" t="s">
        <v>1</v>
      </c>
      <c r="C12" s="51" t="s">
        <v>101</v>
      </c>
      <c r="D12" s="51" t="s">
        <v>98</v>
      </c>
      <c r="E12" s="51" t="s">
        <v>117</v>
      </c>
      <c r="F12" s="51" t="s">
        <v>116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119</v>
      </c>
      <c r="Q12" t="s">
        <v>104</v>
      </c>
      <c r="R12" s="55" t="s">
        <v>19</v>
      </c>
      <c r="T12" s="66" t="s">
        <v>101</v>
      </c>
      <c r="U12" s="57" t="s">
        <v>119</v>
      </c>
      <c r="V12" s="57" t="s">
        <v>104</v>
      </c>
      <c r="W12" s="67" t="s">
        <v>19</v>
      </c>
      <c r="AA12" s="84" t="s">
        <v>81</v>
      </c>
      <c r="AB12" s="84" t="s">
        <v>144</v>
      </c>
      <c r="AC12" s="84" t="s">
        <v>141</v>
      </c>
      <c r="AD12" s="84" t="s">
        <v>142</v>
      </c>
      <c r="AE12" s="84" t="s">
        <v>19</v>
      </c>
      <c r="AG12" s="51" t="s">
        <v>116</v>
      </c>
      <c r="AH12" s="51" t="s">
        <v>117</v>
      </c>
      <c r="AI12" s="51" t="s">
        <v>124</v>
      </c>
      <c r="AK12" s="51" t="s">
        <v>116</v>
      </c>
      <c r="AL12" s="51" t="s">
        <v>117</v>
      </c>
      <c r="AM12" s="51" t="s">
        <v>17</v>
      </c>
      <c r="AN12" s="51" t="s">
        <v>18</v>
      </c>
    </row>
    <row r="13" spans="2:40" x14ac:dyDescent="0.3">
      <c r="B13" s="51">
        <v>1</v>
      </c>
      <c r="C13" s="51" t="s">
        <v>79</v>
      </c>
      <c r="D13" s="51">
        <v>1</v>
      </c>
      <c r="E13" s="51">
        <v>107.71</v>
      </c>
      <c r="F13" s="51">
        <v>104.50999999999999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96.509999999999991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107.50999999999999</v>
      </c>
      <c r="Q13" s="55">
        <v>70000</v>
      </c>
      <c r="R13" s="55" t="s">
        <v>105</v>
      </c>
      <c r="U13" s="69"/>
      <c r="V13" s="69"/>
      <c r="AA13" s="58" t="s">
        <v>143</v>
      </c>
      <c r="AB13" s="58">
        <v>777.53</v>
      </c>
      <c r="AC13" s="58">
        <v>197394400</v>
      </c>
      <c r="AD13" s="60">
        <v>3.4</v>
      </c>
      <c r="AE13" s="60"/>
      <c r="AG13" s="51">
        <v>139</v>
      </c>
      <c r="AH13" s="51">
        <v>4.5999999999999996</v>
      </c>
      <c r="AI13" s="51">
        <v>0</v>
      </c>
      <c r="AK13" s="51">
        <v>20</v>
      </c>
      <c r="AL13" s="51">
        <v>6.5</v>
      </c>
      <c r="AM13" s="51">
        <v>0.9</v>
      </c>
      <c r="AN13" s="51">
        <v>2</v>
      </c>
    </row>
    <row r="14" spans="2:40" x14ac:dyDescent="0.3">
      <c r="B14" s="51">
        <v>2</v>
      </c>
      <c r="C14" s="51" t="s">
        <v>79</v>
      </c>
      <c r="D14" s="51">
        <v>2</v>
      </c>
      <c r="E14" s="51">
        <v>104.50999999999999</v>
      </c>
      <c r="F14" s="51">
        <v>101.31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93.31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106.11</v>
      </c>
      <c r="Q14" s="55">
        <v>9000</v>
      </c>
      <c r="R14" s="55" t="s">
        <v>106</v>
      </c>
      <c r="AG14" s="51">
        <f>IF(ISBLANK(AH14),"",AH13)</f>
        <v>4.5999999999999996</v>
      </c>
      <c r="AH14" s="51">
        <v>-9.6</v>
      </c>
      <c r="AI14" s="51">
        <v>250</v>
      </c>
      <c r="AK14" s="51">
        <f>IF(ISBLANK(AL14),"",AL13)</f>
        <v>6.5</v>
      </c>
      <c r="AL14" s="51">
        <v>-22</v>
      </c>
      <c r="AM14" s="51">
        <v>0.9</v>
      </c>
      <c r="AN14" s="51">
        <v>2</v>
      </c>
    </row>
    <row r="15" spans="2:40" x14ac:dyDescent="0.3">
      <c r="B15" s="51">
        <v>3</v>
      </c>
      <c r="C15" s="51" t="s">
        <v>79</v>
      </c>
      <c r="D15" s="51">
        <v>3</v>
      </c>
      <c r="E15" s="51">
        <v>101.31</v>
      </c>
      <c r="F15" s="51">
        <v>98.11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90.11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102.21</v>
      </c>
      <c r="Q15" s="55">
        <v>100000</v>
      </c>
      <c r="R15" s="55" t="s">
        <v>107</v>
      </c>
      <c r="AG15" s="51">
        <f t="shared" ref="AG15" si="1">IF(ISBLANK(AH15),"",AH14)</f>
        <v>-9.6</v>
      </c>
      <c r="AH15" s="51">
        <v>-22</v>
      </c>
      <c r="AI15" s="51">
        <v>100</v>
      </c>
      <c r="AK15" s="51" t="str">
        <f t="shared" ref="AK15" si="2">IF(ISBLANK(AL15),"",AL14)</f>
        <v/>
      </c>
    </row>
    <row r="16" spans="2:40" x14ac:dyDescent="0.3">
      <c r="B16" s="51">
        <v>4</v>
      </c>
      <c r="C16" s="51" t="s">
        <v>79</v>
      </c>
      <c r="D16" s="51">
        <v>4</v>
      </c>
      <c r="E16" s="51">
        <v>98.11</v>
      </c>
      <c r="F16" s="51">
        <v>94.61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86.61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96.91</v>
      </c>
      <c r="Q16" s="55">
        <v>1</v>
      </c>
      <c r="R16" s="55" t="s">
        <v>108</v>
      </c>
      <c r="T16" s="56" t="s">
        <v>101</v>
      </c>
      <c r="U16" s="57" t="s">
        <v>117</v>
      </c>
      <c r="V16" s="57" t="s">
        <v>116</v>
      </c>
      <c r="W16" s="57" t="s">
        <v>92</v>
      </c>
      <c r="X16" s="57" t="s">
        <v>93</v>
      </c>
      <c r="Y16" s="57" t="s">
        <v>94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94.61</v>
      </c>
      <c r="F17" s="51">
        <v>91.11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82.67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58.61</v>
      </c>
      <c r="Q17" s="55">
        <v>1</v>
      </c>
      <c r="R17" s="55" t="s">
        <v>109</v>
      </c>
      <c r="T17" s="58"/>
      <c r="U17" s="58"/>
      <c r="V17" s="58"/>
      <c r="W17" s="58"/>
      <c r="X17" s="59"/>
      <c r="Y17" s="60"/>
    </row>
    <row r="18" spans="2:25" x14ac:dyDescent="0.3">
      <c r="B18" s="51">
        <v>6</v>
      </c>
      <c r="C18" s="51" t="s">
        <v>79</v>
      </c>
      <c r="D18" s="51">
        <v>6</v>
      </c>
      <c r="E18" s="51">
        <v>91.11</v>
      </c>
      <c r="F18" s="51">
        <v>87.61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78.73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21.47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3">
      <c r="B19" s="51">
        <v>7</v>
      </c>
      <c r="C19" s="51" t="s">
        <v>79</v>
      </c>
      <c r="D19" s="51">
        <v>7</v>
      </c>
      <c r="E19" s="51">
        <v>87.61</v>
      </c>
      <c r="F19" s="51">
        <v>84.11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74.8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20.7</v>
      </c>
      <c r="Q19" s="55">
        <v>20000</v>
      </c>
      <c r="R19" s="55" t="s">
        <v>111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84.11</v>
      </c>
      <c r="F20" s="51">
        <v>80.61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70.86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20.100000000000001</v>
      </c>
      <c r="Q20" s="55">
        <v>5000</v>
      </c>
      <c r="R20" s="55" t="s">
        <v>102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80.61</v>
      </c>
      <c r="F21" s="51">
        <v>77.11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66.92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14</v>
      </c>
      <c r="Q21" s="55">
        <v>5000</v>
      </c>
      <c r="R21" s="55" t="s">
        <v>112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77.11</v>
      </c>
      <c r="F22" s="51">
        <v>73.61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62.98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99</v>
      </c>
      <c r="P22" s="55">
        <v>6.1</v>
      </c>
      <c r="Q22" s="55">
        <v>200</v>
      </c>
      <c r="R22" s="55" t="s">
        <v>113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73.61</v>
      </c>
      <c r="F23" s="51">
        <v>70.11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59.05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5.6</v>
      </c>
      <c r="Q23" s="55">
        <v>70000</v>
      </c>
      <c r="R23" s="55" t="s">
        <v>105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70.11</v>
      </c>
      <c r="F24" s="51">
        <v>66.61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55.11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70</v>
      </c>
      <c r="P24" s="55">
        <v>4.2</v>
      </c>
      <c r="Q24" s="55">
        <v>9000</v>
      </c>
      <c r="R24" s="55" t="s">
        <v>106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66.61</v>
      </c>
      <c r="F25" s="51">
        <v>63.309999999999995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51.809999999999995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63.309999999999995</v>
      </c>
      <c r="F26" s="51">
        <v>60.01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48.51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60.01</v>
      </c>
      <c r="F27" s="51">
        <v>56.709999999999994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45.209999999999994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56.709999999999994</v>
      </c>
      <c r="F28" s="51">
        <v>53.41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41.91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53.41</v>
      </c>
      <c r="F29" s="51">
        <v>50.209999999999994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38.709999999999994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50.209999999999994</v>
      </c>
      <c r="F30" s="51">
        <v>46.61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35.11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46.61</v>
      </c>
      <c r="F31" s="51">
        <v>42.61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31.11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42.61</v>
      </c>
      <c r="F32" s="51">
        <v>38.61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27.11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79</v>
      </c>
      <c r="D33" s="51">
        <v>21</v>
      </c>
      <c r="E33" s="51">
        <v>38.61</v>
      </c>
      <c r="F33" s="51">
        <v>34.61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23.11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79</v>
      </c>
      <c r="D34" s="51">
        <v>22</v>
      </c>
      <c r="E34" s="51">
        <v>34.61</v>
      </c>
      <c r="F34" s="51">
        <v>30.909999999999997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19.409999999999997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79</v>
      </c>
      <c r="D35" s="51">
        <v>23</v>
      </c>
      <c r="E35" s="51">
        <v>30.909999999999997</v>
      </c>
      <c r="F35" s="51">
        <v>27.61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16.11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79</v>
      </c>
      <c r="D36" s="51">
        <v>24</v>
      </c>
      <c r="E36" s="51">
        <v>27.61</v>
      </c>
      <c r="F36" s="51">
        <v>24.47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12.969999999999999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79</v>
      </c>
      <c r="D37" s="51">
        <v>25</v>
      </c>
      <c r="E37" s="51">
        <v>24.47</v>
      </c>
      <c r="F37" s="51">
        <v>21.47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9.9699999999999989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99</v>
      </c>
      <c r="D38" s="51">
        <v>1</v>
      </c>
      <c r="E38" s="51">
        <v>21.47</v>
      </c>
      <c r="F38" s="51">
        <v>17.5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9.5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3">
      <c r="B39" s="51">
        <v>27</v>
      </c>
      <c r="C39" s="51" t="s">
        <v>99</v>
      </c>
      <c r="D39" s="51">
        <v>2</v>
      </c>
      <c r="E39" s="51">
        <v>17.5</v>
      </c>
      <c r="F39" s="51">
        <v>13.5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5.5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3">
      <c r="B40" s="51">
        <v>28</v>
      </c>
      <c r="C40" s="51" t="s">
        <v>99</v>
      </c>
      <c r="D40" s="51">
        <v>3</v>
      </c>
      <c r="E40" s="51">
        <v>13.5</v>
      </c>
      <c r="F40" s="51">
        <v>9.5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1.5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3">
      <c r="B41" s="51">
        <v>29</v>
      </c>
      <c r="C41" s="51" t="s">
        <v>99</v>
      </c>
      <c r="D41" s="51">
        <v>4</v>
      </c>
      <c r="E41" s="51">
        <v>9.5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86.283691434396232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3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125</v>
      </c>
      <c r="J42" s="54">
        <f t="shared" si="3"/>
        <v>77.683732341641587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64</v>
      </c>
    </row>
    <row r="43" spans="2:13" x14ac:dyDescent="0.3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116</v>
      </c>
      <c r="J43" s="54">
        <f t="shared" si="3"/>
        <v>72.17289276002974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68.965517241379303</v>
      </c>
    </row>
    <row r="44" spans="2:13" x14ac:dyDescent="0.3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3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3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3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3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3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3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3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3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3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3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3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3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3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3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100</v>
      </c>
      <c r="J64" s="54">
        <f t="shared" si="3"/>
        <v>92.776571768017547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115</v>
      </c>
    </row>
    <row r="65" spans="2:13" x14ac:dyDescent="0.3">
      <c r="B65" s="51">
        <v>53</v>
      </c>
      <c r="C65" s="51" t="s">
        <v>70</v>
      </c>
      <c r="D65" s="51">
        <v>24</v>
      </c>
      <c r="E65" s="51">
        <v>-74.3</v>
      </c>
      <c r="F65" s="51">
        <v>-77.430000000000007</v>
      </c>
      <c r="G65" s="51">
        <v>11.5</v>
      </c>
      <c r="H65" s="51">
        <v>11.5</v>
      </c>
      <c r="I65" s="51">
        <v>110</v>
      </c>
      <c r="J65" s="54">
        <f t="shared" si="3"/>
        <v>96.71198032544136</v>
      </c>
      <c r="K65" s="54">
        <f>IFERROR(WHOLE_STRUCTURE[[#This Row],[Bottom '[m']]]-WHOLE_STRUCTURE[[#This Row],[D, top '[m']]], "")</f>
        <v>-88.93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104.54545454545455</v>
      </c>
    </row>
    <row r="66" spans="2:13" x14ac:dyDescent="0.3">
      <c r="B66" s="51">
        <v>54</v>
      </c>
      <c r="C66" s="51" t="s">
        <v>70</v>
      </c>
      <c r="D66" s="51">
        <v>25</v>
      </c>
      <c r="E66" s="51">
        <v>-77.430000000000007</v>
      </c>
      <c r="F66" s="51">
        <v>-80.430000000000007</v>
      </c>
      <c r="G66" s="51">
        <v>11.5</v>
      </c>
      <c r="H66" s="51">
        <v>11.5</v>
      </c>
      <c r="I66" s="51">
        <v>122</v>
      </c>
      <c r="J66" s="54">
        <f t="shared" si="3"/>
        <v>102.6990779077619</v>
      </c>
      <c r="K66" s="54" t="str">
        <f>IFERROR(WHOLE_STRUCTURE[[#This Row],[Bottom '[m']]]-WHOLE_STRUCTURE[[#This Row],[D, top '[m']]], "")</f>
        <v/>
      </c>
      <c r="L66" s="54" t="str">
        <f>IFERROR(-(WHOLE_STRUCTURE[[#This Row],[D, bottom '[m']]]-WHOLE_STRUCTURE[[#This Row],[D, top '[m']]])/(WHOLE_STRUCTURE[[#This Row],[Bottom '[m']]]-WHOLE_STRUCTURE[[#This Row],[Top '[m']]]),"")</f>
        <v/>
      </c>
      <c r="M66" s="54" t="str">
        <f>IFERROR((WHOLE_STRUCTURE[[#This Row],[D, bottom '[m']]]+WHOLE_STRUCTURE[[#This Row],[D, top '[m']]])/(2*WHOLE_STRUCTURE[[#This Row],[t '[mm']]]/1000),"")</f>
        <v/>
      </c>
    </row>
    <row r="67" spans="2:13" x14ac:dyDescent="0.3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5"/>
  <sheetViews>
    <sheetView tabSelected="1" zoomScale="145" zoomScaleNormal="145" workbookViewId="0">
      <selection activeCell="E9" sqref="E9"/>
    </sheetView>
  </sheetViews>
  <sheetFormatPr baseColWidth="10" defaultRowHeight="14.4" x14ac:dyDescent="0.3"/>
  <cols>
    <col min="2" max="2" width="41.6640625" customWidth="1"/>
    <col min="5" max="5" width="23.44140625" customWidth="1"/>
  </cols>
  <sheetData>
    <row r="2" spans="2:5" ht="31.2" x14ac:dyDescent="0.6">
      <c r="B2" s="68" t="s">
        <v>56</v>
      </c>
    </row>
    <row r="5" spans="2:5" ht="18" customHeight="1" x14ac:dyDescent="0.3"/>
    <row r="6" spans="2:5" x14ac:dyDescent="0.3">
      <c r="B6" t="s">
        <v>125</v>
      </c>
    </row>
    <row r="8" spans="2:5" x14ac:dyDescent="0.3">
      <c r="B8" t="s">
        <v>27</v>
      </c>
      <c r="C8" t="s">
        <v>130</v>
      </c>
      <c r="D8" t="s">
        <v>131</v>
      </c>
      <c r="E8" t="s">
        <v>19</v>
      </c>
    </row>
    <row r="9" spans="2:5" x14ac:dyDescent="0.3">
      <c r="B9" t="s">
        <v>126</v>
      </c>
      <c r="C9" s="51" t="s">
        <v>127</v>
      </c>
      <c r="D9" t="s">
        <v>88</v>
      </c>
      <c r="E9" t="s">
        <v>139</v>
      </c>
    </row>
    <row r="10" spans="2:5" x14ac:dyDescent="0.3">
      <c r="B10" t="s">
        <v>128</v>
      </c>
      <c r="C10" s="70">
        <v>210000000000</v>
      </c>
      <c r="D10" t="s">
        <v>132</v>
      </c>
    </row>
    <row r="11" spans="2:5" x14ac:dyDescent="0.3">
      <c r="B11" t="s">
        <v>129</v>
      </c>
      <c r="C11" s="51">
        <v>7850</v>
      </c>
      <c r="D11" t="s">
        <v>133</v>
      </c>
    </row>
    <row r="12" spans="2:5" x14ac:dyDescent="0.3">
      <c r="B12" t="s">
        <v>134</v>
      </c>
      <c r="C12" s="51">
        <v>0.75</v>
      </c>
      <c r="D12" t="s">
        <v>135</v>
      </c>
    </row>
    <row r="13" spans="2:5" x14ac:dyDescent="0.3">
      <c r="B13" t="s">
        <v>136</v>
      </c>
      <c r="C13" s="51">
        <v>5</v>
      </c>
      <c r="D13" t="s">
        <v>137</v>
      </c>
    </row>
    <row r="14" spans="2:5" x14ac:dyDescent="0.3">
      <c r="B14" t="s">
        <v>138</v>
      </c>
      <c r="C14" s="51">
        <v>0.5</v>
      </c>
      <c r="D14" t="s">
        <v>135</v>
      </c>
    </row>
    <row r="15" spans="2:5" x14ac:dyDescent="0.3">
      <c r="B15" t="s">
        <v>154</v>
      </c>
      <c r="C15" s="51">
        <v>0.1</v>
      </c>
      <c r="D15" s="55" t="s">
        <v>150</v>
      </c>
    </row>
  </sheetData>
  <protectedRanges>
    <protectedRange sqref="C15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1082040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RNA_META_FULL36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2025-06-06T08:31:27Z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